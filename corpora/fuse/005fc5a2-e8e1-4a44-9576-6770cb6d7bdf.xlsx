
<file path=[Content_Types].xml><?xml version="1.0" encoding="utf-8"?>
<Types xmlns="http://schemas.openxmlformats.org/package/2006/content-types"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charts/chart9.xml" ContentType="application/vnd.openxmlformats-officedocument.drawingml.chart+xml"/>
  <Default Extension="rels" ContentType="application/vnd.openxmlformats-package.relationships+xml"/>
  <Default Extension="jpeg" ContentType="image/jpeg"/>
  <Default Extension="xml" ContentType="application/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xl/worksheets/sheet1.xml" ContentType="application/vnd.openxmlformats-officedocument.spreadsheetml.worksheet+xml"/>
  <Override PartName="/xl/charts/chart14.xml" ContentType="application/vnd.openxmlformats-officedocument.drawingml.chart+xml"/>
  <Override PartName="/xl/charts/chart5.xml" ContentType="application/vnd.openxmlformats-officedocument.drawingml.chart+xml"/>
  <Override PartName="/xl/externalLinks/externalLink3.xml" ContentType="application/vnd.openxmlformats-officedocument.spreadsheetml.externalLink+xml"/>
  <Override PartName="/xl/charts/chart12.xml" ContentType="application/vnd.openxmlformats-officedocument.drawingml.char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8.xml" ContentType="application/vnd.openxmlformats-officedocument.drawingml.chart+xml"/>
  <Override PartName="/xl/worksheets/sheet2.xml" ContentType="application/vnd.openxmlformats-officedocument.spreadsheetml.worksheet+xml"/>
  <Override PartName="/xl/charts/chart6.xml" ContentType="application/vnd.openxmlformats-officedocument.drawingml.chart+xml"/>
  <Override PartName="/xl/charts/chart15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4.xml" ContentType="application/vnd.openxmlformats-officedocument.drawingml.chart+xml"/>
  <Override PartName="/xl/externalLinks/externalLink2.xml" ContentType="application/vnd.openxmlformats-officedocument.spreadsheetml.externalLink+xml"/>
  <Override PartName="/xl/charts/chart11.xml" ContentType="application/vnd.openxmlformats-officedocument.drawingml.chart+xml"/>
  <Override PartName="/xl/workbook.xml" ContentType="application/vnd.openxmlformats-officedocument.spreadsheetml.sheet.main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720" yWindow="-420" windowWidth="34400" windowHeight="18460" tabRatio="500" firstSheet="2" activeTab="5"/>
  </bookViews>
  <sheets>
    <sheet name="SpotModeSamples" sheetId="1" r:id="rId1"/>
    <sheet name="DepthProfilesUPbAge" sheetId="3" r:id="rId2"/>
    <sheet name="0621ConcentrationDepthProfile" sheetId="4" r:id="rId3"/>
    <sheet name="03118ConcentrationDepthProfile" sheetId="5" r:id="rId4"/>
    <sheet name="08010ConcentrationDepthProfile" sheetId="6" r:id="rId5"/>
    <sheet name="AdditionalSamplesNotinText" sheetId="2" r:id="rId6"/>
  </sheets>
  <externalReferences>
    <externalReference r:id="rId7"/>
    <externalReference r:id="rId8"/>
    <externalReference r:id="rId9"/>
  </externalReference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96" i="5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8" i="4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72" i="6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G313" i="2"/>
  <c r="H313"/>
  <c r="G312"/>
  <c r="H312"/>
  <c r="G311"/>
  <c r="H311"/>
  <c r="G310"/>
  <c r="H310"/>
  <c r="G309"/>
  <c r="H309"/>
  <c r="G308"/>
  <c r="H308"/>
  <c r="G307"/>
  <c r="H307"/>
  <c r="G306"/>
  <c r="H306"/>
  <c r="G305"/>
  <c r="H305"/>
  <c r="G304"/>
  <c r="H304"/>
  <c r="G303"/>
  <c r="H303"/>
  <c r="G302"/>
  <c r="H302"/>
  <c r="G301"/>
  <c r="H301"/>
  <c r="G300"/>
  <c r="H300"/>
  <c r="G299"/>
  <c r="H299"/>
  <c r="G298"/>
  <c r="H298"/>
  <c r="G297"/>
  <c r="H297"/>
  <c r="G296"/>
  <c r="H296"/>
  <c r="G295"/>
  <c r="H295"/>
  <c r="G294"/>
  <c r="H294"/>
  <c r="G293"/>
  <c r="H293"/>
  <c r="G292"/>
  <c r="H292"/>
  <c r="G291"/>
  <c r="H291"/>
  <c r="G290"/>
  <c r="H290"/>
  <c r="G289"/>
  <c r="H289"/>
  <c r="G288"/>
  <c r="H288"/>
  <c r="G287"/>
  <c r="H287"/>
  <c r="G286"/>
  <c r="H286"/>
  <c r="G285"/>
  <c r="H285"/>
  <c r="G284"/>
  <c r="H284"/>
  <c r="G283"/>
  <c r="H283"/>
  <c r="G282"/>
  <c r="H282"/>
  <c r="G281"/>
  <c r="H281"/>
  <c r="G280"/>
  <c r="H280"/>
  <c r="G279"/>
  <c r="H279"/>
  <c r="G278"/>
  <c r="H278"/>
  <c r="G277"/>
  <c r="H277"/>
  <c r="G276"/>
  <c r="H276"/>
  <c r="G275"/>
  <c r="H275"/>
  <c r="G274"/>
  <c r="H274"/>
  <c r="G273"/>
  <c r="H273"/>
  <c r="G272"/>
  <c r="H272"/>
  <c r="G271"/>
  <c r="H271"/>
  <c r="G270"/>
  <c r="H270"/>
  <c r="G269"/>
  <c r="H269"/>
  <c r="G268"/>
  <c r="H268"/>
  <c r="G267"/>
  <c r="H267"/>
  <c r="G266"/>
  <c r="H266"/>
  <c r="G265"/>
  <c r="H265"/>
  <c r="G264"/>
  <c r="H264"/>
  <c r="G263"/>
  <c r="H263"/>
  <c r="G262"/>
  <c r="H262"/>
  <c r="G261"/>
  <c r="H261"/>
  <c r="G260"/>
  <c r="H260"/>
  <c r="G259"/>
  <c r="H259"/>
  <c r="G258"/>
  <c r="H258"/>
  <c r="G257"/>
  <c r="H257"/>
  <c r="G256"/>
  <c r="H256"/>
  <c r="G255"/>
  <c r="H255"/>
  <c r="G254"/>
  <c r="H254"/>
  <c r="G253"/>
  <c r="H253"/>
  <c r="G252"/>
  <c r="H252"/>
  <c r="G251"/>
  <c r="H251"/>
  <c r="G250"/>
  <c r="H250"/>
  <c r="G249"/>
  <c r="H249"/>
  <c r="G248"/>
  <c r="H248"/>
  <c r="G247"/>
  <c r="H247"/>
  <c r="G246"/>
  <c r="H246"/>
  <c r="G245"/>
  <c r="H245"/>
  <c r="G244"/>
  <c r="H244"/>
  <c r="G243"/>
  <c r="H243"/>
  <c r="G242"/>
  <c r="H242"/>
  <c r="G241"/>
  <c r="H241"/>
  <c r="G240"/>
  <c r="H240"/>
  <c r="G239"/>
  <c r="H239"/>
  <c r="G238"/>
  <c r="H238"/>
  <c r="G237"/>
  <c r="H237"/>
  <c r="G236"/>
  <c r="H236"/>
  <c r="G235"/>
  <c r="H235"/>
  <c r="G234"/>
  <c r="H234"/>
  <c r="G233"/>
  <c r="H233"/>
  <c r="G232"/>
  <c r="H232"/>
  <c r="G231"/>
  <c r="H231"/>
  <c r="G230"/>
  <c r="H230"/>
  <c r="G229"/>
  <c r="H229"/>
  <c r="G228"/>
  <c r="H228"/>
  <c r="G227"/>
  <c r="H227"/>
  <c r="G226"/>
  <c r="H226"/>
  <c r="G225"/>
  <c r="H225"/>
  <c r="G224"/>
  <c r="H224"/>
  <c r="G223"/>
  <c r="H223"/>
  <c r="G222"/>
  <c r="H222"/>
  <c r="G221"/>
  <c r="H221"/>
  <c r="G220"/>
  <c r="H220"/>
  <c r="G219"/>
  <c r="H219"/>
  <c r="G218"/>
  <c r="H218"/>
  <c r="G217"/>
  <c r="H217"/>
  <c r="G216"/>
  <c r="H216"/>
  <c r="G215"/>
  <c r="H215"/>
  <c r="G214"/>
  <c r="H214"/>
  <c r="G213"/>
  <c r="H213"/>
  <c r="G212"/>
  <c r="H212"/>
  <c r="G211"/>
  <c r="H211"/>
  <c r="G210"/>
  <c r="H210"/>
  <c r="G209"/>
  <c r="H209"/>
  <c r="G208"/>
  <c r="H208"/>
  <c r="G207"/>
  <c r="H207"/>
  <c r="G206"/>
  <c r="H206"/>
  <c r="G205"/>
  <c r="H205"/>
  <c r="G204"/>
  <c r="H204"/>
  <c r="G203"/>
  <c r="H203"/>
  <c r="G202"/>
  <c r="H202"/>
  <c r="G201"/>
  <c r="H201"/>
  <c r="G200"/>
  <c r="H200"/>
  <c r="G199"/>
  <c r="H199"/>
  <c r="G198"/>
  <c r="H198"/>
  <c r="G197"/>
  <c r="H197"/>
  <c r="G196"/>
  <c r="H196"/>
  <c r="G195"/>
  <c r="H195"/>
  <c r="G194"/>
  <c r="H194"/>
  <c r="G193"/>
  <c r="H193"/>
  <c r="G192"/>
  <c r="H192"/>
  <c r="G191"/>
  <c r="H191"/>
  <c r="G190"/>
  <c r="H190"/>
  <c r="G189"/>
  <c r="H189"/>
  <c r="G188"/>
  <c r="H188"/>
  <c r="G187"/>
  <c r="H187"/>
  <c r="G186"/>
  <c r="H186"/>
  <c r="G185"/>
  <c r="H185"/>
  <c r="G184"/>
  <c r="H184"/>
  <c r="G183"/>
  <c r="H183"/>
  <c r="G182"/>
  <c r="H182"/>
  <c r="G181"/>
  <c r="H181"/>
  <c r="G180"/>
  <c r="H180"/>
  <c r="G179"/>
  <c r="H179"/>
  <c r="G178"/>
  <c r="H178"/>
  <c r="G177"/>
  <c r="H177"/>
  <c r="G176"/>
  <c r="H176"/>
  <c r="G175"/>
  <c r="H175"/>
  <c r="G174"/>
  <c r="H174"/>
  <c r="G173"/>
  <c r="H173"/>
  <c r="G172"/>
  <c r="H172"/>
  <c r="G171"/>
  <c r="H171"/>
  <c r="G170"/>
  <c r="H170"/>
  <c r="G169"/>
  <c r="H169"/>
  <c r="G168"/>
  <c r="H168"/>
  <c r="G167"/>
  <c r="H167"/>
  <c r="G166"/>
  <c r="H166"/>
  <c r="G165"/>
  <c r="H165"/>
  <c r="G164"/>
  <c r="H164"/>
  <c r="G163"/>
  <c r="H163"/>
  <c r="G162"/>
  <c r="H162"/>
  <c r="G161"/>
  <c r="H161"/>
  <c r="G160"/>
  <c r="H160"/>
  <c r="G159"/>
  <c r="H159"/>
  <c r="G158"/>
  <c r="H158"/>
  <c r="G157"/>
  <c r="H157"/>
  <c r="G156"/>
  <c r="H156"/>
  <c r="G155"/>
  <c r="H155"/>
  <c r="G154"/>
  <c r="H154"/>
  <c r="G153"/>
  <c r="H153"/>
  <c r="G152"/>
  <c r="H152"/>
  <c r="G151"/>
  <c r="H151"/>
  <c r="G150"/>
  <c r="H150"/>
  <c r="G149"/>
  <c r="H149"/>
  <c r="G148"/>
  <c r="H148"/>
  <c r="G147"/>
  <c r="H147"/>
  <c r="G146"/>
  <c r="H146"/>
  <c r="G145"/>
  <c r="H145"/>
  <c r="G144"/>
  <c r="H144"/>
  <c r="G143"/>
  <c r="H143"/>
  <c r="G142"/>
  <c r="H142"/>
  <c r="G141"/>
  <c r="H141"/>
  <c r="G140"/>
  <c r="H140"/>
  <c r="G139"/>
  <c r="H139"/>
  <c r="G138"/>
  <c r="H138"/>
  <c r="G137"/>
  <c r="H137"/>
  <c r="G136"/>
  <c r="H136"/>
  <c r="G135"/>
  <c r="H135"/>
  <c r="G134"/>
  <c r="H134"/>
  <c r="G133"/>
  <c r="H133"/>
  <c r="G132"/>
  <c r="H132"/>
  <c r="G131"/>
  <c r="H131"/>
  <c r="G130"/>
  <c r="H130"/>
  <c r="G129"/>
  <c r="H129"/>
  <c r="G128"/>
  <c r="H128"/>
  <c r="G127"/>
  <c r="H127"/>
  <c r="G126"/>
  <c r="H126"/>
  <c r="G125"/>
  <c r="H125"/>
  <c r="G124"/>
  <c r="H124"/>
  <c r="G123"/>
  <c r="H123"/>
  <c r="G122"/>
  <c r="H122"/>
  <c r="G121"/>
  <c r="H121"/>
  <c r="G120"/>
  <c r="H120"/>
  <c r="G119"/>
  <c r="H119"/>
  <c r="G118"/>
  <c r="H118"/>
  <c r="G117"/>
  <c r="H117"/>
  <c r="G116"/>
  <c r="H116"/>
  <c r="G115"/>
  <c r="H115"/>
  <c r="G114"/>
  <c r="H114"/>
  <c r="G113"/>
  <c r="H113"/>
  <c r="G112"/>
  <c r="H112"/>
  <c r="G111"/>
  <c r="H111"/>
  <c r="G110"/>
  <c r="H110"/>
  <c r="G109"/>
  <c r="H109"/>
  <c r="G108"/>
  <c r="H108"/>
  <c r="G107"/>
  <c r="H107"/>
  <c r="G106"/>
  <c r="H106"/>
  <c r="G105"/>
  <c r="H105"/>
  <c r="G104"/>
  <c r="H104"/>
  <c r="G103"/>
  <c r="H103"/>
  <c r="G102"/>
  <c r="H102"/>
  <c r="G101"/>
  <c r="H101"/>
  <c r="G100"/>
  <c r="H100"/>
  <c r="G99"/>
  <c r="H99"/>
  <c r="G98"/>
  <c r="H98"/>
  <c r="G97"/>
  <c r="H97"/>
  <c r="G96"/>
  <c r="H96"/>
  <c r="G95"/>
  <c r="H95"/>
  <c r="G94"/>
  <c r="H94"/>
  <c r="G93"/>
  <c r="H93"/>
  <c r="G92"/>
  <c r="H92"/>
  <c r="G91"/>
  <c r="H91"/>
  <c r="G90"/>
  <c r="H90"/>
  <c r="G89"/>
  <c r="H89"/>
  <c r="G88"/>
  <c r="H88"/>
  <c r="G87"/>
  <c r="H87"/>
  <c r="G86"/>
  <c r="H86"/>
  <c r="G85"/>
  <c r="H85"/>
  <c r="G84"/>
  <c r="H84"/>
  <c r="G83"/>
  <c r="H83"/>
  <c r="G82"/>
  <c r="H82"/>
  <c r="G81"/>
  <c r="H81"/>
  <c r="G80"/>
  <c r="H80"/>
  <c r="G79"/>
  <c r="H79"/>
  <c r="G78"/>
  <c r="H78"/>
  <c r="G77"/>
  <c r="H77"/>
  <c r="G76"/>
  <c r="H76"/>
  <c r="G75"/>
  <c r="H75"/>
  <c r="G74"/>
  <c r="H74"/>
  <c r="G73"/>
  <c r="H73"/>
  <c r="G72"/>
  <c r="H72"/>
  <c r="G71"/>
  <c r="H71"/>
  <c r="G70"/>
  <c r="H70"/>
  <c r="G69"/>
  <c r="H69"/>
  <c r="G68"/>
  <c r="H68"/>
  <c r="G67"/>
  <c r="H67"/>
  <c r="G66"/>
  <c r="H66"/>
  <c r="G65"/>
  <c r="H65"/>
  <c r="G64"/>
  <c r="H64"/>
  <c r="G63"/>
  <c r="H63"/>
  <c r="G62"/>
  <c r="H62"/>
  <c r="G61"/>
  <c r="H61"/>
  <c r="G60"/>
  <c r="H60"/>
  <c r="G59"/>
  <c r="H59"/>
  <c r="G58"/>
  <c r="H58"/>
  <c r="G57"/>
  <c r="H57"/>
  <c r="G56"/>
  <c r="H56"/>
  <c r="G55"/>
  <c r="H55"/>
  <c r="G54"/>
  <c r="H54"/>
  <c r="G53"/>
  <c r="H53"/>
  <c r="G52"/>
  <c r="H52"/>
  <c r="G51"/>
  <c r="H51"/>
  <c r="G50"/>
  <c r="H50"/>
  <c r="G49"/>
  <c r="H49"/>
  <c r="G48"/>
  <c r="H48"/>
  <c r="G47"/>
  <c r="H47"/>
  <c r="G46"/>
  <c r="H46"/>
  <c r="G45"/>
  <c r="H45"/>
  <c r="G44"/>
  <c r="H44"/>
  <c r="G43"/>
  <c r="H43"/>
  <c r="G42"/>
  <c r="H42"/>
  <c r="G41"/>
  <c r="H41"/>
  <c r="G40"/>
  <c r="H40"/>
  <c r="G39"/>
  <c r="H39"/>
  <c r="G38"/>
  <c r="H38"/>
  <c r="G37"/>
  <c r="H37"/>
  <c r="G36"/>
  <c r="H36"/>
  <c r="G35"/>
  <c r="H35"/>
  <c r="G34"/>
  <c r="H34"/>
  <c r="G33"/>
  <c r="H33"/>
  <c r="G32"/>
  <c r="H32"/>
  <c r="G31"/>
  <c r="H31"/>
  <c r="G30"/>
  <c r="H30"/>
  <c r="G29"/>
  <c r="H29"/>
  <c r="G28"/>
  <c r="H28"/>
  <c r="G27"/>
  <c r="H27"/>
  <c r="G26"/>
  <c r="H26"/>
  <c r="G25"/>
  <c r="H25"/>
  <c r="G24"/>
  <c r="H24"/>
  <c r="G23"/>
  <c r="H23"/>
  <c r="G22"/>
  <c r="H22"/>
  <c r="G21"/>
  <c r="H21"/>
  <c r="G20"/>
  <c r="H20"/>
  <c r="G19"/>
  <c r="H19"/>
  <c r="G18"/>
  <c r="H18"/>
  <c r="G17"/>
  <c r="H17"/>
  <c r="G16"/>
  <c r="H16"/>
  <c r="G15"/>
  <c r="H15"/>
  <c r="G14"/>
  <c r="H14"/>
  <c r="G13"/>
  <c r="H13"/>
  <c r="G12"/>
  <c r="H12"/>
  <c r="G11"/>
  <c r="H11"/>
  <c r="G10"/>
  <c r="H10"/>
  <c r="G9"/>
  <c r="H9"/>
  <c r="G8"/>
  <c r="H8"/>
  <c r="G7"/>
  <c r="H7"/>
  <c r="G6"/>
  <c r="H6"/>
  <c r="I225" i="3"/>
  <c r="D225"/>
  <c r="E225"/>
  <c r="I224"/>
  <c r="D224"/>
  <c r="E224"/>
  <c r="I223"/>
  <c r="D223"/>
  <c r="E223"/>
  <c r="I222"/>
  <c r="D222"/>
  <c r="E222"/>
  <c r="I221"/>
  <c r="D221"/>
  <c r="E221"/>
  <c r="I220"/>
  <c r="D220"/>
  <c r="E220"/>
  <c r="I219"/>
  <c r="D219"/>
  <c r="E219"/>
  <c r="I218"/>
  <c r="D218"/>
  <c r="E218"/>
  <c r="I217"/>
  <c r="D217"/>
  <c r="E217"/>
  <c r="I216"/>
  <c r="D216"/>
  <c r="E216"/>
  <c r="I215"/>
  <c r="D215"/>
  <c r="E215"/>
  <c r="I214"/>
  <c r="D214"/>
  <c r="E214"/>
  <c r="I213"/>
  <c r="D213"/>
  <c r="E213"/>
  <c r="I212"/>
  <c r="D212"/>
  <c r="E212"/>
  <c r="I211"/>
  <c r="D211"/>
  <c r="E211"/>
  <c r="I210"/>
  <c r="D210"/>
  <c r="E210"/>
  <c r="I209"/>
  <c r="D209"/>
  <c r="E209"/>
  <c r="I208"/>
  <c r="D208"/>
  <c r="E208"/>
  <c r="I207"/>
  <c r="D207"/>
  <c r="E207"/>
  <c r="I206"/>
  <c r="D206"/>
  <c r="E206"/>
  <c r="I205"/>
  <c r="I204"/>
  <c r="I203"/>
  <c r="I202"/>
  <c r="I201"/>
  <c r="D201"/>
  <c r="E201"/>
  <c r="I200"/>
  <c r="D200"/>
  <c r="E200"/>
  <c r="I199"/>
  <c r="D199"/>
  <c r="E199"/>
  <c r="I198"/>
  <c r="D198"/>
  <c r="E198"/>
  <c r="I197"/>
  <c r="D197"/>
  <c r="E197"/>
  <c r="I196"/>
  <c r="D196"/>
  <c r="E196"/>
  <c r="I195"/>
  <c r="D195"/>
  <c r="E195"/>
  <c r="I194"/>
  <c r="D194"/>
  <c r="E194"/>
  <c r="I193"/>
  <c r="D193"/>
  <c r="E193"/>
  <c r="I192"/>
  <c r="D192"/>
  <c r="E192"/>
  <c r="I191"/>
  <c r="D191"/>
  <c r="E191"/>
  <c r="I190"/>
  <c r="D190"/>
  <c r="E190"/>
  <c r="I189"/>
  <c r="D189"/>
  <c r="E189"/>
  <c r="I188"/>
  <c r="D188"/>
  <c r="E188"/>
  <c r="I187"/>
  <c r="D187"/>
  <c r="E187"/>
  <c r="I186"/>
  <c r="D186"/>
  <c r="E186"/>
  <c r="I185"/>
  <c r="D185"/>
  <c r="E185"/>
  <c r="I184"/>
  <c r="D184"/>
  <c r="E184"/>
  <c r="I183"/>
  <c r="D183"/>
  <c r="E183"/>
  <c r="I182"/>
  <c r="D182"/>
  <c r="E182"/>
  <c r="I181"/>
  <c r="I180"/>
  <c r="I179"/>
  <c r="I178"/>
  <c r="I177"/>
  <c r="D177"/>
  <c r="E177"/>
  <c r="I176"/>
  <c r="D176"/>
  <c r="E176"/>
  <c r="I175"/>
  <c r="D175"/>
  <c r="E175"/>
  <c r="I174"/>
  <c r="D174"/>
  <c r="E174"/>
  <c r="I173"/>
  <c r="D173"/>
  <c r="E173"/>
  <c r="I172"/>
  <c r="D172"/>
  <c r="E172"/>
  <c r="I171"/>
  <c r="D171"/>
  <c r="E171"/>
  <c r="I170"/>
  <c r="D170"/>
  <c r="E170"/>
  <c r="I169"/>
  <c r="D169"/>
  <c r="E169"/>
  <c r="I168"/>
  <c r="D168"/>
  <c r="E168"/>
  <c r="I167"/>
  <c r="D167"/>
  <c r="E167"/>
  <c r="I166"/>
  <c r="D166"/>
  <c r="E166"/>
  <c r="I165"/>
  <c r="D165"/>
  <c r="E165"/>
  <c r="I164"/>
  <c r="D164"/>
  <c r="E164"/>
  <c r="I163"/>
  <c r="D163"/>
  <c r="E163"/>
  <c r="I162"/>
  <c r="D162"/>
  <c r="E162"/>
  <c r="I161"/>
  <c r="D161"/>
  <c r="E161"/>
  <c r="I160"/>
  <c r="D160"/>
  <c r="E160"/>
  <c r="I159"/>
  <c r="D159"/>
  <c r="E159"/>
  <c r="I158"/>
  <c r="D158"/>
  <c r="E158"/>
  <c r="I157"/>
  <c r="I156"/>
  <c r="I155"/>
  <c r="I154"/>
  <c r="I153"/>
  <c r="D153"/>
  <c r="E153"/>
  <c r="I152"/>
  <c r="D152"/>
  <c r="E152"/>
  <c r="I151"/>
  <c r="D151"/>
  <c r="E151"/>
  <c r="I150"/>
  <c r="D150"/>
  <c r="E150"/>
  <c r="I149"/>
  <c r="D149"/>
  <c r="E149"/>
  <c r="I148"/>
  <c r="D148"/>
  <c r="E148"/>
  <c r="I147"/>
  <c r="D147"/>
  <c r="E147"/>
  <c r="I146"/>
  <c r="D146"/>
  <c r="E146"/>
  <c r="I145"/>
  <c r="D145"/>
  <c r="E145"/>
  <c r="I144"/>
  <c r="D144"/>
  <c r="E144"/>
  <c r="I143"/>
  <c r="D143"/>
  <c r="E143"/>
  <c r="I142"/>
  <c r="D142"/>
  <c r="E142"/>
  <c r="I141"/>
  <c r="D141"/>
  <c r="E141"/>
  <c r="I140"/>
  <c r="D140"/>
  <c r="E140"/>
  <c r="I139"/>
  <c r="D139"/>
  <c r="E139"/>
  <c r="I138"/>
  <c r="D138"/>
  <c r="E138"/>
  <c r="I137"/>
  <c r="D137"/>
  <c r="E137"/>
  <c r="I136"/>
  <c r="D136"/>
  <c r="E136"/>
  <c r="I135"/>
  <c r="D135"/>
  <c r="E135"/>
  <c r="I134"/>
  <c r="D134"/>
  <c r="E134"/>
  <c r="I133"/>
  <c r="I132"/>
  <c r="I131"/>
  <c r="I130"/>
  <c r="I129"/>
  <c r="D129"/>
  <c r="E129"/>
  <c r="I128"/>
  <c r="D128"/>
  <c r="E128"/>
  <c r="I127"/>
  <c r="D127"/>
  <c r="E127"/>
  <c r="I126"/>
  <c r="D126"/>
  <c r="E126"/>
  <c r="I125"/>
  <c r="D125"/>
  <c r="E125"/>
  <c r="I124"/>
  <c r="D124"/>
  <c r="E124"/>
  <c r="I123"/>
  <c r="D123"/>
  <c r="E123"/>
  <c r="I122"/>
  <c r="D122"/>
  <c r="E122"/>
  <c r="I121"/>
  <c r="D121"/>
  <c r="E121"/>
  <c r="I120"/>
  <c r="D120"/>
  <c r="E120"/>
  <c r="I119"/>
  <c r="D119"/>
  <c r="E119"/>
  <c r="I118"/>
  <c r="D118"/>
  <c r="E118"/>
  <c r="I117"/>
  <c r="D117"/>
  <c r="E117"/>
  <c r="I116"/>
  <c r="D116"/>
  <c r="E116"/>
  <c r="I115"/>
  <c r="D115"/>
  <c r="E115"/>
  <c r="I114"/>
  <c r="D114"/>
  <c r="E114"/>
  <c r="I113"/>
  <c r="D113"/>
  <c r="E113"/>
  <c r="I112"/>
  <c r="D112"/>
  <c r="E112"/>
  <c r="I111"/>
  <c r="D111"/>
  <c r="E111"/>
  <c r="I110"/>
  <c r="D110"/>
  <c r="E110"/>
  <c r="I109"/>
  <c r="I108"/>
  <c r="I107"/>
  <c r="I106"/>
  <c r="I105"/>
  <c r="I104"/>
  <c r="I103"/>
  <c r="I102"/>
  <c r="D102"/>
  <c r="E102"/>
  <c r="I101"/>
  <c r="D101"/>
  <c r="E101"/>
  <c r="I100"/>
  <c r="D100"/>
  <c r="E100"/>
  <c r="I99"/>
  <c r="D99"/>
  <c r="E99"/>
  <c r="I98"/>
  <c r="D98"/>
  <c r="E98"/>
  <c r="I97"/>
  <c r="D97"/>
  <c r="E97"/>
  <c r="I96"/>
  <c r="D96"/>
  <c r="E96"/>
  <c r="I95"/>
  <c r="D95"/>
  <c r="E95"/>
  <c r="I94"/>
  <c r="D94"/>
  <c r="E94"/>
  <c r="I93"/>
  <c r="D93"/>
  <c r="E93"/>
  <c r="I92"/>
  <c r="D92"/>
  <c r="E92"/>
  <c r="I91"/>
  <c r="D91"/>
  <c r="E91"/>
  <c r="I90"/>
  <c r="D90"/>
  <c r="E90"/>
  <c r="I89"/>
  <c r="D89"/>
  <c r="E89"/>
  <c r="D88"/>
  <c r="E88"/>
  <c r="D87"/>
  <c r="E87"/>
  <c r="I86"/>
  <c r="D86"/>
  <c r="E86"/>
  <c r="I85"/>
  <c r="D85"/>
  <c r="E85"/>
  <c r="I84"/>
  <c r="D84"/>
  <c r="E84"/>
  <c r="I83"/>
  <c r="D83"/>
  <c r="E83"/>
  <c r="I82"/>
  <c r="I81"/>
  <c r="I80"/>
  <c r="I79"/>
  <c r="I78"/>
  <c r="I77"/>
  <c r="D77"/>
  <c r="E77"/>
  <c r="I76"/>
  <c r="D76"/>
  <c r="E76"/>
  <c r="I75"/>
  <c r="D75"/>
  <c r="E75"/>
  <c r="I74"/>
  <c r="D74"/>
  <c r="E74"/>
  <c r="I73"/>
  <c r="D73"/>
  <c r="E73"/>
  <c r="I72"/>
  <c r="D72"/>
  <c r="E72"/>
  <c r="I71"/>
  <c r="D71"/>
  <c r="E71"/>
  <c r="I70"/>
  <c r="D70"/>
  <c r="E70"/>
  <c r="I69"/>
  <c r="D69"/>
  <c r="E69"/>
  <c r="I68"/>
  <c r="D68"/>
  <c r="E68"/>
  <c r="I67"/>
  <c r="D67"/>
  <c r="E67"/>
  <c r="I66"/>
  <c r="D66"/>
  <c r="E66"/>
  <c r="I65"/>
  <c r="D65"/>
  <c r="E65"/>
  <c r="I64"/>
  <c r="D64"/>
  <c r="E64"/>
  <c r="I63"/>
  <c r="D63"/>
  <c r="E63"/>
  <c r="I62"/>
  <c r="D62"/>
  <c r="E62"/>
  <c r="I61"/>
  <c r="D61"/>
  <c r="E61"/>
  <c r="I60"/>
  <c r="D60"/>
  <c r="E60"/>
  <c r="I59"/>
  <c r="D59"/>
  <c r="E59"/>
  <c r="I58"/>
  <c r="D58"/>
  <c r="E58"/>
  <c r="I57"/>
  <c r="I56"/>
  <c r="I55"/>
  <c r="I54"/>
  <c r="I53"/>
  <c r="I52"/>
  <c r="D52"/>
  <c r="E52"/>
  <c r="I51"/>
  <c r="D51"/>
  <c r="E51"/>
  <c r="I50"/>
  <c r="D50"/>
  <c r="E50"/>
  <c r="I49"/>
  <c r="D49"/>
  <c r="E49"/>
  <c r="I48"/>
  <c r="D48"/>
  <c r="E48"/>
  <c r="I47"/>
  <c r="D47"/>
  <c r="E47"/>
  <c r="I46"/>
  <c r="D46"/>
  <c r="E46"/>
  <c r="I45"/>
  <c r="D45"/>
  <c r="E45"/>
  <c r="I44"/>
  <c r="D44"/>
  <c r="E44"/>
  <c r="I43"/>
  <c r="D43"/>
  <c r="E43"/>
  <c r="I42"/>
  <c r="D42"/>
  <c r="E42"/>
  <c r="I41"/>
  <c r="D41"/>
  <c r="E41"/>
  <c r="I40"/>
  <c r="D40"/>
  <c r="E40"/>
  <c r="I39"/>
  <c r="D39"/>
  <c r="E39"/>
  <c r="I38"/>
  <c r="D38"/>
  <c r="E38"/>
  <c r="I37"/>
  <c r="D37"/>
  <c r="E37"/>
  <c r="I36"/>
  <c r="D36"/>
  <c r="E36"/>
  <c r="I35"/>
  <c r="D35"/>
  <c r="E35"/>
  <c r="I34"/>
  <c r="D34"/>
  <c r="E34"/>
  <c r="I33"/>
  <c r="D33"/>
  <c r="E33"/>
  <c r="I32"/>
  <c r="I31"/>
  <c r="I30"/>
  <c r="I29"/>
  <c r="I28"/>
  <c r="I27"/>
  <c r="D27"/>
  <c r="E27"/>
  <c r="I26"/>
  <c r="D26"/>
  <c r="E26"/>
  <c r="I25"/>
  <c r="D25"/>
  <c r="E25"/>
  <c r="I24"/>
  <c r="D24"/>
  <c r="E24"/>
  <c r="I23"/>
  <c r="D23"/>
  <c r="E23"/>
  <c r="I22"/>
  <c r="D22"/>
  <c r="E22"/>
  <c r="I21"/>
  <c r="D21"/>
  <c r="E21"/>
  <c r="I20"/>
  <c r="D20"/>
  <c r="E20"/>
  <c r="I19"/>
  <c r="D19"/>
  <c r="E19"/>
  <c r="I18"/>
  <c r="D18"/>
  <c r="E18"/>
  <c r="I17"/>
  <c r="D17"/>
  <c r="E17"/>
  <c r="I16"/>
  <c r="D16"/>
  <c r="E16"/>
  <c r="I15"/>
  <c r="D15"/>
  <c r="E15"/>
  <c r="I14"/>
  <c r="D14"/>
  <c r="E14"/>
  <c r="I13"/>
  <c r="D13"/>
  <c r="E13"/>
  <c r="I12"/>
  <c r="D12"/>
  <c r="E12"/>
  <c r="I11"/>
  <c r="D11"/>
  <c r="E11"/>
  <c r="I10"/>
  <c r="D10"/>
  <c r="E10"/>
  <c r="I9"/>
  <c r="D9"/>
  <c r="E9"/>
  <c r="I8"/>
  <c r="D8"/>
  <c r="E8"/>
  <c r="G130" i="1"/>
  <c r="H130"/>
  <c r="G129"/>
  <c r="H129"/>
  <c r="G128"/>
  <c r="H128"/>
  <c r="G127"/>
  <c r="H127"/>
  <c r="G126"/>
  <c r="H126"/>
  <c r="G125"/>
  <c r="H125"/>
  <c r="G124"/>
  <c r="H124"/>
  <c r="G123"/>
  <c r="H123"/>
  <c r="G122"/>
  <c r="H122"/>
  <c r="G121"/>
  <c r="H121"/>
  <c r="G120"/>
  <c r="H120"/>
  <c r="G119"/>
  <c r="H119"/>
  <c r="G118"/>
  <c r="H118"/>
  <c r="G117"/>
  <c r="H117"/>
  <c r="G116"/>
  <c r="H116"/>
  <c r="G115"/>
  <c r="H115"/>
  <c r="G114"/>
  <c r="H114"/>
  <c r="G113"/>
  <c r="H113"/>
  <c r="G112"/>
  <c r="H112"/>
  <c r="G111"/>
  <c r="H111"/>
  <c r="G110"/>
  <c r="H110"/>
  <c r="G109"/>
  <c r="H109"/>
  <c r="G108"/>
  <c r="H108"/>
  <c r="G107"/>
  <c r="H107"/>
  <c r="G106"/>
  <c r="H106"/>
  <c r="G105"/>
  <c r="H105"/>
  <c r="G104"/>
  <c r="H104"/>
  <c r="G103"/>
  <c r="H103"/>
  <c r="G102"/>
  <c r="H102"/>
  <c r="G101"/>
  <c r="H101"/>
  <c r="G100"/>
  <c r="H100"/>
  <c r="G99"/>
  <c r="H99"/>
  <c r="G98"/>
  <c r="H98"/>
  <c r="G97"/>
  <c r="H97"/>
  <c r="G96"/>
  <c r="H96"/>
  <c r="G95"/>
  <c r="H95"/>
  <c r="G94"/>
  <c r="H94"/>
  <c r="G93"/>
  <c r="H93"/>
  <c r="G92"/>
  <c r="H92"/>
  <c r="G91"/>
  <c r="H91"/>
  <c r="G90"/>
  <c r="H90"/>
  <c r="G89"/>
  <c r="H89"/>
  <c r="G88"/>
  <c r="H88"/>
  <c r="G87"/>
  <c r="H87"/>
  <c r="G86"/>
  <c r="H86"/>
  <c r="G85"/>
  <c r="H85"/>
  <c r="G84"/>
  <c r="H84"/>
  <c r="G83"/>
  <c r="H83"/>
  <c r="G82"/>
  <c r="H82"/>
  <c r="G81"/>
  <c r="H81"/>
  <c r="G80"/>
  <c r="H80"/>
  <c r="G79"/>
  <c r="H79"/>
  <c r="G78"/>
  <c r="H78"/>
  <c r="G77"/>
  <c r="H77"/>
  <c r="G76"/>
  <c r="H76"/>
  <c r="G75"/>
  <c r="H75"/>
  <c r="G74"/>
  <c r="H74"/>
  <c r="G73"/>
  <c r="H73"/>
  <c r="G72"/>
  <c r="H72"/>
  <c r="G71"/>
  <c r="H71"/>
  <c r="G70"/>
  <c r="H70"/>
  <c r="G69"/>
  <c r="H69"/>
  <c r="G68"/>
  <c r="H68"/>
  <c r="G67"/>
  <c r="H67"/>
  <c r="G66"/>
  <c r="H66"/>
  <c r="G65"/>
  <c r="H65"/>
  <c r="G64"/>
  <c r="H64"/>
  <c r="G63"/>
  <c r="H63"/>
  <c r="G62"/>
  <c r="H62"/>
  <c r="G61"/>
  <c r="H61"/>
  <c r="G60"/>
  <c r="H60"/>
  <c r="G59"/>
  <c r="H59"/>
  <c r="G58"/>
  <c r="H58"/>
  <c r="G57"/>
  <c r="H57"/>
  <c r="G56"/>
  <c r="H56"/>
  <c r="G55"/>
  <c r="H55"/>
  <c r="G54"/>
  <c r="H54"/>
  <c r="G53"/>
  <c r="H53"/>
  <c r="G52"/>
  <c r="H52"/>
  <c r="G51"/>
  <c r="H51"/>
  <c r="G50"/>
  <c r="H50"/>
  <c r="G49"/>
  <c r="H49"/>
  <c r="G48"/>
  <c r="H48"/>
  <c r="G47"/>
  <c r="H47"/>
  <c r="G46"/>
  <c r="H46"/>
  <c r="G45"/>
  <c r="H45"/>
  <c r="G44"/>
  <c r="H44"/>
  <c r="G43"/>
  <c r="H43"/>
  <c r="G42"/>
  <c r="H42"/>
  <c r="G41"/>
  <c r="H41"/>
  <c r="G40"/>
  <c r="H40"/>
  <c r="G39"/>
  <c r="H39"/>
  <c r="G38"/>
  <c r="H38"/>
  <c r="G37"/>
  <c r="H37"/>
  <c r="G36"/>
  <c r="H36"/>
  <c r="G35"/>
  <c r="H35"/>
  <c r="G34"/>
  <c r="H34"/>
  <c r="G33"/>
  <c r="H33"/>
  <c r="G32"/>
  <c r="H32"/>
  <c r="G31"/>
  <c r="H31"/>
  <c r="G30"/>
  <c r="H30"/>
  <c r="G29"/>
  <c r="H29"/>
  <c r="G28"/>
  <c r="H28"/>
  <c r="G27"/>
  <c r="H27"/>
  <c r="G26"/>
  <c r="H26"/>
  <c r="G25"/>
  <c r="H25"/>
  <c r="G24"/>
  <c r="H24"/>
  <c r="G23"/>
  <c r="H23"/>
  <c r="G22"/>
  <c r="H22"/>
  <c r="G21"/>
  <c r="H21"/>
  <c r="G20"/>
  <c r="H20"/>
  <c r="G19"/>
  <c r="H19"/>
  <c r="G18"/>
  <c r="H18"/>
  <c r="G17"/>
  <c r="H17"/>
  <c r="G16"/>
  <c r="H16"/>
  <c r="G15"/>
  <c r="H15"/>
  <c r="G14"/>
  <c r="H14"/>
  <c r="G13"/>
  <c r="H13"/>
  <c r="G12"/>
  <c r="H12"/>
  <c r="G11"/>
  <c r="H11"/>
  <c r="G10"/>
  <c r="H10"/>
  <c r="G9"/>
  <c r="H9"/>
  <c r="G8"/>
  <c r="H8"/>
  <c r="G7"/>
  <c r="H7"/>
  <c r="G6"/>
  <c r="H6"/>
</calcChain>
</file>

<file path=xl/sharedStrings.xml><?xml version="1.0" encoding="utf-8"?>
<sst xmlns="http://schemas.openxmlformats.org/spreadsheetml/2006/main" count="1717" uniqueCount="671">
  <si>
    <t>PNG03118m DepthProfile 3</t>
    <phoneticPr fontId="8" type="noConversion"/>
  </si>
  <si>
    <t>BLOCK #</t>
    <phoneticPr fontId="8" type="noConversion"/>
  </si>
  <si>
    <t>2011_05_24May\  PNG03118m_3.ais</t>
  </si>
  <si>
    <t>[0,1,2,3,4,5,6,7,8,9,10,11,12,13,14,15,16,17,18,19,20,21,22,23,24,25,26,27,28,29,30,31,32,33,34,35,36,37,38,39,40,41,42,43,44,45,46,47,48,49,74,75,76,77,78,79,80,81,82,83,84,85,86,87,88,89,90,91,92,93,94,95,96,97,98,99/100]</t>
  </si>
  <si>
    <t>PNG03118m DepthProfile 5</t>
    <phoneticPr fontId="8" type="noConversion"/>
  </si>
  <si>
    <t>BLOCK #</t>
    <phoneticPr fontId="8" type="noConversion"/>
  </si>
  <si>
    <t>2011_05_24May\  PNG03118m_5DP.ais</t>
  </si>
  <si>
    <t>NaN</t>
  </si>
  <si>
    <t>PNG08010g DepthProfile 1</t>
    <phoneticPr fontId="8" type="noConversion"/>
  </si>
  <si>
    <t>2011_05_24May\  PNG08010g_1DP.ais</t>
  </si>
  <si>
    <t>PNG08010g DepthProfile 2</t>
    <phoneticPr fontId="8" type="noConversion"/>
  </si>
  <si>
    <t>2011_05_24May\  PNG08010g_2dp.ais</t>
  </si>
  <si>
    <t>PNG08010g DepthProfile 3 (misslabeled during original session)</t>
    <phoneticPr fontId="8" type="noConversion"/>
  </si>
  <si>
    <t>BLOCK #</t>
    <phoneticPr fontId="8" type="noConversion"/>
  </si>
  <si>
    <t>2011_05_24May\  PNG03118m_3DP.ais</t>
  </si>
  <si>
    <t>PNG0621a DepthProfile 1</t>
    <phoneticPr fontId="8" type="noConversion"/>
  </si>
  <si>
    <t>2011_05_24May\  PNG0621a_1DP.ais</t>
  </si>
  <si>
    <t>PNG0621a DepthProfile 2</t>
    <phoneticPr fontId="8" type="noConversion"/>
  </si>
  <si>
    <t>2011_05_24May\  PNG0621A_2DP.ais</t>
  </si>
  <si>
    <t>0621 DP1</t>
  </si>
  <si>
    <t>Ti</t>
  </si>
  <si>
    <t>Ti Temperature</t>
    <phoneticPr fontId="13" type="noConversion"/>
  </si>
  <si>
    <t>Hf O</t>
  </si>
  <si>
    <t>177Hf++</t>
  </si>
  <si>
    <t>Y</t>
  </si>
  <si>
    <t>Th</t>
  </si>
  <si>
    <t>block #</t>
  </si>
  <si>
    <t>ppm</t>
    <phoneticPr fontId="14" type="noConversion"/>
  </si>
  <si>
    <t>Ceclius</t>
    <phoneticPr fontId="13" type="noConversion"/>
  </si>
  <si>
    <t>ppm</t>
    <phoneticPr fontId="14" type="noConversion"/>
  </si>
  <si>
    <t>0621 DP2</t>
  </si>
  <si>
    <t>03118m DP1</t>
  </si>
  <si>
    <t>Ti Temperature</t>
    <phoneticPr fontId="13" type="noConversion"/>
  </si>
  <si>
    <t>ppm</t>
    <phoneticPr fontId="14" type="noConversion"/>
  </si>
  <si>
    <t>Ceclius</t>
    <phoneticPr fontId="13" type="noConversion"/>
  </si>
  <si>
    <t>03118m DP2</t>
  </si>
  <si>
    <t>03118m DP3</t>
  </si>
  <si>
    <t>03118m DP5</t>
  </si>
  <si>
    <t>08010 DP1</t>
  </si>
  <si>
    <t>ppm</t>
    <phoneticPr fontId="13" type="noConversion"/>
  </si>
  <si>
    <t>Ceclius</t>
    <phoneticPr fontId="13" type="noConversion"/>
  </si>
  <si>
    <t>08010 DP2</t>
  </si>
  <si>
    <t>08010 DP3 (originally misslabeled during session)</t>
  </si>
  <si>
    <t>2008_08_12\  PNG06021_z6@3.ais</t>
  </si>
  <si>
    <t>2008_08_12\  PNG06021_z7@1.ais</t>
  </si>
  <si>
    <t>2008_08_12\  PNG06021_z7@2.ais</t>
  </si>
  <si>
    <t>2008_08_12\  PNG06021_z7@3.ais</t>
  </si>
  <si>
    <t>Age (Ma)</t>
  </si>
  <si>
    <t>238/206</t>
  </si>
  <si>
    <t>207/206</t>
  </si>
  <si>
    <t>T.W Model</t>
  </si>
  <si>
    <t>error (ma)</t>
  </si>
  <si>
    <t>207Pb/</t>
  </si>
  <si>
    <t>206Pb/</t>
  </si>
  <si>
    <t>Th O/</t>
  </si>
  <si>
    <t>U O/</t>
  </si>
  <si>
    <t>Common</t>
  </si>
  <si>
    <t>Pb corr.</t>
  </si>
  <si>
    <t>Blk</t>
  </si>
  <si>
    <t>Name</t>
  </si>
  <si>
    <t>Rejected</t>
  </si>
  <si>
    <t>238U</t>
  </si>
  <si>
    <t>206Pb*/</t>
  </si>
  <si>
    <t>U O</t>
  </si>
  <si>
    <t>94Zr2 O</t>
  </si>
  <si>
    <t>U</t>
  </si>
  <si>
    <t>208Pb/</t>
  </si>
  <si>
    <t>Size</t>
  </si>
  <si>
    <t>Ma</t>
  </si>
  <si>
    <t>204Pb</t>
  </si>
  <si>
    <t>PNG03118m DepthProfile 1</t>
    <phoneticPr fontId="8" type="noConversion"/>
  </si>
  <si>
    <t>COMPILED</t>
    <phoneticPr fontId="8" type="noConversion"/>
  </si>
  <si>
    <t>2.se. error</t>
  </si>
  <si>
    <t>BLOCK #</t>
    <phoneticPr fontId="8" type="noConversion"/>
  </si>
  <si>
    <t>1.se</t>
  </si>
  <si>
    <t>(None)</t>
  </si>
  <si>
    <t>2011_05_24May\  PNG03118m_1.ais</t>
  </si>
  <si>
    <t>[25,26,27,28,29,30,31,32,33,34,35,36,37,38,39,40,41,42,43,44,45,46,47,48,49,50,51,52,53,54,55,56,57,58,59,60,61,62,63,64,65,66,67,68,69,70,71,72,73,74,75,76,77,78,79,80,81,82,83,84,85,86,87,88,89,90,91,92,93,94,95,96,97,98,99/100]</t>
  </si>
  <si>
    <t>Block 2</t>
  </si>
  <si>
    <t>Block 3</t>
  </si>
  <si>
    <t>Block 4</t>
  </si>
  <si>
    <t>Block 5</t>
  </si>
  <si>
    <t>[0,1,2,3,4,5,6,7,8,9,10,11,12,13,14,15,16,17,18,19,20,21,22,23,24,25,50,51,52,53,54,55,56,57,58,59,60,61,62,63,64,65,66,67,68,69,70,71,72,73,74,75,76,77,78,79,80,81,82,83,84,85,86,87,88,89,90,91,92,93,94,95,96,97,98,99/100]</t>
  </si>
  <si>
    <t>[0,1,2,3,4,5,6,7,8,9,10,11,12,13,14,15,16,17,18,19,20,21,22,23,24,25,26,27,28,29,30,31,32,33,34,35,36,37,38,39,40,41,42,43,44,45,46,47,48,49,75,76,77,78,79,80,81,82,83,84,85,86,87,88,89,90,91,92,93,94,95,96,97,98,99/100]</t>
  </si>
  <si>
    <t>[0,1,2,3,4,5,6,7,8,9,10,11,12,13,14,15,16,17,18,19,20,21,22,23,24,25,26,27,28,29,30,31,32,33,34,35,36,37,38,39,40,41,42,43,44,45,46,47,48,49,50,51,52,53,54,55,56,57,58,59,60,61,62,63,64,65,66,67,68,69,70,71,72,73,74/100]</t>
  </si>
  <si>
    <t>PNG03118m DepthProfile 2</t>
    <phoneticPr fontId="8" type="noConversion"/>
  </si>
  <si>
    <t>2011_05_24May\  PNG03118m_2.ais</t>
  </si>
  <si>
    <t>[0,1,2,3,4,5,6,7,8,9,10,11,12,13,14,15,16,17,18,19,20,21,22,23,24,50,51,52,53,54,55,56,57,58,59,60,61,62,63,64,65,66,67,68,69,70,71,72,73,74,75,76,77,78,79,80,81,82,83,84,85,86,87,88,89,90,91,92,93,94,95,96,97,98,99/100]</t>
  </si>
  <si>
    <t>2008_08_12\  PNG06_012_z25@1.ais</t>
  </si>
  <si>
    <t>2008_08_12\  PNG06_012_z27@1.ais</t>
  </si>
  <si>
    <t>2008_08_12\  PNG06_012_z28@1.ais</t>
  </si>
  <si>
    <t>2008_08_12\  PNG06044_z1@1.ais</t>
  </si>
  <si>
    <t>2008_08_12\  PNG06021_z7@5.ais</t>
  </si>
  <si>
    <t>2008_08_12\  PNG06044_z1@3.ais</t>
  </si>
  <si>
    <t>2008_08_12\  PNG06021_z15@1.ais</t>
  </si>
  <si>
    <t>2008_08_12\  PNG06021_z16@1.ais</t>
  </si>
  <si>
    <t>2008_08_12\  PNG06040_z1@1.ais</t>
  </si>
  <si>
    <t>2008_08_12\  PNG06040_z1@2.ais</t>
  </si>
  <si>
    <t>2008_08_12\  PNG06040_z2@1.ais</t>
  </si>
  <si>
    <t>2008_08_12\  PNG06040_z3@1.ais</t>
  </si>
  <si>
    <t>2008_08_12\  PNG06040_z3@2.ais</t>
  </si>
  <si>
    <t>2008_08_12\  PNG06040_z3@3.ais</t>
  </si>
  <si>
    <t>2008_08_12\  PNG06040_z4@1.ais</t>
  </si>
  <si>
    <t>2008_08_12\  PNG06040_z5@1.ais</t>
  </si>
  <si>
    <t>2008_08_12\  PNG06040_z5@2.ais</t>
  </si>
  <si>
    <t>2008_08_12\  PNG06040_z6@1.ais</t>
  </si>
  <si>
    <t>2008_08_12\  PNG06040_z7@1.ais</t>
  </si>
  <si>
    <t>2008_08_12\  PNG06040_z8@1.ais</t>
  </si>
  <si>
    <t>2008_08_12\  PNG06040_z9@1.ais</t>
  </si>
  <si>
    <t>2008_08_12\  PNG06021_z8@6.ais</t>
  </si>
  <si>
    <t>2008_08_12\  PNG06021_z8@7.ais</t>
  </si>
  <si>
    <t>2008_08_12\  PNG06044_z3@1.ais</t>
  </si>
  <si>
    <t>2008_08_12\  PNG06044_z3@2.ais</t>
  </si>
  <si>
    <t>2008_08_12\  PNG06044_z4@1.ais</t>
  </si>
  <si>
    <t>2008_08_12\  PNG06044_z4@2.ais</t>
  </si>
  <si>
    <t>2008_08_12\  PNG06044_z5@1.ais</t>
  </si>
  <si>
    <t>2008_08_12\  PNG06044_z6@2.ais</t>
  </si>
  <si>
    <t>2008_08_12\  PNG06044_z7@1.ais</t>
  </si>
  <si>
    <t>2008_08_12\  PNG06044_z8@1.ais</t>
  </si>
  <si>
    <t>2008_08_12\  PNG06044_z9@1.ais</t>
  </si>
  <si>
    <t>2008_08_12\  PNG06044_z9@2.ais</t>
  </si>
  <si>
    <t>2008_08_12\  PNG06044_z10@1.ais</t>
  </si>
  <si>
    <t>2008_08_12\  PNG06044_z10@3.ais</t>
  </si>
  <si>
    <t>2008_08_12\  PNG06044_z11@1.ais</t>
  </si>
  <si>
    <t>2008_08_12\  PNG06044_z11@2.ais</t>
  </si>
  <si>
    <t>2008_08_12\  PNG06044_z12@1.ais</t>
  </si>
  <si>
    <t>2008_08_12\  PNG06044_z13@1.ais</t>
  </si>
  <si>
    <t>2008_08_12\  PNG06044_z14@1.ais</t>
  </si>
  <si>
    <t>2008_08_12\  PNG08044_z14@2.ais</t>
  </si>
  <si>
    <t>2008_08_12\  PNG08044_z15@1.ais</t>
  </si>
  <si>
    <t>2008_08_12\  PNG08044_z16@1.ais</t>
  </si>
  <si>
    <t>2008_08_12\  PNG08044_z16@2.ais</t>
  </si>
  <si>
    <t>2008_08_12\  PNG08044_z15@2.ais</t>
  </si>
  <si>
    <t>2008_08_12\  PNG08044_z17@1.ais</t>
  </si>
  <si>
    <t>2008_08_12\  PNG06021_z1@1@1.ais</t>
  </si>
  <si>
    <t>2008_08_12\  PNG06021_z1@2.ais</t>
  </si>
  <si>
    <t>2008_08_12\  PNG06021_z3@3.ais</t>
  </si>
  <si>
    <t>2008_08_12\  PNG06021_z4@1.ais</t>
  </si>
  <si>
    <t>2008_08_12\  PNG06021_z5@1.ais</t>
  </si>
  <si>
    <t>2008_08_12\  PNG06021_z5@2.ais</t>
  </si>
  <si>
    <t>2008_08_12\  PNG06021_z6@1.ais</t>
  </si>
  <si>
    <t>2008_08_12\  PNG06021_z6@2.ais</t>
  </si>
  <si>
    <t>2010_07_21July\  PNG89303_separate_2.ais</t>
  </si>
  <si>
    <t>2010_07_21July\  PNG89303_separate_3.ais</t>
  </si>
  <si>
    <t>2010_07_21July\  PNG89303_separate_4.ais</t>
  </si>
  <si>
    <t>2008_08_12\  PNG06021_z7@4.ais</t>
  </si>
  <si>
    <t>PolishedSurface</t>
    <phoneticPr fontId="8" type="noConversion"/>
  </si>
  <si>
    <t>UnpolishedGrain</t>
    <phoneticPr fontId="8" type="noConversion"/>
  </si>
  <si>
    <t>2008_08_12\  PNG06021_z8@1.ais</t>
  </si>
  <si>
    <t>2008_08_12\  PNG06021_z8@2.ais</t>
  </si>
  <si>
    <t>2008_08_12\  PNG06021_z8@3.ais</t>
  </si>
  <si>
    <t>2008_08_12\  PNG06021_z8@4.ais</t>
  </si>
  <si>
    <t>2008_08_12\  PNG06021_z8@5.ais</t>
  </si>
  <si>
    <t>2008_08_12\  PNG06021_z9@1.ais</t>
  </si>
  <si>
    <t>2008_08_12\  PNG06021_z11@1.ais</t>
  </si>
  <si>
    <t>2008_08_12\  PNG06021_z11@2.ais</t>
  </si>
  <si>
    <t>2008_08_12\  PNG06021_z12@1.ais</t>
  </si>
  <si>
    <t>2008_08_12\  PNG06021_z12@2.ais</t>
  </si>
  <si>
    <t>2008_08_12\  PNG06021_z13@1.ais</t>
  </si>
  <si>
    <t>2008_08_12\  PNG06021_z14@1.ais</t>
  </si>
  <si>
    <t>2008_08_12\  PNG06021_z11@3.ais</t>
  </si>
  <si>
    <t>2008_08_12\  PNG06021_z13@2.ais</t>
  </si>
  <si>
    <t>2008_08_12\  PNG06021up_z3@3.ais</t>
  </si>
  <si>
    <t>2008_08_12\  PNG06012_z1@1.ais</t>
  </si>
  <si>
    <t>2008_08_12\  PNG06012_z2@1.ais</t>
  </si>
  <si>
    <t>2008_08_12\  PNG06012_z3@1.ais</t>
  </si>
  <si>
    <t>2008_08_12\  PNG06012_z5@1.ais</t>
  </si>
  <si>
    <t>2008_08_12\  PNG06012_z8@1.ais</t>
  </si>
  <si>
    <t>2008_08_12\  PNG06012_z9@1.ais</t>
  </si>
  <si>
    <t>2008_08_12\  PNG06012_z11@1.ais</t>
  </si>
  <si>
    <t>2008_08_12\  PNG06012_z12@1.ais</t>
  </si>
  <si>
    <t>2008_08_12\  PNG06012_z12@2.ais</t>
  </si>
  <si>
    <t>2008_08_12\  PNG06012_z13@2.ais</t>
  </si>
  <si>
    <t>2008_08_12\  PNG06012_z14@1.ais</t>
  </si>
  <si>
    <t>2008_08_12\  PNG06012_z14@2.ais</t>
  </si>
  <si>
    <t>2008_08_12\  PNG06012_z1@2.ais</t>
  </si>
  <si>
    <t>2008_08_12\  PNG06012_z4@2.ais</t>
  </si>
  <si>
    <t>2008_08_12\  PNG06012_z5@2.ais</t>
  </si>
  <si>
    <t>2008_08_12\  PNG06012_z6@2.ais</t>
  </si>
  <si>
    <t>2008_08_12\  PNG06012_z8@2@1.ais</t>
  </si>
  <si>
    <t>2008_08_12\  PNG06012_z8@3.ais</t>
  </si>
  <si>
    <t>2008_08_12\  PNG06012_z9@2.ais</t>
  </si>
  <si>
    <t>2008_08_12\  PNG06012_z9@3.ais</t>
  </si>
  <si>
    <t>2008_08_12\  PNG06012_z10@2.ais</t>
  </si>
  <si>
    <t>2008_08_12\  PNG06012_z15@1.ais</t>
  </si>
  <si>
    <t>2008_08_12\  PNG06012_z16@1.ais</t>
  </si>
  <si>
    <t>2008_08_12\  PNG06012_z16@2.ais</t>
  </si>
  <si>
    <t>2008_08_12\  PNG06012_z17@2.ais</t>
  </si>
  <si>
    <t>2008_08_12\  PNG06012_z18@1.ais</t>
  </si>
  <si>
    <t>2008_08_12\  PNG06012_z21@1.ais</t>
  </si>
  <si>
    <t>2008_08_12\  PNG06012_z21@2.ais</t>
  </si>
  <si>
    <t>2008_08_12\  PNG06012_z23@1.ais</t>
  </si>
  <si>
    <t>2008_08_12\  PNG06012_z24@1.ais</t>
  </si>
  <si>
    <t>2008_08_12\  PNG06012_z24@2.ais</t>
  </si>
  <si>
    <t>2008_08_12\  PNG06_012_z24@3.ais</t>
  </si>
  <si>
    <t>2010_07_21July\  PNG08010g_separate_15.ais</t>
  </si>
  <si>
    <t>2010_07_21July\  PNG08010g_separate_17.ais</t>
  </si>
  <si>
    <t>2010_07_21July\  PNG08010g_separate_18.ais</t>
  </si>
  <si>
    <t>2008_08_12\  PNG06044_z1@2.ais</t>
  </si>
  <si>
    <t>2010_07_21July\  PNG08010g_separate_20.ais</t>
  </si>
  <si>
    <t>2010_07_21July\  PNG08010g_separate_21.ais</t>
  </si>
  <si>
    <t>2008_08_12\  PNG06044_z1@4.ais</t>
  </si>
  <si>
    <t>2008_08_12\  PNG06044_z2@1.ais</t>
  </si>
  <si>
    <t>2010_07_21July\  PNG04148b_mounted_1.ais</t>
  </si>
  <si>
    <t>2010_07_21July\  PNG04148b_mounted_2.ais</t>
  </si>
  <si>
    <t>2010_07_21July\  PNG04148b_mounted_3.ais</t>
  </si>
  <si>
    <t>2010_07_21July\  PNG04148b_mounted_4.ais</t>
  </si>
  <si>
    <t>2010_07_21July\  PNG04148b_mounted_1b.ais</t>
  </si>
  <si>
    <t>2010_07_21July\  PNG03118m_separate_1.ais</t>
  </si>
  <si>
    <t>2010_07_21July\  PNG03118m_separate_2.ais</t>
  </si>
  <si>
    <t>2008_08_12\  PNG03118_z3@2.ais</t>
  </si>
  <si>
    <t>2008_08_12\  PNG03118_z4@1.ais</t>
  </si>
  <si>
    <t>2008_08_12\  PNG03118_z5@1.ais</t>
  </si>
  <si>
    <t>RSF corc.</t>
    <phoneticPr fontId="8" type="noConversion"/>
  </si>
  <si>
    <t>2010_07_21July\  PNG03118m_separate_3.ais</t>
  </si>
  <si>
    <t>2010_07_21July\  PNG03118m_separate_4.ais</t>
  </si>
  <si>
    <t>2010_07_21July\  PNG03118m_separate_5.ais</t>
  </si>
  <si>
    <t>2010_07_21July\  PNG03118m_separate_6.ais</t>
  </si>
  <si>
    <t>2010_07_21July\  PNG03118m_separate_7.ais</t>
  </si>
  <si>
    <t>2010_07_21July\  PNG03118m_separate_9.ais</t>
  </si>
  <si>
    <t>2010_07_21July\  PNG03118m_separate_10.ais</t>
  </si>
  <si>
    <t>2010_07_21July\  PNG03118m_separate_11.ais</t>
  </si>
  <si>
    <t>2010_07_21July\  PNG03118m_separate_12.ais</t>
  </si>
  <si>
    <t>2010_07_21July\  PNG03118m_separate_13.ais</t>
  </si>
  <si>
    <t>2010_07_21July\  PNG03118m_separate_14.ais</t>
  </si>
  <si>
    <t>2010_07_21July\  PNG03118m_separate_15.ais</t>
  </si>
  <si>
    <t>2010_07_21July\  PNG03118m_separate_17.ais</t>
  </si>
  <si>
    <t>2010_07_21July\  PNG03118m_separate_18.ais</t>
  </si>
  <si>
    <t>2010_07_21July\  PNG03118m_separate_19.ais</t>
  </si>
  <si>
    <t>2010_07_21July\  PNG03118m_separate_21.ais</t>
  </si>
  <si>
    <t>2010_07_21July\  PNG03118m_separate_22.ais</t>
  </si>
  <si>
    <t>2010_07_21July\  PNG03118m_separate_24.ais</t>
  </si>
  <si>
    <t>2010_07_21July\  PNG03118m_separate_25.ais</t>
  </si>
  <si>
    <t>2010_07_21July\  PNG89301_separate_1.ais</t>
  </si>
  <si>
    <t>2010_07_21July\  PNG89301_separate_2.ais</t>
  </si>
  <si>
    <t>2010_07_21July\  PNG89301_separate_3.ais</t>
  </si>
  <si>
    <t>2010_07_21July\  PNG89301_separate_4.ais</t>
  </si>
  <si>
    <t>2010_07_21July\  PNG89301_separate_5.ais</t>
  </si>
  <si>
    <t>2010_07_21July\  PNG89303_separate_1.ais</t>
  </si>
  <si>
    <t>2008_08_12\  89301_z10@1.ais</t>
  </si>
  <si>
    <t>2008_08_12\  89301_z11@1.ais</t>
  </si>
  <si>
    <t>2008_08_12\  89301_z11@2.ais</t>
  </si>
  <si>
    <t>2008_08_12\  89301_z11@3.ais</t>
  </si>
  <si>
    <t>2010_07_21July\  PNG89303_separate_5.ais</t>
  </si>
  <si>
    <t>2008_08_12\  89301_z12@2.ais</t>
  </si>
  <si>
    <t>2008_08_12\  89301_z13@1.ais</t>
  </si>
  <si>
    <t>2008_08_12\  89301_z13@2.ais</t>
  </si>
  <si>
    <t>2010_07_21July\  08010g_mounted_1.ais</t>
  </si>
  <si>
    <t>2010_07_21July\  08010g_mounted_2.ais</t>
  </si>
  <si>
    <t>2008_08_12\  PNG89303_z3@1.ais</t>
  </si>
  <si>
    <t>2008_08_12\  PNG89303_z4@1.ais</t>
  </si>
  <si>
    <t>2008_08_12\  PNG89303_z4@2.ais</t>
  </si>
  <si>
    <t>2008_08_12\  PNG89303_z5@1.ais</t>
  </si>
  <si>
    <t>2008_08_12\  PNG89303_z6@1.ais</t>
  </si>
  <si>
    <t>2008_08_12\  PNG89303_z7@1.ais</t>
  </si>
  <si>
    <t>2008_08_12\  PNG89303_z7@2.ais</t>
  </si>
  <si>
    <t>2008_08_12\  PNG89303_z8@1.ais</t>
  </si>
  <si>
    <t>2008_08_12\  PNG89303_z9@1.ais</t>
  </si>
  <si>
    <t>2008_08_12\  PNG89303_z9@2.ais</t>
  </si>
  <si>
    <t>2008_08_12\  PNG89303_z10@1.ais</t>
  </si>
  <si>
    <t>2008_08_12\  PNG89303_z10@2.ais</t>
  </si>
  <si>
    <t>2008_08_12\  PNG89303_z8@2.ais</t>
  </si>
  <si>
    <t>204Pb/</t>
  </si>
  <si>
    <t>206Pb</t>
  </si>
  <si>
    <t>207Pb*/</t>
  </si>
  <si>
    <t>235U</t>
  </si>
  <si>
    <t>1 s.e.</t>
  </si>
  <si>
    <t>206Pb*</t>
  </si>
  <si>
    <t xml:space="preserve">T.W. </t>
  </si>
  <si>
    <t>Model</t>
  </si>
  <si>
    <t>Age</t>
  </si>
  <si>
    <t>error</t>
  </si>
  <si>
    <t>ma</t>
  </si>
  <si>
    <t>2010_07_21July\  08010g_mounted_6.ais</t>
  </si>
  <si>
    <t>2010_07_21July\  08010g_mounted_1b.ais</t>
  </si>
  <si>
    <t>2010_07_21July\  PNG03118m_mounted_5.ais</t>
  </si>
  <si>
    <t>2010_07_21July\  PNG03118m_mounted_3.ais</t>
  </si>
  <si>
    <t>2010_07_21July\  PNG03118m_mounted_7.ais</t>
  </si>
  <si>
    <t>2010_07_21July\  PNG03118m_mounted_2.ais</t>
  </si>
  <si>
    <t>2010_07_21July\  PNG03118m_mounted_1.ais</t>
  </si>
  <si>
    <t>2010_07_21July\  PNG08010g_separate_1.ais</t>
  </si>
  <si>
    <t>2010_07_21July\  PNG08010g_separate_2.ais</t>
  </si>
  <si>
    <t>2010_07_21July\  PNG08010g_separate_3.ais</t>
  </si>
  <si>
    <t>2010_07_21July\  PNG08010g_separate_5.ais</t>
  </si>
  <si>
    <t>2010_07_21July\  PNG08010g_separate_6.ais</t>
  </si>
  <si>
    <t>2010_07_21July\  PNG08010g_separate_7.ais</t>
  </si>
  <si>
    <t>2010_07_21July\  PNG08010g_separate_8.ais</t>
  </si>
  <si>
    <t>2010_07_21July\  PNG08010g_separate_9.ais</t>
  </si>
  <si>
    <t>2010_07_21July\  PNG08010g_separate_10.ais</t>
  </si>
  <si>
    <t>2010_07_21July\  PNG08010g_separate_11.ais</t>
  </si>
  <si>
    <t>2010_07_21July\  PNG08010g_separate_12.ais</t>
  </si>
  <si>
    <t>2010_07_21July\  PNG08010g_separate_13.ais</t>
  </si>
  <si>
    <t>2010_07_21July\  PNG08010g_separate_13b.ais</t>
  </si>
  <si>
    <t>2010_07_21July\  PNG08010g_separate_14.ais</t>
  </si>
  <si>
    <t>2008_08_12\  PNG04119_z9@1.ais</t>
  </si>
  <si>
    <t>2008_08_12\  PNG04119_z10@1.ais</t>
  </si>
  <si>
    <t>2008_08_12\  PNG04119_z11@1.ais</t>
  </si>
  <si>
    <t>2010_07_21July\  PNG08010g_separate_19.ais</t>
  </si>
  <si>
    <t>2008_08_12\  PNG04119_z13@1.ais</t>
  </si>
  <si>
    <t>2008_08_12\  PNG04119_z14@1.ais</t>
  </si>
  <si>
    <t>2008_08_12\  PNG04119_z15@1.ais</t>
  </si>
  <si>
    <t>2010_07_21July\  PNG08010g_separate_22.ais</t>
  </si>
  <si>
    <t>2010_07_21July\  PNG04119_mounted_3.ais</t>
  </si>
  <si>
    <t>2008_08_12\  PNG04119_z16@3.ais</t>
  </si>
  <si>
    <t>2008_08_12\  PNG04119_z18@1.ais</t>
  </si>
  <si>
    <t>2008_08_12\  PNG04119_z19@1.ais</t>
  </si>
  <si>
    <t>2008_08_12\  PNG04119_z20@1.ais</t>
  </si>
  <si>
    <t>2008_08_12\  PNG04148_z2@1.ais</t>
  </si>
  <si>
    <t>2008_08_12\  PNG04148_z2@2.ais</t>
  </si>
  <si>
    <t>2008_08_12\  PNG04148_z3@1.ais</t>
  </si>
  <si>
    <t>2008_08_12\  PNG04148_z4@1.ais</t>
  </si>
  <si>
    <t>2008_08_12\  PNG04148_z5@1.ais</t>
  </si>
  <si>
    <t>2008_08_12\  PNG04148_z6@1.ais</t>
  </si>
  <si>
    <t>2008_08_12\  PNG04148_z7@1.ais</t>
  </si>
  <si>
    <t>2008_08_12\  PNG03118_z1@1.ais</t>
  </si>
  <si>
    <t>2008_08_12\  PNG03118_z2@1.ais</t>
  </si>
  <si>
    <t>2008_08_12\  PNG03118_z2@2.ais</t>
  </si>
  <si>
    <t>2008_08_12\  PNG03118_z2@3.ais</t>
  </si>
  <si>
    <t>2008_08_12\  PNG03118_z1@2.ais</t>
  </si>
  <si>
    <t>2008_08_12\  PNG03118_z3@1.ais</t>
  </si>
  <si>
    <t>Analyis Name:</t>
  </si>
  <si>
    <t>2008_08_12\  PNG03118_z6@1.ais</t>
  </si>
  <si>
    <t>2008_08_12\  PNG03118_z6@2.ais</t>
  </si>
  <si>
    <t>2008_08_12\  PNG03118_z6@3.ais</t>
  </si>
  <si>
    <t>2008_08_12\  PNG03118_z7@1.ais</t>
  </si>
  <si>
    <t>2008_08_12\  PNG03_118z9@1.ais</t>
  </si>
  <si>
    <t>2008_08_12\  PNG03_118z10@1.ais</t>
  </si>
  <si>
    <t>2008_08_12\  PNG08_010z1@1.ais</t>
  </si>
  <si>
    <t>2008_08_12\  PNG08_010z2@1.ais</t>
  </si>
  <si>
    <t>2008_08_12\  PNG08_010z2@2.ais</t>
  </si>
  <si>
    <t>2008_08_12\  PNG08_010z3@1.ais</t>
  </si>
  <si>
    <t>2008_08_12\  PNG08_010z4@1.ais</t>
  </si>
  <si>
    <t>2008_08_12\  PNG08010_z5@1.ais</t>
  </si>
  <si>
    <t>2008_08_12\  PNG08010_z5@2.ais</t>
  </si>
  <si>
    <t>2008_08_12\  PNG08010_z6@1.ais</t>
  </si>
  <si>
    <t>2008_08_12\  PNG08010_z6@2.ais</t>
  </si>
  <si>
    <t>2008_08_12\  PNG08010_z7@1.ais</t>
  </si>
  <si>
    <t>2008_08_12\  PNG08010_z8@1.ais</t>
  </si>
  <si>
    <t>2008_08_12\  PNG08010_z9@1.ais</t>
  </si>
  <si>
    <t>2008_08_12\  PNG08010_z9@2.ais</t>
  </si>
  <si>
    <t>2008_08_12\  89301_z1@1.ais</t>
  </si>
  <si>
    <t>2008_08_12\  89301_z2@1.ais</t>
  </si>
  <si>
    <t>2008_08_12\  89301_z4@1.ais</t>
  </si>
  <si>
    <t>2008_08_12\  89301_z5@1.ais</t>
  </si>
  <si>
    <t>2008_08_12\  89301_z6@1.ais</t>
  </si>
  <si>
    <t>2008_08_12\  89301_z7@1.ais</t>
  </si>
  <si>
    <t>2008_08_12\  89301_z8@1.ais</t>
  </si>
  <si>
    <t>2008_08_12\  89301_z9@1.ais</t>
  </si>
  <si>
    <t>04119_z17@1</t>
    <phoneticPr fontId="8" type="noConversion"/>
  </si>
  <si>
    <t>04119_z17@2</t>
    <phoneticPr fontId="8" type="noConversion"/>
  </si>
  <si>
    <t>04119_z16@3</t>
    <phoneticPr fontId="8" type="noConversion"/>
  </si>
  <si>
    <t>04119_z18@1</t>
    <phoneticPr fontId="8" type="noConversion"/>
  </si>
  <si>
    <t>2008_08_12\  89301_z12@1.ais</t>
  </si>
  <si>
    <t>04119_z20@1</t>
    <phoneticPr fontId="8" type="noConversion"/>
  </si>
  <si>
    <t>04148_z2@1</t>
    <phoneticPr fontId="8" type="noConversion"/>
  </si>
  <si>
    <t>04148_z2@2</t>
    <phoneticPr fontId="8" type="noConversion"/>
  </si>
  <si>
    <t>04148_z3@1</t>
    <phoneticPr fontId="8" type="noConversion"/>
  </si>
  <si>
    <t>2008_08_12\  89303_z1@2.ais</t>
  </si>
  <si>
    <t>2008_08_12\  PNG89303_z2@1.ais</t>
  </si>
  <si>
    <t>2008_08_12\  PNG89303_z2@2.ais</t>
  </si>
  <si>
    <t>03118_z2@1</t>
    <phoneticPr fontId="8" type="noConversion"/>
  </si>
  <si>
    <t>03118_z2@2</t>
    <phoneticPr fontId="8" type="noConversion"/>
  </si>
  <si>
    <t>03118_z2@3</t>
    <phoneticPr fontId="8" type="noConversion"/>
  </si>
  <si>
    <t>03118_z1@2</t>
    <phoneticPr fontId="8" type="noConversion"/>
  </si>
  <si>
    <t>03118_z3@1</t>
    <phoneticPr fontId="8" type="noConversion"/>
  </si>
  <si>
    <t>03118_z3@2</t>
    <phoneticPr fontId="8" type="noConversion"/>
  </si>
  <si>
    <t>03118_z4@1</t>
    <phoneticPr fontId="8" type="noConversion"/>
  </si>
  <si>
    <t>03118_z5@1</t>
    <phoneticPr fontId="8" type="noConversion"/>
  </si>
  <si>
    <t>03118_z6@1</t>
    <phoneticPr fontId="8" type="noConversion"/>
  </si>
  <si>
    <t>03118_z6@2</t>
    <phoneticPr fontId="8" type="noConversion"/>
  </si>
  <si>
    <t>03118_z6@3</t>
    <phoneticPr fontId="8" type="noConversion"/>
  </si>
  <si>
    <t>03118_z7@1</t>
    <phoneticPr fontId="8" type="noConversion"/>
  </si>
  <si>
    <t>08010_z5@1</t>
    <phoneticPr fontId="8" type="noConversion"/>
  </si>
  <si>
    <t>08010_z5@2</t>
    <phoneticPr fontId="8" type="noConversion"/>
  </si>
  <si>
    <t>08010_z6@1</t>
    <phoneticPr fontId="8" type="noConversion"/>
  </si>
  <si>
    <t>08010_z6@2</t>
    <phoneticPr fontId="8" type="noConversion"/>
  </si>
  <si>
    <t>08010_z7@1</t>
    <phoneticPr fontId="8" type="noConversion"/>
  </si>
  <si>
    <t>08010_z8@1</t>
    <phoneticPr fontId="8" type="noConversion"/>
  </si>
  <si>
    <t>08010_z9@1</t>
    <phoneticPr fontId="8" type="noConversion"/>
  </si>
  <si>
    <t>04119_z1@1</t>
    <phoneticPr fontId="8" type="noConversion"/>
  </si>
  <si>
    <t>04119_z2@1</t>
    <phoneticPr fontId="8" type="noConversion"/>
  </si>
  <si>
    <t>04119_z3@1</t>
    <phoneticPr fontId="8" type="noConversion"/>
  </si>
  <si>
    <t>04119_z4@1</t>
    <phoneticPr fontId="8" type="noConversion"/>
  </si>
  <si>
    <t>04119_z5@1</t>
    <phoneticPr fontId="8" type="noConversion"/>
  </si>
  <si>
    <t>04119_z6@1</t>
    <phoneticPr fontId="8" type="noConversion"/>
  </si>
  <si>
    <t>04119_z6@2</t>
    <phoneticPr fontId="8" type="noConversion"/>
  </si>
  <si>
    <t>04119_z6@3</t>
    <phoneticPr fontId="8" type="noConversion"/>
  </si>
  <si>
    <t>04119_z7@1</t>
    <phoneticPr fontId="8" type="noConversion"/>
  </si>
  <si>
    <t>04119_z1@2</t>
    <phoneticPr fontId="8" type="noConversion"/>
  </si>
  <si>
    <t>04119_z2@2</t>
    <phoneticPr fontId="8" type="noConversion"/>
  </si>
  <si>
    <t>04119_z3@1b</t>
    <phoneticPr fontId="8" type="noConversion"/>
  </si>
  <si>
    <t>04119_z3@2b</t>
    <phoneticPr fontId="8" type="noConversion"/>
  </si>
  <si>
    <t>04119_z8@1</t>
    <phoneticPr fontId="8" type="noConversion"/>
  </si>
  <si>
    <t>04119_z9@1</t>
    <phoneticPr fontId="8" type="noConversion"/>
  </si>
  <si>
    <t>04119_z10@1</t>
    <phoneticPr fontId="8" type="noConversion"/>
  </si>
  <si>
    <t>Correlation</t>
  </si>
  <si>
    <t>of Concordia</t>
  </si>
  <si>
    <t>Ellipses</t>
  </si>
  <si>
    <t>U ppm</t>
  </si>
  <si>
    <t>2008_08_12\  PNG04119_z1@1.ais</t>
  </si>
  <si>
    <t>2008_08_12\  PNG04119_z2@1.ais</t>
  </si>
  <si>
    <t>2008_08_12\  PNG04119_z3@1.ais</t>
  </si>
  <si>
    <t>2008_08_12\  PNG04119_z4@1.ais</t>
  </si>
  <si>
    <t>2008_08_12\  PNG04119_z5@1.ais</t>
  </si>
  <si>
    <t>2008_08_12\  PNG04119_z6@1.ais</t>
  </si>
  <si>
    <t>2008_08_12\  PNG04119_z6@2.ais</t>
  </si>
  <si>
    <t>2008_08_12\  PNG04119_z6@3.ais</t>
  </si>
  <si>
    <t>2008_08_12\  PNG04119_z7@1.ais</t>
  </si>
  <si>
    <t>2008_08_12\  PNG04119A_z7@2.ais</t>
  </si>
  <si>
    <t>2008_08_12\  PNG04119_z1@2.ais</t>
  </si>
  <si>
    <t>2008_08_12\  PNG04119_z2@2.ais</t>
  </si>
  <si>
    <t>2008_08_12\  PNG04119_z3@1b.ais</t>
  </si>
  <si>
    <t>2008_08_12\  PNG04119_z3@2b.ais</t>
  </si>
  <si>
    <t>2008_08_12\  PNG04_119z4@2.ais</t>
  </si>
  <si>
    <t>2008_08_12\  PNG04_119z5@2.ais</t>
  </si>
  <si>
    <t>2008_08_12\  PNG04_119z6@1b.ais</t>
  </si>
  <si>
    <t>2008_08_12\  PNG04_119z6@2b.ais</t>
  </si>
  <si>
    <t>2008_08_12\  PNG04119_z8@1.ais</t>
  </si>
  <si>
    <t>03118z9@1</t>
    <phoneticPr fontId="8" type="noConversion"/>
  </si>
  <si>
    <t>03118z10@1</t>
    <phoneticPr fontId="8" type="noConversion"/>
  </si>
  <si>
    <t>08010z1@1</t>
    <phoneticPr fontId="8" type="noConversion"/>
  </si>
  <si>
    <t>08010z2@1</t>
    <phoneticPr fontId="8" type="noConversion"/>
  </si>
  <si>
    <t>2008_08_12\  PNG04119_z12@1.ais</t>
  </si>
  <si>
    <t>08010z3@1</t>
    <phoneticPr fontId="8" type="noConversion"/>
  </si>
  <si>
    <t>08010g_separate_2</t>
    <phoneticPr fontId="8" type="noConversion"/>
  </si>
  <si>
    <t>08010g_separate_3</t>
    <phoneticPr fontId="8" type="noConversion"/>
  </si>
  <si>
    <t>2008_08_12\  PNG04119_z16@2.ais</t>
  </si>
  <si>
    <t>2008_08_12\  PNG04119_z17@1.ais</t>
  </si>
  <si>
    <t>2008_08_12\  PNG04119_z17@2.ais</t>
  </si>
  <si>
    <t>08010g_separate_9</t>
    <phoneticPr fontId="8" type="noConversion"/>
  </si>
  <si>
    <t>08010g_separate_10</t>
    <phoneticPr fontId="8" type="noConversion"/>
  </si>
  <si>
    <t>08010g_separate_11</t>
    <phoneticPr fontId="8" type="noConversion"/>
  </si>
  <si>
    <t>08010g_separate_12</t>
    <phoneticPr fontId="8" type="noConversion"/>
  </si>
  <si>
    <t>08010g_separate_13</t>
    <phoneticPr fontId="8" type="noConversion"/>
  </si>
  <si>
    <t>08010g_separate_13b</t>
    <phoneticPr fontId="8" type="noConversion"/>
  </si>
  <si>
    <t>08010g_separate_14</t>
    <phoneticPr fontId="8" type="noConversion"/>
  </si>
  <si>
    <t>08010g_separate_15</t>
    <phoneticPr fontId="8" type="noConversion"/>
  </si>
  <si>
    <t>08010g_separate_17</t>
    <phoneticPr fontId="8" type="noConversion"/>
  </si>
  <si>
    <t>08010g_separate_18</t>
    <phoneticPr fontId="8" type="noConversion"/>
  </si>
  <si>
    <t>08010g_separate_19</t>
    <phoneticPr fontId="8" type="noConversion"/>
  </si>
  <si>
    <t>08010g_separate_20</t>
    <phoneticPr fontId="8" type="noConversion"/>
  </si>
  <si>
    <t>08010g_separate_21</t>
    <phoneticPr fontId="8" type="noConversion"/>
  </si>
  <si>
    <t>08010g_separate_22</t>
    <phoneticPr fontId="8" type="noConversion"/>
  </si>
  <si>
    <t>03118m_separate_1</t>
    <phoneticPr fontId="8" type="noConversion"/>
  </si>
  <si>
    <t>03118m_separate_2</t>
    <phoneticPr fontId="8" type="noConversion"/>
  </si>
  <si>
    <t>03118m_separate_3</t>
    <phoneticPr fontId="8" type="noConversion"/>
  </si>
  <si>
    <t>03118m_separate_4</t>
    <phoneticPr fontId="8" type="noConversion"/>
  </si>
  <si>
    <t>03118m_separate_5</t>
    <phoneticPr fontId="8" type="noConversion"/>
  </si>
  <si>
    <t>03118m_separate_6</t>
    <phoneticPr fontId="8" type="noConversion"/>
  </si>
  <si>
    <t>08010_z9@2</t>
    <phoneticPr fontId="8" type="noConversion"/>
  </si>
  <si>
    <t>89301_z1@1</t>
    <phoneticPr fontId="8" type="noConversion"/>
  </si>
  <si>
    <t>89301_z2@1</t>
    <phoneticPr fontId="8" type="noConversion"/>
  </si>
  <si>
    <t>89301_z4@1</t>
    <phoneticPr fontId="8" type="noConversion"/>
  </si>
  <si>
    <t>89301_z5@1</t>
    <phoneticPr fontId="8" type="noConversion"/>
  </si>
  <si>
    <t>89301_z6@1</t>
    <phoneticPr fontId="8" type="noConversion"/>
  </si>
  <si>
    <t>89301_z7@1</t>
    <phoneticPr fontId="8" type="noConversion"/>
  </si>
  <si>
    <t>89301_z8@1</t>
    <phoneticPr fontId="8" type="noConversion"/>
  </si>
  <si>
    <t>89301_z9@1</t>
    <phoneticPr fontId="8" type="noConversion"/>
  </si>
  <si>
    <t>89301_z10@1</t>
    <phoneticPr fontId="8" type="noConversion"/>
  </si>
  <si>
    <t>89301_z11@1</t>
    <phoneticPr fontId="8" type="noConversion"/>
  </si>
  <si>
    <t>89301_z11@2</t>
    <phoneticPr fontId="8" type="noConversion"/>
  </si>
  <si>
    <t>89301_z11@3</t>
    <phoneticPr fontId="8" type="noConversion"/>
  </si>
  <si>
    <t>89301_z12@1</t>
    <phoneticPr fontId="8" type="noConversion"/>
  </si>
  <si>
    <t>89301_z12@2</t>
    <phoneticPr fontId="8" type="noConversion"/>
  </si>
  <si>
    <t>89301_z13@1</t>
    <phoneticPr fontId="8" type="noConversion"/>
  </si>
  <si>
    <t>89301_z13@2</t>
    <phoneticPr fontId="8" type="noConversion"/>
  </si>
  <si>
    <t>89303_z1@2</t>
    <phoneticPr fontId="8" type="noConversion"/>
  </si>
  <si>
    <t>89303_z2@1</t>
    <phoneticPr fontId="8" type="noConversion"/>
  </si>
  <si>
    <t>89303_z2@2</t>
    <phoneticPr fontId="8" type="noConversion"/>
  </si>
  <si>
    <t>89303_z3@1</t>
    <phoneticPr fontId="8" type="noConversion"/>
  </si>
  <si>
    <t>89303_z4@1</t>
    <phoneticPr fontId="8" type="noConversion"/>
  </si>
  <si>
    <t>89303_z4@2</t>
    <phoneticPr fontId="8" type="noConversion"/>
  </si>
  <si>
    <t>89303_z5@1</t>
    <phoneticPr fontId="8" type="noConversion"/>
  </si>
  <si>
    <t>89303_z6@1</t>
    <phoneticPr fontId="8" type="noConversion"/>
  </si>
  <si>
    <t>89303_z7@1</t>
    <phoneticPr fontId="8" type="noConversion"/>
  </si>
  <si>
    <t>89303_z7@2</t>
    <phoneticPr fontId="8" type="noConversion"/>
  </si>
  <si>
    <t>89303_z8@1</t>
    <phoneticPr fontId="8" type="noConversion"/>
  </si>
  <si>
    <t>89303_z9@1</t>
    <phoneticPr fontId="8" type="noConversion"/>
  </si>
  <si>
    <t>89303_z9@2</t>
    <phoneticPr fontId="8" type="noConversion"/>
  </si>
  <si>
    <t>89303_z10@1</t>
    <phoneticPr fontId="8" type="noConversion"/>
  </si>
  <si>
    <t>89303_z10@2</t>
    <phoneticPr fontId="8" type="noConversion"/>
  </si>
  <si>
    <t>89303_z8@2</t>
    <phoneticPr fontId="8" type="noConversion"/>
  </si>
  <si>
    <t>08010g_separate_1</t>
    <phoneticPr fontId="8" type="noConversion"/>
  </si>
  <si>
    <t>04119_z11@1</t>
    <phoneticPr fontId="8" type="noConversion"/>
  </si>
  <si>
    <t>04119_z12@1</t>
    <phoneticPr fontId="8" type="noConversion"/>
  </si>
  <si>
    <t>04119_z13@1</t>
    <phoneticPr fontId="8" type="noConversion"/>
  </si>
  <si>
    <t>04119_z14@1</t>
    <phoneticPr fontId="8" type="noConversion"/>
  </si>
  <si>
    <t>04119_z15@1</t>
    <phoneticPr fontId="8" type="noConversion"/>
  </si>
  <si>
    <t>04119_z16@2</t>
    <phoneticPr fontId="8" type="noConversion"/>
  </si>
  <si>
    <t>06040_z2@1</t>
  </si>
  <si>
    <t>06040_z3@1</t>
  </si>
  <si>
    <t>06040_z3@2</t>
  </si>
  <si>
    <t>06040_z3@3</t>
  </si>
  <si>
    <t>06040_z4@1</t>
  </si>
  <si>
    <t>04119_z19@1</t>
    <phoneticPr fontId="8" type="noConversion"/>
  </si>
  <si>
    <t>06040_z5@2</t>
  </si>
  <si>
    <t>06040_z6@1</t>
  </si>
  <si>
    <t>06040_z7@1</t>
  </si>
  <si>
    <t>06040_z8@1</t>
  </si>
  <si>
    <t>06040_z9@1</t>
  </si>
  <si>
    <t>06021_z8@6</t>
  </si>
  <si>
    <t>04148_z4@1</t>
    <phoneticPr fontId="8" type="noConversion"/>
  </si>
  <si>
    <t>04148_z5@1</t>
    <phoneticPr fontId="8" type="noConversion"/>
  </si>
  <si>
    <t>04148_z6@1</t>
    <phoneticPr fontId="8" type="noConversion"/>
  </si>
  <si>
    <t>04148_z7@1</t>
    <phoneticPr fontId="8" type="noConversion"/>
  </si>
  <si>
    <t>03118_z1@1</t>
    <phoneticPr fontId="8" type="noConversion"/>
  </si>
  <si>
    <t>08010z4@1</t>
    <phoneticPr fontId="8" type="noConversion"/>
  </si>
  <si>
    <t>Misima Island Gneiss</t>
    <phoneticPr fontId="8" type="noConversion"/>
  </si>
  <si>
    <t>238U*/</t>
    <phoneticPr fontId="8" type="noConversion"/>
  </si>
  <si>
    <t>238U*</t>
    <phoneticPr fontId="8" type="noConversion"/>
  </si>
  <si>
    <t>206Pb*</t>
    <phoneticPr fontId="8" type="noConversion"/>
  </si>
  <si>
    <t>1 s.e</t>
    <phoneticPr fontId="8" type="noConversion"/>
  </si>
  <si>
    <t>232Th/</t>
    <phoneticPr fontId="8" type="noConversion"/>
  </si>
  <si>
    <t>238U</t>
    <phoneticPr fontId="8" type="noConversion"/>
  </si>
  <si>
    <t>atomic</t>
    <phoneticPr fontId="8" type="noConversion"/>
  </si>
  <si>
    <t>File Name:</t>
    <phoneticPr fontId="8" type="noConversion"/>
  </si>
  <si>
    <t>04148b_mounted_1</t>
    <phoneticPr fontId="8" type="noConversion"/>
  </si>
  <si>
    <t>04148b_mounted_1b</t>
    <phoneticPr fontId="8" type="noConversion"/>
  </si>
  <si>
    <t>04148b_mounted_2</t>
    <phoneticPr fontId="8" type="noConversion"/>
  </si>
  <si>
    <t>04148b_mounted_3</t>
    <phoneticPr fontId="8" type="noConversion"/>
  </si>
  <si>
    <t>04148b_mounted_4</t>
    <phoneticPr fontId="8" type="noConversion"/>
  </si>
  <si>
    <t>04119_z7@2</t>
    <phoneticPr fontId="8" type="noConversion"/>
  </si>
  <si>
    <t>04119_mounted_3</t>
    <phoneticPr fontId="8" type="noConversion"/>
  </si>
  <si>
    <t>89301_separate_1</t>
    <phoneticPr fontId="8" type="noConversion"/>
  </si>
  <si>
    <t>89301_separate_2</t>
    <phoneticPr fontId="8" type="noConversion"/>
  </si>
  <si>
    <t>89301_separate_3</t>
    <phoneticPr fontId="8" type="noConversion"/>
  </si>
  <si>
    <t>89301_separate_4</t>
    <phoneticPr fontId="8" type="noConversion"/>
  </si>
  <si>
    <t>89301_separate_5</t>
    <phoneticPr fontId="8" type="noConversion"/>
  </si>
  <si>
    <t>89303_separate_1</t>
    <phoneticPr fontId="8" type="noConversion"/>
  </si>
  <si>
    <t>89303_separate_2</t>
    <phoneticPr fontId="8" type="noConversion"/>
  </si>
  <si>
    <t>89303_separate_4</t>
    <phoneticPr fontId="8" type="noConversion"/>
  </si>
  <si>
    <t>89303_separate_5</t>
    <phoneticPr fontId="8" type="noConversion"/>
  </si>
  <si>
    <t>03118m_mounted_5</t>
    <phoneticPr fontId="8" type="noConversion"/>
  </si>
  <si>
    <t>03118m_mounted_3</t>
    <phoneticPr fontId="8" type="noConversion"/>
  </si>
  <si>
    <t>03118m_mounted_7</t>
    <phoneticPr fontId="8" type="noConversion"/>
  </si>
  <si>
    <t>03118m_mounted_1</t>
    <phoneticPr fontId="8" type="noConversion"/>
  </si>
  <si>
    <t>03118m_mounted_2</t>
    <phoneticPr fontId="8" type="noConversion"/>
  </si>
  <si>
    <t>08010g_mounted_1</t>
    <phoneticPr fontId="8" type="noConversion"/>
  </si>
  <si>
    <t>08010g_mounted_1b</t>
    <phoneticPr fontId="8" type="noConversion"/>
  </si>
  <si>
    <t>08010g_mounted_2</t>
    <phoneticPr fontId="8" type="noConversion"/>
  </si>
  <si>
    <t>08010g_mounted_6</t>
    <phoneticPr fontId="8" type="noConversion"/>
  </si>
  <si>
    <t>03118m_separate_7</t>
    <phoneticPr fontId="8" type="noConversion"/>
  </si>
  <si>
    <t>03118m_separate_9</t>
    <phoneticPr fontId="8" type="noConversion"/>
  </si>
  <si>
    <t>03118m_separate_10</t>
    <phoneticPr fontId="8" type="noConversion"/>
  </si>
  <si>
    <t>03118m_separate_11</t>
    <phoneticPr fontId="8" type="noConversion"/>
  </si>
  <si>
    <t>03118m_separate_12</t>
    <phoneticPr fontId="8" type="noConversion"/>
  </si>
  <si>
    <t>03118m_separate_13</t>
    <phoneticPr fontId="8" type="noConversion"/>
  </si>
  <si>
    <t>03118m_separate_14</t>
    <phoneticPr fontId="8" type="noConversion"/>
  </si>
  <si>
    <t>03118m_separate_15</t>
    <phoneticPr fontId="8" type="noConversion"/>
  </si>
  <si>
    <t>03118m_separate_17</t>
    <phoneticPr fontId="8" type="noConversion"/>
  </si>
  <si>
    <t>03118m_separate_18</t>
    <phoneticPr fontId="8" type="noConversion"/>
  </si>
  <si>
    <t>03118m_separate_19</t>
    <phoneticPr fontId="8" type="noConversion"/>
  </si>
  <si>
    <t>03118m_separate_21</t>
    <phoneticPr fontId="8" type="noConversion"/>
  </si>
  <si>
    <t>03118m_separate_22</t>
    <phoneticPr fontId="8" type="noConversion"/>
  </si>
  <si>
    <t>03118m_separate_24</t>
    <phoneticPr fontId="8" type="noConversion"/>
  </si>
  <si>
    <t>03118m_separate_25</t>
    <phoneticPr fontId="8" type="noConversion"/>
  </si>
  <si>
    <t>89303_separate_3</t>
    <phoneticPr fontId="8" type="noConversion"/>
  </si>
  <si>
    <t>Analysis Type</t>
    <phoneticPr fontId="8" type="noConversion"/>
  </si>
  <si>
    <t>04119z4@2</t>
    <phoneticPr fontId="8" type="noConversion"/>
  </si>
  <si>
    <t>04119z5@2</t>
    <phoneticPr fontId="8" type="noConversion"/>
  </si>
  <si>
    <t>04119z6@1b</t>
    <phoneticPr fontId="8" type="noConversion"/>
  </si>
  <si>
    <t>04119z6@2b</t>
    <phoneticPr fontId="8" type="noConversion"/>
  </si>
  <si>
    <t>06040_z5@1</t>
  </si>
  <si>
    <t>PolishedSurface</t>
    <phoneticPr fontId="8" type="noConversion"/>
  </si>
  <si>
    <t>UnpolishedGrain</t>
    <phoneticPr fontId="8" type="noConversion"/>
  </si>
  <si>
    <t>08010z2@2</t>
    <phoneticPr fontId="8" type="noConversion"/>
  </si>
  <si>
    <t>06021_z8@7</t>
  </si>
  <si>
    <t>AGW Data</t>
    <phoneticPr fontId="8" type="noConversion"/>
  </si>
  <si>
    <t>206/238</t>
    <phoneticPr fontId="8" type="noConversion"/>
  </si>
  <si>
    <t>Age</t>
    <phoneticPr fontId="8" type="noConversion"/>
  </si>
  <si>
    <t>error</t>
    <phoneticPr fontId="8" type="noConversion"/>
  </si>
  <si>
    <t>08010g_separate_5</t>
    <phoneticPr fontId="8" type="noConversion"/>
  </si>
  <si>
    <t>08010g_separate_6</t>
    <phoneticPr fontId="8" type="noConversion"/>
  </si>
  <si>
    <t>08010g_separate_7</t>
    <phoneticPr fontId="8" type="noConversion"/>
  </si>
  <si>
    <t>08010g_separate_8</t>
    <phoneticPr fontId="8" type="noConversion"/>
  </si>
  <si>
    <t>06021up_z3@3</t>
  </si>
  <si>
    <t>06012_z1@1</t>
  </si>
  <si>
    <t>06012_z2@1</t>
  </si>
  <si>
    <t>06012_z3@1</t>
  </si>
  <si>
    <t>06012_z5@1</t>
  </si>
  <si>
    <t>06012_z8@1</t>
  </si>
  <si>
    <t>06012_z9@1</t>
  </si>
  <si>
    <t>06012_z11@1</t>
  </si>
  <si>
    <t>06012_z12@1</t>
  </si>
  <si>
    <t>06012_z12@2</t>
  </si>
  <si>
    <t>06012_z13@2</t>
  </si>
  <si>
    <t>06012_z14@1</t>
  </si>
  <si>
    <t>06012_z14@2</t>
  </si>
  <si>
    <t>06012_z1@2.</t>
  </si>
  <si>
    <t>06012_z4@2.</t>
  </si>
  <si>
    <t>06012_z5@2.</t>
  </si>
  <si>
    <t>06012_z6@2.</t>
  </si>
  <si>
    <t>06012_z8@2@1</t>
  </si>
  <si>
    <t>06012_z8@3</t>
  </si>
  <si>
    <t>06012_z9@2</t>
  </si>
  <si>
    <t>06012_z9@3</t>
  </si>
  <si>
    <t>06012_z10@2</t>
  </si>
  <si>
    <t>06012_z15@1</t>
  </si>
  <si>
    <t>06012_z16@1</t>
  </si>
  <si>
    <t>06012_z16@2</t>
  </si>
  <si>
    <t>06012_z17@2</t>
  </si>
  <si>
    <t>06012_z18@1</t>
  </si>
  <si>
    <t>06012_z21@1</t>
  </si>
  <si>
    <t>06012_z21@2</t>
  </si>
  <si>
    <t>06012_z23@1</t>
  </si>
  <si>
    <t>06012_z24@1</t>
  </si>
  <si>
    <t>06012_z24@2</t>
  </si>
  <si>
    <t>06_012_z24@3</t>
  </si>
  <si>
    <t>06_012_z25@1</t>
  </si>
  <si>
    <t>06_012_z27@1</t>
  </si>
  <si>
    <t>06_012_z28@1</t>
  </si>
  <si>
    <t>06044_z1@1</t>
  </si>
  <si>
    <t>06044_z1@2</t>
  </si>
  <si>
    <t>06044_z1@3</t>
  </si>
  <si>
    <t>06044_z1@4</t>
  </si>
  <si>
    <t>06044_z2@1</t>
  </si>
  <si>
    <t>06044_z3@1</t>
  </si>
  <si>
    <t>06044_z3@2</t>
  </si>
  <si>
    <t>06044_z4@1</t>
  </si>
  <si>
    <t>06044_z4@2</t>
  </si>
  <si>
    <t>06044_z5@1</t>
  </si>
  <si>
    <t>06044_z6@2</t>
  </si>
  <si>
    <t>06044_z7@1</t>
  </si>
  <si>
    <t>06044_z8@1</t>
  </si>
  <si>
    <t>06044_z9@1</t>
  </si>
  <si>
    <t>06044_z9@2</t>
  </si>
  <si>
    <t>06044_z10@1</t>
  </si>
  <si>
    <t>06044_z10@3</t>
  </si>
  <si>
    <t>06044_z11@1</t>
  </si>
  <si>
    <t>06044_z11@2</t>
  </si>
  <si>
    <t>06044_z12@1</t>
  </si>
  <si>
    <t>06044_z13@1</t>
  </si>
  <si>
    <t>06044_z14@1</t>
  </si>
  <si>
    <t>08044_z14@2</t>
  </si>
  <si>
    <t>08044_z15@1</t>
  </si>
  <si>
    <t>08044_z16@1</t>
  </si>
  <si>
    <t>08044_z16@2</t>
  </si>
  <si>
    <t>08044_z15@2</t>
  </si>
  <si>
    <t>08044_z17@1</t>
  </si>
  <si>
    <t>06021_z1@1@1</t>
  </si>
  <si>
    <t>06021_z1@2</t>
  </si>
  <si>
    <t>06021_z3@3</t>
  </si>
  <si>
    <t>06021_z4@1</t>
  </si>
  <si>
    <t>06021_z5@1</t>
  </si>
  <si>
    <t>06021_z5@2</t>
  </si>
  <si>
    <t>06021_z6@1</t>
  </si>
  <si>
    <t>06021_z6@2</t>
  </si>
  <si>
    <t>06021_z6@3</t>
  </si>
  <si>
    <t>06021_z7@1</t>
  </si>
  <si>
    <t>06021_z7@2</t>
  </si>
  <si>
    <t>06021_z7@3</t>
  </si>
  <si>
    <t>06021_z7@4</t>
  </si>
  <si>
    <t>06021_z7@5</t>
  </si>
  <si>
    <t>06021_z8@1</t>
  </si>
  <si>
    <t>06021_z8@2</t>
  </si>
  <si>
    <t>06021_z8@3</t>
  </si>
  <si>
    <t>06021_z8@4</t>
  </si>
  <si>
    <t>06021_z8@5</t>
  </si>
  <si>
    <t>06021_z9@1</t>
  </si>
  <si>
    <t>06021_z11@1</t>
  </si>
  <si>
    <t>06021_z11@2</t>
  </si>
  <si>
    <t>06021_z12@1</t>
  </si>
  <si>
    <t>06021_z12@2</t>
  </si>
  <si>
    <t>06021_z13@1</t>
  </si>
  <si>
    <t>06021_z14@1</t>
  </si>
  <si>
    <t>06021_z11@3</t>
  </si>
  <si>
    <t>06021_z13@2</t>
  </si>
  <si>
    <t>06021_z15@1</t>
  </si>
  <si>
    <t>06021_z16@1</t>
  </si>
  <si>
    <t>06040_z1@1</t>
  </si>
  <si>
    <t>06040_z1@2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</si>
</sst>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15">
    <font>
      <sz val="10"/>
      <name val="Verdana"/>
    </font>
    <font>
      <b/>
      <sz val="10"/>
      <name val="Verdana"/>
    </font>
    <font>
      <sz val="10"/>
      <name val="Verdana"/>
    </font>
    <font>
      <b/>
      <sz val="10"/>
      <name val="Verdana"/>
    </font>
    <font>
      <b/>
      <sz val="10"/>
      <name val="Verdana"/>
    </font>
    <font>
      <i/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  <font>
      <b/>
      <sz val="10"/>
      <name val="Arial"/>
      <family val="2"/>
    </font>
    <font>
      <strike/>
      <sz val="10"/>
      <name val="Verdana"/>
    </font>
    <font>
      <b/>
      <strike/>
      <sz val="10"/>
      <name val="Verdana"/>
    </font>
    <font>
      <b/>
      <strike/>
      <sz val="10"/>
      <name val="Arial"/>
      <family val="2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0" borderId="0" xfId="0" applyFont="1"/>
    <xf numFmtId="0" fontId="7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2" fillId="0" borderId="0" xfId="0" applyFont="1" applyBorder="1"/>
    <xf numFmtId="0" fontId="1" fillId="0" borderId="0" xfId="0" applyFont="1" applyBorder="1"/>
    <xf numFmtId="0" fontId="0" fillId="0" borderId="3" xfId="0" applyBorder="1"/>
    <xf numFmtId="0" fontId="0" fillId="0" borderId="1" xfId="0" applyBorder="1"/>
    <xf numFmtId="0" fontId="1" fillId="0" borderId="2" xfId="0" applyFont="1" applyBorder="1"/>
    <xf numFmtId="0" fontId="1" fillId="0" borderId="1" xfId="0" applyFont="1" applyBorder="1"/>
    <xf numFmtId="11" fontId="0" fillId="0" borderId="0" xfId="0" applyNumberFormat="1"/>
    <xf numFmtId="0" fontId="0" fillId="0" borderId="7" xfId="0" applyBorder="1"/>
    <xf numFmtId="11" fontId="0" fillId="0" borderId="7" xfId="0" applyNumberFormat="1" applyBorder="1"/>
    <xf numFmtId="0" fontId="0" fillId="0" borderId="0" xfId="0" applyBorder="1"/>
    <xf numFmtId="11" fontId="0" fillId="0" borderId="0" xfId="0" applyNumberFormat="1" applyBorder="1"/>
    <xf numFmtId="0" fontId="0" fillId="0" borderId="8" xfId="0" applyBorder="1"/>
    <xf numFmtId="11" fontId="0" fillId="0" borderId="8" xfId="0" applyNumberFormat="1" applyBorder="1"/>
    <xf numFmtId="0" fontId="2" fillId="0" borderId="2" xfId="0" applyFont="1" applyBorder="1"/>
    <xf numFmtId="0" fontId="1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9" Type="http://schemas.openxmlformats.org/officeDocument/2006/relationships/externalLink" Target="externalLinks/externalLink3.xml"/><Relationship Id="rId1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Ti thermometry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0621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[1]Sheet1!$C$5:$C$24</c:f>
              <c:numCache>
                <c:formatCode>General</c:formatCode>
                <c:ptCount val="20"/>
                <c:pt idx="0">
                  <c:v>623.9731896008873</c:v>
                </c:pt>
                <c:pt idx="1">
                  <c:v>618.0176252954636</c:v>
                </c:pt>
                <c:pt idx="2">
                  <c:v>626.9456678505167</c:v>
                </c:pt>
                <c:pt idx="3">
                  <c:v>653.2420119792407</c:v>
                </c:pt>
                <c:pt idx="4">
                  <c:v>667.430400628488</c:v>
                </c:pt>
                <c:pt idx="5">
                  <c:v>663.409313970368</c:v>
                </c:pt>
                <c:pt idx="6">
                  <c:v>654.6454100917989</c:v>
                </c:pt>
                <c:pt idx="7">
                  <c:v>654.262377910154</c:v>
                </c:pt>
                <c:pt idx="8">
                  <c:v>649.3249030002527</c:v>
                </c:pt>
                <c:pt idx="9">
                  <c:v>646.4072553838993</c:v>
                </c:pt>
                <c:pt idx="10">
                  <c:v>644.0849255498144</c:v>
                </c:pt>
                <c:pt idx="11">
                  <c:v>643.5203968431192</c:v>
                </c:pt>
                <c:pt idx="12">
                  <c:v>648.4355537013225</c:v>
                </c:pt>
                <c:pt idx="13">
                  <c:v>652.2471048313716</c:v>
                </c:pt>
                <c:pt idx="14">
                  <c:v>648.4745059474462</c:v>
                </c:pt>
                <c:pt idx="15">
                  <c:v>644.2786876648202</c:v>
                </c:pt>
                <c:pt idx="16">
                  <c:v>648.504408620793</c:v>
                </c:pt>
                <c:pt idx="17">
                  <c:v>646.5120202600652</c:v>
                </c:pt>
                <c:pt idx="18">
                  <c:v>647.1098055835838</c:v>
                </c:pt>
                <c:pt idx="19">
                  <c:v>649.8678871217961</c:v>
                </c:pt>
              </c:numCache>
            </c:numRef>
          </c:val>
        </c:ser>
        <c:ser>
          <c:idx val="1"/>
          <c:order val="1"/>
          <c:tx>
            <c:v>0621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[1]Sheet1!$C$29:$C$48</c:f>
              <c:numCache>
                <c:formatCode>General</c:formatCode>
                <c:ptCount val="20"/>
                <c:pt idx="0">
                  <c:v>639.4112716441154</c:v>
                </c:pt>
                <c:pt idx="1">
                  <c:v>669.9086832730225</c:v>
                </c:pt>
                <c:pt idx="2">
                  <c:v>679.5652770542326</c:v>
                </c:pt>
                <c:pt idx="3">
                  <c:v>661.217833178813</c:v>
                </c:pt>
                <c:pt idx="4">
                  <c:v>646.2612296936417</c:v>
                </c:pt>
                <c:pt idx="5">
                  <c:v>641.3790852966376</c:v>
                </c:pt>
                <c:pt idx="6">
                  <c:v>641.6876633406066</c:v>
                </c:pt>
                <c:pt idx="7">
                  <c:v>646.7710140277142</c:v>
                </c:pt>
                <c:pt idx="8">
                  <c:v>641.4077257339906</c:v>
                </c:pt>
                <c:pt idx="9">
                  <c:v>641.5894909953611</c:v>
                </c:pt>
                <c:pt idx="10">
                  <c:v>637.60525467169</c:v>
                </c:pt>
                <c:pt idx="11">
                  <c:v>636.2071484245885</c:v>
                </c:pt>
                <c:pt idx="12">
                  <c:v>638.0293633637349</c:v>
                </c:pt>
                <c:pt idx="13">
                  <c:v>636.8932612838563</c:v>
                </c:pt>
                <c:pt idx="14">
                  <c:v>636.9580695250793</c:v>
                </c:pt>
                <c:pt idx="15">
                  <c:v>638.2676701094915</c:v>
                </c:pt>
                <c:pt idx="16">
                  <c:v>640.268979975181</c:v>
                </c:pt>
                <c:pt idx="17">
                  <c:v>642.655577232249</c:v>
                </c:pt>
                <c:pt idx="18">
                  <c:v>641.347229420928</c:v>
                </c:pt>
                <c:pt idx="19">
                  <c:v>644.8724877879725</c:v>
                </c:pt>
              </c:numCache>
            </c:numRef>
          </c:val>
        </c:ser>
        <c:marker val="1"/>
        <c:axId val="473631240"/>
        <c:axId val="473637128"/>
      </c:lineChart>
      <c:catAx>
        <c:axId val="473631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73637128"/>
        <c:crosses val="autoZero"/>
        <c:auto val="1"/>
        <c:lblAlgn val="ctr"/>
        <c:lblOffset val="100"/>
      </c:catAx>
      <c:valAx>
        <c:axId val="47363712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(celcius)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7363124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U-Pb Age vs Depth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0621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[1]Sheet1!$R$5:$R$24</c:f>
              <c:numCache>
                <c:formatCode>General</c:formatCode>
                <c:ptCount val="20"/>
                <c:pt idx="0">
                  <c:v>2.16734</c:v>
                </c:pt>
                <c:pt idx="1">
                  <c:v>2.6159</c:v>
                </c:pt>
                <c:pt idx="2">
                  <c:v>2.56288</c:v>
                </c:pt>
                <c:pt idx="3">
                  <c:v>8.51088</c:v>
                </c:pt>
                <c:pt idx="4">
                  <c:v>16.544</c:v>
                </c:pt>
                <c:pt idx="5">
                  <c:v>27.0868</c:v>
                </c:pt>
                <c:pt idx="6">
                  <c:v>35.1965</c:v>
                </c:pt>
                <c:pt idx="7">
                  <c:v>42.0917</c:v>
                </c:pt>
                <c:pt idx="8">
                  <c:v>47.4207</c:v>
                </c:pt>
                <c:pt idx="9">
                  <c:v>52.6481</c:v>
                </c:pt>
                <c:pt idx="10">
                  <c:v>54.4286</c:v>
                </c:pt>
                <c:pt idx="11">
                  <c:v>58.0967</c:v>
                </c:pt>
                <c:pt idx="12">
                  <c:v>59.9026</c:v>
                </c:pt>
                <c:pt idx="13">
                  <c:v>64.0181</c:v>
                </c:pt>
                <c:pt idx="14">
                  <c:v>67.7535</c:v>
                </c:pt>
                <c:pt idx="15">
                  <c:v>65.0119</c:v>
                </c:pt>
                <c:pt idx="16">
                  <c:v>66.8081</c:v>
                </c:pt>
                <c:pt idx="17">
                  <c:v>68.4579</c:v>
                </c:pt>
                <c:pt idx="18">
                  <c:v>71.2325</c:v>
                </c:pt>
                <c:pt idx="19">
                  <c:v>68.7529</c:v>
                </c:pt>
              </c:numCache>
            </c:numRef>
          </c:val>
        </c:ser>
        <c:ser>
          <c:idx val="1"/>
          <c:order val="1"/>
          <c:tx>
            <c:v>0621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[1]Sheet1!$R$29:$R$48</c:f>
              <c:numCache>
                <c:formatCode>General</c:formatCode>
                <c:ptCount val="20"/>
                <c:pt idx="0">
                  <c:v>3.39465</c:v>
                </c:pt>
                <c:pt idx="1">
                  <c:v>13.7767</c:v>
                </c:pt>
                <c:pt idx="2">
                  <c:v>59.7386</c:v>
                </c:pt>
                <c:pt idx="3">
                  <c:v>79.294</c:v>
                </c:pt>
                <c:pt idx="4">
                  <c:v>94.3182</c:v>
                </c:pt>
                <c:pt idx="5">
                  <c:v>130.736</c:v>
                </c:pt>
                <c:pt idx="6">
                  <c:v>138.249</c:v>
                </c:pt>
                <c:pt idx="7">
                  <c:v>149.898</c:v>
                </c:pt>
                <c:pt idx="8">
                  <c:v>159.347</c:v>
                </c:pt>
                <c:pt idx="9">
                  <c:v>167.052</c:v>
                </c:pt>
                <c:pt idx="10">
                  <c:v>163.035</c:v>
                </c:pt>
                <c:pt idx="11">
                  <c:v>164.111</c:v>
                </c:pt>
                <c:pt idx="12">
                  <c:v>173.515</c:v>
                </c:pt>
                <c:pt idx="13">
                  <c:v>172.723</c:v>
                </c:pt>
                <c:pt idx="14">
                  <c:v>177.65</c:v>
                </c:pt>
                <c:pt idx="15">
                  <c:v>157.473</c:v>
                </c:pt>
                <c:pt idx="16">
                  <c:v>156.712</c:v>
                </c:pt>
                <c:pt idx="17">
                  <c:v>152.559</c:v>
                </c:pt>
                <c:pt idx="18">
                  <c:v>158.341</c:v>
                </c:pt>
                <c:pt idx="19">
                  <c:v>157.69</c:v>
                </c:pt>
              </c:numCache>
            </c:numRef>
          </c:val>
        </c:ser>
        <c:marker val="1"/>
        <c:axId val="473849272"/>
        <c:axId val="473857192"/>
      </c:lineChart>
      <c:catAx>
        <c:axId val="473849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73857192"/>
        <c:crosses val="autoZero"/>
        <c:auto val="1"/>
        <c:lblAlgn val="ctr"/>
        <c:lblOffset val="100"/>
      </c:catAx>
      <c:valAx>
        <c:axId val="47385719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206Pb/238U age (ma)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738492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Hf vs depth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0621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[1]Sheet1!$E$5:$E$24</c:f>
              <c:numCache>
                <c:formatCode>General</c:formatCode>
                <c:ptCount val="20"/>
                <c:pt idx="0">
                  <c:v>18285.49512164704</c:v>
                </c:pt>
                <c:pt idx="1">
                  <c:v>18819.61799740637</c:v>
                </c:pt>
                <c:pt idx="2">
                  <c:v>18799.81854436355</c:v>
                </c:pt>
                <c:pt idx="3">
                  <c:v>18935.79575534603</c:v>
                </c:pt>
                <c:pt idx="4">
                  <c:v>17395.37484026693</c:v>
                </c:pt>
                <c:pt idx="5">
                  <c:v>16022.98850574713</c:v>
                </c:pt>
                <c:pt idx="6">
                  <c:v>15715.43056221236</c:v>
                </c:pt>
                <c:pt idx="7">
                  <c:v>15947.48103820193</c:v>
                </c:pt>
                <c:pt idx="8">
                  <c:v>15721.37101331151</c:v>
                </c:pt>
                <c:pt idx="9">
                  <c:v>16120.83639784189</c:v>
                </c:pt>
                <c:pt idx="10">
                  <c:v>15728.47045349652</c:v>
                </c:pt>
                <c:pt idx="11">
                  <c:v>15469.72606859221</c:v>
                </c:pt>
                <c:pt idx="12">
                  <c:v>15770.88912555706</c:v>
                </c:pt>
                <c:pt idx="13">
                  <c:v>15926.28214953558</c:v>
                </c:pt>
                <c:pt idx="14">
                  <c:v>15653.42248871522</c:v>
                </c:pt>
                <c:pt idx="15">
                  <c:v>15122.83820781294</c:v>
                </c:pt>
                <c:pt idx="16">
                  <c:v>15805.7009963185</c:v>
                </c:pt>
                <c:pt idx="17">
                  <c:v>15371.48790983028</c:v>
                </c:pt>
                <c:pt idx="18">
                  <c:v>15393.6227930892</c:v>
                </c:pt>
                <c:pt idx="19">
                  <c:v>15424.84087141212</c:v>
                </c:pt>
              </c:numCache>
            </c:numRef>
          </c:val>
        </c:ser>
        <c:ser>
          <c:idx val="1"/>
          <c:order val="1"/>
          <c:tx>
            <c:v>0621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[1]Sheet1!$E$29:$E$48</c:f>
              <c:numCache>
                <c:formatCode>General</c:formatCode>
                <c:ptCount val="20"/>
                <c:pt idx="0">
                  <c:v>17310.42247168744</c:v>
                </c:pt>
                <c:pt idx="1">
                  <c:v>18825.41502417575</c:v>
                </c:pt>
                <c:pt idx="2">
                  <c:v>14754.17121563537</c:v>
                </c:pt>
                <c:pt idx="3">
                  <c:v>13106.95653485053</c:v>
                </c:pt>
                <c:pt idx="4">
                  <c:v>12210.17744738105</c:v>
                </c:pt>
                <c:pt idx="5">
                  <c:v>11670.89568423335</c:v>
                </c:pt>
                <c:pt idx="6">
                  <c:v>11388.39929154405</c:v>
                </c:pt>
                <c:pt idx="7">
                  <c:v>11744.57240275555</c:v>
                </c:pt>
                <c:pt idx="8">
                  <c:v>11066.56010383455</c:v>
                </c:pt>
                <c:pt idx="9">
                  <c:v>11411.38223680436</c:v>
                </c:pt>
                <c:pt idx="10">
                  <c:v>11229.72256884498</c:v>
                </c:pt>
                <c:pt idx="11">
                  <c:v>11255.01062782782</c:v>
                </c:pt>
                <c:pt idx="12">
                  <c:v>11328.51409152165</c:v>
                </c:pt>
                <c:pt idx="13">
                  <c:v>11050.84403707223</c:v>
                </c:pt>
                <c:pt idx="14">
                  <c:v>11430.78808192414</c:v>
                </c:pt>
                <c:pt idx="15">
                  <c:v>11186.81502973265</c:v>
                </c:pt>
                <c:pt idx="16">
                  <c:v>11459.90143255631</c:v>
                </c:pt>
                <c:pt idx="17">
                  <c:v>11435.08845878755</c:v>
                </c:pt>
                <c:pt idx="18">
                  <c:v>11342.01994660773</c:v>
                </c:pt>
                <c:pt idx="19">
                  <c:v>11760.28509983821</c:v>
                </c:pt>
              </c:numCache>
            </c:numRef>
          </c:val>
        </c:ser>
        <c:marker val="1"/>
        <c:axId val="473550824"/>
        <c:axId val="616105640"/>
      </c:lineChart>
      <c:catAx>
        <c:axId val="473550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616105640"/>
        <c:crosses val="autoZero"/>
        <c:auto val="1"/>
        <c:lblAlgn val="ctr"/>
        <c:lblOffset val="100"/>
      </c:catAx>
      <c:valAx>
        <c:axId val="616105640"/>
        <c:scaling>
          <c:orientation val="minMax"/>
          <c:min val="10000.0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Hf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7355082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Y vs depth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0621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[1]Sheet1!$L$5:$L$24</c:f>
              <c:numCache>
                <c:formatCode>General</c:formatCode>
                <c:ptCount val="20"/>
                <c:pt idx="0">
                  <c:v>787.4108586865968</c:v>
                </c:pt>
                <c:pt idx="1">
                  <c:v>621.2896091091636</c:v>
                </c:pt>
                <c:pt idx="2">
                  <c:v>503.6384392452503</c:v>
                </c:pt>
                <c:pt idx="3">
                  <c:v>504.4455689205826</c:v>
                </c:pt>
                <c:pt idx="4">
                  <c:v>562.4314091299813</c:v>
                </c:pt>
                <c:pt idx="5">
                  <c:v>620.189916350689</c:v>
                </c:pt>
                <c:pt idx="6">
                  <c:v>655.3291639161861</c:v>
                </c:pt>
                <c:pt idx="7">
                  <c:v>692.145997899452</c:v>
                </c:pt>
                <c:pt idx="8">
                  <c:v>654.1642890603878</c:v>
                </c:pt>
                <c:pt idx="9">
                  <c:v>676.6969420735953</c:v>
                </c:pt>
                <c:pt idx="10">
                  <c:v>651.2520010805515</c:v>
                </c:pt>
                <c:pt idx="11">
                  <c:v>730.2874213572346</c:v>
                </c:pt>
                <c:pt idx="12">
                  <c:v>926.5705580554567</c:v>
                </c:pt>
                <c:pt idx="13">
                  <c:v>1087.778668957409</c:v>
                </c:pt>
                <c:pt idx="14">
                  <c:v>1134.383431300196</c:v>
                </c:pt>
                <c:pt idx="15">
                  <c:v>1149.522612623914</c:v>
                </c:pt>
                <c:pt idx="16">
                  <c:v>1258.733575972833</c:v>
                </c:pt>
                <c:pt idx="17">
                  <c:v>1249.023402509557</c:v>
                </c:pt>
                <c:pt idx="18">
                  <c:v>1258.20130455484</c:v>
                </c:pt>
                <c:pt idx="19">
                  <c:v>1230.216511225281</c:v>
                </c:pt>
              </c:numCache>
            </c:numRef>
          </c:val>
        </c:ser>
        <c:ser>
          <c:idx val="1"/>
          <c:order val="1"/>
          <c:tx>
            <c:v>0621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[1]Sheet1!$L$29:$L$48</c:f>
              <c:numCache>
                <c:formatCode>General</c:formatCode>
                <c:ptCount val="20"/>
                <c:pt idx="0">
                  <c:v>845.185953038996</c:v>
                </c:pt>
                <c:pt idx="1">
                  <c:v>647.7984976327581</c:v>
                </c:pt>
                <c:pt idx="2">
                  <c:v>984.7739866913582</c:v>
                </c:pt>
                <c:pt idx="3">
                  <c:v>898.0250517672838</c:v>
                </c:pt>
                <c:pt idx="4">
                  <c:v>862.110003839547</c:v>
                </c:pt>
                <c:pt idx="5">
                  <c:v>958.5072617488755</c:v>
                </c:pt>
                <c:pt idx="6">
                  <c:v>917.4589191985802</c:v>
                </c:pt>
                <c:pt idx="7">
                  <c:v>927.4918852239208</c:v>
                </c:pt>
                <c:pt idx="8">
                  <c:v>848.8431656429153</c:v>
                </c:pt>
                <c:pt idx="9">
                  <c:v>801.4731705229607</c:v>
                </c:pt>
                <c:pt idx="10">
                  <c:v>700.4476494848401</c:v>
                </c:pt>
                <c:pt idx="11">
                  <c:v>656.2509781032902</c:v>
                </c:pt>
                <c:pt idx="12">
                  <c:v>624.3049883547188</c:v>
                </c:pt>
                <c:pt idx="13">
                  <c:v>587.0303517208618</c:v>
                </c:pt>
                <c:pt idx="14">
                  <c:v>600.0022131343187</c:v>
                </c:pt>
                <c:pt idx="15">
                  <c:v>642.110182861001</c:v>
                </c:pt>
                <c:pt idx="16">
                  <c:v>710.9684068102684</c:v>
                </c:pt>
                <c:pt idx="17">
                  <c:v>741.146916253623</c:v>
                </c:pt>
                <c:pt idx="18">
                  <c:v>713.6383496505155</c:v>
                </c:pt>
                <c:pt idx="19">
                  <c:v>758.461355279927</c:v>
                </c:pt>
              </c:numCache>
            </c:numRef>
          </c:val>
        </c:ser>
        <c:marker val="1"/>
        <c:axId val="462756664"/>
        <c:axId val="473335544"/>
      </c:lineChart>
      <c:catAx>
        <c:axId val="462756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73335544"/>
        <c:crosses val="autoZero"/>
        <c:auto val="1"/>
        <c:lblAlgn val="ctr"/>
        <c:lblOffset val="100"/>
      </c:catAx>
      <c:valAx>
        <c:axId val="473335544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6275666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U vs depth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0621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[1]Sheet1!$N$5:$N$24</c:f>
              <c:numCache>
                <c:formatCode>General</c:formatCode>
                <c:ptCount val="20"/>
                <c:pt idx="0">
                  <c:v>401.4014111376564</c:v>
                </c:pt>
                <c:pt idx="1">
                  <c:v>292.292174943458</c:v>
                </c:pt>
                <c:pt idx="2">
                  <c:v>348.224976841266</c:v>
                </c:pt>
                <c:pt idx="3">
                  <c:v>574.0662158395373</c:v>
                </c:pt>
                <c:pt idx="4">
                  <c:v>620.1833699603727</c:v>
                </c:pt>
                <c:pt idx="5">
                  <c:v>509.6560356315568</c:v>
                </c:pt>
                <c:pt idx="6">
                  <c:v>472.7958624186397</c:v>
                </c:pt>
                <c:pt idx="7">
                  <c:v>466.2806489439076</c:v>
                </c:pt>
                <c:pt idx="8">
                  <c:v>424.2494881919615</c:v>
                </c:pt>
                <c:pt idx="9">
                  <c:v>412.3746230497883</c:v>
                </c:pt>
                <c:pt idx="10">
                  <c:v>394.7779599324442</c:v>
                </c:pt>
                <c:pt idx="11">
                  <c:v>393.0062937690529</c:v>
                </c:pt>
                <c:pt idx="12">
                  <c:v>438.2632072953606</c:v>
                </c:pt>
                <c:pt idx="13">
                  <c:v>472.715651685555</c:v>
                </c:pt>
                <c:pt idx="14">
                  <c:v>495.5717454861072</c:v>
                </c:pt>
                <c:pt idx="15">
                  <c:v>522.610795645266</c:v>
                </c:pt>
                <c:pt idx="16">
                  <c:v>585.1874495867912</c:v>
                </c:pt>
                <c:pt idx="17">
                  <c:v>603.7895772625533</c:v>
                </c:pt>
                <c:pt idx="18">
                  <c:v>629.2579741667038</c:v>
                </c:pt>
                <c:pt idx="19">
                  <c:v>657.372804737347</c:v>
                </c:pt>
              </c:numCache>
            </c:numRef>
          </c:val>
        </c:ser>
        <c:ser>
          <c:idx val="1"/>
          <c:order val="1"/>
          <c:tx>
            <c:v>0621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[1]Sheet1!$A$29:$A$48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[1]Sheet1!$N$29:$N$48</c:f>
              <c:numCache>
                <c:formatCode>General</c:formatCode>
                <c:ptCount val="20"/>
                <c:pt idx="0">
                  <c:v>629.5881432739098</c:v>
                </c:pt>
                <c:pt idx="1">
                  <c:v>1052.094650762716</c:v>
                </c:pt>
                <c:pt idx="2">
                  <c:v>625.3217774181823</c:v>
                </c:pt>
                <c:pt idx="3">
                  <c:v>439.5374676252309</c:v>
                </c:pt>
                <c:pt idx="4">
                  <c:v>357.2515137877425</c:v>
                </c:pt>
                <c:pt idx="5">
                  <c:v>308.4847167690717</c:v>
                </c:pt>
                <c:pt idx="6">
                  <c:v>281.0985962409207</c:v>
                </c:pt>
                <c:pt idx="7">
                  <c:v>273.3195410488192</c:v>
                </c:pt>
                <c:pt idx="8">
                  <c:v>248.5189150252842</c:v>
                </c:pt>
                <c:pt idx="9">
                  <c:v>233.6900602826134</c:v>
                </c:pt>
                <c:pt idx="10">
                  <c:v>214.3807597111409</c:v>
                </c:pt>
                <c:pt idx="11">
                  <c:v>201.5741958363852</c:v>
                </c:pt>
                <c:pt idx="12">
                  <c:v>192.5578938723312</c:v>
                </c:pt>
                <c:pt idx="13">
                  <c:v>181.8083711821206</c:v>
                </c:pt>
                <c:pt idx="14">
                  <c:v>186.6054960428492</c:v>
                </c:pt>
                <c:pt idx="15">
                  <c:v>195.6643268735874</c:v>
                </c:pt>
                <c:pt idx="16">
                  <c:v>222.2160125268751</c:v>
                </c:pt>
                <c:pt idx="17">
                  <c:v>242.5417008038065</c:v>
                </c:pt>
                <c:pt idx="18">
                  <c:v>237.8356854390103</c:v>
                </c:pt>
                <c:pt idx="19">
                  <c:v>258.9960549910341</c:v>
                </c:pt>
              </c:numCache>
            </c:numRef>
          </c:val>
        </c:ser>
        <c:marker val="1"/>
        <c:axId val="484797784"/>
        <c:axId val="615956232"/>
      </c:lineChart>
      <c:catAx>
        <c:axId val="484797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615956232"/>
        <c:crosses val="autoZero"/>
        <c:auto val="1"/>
        <c:lblAlgn val="ctr"/>
        <c:lblOffset val="100"/>
      </c:catAx>
      <c:valAx>
        <c:axId val="61595623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8479778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Ti Thermometry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03118m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[2]Sheet1!$C$5:$C$24</c:f>
              <c:numCache>
                <c:formatCode>General</c:formatCode>
                <c:ptCount val="20"/>
                <c:pt idx="0">
                  <c:v>662.9750438997489</c:v>
                </c:pt>
                <c:pt idx="1">
                  <c:v>664.4165159313954</c:v>
                </c:pt>
                <c:pt idx="2">
                  <c:v>654.477553494702</c:v>
                </c:pt>
                <c:pt idx="3">
                  <c:v>649.3178867338414</c:v>
                </c:pt>
                <c:pt idx="4">
                  <c:v>645.5374373309973</c:v>
                </c:pt>
                <c:pt idx="5">
                  <c:v>636.3341924449165</c:v>
                </c:pt>
                <c:pt idx="6">
                  <c:v>628.7661003187916</c:v>
                </c:pt>
                <c:pt idx="7">
                  <c:v>624.6113267479745</c:v>
                </c:pt>
                <c:pt idx="8">
                  <c:v>611.5200090802621</c:v>
                </c:pt>
                <c:pt idx="9">
                  <c:v>611.1499957006692</c:v>
                </c:pt>
                <c:pt idx="10">
                  <c:v>605.6562579040366</c:v>
                </c:pt>
                <c:pt idx="11">
                  <c:v>599.189510643038</c:v>
                </c:pt>
                <c:pt idx="12">
                  <c:v>601.0825691648325</c:v>
                </c:pt>
                <c:pt idx="13">
                  <c:v>602.8856053957097</c:v>
                </c:pt>
                <c:pt idx="14">
                  <c:v>601.0262384915543</c:v>
                </c:pt>
                <c:pt idx="15">
                  <c:v>596.4688347656881</c:v>
                </c:pt>
                <c:pt idx="16">
                  <c:v>600.4168851699532</c:v>
                </c:pt>
                <c:pt idx="17">
                  <c:v>598.5657740678824</c:v>
                </c:pt>
                <c:pt idx="18">
                  <c:v>601.1531050227962</c:v>
                </c:pt>
                <c:pt idx="19">
                  <c:v>607.9516815551844</c:v>
                </c:pt>
              </c:numCache>
            </c:numRef>
          </c:val>
        </c:ser>
        <c:ser>
          <c:idx val="1"/>
          <c:order val="1"/>
          <c:tx>
            <c:v>03118m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[2]Sheet1!$C$29:$C$48</c:f>
              <c:numCache>
                <c:formatCode>General</c:formatCode>
                <c:ptCount val="20"/>
                <c:pt idx="0">
                  <c:v>611.5774721028153</c:v>
                </c:pt>
                <c:pt idx="1">
                  <c:v>618.4916120927948</c:v>
                </c:pt>
                <c:pt idx="2">
                  <c:v>613.8681780219943</c:v>
                </c:pt>
                <c:pt idx="3">
                  <c:v>615.5923551875971</c:v>
                </c:pt>
                <c:pt idx="4">
                  <c:v>616.3412562196066</c:v>
                </c:pt>
                <c:pt idx="5">
                  <c:v>619.2666087698457</c:v>
                </c:pt>
                <c:pt idx="6">
                  <c:v>619.9826938542866</c:v>
                </c:pt>
                <c:pt idx="7">
                  <c:v>623.2426585259957</c:v>
                </c:pt>
                <c:pt idx="8">
                  <c:v>621.7663431749328</c:v>
                </c:pt>
                <c:pt idx="9">
                  <c:v>618.9648837505952</c:v>
                </c:pt>
                <c:pt idx="10">
                  <c:v>620.5014365713475</c:v>
                </c:pt>
                <c:pt idx="11">
                  <c:v>629.1276663397355</c:v>
                </c:pt>
                <c:pt idx="12">
                  <c:v>639.2146773423098</c:v>
                </c:pt>
                <c:pt idx="13">
                  <c:v>654.6712450064301</c:v>
                </c:pt>
                <c:pt idx="14">
                  <c:v>657.5051726974743</c:v>
                </c:pt>
                <c:pt idx="15">
                  <c:v>658.8462477376016</c:v>
                </c:pt>
                <c:pt idx="16">
                  <c:v>658.2372061567828</c:v>
                </c:pt>
                <c:pt idx="17">
                  <c:v>662.4120562145342</c:v>
                </c:pt>
                <c:pt idx="18">
                  <c:v>666.525124288475</c:v>
                </c:pt>
                <c:pt idx="19">
                  <c:v>669.8550695805246</c:v>
                </c:pt>
              </c:numCache>
            </c:numRef>
          </c:val>
        </c:ser>
        <c:ser>
          <c:idx val="2"/>
          <c:order val="2"/>
          <c:tx>
            <c:v>03118m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[2]Sheet1!$C$53:$C$72</c:f>
              <c:numCache>
                <c:formatCode>General</c:formatCode>
                <c:ptCount val="20"/>
                <c:pt idx="0">
                  <c:v>659.6434884798427</c:v>
                </c:pt>
                <c:pt idx="1">
                  <c:v>630.2441579193862</c:v>
                </c:pt>
                <c:pt idx="2">
                  <c:v>615.0833119968513</c:v>
                </c:pt>
                <c:pt idx="3">
                  <c:v>602.0484345800282</c:v>
                </c:pt>
                <c:pt idx="4">
                  <c:v>597.7305157021311</c:v>
                </c:pt>
                <c:pt idx="5">
                  <c:v>593.9675229173533</c:v>
                </c:pt>
                <c:pt idx="6">
                  <c:v>594.8237647977453</c:v>
                </c:pt>
                <c:pt idx="7">
                  <c:v>623.0603072994695</c:v>
                </c:pt>
                <c:pt idx="8">
                  <c:v>632.9865312566528</c:v>
                </c:pt>
                <c:pt idx="9">
                  <c:v>638.322314186893</c:v>
                </c:pt>
                <c:pt idx="10">
                  <c:v>649.5380328375646</c:v>
                </c:pt>
                <c:pt idx="11">
                  <c:v>647.6922842828601</c:v>
                </c:pt>
                <c:pt idx="12">
                  <c:v>651.3764447601724</c:v>
                </c:pt>
                <c:pt idx="13">
                  <c:v>652.4964276497442</c:v>
                </c:pt>
                <c:pt idx="14">
                  <c:v>647.7641017729963</c:v>
                </c:pt>
                <c:pt idx="15">
                  <c:v>646.8762954909206</c:v>
                </c:pt>
                <c:pt idx="16">
                  <c:v>652.0471037361368</c:v>
                </c:pt>
                <c:pt idx="17">
                  <c:v>651.0266112620735</c:v>
                </c:pt>
                <c:pt idx="18">
                  <c:v>648.8627663784584</c:v>
                </c:pt>
                <c:pt idx="19">
                  <c:v>650.9918218205395</c:v>
                </c:pt>
              </c:numCache>
            </c:numRef>
          </c:val>
        </c:ser>
        <c:ser>
          <c:idx val="3"/>
          <c:order val="3"/>
          <c:tx>
            <c:v>03118m DP5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C8B0ED"/>
                  </a:gs>
                  <a:gs pos="100000">
                    <a:srgbClr val="7F5BAB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[2]Sheet1!$C$77:$C$96</c:f>
              <c:numCache>
                <c:formatCode>General</c:formatCode>
                <c:ptCount val="20"/>
                <c:pt idx="0">
                  <c:v>664.7066951639878</c:v>
                </c:pt>
                <c:pt idx="1">
                  <c:v>667.5986470936513</c:v>
                </c:pt>
                <c:pt idx="2">
                  <c:v>645.877555726523</c:v>
                </c:pt>
                <c:pt idx="3">
                  <c:v>643.603654649307</c:v>
                </c:pt>
                <c:pt idx="4">
                  <c:v>639.8470078391961</c:v>
                </c:pt>
                <c:pt idx="5">
                  <c:v>632.8247150819692</c:v>
                </c:pt>
                <c:pt idx="6">
                  <c:v>626.1556301051357</c:v>
                </c:pt>
                <c:pt idx="7">
                  <c:v>629.0457898271506</c:v>
                </c:pt>
                <c:pt idx="8">
                  <c:v>629.9318188757468</c:v>
                </c:pt>
                <c:pt idx="9">
                  <c:v>636.4317295184723</c:v>
                </c:pt>
                <c:pt idx="10">
                  <c:v>630.9760619104724</c:v>
                </c:pt>
                <c:pt idx="11">
                  <c:v>636.0410543583801</c:v>
                </c:pt>
                <c:pt idx="12">
                  <c:v>637.7981062786916</c:v>
                </c:pt>
                <c:pt idx="13">
                  <c:v>656.4497092927921</c:v>
                </c:pt>
                <c:pt idx="14">
                  <c:v>675.393549198538</c:v>
                </c:pt>
                <c:pt idx="15">
                  <c:v>691.941448366445</c:v>
                </c:pt>
                <c:pt idx="16">
                  <c:v>700.8288675194249</c:v>
                </c:pt>
                <c:pt idx="17">
                  <c:v>688.7177715803262</c:v>
                </c:pt>
                <c:pt idx="18">
                  <c:v>685.2928165751685</c:v>
                </c:pt>
                <c:pt idx="19">
                  <c:v>680.9779794843736</c:v>
                </c:pt>
              </c:numCache>
            </c:numRef>
          </c:val>
        </c:ser>
        <c:marker val="1"/>
        <c:axId val="614422280"/>
        <c:axId val="614218104"/>
      </c:lineChart>
      <c:catAx>
        <c:axId val="614422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614218104"/>
        <c:crosses val="autoZero"/>
        <c:auto val="1"/>
        <c:lblAlgn val="ctr"/>
        <c:lblOffset val="100"/>
      </c:catAx>
      <c:valAx>
        <c:axId val="614218104"/>
        <c:scaling>
          <c:orientation val="minMax"/>
          <c:min val="580.0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61442228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U-Pb Age vs Depth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03118m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[2]Sheet1!$R$5:$R$24</c:f>
              <c:numCache>
                <c:formatCode>General</c:formatCode>
                <c:ptCount val="20"/>
                <c:pt idx="0">
                  <c:v>3.14611</c:v>
                </c:pt>
                <c:pt idx="1">
                  <c:v>2.71652</c:v>
                </c:pt>
                <c:pt idx="2">
                  <c:v>2.08623</c:v>
                </c:pt>
                <c:pt idx="3">
                  <c:v>3.4588</c:v>
                </c:pt>
                <c:pt idx="4">
                  <c:v>3.81185</c:v>
                </c:pt>
                <c:pt idx="5">
                  <c:v>1.79575</c:v>
                </c:pt>
                <c:pt idx="6">
                  <c:v>5.05591</c:v>
                </c:pt>
                <c:pt idx="7">
                  <c:v>3.08631</c:v>
                </c:pt>
                <c:pt idx="8">
                  <c:v>4.8402</c:v>
                </c:pt>
                <c:pt idx="9">
                  <c:v>4.24699</c:v>
                </c:pt>
                <c:pt idx="10">
                  <c:v>3.0556</c:v>
                </c:pt>
                <c:pt idx="11">
                  <c:v>4.9729</c:v>
                </c:pt>
                <c:pt idx="12">
                  <c:v>4.22263</c:v>
                </c:pt>
                <c:pt idx="13">
                  <c:v>6.20508</c:v>
                </c:pt>
                <c:pt idx="14">
                  <c:v>5.57448</c:v>
                </c:pt>
                <c:pt idx="15">
                  <c:v>10.7478</c:v>
                </c:pt>
                <c:pt idx="16">
                  <c:v>19.9576</c:v>
                </c:pt>
                <c:pt idx="17">
                  <c:v>31.591</c:v>
                </c:pt>
                <c:pt idx="18">
                  <c:v>32.2953</c:v>
                </c:pt>
                <c:pt idx="19">
                  <c:v>39.832</c:v>
                </c:pt>
              </c:numCache>
            </c:numRef>
          </c:val>
        </c:ser>
        <c:ser>
          <c:idx val="1"/>
          <c:order val="1"/>
          <c:tx>
            <c:v>03118m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[2]Sheet1!$R$29:$R$48</c:f>
              <c:numCache>
                <c:formatCode>General</c:formatCode>
                <c:ptCount val="20"/>
                <c:pt idx="0">
                  <c:v>2.67107</c:v>
                </c:pt>
                <c:pt idx="1">
                  <c:v>2.33175</c:v>
                </c:pt>
                <c:pt idx="2">
                  <c:v>2.72036</c:v>
                </c:pt>
                <c:pt idx="3">
                  <c:v>3.05417</c:v>
                </c:pt>
                <c:pt idx="4">
                  <c:v>2.7248</c:v>
                </c:pt>
                <c:pt idx="5">
                  <c:v>1.35742</c:v>
                </c:pt>
                <c:pt idx="6">
                  <c:v>1.58095</c:v>
                </c:pt>
                <c:pt idx="7">
                  <c:v>1.51151</c:v>
                </c:pt>
                <c:pt idx="8">
                  <c:v>1.70136</c:v>
                </c:pt>
                <c:pt idx="9">
                  <c:v>2.12888</c:v>
                </c:pt>
                <c:pt idx="10">
                  <c:v>2.32196</c:v>
                </c:pt>
                <c:pt idx="11">
                  <c:v>7.33193</c:v>
                </c:pt>
                <c:pt idx="12">
                  <c:v>13.3625</c:v>
                </c:pt>
                <c:pt idx="13">
                  <c:v>21.9453</c:v>
                </c:pt>
                <c:pt idx="14">
                  <c:v>25.8084</c:v>
                </c:pt>
                <c:pt idx="15">
                  <c:v>29.6771</c:v>
                </c:pt>
                <c:pt idx="16">
                  <c:v>36.0004</c:v>
                </c:pt>
                <c:pt idx="17">
                  <c:v>38.2556</c:v>
                </c:pt>
                <c:pt idx="18">
                  <c:v>42.1377</c:v>
                </c:pt>
                <c:pt idx="19">
                  <c:v>39.7967</c:v>
                </c:pt>
              </c:numCache>
            </c:numRef>
          </c:val>
        </c:ser>
        <c:ser>
          <c:idx val="2"/>
          <c:order val="2"/>
          <c:tx>
            <c:v>03118m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[2]Sheet1!$R$53:$R$72</c:f>
              <c:numCache>
                <c:formatCode>General</c:formatCode>
                <c:ptCount val="20"/>
                <c:pt idx="0">
                  <c:v>4.65258</c:v>
                </c:pt>
                <c:pt idx="1">
                  <c:v>3.12026</c:v>
                </c:pt>
                <c:pt idx="2">
                  <c:v>3.88169</c:v>
                </c:pt>
                <c:pt idx="3">
                  <c:v>3.06705</c:v>
                </c:pt>
                <c:pt idx="4">
                  <c:v>4.98966</c:v>
                </c:pt>
                <c:pt idx="5">
                  <c:v>3.76335</c:v>
                </c:pt>
                <c:pt idx="6">
                  <c:v>33.9419</c:v>
                </c:pt>
                <c:pt idx="7">
                  <c:v>65.63630000000001</c:v>
                </c:pt>
                <c:pt idx="8">
                  <c:v>73.4349</c:v>
                </c:pt>
                <c:pt idx="9">
                  <c:v>73.7268</c:v>
                </c:pt>
                <c:pt idx="10">
                  <c:v>76.0354</c:v>
                </c:pt>
                <c:pt idx="11">
                  <c:v>77.3621</c:v>
                </c:pt>
                <c:pt idx="12">
                  <c:v>74.3523</c:v>
                </c:pt>
                <c:pt idx="13">
                  <c:v>77.7541</c:v>
                </c:pt>
                <c:pt idx="14">
                  <c:v>81.878</c:v>
                </c:pt>
                <c:pt idx="15">
                  <c:v>81.5235</c:v>
                </c:pt>
                <c:pt idx="16">
                  <c:v>75.9307</c:v>
                </c:pt>
                <c:pt idx="17">
                  <c:v>73.5035</c:v>
                </c:pt>
                <c:pt idx="18">
                  <c:v>74.2267</c:v>
                </c:pt>
                <c:pt idx="19">
                  <c:v>70.11839999999999</c:v>
                </c:pt>
              </c:numCache>
            </c:numRef>
          </c:val>
        </c:ser>
        <c:ser>
          <c:idx val="3"/>
          <c:order val="3"/>
          <c:tx>
            <c:v>03118m DP5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C8B0ED"/>
                  </a:gs>
                  <a:gs pos="100000">
                    <a:srgbClr val="7F5BAB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[2]Sheet1!$R$77:$R$96</c:f>
              <c:numCache>
                <c:formatCode>General</c:formatCode>
                <c:ptCount val="20"/>
                <c:pt idx="0">
                  <c:v>5.44765</c:v>
                </c:pt>
                <c:pt idx="1">
                  <c:v>4.2802</c:v>
                </c:pt>
                <c:pt idx="2">
                  <c:v>4.36049</c:v>
                </c:pt>
                <c:pt idx="3">
                  <c:v>6.30676</c:v>
                </c:pt>
                <c:pt idx="4">
                  <c:v>3.39918</c:v>
                </c:pt>
                <c:pt idx="5">
                  <c:v>1.86297</c:v>
                </c:pt>
                <c:pt idx="6">
                  <c:v>4.62461</c:v>
                </c:pt>
                <c:pt idx="7">
                  <c:v>27.7615</c:v>
                </c:pt>
                <c:pt idx="8">
                  <c:v>50.9161</c:v>
                </c:pt>
                <c:pt idx="9">
                  <c:v>59.8812</c:v>
                </c:pt>
                <c:pt idx="10">
                  <c:v>60.2651</c:v>
                </c:pt>
                <c:pt idx="11">
                  <c:v>61.9296</c:v>
                </c:pt>
                <c:pt idx="12">
                  <c:v>59.9948</c:v>
                </c:pt>
                <c:pt idx="13">
                  <c:v>57.7172</c:v>
                </c:pt>
                <c:pt idx="14">
                  <c:v>54.1697</c:v>
                </c:pt>
                <c:pt idx="15">
                  <c:v>47.7559</c:v>
                </c:pt>
                <c:pt idx="16">
                  <c:v>50.2398</c:v>
                </c:pt>
                <c:pt idx="17">
                  <c:v>55.8567</c:v>
                </c:pt>
                <c:pt idx="18">
                  <c:v>60.5181</c:v>
                </c:pt>
                <c:pt idx="19">
                  <c:v>56.1047</c:v>
                </c:pt>
              </c:numCache>
            </c:numRef>
          </c:val>
        </c:ser>
        <c:marker val="1"/>
        <c:axId val="473369432"/>
        <c:axId val="615744872"/>
      </c:lineChart>
      <c:catAx>
        <c:axId val="473369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Block Number (5 cycles each)</a:t>
                </a:r>
              </a:p>
            </c:rich>
          </c:tx>
          <c:layout>
            <c:manualLayout>
              <c:xMode val="edge"/>
              <c:yMode val="edge"/>
              <c:x val="0.350989095605951"/>
              <c:y val="0.93275862068965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/>
          <a:lstStyle/>
          <a:p>
            <a:pPr>
              <a:defRPr b="1" i="0"/>
            </a:pPr>
            <a:endParaRPr lang="en-US"/>
          </a:p>
        </c:txPr>
        <c:crossAx val="615744872"/>
        <c:crosses val="autoZero"/>
        <c:auto val="1"/>
        <c:lblAlgn val="ctr"/>
        <c:lblOffset val="100"/>
      </c:catAx>
      <c:valAx>
        <c:axId val="61574487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206Pb/238U Age (Ma)</a:t>
                </a:r>
              </a:p>
            </c:rich>
          </c:tx>
          <c:layout>
            <c:manualLayout>
              <c:xMode val="edge"/>
              <c:yMode val="edge"/>
              <c:x val="0.00946372239747634"/>
              <c:y val="0.311962847316499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/>
          <a:lstStyle/>
          <a:p>
            <a:pPr>
              <a:defRPr b="1" i="0"/>
            </a:pPr>
            <a:endParaRPr lang="en-US"/>
          </a:p>
        </c:txPr>
        <c:crossAx val="4733694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ppm Hf vs Depth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03118m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[2]Sheet1!$E$5:$E$24</c:f>
              <c:numCache>
                <c:formatCode>General</c:formatCode>
                <c:ptCount val="20"/>
                <c:pt idx="0">
                  <c:v>16448.1046091082</c:v>
                </c:pt>
                <c:pt idx="1">
                  <c:v>15990.23952455792</c:v>
                </c:pt>
                <c:pt idx="2">
                  <c:v>15624.65935142187</c:v>
                </c:pt>
                <c:pt idx="3">
                  <c:v>15478.19789844729</c:v>
                </c:pt>
                <c:pt idx="4">
                  <c:v>15644.96663353685</c:v>
                </c:pt>
                <c:pt idx="5">
                  <c:v>15737.04185643027</c:v>
                </c:pt>
                <c:pt idx="6">
                  <c:v>15976.44177828627</c:v>
                </c:pt>
                <c:pt idx="7">
                  <c:v>16232.34291281052</c:v>
                </c:pt>
                <c:pt idx="8">
                  <c:v>15682.5229535313</c:v>
                </c:pt>
                <c:pt idx="9">
                  <c:v>16628.11036751499</c:v>
                </c:pt>
                <c:pt idx="10">
                  <c:v>16315.31939624964</c:v>
                </c:pt>
                <c:pt idx="11">
                  <c:v>16151.90617439206</c:v>
                </c:pt>
                <c:pt idx="12">
                  <c:v>16090.5634885348</c:v>
                </c:pt>
                <c:pt idx="13">
                  <c:v>16441.24524420193</c:v>
                </c:pt>
                <c:pt idx="14">
                  <c:v>16060.39041972647</c:v>
                </c:pt>
                <c:pt idx="15">
                  <c:v>15969.21485657448</c:v>
                </c:pt>
                <c:pt idx="16">
                  <c:v>16407.28088004474</c:v>
                </c:pt>
                <c:pt idx="17">
                  <c:v>15943.49125534976</c:v>
                </c:pt>
                <c:pt idx="18">
                  <c:v>16254.42377664843</c:v>
                </c:pt>
                <c:pt idx="19">
                  <c:v>16090.23473131238</c:v>
                </c:pt>
              </c:numCache>
            </c:numRef>
          </c:val>
        </c:ser>
        <c:ser>
          <c:idx val="1"/>
          <c:order val="1"/>
          <c:tx>
            <c:v>03118m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[2]Sheet1!$E$29:$E$48</c:f>
              <c:numCache>
                <c:formatCode>General</c:formatCode>
                <c:ptCount val="20"/>
                <c:pt idx="0">
                  <c:v>17083.73836789154</c:v>
                </c:pt>
                <c:pt idx="1">
                  <c:v>17855.59391612776</c:v>
                </c:pt>
                <c:pt idx="2">
                  <c:v>17440.4734952347</c:v>
                </c:pt>
                <c:pt idx="3">
                  <c:v>16797.42734028936</c:v>
                </c:pt>
                <c:pt idx="4">
                  <c:v>17127.14583206561</c:v>
                </c:pt>
                <c:pt idx="5">
                  <c:v>17237.258729126</c:v>
                </c:pt>
                <c:pt idx="6">
                  <c:v>17178.31736558835</c:v>
                </c:pt>
                <c:pt idx="7">
                  <c:v>17785.27503305268</c:v>
                </c:pt>
                <c:pt idx="8">
                  <c:v>17425.2276517707</c:v>
                </c:pt>
                <c:pt idx="9">
                  <c:v>17842.50338617328</c:v>
                </c:pt>
                <c:pt idx="10">
                  <c:v>17339.12668159519</c:v>
                </c:pt>
                <c:pt idx="11">
                  <c:v>17428.69786896674</c:v>
                </c:pt>
                <c:pt idx="12">
                  <c:v>17085.99154198504</c:v>
                </c:pt>
                <c:pt idx="13">
                  <c:v>17183.14122804329</c:v>
                </c:pt>
                <c:pt idx="14">
                  <c:v>16766.00501920097</c:v>
                </c:pt>
                <c:pt idx="15">
                  <c:v>16232.23600401172</c:v>
                </c:pt>
                <c:pt idx="16">
                  <c:v>15901.26529239929</c:v>
                </c:pt>
                <c:pt idx="17">
                  <c:v>15839.25492493325</c:v>
                </c:pt>
                <c:pt idx="18">
                  <c:v>15381.59377079154</c:v>
                </c:pt>
                <c:pt idx="19">
                  <c:v>15619.38222819972</c:v>
                </c:pt>
              </c:numCache>
            </c:numRef>
          </c:val>
        </c:ser>
        <c:ser>
          <c:idx val="2"/>
          <c:order val="2"/>
          <c:tx>
            <c:v>03118m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[2]Sheet1!$E$53:$E$72</c:f>
              <c:numCache>
                <c:formatCode>General</c:formatCode>
                <c:ptCount val="20"/>
                <c:pt idx="0">
                  <c:v>15133.59306797234</c:v>
                </c:pt>
                <c:pt idx="1">
                  <c:v>15042.2109430689</c:v>
                </c:pt>
                <c:pt idx="2">
                  <c:v>15116.83093265178</c:v>
                </c:pt>
                <c:pt idx="3">
                  <c:v>14692.56582430322</c:v>
                </c:pt>
                <c:pt idx="4">
                  <c:v>14899.22871747023</c:v>
                </c:pt>
                <c:pt idx="5">
                  <c:v>15274.99457818261</c:v>
                </c:pt>
                <c:pt idx="6">
                  <c:v>14596.2282107708</c:v>
                </c:pt>
                <c:pt idx="7">
                  <c:v>14953.94370607474</c:v>
                </c:pt>
                <c:pt idx="8">
                  <c:v>15112.96544898511</c:v>
                </c:pt>
                <c:pt idx="9">
                  <c:v>15429.14856215867</c:v>
                </c:pt>
                <c:pt idx="10">
                  <c:v>15341.72492777901</c:v>
                </c:pt>
                <c:pt idx="11">
                  <c:v>15197.51612969367</c:v>
                </c:pt>
                <c:pt idx="12">
                  <c:v>15576.04717049414</c:v>
                </c:pt>
                <c:pt idx="13">
                  <c:v>15585.5634918202</c:v>
                </c:pt>
                <c:pt idx="14">
                  <c:v>15577.73445395136</c:v>
                </c:pt>
                <c:pt idx="15">
                  <c:v>15928.83744446299</c:v>
                </c:pt>
                <c:pt idx="16">
                  <c:v>17518.25542044911</c:v>
                </c:pt>
                <c:pt idx="17">
                  <c:v>17079.92655124403</c:v>
                </c:pt>
                <c:pt idx="18">
                  <c:v>17070.63441893186</c:v>
                </c:pt>
                <c:pt idx="19">
                  <c:v>17827.68670976677</c:v>
                </c:pt>
              </c:numCache>
            </c:numRef>
          </c:val>
        </c:ser>
        <c:ser>
          <c:idx val="3"/>
          <c:order val="3"/>
          <c:tx>
            <c:v>03118m DP5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C8B0ED"/>
                  </a:gs>
                  <a:gs pos="100000">
                    <a:srgbClr val="7F5BAB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[2]Sheet1!$E$77:$E$96</c:f>
              <c:numCache>
                <c:formatCode>General</c:formatCode>
                <c:ptCount val="20"/>
                <c:pt idx="0">
                  <c:v>14760.09283477494</c:v>
                </c:pt>
                <c:pt idx="1">
                  <c:v>14769.96538960314</c:v>
                </c:pt>
                <c:pt idx="2">
                  <c:v>14448.11157006082</c:v>
                </c:pt>
                <c:pt idx="3">
                  <c:v>14957.37503601992</c:v>
                </c:pt>
                <c:pt idx="4">
                  <c:v>15244.89445785413</c:v>
                </c:pt>
                <c:pt idx="5">
                  <c:v>15226.08978529603</c:v>
                </c:pt>
                <c:pt idx="6">
                  <c:v>15112.88225097962</c:v>
                </c:pt>
                <c:pt idx="7">
                  <c:v>16002.17016909053</c:v>
                </c:pt>
                <c:pt idx="8">
                  <c:v>16205.09892021657</c:v>
                </c:pt>
                <c:pt idx="9">
                  <c:v>16492.59823379983</c:v>
                </c:pt>
                <c:pt idx="10">
                  <c:v>17390.51469205655</c:v>
                </c:pt>
                <c:pt idx="11">
                  <c:v>17902.101815274</c:v>
                </c:pt>
                <c:pt idx="12">
                  <c:v>18031.3358424755</c:v>
                </c:pt>
                <c:pt idx="13">
                  <c:v>18759.96290732964</c:v>
                </c:pt>
                <c:pt idx="14">
                  <c:v>19118.01859462373</c:v>
                </c:pt>
                <c:pt idx="15">
                  <c:v>18986.05812364617</c:v>
                </c:pt>
                <c:pt idx="16">
                  <c:v>19986.34856110793</c:v>
                </c:pt>
                <c:pt idx="17">
                  <c:v>19208.8369175419</c:v>
                </c:pt>
                <c:pt idx="18">
                  <c:v>18838.07110894312</c:v>
                </c:pt>
                <c:pt idx="19">
                  <c:v>19404.82412629084</c:v>
                </c:pt>
              </c:numCache>
            </c:numRef>
          </c:val>
        </c:ser>
        <c:marker val="1"/>
        <c:axId val="491896360"/>
        <c:axId val="462713704"/>
      </c:lineChart>
      <c:catAx>
        <c:axId val="491896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62713704"/>
        <c:crosses val="autoZero"/>
        <c:auto val="1"/>
        <c:lblAlgn val="ctr"/>
        <c:lblOffset val="100"/>
      </c:catAx>
      <c:valAx>
        <c:axId val="462713704"/>
        <c:scaling>
          <c:orientation val="minMax"/>
          <c:min val="12000.0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ppm Hf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9189636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ppm Y vs depth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03118m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[2]Sheet1!$L$5:$L$24</c:f>
              <c:numCache>
                <c:formatCode>General</c:formatCode>
                <c:ptCount val="20"/>
                <c:pt idx="0">
                  <c:v>154.1653414326452</c:v>
                </c:pt>
                <c:pt idx="1">
                  <c:v>109.7496650699033</c:v>
                </c:pt>
                <c:pt idx="2">
                  <c:v>86.00218469811093</c:v>
                </c:pt>
                <c:pt idx="3">
                  <c:v>72.75468859065084</c:v>
                </c:pt>
                <c:pt idx="4">
                  <c:v>63.32394548334128</c:v>
                </c:pt>
                <c:pt idx="5">
                  <c:v>56.57872489130455</c:v>
                </c:pt>
                <c:pt idx="6">
                  <c:v>52.47070050965461</c:v>
                </c:pt>
                <c:pt idx="7">
                  <c:v>49.1322024721123</c:v>
                </c:pt>
                <c:pt idx="8">
                  <c:v>42.54760414476593</c:v>
                </c:pt>
                <c:pt idx="9">
                  <c:v>45.89949837279576</c:v>
                </c:pt>
                <c:pt idx="10">
                  <c:v>40.0381580299527</c:v>
                </c:pt>
                <c:pt idx="11">
                  <c:v>38.6341666140961</c:v>
                </c:pt>
                <c:pt idx="12">
                  <c:v>36.87929385290876</c:v>
                </c:pt>
                <c:pt idx="13">
                  <c:v>36.26966518612237</c:v>
                </c:pt>
                <c:pt idx="14">
                  <c:v>32.71120926104197</c:v>
                </c:pt>
                <c:pt idx="15">
                  <c:v>38.88248913869308</c:v>
                </c:pt>
                <c:pt idx="16">
                  <c:v>107.629731809801</c:v>
                </c:pt>
                <c:pt idx="17">
                  <c:v>183.2142325625372</c:v>
                </c:pt>
                <c:pt idx="18">
                  <c:v>275.2953582030111</c:v>
                </c:pt>
                <c:pt idx="19">
                  <c:v>350.2668191864616</c:v>
                </c:pt>
              </c:numCache>
            </c:numRef>
          </c:val>
        </c:ser>
        <c:ser>
          <c:idx val="1"/>
          <c:order val="1"/>
          <c:tx>
            <c:v>03118m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[2]Sheet1!$L$29:$L$48</c:f>
              <c:numCache>
                <c:formatCode>General</c:formatCode>
                <c:ptCount val="20"/>
                <c:pt idx="0">
                  <c:v>1536.102779310891</c:v>
                </c:pt>
                <c:pt idx="1">
                  <c:v>1517.560774029178</c:v>
                </c:pt>
                <c:pt idx="2">
                  <c:v>1438.973967561136</c:v>
                </c:pt>
                <c:pt idx="3">
                  <c:v>1349.409199156042</c:v>
                </c:pt>
                <c:pt idx="4">
                  <c:v>1326.191091094464</c:v>
                </c:pt>
                <c:pt idx="5">
                  <c:v>1035.021247032905</c:v>
                </c:pt>
                <c:pt idx="6">
                  <c:v>909.2267359222728</c:v>
                </c:pt>
                <c:pt idx="7">
                  <c:v>816.3658019488006</c:v>
                </c:pt>
                <c:pt idx="8">
                  <c:v>647.659098071348</c:v>
                </c:pt>
                <c:pt idx="9">
                  <c:v>543.5071970269777</c:v>
                </c:pt>
                <c:pt idx="10">
                  <c:v>387.7780868958158</c:v>
                </c:pt>
                <c:pt idx="11">
                  <c:v>425.5436962587108</c:v>
                </c:pt>
                <c:pt idx="12">
                  <c:v>491.1339114516625</c:v>
                </c:pt>
                <c:pt idx="13">
                  <c:v>731.984750388089</c:v>
                </c:pt>
                <c:pt idx="14">
                  <c:v>871.3383966877933</c:v>
                </c:pt>
                <c:pt idx="15">
                  <c:v>913.8160734755548</c:v>
                </c:pt>
                <c:pt idx="16">
                  <c:v>1020.523476821433</c:v>
                </c:pt>
                <c:pt idx="17">
                  <c:v>1148.280372529342</c:v>
                </c:pt>
                <c:pt idx="18">
                  <c:v>1315.838304439701</c:v>
                </c:pt>
                <c:pt idx="19">
                  <c:v>1569.62416286104</c:v>
                </c:pt>
              </c:numCache>
            </c:numRef>
          </c:val>
        </c:ser>
        <c:ser>
          <c:idx val="2"/>
          <c:order val="2"/>
          <c:tx>
            <c:v>03118m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[2]Sheet1!$L$53:$L$72</c:f>
              <c:numCache>
                <c:formatCode>General</c:formatCode>
                <c:ptCount val="20"/>
                <c:pt idx="0">
                  <c:v>94.22072809094162</c:v>
                </c:pt>
                <c:pt idx="1">
                  <c:v>62.13243296099496</c:v>
                </c:pt>
                <c:pt idx="2">
                  <c:v>47.5546837429859</c:v>
                </c:pt>
                <c:pt idx="3">
                  <c:v>37.71541762056655</c:v>
                </c:pt>
                <c:pt idx="4">
                  <c:v>34.33928728530131</c:v>
                </c:pt>
                <c:pt idx="5">
                  <c:v>31.86955367387246</c:v>
                </c:pt>
                <c:pt idx="6">
                  <c:v>86.53098570351327</c:v>
                </c:pt>
                <c:pt idx="7">
                  <c:v>583.2548817065346</c:v>
                </c:pt>
                <c:pt idx="8">
                  <c:v>978.1408899466797</c:v>
                </c:pt>
                <c:pt idx="9">
                  <c:v>1439.128404812495</c:v>
                </c:pt>
                <c:pt idx="10">
                  <c:v>1569.902110573437</c:v>
                </c:pt>
                <c:pt idx="11">
                  <c:v>1803.586888243042</c:v>
                </c:pt>
                <c:pt idx="12">
                  <c:v>1902.297712620567</c:v>
                </c:pt>
                <c:pt idx="13">
                  <c:v>1895.356037562262</c:v>
                </c:pt>
                <c:pt idx="14">
                  <c:v>1933.857221870666</c:v>
                </c:pt>
                <c:pt idx="15">
                  <c:v>1974.493082179897</c:v>
                </c:pt>
                <c:pt idx="16">
                  <c:v>2360.352477473639</c:v>
                </c:pt>
                <c:pt idx="17">
                  <c:v>2525.557158054098</c:v>
                </c:pt>
                <c:pt idx="18">
                  <c:v>2674.597938794085</c:v>
                </c:pt>
                <c:pt idx="19">
                  <c:v>2911.110361256715</c:v>
                </c:pt>
              </c:numCache>
            </c:numRef>
          </c:val>
        </c:ser>
        <c:ser>
          <c:idx val="3"/>
          <c:order val="3"/>
          <c:tx>
            <c:v>03118m DP5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C8B0ED"/>
                  </a:gs>
                  <a:gs pos="100000">
                    <a:srgbClr val="7F5BAB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[2]Sheet1!$L$77:$L$96</c:f>
              <c:numCache>
                <c:formatCode>General</c:formatCode>
                <c:ptCount val="20"/>
                <c:pt idx="0">
                  <c:v>87.75976538846311</c:v>
                </c:pt>
                <c:pt idx="1">
                  <c:v>67.38806519080414</c:v>
                </c:pt>
                <c:pt idx="2">
                  <c:v>63.48535906007165</c:v>
                </c:pt>
                <c:pt idx="3">
                  <c:v>61.64651699473127</c:v>
                </c:pt>
                <c:pt idx="4">
                  <c:v>59.27049823988927</c:v>
                </c:pt>
                <c:pt idx="5">
                  <c:v>57.98272180263177</c:v>
                </c:pt>
                <c:pt idx="6">
                  <c:v>58.49975883853488</c:v>
                </c:pt>
                <c:pt idx="7">
                  <c:v>103.6339851092908</c:v>
                </c:pt>
                <c:pt idx="8">
                  <c:v>334.7897511857518</c:v>
                </c:pt>
                <c:pt idx="9">
                  <c:v>585.1319128967871</c:v>
                </c:pt>
                <c:pt idx="10">
                  <c:v>659.1272462205286</c:v>
                </c:pt>
                <c:pt idx="11">
                  <c:v>901.4742646482697</c:v>
                </c:pt>
                <c:pt idx="12">
                  <c:v>1090.819037755075</c:v>
                </c:pt>
                <c:pt idx="13">
                  <c:v>1763.68593354023</c:v>
                </c:pt>
                <c:pt idx="14">
                  <c:v>3389.714825636507</c:v>
                </c:pt>
                <c:pt idx="15">
                  <c:v>4337.082058637461</c:v>
                </c:pt>
                <c:pt idx="16">
                  <c:v>5182.941076876802</c:v>
                </c:pt>
                <c:pt idx="17">
                  <c:v>4562.67485622986</c:v>
                </c:pt>
                <c:pt idx="18">
                  <c:v>3964.578735371686</c:v>
                </c:pt>
                <c:pt idx="19">
                  <c:v>3635.308496176194</c:v>
                </c:pt>
              </c:numCache>
            </c:numRef>
          </c:val>
        </c:ser>
        <c:marker val="1"/>
        <c:axId val="491713016"/>
        <c:axId val="461465784"/>
      </c:lineChart>
      <c:catAx>
        <c:axId val="491713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61465784"/>
        <c:crosses val="autoZero"/>
        <c:auto val="1"/>
        <c:lblAlgn val="ctr"/>
        <c:lblOffset val="100"/>
      </c:catAx>
      <c:valAx>
        <c:axId val="461465784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917130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U vs depth</a:t>
            </a:r>
          </a:p>
        </c:rich>
      </c:tx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03118m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[2]Sheet1!$N$5:$N$24</c:f>
              <c:numCache>
                <c:formatCode>General</c:formatCode>
                <c:ptCount val="20"/>
                <c:pt idx="0">
                  <c:v>45.6031551018731</c:v>
                </c:pt>
                <c:pt idx="1">
                  <c:v>34.07232688513547</c:v>
                </c:pt>
                <c:pt idx="2">
                  <c:v>28.66613489522872</c:v>
                </c:pt>
                <c:pt idx="3">
                  <c:v>24.04632960128222</c:v>
                </c:pt>
                <c:pt idx="4">
                  <c:v>20.24656148082341</c:v>
                </c:pt>
                <c:pt idx="5">
                  <c:v>24.04864425980747</c:v>
                </c:pt>
                <c:pt idx="6">
                  <c:v>25.79374321997925</c:v>
                </c:pt>
                <c:pt idx="7">
                  <c:v>23.73808769351799</c:v>
                </c:pt>
                <c:pt idx="8">
                  <c:v>19.83465800724405</c:v>
                </c:pt>
                <c:pt idx="9">
                  <c:v>18.54840861550049</c:v>
                </c:pt>
                <c:pt idx="10">
                  <c:v>16.49062471609108</c:v>
                </c:pt>
                <c:pt idx="11">
                  <c:v>14.8787695884153</c:v>
                </c:pt>
                <c:pt idx="12">
                  <c:v>14.31224457291694</c:v>
                </c:pt>
                <c:pt idx="13">
                  <c:v>13.71768932793802</c:v>
                </c:pt>
                <c:pt idx="14">
                  <c:v>12.56408514441031</c:v>
                </c:pt>
                <c:pt idx="15">
                  <c:v>13.22572523888379</c:v>
                </c:pt>
                <c:pt idx="16">
                  <c:v>32.9344285259106</c:v>
                </c:pt>
                <c:pt idx="17">
                  <c:v>49.7341909145938</c:v>
                </c:pt>
                <c:pt idx="18">
                  <c:v>64.55128582395088</c:v>
                </c:pt>
                <c:pt idx="19">
                  <c:v>77.55082389246445</c:v>
                </c:pt>
              </c:numCache>
            </c:numRef>
          </c:val>
        </c:ser>
        <c:ser>
          <c:idx val="1"/>
          <c:order val="1"/>
          <c:tx>
            <c:v>03118m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[2]Sheet1!$N$29:$N$48</c:f>
              <c:numCache>
                <c:formatCode>General</c:formatCode>
                <c:ptCount val="20"/>
                <c:pt idx="0">
                  <c:v>863.9601811468722</c:v>
                </c:pt>
                <c:pt idx="1">
                  <c:v>713.1524198787355</c:v>
                </c:pt>
                <c:pt idx="2">
                  <c:v>624.0648444553888</c:v>
                </c:pt>
                <c:pt idx="3">
                  <c:v>539.087472851651</c:v>
                </c:pt>
                <c:pt idx="4">
                  <c:v>498.370460097958</c:v>
                </c:pt>
                <c:pt idx="5">
                  <c:v>419.7534798305474</c:v>
                </c:pt>
                <c:pt idx="6">
                  <c:v>356.8779566786152</c:v>
                </c:pt>
                <c:pt idx="7">
                  <c:v>314.1231805969928</c:v>
                </c:pt>
                <c:pt idx="8">
                  <c:v>250.4016162052132</c:v>
                </c:pt>
                <c:pt idx="9">
                  <c:v>208.4327156008108</c:v>
                </c:pt>
                <c:pt idx="10">
                  <c:v>164.6965884339876</c:v>
                </c:pt>
                <c:pt idx="11">
                  <c:v>155.9399078226281</c:v>
                </c:pt>
                <c:pt idx="12">
                  <c:v>148.419533099267</c:v>
                </c:pt>
                <c:pt idx="13">
                  <c:v>161.3878285788344</c:v>
                </c:pt>
                <c:pt idx="14">
                  <c:v>165.4720652558729</c:v>
                </c:pt>
                <c:pt idx="15">
                  <c:v>170.9342213619173</c:v>
                </c:pt>
                <c:pt idx="16">
                  <c:v>179.0783716210592</c:v>
                </c:pt>
                <c:pt idx="17">
                  <c:v>192.6378222616383</c:v>
                </c:pt>
                <c:pt idx="18">
                  <c:v>205.195410195363</c:v>
                </c:pt>
                <c:pt idx="19">
                  <c:v>231.954792254549</c:v>
                </c:pt>
              </c:numCache>
            </c:numRef>
          </c:val>
        </c:ser>
        <c:ser>
          <c:idx val="2"/>
          <c:order val="2"/>
          <c:tx>
            <c:v>03118m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[2]Sheet1!$N$53:$N$72</c:f>
              <c:numCache>
                <c:formatCode>General</c:formatCode>
                <c:ptCount val="20"/>
                <c:pt idx="0">
                  <c:v>29.86825967515658</c:v>
                </c:pt>
                <c:pt idx="1">
                  <c:v>18.56946194841442</c:v>
                </c:pt>
                <c:pt idx="2">
                  <c:v>13.77140813897586</c:v>
                </c:pt>
                <c:pt idx="3">
                  <c:v>11.00788629051927</c:v>
                </c:pt>
                <c:pt idx="4">
                  <c:v>10.19118049142577</c:v>
                </c:pt>
                <c:pt idx="5">
                  <c:v>8.838769918284725</c:v>
                </c:pt>
                <c:pt idx="6">
                  <c:v>13.64705770682011</c:v>
                </c:pt>
                <c:pt idx="7">
                  <c:v>81.14256430808508</c:v>
                </c:pt>
                <c:pt idx="8">
                  <c:v>137.4711596899406</c:v>
                </c:pt>
                <c:pt idx="9">
                  <c:v>192.5992132957143</c:v>
                </c:pt>
                <c:pt idx="10">
                  <c:v>227.5218860287694</c:v>
                </c:pt>
                <c:pt idx="11">
                  <c:v>254.26443673083</c:v>
                </c:pt>
                <c:pt idx="12">
                  <c:v>258.3691560412872</c:v>
                </c:pt>
                <c:pt idx="13">
                  <c:v>257.7481013205075</c:v>
                </c:pt>
                <c:pt idx="14">
                  <c:v>285.4362059317291</c:v>
                </c:pt>
                <c:pt idx="15">
                  <c:v>328.1793306778258</c:v>
                </c:pt>
                <c:pt idx="16">
                  <c:v>400.1074888552722</c:v>
                </c:pt>
                <c:pt idx="17">
                  <c:v>414.7575601447133</c:v>
                </c:pt>
                <c:pt idx="18">
                  <c:v>417.4359535623693</c:v>
                </c:pt>
                <c:pt idx="19">
                  <c:v>438.9667579477057</c:v>
                </c:pt>
              </c:numCache>
            </c:numRef>
          </c:val>
        </c:ser>
        <c:ser>
          <c:idx val="3"/>
          <c:order val="3"/>
          <c:tx>
            <c:v>03118m DP5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C8B0ED"/>
                  </a:gs>
                  <a:gs pos="100000">
                    <a:srgbClr val="7F5BAB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[2]Sheet1!$A$77:$A$96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[2]Sheet1!$N$77:$N$96</c:f>
              <c:numCache>
                <c:formatCode>General</c:formatCode>
                <c:ptCount val="20"/>
                <c:pt idx="0">
                  <c:v>52.23959638175853</c:v>
                </c:pt>
                <c:pt idx="1">
                  <c:v>30.77764995669121</c:v>
                </c:pt>
                <c:pt idx="2">
                  <c:v>23.15064190734162</c:v>
                </c:pt>
                <c:pt idx="3">
                  <c:v>19.0992721919606</c:v>
                </c:pt>
                <c:pt idx="4">
                  <c:v>16.36055375992145</c:v>
                </c:pt>
                <c:pt idx="5">
                  <c:v>14.40220807135851</c:v>
                </c:pt>
                <c:pt idx="6">
                  <c:v>14.1262352903028</c:v>
                </c:pt>
                <c:pt idx="7">
                  <c:v>22.51950224874204</c:v>
                </c:pt>
                <c:pt idx="8">
                  <c:v>90.13939142962131</c:v>
                </c:pt>
                <c:pt idx="9">
                  <c:v>119.4736333440228</c:v>
                </c:pt>
                <c:pt idx="10">
                  <c:v>152.359939141576</c:v>
                </c:pt>
                <c:pt idx="11">
                  <c:v>182.8470078541838</c:v>
                </c:pt>
                <c:pt idx="12">
                  <c:v>198.7168287238692</c:v>
                </c:pt>
                <c:pt idx="13">
                  <c:v>251.9045404144406</c:v>
                </c:pt>
                <c:pt idx="14">
                  <c:v>395.6258807943995</c:v>
                </c:pt>
                <c:pt idx="15">
                  <c:v>549.951907154206</c:v>
                </c:pt>
                <c:pt idx="16">
                  <c:v>641.8082303061966</c:v>
                </c:pt>
                <c:pt idx="17">
                  <c:v>570.8770105719556</c:v>
                </c:pt>
                <c:pt idx="18">
                  <c:v>513.0526539762361</c:v>
                </c:pt>
                <c:pt idx="19">
                  <c:v>562.7385062344487</c:v>
                </c:pt>
              </c:numCache>
            </c:numRef>
          </c:val>
        </c:ser>
        <c:marker val="1"/>
        <c:axId val="615589496"/>
        <c:axId val="494815528"/>
      </c:lineChart>
      <c:catAx>
        <c:axId val="615589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94815528"/>
        <c:crosses val="autoZero"/>
        <c:auto val="1"/>
        <c:lblAlgn val="ctr"/>
        <c:lblOffset val="100"/>
      </c:catAx>
      <c:valAx>
        <c:axId val="49481552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ppm U</a:t>
                </a:r>
              </a:p>
            </c:rich>
          </c:tx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61558949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Ti Thermometry</a:t>
            </a:r>
          </a:p>
        </c:rich>
      </c:tx>
      <c:layout/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5833344071007"/>
          <c:y val="0.359091108338017"/>
          <c:w val="0.575000389947096"/>
          <c:h val="0.404545679013716"/>
        </c:manualLayout>
      </c:layout>
      <c:lineChart>
        <c:grouping val="standard"/>
        <c:ser>
          <c:idx val="0"/>
          <c:order val="0"/>
          <c:tx>
            <c:v>08010g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[3]Sheet1!$C$5:$C$24</c:f>
              <c:numCache>
                <c:formatCode>General</c:formatCode>
                <c:ptCount val="20"/>
                <c:pt idx="0">
                  <c:v>613.9346488969964</c:v>
                </c:pt>
                <c:pt idx="1">
                  <c:v>606.6012194522129</c:v>
                </c:pt>
                <c:pt idx="2">
                  <c:v>602.0837273914573</c:v>
                </c:pt>
                <c:pt idx="3">
                  <c:v>601.2974314042894</c:v>
                </c:pt>
                <c:pt idx="4">
                  <c:v>603.374882438722</c:v>
                </c:pt>
                <c:pt idx="5">
                  <c:v>605.889738293096</c:v>
                </c:pt>
                <c:pt idx="6">
                  <c:v>602.4229341818677</c:v>
                </c:pt>
                <c:pt idx="7">
                  <c:v>604.4422901354999</c:v>
                </c:pt>
                <c:pt idx="8">
                  <c:v>606.3043767548413</c:v>
                </c:pt>
                <c:pt idx="9">
                  <c:v>601.2313831800109</c:v>
                </c:pt>
                <c:pt idx="10">
                  <c:v>610.7277673257763</c:v>
                </c:pt>
                <c:pt idx="11">
                  <c:v>778.7790990810455</c:v>
                </c:pt>
                <c:pt idx="12">
                  <c:v>1011.259254141043</c:v>
                </c:pt>
                <c:pt idx="13">
                  <c:v>1106.962010240282</c:v>
                </c:pt>
                <c:pt idx="14">
                  <c:v>1141.817625876918</c:v>
                </c:pt>
                <c:pt idx="15">
                  <c:v>1176.831420481826</c:v>
                </c:pt>
                <c:pt idx="16">
                  <c:v>1203.442640513021</c:v>
                </c:pt>
                <c:pt idx="17">
                  <c:v>1215.475943633887</c:v>
                </c:pt>
                <c:pt idx="18">
                  <c:v>1227.382565739249</c:v>
                </c:pt>
                <c:pt idx="19">
                  <c:v>1230.542544151187</c:v>
                </c:pt>
              </c:numCache>
            </c:numRef>
          </c:val>
        </c:ser>
        <c:ser>
          <c:idx val="1"/>
          <c:order val="1"/>
          <c:tx>
            <c:v>08010g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[3]Sheet1!$C$29:$C$48</c:f>
              <c:numCache>
                <c:formatCode>General</c:formatCode>
                <c:ptCount val="20"/>
                <c:pt idx="0">
                  <c:v>625.291881502043</c:v>
                </c:pt>
                <c:pt idx="1">
                  <c:v>617.9874272820173</c:v>
                </c:pt>
                <c:pt idx="2">
                  <c:v>610.1229265540659</c:v>
                </c:pt>
                <c:pt idx="3">
                  <c:v>602.1970396898188</c:v>
                </c:pt>
                <c:pt idx="4">
                  <c:v>632.8924809706325</c:v>
                </c:pt>
                <c:pt idx="5">
                  <c:v>668.5591401547199</c:v>
                </c:pt>
                <c:pt idx="6">
                  <c:v>680.7873571394092</c:v>
                </c:pt>
                <c:pt idx="7">
                  <c:v>692.7822120592432</c:v>
                </c:pt>
                <c:pt idx="8">
                  <c:v>702.3910019051884</c:v>
                </c:pt>
                <c:pt idx="9">
                  <c:v>717.4330762012998</c:v>
                </c:pt>
                <c:pt idx="10">
                  <c:v>743.6400391559051</c:v>
                </c:pt>
                <c:pt idx="11">
                  <c:v>760.1204905894498</c:v>
                </c:pt>
                <c:pt idx="12">
                  <c:v>768.5601786905562</c:v>
                </c:pt>
                <c:pt idx="13">
                  <c:v>768.3669941231793</c:v>
                </c:pt>
                <c:pt idx="14">
                  <c:v>761.5363696280966</c:v>
                </c:pt>
                <c:pt idx="15">
                  <c:v>767.4976283664172</c:v>
                </c:pt>
                <c:pt idx="16">
                  <c:v>770.1230132385443</c:v>
                </c:pt>
                <c:pt idx="17">
                  <c:v>769.675277415318</c:v>
                </c:pt>
                <c:pt idx="18">
                  <c:v>770.7368892010923</c:v>
                </c:pt>
                <c:pt idx="19">
                  <c:v>778.9435837552177</c:v>
                </c:pt>
              </c:numCache>
            </c:numRef>
          </c:val>
        </c:ser>
        <c:ser>
          <c:idx val="2"/>
          <c:order val="2"/>
          <c:tx>
            <c:v>08010g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[3]Sheet1!$C$53:$C$72</c:f>
              <c:numCache>
                <c:formatCode>General</c:formatCode>
                <c:ptCount val="20"/>
                <c:pt idx="0">
                  <c:v>660.4375475236602</c:v>
                </c:pt>
                <c:pt idx="1">
                  <c:v>673.8084009057932</c:v>
                </c:pt>
                <c:pt idx="2">
                  <c:v>679.5491170324373</c:v>
                </c:pt>
                <c:pt idx="3">
                  <c:v>676.980129973072</c:v>
                </c:pt>
                <c:pt idx="4">
                  <c:v>672.9851575803957</c:v>
                </c:pt>
                <c:pt idx="5">
                  <c:v>664.826155791601</c:v>
                </c:pt>
                <c:pt idx="6">
                  <c:v>658.4315345460332</c:v>
                </c:pt>
                <c:pt idx="7">
                  <c:v>660.904639111142</c:v>
                </c:pt>
                <c:pt idx="8">
                  <c:v>656.9000639293524</c:v>
                </c:pt>
                <c:pt idx="9">
                  <c:v>655.7704689763694</c:v>
                </c:pt>
                <c:pt idx="10">
                  <c:v>665.1721523274351</c:v>
                </c:pt>
                <c:pt idx="11">
                  <c:v>670.4018717861578</c:v>
                </c:pt>
                <c:pt idx="12">
                  <c:v>673.8759876033522</c:v>
                </c:pt>
                <c:pt idx="13">
                  <c:v>672.3190942175766</c:v>
                </c:pt>
                <c:pt idx="14">
                  <c:v>671.3129255689353</c:v>
                </c:pt>
                <c:pt idx="15">
                  <c:v>668.3402970437775</c:v>
                </c:pt>
                <c:pt idx="16">
                  <c:v>666.9590831430846</c:v>
                </c:pt>
                <c:pt idx="17">
                  <c:v>661.4215917892896</c:v>
                </c:pt>
                <c:pt idx="18">
                  <c:v>660.2289337272776</c:v>
                </c:pt>
                <c:pt idx="19">
                  <c:v>660.6374949350418</c:v>
                </c:pt>
              </c:numCache>
            </c:numRef>
          </c:val>
        </c:ser>
        <c:marker val="1"/>
        <c:axId val="487195416"/>
        <c:axId val="456033352"/>
      </c:lineChart>
      <c:catAx>
        <c:axId val="487195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56033352"/>
        <c:crosses val="autoZero"/>
        <c:auto val="1"/>
        <c:lblAlgn val="ctr"/>
        <c:lblOffset val="100"/>
      </c:catAx>
      <c:valAx>
        <c:axId val="45603335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(celcius)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871954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66667165022094"/>
          <c:y val="0.509091098711999"/>
          <c:w val="0.219444665935745"/>
          <c:h val="0.245454711372999"/>
        </c:manualLayout>
      </c:layout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Age vs Depth</a:t>
            </a:r>
          </a:p>
        </c:rich>
      </c:tx>
      <c:layout/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6666745786367"/>
          <c:y val="0.361111519268481"/>
          <c:w val="0.616667084870799"/>
          <c:h val="0.398148598167813"/>
        </c:manualLayout>
      </c:layout>
      <c:lineChart>
        <c:grouping val="standard"/>
        <c:ser>
          <c:idx val="0"/>
          <c:order val="0"/>
          <c:tx>
            <c:v>8010g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[3]Sheet1!$N$5:$N$24</c:f>
              <c:numCache>
                <c:formatCode>General</c:formatCode>
                <c:ptCount val="20"/>
                <c:pt idx="0">
                  <c:v>4.961</c:v>
                </c:pt>
                <c:pt idx="1">
                  <c:v>4.28829</c:v>
                </c:pt>
                <c:pt idx="2">
                  <c:v>4.694549999999999</c:v>
                </c:pt>
                <c:pt idx="3">
                  <c:v>4.49633</c:v>
                </c:pt>
                <c:pt idx="4">
                  <c:v>4.9797</c:v>
                </c:pt>
                <c:pt idx="5">
                  <c:v>2.90292</c:v>
                </c:pt>
                <c:pt idx="6">
                  <c:v>2.32746</c:v>
                </c:pt>
                <c:pt idx="7">
                  <c:v>2.75421</c:v>
                </c:pt>
                <c:pt idx="8">
                  <c:v>2.37307</c:v>
                </c:pt>
                <c:pt idx="9">
                  <c:v>2.36543</c:v>
                </c:pt>
                <c:pt idx="10">
                  <c:v>2.44639</c:v>
                </c:pt>
                <c:pt idx="11">
                  <c:v>2.70212</c:v>
                </c:pt>
                <c:pt idx="12">
                  <c:v>2.89976</c:v>
                </c:pt>
                <c:pt idx="13">
                  <c:v>2.79226</c:v>
                </c:pt>
                <c:pt idx="14">
                  <c:v>2.99906</c:v>
                </c:pt>
                <c:pt idx="15">
                  <c:v>3.13939</c:v>
                </c:pt>
                <c:pt idx="16">
                  <c:v>3.08771</c:v>
                </c:pt>
                <c:pt idx="17">
                  <c:v>2.83632</c:v>
                </c:pt>
                <c:pt idx="18">
                  <c:v>3.52345</c:v>
                </c:pt>
                <c:pt idx="19">
                  <c:v>3.37517</c:v>
                </c:pt>
              </c:numCache>
            </c:numRef>
          </c:val>
        </c:ser>
        <c:ser>
          <c:idx val="1"/>
          <c:order val="1"/>
          <c:tx>
            <c:v>8010g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[3]Sheet1!$N$29:$N$48</c:f>
              <c:numCache>
                <c:formatCode>General</c:formatCode>
                <c:ptCount val="20"/>
                <c:pt idx="0">
                  <c:v>3.83989</c:v>
                </c:pt>
                <c:pt idx="1">
                  <c:v>3.64553</c:v>
                </c:pt>
                <c:pt idx="2">
                  <c:v>4.64508</c:v>
                </c:pt>
                <c:pt idx="3">
                  <c:v>4.18661</c:v>
                </c:pt>
                <c:pt idx="4">
                  <c:v>3.07213</c:v>
                </c:pt>
                <c:pt idx="5">
                  <c:v>3.45163</c:v>
                </c:pt>
                <c:pt idx="6">
                  <c:v>3.62966</c:v>
                </c:pt>
                <c:pt idx="7">
                  <c:v>4.23279</c:v>
                </c:pt>
                <c:pt idx="8">
                  <c:v>3.7939</c:v>
                </c:pt>
                <c:pt idx="9">
                  <c:v>3.91253</c:v>
                </c:pt>
                <c:pt idx="10">
                  <c:v>3.93437</c:v>
                </c:pt>
                <c:pt idx="11">
                  <c:v>3.58078</c:v>
                </c:pt>
                <c:pt idx="12">
                  <c:v>4.20505</c:v>
                </c:pt>
                <c:pt idx="13">
                  <c:v>4.05745</c:v>
                </c:pt>
                <c:pt idx="14">
                  <c:v>4.19929</c:v>
                </c:pt>
                <c:pt idx="15">
                  <c:v>3.56397</c:v>
                </c:pt>
                <c:pt idx="16">
                  <c:v>3.47598</c:v>
                </c:pt>
                <c:pt idx="17">
                  <c:v>3.23889</c:v>
                </c:pt>
                <c:pt idx="18">
                  <c:v>3.01836</c:v>
                </c:pt>
                <c:pt idx="19">
                  <c:v>3.16259</c:v>
                </c:pt>
              </c:numCache>
            </c:numRef>
          </c:val>
        </c:ser>
        <c:ser>
          <c:idx val="2"/>
          <c:order val="2"/>
          <c:tx>
            <c:v>08010g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[3]Sheet1!$N$53:$N$72</c:f>
              <c:numCache>
                <c:formatCode>General</c:formatCode>
                <c:ptCount val="20"/>
                <c:pt idx="0">
                  <c:v>3.91246</c:v>
                </c:pt>
                <c:pt idx="1">
                  <c:v>3.34439</c:v>
                </c:pt>
                <c:pt idx="2">
                  <c:v>3.36599</c:v>
                </c:pt>
                <c:pt idx="3">
                  <c:v>4.1387</c:v>
                </c:pt>
                <c:pt idx="4">
                  <c:v>4.19218</c:v>
                </c:pt>
                <c:pt idx="5">
                  <c:v>3.53429</c:v>
                </c:pt>
                <c:pt idx="6">
                  <c:v>3.59352</c:v>
                </c:pt>
                <c:pt idx="7">
                  <c:v>3.82614</c:v>
                </c:pt>
                <c:pt idx="8">
                  <c:v>3.46253</c:v>
                </c:pt>
                <c:pt idx="9">
                  <c:v>3.56758</c:v>
                </c:pt>
                <c:pt idx="10">
                  <c:v>3.31777</c:v>
                </c:pt>
                <c:pt idx="11">
                  <c:v>3.26166</c:v>
                </c:pt>
                <c:pt idx="12">
                  <c:v>3.54992</c:v>
                </c:pt>
                <c:pt idx="13">
                  <c:v>3.42239</c:v>
                </c:pt>
                <c:pt idx="14">
                  <c:v>3.48459</c:v>
                </c:pt>
                <c:pt idx="15">
                  <c:v>3.72606</c:v>
                </c:pt>
                <c:pt idx="16">
                  <c:v>3.85484</c:v>
                </c:pt>
                <c:pt idx="17">
                  <c:v>3.34348</c:v>
                </c:pt>
                <c:pt idx="18">
                  <c:v>3.79273</c:v>
                </c:pt>
                <c:pt idx="19">
                  <c:v>2.74047</c:v>
                </c:pt>
              </c:numCache>
            </c:numRef>
          </c:val>
        </c:ser>
        <c:marker val="1"/>
        <c:axId val="510019816"/>
        <c:axId val="495539432"/>
      </c:lineChart>
      <c:catAx>
        <c:axId val="510019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95539432"/>
        <c:crosses val="autoZero"/>
        <c:auto val="1"/>
        <c:lblAlgn val="ctr"/>
        <c:lblOffset val="100"/>
      </c:catAx>
      <c:valAx>
        <c:axId val="49553943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206Pb/238U age (ma)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51001981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66667110585807"/>
          <c:y val="0.50925972757055"/>
          <c:w val="0.219444657155699"/>
          <c:h val="0.250000287372838"/>
        </c:manualLayout>
      </c:layout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pph Hf vs Depth</a:t>
            </a:r>
          </a:p>
        </c:rich>
      </c:tx>
      <c:layout/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72222339017971"/>
          <c:y val="0.361111519268481"/>
          <c:w val="0.561111491639195"/>
          <c:h val="0.398148598167813"/>
        </c:manualLayout>
      </c:layout>
      <c:lineChart>
        <c:grouping val="standard"/>
        <c:ser>
          <c:idx val="0"/>
          <c:order val="0"/>
          <c:tx>
            <c:v>08010g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[3]Sheet1!$E$5:$E$24</c:f>
              <c:numCache>
                <c:formatCode>General</c:formatCode>
                <c:ptCount val="20"/>
                <c:pt idx="0">
                  <c:v>14169.19795469649</c:v>
                </c:pt>
                <c:pt idx="1">
                  <c:v>15120.68550915072</c:v>
                </c:pt>
                <c:pt idx="2">
                  <c:v>15796.45104974266</c:v>
                </c:pt>
                <c:pt idx="3">
                  <c:v>16361.41881613424</c:v>
                </c:pt>
                <c:pt idx="4">
                  <c:v>18201.22394407145</c:v>
                </c:pt>
                <c:pt idx="5">
                  <c:v>20008.24116243765</c:v>
                </c:pt>
                <c:pt idx="6">
                  <c:v>20414.81349776933</c:v>
                </c:pt>
                <c:pt idx="7">
                  <c:v>21038.13669890752</c:v>
                </c:pt>
                <c:pt idx="8">
                  <c:v>21059.60812046452</c:v>
                </c:pt>
                <c:pt idx="9">
                  <c:v>20473.5252541586</c:v>
                </c:pt>
                <c:pt idx="10">
                  <c:v>19361.42117228765</c:v>
                </c:pt>
                <c:pt idx="11">
                  <c:v>18512.30487171426</c:v>
                </c:pt>
                <c:pt idx="12">
                  <c:v>18145.93608580714</c:v>
                </c:pt>
                <c:pt idx="13">
                  <c:v>17381.44140277735</c:v>
                </c:pt>
                <c:pt idx="14">
                  <c:v>16629.0507309843</c:v>
                </c:pt>
                <c:pt idx="15">
                  <c:v>15378.94046366074</c:v>
                </c:pt>
                <c:pt idx="16">
                  <c:v>15560.40170372661</c:v>
                </c:pt>
                <c:pt idx="17">
                  <c:v>14904.96550762782</c:v>
                </c:pt>
                <c:pt idx="18">
                  <c:v>14953.5264945438</c:v>
                </c:pt>
                <c:pt idx="19">
                  <c:v>14684.54338750807</c:v>
                </c:pt>
              </c:numCache>
            </c:numRef>
          </c:val>
        </c:ser>
        <c:ser>
          <c:idx val="1"/>
          <c:order val="1"/>
          <c:tx>
            <c:v>08010g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[3]Sheet1!$E$29:$E$48</c:f>
              <c:numCache>
                <c:formatCode>General</c:formatCode>
                <c:ptCount val="20"/>
                <c:pt idx="0">
                  <c:v>18094.47399037484</c:v>
                </c:pt>
                <c:pt idx="1">
                  <c:v>18334.38538633963</c:v>
                </c:pt>
                <c:pt idx="2">
                  <c:v>17825.87805577497</c:v>
                </c:pt>
                <c:pt idx="3">
                  <c:v>18505.12739323027</c:v>
                </c:pt>
                <c:pt idx="4">
                  <c:v>20697.58135399552</c:v>
                </c:pt>
                <c:pt idx="5">
                  <c:v>24268.7052700065</c:v>
                </c:pt>
                <c:pt idx="6">
                  <c:v>24803.25917221973</c:v>
                </c:pt>
                <c:pt idx="7">
                  <c:v>24893.3398858813</c:v>
                </c:pt>
                <c:pt idx="8">
                  <c:v>24427.72420146368</c:v>
                </c:pt>
                <c:pt idx="9">
                  <c:v>23515.32167342163</c:v>
                </c:pt>
                <c:pt idx="10">
                  <c:v>22552.07175945711</c:v>
                </c:pt>
                <c:pt idx="11">
                  <c:v>21614.68656451194</c:v>
                </c:pt>
                <c:pt idx="12">
                  <c:v>21847.39469702453</c:v>
                </c:pt>
                <c:pt idx="13">
                  <c:v>23358.97291792268</c:v>
                </c:pt>
                <c:pt idx="14">
                  <c:v>23460.44852792562</c:v>
                </c:pt>
                <c:pt idx="15">
                  <c:v>24753.52223215422</c:v>
                </c:pt>
                <c:pt idx="16">
                  <c:v>26379.01919142257</c:v>
                </c:pt>
                <c:pt idx="17">
                  <c:v>25336.79225087413</c:v>
                </c:pt>
                <c:pt idx="18">
                  <c:v>25521.85217078225</c:v>
                </c:pt>
                <c:pt idx="19">
                  <c:v>26315.72376875088</c:v>
                </c:pt>
              </c:numCache>
            </c:numRef>
          </c:val>
        </c:ser>
        <c:ser>
          <c:idx val="2"/>
          <c:order val="2"/>
          <c:tx>
            <c:v>08010g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[3]Sheet1!$E$53:$E$72</c:f>
              <c:numCache>
                <c:formatCode>General</c:formatCode>
                <c:ptCount val="20"/>
                <c:pt idx="0">
                  <c:v>17208.238445624</c:v>
                </c:pt>
                <c:pt idx="1">
                  <c:v>18574.85464492138</c:v>
                </c:pt>
                <c:pt idx="2">
                  <c:v>19188.99644299995</c:v>
                </c:pt>
                <c:pt idx="3">
                  <c:v>19658.18355749449</c:v>
                </c:pt>
                <c:pt idx="4">
                  <c:v>20304.37600995247</c:v>
                </c:pt>
                <c:pt idx="5">
                  <c:v>20777.59705053133</c:v>
                </c:pt>
                <c:pt idx="6">
                  <c:v>19978.04112961273</c:v>
                </c:pt>
                <c:pt idx="7">
                  <c:v>20117.98935355925</c:v>
                </c:pt>
                <c:pt idx="8">
                  <c:v>20414.60190477495</c:v>
                </c:pt>
                <c:pt idx="9">
                  <c:v>20618.60039330033</c:v>
                </c:pt>
                <c:pt idx="10">
                  <c:v>19382.78832840464</c:v>
                </c:pt>
                <c:pt idx="11">
                  <c:v>19236.98774553358</c:v>
                </c:pt>
                <c:pt idx="12">
                  <c:v>19236.79253737002</c:v>
                </c:pt>
                <c:pt idx="13">
                  <c:v>18896.9528831121</c:v>
                </c:pt>
                <c:pt idx="14">
                  <c:v>18346.71646567406</c:v>
                </c:pt>
                <c:pt idx="15">
                  <c:v>17694.29073719447</c:v>
                </c:pt>
                <c:pt idx="16">
                  <c:v>17419.94563077926</c:v>
                </c:pt>
                <c:pt idx="17">
                  <c:v>17095.0693415334</c:v>
                </c:pt>
                <c:pt idx="18">
                  <c:v>16982.90551493341</c:v>
                </c:pt>
                <c:pt idx="19">
                  <c:v>16838.54274167238</c:v>
                </c:pt>
              </c:numCache>
            </c:numRef>
          </c:val>
        </c:ser>
        <c:marker val="1"/>
        <c:axId val="509622696"/>
        <c:axId val="509632920"/>
      </c:lineChart>
      <c:catAx>
        <c:axId val="509622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509632920"/>
        <c:crosses val="autoZero"/>
        <c:auto val="1"/>
        <c:lblAlgn val="ctr"/>
        <c:lblOffset val="100"/>
      </c:catAx>
      <c:valAx>
        <c:axId val="50963292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ppm Hf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50962269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63889362555795"/>
          <c:y val="0.509259731618055"/>
          <c:w val="0.219444639483759"/>
          <c:h val="0.250000277254076"/>
        </c:manualLayout>
      </c:layout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Y vs Depth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5833344071007"/>
          <c:y val="0.361111519268481"/>
          <c:w val="0.575000389947096"/>
          <c:h val="0.398148598167813"/>
        </c:manualLayout>
      </c:layout>
      <c:lineChart>
        <c:grouping val="standard"/>
        <c:ser>
          <c:idx val="0"/>
          <c:order val="0"/>
          <c:tx>
            <c:v>08010g DP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[3]Sheet1!$I$5:$I$24</c:f>
              <c:numCache>
                <c:formatCode>General</c:formatCode>
                <c:ptCount val="20"/>
                <c:pt idx="0">
                  <c:v>354.8513159420982</c:v>
                </c:pt>
                <c:pt idx="1">
                  <c:v>302.9804719486993</c:v>
                </c:pt>
                <c:pt idx="2">
                  <c:v>265.6556168387838</c:v>
                </c:pt>
                <c:pt idx="3">
                  <c:v>249.4122609225607</c:v>
                </c:pt>
                <c:pt idx="4">
                  <c:v>269.8606209984455</c:v>
                </c:pt>
                <c:pt idx="5">
                  <c:v>240.8081602912257</c:v>
                </c:pt>
                <c:pt idx="6">
                  <c:v>222.4473668702171</c:v>
                </c:pt>
                <c:pt idx="7">
                  <c:v>210.2960160235128</c:v>
                </c:pt>
                <c:pt idx="8">
                  <c:v>196.5568693953697</c:v>
                </c:pt>
                <c:pt idx="9">
                  <c:v>186.0339037528046</c:v>
                </c:pt>
                <c:pt idx="10">
                  <c:v>160.792057404185</c:v>
                </c:pt>
                <c:pt idx="11">
                  <c:v>359.5609058680863</c:v>
                </c:pt>
                <c:pt idx="12">
                  <c:v>1243.840449031081</c:v>
                </c:pt>
                <c:pt idx="13">
                  <c:v>2036.623595030592</c:v>
                </c:pt>
                <c:pt idx="14">
                  <c:v>2533.269011859742</c:v>
                </c:pt>
                <c:pt idx="15">
                  <c:v>3110.422883280678</c:v>
                </c:pt>
                <c:pt idx="16">
                  <c:v>3626.119762719391</c:v>
                </c:pt>
                <c:pt idx="17">
                  <c:v>3800.206777004616</c:v>
                </c:pt>
                <c:pt idx="18">
                  <c:v>4058.216445969824</c:v>
                </c:pt>
                <c:pt idx="19">
                  <c:v>4136.19371455198</c:v>
                </c:pt>
              </c:numCache>
            </c:numRef>
          </c:val>
        </c:ser>
        <c:ser>
          <c:idx val="1"/>
          <c:order val="1"/>
          <c:tx>
            <c:v>08010g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[3]Sheet1!$I$29:$I$48</c:f>
              <c:numCache>
                <c:formatCode>General</c:formatCode>
                <c:ptCount val="20"/>
                <c:pt idx="0">
                  <c:v>387.2851130961547</c:v>
                </c:pt>
                <c:pt idx="1">
                  <c:v>388.328639571758</c:v>
                </c:pt>
                <c:pt idx="2">
                  <c:v>350.8551012417515</c:v>
                </c:pt>
                <c:pt idx="3">
                  <c:v>343.7308136215432</c:v>
                </c:pt>
                <c:pt idx="4">
                  <c:v>525.629709712616</c:v>
                </c:pt>
                <c:pt idx="5">
                  <c:v>992.4218871131269</c:v>
                </c:pt>
                <c:pt idx="6">
                  <c:v>1193.9746527348</c:v>
                </c:pt>
                <c:pt idx="7">
                  <c:v>1485.09646760916</c:v>
                </c:pt>
                <c:pt idx="8">
                  <c:v>1886.344232186151</c:v>
                </c:pt>
                <c:pt idx="9">
                  <c:v>2411.818800944812</c:v>
                </c:pt>
                <c:pt idx="10">
                  <c:v>3181.310383671276</c:v>
                </c:pt>
                <c:pt idx="11">
                  <c:v>3686.479896629983</c:v>
                </c:pt>
                <c:pt idx="12">
                  <c:v>3668.538076347865</c:v>
                </c:pt>
                <c:pt idx="13">
                  <c:v>3432.406902072428</c:v>
                </c:pt>
                <c:pt idx="14">
                  <c:v>3132.623809827948</c:v>
                </c:pt>
                <c:pt idx="15">
                  <c:v>3088.311209745472</c:v>
                </c:pt>
                <c:pt idx="16">
                  <c:v>3150.93963772317</c:v>
                </c:pt>
                <c:pt idx="17">
                  <c:v>2953.238810754845</c:v>
                </c:pt>
                <c:pt idx="18">
                  <c:v>3054.561736645223</c:v>
                </c:pt>
                <c:pt idx="19">
                  <c:v>3208.82609648971</c:v>
                </c:pt>
              </c:numCache>
            </c:numRef>
          </c:val>
        </c:ser>
        <c:ser>
          <c:idx val="2"/>
          <c:order val="2"/>
          <c:tx>
            <c:v>08010g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[3]Sheet1!$I$53:$I$72</c:f>
              <c:numCache>
                <c:formatCode>General</c:formatCode>
                <c:ptCount val="20"/>
                <c:pt idx="0">
                  <c:v>645.283638721656</c:v>
                </c:pt>
                <c:pt idx="1">
                  <c:v>799.3366821415784</c:v>
                </c:pt>
                <c:pt idx="2">
                  <c:v>899.7737676438032</c:v>
                </c:pt>
                <c:pt idx="3">
                  <c:v>886.6102799855371</c:v>
                </c:pt>
                <c:pt idx="4">
                  <c:v>867.712792586147</c:v>
                </c:pt>
                <c:pt idx="5">
                  <c:v>850.5477705396598</c:v>
                </c:pt>
                <c:pt idx="6">
                  <c:v>792.5697755233426</c:v>
                </c:pt>
                <c:pt idx="7">
                  <c:v>778.2708358863515</c:v>
                </c:pt>
                <c:pt idx="8">
                  <c:v>827.9902940175477</c:v>
                </c:pt>
                <c:pt idx="9">
                  <c:v>820.3819585418088</c:v>
                </c:pt>
                <c:pt idx="10">
                  <c:v>691.2408235162537</c:v>
                </c:pt>
                <c:pt idx="11">
                  <c:v>632.2183946865642</c:v>
                </c:pt>
                <c:pt idx="12">
                  <c:v>576.0064490207253</c:v>
                </c:pt>
                <c:pt idx="13">
                  <c:v>509.7235127247877</c:v>
                </c:pt>
                <c:pt idx="14">
                  <c:v>459.5965678159111</c:v>
                </c:pt>
                <c:pt idx="15">
                  <c:v>400.1837888818998</c:v>
                </c:pt>
                <c:pt idx="16">
                  <c:v>365.5872915812977</c:v>
                </c:pt>
                <c:pt idx="17">
                  <c:v>324.1335353504551</c:v>
                </c:pt>
                <c:pt idx="18">
                  <c:v>299.9837414775918</c:v>
                </c:pt>
                <c:pt idx="19">
                  <c:v>280.4455121418602</c:v>
                </c:pt>
              </c:numCache>
            </c:numRef>
          </c:val>
        </c:ser>
        <c:marker val="1"/>
        <c:axId val="506607624"/>
        <c:axId val="486054312"/>
      </c:lineChart>
      <c:catAx>
        <c:axId val="506607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486054312"/>
        <c:crosses val="autoZero"/>
        <c:auto val="1"/>
        <c:lblAlgn val="ctr"/>
        <c:lblOffset val="100"/>
      </c:catAx>
      <c:valAx>
        <c:axId val="48605431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ppm</a:t>
                </a:r>
              </a:p>
            </c:rich>
          </c:tx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50660762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66667119196307"/>
          <c:y val="0.509259896267233"/>
          <c:w val="0.219444576432256"/>
          <c:h val="0.250000268737739"/>
        </c:manualLayout>
      </c:layout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U vs depth</a:t>
            </a:r>
          </a:p>
        </c:rich>
      </c:tx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08010g DP1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9BC1FF"/>
                  </a:gs>
                  <a:gs pos="100000">
                    <a:srgbClr val="3F80CD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[3]Sheet1!$J$5:$J$24</c:f>
              <c:numCache>
                <c:formatCode>General</c:formatCode>
                <c:ptCount val="20"/>
                <c:pt idx="0">
                  <c:v>221.2007795302861</c:v>
                </c:pt>
                <c:pt idx="1">
                  <c:v>162.4068181271354</c:v>
                </c:pt>
                <c:pt idx="2">
                  <c:v>153.9515208545866</c:v>
                </c:pt>
                <c:pt idx="3">
                  <c:v>149.2127263330275</c:v>
                </c:pt>
                <c:pt idx="4">
                  <c:v>281.422244497177</c:v>
                </c:pt>
                <c:pt idx="5">
                  <c:v>321.88472213527</c:v>
                </c:pt>
                <c:pt idx="6">
                  <c:v>299.6022486086219</c:v>
                </c:pt>
                <c:pt idx="7">
                  <c:v>288.0102922622494</c:v>
                </c:pt>
                <c:pt idx="8">
                  <c:v>263.981601157182</c:v>
                </c:pt>
                <c:pt idx="9">
                  <c:v>236.7785024374888</c:v>
                </c:pt>
                <c:pt idx="10">
                  <c:v>211.7216274532642</c:v>
                </c:pt>
                <c:pt idx="11">
                  <c:v>201.5706827320864</c:v>
                </c:pt>
                <c:pt idx="12">
                  <c:v>221.7992494038348</c:v>
                </c:pt>
                <c:pt idx="13">
                  <c:v>235.8230980804401</c:v>
                </c:pt>
                <c:pt idx="14">
                  <c:v>232.443255142012</c:v>
                </c:pt>
                <c:pt idx="15">
                  <c:v>220.9823500123079</c:v>
                </c:pt>
                <c:pt idx="16">
                  <c:v>225.3535868370215</c:v>
                </c:pt>
                <c:pt idx="17">
                  <c:v>219.8420516069091</c:v>
                </c:pt>
                <c:pt idx="18">
                  <c:v>217.8464982644297</c:v>
                </c:pt>
                <c:pt idx="19">
                  <c:v>215.0087393486148</c:v>
                </c:pt>
              </c:numCache>
            </c:numRef>
          </c:val>
        </c:ser>
        <c:ser>
          <c:idx val="1"/>
          <c:order val="1"/>
          <c:tx>
            <c:v>08010g DP2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FF9A99"/>
                  </a:gs>
                  <a:gs pos="100000">
                    <a:srgbClr val="D1403C"/>
                  </a:gs>
                </a:gsLst>
                <a:lin ang="5400000"/>
              </a:gradFill>
              <a:ln>
                <a:solidFill>
                  <a:srgbClr val="993366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[3]Sheet1!$J$29:$J$48</c:f>
              <c:numCache>
                <c:formatCode>General</c:formatCode>
                <c:ptCount val="20"/>
                <c:pt idx="0">
                  <c:v>179.8905352813764</c:v>
                </c:pt>
                <c:pt idx="1">
                  <c:v>262.0680579615995</c:v>
                </c:pt>
                <c:pt idx="2">
                  <c:v>292.3341482862537</c:v>
                </c:pt>
                <c:pt idx="3">
                  <c:v>298.8379345187628</c:v>
                </c:pt>
                <c:pt idx="4">
                  <c:v>432.4164435924112</c:v>
                </c:pt>
                <c:pt idx="5">
                  <c:v>786.1264127262376</c:v>
                </c:pt>
                <c:pt idx="6">
                  <c:v>910.4469478115274</c:v>
                </c:pt>
                <c:pt idx="7">
                  <c:v>987.690641373885</c:v>
                </c:pt>
                <c:pt idx="8">
                  <c:v>1072.519183323515</c:v>
                </c:pt>
                <c:pt idx="9">
                  <c:v>1160.855342322278</c:v>
                </c:pt>
                <c:pt idx="10">
                  <c:v>1356.287015898899</c:v>
                </c:pt>
                <c:pt idx="11">
                  <c:v>1455.387770286115</c:v>
                </c:pt>
                <c:pt idx="12">
                  <c:v>1434.990294166821</c:v>
                </c:pt>
                <c:pt idx="13">
                  <c:v>1547.271477326728</c:v>
                </c:pt>
                <c:pt idx="14">
                  <c:v>1621.573207290751</c:v>
                </c:pt>
                <c:pt idx="15">
                  <c:v>1927.598146552689</c:v>
                </c:pt>
                <c:pt idx="16">
                  <c:v>2160.007776192623</c:v>
                </c:pt>
                <c:pt idx="17">
                  <c:v>2254.212441403776</c:v>
                </c:pt>
                <c:pt idx="18">
                  <c:v>2465.099072137422</c:v>
                </c:pt>
                <c:pt idx="19">
                  <c:v>2722.524138506234</c:v>
                </c:pt>
              </c:numCache>
            </c:numRef>
          </c:val>
        </c:ser>
        <c:ser>
          <c:idx val="2"/>
          <c:order val="2"/>
          <c:tx>
            <c:v>08010g DP3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pPr>
              <a:gradFill rotWithShape="0">
                <a:gsLst>
                  <a:gs pos="0">
                    <a:srgbClr val="DCFFA0"/>
                  </a:gs>
                  <a:gs pos="100000">
                    <a:srgbClr val="A0CA4A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[3]Sheet1!$A$53:$A$72</c:f>
              <c:numCache>
                <c:formatCode>General</c:formatCode>
                <c:ptCount val="2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</c:numCache>
            </c:numRef>
          </c:cat>
          <c:val>
            <c:numRef>
              <c:f>[3]Sheet1!$J$53:$J$72</c:f>
              <c:numCache>
                <c:formatCode>General</c:formatCode>
                <c:ptCount val="20"/>
                <c:pt idx="0">
                  <c:v>381.7865125998627</c:v>
                </c:pt>
                <c:pt idx="1">
                  <c:v>513.5910086136375</c:v>
                </c:pt>
                <c:pt idx="2">
                  <c:v>558.7754775389595</c:v>
                </c:pt>
                <c:pt idx="3">
                  <c:v>563.8387329996166</c:v>
                </c:pt>
                <c:pt idx="4">
                  <c:v>561.5489087869827</c:v>
                </c:pt>
                <c:pt idx="5">
                  <c:v>573.2337068803607</c:v>
                </c:pt>
                <c:pt idx="6">
                  <c:v>535.213196278653</c:v>
                </c:pt>
                <c:pt idx="7">
                  <c:v>524.4312389603837</c:v>
                </c:pt>
                <c:pt idx="8">
                  <c:v>545.5586727403165</c:v>
                </c:pt>
                <c:pt idx="9">
                  <c:v>545.1781117331913</c:v>
                </c:pt>
                <c:pt idx="10">
                  <c:v>504.8770601595713</c:v>
                </c:pt>
                <c:pt idx="11">
                  <c:v>485.3564375066948</c:v>
                </c:pt>
                <c:pt idx="12">
                  <c:v>485.2543022154173</c:v>
                </c:pt>
                <c:pt idx="13">
                  <c:v>465.1479141166136</c:v>
                </c:pt>
                <c:pt idx="14">
                  <c:v>472.3770799310212</c:v>
                </c:pt>
                <c:pt idx="15">
                  <c:v>456.0072867948173</c:v>
                </c:pt>
                <c:pt idx="16">
                  <c:v>428.2413892086311</c:v>
                </c:pt>
                <c:pt idx="17">
                  <c:v>398.1828371130537</c:v>
                </c:pt>
                <c:pt idx="18">
                  <c:v>380.144675359352</c:v>
                </c:pt>
                <c:pt idx="19">
                  <c:v>369.6441429544475</c:v>
                </c:pt>
              </c:numCache>
            </c:numRef>
          </c:val>
        </c:ser>
        <c:marker val="1"/>
        <c:axId val="509665944"/>
        <c:axId val="509834632"/>
      </c:lineChart>
      <c:catAx>
        <c:axId val="509665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Block Number</a:t>
                </a:r>
              </a:p>
            </c:rich>
          </c:tx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509834632"/>
        <c:crosses val="autoZero"/>
        <c:auto val="1"/>
        <c:lblAlgn val="ctr"/>
        <c:lblOffset val="100"/>
      </c:catAx>
      <c:valAx>
        <c:axId val="50983463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ppm U</a:t>
                </a:r>
              </a:p>
            </c:rich>
          </c:tx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808080"/>
            </a:solidFill>
            <a:prstDash val="solid"/>
          </a:ln>
        </c:spPr>
        <c:crossAx val="50966594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66667174667683"/>
          <c:y val="0.379630057018735"/>
          <c:w val="0.219444585555838"/>
          <c:h val="0.25000022626482"/>
        </c:manualLayout>
      </c:layout>
      <c:spPr>
        <a:noFill/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355600</xdr:colOff>
      <xdr:row>1</xdr:row>
      <xdr:rowOff>76200</xdr:rowOff>
    </xdr:from>
    <xdr:to>
      <xdr:col>29</xdr:col>
      <xdr:colOff>25400</xdr:colOff>
      <xdr:row>26</xdr:row>
      <xdr:rowOff>50800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368300</xdr:colOff>
      <xdr:row>26</xdr:row>
      <xdr:rowOff>139700</xdr:rowOff>
    </xdr:from>
    <xdr:to>
      <xdr:col>28</xdr:col>
      <xdr:colOff>660400</xdr:colOff>
      <xdr:row>52</xdr:row>
      <xdr:rowOff>88900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355600</xdr:colOff>
      <xdr:row>53</xdr:row>
      <xdr:rowOff>76200</xdr:rowOff>
    </xdr:from>
    <xdr:to>
      <xdr:col>29</xdr:col>
      <xdr:colOff>0</xdr:colOff>
      <xdr:row>79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355600</xdr:colOff>
      <xdr:row>80</xdr:row>
      <xdr:rowOff>101600</xdr:rowOff>
    </xdr:from>
    <xdr:to>
      <xdr:col>29</xdr:col>
      <xdr:colOff>25400</xdr:colOff>
      <xdr:row>107</xdr:row>
      <xdr:rowOff>12700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393700</xdr:colOff>
      <xdr:row>107</xdr:row>
      <xdr:rowOff>88900</xdr:rowOff>
    </xdr:from>
    <xdr:to>
      <xdr:col>29</xdr:col>
      <xdr:colOff>25400</xdr:colOff>
      <xdr:row>136</xdr:row>
      <xdr:rowOff>88900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457200</xdr:colOff>
      <xdr:row>0</xdr:row>
      <xdr:rowOff>127000</xdr:rowOff>
    </xdr:from>
    <xdr:to>
      <xdr:col>31</xdr:col>
      <xdr:colOff>368300</xdr:colOff>
      <xdr:row>29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381000</xdr:colOff>
      <xdr:row>29</xdr:row>
      <xdr:rowOff>0</xdr:rowOff>
    </xdr:from>
    <xdr:to>
      <xdr:col>31</xdr:col>
      <xdr:colOff>355600</xdr:colOff>
      <xdr:row>58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330200</xdr:colOff>
      <xdr:row>59</xdr:row>
      <xdr:rowOff>25400</xdr:rowOff>
    </xdr:from>
    <xdr:to>
      <xdr:col>31</xdr:col>
      <xdr:colOff>266700</xdr:colOff>
      <xdr:row>88</xdr:row>
      <xdr:rowOff>127000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393700</xdr:colOff>
      <xdr:row>90</xdr:row>
      <xdr:rowOff>50800</xdr:rowOff>
    </xdr:from>
    <xdr:to>
      <xdr:col>31</xdr:col>
      <xdr:colOff>152400</xdr:colOff>
      <xdr:row>120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571500</xdr:colOff>
      <xdr:row>121</xdr:row>
      <xdr:rowOff>38100</xdr:rowOff>
    </xdr:from>
    <xdr:to>
      <xdr:col>31</xdr:col>
      <xdr:colOff>203200</xdr:colOff>
      <xdr:row>152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</xdr:row>
      <xdr:rowOff>0</xdr:rowOff>
    </xdr:from>
    <xdr:to>
      <xdr:col>25</xdr:col>
      <xdr:colOff>38100</xdr:colOff>
      <xdr:row>26</xdr:row>
      <xdr:rowOff>25400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228600</xdr:colOff>
      <xdr:row>27</xdr:row>
      <xdr:rowOff>25400</xdr:rowOff>
    </xdr:from>
    <xdr:to>
      <xdr:col>25</xdr:col>
      <xdr:colOff>177800</xdr:colOff>
      <xdr:row>50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266700</xdr:colOff>
      <xdr:row>50</xdr:row>
      <xdr:rowOff>76200</xdr:rowOff>
    </xdr:from>
    <xdr:to>
      <xdr:col>25</xdr:col>
      <xdr:colOff>190500</xdr:colOff>
      <xdr:row>74</xdr:row>
      <xdr:rowOff>25400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304800</xdr:colOff>
      <xdr:row>74</xdr:row>
      <xdr:rowOff>139700</xdr:rowOff>
    </xdr:from>
    <xdr:to>
      <xdr:col>25</xdr:col>
      <xdr:colOff>139700</xdr:colOff>
      <xdr:row>99</xdr:row>
      <xdr:rowOff>50800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254000</xdr:colOff>
      <xdr:row>100</xdr:row>
      <xdr:rowOff>12700</xdr:rowOff>
    </xdr:from>
    <xdr:to>
      <xdr:col>25</xdr:col>
      <xdr:colOff>101600</xdr:colOff>
      <xdr:row>129</xdr:row>
      <xdr:rowOff>12700</xdr:rowOff>
    </xdr:to>
    <xdr:graphicFrame macro="">
      <xdr:nvGraphicFramePr>
        <xdr:cNvPr id="6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irakparvar/Documents/Research_2010+11/PNG_UPb%20Paper/depthProfiles/outdated/0621sampl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irakparvar/Documents/Research_2010+11/PNG_UPb%20Paper/depthProfiles/outdated/03118samp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irakparvar/Documents/Research_2010+11/PNG_UPb%20Paper/depthProfiles/outdated/08010samplesA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C5">
            <v>623.97318960088739</v>
          </cell>
          <cell r="E5">
            <v>18285.49512164704</v>
          </cell>
          <cell r="L5">
            <v>787.41085868659684</v>
          </cell>
          <cell r="N5">
            <v>401.4014111376564</v>
          </cell>
          <cell r="R5">
            <v>2.1673399999999998</v>
          </cell>
        </row>
        <row r="6">
          <cell r="C6">
            <v>618.01762529546363</v>
          </cell>
          <cell r="E6">
            <v>18819.617997406367</v>
          </cell>
          <cell r="L6">
            <v>621.28960910916362</v>
          </cell>
          <cell r="N6">
            <v>292.29217494345801</v>
          </cell>
          <cell r="R6">
            <v>2.6158999999999999</v>
          </cell>
        </row>
        <row r="7">
          <cell r="C7">
            <v>626.94566785051666</v>
          </cell>
          <cell r="E7">
            <v>18799.818544363552</v>
          </cell>
          <cell r="L7">
            <v>503.63843924525031</v>
          </cell>
          <cell r="N7">
            <v>348.22497684126597</v>
          </cell>
          <cell r="R7">
            <v>2.5628799999999998</v>
          </cell>
        </row>
        <row r="8">
          <cell r="C8">
            <v>653.24201197924071</v>
          </cell>
          <cell r="E8">
            <v>18935.795755346026</v>
          </cell>
          <cell r="L8">
            <v>504.44556892058256</v>
          </cell>
          <cell r="N8">
            <v>574.06621583953734</v>
          </cell>
          <cell r="R8">
            <v>8.5108800000000002</v>
          </cell>
        </row>
        <row r="9">
          <cell r="C9">
            <v>667.43040062848797</v>
          </cell>
          <cell r="E9">
            <v>17395.37484026693</v>
          </cell>
          <cell r="L9">
            <v>562.43140912998126</v>
          </cell>
          <cell r="N9">
            <v>620.18336996037272</v>
          </cell>
          <cell r="R9">
            <v>16.544</v>
          </cell>
        </row>
        <row r="10">
          <cell r="C10">
            <v>663.40931397036798</v>
          </cell>
          <cell r="E10">
            <v>16022.988505747126</v>
          </cell>
          <cell r="L10">
            <v>620.18991635068892</v>
          </cell>
          <cell r="N10">
            <v>509.65603563155685</v>
          </cell>
          <cell r="R10">
            <v>27.0868</v>
          </cell>
        </row>
        <row r="11">
          <cell r="C11">
            <v>654.64541009179891</v>
          </cell>
          <cell r="E11">
            <v>15715.430562212361</v>
          </cell>
          <cell r="L11">
            <v>655.32916391618619</v>
          </cell>
          <cell r="N11">
            <v>472.79586241863973</v>
          </cell>
          <cell r="R11">
            <v>35.1965</v>
          </cell>
        </row>
        <row r="12">
          <cell r="C12">
            <v>654.2623779101541</v>
          </cell>
          <cell r="E12">
            <v>15947.481038201933</v>
          </cell>
          <cell r="L12">
            <v>692.14599789945203</v>
          </cell>
          <cell r="N12">
            <v>466.28064894390764</v>
          </cell>
          <cell r="R12">
            <v>42.091700000000003</v>
          </cell>
        </row>
        <row r="13">
          <cell r="C13">
            <v>649.32490300025268</v>
          </cell>
          <cell r="E13">
            <v>15721.371013311506</v>
          </cell>
          <cell r="L13">
            <v>654.16428906038789</v>
          </cell>
          <cell r="N13">
            <v>424.24948819196158</v>
          </cell>
          <cell r="R13">
            <v>47.420699999999997</v>
          </cell>
        </row>
        <row r="14">
          <cell r="C14">
            <v>646.40725538389927</v>
          </cell>
          <cell r="E14">
            <v>16120.836397841891</v>
          </cell>
          <cell r="L14">
            <v>676.69694207359532</v>
          </cell>
          <cell r="N14">
            <v>412.37462304978834</v>
          </cell>
          <cell r="R14">
            <v>52.648099999999999</v>
          </cell>
        </row>
        <row r="15">
          <cell r="C15">
            <v>644.08492554981444</v>
          </cell>
          <cell r="E15">
            <v>15728.470453496522</v>
          </cell>
          <cell r="L15">
            <v>651.25200108055151</v>
          </cell>
          <cell r="N15">
            <v>394.77795993244422</v>
          </cell>
          <cell r="R15">
            <v>54.428600000000003</v>
          </cell>
        </row>
        <row r="16">
          <cell r="C16">
            <v>643.52039684311922</v>
          </cell>
          <cell r="E16">
            <v>15469.726068592208</v>
          </cell>
          <cell r="L16">
            <v>730.28742135723462</v>
          </cell>
          <cell r="N16">
            <v>393.00629376905289</v>
          </cell>
          <cell r="R16">
            <v>58.096699999999998</v>
          </cell>
        </row>
        <row r="17">
          <cell r="C17">
            <v>648.43555370132253</v>
          </cell>
          <cell r="E17">
            <v>15770.88912555706</v>
          </cell>
          <cell r="L17">
            <v>926.57055805545667</v>
          </cell>
          <cell r="N17">
            <v>438.26320729536064</v>
          </cell>
          <cell r="R17">
            <v>59.9026</v>
          </cell>
        </row>
        <row r="18">
          <cell r="C18">
            <v>652.24710483137164</v>
          </cell>
          <cell r="E18">
            <v>15926.282149535577</v>
          </cell>
          <cell r="L18">
            <v>1087.7786689574093</v>
          </cell>
          <cell r="N18">
            <v>472.71565168555503</v>
          </cell>
          <cell r="R18">
            <v>64.018100000000004</v>
          </cell>
        </row>
        <row r="19">
          <cell r="C19">
            <v>648.47450594744623</v>
          </cell>
          <cell r="E19">
            <v>15653.42248871522</v>
          </cell>
          <cell r="L19">
            <v>1134.3834313001955</v>
          </cell>
          <cell r="N19">
            <v>495.5717454861072</v>
          </cell>
          <cell r="R19">
            <v>67.753500000000003</v>
          </cell>
        </row>
        <row r="20">
          <cell r="C20">
            <v>644.27868766482027</v>
          </cell>
          <cell r="E20">
            <v>15122.838207812936</v>
          </cell>
          <cell r="L20">
            <v>1149.5226126239145</v>
          </cell>
          <cell r="N20">
            <v>522.61079564526608</v>
          </cell>
          <cell r="R20">
            <v>65.011899999999997</v>
          </cell>
        </row>
        <row r="21">
          <cell r="C21">
            <v>648.5044086207929</v>
          </cell>
          <cell r="E21">
            <v>15805.700996318505</v>
          </cell>
          <cell r="L21">
            <v>1258.7335759728333</v>
          </cell>
          <cell r="N21">
            <v>585.18744958679122</v>
          </cell>
          <cell r="R21">
            <v>66.808099999999996</v>
          </cell>
        </row>
        <row r="22">
          <cell r="C22">
            <v>646.51202026006524</v>
          </cell>
          <cell r="E22">
            <v>15371.487909830284</v>
          </cell>
          <cell r="L22">
            <v>1249.0234025095574</v>
          </cell>
          <cell r="N22">
            <v>603.78957726255339</v>
          </cell>
          <cell r="R22">
            <v>68.457899999999995</v>
          </cell>
        </row>
        <row r="23">
          <cell r="C23">
            <v>647.10980558358381</v>
          </cell>
          <cell r="E23">
            <v>15393.622793089202</v>
          </cell>
          <cell r="L23">
            <v>1258.2013045548399</v>
          </cell>
          <cell r="N23">
            <v>629.25797416670378</v>
          </cell>
          <cell r="R23">
            <v>71.232500000000002</v>
          </cell>
        </row>
        <row r="24">
          <cell r="C24">
            <v>649.86788712179612</v>
          </cell>
          <cell r="E24">
            <v>15424.840871412118</v>
          </cell>
          <cell r="L24">
            <v>1230.2165112252808</v>
          </cell>
          <cell r="N24">
            <v>657.372804737347</v>
          </cell>
          <cell r="R24">
            <v>68.752899999999997</v>
          </cell>
        </row>
        <row r="29">
          <cell r="A29">
            <v>1</v>
          </cell>
          <cell r="C29">
            <v>639.41127164411546</v>
          </cell>
          <cell r="E29">
            <v>17310.422471687441</v>
          </cell>
          <cell r="L29">
            <v>845.1859530389961</v>
          </cell>
          <cell r="N29">
            <v>629.58814327390985</v>
          </cell>
          <cell r="R29">
            <v>3.3946499999999999</v>
          </cell>
        </row>
        <row r="30">
          <cell r="A30">
            <v>2</v>
          </cell>
          <cell r="C30">
            <v>669.90868327302258</v>
          </cell>
          <cell r="E30">
            <v>18825.415024175749</v>
          </cell>
          <cell r="L30">
            <v>647.7984976327582</v>
          </cell>
          <cell r="N30">
            <v>1052.0946507627159</v>
          </cell>
          <cell r="R30">
            <v>13.7767</v>
          </cell>
        </row>
        <row r="31">
          <cell r="A31">
            <v>3</v>
          </cell>
          <cell r="C31">
            <v>679.56527705423264</v>
          </cell>
          <cell r="E31">
            <v>14754.171215635371</v>
          </cell>
          <cell r="L31">
            <v>984.77398669135823</v>
          </cell>
          <cell r="N31">
            <v>625.32177741818236</v>
          </cell>
          <cell r="R31">
            <v>59.738599999999998</v>
          </cell>
        </row>
        <row r="32">
          <cell r="A32">
            <v>4</v>
          </cell>
          <cell r="C32">
            <v>661.21783317881295</v>
          </cell>
          <cell r="E32">
            <v>13106.956534850526</v>
          </cell>
          <cell r="L32">
            <v>898.0250517672838</v>
          </cell>
          <cell r="N32">
            <v>439.53746762523087</v>
          </cell>
          <cell r="R32">
            <v>79.293999999999997</v>
          </cell>
        </row>
        <row r="33">
          <cell r="A33">
            <v>5</v>
          </cell>
          <cell r="C33">
            <v>646.26122969364167</v>
          </cell>
          <cell r="E33">
            <v>12210.177447381053</v>
          </cell>
          <cell r="L33">
            <v>862.11000383954695</v>
          </cell>
          <cell r="N33">
            <v>357.25151378774251</v>
          </cell>
          <cell r="R33">
            <v>94.318200000000004</v>
          </cell>
        </row>
        <row r="34">
          <cell r="A34">
            <v>6</v>
          </cell>
          <cell r="C34">
            <v>641.37908529663764</v>
          </cell>
          <cell r="E34">
            <v>11670.895684233354</v>
          </cell>
          <cell r="L34">
            <v>958.50726174887552</v>
          </cell>
          <cell r="N34">
            <v>308.48471676907167</v>
          </cell>
          <cell r="R34">
            <v>130.73599999999999</v>
          </cell>
        </row>
        <row r="35">
          <cell r="A35">
            <v>7</v>
          </cell>
          <cell r="C35">
            <v>641.6876633406066</v>
          </cell>
          <cell r="E35">
            <v>11388.399291544052</v>
          </cell>
          <cell r="L35">
            <v>917.45891919858025</v>
          </cell>
          <cell r="N35">
            <v>281.0985962409207</v>
          </cell>
          <cell r="R35">
            <v>138.249</v>
          </cell>
        </row>
        <row r="36">
          <cell r="A36">
            <v>8</v>
          </cell>
          <cell r="C36">
            <v>646.77101402771427</v>
          </cell>
          <cell r="E36">
            <v>11744.57240275555</v>
          </cell>
          <cell r="L36">
            <v>927.4918852239208</v>
          </cell>
          <cell r="N36">
            <v>273.31954104881925</v>
          </cell>
          <cell r="R36">
            <v>149.898</v>
          </cell>
        </row>
        <row r="37">
          <cell r="A37">
            <v>9</v>
          </cell>
          <cell r="C37">
            <v>641.40772573399056</v>
          </cell>
          <cell r="E37">
            <v>11066.56010383455</v>
          </cell>
          <cell r="L37">
            <v>848.84316564291532</v>
          </cell>
          <cell r="N37">
            <v>248.51891502528423</v>
          </cell>
          <cell r="R37">
            <v>159.34700000000001</v>
          </cell>
        </row>
        <row r="38">
          <cell r="A38">
            <v>10</v>
          </cell>
          <cell r="C38">
            <v>641.58949099536119</v>
          </cell>
          <cell r="E38">
            <v>11411.382236804357</v>
          </cell>
          <cell r="L38">
            <v>801.4731705229608</v>
          </cell>
          <cell r="N38">
            <v>233.69006028261336</v>
          </cell>
          <cell r="R38">
            <v>167.05199999999999</v>
          </cell>
        </row>
        <row r="39">
          <cell r="A39">
            <v>11</v>
          </cell>
          <cell r="C39">
            <v>637.60525467169009</v>
          </cell>
          <cell r="E39">
            <v>11229.722568844978</v>
          </cell>
          <cell r="L39">
            <v>700.4476494848401</v>
          </cell>
          <cell r="N39">
            <v>214.38075971114088</v>
          </cell>
          <cell r="R39">
            <v>163.035</v>
          </cell>
        </row>
        <row r="40">
          <cell r="A40">
            <v>12</v>
          </cell>
          <cell r="C40">
            <v>636.20714842458847</v>
          </cell>
          <cell r="E40">
            <v>11255.010627827824</v>
          </cell>
          <cell r="L40">
            <v>656.25097810329021</v>
          </cell>
          <cell r="N40">
            <v>201.57419583638517</v>
          </cell>
          <cell r="R40">
            <v>164.11099999999999</v>
          </cell>
        </row>
        <row r="41">
          <cell r="A41">
            <v>13</v>
          </cell>
          <cell r="C41">
            <v>638.02936336373489</v>
          </cell>
          <cell r="E41">
            <v>11328.514091521649</v>
          </cell>
          <cell r="L41">
            <v>624.30498835471883</v>
          </cell>
          <cell r="N41">
            <v>192.55789387233119</v>
          </cell>
          <cell r="R41">
            <v>173.51499999999999</v>
          </cell>
        </row>
        <row r="42">
          <cell r="A42">
            <v>14</v>
          </cell>
          <cell r="C42">
            <v>636.8932612838563</v>
          </cell>
          <cell r="E42">
            <v>11050.844037072235</v>
          </cell>
          <cell r="L42">
            <v>587.03035172086186</v>
          </cell>
          <cell r="N42">
            <v>181.8083711821206</v>
          </cell>
          <cell r="R42">
            <v>172.72300000000001</v>
          </cell>
        </row>
        <row r="43">
          <cell r="A43">
            <v>15</v>
          </cell>
          <cell r="C43">
            <v>636.95806952507928</v>
          </cell>
          <cell r="E43">
            <v>11430.78808192414</v>
          </cell>
          <cell r="L43">
            <v>600.00221313431871</v>
          </cell>
          <cell r="N43">
            <v>186.60549604284915</v>
          </cell>
          <cell r="R43">
            <v>177.65</v>
          </cell>
        </row>
        <row r="44">
          <cell r="A44">
            <v>16</v>
          </cell>
          <cell r="C44">
            <v>638.26767010949152</v>
          </cell>
          <cell r="E44">
            <v>11186.815029732647</v>
          </cell>
          <cell r="L44">
            <v>642.11018286100102</v>
          </cell>
          <cell r="N44">
            <v>195.66432687358741</v>
          </cell>
          <cell r="R44">
            <v>157.47300000000001</v>
          </cell>
        </row>
        <row r="45">
          <cell r="A45">
            <v>17</v>
          </cell>
          <cell r="C45">
            <v>640.2689799751812</v>
          </cell>
          <cell r="E45">
            <v>11459.901432556315</v>
          </cell>
          <cell r="L45">
            <v>710.96840681026845</v>
          </cell>
          <cell r="N45">
            <v>222.21601252687515</v>
          </cell>
          <cell r="R45">
            <v>156.71199999999999</v>
          </cell>
        </row>
        <row r="46">
          <cell r="A46">
            <v>18</v>
          </cell>
          <cell r="C46">
            <v>642.65557723224902</v>
          </cell>
          <cell r="E46">
            <v>11435.088458787546</v>
          </cell>
          <cell r="L46">
            <v>741.14691625362298</v>
          </cell>
          <cell r="N46">
            <v>242.54170080380649</v>
          </cell>
          <cell r="R46">
            <v>152.559</v>
          </cell>
        </row>
        <row r="47">
          <cell r="A47">
            <v>19</v>
          </cell>
          <cell r="C47">
            <v>641.34722942092799</v>
          </cell>
          <cell r="E47">
            <v>11342.019946607734</v>
          </cell>
          <cell r="L47">
            <v>713.63834965051558</v>
          </cell>
          <cell r="N47">
            <v>237.83568543901032</v>
          </cell>
          <cell r="R47">
            <v>158.34100000000001</v>
          </cell>
        </row>
        <row r="48">
          <cell r="A48">
            <v>20</v>
          </cell>
          <cell r="C48">
            <v>644.87248778797255</v>
          </cell>
          <cell r="E48">
            <v>11760.285099838209</v>
          </cell>
          <cell r="L48">
            <v>758.46135527992692</v>
          </cell>
          <cell r="N48">
            <v>258.9960549910341</v>
          </cell>
          <cell r="R48">
            <v>157.69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C5">
            <v>662.97504389974893</v>
          </cell>
          <cell r="E5">
            <v>16448.104609108195</v>
          </cell>
          <cell r="L5">
            <v>154.16534143264522</v>
          </cell>
          <cell r="N5">
            <v>45.603155101873107</v>
          </cell>
          <cell r="R5">
            <v>3.1461100000000002</v>
          </cell>
        </row>
        <row r="6">
          <cell r="C6">
            <v>664.41651593139545</v>
          </cell>
          <cell r="E6">
            <v>15990.239524557923</v>
          </cell>
          <cell r="L6">
            <v>109.74966506990329</v>
          </cell>
          <cell r="N6">
            <v>34.072326885135467</v>
          </cell>
          <cell r="R6">
            <v>2.71652</v>
          </cell>
        </row>
        <row r="7">
          <cell r="C7">
            <v>654.47755349470197</v>
          </cell>
          <cell r="E7">
            <v>15624.659351421875</v>
          </cell>
          <cell r="L7">
            <v>86.002184698110938</v>
          </cell>
          <cell r="N7">
            <v>28.666134895228716</v>
          </cell>
          <cell r="R7">
            <v>2.08623</v>
          </cell>
        </row>
        <row r="8">
          <cell r="C8">
            <v>649.31788673384142</v>
          </cell>
          <cell r="E8">
            <v>15478.19789844729</v>
          </cell>
          <cell r="L8">
            <v>72.754688590650844</v>
          </cell>
          <cell r="N8">
            <v>24.046329601282217</v>
          </cell>
          <cell r="R8">
            <v>3.4588000000000001</v>
          </cell>
        </row>
        <row r="9">
          <cell r="C9">
            <v>645.53743733099736</v>
          </cell>
          <cell r="E9">
            <v>15644.966633536846</v>
          </cell>
          <cell r="L9">
            <v>63.323945483341276</v>
          </cell>
          <cell r="N9">
            <v>20.246561480823409</v>
          </cell>
          <cell r="R9">
            <v>3.8118500000000002</v>
          </cell>
        </row>
        <row r="10">
          <cell r="C10">
            <v>636.33419244491654</v>
          </cell>
          <cell r="E10">
            <v>15737.041856430274</v>
          </cell>
          <cell r="L10">
            <v>56.578724891304553</v>
          </cell>
          <cell r="N10">
            <v>24.048644259807475</v>
          </cell>
          <cell r="R10">
            <v>1.79575</v>
          </cell>
        </row>
        <row r="11">
          <cell r="C11">
            <v>628.76610031879159</v>
          </cell>
          <cell r="E11">
            <v>15976.441778286269</v>
          </cell>
          <cell r="L11">
            <v>52.470700509654613</v>
          </cell>
          <cell r="N11">
            <v>25.793743219979252</v>
          </cell>
          <cell r="R11">
            <v>5.0559099999999999</v>
          </cell>
        </row>
        <row r="12">
          <cell r="C12">
            <v>624.61132674797454</v>
          </cell>
          <cell r="E12">
            <v>16232.342912810522</v>
          </cell>
          <cell r="L12">
            <v>49.132202472112297</v>
          </cell>
          <cell r="N12">
            <v>23.738087693517986</v>
          </cell>
          <cell r="R12">
            <v>3.0863100000000001</v>
          </cell>
        </row>
        <row r="13">
          <cell r="C13">
            <v>611.52000908026207</v>
          </cell>
          <cell r="E13">
            <v>15682.522953531299</v>
          </cell>
          <cell r="L13">
            <v>42.547604144765927</v>
          </cell>
          <cell r="N13">
            <v>19.834658007244055</v>
          </cell>
          <cell r="R13">
            <v>4.8402000000000003</v>
          </cell>
        </row>
        <row r="14">
          <cell r="C14">
            <v>611.14999570066925</v>
          </cell>
          <cell r="E14">
            <v>16628.110367514993</v>
          </cell>
          <cell r="L14">
            <v>45.899498372795762</v>
          </cell>
          <cell r="N14">
            <v>18.548408615500488</v>
          </cell>
          <cell r="R14">
            <v>4.2469900000000003</v>
          </cell>
        </row>
        <row r="15">
          <cell r="C15">
            <v>605.65625790403658</v>
          </cell>
          <cell r="E15">
            <v>16315.319396249637</v>
          </cell>
          <cell r="L15">
            <v>40.03815802995269</v>
          </cell>
          <cell r="N15">
            <v>16.490624716091084</v>
          </cell>
          <cell r="R15">
            <v>3.0556000000000001</v>
          </cell>
        </row>
        <row r="16">
          <cell r="C16">
            <v>599.18951064303792</v>
          </cell>
          <cell r="E16">
            <v>16151.906174392061</v>
          </cell>
          <cell r="L16">
            <v>38.634166614096095</v>
          </cell>
          <cell r="N16">
            <v>14.878769588415299</v>
          </cell>
          <cell r="R16">
            <v>4.9729000000000001</v>
          </cell>
        </row>
        <row r="17">
          <cell r="C17">
            <v>601.08256916483253</v>
          </cell>
          <cell r="E17">
            <v>16090.563488534804</v>
          </cell>
          <cell r="L17">
            <v>36.879293852908759</v>
          </cell>
          <cell r="N17">
            <v>14.312244572916942</v>
          </cell>
          <cell r="R17">
            <v>4.2226299999999997</v>
          </cell>
        </row>
        <row r="18">
          <cell r="C18">
            <v>602.88560539570972</v>
          </cell>
          <cell r="E18">
            <v>16441.245244201931</v>
          </cell>
          <cell r="L18">
            <v>36.269665186122367</v>
          </cell>
          <cell r="N18">
            <v>13.717689327938022</v>
          </cell>
          <cell r="R18">
            <v>6.2050799999999997</v>
          </cell>
        </row>
        <row r="19">
          <cell r="C19">
            <v>601.0262384915543</v>
          </cell>
          <cell r="E19">
            <v>16060.390419726473</v>
          </cell>
          <cell r="L19">
            <v>32.711209261041972</v>
          </cell>
          <cell r="N19">
            <v>12.564085144410312</v>
          </cell>
          <cell r="R19">
            <v>5.5744800000000003</v>
          </cell>
        </row>
        <row r="20">
          <cell r="C20">
            <v>596.46883476568814</v>
          </cell>
          <cell r="E20">
            <v>15969.214856574476</v>
          </cell>
          <cell r="L20">
            <v>38.882489138693082</v>
          </cell>
          <cell r="N20">
            <v>13.225725238883793</v>
          </cell>
          <cell r="R20">
            <v>10.7478</v>
          </cell>
        </row>
        <row r="21">
          <cell r="C21">
            <v>600.41688516995316</v>
          </cell>
          <cell r="E21">
            <v>16407.280880044738</v>
          </cell>
          <cell r="L21">
            <v>107.62973180980104</v>
          </cell>
          <cell r="N21">
            <v>32.934428525910604</v>
          </cell>
          <cell r="R21">
            <v>19.957599999999999</v>
          </cell>
        </row>
        <row r="22">
          <cell r="C22">
            <v>598.56577406788244</v>
          </cell>
          <cell r="E22">
            <v>15943.49125534976</v>
          </cell>
          <cell r="L22">
            <v>183.21423256253718</v>
          </cell>
          <cell r="N22">
            <v>49.734190914593803</v>
          </cell>
          <cell r="R22">
            <v>31.591000000000001</v>
          </cell>
        </row>
        <row r="23">
          <cell r="C23">
            <v>601.15310502279624</v>
          </cell>
          <cell r="E23">
            <v>16254.423776648435</v>
          </cell>
          <cell r="L23">
            <v>275.29535820301112</v>
          </cell>
          <cell r="N23">
            <v>64.551285823950877</v>
          </cell>
          <cell r="R23">
            <v>32.295299999999997</v>
          </cell>
        </row>
        <row r="24">
          <cell r="C24">
            <v>607.95168155518445</v>
          </cell>
          <cell r="E24">
            <v>16090.234731312379</v>
          </cell>
          <cell r="L24">
            <v>350.26681918646165</v>
          </cell>
          <cell r="N24">
            <v>77.55082389246445</v>
          </cell>
          <cell r="R24">
            <v>39.832000000000001</v>
          </cell>
        </row>
        <row r="29">
          <cell r="C29">
            <v>611.57747210281536</v>
          </cell>
          <cell r="E29">
            <v>17083.738367891536</v>
          </cell>
          <cell r="L29">
            <v>1536.1027793108915</v>
          </cell>
          <cell r="N29">
            <v>863.96018114687229</v>
          </cell>
          <cell r="R29">
            <v>2.6710699999999998</v>
          </cell>
        </row>
        <row r="30">
          <cell r="C30">
            <v>618.49161209279475</v>
          </cell>
          <cell r="E30">
            <v>17855.59391612776</v>
          </cell>
          <cell r="L30">
            <v>1517.5607740291782</v>
          </cell>
          <cell r="N30">
            <v>713.15241987873549</v>
          </cell>
          <cell r="R30">
            <v>2.33175</v>
          </cell>
        </row>
        <row r="31">
          <cell r="C31">
            <v>613.86817802199425</v>
          </cell>
          <cell r="E31">
            <v>17440.473495234692</v>
          </cell>
          <cell r="L31">
            <v>1438.9739675611361</v>
          </cell>
          <cell r="N31">
            <v>624.06484445538877</v>
          </cell>
          <cell r="R31">
            <v>2.7203599999999999</v>
          </cell>
        </row>
        <row r="32">
          <cell r="C32">
            <v>615.59235518759715</v>
          </cell>
          <cell r="E32">
            <v>16797.427340289363</v>
          </cell>
          <cell r="L32">
            <v>1349.4091991560417</v>
          </cell>
          <cell r="N32">
            <v>539.087472851651</v>
          </cell>
          <cell r="R32">
            <v>3.0541700000000001</v>
          </cell>
        </row>
        <row r="33">
          <cell r="C33">
            <v>616.34125621960663</v>
          </cell>
          <cell r="E33">
            <v>17127.145832065609</v>
          </cell>
          <cell r="L33">
            <v>1326.1910910944641</v>
          </cell>
          <cell r="N33">
            <v>498.3704600979579</v>
          </cell>
          <cell r="R33">
            <v>2.7248000000000001</v>
          </cell>
        </row>
        <row r="34">
          <cell r="C34">
            <v>619.26660876984567</v>
          </cell>
          <cell r="E34">
            <v>17237.258729125999</v>
          </cell>
          <cell r="L34">
            <v>1035.0212470329052</v>
          </cell>
          <cell r="N34">
            <v>419.75347983054741</v>
          </cell>
          <cell r="R34">
            <v>1.3574200000000001</v>
          </cell>
        </row>
        <row r="35">
          <cell r="C35">
            <v>619.98269385428659</v>
          </cell>
          <cell r="E35">
            <v>17178.317365588347</v>
          </cell>
          <cell r="L35">
            <v>909.22673592227284</v>
          </cell>
          <cell r="N35">
            <v>356.87795667861525</v>
          </cell>
          <cell r="R35">
            <v>1.5809500000000001</v>
          </cell>
        </row>
        <row r="36">
          <cell r="C36">
            <v>623.24265852599569</v>
          </cell>
          <cell r="E36">
            <v>17785.275033052676</v>
          </cell>
          <cell r="L36">
            <v>816.36580194880059</v>
          </cell>
          <cell r="N36">
            <v>314.12318059699277</v>
          </cell>
          <cell r="R36">
            <v>1.5115099999999999</v>
          </cell>
        </row>
        <row r="37">
          <cell r="C37">
            <v>621.76634317493279</v>
          </cell>
          <cell r="E37">
            <v>17425.227651770703</v>
          </cell>
          <cell r="L37">
            <v>647.65909807134801</v>
          </cell>
          <cell r="N37">
            <v>250.4016162052132</v>
          </cell>
          <cell r="R37">
            <v>1.70136</v>
          </cell>
        </row>
        <row r="38">
          <cell r="C38">
            <v>618.96488375059528</v>
          </cell>
          <cell r="E38">
            <v>17842.503386173285</v>
          </cell>
          <cell r="L38">
            <v>543.50719702697768</v>
          </cell>
          <cell r="N38">
            <v>208.43271560081081</v>
          </cell>
          <cell r="R38">
            <v>2.1288800000000001</v>
          </cell>
        </row>
        <row r="39">
          <cell r="C39">
            <v>620.50143657134754</v>
          </cell>
          <cell r="E39">
            <v>17339.126681595186</v>
          </cell>
          <cell r="L39">
            <v>387.77808689581582</v>
          </cell>
          <cell r="N39">
            <v>164.69658843398756</v>
          </cell>
          <cell r="R39">
            <v>2.3219599999999998</v>
          </cell>
        </row>
        <row r="40">
          <cell r="C40">
            <v>629.12766633973547</v>
          </cell>
          <cell r="E40">
            <v>17428.697868966745</v>
          </cell>
          <cell r="L40">
            <v>425.54369625871078</v>
          </cell>
          <cell r="N40">
            <v>155.93990782262807</v>
          </cell>
          <cell r="R40">
            <v>7.3319299999999998</v>
          </cell>
        </row>
        <row r="41">
          <cell r="C41">
            <v>639.21467734230987</v>
          </cell>
          <cell r="E41">
            <v>17085.991541985044</v>
          </cell>
          <cell r="L41">
            <v>491.13391145166253</v>
          </cell>
          <cell r="N41">
            <v>148.419533099267</v>
          </cell>
          <cell r="R41">
            <v>13.362500000000001</v>
          </cell>
        </row>
        <row r="42">
          <cell r="C42">
            <v>654.67124500643013</v>
          </cell>
          <cell r="E42">
            <v>17183.141228043285</v>
          </cell>
          <cell r="L42">
            <v>731.98475038808897</v>
          </cell>
          <cell r="N42">
            <v>161.38782857883444</v>
          </cell>
          <cell r="R42">
            <v>21.9453</v>
          </cell>
        </row>
        <row r="43">
          <cell r="C43">
            <v>657.50517269747434</v>
          </cell>
          <cell r="E43">
            <v>16766.005019200973</v>
          </cell>
          <cell r="L43">
            <v>871.33839668779331</v>
          </cell>
          <cell r="N43">
            <v>165.47206525587293</v>
          </cell>
          <cell r="R43">
            <v>25.808399999999999</v>
          </cell>
        </row>
        <row r="44">
          <cell r="C44">
            <v>658.84624773760163</v>
          </cell>
          <cell r="E44">
            <v>16232.23600401172</v>
          </cell>
          <cell r="L44">
            <v>913.81607347555484</v>
          </cell>
          <cell r="N44">
            <v>170.93422136191734</v>
          </cell>
          <cell r="R44">
            <v>29.677099999999999</v>
          </cell>
        </row>
        <row r="45">
          <cell r="C45">
            <v>658.2372061567828</v>
          </cell>
          <cell r="E45">
            <v>15901.265292399292</v>
          </cell>
          <cell r="L45">
            <v>1020.5234768214332</v>
          </cell>
          <cell r="N45">
            <v>179.07837162105918</v>
          </cell>
          <cell r="R45">
            <v>36.000399999999999</v>
          </cell>
        </row>
        <row r="46">
          <cell r="C46">
            <v>662.41205621453423</v>
          </cell>
          <cell r="E46">
            <v>15839.254924933246</v>
          </cell>
          <cell r="L46">
            <v>1148.2803725293418</v>
          </cell>
          <cell r="N46">
            <v>192.63782226163835</v>
          </cell>
          <cell r="R46">
            <v>38.255600000000001</v>
          </cell>
        </row>
        <row r="47">
          <cell r="C47">
            <v>666.52512428847501</v>
          </cell>
          <cell r="E47">
            <v>15381.593770791544</v>
          </cell>
          <cell r="L47">
            <v>1315.838304439701</v>
          </cell>
          <cell r="N47">
            <v>205.19541019536297</v>
          </cell>
          <cell r="R47">
            <v>42.137700000000002</v>
          </cell>
        </row>
        <row r="48">
          <cell r="C48">
            <v>669.85506958052463</v>
          </cell>
          <cell r="E48">
            <v>15619.382228199718</v>
          </cell>
          <cell r="L48">
            <v>1569.6241628610401</v>
          </cell>
          <cell r="N48">
            <v>231.95479225454901</v>
          </cell>
          <cell r="R48">
            <v>39.796700000000001</v>
          </cell>
        </row>
        <row r="53">
          <cell r="C53">
            <v>659.64348847984274</v>
          </cell>
          <cell r="E53">
            <v>15133.593067972342</v>
          </cell>
          <cell r="L53">
            <v>94.22072809094162</v>
          </cell>
          <cell r="N53">
            <v>29.868259675156583</v>
          </cell>
          <cell r="R53">
            <v>4.6525800000000004</v>
          </cell>
        </row>
        <row r="54">
          <cell r="C54">
            <v>630.24415791938623</v>
          </cell>
          <cell r="E54">
            <v>15042.210943068903</v>
          </cell>
          <cell r="L54">
            <v>62.132432960994961</v>
          </cell>
          <cell r="N54">
            <v>18.569461948414421</v>
          </cell>
          <cell r="R54">
            <v>3.12026</v>
          </cell>
        </row>
        <row r="55">
          <cell r="C55">
            <v>615.08331199685131</v>
          </cell>
          <cell r="E55">
            <v>15116.830932651781</v>
          </cell>
          <cell r="L55">
            <v>47.554683742985901</v>
          </cell>
          <cell r="N55">
            <v>13.771408138975858</v>
          </cell>
          <cell r="R55">
            <v>3.8816899999999999</v>
          </cell>
        </row>
        <row r="56">
          <cell r="C56">
            <v>602.04843458002824</v>
          </cell>
          <cell r="E56">
            <v>14692.565824303225</v>
          </cell>
          <cell r="L56">
            <v>37.715417620566555</v>
          </cell>
          <cell r="N56">
            <v>11.007886290519274</v>
          </cell>
          <cell r="R56">
            <v>3.0670500000000001</v>
          </cell>
        </row>
        <row r="57">
          <cell r="C57">
            <v>597.73051570213113</v>
          </cell>
          <cell r="E57">
            <v>14899.228717470232</v>
          </cell>
          <cell r="L57">
            <v>34.33928728530131</v>
          </cell>
          <cell r="N57">
            <v>10.191180491425767</v>
          </cell>
          <cell r="R57">
            <v>4.9896599999999998</v>
          </cell>
        </row>
        <row r="58">
          <cell r="C58">
            <v>593.96752291735334</v>
          </cell>
          <cell r="E58">
            <v>15274.994578182606</v>
          </cell>
          <cell r="L58">
            <v>31.869553673872456</v>
          </cell>
          <cell r="N58">
            <v>8.8387699182847257</v>
          </cell>
          <cell r="R58">
            <v>3.76335</v>
          </cell>
        </row>
        <row r="59">
          <cell r="C59">
            <v>594.8237647977453</v>
          </cell>
          <cell r="E59">
            <v>14596.228210770796</v>
          </cell>
          <cell r="L59">
            <v>86.530985703513267</v>
          </cell>
          <cell r="N59">
            <v>13.647057706820112</v>
          </cell>
          <cell r="R59">
            <v>33.941899999999997</v>
          </cell>
        </row>
        <row r="60">
          <cell r="C60">
            <v>623.06030729946951</v>
          </cell>
          <cell r="E60">
            <v>14953.943706074737</v>
          </cell>
          <cell r="L60">
            <v>583.25488170653466</v>
          </cell>
          <cell r="N60">
            <v>81.142564308085085</v>
          </cell>
          <cell r="R60">
            <v>65.636300000000006</v>
          </cell>
        </row>
        <row r="61">
          <cell r="C61">
            <v>632.98653125665282</v>
          </cell>
          <cell r="E61">
            <v>15112.965448985115</v>
          </cell>
          <cell r="L61">
            <v>978.14088994667975</v>
          </cell>
          <cell r="N61">
            <v>137.47115968994058</v>
          </cell>
          <cell r="R61">
            <v>73.434899999999999</v>
          </cell>
        </row>
        <row r="62">
          <cell r="C62">
            <v>638.32231418689298</v>
          </cell>
          <cell r="E62">
            <v>15429.148562158665</v>
          </cell>
          <cell r="L62">
            <v>1439.1284048124946</v>
          </cell>
          <cell r="N62">
            <v>192.59921329571432</v>
          </cell>
          <cell r="R62">
            <v>73.726799999999997</v>
          </cell>
        </row>
        <row r="63">
          <cell r="C63">
            <v>649.53803283756463</v>
          </cell>
          <cell r="E63">
            <v>15341.724927779014</v>
          </cell>
          <cell r="L63">
            <v>1569.9021105734373</v>
          </cell>
          <cell r="N63">
            <v>227.52188602876942</v>
          </cell>
          <cell r="R63">
            <v>76.035399999999996</v>
          </cell>
        </row>
        <row r="64">
          <cell r="C64">
            <v>647.6922842828601</v>
          </cell>
          <cell r="E64">
            <v>15197.516129693675</v>
          </cell>
          <cell r="L64">
            <v>1803.5868882430416</v>
          </cell>
          <cell r="N64">
            <v>254.26443673082997</v>
          </cell>
          <cell r="R64">
            <v>77.362099999999998</v>
          </cell>
        </row>
        <row r="65">
          <cell r="C65">
            <v>651.37644476017249</v>
          </cell>
          <cell r="E65">
            <v>15576.047170494143</v>
          </cell>
          <cell r="L65">
            <v>1902.2977126205672</v>
          </cell>
          <cell r="N65">
            <v>258.36915604128717</v>
          </cell>
          <cell r="R65">
            <v>74.3523</v>
          </cell>
        </row>
        <row r="66">
          <cell r="C66">
            <v>652.49642764974419</v>
          </cell>
          <cell r="E66">
            <v>15585.563491820199</v>
          </cell>
          <cell r="L66">
            <v>1895.3560375622624</v>
          </cell>
          <cell r="N66">
            <v>257.74810132050749</v>
          </cell>
          <cell r="R66">
            <v>77.754099999999994</v>
          </cell>
        </row>
        <row r="67">
          <cell r="C67">
            <v>647.76410177299636</v>
          </cell>
          <cell r="E67">
            <v>15577.734453951358</v>
          </cell>
          <cell r="L67">
            <v>1933.8572218706663</v>
          </cell>
          <cell r="N67">
            <v>285.43620593172915</v>
          </cell>
          <cell r="R67">
            <v>81.878</v>
          </cell>
        </row>
        <row r="68">
          <cell r="C68">
            <v>646.8762954909206</v>
          </cell>
          <cell r="E68">
            <v>15928.837444462988</v>
          </cell>
          <cell r="L68">
            <v>1974.4930821798971</v>
          </cell>
          <cell r="N68">
            <v>328.17933067782582</v>
          </cell>
          <cell r="R68">
            <v>81.523499999999999</v>
          </cell>
        </row>
        <row r="69">
          <cell r="C69">
            <v>652.04710373613682</v>
          </cell>
          <cell r="E69">
            <v>17518.255420449113</v>
          </cell>
          <cell r="L69">
            <v>2360.3524774736388</v>
          </cell>
          <cell r="N69">
            <v>400.10748885527215</v>
          </cell>
          <cell r="R69">
            <v>75.930700000000002</v>
          </cell>
        </row>
        <row r="70">
          <cell r="C70">
            <v>651.02661126207352</v>
          </cell>
          <cell r="E70">
            <v>17079.926551244029</v>
          </cell>
          <cell r="L70">
            <v>2525.5571580540977</v>
          </cell>
          <cell r="N70">
            <v>414.75756014471335</v>
          </cell>
          <cell r="R70">
            <v>73.503500000000003</v>
          </cell>
        </row>
        <row r="71">
          <cell r="C71">
            <v>648.86276637845845</v>
          </cell>
          <cell r="E71">
            <v>17070.634418931855</v>
          </cell>
          <cell r="L71">
            <v>2674.5979387940847</v>
          </cell>
          <cell r="N71">
            <v>417.43595356236932</v>
          </cell>
          <cell r="R71">
            <v>74.226699999999994</v>
          </cell>
        </row>
        <row r="72">
          <cell r="C72">
            <v>650.99182182053949</v>
          </cell>
          <cell r="E72">
            <v>17827.686709766771</v>
          </cell>
          <cell r="L72">
            <v>2911.1103612567154</v>
          </cell>
          <cell r="N72">
            <v>438.96675794770567</v>
          </cell>
          <cell r="R72">
            <v>70.118399999999994</v>
          </cell>
        </row>
        <row r="77">
          <cell r="A77">
            <v>1</v>
          </cell>
          <cell r="C77">
            <v>664.70669516398777</v>
          </cell>
          <cell r="E77">
            <v>14760.092834774943</v>
          </cell>
          <cell r="L77">
            <v>87.759765388463109</v>
          </cell>
          <cell r="N77">
            <v>52.239596381758531</v>
          </cell>
          <cell r="R77">
            <v>5.4476500000000003</v>
          </cell>
        </row>
        <row r="78">
          <cell r="A78">
            <v>2</v>
          </cell>
          <cell r="C78">
            <v>667.59864709365138</v>
          </cell>
          <cell r="E78">
            <v>14769.965389603141</v>
          </cell>
          <cell r="L78">
            <v>67.388065190804141</v>
          </cell>
          <cell r="N78">
            <v>30.777649956691214</v>
          </cell>
          <cell r="R78">
            <v>4.2801999999999998</v>
          </cell>
        </row>
        <row r="79">
          <cell r="A79">
            <v>3</v>
          </cell>
          <cell r="C79">
            <v>645.87755572652304</v>
          </cell>
          <cell r="E79">
            <v>14448.111570060824</v>
          </cell>
          <cell r="L79">
            <v>63.485359060071652</v>
          </cell>
          <cell r="N79">
            <v>23.150641907341615</v>
          </cell>
          <cell r="R79">
            <v>4.3604900000000004</v>
          </cell>
        </row>
        <row r="80">
          <cell r="A80">
            <v>4</v>
          </cell>
          <cell r="C80">
            <v>643.60365464930703</v>
          </cell>
          <cell r="E80">
            <v>14957.375036019917</v>
          </cell>
          <cell r="L80">
            <v>61.646516994731272</v>
          </cell>
          <cell r="N80">
            <v>19.099272191960605</v>
          </cell>
          <cell r="R80">
            <v>6.3067599999999997</v>
          </cell>
        </row>
        <row r="81">
          <cell r="A81">
            <v>5</v>
          </cell>
          <cell r="C81">
            <v>639.84700783919607</v>
          </cell>
          <cell r="E81">
            <v>15244.894457854134</v>
          </cell>
          <cell r="L81">
            <v>59.270498239889278</v>
          </cell>
          <cell r="N81">
            <v>16.360553759921448</v>
          </cell>
          <cell r="R81">
            <v>3.3991799999999999</v>
          </cell>
        </row>
        <row r="82">
          <cell r="A82">
            <v>6</v>
          </cell>
          <cell r="C82">
            <v>632.8247150819692</v>
          </cell>
          <cell r="E82">
            <v>15226.089785296028</v>
          </cell>
          <cell r="L82">
            <v>57.982721802631772</v>
          </cell>
          <cell r="N82">
            <v>14.402208071358514</v>
          </cell>
          <cell r="R82">
            <v>1.86297</v>
          </cell>
        </row>
        <row r="83">
          <cell r="A83">
            <v>7</v>
          </cell>
          <cell r="C83">
            <v>626.15563010513574</v>
          </cell>
          <cell r="E83">
            <v>15112.882250979623</v>
          </cell>
          <cell r="L83">
            <v>58.499758838534881</v>
          </cell>
          <cell r="N83">
            <v>14.126235290302803</v>
          </cell>
          <cell r="R83">
            <v>4.6246099999999997</v>
          </cell>
        </row>
        <row r="84">
          <cell r="A84">
            <v>8</v>
          </cell>
          <cell r="C84">
            <v>629.04578982715066</v>
          </cell>
          <cell r="E84">
            <v>16002.17016909053</v>
          </cell>
          <cell r="L84">
            <v>103.63398510929079</v>
          </cell>
          <cell r="N84">
            <v>22.519502248742043</v>
          </cell>
          <cell r="R84">
            <v>27.761500000000002</v>
          </cell>
        </row>
        <row r="85">
          <cell r="A85">
            <v>9</v>
          </cell>
          <cell r="C85">
            <v>629.93181887574679</v>
          </cell>
          <cell r="E85">
            <v>16205.098920216573</v>
          </cell>
          <cell r="L85">
            <v>334.78975118575181</v>
          </cell>
          <cell r="N85">
            <v>90.139391429621313</v>
          </cell>
          <cell r="R85">
            <v>50.9161</v>
          </cell>
        </row>
        <row r="86">
          <cell r="A86">
            <v>10</v>
          </cell>
          <cell r="C86">
            <v>636.43172951847237</v>
          </cell>
          <cell r="E86">
            <v>16492.598233799832</v>
          </cell>
          <cell r="L86">
            <v>585.13191289678707</v>
          </cell>
          <cell r="N86">
            <v>119.4736333440228</v>
          </cell>
          <cell r="R86">
            <v>59.8812</v>
          </cell>
        </row>
        <row r="87">
          <cell r="A87">
            <v>11</v>
          </cell>
          <cell r="C87">
            <v>630.97606191047248</v>
          </cell>
          <cell r="E87">
            <v>17390.514692056546</v>
          </cell>
          <cell r="L87">
            <v>659.1272462205286</v>
          </cell>
          <cell r="N87">
            <v>152.35993914157592</v>
          </cell>
          <cell r="R87">
            <v>60.265099999999997</v>
          </cell>
        </row>
        <row r="88">
          <cell r="A88">
            <v>12</v>
          </cell>
          <cell r="C88">
            <v>636.04105435838017</v>
          </cell>
          <cell r="E88">
            <v>17902.101815274003</v>
          </cell>
          <cell r="L88">
            <v>901.4742646482697</v>
          </cell>
          <cell r="N88">
            <v>182.84700785418377</v>
          </cell>
          <cell r="R88">
            <v>61.929600000000001</v>
          </cell>
        </row>
        <row r="89">
          <cell r="A89">
            <v>13</v>
          </cell>
          <cell r="C89">
            <v>637.79810627869165</v>
          </cell>
          <cell r="E89">
            <v>18031.335842475502</v>
          </cell>
          <cell r="L89">
            <v>1090.8190377550748</v>
          </cell>
          <cell r="N89">
            <v>198.71682872386921</v>
          </cell>
          <cell r="R89">
            <v>59.994799999999998</v>
          </cell>
        </row>
        <row r="90">
          <cell r="A90">
            <v>14</v>
          </cell>
          <cell r="C90">
            <v>656.44970929279214</v>
          </cell>
          <cell r="E90">
            <v>18759.962907329638</v>
          </cell>
          <cell r="L90">
            <v>1763.6859335402301</v>
          </cell>
          <cell r="N90">
            <v>251.90454041444062</v>
          </cell>
          <cell r="R90">
            <v>57.717199999999998</v>
          </cell>
        </row>
        <row r="91">
          <cell r="A91">
            <v>15</v>
          </cell>
          <cell r="C91">
            <v>675.39354919853804</v>
          </cell>
          <cell r="E91">
            <v>19118.018594623729</v>
          </cell>
          <cell r="L91">
            <v>3389.7148256365067</v>
          </cell>
          <cell r="N91">
            <v>395.62588079439951</v>
          </cell>
          <cell r="R91">
            <v>54.169699999999999</v>
          </cell>
        </row>
        <row r="92">
          <cell r="A92">
            <v>16</v>
          </cell>
          <cell r="C92">
            <v>691.941448366445</v>
          </cell>
          <cell r="E92">
            <v>18986.058123646173</v>
          </cell>
          <cell r="L92">
            <v>4337.0820586374612</v>
          </cell>
          <cell r="N92">
            <v>549.95190715420597</v>
          </cell>
          <cell r="R92">
            <v>47.755899999999997</v>
          </cell>
        </row>
        <row r="93">
          <cell r="A93">
            <v>17</v>
          </cell>
          <cell r="C93">
            <v>700.82886751942488</v>
          </cell>
          <cell r="E93">
            <v>19986.348561107927</v>
          </cell>
          <cell r="L93">
            <v>5182.9410768768021</v>
          </cell>
          <cell r="N93">
            <v>641.80823030619661</v>
          </cell>
          <cell r="R93">
            <v>50.239800000000002</v>
          </cell>
        </row>
        <row r="94">
          <cell r="A94">
            <v>18</v>
          </cell>
          <cell r="C94">
            <v>688.71777158032626</v>
          </cell>
          <cell r="E94">
            <v>19208.836917541903</v>
          </cell>
          <cell r="L94">
            <v>4562.6748562298599</v>
          </cell>
          <cell r="N94">
            <v>570.87701057195557</v>
          </cell>
          <cell r="R94">
            <v>55.856699999999996</v>
          </cell>
        </row>
        <row r="95">
          <cell r="A95">
            <v>19</v>
          </cell>
          <cell r="C95">
            <v>685.29281657516856</v>
          </cell>
          <cell r="E95">
            <v>18838.071108943124</v>
          </cell>
          <cell r="L95">
            <v>3964.5787353716864</v>
          </cell>
          <cell r="N95">
            <v>513.05265397623612</v>
          </cell>
          <cell r="R95">
            <v>60.518099999999997</v>
          </cell>
        </row>
        <row r="96">
          <cell r="A96">
            <v>20</v>
          </cell>
          <cell r="C96">
            <v>680.97797948437358</v>
          </cell>
          <cell r="E96">
            <v>19404.824126290841</v>
          </cell>
          <cell r="L96">
            <v>3635.3084961761938</v>
          </cell>
          <cell r="N96">
            <v>562.73850623444866</v>
          </cell>
          <cell r="R96">
            <v>56.104700000000001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C5">
            <v>613.93464889699635</v>
          </cell>
          <cell r="E5">
            <v>14169.19795469649</v>
          </cell>
          <cell r="I5">
            <v>354.85131594209821</v>
          </cell>
          <cell r="J5">
            <v>221.20077953028607</v>
          </cell>
          <cell r="N5">
            <v>4.9610000000000003</v>
          </cell>
        </row>
        <row r="6">
          <cell r="C6">
            <v>606.60121945221294</v>
          </cell>
          <cell r="E6">
            <v>15120.685509150715</v>
          </cell>
          <cell r="I6">
            <v>302.98047194869929</v>
          </cell>
          <cell r="J6">
            <v>162.40681812713538</v>
          </cell>
          <cell r="N6">
            <v>4.2882899999999999</v>
          </cell>
        </row>
        <row r="7">
          <cell r="C7">
            <v>602.08372739145739</v>
          </cell>
          <cell r="E7">
            <v>15796.451049742656</v>
          </cell>
          <cell r="I7">
            <v>265.65561683878377</v>
          </cell>
          <cell r="J7">
            <v>153.95152085458662</v>
          </cell>
          <cell r="N7">
            <v>4.6945499999999996</v>
          </cell>
        </row>
        <row r="8">
          <cell r="C8">
            <v>601.29743140428945</v>
          </cell>
          <cell r="E8">
            <v>16361.418816134241</v>
          </cell>
          <cell r="I8">
            <v>249.41226092256073</v>
          </cell>
          <cell r="J8">
            <v>149.21272633302749</v>
          </cell>
          <cell r="N8">
            <v>4.4963300000000004</v>
          </cell>
        </row>
        <row r="9">
          <cell r="C9">
            <v>603.37488243872201</v>
          </cell>
          <cell r="E9">
            <v>18201.223944071451</v>
          </cell>
          <cell r="I9">
            <v>269.86062099844554</v>
          </cell>
          <cell r="J9">
            <v>281.42224449717702</v>
          </cell>
          <cell r="N9">
            <v>4.9797000000000002</v>
          </cell>
        </row>
        <row r="10">
          <cell r="C10">
            <v>605.88973829309612</v>
          </cell>
          <cell r="E10">
            <v>20008.241162437647</v>
          </cell>
          <cell r="I10">
            <v>240.80816029122573</v>
          </cell>
          <cell r="J10">
            <v>321.88472213526995</v>
          </cell>
          <cell r="N10">
            <v>2.9029199999999999</v>
          </cell>
        </row>
        <row r="11">
          <cell r="C11">
            <v>602.42293418186773</v>
          </cell>
          <cell r="E11">
            <v>20414.813497769326</v>
          </cell>
          <cell r="I11">
            <v>222.44736687021711</v>
          </cell>
          <cell r="J11">
            <v>299.60224860862189</v>
          </cell>
          <cell r="N11">
            <v>2.3274599999999999</v>
          </cell>
        </row>
        <row r="12">
          <cell r="C12">
            <v>604.44229013549989</v>
          </cell>
          <cell r="E12">
            <v>21038.136698907525</v>
          </cell>
          <cell r="I12">
            <v>210.29601602351283</v>
          </cell>
          <cell r="J12">
            <v>288.01029226224938</v>
          </cell>
          <cell r="N12">
            <v>2.75421</v>
          </cell>
        </row>
        <row r="13">
          <cell r="C13">
            <v>606.30437675484131</v>
          </cell>
          <cell r="E13">
            <v>21059.608120464516</v>
          </cell>
          <cell r="I13">
            <v>196.55686939536974</v>
          </cell>
          <cell r="J13">
            <v>263.98160115718196</v>
          </cell>
          <cell r="N13">
            <v>2.3730699999999998</v>
          </cell>
        </row>
        <row r="14">
          <cell r="C14">
            <v>601.23138318001088</v>
          </cell>
          <cell r="E14">
            <v>20473.525254158601</v>
          </cell>
          <cell r="I14">
            <v>186.03390375280463</v>
          </cell>
          <cell r="J14">
            <v>236.77850243748881</v>
          </cell>
          <cell r="N14">
            <v>2.3654299999999999</v>
          </cell>
        </row>
        <row r="15">
          <cell r="C15">
            <v>610.72776732577631</v>
          </cell>
          <cell r="E15">
            <v>19361.421172287653</v>
          </cell>
          <cell r="I15">
            <v>160.7920574041849</v>
          </cell>
          <cell r="J15">
            <v>211.72162745326423</v>
          </cell>
          <cell r="N15">
            <v>2.4463900000000001</v>
          </cell>
        </row>
        <row r="16">
          <cell r="C16">
            <v>778.7790990810455</v>
          </cell>
          <cell r="E16">
            <v>18512.304871714259</v>
          </cell>
          <cell r="I16">
            <v>359.56090586808631</v>
          </cell>
          <cell r="J16">
            <v>201.57068273208637</v>
          </cell>
          <cell r="N16">
            <v>2.7021199999999999</v>
          </cell>
        </row>
        <row r="17">
          <cell r="C17">
            <v>1011.2592541410435</v>
          </cell>
          <cell r="E17">
            <v>18145.936085807145</v>
          </cell>
          <cell r="I17">
            <v>1243.8404490310809</v>
          </cell>
          <cell r="J17">
            <v>221.79924940383484</v>
          </cell>
          <cell r="N17">
            <v>2.8997600000000001</v>
          </cell>
        </row>
        <row r="18">
          <cell r="C18">
            <v>1106.9620102402823</v>
          </cell>
          <cell r="E18">
            <v>17381.441402777353</v>
          </cell>
          <cell r="I18">
            <v>2036.6235950305916</v>
          </cell>
          <cell r="J18">
            <v>235.82309808044008</v>
          </cell>
          <cell r="N18">
            <v>2.7922600000000002</v>
          </cell>
        </row>
        <row r="19">
          <cell r="C19">
            <v>1141.8176258769176</v>
          </cell>
          <cell r="E19">
            <v>16629.050730984301</v>
          </cell>
          <cell r="I19">
            <v>2533.2690118597416</v>
          </cell>
          <cell r="J19">
            <v>232.44325514201205</v>
          </cell>
          <cell r="N19">
            <v>2.9990600000000001</v>
          </cell>
        </row>
        <row r="20">
          <cell r="C20">
            <v>1176.8314204818262</v>
          </cell>
          <cell r="E20">
            <v>15378.940463660743</v>
          </cell>
          <cell r="I20">
            <v>3110.4228832806784</v>
          </cell>
          <cell r="J20">
            <v>220.98235001230788</v>
          </cell>
          <cell r="N20">
            <v>3.1393900000000001</v>
          </cell>
        </row>
        <row r="21">
          <cell r="C21">
            <v>1203.4426405130212</v>
          </cell>
          <cell r="E21">
            <v>15560.401703726606</v>
          </cell>
          <cell r="I21">
            <v>3626.1197627193906</v>
          </cell>
          <cell r="J21">
            <v>225.35358683702148</v>
          </cell>
          <cell r="N21">
            <v>3.08771</v>
          </cell>
        </row>
        <row r="22">
          <cell r="C22">
            <v>1215.4759436338873</v>
          </cell>
          <cell r="E22">
            <v>14904.965507627816</v>
          </cell>
          <cell r="I22">
            <v>3800.2067770046156</v>
          </cell>
          <cell r="J22">
            <v>219.84205160690908</v>
          </cell>
          <cell r="N22">
            <v>2.8363200000000002</v>
          </cell>
        </row>
        <row r="23">
          <cell r="C23">
            <v>1227.3825657392495</v>
          </cell>
          <cell r="E23">
            <v>14953.526494543801</v>
          </cell>
          <cell r="I23">
            <v>4058.2164459698238</v>
          </cell>
          <cell r="J23">
            <v>217.84649826442973</v>
          </cell>
          <cell r="N23">
            <v>3.52345</v>
          </cell>
        </row>
        <row r="24">
          <cell r="C24">
            <v>1230.5425441511875</v>
          </cell>
          <cell r="E24">
            <v>14684.543387508073</v>
          </cell>
          <cell r="I24">
            <v>4136.1937145519805</v>
          </cell>
          <cell r="J24">
            <v>215.0087393486148</v>
          </cell>
          <cell r="N24">
            <v>3.3751699999999998</v>
          </cell>
        </row>
        <row r="29">
          <cell r="C29">
            <v>625.29188150204311</v>
          </cell>
          <cell r="E29">
            <v>18094.473990374838</v>
          </cell>
          <cell r="I29">
            <v>387.2851130961547</v>
          </cell>
          <cell r="J29">
            <v>179.89053528137643</v>
          </cell>
          <cell r="N29">
            <v>3.83989</v>
          </cell>
        </row>
        <row r="30">
          <cell r="C30">
            <v>617.98742728201728</v>
          </cell>
          <cell r="E30">
            <v>18334.385386339629</v>
          </cell>
          <cell r="I30">
            <v>388.328639571758</v>
          </cell>
          <cell r="J30">
            <v>262.06805796159955</v>
          </cell>
          <cell r="N30">
            <v>3.6455299999999999</v>
          </cell>
        </row>
        <row r="31">
          <cell r="C31">
            <v>610.12292655406588</v>
          </cell>
          <cell r="E31">
            <v>17825.878055774967</v>
          </cell>
          <cell r="I31">
            <v>350.85510124175147</v>
          </cell>
          <cell r="J31">
            <v>292.33414828625371</v>
          </cell>
          <cell r="N31">
            <v>4.6450800000000001</v>
          </cell>
        </row>
        <row r="32">
          <cell r="C32">
            <v>602.19703968981878</v>
          </cell>
          <cell r="E32">
            <v>18505.127393230268</v>
          </cell>
          <cell r="I32">
            <v>343.73081362154318</v>
          </cell>
          <cell r="J32">
            <v>298.83793451876284</v>
          </cell>
          <cell r="N32">
            <v>4.1866099999999999</v>
          </cell>
        </row>
        <row r="33">
          <cell r="C33">
            <v>632.8924809706325</v>
          </cell>
          <cell r="E33">
            <v>20697.581353995523</v>
          </cell>
          <cell r="I33">
            <v>525.62970971261609</v>
          </cell>
          <cell r="J33">
            <v>432.41644359241121</v>
          </cell>
          <cell r="N33">
            <v>3.07213</v>
          </cell>
        </row>
        <row r="34">
          <cell r="C34">
            <v>668.5591401547199</v>
          </cell>
          <cell r="E34">
            <v>24268.705270006503</v>
          </cell>
          <cell r="I34">
            <v>992.4218871131269</v>
          </cell>
          <cell r="J34">
            <v>786.12641272623762</v>
          </cell>
          <cell r="N34">
            <v>3.4516300000000002</v>
          </cell>
        </row>
        <row r="35">
          <cell r="C35">
            <v>680.78735713940921</v>
          </cell>
          <cell r="E35">
            <v>24803.259172219728</v>
          </cell>
          <cell r="I35">
            <v>1193.9746527347995</v>
          </cell>
          <cell r="J35">
            <v>910.44694781152737</v>
          </cell>
          <cell r="N35">
            <v>3.6296599999999999</v>
          </cell>
        </row>
        <row r="36">
          <cell r="C36">
            <v>692.78221205924319</v>
          </cell>
          <cell r="E36">
            <v>24893.339885881291</v>
          </cell>
          <cell r="I36">
            <v>1485.0964676091598</v>
          </cell>
          <cell r="J36">
            <v>987.69064137388511</v>
          </cell>
          <cell r="N36">
            <v>4.2327899999999996</v>
          </cell>
        </row>
        <row r="37">
          <cell r="C37">
            <v>702.39100190518843</v>
          </cell>
          <cell r="E37">
            <v>24427.724201463683</v>
          </cell>
          <cell r="I37">
            <v>1886.344232186151</v>
          </cell>
          <cell r="J37">
            <v>1072.5191833235153</v>
          </cell>
          <cell r="N37">
            <v>3.7938999999999998</v>
          </cell>
        </row>
        <row r="38">
          <cell r="C38">
            <v>717.43307620129985</v>
          </cell>
          <cell r="E38">
            <v>23515.321673421626</v>
          </cell>
          <cell r="I38">
            <v>2411.8188009448122</v>
          </cell>
          <cell r="J38">
            <v>1160.8553423222781</v>
          </cell>
          <cell r="N38">
            <v>3.9125299999999998</v>
          </cell>
        </row>
        <row r="39">
          <cell r="C39">
            <v>743.64003915590513</v>
          </cell>
          <cell r="E39">
            <v>22552.071759457107</v>
          </cell>
          <cell r="I39">
            <v>3181.3103836712767</v>
          </cell>
          <cell r="J39">
            <v>1356.2870158988994</v>
          </cell>
          <cell r="N39">
            <v>3.9343699999999999</v>
          </cell>
        </row>
        <row r="40">
          <cell r="C40">
            <v>760.12049058944979</v>
          </cell>
          <cell r="E40">
            <v>21614.68656451194</v>
          </cell>
          <cell r="I40">
            <v>3686.4798966299832</v>
          </cell>
          <cell r="J40">
            <v>1455.3877702861148</v>
          </cell>
          <cell r="N40">
            <v>3.5807799999999999</v>
          </cell>
        </row>
        <row r="41">
          <cell r="C41">
            <v>768.5601786905562</v>
          </cell>
          <cell r="E41">
            <v>21847.394697024531</v>
          </cell>
          <cell r="I41">
            <v>3668.5380763478652</v>
          </cell>
          <cell r="J41">
            <v>1434.9902941668206</v>
          </cell>
          <cell r="N41">
            <v>4.20505</v>
          </cell>
        </row>
        <row r="42">
          <cell r="C42">
            <v>768.36699412317932</v>
          </cell>
          <cell r="E42">
            <v>23358.972917922678</v>
          </cell>
          <cell r="I42">
            <v>3432.4069020724282</v>
          </cell>
          <cell r="J42">
            <v>1547.2714773267282</v>
          </cell>
          <cell r="N42">
            <v>4.0574500000000002</v>
          </cell>
        </row>
        <row r="43">
          <cell r="C43">
            <v>761.53636962809662</v>
          </cell>
          <cell r="E43">
            <v>23460.448527925622</v>
          </cell>
          <cell r="I43">
            <v>3132.6238098279482</v>
          </cell>
          <cell r="J43">
            <v>1621.5732072907508</v>
          </cell>
          <cell r="N43">
            <v>4.1992900000000004</v>
          </cell>
        </row>
        <row r="44">
          <cell r="C44">
            <v>767.49762836641719</v>
          </cell>
          <cell r="E44">
            <v>24753.522232154221</v>
          </cell>
          <cell r="I44">
            <v>3088.3112097454723</v>
          </cell>
          <cell r="J44">
            <v>1927.5981465526888</v>
          </cell>
          <cell r="N44">
            <v>3.5639699999999999</v>
          </cell>
        </row>
        <row r="45">
          <cell r="C45">
            <v>770.12301323854433</v>
          </cell>
          <cell r="E45">
            <v>26379.019191422572</v>
          </cell>
          <cell r="I45">
            <v>3150.9396377231701</v>
          </cell>
          <cell r="J45">
            <v>2160.0077761926227</v>
          </cell>
          <cell r="N45">
            <v>3.4759799999999998</v>
          </cell>
        </row>
        <row r="46">
          <cell r="C46">
            <v>769.67527741531796</v>
          </cell>
          <cell r="E46">
            <v>25336.792250874129</v>
          </cell>
          <cell r="I46">
            <v>2953.238810754845</v>
          </cell>
          <cell r="J46">
            <v>2254.2124414037758</v>
          </cell>
          <cell r="N46">
            <v>3.23889</v>
          </cell>
        </row>
        <row r="47">
          <cell r="C47">
            <v>770.73688920109237</v>
          </cell>
          <cell r="E47">
            <v>25521.852170782255</v>
          </cell>
          <cell r="I47">
            <v>3054.5617366452229</v>
          </cell>
          <cell r="J47">
            <v>2465.0990721374219</v>
          </cell>
          <cell r="N47">
            <v>3.0183599999999999</v>
          </cell>
        </row>
        <row r="48">
          <cell r="C48">
            <v>778.94358375521767</v>
          </cell>
          <cell r="E48">
            <v>26315.723768750875</v>
          </cell>
          <cell r="I48">
            <v>3208.8260964897099</v>
          </cell>
          <cell r="J48">
            <v>2722.5241385062345</v>
          </cell>
          <cell r="N48">
            <v>3.1625899999999998</v>
          </cell>
        </row>
        <row r="53">
          <cell r="A53">
            <v>1</v>
          </cell>
          <cell r="C53">
            <v>660.43754752366021</v>
          </cell>
          <cell r="E53">
            <v>17208.238445624003</v>
          </cell>
          <cell r="I53">
            <v>645.28363872165619</v>
          </cell>
          <cell r="J53">
            <v>381.7865125998627</v>
          </cell>
          <cell r="N53">
            <v>3.9124599999999998</v>
          </cell>
        </row>
        <row r="54">
          <cell r="A54">
            <v>2</v>
          </cell>
          <cell r="C54">
            <v>673.80840090579318</v>
          </cell>
          <cell r="E54">
            <v>18574.854644921375</v>
          </cell>
          <cell r="I54">
            <v>799.33668214157842</v>
          </cell>
          <cell r="J54">
            <v>513.59100861363754</v>
          </cell>
          <cell r="N54">
            <v>3.3443900000000002</v>
          </cell>
        </row>
        <row r="55">
          <cell r="A55">
            <v>3</v>
          </cell>
          <cell r="C55">
            <v>679.54911703243727</v>
          </cell>
          <cell r="E55">
            <v>19188.996442999953</v>
          </cell>
          <cell r="I55">
            <v>899.77376764380324</v>
          </cell>
          <cell r="J55">
            <v>558.77547753895954</v>
          </cell>
          <cell r="N55">
            <v>3.36599</v>
          </cell>
        </row>
        <row r="56">
          <cell r="A56">
            <v>4</v>
          </cell>
          <cell r="C56">
            <v>676.98012997307205</v>
          </cell>
          <cell r="E56">
            <v>19658.183557494489</v>
          </cell>
          <cell r="I56">
            <v>886.61027998553709</v>
          </cell>
          <cell r="J56">
            <v>563.8387329996167</v>
          </cell>
          <cell r="N56">
            <v>4.1387</v>
          </cell>
        </row>
        <row r="57">
          <cell r="A57">
            <v>5</v>
          </cell>
          <cell r="C57">
            <v>672.98515758039571</v>
          </cell>
          <cell r="E57">
            <v>20304.376009952466</v>
          </cell>
          <cell r="I57">
            <v>867.7127925861472</v>
          </cell>
          <cell r="J57">
            <v>561.54890878698268</v>
          </cell>
          <cell r="N57">
            <v>4.1921799999999996</v>
          </cell>
        </row>
        <row r="58">
          <cell r="A58">
            <v>6</v>
          </cell>
          <cell r="C58">
            <v>664.82615579160097</v>
          </cell>
          <cell r="E58">
            <v>20777.597050531334</v>
          </cell>
          <cell r="I58">
            <v>850.54777053965984</v>
          </cell>
          <cell r="J58">
            <v>573.23370688036073</v>
          </cell>
          <cell r="N58">
            <v>3.5342899999999999</v>
          </cell>
        </row>
        <row r="59">
          <cell r="A59">
            <v>7</v>
          </cell>
          <cell r="C59">
            <v>658.43153454603328</v>
          </cell>
          <cell r="E59">
            <v>19978.041129612735</v>
          </cell>
          <cell r="I59">
            <v>792.56977552334263</v>
          </cell>
          <cell r="J59">
            <v>535.21319627865296</v>
          </cell>
          <cell r="N59">
            <v>3.5935199999999998</v>
          </cell>
        </row>
        <row r="60">
          <cell r="A60">
            <v>8</v>
          </cell>
          <cell r="C60">
            <v>660.90463911114205</v>
          </cell>
          <cell r="E60">
            <v>20117.989353559253</v>
          </cell>
          <cell r="I60">
            <v>778.27083588635151</v>
          </cell>
          <cell r="J60">
            <v>524.43123896038367</v>
          </cell>
          <cell r="N60">
            <v>3.8261400000000001</v>
          </cell>
        </row>
        <row r="61">
          <cell r="A61">
            <v>9</v>
          </cell>
          <cell r="C61">
            <v>656.90006392935243</v>
          </cell>
          <cell r="E61">
            <v>20414.601904774951</v>
          </cell>
          <cell r="I61">
            <v>827.99029401754774</v>
          </cell>
          <cell r="J61">
            <v>545.55867274031652</v>
          </cell>
          <cell r="N61">
            <v>3.4625300000000001</v>
          </cell>
        </row>
        <row r="62">
          <cell r="A62">
            <v>10</v>
          </cell>
          <cell r="C62">
            <v>655.77046897636944</v>
          </cell>
          <cell r="E62">
            <v>20618.600393300334</v>
          </cell>
          <cell r="I62">
            <v>820.38195854180879</v>
          </cell>
          <cell r="J62">
            <v>545.17811173319137</v>
          </cell>
          <cell r="N62">
            <v>3.56758</v>
          </cell>
        </row>
        <row r="63">
          <cell r="A63">
            <v>11</v>
          </cell>
          <cell r="C63">
            <v>665.17215232743513</v>
          </cell>
          <cell r="E63">
            <v>19382.788328404644</v>
          </cell>
          <cell r="I63">
            <v>691.24082351625373</v>
          </cell>
          <cell r="J63">
            <v>504.87706015957133</v>
          </cell>
          <cell r="N63">
            <v>3.3177699999999999</v>
          </cell>
        </row>
        <row r="64">
          <cell r="A64">
            <v>12</v>
          </cell>
          <cell r="C64">
            <v>670.40187178615781</v>
          </cell>
          <cell r="E64">
            <v>19236.987745533581</v>
          </cell>
          <cell r="I64">
            <v>632.21839468656424</v>
          </cell>
          <cell r="J64">
            <v>485.35643750669482</v>
          </cell>
          <cell r="N64">
            <v>3.26166</v>
          </cell>
        </row>
        <row r="65">
          <cell r="A65">
            <v>13</v>
          </cell>
          <cell r="C65">
            <v>673.8759876033522</v>
          </cell>
          <cell r="E65">
            <v>19236.79253737002</v>
          </cell>
          <cell r="I65">
            <v>576.00644902072531</v>
          </cell>
          <cell r="J65">
            <v>485.25430221541728</v>
          </cell>
          <cell r="N65">
            <v>3.5499200000000002</v>
          </cell>
        </row>
        <row r="66">
          <cell r="A66">
            <v>14</v>
          </cell>
          <cell r="C66">
            <v>672.31909421757666</v>
          </cell>
          <cell r="E66">
            <v>18896.952883112106</v>
          </cell>
          <cell r="I66">
            <v>509.72351272478767</v>
          </cell>
          <cell r="J66">
            <v>465.14791411661361</v>
          </cell>
          <cell r="N66">
            <v>3.42239</v>
          </cell>
        </row>
        <row r="67">
          <cell r="A67">
            <v>15</v>
          </cell>
          <cell r="C67">
            <v>671.31292556893527</v>
          </cell>
          <cell r="E67">
            <v>18346.716465674057</v>
          </cell>
          <cell r="I67">
            <v>459.5965678159111</v>
          </cell>
          <cell r="J67">
            <v>472.37707993102117</v>
          </cell>
          <cell r="N67">
            <v>3.4845899999999999</v>
          </cell>
        </row>
        <row r="68">
          <cell r="A68">
            <v>16</v>
          </cell>
          <cell r="C68">
            <v>668.34029704377747</v>
          </cell>
          <cell r="E68">
            <v>17694.290737194475</v>
          </cell>
          <cell r="I68">
            <v>400.18378888189983</v>
          </cell>
          <cell r="J68">
            <v>456.00728679481733</v>
          </cell>
          <cell r="N68">
            <v>3.7260599999999999</v>
          </cell>
        </row>
        <row r="69">
          <cell r="A69">
            <v>17</v>
          </cell>
          <cell r="C69">
            <v>666.95908314308463</v>
          </cell>
          <cell r="E69">
            <v>17419.945630779261</v>
          </cell>
          <cell r="I69">
            <v>365.58729158129773</v>
          </cell>
          <cell r="J69">
            <v>428.24138920863106</v>
          </cell>
          <cell r="N69">
            <v>3.8548399999999998</v>
          </cell>
        </row>
        <row r="70">
          <cell r="A70">
            <v>18</v>
          </cell>
          <cell r="C70">
            <v>661.42159178928955</v>
          </cell>
          <cell r="E70">
            <v>17095.069341533395</v>
          </cell>
          <cell r="I70">
            <v>324.13353535045508</v>
          </cell>
          <cell r="J70">
            <v>398.18283711305378</v>
          </cell>
          <cell r="N70">
            <v>3.34348</v>
          </cell>
        </row>
        <row r="71">
          <cell r="A71">
            <v>19</v>
          </cell>
          <cell r="C71">
            <v>660.22893372727765</v>
          </cell>
          <cell r="E71">
            <v>16982.905514933409</v>
          </cell>
          <cell r="I71">
            <v>299.98374147759176</v>
          </cell>
          <cell r="J71">
            <v>380.14467535935211</v>
          </cell>
          <cell r="N71">
            <v>3.7927300000000002</v>
          </cell>
        </row>
        <row r="72">
          <cell r="A72">
            <v>20</v>
          </cell>
          <cell r="C72">
            <v>660.63749493504179</v>
          </cell>
          <cell r="E72">
            <v>16838.542741672383</v>
          </cell>
          <cell r="I72">
            <v>280.44551214186021</v>
          </cell>
          <cell r="J72">
            <v>369.64414295444749</v>
          </cell>
          <cell r="N72">
            <v>2.7404700000000002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130"/>
  <sheetViews>
    <sheetView workbookViewId="0">
      <selection activeCell="B146" sqref="B146"/>
    </sheetView>
  </sheetViews>
  <sheetFormatPr baseColWidth="10" defaultRowHeight="13"/>
  <cols>
    <col min="1" max="1" width="16.85546875" customWidth="1"/>
    <col min="2" max="2" width="14.7109375" customWidth="1"/>
    <col min="3" max="10" width="7.5703125" customWidth="1"/>
    <col min="11" max="11" width="10.85546875" customWidth="1"/>
    <col min="12" max="13" width="7.5703125" customWidth="1"/>
    <col min="14" max="15" width="7.85546875" style="1" customWidth="1"/>
    <col min="16" max="17" width="11" customWidth="1"/>
    <col min="19" max="19" width="37" customWidth="1"/>
  </cols>
  <sheetData>
    <row r="1" spans="1:19">
      <c r="B1" s="1"/>
      <c r="C1" s="4"/>
      <c r="D1" s="4"/>
      <c r="E1" s="4"/>
      <c r="F1" s="4"/>
      <c r="G1" s="4"/>
      <c r="H1" s="4"/>
      <c r="I1" s="4"/>
      <c r="J1" s="4"/>
      <c r="K1" s="4" t="s">
        <v>395</v>
      </c>
      <c r="L1" s="4" t="s">
        <v>262</v>
      </c>
      <c r="M1" s="4" t="s">
        <v>262</v>
      </c>
      <c r="N1" s="1" t="s">
        <v>268</v>
      </c>
      <c r="P1" s="1" t="s">
        <v>213</v>
      </c>
      <c r="Q1" s="1" t="s">
        <v>398</v>
      </c>
      <c r="S1" s="2" t="s">
        <v>515</v>
      </c>
    </row>
    <row r="2" spans="1:19">
      <c r="C2" s="4" t="s">
        <v>264</v>
      </c>
      <c r="D2" s="4" t="s">
        <v>264</v>
      </c>
      <c r="E2" s="4" t="s">
        <v>508</v>
      </c>
      <c r="F2" s="4" t="s">
        <v>509</v>
      </c>
      <c r="G2" s="4" t="s">
        <v>568</v>
      </c>
      <c r="H2" s="4"/>
      <c r="I2" s="4" t="s">
        <v>264</v>
      </c>
      <c r="J2" s="4" t="s">
        <v>264</v>
      </c>
      <c r="K2" s="4" t="s">
        <v>396</v>
      </c>
      <c r="L2" s="4" t="s">
        <v>263</v>
      </c>
      <c r="M2" s="4" t="s">
        <v>263</v>
      </c>
      <c r="N2" s="1" t="s">
        <v>269</v>
      </c>
      <c r="O2" s="1" t="s">
        <v>271</v>
      </c>
      <c r="P2" s="4" t="s">
        <v>512</v>
      </c>
    </row>
    <row r="3" spans="1:19">
      <c r="C3" s="4" t="s">
        <v>265</v>
      </c>
      <c r="D3" s="4" t="s">
        <v>265</v>
      </c>
      <c r="E3" s="4" t="s">
        <v>510</v>
      </c>
      <c r="F3" s="4" t="s">
        <v>510</v>
      </c>
      <c r="G3" s="4" t="s">
        <v>569</v>
      </c>
      <c r="H3" s="4" t="s">
        <v>570</v>
      </c>
      <c r="I3" s="4" t="s">
        <v>267</v>
      </c>
      <c r="J3" s="4" t="s">
        <v>267</v>
      </c>
      <c r="K3" s="4" t="s">
        <v>397</v>
      </c>
      <c r="L3" s="4"/>
      <c r="M3" s="4"/>
      <c r="N3" s="1" t="s">
        <v>270</v>
      </c>
      <c r="O3" s="1" t="s">
        <v>272</v>
      </c>
      <c r="P3" s="4" t="s">
        <v>513</v>
      </c>
    </row>
    <row r="4" spans="1:19"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 s="4" t="s">
        <v>514</v>
      </c>
    </row>
    <row r="5" spans="1:19">
      <c r="A5" s="1" t="s">
        <v>320</v>
      </c>
      <c r="B5" s="1" t="s">
        <v>557</v>
      </c>
      <c r="C5" s="4"/>
      <c r="D5" s="4" t="s">
        <v>266</v>
      </c>
      <c r="E5" s="4"/>
      <c r="F5" s="4" t="s">
        <v>511</v>
      </c>
      <c r="G5" s="4"/>
      <c r="H5" s="4"/>
      <c r="I5" s="4"/>
      <c r="J5" s="4" t="s">
        <v>266</v>
      </c>
      <c r="K5" s="4"/>
      <c r="L5" s="4"/>
      <c r="M5" s="4" t="s">
        <v>266</v>
      </c>
    </row>
    <row r="6" spans="1:19">
      <c r="G6" s="7" t="e">
        <f t="shared" ref="G6:G27" si="0">(LN((1/E6)+1))/0.000155125</f>
        <v>#DIV/0!</v>
      </c>
      <c r="H6" s="7" t="e">
        <f t="shared" ref="H6:H27" si="1">(F6/E6)*G6</f>
        <v>#DIV/0!</v>
      </c>
    </row>
    <row r="7" spans="1:19">
      <c r="G7" s="7" t="e">
        <f t="shared" si="0"/>
        <v>#DIV/0!</v>
      </c>
      <c r="H7" s="7" t="e">
        <f t="shared" si="1"/>
        <v>#DIV/0!</v>
      </c>
    </row>
    <row r="8" spans="1:19">
      <c r="A8" t="s">
        <v>505</v>
      </c>
      <c r="B8" t="s">
        <v>146</v>
      </c>
      <c r="C8">
        <v>0.1109</v>
      </c>
      <c r="D8">
        <v>6.3629999999999997E-3</v>
      </c>
      <c r="E8">
        <v>78.740157480314963</v>
      </c>
      <c r="F8">
        <v>4.0343480686961382</v>
      </c>
      <c r="G8" s="7">
        <f t="shared" si="0"/>
        <v>81.353949112665262</v>
      </c>
      <c r="H8" s="7">
        <f t="shared" si="1"/>
        <v>4.1682688730402591</v>
      </c>
      <c r="I8">
        <v>6.336E-2</v>
      </c>
      <c r="J8">
        <v>2.5360000000000001E-3</v>
      </c>
      <c r="K8" s="3">
        <v>0.73360000000000003</v>
      </c>
      <c r="L8" s="3">
        <v>3.1402000000000001E-3</v>
      </c>
      <c r="M8" s="3">
        <v>4.37317E-4</v>
      </c>
      <c r="N8" s="1">
        <v>79.7</v>
      </c>
      <c r="O8" s="1">
        <v>8.1</v>
      </c>
      <c r="P8">
        <v>0.29186413902053709</v>
      </c>
      <c r="Q8">
        <v>60.786086089206115</v>
      </c>
      <c r="S8" t="s">
        <v>314</v>
      </c>
    </row>
    <row r="9" spans="1:19">
      <c r="A9" s="5" t="s">
        <v>535</v>
      </c>
      <c r="B9" t="s">
        <v>147</v>
      </c>
      <c r="C9">
        <v>1.124E-2</v>
      </c>
      <c r="D9">
        <v>2.4290000000000002E-3</v>
      </c>
      <c r="E9">
        <v>2644.1036488630357</v>
      </c>
      <c r="F9">
        <v>143.46114985370042</v>
      </c>
      <c r="G9" s="7">
        <f t="shared" si="0"/>
        <v>2.4375729276839251</v>
      </c>
      <c r="H9" s="7">
        <f t="shared" si="1"/>
        <v>0.13225541109485497</v>
      </c>
      <c r="I9">
        <v>0.2155</v>
      </c>
      <c r="J9">
        <v>4.7160000000000001E-2</v>
      </c>
      <c r="K9" s="3">
        <v>7.6259999999999994E-2</v>
      </c>
      <c r="L9" s="3">
        <v>0</v>
      </c>
      <c r="M9" s="3">
        <v>0</v>
      </c>
      <c r="N9" s="1">
        <v>1.91</v>
      </c>
      <c r="O9" s="1">
        <v>0.36</v>
      </c>
      <c r="P9">
        <v>7.302532123960695E-2</v>
      </c>
      <c r="Q9">
        <v>10.471484583099615</v>
      </c>
      <c r="S9" t="s">
        <v>279</v>
      </c>
    </row>
    <row r="10" spans="1:19">
      <c r="A10" s="5"/>
      <c r="G10" s="7" t="e">
        <f t="shared" si="0"/>
        <v>#DIV/0!</v>
      </c>
      <c r="H10" s="7" t="e">
        <f t="shared" si="1"/>
        <v>#DIV/0!</v>
      </c>
      <c r="K10" s="3"/>
      <c r="L10" s="3"/>
      <c r="M10" s="3"/>
    </row>
    <row r="11" spans="1:19">
      <c r="A11" t="s">
        <v>360</v>
      </c>
      <c r="B11" t="s">
        <v>146</v>
      </c>
      <c r="C11">
        <v>0.1094</v>
      </c>
      <c r="D11">
        <v>6.4859999999999996E-3</v>
      </c>
      <c r="E11">
        <v>71.123755334281654</v>
      </c>
      <c r="F11">
        <v>3.5172366347031319</v>
      </c>
      <c r="G11" s="7">
        <f t="shared" si="0"/>
        <v>90.005318395194791</v>
      </c>
      <c r="H11" s="7">
        <f t="shared" si="1"/>
        <v>4.450974244678445</v>
      </c>
      <c r="I11">
        <v>5.6410000000000002E-2</v>
      </c>
      <c r="J11">
        <v>1.9090000000000001E-3</v>
      </c>
      <c r="K11" s="3">
        <v>0.82140000000000002</v>
      </c>
      <c r="L11" s="3">
        <v>1.9941E-3</v>
      </c>
      <c r="M11" s="3">
        <v>3.7988600000000001E-4</v>
      </c>
      <c r="N11" s="1">
        <v>89</v>
      </c>
      <c r="O11" s="1">
        <v>8.6999999999999993</v>
      </c>
      <c r="P11">
        <v>0.53613744075829395</v>
      </c>
      <c r="Q11">
        <v>47.838419100458189</v>
      </c>
      <c r="S11" t="s">
        <v>315</v>
      </c>
    </row>
    <row r="12" spans="1:19">
      <c r="A12" t="s">
        <v>361</v>
      </c>
      <c r="B12" t="s">
        <v>146</v>
      </c>
      <c r="C12">
        <v>9.9820000000000006E-2</v>
      </c>
      <c r="D12">
        <v>5.0540000000000003E-3</v>
      </c>
      <c r="E12">
        <v>73.583517292126572</v>
      </c>
      <c r="F12">
        <v>3.6791758646063286</v>
      </c>
      <c r="G12" s="7">
        <f t="shared" si="0"/>
        <v>87.016819670212499</v>
      </c>
      <c r="H12" s="7">
        <f t="shared" si="1"/>
        <v>4.3508409835106248</v>
      </c>
      <c r="I12">
        <v>5.3280000000000001E-2</v>
      </c>
      <c r="J12">
        <v>1.83E-3</v>
      </c>
      <c r="K12" s="3">
        <v>0.7671</v>
      </c>
      <c r="L12" s="3">
        <v>2.2176000000000001E-3</v>
      </c>
      <c r="M12" s="3">
        <v>3.5452900000000002E-4</v>
      </c>
      <c r="N12" s="1">
        <v>86.4</v>
      </c>
      <c r="O12" s="1">
        <v>8.5</v>
      </c>
      <c r="P12">
        <v>0.24624802527646134</v>
      </c>
      <c r="Q12">
        <v>57.388648193747464</v>
      </c>
      <c r="S12" t="s">
        <v>316</v>
      </c>
    </row>
    <row r="13" spans="1:19">
      <c r="A13" t="s">
        <v>362</v>
      </c>
      <c r="B13" t="s">
        <v>146</v>
      </c>
      <c r="C13">
        <v>0.10639999999999999</v>
      </c>
      <c r="D13">
        <v>4.1469999999999996E-3</v>
      </c>
      <c r="E13">
        <v>65.573770491803273</v>
      </c>
      <c r="F13">
        <v>2.3223864552539637</v>
      </c>
      <c r="G13" s="7">
        <f t="shared" si="0"/>
        <v>97.56575396789755</v>
      </c>
      <c r="H13" s="7">
        <f t="shared" si="1"/>
        <v>3.4554271290532106</v>
      </c>
      <c r="I13">
        <v>5.0590000000000003E-2</v>
      </c>
      <c r="J13">
        <v>1.1999999999999999E-3</v>
      </c>
      <c r="K13" s="3">
        <v>0.80100000000000005</v>
      </c>
      <c r="L13" s="3">
        <v>4.2871000000000001E-4</v>
      </c>
      <c r="M13" s="3">
        <v>1.14603E-4</v>
      </c>
      <c r="N13" s="1">
        <v>97.2</v>
      </c>
      <c r="O13" s="1">
        <v>8.6</v>
      </c>
      <c r="P13">
        <v>0.51016982622432872</v>
      </c>
      <c r="Q13">
        <v>78.047564130536415</v>
      </c>
      <c r="S13" t="s">
        <v>317</v>
      </c>
    </row>
    <row r="14" spans="1:19">
      <c r="A14" s="5" t="s">
        <v>536</v>
      </c>
      <c r="B14" t="s">
        <v>147</v>
      </c>
      <c r="C14">
        <v>7.7039999999999999E-3</v>
      </c>
      <c r="D14">
        <v>1.588E-3</v>
      </c>
      <c r="E14">
        <v>4372.540445999125</v>
      </c>
      <c r="F14">
        <v>226.56145292999403</v>
      </c>
      <c r="G14" s="7">
        <f t="shared" si="0"/>
        <v>1.4741263635241415</v>
      </c>
      <c r="H14" s="7">
        <f t="shared" si="1"/>
        <v>7.6381274192221585E-2</v>
      </c>
      <c r="I14">
        <v>0.24429999999999999</v>
      </c>
      <c r="J14">
        <v>4.5609999999999998E-2</v>
      </c>
      <c r="K14" s="3">
        <v>0.4819</v>
      </c>
      <c r="L14" s="3">
        <v>1.23345E-2</v>
      </c>
      <c r="M14" s="3">
        <v>1.2356000000000001E-2</v>
      </c>
      <c r="N14" s="1">
        <v>1.1000000000000001</v>
      </c>
      <c r="O14" s="1">
        <v>0.21</v>
      </c>
      <c r="P14">
        <v>2.2845804988662132E-2</v>
      </c>
      <c r="Q14">
        <v>8.1009546949739697</v>
      </c>
      <c r="S14" t="s">
        <v>278</v>
      </c>
    </row>
    <row r="15" spans="1:19">
      <c r="A15" s="5"/>
      <c r="G15" s="7" t="e">
        <f t="shared" si="0"/>
        <v>#DIV/0!</v>
      </c>
      <c r="H15" s="7" t="e">
        <f t="shared" si="1"/>
        <v>#DIV/0!</v>
      </c>
      <c r="K15" s="3"/>
      <c r="L15" s="3"/>
      <c r="M15" s="3"/>
    </row>
    <row r="16" spans="1:19">
      <c r="A16" t="s">
        <v>363</v>
      </c>
      <c r="B16" t="s">
        <v>146</v>
      </c>
      <c r="C16">
        <v>0.1522</v>
      </c>
      <c r="D16">
        <v>1.443E-2</v>
      </c>
      <c r="E16">
        <v>128.71669455528382</v>
      </c>
      <c r="F16">
        <v>9.0047011830089794</v>
      </c>
      <c r="G16" s="7">
        <f t="shared" si="0"/>
        <v>49.888649281657599</v>
      </c>
      <c r="H16" s="7">
        <f t="shared" si="1"/>
        <v>3.4900863540456823</v>
      </c>
      <c r="I16">
        <v>0.1421</v>
      </c>
      <c r="J16">
        <v>1.141E-2</v>
      </c>
      <c r="K16" s="3">
        <v>0.56020000000000003</v>
      </c>
      <c r="L16" s="3">
        <v>3.4398999999999999E-2</v>
      </c>
      <c r="M16" s="3">
        <v>6.0010899999999997E-3</v>
      </c>
      <c r="N16" s="1">
        <v>43.8</v>
      </c>
      <c r="O16" s="1">
        <v>6.3</v>
      </c>
      <c r="P16">
        <v>0.13359004739336494</v>
      </c>
      <c r="Q16">
        <v>5.7544493968768506</v>
      </c>
      <c r="S16" t="s">
        <v>318</v>
      </c>
    </row>
    <row r="17" spans="1:19">
      <c r="A17" t="s">
        <v>364</v>
      </c>
      <c r="B17" t="s">
        <v>146</v>
      </c>
      <c r="C17">
        <v>0.10589999999999999</v>
      </c>
      <c r="D17">
        <v>5.6080000000000001E-3</v>
      </c>
      <c r="E17">
        <v>70.472163495419309</v>
      </c>
      <c r="F17">
        <v>3.1089199681559192</v>
      </c>
      <c r="G17" s="7">
        <f t="shared" si="0"/>
        <v>90.831679883987405</v>
      </c>
      <c r="H17" s="7">
        <f t="shared" si="1"/>
        <v>4.0070917270878166</v>
      </c>
      <c r="I17">
        <v>5.4140000000000001E-2</v>
      </c>
      <c r="J17">
        <v>1.374E-3</v>
      </c>
      <c r="K17" s="3">
        <v>0.87880000000000003</v>
      </c>
      <c r="L17" s="3">
        <v>1.0755999999999999E-3</v>
      </c>
      <c r="M17" s="3">
        <v>1.8215399999999999E-4</v>
      </c>
      <c r="N17" s="1">
        <v>90.1</v>
      </c>
      <c r="O17" s="1">
        <v>7.8</v>
      </c>
      <c r="P17">
        <v>3.1951026856240128E-2</v>
      </c>
      <c r="Q17">
        <v>113.95443069538385</v>
      </c>
      <c r="S17" t="s">
        <v>319</v>
      </c>
    </row>
    <row r="18" spans="1:19">
      <c r="A18" t="s">
        <v>365</v>
      </c>
      <c r="B18" t="s">
        <v>146</v>
      </c>
      <c r="C18">
        <v>7.8939999999999996E-2</v>
      </c>
      <c r="D18">
        <v>5.4920000000000004E-3</v>
      </c>
      <c r="E18">
        <v>111.54489682097044</v>
      </c>
      <c r="F18">
        <v>4.8263542082380848</v>
      </c>
      <c r="G18" s="7">
        <f t="shared" si="0"/>
        <v>57.534587978231905</v>
      </c>
      <c r="H18" s="7">
        <f t="shared" si="1"/>
        <v>2.4894218267435755</v>
      </c>
      <c r="I18">
        <v>6.386E-2</v>
      </c>
      <c r="J18">
        <v>3.9690000000000003E-3</v>
      </c>
      <c r="K18" s="3">
        <v>0.4733</v>
      </c>
      <c r="L18" s="3">
        <v>4.0461999999999998E-3</v>
      </c>
      <c r="M18" s="3">
        <v>9.7435700000000002E-4</v>
      </c>
      <c r="N18" s="1">
        <v>56.3</v>
      </c>
      <c r="O18" s="1">
        <v>4.8</v>
      </c>
      <c r="P18">
        <v>8.1013033175355454E-3</v>
      </c>
      <c r="Q18">
        <v>14.119627216906149</v>
      </c>
      <c r="S18" t="s">
        <v>210</v>
      </c>
    </row>
    <row r="19" spans="1:19">
      <c r="A19" s="5" t="s">
        <v>533</v>
      </c>
      <c r="B19" t="s">
        <v>147</v>
      </c>
      <c r="C19">
        <v>0.1085</v>
      </c>
      <c r="D19">
        <v>6.9540000000000001E-3</v>
      </c>
      <c r="E19">
        <v>67.249495628782782</v>
      </c>
      <c r="F19">
        <v>5.1330314417396403</v>
      </c>
      <c r="G19" s="7">
        <f t="shared" si="0"/>
        <v>95.152460746007534</v>
      </c>
      <c r="H19" s="7">
        <f t="shared" si="1"/>
        <v>7.2628139170624442</v>
      </c>
      <c r="I19">
        <v>5.2900000000000003E-2</v>
      </c>
      <c r="J19">
        <v>2.6029999999999998E-3</v>
      </c>
      <c r="K19" s="3">
        <v>0.76759999999999995</v>
      </c>
      <c r="L19" s="3">
        <v>3.9482900000000002E-4</v>
      </c>
      <c r="M19" s="3">
        <v>3.9483699999999999E-4</v>
      </c>
      <c r="N19" s="1">
        <v>95</v>
      </c>
      <c r="O19" s="1">
        <v>14</v>
      </c>
      <c r="P19">
        <v>0.15570672713529857</v>
      </c>
      <c r="Q19">
        <v>15.170263802487787</v>
      </c>
      <c r="S19" t="s">
        <v>276</v>
      </c>
    </row>
    <row r="20" spans="1:19">
      <c r="A20" s="5"/>
      <c r="G20" s="7" t="e">
        <f t="shared" si="0"/>
        <v>#DIV/0!</v>
      </c>
      <c r="H20" s="7" t="e">
        <f t="shared" si="1"/>
        <v>#DIV/0!</v>
      </c>
      <c r="K20" s="3"/>
      <c r="L20" s="3"/>
      <c r="M20" s="3"/>
    </row>
    <row r="21" spans="1:19">
      <c r="A21" t="s">
        <v>366</v>
      </c>
      <c r="B21" t="s">
        <v>146</v>
      </c>
      <c r="C21">
        <v>0.12920000000000001</v>
      </c>
      <c r="D21">
        <v>7.1370000000000001E-3</v>
      </c>
      <c r="E21">
        <v>67.114093959731548</v>
      </c>
      <c r="F21">
        <v>3.2340885545696141</v>
      </c>
      <c r="G21" s="7">
        <f t="shared" si="0"/>
        <v>95.343016745433331</v>
      </c>
      <c r="H21" s="7">
        <f t="shared" si="1"/>
        <v>4.5943816122967203</v>
      </c>
      <c r="I21">
        <v>6.2899999999999998E-2</v>
      </c>
      <c r="J21">
        <v>3.3769999999999998E-3</v>
      </c>
      <c r="K21" s="3">
        <v>0.46789999999999998</v>
      </c>
      <c r="L21" s="3">
        <v>1.7306999999999999E-3</v>
      </c>
      <c r="M21" s="3">
        <v>6.1151599999999999E-4</v>
      </c>
      <c r="N21" s="1">
        <v>93.5</v>
      </c>
      <c r="O21" s="1">
        <v>8.9</v>
      </c>
      <c r="P21">
        <v>0.70833333333333337</v>
      </c>
      <c r="Q21">
        <v>15.865099897141787</v>
      </c>
      <c r="S21" t="s">
        <v>211</v>
      </c>
    </row>
    <row r="22" spans="1:19">
      <c r="G22" s="7" t="e">
        <f t="shared" si="0"/>
        <v>#DIV/0!</v>
      </c>
      <c r="H22" s="7" t="e">
        <f t="shared" si="1"/>
        <v>#DIV/0!</v>
      </c>
      <c r="K22" s="3"/>
      <c r="L22" s="3"/>
      <c r="M22" s="3"/>
    </row>
    <row r="23" spans="1:19">
      <c r="A23" t="s">
        <v>367</v>
      </c>
      <c r="B23" t="s">
        <v>146</v>
      </c>
      <c r="C23">
        <v>0.1547</v>
      </c>
      <c r="D23">
        <v>1.342E-2</v>
      </c>
      <c r="E23">
        <v>89.445438282647586</v>
      </c>
      <c r="F23">
        <v>5.4899337879743086</v>
      </c>
      <c r="G23" s="7">
        <f t="shared" si="0"/>
        <v>71.671011982894441</v>
      </c>
      <c r="H23" s="7">
        <f t="shared" si="1"/>
        <v>4.3989846531898174</v>
      </c>
      <c r="I23">
        <v>0.1004</v>
      </c>
      <c r="J23">
        <v>6.1630000000000001E-3</v>
      </c>
      <c r="K23" s="3">
        <v>0.70630000000000004</v>
      </c>
      <c r="L23" s="3">
        <v>6.2059999999999997E-3</v>
      </c>
      <c r="M23" s="3">
        <v>1.5223599999999999E-3</v>
      </c>
      <c r="N23" s="1">
        <v>66.8</v>
      </c>
      <c r="O23" s="1">
        <v>8.1999999999999993</v>
      </c>
      <c r="P23">
        <v>0.29640600315955773</v>
      </c>
      <c r="Q23">
        <v>13.066109777763925</v>
      </c>
      <c r="S23" t="s">
        <v>212</v>
      </c>
    </row>
    <row r="24" spans="1:19">
      <c r="A24" s="5" t="s">
        <v>532</v>
      </c>
      <c r="B24" t="s">
        <v>147</v>
      </c>
      <c r="C24">
        <v>1.7489999999999999E-2</v>
      </c>
      <c r="D24">
        <v>2.2260000000000001E-3</v>
      </c>
      <c r="E24">
        <v>1972.3865877712033</v>
      </c>
      <c r="F24">
        <v>103.48221545308483</v>
      </c>
      <c r="G24" s="7">
        <f t="shared" si="0"/>
        <v>3.267503748105105</v>
      </c>
      <c r="H24" s="7">
        <f t="shared" si="1"/>
        <v>0.17143116311557358</v>
      </c>
      <c r="I24">
        <v>0.25019999999999998</v>
      </c>
      <c r="J24">
        <v>3.7949999999999998E-2</v>
      </c>
      <c r="K24" s="3">
        <v>-0.30409999999999998</v>
      </c>
      <c r="L24" s="3">
        <v>4.7578500000000003E-2</v>
      </c>
      <c r="M24" s="3">
        <v>2.7561800000000001E-2</v>
      </c>
      <c r="N24" s="1">
        <v>2.42</v>
      </c>
      <c r="O24" s="1">
        <v>0.42</v>
      </c>
      <c r="P24">
        <v>3.3947467876039299E-2</v>
      </c>
      <c r="Q24">
        <v>5.4147299822703534</v>
      </c>
      <c r="S24" t="s">
        <v>275</v>
      </c>
    </row>
    <row r="25" spans="1:19">
      <c r="A25" s="5"/>
      <c r="G25" s="7" t="e">
        <f t="shared" si="0"/>
        <v>#DIV/0!</v>
      </c>
      <c r="H25" s="7" t="e">
        <f t="shared" si="1"/>
        <v>#DIV/0!</v>
      </c>
      <c r="K25" s="3"/>
      <c r="L25" s="3"/>
      <c r="M25" s="3"/>
    </row>
    <row r="26" spans="1:19">
      <c r="A26" t="s">
        <v>368</v>
      </c>
      <c r="B26" t="s">
        <v>146</v>
      </c>
      <c r="C26">
        <v>0.1166</v>
      </c>
      <c r="D26">
        <v>6.9160000000000003E-3</v>
      </c>
      <c r="E26">
        <v>57.937427578215527</v>
      </c>
      <c r="F26">
        <v>2.6994947426651752</v>
      </c>
      <c r="G26" s="7">
        <f t="shared" si="0"/>
        <v>110.31579872045069</v>
      </c>
      <c r="H26" s="7">
        <f t="shared" si="1"/>
        <v>5.1399748163955064</v>
      </c>
      <c r="I26">
        <v>4.8980000000000003E-2</v>
      </c>
      <c r="J26">
        <v>1.2949999999999999E-3</v>
      </c>
      <c r="K26" s="3">
        <v>0.90290000000000004</v>
      </c>
      <c r="L26" s="3">
        <v>4.0146000000000002E-4</v>
      </c>
      <c r="M26" s="3">
        <v>9.11563E-5</v>
      </c>
      <c r="N26" s="1">
        <v>110</v>
      </c>
      <c r="O26" s="1">
        <v>10</v>
      </c>
      <c r="P26">
        <v>0.3742101105845182</v>
      </c>
      <c r="Q26">
        <v>123.6792070566967</v>
      </c>
      <c r="S26" t="s">
        <v>321</v>
      </c>
    </row>
    <row r="27" spans="1:19">
      <c r="A27" t="s">
        <v>369</v>
      </c>
      <c r="B27" t="s">
        <v>146</v>
      </c>
      <c r="C27">
        <v>0.1032</v>
      </c>
      <c r="D27">
        <v>5.3639999999999998E-3</v>
      </c>
      <c r="E27">
        <v>65.487884741322858</v>
      </c>
      <c r="F27">
        <v>3.1603157999921945</v>
      </c>
      <c r="G27" s="7">
        <f t="shared" si="0"/>
        <v>97.69274437788691</v>
      </c>
      <c r="H27" s="7">
        <f t="shared" si="1"/>
        <v>4.7144586334030683</v>
      </c>
      <c r="I27">
        <v>4.9020000000000001E-2</v>
      </c>
      <c r="J27">
        <v>1.3489999999999999E-3</v>
      </c>
      <c r="K27" s="3">
        <v>0.8518</v>
      </c>
      <c r="L27" s="3">
        <v>7.2009000000000005E-4</v>
      </c>
      <c r="M27" s="3">
        <v>1.61065E-4</v>
      </c>
      <c r="N27" s="1">
        <v>97.6</v>
      </c>
      <c r="O27" s="1">
        <v>6.3</v>
      </c>
      <c r="P27">
        <v>0.1130529225908373</v>
      </c>
      <c r="Q27">
        <v>82.909952311192853</v>
      </c>
      <c r="S27" t="s">
        <v>322</v>
      </c>
    </row>
    <row r="28" spans="1:19">
      <c r="A28" t="s">
        <v>370</v>
      </c>
      <c r="B28" t="s">
        <v>146</v>
      </c>
      <c r="C28">
        <v>0.35560000000000003</v>
      </c>
      <c r="D28">
        <v>3.3110000000000001E-2</v>
      </c>
      <c r="E28">
        <v>215.23891519586741</v>
      </c>
      <c r="F28">
        <v>22.297565622852126</v>
      </c>
      <c r="G28" s="7">
        <f t="shared" ref="G28:G91" si="2">(LN((1/E28)+1))/0.000155125</f>
        <v>29.880681092081286</v>
      </c>
      <c r="H28" s="7">
        <f t="shared" ref="H28:H91" si="3">(F28/E28)*G28</f>
        <v>3.0954739151138018</v>
      </c>
      <c r="I28">
        <v>0.55520000000000003</v>
      </c>
      <c r="J28">
        <v>3.678E-2</v>
      </c>
      <c r="K28" s="3">
        <v>0.77829999999999999</v>
      </c>
      <c r="L28" s="3">
        <v>4.6608999999999998</v>
      </c>
      <c r="M28" s="3">
        <v>0.198515</v>
      </c>
      <c r="N28" s="1">
        <v>10.5</v>
      </c>
      <c r="O28" s="1">
        <v>4.3</v>
      </c>
      <c r="P28">
        <v>0.1389218009478673</v>
      </c>
      <c r="Q28">
        <v>7.5491693420191384</v>
      </c>
      <c r="S28" t="s">
        <v>323</v>
      </c>
    </row>
    <row r="29" spans="1:19">
      <c r="G29" s="7" t="e">
        <f t="shared" si="2"/>
        <v>#DIV/0!</v>
      </c>
      <c r="H29" s="7" t="e">
        <f t="shared" si="3"/>
        <v>#DIV/0!</v>
      </c>
      <c r="K29" s="3"/>
      <c r="L29" s="3"/>
      <c r="M29" s="3"/>
    </row>
    <row r="30" spans="1:19">
      <c r="A30" t="s">
        <v>371</v>
      </c>
      <c r="B30" t="s">
        <v>146</v>
      </c>
      <c r="C30">
        <v>7.9479999999999995E-2</v>
      </c>
      <c r="D30">
        <v>4.287E-3</v>
      </c>
      <c r="E30">
        <v>92.678405931417984</v>
      </c>
      <c r="F30">
        <v>3.8402701846095444</v>
      </c>
      <c r="G30" s="7">
        <f t="shared" si="2"/>
        <v>69.184227745541591</v>
      </c>
      <c r="H30" s="7">
        <f t="shared" si="3"/>
        <v>2.8667533109389849</v>
      </c>
      <c r="I30">
        <v>5.3440000000000001E-2</v>
      </c>
      <c r="J30">
        <v>1.495E-3</v>
      </c>
      <c r="K30" s="3">
        <v>0.8599</v>
      </c>
      <c r="L30" s="3">
        <v>7.6199999999999998E-4</v>
      </c>
      <c r="M30" s="3">
        <v>2.1496199999999999E-4</v>
      </c>
      <c r="N30" s="1">
        <v>68.7</v>
      </c>
      <c r="O30" s="1">
        <v>5.6</v>
      </c>
      <c r="P30">
        <v>0.2352883096366509</v>
      </c>
      <c r="Q30">
        <v>130.10005298756352</v>
      </c>
      <c r="S30" t="s">
        <v>324</v>
      </c>
    </row>
    <row r="31" spans="1:19">
      <c r="A31" s="5" t="s">
        <v>534</v>
      </c>
      <c r="B31" t="s">
        <v>147</v>
      </c>
      <c r="C31">
        <v>8.251E-2</v>
      </c>
      <c r="D31">
        <v>1.0279999999999999E-2</v>
      </c>
      <c r="E31">
        <v>952.38095238095241</v>
      </c>
      <c r="F31">
        <v>71.882086167800466</v>
      </c>
      <c r="G31" s="7">
        <f t="shared" si="2"/>
        <v>6.765183790951645</v>
      </c>
      <c r="H31" s="7">
        <f t="shared" si="3"/>
        <v>0.51061030041230282</v>
      </c>
      <c r="I31">
        <v>0.57010000000000005</v>
      </c>
      <c r="J31">
        <v>6.7830000000000001E-2</v>
      </c>
      <c r="K31" s="3">
        <v>0.375</v>
      </c>
      <c r="L31" s="3">
        <v>5.1416200000000002E-2</v>
      </c>
      <c r="M31" s="3">
        <v>2.5852300000000002E-2</v>
      </c>
      <c r="N31" s="1">
        <v>2.2000000000000002</v>
      </c>
      <c r="O31" s="1">
        <v>1.3</v>
      </c>
      <c r="P31">
        <v>5.7927059712774003E-2</v>
      </c>
      <c r="Q31">
        <v>3.4529121438215422</v>
      </c>
      <c r="S31" t="s">
        <v>277</v>
      </c>
    </row>
    <row r="32" spans="1:19">
      <c r="A32" s="5"/>
      <c r="G32" s="7" t="e">
        <f t="shared" si="2"/>
        <v>#DIV/0!</v>
      </c>
      <c r="H32" s="7" t="e">
        <f t="shared" si="3"/>
        <v>#DIV/0!</v>
      </c>
      <c r="K32" s="3"/>
      <c r="L32" s="3"/>
      <c r="M32" s="3"/>
    </row>
    <row r="33" spans="1:19">
      <c r="A33" t="s">
        <v>418</v>
      </c>
      <c r="B33" t="s">
        <v>146</v>
      </c>
      <c r="C33">
        <v>0.1021</v>
      </c>
      <c r="D33">
        <v>9.2709999999999997E-3</v>
      </c>
      <c r="E33">
        <v>83.61204013377926</v>
      </c>
      <c r="F33">
        <v>3.5444234404536861</v>
      </c>
      <c r="G33" s="7">
        <f t="shared" si="2"/>
        <v>76.641704383003585</v>
      </c>
      <c r="H33" s="7">
        <f t="shared" si="3"/>
        <v>3.2489418162360213</v>
      </c>
      <c r="I33">
        <v>6.191E-2</v>
      </c>
      <c r="J33">
        <v>4.4130000000000003E-3</v>
      </c>
      <c r="K33" s="3">
        <v>0.64410000000000001</v>
      </c>
      <c r="L33" s="3">
        <v>3.6960000000000001E-3</v>
      </c>
      <c r="M33" s="3">
        <v>8.2649600000000002E-4</v>
      </c>
      <c r="N33" s="1">
        <v>75.3</v>
      </c>
      <c r="O33" s="1">
        <v>6.2</v>
      </c>
      <c r="P33">
        <v>0.75029620853080581</v>
      </c>
      <c r="Q33">
        <v>22.148801545990086</v>
      </c>
      <c r="S33" t="s">
        <v>325</v>
      </c>
    </row>
    <row r="34" spans="1:19">
      <c r="A34" t="s">
        <v>419</v>
      </c>
      <c r="B34" t="s">
        <v>146</v>
      </c>
      <c r="C34">
        <v>9.8979999999999999E-2</v>
      </c>
      <c r="D34">
        <v>5.9280000000000001E-3</v>
      </c>
      <c r="E34">
        <v>71.736011477761835</v>
      </c>
      <c r="F34">
        <v>2.9440582615801683</v>
      </c>
      <c r="G34" s="7">
        <f t="shared" si="2"/>
        <v>89.242429141984232</v>
      </c>
      <c r="H34" s="7">
        <f t="shared" si="3"/>
        <v>3.6625246565372436</v>
      </c>
      <c r="I34">
        <v>5.1499999999999997E-2</v>
      </c>
      <c r="J34">
        <v>1.5900000000000001E-3</v>
      </c>
      <c r="K34" s="3">
        <v>0.87839999999999996</v>
      </c>
      <c r="L34" s="3">
        <v>3.0893000000000001E-4</v>
      </c>
      <c r="M34" s="3">
        <v>1.05373E-4</v>
      </c>
      <c r="N34" s="1">
        <v>88.8</v>
      </c>
      <c r="O34" s="1">
        <v>7.2</v>
      </c>
      <c r="P34">
        <v>0.31161137440758296</v>
      </c>
      <c r="Q34">
        <v>106.16214194433189</v>
      </c>
      <c r="S34" t="s">
        <v>326</v>
      </c>
    </row>
    <row r="35" spans="1:19">
      <c r="A35" t="s">
        <v>443</v>
      </c>
      <c r="B35" t="s">
        <v>147</v>
      </c>
      <c r="C35">
        <v>8.6599999999999996E-2</v>
      </c>
      <c r="D35">
        <v>7.9080000000000001E-3</v>
      </c>
      <c r="E35">
        <v>945.17958412098301</v>
      </c>
      <c r="F35">
        <v>61.802952390821929</v>
      </c>
      <c r="G35" s="7">
        <f t="shared" si="2"/>
        <v>6.8167008054755529</v>
      </c>
      <c r="H35" s="7">
        <f t="shared" si="3"/>
        <v>0.44572718499319353</v>
      </c>
      <c r="I35">
        <v>0.59350000000000003</v>
      </c>
      <c r="J35">
        <v>6.2850000000000003E-2</v>
      </c>
      <c r="K35" s="3">
        <v>0.1173</v>
      </c>
      <c r="L35" s="3">
        <v>3.7611100000000001E-2</v>
      </c>
      <c r="M35" s="3">
        <v>1.9610099999999998E-2</v>
      </c>
      <c r="N35" s="1">
        <v>2</v>
      </c>
      <c r="O35" s="1">
        <v>1.3</v>
      </c>
      <c r="P35">
        <v>6.5665154950869248E-2</v>
      </c>
      <c r="Q35">
        <v>6.1785987095974049</v>
      </c>
      <c r="S35" t="s">
        <v>208</v>
      </c>
    </row>
    <row r="36" spans="1:19">
      <c r="A36" t="s">
        <v>444</v>
      </c>
      <c r="B36" t="s">
        <v>147</v>
      </c>
      <c r="C36">
        <v>5.527E-2</v>
      </c>
      <c r="D36">
        <v>6.339E-3</v>
      </c>
      <c r="E36">
        <v>1222.1950623319481</v>
      </c>
      <c r="F36">
        <v>123.74314221899117</v>
      </c>
      <c r="G36" s="7">
        <f t="shared" si="2"/>
        <v>5.2722994800954224</v>
      </c>
      <c r="H36" s="7">
        <f t="shared" si="3"/>
        <v>0.53380260196908424</v>
      </c>
      <c r="I36">
        <v>0.4899</v>
      </c>
      <c r="J36">
        <v>7.6679999999999998E-2</v>
      </c>
      <c r="K36" s="3">
        <v>-4.7169999999999997E-2</v>
      </c>
      <c r="L36" s="3">
        <v>0</v>
      </c>
      <c r="M36" s="3">
        <v>0</v>
      </c>
      <c r="N36" s="1">
        <v>2.2999999999999998</v>
      </c>
      <c r="O36" s="1">
        <v>1.3</v>
      </c>
      <c r="P36">
        <v>0.21655328798185941</v>
      </c>
      <c r="Q36">
        <v>4.3520786531105804</v>
      </c>
      <c r="S36" t="s">
        <v>209</v>
      </c>
    </row>
    <row r="37" spans="1:19">
      <c r="A37" t="s">
        <v>445</v>
      </c>
      <c r="B37" t="s">
        <v>147</v>
      </c>
      <c r="C37">
        <v>1.0959999999999999E-2</v>
      </c>
      <c r="D37">
        <v>2.0010000000000002E-3</v>
      </c>
      <c r="E37">
        <v>3145.6432840515886</v>
      </c>
      <c r="F37">
        <v>175.83542358476481</v>
      </c>
      <c r="G37" s="7">
        <f t="shared" si="2"/>
        <v>2.0489893988813166</v>
      </c>
      <c r="H37" s="7">
        <f t="shared" si="3"/>
        <v>0.11453457570972317</v>
      </c>
      <c r="I37">
        <v>0.25009999999999999</v>
      </c>
      <c r="J37">
        <v>4.8890000000000003E-2</v>
      </c>
      <c r="K37" s="3">
        <v>-8.7440000000000004E-2</v>
      </c>
      <c r="L37" s="3">
        <v>5.4758599999999998E-2</v>
      </c>
      <c r="M37" s="3">
        <v>2.8593E-2</v>
      </c>
      <c r="N37" s="1">
        <v>1.51</v>
      </c>
      <c r="O37" s="1">
        <v>0.31</v>
      </c>
      <c r="P37">
        <v>2.5075585789871506E-2</v>
      </c>
      <c r="Q37">
        <v>8.8732795336736459</v>
      </c>
      <c r="S37" t="s">
        <v>214</v>
      </c>
    </row>
    <row r="38" spans="1:19">
      <c r="A38" t="s">
        <v>446</v>
      </c>
      <c r="B38" t="s">
        <v>147</v>
      </c>
      <c r="C38">
        <v>0.4078</v>
      </c>
      <c r="D38">
        <v>4.147E-2</v>
      </c>
      <c r="E38">
        <v>266.88017080330934</v>
      </c>
      <c r="F38">
        <v>23.589728468122779</v>
      </c>
      <c r="G38" s="7">
        <f t="shared" si="2"/>
        <v>24.10957281120378</v>
      </c>
      <c r="H38" s="7">
        <f t="shared" si="3"/>
        <v>2.1310623205419512</v>
      </c>
      <c r="I38">
        <v>0.7893</v>
      </c>
      <c r="J38">
        <v>2.7369999999999998E-2</v>
      </c>
      <c r="K38" s="3">
        <v>0.94289999999999996</v>
      </c>
      <c r="L38" s="3">
        <v>4.4799499999999999E-2</v>
      </c>
      <c r="M38" s="3">
        <v>8.8248700000000003E-3</v>
      </c>
      <c r="N38" s="1">
        <v>1.2</v>
      </c>
      <c r="O38" s="1">
        <v>3.4</v>
      </c>
      <c r="P38">
        <v>2.7267573696145124E-2</v>
      </c>
      <c r="Q38">
        <v>9.476482144920837</v>
      </c>
      <c r="S38" t="s">
        <v>215</v>
      </c>
    </row>
    <row r="39" spans="1:19">
      <c r="A39" t="s">
        <v>447</v>
      </c>
      <c r="B39" t="s">
        <v>147</v>
      </c>
      <c r="C39">
        <v>8.1540000000000001E-2</v>
      </c>
      <c r="D39">
        <v>9.8460000000000006E-3</v>
      </c>
      <c r="E39">
        <v>783.69905956112848</v>
      </c>
      <c r="F39">
        <v>63.75232161633631</v>
      </c>
      <c r="G39" s="7">
        <f t="shared" si="2"/>
        <v>8.2203810079324207</v>
      </c>
      <c r="H39" s="7">
        <f t="shared" si="3"/>
        <v>0.668711245002653</v>
      </c>
      <c r="I39">
        <v>0.46339999999999998</v>
      </c>
      <c r="J39">
        <v>3.6979999999999999E-2</v>
      </c>
      <c r="K39" s="3">
        <v>0.75490000000000002</v>
      </c>
      <c r="L39" s="3">
        <v>5.5929899999999998E-2</v>
      </c>
      <c r="M39" s="3">
        <v>2.5149000000000001E-2</v>
      </c>
      <c r="N39" s="1">
        <v>3.8</v>
      </c>
      <c r="O39" s="1">
        <v>1.1000000000000001</v>
      </c>
      <c r="P39">
        <v>9.1061980347694624E-2</v>
      </c>
      <c r="Q39">
        <v>5.0933977501106336</v>
      </c>
      <c r="S39" t="s">
        <v>216</v>
      </c>
    </row>
    <row r="40" spans="1:19">
      <c r="A40" t="s">
        <v>448</v>
      </c>
      <c r="B40" t="s">
        <v>147</v>
      </c>
      <c r="C40">
        <v>1.7389999999999999E-2</v>
      </c>
      <c r="D40">
        <v>3.2060000000000001E-3</v>
      </c>
      <c r="E40">
        <v>2092.050209205021</v>
      </c>
      <c r="F40">
        <v>122.94077484637874</v>
      </c>
      <c r="G40" s="7">
        <f t="shared" si="2"/>
        <v>3.0806497623983855</v>
      </c>
      <c r="H40" s="7">
        <f t="shared" si="3"/>
        <v>0.1810365100957545</v>
      </c>
      <c r="I40">
        <v>0.26390000000000002</v>
      </c>
      <c r="J40">
        <v>4.8239999999999998E-2</v>
      </c>
      <c r="K40" s="3">
        <v>0.18559999999999999</v>
      </c>
      <c r="L40" s="3">
        <v>1.5043300000000001E-2</v>
      </c>
      <c r="M40" s="3">
        <v>1.5059599999999999E-2</v>
      </c>
      <c r="N40" s="1">
        <v>2.2200000000000002</v>
      </c>
      <c r="O40" s="1">
        <v>0.47</v>
      </c>
      <c r="P40">
        <v>1.3907785336356766E-2</v>
      </c>
      <c r="Q40">
        <v>14.144255622609386</v>
      </c>
      <c r="S40" t="s">
        <v>217</v>
      </c>
    </row>
    <row r="41" spans="1:19">
      <c r="A41" t="s">
        <v>541</v>
      </c>
      <c r="B41" t="s">
        <v>147</v>
      </c>
      <c r="C41">
        <v>0.1545</v>
      </c>
      <c r="D41">
        <v>1.7399999999999999E-2</v>
      </c>
      <c r="E41">
        <v>83.822296730930432</v>
      </c>
      <c r="F41">
        <v>3.6304258776925198</v>
      </c>
      <c r="G41" s="7">
        <f t="shared" si="2"/>
        <v>76.450594761949745</v>
      </c>
      <c r="H41" s="7">
        <f t="shared" si="3"/>
        <v>3.3111502358339848</v>
      </c>
      <c r="I41">
        <v>9.393E-2</v>
      </c>
      <c r="J41">
        <v>1.159E-2</v>
      </c>
      <c r="K41" s="3">
        <v>-6.6970000000000002E-2</v>
      </c>
      <c r="L41" s="3">
        <v>6.5582399999999999E-3</v>
      </c>
      <c r="M41" s="3">
        <v>2.5665900000000001E-3</v>
      </c>
      <c r="N41" s="1">
        <v>71.900000000000006</v>
      </c>
      <c r="O41" s="1">
        <v>6.6</v>
      </c>
      <c r="P41">
        <v>5.3609221466364321E-2</v>
      </c>
      <c r="Q41">
        <v>27.172304544032382</v>
      </c>
      <c r="S41" t="s">
        <v>218</v>
      </c>
    </row>
    <row r="42" spans="1:19">
      <c r="A42" t="s">
        <v>542</v>
      </c>
      <c r="B42" t="s">
        <v>147</v>
      </c>
      <c r="C42">
        <v>0.15890000000000001</v>
      </c>
      <c r="D42">
        <v>2.5420000000000002E-2</v>
      </c>
      <c r="E42">
        <v>535.04547886570356</v>
      </c>
      <c r="F42">
        <v>56.567676096234905</v>
      </c>
      <c r="G42" s="7">
        <f t="shared" si="2"/>
        <v>12.037102934363981</v>
      </c>
      <c r="H42" s="7">
        <f t="shared" si="3"/>
        <v>1.2726225467256944</v>
      </c>
      <c r="I42">
        <v>0.61650000000000005</v>
      </c>
      <c r="J42">
        <v>5.2569999999999999E-2</v>
      </c>
      <c r="K42" s="3">
        <v>0.87209999999999999</v>
      </c>
      <c r="L42" s="3">
        <v>6.5647700000000003E-2</v>
      </c>
      <c r="M42" s="3">
        <v>1.80622E-2</v>
      </c>
      <c r="N42" s="1">
        <v>3.3</v>
      </c>
      <c r="O42" s="1">
        <v>2.1</v>
      </c>
      <c r="P42">
        <v>0.11715797430083144</v>
      </c>
      <c r="Q42">
        <v>7.2187004084301787</v>
      </c>
      <c r="S42" t="s">
        <v>219</v>
      </c>
    </row>
    <row r="43" spans="1:19">
      <c r="A43" t="s">
        <v>543</v>
      </c>
      <c r="B43" t="s">
        <v>147</v>
      </c>
      <c r="C43">
        <v>0.21440000000000001</v>
      </c>
      <c r="D43">
        <v>2.7320000000000001E-2</v>
      </c>
      <c r="E43">
        <v>447.0272686633885</v>
      </c>
      <c r="F43">
        <v>42.604476387588036</v>
      </c>
      <c r="G43" s="7">
        <f t="shared" si="2"/>
        <v>14.40452306651293</v>
      </c>
      <c r="H43" s="7">
        <f t="shared" si="3"/>
        <v>1.3728405533216614</v>
      </c>
      <c r="I43">
        <v>0.69489999999999996</v>
      </c>
      <c r="J43">
        <v>8.992E-2</v>
      </c>
      <c r="K43" s="3">
        <v>0.35320000000000001</v>
      </c>
      <c r="L43" s="3">
        <v>8.9783199999999994E-2</v>
      </c>
      <c r="M43" s="3">
        <v>3.3248800000000002E-2</v>
      </c>
      <c r="N43" s="1">
        <v>2.5</v>
      </c>
      <c r="O43" s="1">
        <v>3.6</v>
      </c>
      <c r="P43">
        <v>8.6649659863945572E-2</v>
      </c>
      <c r="Q43">
        <v>3.5882099257835289</v>
      </c>
      <c r="S43" t="s">
        <v>220</v>
      </c>
    </row>
    <row r="44" spans="1:19">
      <c r="A44" t="s">
        <v>544</v>
      </c>
      <c r="B44" t="s">
        <v>147</v>
      </c>
      <c r="C44">
        <v>5.1279999999999999E-2</v>
      </c>
      <c r="D44">
        <v>8.4080000000000005E-3</v>
      </c>
      <c r="E44">
        <v>1684.3523665150751</v>
      </c>
      <c r="F44">
        <v>155.04439418906662</v>
      </c>
      <c r="G44" s="7">
        <f t="shared" si="2"/>
        <v>3.8261004343575515</v>
      </c>
      <c r="H44" s="7">
        <f t="shared" si="3"/>
        <v>0.35219199720000033</v>
      </c>
      <c r="I44">
        <v>0.62649999999999995</v>
      </c>
      <c r="J44">
        <v>0.1072</v>
      </c>
      <c r="K44" s="3">
        <v>0.2006</v>
      </c>
      <c r="L44" s="3">
        <v>5.0777099999999999E-2</v>
      </c>
      <c r="M44" s="3">
        <v>5.0923200000000002E-2</v>
      </c>
      <c r="N44" s="1">
        <v>1</v>
      </c>
      <c r="O44" s="1">
        <v>1.1000000000000001</v>
      </c>
      <c r="P44">
        <v>0.32350718065003775</v>
      </c>
      <c r="Q44">
        <v>2.2935792746347663</v>
      </c>
      <c r="S44" t="s">
        <v>221</v>
      </c>
    </row>
    <row r="45" spans="1:19">
      <c r="A45" t="s">
        <v>545</v>
      </c>
      <c r="B45" t="s">
        <v>147</v>
      </c>
      <c r="C45">
        <v>0.1273</v>
      </c>
      <c r="D45">
        <v>1.636E-2</v>
      </c>
      <c r="E45">
        <v>666.22251832111931</v>
      </c>
      <c r="F45">
        <v>45.539260746000565</v>
      </c>
      <c r="G45" s="7">
        <f t="shared" si="2"/>
        <v>9.6688130571087427</v>
      </c>
      <c r="H45" s="7">
        <f t="shared" si="3"/>
        <v>0.66090620896692676</v>
      </c>
      <c r="I45">
        <v>0.61519999999999997</v>
      </c>
      <c r="J45">
        <v>8.7989999999999999E-2</v>
      </c>
      <c r="K45" s="3">
        <v>4.0939999999999997E-2</v>
      </c>
      <c r="L45" s="3">
        <v>4.9540300000000002E-2</v>
      </c>
      <c r="M45" s="3">
        <v>2.9309700000000001E-2</v>
      </c>
      <c r="N45" s="1">
        <v>2.6</v>
      </c>
      <c r="O45" s="1">
        <v>2.4</v>
      </c>
      <c r="P45">
        <v>7.5661375661375666E-2</v>
      </c>
      <c r="Q45">
        <v>3.7855191911447599</v>
      </c>
      <c r="S45" t="s">
        <v>222</v>
      </c>
    </row>
    <row r="46" spans="1:19">
      <c r="A46" t="s">
        <v>546</v>
      </c>
      <c r="B46" t="s">
        <v>147</v>
      </c>
      <c r="C46">
        <v>9.7600000000000006E-2</v>
      </c>
      <c r="D46">
        <v>1.295E-2</v>
      </c>
      <c r="E46">
        <v>834.02835696413683</v>
      </c>
      <c r="F46">
        <v>72.273182892888926</v>
      </c>
      <c r="G46" s="7">
        <f t="shared" si="2"/>
        <v>7.7246206191456617</v>
      </c>
      <c r="H46" s="7">
        <f t="shared" si="3"/>
        <v>0.66938121962404862</v>
      </c>
      <c r="I46">
        <v>0.59030000000000005</v>
      </c>
      <c r="J46">
        <v>7.5359999999999996E-2</v>
      </c>
      <c r="K46" s="3">
        <v>0.3836</v>
      </c>
      <c r="L46" s="3">
        <v>8.1560199999999999E-2</v>
      </c>
      <c r="M46" s="3">
        <v>3.5220899999999999E-2</v>
      </c>
      <c r="N46" s="1">
        <v>2.4</v>
      </c>
      <c r="O46" s="1">
        <v>1.7</v>
      </c>
      <c r="P46">
        <v>4.9225245653817085E-2</v>
      </c>
      <c r="Q46">
        <v>5.9474649987456765</v>
      </c>
      <c r="S46" t="s">
        <v>223</v>
      </c>
    </row>
    <row r="47" spans="1:19">
      <c r="A47" t="s">
        <v>547</v>
      </c>
      <c r="B47" t="s">
        <v>147</v>
      </c>
      <c r="C47">
        <v>0.1457</v>
      </c>
      <c r="D47">
        <v>9.1090000000000008E-3</v>
      </c>
      <c r="E47">
        <v>80.064051240992796</v>
      </c>
      <c r="F47">
        <v>5.1480736230297293</v>
      </c>
      <c r="G47" s="7">
        <f t="shared" si="2"/>
        <v>80.017040493626396</v>
      </c>
      <c r="H47" s="7">
        <f t="shared" si="3"/>
        <v>5.1450508583211656</v>
      </c>
      <c r="I47">
        <v>8.4650000000000003E-2</v>
      </c>
      <c r="J47">
        <v>7.5129999999999997E-3</v>
      </c>
      <c r="K47" s="3">
        <v>2.0799999999999999E-2</v>
      </c>
      <c r="L47" s="3">
        <v>2.0725700000000001E-3</v>
      </c>
      <c r="M47" s="3">
        <v>9.9286899999999996E-4</v>
      </c>
      <c r="N47" s="1">
        <v>76.2</v>
      </c>
      <c r="O47" s="1">
        <v>9.8000000000000007</v>
      </c>
      <c r="P47">
        <v>9.6938775510204078E-2</v>
      </c>
      <c r="Q47">
        <v>21.027530279925472</v>
      </c>
      <c r="S47" t="s">
        <v>224</v>
      </c>
    </row>
    <row r="48" spans="1:19">
      <c r="A48" t="s">
        <v>548</v>
      </c>
      <c r="B48" t="s">
        <v>147</v>
      </c>
      <c r="C48">
        <v>3.0419999999999999E-2</v>
      </c>
      <c r="D48">
        <v>4.2500000000000003E-3</v>
      </c>
      <c r="E48">
        <v>1656.7263088137838</v>
      </c>
      <c r="F48">
        <v>115.11448209352234</v>
      </c>
      <c r="G48" s="7">
        <f t="shared" si="2"/>
        <v>3.8898817520751674</v>
      </c>
      <c r="H48" s="7">
        <f t="shared" si="3"/>
        <v>0.27028104818096838</v>
      </c>
      <c r="I48">
        <v>0.36549999999999999</v>
      </c>
      <c r="J48">
        <v>5.5750000000000001E-2</v>
      </c>
      <c r="K48" s="3">
        <v>5.5489999999999998E-2</v>
      </c>
      <c r="L48" s="3">
        <v>1.40549E-2</v>
      </c>
      <c r="M48" s="3">
        <v>1.40841E-2</v>
      </c>
      <c r="N48" s="1">
        <v>2.2999999999999998</v>
      </c>
      <c r="O48" s="1">
        <v>0.66</v>
      </c>
      <c r="P48">
        <v>4.8233182161753589E-2</v>
      </c>
      <c r="Q48">
        <v>5.3921803519433551</v>
      </c>
      <c r="S48" t="s">
        <v>225</v>
      </c>
    </row>
    <row r="49" spans="1:19">
      <c r="A49" t="s">
        <v>549</v>
      </c>
      <c r="B49" t="s">
        <v>147</v>
      </c>
      <c r="C49">
        <v>0.20979999999999999</v>
      </c>
      <c r="D49">
        <v>0.1305</v>
      </c>
      <c r="E49">
        <v>48.851978505129459</v>
      </c>
      <c r="F49">
        <v>20.213788858741893</v>
      </c>
      <c r="G49" s="7">
        <f t="shared" si="2"/>
        <v>130.62565983183637</v>
      </c>
      <c r="H49" s="7">
        <f t="shared" si="3"/>
        <v>54.049796715957697</v>
      </c>
      <c r="I49">
        <v>7.4349999999999999E-2</v>
      </c>
      <c r="J49">
        <v>1.602E-2</v>
      </c>
      <c r="K49" s="3">
        <v>0.99399999999999999</v>
      </c>
      <c r="L49" s="3">
        <v>8.4163499999999997E-4</v>
      </c>
      <c r="M49" s="3">
        <v>4.8598700000000001E-4</v>
      </c>
      <c r="N49" s="1">
        <v>126</v>
      </c>
      <c r="O49" s="1">
        <v>100</v>
      </c>
      <c r="P49">
        <v>7.6965230536659116E-2</v>
      </c>
      <c r="Q49">
        <v>4.1406758687949763</v>
      </c>
      <c r="S49" t="s">
        <v>226</v>
      </c>
    </row>
    <row r="50" spans="1:19">
      <c r="A50" t="s">
        <v>550</v>
      </c>
      <c r="B50" t="s">
        <v>147</v>
      </c>
      <c r="C50">
        <v>3.1130000000000001E-2</v>
      </c>
      <c r="D50">
        <v>6.3870000000000003E-3</v>
      </c>
      <c r="E50">
        <v>2180.0741225201659</v>
      </c>
      <c r="F50">
        <v>177.08646567495398</v>
      </c>
      <c r="G50" s="7">
        <f t="shared" si="2"/>
        <v>2.9562922115390848</v>
      </c>
      <c r="H50" s="7">
        <f t="shared" si="3"/>
        <v>0.24013832091115395</v>
      </c>
      <c r="I50">
        <v>0.49220000000000003</v>
      </c>
      <c r="J50">
        <v>9.1730000000000006E-2</v>
      </c>
      <c r="K50" s="3">
        <v>0.41860000000000003</v>
      </c>
      <c r="L50" s="3">
        <v>7.1268E-3</v>
      </c>
      <c r="M50" s="3">
        <v>8.4782199999999999E-3</v>
      </c>
      <c r="N50" s="1">
        <v>1.27</v>
      </c>
      <c r="O50" s="1">
        <v>0.75</v>
      </c>
      <c r="P50">
        <v>2.7229780801209372E-2</v>
      </c>
      <c r="Q50">
        <v>6.0489383352171666</v>
      </c>
      <c r="S50" t="s">
        <v>227</v>
      </c>
    </row>
    <row r="51" spans="1:19">
      <c r="A51" t="s">
        <v>551</v>
      </c>
      <c r="B51" t="s">
        <v>147</v>
      </c>
      <c r="C51">
        <v>5.3540000000000003E-3</v>
      </c>
      <c r="D51">
        <v>6.4610000000000004E-4</v>
      </c>
      <c r="E51">
        <v>2457.002457002457</v>
      </c>
      <c r="F51">
        <v>88.741857783626827</v>
      </c>
      <c r="G51" s="7">
        <f t="shared" si="2"/>
        <v>2.6231567959144964</v>
      </c>
      <c r="H51" s="7">
        <f t="shared" si="3"/>
        <v>9.474300958216976E-2</v>
      </c>
      <c r="I51">
        <v>9.5390000000000003E-2</v>
      </c>
      <c r="J51">
        <v>1.162E-2</v>
      </c>
      <c r="K51" s="3">
        <v>0.1198</v>
      </c>
      <c r="L51" s="3">
        <v>0</v>
      </c>
      <c r="M51" s="3">
        <v>0</v>
      </c>
      <c r="N51" s="1">
        <v>2.46</v>
      </c>
      <c r="O51" s="1">
        <v>0.19</v>
      </c>
      <c r="P51">
        <v>9.7789115646258508E-3</v>
      </c>
      <c r="Q51">
        <v>102.2343864950264</v>
      </c>
      <c r="S51" t="s">
        <v>228</v>
      </c>
    </row>
    <row r="52" spans="1:19">
      <c r="A52" t="s">
        <v>552</v>
      </c>
      <c r="B52" t="s">
        <v>147</v>
      </c>
      <c r="C52">
        <v>1.8180000000000002E-2</v>
      </c>
      <c r="D52">
        <v>3.0430000000000001E-3</v>
      </c>
      <c r="E52">
        <v>2866.1507595299513</v>
      </c>
      <c r="F52">
        <v>196.41635041662693</v>
      </c>
      <c r="G52" s="7">
        <f t="shared" si="2"/>
        <v>2.2487616344801449</v>
      </c>
      <c r="H52" s="7">
        <f t="shared" si="3"/>
        <v>0.15410688071200992</v>
      </c>
      <c r="I52">
        <v>0.378</v>
      </c>
      <c r="J52">
        <v>6.1519999999999998E-2</v>
      </c>
      <c r="K52" s="3">
        <v>0.27079999999999999</v>
      </c>
      <c r="L52" s="3">
        <v>0</v>
      </c>
      <c r="M52" s="3">
        <v>0</v>
      </c>
      <c r="N52" s="1">
        <v>1.29</v>
      </c>
      <c r="O52" s="1">
        <v>0.41</v>
      </c>
      <c r="P52">
        <v>3.9984882842025705E-2</v>
      </c>
      <c r="Q52">
        <v>6.4745626076392515</v>
      </c>
      <c r="S52" t="s">
        <v>229</v>
      </c>
    </row>
    <row r="53" spans="1:19">
      <c r="A53" t="s">
        <v>553</v>
      </c>
      <c r="B53" t="s">
        <v>147</v>
      </c>
      <c r="C53">
        <v>3.6459999999999999E-2</v>
      </c>
      <c r="D53">
        <v>5.6610000000000002E-3</v>
      </c>
      <c r="E53">
        <v>1917.5455417066153</v>
      </c>
      <c r="F53">
        <v>130.60636172851193</v>
      </c>
      <c r="G53" s="7">
        <f t="shared" si="2"/>
        <v>3.3609287099609015</v>
      </c>
      <c r="H53" s="7">
        <f t="shared" si="3"/>
        <v>0.22891694684144048</v>
      </c>
      <c r="I53">
        <v>0.50700000000000001</v>
      </c>
      <c r="J53">
        <v>8.5989999999999997E-2</v>
      </c>
      <c r="K53" s="3">
        <v>-8.8730000000000005E-4</v>
      </c>
      <c r="L53" s="3">
        <v>4.1581199999999999E-2</v>
      </c>
      <c r="M53" s="3">
        <v>3.09533E-2</v>
      </c>
      <c r="N53" s="1">
        <v>1.38</v>
      </c>
      <c r="O53" s="1">
        <v>0.79</v>
      </c>
      <c r="P53">
        <v>3.0243764172335597E-2</v>
      </c>
      <c r="Q53">
        <v>5.0567546008292625</v>
      </c>
      <c r="S53" t="s">
        <v>230</v>
      </c>
    </row>
    <row r="54" spans="1:19">
      <c r="A54" t="s">
        <v>554</v>
      </c>
      <c r="B54" t="s">
        <v>147</v>
      </c>
      <c r="C54">
        <v>1.9390000000000001E-2</v>
      </c>
      <c r="D54">
        <v>3.6259999999999999E-3</v>
      </c>
      <c r="E54">
        <v>1863.5855385762206</v>
      </c>
      <c r="F54">
        <v>153.05295319614993</v>
      </c>
      <c r="G54" s="7">
        <f t="shared" si="2"/>
        <v>3.4582180931640232</v>
      </c>
      <c r="H54" s="7">
        <f t="shared" si="3"/>
        <v>0.2840172779831131</v>
      </c>
      <c r="I54">
        <v>0.2621</v>
      </c>
      <c r="J54">
        <v>4.3830000000000001E-2</v>
      </c>
      <c r="K54" s="3">
        <v>0.44750000000000001</v>
      </c>
      <c r="L54" s="3">
        <v>1.1499799999999999E-2</v>
      </c>
      <c r="M54" s="3">
        <v>1.1514399999999999E-2</v>
      </c>
      <c r="N54" s="1">
        <v>2.5</v>
      </c>
      <c r="O54" s="1">
        <v>0.56999999999999995</v>
      </c>
      <c r="P54">
        <v>3.119803476946334E-2</v>
      </c>
      <c r="Q54">
        <v>8.6506019341945404</v>
      </c>
      <c r="S54" t="s">
        <v>231</v>
      </c>
    </row>
    <row r="55" spans="1:19">
      <c r="A55" t="s">
        <v>555</v>
      </c>
      <c r="B55" t="s">
        <v>147</v>
      </c>
      <c r="C55">
        <v>1.9560000000000001E-2</v>
      </c>
      <c r="D55">
        <v>4.1099999999999999E-3</v>
      </c>
      <c r="E55">
        <v>2198.2853374367992</v>
      </c>
      <c r="F55">
        <v>118.25025765460207</v>
      </c>
      <c r="G55" s="7">
        <f t="shared" si="2"/>
        <v>2.9318070224814052</v>
      </c>
      <c r="H55" s="7">
        <f t="shared" si="3"/>
        <v>0.15770788709632885</v>
      </c>
      <c r="I55">
        <v>0.31180000000000002</v>
      </c>
      <c r="J55">
        <v>7.0330000000000004E-2</v>
      </c>
      <c r="K55" s="3">
        <v>-0.16889999999999999</v>
      </c>
      <c r="L55" s="3">
        <v>4.7820399999999999E-2</v>
      </c>
      <c r="M55" s="3">
        <v>2.8289999999999999E-2</v>
      </c>
      <c r="N55" s="1">
        <v>1.94</v>
      </c>
      <c r="O55" s="1">
        <v>0.56999999999999995</v>
      </c>
      <c r="P55">
        <v>5.1568405139833705E-2</v>
      </c>
      <c r="Q55">
        <v>8.8958291640006433</v>
      </c>
      <c r="S55" t="s">
        <v>232</v>
      </c>
    </row>
    <row r="56" spans="1:19">
      <c r="G56" s="7" t="e">
        <f t="shared" si="2"/>
        <v>#DIV/0!</v>
      </c>
      <c r="H56" s="7" t="e">
        <f t="shared" si="3"/>
        <v>#DIV/0!</v>
      </c>
    </row>
    <row r="57" spans="1:19">
      <c r="G57" s="7" t="e">
        <f t="shared" si="2"/>
        <v>#DIV/0!</v>
      </c>
      <c r="H57" s="7" t="e">
        <f t="shared" si="3"/>
        <v>#DIV/0!</v>
      </c>
    </row>
    <row r="58" spans="1:19">
      <c r="A58" t="s">
        <v>420</v>
      </c>
      <c r="B58" t="s">
        <v>146</v>
      </c>
      <c r="C58">
        <v>1.2319999999999999E-2</v>
      </c>
      <c r="D58">
        <v>2.2009999999999998E-3</v>
      </c>
      <c r="E58">
        <v>1460.0671630895022</v>
      </c>
      <c r="F58">
        <v>79.942354527458505</v>
      </c>
      <c r="G58" s="7">
        <f t="shared" si="2"/>
        <v>4.4136377955377935</v>
      </c>
      <c r="H58" s="7">
        <f t="shared" si="3"/>
        <v>0.24165778556383014</v>
      </c>
      <c r="I58">
        <v>0.13039999999999999</v>
      </c>
      <c r="J58">
        <v>2.2780000000000002E-2</v>
      </c>
      <c r="K58" s="3">
        <v>0.2263</v>
      </c>
      <c r="L58" s="3">
        <v>8.8027999999999995E-3</v>
      </c>
      <c r="M58" s="3">
        <v>2.9954399999999998E-3</v>
      </c>
      <c r="N58" s="1">
        <v>3.94</v>
      </c>
      <c r="O58" s="1">
        <v>0.5</v>
      </c>
      <c r="P58">
        <v>1.304304897314376E-2</v>
      </c>
      <c r="Q58">
        <v>77.922887510519587</v>
      </c>
      <c r="S58" t="s">
        <v>327</v>
      </c>
    </row>
    <row r="59" spans="1:19">
      <c r="A59" s="5" t="s">
        <v>537</v>
      </c>
      <c r="B59" t="s">
        <v>147</v>
      </c>
      <c r="C59">
        <v>1.197E-2</v>
      </c>
      <c r="D59">
        <v>1.8270000000000001E-3</v>
      </c>
      <c r="E59">
        <v>1488.7598630340926</v>
      </c>
      <c r="F59">
        <v>73.030575386293521</v>
      </c>
      <c r="G59" s="7">
        <f t="shared" si="2"/>
        <v>4.3286028075654501</v>
      </c>
      <c r="H59" s="7">
        <f t="shared" si="3"/>
        <v>0.21233804155021824</v>
      </c>
      <c r="I59">
        <v>0.1293</v>
      </c>
      <c r="J59">
        <v>1.9480000000000001E-2</v>
      </c>
      <c r="K59" s="3">
        <v>0.2</v>
      </c>
      <c r="L59" s="3">
        <v>7.62439E-3</v>
      </c>
      <c r="M59" s="3">
        <v>5.3948900000000003E-3</v>
      </c>
      <c r="N59" s="1">
        <v>3.87</v>
      </c>
      <c r="O59" s="1">
        <v>0.44</v>
      </c>
      <c r="P59">
        <v>1.1026077097505669E-2</v>
      </c>
      <c r="Q59">
        <v>19.471605787362623</v>
      </c>
      <c r="S59" t="s">
        <v>247</v>
      </c>
    </row>
    <row r="60" spans="1:19">
      <c r="A60" s="5" t="s">
        <v>538</v>
      </c>
      <c r="B60" t="s">
        <v>147</v>
      </c>
      <c r="C60">
        <v>9.6989999999999993E-3</v>
      </c>
      <c r="D60">
        <v>2.1640000000000001E-3</v>
      </c>
      <c r="E60">
        <v>1182.1728336682822</v>
      </c>
      <c r="F60">
        <v>177.62639456110495</v>
      </c>
      <c r="G60" s="7">
        <f t="shared" si="2"/>
        <v>5.4507167009024959</v>
      </c>
      <c r="H60" s="7">
        <f t="shared" si="3"/>
        <v>0.81899289831505762</v>
      </c>
      <c r="I60">
        <v>8.3159999999999998E-2</v>
      </c>
      <c r="J60">
        <v>1.06E-2</v>
      </c>
      <c r="K60" s="3">
        <v>0.83689999999999998</v>
      </c>
      <c r="L60" s="3">
        <v>1.0476299999999999E-2</v>
      </c>
      <c r="M60" s="3">
        <v>5.3214100000000004E-3</v>
      </c>
      <c r="N60" s="1">
        <v>5.2</v>
      </c>
      <c r="O60" s="1">
        <v>1.5</v>
      </c>
      <c r="P60">
        <v>3.9106198034769467E-2</v>
      </c>
      <c r="Q60">
        <v>32.048662102245657</v>
      </c>
      <c r="S60" t="s">
        <v>274</v>
      </c>
    </row>
    <row r="61" spans="1:19">
      <c r="A61" s="5"/>
      <c r="G61" s="7" t="e">
        <f t="shared" si="2"/>
        <v>#DIV/0!</v>
      </c>
      <c r="H61" s="7" t="e">
        <f t="shared" si="3"/>
        <v>#DIV/0!</v>
      </c>
      <c r="K61" s="3"/>
      <c r="L61" s="3"/>
      <c r="M61" s="3"/>
    </row>
    <row r="62" spans="1:19">
      <c r="A62" t="s">
        <v>421</v>
      </c>
      <c r="B62" t="s">
        <v>146</v>
      </c>
      <c r="C62">
        <v>8.7270000000000004E-3</v>
      </c>
      <c r="D62">
        <v>1.9319999999999999E-3</v>
      </c>
      <c r="E62">
        <v>1453.9110206455364</v>
      </c>
      <c r="F62">
        <v>59.462804610001356</v>
      </c>
      <c r="G62" s="7">
        <f t="shared" si="2"/>
        <v>4.4323195744264527</v>
      </c>
      <c r="H62" s="7">
        <f t="shared" si="3"/>
        <v>0.1812752975118001</v>
      </c>
      <c r="I62">
        <v>9.2030000000000001E-2</v>
      </c>
      <c r="J62">
        <v>1.8620000000000001E-2</v>
      </c>
      <c r="K62" s="3">
        <v>0.53810000000000002</v>
      </c>
      <c r="L62" s="3">
        <v>3.6345000000000001E-3</v>
      </c>
      <c r="M62" s="3">
        <v>5.5430799999999999E-4</v>
      </c>
      <c r="N62" s="1">
        <v>4.17</v>
      </c>
      <c r="O62" s="1">
        <v>0.4</v>
      </c>
      <c r="P62">
        <v>3.0894549763033175E-2</v>
      </c>
      <c r="Q62">
        <v>1057.881120842814</v>
      </c>
      <c r="S62" t="s">
        <v>328</v>
      </c>
    </row>
    <row r="63" spans="1:19">
      <c r="A63" t="s">
        <v>565</v>
      </c>
      <c r="B63" t="s">
        <v>146</v>
      </c>
      <c r="C63">
        <v>5.7939999999999997E-3</v>
      </c>
      <c r="D63">
        <v>2.7799999999999998E-4</v>
      </c>
      <c r="E63">
        <v>1318.3915622940015</v>
      </c>
      <c r="F63">
        <v>42.341487748822516</v>
      </c>
      <c r="G63" s="7">
        <f t="shared" si="2"/>
        <v>4.8877517115426254</v>
      </c>
      <c r="H63" s="7">
        <f t="shared" si="3"/>
        <v>0.15697512418349158</v>
      </c>
      <c r="I63">
        <v>5.5399999999999998E-2</v>
      </c>
      <c r="J63">
        <v>2.284E-3</v>
      </c>
      <c r="K63" s="3">
        <v>0.53010000000000002</v>
      </c>
      <c r="L63" s="3">
        <v>9.3260999999999995E-4</v>
      </c>
      <c r="M63" s="3">
        <v>3.60405E-4</v>
      </c>
      <c r="N63" s="1">
        <v>4.83</v>
      </c>
      <c r="O63" s="1">
        <v>0.81</v>
      </c>
      <c r="P63">
        <v>8.8270142180094782E-2</v>
      </c>
      <c r="Q63">
        <v>1597.1075024156094</v>
      </c>
      <c r="S63" t="s">
        <v>329</v>
      </c>
    </row>
    <row r="64" spans="1:19">
      <c r="A64" s="5" t="s">
        <v>539</v>
      </c>
      <c r="B64" t="s">
        <v>147</v>
      </c>
      <c r="C64">
        <v>9.5670000000000009E-3</v>
      </c>
      <c r="D64">
        <v>1.4660000000000001E-3</v>
      </c>
      <c r="E64">
        <v>1282.5445684237527</v>
      </c>
      <c r="F64">
        <v>67.244352901324888</v>
      </c>
      <c r="G64" s="7">
        <f t="shared" si="2"/>
        <v>5.0243106647172429</v>
      </c>
      <c r="H64" s="7">
        <f t="shared" si="3"/>
        <v>0.26342672819499924</v>
      </c>
      <c r="I64">
        <v>8.899E-2</v>
      </c>
      <c r="J64">
        <v>1.2579999999999999E-2</v>
      </c>
      <c r="K64" s="3">
        <v>0.38840000000000002</v>
      </c>
      <c r="L64" s="3">
        <v>1.59855E-2</v>
      </c>
      <c r="M64" s="3">
        <v>8.3142700000000003E-3</v>
      </c>
      <c r="N64" s="1">
        <v>4.75</v>
      </c>
      <c r="O64" s="1">
        <v>0.52</v>
      </c>
      <c r="P64">
        <v>5.7653061224489793E-2</v>
      </c>
      <c r="Q64">
        <v>14.375389333461113</v>
      </c>
      <c r="S64" t="s">
        <v>248</v>
      </c>
    </row>
    <row r="65" spans="1:19">
      <c r="A65" s="5"/>
      <c r="G65" s="7" t="e">
        <f t="shared" si="2"/>
        <v>#DIV/0!</v>
      </c>
      <c r="H65" s="7" t="e">
        <f t="shared" si="3"/>
        <v>#DIV/0!</v>
      </c>
      <c r="K65" s="3"/>
      <c r="L65" s="3"/>
      <c r="M65" s="3"/>
    </row>
    <row r="66" spans="1:19">
      <c r="A66" t="s">
        <v>423</v>
      </c>
      <c r="B66" t="s">
        <v>146</v>
      </c>
      <c r="C66">
        <v>4.9480000000000003E-2</v>
      </c>
      <c r="D66">
        <v>8.0180000000000008E-3</v>
      </c>
      <c r="E66">
        <v>854.70085470085462</v>
      </c>
      <c r="F66">
        <v>63.160201621740072</v>
      </c>
      <c r="G66" s="7">
        <f t="shared" si="2"/>
        <v>7.5378957834189197</v>
      </c>
      <c r="H66" s="7">
        <f t="shared" si="3"/>
        <v>0.55703117045675188</v>
      </c>
      <c r="I66">
        <v>0.30680000000000002</v>
      </c>
      <c r="J66">
        <v>3.6429999999999997E-2</v>
      </c>
      <c r="K66" s="3">
        <v>0.73560000000000003</v>
      </c>
      <c r="L66" s="3">
        <v>4.4311000000000003E-2</v>
      </c>
      <c r="M66" s="3">
        <v>1.0402399999999999E-2</v>
      </c>
      <c r="N66" s="1">
        <v>5</v>
      </c>
      <c r="O66" s="1">
        <v>1.1000000000000001</v>
      </c>
      <c r="P66">
        <v>2.3272116903633495E-4</v>
      </c>
      <c r="Q66">
        <v>16.214194433188915</v>
      </c>
      <c r="S66" t="s">
        <v>330</v>
      </c>
    </row>
    <row r="67" spans="1:19">
      <c r="A67" t="s">
        <v>506</v>
      </c>
      <c r="B67" t="s">
        <v>146</v>
      </c>
      <c r="C67">
        <v>5.6299999999999996E-3</v>
      </c>
      <c r="D67">
        <v>4.1169999999999998E-4</v>
      </c>
      <c r="E67">
        <v>1456.4520827264782</v>
      </c>
      <c r="F67">
        <v>51.843415237161558</v>
      </c>
      <c r="G67" s="7">
        <f t="shared" si="2"/>
        <v>4.4245891897294918</v>
      </c>
      <c r="H67" s="7">
        <f t="shared" si="3"/>
        <v>0.15749630031603376</v>
      </c>
      <c r="I67">
        <v>5.9470000000000002E-2</v>
      </c>
      <c r="J67">
        <v>3.4719999999999998E-3</v>
      </c>
      <c r="K67" s="3">
        <v>0.61580000000000001</v>
      </c>
      <c r="L67" s="3">
        <v>4.3121000000000001E-3</v>
      </c>
      <c r="M67" s="3">
        <v>6.3900700000000003E-4</v>
      </c>
      <c r="N67" s="1">
        <v>4.3099999999999996</v>
      </c>
      <c r="O67" s="1">
        <v>0.35</v>
      </c>
      <c r="P67">
        <v>8.0094786729857828E-2</v>
      </c>
      <c r="Q67">
        <v>715.64379889661188</v>
      </c>
      <c r="S67" t="s">
        <v>331</v>
      </c>
    </row>
    <row r="68" spans="1:19">
      <c r="A68" t="s">
        <v>372</v>
      </c>
      <c r="B68" t="s">
        <v>146</v>
      </c>
      <c r="C68">
        <v>1.227E-2</v>
      </c>
      <c r="D68">
        <v>1.1039999999999999E-3</v>
      </c>
      <c r="E68">
        <v>1389.0818169190165</v>
      </c>
      <c r="F68">
        <v>61.919204757509711</v>
      </c>
      <c r="G68" s="7">
        <f t="shared" si="2"/>
        <v>4.6391039245257319</v>
      </c>
      <c r="H68" s="7">
        <f t="shared" si="3"/>
        <v>0.20679100560915506</v>
      </c>
      <c r="I68">
        <v>0.1236</v>
      </c>
      <c r="J68">
        <v>7.1050000000000002E-3</v>
      </c>
      <c r="K68" s="3">
        <v>0.84499999999999997</v>
      </c>
      <c r="L68" s="3">
        <v>1.6976000000000002E-2</v>
      </c>
      <c r="M68" s="3">
        <v>2.9803999999999998E-3</v>
      </c>
      <c r="N68" s="1">
        <v>4.18</v>
      </c>
      <c r="O68" s="1">
        <v>0.38</v>
      </c>
      <c r="P68">
        <v>4.2486176935229072E-3</v>
      </c>
      <c r="Q68">
        <v>105.97512701430664</v>
      </c>
      <c r="S68" t="s">
        <v>332</v>
      </c>
    </row>
    <row r="69" spans="1:19">
      <c r="A69" t="s">
        <v>373</v>
      </c>
      <c r="B69" t="s">
        <v>146</v>
      </c>
      <c r="C69">
        <v>1.915E-2</v>
      </c>
      <c r="D69">
        <v>2.5249999999999999E-3</v>
      </c>
      <c r="E69">
        <v>1299.2074834351047</v>
      </c>
      <c r="F69">
        <v>69.002990675363236</v>
      </c>
      <c r="G69" s="7">
        <f t="shared" si="2"/>
        <v>4.9598964246069848</v>
      </c>
      <c r="H69" s="7">
        <f t="shared" si="3"/>
        <v>0.26342804448217949</v>
      </c>
      <c r="I69">
        <v>0.1804</v>
      </c>
      <c r="J69">
        <v>2.1930000000000002E-2</v>
      </c>
      <c r="K69" s="3">
        <v>0.3886</v>
      </c>
      <c r="L69" s="3">
        <v>1.9057000000000001E-2</v>
      </c>
      <c r="M69" s="3">
        <v>5.4753099999999997E-3</v>
      </c>
      <c r="N69" s="1">
        <v>4.1100000000000003</v>
      </c>
      <c r="O69" s="1">
        <v>0.52</v>
      </c>
      <c r="P69">
        <v>8.3481437598736177E-2</v>
      </c>
      <c r="Q69">
        <v>51.223389333915158</v>
      </c>
      <c r="S69" t="s">
        <v>333</v>
      </c>
    </row>
    <row r="70" spans="1:19">
      <c r="G70" s="7" t="e">
        <f t="shared" si="2"/>
        <v>#DIV/0!</v>
      </c>
      <c r="H70" s="7" t="e">
        <f t="shared" si="3"/>
        <v>#DIV/0!</v>
      </c>
      <c r="K70" s="3"/>
      <c r="L70" s="3"/>
      <c r="M70" s="3"/>
    </row>
    <row r="71" spans="1:19">
      <c r="A71" t="s">
        <v>374</v>
      </c>
      <c r="B71" t="s">
        <v>146</v>
      </c>
      <c r="C71">
        <v>1.1089999999999999E-2</v>
      </c>
      <c r="D71">
        <v>9.3950000000000001E-4</v>
      </c>
      <c r="E71">
        <v>1434.5144168698896</v>
      </c>
      <c r="F71">
        <v>76.901167348196509</v>
      </c>
      <c r="G71" s="7">
        <f t="shared" si="2"/>
        <v>4.4922297415259616</v>
      </c>
      <c r="H71" s="7">
        <f t="shared" si="3"/>
        <v>0.24081857042149651</v>
      </c>
      <c r="I71">
        <v>0.1153</v>
      </c>
      <c r="J71">
        <v>7.6439999999999998E-3</v>
      </c>
      <c r="K71" s="3">
        <v>0.62339999999999995</v>
      </c>
      <c r="L71" s="3">
        <v>1.1217E-2</v>
      </c>
      <c r="M71" s="3">
        <v>2.7331899999999999E-3</v>
      </c>
      <c r="N71" s="1">
        <v>4.0999999999999996</v>
      </c>
      <c r="O71" s="1">
        <v>0.45</v>
      </c>
      <c r="P71">
        <v>7.7379541864139026E-3</v>
      </c>
      <c r="Q71">
        <v>115.7622416856279</v>
      </c>
      <c r="S71" t="s">
        <v>334</v>
      </c>
    </row>
    <row r="72" spans="1:19">
      <c r="A72" t="s">
        <v>375</v>
      </c>
      <c r="B72" t="s">
        <v>146</v>
      </c>
      <c r="C72">
        <v>1.345E-2</v>
      </c>
      <c r="D72">
        <v>1.601E-3</v>
      </c>
      <c r="E72">
        <v>1498.5763524651582</v>
      </c>
      <c r="F72">
        <v>49.203968054116011</v>
      </c>
      <c r="G72" s="7">
        <f t="shared" si="2"/>
        <v>4.300257562305001</v>
      </c>
      <c r="H72" s="7">
        <f t="shared" si="3"/>
        <v>0.1411938306460401</v>
      </c>
      <c r="I72">
        <v>0.1462</v>
      </c>
      <c r="J72">
        <v>1.384E-2</v>
      </c>
      <c r="K72" s="3">
        <v>0.80430000000000001</v>
      </c>
      <c r="L72" s="3">
        <v>5.0219000000000001E-3</v>
      </c>
      <c r="M72" s="3">
        <v>1.0956E-3</v>
      </c>
      <c r="N72" s="1">
        <v>3.75</v>
      </c>
      <c r="O72" s="1">
        <v>0.28999999999999998</v>
      </c>
      <c r="P72">
        <v>0.2492101105845182</v>
      </c>
      <c r="Q72">
        <v>166.94199420253719</v>
      </c>
      <c r="S72" t="s">
        <v>335</v>
      </c>
    </row>
    <row r="73" spans="1:19">
      <c r="A73" s="5" t="s">
        <v>540</v>
      </c>
      <c r="B73" t="s">
        <v>147</v>
      </c>
      <c r="C73">
        <v>4.3210000000000002E-3</v>
      </c>
      <c r="D73">
        <v>5.1009999999999998E-4</v>
      </c>
      <c r="E73">
        <v>1928.2684149633628</v>
      </c>
      <c r="F73">
        <v>121.77167487475921</v>
      </c>
      <c r="G73" s="7">
        <f t="shared" si="2"/>
        <v>3.342243825905824</v>
      </c>
      <c r="H73" s="7">
        <f t="shared" si="3"/>
        <v>0.21106533995066667</v>
      </c>
      <c r="I73">
        <v>6.0429999999999998E-2</v>
      </c>
      <c r="J73">
        <v>4.5430000000000002E-3</v>
      </c>
      <c r="K73" s="3">
        <v>0.82310000000000005</v>
      </c>
      <c r="L73" s="3">
        <v>3.3817000000000001E-3</v>
      </c>
      <c r="M73" s="3">
        <v>1.7025E-3</v>
      </c>
      <c r="N73" s="1">
        <v>3.28</v>
      </c>
      <c r="O73" s="1">
        <v>0.41</v>
      </c>
      <c r="P73">
        <v>4.979213907785337E-3</v>
      </c>
      <c r="Q73">
        <v>235.58726284130978</v>
      </c>
      <c r="S73" t="s">
        <v>273</v>
      </c>
    </row>
    <row r="74" spans="1:19">
      <c r="A74" s="5"/>
      <c r="G74" s="7" t="e">
        <f t="shared" si="2"/>
        <v>#DIV/0!</v>
      </c>
      <c r="H74" s="7" t="e">
        <f t="shared" si="3"/>
        <v>#DIV/0!</v>
      </c>
      <c r="K74" s="3"/>
      <c r="L74" s="3"/>
      <c r="M74" s="3"/>
    </row>
    <row r="75" spans="1:19">
      <c r="A75" t="s">
        <v>376</v>
      </c>
      <c r="B75" t="s">
        <v>146</v>
      </c>
      <c r="C75">
        <v>0.16320000000000001</v>
      </c>
      <c r="D75">
        <v>9.4020000000000006E-3</v>
      </c>
      <c r="E75">
        <v>59.701492537313428</v>
      </c>
      <c r="F75">
        <v>3.0609935397638668</v>
      </c>
      <c r="G75" s="7">
        <f t="shared" si="2"/>
        <v>107.08309946944017</v>
      </c>
      <c r="H75" s="7">
        <f t="shared" si="3"/>
        <v>5.4903263178719532</v>
      </c>
      <c r="I75">
        <v>7.0660000000000001E-2</v>
      </c>
      <c r="J75">
        <v>3.8270000000000001E-3</v>
      </c>
      <c r="K75" s="3">
        <v>0.51060000000000005</v>
      </c>
      <c r="L75" s="3">
        <v>1.8067000000000001E-3</v>
      </c>
      <c r="M75" s="3">
        <v>2.27624E-4</v>
      </c>
      <c r="N75" s="1">
        <v>104</v>
      </c>
      <c r="O75" s="1">
        <v>11</v>
      </c>
      <c r="P75">
        <v>1.1976698262243288</v>
      </c>
      <c r="Q75">
        <v>162.51597419193965</v>
      </c>
      <c r="S75" t="s">
        <v>336</v>
      </c>
    </row>
    <row r="76" spans="1:19">
      <c r="A76" t="s">
        <v>377</v>
      </c>
      <c r="B76" t="s">
        <v>146</v>
      </c>
      <c r="C76">
        <v>3.2980000000000002E-2</v>
      </c>
      <c r="D76">
        <v>6.058E-3</v>
      </c>
      <c r="E76">
        <v>1347.8905512872354</v>
      </c>
      <c r="F76">
        <v>98.398372095587931</v>
      </c>
      <c r="G76" s="7">
        <f t="shared" si="2"/>
        <v>4.7808214551945074</v>
      </c>
      <c r="H76" s="7">
        <f t="shared" si="3"/>
        <v>0.34900834346048598</v>
      </c>
      <c r="I76">
        <v>0.32240000000000002</v>
      </c>
      <c r="J76">
        <v>4.9660000000000003E-2</v>
      </c>
      <c r="K76" s="3">
        <v>0.57220000000000004</v>
      </c>
      <c r="L76" s="3">
        <v>3.6700999999999998E-2</v>
      </c>
      <c r="M76" s="3">
        <v>1.0896899999999999E-2</v>
      </c>
      <c r="N76" s="1">
        <v>3.09</v>
      </c>
      <c r="O76" s="1">
        <v>0.78</v>
      </c>
      <c r="P76">
        <v>1.1078199052132703E-2</v>
      </c>
      <c r="Q76">
        <v>16.270298912196488</v>
      </c>
      <c r="S76" t="s">
        <v>337</v>
      </c>
    </row>
    <row r="77" spans="1:19">
      <c r="A77" t="s">
        <v>378</v>
      </c>
      <c r="B77" t="s">
        <v>146</v>
      </c>
      <c r="C77">
        <v>3.7650000000000003E-2</v>
      </c>
      <c r="D77">
        <v>5.3819999999999996E-3</v>
      </c>
      <c r="E77">
        <v>1113.2138483802739</v>
      </c>
      <c r="F77">
        <v>80.15437127155306</v>
      </c>
      <c r="G77" s="7">
        <f t="shared" si="2"/>
        <v>5.7882144723155236</v>
      </c>
      <c r="H77" s="7">
        <f t="shared" si="3"/>
        <v>0.41676690645593684</v>
      </c>
      <c r="I77">
        <v>0.30399999999999999</v>
      </c>
      <c r="J77">
        <v>3.0720000000000001E-2</v>
      </c>
      <c r="K77" s="3">
        <v>0.74839999999999995</v>
      </c>
      <c r="L77" s="3">
        <v>2.0371E-2</v>
      </c>
      <c r="M77" s="3">
        <v>7.1313799999999997E-3</v>
      </c>
      <c r="N77" s="1">
        <v>3.88</v>
      </c>
      <c r="O77" s="1">
        <v>0.75</v>
      </c>
      <c r="P77">
        <v>6.6429699842022122E-3</v>
      </c>
      <c r="Q77">
        <v>23.5451796901786</v>
      </c>
      <c r="S77" t="s">
        <v>338</v>
      </c>
    </row>
    <row r="78" spans="1:19">
      <c r="A78" t="s">
        <v>449</v>
      </c>
      <c r="B78" t="s">
        <v>146</v>
      </c>
      <c r="C78">
        <v>3.2190000000000003E-2</v>
      </c>
      <c r="D78">
        <v>4.5820000000000001E-3</v>
      </c>
      <c r="E78">
        <v>1124.4799280332845</v>
      </c>
      <c r="F78">
        <v>83.504615368624883</v>
      </c>
      <c r="G78" s="7">
        <f t="shared" si="2"/>
        <v>5.7302485546138522</v>
      </c>
      <c r="H78" s="7">
        <f t="shared" si="3"/>
        <v>0.42553200781142331</v>
      </c>
      <c r="I78">
        <v>0.26250000000000001</v>
      </c>
      <c r="J78">
        <v>2.529E-2</v>
      </c>
      <c r="K78" s="3">
        <v>0.78059999999999996</v>
      </c>
      <c r="L78" s="3">
        <v>1.0165E-2</v>
      </c>
      <c r="M78" s="3">
        <v>4.5660700000000002E-3</v>
      </c>
      <c r="N78" s="1">
        <v>4.1500000000000004</v>
      </c>
      <c r="O78" s="1">
        <v>0.75</v>
      </c>
      <c r="P78">
        <v>1.3171406003159558E-2</v>
      </c>
      <c r="Q78">
        <v>23.15244833712558</v>
      </c>
      <c r="S78" t="s">
        <v>339</v>
      </c>
    </row>
    <row r="79" spans="1:19">
      <c r="A79" t="s">
        <v>482</v>
      </c>
      <c r="B79" t="s">
        <v>147</v>
      </c>
      <c r="C79">
        <v>0.1331</v>
      </c>
      <c r="D79">
        <v>2.002E-2</v>
      </c>
      <c r="E79">
        <v>533.33333333333337</v>
      </c>
      <c r="F79">
        <v>52.50844444444445</v>
      </c>
      <c r="G79" s="7">
        <f t="shared" si="2"/>
        <v>12.07570914862478</v>
      </c>
      <c r="H79" s="7">
        <f t="shared" si="3"/>
        <v>1.1888938180459383</v>
      </c>
      <c r="I79">
        <v>0.5151</v>
      </c>
      <c r="J79">
        <v>3.2910000000000002E-2</v>
      </c>
      <c r="K79" s="3">
        <v>0.95309999999999995</v>
      </c>
      <c r="L79" s="3">
        <v>3.8752500000000002E-2</v>
      </c>
      <c r="M79" s="3">
        <v>5.3645899999999998E-3</v>
      </c>
      <c r="N79" s="1">
        <v>4.8</v>
      </c>
      <c r="O79" s="1">
        <v>1.7</v>
      </c>
      <c r="P79">
        <v>9.1288737717309137E-2</v>
      </c>
      <c r="Q79">
        <v>56.176766552133337</v>
      </c>
      <c r="S79" t="s">
        <v>280</v>
      </c>
    </row>
    <row r="80" spans="1:19">
      <c r="A80" t="s">
        <v>424</v>
      </c>
      <c r="B80" t="s">
        <v>147</v>
      </c>
      <c r="C80">
        <v>7.8200000000000006E-2</v>
      </c>
      <c r="D80">
        <v>1.1860000000000001E-2</v>
      </c>
      <c r="E80">
        <v>636.53723742838963</v>
      </c>
      <c r="F80">
        <v>39.184924399554149</v>
      </c>
      <c r="G80" s="7">
        <f t="shared" si="2"/>
        <v>10.119369994584352</v>
      </c>
      <c r="H80" s="7">
        <f t="shared" si="3"/>
        <v>0.62294352143618892</v>
      </c>
      <c r="I80">
        <v>0.36099999999999999</v>
      </c>
      <c r="J80">
        <v>3.5430000000000003E-2</v>
      </c>
      <c r="K80" s="3">
        <v>0.91869999999999996</v>
      </c>
      <c r="L80" s="3">
        <v>2.24473E-2</v>
      </c>
      <c r="M80" s="3">
        <v>2.2853700000000001E-3</v>
      </c>
      <c r="N80" s="1">
        <v>6</v>
      </c>
      <c r="O80" s="1">
        <v>1.3</v>
      </c>
      <c r="P80">
        <v>0.43112244897959184</v>
      </c>
      <c r="Q80">
        <v>273.16058437366991</v>
      </c>
      <c r="S80" t="s">
        <v>281</v>
      </c>
    </row>
    <row r="81" spans="1:19">
      <c r="A81" t="s">
        <v>425</v>
      </c>
      <c r="B81" t="s">
        <v>147</v>
      </c>
      <c r="C81">
        <v>6.9290000000000003E-3</v>
      </c>
      <c r="D81">
        <v>1.106E-3</v>
      </c>
      <c r="E81">
        <v>1446.7592592592594</v>
      </c>
      <c r="F81">
        <v>64.593447252229083</v>
      </c>
      <c r="G81" s="7">
        <f t="shared" si="2"/>
        <v>4.4542222807295708</v>
      </c>
      <c r="H81" s="7">
        <f t="shared" si="3"/>
        <v>0.19886762092493424</v>
      </c>
      <c r="I81">
        <v>7.2709999999999997E-2</v>
      </c>
      <c r="J81">
        <v>1.086E-2</v>
      </c>
      <c r="K81" s="3">
        <v>0.3639</v>
      </c>
      <c r="L81" s="3">
        <v>1.15055E-3</v>
      </c>
      <c r="M81" s="3">
        <v>1.1507799999999999E-3</v>
      </c>
      <c r="N81" s="1">
        <v>4.3</v>
      </c>
      <c r="O81" s="1">
        <v>0.4</v>
      </c>
      <c r="P81">
        <v>7.952569916855631E-3</v>
      </c>
      <c r="Q81">
        <v>78.895519106583635</v>
      </c>
      <c r="S81" t="s">
        <v>282</v>
      </c>
    </row>
    <row r="82" spans="1:19">
      <c r="A82" t="s">
        <v>571</v>
      </c>
      <c r="B82" t="s">
        <v>147</v>
      </c>
      <c r="C82">
        <v>4.9919999999999999E-2</v>
      </c>
      <c r="D82">
        <v>5.5900000000000004E-3</v>
      </c>
      <c r="E82">
        <v>952.38095238095241</v>
      </c>
      <c r="F82">
        <v>60.925170068027207</v>
      </c>
      <c r="G82" s="7">
        <f t="shared" si="2"/>
        <v>6.765183790951645</v>
      </c>
      <c r="H82" s="7">
        <f t="shared" si="3"/>
        <v>0.43277847165544947</v>
      </c>
      <c r="I82">
        <v>0.3448</v>
      </c>
      <c r="J82">
        <v>2.2579999999999999E-2</v>
      </c>
      <c r="K82" s="3">
        <v>0.86150000000000004</v>
      </c>
      <c r="L82" s="3">
        <v>2.31378E-2</v>
      </c>
      <c r="M82" s="3">
        <v>4.4393599999999998E-3</v>
      </c>
      <c r="N82" s="1">
        <v>4.18</v>
      </c>
      <c r="O82" s="1">
        <v>0.73</v>
      </c>
      <c r="P82">
        <v>5.829554043839758E-3</v>
      </c>
      <c r="Q82">
        <v>73.962787472552861</v>
      </c>
      <c r="S82" t="s">
        <v>283</v>
      </c>
    </row>
    <row r="83" spans="1:19">
      <c r="A83" t="s">
        <v>572</v>
      </c>
      <c r="B83" t="s">
        <v>147</v>
      </c>
      <c r="C83">
        <v>5.8609999999999999E-3</v>
      </c>
      <c r="D83">
        <v>5.3720000000000005E-4</v>
      </c>
      <c r="E83">
        <v>1632.3865491348349</v>
      </c>
      <c r="F83">
        <v>64.24557574214964</v>
      </c>
      <c r="G83" s="7">
        <f t="shared" si="2"/>
        <v>3.9478642205749863</v>
      </c>
      <c r="H83" s="7">
        <f t="shared" si="3"/>
        <v>0.15537545928511742</v>
      </c>
      <c r="I83">
        <v>6.9389999999999993E-2</v>
      </c>
      <c r="J83">
        <v>5.8650000000000004E-3</v>
      </c>
      <c r="K83" s="3">
        <v>0.38879999999999998</v>
      </c>
      <c r="L83" s="3">
        <v>1.33036E-3</v>
      </c>
      <c r="M83" s="3">
        <v>1.1711E-3</v>
      </c>
      <c r="N83" s="1">
        <v>3.83</v>
      </c>
      <c r="O83" s="1">
        <v>0.3</v>
      </c>
      <c r="P83">
        <v>6.1356764928193501E-3</v>
      </c>
      <c r="Q83">
        <v>83.574567399435693</v>
      </c>
      <c r="S83" t="s">
        <v>284</v>
      </c>
    </row>
    <row r="84" spans="1:19">
      <c r="A84" t="s">
        <v>573</v>
      </c>
      <c r="B84" t="s">
        <v>147</v>
      </c>
      <c r="C84">
        <v>0.28760000000000002</v>
      </c>
      <c r="D84">
        <v>1.209E-2</v>
      </c>
      <c r="E84">
        <v>319.38677738741615</v>
      </c>
      <c r="F84">
        <v>10.629224593985551</v>
      </c>
      <c r="G84" s="7">
        <f t="shared" si="2"/>
        <v>20.152190986410247</v>
      </c>
      <c r="H84" s="7">
        <f t="shared" si="3"/>
        <v>0.67066697565760069</v>
      </c>
      <c r="I84">
        <v>0.66620000000000001</v>
      </c>
      <c r="J84">
        <v>1.7950000000000001E-2</v>
      </c>
      <c r="K84" s="3">
        <v>0.76770000000000005</v>
      </c>
      <c r="L84" s="3">
        <v>3.5835899999999997E-2</v>
      </c>
      <c r="M84" s="3">
        <v>5.8017199999999998E-3</v>
      </c>
      <c r="N84" s="1">
        <v>4.2</v>
      </c>
      <c r="O84" s="1">
        <v>2.2000000000000002</v>
      </c>
      <c r="P84">
        <v>4.8752834467120178E-2</v>
      </c>
      <c r="Q84">
        <v>24.316957603876283</v>
      </c>
      <c r="S84" t="s">
        <v>285</v>
      </c>
    </row>
    <row r="85" spans="1:19">
      <c r="A85" t="s">
        <v>574</v>
      </c>
      <c r="B85" t="s">
        <v>147</v>
      </c>
      <c r="C85">
        <v>3.2030000000000003E-2</v>
      </c>
      <c r="D85">
        <v>5.241E-3</v>
      </c>
      <c r="E85">
        <v>1093.3741526350318</v>
      </c>
      <c r="F85">
        <v>70.556464562125058</v>
      </c>
      <c r="G85" s="7">
        <f t="shared" si="2"/>
        <v>5.8931958631043795</v>
      </c>
      <c r="H85" s="7">
        <f t="shared" si="3"/>
        <v>0.38029348331557011</v>
      </c>
      <c r="I85">
        <v>0.254</v>
      </c>
      <c r="J85">
        <v>3.09E-2</v>
      </c>
      <c r="K85" s="3">
        <v>0.76419999999999999</v>
      </c>
      <c r="L85" s="3">
        <v>2.4620099999999999E-2</v>
      </c>
      <c r="M85" s="3">
        <v>8.7234800000000005E-3</v>
      </c>
      <c r="N85" s="1">
        <v>4.33</v>
      </c>
      <c r="O85" s="1">
        <v>0.75</v>
      </c>
      <c r="P85">
        <v>4.632464096749811E-2</v>
      </c>
      <c r="Q85">
        <v>23.003441637328656</v>
      </c>
      <c r="S85" t="s">
        <v>286</v>
      </c>
    </row>
    <row r="86" spans="1:19">
      <c r="A86" t="s">
        <v>429</v>
      </c>
      <c r="B86" t="s">
        <v>147</v>
      </c>
      <c r="C86">
        <v>1.8540000000000001E-2</v>
      </c>
      <c r="D86">
        <v>3.0980000000000001E-3</v>
      </c>
      <c r="E86">
        <v>1044.2773600668338</v>
      </c>
      <c r="F86">
        <v>146.67429503862692</v>
      </c>
      <c r="G86" s="7">
        <f t="shared" si="2"/>
        <v>6.1701324326551337</v>
      </c>
      <c r="H86" s="7">
        <f t="shared" si="3"/>
        <v>0.8666278322808223</v>
      </c>
      <c r="I86">
        <v>0.1404</v>
      </c>
      <c r="J86">
        <v>2.5659999999999999E-2</v>
      </c>
      <c r="K86" s="3">
        <v>0.3039</v>
      </c>
      <c r="L86" s="3">
        <v>8.8781599999999995E-3</v>
      </c>
      <c r="M86" s="3">
        <v>8.8781599999999995E-3</v>
      </c>
      <c r="N86" s="1">
        <v>5.4</v>
      </c>
      <c r="O86" s="1">
        <v>1.6</v>
      </c>
      <c r="P86">
        <v>4.8034769463340891E-2</v>
      </c>
      <c r="Q86">
        <v>23.414972390796368</v>
      </c>
      <c r="S86" t="s">
        <v>287</v>
      </c>
    </row>
    <row r="87" spans="1:19">
      <c r="A87" t="s">
        <v>430</v>
      </c>
      <c r="B87" t="s">
        <v>147</v>
      </c>
      <c r="C87">
        <v>2.2669999999999999E-2</v>
      </c>
      <c r="D87">
        <v>2.6719999999999999E-3</v>
      </c>
      <c r="E87">
        <v>1235.4830738818878</v>
      </c>
      <c r="F87">
        <v>67.223467474374019</v>
      </c>
      <c r="G87" s="7">
        <f t="shared" si="2"/>
        <v>5.2156171633616362</v>
      </c>
      <c r="H87" s="7">
        <f t="shared" si="3"/>
        <v>0.28378524817697853</v>
      </c>
      <c r="I87">
        <v>0.2031</v>
      </c>
      <c r="J87">
        <v>1.9470000000000001E-2</v>
      </c>
      <c r="K87" s="3">
        <v>0.59740000000000004</v>
      </c>
      <c r="L87" s="3">
        <v>9.2386499999999993E-3</v>
      </c>
      <c r="M87" s="3">
        <v>4.8022899999999999E-3</v>
      </c>
      <c r="N87" s="1">
        <v>4.17</v>
      </c>
      <c r="O87" s="1">
        <v>0.53</v>
      </c>
      <c r="P87">
        <v>6.804610733182162E-2</v>
      </c>
      <c r="Q87">
        <v>35.318358499660341</v>
      </c>
      <c r="S87" t="s">
        <v>288</v>
      </c>
    </row>
    <row r="88" spans="1:19">
      <c r="A88" t="s">
        <v>431</v>
      </c>
      <c r="B88" t="s">
        <v>147</v>
      </c>
      <c r="C88">
        <v>2.4989999999999998E-2</v>
      </c>
      <c r="D88">
        <v>3.4970000000000001E-3</v>
      </c>
      <c r="E88">
        <v>1249.5314257153568</v>
      </c>
      <c r="F88">
        <v>60.876209282321334</v>
      </c>
      <c r="G88" s="7">
        <f t="shared" si="2"/>
        <v>5.1570019707419021</v>
      </c>
      <c r="H88" s="7">
        <f t="shared" si="3"/>
        <v>0.2512451666115541</v>
      </c>
      <c r="I88">
        <v>0.22650000000000001</v>
      </c>
      <c r="J88">
        <v>2.945E-2</v>
      </c>
      <c r="K88" s="3">
        <v>0.37040000000000001</v>
      </c>
      <c r="L88" s="3">
        <v>1.59048E-2</v>
      </c>
      <c r="M88" s="3">
        <v>7.12431E-3</v>
      </c>
      <c r="N88" s="1">
        <v>3.97</v>
      </c>
      <c r="O88" s="1">
        <v>0.56000000000000005</v>
      </c>
      <c r="P88">
        <v>8.1840513983371128E-3</v>
      </c>
      <c r="Q88">
        <v>23.025991267655655</v>
      </c>
      <c r="S88" t="s">
        <v>289</v>
      </c>
    </row>
    <row r="89" spans="1:19">
      <c r="A89" t="s">
        <v>432</v>
      </c>
      <c r="B89" t="s">
        <v>147</v>
      </c>
      <c r="C89">
        <v>9.1479999999999999E-3</v>
      </c>
      <c r="D89">
        <v>1.2229999999999999E-3</v>
      </c>
      <c r="E89">
        <v>1308.5579691180319</v>
      </c>
      <c r="F89">
        <v>57.568331486192399</v>
      </c>
      <c r="G89" s="7">
        <f t="shared" si="2"/>
        <v>4.924468318192269</v>
      </c>
      <c r="H89" s="7">
        <f t="shared" si="3"/>
        <v>0.21664567502960494</v>
      </c>
      <c r="I89">
        <v>8.6830000000000004E-2</v>
      </c>
      <c r="J89">
        <v>1.1299999999999999E-2</v>
      </c>
      <c r="K89" s="3">
        <v>0.2437</v>
      </c>
      <c r="L89" s="3">
        <v>1.09509E-2</v>
      </c>
      <c r="M89" s="3">
        <v>4.9025800000000001E-3</v>
      </c>
      <c r="N89" s="1">
        <v>4.67</v>
      </c>
      <c r="O89" s="1">
        <v>0.63</v>
      </c>
      <c r="P89">
        <v>1.8981481481481481E-2</v>
      </c>
      <c r="Q89">
        <v>34.331812172854193</v>
      </c>
      <c r="S89" t="s">
        <v>290</v>
      </c>
    </row>
    <row r="90" spans="1:19">
      <c r="A90" t="s">
        <v>433</v>
      </c>
      <c r="B90" t="s">
        <v>147</v>
      </c>
      <c r="C90">
        <v>8.5070000000000007E-2</v>
      </c>
      <c r="D90">
        <v>9.1669999999999998E-3</v>
      </c>
      <c r="E90">
        <v>735.83517292126567</v>
      </c>
      <c r="F90">
        <v>46.418800128432743</v>
      </c>
      <c r="G90" s="7">
        <f t="shared" si="2"/>
        <v>8.754729381372357</v>
      </c>
      <c r="H90" s="7">
        <f t="shared" si="3"/>
        <v>0.55227590129878745</v>
      </c>
      <c r="I90">
        <v>0.45400000000000001</v>
      </c>
      <c r="J90">
        <v>3.1690000000000003E-2</v>
      </c>
      <c r="K90" s="3">
        <v>0.78839999999999999</v>
      </c>
      <c r="L90" s="3">
        <v>1.8885300000000001E-2</v>
      </c>
      <c r="M90" s="3">
        <v>5.9836899999999998E-3</v>
      </c>
      <c r="N90" s="1">
        <v>4.2</v>
      </c>
      <c r="O90" s="1">
        <v>1</v>
      </c>
      <c r="P90">
        <v>1.2622826908541194E-2</v>
      </c>
      <c r="Q90">
        <v>30.216504638177089</v>
      </c>
      <c r="S90" t="s">
        <v>291</v>
      </c>
    </row>
    <row r="91" spans="1:19">
      <c r="A91" t="s">
        <v>434</v>
      </c>
      <c r="B91" t="s">
        <v>147</v>
      </c>
      <c r="C91">
        <v>2.4570000000000002E-2</v>
      </c>
      <c r="D91">
        <v>3.179E-3</v>
      </c>
      <c r="E91">
        <v>1225.3400318588408</v>
      </c>
      <c r="F91">
        <v>65.028154368099976</v>
      </c>
      <c r="G91" s="7">
        <f t="shared" si="2"/>
        <v>5.2587730634236198</v>
      </c>
      <c r="H91" s="7">
        <f t="shared" si="3"/>
        <v>0.27908033497963108</v>
      </c>
      <c r="I91">
        <v>0.21840000000000001</v>
      </c>
      <c r="J91">
        <v>2.5510000000000001E-2</v>
      </c>
      <c r="K91" s="3">
        <v>0.43049999999999999</v>
      </c>
      <c r="L91" s="3">
        <v>2.76834E-2</v>
      </c>
      <c r="M91" s="3">
        <v>9.4066500000000008E-3</v>
      </c>
      <c r="N91" s="1">
        <v>4.0999999999999996</v>
      </c>
      <c r="O91" s="1">
        <v>0.56999999999999995</v>
      </c>
      <c r="P91">
        <v>1.0308012093726379E-2</v>
      </c>
      <c r="Q91">
        <v>28.271599022473524</v>
      </c>
      <c r="S91" t="s">
        <v>292</v>
      </c>
    </row>
    <row r="92" spans="1:19">
      <c r="A92" t="s">
        <v>435</v>
      </c>
      <c r="B92" t="s">
        <v>147</v>
      </c>
      <c r="C92">
        <v>1.1259999999999999E-2</v>
      </c>
      <c r="D92">
        <v>1.2769999999999999E-3</v>
      </c>
      <c r="E92">
        <v>1204.5290291496026</v>
      </c>
      <c r="F92">
        <v>66.000994382095186</v>
      </c>
      <c r="G92" s="7">
        <f t="shared" ref="G92:G100" si="4">(LN((1/E92)+1))/0.000155125</f>
        <v>5.3495927451719689</v>
      </c>
      <c r="H92" s="7">
        <f t="shared" ref="H92:H100" si="5">(F92/E92)*G92</f>
        <v>0.29312572148623572</v>
      </c>
      <c r="I92">
        <v>9.8369999999999999E-2</v>
      </c>
      <c r="J92">
        <v>9.1760000000000001E-3</v>
      </c>
      <c r="K92" s="3">
        <v>0.57599999999999996</v>
      </c>
      <c r="L92" s="3">
        <v>2.59765E-3</v>
      </c>
      <c r="M92" s="3">
        <v>2.5978099999999999E-3</v>
      </c>
      <c r="N92" s="1">
        <v>4.99</v>
      </c>
      <c r="O92" s="1">
        <v>0.56000000000000005</v>
      </c>
      <c r="P92">
        <v>0.13841647770219198</v>
      </c>
      <c r="Q92">
        <v>49.411877454033991</v>
      </c>
      <c r="S92" t="s">
        <v>293</v>
      </c>
    </row>
    <row r="93" spans="1:19">
      <c r="A93" t="s">
        <v>436</v>
      </c>
      <c r="B93" t="s">
        <v>147</v>
      </c>
      <c r="C93">
        <v>1.29E-2</v>
      </c>
      <c r="D93">
        <v>2.2659999999999998E-3</v>
      </c>
      <c r="E93">
        <v>1472.3203769140164</v>
      </c>
      <c r="F93">
        <v>69.909205175908454</v>
      </c>
      <c r="G93" s="7">
        <f t="shared" si="4"/>
        <v>4.376918279245765</v>
      </c>
      <c r="H93" s="7">
        <f t="shared" si="5"/>
        <v>0.20782628755252636</v>
      </c>
      <c r="I93">
        <v>0.13780000000000001</v>
      </c>
      <c r="J93">
        <v>1.9650000000000001E-2</v>
      </c>
      <c r="K93" s="3">
        <v>0.7651</v>
      </c>
      <c r="L93" s="3">
        <v>3.6340000000000001E-3</v>
      </c>
      <c r="M93" s="3">
        <v>2.4019000000000002E-3</v>
      </c>
      <c r="N93" s="1">
        <v>3.86</v>
      </c>
      <c r="O93" s="1">
        <v>0.43</v>
      </c>
      <c r="P93">
        <v>3.8274754346182918E-3</v>
      </c>
      <c r="Q93">
        <v>59.249153684186787</v>
      </c>
      <c r="S93" t="s">
        <v>195</v>
      </c>
    </row>
    <row r="94" spans="1:19">
      <c r="A94" t="s">
        <v>437</v>
      </c>
      <c r="B94" t="s">
        <v>147</v>
      </c>
      <c r="C94">
        <v>9.0360000000000006E-3</v>
      </c>
      <c r="D94">
        <v>7.4910000000000005E-4</v>
      </c>
      <c r="E94">
        <v>1478.6337424220021</v>
      </c>
      <c r="F94">
        <v>66.836956241077331</v>
      </c>
      <c r="G94" s="7">
        <f t="shared" si="4"/>
        <v>4.3582363398026231</v>
      </c>
      <c r="H94" s="7">
        <f t="shared" si="5"/>
        <v>0.19700027341086229</v>
      </c>
      <c r="I94">
        <v>9.69E-2</v>
      </c>
      <c r="J94">
        <v>6.8630000000000002E-3</v>
      </c>
      <c r="K94" s="3">
        <v>0.5202</v>
      </c>
      <c r="L94" s="3">
        <v>1.1310999999999999E-3</v>
      </c>
      <c r="M94" s="3">
        <v>1.13098E-3</v>
      </c>
      <c r="N94" s="1">
        <v>4.08</v>
      </c>
      <c r="O94" s="1">
        <v>0.37</v>
      </c>
      <c r="P94">
        <v>4.2082388510959936E-3</v>
      </c>
      <c r="Q94">
        <v>101.05053090285901</v>
      </c>
      <c r="S94" t="s">
        <v>196</v>
      </c>
    </row>
    <row r="95" spans="1:19">
      <c r="A95" t="s">
        <v>438</v>
      </c>
      <c r="B95" t="s">
        <v>147</v>
      </c>
      <c r="C95">
        <v>1.644E-2</v>
      </c>
      <c r="D95">
        <v>2.2279999999999999E-3</v>
      </c>
      <c r="E95">
        <v>1438.0212827149842</v>
      </c>
      <c r="F95">
        <v>74.713415220725309</v>
      </c>
      <c r="G95" s="7">
        <f t="shared" si="4"/>
        <v>4.481278462243897</v>
      </c>
      <c r="H95" s="7">
        <f t="shared" si="5"/>
        <v>0.23282799948356631</v>
      </c>
      <c r="I95">
        <v>0.1714</v>
      </c>
      <c r="J95">
        <v>2.0719999999999999E-2</v>
      </c>
      <c r="K95" s="3">
        <v>0.45939999999999998</v>
      </c>
      <c r="L95" s="3">
        <v>2.3364599999999999E-2</v>
      </c>
      <c r="M95" s="3">
        <v>1.0792400000000001E-2</v>
      </c>
      <c r="N95" s="1">
        <v>3.76</v>
      </c>
      <c r="O95" s="1">
        <v>0.46</v>
      </c>
      <c r="P95">
        <v>6.1498488284202572E-3</v>
      </c>
      <c r="Q95">
        <v>14.68826545424821</v>
      </c>
      <c r="S95" t="s">
        <v>197</v>
      </c>
    </row>
    <row r="96" spans="1:19">
      <c r="A96" t="s">
        <v>439</v>
      </c>
      <c r="B96" t="s">
        <v>147</v>
      </c>
      <c r="C96">
        <v>2.29E-2</v>
      </c>
      <c r="D96">
        <v>6.0239999999999998E-3</v>
      </c>
      <c r="E96">
        <v>1226.3919548687761</v>
      </c>
      <c r="F96">
        <v>97.521773796531079</v>
      </c>
      <c r="G96" s="7">
        <f t="shared" si="4"/>
        <v>5.2542642515596478</v>
      </c>
      <c r="H96" s="7">
        <f t="shared" si="5"/>
        <v>0.41781517546127978</v>
      </c>
      <c r="I96">
        <v>0.20369999999999999</v>
      </c>
      <c r="J96">
        <v>4.6769999999999999E-2</v>
      </c>
      <c r="K96" s="3">
        <v>0.54469999999999996</v>
      </c>
      <c r="L96" s="3">
        <v>2.1614100000000001E-2</v>
      </c>
      <c r="M96" s="3">
        <v>1.3146400000000001E-2</v>
      </c>
      <c r="N96" s="1">
        <v>4.2</v>
      </c>
      <c r="O96" s="1">
        <v>0.92</v>
      </c>
      <c r="P96">
        <v>1.0015117157974301E-2</v>
      </c>
      <c r="Q96">
        <v>17.774746105256035</v>
      </c>
      <c r="S96" t="s">
        <v>297</v>
      </c>
    </row>
    <row r="97" spans="1:19">
      <c r="A97" t="s">
        <v>440</v>
      </c>
      <c r="B97" t="s">
        <v>147</v>
      </c>
      <c r="C97">
        <v>9.5449999999999997E-3</v>
      </c>
      <c r="D97">
        <v>1.0549999999999999E-3</v>
      </c>
      <c r="E97">
        <v>1496.3339817447254</v>
      </c>
      <c r="F97">
        <v>63.543256624143801</v>
      </c>
      <c r="G97" s="7">
        <f t="shared" si="4"/>
        <v>4.3066996744455261</v>
      </c>
      <c r="H97" s="7">
        <f t="shared" si="5"/>
        <v>0.18288812922454589</v>
      </c>
      <c r="I97">
        <v>0.1036</v>
      </c>
      <c r="J97">
        <v>1.1129999999999999E-2</v>
      </c>
      <c r="K97" s="3">
        <v>0.26529999999999998</v>
      </c>
      <c r="L97" s="3">
        <v>3.45978E-3</v>
      </c>
      <c r="M97" s="3">
        <v>2.6475299999999999E-3</v>
      </c>
      <c r="N97" s="1">
        <v>3.99</v>
      </c>
      <c r="O97" s="1">
        <v>0.36</v>
      </c>
      <c r="P97">
        <v>5.6538170823885103E-3</v>
      </c>
      <c r="Q97">
        <v>46.818669966429233</v>
      </c>
      <c r="S97" t="s">
        <v>199</v>
      </c>
    </row>
    <row r="98" spans="1:19">
      <c r="A98" t="s">
        <v>441</v>
      </c>
      <c r="B98" t="s">
        <v>147</v>
      </c>
      <c r="C98">
        <v>0.59470000000000001</v>
      </c>
      <c r="D98">
        <v>6.3270000000000007E-2</v>
      </c>
      <c r="E98">
        <v>166.11295681063123</v>
      </c>
      <c r="F98">
        <v>14.657674860100883</v>
      </c>
      <c r="G98" s="7">
        <f t="shared" si="4"/>
        <v>38.691069754290638</v>
      </c>
      <c r="H98" s="7">
        <f t="shared" si="5"/>
        <v>3.4140691450962106</v>
      </c>
      <c r="I98">
        <v>0.71650000000000003</v>
      </c>
      <c r="J98">
        <v>2.4910000000000002E-2</v>
      </c>
      <c r="K98" s="3">
        <v>0.95320000000000005</v>
      </c>
      <c r="L98" s="3">
        <v>4.5961700000000001E-2</v>
      </c>
      <c r="M98" s="3">
        <v>7.1526899999999997E-3</v>
      </c>
      <c r="N98" s="1">
        <v>5.5</v>
      </c>
      <c r="O98" s="1">
        <v>5</v>
      </c>
      <c r="P98">
        <v>4.1969009826152683E-2</v>
      </c>
      <c r="Q98">
        <v>19.916960986320831</v>
      </c>
      <c r="S98" t="s">
        <v>200</v>
      </c>
    </row>
    <row r="99" spans="1:19">
      <c r="A99" t="s">
        <v>442</v>
      </c>
      <c r="B99" t="s">
        <v>147</v>
      </c>
      <c r="C99">
        <v>9.7999999999999997E-3</v>
      </c>
      <c r="D99">
        <v>1.4989999999999999E-3</v>
      </c>
      <c r="E99">
        <v>1656.7263088137838</v>
      </c>
      <c r="F99">
        <v>82.424604131341823</v>
      </c>
      <c r="G99" s="7">
        <f t="shared" si="4"/>
        <v>3.8898817520751674</v>
      </c>
      <c r="H99" s="7">
        <f t="shared" si="5"/>
        <v>0.19352741718823274</v>
      </c>
      <c r="I99">
        <v>0.1177</v>
      </c>
      <c r="J99">
        <v>1.7319999999999999E-2</v>
      </c>
      <c r="K99" s="3">
        <v>0.27910000000000001</v>
      </c>
      <c r="L99" s="3">
        <v>0</v>
      </c>
      <c r="M99" s="3">
        <v>0</v>
      </c>
      <c r="N99" s="1">
        <v>3.53</v>
      </c>
      <c r="O99" s="1">
        <v>0.39</v>
      </c>
      <c r="P99">
        <v>3.1566515495086924E-3</v>
      </c>
      <c r="Q99">
        <v>24.201390748450418</v>
      </c>
      <c r="S99" t="s">
        <v>301</v>
      </c>
    </row>
    <row r="100" spans="1:19">
      <c r="G100" s="7" t="e">
        <f t="shared" si="4"/>
        <v>#DIV/0!</v>
      </c>
      <c r="H100" s="7" t="e">
        <f t="shared" si="5"/>
        <v>#DIV/0!</v>
      </c>
    </row>
    <row r="101" spans="1:19">
      <c r="A101" t="s">
        <v>639</v>
      </c>
      <c r="B101" t="s">
        <v>146</v>
      </c>
      <c r="C101">
        <v>7.2239999999999999E-2</v>
      </c>
      <c r="D101">
        <v>3.5769999999999999E-3</v>
      </c>
      <c r="E101">
        <v>97.276264591439698</v>
      </c>
      <c r="F101">
        <v>3.8550924313767054</v>
      </c>
      <c r="G101" s="7">
        <f t="shared" ref="G101:G130" si="6">(LN((1/E101)+1))/0.000155125</f>
        <v>65.930830977830425</v>
      </c>
      <c r="H101" s="7">
        <f t="shared" ref="H101:H130" si="7">(F101/E101)*G101</f>
        <v>2.612861920269272</v>
      </c>
      <c r="I101">
        <v>5.0979999999999998E-2</v>
      </c>
      <c r="J101">
        <v>1.2880000000000001E-3</v>
      </c>
      <c r="K101">
        <v>0.86209999999999998</v>
      </c>
      <c r="L101">
        <v>1.3408700000000001E-3</v>
      </c>
      <c r="M101">
        <v>1.9997999999999999E-4</v>
      </c>
      <c r="N101" s="1">
        <v>65.599999999999994</v>
      </c>
      <c r="O101" s="1">
        <v>0.51</v>
      </c>
      <c r="P101">
        <v>0.4619865718799368</v>
      </c>
      <c r="Q101">
        <v>170.74463111305053</v>
      </c>
      <c r="S101" t="s">
        <v>134</v>
      </c>
    </row>
    <row r="102" spans="1:19">
      <c r="A102" t="s">
        <v>640</v>
      </c>
      <c r="B102" t="s">
        <v>146</v>
      </c>
      <c r="C102">
        <v>1.6619999999999999E-2</v>
      </c>
      <c r="D102">
        <v>1.9870000000000001E-3</v>
      </c>
      <c r="E102">
        <v>1621.2710765239947</v>
      </c>
      <c r="F102">
        <v>99.515763549284102</v>
      </c>
      <c r="G102" s="7">
        <f t="shared" si="6"/>
        <v>3.9749225273987516</v>
      </c>
      <c r="H102" s="7">
        <f t="shared" si="7"/>
        <v>0.24398600338410625</v>
      </c>
      <c r="I102">
        <v>0.19539999999999999</v>
      </c>
      <c r="J102">
        <v>2.264E-2</v>
      </c>
      <c r="K102">
        <v>0.31590000000000001</v>
      </c>
      <c r="L102">
        <v>3.8719200000000002E-2</v>
      </c>
      <c r="M102">
        <v>8.5845000000000001E-3</v>
      </c>
      <c r="N102" s="1">
        <v>3.22</v>
      </c>
      <c r="O102" s="1">
        <v>0.46</v>
      </c>
      <c r="P102">
        <v>5.1727883096366507E-3</v>
      </c>
      <c r="Q102">
        <v>37.334413864040144</v>
      </c>
      <c r="S102" t="s">
        <v>135</v>
      </c>
    </row>
    <row r="103" spans="1:19">
      <c r="A103" t="s">
        <v>641</v>
      </c>
      <c r="B103" t="s">
        <v>146</v>
      </c>
      <c r="C103">
        <v>9.3920000000000003E-2</v>
      </c>
      <c r="D103">
        <v>4.4479999999999997E-3</v>
      </c>
      <c r="E103">
        <v>74.460163812360392</v>
      </c>
      <c r="F103">
        <v>3.030523122847073</v>
      </c>
      <c r="G103" s="7">
        <f t="shared" si="6"/>
        <v>85.999142221268244</v>
      </c>
      <c r="H103" s="7">
        <f t="shared" si="7"/>
        <v>3.5001586848953998</v>
      </c>
      <c r="I103">
        <v>5.0729999999999997E-2</v>
      </c>
      <c r="J103">
        <v>1.407E-3</v>
      </c>
      <c r="K103">
        <v>0.81200000000000006</v>
      </c>
      <c r="L103">
        <v>1.3296099999999999E-3</v>
      </c>
      <c r="M103">
        <v>2.3894000000000001E-4</v>
      </c>
      <c r="N103" s="1">
        <v>85.7</v>
      </c>
      <c r="O103" s="1">
        <v>6.9</v>
      </c>
      <c r="P103">
        <v>0.39810426540284366</v>
      </c>
      <c r="Q103">
        <v>79.481345260729981</v>
      </c>
      <c r="S103" t="s">
        <v>136</v>
      </c>
    </row>
    <row r="104" spans="1:19">
      <c r="A104" t="s">
        <v>642</v>
      </c>
      <c r="B104" t="s">
        <v>146</v>
      </c>
      <c r="C104">
        <v>6.8459999999999997E-3</v>
      </c>
      <c r="D104">
        <v>5.5239999999999998E-4</v>
      </c>
      <c r="E104">
        <v>1306.3357282821685</v>
      </c>
      <c r="F104">
        <v>53.70396521102527</v>
      </c>
      <c r="G104" s="7">
        <f t="shared" si="6"/>
        <v>4.9328422518250434</v>
      </c>
      <c r="H104" s="7">
        <f t="shared" si="7"/>
        <v>0.20279104593720984</v>
      </c>
      <c r="I104">
        <v>6.4860000000000001E-2</v>
      </c>
      <c r="J104">
        <v>4.7619999999999997E-3</v>
      </c>
      <c r="K104">
        <v>0.42359999999999998</v>
      </c>
      <c r="L104">
        <v>1.8957500000000001E-3</v>
      </c>
      <c r="M104">
        <v>5.9117999999999996E-4</v>
      </c>
      <c r="N104" s="1">
        <v>4.8099999999999996</v>
      </c>
      <c r="O104" s="1">
        <v>0.4</v>
      </c>
      <c r="P104">
        <v>1.2243285939968405E-2</v>
      </c>
      <c r="Q104">
        <v>315.18249540254965</v>
      </c>
      <c r="S104" t="s">
        <v>137</v>
      </c>
    </row>
    <row r="105" spans="1:19">
      <c r="A105" t="s">
        <v>643</v>
      </c>
      <c r="B105" t="s">
        <v>146</v>
      </c>
      <c r="C105">
        <v>4.1360000000000001E-2</v>
      </c>
      <c r="D105">
        <v>1.6100000000000001E-3</v>
      </c>
      <c r="E105">
        <v>169.00456312320432</v>
      </c>
      <c r="F105">
        <v>5.8981649966100544</v>
      </c>
      <c r="G105" s="7">
        <f t="shared" si="6"/>
        <v>38.031028548887789</v>
      </c>
      <c r="H105" s="7">
        <f t="shared" si="7"/>
        <v>1.3272616858788793</v>
      </c>
      <c r="I105">
        <v>5.0700000000000002E-2</v>
      </c>
      <c r="J105">
        <v>6.1700000000000004E-4</v>
      </c>
      <c r="K105">
        <v>0.95150000000000001</v>
      </c>
      <c r="L105">
        <v>2.6763600000000002E-4</v>
      </c>
      <c r="M105">
        <v>7.3394999999999998E-5</v>
      </c>
      <c r="N105" s="1">
        <v>37.799999999999997</v>
      </c>
      <c r="O105" s="1">
        <v>2.6</v>
      </c>
      <c r="P105">
        <v>0.14129146919431282</v>
      </c>
      <c r="Q105">
        <v>418.16538353645234</v>
      </c>
      <c r="S105" t="s">
        <v>138</v>
      </c>
    </row>
    <row r="106" spans="1:19">
      <c r="A106" t="s">
        <v>644</v>
      </c>
      <c r="B106" t="s">
        <v>146</v>
      </c>
      <c r="C106">
        <v>6.4330000000000003E-3</v>
      </c>
      <c r="D106">
        <v>4.9700000000000005E-4</v>
      </c>
      <c r="E106">
        <v>1400.7564084605688</v>
      </c>
      <c r="F106">
        <v>50.269476375906677</v>
      </c>
      <c r="G106" s="7">
        <f t="shared" si="6"/>
        <v>4.6004531481748332</v>
      </c>
      <c r="H106" s="7">
        <f t="shared" si="7"/>
        <v>0.16509820655027208</v>
      </c>
      <c r="I106">
        <v>6.5350000000000005E-2</v>
      </c>
      <c r="J106">
        <v>4.4920000000000003E-3</v>
      </c>
      <c r="K106">
        <v>0.45669999999999999</v>
      </c>
      <c r="L106">
        <v>1.8341799999999999E-3</v>
      </c>
      <c r="M106">
        <v>5.8047000000000003E-4</v>
      </c>
      <c r="N106" s="1">
        <v>4.49</v>
      </c>
      <c r="O106" s="1">
        <v>0.32</v>
      </c>
      <c r="P106">
        <v>1.304304897314376E-2</v>
      </c>
      <c r="Q106">
        <v>364.67911354923166</v>
      </c>
      <c r="S106" t="s">
        <v>139</v>
      </c>
    </row>
    <row r="107" spans="1:19">
      <c r="A107" t="s">
        <v>645</v>
      </c>
      <c r="B107" t="s">
        <v>146</v>
      </c>
      <c r="C107">
        <v>9.8239999999999994E-2</v>
      </c>
      <c r="D107">
        <v>6.1570000000000001E-3</v>
      </c>
      <c r="E107">
        <v>81.766148814390846</v>
      </c>
      <c r="F107">
        <v>3.4678741937877784</v>
      </c>
      <c r="G107" s="7">
        <f t="shared" si="6"/>
        <v>78.361436067768864</v>
      </c>
      <c r="H107" s="7">
        <f t="shared" si="7"/>
        <v>3.3234731715741379</v>
      </c>
      <c r="I107">
        <v>5.8270000000000002E-2</v>
      </c>
      <c r="J107">
        <v>2.8319999999999999E-3</v>
      </c>
      <c r="K107">
        <v>0.63280000000000003</v>
      </c>
      <c r="L107">
        <v>2.4570899999999999E-3</v>
      </c>
      <c r="M107">
        <v>4.5671999999999998E-4</v>
      </c>
      <c r="N107" s="1">
        <v>77.3</v>
      </c>
      <c r="O107" s="1">
        <v>6.5</v>
      </c>
      <c r="P107">
        <v>0.51500789889415477</v>
      </c>
      <c r="Q107">
        <v>47.539195212417795</v>
      </c>
      <c r="S107" t="s">
        <v>140</v>
      </c>
    </row>
    <row r="108" spans="1:19">
      <c r="A108" t="s">
        <v>646</v>
      </c>
      <c r="B108" t="s">
        <v>146</v>
      </c>
      <c r="C108">
        <v>8.6499999999999994E-2</v>
      </c>
      <c r="D108">
        <v>4.182E-3</v>
      </c>
      <c r="E108">
        <v>89.206066012488847</v>
      </c>
      <c r="F108">
        <v>2.9157094189987438</v>
      </c>
      <c r="G108" s="7">
        <f t="shared" si="6"/>
        <v>71.862263349324607</v>
      </c>
      <c r="H108" s="7">
        <f t="shared" si="7"/>
        <v>2.3488254497049543</v>
      </c>
      <c r="I108">
        <v>5.5980000000000002E-2</v>
      </c>
      <c r="J108">
        <v>1.6850000000000001E-3</v>
      </c>
      <c r="K108">
        <v>0.79100000000000004</v>
      </c>
      <c r="L108">
        <v>1.81189E-3</v>
      </c>
      <c r="M108">
        <v>2.6940999999999998E-4</v>
      </c>
      <c r="N108" s="1">
        <v>71.099999999999994</v>
      </c>
      <c r="O108" s="1">
        <v>4.5999999999999996</v>
      </c>
      <c r="P108">
        <v>0.51727883096366511</v>
      </c>
      <c r="Q108">
        <v>97.559455163170526</v>
      </c>
      <c r="S108" t="s">
        <v>141</v>
      </c>
    </row>
    <row r="109" spans="1:19">
      <c r="A109" t="s">
        <v>647</v>
      </c>
      <c r="B109" t="s">
        <v>146</v>
      </c>
      <c r="C109">
        <v>8.1909999999999997E-2</v>
      </c>
      <c r="D109">
        <v>5.6779999999999999E-3</v>
      </c>
      <c r="E109">
        <v>91.324200913242009</v>
      </c>
      <c r="F109">
        <v>4.246783845207565</v>
      </c>
      <c r="G109" s="7">
        <f t="shared" si="6"/>
        <v>70.204562972910793</v>
      </c>
      <c r="H109" s="7">
        <f t="shared" si="7"/>
        <v>3.2646724626307013</v>
      </c>
      <c r="I109">
        <v>5.4260000000000003E-2</v>
      </c>
      <c r="J109">
        <v>2.4030000000000002E-3</v>
      </c>
      <c r="K109">
        <v>0.77629999999999999</v>
      </c>
      <c r="L109">
        <v>1.4428100000000001E-3</v>
      </c>
      <c r="M109">
        <v>3.4410000000000002E-4</v>
      </c>
      <c r="N109" s="1">
        <v>69.599999999999994</v>
      </c>
      <c r="O109" s="1">
        <v>6.4</v>
      </c>
      <c r="P109">
        <v>0.30746445497630337</v>
      </c>
      <c r="Q109">
        <v>71.502041579652783</v>
      </c>
      <c r="S109" t="s">
        <v>43</v>
      </c>
    </row>
    <row r="110" spans="1:19">
      <c r="A110" t="s">
        <v>648</v>
      </c>
      <c r="B110" t="s">
        <v>146</v>
      </c>
      <c r="C110">
        <v>0.17960000000000001</v>
      </c>
      <c r="D110">
        <v>1.447E-2</v>
      </c>
      <c r="E110">
        <v>58.719906048150321</v>
      </c>
      <c r="F110">
        <v>3.435959270521538</v>
      </c>
      <c r="G110" s="7">
        <f t="shared" si="6"/>
        <v>108.85811543222439</v>
      </c>
      <c r="H110" s="7">
        <f t="shared" si="7"/>
        <v>6.3697658266712631</v>
      </c>
      <c r="I110">
        <v>7.6469999999999996E-2</v>
      </c>
      <c r="J110">
        <v>4.228E-3</v>
      </c>
      <c r="K110">
        <v>0.72729999999999995</v>
      </c>
      <c r="L110">
        <v>7.2458699999999997E-3</v>
      </c>
      <c r="M110">
        <v>1.2356999999999999E-3</v>
      </c>
      <c r="N110" s="1">
        <v>105</v>
      </c>
      <c r="O110" s="1">
        <v>12</v>
      </c>
      <c r="P110">
        <v>0.92871248025276465</v>
      </c>
      <c r="Q110">
        <v>14.755477978991989</v>
      </c>
      <c r="S110" t="s">
        <v>44</v>
      </c>
    </row>
    <row r="111" spans="1:19">
      <c r="A111" t="s">
        <v>649</v>
      </c>
      <c r="B111" t="s">
        <v>146</v>
      </c>
      <c r="C111">
        <v>0.15210000000000001</v>
      </c>
      <c r="D111">
        <v>1.1820000000000001E-2</v>
      </c>
      <c r="E111">
        <v>53.879310344827587</v>
      </c>
      <c r="F111">
        <v>3.4748671596313909</v>
      </c>
      <c r="G111" s="7">
        <f t="shared" si="6"/>
        <v>118.54868726247133</v>
      </c>
      <c r="H111" s="7">
        <f t="shared" si="7"/>
        <v>7.6456238498479623</v>
      </c>
      <c r="I111">
        <v>5.9409999999999998E-2</v>
      </c>
      <c r="J111">
        <v>3.3509999999999998E-3</v>
      </c>
      <c r="K111">
        <v>0.69989999999999997</v>
      </c>
      <c r="L111">
        <v>6.7268199999999997E-3</v>
      </c>
      <c r="M111">
        <v>1.1887E-3</v>
      </c>
      <c r="N111" s="1">
        <v>117</v>
      </c>
      <c r="O111" s="1">
        <v>15</v>
      </c>
      <c r="P111">
        <v>0.93809241706161139</v>
      </c>
      <c r="Q111">
        <v>15.883801390144313</v>
      </c>
      <c r="S111" t="s">
        <v>45</v>
      </c>
    </row>
    <row r="112" spans="1:19">
      <c r="A112" t="s">
        <v>650</v>
      </c>
      <c r="B112" t="s">
        <v>146</v>
      </c>
      <c r="C112">
        <v>7.2720000000000007E-2</v>
      </c>
      <c r="D112">
        <v>7.6889999999999997E-3</v>
      </c>
      <c r="E112">
        <v>112.89230074508919</v>
      </c>
      <c r="F112">
        <v>5.1870813279805041</v>
      </c>
      <c r="G112" s="7">
        <f t="shared" si="6"/>
        <v>56.850914218807517</v>
      </c>
      <c r="H112" s="7">
        <f t="shared" si="7"/>
        <v>2.6121384157885146</v>
      </c>
      <c r="I112">
        <v>5.9549999999999999E-2</v>
      </c>
      <c r="J112">
        <v>4.2929999999999999E-3</v>
      </c>
      <c r="K112">
        <v>0.83299999999999996</v>
      </c>
      <c r="L112">
        <v>5.02383E-3</v>
      </c>
      <c r="M112">
        <v>1.0556000000000001E-3</v>
      </c>
      <c r="N112" s="1">
        <v>56</v>
      </c>
      <c r="O112" s="1">
        <v>5.0999999999999996</v>
      </c>
      <c r="P112">
        <v>0.48597946287519755</v>
      </c>
      <c r="Q112">
        <v>33.463204812517532</v>
      </c>
      <c r="S112" t="s">
        <v>46</v>
      </c>
    </row>
    <row r="113" spans="1:19">
      <c r="A113" t="s">
        <v>651</v>
      </c>
      <c r="B113" t="s">
        <v>146</v>
      </c>
      <c r="C113">
        <v>9.6139999999999993E-3</v>
      </c>
      <c r="D113">
        <v>1.108E-3</v>
      </c>
      <c r="E113">
        <v>1216.9891687963977</v>
      </c>
      <c r="F113">
        <v>76.570938331232526</v>
      </c>
      <c r="G113" s="7">
        <f t="shared" si="6"/>
        <v>5.2948434448078281</v>
      </c>
      <c r="H113" s="7">
        <f t="shared" si="7"/>
        <v>0.33314276024895306</v>
      </c>
      <c r="I113">
        <v>8.4860000000000005E-2</v>
      </c>
      <c r="J113">
        <v>7.1339999999999997E-3</v>
      </c>
      <c r="K113">
        <v>0.70189999999999997</v>
      </c>
      <c r="L113">
        <v>4.1704400000000001E-3</v>
      </c>
      <c r="M113">
        <v>1.6515E-3</v>
      </c>
      <c r="N113" s="1">
        <v>5.03</v>
      </c>
      <c r="O113" s="1">
        <v>0.63</v>
      </c>
      <c r="P113">
        <v>5.023696682464455E-3</v>
      </c>
      <c r="Q113">
        <v>154.34965558083721</v>
      </c>
      <c r="S113" t="s">
        <v>145</v>
      </c>
    </row>
    <row r="114" spans="1:19">
      <c r="A114" t="s">
        <v>652</v>
      </c>
      <c r="B114" t="s">
        <v>146</v>
      </c>
      <c r="C114">
        <v>5.901E-2</v>
      </c>
      <c r="D114">
        <v>2.5769999999999999E-3</v>
      </c>
      <c r="E114">
        <v>115.51345731777752</v>
      </c>
      <c r="F114">
        <v>3.9763209288087906</v>
      </c>
      <c r="G114" s="7">
        <f t="shared" si="6"/>
        <v>55.56643380117287</v>
      </c>
      <c r="H114" s="7">
        <f t="shared" si="7"/>
        <v>1.9127639219994819</v>
      </c>
      <c r="I114">
        <v>4.9430000000000002E-2</v>
      </c>
      <c r="J114">
        <v>1.4009999999999999E-3</v>
      </c>
      <c r="K114">
        <v>0.76139999999999997</v>
      </c>
      <c r="L114">
        <v>7.5345499999999999E-4</v>
      </c>
      <c r="M114">
        <v>1.5417E-4</v>
      </c>
      <c r="N114" s="1">
        <v>55.4</v>
      </c>
      <c r="O114" s="1">
        <v>3.8</v>
      </c>
      <c r="P114">
        <v>6.7347946287519764E-2</v>
      </c>
      <c r="Q114">
        <v>173.73686999345449</v>
      </c>
      <c r="S114" t="s">
        <v>92</v>
      </c>
    </row>
    <row r="115" spans="1:19">
      <c r="A115" t="s">
        <v>653</v>
      </c>
      <c r="B115" t="s">
        <v>146</v>
      </c>
      <c r="C115">
        <v>1.5189999999999999</v>
      </c>
      <c r="D115">
        <v>5.0880000000000002E-2</v>
      </c>
      <c r="E115">
        <v>7.5414781297134237</v>
      </c>
      <c r="F115">
        <v>0.25672875020758973</v>
      </c>
      <c r="G115" s="7">
        <f t="shared" si="6"/>
        <v>802.68090054838115</v>
      </c>
      <c r="H115" s="7">
        <f t="shared" si="7"/>
        <v>27.325049661202055</v>
      </c>
      <c r="I115">
        <v>8.3119999999999999E-2</v>
      </c>
      <c r="J115">
        <v>5.1029999999999999E-4</v>
      </c>
      <c r="K115">
        <v>0.98360000000000003</v>
      </c>
      <c r="L115">
        <v>8.0563799999999996E-5</v>
      </c>
      <c r="M115">
        <v>1.7252999999999999E-5</v>
      </c>
      <c r="N115" s="1">
        <v>785</v>
      </c>
      <c r="O115" s="1">
        <v>51</v>
      </c>
      <c r="P115">
        <v>0.21702211690363352</v>
      </c>
      <c r="Q115">
        <v>101.92313686375964</v>
      </c>
      <c r="S115" t="s">
        <v>148</v>
      </c>
    </row>
    <row r="116" spans="1:19">
      <c r="A116" t="s">
        <v>654</v>
      </c>
      <c r="B116" t="s">
        <v>146</v>
      </c>
      <c r="C116">
        <v>2.137</v>
      </c>
      <c r="D116">
        <v>0.10390000000000001</v>
      </c>
      <c r="E116">
        <v>5.4259359739555073</v>
      </c>
      <c r="F116">
        <v>0.24909844967790315</v>
      </c>
      <c r="G116" s="7">
        <f t="shared" si="6"/>
        <v>1090.4230958601918</v>
      </c>
      <c r="H116" s="7">
        <f t="shared" si="7"/>
        <v>50.060064102404141</v>
      </c>
      <c r="I116">
        <v>8.4129999999999996E-2</v>
      </c>
      <c r="J116">
        <v>6.0470000000000001E-4</v>
      </c>
      <c r="K116">
        <v>0.99009999999999998</v>
      </c>
      <c r="L116">
        <v>1.12137E-4</v>
      </c>
      <c r="M116">
        <v>1.7934000000000001E-5</v>
      </c>
      <c r="N116" s="1">
        <v>1079</v>
      </c>
      <c r="O116" s="1">
        <v>95</v>
      </c>
      <c r="P116">
        <v>0.41015007898894157</v>
      </c>
      <c r="Q116">
        <v>104.29199264407941</v>
      </c>
      <c r="S116" t="s">
        <v>149</v>
      </c>
    </row>
    <row r="117" spans="1:19">
      <c r="A117" t="s">
        <v>655</v>
      </c>
      <c r="B117" t="s">
        <v>146</v>
      </c>
      <c r="C117">
        <v>2.137</v>
      </c>
      <c r="D117">
        <v>9.6449999999999994E-2</v>
      </c>
      <c r="E117">
        <v>5.417118093174432</v>
      </c>
      <c r="F117">
        <v>0.25677022380973069</v>
      </c>
      <c r="G117" s="7">
        <f t="shared" si="6"/>
        <v>1092.0558572810808</v>
      </c>
      <c r="H117" s="7">
        <f t="shared" si="7"/>
        <v>51.763211003301507</v>
      </c>
      <c r="I117">
        <v>8.3979999999999999E-2</v>
      </c>
      <c r="J117">
        <v>6.6049999999999995E-4</v>
      </c>
      <c r="K117">
        <v>0.98680000000000001</v>
      </c>
      <c r="L117">
        <v>1.57529E-4</v>
      </c>
      <c r="M117">
        <v>2.2347000000000001E-5</v>
      </c>
      <c r="N117" s="1">
        <v>1081</v>
      </c>
      <c r="O117" s="1">
        <v>98</v>
      </c>
      <c r="P117">
        <v>0.42199842022116907</v>
      </c>
      <c r="Q117">
        <v>104.47900757410467</v>
      </c>
      <c r="S117" t="s">
        <v>150</v>
      </c>
    </row>
    <row r="118" spans="1:19">
      <c r="A118" t="s">
        <v>656</v>
      </c>
      <c r="B118" t="s">
        <v>146</v>
      </c>
      <c r="C118">
        <v>8.3710000000000007E-2</v>
      </c>
      <c r="D118">
        <v>5.9930000000000001E-3</v>
      </c>
      <c r="E118">
        <v>81.10300081103</v>
      </c>
      <c r="F118">
        <v>4.7484392770058843</v>
      </c>
      <c r="G118" s="7">
        <f t="shared" si="6"/>
        <v>78.998257321508234</v>
      </c>
      <c r="H118" s="7">
        <f t="shared" si="7"/>
        <v>4.6252102157661632</v>
      </c>
      <c r="I118">
        <v>4.9239999999999999E-2</v>
      </c>
      <c r="J118">
        <v>1.4779999999999999E-3</v>
      </c>
      <c r="K118">
        <v>0.91279999999999994</v>
      </c>
      <c r="L118">
        <v>1.11568E-3</v>
      </c>
      <c r="M118">
        <v>2.3126000000000001E-4</v>
      </c>
      <c r="N118" s="1">
        <v>78.8</v>
      </c>
      <c r="O118" s="1">
        <v>9.1</v>
      </c>
      <c r="P118">
        <v>0.30045418641390209</v>
      </c>
      <c r="Q118">
        <v>84.406071751394819</v>
      </c>
      <c r="S118" t="s">
        <v>151</v>
      </c>
    </row>
    <row r="119" spans="1:19">
      <c r="A119" t="s">
        <v>657</v>
      </c>
      <c r="B119" t="s">
        <v>146</v>
      </c>
      <c r="C119">
        <v>9.0579999999999994E-2</v>
      </c>
      <c r="D119">
        <v>4.7600000000000003E-3</v>
      </c>
      <c r="E119">
        <v>78.308535630383716</v>
      </c>
      <c r="F119">
        <v>2.948374622638096</v>
      </c>
      <c r="G119" s="7">
        <f t="shared" si="6"/>
        <v>81.799523713056814</v>
      </c>
      <c r="H119" s="7">
        <f t="shared" si="7"/>
        <v>3.0798129210053022</v>
      </c>
      <c r="I119">
        <v>5.144E-2</v>
      </c>
      <c r="J119">
        <v>1.6000000000000001E-3</v>
      </c>
      <c r="K119">
        <v>0.81159999999999999</v>
      </c>
      <c r="L119">
        <v>8.91222E-4</v>
      </c>
      <c r="M119">
        <v>2.0294000000000001E-4</v>
      </c>
      <c r="N119" s="1">
        <v>81.400000000000006</v>
      </c>
      <c r="O119" s="1">
        <v>6</v>
      </c>
      <c r="P119">
        <v>7.3617693522906799E-2</v>
      </c>
      <c r="Q119">
        <v>72.125424679736938</v>
      </c>
      <c r="S119" t="s">
        <v>152</v>
      </c>
    </row>
    <row r="120" spans="1:19">
      <c r="A120" t="s">
        <v>658</v>
      </c>
      <c r="B120" t="s">
        <v>146</v>
      </c>
      <c r="C120">
        <v>0.34210000000000002</v>
      </c>
      <c r="D120">
        <v>1.201E-2</v>
      </c>
      <c r="E120">
        <v>28.224668360146765</v>
      </c>
      <c r="F120">
        <v>0.93205932772711575</v>
      </c>
      <c r="G120" s="7">
        <f t="shared" si="6"/>
        <v>224.44350926905673</v>
      </c>
      <c r="H120" s="7">
        <f t="shared" si="7"/>
        <v>7.411767029206783</v>
      </c>
      <c r="I120">
        <v>7.0019999999999999E-2</v>
      </c>
      <c r="J120">
        <v>8.185E-4</v>
      </c>
      <c r="K120">
        <v>0.94299999999999995</v>
      </c>
      <c r="L120">
        <v>4.2159700000000001E-4</v>
      </c>
      <c r="M120">
        <v>6.1907000000000002E-5</v>
      </c>
      <c r="N120" s="1">
        <v>219</v>
      </c>
      <c r="O120" s="1">
        <v>14</v>
      </c>
      <c r="P120">
        <v>0.1174960505529226</v>
      </c>
      <c r="Q120">
        <v>127.7311972072437</v>
      </c>
      <c r="S120" t="s">
        <v>153</v>
      </c>
    </row>
    <row r="121" spans="1:19">
      <c r="A121" t="s">
        <v>659</v>
      </c>
      <c r="B121" t="s">
        <v>146</v>
      </c>
      <c r="C121">
        <v>0.11509999999999999</v>
      </c>
      <c r="D121">
        <v>5.1710000000000002E-3</v>
      </c>
      <c r="E121">
        <v>64.226075786769428</v>
      </c>
      <c r="F121">
        <v>2.4077559689619341</v>
      </c>
      <c r="G121" s="7">
        <f t="shared" si="6"/>
        <v>99.597300392838193</v>
      </c>
      <c r="H121" s="7">
        <f t="shared" si="7"/>
        <v>3.7337793345728745</v>
      </c>
      <c r="I121">
        <v>5.3609999999999998E-2</v>
      </c>
      <c r="J121">
        <v>1.418E-3</v>
      </c>
      <c r="K121">
        <v>0.80900000000000005</v>
      </c>
      <c r="L121">
        <v>9.0643500000000003E-4</v>
      </c>
      <c r="M121">
        <v>1.9179000000000001E-4</v>
      </c>
      <c r="N121" s="1">
        <v>98.9</v>
      </c>
      <c r="O121" s="1">
        <v>7.3</v>
      </c>
      <c r="P121">
        <v>0.31970774091627174</v>
      </c>
      <c r="Q121">
        <v>77.673534270485931</v>
      </c>
      <c r="S121" t="s">
        <v>154</v>
      </c>
    </row>
    <row r="122" spans="1:19">
      <c r="A122" t="s">
        <v>660</v>
      </c>
      <c r="B122" t="s">
        <v>146</v>
      </c>
      <c r="C122">
        <v>0.18559999999999999</v>
      </c>
      <c r="D122">
        <v>8.7720000000000003E-3</v>
      </c>
      <c r="E122">
        <v>40.064102564102562</v>
      </c>
      <c r="F122">
        <v>1.6340246959237343</v>
      </c>
      <c r="G122" s="7">
        <f t="shared" si="6"/>
        <v>158.92723570447293</v>
      </c>
      <c r="H122" s="7">
        <f t="shared" si="7"/>
        <v>6.4818880587801866</v>
      </c>
      <c r="I122">
        <v>5.3929999999999999E-2</v>
      </c>
      <c r="J122">
        <v>1.062E-3</v>
      </c>
      <c r="K122">
        <v>0.91020000000000001</v>
      </c>
      <c r="L122">
        <v>6.0846999999999995E-4</v>
      </c>
      <c r="M122">
        <v>1.1959999999999999E-4</v>
      </c>
      <c r="N122" s="1">
        <v>158</v>
      </c>
      <c r="O122" s="1">
        <v>13</v>
      </c>
      <c r="P122">
        <v>1.0130331753554502</v>
      </c>
      <c r="Q122">
        <v>80.478758220864634</v>
      </c>
      <c r="S122" t="s">
        <v>155</v>
      </c>
    </row>
    <row r="123" spans="1:19">
      <c r="A123" t="s">
        <v>661</v>
      </c>
      <c r="B123" t="s">
        <v>146</v>
      </c>
      <c r="C123">
        <v>1.05</v>
      </c>
      <c r="D123">
        <v>4.3490000000000001E-2</v>
      </c>
      <c r="E123">
        <v>12.223444566678891</v>
      </c>
      <c r="F123">
        <v>0.51054284420415319</v>
      </c>
      <c r="G123" s="7">
        <f t="shared" si="6"/>
        <v>506.9174166981673</v>
      </c>
      <c r="H123" s="7">
        <f t="shared" si="7"/>
        <v>21.172678313869181</v>
      </c>
      <c r="I123">
        <v>9.3130000000000004E-2</v>
      </c>
      <c r="J123">
        <v>5.7700000000000004E-4</v>
      </c>
      <c r="K123">
        <v>0.9889</v>
      </c>
      <c r="L123">
        <v>1.26654E-4</v>
      </c>
      <c r="M123">
        <v>2.0230000000000001E-5</v>
      </c>
      <c r="N123" s="1">
        <v>484</v>
      </c>
      <c r="O123" s="1">
        <v>39</v>
      </c>
      <c r="P123">
        <v>9.2565165876777253E-2</v>
      </c>
      <c r="Q123">
        <v>217.06199544930337</v>
      </c>
      <c r="S123" t="s">
        <v>156</v>
      </c>
    </row>
    <row r="124" spans="1:19">
      <c r="A124" t="s">
        <v>662</v>
      </c>
      <c r="B124" t="s">
        <v>146</v>
      </c>
      <c r="C124">
        <v>0.1148</v>
      </c>
      <c r="D124">
        <v>8.6250000000000007E-3</v>
      </c>
      <c r="E124">
        <v>59.665871121718375</v>
      </c>
      <c r="F124">
        <v>3.3239871041974012</v>
      </c>
      <c r="G124" s="7">
        <f t="shared" si="6"/>
        <v>107.14650131336721</v>
      </c>
      <c r="H124" s="7">
        <f t="shared" si="7"/>
        <v>5.969134145363423</v>
      </c>
      <c r="I124">
        <v>4.9689999999999998E-2</v>
      </c>
      <c r="J124">
        <v>1.7669999999999999E-3</v>
      </c>
      <c r="K124">
        <v>0.89390000000000003</v>
      </c>
      <c r="L124">
        <v>5.5294700000000003E-4</v>
      </c>
      <c r="M124">
        <v>1.7490999999999999E-4</v>
      </c>
      <c r="N124" s="1">
        <v>107</v>
      </c>
      <c r="O124" s="1">
        <v>12</v>
      </c>
      <c r="P124">
        <v>0.36394154818325436</v>
      </c>
      <c r="Q124">
        <v>63.148708038525079</v>
      </c>
      <c r="S124" t="s">
        <v>157</v>
      </c>
    </row>
    <row r="125" spans="1:19">
      <c r="A125" t="s">
        <v>663</v>
      </c>
      <c r="B125" t="s">
        <v>146</v>
      </c>
      <c r="C125">
        <v>9.5589999999999994E-2</v>
      </c>
      <c r="D125">
        <v>4.3359999999999996E-3</v>
      </c>
      <c r="E125">
        <v>77.101002313030065</v>
      </c>
      <c r="F125">
        <v>3.3301450652089</v>
      </c>
      <c r="G125" s="7">
        <f t="shared" si="6"/>
        <v>83.072424322820339</v>
      </c>
      <c r="H125" s="7">
        <f t="shared" si="7"/>
        <v>3.5880626141591323</v>
      </c>
      <c r="I125">
        <v>5.3449999999999998E-2</v>
      </c>
      <c r="J125">
        <v>1.7719999999999999E-3</v>
      </c>
      <c r="K125">
        <v>0.7208</v>
      </c>
      <c r="L125">
        <v>5.1024399999999998E-4</v>
      </c>
      <c r="M125">
        <v>1.2642E-4</v>
      </c>
      <c r="N125" s="1">
        <v>82.5</v>
      </c>
      <c r="O125" s="1">
        <v>7</v>
      </c>
      <c r="P125">
        <v>0.42338072669826227</v>
      </c>
      <c r="Q125">
        <v>129.35199326746252</v>
      </c>
      <c r="S125" t="s">
        <v>158</v>
      </c>
    </row>
    <row r="126" spans="1:19">
      <c r="A126" t="s">
        <v>664</v>
      </c>
      <c r="B126" t="s">
        <v>146</v>
      </c>
      <c r="C126">
        <v>9.6699999999999994E-2</v>
      </c>
      <c r="D126">
        <v>4.5869999999999999E-3</v>
      </c>
      <c r="E126">
        <v>74.794315632011973</v>
      </c>
      <c r="F126">
        <v>3.2093866026989732</v>
      </c>
      <c r="G126" s="7">
        <f t="shared" si="6"/>
        <v>85.61747175448383</v>
      </c>
      <c r="H126" s="7">
        <f t="shared" si="7"/>
        <v>3.6738028081935212</v>
      </c>
      <c r="I126">
        <v>5.2470000000000003E-2</v>
      </c>
      <c r="J126">
        <v>1.505E-3</v>
      </c>
      <c r="K126">
        <v>0.80289999999999995</v>
      </c>
      <c r="L126">
        <v>5.2618900000000004E-4</v>
      </c>
      <c r="M126">
        <v>1.1769000000000001E-4</v>
      </c>
      <c r="N126" s="1">
        <v>85.1</v>
      </c>
      <c r="O126" s="1">
        <v>7.2</v>
      </c>
      <c r="P126">
        <v>2.8929699842022118E-2</v>
      </c>
      <c r="Q126">
        <v>148.92622261010504</v>
      </c>
      <c r="S126" t="s">
        <v>159</v>
      </c>
    </row>
    <row r="127" spans="1:19">
      <c r="A127" t="s">
        <v>665</v>
      </c>
      <c r="B127" t="s">
        <v>146</v>
      </c>
      <c r="C127">
        <v>6.417E-3</v>
      </c>
      <c r="D127">
        <v>4.9149999999999997E-4</v>
      </c>
      <c r="E127">
        <v>1441.753171856978</v>
      </c>
      <c r="F127">
        <v>57.05900312496258</v>
      </c>
      <c r="G127" s="7">
        <f t="shared" si="6"/>
        <v>4.4696829697859872</v>
      </c>
      <c r="H127" s="7">
        <f t="shared" si="7"/>
        <v>0.17689272998936756</v>
      </c>
      <c r="I127">
        <v>6.7100000000000007E-2</v>
      </c>
      <c r="J127">
        <v>5.1700000000000001E-3</v>
      </c>
      <c r="K127">
        <v>0.24709999999999999</v>
      </c>
      <c r="L127">
        <v>2.59545E-3</v>
      </c>
      <c r="M127">
        <v>7.8339999999999996E-4</v>
      </c>
      <c r="N127" s="1">
        <v>4.3499999999999996</v>
      </c>
      <c r="O127" s="1">
        <v>0.35</v>
      </c>
      <c r="P127">
        <v>1.0949842022116903E-2</v>
      </c>
      <c r="Q127">
        <v>285.94582800860269</v>
      </c>
      <c r="S127" t="s">
        <v>160</v>
      </c>
    </row>
    <row r="128" spans="1:19">
      <c r="A128" t="s">
        <v>666</v>
      </c>
      <c r="B128" t="s">
        <v>146</v>
      </c>
      <c r="C128">
        <v>4.6759999999999996E-3</v>
      </c>
      <c r="D128">
        <v>2.7690000000000001E-4</v>
      </c>
      <c r="E128">
        <v>1697.2165648336727</v>
      </c>
      <c r="F128">
        <v>56.919550782609257</v>
      </c>
      <c r="G128" s="7">
        <f t="shared" si="6"/>
        <v>3.7971087176890657</v>
      </c>
      <c r="H128" s="7">
        <f t="shared" si="7"/>
        <v>0.12734363248733188</v>
      </c>
      <c r="I128">
        <v>5.7570000000000003E-2</v>
      </c>
      <c r="J128">
        <v>2.65E-3</v>
      </c>
      <c r="K128">
        <v>0.63219999999999998</v>
      </c>
      <c r="L128">
        <v>5.2117600000000002E-3</v>
      </c>
      <c r="M128">
        <v>7.5469999999999997E-4</v>
      </c>
      <c r="N128" s="1">
        <v>3.74</v>
      </c>
      <c r="O128" s="1">
        <v>0.25</v>
      </c>
      <c r="P128">
        <v>0.3356042654028436</v>
      </c>
      <c r="Q128">
        <v>720.00748059720104</v>
      </c>
      <c r="S128" t="s">
        <v>161</v>
      </c>
    </row>
    <row r="129" spans="1:19">
      <c r="A129" t="s">
        <v>667</v>
      </c>
      <c r="B129" t="s">
        <v>146</v>
      </c>
      <c r="C129">
        <v>0.1678</v>
      </c>
      <c r="D129">
        <v>1.1140000000000001E-2</v>
      </c>
      <c r="E129">
        <v>53.7345513164965</v>
      </c>
      <c r="F129">
        <v>2.1257053562173414</v>
      </c>
      <c r="G129" s="7">
        <f t="shared" si="6"/>
        <v>118.86512694023112</v>
      </c>
      <c r="H129" s="7">
        <f t="shared" si="7"/>
        <v>4.7022303306500888</v>
      </c>
      <c r="I129">
        <v>6.54E-2</v>
      </c>
      <c r="J129">
        <v>3.6410000000000001E-3</v>
      </c>
      <c r="K129">
        <v>0.54720000000000002</v>
      </c>
      <c r="L129">
        <v>1.7109899999999999E-3</v>
      </c>
      <c r="M129">
        <v>3.2951999999999998E-4</v>
      </c>
      <c r="N129" s="1">
        <v>116.3</v>
      </c>
      <c r="O129" s="1">
        <v>9.1</v>
      </c>
      <c r="P129">
        <v>0.60989336492891</v>
      </c>
      <c r="Q129">
        <v>37.353115357042668</v>
      </c>
      <c r="S129" t="s">
        <v>94</v>
      </c>
    </row>
    <row r="130" spans="1:19">
      <c r="A130" t="s">
        <v>668</v>
      </c>
      <c r="B130" t="s">
        <v>146</v>
      </c>
      <c r="C130">
        <v>6.1630000000000001E-3</v>
      </c>
      <c r="D130">
        <v>3.1300000000000002E-4</v>
      </c>
      <c r="E130">
        <v>1289.3243940175348</v>
      </c>
      <c r="F130">
        <v>42.390113521721425</v>
      </c>
      <c r="G130" s="7">
        <f t="shared" si="6"/>
        <v>4.9979009041211908</v>
      </c>
      <c r="H130" s="7">
        <f t="shared" si="7"/>
        <v>0.16431984664142646</v>
      </c>
      <c r="I130">
        <v>5.7630000000000001E-2</v>
      </c>
      <c r="J130">
        <v>2.2790000000000002E-3</v>
      </c>
      <c r="K130">
        <v>0.62780000000000002</v>
      </c>
      <c r="L130">
        <v>1.2525699999999999E-3</v>
      </c>
      <c r="M130">
        <v>3.1629999999999999E-4</v>
      </c>
      <c r="N130" s="1">
        <v>4.92</v>
      </c>
      <c r="O130" s="1">
        <v>0.32</v>
      </c>
      <c r="P130">
        <v>1.2401263823064772E-2</v>
      </c>
      <c r="Q130">
        <v>739.33235669980979</v>
      </c>
      <c r="S130" t="s">
        <v>95</v>
      </c>
    </row>
  </sheetData>
  <phoneticPr fontId="8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BB225"/>
  <sheetViews>
    <sheetView workbookViewId="0">
      <selection activeCell="I3" sqref="I3"/>
    </sheetView>
  </sheetViews>
  <sheetFormatPr baseColWidth="10" defaultColWidth="11" defaultRowHeight="13"/>
  <cols>
    <col min="1" max="1" width="10.7109375" style="17" customWidth="1"/>
    <col min="2" max="2" width="10.7109375" style="15" customWidth="1"/>
    <col min="3" max="3" width="10.7109375" style="18" customWidth="1"/>
    <col min="4" max="5" width="10.7109375" style="14" customWidth="1"/>
    <col min="6" max="8" width="10.7109375" style="15" customWidth="1"/>
    <col min="9" max="9" width="8.7109375" customWidth="1"/>
    <col min="10" max="10" width="10.7109375" style="15" customWidth="1"/>
    <col min="11" max="11" width="11" style="16"/>
    <col min="35" max="35" width="40" customWidth="1"/>
  </cols>
  <sheetData>
    <row r="1" spans="1:54">
      <c r="A1" s="11"/>
      <c r="B1" s="12" t="s">
        <v>47</v>
      </c>
      <c r="C1" s="13" t="s">
        <v>47</v>
      </c>
      <c r="D1" s="14" t="s">
        <v>48</v>
      </c>
      <c r="E1" s="14" t="s">
        <v>266</v>
      </c>
      <c r="F1" s="14" t="s">
        <v>49</v>
      </c>
      <c r="G1" s="14" t="s">
        <v>266</v>
      </c>
      <c r="H1" s="15" t="s">
        <v>50</v>
      </c>
      <c r="I1" s="28" t="s">
        <v>271</v>
      </c>
      <c r="J1" s="15" t="s">
        <v>51</v>
      </c>
      <c r="K1" s="16" t="s">
        <v>52</v>
      </c>
      <c r="L1" t="s">
        <v>52</v>
      </c>
      <c r="M1" t="s">
        <v>52</v>
      </c>
      <c r="N1" t="s">
        <v>52</v>
      </c>
      <c r="O1" t="s">
        <v>53</v>
      </c>
      <c r="P1" t="s">
        <v>53</v>
      </c>
      <c r="W1" t="s">
        <v>395</v>
      </c>
      <c r="X1" t="s">
        <v>54</v>
      </c>
      <c r="Y1" t="s">
        <v>54</v>
      </c>
      <c r="Z1" t="s">
        <v>55</v>
      </c>
      <c r="AA1" t="s">
        <v>55</v>
      </c>
      <c r="AB1" t="s">
        <v>55</v>
      </c>
      <c r="AC1" t="s">
        <v>55</v>
      </c>
      <c r="AD1" t="s">
        <v>56</v>
      </c>
      <c r="AE1" t="s">
        <v>56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</row>
    <row r="2" spans="1:54">
      <c r="B2" s="15" t="s">
        <v>53</v>
      </c>
      <c r="C2" s="18" t="s">
        <v>53</v>
      </c>
      <c r="H2" s="15" t="s">
        <v>270</v>
      </c>
      <c r="K2" s="16" t="s">
        <v>263</v>
      </c>
      <c r="L2" t="s">
        <v>263</v>
      </c>
      <c r="M2" t="s">
        <v>265</v>
      </c>
      <c r="N2" t="s">
        <v>265</v>
      </c>
      <c r="O2" t="s">
        <v>61</v>
      </c>
      <c r="P2" t="s">
        <v>61</v>
      </c>
      <c r="Q2" t="s">
        <v>264</v>
      </c>
      <c r="R2" t="s">
        <v>264</v>
      </c>
      <c r="S2" t="s">
        <v>264</v>
      </c>
      <c r="T2" t="s">
        <v>264</v>
      </c>
      <c r="U2" t="s">
        <v>62</v>
      </c>
      <c r="V2" t="s">
        <v>62</v>
      </c>
      <c r="W2" t="s">
        <v>396</v>
      </c>
      <c r="X2" t="s">
        <v>63</v>
      </c>
      <c r="Y2" t="s">
        <v>63</v>
      </c>
      <c r="Z2" t="s">
        <v>64</v>
      </c>
      <c r="AA2" t="s">
        <v>64</v>
      </c>
      <c r="AB2" t="s">
        <v>65</v>
      </c>
      <c r="AC2" t="s">
        <v>65</v>
      </c>
      <c r="AD2" t="s">
        <v>53</v>
      </c>
      <c r="AE2" t="s">
        <v>52</v>
      </c>
      <c r="AF2" t="s">
        <v>66</v>
      </c>
      <c r="AH2" t="s">
        <v>67</v>
      </c>
    </row>
    <row r="3" spans="1:54">
      <c r="B3" s="15" t="s">
        <v>61</v>
      </c>
      <c r="C3" s="18" t="s">
        <v>61</v>
      </c>
      <c r="I3" s="29" t="s">
        <v>68</v>
      </c>
      <c r="Q3" t="s">
        <v>267</v>
      </c>
      <c r="R3" t="s">
        <v>267</v>
      </c>
      <c r="S3" t="s">
        <v>265</v>
      </c>
      <c r="T3" t="s">
        <v>265</v>
      </c>
      <c r="U3" t="s">
        <v>61</v>
      </c>
      <c r="V3" t="s">
        <v>61</v>
      </c>
      <c r="W3" t="s">
        <v>397</v>
      </c>
      <c r="AD3" t="s">
        <v>69</v>
      </c>
      <c r="AE3" t="s">
        <v>69</v>
      </c>
      <c r="AF3" t="s">
        <v>69</v>
      </c>
    </row>
    <row r="5" spans="1:54">
      <c r="A5" s="19" t="s">
        <v>70</v>
      </c>
    </row>
    <row r="6" spans="1:54">
      <c r="A6" s="17" t="s">
        <v>71</v>
      </c>
      <c r="J6" s="15" t="s">
        <v>72</v>
      </c>
    </row>
    <row r="7" spans="1:54">
      <c r="A7" s="17" t="s">
        <v>73</v>
      </c>
      <c r="B7" s="14"/>
      <c r="C7" s="27" t="s">
        <v>266</v>
      </c>
      <c r="I7" t="s">
        <v>74</v>
      </c>
      <c r="L7" t="s">
        <v>266</v>
      </c>
      <c r="N7" t="s">
        <v>266</v>
      </c>
      <c r="P7" t="s">
        <v>266</v>
      </c>
      <c r="R7" t="s">
        <v>266</v>
      </c>
      <c r="T7" t="s">
        <v>266</v>
      </c>
      <c r="V7" t="s">
        <v>266</v>
      </c>
      <c r="Y7" t="s">
        <v>266</v>
      </c>
      <c r="AA7" t="s">
        <v>266</v>
      </c>
      <c r="AC7" t="s">
        <v>266</v>
      </c>
    </row>
    <row r="8" spans="1:54">
      <c r="A8" s="17">
        <v>1</v>
      </c>
      <c r="B8" s="14">
        <v>3.1461100000000002</v>
      </c>
      <c r="C8" s="27">
        <v>0.90329999999999999</v>
      </c>
      <c r="D8" s="14">
        <f>1/U8</f>
        <v>2048.3408439164277</v>
      </c>
      <c r="E8" s="14">
        <f t="shared" ref="E8:E27" si="0">(V8/U8)*D8</f>
        <v>588.23716984244811</v>
      </c>
      <c r="F8">
        <v>0.2082</v>
      </c>
      <c r="G8">
        <v>0.1147</v>
      </c>
      <c r="H8" s="15">
        <v>2.5</v>
      </c>
      <c r="I8">
        <f>J8/2</f>
        <v>0.85</v>
      </c>
      <c r="J8" s="15">
        <v>1.7</v>
      </c>
      <c r="K8" s="16">
        <v>8.7190000000000004E-2</v>
      </c>
      <c r="L8">
        <v>0.16159999999999999</v>
      </c>
      <c r="M8">
        <v>6.8510000000000001E-2</v>
      </c>
      <c r="N8">
        <v>4.573E-2</v>
      </c>
      <c r="O8">
        <v>2.3860000000000001E-3</v>
      </c>
      <c r="P8">
        <v>5.7830000000000002E-4</v>
      </c>
      <c r="Q8">
        <v>0.2082</v>
      </c>
      <c r="R8">
        <v>0.1147</v>
      </c>
      <c r="S8">
        <v>1.4019999999999999E-2</v>
      </c>
      <c r="T8">
        <v>9.8799999999999999E-3</v>
      </c>
      <c r="U8">
        <v>4.8819999999999999E-4</v>
      </c>
      <c r="V8">
        <v>1.4019999999999999E-4</v>
      </c>
      <c r="W8" s="20">
        <v>0.68210000000000004</v>
      </c>
      <c r="X8">
        <v>-1</v>
      </c>
      <c r="Y8">
        <v>-1</v>
      </c>
      <c r="Z8">
        <v>1.921</v>
      </c>
      <c r="AA8">
        <v>0.123</v>
      </c>
      <c r="AB8">
        <v>8.1839999999999993</v>
      </c>
      <c r="AC8">
        <v>0.1293</v>
      </c>
      <c r="AD8">
        <v>18.86</v>
      </c>
      <c r="AE8">
        <v>15.62</v>
      </c>
      <c r="AF8">
        <v>38.340000000000003</v>
      </c>
      <c r="AG8" t="s">
        <v>75</v>
      </c>
      <c r="AH8">
        <v>5</v>
      </c>
      <c r="AI8" t="s">
        <v>76</v>
      </c>
      <c r="AJ8" t="s">
        <v>77</v>
      </c>
    </row>
    <row r="9" spans="1:54">
      <c r="A9" s="17">
        <v>2</v>
      </c>
      <c r="B9" s="14">
        <v>2.71652</v>
      </c>
      <c r="C9" s="27">
        <v>0.91739999999999999</v>
      </c>
      <c r="D9" s="14">
        <f>1/U9</f>
        <v>2372.4792408066428</v>
      </c>
      <c r="E9" s="14">
        <f t="shared" si="0"/>
        <v>801.5208633235253</v>
      </c>
      <c r="F9">
        <v>0.31680000000000003</v>
      </c>
      <c r="G9">
        <v>0.13089999999999999</v>
      </c>
      <c r="H9" s="15">
        <v>1.8</v>
      </c>
      <c r="I9">
        <f t="shared" ref="I9:I72" si="1">J9/2</f>
        <v>0.75</v>
      </c>
      <c r="J9" s="15">
        <v>1.5</v>
      </c>
      <c r="K9" s="16">
        <v>0.27550000000000002</v>
      </c>
      <c r="L9">
        <v>0.1424</v>
      </c>
      <c r="M9">
        <v>8.7110000000000007E-2</v>
      </c>
      <c r="N9">
        <v>3.7440000000000001E-2</v>
      </c>
      <c r="O9">
        <v>1.9940000000000001E-3</v>
      </c>
      <c r="P9">
        <v>5.7390000000000002E-4</v>
      </c>
      <c r="Q9">
        <v>0.31680000000000003</v>
      </c>
      <c r="R9">
        <v>0.13089999999999999</v>
      </c>
      <c r="S9">
        <v>1.8409999999999999E-2</v>
      </c>
      <c r="T9">
        <v>8.6920000000000001E-3</v>
      </c>
      <c r="U9">
        <v>4.215E-4</v>
      </c>
      <c r="V9">
        <v>1.4239999999999999E-4</v>
      </c>
      <c r="W9" s="20">
        <v>0.52149999999999996</v>
      </c>
      <c r="X9">
        <v>-1</v>
      </c>
      <c r="Y9">
        <v>-1</v>
      </c>
      <c r="Z9">
        <v>1.4</v>
      </c>
      <c r="AA9">
        <v>6.6049999999999998E-2</v>
      </c>
      <c r="AB9">
        <v>8.07</v>
      </c>
      <c r="AC9">
        <v>0.21790000000000001</v>
      </c>
      <c r="AH9">
        <v>5</v>
      </c>
      <c r="AI9" t="s">
        <v>78</v>
      </c>
    </row>
    <row r="10" spans="1:54">
      <c r="A10" s="17">
        <v>3</v>
      </c>
      <c r="B10" s="14">
        <v>2.08623</v>
      </c>
      <c r="C10" s="27">
        <v>0.92779999999999996</v>
      </c>
      <c r="D10" s="14">
        <f>1/U10</f>
        <v>3089.2801977139325</v>
      </c>
      <c r="E10" s="14">
        <f t="shared" si="0"/>
        <v>1374.2859081581905</v>
      </c>
      <c r="F10">
        <v>0.30980000000000002</v>
      </c>
      <c r="G10">
        <v>0.22270000000000001</v>
      </c>
      <c r="H10" s="15">
        <v>1.4</v>
      </c>
      <c r="I10">
        <f t="shared" si="1"/>
        <v>0.85</v>
      </c>
      <c r="J10" s="15">
        <v>1.7</v>
      </c>
      <c r="K10" s="16">
        <v>-0.11749999999999999</v>
      </c>
      <c r="L10">
        <v>0.39389999999999997</v>
      </c>
      <c r="M10">
        <v>7.0209999999999995E-2</v>
      </c>
      <c r="N10">
        <v>4.5780000000000001E-2</v>
      </c>
      <c r="O10">
        <v>1.6429999999999999E-3</v>
      </c>
      <c r="P10">
        <v>7.0719999999999995E-4</v>
      </c>
      <c r="Q10">
        <v>0.30980000000000002</v>
      </c>
      <c r="R10">
        <v>0.22270000000000001</v>
      </c>
      <c r="S10">
        <v>1.383E-2</v>
      </c>
      <c r="T10">
        <v>9.724E-3</v>
      </c>
      <c r="U10">
        <v>3.2370000000000001E-4</v>
      </c>
      <c r="V10">
        <v>1.44E-4</v>
      </c>
      <c r="W10" s="20">
        <v>0.28079999999999999</v>
      </c>
      <c r="X10">
        <v>-1</v>
      </c>
      <c r="Y10">
        <v>-1</v>
      </c>
      <c r="Z10">
        <v>1.2090000000000001</v>
      </c>
      <c r="AA10">
        <v>4.4749999999999998E-2</v>
      </c>
      <c r="AB10">
        <v>8.3209999999999997</v>
      </c>
      <c r="AC10">
        <v>0.25540000000000002</v>
      </c>
      <c r="AH10">
        <v>5</v>
      </c>
      <c r="AI10" t="s">
        <v>79</v>
      </c>
    </row>
    <row r="11" spans="1:54">
      <c r="A11" s="17">
        <v>4</v>
      </c>
      <c r="B11" s="14">
        <v>3.4588000000000001</v>
      </c>
      <c r="C11" s="27">
        <v>1.39</v>
      </c>
      <c r="D11" s="14">
        <f>1/U11</f>
        <v>1863.2383081796163</v>
      </c>
      <c r="E11" s="14">
        <f t="shared" si="0"/>
        <v>749.1835791040827</v>
      </c>
      <c r="F11">
        <v>0.31719999999999998</v>
      </c>
      <c r="G11">
        <v>0.17899999999999999</v>
      </c>
      <c r="H11" s="15">
        <v>2.2999999999999998</v>
      </c>
      <c r="I11">
        <f t="shared" si="1"/>
        <v>1.2</v>
      </c>
      <c r="J11" s="15">
        <v>2.4</v>
      </c>
      <c r="K11" s="16">
        <v>0.51439999999999997</v>
      </c>
      <c r="L11">
        <v>0.26950000000000002</v>
      </c>
      <c r="M11">
        <v>0.12859999999999999</v>
      </c>
      <c r="N11">
        <v>7.0040000000000005E-2</v>
      </c>
      <c r="O11">
        <v>2.9399999999999999E-3</v>
      </c>
      <c r="P11">
        <v>9.6489999999999998E-4</v>
      </c>
      <c r="Q11">
        <v>0.31719999999999998</v>
      </c>
      <c r="R11">
        <v>0.17899999999999999</v>
      </c>
      <c r="S11">
        <v>2.3470000000000001E-2</v>
      </c>
      <c r="T11">
        <v>1.244E-2</v>
      </c>
      <c r="U11">
        <v>5.3669999999999998E-4</v>
      </c>
      <c r="V11">
        <v>2.1579999999999999E-4</v>
      </c>
      <c r="W11" s="20">
        <v>0.29099999999999998</v>
      </c>
      <c r="X11">
        <v>-1</v>
      </c>
      <c r="Y11">
        <v>-1</v>
      </c>
      <c r="Z11">
        <v>1.024</v>
      </c>
      <c r="AA11">
        <v>2.8400000000000002E-2</v>
      </c>
      <c r="AB11">
        <v>8.6120000000000001</v>
      </c>
      <c r="AC11">
        <v>0.30330000000000001</v>
      </c>
      <c r="AH11">
        <v>5</v>
      </c>
      <c r="AI11" t="s">
        <v>80</v>
      </c>
    </row>
    <row r="12" spans="1:54">
      <c r="A12" s="17">
        <v>5</v>
      </c>
      <c r="B12" s="14">
        <v>3.8118500000000002</v>
      </c>
      <c r="C12" s="27">
        <v>1.429</v>
      </c>
      <c r="D12" s="14">
        <f>1/U12</f>
        <v>1690.6170752324599</v>
      </c>
      <c r="E12" s="14">
        <f t="shared" si="0"/>
        <v>633.94567588598409</v>
      </c>
      <c r="F12">
        <v>0.188</v>
      </c>
      <c r="G12">
        <v>0.14269999999999999</v>
      </c>
      <c r="H12" s="15">
        <v>3.1</v>
      </c>
      <c r="I12">
        <f t="shared" si="1"/>
        <v>1.35</v>
      </c>
      <c r="J12" s="15">
        <v>2.7</v>
      </c>
      <c r="K12" s="16">
        <v>0.29249999999999998</v>
      </c>
      <c r="L12">
        <v>0.2417</v>
      </c>
      <c r="M12">
        <v>7.714E-2</v>
      </c>
      <c r="N12">
        <v>5.5910000000000001E-2</v>
      </c>
      <c r="O12">
        <v>2.9759999999999999E-3</v>
      </c>
      <c r="P12">
        <v>1.0549999999999999E-3</v>
      </c>
      <c r="Q12">
        <v>0.188</v>
      </c>
      <c r="R12">
        <v>0.14269999999999999</v>
      </c>
      <c r="S12">
        <v>1.533E-2</v>
      </c>
      <c r="T12">
        <v>1.1010000000000001E-2</v>
      </c>
      <c r="U12">
        <v>5.9150000000000001E-4</v>
      </c>
      <c r="V12">
        <v>2.218E-4</v>
      </c>
      <c r="W12" s="20">
        <v>0.1487</v>
      </c>
      <c r="X12">
        <v>-1</v>
      </c>
      <c r="Y12">
        <v>-1</v>
      </c>
      <c r="Z12">
        <v>0.85250000000000004</v>
      </c>
      <c r="AA12">
        <v>3.5220000000000001E-2</v>
      </c>
      <c r="AB12">
        <v>8.2870000000000008</v>
      </c>
      <c r="AC12">
        <v>0.67059999999999997</v>
      </c>
      <c r="AH12">
        <v>4</v>
      </c>
      <c r="AI12" t="s">
        <v>81</v>
      </c>
    </row>
    <row r="13" spans="1:54">
      <c r="A13" s="17">
        <v>6</v>
      </c>
      <c r="B13" s="21">
        <v>1.6413</v>
      </c>
      <c r="C13" s="21">
        <v>0.59389999999999998</v>
      </c>
      <c r="D13" s="14">
        <f t="shared" ref="D13:D27" si="2">1/U13</f>
        <v>3927.729772191673</v>
      </c>
      <c r="E13" s="14">
        <f t="shared" si="0"/>
        <v>1421.6036862037024</v>
      </c>
      <c r="F13" s="21">
        <v>0.71709999999999996</v>
      </c>
      <c r="G13" s="21">
        <v>0.35510000000000003</v>
      </c>
      <c r="H13" s="15">
        <v>0.3</v>
      </c>
      <c r="I13">
        <f t="shared" si="1"/>
        <v>0.7</v>
      </c>
      <c r="J13" s="15">
        <v>1.4</v>
      </c>
      <c r="K13" s="21">
        <v>1.373</v>
      </c>
      <c r="L13" s="21">
        <v>0.75960000000000005</v>
      </c>
      <c r="M13" s="21">
        <v>0.14779999999999999</v>
      </c>
      <c r="N13" s="21">
        <v>5.9049999999999998E-2</v>
      </c>
      <c r="O13" s="21">
        <v>1.495E-3</v>
      </c>
      <c r="P13" s="21">
        <v>5.8250000000000001E-4</v>
      </c>
      <c r="Q13" s="21">
        <v>0.71709999999999996</v>
      </c>
      <c r="R13" s="21">
        <v>0.35510000000000003</v>
      </c>
      <c r="S13" s="21">
        <v>2.5180000000000001E-2</v>
      </c>
      <c r="T13" s="21">
        <v>9.2940000000000002E-3</v>
      </c>
      <c r="U13" s="21">
        <v>2.5460000000000001E-4</v>
      </c>
      <c r="V13" s="21">
        <v>9.2150000000000004E-5</v>
      </c>
      <c r="W13" s="22">
        <v>8.2350000000000007E-2</v>
      </c>
      <c r="X13" s="21">
        <v>-1</v>
      </c>
      <c r="Y13" s="21">
        <v>-1</v>
      </c>
      <c r="Z13" s="21">
        <v>1.0069999999999999</v>
      </c>
      <c r="AA13" s="21">
        <v>2.4840000000000001E-2</v>
      </c>
      <c r="AB13" s="21">
        <v>8.202</v>
      </c>
      <c r="AC13" s="21">
        <v>0.27479999999999999</v>
      </c>
      <c r="AD13" s="21">
        <v>18.86</v>
      </c>
      <c r="AE13" s="21">
        <v>15.62</v>
      </c>
      <c r="AF13" s="21">
        <v>38.340000000000003</v>
      </c>
      <c r="AG13" s="21" t="s">
        <v>75</v>
      </c>
      <c r="AH13" s="21">
        <v>5</v>
      </c>
      <c r="AI13" s="21" t="s">
        <v>76</v>
      </c>
      <c r="AJ13" s="21" t="s">
        <v>82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7">
        <v>7</v>
      </c>
      <c r="B14" s="23">
        <v>4.4723899999999999</v>
      </c>
      <c r="C14" s="23">
        <v>1.294</v>
      </c>
      <c r="D14" s="14">
        <f t="shared" si="2"/>
        <v>1440.9221902017291</v>
      </c>
      <c r="E14" s="14">
        <f t="shared" si="0"/>
        <v>417.11998272554382</v>
      </c>
      <c r="F14" s="23">
        <v>7.5480000000000005E-2</v>
      </c>
      <c r="G14" s="23">
        <v>6.5390000000000004E-2</v>
      </c>
      <c r="H14" s="15">
        <v>4.3</v>
      </c>
      <c r="I14">
        <f t="shared" si="1"/>
        <v>1.3</v>
      </c>
      <c r="J14" s="15">
        <v>2.6</v>
      </c>
      <c r="K14" s="23">
        <v>8.7559999999999999E-2</v>
      </c>
      <c r="L14" s="23">
        <v>6.9120000000000001E-2</v>
      </c>
      <c r="M14" s="23">
        <v>4.3810000000000002E-2</v>
      </c>
      <c r="N14" s="23">
        <v>3.5310000000000001E-2</v>
      </c>
      <c r="O14" s="23">
        <v>4.2100000000000002E-3</v>
      </c>
      <c r="P14" s="23">
        <v>9.391E-4</v>
      </c>
      <c r="Q14" s="23">
        <v>7.5480000000000005E-2</v>
      </c>
      <c r="R14" s="23">
        <v>6.5390000000000004E-2</v>
      </c>
      <c r="S14" s="23">
        <v>7.2220000000000001E-3</v>
      </c>
      <c r="T14" s="23">
        <v>5.4289999999999998E-3</v>
      </c>
      <c r="U14" s="23">
        <v>6.9399999999999996E-4</v>
      </c>
      <c r="V14" s="23">
        <v>2.009E-4</v>
      </c>
      <c r="W14" s="24">
        <v>-0.23369999999999999</v>
      </c>
      <c r="X14" s="23">
        <v>-1</v>
      </c>
      <c r="Y14" s="23">
        <v>-1</v>
      </c>
      <c r="Z14" s="23">
        <v>1.0960000000000001</v>
      </c>
      <c r="AA14" s="23">
        <v>1.6750000000000001E-2</v>
      </c>
      <c r="AB14" s="23">
        <v>8.2989999999999995</v>
      </c>
      <c r="AC14" s="23">
        <v>0.35539999999999999</v>
      </c>
      <c r="AD14" s="23"/>
      <c r="AE14" s="23"/>
      <c r="AF14" s="23"/>
      <c r="AG14" s="23"/>
      <c r="AH14" s="23">
        <v>5</v>
      </c>
      <c r="AI14" s="23" t="s">
        <v>78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</row>
    <row r="15" spans="1:54">
      <c r="A15" s="17">
        <v>8</v>
      </c>
      <c r="B15" s="23">
        <v>2.64506</v>
      </c>
      <c r="C15" s="23">
        <v>0.95330000000000004</v>
      </c>
      <c r="D15" s="14">
        <f t="shared" si="2"/>
        <v>2436.6471734892789</v>
      </c>
      <c r="E15" s="14">
        <f t="shared" si="0"/>
        <v>878.11919337003974</v>
      </c>
      <c r="F15" s="23">
        <v>0.50580000000000003</v>
      </c>
      <c r="G15" s="23">
        <v>0.35909999999999997</v>
      </c>
      <c r="H15" s="15">
        <v>1.2</v>
      </c>
      <c r="I15">
        <f t="shared" si="1"/>
        <v>1.25</v>
      </c>
      <c r="J15" s="15">
        <v>2.5</v>
      </c>
      <c r="K15" s="23">
        <v>-2.0489999999999999</v>
      </c>
      <c r="L15" s="23">
        <v>2.23</v>
      </c>
      <c r="M15" s="23">
        <v>0.1792</v>
      </c>
      <c r="N15" s="23">
        <v>0.1048</v>
      </c>
      <c r="O15" s="23">
        <v>2.5699999999999998E-3</v>
      </c>
      <c r="P15" s="23">
        <v>9.2559999999999995E-4</v>
      </c>
      <c r="Q15" s="23">
        <v>0.50580000000000003</v>
      </c>
      <c r="R15" s="23">
        <v>0.35909999999999997</v>
      </c>
      <c r="S15" s="23">
        <v>2.862E-2</v>
      </c>
      <c r="T15" s="23">
        <v>1.8089999999999998E-2</v>
      </c>
      <c r="U15" s="23">
        <v>4.104E-4</v>
      </c>
      <c r="V15" s="23">
        <v>1.4789999999999999E-4</v>
      </c>
      <c r="W15" s="24">
        <v>5.552E-2</v>
      </c>
      <c r="X15" s="23">
        <v>-1</v>
      </c>
      <c r="Y15" s="23">
        <v>-1</v>
      </c>
      <c r="Z15" s="23">
        <v>0.94510000000000005</v>
      </c>
      <c r="AA15" s="23">
        <v>3.3140000000000003E-2</v>
      </c>
      <c r="AB15" s="23">
        <v>8.3970000000000002</v>
      </c>
      <c r="AC15" s="23">
        <v>0.22770000000000001</v>
      </c>
      <c r="AD15" s="23"/>
      <c r="AE15" s="23"/>
      <c r="AF15" s="23"/>
      <c r="AG15" s="23"/>
      <c r="AH15" s="23">
        <v>5</v>
      </c>
      <c r="AI15" s="23" t="s">
        <v>79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</row>
    <row r="16" spans="1:54">
      <c r="A16" s="17">
        <v>9</v>
      </c>
      <c r="B16" s="23">
        <v>3.8567200000000001</v>
      </c>
      <c r="C16" s="23">
        <v>0.76039999999999996</v>
      </c>
      <c r="D16" s="14">
        <f t="shared" si="2"/>
        <v>1670.843776106934</v>
      </c>
      <c r="E16" s="14">
        <f t="shared" si="0"/>
        <v>329.42283305032288</v>
      </c>
      <c r="F16" s="23">
        <v>0.1492</v>
      </c>
      <c r="G16" s="23">
        <v>0.1047</v>
      </c>
      <c r="H16" s="15">
        <v>3.4</v>
      </c>
      <c r="I16">
        <f t="shared" si="1"/>
        <v>0.8</v>
      </c>
      <c r="J16" s="15">
        <v>1.6</v>
      </c>
      <c r="K16" s="23">
        <v>0.12570000000000001</v>
      </c>
      <c r="L16" s="23">
        <v>8.5629999999999998E-2</v>
      </c>
      <c r="M16" s="23">
        <v>8.2919999999999994E-2</v>
      </c>
      <c r="N16" s="23">
        <v>5.9889999999999999E-2</v>
      </c>
      <c r="O16" s="23">
        <v>4.0299999999999997E-3</v>
      </c>
      <c r="P16" s="23">
        <v>1.083E-3</v>
      </c>
      <c r="Q16" s="23">
        <v>0.1492</v>
      </c>
      <c r="R16" s="23">
        <v>0.1047</v>
      </c>
      <c r="S16" s="23">
        <v>1.231E-2</v>
      </c>
      <c r="T16" s="23">
        <v>8.7500000000000008E-3</v>
      </c>
      <c r="U16" s="23">
        <v>5.9849999999999997E-4</v>
      </c>
      <c r="V16" s="23">
        <v>1.18E-4</v>
      </c>
      <c r="W16" s="24">
        <v>0.18340000000000001</v>
      </c>
      <c r="X16" s="23">
        <v>-1</v>
      </c>
      <c r="Y16" s="23">
        <v>-1</v>
      </c>
      <c r="Z16" s="23">
        <v>0.84160000000000001</v>
      </c>
      <c r="AA16" s="23">
        <v>1.9019999999999999E-2</v>
      </c>
      <c r="AB16" s="23">
        <v>8.6329999999999991</v>
      </c>
      <c r="AC16" s="23">
        <v>0.70240000000000002</v>
      </c>
      <c r="AD16" s="23"/>
      <c r="AE16" s="23"/>
      <c r="AF16" s="23"/>
      <c r="AG16" s="23"/>
      <c r="AH16" s="23">
        <v>5</v>
      </c>
      <c r="AI16" s="23" t="s">
        <v>80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</row>
    <row r="17" spans="1:54">
      <c r="A17" s="17">
        <v>10</v>
      </c>
      <c r="B17" s="25">
        <v>3.0834000000000001</v>
      </c>
      <c r="C17" s="25">
        <v>1.403</v>
      </c>
      <c r="D17" s="14">
        <f t="shared" si="2"/>
        <v>2090.3010033444816</v>
      </c>
      <c r="E17" s="14">
        <f t="shared" si="0"/>
        <v>951.64623438216586</v>
      </c>
      <c r="F17" s="25">
        <v>0.22</v>
      </c>
      <c r="G17" s="25">
        <v>0.30869999999999997</v>
      </c>
      <c r="H17" s="15">
        <v>2.4</v>
      </c>
      <c r="I17">
        <f t="shared" si="1"/>
        <v>1.6</v>
      </c>
      <c r="J17" s="15">
        <v>3.2</v>
      </c>
      <c r="K17" s="25">
        <v>0.21299999999999999</v>
      </c>
      <c r="L17" s="25">
        <v>0.39650000000000002</v>
      </c>
      <c r="M17" s="25">
        <v>0.10730000000000001</v>
      </c>
      <c r="N17" s="25">
        <v>0.13769999999999999</v>
      </c>
      <c r="O17" s="25">
        <v>3.5360000000000001E-3</v>
      </c>
      <c r="P17" s="25">
        <v>1.5740000000000001E-3</v>
      </c>
      <c r="Q17" s="25">
        <v>0.22</v>
      </c>
      <c r="R17" s="25">
        <v>0.30869999999999997</v>
      </c>
      <c r="S17" s="25">
        <v>1.451E-2</v>
      </c>
      <c r="T17" s="25">
        <v>1.8089999999999998E-2</v>
      </c>
      <c r="U17" s="25">
        <v>4.7839999999999997E-4</v>
      </c>
      <c r="V17" s="25">
        <v>2.1780000000000001E-4</v>
      </c>
      <c r="W17" s="26">
        <v>-0.18329999999999999</v>
      </c>
      <c r="X17" s="25">
        <v>-1</v>
      </c>
      <c r="Y17" s="25">
        <v>-1</v>
      </c>
      <c r="Z17" s="25">
        <v>0.78059999999999996</v>
      </c>
      <c r="AA17" s="25">
        <v>2.4109999999999999E-2</v>
      </c>
      <c r="AB17" s="25">
        <v>8.9619999999999997</v>
      </c>
      <c r="AC17" s="25">
        <v>0.27829999999999999</v>
      </c>
      <c r="AD17" s="25"/>
      <c r="AE17" s="25"/>
      <c r="AF17" s="25"/>
      <c r="AG17" s="25"/>
      <c r="AH17" s="25">
        <v>3</v>
      </c>
      <c r="AI17" s="25" t="s">
        <v>81</v>
      </c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</row>
    <row r="18" spans="1:54">
      <c r="A18" s="17">
        <v>11</v>
      </c>
      <c r="B18" s="23">
        <v>2.5890599999999999</v>
      </c>
      <c r="C18" s="23">
        <v>0.98550000000000004</v>
      </c>
      <c r="D18" s="14">
        <f t="shared" si="2"/>
        <v>2489.4199651481204</v>
      </c>
      <c r="E18" s="14">
        <f t="shared" si="0"/>
        <v>947.55367854405677</v>
      </c>
      <c r="F18" s="23">
        <v>0.15679999999999999</v>
      </c>
      <c r="G18" s="23">
        <v>0.18779999999999999</v>
      </c>
      <c r="H18" s="15">
        <v>2.2000000000000002</v>
      </c>
      <c r="I18">
        <f t="shared" si="1"/>
        <v>1.05</v>
      </c>
      <c r="J18" s="15">
        <v>2.1</v>
      </c>
      <c r="K18" s="23">
        <v>1.6459999999999999E-2</v>
      </c>
      <c r="L18" s="23">
        <v>0.1527</v>
      </c>
      <c r="M18" s="23">
        <v>5.765E-2</v>
      </c>
      <c r="N18" s="23">
        <v>8.0030000000000004E-2</v>
      </c>
      <c r="O18" s="23">
        <v>2.6670000000000001E-3</v>
      </c>
      <c r="P18" s="23">
        <v>8.9689999999999995E-4</v>
      </c>
      <c r="Q18" s="23">
        <v>0.15679999999999999</v>
      </c>
      <c r="R18" s="23">
        <v>0.18779999999999999</v>
      </c>
      <c r="S18" s="23">
        <v>8.6829999999999997E-3</v>
      </c>
      <c r="T18" s="23">
        <v>1.196E-2</v>
      </c>
      <c r="U18" s="23">
        <v>4.0170000000000001E-4</v>
      </c>
      <c r="V18" s="23">
        <v>1.529E-4</v>
      </c>
      <c r="W18" s="24">
        <v>0.57730000000000004</v>
      </c>
      <c r="X18" s="23">
        <v>-1</v>
      </c>
      <c r="Y18" s="23">
        <v>-1</v>
      </c>
      <c r="Z18" s="23">
        <v>0.7</v>
      </c>
      <c r="AA18" s="23">
        <v>1.6719999999999999E-2</v>
      </c>
      <c r="AB18" s="23">
        <v>8.3989999999999991</v>
      </c>
      <c r="AC18" s="23">
        <v>0.23960000000000001</v>
      </c>
      <c r="AD18" s="23">
        <v>18.86</v>
      </c>
      <c r="AE18" s="23">
        <v>15.62</v>
      </c>
      <c r="AF18" s="23">
        <v>38.340000000000003</v>
      </c>
      <c r="AG18" s="23" t="s">
        <v>75</v>
      </c>
      <c r="AH18" s="23">
        <v>5</v>
      </c>
      <c r="AI18" s="23" t="s">
        <v>76</v>
      </c>
      <c r="AJ18" s="23" t="s">
        <v>83</v>
      </c>
    </row>
    <row r="19" spans="1:54">
      <c r="A19" s="17">
        <v>12</v>
      </c>
      <c r="B19" s="23">
        <v>4.1107699999999996</v>
      </c>
      <c r="C19" s="23">
        <v>1.258</v>
      </c>
      <c r="D19" s="14">
        <f t="shared" si="2"/>
        <v>1567.643831321524</v>
      </c>
      <c r="E19" s="14">
        <f t="shared" si="0"/>
        <v>479.95115262124733</v>
      </c>
      <c r="F19" s="23">
        <v>0.16739999999999999</v>
      </c>
      <c r="G19" s="23">
        <v>0.10680000000000001</v>
      </c>
      <c r="H19" s="15">
        <v>3.5</v>
      </c>
      <c r="I19">
        <f t="shared" si="1"/>
        <v>1.2</v>
      </c>
      <c r="J19" s="15">
        <v>2.4</v>
      </c>
      <c r="K19" s="23">
        <v>0.1915</v>
      </c>
      <c r="L19" s="23">
        <v>0.1192</v>
      </c>
      <c r="M19" s="23">
        <v>0.1002</v>
      </c>
      <c r="N19" s="23">
        <v>5.5960000000000003E-2</v>
      </c>
      <c r="O19" s="23">
        <v>4.3410000000000002E-3</v>
      </c>
      <c r="P19" s="23">
        <v>1.2030000000000001E-3</v>
      </c>
      <c r="Q19" s="23">
        <v>0.16739999999999999</v>
      </c>
      <c r="R19" s="23">
        <v>0.10680000000000001</v>
      </c>
      <c r="S19" s="23">
        <v>1.472E-2</v>
      </c>
      <c r="T19" s="23">
        <v>8.7919999999999995E-3</v>
      </c>
      <c r="U19" s="23">
        <v>6.3789999999999995E-4</v>
      </c>
      <c r="V19" s="23">
        <v>1.953E-4</v>
      </c>
      <c r="W19" s="24">
        <v>0.11849999999999999</v>
      </c>
      <c r="X19" s="23">
        <v>-1</v>
      </c>
      <c r="Y19" s="23">
        <v>-1</v>
      </c>
      <c r="Z19" s="23">
        <v>0.63529999999999998</v>
      </c>
      <c r="AA19" s="23">
        <v>1.209E-2</v>
      </c>
      <c r="AB19" s="23">
        <v>8.4819999999999993</v>
      </c>
      <c r="AC19" s="23">
        <v>0.25879999999999997</v>
      </c>
      <c r="AD19" s="23"/>
      <c r="AE19" s="23"/>
      <c r="AF19" s="23"/>
      <c r="AG19" s="23"/>
      <c r="AH19" s="23">
        <v>5</v>
      </c>
      <c r="AI19" s="23" t="s">
        <v>78</v>
      </c>
      <c r="AJ19" s="23"/>
    </row>
    <row r="20" spans="1:54">
      <c r="A20" s="17">
        <v>13</v>
      </c>
      <c r="B20" s="23">
        <v>3.20574</v>
      </c>
      <c r="C20" s="23">
        <v>1.4219999999999999</v>
      </c>
      <c r="D20" s="14">
        <f t="shared" si="2"/>
        <v>2010.4543626859672</v>
      </c>
      <c r="E20" s="14">
        <f t="shared" si="0"/>
        <v>892.05323249857861</v>
      </c>
      <c r="F20" s="23">
        <v>0.19170000000000001</v>
      </c>
      <c r="G20" s="23">
        <v>0.1762</v>
      </c>
      <c r="H20" s="15">
        <v>2.6</v>
      </c>
      <c r="I20">
        <f t="shared" si="1"/>
        <v>1.35</v>
      </c>
      <c r="J20" s="15">
        <v>2.7</v>
      </c>
      <c r="K20" s="23">
        <v>0.57620000000000005</v>
      </c>
      <c r="L20" s="23">
        <v>0.37669999999999998</v>
      </c>
      <c r="M20" s="23">
        <v>9.7430000000000003E-2</v>
      </c>
      <c r="N20" s="23">
        <v>5.6320000000000002E-2</v>
      </c>
      <c r="O20" s="23">
        <v>3.686E-3</v>
      </c>
      <c r="P20" s="23">
        <v>1.467E-3</v>
      </c>
      <c r="Q20" s="23">
        <v>0.19170000000000001</v>
      </c>
      <c r="R20" s="23">
        <v>0.1762</v>
      </c>
      <c r="S20" s="23">
        <v>1.315E-2</v>
      </c>
      <c r="T20" s="23">
        <v>8.7889999999999999E-3</v>
      </c>
      <c r="U20" s="23">
        <v>4.9739999999999995E-4</v>
      </c>
      <c r="V20" s="23">
        <v>2.207E-4</v>
      </c>
      <c r="W20" s="24">
        <v>-0.3382</v>
      </c>
      <c r="X20" s="23">
        <v>-1</v>
      </c>
      <c r="Y20" s="23">
        <v>-1</v>
      </c>
      <c r="Z20" s="23">
        <v>0.60309999999999997</v>
      </c>
      <c r="AA20" s="23">
        <v>1.269E-2</v>
      </c>
      <c r="AB20" s="23">
        <v>8.7850000000000001</v>
      </c>
      <c r="AC20" s="23">
        <v>0.39319999999999999</v>
      </c>
      <c r="AD20" s="23"/>
      <c r="AE20" s="23"/>
      <c r="AF20" s="23"/>
      <c r="AG20" s="23"/>
      <c r="AH20" s="23">
        <v>5</v>
      </c>
      <c r="AI20" s="23" t="s">
        <v>79</v>
      </c>
      <c r="AJ20" s="23"/>
    </row>
    <row r="21" spans="1:54">
      <c r="A21" s="17">
        <v>14</v>
      </c>
      <c r="B21" s="23">
        <v>5.4697699999999996</v>
      </c>
      <c r="C21" s="23">
        <v>1.8580000000000001</v>
      </c>
      <c r="D21" s="14">
        <f t="shared" si="2"/>
        <v>1177.9950524207798</v>
      </c>
      <c r="E21" s="14">
        <f t="shared" si="0"/>
        <v>400.20470387342789</v>
      </c>
      <c r="F21" s="23">
        <v>0.15629999999999999</v>
      </c>
      <c r="G21" s="23">
        <v>0.13539999999999999</v>
      </c>
      <c r="H21" s="15">
        <v>4.7</v>
      </c>
      <c r="I21">
        <f t="shared" si="1"/>
        <v>1.85</v>
      </c>
      <c r="J21" s="15">
        <v>3.7</v>
      </c>
      <c r="K21" s="23">
        <v>8.0110000000000001E-2</v>
      </c>
      <c r="L21" s="23">
        <v>0.221</v>
      </c>
      <c r="M21" s="23">
        <v>0.1168</v>
      </c>
      <c r="N21" s="23">
        <v>0.1024</v>
      </c>
      <c r="O21" s="23">
        <v>5.4180000000000001E-3</v>
      </c>
      <c r="P21" s="23">
        <v>1.4599999999999999E-3</v>
      </c>
      <c r="Q21" s="23">
        <v>0.15629999999999999</v>
      </c>
      <c r="R21" s="23">
        <v>0.13539999999999999</v>
      </c>
      <c r="S21" s="23">
        <v>1.83E-2</v>
      </c>
      <c r="T21" s="23">
        <v>1.7299999999999999E-2</v>
      </c>
      <c r="U21" s="23">
        <v>8.4889999999999998E-4</v>
      </c>
      <c r="V21" s="23">
        <v>2.8840000000000002E-4</v>
      </c>
      <c r="W21" s="24">
        <v>0.40360000000000001</v>
      </c>
      <c r="X21" s="23">
        <v>-1</v>
      </c>
      <c r="Y21" s="23">
        <v>-1</v>
      </c>
      <c r="Z21" s="23">
        <v>0.58879999999999999</v>
      </c>
      <c r="AA21" s="23">
        <v>1.306E-2</v>
      </c>
      <c r="AB21" s="23">
        <v>8.27</v>
      </c>
      <c r="AC21" s="23">
        <v>0.248</v>
      </c>
      <c r="AD21" s="23"/>
      <c r="AE21" s="23"/>
      <c r="AF21" s="23"/>
      <c r="AG21" s="23"/>
      <c r="AH21" s="23">
        <v>5</v>
      </c>
      <c r="AI21" s="23" t="s">
        <v>80</v>
      </c>
      <c r="AJ21" s="23"/>
    </row>
    <row r="22" spans="1:54">
      <c r="A22" s="17">
        <v>15</v>
      </c>
      <c r="B22" s="25">
        <v>3.8050099999999998</v>
      </c>
      <c r="C22" s="25">
        <v>2.2629999999999999</v>
      </c>
      <c r="D22" s="14">
        <f t="shared" si="2"/>
        <v>1693.7669376693766</v>
      </c>
      <c r="E22" s="14">
        <f t="shared" si="0"/>
        <v>1007.8257540705487</v>
      </c>
      <c r="F22" s="25">
        <v>9.0499999999999997E-2</v>
      </c>
      <c r="G22" s="25">
        <v>0.1178</v>
      </c>
      <c r="H22" s="15">
        <v>3.6</v>
      </c>
      <c r="I22">
        <f t="shared" si="1"/>
        <v>2.2000000000000002</v>
      </c>
      <c r="J22" s="15">
        <v>4.4000000000000004</v>
      </c>
      <c r="K22" s="25">
        <v>0.2162</v>
      </c>
      <c r="L22" s="25">
        <v>0.2162</v>
      </c>
      <c r="M22" s="25">
        <v>6.0720000000000003E-2</v>
      </c>
      <c r="N22" s="25">
        <v>6.0720000000000003E-2</v>
      </c>
      <c r="O22" s="25">
        <v>4.8669999999999998E-3</v>
      </c>
      <c r="P22" s="25">
        <v>2.6979999999999999E-3</v>
      </c>
      <c r="Q22" s="25">
        <v>9.0499999999999997E-2</v>
      </c>
      <c r="R22" s="25">
        <v>0.1178</v>
      </c>
      <c r="S22" s="25">
        <v>7.3670000000000003E-3</v>
      </c>
      <c r="T22" s="25">
        <v>7.0740000000000004E-3</v>
      </c>
      <c r="U22" s="25">
        <v>5.9040000000000004E-4</v>
      </c>
      <c r="V22" s="25">
        <v>3.5129999999999997E-4</v>
      </c>
      <c r="W22" s="26">
        <v>-0.36670000000000003</v>
      </c>
      <c r="X22" s="25">
        <v>-1</v>
      </c>
      <c r="Y22" s="25">
        <v>-1</v>
      </c>
      <c r="Z22" s="25">
        <v>0.53720000000000001</v>
      </c>
      <c r="AA22" s="25">
        <v>1.8089999999999998E-2</v>
      </c>
      <c r="AB22" s="25">
        <v>9.2010000000000005</v>
      </c>
      <c r="AC22" s="25">
        <v>0.28310000000000002</v>
      </c>
      <c r="AD22" s="25"/>
      <c r="AE22" s="25"/>
      <c r="AF22" s="25"/>
      <c r="AG22" s="25"/>
      <c r="AH22" s="25">
        <v>4</v>
      </c>
      <c r="AI22" s="25" t="s">
        <v>81</v>
      </c>
      <c r="AJ22" s="25"/>
    </row>
    <row r="23" spans="1:54">
      <c r="A23" s="17">
        <v>16</v>
      </c>
      <c r="B23" s="23">
        <v>12.400499999999999</v>
      </c>
      <c r="C23" s="23">
        <v>5.851</v>
      </c>
      <c r="D23" s="14">
        <f t="shared" si="2"/>
        <v>519.48051948051943</v>
      </c>
      <c r="E23" s="14">
        <f t="shared" si="0"/>
        <v>245.41069320290097</v>
      </c>
      <c r="F23" s="23">
        <v>0.1696</v>
      </c>
      <c r="G23" s="23">
        <v>0.1008</v>
      </c>
      <c r="H23" s="15">
        <v>11</v>
      </c>
      <c r="I23">
        <f t="shared" si="1"/>
        <v>5</v>
      </c>
      <c r="J23" s="15">
        <v>10</v>
      </c>
      <c r="K23" s="23">
        <v>0.39760000000000001</v>
      </c>
      <c r="L23" s="23">
        <v>0.15709999999999999</v>
      </c>
      <c r="M23" s="23">
        <v>0.23699999999999999</v>
      </c>
      <c r="N23" s="23">
        <v>8.5019999999999998E-2</v>
      </c>
      <c r="O23" s="23">
        <v>1.013E-2</v>
      </c>
      <c r="P23" s="23">
        <v>4.3400000000000001E-3</v>
      </c>
      <c r="Q23" s="23">
        <v>0.1696</v>
      </c>
      <c r="R23" s="23">
        <v>0.1008</v>
      </c>
      <c r="S23" s="23">
        <v>4.5019999999999998E-2</v>
      </c>
      <c r="T23" s="23">
        <v>1.602E-2</v>
      </c>
      <c r="U23" s="23">
        <v>1.9250000000000001E-3</v>
      </c>
      <c r="V23" s="23">
        <v>9.0939999999999999E-4</v>
      </c>
      <c r="W23" s="24">
        <v>-9.9880000000000004E-3</v>
      </c>
      <c r="X23" s="23">
        <v>-1</v>
      </c>
      <c r="Y23" s="23">
        <v>-1</v>
      </c>
      <c r="Z23" s="23">
        <v>0.58440000000000003</v>
      </c>
      <c r="AA23" s="23">
        <v>7.6380000000000003E-2</v>
      </c>
      <c r="AB23" s="23">
        <v>7.4109999999999996</v>
      </c>
      <c r="AC23" s="23">
        <v>0.34110000000000001</v>
      </c>
      <c r="AD23" s="23">
        <v>18.86</v>
      </c>
      <c r="AE23" s="23">
        <v>15.62</v>
      </c>
      <c r="AF23" s="23">
        <v>38.340000000000003</v>
      </c>
      <c r="AG23" s="23" t="s">
        <v>75</v>
      </c>
      <c r="AH23" s="23">
        <v>5</v>
      </c>
      <c r="AI23" s="23" t="s">
        <v>76</v>
      </c>
      <c r="AJ23" s="23" t="s">
        <v>84</v>
      </c>
    </row>
    <row r="24" spans="1:54">
      <c r="A24" s="17">
        <v>17</v>
      </c>
      <c r="B24" s="23">
        <v>26.9756</v>
      </c>
      <c r="C24" s="23">
        <v>4.8520000000000003</v>
      </c>
      <c r="D24" s="14">
        <f t="shared" si="2"/>
        <v>238.49272597185788</v>
      </c>
      <c r="E24" s="14">
        <f t="shared" si="0"/>
        <v>42.994670060130545</v>
      </c>
      <c r="F24" s="23">
        <v>6.2520000000000006E-2</v>
      </c>
      <c r="G24" s="23">
        <v>1.5900000000000001E-2</v>
      </c>
      <c r="H24" s="15">
        <v>26.4</v>
      </c>
      <c r="I24">
        <f t="shared" si="1"/>
        <v>4.75</v>
      </c>
      <c r="J24" s="15">
        <v>9.5</v>
      </c>
      <c r="K24" s="23">
        <v>5.8930000000000003E-2</v>
      </c>
      <c r="L24" s="23">
        <v>1.653E-2</v>
      </c>
      <c r="M24" s="23">
        <v>0.16239999999999999</v>
      </c>
      <c r="N24" s="23">
        <v>5.1580000000000001E-2</v>
      </c>
      <c r="O24" s="23">
        <v>1.883E-2</v>
      </c>
      <c r="P24" s="23">
        <v>1.9250000000000001E-3</v>
      </c>
      <c r="Q24" s="23">
        <v>6.2520000000000006E-2</v>
      </c>
      <c r="R24" s="23">
        <v>1.5900000000000001E-2</v>
      </c>
      <c r="S24" s="23">
        <v>3.6150000000000002E-2</v>
      </c>
      <c r="T24" s="23">
        <v>1.24E-2</v>
      </c>
      <c r="U24" s="23">
        <v>4.1929999999999997E-3</v>
      </c>
      <c r="V24" s="23">
        <v>7.559E-4</v>
      </c>
      <c r="W24" s="24">
        <v>0.69089999999999996</v>
      </c>
      <c r="X24" s="23">
        <v>-1</v>
      </c>
      <c r="Y24" s="23">
        <v>-1</v>
      </c>
      <c r="Z24" s="23">
        <v>1.4179999999999999</v>
      </c>
      <c r="AA24" s="23">
        <v>0.10050000000000001</v>
      </c>
      <c r="AB24" s="23">
        <v>6.5609999999999999</v>
      </c>
      <c r="AC24" s="23">
        <v>0.18</v>
      </c>
      <c r="AD24" s="23"/>
      <c r="AE24" s="23"/>
      <c r="AF24" s="23"/>
      <c r="AG24" s="23"/>
      <c r="AH24" s="23">
        <v>5</v>
      </c>
      <c r="AI24" s="23" t="s">
        <v>78</v>
      </c>
      <c r="AJ24" s="23"/>
    </row>
    <row r="25" spans="1:54">
      <c r="A25" s="17">
        <v>18</v>
      </c>
      <c r="B25" s="23">
        <v>43.323300000000003</v>
      </c>
      <c r="C25" s="23">
        <v>7.88</v>
      </c>
      <c r="D25" s="14">
        <f t="shared" si="2"/>
        <v>148.30194275545011</v>
      </c>
      <c r="E25" s="14">
        <f t="shared" si="0"/>
        <v>27.073956923025229</v>
      </c>
      <c r="F25" s="23">
        <v>5.0360000000000002E-2</v>
      </c>
      <c r="G25" s="23">
        <v>6.1900000000000002E-3</v>
      </c>
      <c r="H25" s="15">
        <v>43</v>
      </c>
      <c r="I25">
        <f t="shared" si="1"/>
        <v>8</v>
      </c>
      <c r="J25" s="15">
        <v>16</v>
      </c>
      <c r="K25" s="23">
        <v>4.8899999999999999E-2</v>
      </c>
      <c r="L25" s="23">
        <v>8.9460000000000008E-3</v>
      </c>
      <c r="M25" s="23">
        <v>0.2072</v>
      </c>
      <c r="N25" s="23">
        <v>3.7650000000000003E-2</v>
      </c>
      <c r="O25" s="23">
        <v>2.9839999999999998E-2</v>
      </c>
      <c r="P25" s="23">
        <v>2.1770000000000001E-3</v>
      </c>
      <c r="Q25" s="23">
        <v>5.0360000000000002E-2</v>
      </c>
      <c r="R25" s="23">
        <v>6.1900000000000002E-3</v>
      </c>
      <c r="S25" s="23">
        <v>4.6820000000000001E-2</v>
      </c>
      <c r="T25" s="23">
        <v>1.1089999999999999E-2</v>
      </c>
      <c r="U25" s="23">
        <v>6.7429999999999999E-3</v>
      </c>
      <c r="V25" s="23">
        <v>1.2310000000000001E-3</v>
      </c>
      <c r="W25" s="24">
        <v>0.85919999999999996</v>
      </c>
      <c r="X25" s="23">
        <v>-1</v>
      </c>
      <c r="Y25" s="23">
        <v>-1</v>
      </c>
      <c r="Z25" s="23">
        <v>2.1840000000000002</v>
      </c>
      <c r="AA25" s="23">
        <v>9.1420000000000001E-2</v>
      </c>
      <c r="AB25" s="23">
        <v>6.4880000000000004</v>
      </c>
      <c r="AC25" s="23">
        <v>0.23780000000000001</v>
      </c>
      <c r="AD25" s="23"/>
      <c r="AE25" s="23"/>
      <c r="AF25" s="23"/>
      <c r="AG25" s="23"/>
      <c r="AH25" s="23">
        <v>5</v>
      </c>
      <c r="AI25" s="23" t="s">
        <v>79</v>
      </c>
      <c r="AJ25" s="23"/>
    </row>
    <row r="26" spans="1:54">
      <c r="A26" s="17">
        <v>19</v>
      </c>
      <c r="B26" s="23">
        <v>45.156399999999998</v>
      </c>
      <c r="C26" s="23">
        <v>8.0259999999999998</v>
      </c>
      <c r="D26" s="14">
        <f t="shared" si="2"/>
        <v>142.26774790155073</v>
      </c>
      <c r="E26" s="14">
        <f t="shared" si="0"/>
        <v>25.381100564595904</v>
      </c>
      <c r="F26" s="23">
        <v>3.5400000000000001E-2</v>
      </c>
      <c r="G26" s="23">
        <v>1.244E-2</v>
      </c>
      <c r="H26" s="15">
        <v>46</v>
      </c>
      <c r="I26">
        <f t="shared" si="1"/>
        <v>8</v>
      </c>
      <c r="J26" s="15">
        <v>16</v>
      </c>
      <c r="K26" s="23">
        <v>3.7839999999999999E-2</v>
      </c>
      <c r="L26" s="23">
        <v>1.3350000000000001E-2</v>
      </c>
      <c r="M26" s="23">
        <v>0.1489</v>
      </c>
      <c r="N26" s="23">
        <v>4.5690000000000001E-2</v>
      </c>
      <c r="O26" s="23">
        <v>3.0499999999999999E-2</v>
      </c>
      <c r="P26" s="23">
        <v>1.6410000000000001E-3</v>
      </c>
      <c r="Q26" s="23">
        <v>3.5400000000000001E-2</v>
      </c>
      <c r="R26" s="23">
        <v>1.244E-2</v>
      </c>
      <c r="S26" s="23">
        <v>3.4320000000000003E-2</v>
      </c>
      <c r="T26" s="23">
        <v>1.1259999999999999E-2</v>
      </c>
      <c r="U26" s="23">
        <v>7.0289999999999997E-3</v>
      </c>
      <c r="V26" s="23">
        <v>1.2539999999999999E-3</v>
      </c>
      <c r="W26" s="24">
        <v>0.13730000000000001</v>
      </c>
      <c r="X26" s="23">
        <v>-1</v>
      </c>
      <c r="Y26" s="23">
        <v>-1</v>
      </c>
      <c r="Z26" s="23">
        <v>2.8690000000000002</v>
      </c>
      <c r="AA26" s="23">
        <v>8.8880000000000001E-2</v>
      </c>
      <c r="AB26" s="23">
        <v>6.3949999999999996</v>
      </c>
      <c r="AC26" s="23">
        <v>0.1174</v>
      </c>
      <c r="AD26" s="23"/>
      <c r="AE26" s="23"/>
      <c r="AF26" s="23"/>
      <c r="AG26" s="23"/>
      <c r="AH26" s="23">
        <v>5</v>
      </c>
      <c r="AI26" s="23" t="s">
        <v>80</v>
      </c>
      <c r="AJ26" s="23"/>
    </row>
    <row r="27" spans="1:54">
      <c r="A27" s="17">
        <v>20</v>
      </c>
      <c r="B27" s="25">
        <v>54.506399999999999</v>
      </c>
      <c r="C27" s="25">
        <v>9.0150000000000006</v>
      </c>
      <c r="D27" s="14">
        <f t="shared" si="2"/>
        <v>117.77175833235189</v>
      </c>
      <c r="E27" s="14">
        <f t="shared" si="0"/>
        <v>19.556963755578398</v>
      </c>
      <c r="F27" s="25">
        <v>5.1049999999999998E-2</v>
      </c>
      <c r="G27" s="25">
        <v>7.6819999999999996E-3</v>
      </c>
      <c r="H27" s="15">
        <v>54</v>
      </c>
      <c r="I27">
        <f t="shared" si="1"/>
        <v>9</v>
      </c>
      <c r="J27" s="15">
        <v>18</v>
      </c>
      <c r="K27" s="25">
        <v>5.1369999999999999E-2</v>
      </c>
      <c r="L27" s="25">
        <v>7.6119999999999998E-3</v>
      </c>
      <c r="M27" s="25">
        <v>0.26500000000000001</v>
      </c>
      <c r="N27" s="25">
        <v>3.8019999999999998E-2</v>
      </c>
      <c r="O27" s="25">
        <v>3.764E-2</v>
      </c>
      <c r="P27" s="25">
        <v>1.7979999999999999E-3</v>
      </c>
      <c r="Q27" s="25">
        <v>5.1049999999999998E-2</v>
      </c>
      <c r="R27" s="25">
        <v>7.6819999999999996E-3</v>
      </c>
      <c r="S27" s="25">
        <v>5.9769999999999997E-2</v>
      </c>
      <c r="T27" s="25">
        <v>1.278E-2</v>
      </c>
      <c r="U27" s="25">
        <v>8.4910000000000003E-3</v>
      </c>
      <c r="V27" s="25">
        <v>1.41E-3</v>
      </c>
      <c r="W27" s="26">
        <v>0.71319999999999995</v>
      </c>
      <c r="X27" s="25">
        <v>-1</v>
      </c>
      <c r="Y27" s="25">
        <v>-1</v>
      </c>
      <c r="Z27" s="25">
        <v>3.448</v>
      </c>
      <c r="AA27" s="25">
        <v>0.1133</v>
      </c>
      <c r="AB27" s="25">
        <v>6.4980000000000002</v>
      </c>
      <c r="AC27" s="25">
        <v>6.9099999999999995E-2</v>
      </c>
      <c r="AD27" s="25"/>
      <c r="AE27" s="25"/>
      <c r="AF27" s="25"/>
      <c r="AG27" s="25"/>
      <c r="AH27" s="25">
        <v>4</v>
      </c>
      <c r="AI27" s="25" t="s">
        <v>81</v>
      </c>
      <c r="AJ27" s="25"/>
    </row>
    <row r="28" spans="1:54">
      <c r="F28"/>
      <c r="G28"/>
      <c r="I28">
        <f t="shared" si="1"/>
        <v>0</v>
      </c>
      <c r="W28" s="20"/>
    </row>
    <row r="29" spans="1:54">
      <c r="F29"/>
      <c r="G29"/>
      <c r="I29">
        <f t="shared" si="1"/>
        <v>0</v>
      </c>
      <c r="W29" s="20"/>
    </row>
    <row r="30" spans="1:54">
      <c r="A30" s="19" t="s">
        <v>85</v>
      </c>
      <c r="F30"/>
      <c r="G30"/>
      <c r="I30">
        <f t="shared" si="1"/>
        <v>0</v>
      </c>
      <c r="W30" s="20"/>
    </row>
    <row r="31" spans="1:54">
      <c r="A31" s="17" t="s">
        <v>71</v>
      </c>
      <c r="F31"/>
      <c r="G31"/>
      <c r="I31">
        <f t="shared" si="1"/>
        <v>0</v>
      </c>
      <c r="W31" s="20"/>
    </row>
    <row r="32" spans="1:54">
      <c r="A32" s="17" t="s">
        <v>73</v>
      </c>
      <c r="F32"/>
      <c r="G32"/>
      <c r="I32">
        <f t="shared" si="1"/>
        <v>0</v>
      </c>
      <c r="W32" s="20"/>
    </row>
    <row r="33" spans="1:36">
      <c r="A33" s="17">
        <v>1</v>
      </c>
      <c r="B33" s="14">
        <v>2.6710699999999998</v>
      </c>
      <c r="C33" s="27">
        <v>0.55500000000000005</v>
      </c>
      <c r="D33" s="14">
        <f>1/U33</f>
        <v>2413.1274131274131</v>
      </c>
      <c r="E33" s="14">
        <f t="shared" ref="E33:E52" si="3">(V33/U33)*D33</f>
        <v>501.55083033944044</v>
      </c>
      <c r="F33">
        <v>9.7110000000000002E-2</v>
      </c>
      <c r="G33">
        <v>1.77E-2</v>
      </c>
      <c r="H33" s="15">
        <v>2.5</v>
      </c>
      <c r="I33">
        <f t="shared" si="1"/>
        <v>0.5</v>
      </c>
      <c r="J33" s="15">
        <v>1</v>
      </c>
      <c r="K33" s="16">
        <v>9.98E-2</v>
      </c>
      <c r="L33">
        <v>1.7520000000000001E-2</v>
      </c>
      <c r="M33">
        <v>2.1229999999999999E-2</v>
      </c>
      <c r="N33">
        <v>3.496E-3</v>
      </c>
      <c r="O33">
        <v>1.586E-3</v>
      </c>
      <c r="P33">
        <v>1.6760000000000001E-4</v>
      </c>
      <c r="Q33">
        <v>9.7110000000000002E-2</v>
      </c>
      <c r="R33">
        <v>1.77E-2</v>
      </c>
      <c r="S33">
        <v>5.5490000000000001E-3</v>
      </c>
      <c r="T33">
        <v>1.325E-3</v>
      </c>
      <c r="U33">
        <v>4.1439999999999999E-4</v>
      </c>
      <c r="V33">
        <v>8.6130000000000004E-5</v>
      </c>
      <c r="W33" s="20">
        <v>0.67510000000000003</v>
      </c>
      <c r="X33">
        <v>-1</v>
      </c>
      <c r="Y33">
        <v>-1</v>
      </c>
      <c r="Z33">
        <v>36.39</v>
      </c>
      <c r="AA33">
        <v>1.7390000000000001</v>
      </c>
      <c r="AB33">
        <v>7.4139999999999997</v>
      </c>
      <c r="AC33">
        <v>0.115</v>
      </c>
      <c r="AD33">
        <v>18.86</v>
      </c>
      <c r="AE33">
        <v>15.62</v>
      </c>
      <c r="AF33">
        <v>38.340000000000003</v>
      </c>
      <c r="AG33" t="s">
        <v>75</v>
      </c>
      <c r="AH33">
        <v>5</v>
      </c>
      <c r="AI33" t="s">
        <v>86</v>
      </c>
      <c r="AJ33" t="s">
        <v>77</v>
      </c>
    </row>
    <row r="34" spans="1:36">
      <c r="A34" s="17">
        <v>2</v>
      </c>
      <c r="B34" s="14">
        <v>2.33175</v>
      </c>
      <c r="C34" s="27">
        <v>0.55920000000000003</v>
      </c>
      <c r="D34" s="14">
        <f>1/U34</f>
        <v>2763.9579878385848</v>
      </c>
      <c r="E34" s="14">
        <f t="shared" si="3"/>
        <v>662.95266496581644</v>
      </c>
      <c r="F34">
        <v>5.0509999999999999E-2</v>
      </c>
      <c r="G34">
        <v>2.2380000000000001E-2</v>
      </c>
      <c r="H34" s="15">
        <v>2.2999999999999998</v>
      </c>
      <c r="I34">
        <f t="shared" si="1"/>
        <v>0.55000000000000004</v>
      </c>
      <c r="J34" s="15">
        <v>1.1000000000000001</v>
      </c>
      <c r="K34" s="16">
        <v>4.7559999999999998E-2</v>
      </c>
      <c r="L34">
        <v>2.4799999999999999E-2</v>
      </c>
      <c r="M34">
        <v>7.8530000000000006E-3</v>
      </c>
      <c r="N34">
        <v>3.663E-3</v>
      </c>
      <c r="O34">
        <v>1.1280000000000001E-3</v>
      </c>
      <c r="P34">
        <v>1.136E-4</v>
      </c>
      <c r="Q34">
        <v>5.0509999999999999E-2</v>
      </c>
      <c r="R34">
        <v>2.2380000000000001E-2</v>
      </c>
      <c r="S34">
        <v>2.5200000000000001E-3</v>
      </c>
      <c r="T34">
        <v>1.292E-3</v>
      </c>
      <c r="U34">
        <v>3.6180000000000001E-4</v>
      </c>
      <c r="V34">
        <v>8.6780000000000006E-5</v>
      </c>
      <c r="W34" s="20">
        <v>0.505</v>
      </c>
      <c r="X34">
        <v>-1</v>
      </c>
      <c r="Y34">
        <v>-1</v>
      </c>
      <c r="Z34">
        <v>29.31</v>
      </c>
      <c r="AA34">
        <v>0.59509999999999996</v>
      </c>
      <c r="AB34">
        <v>6.9</v>
      </c>
      <c r="AC34">
        <v>2.6079999999999999E-2</v>
      </c>
      <c r="AH34">
        <v>5</v>
      </c>
      <c r="AI34" t="s">
        <v>78</v>
      </c>
    </row>
    <row r="35" spans="1:36">
      <c r="A35" s="17">
        <v>3</v>
      </c>
      <c r="B35" s="14">
        <v>2.7203599999999999</v>
      </c>
      <c r="C35" s="27">
        <v>0.64570000000000005</v>
      </c>
      <c r="D35" s="14">
        <f>1/U35</f>
        <v>2369.106846718787</v>
      </c>
      <c r="E35" s="14">
        <f t="shared" si="3"/>
        <v>562.38925856721733</v>
      </c>
      <c r="F35">
        <v>6.0949999999999997E-2</v>
      </c>
      <c r="G35">
        <v>1.7270000000000001E-2</v>
      </c>
      <c r="H35" s="15">
        <v>2.7</v>
      </c>
      <c r="I35">
        <f t="shared" si="1"/>
        <v>0.65</v>
      </c>
      <c r="J35" s="15">
        <v>1.3</v>
      </c>
      <c r="K35" s="16">
        <v>6.1559999999999997E-2</v>
      </c>
      <c r="L35">
        <v>1.7139999999999999E-2</v>
      </c>
      <c r="M35">
        <v>1.059E-2</v>
      </c>
      <c r="N35">
        <v>2.8310000000000002E-3</v>
      </c>
      <c r="O35">
        <v>1.2600000000000001E-3</v>
      </c>
      <c r="P35">
        <v>9.8480000000000006E-5</v>
      </c>
      <c r="Q35">
        <v>6.0949999999999997E-2</v>
      </c>
      <c r="R35">
        <v>1.7270000000000001E-2</v>
      </c>
      <c r="S35">
        <v>3.5469999999999998E-3</v>
      </c>
      <c r="T35">
        <v>1.201E-3</v>
      </c>
      <c r="U35">
        <v>4.2210000000000001E-4</v>
      </c>
      <c r="V35">
        <v>1.002E-4</v>
      </c>
      <c r="W35" s="20">
        <v>0.56410000000000005</v>
      </c>
      <c r="X35">
        <v>-1</v>
      </c>
      <c r="Y35">
        <v>-1</v>
      </c>
      <c r="Z35">
        <v>26.31</v>
      </c>
      <c r="AA35">
        <v>0.53659999999999997</v>
      </c>
      <c r="AB35">
        <v>6.8049999999999997</v>
      </c>
      <c r="AC35">
        <v>4.0210000000000003E-2</v>
      </c>
      <c r="AH35">
        <v>5</v>
      </c>
      <c r="AI35" t="s">
        <v>79</v>
      </c>
    </row>
    <row r="36" spans="1:36">
      <c r="A36" s="17">
        <v>4</v>
      </c>
      <c r="B36" s="14">
        <v>3.0541700000000001</v>
      </c>
      <c r="C36" s="27">
        <v>0.7893</v>
      </c>
      <c r="D36" s="14">
        <f>1/U36</f>
        <v>2110.1498206372653</v>
      </c>
      <c r="E36" s="14">
        <f t="shared" si="3"/>
        <v>545.45970252809661</v>
      </c>
      <c r="F36">
        <v>5.142E-2</v>
      </c>
      <c r="G36">
        <v>1.8329999999999999E-2</v>
      </c>
      <c r="H36" s="15">
        <v>3</v>
      </c>
      <c r="I36">
        <f t="shared" si="1"/>
        <v>0.8</v>
      </c>
      <c r="J36" s="15">
        <v>1.6</v>
      </c>
      <c r="K36" s="16">
        <v>5.2019999999999997E-2</v>
      </c>
      <c r="L36">
        <v>1.8010000000000002E-2</v>
      </c>
      <c r="M36">
        <v>9.1149999999999998E-3</v>
      </c>
      <c r="N36">
        <v>3.124E-3</v>
      </c>
      <c r="O36">
        <v>1.2849999999999999E-3</v>
      </c>
      <c r="P36">
        <v>1.027E-4</v>
      </c>
      <c r="Q36">
        <v>5.142E-2</v>
      </c>
      <c r="R36">
        <v>1.8329999999999999E-2</v>
      </c>
      <c r="S36">
        <v>3.3600000000000001E-3</v>
      </c>
      <c r="T36">
        <v>1.418E-3</v>
      </c>
      <c r="U36">
        <v>4.7390000000000003E-4</v>
      </c>
      <c r="V36">
        <v>1.225E-4</v>
      </c>
      <c r="W36" s="20">
        <v>0.54049999999999998</v>
      </c>
      <c r="X36">
        <v>-1</v>
      </c>
      <c r="Y36">
        <v>-1</v>
      </c>
      <c r="Z36">
        <v>22.95</v>
      </c>
      <c r="AA36">
        <v>0.2767</v>
      </c>
      <c r="AB36">
        <v>6.6059999999999999</v>
      </c>
      <c r="AC36">
        <v>6.5259999999999999E-2</v>
      </c>
      <c r="AH36">
        <v>5</v>
      </c>
      <c r="AI36" t="s">
        <v>80</v>
      </c>
    </row>
    <row r="37" spans="1:36">
      <c r="A37" s="17">
        <v>5</v>
      </c>
      <c r="B37" s="14">
        <v>2.7248000000000001</v>
      </c>
      <c r="C37" s="27">
        <v>0.70960000000000001</v>
      </c>
      <c r="D37" s="14">
        <f>1/U37</f>
        <v>2365.1844843897825</v>
      </c>
      <c r="E37" s="14">
        <f t="shared" si="3"/>
        <v>615.91015073631763</v>
      </c>
      <c r="F37">
        <v>5.8049999999999997E-2</v>
      </c>
      <c r="G37">
        <v>2.4070000000000001E-2</v>
      </c>
      <c r="H37" s="15">
        <v>2.7</v>
      </c>
      <c r="I37">
        <f t="shared" si="1"/>
        <v>0.7</v>
      </c>
      <c r="J37" s="15">
        <v>1.4</v>
      </c>
      <c r="K37" s="16">
        <v>5.6180000000000001E-2</v>
      </c>
      <c r="L37">
        <v>2.427E-2</v>
      </c>
      <c r="M37">
        <v>9.1710000000000003E-3</v>
      </c>
      <c r="N37">
        <v>4.0670000000000003E-3</v>
      </c>
      <c r="O37">
        <v>1.1460000000000001E-3</v>
      </c>
      <c r="P37">
        <v>1.1230000000000001E-4</v>
      </c>
      <c r="Q37">
        <v>5.8049999999999997E-2</v>
      </c>
      <c r="R37">
        <v>2.4070000000000001E-2</v>
      </c>
      <c r="S37">
        <v>3.3839999999999999E-3</v>
      </c>
      <c r="T37">
        <v>1.645E-3</v>
      </c>
      <c r="U37">
        <v>4.2279999999999998E-4</v>
      </c>
      <c r="V37">
        <v>1.1010000000000001E-4</v>
      </c>
      <c r="W37" s="20">
        <v>0.52210000000000001</v>
      </c>
      <c r="X37">
        <v>-1</v>
      </c>
      <c r="Y37">
        <v>-1</v>
      </c>
      <c r="Z37">
        <v>21.5</v>
      </c>
      <c r="AA37">
        <v>0.29089999999999999</v>
      </c>
      <c r="AB37">
        <v>6.6050000000000004</v>
      </c>
      <c r="AC37">
        <v>5.1429999999999997E-2</v>
      </c>
      <c r="AH37">
        <v>4</v>
      </c>
      <c r="AI37" t="s">
        <v>81</v>
      </c>
    </row>
    <row r="38" spans="1:36">
      <c r="A38" s="17">
        <v>6</v>
      </c>
      <c r="B38" s="21">
        <v>2.7056100000000001</v>
      </c>
      <c r="C38" s="21">
        <v>0.98019999999999996</v>
      </c>
      <c r="D38" s="14">
        <f t="shared" ref="D38:D52" si="4">1/U38</f>
        <v>2382.0867079561694</v>
      </c>
      <c r="E38" s="14">
        <f t="shared" si="3"/>
        <v>863.06667051008435</v>
      </c>
      <c r="F38" s="21">
        <v>7.6759999999999995E-2</v>
      </c>
      <c r="G38" s="21">
        <v>2.4289999999999999E-2</v>
      </c>
      <c r="H38" s="15">
        <v>2.6</v>
      </c>
      <c r="I38">
        <f t="shared" si="1"/>
        <v>0.95</v>
      </c>
      <c r="J38" s="15">
        <v>1.9</v>
      </c>
      <c r="K38" s="21">
        <v>7.8780000000000003E-2</v>
      </c>
      <c r="L38" s="21">
        <v>2.3939999999999999E-2</v>
      </c>
      <c r="M38" s="21">
        <v>1.196E-2</v>
      </c>
      <c r="N38" s="21">
        <v>3.4529999999999999E-3</v>
      </c>
      <c r="O38" s="21">
        <v>1.1299999999999999E-3</v>
      </c>
      <c r="P38" s="21">
        <v>1.0739999999999999E-4</v>
      </c>
      <c r="Q38" s="21">
        <v>7.6759999999999995E-2</v>
      </c>
      <c r="R38" s="21">
        <v>2.4289999999999999E-2</v>
      </c>
      <c r="S38" s="21">
        <v>4.4429999999999999E-3</v>
      </c>
      <c r="T38" s="21">
        <v>2.068E-3</v>
      </c>
      <c r="U38" s="21">
        <v>4.1980000000000001E-4</v>
      </c>
      <c r="V38" s="21">
        <v>1.5210000000000001E-4</v>
      </c>
      <c r="W38" s="22">
        <v>0.73470000000000002</v>
      </c>
      <c r="X38" s="21">
        <v>-1</v>
      </c>
      <c r="Y38" s="21">
        <v>-1</v>
      </c>
      <c r="Z38" s="21">
        <v>17.399999999999999</v>
      </c>
      <c r="AA38" s="21">
        <v>0.43859999999999999</v>
      </c>
      <c r="AB38" s="21">
        <v>6.6120000000000001</v>
      </c>
      <c r="AC38" s="21">
        <v>3.5680000000000003E-2</v>
      </c>
      <c r="AD38" s="21">
        <v>18.86</v>
      </c>
      <c r="AE38" s="21">
        <v>15.62</v>
      </c>
      <c r="AF38" s="21">
        <v>38.340000000000003</v>
      </c>
      <c r="AG38" s="21" t="s">
        <v>75</v>
      </c>
      <c r="AH38" s="21">
        <v>5</v>
      </c>
      <c r="AI38" s="21" t="s">
        <v>86</v>
      </c>
      <c r="AJ38" s="21" t="s">
        <v>87</v>
      </c>
    </row>
    <row r="39" spans="1:36">
      <c r="A39" s="17">
        <v>7</v>
      </c>
      <c r="B39" s="23">
        <v>3.0507399999999998</v>
      </c>
      <c r="C39" s="23">
        <v>1.1679999999999999</v>
      </c>
      <c r="D39" s="14">
        <f t="shared" si="4"/>
        <v>2112.3785382340516</v>
      </c>
      <c r="E39" s="14">
        <f t="shared" si="3"/>
        <v>808.54032768907939</v>
      </c>
      <c r="F39" s="23">
        <v>6.5909999999999996E-2</v>
      </c>
      <c r="G39" s="23">
        <v>3.1699999999999999E-2</v>
      </c>
      <c r="H39" s="15">
        <v>3</v>
      </c>
      <c r="I39">
        <f t="shared" si="1"/>
        <v>1.1000000000000001</v>
      </c>
      <c r="J39" s="15">
        <v>2.2000000000000002</v>
      </c>
      <c r="K39" s="23">
        <v>9.2939999999999995E-2</v>
      </c>
      <c r="L39" s="23">
        <v>5.1229999999999998E-2</v>
      </c>
      <c r="M39" s="23">
        <v>1.196E-2</v>
      </c>
      <c r="N39" s="23">
        <v>4.1529999999999996E-3</v>
      </c>
      <c r="O39" s="23">
        <v>1.3159999999999999E-3</v>
      </c>
      <c r="P39" s="23">
        <v>1.7679999999999999E-4</v>
      </c>
      <c r="Q39" s="23">
        <v>6.5909999999999996E-2</v>
      </c>
      <c r="R39" s="23">
        <v>3.1699999999999999E-2</v>
      </c>
      <c r="S39" s="23">
        <v>4.3020000000000003E-3</v>
      </c>
      <c r="T39" s="23">
        <v>1.9620000000000002E-3</v>
      </c>
      <c r="U39" s="23">
        <v>4.7340000000000001E-4</v>
      </c>
      <c r="V39" s="23">
        <v>1.8120000000000001E-4</v>
      </c>
      <c r="W39" s="24">
        <v>0.35320000000000001</v>
      </c>
      <c r="X39" s="23">
        <v>-1</v>
      </c>
      <c r="Y39" s="23">
        <v>-1</v>
      </c>
      <c r="Z39" s="23">
        <v>14.96</v>
      </c>
      <c r="AA39" s="23">
        <v>0.39860000000000001</v>
      </c>
      <c r="AB39" s="23">
        <v>6.6559999999999997</v>
      </c>
      <c r="AC39" s="23">
        <v>7.2050000000000003E-2</v>
      </c>
      <c r="AD39" s="23"/>
      <c r="AE39" s="23"/>
      <c r="AF39" s="23"/>
      <c r="AG39" s="23"/>
      <c r="AH39" s="23">
        <v>5</v>
      </c>
      <c r="AI39" s="23" t="s">
        <v>78</v>
      </c>
      <c r="AJ39" s="23"/>
    </row>
    <row r="40" spans="1:36">
      <c r="A40" s="17">
        <v>8</v>
      </c>
      <c r="B40" s="23">
        <v>2.7836400000000001</v>
      </c>
      <c r="C40" s="23">
        <v>1.0189999999999999</v>
      </c>
      <c r="D40" s="14">
        <f t="shared" si="4"/>
        <v>2315.3507756425101</v>
      </c>
      <c r="E40" s="14">
        <f t="shared" si="3"/>
        <v>848.08634569725655</v>
      </c>
      <c r="F40" s="23">
        <v>8.5040000000000004E-2</v>
      </c>
      <c r="G40" s="23">
        <v>4.4540000000000003E-2</v>
      </c>
      <c r="H40" s="15">
        <v>2.7</v>
      </c>
      <c r="I40">
        <f t="shared" si="1"/>
        <v>0.95</v>
      </c>
      <c r="J40" s="15">
        <v>1.9</v>
      </c>
      <c r="K40" s="23">
        <v>0.1079</v>
      </c>
      <c r="L40" s="23">
        <v>6.1550000000000001E-2</v>
      </c>
      <c r="M40" s="23">
        <v>1.4749999999999999E-2</v>
      </c>
      <c r="N40" s="23">
        <v>6.3480000000000003E-3</v>
      </c>
      <c r="O40" s="23">
        <v>1.258E-3</v>
      </c>
      <c r="P40" s="23">
        <v>1.8349999999999999E-4</v>
      </c>
      <c r="Q40" s="23">
        <v>8.5040000000000004E-2</v>
      </c>
      <c r="R40" s="23">
        <v>4.4540000000000003E-2</v>
      </c>
      <c r="S40" s="23">
        <v>5.0639999999999999E-3</v>
      </c>
      <c r="T40" s="23">
        <v>2.7109999999999999E-3</v>
      </c>
      <c r="U40" s="23">
        <v>4.3189999999999998E-4</v>
      </c>
      <c r="V40" s="23">
        <v>1.582E-4</v>
      </c>
      <c r="W40" s="24">
        <v>0.3735</v>
      </c>
      <c r="X40" s="23">
        <v>-1</v>
      </c>
      <c r="Y40" s="23">
        <v>-1</v>
      </c>
      <c r="Z40" s="23">
        <v>13.08</v>
      </c>
      <c r="AA40" s="23">
        <v>0.37509999999999999</v>
      </c>
      <c r="AB40" s="23">
        <v>6.7229999999999999</v>
      </c>
      <c r="AC40" s="23">
        <v>4.9630000000000001E-2</v>
      </c>
      <c r="AD40" s="23"/>
      <c r="AE40" s="23"/>
      <c r="AF40" s="23"/>
      <c r="AG40" s="23"/>
      <c r="AH40" s="23">
        <v>5</v>
      </c>
      <c r="AI40" s="23" t="s">
        <v>79</v>
      </c>
      <c r="AJ40" s="23"/>
    </row>
    <row r="41" spans="1:36">
      <c r="A41" s="17">
        <v>9</v>
      </c>
      <c r="B41" s="23">
        <v>2.7944200000000001</v>
      </c>
      <c r="C41" s="23">
        <v>0.95</v>
      </c>
      <c r="D41" s="14">
        <f t="shared" si="4"/>
        <v>2306.2730627306273</v>
      </c>
      <c r="E41" s="14">
        <f t="shared" si="3"/>
        <v>784.00518783785617</v>
      </c>
      <c r="F41" s="23">
        <v>2.555E-2</v>
      </c>
      <c r="G41" s="23">
        <v>2.6349999999999998E-2</v>
      </c>
      <c r="H41" s="15">
        <v>2.9</v>
      </c>
      <c r="I41">
        <f t="shared" si="1"/>
        <v>0.95</v>
      </c>
      <c r="J41" s="15">
        <v>1.9</v>
      </c>
      <c r="K41" s="23">
        <v>3.9390000000000001E-2</v>
      </c>
      <c r="L41" s="23">
        <v>3.4369999999999998E-2</v>
      </c>
      <c r="M41" s="23">
        <v>4.9899999999999996E-3</v>
      </c>
      <c r="N41" s="23">
        <v>4.5880000000000001E-3</v>
      </c>
      <c r="O41" s="23">
        <v>1.4159999999999999E-3</v>
      </c>
      <c r="P41" s="23">
        <v>2.1609999999999999E-4</v>
      </c>
      <c r="Q41" s="23">
        <v>2.555E-2</v>
      </c>
      <c r="R41" s="23">
        <v>2.6349999999999998E-2</v>
      </c>
      <c r="S41" s="23">
        <v>1.5280000000000001E-3</v>
      </c>
      <c r="T41" s="23">
        <v>1.4499999999999999E-3</v>
      </c>
      <c r="U41" s="23">
        <v>4.3360000000000002E-4</v>
      </c>
      <c r="V41" s="23">
        <v>1.474E-4</v>
      </c>
      <c r="W41" s="24">
        <v>-7.1669999999999998E-2</v>
      </c>
      <c r="X41" s="23">
        <v>-1</v>
      </c>
      <c r="Y41" s="23">
        <v>-1</v>
      </c>
      <c r="Z41" s="23">
        <v>10.61</v>
      </c>
      <c r="AA41" s="23">
        <v>0.31480000000000002</v>
      </c>
      <c r="AB41" s="23">
        <v>6.899</v>
      </c>
      <c r="AC41" s="23">
        <v>6.0139999999999999E-2</v>
      </c>
      <c r="AD41" s="23"/>
      <c r="AE41" s="23"/>
      <c r="AF41" s="23"/>
      <c r="AG41" s="23"/>
      <c r="AH41" s="23">
        <v>5</v>
      </c>
      <c r="AI41" s="23" t="s">
        <v>80</v>
      </c>
      <c r="AJ41" s="23"/>
    </row>
    <row r="42" spans="1:36">
      <c r="A42" s="17">
        <v>10</v>
      </c>
      <c r="B42" s="25">
        <v>3.1595499999999999</v>
      </c>
      <c r="C42" s="25">
        <v>0.89790000000000003</v>
      </c>
      <c r="D42" s="14">
        <f t="shared" si="4"/>
        <v>2039.9836801305589</v>
      </c>
      <c r="E42" s="14">
        <f t="shared" si="3"/>
        <v>580.11775807874324</v>
      </c>
      <c r="F42" s="25">
        <v>5.1749999999999997E-2</v>
      </c>
      <c r="G42" s="25">
        <v>2.6589999999999999E-2</v>
      </c>
      <c r="H42" s="15">
        <v>3.1</v>
      </c>
      <c r="I42">
        <f t="shared" si="1"/>
        <v>0.9</v>
      </c>
      <c r="J42" s="15">
        <v>1.8</v>
      </c>
      <c r="K42" s="25">
        <v>5.8110000000000002E-2</v>
      </c>
      <c r="L42" s="25">
        <v>2.69E-2</v>
      </c>
      <c r="M42" s="25">
        <v>1.265E-2</v>
      </c>
      <c r="N42" s="25">
        <v>5.6569999999999997E-3</v>
      </c>
      <c r="O42" s="25">
        <v>1.7719999999999999E-3</v>
      </c>
      <c r="P42" s="25">
        <v>2.12E-4</v>
      </c>
      <c r="Q42" s="25">
        <v>5.1749999999999997E-2</v>
      </c>
      <c r="R42" s="25">
        <v>2.6589999999999999E-2</v>
      </c>
      <c r="S42" s="25">
        <v>3.4979999999999998E-3</v>
      </c>
      <c r="T42" s="25">
        <v>1.8209999999999999E-3</v>
      </c>
      <c r="U42" s="25">
        <v>4.9019999999999999E-4</v>
      </c>
      <c r="V42" s="25">
        <v>1.394E-4</v>
      </c>
      <c r="W42" s="26">
        <v>0.29709999999999998</v>
      </c>
      <c r="X42" s="25">
        <v>-1</v>
      </c>
      <c r="Y42" s="25">
        <v>-1</v>
      </c>
      <c r="Z42" s="25">
        <v>8.91</v>
      </c>
      <c r="AA42" s="25">
        <v>0.36</v>
      </c>
      <c r="AB42" s="25">
        <v>7.0739999999999998</v>
      </c>
      <c r="AC42" s="25">
        <v>0.11799999999999999</v>
      </c>
      <c r="AD42" s="25"/>
      <c r="AE42" s="25"/>
      <c r="AF42" s="25"/>
      <c r="AG42" s="25"/>
      <c r="AH42" s="25">
        <v>4</v>
      </c>
      <c r="AI42" s="25" t="s">
        <v>81</v>
      </c>
      <c r="AJ42" s="25"/>
    </row>
    <row r="43" spans="1:36">
      <c r="A43" s="17">
        <v>11</v>
      </c>
      <c r="B43" s="21">
        <v>2.80653</v>
      </c>
      <c r="C43" s="21">
        <v>0.93710000000000004</v>
      </c>
      <c r="D43" s="14">
        <f t="shared" si="4"/>
        <v>2296.211251435132</v>
      </c>
      <c r="E43" s="14">
        <f t="shared" si="3"/>
        <v>766.63402057099472</v>
      </c>
      <c r="F43" s="21">
        <v>5.3600000000000002E-2</v>
      </c>
      <c r="G43" s="21">
        <v>2.3210000000000001E-2</v>
      </c>
      <c r="H43" s="15">
        <v>2.8</v>
      </c>
      <c r="I43">
        <f t="shared" si="1"/>
        <v>0.9</v>
      </c>
      <c r="J43" s="15">
        <v>1.8</v>
      </c>
      <c r="K43" s="21">
        <v>6.5879999999999994E-2</v>
      </c>
      <c r="L43" s="21">
        <v>3.6229999999999998E-2</v>
      </c>
      <c r="M43" s="21">
        <v>1.498E-2</v>
      </c>
      <c r="N43" s="21">
        <v>6.2240000000000004E-3</v>
      </c>
      <c r="O43" s="21">
        <v>2.0270000000000002E-3</v>
      </c>
      <c r="P43" s="21">
        <v>4.0939999999999998E-4</v>
      </c>
      <c r="Q43" s="21">
        <v>5.3600000000000002E-2</v>
      </c>
      <c r="R43" s="21">
        <v>2.3210000000000001E-2</v>
      </c>
      <c r="S43" s="21">
        <v>3.2179999999999999E-3</v>
      </c>
      <c r="T43" s="21">
        <v>1.5399999999999999E-3</v>
      </c>
      <c r="U43" s="21">
        <v>4.3550000000000001E-4</v>
      </c>
      <c r="V43" s="21">
        <v>1.4540000000000001E-4</v>
      </c>
      <c r="W43" s="22">
        <v>0.47889999999999999</v>
      </c>
      <c r="X43" s="21">
        <v>-1</v>
      </c>
      <c r="Y43" s="21">
        <v>-1</v>
      </c>
      <c r="Z43" s="21">
        <v>6.9909999999999997</v>
      </c>
      <c r="AA43" s="21">
        <v>0.18160000000000001</v>
      </c>
      <c r="AB43" s="21">
        <v>7.4059999999999997</v>
      </c>
      <c r="AC43" s="21">
        <v>0.1447</v>
      </c>
      <c r="AD43" s="21">
        <v>18.86</v>
      </c>
      <c r="AE43" s="21">
        <v>15.62</v>
      </c>
      <c r="AF43" s="21">
        <v>38.340000000000003</v>
      </c>
      <c r="AG43" s="21" t="s">
        <v>75</v>
      </c>
      <c r="AH43" s="21">
        <v>5</v>
      </c>
      <c r="AI43" s="21" t="s">
        <v>86</v>
      </c>
      <c r="AJ43" s="21" t="s">
        <v>83</v>
      </c>
    </row>
    <row r="44" spans="1:36">
      <c r="A44" s="17">
        <v>12</v>
      </c>
      <c r="B44" s="23">
        <v>8.0504300000000004</v>
      </c>
      <c r="C44" s="23">
        <v>2.4390000000000001</v>
      </c>
      <c r="D44" s="14">
        <f t="shared" si="4"/>
        <v>800</v>
      </c>
      <c r="E44" s="14">
        <f t="shared" si="3"/>
        <v>242.43199999999999</v>
      </c>
      <c r="F44" s="23">
        <v>4.8989999999999999E-2</v>
      </c>
      <c r="G44" s="23">
        <v>1.017E-2</v>
      </c>
      <c r="H44" s="15">
        <v>8</v>
      </c>
      <c r="I44">
        <f t="shared" si="1"/>
        <v>2.4</v>
      </c>
      <c r="J44" s="15">
        <v>4.8</v>
      </c>
      <c r="K44" s="23">
        <v>5.169E-2</v>
      </c>
      <c r="L44" s="23">
        <v>1.354E-2</v>
      </c>
      <c r="M44" s="23">
        <v>4.3240000000000001E-2</v>
      </c>
      <c r="N44" s="23">
        <v>1.0959999999999999E-2</v>
      </c>
      <c r="O44" s="23">
        <v>6.4019999999999997E-3</v>
      </c>
      <c r="P44" s="23">
        <v>1.1709999999999999E-3</v>
      </c>
      <c r="Q44" s="23">
        <v>4.8989999999999999E-2</v>
      </c>
      <c r="R44" s="23">
        <v>1.017E-2</v>
      </c>
      <c r="S44" s="23">
        <v>8.4410000000000006E-3</v>
      </c>
      <c r="T44" s="23">
        <v>3.094E-3</v>
      </c>
      <c r="U44" s="23">
        <v>1.25E-3</v>
      </c>
      <c r="V44" s="23">
        <v>3.7879999999999999E-4</v>
      </c>
      <c r="W44" s="24">
        <v>0.82399999999999995</v>
      </c>
      <c r="X44" s="23">
        <v>-1</v>
      </c>
      <c r="Y44" s="23">
        <v>-1</v>
      </c>
      <c r="Z44" s="23">
        <v>6.6580000000000004</v>
      </c>
      <c r="AA44" s="23">
        <v>0.10920000000000001</v>
      </c>
      <c r="AB44" s="23">
        <v>7.641</v>
      </c>
      <c r="AC44" s="23">
        <v>0.1216</v>
      </c>
      <c r="AD44" s="23"/>
      <c r="AE44" s="23"/>
      <c r="AF44" s="23"/>
      <c r="AG44" s="23"/>
      <c r="AH44" s="23">
        <v>5</v>
      </c>
      <c r="AI44" s="23" t="s">
        <v>78</v>
      </c>
      <c r="AJ44" s="23"/>
    </row>
    <row r="45" spans="1:36">
      <c r="A45" s="17">
        <v>13</v>
      </c>
      <c r="B45" s="23">
        <v>14.507199999999999</v>
      </c>
      <c r="C45" s="23">
        <v>3.8809999999999998</v>
      </c>
      <c r="D45" s="14">
        <f t="shared" si="4"/>
        <v>443.85264092321353</v>
      </c>
      <c r="E45" s="14">
        <f t="shared" si="3"/>
        <v>118.89261819669747</v>
      </c>
      <c r="F45" s="23">
        <v>4.8230000000000002E-2</v>
      </c>
      <c r="G45" s="23">
        <v>1.456E-2</v>
      </c>
      <c r="H45" s="15">
        <v>14.5</v>
      </c>
      <c r="I45">
        <f t="shared" si="1"/>
        <v>3.85</v>
      </c>
      <c r="J45" s="15">
        <v>7.7</v>
      </c>
      <c r="K45" s="23">
        <v>5.0840000000000003E-2</v>
      </c>
      <c r="L45" s="23">
        <v>1.5990000000000001E-2</v>
      </c>
      <c r="M45" s="23">
        <v>7.7630000000000005E-2</v>
      </c>
      <c r="N45" s="23">
        <v>2.043E-2</v>
      </c>
      <c r="O45" s="23">
        <v>1.167E-2</v>
      </c>
      <c r="P45" s="23">
        <v>7.7530000000000003E-4</v>
      </c>
      <c r="Q45" s="23">
        <v>4.8230000000000002E-2</v>
      </c>
      <c r="R45" s="23">
        <v>1.456E-2</v>
      </c>
      <c r="S45" s="23">
        <v>1.498E-2</v>
      </c>
      <c r="T45" s="23">
        <v>5.8199999999999997E-3</v>
      </c>
      <c r="U45" s="23">
        <v>2.2529999999999998E-3</v>
      </c>
      <c r="V45" s="23">
        <v>6.0349999999999998E-4</v>
      </c>
      <c r="W45" s="24">
        <v>0.63219999999999998</v>
      </c>
      <c r="X45" s="23">
        <v>-1</v>
      </c>
      <c r="Y45" s="23">
        <v>-1</v>
      </c>
      <c r="Z45" s="23">
        <v>6.2549999999999999</v>
      </c>
      <c r="AA45" s="23">
        <v>7.1550000000000002E-2</v>
      </c>
      <c r="AB45" s="23">
        <v>7.67</v>
      </c>
      <c r="AC45" s="23">
        <v>6.3909999999999995E-2</v>
      </c>
      <c r="AD45" s="23"/>
      <c r="AE45" s="23"/>
      <c r="AF45" s="23"/>
      <c r="AG45" s="23"/>
      <c r="AH45" s="23">
        <v>5</v>
      </c>
      <c r="AI45" s="23" t="s">
        <v>79</v>
      </c>
      <c r="AJ45" s="23"/>
    </row>
    <row r="46" spans="1:36">
      <c r="A46" s="17">
        <v>14</v>
      </c>
      <c r="B46" s="23">
        <v>27.168900000000001</v>
      </c>
      <c r="C46" s="23">
        <v>8.1340000000000003</v>
      </c>
      <c r="D46" s="14">
        <f t="shared" si="4"/>
        <v>236.79848448969926</v>
      </c>
      <c r="E46" s="14">
        <f t="shared" si="3"/>
        <v>71.045152699135429</v>
      </c>
      <c r="F46" s="23">
        <v>4.0809999999999999E-2</v>
      </c>
      <c r="G46" s="23">
        <v>6.2350000000000001E-3</v>
      </c>
      <c r="H46" s="15">
        <v>27</v>
      </c>
      <c r="I46">
        <f t="shared" si="1"/>
        <v>8</v>
      </c>
      <c r="J46" s="15">
        <v>16</v>
      </c>
      <c r="K46" s="23">
        <v>4.1110000000000001E-2</v>
      </c>
      <c r="L46" s="23">
        <v>6.4070000000000004E-3</v>
      </c>
      <c r="M46" s="23">
        <v>0.1079</v>
      </c>
      <c r="N46" s="23">
        <v>1.6379999999999999E-2</v>
      </c>
      <c r="O46" s="23">
        <v>1.9179999999999999E-2</v>
      </c>
      <c r="P46" s="23">
        <v>1.1130000000000001E-3</v>
      </c>
      <c r="Q46" s="23">
        <v>4.0809999999999999E-2</v>
      </c>
      <c r="R46" s="23">
        <v>6.2350000000000001E-3</v>
      </c>
      <c r="S46" s="23">
        <v>2.3769999999999999E-2</v>
      </c>
      <c r="T46" s="23">
        <v>8.0190000000000001E-3</v>
      </c>
      <c r="U46" s="23">
        <v>4.2230000000000002E-3</v>
      </c>
      <c r="V46" s="23">
        <v>1.2669999999999999E-3</v>
      </c>
      <c r="W46" s="24">
        <v>0.89159999999999995</v>
      </c>
      <c r="X46" s="23">
        <v>-1</v>
      </c>
      <c r="Y46" s="23">
        <v>-1</v>
      </c>
      <c r="Z46" s="23">
        <v>6.9269999999999996</v>
      </c>
      <c r="AA46" s="23">
        <v>0.1409</v>
      </c>
      <c r="AB46" s="23">
        <v>7.35</v>
      </c>
      <c r="AC46" s="23">
        <v>9.0310000000000001E-2</v>
      </c>
      <c r="AD46" s="23"/>
      <c r="AE46" s="23"/>
      <c r="AF46" s="23"/>
      <c r="AG46" s="23"/>
      <c r="AH46" s="23">
        <v>5</v>
      </c>
      <c r="AI46" s="23" t="s">
        <v>80</v>
      </c>
      <c r="AJ46" s="23"/>
    </row>
    <row r="47" spans="1:36">
      <c r="A47" s="17">
        <v>15</v>
      </c>
      <c r="B47" s="25">
        <v>31.873799999999999</v>
      </c>
      <c r="C47" s="25">
        <v>9.5920000000000005</v>
      </c>
      <c r="D47" s="14">
        <f t="shared" si="4"/>
        <v>201.7349203147065</v>
      </c>
      <c r="E47" s="14">
        <f t="shared" si="3"/>
        <v>60.841982221199572</v>
      </c>
      <c r="F47" s="25">
        <v>5.858E-2</v>
      </c>
      <c r="G47" s="25">
        <v>1.507E-2</v>
      </c>
      <c r="H47" s="15">
        <v>31</v>
      </c>
      <c r="I47">
        <f t="shared" si="1"/>
        <v>9.5</v>
      </c>
      <c r="J47" s="15">
        <v>19</v>
      </c>
      <c r="K47" s="25">
        <v>5.978E-2</v>
      </c>
      <c r="L47" s="25">
        <v>1.5180000000000001E-2</v>
      </c>
      <c r="M47" s="25">
        <v>0.18229999999999999</v>
      </c>
      <c r="N47" s="25">
        <v>4.3360000000000003E-2</v>
      </c>
      <c r="O47" s="25">
        <v>2.257E-2</v>
      </c>
      <c r="P47" s="25">
        <v>1.1349999999999999E-3</v>
      </c>
      <c r="Q47" s="25">
        <v>5.858E-2</v>
      </c>
      <c r="R47" s="25">
        <v>1.507E-2</v>
      </c>
      <c r="S47" s="25">
        <v>4.0030000000000003E-2</v>
      </c>
      <c r="T47" s="25">
        <v>1.4829999999999999E-2</v>
      </c>
      <c r="U47" s="25">
        <v>4.9569999999999996E-3</v>
      </c>
      <c r="V47" s="25">
        <v>1.495E-3</v>
      </c>
      <c r="W47" s="26">
        <v>0.72489999999999999</v>
      </c>
      <c r="X47" s="25">
        <v>-1</v>
      </c>
      <c r="Y47" s="25">
        <v>-1</v>
      </c>
      <c r="Z47" s="25">
        <v>7.2140000000000004</v>
      </c>
      <c r="AA47" s="25">
        <v>0.1449</v>
      </c>
      <c r="AB47" s="25">
        <v>7.3559999999999999</v>
      </c>
      <c r="AC47" s="25">
        <v>7.0900000000000005E-2</v>
      </c>
      <c r="AD47" s="25"/>
      <c r="AE47" s="25"/>
      <c r="AF47" s="25"/>
      <c r="AG47" s="25"/>
      <c r="AH47" s="25">
        <v>4</v>
      </c>
      <c r="AI47" s="25" t="s">
        <v>81</v>
      </c>
      <c r="AJ47" s="25"/>
    </row>
    <row r="48" spans="1:36">
      <c r="A48" s="17">
        <v>16</v>
      </c>
      <c r="B48" s="21">
        <v>34.741</v>
      </c>
      <c r="C48" s="21">
        <v>5.1580000000000004</v>
      </c>
      <c r="D48" s="14">
        <f t="shared" si="4"/>
        <v>185.04811250925241</v>
      </c>
      <c r="E48" s="14">
        <f t="shared" si="3"/>
        <v>27.548335772334116</v>
      </c>
      <c r="F48" s="21">
        <v>5.7009999999999998E-2</v>
      </c>
      <c r="G48" s="21">
        <v>6.1650000000000003E-3</v>
      </c>
      <c r="H48" s="15">
        <v>34</v>
      </c>
      <c r="I48">
        <f t="shared" si="1"/>
        <v>5</v>
      </c>
      <c r="J48" s="15">
        <v>10</v>
      </c>
      <c r="K48" s="21">
        <v>5.7489999999999999E-2</v>
      </c>
      <c r="L48" s="21">
        <v>5.986E-3</v>
      </c>
      <c r="M48" s="21">
        <v>0.2203</v>
      </c>
      <c r="N48" s="21">
        <v>2.2120000000000001E-2</v>
      </c>
      <c r="O48" s="21">
        <v>2.8029999999999999E-2</v>
      </c>
      <c r="P48" s="21">
        <v>1.5640000000000001E-3</v>
      </c>
      <c r="Q48" s="21">
        <v>5.7009999999999998E-2</v>
      </c>
      <c r="R48" s="21">
        <v>6.1650000000000003E-3</v>
      </c>
      <c r="S48" s="21">
        <v>4.2479999999999997E-2</v>
      </c>
      <c r="T48" s="21">
        <v>7.1720000000000004E-3</v>
      </c>
      <c r="U48" s="21">
        <v>5.4039999999999999E-3</v>
      </c>
      <c r="V48" s="21">
        <v>8.0449999999999999E-4</v>
      </c>
      <c r="W48" s="22">
        <v>0.77529999999999999</v>
      </c>
      <c r="X48" s="21">
        <v>-1</v>
      </c>
      <c r="Y48" s="21">
        <v>-1</v>
      </c>
      <c r="Z48" s="21">
        <v>7.5540000000000003</v>
      </c>
      <c r="AA48" s="21">
        <v>0.1033</v>
      </c>
      <c r="AB48" s="21">
        <v>7.3259999999999996</v>
      </c>
      <c r="AC48" s="21">
        <v>4.922E-2</v>
      </c>
      <c r="AD48" s="21">
        <v>18.86</v>
      </c>
      <c r="AE48" s="21">
        <v>15.62</v>
      </c>
      <c r="AF48" s="21">
        <v>38.340000000000003</v>
      </c>
      <c r="AG48" s="21" t="s">
        <v>75</v>
      </c>
      <c r="AH48" s="21">
        <v>5</v>
      </c>
      <c r="AI48" s="21" t="s">
        <v>86</v>
      </c>
      <c r="AJ48" s="21" t="s">
        <v>84</v>
      </c>
    </row>
    <row r="49" spans="1:36">
      <c r="A49" s="17">
        <v>17</v>
      </c>
      <c r="B49" s="23">
        <v>42.411499999999997</v>
      </c>
      <c r="C49" s="23">
        <v>6.07</v>
      </c>
      <c r="D49" s="14">
        <f t="shared" si="4"/>
        <v>151.49219815179518</v>
      </c>
      <c r="E49" s="14">
        <f t="shared" si="3"/>
        <v>21.754197035007824</v>
      </c>
      <c r="F49" s="23">
        <v>4.7849999999999997E-2</v>
      </c>
      <c r="G49" s="23">
        <v>5.6680000000000003E-3</v>
      </c>
      <c r="H49" s="15">
        <v>42</v>
      </c>
      <c r="I49">
        <f t="shared" si="1"/>
        <v>6</v>
      </c>
      <c r="J49" s="15">
        <v>12</v>
      </c>
      <c r="K49" s="23">
        <v>4.8030000000000003E-2</v>
      </c>
      <c r="L49" s="23">
        <v>5.973E-3</v>
      </c>
      <c r="M49" s="23">
        <v>0.22439999999999999</v>
      </c>
      <c r="N49" s="23">
        <v>2.6950000000000002E-2</v>
      </c>
      <c r="O49" s="23">
        <v>3.4009999999999999E-2</v>
      </c>
      <c r="P49" s="23">
        <v>1.4040000000000001E-3</v>
      </c>
      <c r="Q49" s="23">
        <v>4.7849999999999997E-2</v>
      </c>
      <c r="R49" s="23">
        <v>5.6680000000000003E-3</v>
      </c>
      <c r="S49" s="23">
        <v>4.3549999999999998E-2</v>
      </c>
      <c r="T49" s="23">
        <v>7.9330000000000008E-3</v>
      </c>
      <c r="U49" s="23">
        <v>6.6010000000000001E-3</v>
      </c>
      <c r="V49" s="23">
        <v>9.479E-4</v>
      </c>
      <c r="W49" s="24">
        <v>0.76019999999999999</v>
      </c>
      <c r="X49" s="23">
        <v>-1</v>
      </c>
      <c r="Y49" s="23">
        <v>-1</v>
      </c>
      <c r="Z49" s="23">
        <v>7.7110000000000003</v>
      </c>
      <c r="AA49" s="23">
        <v>0.1452</v>
      </c>
      <c r="AB49" s="23">
        <v>7.2889999999999997</v>
      </c>
      <c r="AC49" s="23">
        <v>7.4389999999999998E-2</v>
      </c>
      <c r="AD49" s="23"/>
      <c r="AE49" s="23"/>
      <c r="AF49" s="23"/>
      <c r="AG49" s="23"/>
      <c r="AH49" s="23">
        <v>5</v>
      </c>
      <c r="AI49" s="23" t="s">
        <v>78</v>
      </c>
      <c r="AJ49" s="23"/>
    </row>
    <row r="50" spans="1:36">
      <c r="A50" s="17">
        <v>18</v>
      </c>
      <c r="B50" s="23">
        <v>45.948999999999998</v>
      </c>
      <c r="C50" s="23">
        <v>6.6630000000000003</v>
      </c>
      <c r="D50" s="14">
        <f t="shared" si="4"/>
        <v>139.80148189570809</v>
      </c>
      <c r="E50" s="14">
        <f t="shared" si="3"/>
        <v>20.345776968185678</v>
      </c>
      <c r="F50" s="23">
        <v>4.7210000000000002E-2</v>
      </c>
      <c r="G50" s="23">
        <v>7.1739999999999998E-3</v>
      </c>
      <c r="H50" s="15">
        <v>46</v>
      </c>
      <c r="I50">
        <f t="shared" si="1"/>
        <v>6.5</v>
      </c>
      <c r="J50" s="15">
        <v>13</v>
      </c>
      <c r="K50" s="23">
        <v>4.6920000000000003E-2</v>
      </c>
      <c r="L50" s="23">
        <v>7.7609999999999997E-3</v>
      </c>
      <c r="M50" s="23">
        <v>0.23530000000000001</v>
      </c>
      <c r="N50" s="23">
        <v>3.9640000000000002E-2</v>
      </c>
      <c r="O50" s="23">
        <v>3.6150000000000002E-2</v>
      </c>
      <c r="P50" s="23">
        <v>1.6410000000000001E-3</v>
      </c>
      <c r="Q50" s="23">
        <v>4.7210000000000002E-2</v>
      </c>
      <c r="R50" s="23">
        <v>7.1739999999999998E-3</v>
      </c>
      <c r="S50" s="23">
        <v>4.6559999999999997E-2</v>
      </c>
      <c r="T50" s="23">
        <v>1.0279999999999999E-2</v>
      </c>
      <c r="U50" s="23">
        <v>7.1529999999999996E-3</v>
      </c>
      <c r="V50" s="23">
        <v>1.041E-3</v>
      </c>
      <c r="W50" s="24">
        <v>0.72909999999999997</v>
      </c>
      <c r="X50" s="23">
        <v>-1</v>
      </c>
      <c r="Y50" s="23">
        <v>-1</v>
      </c>
      <c r="Z50" s="23">
        <v>8.4580000000000002</v>
      </c>
      <c r="AA50" s="23">
        <v>9.393E-2</v>
      </c>
      <c r="AB50" s="23">
        <v>7.18</v>
      </c>
      <c r="AC50" s="23">
        <v>8.4040000000000004E-2</v>
      </c>
      <c r="AD50" s="23"/>
      <c r="AE50" s="23"/>
      <c r="AF50" s="23"/>
      <c r="AG50" s="23"/>
      <c r="AH50" s="23">
        <v>5</v>
      </c>
      <c r="AI50" s="23" t="s">
        <v>79</v>
      </c>
      <c r="AJ50" s="23"/>
    </row>
    <row r="51" spans="1:36">
      <c r="A51" s="17">
        <v>19</v>
      </c>
      <c r="B51" s="23">
        <v>51.558399999999999</v>
      </c>
      <c r="C51" s="23">
        <v>7.6589999999999998</v>
      </c>
      <c r="D51" s="14">
        <f t="shared" si="4"/>
        <v>124.53300124533</v>
      </c>
      <c r="E51" s="14">
        <f t="shared" si="3"/>
        <v>18.579145142204901</v>
      </c>
      <c r="F51" s="23">
        <v>4.7759999999999997E-2</v>
      </c>
      <c r="G51" s="23">
        <v>5.0759999999999998E-3</v>
      </c>
      <c r="H51" s="15">
        <v>52</v>
      </c>
      <c r="I51">
        <f t="shared" si="1"/>
        <v>7.5</v>
      </c>
      <c r="J51" s="15">
        <v>15</v>
      </c>
      <c r="K51" s="23">
        <v>4.8059999999999999E-2</v>
      </c>
      <c r="L51" s="23">
        <v>4.8440000000000002E-3</v>
      </c>
      <c r="M51" s="23">
        <v>0.26229999999999998</v>
      </c>
      <c r="N51" s="23">
        <v>2.5100000000000001E-2</v>
      </c>
      <c r="O51" s="23">
        <v>3.9829999999999997E-2</v>
      </c>
      <c r="P51" s="23">
        <v>1.508E-3</v>
      </c>
      <c r="Q51" s="23">
        <v>4.7759999999999997E-2</v>
      </c>
      <c r="R51" s="23">
        <v>5.0759999999999998E-3</v>
      </c>
      <c r="S51" s="23">
        <v>5.2880000000000003E-2</v>
      </c>
      <c r="T51" s="23">
        <v>8.6660000000000001E-3</v>
      </c>
      <c r="U51" s="23">
        <v>8.0300000000000007E-3</v>
      </c>
      <c r="V51" s="23">
        <v>1.1980000000000001E-3</v>
      </c>
      <c r="W51" s="24">
        <v>0.77339999999999998</v>
      </c>
      <c r="X51" s="23">
        <v>-1</v>
      </c>
      <c r="Y51" s="23">
        <v>-1</v>
      </c>
      <c r="Z51" s="23">
        <v>9.1189999999999998</v>
      </c>
      <c r="AA51" s="23">
        <v>0.2392</v>
      </c>
      <c r="AB51" s="23">
        <v>7.077</v>
      </c>
      <c r="AC51" s="23">
        <v>8.3790000000000003E-2</v>
      </c>
      <c r="AD51" s="23"/>
      <c r="AE51" s="23"/>
      <c r="AF51" s="23"/>
      <c r="AG51" s="23"/>
      <c r="AH51" s="23">
        <v>5</v>
      </c>
      <c r="AI51" s="23" t="s">
        <v>80</v>
      </c>
      <c r="AJ51" s="23"/>
    </row>
    <row r="52" spans="1:36">
      <c r="A52" s="17">
        <v>20</v>
      </c>
      <c r="B52" s="25">
        <v>51.239800000000002</v>
      </c>
      <c r="C52" s="25">
        <v>7.6520000000000001</v>
      </c>
      <c r="D52" s="14">
        <f t="shared" si="4"/>
        <v>125.31328320802007</v>
      </c>
      <c r="E52" s="14">
        <f t="shared" si="3"/>
        <v>18.78128906225464</v>
      </c>
      <c r="F52" s="25">
        <v>4.2189999999999998E-2</v>
      </c>
      <c r="G52" s="25">
        <v>3.9620000000000002E-3</v>
      </c>
      <c r="H52" s="15">
        <v>52</v>
      </c>
      <c r="I52">
        <f t="shared" si="1"/>
        <v>7.5</v>
      </c>
      <c r="J52" s="15">
        <v>15</v>
      </c>
      <c r="K52" s="25">
        <v>4.2209999999999998E-2</v>
      </c>
      <c r="L52" s="25">
        <v>4.0980000000000001E-3</v>
      </c>
      <c r="M52" s="25">
        <v>0.21879999999999999</v>
      </c>
      <c r="N52" s="25">
        <v>2.068E-2</v>
      </c>
      <c r="O52" s="25">
        <v>3.7609999999999998E-2</v>
      </c>
      <c r="P52" s="25">
        <v>8.8900000000000003E-4</v>
      </c>
      <c r="Q52" s="25">
        <v>4.2189999999999998E-2</v>
      </c>
      <c r="R52" s="25">
        <v>3.9620000000000002E-3</v>
      </c>
      <c r="S52" s="25">
        <v>4.6420000000000003E-2</v>
      </c>
      <c r="T52" s="25">
        <v>8.2019999999999992E-3</v>
      </c>
      <c r="U52" s="25">
        <v>7.9799999999999992E-3</v>
      </c>
      <c r="V52" s="25">
        <v>1.196E-3</v>
      </c>
      <c r="W52" s="26">
        <v>0.84699999999999998</v>
      </c>
      <c r="X52" s="25">
        <v>-1</v>
      </c>
      <c r="Y52" s="25">
        <v>-1</v>
      </c>
      <c r="Z52" s="25">
        <v>10.31</v>
      </c>
      <c r="AA52" s="25">
        <v>0.1348</v>
      </c>
      <c r="AB52" s="25">
        <v>6.8049999999999997</v>
      </c>
      <c r="AC52" s="25">
        <v>6.3210000000000002E-2</v>
      </c>
      <c r="AD52" s="25"/>
      <c r="AE52" s="25"/>
      <c r="AF52" s="25"/>
      <c r="AG52" s="25"/>
      <c r="AH52" s="25">
        <v>4</v>
      </c>
      <c r="AI52" s="25" t="s">
        <v>81</v>
      </c>
      <c r="AJ52" s="25"/>
    </row>
    <row r="53" spans="1:36">
      <c r="F53"/>
      <c r="G53"/>
      <c r="I53">
        <f t="shared" si="1"/>
        <v>0</v>
      </c>
      <c r="W53" s="20"/>
    </row>
    <row r="54" spans="1:36">
      <c r="F54"/>
      <c r="G54"/>
      <c r="I54">
        <f t="shared" si="1"/>
        <v>0</v>
      </c>
      <c r="W54" s="20"/>
    </row>
    <row r="55" spans="1:36">
      <c r="A55" s="19" t="s">
        <v>0</v>
      </c>
      <c r="F55"/>
      <c r="G55"/>
      <c r="I55">
        <f t="shared" si="1"/>
        <v>0</v>
      </c>
      <c r="W55" s="20"/>
    </row>
    <row r="56" spans="1:36">
      <c r="A56" s="17" t="s">
        <v>71</v>
      </c>
      <c r="F56"/>
      <c r="G56"/>
      <c r="I56">
        <f t="shared" si="1"/>
        <v>0</v>
      </c>
      <c r="W56" s="20"/>
    </row>
    <row r="57" spans="1:36">
      <c r="A57" s="17" t="s">
        <v>1</v>
      </c>
      <c r="F57"/>
      <c r="G57"/>
      <c r="I57">
        <f t="shared" si="1"/>
        <v>0</v>
      </c>
      <c r="W57" s="20"/>
    </row>
    <row r="58" spans="1:36">
      <c r="A58" s="17">
        <v>1</v>
      </c>
      <c r="B58" s="14">
        <v>4.6525800000000004</v>
      </c>
      <c r="C58" s="27">
        <v>1.155</v>
      </c>
      <c r="D58" s="14">
        <f>1/U58</f>
        <v>1385.0415512465374</v>
      </c>
      <c r="E58" s="14">
        <f t="shared" ref="E58:E77" si="5">(V58/U58)*D58</f>
        <v>343.95837969321906</v>
      </c>
      <c r="F58">
        <v>0.36</v>
      </c>
      <c r="G58">
        <v>0.1552</v>
      </c>
      <c r="H58" s="15">
        <v>2.9</v>
      </c>
      <c r="I58">
        <f t="shared" si="1"/>
        <v>1.1499999999999999</v>
      </c>
      <c r="J58" s="15">
        <v>2.2999999999999998</v>
      </c>
      <c r="K58" s="16">
        <v>0.4299</v>
      </c>
      <c r="L58">
        <v>0.21940000000000001</v>
      </c>
      <c r="M58">
        <v>0.1779</v>
      </c>
      <c r="N58">
        <v>6.5920000000000006E-2</v>
      </c>
      <c r="O58">
        <v>3.5850000000000001E-3</v>
      </c>
      <c r="P58">
        <v>7.9239999999999996E-4</v>
      </c>
      <c r="Q58">
        <v>0.36</v>
      </c>
      <c r="R58">
        <v>0.1552</v>
      </c>
      <c r="S58">
        <v>3.5839999999999997E-2</v>
      </c>
      <c r="T58">
        <v>1.506E-2</v>
      </c>
      <c r="U58">
        <v>7.2199999999999999E-4</v>
      </c>
      <c r="V58">
        <v>1.7929999999999999E-4</v>
      </c>
      <c r="W58" s="20">
        <v>0.25159999999999999</v>
      </c>
      <c r="X58">
        <v>-1</v>
      </c>
      <c r="Y58">
        <v>-1</v>
      </c>
      <c r="Z58">
        <v>1.258</v>
      </c>
      <c r="AA58">
        <v>9.6560000000000007E-2</v>
      </c>
      <c r="AB58">
        <v>8.24</v>
      </c>
      <c r="AC58">
        <v>0.16639999999999999</v>
      </c>
      <c r="AD58">
        <v>18.86</v>
      </c>
      <c r="AE58">
        <v>15.62</v>
      </c>
      <c r="AF58">
        <v>38.340000000000003</v>
      </c>
      <c r="AG58" t="s">
        <v>75</v>
      </c>
      <c r="AH58">
        <v>5</v>
      </c>
      <c r="AI58" t="s">
        <v>2</v>
      </c>
      <c r="AJ58" t="s">
        <v>77</v>
      </c>
    </row>
    <row r="59" spans="1:36">
      <c r="A59" s="17">
        <v>2</v>
      </c>
      <c r="B59" s="14">
        <v>3.12026</v>
      </c>
      <c r="C59" s="27">
        <v>1.657</v>
      </c>
      <c r="D59" s="14">
        <f>1/U59</f>
        <v>2065.6889072505683</v>
      </c>
      <c r="E59" s="14">
        <f t="shared" si="5"/>
        <v>1097.0638670814319</v>
      </c>
      <c r="F59">
        <v>7.8649999999999998E-2</v>
      </c>
      <c r="G59">
        <v>0.1419</v>
      </c>
      <c r="H59" s="15">
        <v>3</v>
      </c>
      <c r="I59">
        <f t="shared" si="1"/>
        <v>1.65</v>
      </c>
      <c r="J59" s="15">
        <v>3.3</v>
      </c>
      <c r="K59" s="16">
        <v>0.46579999999999999</v>
      </c>
      <c r="L59">
        <v>0.54949999999999999</v>
      </c>
      <c r="M59">
        <v>2.3529999999999999E-2</v>
      </c>
      <c r="N59">
        <v>4.0430000000000001E-2</v>
      </c>
      <c r="O59">
        <v>2.1689999999999999E-3</v>
      </c>
      <c r="P59">
        <v>7.8100000000000001E-4</v>
      </c>
      <c r="Q59">
        <v>7.8649999999999998E-2</v>
      </c>
      <c r="R59">
        <v>0.1419</v>
      </c>
      <c r="S59">
        <v>5.2500000000000003E-3</v>
      </c>
      <c r="T59">
        <v>8.8030000000000001E-3</v>
      </c>
      <c r="U59">
        <v>4.841E-4</v>
      </c>
      <c r="V59">
        <v>2.5710000000000002E-4</v>
      </c>
      <c r="W59" s="20">
        <v>-9.128E-2</v>
      </c>
      <c r="X59">
        <v>-1</v>
      </c>
      <c r="Y59">
        <v>-1</v>
      </c>
      <c r="Z59">
        <v>0.76319999999999999</v>
      </c>
      <c r="AA59">
        <v>4.6940000000000003E-2</v>
      </c>
      <c r="AB59">
        <v>7.8890000000000002</v>
      </c>
      <c r="AC59">
        <v>0.51910000000000001</v>
      </c>
      <c r="AH59">
        <v>5</v>
      </c>
      <c r="AI59" t="s">
        <v>78</v>
      </c>
    </row>
    <row r="60" spans="1:36">
      <c r="A60" s="17">
        <v>3</v>
      </c>
      <c r="B60" s="14">
        <v>3.8816899999999999</v>
      </c>
      <c r="C60" s="27">
        <v>1.74</v>
      </c>
      <c r="D60" s="14">
        <f>1/U60</f>
        <v>1660.3021749958493</v>
      </c>
      <c r="E60" s="14">
        <f t="shared" si="5"/>
        <v>744.55855465113564</v>
      </c>
      <c r="F60">
        <v>0.63300000000000001</v>
      </c>
      <c r="G60">
        <v>0.41720000000000002</v>
      </c>
      <c r="H60" s="15">
        <v>1.1000000000000001</v>
      </c>
      <c r="I60">
        <f t="shared" si="1"/>
        <v>2.0499999999999998</v>
      </c>
      <c r="J60" s="15">
        <v>4.0999999999999996</v>
      </c>
      <c r="K60" s="16">
        <v>-1.1379999999999999</v>
      </c>
      <c r="L60">
        <v>1.5409999999999999</v>
      </c>
      <c r="M60">
        <v>0.2535</v>
      </c>
      <c r="N60">
        <v>0.1019</v>
      </c>
      <c r="O60">
        <v>2.9039999999999999E-3</v>
      </c>
      <c r="P60">
        <v>1.091E-3</v>
      </c>
      <c r="Q60">
        <v>0.63300000000000001</v>
      </c>
      <c r="R60">
        <v>0.41720000000000002</v>
      </c>
      <c r="S60">
        <v>5.2569999999999999E-2</v>
      </c>
      <c r="T60">
        <v>1.9460000000000002E-2</v>
      </c>
      <c r="U60">
        <v>6.0229999999999995E-4</v>
      </c>
      <c r="V60">
        <v>2.7010000000000001E-4</v>
      </c>
      <c r="W60" s="20">
        <v>-0.29049999999999998</v>
      </c>
      <c r="X60">
        <v>-1</v>
      </c>
      <c r="Y60">
        <v>-1</v>
      </c>
      <c r="Z60">
        <v>0.58069999999999999</v>
      </c>
      <c r="AA60">
        <v>2.0580000000000001E-2</v>
      </c>
      <c r="AB60">
        <v>8.1359999999999992</v>
      </c>
      <c r="AC60">
        <v>0.27860000000000001</v>
      </c>
      <c r="AH60">
        <v>5</v>
      </c>
      <c r="AI60" t="s">
        <v>79</v>
      </c>
    </row>
    <row r="61" spans="1:36">
      <c r="A61" s="17">
        <v>4</v>
      </c>
      <c r="B61" s="14">
        <v>3.0670500000000001</v>
      </c>
      <c r="C61" s="27">
        <v>1.915</v>
      </c>
      <c r="D61" s="14">
        <f>1/U61</f>
        <v>2101.2817818869507</v>
      </c>
      <c r="E61" s="14">
        <f t="shared" si="5"/>
        <v>1312.2524597117078</v>
      </c>
      <c r="F61">
        <v>0.74880000000000002</v>
      </c>
      <c r="G61">
        <v>0.36180000000000001</v>
      </c>
      <c r="H61" s="15">
        <v>0.4</v>
      </c>
      <c r="I61">
        <f t="shared" si="1"/>
        <v>1.4</v>
      </c>
      <c r="J61" s="15">
        <v>2.8</v>
      </c>
      <c r="K61" s="16">
        <v>0.62990000000000002</v>
      </c>
      <c r="L61">
        <v>0.40339999999999998</v>
      </c>
      <c r="M61">
        <v>0.23280000000000001</v>
      </c>
      <c r="N61">
        <v>0.14360000000000001</v>
      </c>
      <c r="O61">
        <v>2.2550000000000001E-3</v>
      </c>
      <c r="P61">
        <v>1.284E-3</v>
      </c>
      <c r="Q61">
        <v>0.74880000000000002</v>
      </c>
      <c r="R61">
        <v>0.36180000000000001</v>
      </c>
      <c r="S61">
        <v>4.913E-2</v>
      </c>
      <c r="T61">
        <v>3.3169999999999998E-2</v>
      </c>
      <c r="U61">
        <v>4.7590000000000002E-4</v>
      </c>
      <c r="V61">
        <v>2.9720000000000001E-4</v>
      </c>
      <c r="W61" s="20">
        <v>0.72629999999999995</v>
      </c>
      <c r="X61">
        <v>-1</v>
      </c>
      <c r="Y61">
        <v>-1</v>
      </c>
      <c r="Z61">
        <v>0.46860000000000002</v>
      </c>
      <c r="AA61">
        <v>9.0849999999999993E-3</v>
      </c>
      <c r="AB61">
        <v>8.0749999999999993</v>
      </c>
      <c r="AC61">
        <v>0.24990000000000001</v>
      </c>
      <c r="AH61">
        <v>5</v>
      </c>
      <c r="AI61" t="s">
        <v>80</v>
      </c>
    </row>
    <row r="62" spans="1:36">
      <c r="A62" s="17">
        <v>5</v>
      </c>
      <c r="B62" s="14">
        <v>4.9896599999999998</v>
      </c>
      <c r="C62" s="27">
        <v>1.7629999999999999</v>
      </c>
      <c r="D62" s="14">
        <f>1/U62</f>
        <v>1291.4890869172154</v>
      </c>
      <c r="E62" s="14">
        <f t="shared" si="5"/>
        <v>456.68308407327083</v>
      </c>
      <c r="F62">
        <v>0.2127</v>
      </c>
      <c r="G62">
        <v>0.20619999999999999</v>
      </c>
      <c r="H62" s="15">
        <v>4</v>
      </c>
      <c r="I62">
        <f t="shared" si="1"/>
        <v>1.85</v>
      </c>
      <c r="J62" s="15">
        <v>3.7</v>
      </c>
      <c r="K62" s="16">
        <v>-0.66080000000000005</v>
      </c>
      <c r="L62">
        <v>0.7903</v>
      </c>
      <c r="M62">
        <v>0.14019999999999999</v>
      </c>
      <c r="N62">
        <v>0.1053</v>
      </c>
      <c r="O62">
        <v>4.7819999999999998E-3</v>
      </c>
      <c r="P62">
        <v>1.9400000000000001E-3</v>
      </c>
      <c r="Q62">
        <v>0.2127</v>
      </c>
      <c r="R62">
        <v>0.20619999999999999</v>
      </c>
      <c r="S62">
        <v>2.2710000000000001E-2</v>
      </c>
      <c r="T62">
        <v>1.822E-2</v>
      </c>
      <c r="U62">
        <v>7.7430000000000001E-4</v>
      </c>
      <c r="V62">
        <v>2.7379999999999999E-4</v>
      </c>
      <c r="W62" s="20">
        <v>-0.30120000000000002</v>
      </c>
      <c r="X62">
        <v>-1</v>
      </c>
      <c r="Y62">
        <v>-1</v>
      </c>
      <c r="Z62">
        <v>0.43859999999999999</v>
      </c>
      <c r="AA62">
        <v>1.272E-2</v>
      </c>
      <c r="AB62">
        <v>9.1170000000000009</v>
      </c>
      <c r="AC62">
        <v>0.4451</v>
      </c>
      <c r="AH62">
        <v>4</v>
      </c>
      <c r="AI62" t="s">
        <v>81</v>
      </c>
    </row>
    <row r="63" spans="1:36">
      <c r="A63" s="17">
        <v>6</v>
      </c>
      <c r="B63" s="21">
        <v>4.65571</v>
      </c>
      <c r="C63" s="21">
        <v>2.488</v>
      </c>
      <c r="D63" s="14">
        <f t="shared" ref="D63:D77" si="6">1/U63</f>
        <v>1384.0830449826988</v>
      </c>
      <c r="E63" s="14">
        <f t="shared" si="5"/>
        <v>739.83788508279349</v>
      </c>
      <c r="F63" s="21">
        <v>0.26379999999999998</v>
      </c>
      <c r="G63" s="21">
        <v>0.20599999999999999</v>
      </c>
      <c r="H63" s="15">
        <v>3.4</v>
      </c>
      <c r="I63">
        <f t="shared" si="1"/>
        <v>2.15</v>
      </c>
      <c r="J63" s="15">
        <v>4.3</v>
      </c>
      <c r="K63" s="21">
        <v>0.23669999999999999</v>
      </c>
      <c r="L63" s="21">
        <v>0.1918</v>
      </c>
      <c r="M63" s="21">
        <v>0.114</v>
      </c>
      <c r="N63" s="21">
        <v>8.4140000000000006E-2</v>
      </c>
      <c r="O63" s="21">
        <v>3.1329999999999999E-3</v>
      </c>
      <c r="P63" s="21">
        <v>1.322E-3</v>
      </c>
      <c r="Q63" s="21">
        <v>0.26379999999999998</v>
      </c>
      <c r="R63" s="21">
        <v>0.20599999999999999</v>
      </c>
      <c r="S63" s="21">
        <v>2.6280000000000001E-2</v>
      </c>
      <c r="T63" s="21">
        <v>2.401E-2</v>
      </c>
      <c r="U63" s="21">
        <v>7.2250000000000005E-4</v>
      </c>
      <c r="V63" s="21">
        <v>3.8620000000000001E-4</v>
      </c>
      <c r="W63" s="22">
        <v>0.52280000000000004</v>
      </c>
      <c r="X63" s="21">
        <v>-1</v>
      </c>
      <c r="Y63" s="21">
        <v>-1</v>
      </c>
      <c r="Z63" s="21">
        <v>0.36649999999999999</v>
      </c>
      <c r="AA63" s="21">
        <v>1.762E-2</v>
      </c>
      <c r="AB63" s="21">
        <v>7.4349999999999996</v>
      </c>
      <c r="AC63" s="21">
        <v>0.50309999999999999</v>
      </c>
      <c r="AD63" s="21">
        <v>18.86</v>
      </c>
      <c r="AE63" s="21">
        <v>15.62</v>
      </c>
      <c r="AF63" s="21">
        <v>38.340000000000003</v>
      </c>
      <c r="AG63" s="21" t="s">
        <v>75</v>
      </c>
      <c r="AH63" s="21">
        <v>5</v>
      </c>
      <c r="AI63" s="21" t="s">
        <v>2</v>
      </c>
      <c r="AJ63" s="21" t="s">
        <v>87</v>
      </c>
    </row>
    <row r="64" spans="1:36">
      <c r="A64" s="17">
        <v>7</v>
      </c>
      <c r="B64" s="23">
        <v>47.326799999999999</v>
      </c>
      <c r="C64" s="23">
        <v>14.84</v>
      </c>
      <c r="D64" s="14">
        <f t="shared" si="6"/>
        <v>135.70362328674176</v>
      </c>
      <c r="E64" s="14">
        <f t="shared" si="5"/>
        <v>42.705482752334667</v>
      </c>
      <c r="F64" s="23">
        <v>2.0709999999999999E-2</v>
      </c>
      <c r="G64" s="23">
        <v>1.5509999999999999E-2</v>
      </c>
      <c r="H64" s="15">
        <v>49</v>
      </c>
      <c r="I64">
        <f t="shared" si="1"/>
        <v>15</v>
      </c>
      <c r="J64" s="15">
        <v>30</v>
      </c>
      <c r="K64" s="23">
        <v>1.447E-2</v>
      </c>
      <c r="L64" s="23">
        <v>1.5689999999999999E-2</v>
      </c>
      <c r="M64" s="23">
        <v>8.09E-2</v>
      </c>
      <c r="N64" s="23">
        <v>6.8570000000000006E-2</v>
      </c>
      <c r="O64" s="23">
        <v>2.8330000000000001E-2</v>
      </c>
      <c r="P64" s="23">
        <v>6.3619999999999996E-3</v>
      </c>
      <c r="Q64" s="23">
        <v>2.0709999999999999E-2</v>
      </c>
      <c r="R64" s="23">
        <v>1.5509999999999999E-2</v>
      </c>
      <c r="S64" s="23">
        <v>2.104E-2</v>
      </c>
      <c r="T64" s="23">
        <v>1.9689999999999999E-2</v>
      </c>
      <c r="U64" s="23">
        <v>7.3689999999999997E-3</v>
      </c>
      <c r="V64" s="23">
        <v>2.3189999999999999E-3</v>
      </c>
      <c r="W64" s="24">
        <v>0.70199999999999996</v>
      </c>
      <c r="X64" s="23">
        <v>-1</v>
      </c>
      <c r="Y64" s="23">
        <v>-1</v>
      </c>
      <c r="Z64" s="23">
        <v>0.57230000000000003</v>
      </c>
      <c r="AA64" s="23">
        <v>0.21440000000000001</v>
      </c>
      <c r="AB64" s="23">
        <v>7.1879999999999997</v>
      </c>
      <c r="AC64" s="23">
        <v>0.23</v>
      </c>
      <c r="AD64" s="23"/>
      <c r="AE64" s="23"/>
      <c r="AF64" s="23"/>
      <c r="AG64" s="23"/>
      <c r="AH64" s="23">
        <v>5</v>
      </c>
      <c r="AI64" s="23" t="s">
        <v>78</v>
      </c>
      <c r="AJ64" s="23"/>
    </row>
    <row r="65" spans="1:36">
      <c r="A65" s="17">
        <v>8</v>
      </c>
      <c r="B65" s="23">
        <v>84.282200000000003</v>
      </c>
      <c r="C65" s="23">
        <v>19.7</v>
      </c>
      <c r="D65" s="14">
        <f t="shared" si="6"/>
        <v>75.98784194528875</v>
      </c>
      <c r="E65" s="14">
        <f t="shared" si="5"/>
        <v>17.882549126486264</v>
      </c>
      <c r="F65" s="23">
        <v>5.355E-2</v>
      </c>
      <c r="G65" s="23">
        <v>5.6369999999999996E-3</v>
      </c>
      <c r="H65" s="15">
        <v>84</v>
      </c>
      <c r="I65">
        <f t="shared" si="1"/>
        <v>19.5</v>
      </c>
      <c r="J65" s="15">
        <v>39</v>
      </c>
      <c r="K65" s="23">
        <v>5.3379999999999997E-2</v>
      </c>
      <c r="L65" s="23">
        <v>6.3610000000000003E-3</v>
      </c>
      <c r="M65" s="23">
        <v>0.40539999999999998</v>
      </c>
      <c r="N65" s="23">
        <v>4.6760000000000003E-2</v>
      </c>
      <c r="O65" s="23">
        <v>5.491E-2</v>
      </c>
      <c r="P65" s="23">
        <v>1.805E-3</v>
      </c>
      <c r="Q65" s="23">
        <v>5.355E-2</v>
      </c>
      <c r="R65" s="23">
        <v>5.6369999999999996E-3</v>
      </c>
      <c r="S65" s="23">
        <v>9.7159999999999996E-2</v>
      </c>
      <c r="T65" s="23">
        <v>2.513E-2</v>
      </c>
      <c r="U65" s="23">
        <v>1.316E-2</v>
      </c>
      <c r="V65" s="23">
        <v>3.0969999999999999E-3</v>
      </c>
      <c r="W65" s="24">
        <v>0.91339999999999999</v>
      </c>
      <c r="X65" s="23">
        <v>-1</v>
      </c>
      <c r="Y65" s="23">
        <v>-1</v>
      </c>
      <c r="Z65" s="23">
        <v>3.379</v>
      </c>
      <c r="AA65" s="23">
        <v>0.27789999999999998</v>
      </c>
      <c r="AB65" s="23">
        <v>7.3520000000000003</v>
      </c>
      <c r="AC65" s="23">
        <v>0.18579999999999999</v>
      </c>
      <c r="AD65" s="23"/>
      <c r="AE65" s="23"/>
      <c r="AF65" s="23"/>
      <c r="AG65" s="23"/>
      <c r="AH65" s="23">
        <v>5</v>
      </c>
      <c r="AI65" s="23" t="s">
        <v>79</v>
      </c>
      <c r="AJ65" s="23"/>
    </row>
    <row r="66" spans="1:36">
      <c r="A66" s="17">
        <v>9</v>
      </c>
      <c r="B66" s="23">
        <v>83.584000000000003</v>
      </c>
      <c r="C66" s="23">
        <v>16.97</v>
      </c>
      <c r="D66" s="14">
        <f t="shared" si="6"/>
        <v>76.628352490421449</v>
      </c>
      <c r="E66" s="14">
        <f t="shared" si="5"/>
        <v>15.666240953597272</v>
      </c>
      <c r="F66" s="23">
        <v>5.015E-2</v>
      </c>
      <c r="G66" s="23">
        <v>3.8839999999999999E-3</v>
      </c>
      <c r="H66" s="15">
        <v>83</v>
      </c>
      <c r="I66">
        <f t="shared" si="1"/>
        <v>17</v>
      </c>
      <c r="J66" s="15">
        <v>34</v>
      </c>
      <c r="K66" s="23">
        <v>5.0139999999999997E-2</v>
      </c>
      <c r="L66" s="23">
        <v>4.5770000000000003E-3</v>
      </c>
      <c r="M66" s="23">
        <v>0.42509999999999998</v>
      </c>
      <c r="N66" s="23">
        <v>3.7650000000000003E-2</v>
      </c>
      <c r="O66" s="23">
        <v>6.1469999999999997E-2</v>
      </c>
      <c r="P66" s="23">
        <v>2.5669999999999998E-3</v>
      </c>
      <c r="Q66" s="23">
        <v>5.015E-2</v>
      </c>
      <c r="R66" s="23">
        <v>3.8839999999999999E-3</v>
      </c>
      <c r="S66" s="23">
        <v>9.0240000000000001E-2</v>
      </c>
      <c r="T66" s="23">
        <v>1.9199999999999998E-2</v>
      </c>
      <c r="U66" s="23">
        <v>1.3050000000000001E-2</v>
      </c>
      <c r="V66" s="23">
        <v>2.6679999999999998E-3</v>
      </c>
      <c r="W66" s="24">
        <v>0.93189999999999995</v>
      </c>
      <c r="X66" s="23">
        <v>-1</v>
      </c>
      <c r="Y66" s="23">
        <v>-1</v>
      </c>
      <c r="Z66" s="23">
        <v>5.827</v>
      </c>
      <c r="AA66" s="23">
        <v>0.41870000000000002</v>
      </c>
      <c r="AB66" s="23">
        <v>7.6210000000000004</v>
      </c>
      <c r="AC66" s="23">
        <v>0.12509999999999999</v>
      </c>
      <c r="AD66" s="23"/>
      <c r="AE66" s="23"/>
      <c r="AF66" s="23"/>
      <c r="AG66" s="23"/>
      <c r="AH66" s="23">
        <v>5</v>
      </c>
      <c r="AI66" s="23" t="s">
        <v>80</v>
      </c>
      <c r="AJ66" s="23"/>
    </row>
    <row r="67" spans="1:36">
      <c r="A67" s="17">
        <v>10</v>
      </c>
      <c r="B67" s="25">
        <v>89.591200000000001</v>
      </c>
      <c r="C67" s="25">
        <v>19.13</v>
      </c>
      <c r="D67" s="14">
        <f t="shared" si="6"/>
        <v>71.479628305932806</v>
      </c>
      <c r="E67" s="14">
        <f t="shared" si="5"/>
        <v>15.379105160890475</v>
      </c>
      <c r="F67" s="25">
        <v>3.9320000000000001E-2</v>
      </c>
      <c r="G67" s="25">
        <v>5.3600000000000002E-3</v>
      </c>
      <c r="H67" s="15">
        <v>90</v>
      </c>
      <c r="I67">
        <f t="shared" si="1"/>
        <v>19</v>
      </c>
      <c r="J67" s="15">
        <v>38</v>
      </c>
      <c r="K67" s="25">
        <v>3.993E-2</v>
      </c>
      <c r="L67" s="25">
        <v>5.012E-3</v>
      </c>
      <c r="M67" s="25">
        <v>0.33460000000000001</v>
      </c>
      <c r="N67" s="25">
        <v>3.2480000000000002E-2</v>
      </c>
      <c r="O67" s="25">
        <v>6.1719999999999997E-2</v>
      </c>
      <c r="P67" s="25">
        <v>2.8370000000000001E-3</v>
      </c>
      <c r="Q67" s="25">
        <v>3.9320000000000001E-2</v>
      </c>
      <c r="R67" s="25">
        <v>5.3600000000000002E-3</v>
      </c>
      <c r="S67" s="25">
        <v>7.5870000000000007E-2</v>
      </c>
      <c r="T67" s="25">
        <v>1.8429999999999998E-2</v>
      </c>
      <c r="U67" s="25">
        <v>1.3990000000000001E-2</v>
      </c>
      <c r="V67" s="25">
        <v>3.0100000000000001E-3</v>
      </c>
      <c r="W67" s="26">
        <v>0.82950000000000002</v>
      </c>
      <c r="X67" s="25">
        <v>-1</v>
      </c>
      <c r="Y67" s="25">
        <v>-1</v>
      </c>
      <c r="Z67" s="25">
        <v>8.0489999999999995</v>
      </c>
      <c r="AA67" s="25">
        <v>0.2283</v>
      </c>
      <c r="AB67" s="25">
        <v>7.4710000000000001</v>
      </c>
      <c r="AC67" s="25">
        <v>9.8790000000000003E-2</v>
      </c>
      <c r="AD67" s="25"/>
      <c r="AE67" s="25"/>
      <c r="AF67" s="25"/>
      <c r="AG67" s="25"/>
      <c r="AH67" s="25">
        <v>4</v>
      </c>
      <c r="AI67" s="25" t="s">
        <v>81</v>
      </c>
      <c r="AJ67" s="25"/>
    </row>
    <row r="68" spans="1:36">
      <c r="A68" s="17">
        <v>11</v>
      </c>
      <c r="B68" s="21">
        <v>92.4465</v>
      </c>
      <c r="C68" s="21">
        <v>27.01</v>
      </c>
      <c r="D68" s="14">
        <f t="shared" si="6"/>
        <v>69.252077562326875</v>
      </c>
      <c r="E68" s="14">
        <f t="shared" si="5"/>
        <v>20.382363548468785</v>
      </c>
      <c r="F68" s="21">
        <v>5.092E-2</v>
      </c>
      <c r="G68" s="21">
        <v>4.4460000000000003E-3</v>
      </c>
      <c r="H68" s="15">
        <v>92</v>
      </c>
      <c r="I68">
        <f t="shared" si="1"/>
        <v>26.5</v>
      </c>
      <c r="J68" s="15">
        <v>53</v>
      </c>
      <c r="K68" s="21">
        <v>5.1119999999999999E-2</v>
      </c>
      <c r="L68" s="21">
        <v>4.3480000000000003E-3</v>
      </c>
      <c r="M68" s="21">
        <v>0.46860000000000002</v>
      </c>
      <c r="N68" s="21">
        <v>3.5249999999999997E-2</v>
      </c>
      <c r="O68" s="21">
        <v>6.6750000000000004E-2</v>
      </c>
      <c r="P68" s="21">
        <v>1.1950000000000001E-3</v>
      </c>
      <c r="Q68" s="21">
        <v>5.092E-2</v>
      </c>
      <c r="R68" s="21">
        <v>4.4460000000000003E-3</v>
      </c>
      <c r="S68" s="21">
        <v>0.1014</v>
      </c>
      <c r="T68" s="21">
        <v>3.1189999999999999E-2</v>
      </c>
      <c r="U68" s="21">
        <v>1.444E-2</v>
      </c>
      <c r="V68" s="21">
        <v>4.2500000000000003E-3</v>
      </c>
      <c r="W68" s="22">
        <v>0.95889999999999997</v>
      </c>
      <c r="X68" s="21">
        <v>-1</v>
      </c>
      <c r="Y68" s="21">
        <v>-1</v>
      </c>
      <c r="Z68" s="21">
        <v>9.6579999999999995</v>
      </c>
      <c r="AA68" s="21">
        <v>0.29189999999999999</v>
      </c>
      <c r="AB68" s="21">
        <v>7.39</v>
      </c>
      <c r="AC68" s="21">
        <v>4.5909999999999999E-2</v>
      </c>
      <c r="AD68" s="21">
        <v>18.86</v>
      </c>
      <c r="AE68" s="21">
        <v>15.62</v>
      </c>
      <c r="AF68" s="21">
        <v>38.340000000000003</v>
      </c>
      <c r="AG68" s="21" t="s">
        <v>75</v>
      </c>
      <c r="AH68" s="21">
        <v>5</v>
      </c>
      <c r="AI68" s="21" t="s">
        <v>2</v>
      </c>
      <c r="AJ68" s="21" t="s">
        <v>3</v>
      </c>
    </row>
    <row r="69" spans="1:36">
      <c r="A69" s="17">
        <v>12</v>
      </c>
      <c r="B69" s="23">
        <v>95.216499999999996</v>
      </c>
      <c r="C69" s="23">
        <v>28.28</v>
      </c>
      <c r="D69" s="14">
        <f t="shared" si="6"/>
        <v>67.204301075268816</v>
      </c>
      <c r="E69" s="14">
        <f t="shared" si="5"/>
        <v>20.10709330558446</v>
      </c>
      <c r="F69" s="23">
        <v>5.2650000000000002E-2</v>
      </c>
      <c r="G69" s="23">
        <v>5.6959999999999997E-3</v>
      </c>
      <c r="H69" s="15">
        <v>95</v>
      </c>
      <c r="I69">
        <f t="shared" si="1"/>
        <v>28</v>
      </c>
      <c r="J69" s="15">
        <v>56</v>
      </c>
      <c r="K69" s="23">
        <v>5.2789999999999997E-2</v>
      </c>
      <c r="L69" s="23">
        <v>5.8269999999999997E-3</v>
      </c>
      <c r="M69" s="23">
        <v>0.49309999999999998</v>
      </c>
      <c r="N69" s="23">
        <v>5.1799999999999999E-2</v>
      </c>
      <c r="O69" s="23">
        <v>6.7919999999999994E-2</v>
      </c>
      <c r="P69" s="23">
        <v>1.4859999999999999E-3</v>
      </c>
      <c r="Q69" s="23">
        <v>5.2650000000000002E-2</v>
      </c>
      <c r="R69" s="23">
        <v>5.6959999999999997E-3</v>
      </c>
      <c r="S69" s="23">
        <v>0.108</v>
      </c>
      <c r="T69" s="23">
        <v>3.3579999999999999E-2</v>
      </c>
      <c r="U69" s="23">
        <v>1.4880000000000001E-2</v>
      </c>
      <c r="V69" s="23">
        <v>4.4520000000000002E-3</v>
      </c>
      <c r="W69" s="24">
        <v>0.93779999999999997</v>
      </c>
      <c r="X69" s="23">
        <v>-1</v>
      </c>
      <c r="Y69" s="23">
        <v>-1</v>
      </c>
      <c r="Z69" s="23">
        <v>10.86</v>
      </c>
      <c r="AA69" s="23">
        <v>0.1384</v>
      </c>
      <c r="AB69" s="23">
        <v>7.3620000000000001</v>
      </c>
      <c r="AC69" s="23">
        <v>6.5240000000000006E-2</v>
      </c>
      <c r="AD69" s="23"/>
      <c r="AE69" s="23"/>
      <c r="AF69" s="23"/>
      <c r="AG69" s="23"/>
      <c r="AH69" s="23">
        <v>5</v>
      </c>
      <c r="AI69" s="23" t="s">
        <v>78</v>
      </c>
      <c r="AJ69" s="23"/>
    </row>
    <row r="70" spans="1:36">
      <c r="A70" s="17">
        <v>13</v>
      </c>
      <c r="B70" s="23">
        <v>93.789599999999993</v>
      </c>
      <c r="C70" s="23">
        <v>28.53</v>
      </c>
      <c r="D70" s="14">
        <f t="shared" si="6"/>
        <v>68.212824010914048</v>
      </c>
      <c r="E70" s="14">
        <f t="shared" si="5"/>
        <v>20.896575213711802</v>
      </c>
      <c r="F70" s="23">
        <v>5.033E-2</v>
      </c>
      <c r="G70" s="23">
        <v>4.0610000000000004E-3</v>
      </c>
      <c r="H70" s="15">
        <v>94</v>
      </c>
      <c r="I70">
        <f t="shared" si="1"/>
        <v>28</v>
      </c>
      <c r="J70" s="15">
        <v>56</v>
      </c>
      <c r="K70" s="23">
        <v>5.0590000000000003E-2</v>
      </c>
      <c r="L70" s="23">
        <v>4.1460000000000004E-3</v>
      </c>
      <c r="M70" s="23">
        <v>0.45290000000000002</v>
      </c>
      <c r="N70" s="23">
        <v>2.9590000000000002E-2</v>
      </c>
      <c r="O70" s="23">
        <v>6.5259999999999999E-2</v>
      </c>
      <c r="P70" s="23">
        <v>1.114E-3</v>
      </c>
      <c r="Q70" s="23">
        <v>5.033E-2</v>
      </c>
      <c r="R70" s="23">
        <v>4.0610000000000004E-3</v>
      </c>
      <c r="S70" s="23">
        <v>0.1017</v>
      </c>
      <c r="T70" s="23">
        <v>3.1539999999999999E-2</v>
      </c>
      <c r="U70" s="23">
        <v>1.4659999999999999E-2</v>
      </c>
      <c r="V70" s="23">
        <v>4.4910000000000002E-3</v>
      </c>
      <c r="W70" s="24">
        <v>0.96579999999999999</v>
      </c>
      <c r="X70" s="23">
        <v>-1</v>
      </c>
      <c r="Y70" s="23">
        <v>-1</v>
      </c>
      <c r="Z70" s="23">
        <v>10.89</v>
      </c>
      <c r="AA70" s="23">
        <v>0.1331</v>
      </c>
      <c r="AB70" s="23">
        <v>7.306</v>
      </c>
      <c r="AC70" s="23">
        <v>4.3299999999999998E-2</v>
      </c>
      <c r="AD70" s="23"/>
      <c r="AE70" s="23"/>
      <c r="AF70" s="23"/>
      <c r="AG70" s="23"/>
      <c r="AH70" s="23">
        <v>5</v>
      </c>
      <c r="AI70" s="23" t="s">
        <v>79</v>
      </c>
      <c r="AJ70" s="23"/>
    </row>
    <row r="71" spans="1:36">
      <c r="A71" s="17">
        <v>14</v>
      </c>
      <c r="B71" s="23">
        <v>94.652699999999996</v>
      </c>
      <c r="C71" s="23">
        <v>27.77</v>
      </c>
      <c r="D71" s="14">
        <f t="shared" si="6"/>
        <v>67.613252197430697</v>
      </c>
      <c r="E71" s="14">
        <f t="shared" si="5"/>
        <v>19.98682478750284</v>
      </c>
      <c r="F71" s="23">
        <v>5.3080000000000002E-2</v>
      </c>
      <c r="G71" s="23">
        <v>2.8579999999999999E-3</v>
      </c>
      <c r="H71" s="15">
        <v>94</v>
      </c>
      <c r="I71">
        <f t="shared" si="1"/>
        <v>27.5</v>
      </c>
      <c r="J71" s="15">
        <v>55</v>
      </c>
      <c r="K71" s="23">
        <v>5.3019999999999998E-2</v>
      </c>
      <c r="L71" s="23">
        <v>3.1329999999999999E-3</v>
      </c>
      <c r="M71" s="23">
        <v>0.49959999999999999</v>
      </c>
      <c r="N71" s="23">
        <v>2.86E-2</v>
      </c>
      <c r="O71" s="23">
        <v>6.8260000000000001E-2</v>
      </c>
      <c r="P71" s="23">
        <v>1.1199999999999999E-3</v>
      </c>
      <c r="Q71" s="23">
        <v>5.3080000000000002E-2</v>
      </c>
      <c r="R71" s="23">
        <v>2.8579999999999999E-3</v>
      </c>
      <c r="S71" s="23">
        <v>0.10829999999999999</v>
      </c>
      <c r="T71" s="23">
        <v>3.2629999999999999E-2</v>
      </c>
      <c r="U71" s="23">
        <v>1.4789999999999999E-2</v>
      </c>
      <c r="V71" s="23">
        <v>4.372E-3</v>
      </c>
      <c r="W71" s="24">
        <v>0.9839</v>
      </c>
      <c r="X71" s="23">
        <v>-1</v>
      </c>
      <c r="Y71" s="23">
        <v>-1</v>
      </c>
      <c r="Z71" s="23">
        <v>11.06</v>
      </c>
      <c r="AA71" s="23">
        <v>0.16689999999999999</v>
      </c>
      <c r="AB71" s="23">
        <v>7.3869999999999996</v>
      </c>
      <c r="AC71" s="23">
        <v>7.1940000000000004E-2</v>
      </c>
      <c r="AD71" s="23"/>
      <c r="AE71" s="23"/>
      <c r="AF71" s="23"/>
      <c r="AG71" s="23"/>
      <c r="AH71" s="23">
        <v>5</v>
      </c>
      <c r="AI71" s="23" t="s">
        <v>80</v>
      </c>
      <c r="AJ71" s="23"/>
    </row>
    <row r="72" spans="1:36">
      <c r="A72" s="17">
        <v>15</v>
      </c>
      <c r="B72" s="25">
        <v>96.506399999999999</v>
      </c>
      <c r="C72" s="25">
        <v>27.74</v>
      </c>
      <c r="D72" s="14">
        <f t="shared" si="6"/>
        <v>66.312997347480106</v>
      </c>
      <c r="E72" s="14">
        <f t="shared" si="5"/>
        <v>19.207902679959755</v>
      </c>
      <c r="F72" s="25">
        <v>4.8989999999999999E-2</v>
      </c>
      <c r="G72" s="25">
        <v>6.1450000000000003E-3</v>
      </c>
      <c r="H72" s="15">
        <v>96</v>
      </c>
      <c r="I72">
        <f t="shared" si="1"/>
        <v>27.5</v>
      </c>
      <c r="J72" s="15">
        <v>55</v>
      </c>
      <c r="K72" s="25">
        <v>4.913E-2</v>
      </c>
      <c r="L72" s="25">
        <v>6.0889999999999998E-3</v>
      </c>
      <c r="M72" s="25">
        <v>0.48580000000000001</v>
      </c>
      <c r="N72" s="25">
        <v>5.5399999999999998E-2</v>
      </c>
      <c r="O72" s="25">
        <v>7.1910000000000002E-2</v>
      </c>
      <c r="P72" s="25">
        <v>1.4250000000000001E-3</v>
      </c>
      <c r="Q72" s="25">
        <v>4.8989999999999999E-2</v>
      </c>
      <c r="R72" s="25">
        <v>6.1450000000000003E-3</v>
      </c>
      <c r="S72" s="25">
        <v>0.1019</v>
      </c>
      <c r="T72" s="25">
        <v>3.3579999999999999E-2</v>
      </c>
      <c r="U72" s="25">
        <v>1.508E-2</v>
      </c>
      <c r="V72" s="25">
        <v>4.3680000000000004E-3</v>
      </c>
      <c r="W72" s="26">
        <v>0.92600000000000005</v>
      </c>
      <c r="X72" s="25">
        <v>-1</v>
      </c>
      <c r="Y72" s="25">
        <v>-1</v>
      </c>
      <c r="Z72" s="25">
        <v>11.98</v>
      </c>
      <c r="AA72" s="25">
        <v>0.21379999999999999</v>
      </c>
      <c r="AB72" s="25">
        <v>7.4630000000000001</v>
      </c>
      <c r="AC72" s="25">
        <v>0.1321</v>
      </c>
      <c r="AD72" s="25"/>
      <c r="AE72" s="25"/>
      <c r="AF72" s="25"/>
      <c r="AG72" s="25"/>
      <c r="AH72" s="25">
        <v>3</v>
      </c>
      <c r="AI72" s="25" t="s">
        <v>81</v>
      </c>
      <c r="AJ72" s="25"/>
    </row>
    <row r="73" spans="1:36">
      <c r="A73" s="17">
        <v>16</v>
      </c>
      <c r="B73" s="21">
        <v>88.562899999999999</v>
      </c>
      <c r="C73" s="21">
        <v>11.15</v>
      </c>
      <c r="D73" s="14">
        <f t="shared" si="6"/>
        <v>72.306579898770792</v>
      </c>
      <c r="E73" s="14">
        <f t="shared" si="5"/>
        <v>9.1651073436402886</v>
      </c>
      <c r="F73" s="21">
        <v>4.7379999999999999E-2</v>
      </c>
      <c r="G73" s="21">
        <v>2.2390000000000001E-3</v>
      </c>
      <c r="H73" s="15">
        <v>89</v>
      </c>
      <c r="I73">
        <f t="shared" ref="I73:I136" si="7">J73/2</f>
        <v>11</v>
      </c>
      <c r="J73" s="15">
        <v>22</v>
      </c>
      <c r="K73" s="21">
        <v>4.734E-2</v>
      </c>
      <c r="L73" s="21">
        <v>2.4290000000000002E-3</v>
      </c>
      <c r="M73" s="21">
        <v>0.50490000000000002</v>
      </c>
      <c r="N73" s="21">
        <v>2.5190000000000001E-2</v>
      </c>
      <c r="O73" s="21">
        <v>7.7299999999999994E-2</v>
      </c>
      <c r="P73" s="21">
        <v>1.0499999999999999E-3</v>
      </c>
      <c r="Q73" s="21">
        <v>4.7379999999999999E-2</v>
      </c>
      <c r="R73" s="21">
        <v>2.2390000000000001E-3</v>
      </c>
      <c r="S73" s="21">
        <v>9.0359999999999996E-2</v>
      </c>
      <c r="T73" s="21">
        <v>1.2370000000000001E-2</v>
      </c>
      <c r="U73" s="21">
        <v>1.383E-2</v>
      </c>
      <c r="V73" s="21">
        <v>1.753E-3</v>
      </c>
      <c r="W73" s="22">
        <v>0.93869999999999998</v>
      </c>
      <c r="X73" s="21">
        <v>-1</v>
      </c>
      <c r="Y73" s="21">
        <v>-1</v>
      </c>
      <c r="Z73" s="21">
        <v>14.5</v>
      </c>
      <c r="AA73" s="21">
        <v>0.51370000000000005</v>
      </c>
      <c r="AB73" s="21">
        <v>7.7679999999999998</v>
      </c>
      <c r="AC73" s="21">
        <v>6.6519999999999996E-2</v>
      </c>
      <c r="AD73" s="21">
        <v>18.86</v>
      </c>
      <c r="AE73" s="21">
        <v>15.62</v>
      </c>
      <c r="AF73" s="21">
        <v>38.340000000000003</v>
      </c>
      <c r="AG73" s="21" t="s">
        <v>75</v>
      </c>
      <c r="AH73" s="21">
        <v>5</v>
      </c>
      <c r="AI73" s="21" t="s">
        <v>2</v>
      </c>
      <c r="AJ73" s="21" t="s">
        <v>84</v>
      </c>
    </row>
    <row r="74" spans="1:36">
      <c r="A74" s="17">
        <v>17</v>
      </c>
      <c r="B74" s="23">
        <v>86.928100000000001</v>
      </c>
      <c r="C74" s="23">
        <v>11.53</v>
      </c>
      <c r="D74" s="14">
        <f t="shared" si="6"/>
        <v>73.637702503681879</v>
      </c>
      <c r="E74" s="14">
        <f t="shared" si="5"/>
        <v>9.8310128600276325</v>
      </c>
      <c r="F74" s="23">
        <v>5.2290000000000003E-2</v>
      </c>
      <c r="G74" s="23">
        <v>3.1480000000000002E-3</v>
      </c>
      <c r="H74" s="15">
        <v>86</v>
      </c>
      <c r="I74">
        <f t="shared" si="7"/>
        <v>11.5</v>
      </c>
      <c r="J74" s="15">
        <v>23</v>
      </c>
      <c r="K74" s="23">
        <v>5.2299999999999999E-2</v>
      </c>
      <c r="L74" s="23">
        <v>3.081E-3</v>
      </c>
      <c r="M74" s="23">
        <v>0.51880000000000004</v>
      </c>
      <c r="N74" s="23">
        <v>3.3369999999999997E-2</v>
      </c>
      <c r="O74" s="23">
        <v>7.1959999999999996E-2</v>
      </c>
      <c r="P74" s="23">
        <v>1.6659999999999999E-3</v>
      </c>
      <c r="Q74" s="23">
        <v>5.2290000000000003E-2</v>
      </c>
      <c r="R74" s="23">
        <v>3.1480000000000002E-3</v>
      </c>
      <c r="S74" s="23">
        <v>9.7879999999999995E-2</v>
      </c>
      <c r="T74" s="23">
        <v>1.426E-2</v>
      </c>
      <c r="U74" s="23">
        <v>1.358E-2</v>
      </c>
      <c r="V74" s="23">
        <v>1.8129999999999999E-3</v>
      </c>
      <c r="W74" s="24">
        <v>0.91059999999999997</v>
      </c>
      <c r="X74" s="23">
        <v>-1</v>
      </c>
      <c r="Y74" s="23">
        <v>-1</v>
      </c>
      <c r="Z74" s="23">
        <v>17.23</v>
      </c>
      <c r="AA74" s="23">
        <v>0.37580000000000002</v>
      </c>
      <c r="AB74" s="23">
        <v>7.452</v>
      </c>
      <c r="AC74" s="23">
        <v>3.4340000000000002E-2</v>
      </c>
      <c r="AD74" s="23"/>
      <c r="AE74" s="23"/>
      <c r="AF74" s="23"/>
      <c r="AG74" s="23"/>
      <c r="AH74" s="23">
        <v>5</v>
      </c>
      <c r="AI74" s="23" t="s">
        <v>78</v>
      </c>
      <c r="AJ74" s="23"/>
    </row>
    <row r="75" spans="1:36">
      <c r="A75" s="17">
        <v>18</v>
      </c>
      <c r="B75" s="23">
        <v>85.064800000000005</v>
      </c>
      <c r="C75" s="23">
        <v>11.37</v>
      </c>
      <c r="D75" s="14">
        <f t="shared" si="6"/>
        <v>75.301204819277103</v>
      </c>
      <c r="E75" s="14">
        <f t="shared" si="5"/>
        <v>10.138445347655681</v>
      </c>
      <c r="F75" s="23">
        <v>4.8809999999999999E-2</v>
      </c>
      <c r="G75" s="23">
        <v>2.4229999999999998E-3</v>
      </c>
      <c r="H75" s="15">
        <v>85</v>
      </c>
      <c r="I75">
        <f t="shared" si="7"/>
        <v>11.5</v>
      </c>
      <c r="J75" s="15">
        <v>23</v>
      </c>
      <c r="K75" s="23">
        <v>4.8869999999999997E-2</v>
      </c>
      <c r="L75" s="23">
        <v>2.2899999999999999E-3</v>
      </c>
      <c r="M75" s="23">
        <v>0.46879999999999999</v>
      </c>
      <c r="N75" s="23">
        <v>2.1329999999999998E-2</v>
      </c>
      <c r="O75" s="23">
        <v>6.9650000000000004E-2</v>
      </c>
      <c r="P75" s="23">
        <v>1.116E-3</v>
      </c>
      <c r="Q75" s="23">
        <v>4.8809999999999999E-2</v>
      </c>
      <c r="R75" s="23">
        <v>2.4229999999999998E-3</v>
      </c>
      <c r="S75" s="23">
        <v>8.9399999999999993E-2</v>
      </c>
      <c r="T75" s="23">
        <v>1.261E-2</v>
      </c>
      <c r="U75" s="23">
        <v>1.328E-2</v>
      </c>
      <c r="V75" s="23">
        <v>1.7880000000000001E-3</v>
      </c>
      <c r="W75" s="24">
        <v>0.93620000000000003</v>
      </c>
      <c r="X75" s="23">
        <v>-1</v>
      </c>
      <c r="Y75" s="23">
        <v>-1</v>
      </c>
      <c r="Z75" s="23">
        <v>18.21</v>
      </c>
      <c r="AA75" s="23">
        <v>0.25829999999999997</v>
      </c>
      <c r="AB75" s="23">
        <v>7.3890000000000002</v>
      </c>
      <c r="AC75" s="23">
        <v>3.2710000000000003E-2</v>
      </c>
      <c r="AD75" s="23"/>
      <c r="AE75" s="23"/>
      <c r="AF75" s="23"/>
      <c r="AG75" s="23"/>
      <c r="AH75" s="23">
        <v>5</v>
      </c>
      <c r="AI75" s="23" t="s">
        <v>79</v>
      </c>
      <c r="AJ75" s="23"/>
    </row>
    <row r="76" spans="1:36">
      <c r="A76" s="17">
        <v>19</v>
      </c>
      <c r="B76" s="23">
        <v>86.759299999999996</v>
      </c>
      <c r="C76" s="23">
        <v>11.65</v>
      </c>
      <c r="D76" s="14">
        <f t="shared" si="6"/>
        <v>73.800738007380076</v>
      </c>
      <c r="E76" s="14">
        <f t="shared" si="5"/>
        <v>9.9726310916245708</v>
      </c>
      <c r="F76" s="23">
        <v>5.0410000000000003E-2</v>
      </c>
      <c r="G76" s="23">
        <v>2.111E-3</v>
      </c>
      <c r="H76" s="15">
        <v>86</v>
      </c>
      <c r="I76">
        <f t="shared" si="7"/>
        <v>11.5</v>
      </c>
      <c r="J76" s="15">
        <v>23</v>
      </c>
      <c r="K76" s="23">
        <v>5.0410000000000003E-2</v>
      </c>
      <c r="L76" s="23">
        <v>2.2899999999999999E-3</v>
      </c>
      <c r="M76" s="23">
        <v>0.4889</v>
      </c>
      <c r="N76" s="23">
        <v>2.155E-2</v>
      </c>
      <c r="O76" s="23">
        <v>7.034E-2</v>
      </c>
      <c r="P76" s="23">
        <v>1.0009999999999999E-3</v>
      </c>
      <c r="Q76" s="23">
        <v>5.0410000000000003E-2</v>
      </c>
      <c r="R76" s="23">
        <v>2.111E-3</v>
      </c>
      <c r="S76" s="23">
        <v>9.418E-2</v>
      </c>
      <c r="T76" s="23">
        <v>1.332E-2</v>
      </c>
      <c r="U76" s="23">
        <v>1.355E-2</v>
      </c>
      <c r="V76" s="23">
        <v>1.8309999999999999E-3</v>
      </c>
      <c r="W76" s="24">
        <v>0.95509999999999995</v>
      </c>
      <c r="X76" s="23">
        <v>-1</v>
      </c>
      <c r="Y76" s="23">
        <v>-1</v>
      </c>
      <c r="Z76" s="23">
        <v>18.55</v>
      </c>
      <c r="AA76" s="23">
        <v>0.29959999999999998</v>
      </c>
      <c r="AB76" s="23">
        <v>7.3310000000000004</v>
      </c>
      <c r="AC76" s="23">
        <v>6.4869999999999997E-2</v>
      </c>
      <c r="AD76" s="23"/>
      <c r="AE76" s="23"/>
      <c r="AF76" s="23"/>
      <c r="AG76" s="23"/>
      <c r="AH76" s="23">
        <v>5</v>
      </c>
      <c r="AI76" s="23" t="s">
        <v>80</v>
      </c>
      <c r="AJ76" s="23"/>
    </row>
    <row r="77" spans="1:36">
      <c r="A77" s="17">
        <v>20</v>
      </c>
      <c r="B77" s="25">
        <v>84.907200000000003</v>
      </c>
      <c r="C77" s="25">
        <v>12.08</v>
      </c>
      <c r="D77" s="14">
        <f t="shared" si="6"/>
        <v>75.41478129713424</v>
      </c>
      <c r="E77" s="14">
        <f t="shared" si="5"/>
        <v>10.800352163141625</v>
      </c>
      <c r="F77" s="25">
        <v>5.0220000000000001E-2</v>
      </c>
      <c r="G77" s="25">
        <v>3.5790000000000001E-3</v>
      </c>
      <c r="H77" s="15">
        <v>85</v>
      </c>
      <c r="I77">
        <f t="shared" si="7"/>
        <v>12</v>
      </c>
      <c r="J77" s="15">
        <v>24</v>
      </c>
      <c r="K77" s="25">
        <v>5.04E-2</v>
      </c>
      <c r="L77" s="25">
        <v>3.7520000000000001E-3</v>
      </c>
      <c r="M77" s="25">
        <v>0.46</v>
      </c>
      <c r="N77" s="25">
        <v>2.8119999999999999E-2</v>
      </c>
      <c r="O77" s="25">
        <v>6.6420000000000007E-2</v>
      </c>
      <c r="P77" s="25">
        <v>1.9090000000000001E-3</v>
      </c>
      <c r="Q77" s="25">
        <v>5.0220000000000001E-2</v>
      </c>
      <c r="R77" s="25">
        <v>3.5790000000000001E-3</v>
      </c>
      <c r="S77" s="25">
        <v>9.1810000000000003E-2</v>
      </c>
      <c r="T77" s="25">
        <v>1.3690000000000001E-2</v>
      </c>
      <c r="U77" s="25">
        <v>1.3259999999999999E-2</v>
      </c>
      <c r="V77" s="25">
        <v>1.8990000000000001E-3</v>
      </c>
      <c r="W77" s="26">
        <v>0.88200000000000001</v>
      </c>
      <c r="X77" s="25">
        <v>-1</v>
      </c>
      <c r="Y77" s="25">
        <v>-1</v>
      </c>
      <c r="Z77" s="25">
        <v>19.52</v>
      </c>
      <c r="AA77" s="25">
        <v>0.24959999999999999</v>
      </c>
      <c r="AB77" s="25">
        <v>7.1319999999999997</v>
      </c>
      <c r="AC77" s="25">
        <v>5.9589999999999997E-2</v>
      </c>
      <c r="AD77" s="25"/>
      <c r="AE77" s="25"/>
      <c r="AF77" s="25"/>
      <c r="AG77" s="25"/>
      <c r="AH77" s="25">
        <v>4</v>
      </c>
      <c r="AI77" s="25" t="s">
        <v>81</v>
      </c>
      <c r="AJ77" s="25"/>
    </row>
    <row r="78" spans="1:36">
      <c r="F78"/>
      <c r="G78"/>
      <c r="I78">
        <f t="shared" si="7"/>
        <v>0</v>
      </c>
      <c r="W78" s="20"/>
    </row>
    <row r="79" spans="1:36">
      <c r="F79"/>
      <c r="G79"/>
      <c r="I79">
        <f t="shared" si="7"/>
        <v>0</v>
      </c>
      <c r="W79" s="20"/>
    </row>
    <row r="80" spans="1:36">
      <c r="A80" s="19" t="s">
        <v>4</v>
      </c>
      <c r="F80"/>
      <c r="G80"/>
      <c r="I80">
        <f t="shared" si="7"/>
        <v>0</v>
      </c>
      <c r="W80" s="20"/>
    </row>
    <row r="81" spans="1:36">
      <c r="A81" s="17" t="s">
        <v>71</v>
      </c>
      <c r="F81"/>
      <c r="G81"/>
      <c r="I81">
        <f t="shared" si="7"/>
        <v>0</v>
      </c>
      <c r="W81" s="20"/>
    </row>
    <row r="82" spans="1:36">
      <c r="A82" s="17" t="s">
        <v>5</v>
      </c>
      <c r="F82"/>
      <c r="G82"/>
      <c r="I82">
        <f t="shared" si="7"/>
        <v>0</v>
      </c>
      <c r="W82" s="20"/>
    </row>
    <row r="83" spans="1:36">
      <c r="A83" s="17">
        <v>1</v>
      </c>
      <c r="B83" s="14">
        <v>5.4476500000000003</v>
      </c>
      <c r="C83" s="27">
        <v>0.7419</v>
      </c>
      <c r="D83" s="14">
        <f>1/U83</f>
        <v>1182.8720132481667</v>
      </c>
      <c r="E83" s="14">
        <f t="shared" ref="E83:E102" si="8">(V83/U83)*D83</f>
        <v>161.18625020840881</v>
      </c>
      <c r="F83">
        <v>0.40060000000000001</v>
      </c>
      <c r="G83">
        <v>8.1680000000000003E-2</v>
      </c>
      <c r="H83" s="15">
        <v>3.1</v>
      </c>
      <c r="I83">
        <f t="shared" si="7"/>
        <v>0.7</v>
      </c>
      <c r="J83" s="15">
        <v>1.4</v>
      </c>
      <c r="K83" s="16">
        <v>0.4173</v>
      </c>
      <c r="L83">
        <v>9.5259999999999997E-2</v>
      </c>
      <c r="M83">
        <v>0.38600000000000001</v>
      </c>
      <c r="N83">
        <v>7.1580000000000005E-2</v>
      </c>
      <c r="O83">
        <v>6.9890000000000004E-3</v>
      </c>
      <c r="P83">
        <v>9.4149999999999995E-4</v>
      </c>
      <c r="Q83">
        <v>0.40060000000000001</v>
      </c>
      <c r="R83">
        <v>8.1680000000000003E-2</v>
      </c>
      <c r="S83">
        <v>4.6690000000000002E-2</v>
      </c>
      <c r="T83">
        <v>8.8470000000000007E-3</v>
      </c>
      <c r="U83">
        <v>8.4539999999999995E-4</v>
      </c>
      <c r="V83">
        <v>1.1519999999999999E-4</v>
      </c>
      <c r="W83" s="20">
        <v>0.2495</v>
      </c>
      <c r="X83">
        <v>-1</v>
      </c>
      <c r="Y83">
        <v>-1</v>
      </c>
      <c r="Z83">
        <v>2.2000000000000002</v>
      </c>
      <c r="AA83">
        <v>0.31269999999999998</v>
      </c>
      <c r="AB83">
        <v>10.63</v>
      </c>
      <c r="AC83">
        <v>0.31340000000000001</v>
      </c>
      <c r="AD83">
        <v>18.86</v>
      </c>
      <c r="AE83">
        <v>15.62</v>
      </c>
      <c r="AF83">
        <v>38.340000000000003</v>
      </c>
      <c r="AG83" t="s">
        <v>75</v>
      </c>
      <c r="AH83">
        <v>5</v>
      </c>
      <c r="AI83" t="s">
        <v>6</v>
      </c>
      <c r="AJ83" t="s">
        <v>77</v>
      </c>
    </row>
    <row r="84" spans="1:36">
      <c r="A84" s="17">
        <v>2</v>
      </c>
      <c r="B84" s="14">
        <v>4.2801999999999998</v>
      </c>
      <c r="C84" s="27">
        <v>1.123</v>
      </c>
      <c r="D84" s="14">
        <f>1/U84</f>
        <v>1505.5706112616681</v>
      </c>
      <c r="E84" s="14">
        <f t="shared" si="8"/>
        <v>395.09328145574943</v>
      </c>
      <c r="F84">
        <v>0.47349999999999998</v>
      </c>
      <c r="G84">
        <v>0.1817</v>
      </c>
      <c r="H84" s="15">
        <v>2</v>
      </c>
      <c r="I84">
        <f t="shared" si="7"/>
        <v>1.1000000000000001</v>
      </c>
      <c r="J84" s="15">
        <v>2.2000000000000002</v>
      </c>
      <c r="K84" s="16">
        <v>0.52370000000000005</v>
      </c>
      <c r="L84">
        <v>0.18360000000000001</v>
      </c>
      <c r="M84">
        <v>0.2833</v>
      </c>
      <c r="N84">
        <v>7.7649999999999997E-2</v>
      </c>
      <c r="O84">
        <v>4.339E-3</v>
      </c>
      <c r="P84">
        <v>9.5569999999999997E-4</v>
      </c>
      <c r="Q84">
        <v>0.47349999999999998</v>
      </c>
      <c r="R84">
        <v>0.1817</v>
      </c>
      <c r="S84">
        <v>4.3360000000000003E-2</v>
      </c>
      <c r="T84">
        <v>1.3100000000000001E-2</v>
      </c>
      <c r="U84">
        <v>6.6419999999999999E-4</v>
      </c>
      <c r="V84">
        <v>1.7430000000000001E-4</v>
      </c>
      <c r="W84" s="20">
        <v>8.0930000000000002E-2</v>
      </c>
      <c r="X84">
        <v>-1</v>
      </c>
      <c r="Y84">
        <v>-1</v>
      </c>
      <c r="Z84">
        <v>1.2649999999999999</v>
      </c>
      <c r="AA84">
        <v>6.2890000000000001E-2</v>
      </c>
      <c r="AB84">
        <v>9.3770000000000007</v>
      </c>
      <c r="AC84">
        <v>0.27660000000000001</v>
      </c>
      <c r="AH84">
        <v>5</v>
      </c>
      <c r="AI84" t="s">
        <v>78</v>
      </c>
    </row>
    <row r="85" spans="1:36">
      <c r="A85" s="17">
        <v>3</v>
      </c>
      <c r="B85" s="14">
        <v>4.3604900000000004</v>
      </c>
      <c r="C85" s="27">
        <v>1.657</v>
      </c>
      <c r="D85" s="14">
        <f>1/U85</f>
        <v>1477.9781259237363</v>
      </c>
      <c r="E85" s="14">
        <f t="shared" si="8"/>
        <v>561.8326544303651</v>
      </c>
      <c r="F85">
        <v>0.40329999999999999</v>
      </c>
      <c r="G85">
        <v>0.15409999999999999</v>
      </c>
      <c r="H85" s="15">
        <v>2.4</v>
      </c>
      <c r="I85">
        <f t="shared" si="7"/>
        <v>1.25</v>
      </c>
      <c r="J85" s="15">
        <v>2.5</v>
      </c>
      <c r="K85" s="16">
        <v>0.3931</v>
      </c>
      <c r="L85">
        <v>0.2316</v>
      </c>
      <c r="M85">
        <v>0.20680000000000001</v>
      </c>
      <c r="N85">
        <v>0.1074</v>
      </c>
      <c r="O85">
        <v>3.7190000000000001E-3</v>
      </c>
      <c r="P85">
        <v>1.3090000000000001E-3</v>
      </c>
      <c r="Q85">
        <v>0.40329999999999999</v>
      </c>
      <c r="R85">
        <v>0.15409999999999999</v>
      </c>
      <c r="S85">
        <v>3.7629999999999997E-2</v>
      </c>
      <c r="T85">
        <v>1.8599999999999998E-2</v>
      </c>
      <c r="U85">
        <v>6.7659999999999997E-4</v>
      </c>
      <c r="V85">
        <v>2.5720000000000002E-4</v>
      </c>
      <c r="W85" s="20">
        <v>0.64659999999999995</v>
      </c>
      <c r="X85">
        <v>-1</v>
      </c>
      <c r="Y85">
        <v>-1</v>
      </c>
      <c r="Z85">
        <v>0.97619999999999996</v>
      </c>
      <c r="AA85">
        <v>3.9640000000000002E-2</v>
      </c>
      <c r="AB85">
        <v>8.625</v>
      </c>
      <c r="AC85">
        <v>0.24160000000000001</v>
      </c>
      <c r="AH85">
        <v>5</v>
      </c>
      <c r="AI85" t="s">
        <v>79</v>
      </c>
    </row>
    <row r="86" spans="1:36">
      <c r="A86" s="17">
        <v>4</v>
      </c>
      <c r="B86" s="14">
        <v>6.3067599999999997</v>
      </c>
      <c r="C86" s="27">
        <v>1.8089999999999999</v>
      </c>
      <c r="D86" s="14">
        <f>1/U86</f>
        <v>1021.6591744993871</v>
      </c>
      <c r="E86" s="14">
        <f t="shared" si="8"/>
        <v>293.19989999681025</v>
      </c>
      <c r="F86">
        <v>0.28889999999999999</v>
      </c>
      <c r="G86">
        <v>9.178E-2</v>
      </c>
      <c r="H86" s="15">
        <v>4.4000000000000004</v>
      </c>
      <c r="I86">
        <f t="shared" si="7"/>
        <v>1.45</v>
      </c>
      <c r="J86" s="15">
        <v>2.9</v>
      </c>
      <c r="K86" s="16">
        <v>0.30980000000000002</v>
      </c>
      <c r="L86">
        <v>0.1537</v>
      </c>
      <c r="M86">
        <v>0.2089</v>
      </c>
      <c r="N86">
        <v>9.4729999999999995E-2</v>
      </c>
      <c r="O86">
        <v>5.2449999999999997E-3</v>
      </c>
      <c r="P86">
        <v>1.371E-3</v>
      </c>
      <c r="Q86">
        <v>0.28889999999999999</v>
      </c>
      <c r="R86">
        <v>9.178E-2</v>
      </c>
      <c r="S86">
        <v>3.8980000000000001E-2</v>
      </c>
      <c r="T86">
        <v>1.8499999999999999E-2</v>
      </c>
      <c r="U86">
        <v>9.7879999999999994E-4</v>
      </c>
      <c r="V86">
        <v>2.809E-4</v>
      </c>
      <c r="W86" s="20">
        <v>0.75839999999999996</v>
      </c>
      <c r="X86">
        <v>-1</v>
      </c>
      <c r="Y86">
        <v>-1</v>
      </c>
      <c r="Z86">
        <v>0.81310000000000004</v>
      </c>
      <c r="AA86">
        <v>3.7449999999999997E-2</v>
      </c>
      <c r="AB86">
        <v>8.5250000000000004</v>
      </c>
      <c r="AC86">
        <v>0.20549999999999999</v>
      </c>
      <c r="AH86">
        <v>5</v>
      </c>
      <c r="AI86" t="s">
        <v>80</v>
      </c>
    </row>
    <row r="87" spans="1:36">
      <c r="A87" s="17">
        <v>5</v>
      </c>
      <c r="B87" s="14">
        <v>3.3991799999999999</v>
      </c>
      <c r="C87" s="27">
        <v>1.6739999999999999</v>
      </c>
      <c r="D87" s="14">
        <f>1/U87</f>
        <v>1896.0940462646947</v>
      </c>
      <c r="E87" s="14">
        <f t="shared" si="8"/>
        <v>934.02584986645377</v>
      </c>
      <c r="F87" t="s">
        <v>7</v>
      </c>
      <c r="G87" t="s">
        <v>7</v>
      </c>
      <c r="H87" s="15">
        <v>1</v>
      </c>
      <c r="I87">
        <v>0.05</v>
      </c>
      <c r="K87" s="16" t="s">
        <v>7</v>
      </c>
      <c r="L87">
        <v>0</v>
      </c>
      <c r="M87">
        <v>0</v>
      </c>
      <c r="N87">
        <v>0</v>
      </c>
      <c r="O87">
        <v>3.0469999999999998E-3</v>
      </c>
      <c r="P87">
        <v>1.2210000000000001E-3</v>
      </c>
      <c r="Q87" t="s">
        <v>7</v>
      </c>
      <c r="R87" t="s">
        <v>7</v>
      </c>
      <c r="S87" t="s">
        <v>7</v>
      </c>
      <c r="T87" t="s">
        <v>7</v>
      </c>
      <c r="U87">
        <v>5.2740000000000003E-4</v>
      </c>
      <c r="V87">
        <v>2.5980000000000003E-4</v>
      </c>
      <c r="W87" t="s">
        <v>7</v>
      </c>
      <c r="X87">
        <v>-1</v>
      </c>
      <c r="Y87">
        <v>-1</v>
      </c>
      <c r="Z87">
        <v>0.70320000000000005</v>
      </c>
      <c r="AA87">
        <v>3.006E-2</v>
      </c>
      <c r="AB87">
        <v>8.8279999999999994</v>
      </c>
      <c r="AC87">
        <v>0.64090000000000003</v>
      </c>
      <c r="AH87">
        <v>4</v>
      </c>
      <c r="AI87" t="s">
        <v>81</v>
      </c>
    </row>
    <row r="88" spans="1:36">
      <c r="A88" s="17">
        <v>6</v>
      </c>
      <c r="B88" s="21">
        <v>2.6242000000000001</v>
      </c>
      <c r="C88" s="21">
        <v>2.1960000000000002</v>
      </c>
      <c r="D88" s="14">
        <f t="shared" ref="D88:D102" si="9">1/U88</f>
        <v>2455.7956777996073</v>
      </c>
      <c r="E88" s="14">
        <f t="shared" si="8"/>
        <v>2055.9448589437284</v>
      </c>
      <c r="F88" s="21">
        <v>1.2210000000000001</v>
      </c>
      <c r="G88" s="21">
        <v>0.56389999999999996</v>
      </c>
      <c r="H88" s="15">
        <v>1</v>
      </c>
      <c r="I88">
        <v>0.05</v>
      </c>
      <c r="K88" s="21">
        <v>0.83809999999999996</v>
      </c>
      <c r="L88" s="21">
        <v>0.48380000000000001</v>
      </c>
      <c r="M88" s="21">
        <v>0.2611</v>
      </c>
      <c r="N88" s="21">
        <v>0.1384</v>
      </c>
      <c r="O88" s="21">
        <v>1.5510000000000001E-3</v>
      </c>
      <c r="P88" s="21">
        <v>1.059E-3</v>
      </c>
      <c r="Q88" s="21">
        <v>1.2210000000000001</v>
      </c>
      <c r="R88" s="21">
        <v>0.56389999999999996</v>
      </c>
      <c r="S88" s="21">
        <v>6.855E-2</v>
      </c>
      <c r="T88" s="21">
        <v>3.9350000000000003E-2</v>
      </c>
      <c r="U88" s="21">
        <v>4.0719999999999998E-4</v>
      </c>
      <c r="V88" s="21">
        <v>3.4089999999999999E-4</v>
      </c>
      <c r="W88" s="22">
        <v>0.85009999999999997</v>
      </c>
      <c r="X88" s="21">
        <v>-1</v>
      </c>
      <c r="Y88" s="21">
        <v>-1</v>
      </c>
      <c r="Z88" s="21">
        <v>0.59719999999999995</v>
      </c>
      <c r="AA88" s="21">
        <v>1.09E-2</v>
      </c>
      <c r="AB88" s="21">
        <v>7.1710000000000003</v>
      </c>
      <c r="AC88" s="21">
        <v>0.4027</v>
      </c>
      <c r="AD88" s="21">
        <v>18.86</v>
      </c>
      <c r="AE88" s="21">
        <v>15.62</v>
      </c>
      <c r="AF88" s="21">
        <v>38.340000000000003</v>
      </c>
      <c r="AG88" s="21" t="s">
        <v>75</v>
      </c>
      <c r="AH88" s="21">
        <v>5</v>
      </c>
      <c r="AI88" s="21" t="s">
        <v>6</v>
      </c>
      <c r="AJ88" s="21" t="s">
        <v>87</v>
      </c>
    </row>
    <row r="89" spans="1:36">
      <c r="A89" s="17">
        <v>7</v>
      </c>
      <c r="B89" s="23">
        <v>4.6171800000000003</v>
      </c>
      <c r="C89" s="23">
        <v>2.0499999999999998</v>
      </c>
      <c r="D89" s="14">
        <f t="shared" si="9"/>
        <v>1395.6734124214934</v>
      </c>
      <c r="E89" s="14">
        <f t="shared" si="8"/>
        <v>619.82314003142938</v>
      </c>
      <c r="F89" s="23">
        <v>0.35410000000000003</v>
      </c>
      <c r="G89" s="23">
        <v>0.2205</v>
      </c>
      <c r="H89" s="15">
        <v>2.9</v>
      </c>
      <c r="I89">
        <f>J89/2</f>
        <v>1.75</v>
      </c>
      <c r="J89" s="15">
        <v>3.5</v>
      </c>
      <c r="K89" s="23">
        <v>0.62360000000000004</v>
      </c>
      <c r="L89" s="23">
        <v>0.33279999999999998</v>
      </c>
      <c r="M89" s="23">
        <v>0.188</v>
      </c>
      <c r="N89" s="23">
        <v>8.2489999999999994E-2</v>
      </c>
      <c r="O89" s="23">
        <v>3.8509999999999998E-3</v>
      </c>
      <c r="P89" s="23">
        <v>1.5380000000000001E-3</v>
      </c>
      <c r="Q89" s="23">
        <v>0.35410000000000003</v>
      </c>
      <c r="R89" s="23">
        <v>0.2205</v>
      </c>
      <c r="S89" s="23">
        <v>3.4979999999999997E-2</v>
      </c>
      <c r="T89" s="23">
        <v>1.6750000000000001E-2</v>
      </c>
      <c r="U89" s="23">
        <v>7.1650000000000001E-4</v>
      </c>
      <c r="V89" s="23">
        <v>3.1819999999999998E-4</v>
      </c>
      <c r="W89" s="24">
        <v>9.1340000000000005E-2</v>
      </c>
      <c r="X89" s="23">
        <v>-1</v>
      </c>
      <c r="Y89" s="23">
        <v>-1</v>
      </c>
      <c r="Z89" s="23">
        <v>0.59230000000000005</v>
      </c>
      <c r="AA89" s="23">
        <v>1.431E-2</v>
      </c>
      <c r="AB89" s="23">
        <v>7.9530000000000003</v>
      </c>
      <c r="AC89" s="23">
        <v>0.21260000000000001</v>
      </c>
      <c r="AD89" s="23"/>
      <c r="AE89" s="23"/>
      <c r="AF89" s="23"/>
      <c r="AG89" s="23"/>
      <c r="AH89" s="23">
        <v>5</v>
      </c>
      <c r="AI89" s="23" t="s">
        <v>78</v>
      </c>
      <c r="AJ89" s="23"/>
    </row>
    <row r="90" spans="1:36">
      <c r="A90" s="17">
        <v>8</v>
      </c>
      <c r="B90" s="23">
        <v>31.5548</v>
      </c>
      <c r="C90" s="23">
        <v>10.96</v>
      </c>
      <c r="D90" s="14">
        <f t="shared" si="9"/>
        <v>203.79050336254332</v>
      </c>
      <c r="E90" s="14">
        <f t="shared" si="8"/>
        <v>70.97574286663675</v>
      </c>
      <c r="F90" s="23">
        <v>8.3110000000000003E-2</v>
      </c>
      <c r="G90" s="23">
        <v>1.9359999999999999E-2</v>
      </c>
      <c r="H90" s="15">
        <v>30</v>
      </c>
      <c r="I90">
        <f t="shared" si="7"/>
        <v>10.5</v>
      </c>
      <c r="J90" s="15">
        <v>21</v>
      </c>
      <c r="K90" s="23">
        <v>0.1024</v>
      </c>
      <c r="L90" s="23">
        <v>2.496E-2</v>
      </c>
      <c r="M90" s="23">
        <v>0.26540000000000002</v>
      </c>
      <c r="N90" s="23">
        <v>5.6509999999999998E-2</v>
      </c>
      <c r="O90" s="23">
        <v>2.316E-2</v>
      </c>
      <c r="P90" s="23">
        <v>5.1149999999999998E-3</v>
      </c>
      <c r="Q90" s="23">
        <v>8.3110000000000003E-2</v>
      </c>
      <c r="R90" s="23">
        <v>1.9359999999999999E-2</v>
      </c>
      <c r="S90" s="23">
        <v>5.6230000000000002E-2</v>
      </c>
      <c r="T90" s="23">
        <v>1.813E-2</v>
      </c>
      <c r="U90" s="23">
        <v>4.9069999999999999E-3</v>
      </c>
      <c r="V90" s="23">
        <v>1.709E-3</v>
      </c>
      <c r="W90" s="24">
        <v>0.76139999999999997</v>
      </c>
      <c r="X90" s="23">
        <v>-1</v>
      </c>
      <c r="Y90" s="23">
        <v>-1</v>
      </c>
      <c r="Z90" s="23">
        <v>0.93769999999999998</v>
      </c>
      <c r="AA90" s="23">
        <v>0.33160000000000001</v>
      </c>
      <c r="AB90" s="23">
        <v>7.6260000000000003</v>
      </c>
      <c r="AC90" s="23">
        <v>0.25779999999999997</v>
      </c>
      <c r="AD90" s="23"/>
      <c r="AE90" s="23"/>
      <c r="AF90" s="23"/>
      <c r="AG90" s="23"/>
      <c r="AH90" s="23">
        <v>5</v>
      </c>
      <c r="AI90" s="23" t="s">
        <v>79</v>
      </c>
      <c r="AJ90" s="23"/>
    </row>
    <row r="91" spans="1:36">
      <c r="A91" s="17">
        <v>9</v>
      </c>
      <c r="B91" s="23">
        <v>62.018000000000001</v>
      </c>
      <c r="C91" s="23">
        <v>13.51</v>
      </c>
      <c r="D91" s="14">
        <f t="shared" si="9"/>
        <v>103.44470880314472</v>
      </c>
      <c r="E91" s="14">
        <f t="shared" si="8"/>
        <v>22.64290926114143</v>
      </c>
      <c r="F91" s="23">
        <v>5.1929999999999997E-2</v>
      </c>
      <c r="G91" s="23">
        <v>7.1050000000000002E-3</v>
      </c>
      <c r="H91" s="15">
        <v>62</v>
      </c>
      <c r="I91">
        <f t="shared" si="7"/>
        <v>13.5</v>
      </c>
      <c r="J91" s="15">
        <v>27</v>
      </c>
      <c r="K91" s="23">
        <v>5.1520000000000003E-2</v>
      </c>
      <c r="L91" s="23">
        <v>8.1849999999999996E-3</v>
      </c>
      <c r="M91" s="23">
        <v>0.30470000000000003</v>
      </c>
      <c r="N91" s="23">
        <v>4.9430000000000002E-2</v>
      </c>
      <c r="O91" s="23">
        <v>4.2549999999999998E-2</v>
      </c>
      <c r="P91" s="23">
        <v>3.1229999999999999E-3</v>
      </c>
      <c r="Q91" s="23">
        <v>5.1929999999999997E-2</v>
      </c>
      <c r="R91" s="23">
        <v>7.1050000000000002E-3</v>
      </c>
      <c r="S91" s="23">
        <v>6.9220000000000004E-2</v>
      </c>
      <c r="T91" s="23">
        <v>1.7430000000000001E-2</v>
      </c>
      <c r="U91" s="23">
        <v>9.6670000000000002E-3</v>
      </c>
      <c r="V91" s="23">
        <v>2.1159999999999998E-3</v>
      </c>
      <c r="W91" s="24">
        <v>0.84009999999999996</v>
      </c>
      <c r="X91" s="23">
        <v>-1</v>
      </c>
      <c r="Y91" s="23">
        <v>-1</v>
      </c>
      <c r="Z91" s="23">
        <v>3.8210000000000002</v>
      </c>
      <c r="AA91" s="23">
        <v>0.25169999999999998</v>
      </c>
      <c r="AB91" s="23">
        <v>7.4669999999999996</v>
      </c>
      <c r="AC91" s="23">
        <v>0.19789999999999999</v>
      </c>
      <c r="AD91" s="23"/>
      <c r="AE91" s="23"/>
      <c r="AF91" s="23"/>
      <c r="AG91" s="23"/>
      <c r="AH91" s="23">
        <v>5</v>
      </c>
      <c r="AI91" s="23" t="s">
        <v>80</v>
      </c>
      <c r="AJ91" s="23"/>
    </row>
    <row r="92" spans="1:36">
      <c r="A92" s="17">
        <v>10</v>
      </c>
      <c r="B92" s="25">
        <v>66.612799999999993</v>
      </c>
      <c r="C92" s="25">
        <v>13.13</v>
      </c>
      <c r="D92" s="14">
        <f t="shared" si="9"/>
        <v>96.246390760346486</v>
      </c>
      <c r="E92" s="14">
        <f t="shared" si="8"/>
        <v>19.064010797381432</v>
      </c>
      <c r="F92" s="25">
        <v>4.641E-2</v>
      </c>
      <c r="G92" s="25">
        <v>1.366E-2</v>
      </c>
      <c r="H92" s="15">
        <v>67</v>
      </c>
      <c r="I92">
        <f t="shared" si="7"/>
        <v>13</v>
      </c>
      <c r="J92" s="15">
        <v>26</v>
      </c>
      <c r="K92" s="25">
        <v>4.6679999999999999E-2</v>
      </c>
      <c r="L92" s="25">
        <v>1.3860000000000001E-2</v>
      </c>
      <c r="M92" s="25">
        <v>0.32040000000000002</v>
      </c>
      <c r="N92" s="25">
        <v>9.2950000000000005E-2</v>
      </c>
      <c r="O92" s="25">
        <v>5.008E-2</v>
      </c>
      <c r="P92" s="25">
        <v>1.6689999999999999E-3</v>
      </c>
      <c r="Q92" s="25">
        <v>4.641E-2</v>
      </c>
      <c r="R92" s="25">
        <v>1.366E-2</v>
      </c>
      <c r="S92" s="25">
        <v>6.6470000000000001E-2</v>
      </c>
      <c r="T92" s="25">
        <v>2.4379999999999999E-2</v>
      </c>
      <c r="U92" s="25">
        <v>1.039E-2</v>
      </c>
      <c r="V92" s="25">
        <v>2.0579999999999999E-3</v>
      </c>
      <c r="W92" s="26">
        <v>0.59950000000000003</v>
      </c>
      <c r="X92" s="25">
        <v>-1</v>
      </c>
      <c r="Y92" s="25">
        <v>-1</v>
      </c>
      <c r="Z92" s="25">
        <v>4.9470000000000001</v>
      </c>
      <c r="AA92" s="25">
        <v>0.1966</v>
      </c>
      <c r="AB92" s="25">
        <v>7.6769999999999996</v>
      </c>
      <c r="AC92" s="25">
        <v>7.7630000000000005E-2</v>
      </c>
      <c r="AD92" s="25"/>
      <c r="AE92" s="25"/>
      <c r="AF92" s="25"/>
      <c r="AG92" s="25"/>
      <c r="AH92" s="25">
        <v>4</v>
      </c>
      <c r="AI92" s="25" t="s">
        <v>81</v>
      </c>
      <c r="AJ92" s="25"/>
    </row>
    <row r="93" spans="1:36">
      <c r="A93" s="17">
        <v>11</v>
      </c>
      <c r="B93" s="21">
        <v>60.8352</v>
      </c>
      <c r="C93" s="21">
        <v>14.88</v>
      </c>
      <c r="D93" s="14">
        <f t="shared" si="9"/>
        <v>105.46298249314489</v>
      </c>
      <c r="E93" s="14">
        <f t="shared" si="8"/>
        <v>25.92640921657042</v>
      </c>
      <c r="F93" s="21">
        <v>5.176E-2</v>
      </c>
      <c r="G93" s="21">
        <v>5.1110000000000001E-3</v>
      </c>
      <c r="H93" s="15">
        <v>60</v>
      </c>
      <c r="I93">
        <f t="shared" si="7"/>
        <v>14.5</v>
      </c>
      <c r="J93" s="15">
        <v>29</v>
      </c>
      <c r="K93" s="21">
        <v>5.2019999999999997E-2</v>
      </c>
      <c r="L93" s="21">
        <v>4.9659999999999999E-3</v>
      </c>
      <c r="M93" s="21">
        <v>0.37709999999999999</v>
      </c>
      <c r="N93" s="21">
        <v>3.4869999999999998E-2</v>
      </c>
      <c r="O93" s="21">
        <v>5.2839999999999998E-2</v>
      </c>
      <c r="P93" s="21">
        <v>1.8500000000000001E-3</v>
      </c>
      <c r="Q93" s="21">
        <v>5.176E-2</v>
      </c>
      <c r="R93" s="21">
        <v>5.1110000000000001E-3</v>
      </c>
      <c r="S93" s="21">
        <v>6.7669999999999994E-2</v>
      </c>
      <c r="T93" s="21">
        <v>1.8079999999999999E-2</v>
      </c>
      <c r="U93" s="21">
        <v>9.4820000000000008E-3</v>
      </c>
      <c r="V93" s="21">
        <v>2.3310000000000002E-3</v>
      </c>
      <c r="W93" s="22">
        <v>0.92930000000000001</v>
      </c>
      <c r="X93" s="21">
        <v>-1</v>
      </c>
      <c r="Y93" s="21">
        <v>-1</v>
      </c>
      <c r="Z93" s="21">
        <v>6.468</v>
      </c>
      <c r="AA93" s="21">
        <v>0.14050000000000001</v>
      </c>
      <c r="AB93" s="21">
        <v>7.8659999999999997</v>
      </c>
      <c r="AC93" s="21">
        <v>0.1091</v>
      </c>
      <c r="AD93" s="21">
        <v>18.86</v>
      </c>
      <c r="AE93" s="21">
        <v>15.62</v>
      </c>
      <c r="AF93" s="21">
        <v>38.340000000000003</v>
      </c>
      <c r="AG93" s="21" t="s">
        <v>75</v>
      </c>
      <c r="AH93" s="21">
        <v>5</v>
      </c>
      <c r="AI93" s="21" t="s">
        <v>6</v>
      </c>
      <c r="AJ93" s="21" t="s">
        <v>83</v>
      </c>
    </row>
    <row r="94" spans="1:36">
      <c r="A94" s="17">
        <v>12</v>
      </c>
      <c r="B94" s="23">
        <v>64.141199999999998</v>
      </c>
      <c r="C94" s="23">
        <v>16.09</v>
      </c>
      <c r="D94" s="14">
        <f t="shared" si="9"/>
        <v>100</v>
      </c>
      <c r="E94" s="14">
        <f t="shared" si="8"/>
        <v>25.2</v>
      </c>
      <c r="F94" s="23">
        <v>4.8070000000000002E-2</v>
      </c>
      <c r="G94" s="23">
        <v>4.2500000000000003E-3</v>
      </c>
      <c r="H94" s="15">
        <v>64</v>
      </c>
      <c r="I94">
        <f t="shared" si="7"/>
        <v>16</v>
      </c>
      <c r="J94" s="15">
        <v>32</v>
      </c>
      <c r="K94" s="23">
        <v>4.8129999999999999E-2</v>
      </c>
      <c r="L94" s="23">
        <v>4.2370000000000003E-3</v>
      </c>
      <c r="M94" s="23">
        <v>0.3599</v>
      </c>
      <c r="N94" s="23">
        <v>3.0759999999999999E-2</v>
      </c>
      <c r="O94" s="23">
        <v>5.4300000000000001E-2</v>
      </c>
      <c r="P94" s="23">
        <v>1.2489999999999999E-3</v>
      </c>
      <c r="Q94" s="23">
        <v>4.8070000000000002E-2</v>
      </c>
      <c r="R94" s="23">
        <v>4.2500000000000003E-3</v>
      </c>
      <c r="S94" s="23">
        <v>6.6269999999999996E-2</v>
      </c>
      <c r="T94" s="23">
        <v>1.7389999999999999E-2</v>
      </c>
      <c r="U94" s="23">
        <v>0.01</v>
      </c>
      <c r="V94" s="23">
        <v>2.5200000000000001E-3</v>
      </c>
      <c r="W94" s="24">
        <v>0.94169999999999998</v>
      </c>
      <c r="X94" s="23">
        <v>-1</v>
      </c>
      <c r="Y94" s="23">
        <v>-1</v>
      </c>
      <c r="Z94" s="23">
        <v>7.8070000000000004</v>
      </c>
      <c r="AA94" s="23">
        <v>0.17760000000000001</v>
      </c>
      <c r="AB94" s="23">
        <v>7.7949999999999999</v>
      </c>
      <c r="AC94" s="23">
        <v>7.4990000000000001E-2</v>
      </c>
      <c r="AD94" s="23"/>
      <c r="AE94" s="23"/>
      <c r="AF94" s="23"/>
      <c r="AG94" s="23"/>
      <c r="AH94" s="23">
        <v>5</v>
      </c>
      <c r="AI94" s="23" t="s">
        <v>78</v>
      </c>
      <c r="AJ94" s="23"/>
    </row>
    <row r="95" spans="1:36">
      <c r="A95" s="17">
        <v>13</v>
      </c>
      <c r="B95" s="23">
        <v>62.868499999999997</v>
      </c>
      <c r="C95" s="23">
        <v>15.94</v>
      </c>
      <c r="D95" s="14">
        <f t="shared" si="9"/>
        <v>102.04081632653062</v>
      </c>
      <c r="E95" s="14">
        <f t="shared" si="8"/>
        <v>25.989171178675551</v>
      </c>
      <c r="F95" s="23">
        <v>4.8370000000000003E-2</v>
      </c>
      <c r="G95" s="23">
        <v>8.3110000000000007E-3</v>
      </c>
      <c r="H95" s="15">
        <v>63</v>
      </c>
      <c r="I95">
        <f t="shared" si="7"/>
        <v>16</v>
      </c>
      <c r="J95" s="15">
        <v>32</v>
      </c>
      <c r="K95" s="23">
        <v>4.9000000000000002E-2</v>
      </c>
      <c r="L95" s="23">
        <v>8.4709999999999994E-3</v>
      </c>
      <c r="M95" s="23">
        <v>0.3508</v>
      </c>
      <c r="N95" s="23">
        <v>5.45E-2</v>
      </c>
      <c r="O95" s="23">
        <v>5.2600000000000001E-2</v>
      </c>
      <c r="P95" s="23">
        <v>1.65E-3</v>
      </c>
      <c r="Q95" s="23">
        <v>4.8370000000000003E-2</v>
      </c>
      <c r="R95" s="23">
        <v>8.3110000000000007E-3</v>
      </c>
      <c r="S95" s="23">
        <v>6.5369999999999998E-2</v>
      </c>
      <c r="T95" s="23">
        <v>1.9740000000000001E-2</v>
      </c>
      <c r="U95" s="23">
        <v>9.7999999999999997E-3</v>
      </c>
      <c r="V95" s="23">
        <v>2.496E-3</v>
      </c>
      <c r="W95" s="24">
        <v>0.82269999999999999</v>
      </c>
      <c r="X95" s="23">
        <v>-1</v>
      </c>
      <c r="Y95" s="23">
        <v>-1</v>
      </c>
      <c r="Z95" s="23">
        <v>8.3740000000000006</v>
      </c>
      <c r="AA95" s="23">
        <v>0.17399999999999999</v>
      </c>
      <c r="AB95" s="23">
        <v>7.7629999999999999</v>
      </c>
      <c r="AC95" s="23">
        <v>0.1103</v>
      </c>
      <c r="AD95" s="23"/>
      <c r="AE95" s="23"/>
      <c r="AF95" s="23"/>
      <c r="AG95" s="23"/>
      <c r="AH95" s="23">
        <v>5</v>
      </c>
      <c r="AI95" s="23" t="s">
        <v>79</v>
      </c>
      <c r="AJ95" s="23"/>
    </row>
    <row r="96" spans="1:36">
      <c r="A96" s="17">
        <v>14</v>
      </c>
      <c r="B96" s="23">
        <v>67.956199999999995</v>
      </c>
      <c r="C96" s="23">
        <v>19.399999999999999</v>
      </c>
      <c r="D96" s="14">
        <f t="shared" si="9"/>
        <v>94.339622641509436</v>
      </c>
      <c r="E96" s="14">
        <f t="shared" si="8"/>
        <v>27.064791740833034</v>
      </c>
      <c r="F96" s="23">
        <v>5.3339999999999999E-2</v>
      </c>
      <c r="G96" s="23">
        <v>6.2490000000000002E-3</v>
      </c>
      <c r="H96" s="15">
        <v>67</v>
      </c>
      <c r="I96">
        <f t="shared" si="7"/>
        <v>19</v>
      </c>
      <c r="J96" s="15">
        <v>38</v>
      </c>
      <c r="K96" s="23">
        <v>5.3429999999999998E-2</v>
      </c>
      <c r="L96" s="23">
        <v>6.241E-3</v>
      </c>
      <c r="M96" s="23">
        <v>0.37209999999999999</v>
      </c>
      <c r="N96" s="23">
        <v>4.3720000000000002E-2</v>
      </c>
      <c r="O96" s="23">
        <v>5.0590000000000003E-2</v>
      </c>
      <c r="P96" s="23">
        <v>1.6570000000000001E-3</v>
      </c>
      <c r="Q96" s="23">
        <v>5.3339999999999999E-2</v>
      </c>
      <c r="R96" s="23">
        <v>6.2490000000000002E-3</v>
      </c>
      <c r="S96" s="23">
        <v>7.7939999999999995E-2</v>
      </c>
      <c r="T96" s="23">
        <v>2.3740000000000001E-2</v>
      </c>
      <c r="U96" s="23">
        <v>1.06E-2</v>
      </c>
      <c r="V96" s="23">
        <v>3.0409999999999999E-3</v>
      </c>
      <c r="W96" s="24">
        <v>0.92330000000000001</v>
      </c>
      <c r="X96" s="23">
        <v>-1</v>
      </c>
      <c r="Y96" s="23">
        <v>-1</v>
      </c>
      <c r="Z96" s="23">
        <v>10.81</v>
      </c>
      <c r="AA96" s="23">
        <v>0.80169999999999997</v>
      </c>
      <c r="AB96" s="23">
        <v>7.4660000000000002</v>
      </c>
      <c r="AC96" s="23">
        <v>0.1085</v>
      </c>
      <c r="AD96" s="23"/>
      <c r="AE96" s="23"/>
      <c r="AF96" s="23"/>
      <c r="AG96" s="23"/>
      <c r="AH96" s="23">
        <v>5</v>
      </c>
      <c r="AI96" s="23" t="s">
        <v>80</v>
      </c>
      <c r="AJ96" s="23"/>
    </row>
    <row r="97" spans="1:36">
      <c r="A97" s="17">
        <v>15</v>
      </c>
      <c r="B97" s="25">
        <v>67.059899999999999</v>
      </c>
      <c r="C97" s="25">
        <v>19.98</v>
      </c>
      <c r="D97" s="14">
        <f t="shared" si="9"/>
        <v>95.602294455066911</v>
      </c>
      <c r="E97" s="14">
        <f t="shared" si="8"/>
        <v>28.625849544289629</v>
      </c>
      <c r="F97" s="25">
        <v>5.5010000000000003E-2</v>
      </c>
      <c r="G97" s="25">
        <v>9.809E-3</v>
      </c>
      <c r="H97" s="15">
        <v>66</v>
      </c>
      <c r="I97">
        <f t="shared" si="7"/>
        <v>19.5</v>
      </c>
      <c r="J97" s="15">
        <v>39</v>
      </c>
      <c r="K97" s="25">
        <v>5.5329999999999997E-2</v>
      </c>
      <c r="L97" s="25">
        <v>1.004E-2</v>
      </c>
      <c r="M97" s="25">
        <v>0.36009999999999998</v>
      </c>
      <c r="N97" s="25">
        <v>6.1179999999999998E-2</v>
      </c>
      <c r="O97" s="25">
        <v>4.7469999999999998E-2</v>
      </c>
      <c r="P97" s="25">
        <v>1.6559999999999999E-3</v>
      </c>
      <c r="Q97" s="25">
        <v>5.5010000000000003E-2</v>
      </c>
      <c r="R97" s="25">
        <v>9.809E-3</v>
      </c>
      <c r="S97" s="25">
        <v>7.9320000000000002E-2</v>
      </c>
      <c r="T97" s="25">
        <v>2.717E-2</v>
      </c>
      <c r="U97" s="25">
        <v>1.0460000000000001E-2</v>
      </c>
      <c r="V97" s="25">
        <v>3.1319999999999998E-3</v>
      </c>
      <c r="W97" s="26">
        <v>0.85399999999999998</v>
      </c>
      <c r="X97" s="25">
        <v>-1</v>
      </c>
      <c r="Y97" s="25">
        <v>-1</v>
      </c>
      <c r="Z97" s="25">
        <v>16.600000000000001</v>
      </c>
      <c r="AA97" s="25">
        <v>0.86439999999999995</v>
      </c>
      <c r="AB97" s="25">
        <v>7.3490000000000002</v>
      </c>
      <c r="AC97" s="25">
        <v>8.4540000000000004E-2</v>
      </c>
      <c r="AD97" s="25"/>
      <c r="AE97" s="25"/>
      <c r="AF97" s="25"/>
      <c r="AG97" s="25"/>
      <c r="AH97" s="25">
        <v>4</v>
      </c>
      <c r="AI97" s="25" t="s">
        <v>81</v>
      </c>
      <c r="AJ97" s="25"/>
    </row>
    <row r="98" spans="1:36">
      <c r="A98" s="17">
        <v>16</v>
      </c>
      <c r="B98" s="21">
        <v>57.0749</v>
      </c>
      <c r="C98" s="21">
        <v>7.8719999999999999</v>
      </c>
      <c r="D98" s="14">
        <f t="shared" si="9"/>
        <v>112.44799280332846</v>
      </c>
      <c r="E98" s="14">
        <f t="shared" si="8"/>
        <v>15.578086937332808</v>
      </c>
      <c r="F98" s="21">
        <v>5.7140000000000003E-2</v>
      </c>
      <c r="G98" s="21">
        <v>4.7850000000000002E-3</v>
      </c>
      <c r="H98" s="15">
        <v>56</v>
      </c>
      <c r="I98">
        <f t="shared" si="7"/>
        <v>7.5</v>
      </c>
      <c r="J98" s="15">
        <v>15</v>
      </c>
      <c r="K98" s="21">
        <v>5.7259999999999998E-2</v>
      </c>
      <c r="L98" s="21">
        <v>4.7879999999999997E-3</v>
      </c>
      <c r="M98" s="21">
        <v>0.35580000000000001</v>
      </c>
      <c r="N98" s="21">
        <v>2.7459999999999998E-2</v>
      </c>
      <c r="O98" s="21">
        <v>4.5159999999999999E-2</v>
      </c>
      <c r="P98" s="21">
        <v>6.0309999999999997E-4</v>
      </c>
      <c r="Q98" s="21">
        <v>5.7140000000000003E-2</v>
      </c>
      <c r="R98" s="21">
        <v>4.7850000000000002E-3</v>
      </c>
      <c r="S98" s="21">
        <v>7.0069999999999993E-2</v>
      </c>
      <c r="T98" s="21">
        <v>1.119E-2</v>
      </c>
      <c r="U98" s="21">
        <v>8.8929999999999999E-3</v>
      </c>
      <c r="V98" s="21">
        <v>1.232E-3</v>
      </c>
      <c r="W98" s="22">
        <v>0.85170000000000001</v>
      </c>
      <c r="X98" s="21">
        <v>-1</v>
      </c>
      <c r="Y98" s="21">
        <v>-1</v>
      </c>
      <c r="Z98" s="21">
        <v>24.3</v>
      </c>
      <c r="AA98" s="21">
        <v>0.87660000000000005</v>
      </c>
      <c r="AB98" s="21">
        <v>7.2069999999999999</v>
      </c>
      <c r="AC98" s="21">
        <v>5.5870000000000003E-2</v>
      </c>
      <c r="AD98" s="21">
        <v>18.86</v>
      </c>
      <c r="AE98" s="21">
        <v>15.62</v>
      </c>
      <c r="AF98" s="21">
        <v>38.340000000000003</v>
      </c>
      <c r="AG98" s="21" t="s">
        <v>75</v>
      </c>
      <c r="AH98" s="21">
        <v>5</v>
      </c>
      <c r="AI98" s="21" t="s">
        <v>6</v>
      </c>
      <c r="AJ98" s="21" t="s">
        <v>84</v>
      </c>
    </row>
    <row r="99" spans="1:36">
      <c r="A99" s="17">
        <v>17</v>
      </c>
      <c r="B99" s="23">
        <v>58.308799999999998</v>
      </c>
      <c r="C99" s="23">
        <v>7.81</v>
      </c>
      <c r="D99" s="14">
        <f t="shared" si="9"/>
        <v>110.0594320933304</v>
      </c>
      <c r="E99" s="14">
        <f t="shared" si="8"/>
        <v>14.814295118879933</v>
      </c>
      <c r="F99" s="23">
        <v>5.7529999999999998E-2</v>
      </c>
      <c r="G99" s="23">
        <v>2.0300000000000001E-3</v>
      </c>
      <c r="H99" s="15">
        <v>58</v>
      </c>
      <c r="I99">
        <f t="shared" si="7"/>
        <v>7.5</v>
      </c>
      <c r="J99" s="15">
        <v>15</v>
      </c>
      <c r="K99" s="23">
        <v>5.74E-2</v>
      </c>
      <c r="L99" s="23">
        <v>2.5209999999999998E-3</v>
      </c>
      <c r="M99" s="23">
        <v>0.37690000000000001</v>
      </c>
      <c r="N99" s="23">
        <v>2.0400000000000001E-2</v>
      </c>
      <c r="O99" s="23">
        <v>4.752E-2</v>
      </c>
      <c r="P99" s="23">
        <v>1.0610000000000001E-3</v>
      </c>
      <c r="Q99" s="23">
        <v>5.7529999999999998E-2</v>
      </c>
      <c r="R99" s="23">
        <v>2.0300000000000001E-3</v>
      </c>
      <c r="S99" s="23">
        <v>7.2080000000000005E-2</v>
      </c>
      <c r="T99" s="23">
        <v>1.014E-2</v>
      </c>
      <c r="U99" s="23">
        <v>9.0860000000000003E-3</v>
      </c>
      <c r="V99" s="23">
        <v>1.2229999999999999E-3</v>
      </c>
      <c r="W99" s="24">
        <v>0.96809999999999996</v>
      </c>
      <c r="X99" s="23">
        <v>-1</v>
      </c>
      <c r="Y99" s="23">
        <v>-1</v>
      </c>
      <c r="Z99" s="23">
        <v>27.64</v>
      </c>
      <c r="AA99" s="23">
        <v>0.49709999999999999</v>
      </c>
      <c r="AB99" s="23">
        <v>7.3739999999999997</v>
      </c>
      <c r="AC99" s="23">
        <v>6.6559999999999994E-2</v>
      </c>
      <c r="AD99" s="23"/>
      <c r="AE99" s="23"/>
      <c r="AF99" s="23"/>
      <c r="AG99" s="23"/>
      <c r="AH99" s="23">
        <v>5</v>
      </c>
      <c r="AI99" s="23" t="s">
        <v>78</v>
      </c>
      <c r="AJ99" s="23"/>
    </row>
    <row r="100" spans="1:36">
      <c r="A100" s="17">
        <v>18</v>
      </c>
      <c r="B100" s="23">
        <v>62.783900000000003</v>
      </c>
      <c r="C100" s="23">
        <v>8.2249999999999996</v>
      </c>
      <c r="D100" s="14">
        <f t="shared" si="9"/>
        <v>102.17635639113108</v>
      </c>
      <c r="E100" s="14">
        <f t="shared" si="8"/>
        <v>13.446730053313255</v>
      </c>
      <c r="F100" s="23">
        <v>5.5289999999999999E-2</v>
      </c>
      <c r="G100" s="23">
        <v>2.0479999999999999E-3</v>
      </c>
      <c r="H100" s="15">
        <v>62</v>
      </c>
      <c r="I100">
        <f t="shared" si="7"/>
        <v>8</v>
      </c>
      <c r="J100" s="15">
        <v>16</v>
      </c>
      <c r="K100" s="23">
        <v>5.5140000000000002E-2</v>
      </c>
      <c r="L100" s="23">
        <v>2.4510000000000001E-3</v>
      </c>
      <c r="M100" s="23">
        <v>0.40300000000000002</v>
      </c>
      <c r="N100" s="23">
        <v>2.2800000000000001E-2</v>
      </c>
      <c r="O100" s="23">
        <v>5.2850000000000001E-2</v>
      </c>
      <c r="P100" s="23">
        <v>1.129E-3</v>
      </c>
      <c r="Q100" s="23">
        <v>5.5289999999999999E-2</v>
      </c>
      <c r="R100" s="23">
        <v>2.0479999999999999E-3</v>
      </c>
      <c r="S100" s="23">
        <v>7.4620000000000006E-2</v>
      </c>
      <c r="T100" s="23">
        <v>1.059E-2</v>
      </c>
      <c r="U100" s="23">
        <v>9.7870000000000006E-3</v>
      </c>
      <c r="V100" s="23">
        <v>1.2880000000000001E-3</v>
      </c>
      <c r="W100" s="24">
        <v>0.96609999999999996</v>
      </c>
      <c r="X100" s="23">
        <v>-1</v>
      </c>
      <c r="Y100" s="23">
        <v>-1</v>
      </c>
      <c r="Z100" s="23">
        <v>25.06</v>
      </c>
      <c r="AA100" s="23">
        <v>0.57830000000000004</v>
      </c>
      <c r="AB100" s="23">
        <v>7.5620000000000003</v>
      </c>
      <c r="AC100" s="23">
        <v>2.971E-2</v>
      </c>
      <c r="AD100" s="23"/>
      <c r="AE100" s="23"/>
      <c r="AF100" s="23"/>
      <c r="AG100" s="23"/>
      <c r="AH100" s="23">
        <v>5</v>
      </c>
      <c r="AI100" s="23" t="s">
        <v>79</v>
      </c>
      <c r="AJ100" s="23"/>
    </row>
    <row r="101" spans="1:36">
      <c r="A101" s="17">
        <v>19</v>
      </c>
      <c r="B101" s="23">
        <v>66.2012</v>
      </c>
      <c r="C101" s="23">
        <v>8.3879999999999999</v>
      </c>
      <c r="D101" s="14">
        <f t="shared" si="9"/>
        <v>96.899224806201559</v>
      </c>
      <c r="E101" s="14">
        <f t="shared" si="8"/>
        <v>12.347139594976264</v>
      </c>
      <c r="F101" s="23">
        <v>5.144E-2</v>
      </c>
      <c r="G101" s="23">
        <v>4.2570000000000004E-3</v>
      </c>
      <c r="H101" s="15">
        <v>66</v>
      </c>
      <c r="I101">
        <f t="shared" si="7"/>
        <v>8.5</v>
      </c>
      <c r="J101" s="15">
        <v>17</v>
      </c>
      <c r="K101" s="23">
        <v>5.1490000000000001E-2</v>
      </c>
      <c r="L101" s="23">
        <v>4.1780000000000003E-3</v>
      </c>
      <c r="M101" s="23">
        <v>0.40629999999999999</v>
      </c>
      <c r="N101" s="23">
        <v>3.304E-2</v>
      </c>
      <c r="O101" s="23">
        <v>5.7290000000000001E-2</v>
      </c>
      <c r="P101" s="23">
        <v>8.7819999999999999E-4</v>
      </c>
      <c r="Q101" s="23">
        <v>5.144E-2</v>
      </c>
      <c r="R101" s="23">
        <v>4.2570000000000004E-3</v>
      </c>
      <c r="S101" s="23">
        <v>7.3209999999999997E-2</v>
      </c>
      <c r="T101" s="23">
        <v>1.082E-2</v>
      </c>
      <c r="U101" s="23">
        <v>1.0319999999999999E-2</v>
      </c>
      <c r="V101" s="23">
        <v>1.315E-3</v>
      </c>
      <c r="W101" s="24">
        <v>0.82899999999999996</v>
      </c>
      <c r="X101" s="23">
        <v>-1</v>
      </c>
      <c r="Y101" s="23">
        <v>-1</v>
      </c>
      <c r="Z101" s="23">
        <v>22.8</v>
      </c>
      <c r="AA101" s="23">
        <v>0.25540000000000002</v>
      </c>
      <c r="AB101" s="23">
        <v>7.726</v>
      </c>
      <c r="AC101" s="23">
        <v>3.7850000000000002E-2</v>
      </c>
      <c r="AD101" s="23"/>
      <c r="AE101" s="23"/>
      <c r="AF101" s="23"/>
      <c r="AG101" s="23"/>
      <c r="AH101" s="23">
        <v>5</v>
      </c>
      <c r="AI101" s="23" t="s">
        <v>80</v>
      </c>
      <c r="AJ101" s="23"/>
    </row>
    <row r="102" spans="1:36">
      <c r="A102" s="17">
        <v>20</v>
      </c>
      <c r="B102" s="25">
        <v>65.376900000000006</v>
      </c>
      <c r="C102" s="25">
        <v>8.9610000000000003</v>
      </c>
      <c r="D102" s="14">
        <f t="shared" si="9"/>
        <v>98.135426889106967</v>
      </c>
      <c r="E102" s="14">
        <f t="shared" si="8"/>
        <v>13.521309063032994</v>
      </c>
      <c r="F102" s="25">
        <v>5.076E-2</v>
      </c>
      <c r="G102" s="25">
        <v>2.6189999999999998E-3</v>
      </c>
      <c r="H102" s="15">
        <v>65</v>
      </c>
      <c r="I102">
        <f t="shared" si="7"/>
        <v>9</v>
      </c>
      <c r="J102" s="15">
        <v>18</v>
      </c>
      <c r="K102" s="25">
        <v>5.0689999999999999E-2</v>
      </c>
      <c r="L102" s="25">
        <v>2.6280000000000001E-3</v>
      </c>
      <c r="M102" s="25">
        <v>0.37159999999999999</v>
      </c>
      <c r="N102" s="25">
        <v>2.7480000000000001E-2</v>
      </c>
      <c r="O102" s="25">
        <v>5.3089999999999998E-2</v>
      </c>
      <c r="P102" s="25">
        <v>2.1679999999999998E-3</v>
      </c>
      <c r="Q102" s="25">
        <v>5.076E-2</v>
      </c>
      <c r="R102" s="25">
        <v>2.6189999999999998E-3</v>
      </c>
      <c r="S102" s="25">
        <v>7.1349999999999997E-2</v>
      </c>
      <c r="T102" s="25">
        <v>1.035E-2</v>
      </c>
      <c r="U102" s="25">
        <v>1.0189999999999999E-2</v>
      </c>
      <c r="V102" s="25">
        <v>1.4040000000000001E-3</v>
      </c>
      <c r="W102" s="26">
        <v>0.93469999999999998</v>
      </c>
      <c r="X102" s="25">
        <v>-1</v>
      </c>
      <c r="Y102" s="25">
        <v>-1</v>
      </c>
      <c r="Z102" s="25">
        <v>25.02</v>
      </c>
      <c r="AA102" s="25">
        <v>0.72489999999999999</v>
      </c>
      <c r="AB102" s="25">
        <v>7.35</v>
      </c>
      <c r="AC102" s="25">
        <v>0.1152</v>
      </c>
      <c r="AD102" s="25"/>
      <c r="AE102" s="25"/>
      <c r="AF102" s="25"/>
      <c r="AG102" s="25"/>
      <c r="AH102" s="25">
        <v>4</v>
      </c>
      <c r="AI102" s="25" t="s">
        <v>81</v>
      </c>
      <c r="AJ102" s="25"/>
    </row>
    <row r="103" spans="1:36">
      <c r="F103"/>
      <c r="G103"/>
      <c r="I103">
        <f t="shared" si="7"/>
        <v>0</v>
      </c>
    </row>
    <row r="104" spans="1:36">
      <c r="F104"/>
      <c r="G104"/>
      <c r="I104">
        <f t="shared" si="7"/>
        <v>0</v>
      </c>
    </row>
    <row r="105" spans="1:36">
      <c r="F105"/>
      <c r="G105"/>
      <c r="I105">
        <f t="shared" si="7"/>
        <v>0</v>
      </c>
    </row>
    <row r="106" spans="1:36">
      <c r="F106"/>
      <c r="G106"/>
      <c r="I106">
        <f t="shared" si="7"/>
        <v>0</v>
      </c>
    </row>
    <row r="107" spans="1:36">
      <c r="A107" s="19" t="s">
        <v>8</v>
      </c>
      <c r="F107"/>
      <c r="G107"/>
      <c r="I107">
        <f t="shared" si="7"/>
        <v>0</v>
      </c>
    </row>
    <row r="108" spans="1:36">
      <c r="A108" s="17" t="s">
        <v>71</v>
      </c>
      <c r="F108"/>
      <c r="G108"/>
      <c r="I108">
        <f t="shared" si="7"/>
        <v>0</v>
      </c>
    </row>
    <row r="109" spans="1:36">
      <c r="A109" s="17" t="s">
        <v>5</v>
      </c>
      <c r="F109"/>
      <c r="G109"/>
      <c r="I109">
        <f t="shared" si="7"/>
        <v>0</v>
      </c>
    </row>
    <row r="110" spans="1:36">
      <c r="A110" s="17">
        <v>1</v>
      </c>
      <c r="B110" s="14">
        <v>4.9610000000000003</v>
      </c>
      <c r="C110" s="27">
        <v>1.002</v>
      </c>
      <c r="D110" s="14">
        <f>1/U110</f>
        <v>1298.8699831146903</v>
      </c>
      <c r="E110" s="14">
        <f t="shared" ref="E110:E129" si="10">(V110/U110)*D110</f>
        <v>262.50703906045692</v>
      </c>
      <c r="F110">
        <v>6.3270000000000007E-2</v>
      </c>
      <c r="G110">
        <v>1.907E-2</v>
      </c>
      <c r="H110" s="15">
        <v>4.9000000000000004</v>
      </c>
      <c r="I110">
        <f t="shared" si="7"/>
        <v>1</v>
      </c>
      <c r="J110" s="15">
        <v>2</v>
      </c>
      <c r="K110" s="16">
        <v>6.2869999999999995E-2</v>
      </c>
      <c r="L110">
        <v>1.9560000000000001E-2</v>
      </c>
      <c r="M110">
        <v>2.4479999999999998E-2</v>
      </c>
      <c r="N110">
        <v>7.3109999999999998E-3</v>
      </c>
      <c r="O110">
        <v>2.8059999999999999E-3</v>
      </c>
      <c r="P110">
        <v>2.4570000000000001E-4</v>
      </c>
      <c r="Q110">
        <v>6.3270000000000007E-2</v>
      </c>
      <c r="R110">
        <v>1.907E-2</v>
      </c>
      <c r="S110">
        <v>6.7159999999999997E-3</v>
      </c>
      <c r="T110">
        <v>2.3029999999999999E-3</v>
      </c>
      <c r="U110">
        <v>7.6990000000000001E-4</v>
      </c>
      <c r="V110">
        <v>1.5559999999999999E-4</v>
      </c>
      <c r="W110" s="20">
        <v>0.48730000000000001</v>
      </c>
      <c r="X110">
        <v>-1</v>
      </c>
      <c r="Y110">
        <v>-1</v>
      </c>
      <c r="Z110">
        <v>9.3160000000000007</v>
      </c>
      <c r="AA110">
        <v>0.90049999999999997</v>
      </c>
      <c r="AB110">
        <v>7.282</v>
      </c>
      <c r="AC110">
        <v>6.0769999999999998E-2</v>
      </c>
      <c r="AD110">
        <v>18.86</v>
      </c>
      <c r="AE110">
        <v>15.62</v>
      </c>
      <c r="AF110">
        <v>38.340000000000003</v>
      </c>
      <c r="AG110" t="s">
        <v>75</v>
      </c>
      <c r="AH110">
        <v>5</v>
      </c>
      <c r="AI110" t="s">
        <v>9</v>
      </c>
      <c r="AJ110" t="s">
        <v>77</v>
      </c>
    </row>
    <row r="111" spans="1:36">
      <c r="A111" s="17">
        <v>2</v>
      </c>
      <c r="B111" s="14">
        <v>4.2882899999999999</v>
      </c>
      <c r="C111" s="27">
        <v>0.87119999999999997</v>
      </c>
      <c r="D111" s="14">
        <f>1/U111</f>
        <v>1502.8554253080854</v>
      </c>
      <c r="E111" s="14">
        <f t="shared" si="10"/>
        <v>305.35926285189834</v>
      </c>
      <c r="F111">
        <v>8.974E-2</v>
      </c>
      <c r="G111">
        <v>3.3910000000000003E-2</v>
      </c>
      <c r="H111" s="15">
        <v>4.0999999999999996</v>
      </c>
      <c r="I111">
        <f t="shared" si="7"/>
        <v>0.85</v>
      </c>
      <c r="J111" s="15">
        <v>1.7</v>
      </c>
      <c r="K111" s="16">
        <v>9.5439999999999997E-2</v>
      </c>
      <c r="L111">
        <v>3.134E-2</v>
      </c>
      <c r="M111">
        <v>3.3459999999999997E-2</v>
      </c>
      <c r="N111">
        <v>1.124E-2</v>
      </c>
      <c r="O111">
        <v>2.7039999999999998E-3</v>
      </c>
      <c r="P111">
        <v>2.9540000000000002E-4</v>
      </c>
      <c r="Q111">
        <v>8.974E-2</v>
      </c>
      <c r="R111">
        <v>3.3910000000000003E-2</v>
      </c>
      <c r="S111">
        <v>8.234E-3</v>
      </c>
      <c r="T111">
        <v>3.0209999999999998E-3</v>
      </c>
      <c r="U111">
        <v>6.6540000000000002E-4</v>
      </c>
      <c r="V111">
        <v>1.3520000000000001E-4</v>
      </c>
      <c r="W111" s="20">
        <v>0.2223</v>
      </c>
      <c r="X111">
        <v>-1</v>
      </c>
      <c r="Y111">
        <v>-1</v>
      </c>
      <c r="Z111">
        <v>6.6749999999999998</v>
      </c>
      <c r="AA111">
        <v>8.2449999999999996E-2</v>
      </c>
      <c r="AB111">
        <v>7.5860000000000003</v>
      </c>
      <c r="AC111">
        <v>6.087E-2</v>
      </c>
      <c r="AH111">
        <v>5</v>
      </c>
      <c r="AI111" t="s">
        <v>78</v>
      </c>
    </row>
    <row r="112" spans="1:36">
      <c r="A112" s="17">
        <v>3</v>
      </c>
      <c r="B112" s="14">
        <v>4.6945499999999996</v>
      </c>
      <c r="C112" s="27">
        <v>0.86119999999999997</v>
      </c>
      <c r="D112" s="14">
        <f>1/U112</f>
        <v>1372.6835964310226</v>
      </c>
      <c r="E112" s="14">
        <f t="shared" si="10"/>
        <v>251.92559621527482</v>
      </c>
      <c r="F112">
        <v>2.8989999999999998E-2</v>
      </c>
      <c r="G112">
        <v>1.9720000000000001E-2</v>
      </c>
      <c r="H112" s="15">
        <v>4.8</v>
      </c>
      <c r="I112">
        <f t="shared" si="7"/>
        <v>0.9</v>
      </c>
      <c r="J112" s="15">
        <v>1.8</v>
      </c>
      <c r="K112" s="16">
        <v>3.3009999999999998E-2</v>
      </c>
      <c r="L112">
        <v>1.864E-2</v>
      </c>
      <c r="M112">
        <v>1.24E-2</v>
      </c>
      <c r="N112">
        <v>7.8530000000000006E-3</v>
      </c>
      <c r="O112">
        <v>3.1020000000000002E-3</v>
      </c>
      <c r="P112">
        <v>3.4759999999999999E-4</v>
      </c>
      <c r="Q112">
        <v>2.8989999999999998E-2</v>
      </c>
      <c r="R112">
        <v>1.9720000000000001E-2</v>
      </c>
      <c r="S112">
        <v>2.9120000000000001E-3</v>
      </c>
      <c r="T112">
        <v>1.977E-3</v>
      </c>
      <c r="U112">
        <v>7.2849999999999998E-4</v>
      </c>
      <c r="V112">
        <v>1.337E-4</v>
      </c>
      <c r="W112" s="20">
        <v>0.12839999999999999</v>
      </c>
      <c r="X112">
        <v>-1</v>
      </c>
      <c r="Y112">
        <v>-1</v>
      </c>
      <c r="Z112">
        <v>6.492</v>
      </c>
      <c r="AA112">
        <v>0.26250000000000001</v>
      </c>
      <c r="AB112">
        <v>7.7270000000000003</v>
      </c>
      <c r="AC112">
        <v>0.1016</v>
      </c>
      <c r="AH112">
        <v>5</v>
      </c>
      <c r="AI112" t="s">
        <v>79</v>
      </c>
    </row>
    <row r="113" spans="1:36">
      <c r="A113" s="17">
        <v>4</v>
      </c>
      <c r="B113" s="14">
        <v>4.4963300000000004</v>
      </c>
      <c r="C113" s="27">
        <v>0.89</v>
      </c>
      <c r="D113" s="14">
        <f>1/U113</f>
        <v>1433.2807797047442</v>
      </c>
      <c r="E113" s="14">
        <f t="shared" si="10"/>
        <v>283.90340225769762</v>
      </c>
      <c r="F113">
        <v>2.2499999999999999E-2</v>
      </c>
      <c r="G113">
        <v>1.2149999999999999E-2</v>
      </c>
      <c r="H113" s="15">
        <v>4.5999999999999996</v>
      </c>
      <c r="I113">
        <f t="shared" si="7"/>
        <v>0.9</v>
      </c>
      <c r="J113" s="15">
        <v>1.8</v>
      </c>
      <c r="K113" s="16">
        <v>2.085E-2</v>
      </c>
      <c r="L113">
        <v>1.2239999999999999E-2</v>
      </c>
      <c r="M113">
        <v>8.8590000000000006E-3</v>
      </c>
      <c r="N113">
        <v>5.1159999999999999E-3</v>
      </c>
      <c r="O113">
        <v>2.856E-3</v>
      </c>
      <c r="P113">
        <v>3.6289999999999998E-4</v>
      </c>
      <c r="Q113">
        <v>2.2499999999999999E-2</v>
      </c>
      <c r="R113">
        <v>1.2149999999999999E-2</v>
      </c>
      <c r="S113">
        <v>2.1649999999999998E-3</v>
      </c>
      <c r="T113">
        <v>1.292E-3</v>
      </c>
      <c r="U113">
        <v>6.9769999999999999E-4</v>
      </c>
      <c r="V113">
        <v>1.382E-4</v>
      </c>
      <c r="W113" s="20">
        <v>0.43980000000000002</v>
      </c>
      <c r="X113">
        <v>-1</v>
      </c>
      <c r="Y113">
        <v>-1</v>
      </c>
      <c r="Z113">
        <v>6.3520000000000003</v>
      </c>
      <c r="AA113">
        <v>0.45810000000000001</v>
      </c>
      <c r="AB113">
        <v>7.6070000000000002</v>
      </c>
      <c r="AC113">
        <v>0.13200000000000001</v>
      </c>
      <c r="AH113">
        <v>5</v>
      </c>
      <c r="AI113" t="s">
        <v>80</v>
      </c>
    </row>
    <row r="114" spans="1:36">
      <c r="A114" s="17">
        <v>5</v>
      </c>
      <c r="B114" s="14">
        <v>4.9797000000000002</v>
      </c>
      <c r="C114" s="27">
        <v>1.1399999999999999</v>
      </c>
      <c r="D114" s="14">
        <f>1/U114</f>
        <v>1293.9958592132505</v>
      </c>
      <c r="E114" s="14">
        <f t="shared" si="10"/>
        <v>296.37327520800375</v>
      </c>
      <c r="F114">
        <v>3.8929999999999999E-2</v>
      </c>
      <c r="G114">
        <v>1.652E-2</v>
      </c>
      <c r="H114" s="15">
        <v>5</v>
      </c>
      <c r="I114">
        <f t="shared" si="7"/>
        <v>1.1499999999999999</v>
      </c>
      <c r="J114" s="15">
        <v>2.2999999999999998</v>
      </c>
      <c r="K114" s="16">
        <v>4.0989999999999999E-2</v>
      </c>
      <c r="L114">
        <v>1.763E-2</v>
      </c>
      <c r="M114">
        <v>1.3010000000000001E-2</v>
      </c>
      <c r="N114">
        <v>5.0229999999999997E-3</v>
      </c>
      <c r="O114">
        <v>2.4239999999999999E-3</v>
      </c>
      <c r="P114">
        <v>2.186E-4</v>
      </c>
      <c r="Q114">
        <v>3.8929999999999999E-2</v>
      </c>
      <c r="R114">
        <v>1.652E-2</v>
      </c>
      <c r="S114">
        <v>4.1469999999999996E-3</v>
      </c>
      <c r="T114">
        <v>1.877E-3</v>
      </c>
      <c r="U114">
        <v>7.7280000000000003E-4</v>
      </c>
      <c r="V114">
        <v>1.7699999999999999E-4</v>
      </c>
      <c r="W114" s="20">
        <v>0.3725</v>
      </c>
      <c r="X114">
        <v>-1</v>
      </c>
      <c r="Y114">
        <v>-1</v>
      </c>
      <c r="Z114">
        <v>11.6</v>
      </c>
      <c r="AA114">
        <v>0.35449999999999998</v>
      </c>
      <c r="AB114">
        <v>6.9139999999999997</v>
      </c>
      <c r="AC114">
        <v>4.3569999999999998E-2</v>
      </c>
      <c r="AH114">
        <v>4</v>
      </c>
      <c r="AI114" t="s">
        <v>81</v>
      </c>
    </row>
    <row r="115" spans="1:36">
      <c r="A115" s="17">
        <v>6</v>
      </c>
      <c r="B115" s="21">
        <v>5.4368400000000001</v>
      </c>
      <c r="C115" s="21">
        <v>1.85</v>
      </c>
      <c r="D115" s="14">
        <f t="shared" ref="D115:D129" si="11">1/U115</f>
        <v>1185.2554225435581</v>
      </c>
      <c r="E115" s="14">
        <f t="shared" si="10"/>
        <v>403.46729566731051</v>
      </c>
      <c r="F115" s="21">
        <v>5.1020000000000003E-2</v>
      </c>
      <c r="G115" s="21">
        <v>1.5129999999999999E-2</v>
      </c>
      <c r="H115" s="15">
        <v>5.4</v>
      </c>
      <c r="I115">
        <f t="shared" si="7"/>
        <v>1.8</v>
      </c>
      <c r="J115" s="15">
        <v>3.6</v>
      </c>
      <c r="K115" s="21">
        <v>5.3539999999999997E-2</v>
      </c>
      <c r="L115" s="21">
        <v>1.525E-2</v>
      </c>
      <c r="M115" s="21">
        <v>1.7000000000000001E-2</v>
      </c>
      <c r="N115" s="21">
        <v>4.6779999999999999E-3</v>
      </c>
      <c r="O115" s="21">
        <v>2.4169999999999999E-3</v>
      </c>
      <c r="P115" s="21">
        <v>2.0139999999999999E-4</v>
      </c>
      <c r="Q115" s="21">
        <v>5.1020000000000003E-2</v>
      </c>
      <c r="R115" s="21">
        <v>1.5129999999999999E-2</v>
      </c>
      <c r="S115" s="21">
        <v>5.9350000000000002E-3</v>
      </c>
      <c r="T115" s="21">
        <v>2.601E-3</v>
      </c>
      <c r="U115" s="21">
        <v>8.4369999999999996E-4</v>
      </c>
      <c r="V115" s="21">
        <v>2.8719999999999999E-4</v>
      </c>
      <c r="W115" s="22">
        <v>0.73740000000000006</v>
      </c>
      <c r="X115" s="21">
        <v>-1</v>
      </c>
      <c r="Y115" s="21">
        <v>-1</v>
      </c>
      <c r="Z115" s="21">
        <v>13.35</v>
      </c>
      <c r="AA115" s="21">
        <v>0.1651</v>
      </c>
      <c r="AB115" s="21">
        <v>6.6980000000000004</v>
      </c>
      <c r="AC115" s="21">
        <v>4.7660000000000001E-2</v>
      </c>
      <c r="AD115" s="21">
        <v>18.86</v>
      </c>
      <c r="AE115" s="21">
        <v>15.62</v>
      </c>
      <c r="AF115" s="21">
        <v>38.340000000000003</v>
      </c>
      <c r="AG115" s="21" t="s">
        <v>75</v>
      </c>
      <c r="AH115" s="21">
        <v>5</v>
      </c>
      <c r="AI115" s="21" t="s">
        <v>9</v>
      </c>
      <c r="AJ115" s="21" t="s">
        <v>87</v>
      </c>
    </row>
    <row r="116" spans="1:36">
      <c r="A116" s="17">
        <v>7</v>
      </c>
      <c r="B116" s="23">
        <v>5.0768899999999997</v>
      </c>
      <c r="C116" s="23">
        <v>2.024</v>
      </c>
      <c r="D116" s="14">
        <f t="shared" si="11"/>
        <v>1269.1965985531158</v>
      </c>
      <c r="E116" s="14">
        <f t="shared" si="10"/>
        <v>506.13221381569866</v>
      </c>
      <c r="F116" s="23">
        <v>3.8080000000000003E-2</v>
      </c>
      <c r="G116" s="23">
        <v>1.379E-2</v>
      </c>
      <c r="H116" s="15">
        <v>5.0999999999999996</v>
      </c>
      <c r="I116">
        <f t="shared" si="7"/>
        <v>2.0499999999999998</v>
      </c>
      <c r="J116" s="15">
        <v>4.0999999999999996</v>
      </c>
      <c r="K116" s="23">
        <v>3.8699999999999998E-2</v>
      </c>
      <c r="L116" s="23">
        <v>1.423E-2</v>
      </c>
      <c r="M116" s="23">
        <v>1.017E-2</v>
      </c>
      <c r="N116" s="23">
        <v>3.6449999999999998E-3</v>
      </c>
      <c r="O116" s="23">
        <v>1.9380000000000001E-3</v>
      </c>
      <c r="P116" s="23">
        <v>1.607E-4</v>
      </c>
      <c r="Q116" s="23">
        <v>3.8080000000000003E-2</v>
      </c>
      <c r="R116" s="23">
        <v>1.379E-2</v>
      </c>
      <c r="S116" s="23">
        <v>4.1359999999999999E-3</v>
      </c>
      <c r="T116" s="23">
        <v>2.2200000000000002E-3</v>
      </c>
      <c r="U116" s="23">
        <v>7.8790000000000002E-4</v>
      </c>
      <c r="V116" s="23">
        <v>3.1419999999999999E-4</v>
      </c>
      <c r="W116" s="24">
        <v>0.7379</v>
      </c>
      <c r="X116" s="23">
        <v>-1</v>
      </c>
      <c r="Y116" s="23">
        <v>-1</v>
      </c>
      <c r="Z116" s="23">
        <v>12.56</v>
      </c>
      <c r="AA116" s="23">
        <v>0.1615</v>
      </c>
      <c r="AB116" s="23">
        <v>6.4960000000000004</v>
      </c>
      <c r="AC116" s="23">
        <v>5.5480000000000002E-2</v>
      </c>
      <c r="AD116" s="23"/>
      <c r="AE116" s="23"/>
      <c r="AF116" s="23"/>
      <c r="AG116" s="23"/>
      <c r="AH116" s="23">
        <v>5</v>
      </c>
      <c r="AI116" s="23" t="s">
        <v>78</v>
      </c>
      <c r="AJ116" s="23"/>
    </row>
    <row r="117" spans="1:36">
      <c r="A117" s="17">
        <v>8</v>
      </c>
      <c r="B117" s="23">
        <v>6.0211600000000001</v>
      </c>
      <c r="C117" s="23">
        <v>2.4279999999999999</v>
      </c>
      <c r="D117" s="14">
        <f t="shared" si="11"/>
        <v>1070.0909577314071</v>
      </c>
      <c r="E117" s="14">
        <f t="shared" si="10"/>
        <v>431.70068599758207</v>
      </c>
      <c r="F117" s="23">
        <v>2.5510000000000001E-2</v>
      </c>
      <c r="G117" s="23">
        <v>1.304E-2</v>
      </c>
      <c r="H117" s="15">
        <v>6.2</v>
      </c>
      <c r="I117">
        <f t="shared" si="7"/>
        <v>2.4500000000000002</v>
      </c>
      <c r="J117" s="15">
        <v>4.9000000000000004</v>
      </c>
      <c r="K117" s="23">
        <v>2.9319999999999999E-2</v>
      </c>
      <c r="L117" s="23">
        <v>1.218E-2</v>
      </c>
      <c r="M117" s="23">
        <v>8.0669999999999995E-3</v>
      </c>
      <c r="N117" s="23">
        <v>3.4380000000000001E-3</v>
      </c>
      <c r="O117" s="23">
        <v>2.2929999999999999E-3</v>
      </c>
      <c r="P117" s="23">
        <v>2.6659999999999998E-4</v>
      </c>
      <c r="Q117" s="23">
        <v>2.5510000000000001E-2</v>
      </c>
      <c r="R117" s="23">
        <v>1.304E-2</v>
      </c>
      <c r="S117" s="23">
        <v>3.287E-3</v>
      </c>
      <c r="T117" s="23">
        <v>1.884E-3</v>
      </c>
      <c r="U117" s="23">
        <v>9.345E-4</v>
      </c>
      <c r="V117" s="23">
        <v>3.77E-4</v>
      </c>
      <c r="W117" s="24">
        <v>0.498</v>
      </c>
      <c r="X117" s="23">
        <v>-1</v>
      </c>
      <c r="Y117" s="23">
        <v>-1</v>
      </c>
      <c r="Z117" s="23">
        <v>11.99</v>
      </c>
      <c r="AA117" s="23">
        <v>0.14829999999999999</v>
      </c>
      <c r="AB117" s="23">
        <v>6.4930000000000003</v>
      </c>
      <c r="AC117" s="23">
        <v>4.2659999999999997E-2</v>
      </c>
      <c r="AD117" s="23"/>
      <c r="AE117" s="23"/>
      <c r="AF117" s="23"/>
      <c r="AG117" s="23"/>
      <c r="AH117" s="23">
        <v>5</v>
      </c>
      <c r="AI117" s="23" t="s">
        <v>79</v>
      </c>
      <c r="AJ117" s="23"/>
    </row>
    <row r="118" spans="1:36">
      <c r="A118" s="17">
        <v>9</v>
      </c>
      <c r="B118" s="23">
        <v>5.4413600000000004</v>
      </c>
      <c r="C118" s="23">
        <v>2.2330000000000001</v>
      </c>
      <c r="D118" s="14">
        <f t="shared" si="11"/>
        <v>1184.2728564661297</v>
      </c>
      <c r="E118" s="14">
        <f t="shared" si="10"/>
        <v>486.10726202174396</v>
      </c>
      <c r="F118" s="23">
        <v>0.1142</v>
      </c>
      <c r="G118" s="23">
        <v>4.0140000000000002E-2</v>
      </c>
      <c r="H118" s="15">
        <v>5</v>
      </c>
      <c r="I118">
        <f t="shared" si="7"/>
        <v>2.0499999999999998</v>
      </c>
      <c r="J118" s="15">
        <v>4.0999999999999996</v>
      </c>
      <c r="K118" s="23">
        <v>0.1087</v>
      </c>
      <c r="L118" s="23">
        <v>3.9129999999999998E-2</v>
      </c>
      <c r="M118" s="23">
        <v>3.1119999999999998E-2</v>
      </c>
      <c r="N118" s="23">
        <v>1.184E-2</v>
      </c>
      <c r="O118" s="23">
        <v>1.9759999999999999E-3</v>
      </c>
      <c r="P118" s="23">
        <v>1.6890000000000001E-4</v>
      </c>
      <c r="Q118" s="23">
        <v>0.1142</v>
      </c>
      <c r="R118" s="23">
        <v>4.0140000000000002E-2</v>
      </c>
      <c r="S118" s="23">
        <v>1.3299999999999999E-2</v>
      </c>
      <c r="T118" s="23">
        <v>7.1170000000000001E-3</v>
      </c>
      <c r="U118" s="23">
        <v>8.4440000000000003E-4</v>
      </c>
      <c r="V118" s="23">
        <v>3.4660000000000002E-4</v>
      </c>
      <c r="W118" s="24">
        <v>0.75419999999999998</v>
      </c>
      <c r="X118" s="23">
        <v>-1</v>
      </c>
      <c r="Y118" s="23">
        <v>-1</v>
      </c>
      <c r="Z118" s="23">
        <v>11.19</v>
      </c>
      <c r="AA118" s="23">
        <v>0.1421</v>
      </c>
      <c r="AB118" s="23">
        <v>6.4359999999999999</v>
      </c>
      <c r="AC118" s="23">
        <v>7.7810000000000004E-2</v>
      </c>
      <c r="AD118" s="23"/>
      <c r="AE118" s="23"/>
      <c r="AF118" s="23"/>
      <c r="AG118" s="23"/>
      <c r="AH118" s="23">
        <v>5</v>
      </c>
      <c r="AI118" s="23" t="s">
        <v>80</v>
      </c>
      <c r="AJ118" s="23"/>
    </row>
    <row r="119" spans="1:36">
      <c r="A119" s="17">
        <v>10</v>
      </c>
      <c r="B119" s="25">
        <v>5.8697499999999998</v>
      </c>
      <c r="C119" s="25">
        <v>2.6179999999999999</v>
      </c>
      <c r="D119" s="14">
        <f t="shared" si="11"/>
        <v>1097.694840834248</v>
      </c>
      <c r="E119" s="14">
        <f t="shared" si="10"/>
        <v>489.80565620101186</v>
      </c>
      <c r="F119" s="25">
        <v>7.8640000000000002E-2</v>
      </c>
      <c r="G119" s="25">
        <v>2.512E-2</v>
      </c>
      <c r="H119" s="15">
        <v>5.6</v>
      </c>
      <c r="I119">
        <f t="shared" si="7"/>
        <v>2.5</v>
      </c>
      <c r="J119" s="15">
        <v>5</v>
      </c>
      <c r="K119" s="25">
        <v>7.9630000000000006E-2</v>
      </c>
      <c r="L119" s="25">
        <v>2.5059999999999999E-2</v>
      </c>
      <c r="M119" s="25">
        <v>2.1350000000000001E-2</v>
      </c>
      <c r="N119" s="25">
        <v>6.3790000000000001E-3</v>
      </c>
      <c r="O119" s="25">
        <v>1.9689999999999998E-3</v>
      </c>
      <c r="P119" s="25">
        <v>1.9540000000000001E-4</v>
      </c>
      <c r="Q119" s="25">
        <v>7.8640000000000002E-2</v>
      </c>
      <c r="R119" s="25">
        <v>2.512E-2</v>
      </c>
      <c r="S119" s="25">
        <v>9.8770000000000004E-3</v>
      </c>
      <c r="T119" s="25">
        <v>5.1799999999999997E-3</v>
      </c>
      <c r="U119" s="25">
        <v>9.1100000000000003E-4</v>
      </c>
      <c r="V119" s="25">
        <v>4.0650000000000001E-4</v>
      </c>
      <c r="W119" s="26">
        <v>0.79510000000000003</v>
      </c>
      <c r="X119" s="25">
        <v>-1</v>
      </c>
      <c r="Y119" s="25">
        <v>-1</v>
      </c>
      <c r="Z119" s="25">
        <v>10.039999999999999</v>
      </c>
      <c r="AA119" s="25">
        <v>0.2</v>
      </c>
      <c r="AB119" s="25">
        <v>6.3470000000000004</v>
      </c>
      <c r="AC119" s="25">
        <v>4.0030000000000003E-2</v>
      </c>
      <c r="AD119" s="25"/>
      <c r="AE119" s="25"/>
      <c r="AF119" s="25"/>
      <c r="AG119" s="25"/>
      <c r="AH119" s="25">
        <v>4</v>
      </c>
      <c r="AI119" s="25" t="s">
        <v>81</v>
      </c>
      <c r="AJ119" s="25"/>
    </row>
    <row r="120" spans="1:36">
      <c r="A120" s="17">
        <v>11</v>
      </c>
      <c r="B120" s="21">
        <v>5.4957399999999996</v>
      </c>
      <c r="C120" s="21">
        <v>3.0609999999999999</v>
      </c>
      <c r="D120" s="14">
        <f t="shared" si="11"/>
        <v>1172.4703951225231</v>
      </c>
      <c r="E120" s="14">
        <f t="shared" si="10"/>
        <v>653.2511803989014</v>
      </c>
      <c r="F120" s="21">
        <v>9.1230000000000006E-2</v>
      </c>
      <c r="G120" s="21">
        <v>2.5999999999999999E-2</v>
      </c>
      <c r="H120" s="15">
        <v>5.2</v>
      </c>
      <c r="I120">
        <f t="shared" si="7"/>
        <v>2.85</v>
      </c>
      <c r="J120" s="15">
        <v>5.7</v>
      </c>
      <c r="K120" s="21">
        <v>9.4839999999999994E-2</v>
      </c>
      <c r="L120" s="21">
        <v>2.5180000000000001E-2</v>
      </c>
      <c r="M120" s="21">
        <v>2.6859999999999998E-2</v>
      </c>
      <c r="N120" s="21">
        <v>6.7169999999999999E-3</v>
      </c>
      <c r="O120" s="21">
        <v>2.1350000000000002E-3</v>
      </c>
      <c r="P120" s="21">
        <v>2.788E-4</v>
      </c>
      <c r="Q120" s="21">
        <v>9.1230000000000006E-2</v>
      </c>
      <c r="R120" s="21">
        <v>2.5999999999999999E-2</v>
      </c>
      <c r="S120" s="21">
        <v>1.073E-2</v>
      </c>
      <c r="T120" s="21">
        <v>6.4660000000000004E-3</v>
      </c>
      <c r="U120" s="21">
        <v>8.5289999999999997E-4</v>
      </c>
      <c r="V120" s="21">
        <v>4.752E-4</v>
      </c>
      <c r="W120" s="22">
        <v>0.88219999999999998</v>
      </c>
      <c r="X120" s="21">
        <v>-1</v>
      </c>
      <c r="Y120" s="21">
        <v>-1</v>
      </c>
      <c r="Z120" s="21">
        <v>8.9879999999999995</v>
      </c>
      <c r="AA120" s="21">
        <v>0.1014</v>
      </c>
      <c r="AB120" s="21">
        <v>6.3310000000000004</v>
      </c>
      <c r="AC120" s="21">
        <v>3.7449999999999997E-2</v>
      </c>
      <c r="AD120" s="21">
        <v>18.86</v>
      </c>
      <c r="AE120" s="21">
        <v>15.62</v>
      </c>
      <c r="AF120" s="21">
        <v>38.340000000000003</v>
      </c>
      <c r="AG120" s="21" t="s">
        <v>75</v>
      </c>
      <c r="AH120" s="21">
        <v>5</v>
      </c>
      <c r="AI120" s="21" t="s">
        <v>9</v>
      </c>
      <c r="AJ120" s="21" t="s">
        <v>83</v>
      </c>
    </row>
    <row r="121" spans="1:36">
      <c r="A121" s="17">
        <v>12</v>
      </c>
      <c r="B121" s="23">
        <v>6.45634</v>
      </c>
      <c r="C121" s="23">
        <v>3.7570000000000001</v>
      </c>
      <c r="D121" s="14">
        <f t="shared" si="11"/>
        <v>998.00399201596804</v>
      </c>
      <c r="E121" s="14">
        <f t="shared" si="10"/>
        <v>581.17298337456828</v>
      </c>
      <c r="F121" s="23">
        <v>5.2109999999999997E-2</v>
      </c>
      <c r="G121" s="23">
        <v>3.2390000000000002E-2</v>
      </c>
      <c r="H121" s="15">
        <v>6.4</v>
      </c>
      <c r="I121">
        <f t="shared" si="7"/>
        <v>3.7</v>
      </c>
      <c r="J121" s="15">
        <v>7.4</v>
      </c>
      <c r="K121" s="23">
        <v>4.9209999999999997E-2</v>
      </c>
      <c r="L121" s="23">
        <v>3.3140000000000003E-2</v>
      </c>
      <c r="M121" s="23">
        <v>1.695E-2</v>
      </c>
      <c r="N121" s="23">
        <v>1.081E-2</v>
      </c>
      <c r="O121" s="23">
        <v>2.359E-3</v>
      </c>
      <c r="P121" s="23">
        <v>2.008E-4</v>
      </c>
      <c r="Q121" s="23">
        <v>5.2109999999999997E-2</v>
      </c>
      <c r="R121" s="23">
        <v>3.2390000000000002E-2</v>
      </c>
      <c r="S121" s="23">
        <v>7.1999999999999998E-3</v>
      </c>
      <c r="T121" s="23">
        <v>6.1590000000000004E-3</v>
      </c>
      <c r="U121" s="23">
        <v>1.0020000000000001E-3</v>
      </c>
      <c r="V121" s="23">
        <v>5.8350000000000003E-4</v>
      </c>
      <c r="W121" s="24">
        <v>0.68710000000000004</v>
      </c>
      <c r="X121" s="23">
        <v>-1</v>
      </c>
      <c r="Y121" s="23">
        <v>-1</v>
      </c>
      <c r="Z121" s="23">
        <v>8.6069999999999993</v>
      </c>
      <c r="AA121" s="23">
        <v>0.12230000000000001</v>
      </c>
      <c r="AB121" s="23">
        <v>6.2560000000000002</v>
      </c>
      <c r="AC121" s="23">
        <v>3.8059999999999997E-2</v>
      </c>
      <c r="AD121" s="23"/>
      <c r="AE121" s="23"/>
      <c r="AF121" s="23"/>
      <c r="AG121" s="23"/>
      <c r="AH121" s="23">
        <v>5</v>
      </c>
      <c r="AI121" s="23" t="s">
        <v>78</v>
      </c>
      <c r="AJ121" s="23"/>
    </row>
    <row r="122" spans="1:36">
      <c r="A122" s="17">
        <v>13</v>
      </c>
      <c r="B122" s="23">
        <v>5.7108699999999999</v>
      </c>
      <c r="C122" s="23">
        <v>2.7450000000000001</v>
      </c>
      <c r="D122" s="14">
        <f t="shared" si="11"/>
        <v>1128.286133363421</v>
      </c>
      <c r="E122" s="14">
        <f t="shared" si="10"/>
        <v>542.56521498306438</v>
      </c>
      <c r="F122" s="23">
        <v>4.0120000000000003E-2</v>
      </c>
      <c r="G122" s="23">
        <v>2.247E-2</v>
      </c>
      <c r="H122" s="15">
        <v>5.8</v>
      </c>
      <c r="I122">
        <f t="shared" si="7"/>
        <v>2.75</v>
      </c>
      <c r="J122" s="15">
        <v>5.5</v>
      </c>
      <c r="K122" s="23">
        <v>4.0890000000000003E-2</v>
      </c>
      <c r="L122" s="23">
        <v>2.3900000000000001E-2</v>
      </c>
      <c r="M122" s="23">
        <v>1.4E-2</v>
      </c>
      <c r="N122" s="23">
        <v>7.7489999999999998E-3</v>
      </c>
      <c r="O122" s="23">
        <v>2.5309999999999998E-3</v>
      </c>
      <c r="P122" s="23">
        <v>2.029E-4</v>
      </c>
      <c r="Q122" s="23">
        <v>4.0120000000000003E-2</v>
      </c>
      <c r="R122" s="23">
        <v>2.247E-2</v>
      </c>
      <c r="S122" s="23">
        <v>4.9030000000000002E-3</v>
      </c>
      <c r="T122" s="23">
        <v>3.5119999999999999E-3</v>
      </c>
      <c r="U122" s="23">
        <v>8.8630000000000002E-4</v>
      </c>
      <c r="V122" s="23">
        <v>4.2620000000000001E-4</v>
      </c>
      <c r="W122" s="24">
        <v>0.62539999999999996</v>
      </c>
      <c r="X122" s="23">
        <v>-1</v>
      </c>
      <c r="Y122" s="23">
        <v>-1</v>
      </c>
      <c r="Z122" s="23">
        <v>9.3469999999999995</v>
      </c>
      <c r="AA122" s="23">
        <v>0.16819999999999999</v>
      </c>
      <c r="AB122" s="23">
        <v>6.5069999999999997</v>
      </c>
      <c r="AC122" s="23">
        <v>4.4010000000000001E-2</v>
      </c>
      <c r="AD122" s="23"/>
      <c r="AE122" s="23"/>
      <c r="AF122" s="23"/>
      <c r="AG122" s="23"/>
      <c r="AH122" s="23">
        <v>5</v>
      </c>
      <c r="AI122" s="23" t="s">
        <v>79</v>
      </c>
      <c r="AJ122" s="23"/>
    </row>
    <row r="123" spans="1:36">
      <c r="A123" s="17">
        <v>14</v>
      </c>
      <c r="B123" s="23">
        <v>4.7322499999999996</v>
      </c>
      <c r="C123" s="23">
        <v>1.97</v>
      </c>
      <c r="D123" s="14">
        <f t="shared" si="11"/>
        <v>1361.6557734204794</v>
      </c>
      <c r="E123" s="14">
        <f t="shared" si="10"/>
        <v>566.98575096947525</v>
      </c>
      <c r="F123" s="23">
        <v>7.2010000000000005E-2</v>
      </c>
      <c r="G123" s="23">
        <v>1.7610000000000001E-2</v>
      </c>
      <c r="H123" s="15">
        <v>4.5999999999999996</v>
      </c>
      <c r="I123">
        <f t="shared" si="7"/>
        <v>1.9</v>
      </c>
      <c r="J123" s="15">
        <v>3.8</v>
      </c>
      <c r="K123" s="23">
        <v>7.1379999999999999E-2</v>
      </c>
      <c r="L123" s="23">
        <v>1.873E-2</v>
      </c>
      <c r="M123" s="23">
        <v>2.4199999999999999E-2</v>
      </c>
      <c r="N123" s="23">
        <v>6.051E-3</v>
      </c>
      <c r="O123" s="23">
        <v>2.4369999999999999E-3</v>
      </c>
      <c r="P123" s="23">
        <v>1.941E-4</v>
      </c>
      <c r="Q123" s="23">
        <v>7.2010000000000005E-2</v>
      </c>
      <c r="R123" s="23">
        <v>1.7610000000000001E-2</v>
      </c>
      <c r="S123" s="23">
        <v>7.2919999999999999E-3</v>
      </c>
      <c r="T123" s="23">
        <v>3.4859999999999999E-3</v>
      </c>
      <c r="U123" s="23">
        <v>7.3439999999999996E-4</v>
      </c>
      <c r="V123" s="23">
        <v>3.0580000000000001E-4</v>
      </c>
      <c r="W123" s="24">
        <v>0.85929999999999995</v>
      </c>
      <c r="X123" s="23">
        <v>-1</v>
      </c>
      <c r="Y123" s="23">
        <v>-1</v>
      </c>
      <c r="Z123" s="23">
        <v>10.119999999999999</v>
      </c>
      <c r="AA123" s="23">
        <v>0.1114</v>
      </c>
      <c r="AB123" s="23">
        <v>6.7389999999999999</v>
      </c>
      <c r="AC123" s="23">
        <v>3.7719999999999997E-2</v>
      </c>
      <c r="AD123" s="23"/>
      <c r="AE123" s="23"/>
      <c r="AF123" s="23"/>
      <c r="AG123" s="23"/>
      <c r="AH123" s="23">
        <v>5</v>
      </c>
      <c r="AI123" s="23" t="s">
        <v>80</v>
      </c>
      <c r="AJ123" s="23"/>
    </row>
    <row r="124" spans="1:36">
      <c r="A124" s="17">
        <v>15</v>
      </c>
      <c r="B124" s="25">
        <v>4.7116300000000004</v>
      </c>
      <c r="C124" s="25">
        <v>1.821</v>
      </c>
      <c r="D124" s="14">
        <f t="shared" si="11"/>
        <v>1367.6148796498906</v>
      </c>
      <c r="E124" s="14">
        <f t="shared" si="10"/>
        <v>528.56669172464319</v>
      </c>
      <c r="F124" s="25">
        <v>7.4440000000000006E-2</v>
      </c>
      <c r="G124" s="25">
        <v>1.5049999999999999E-2</v>
      </c>
      <c r="H124" s="15">
        <v>4.5</v>
      </c>
      <c r="I124">
        <f t="shared" si="7"/>
        <v>1.75</v>
      </c>
      <c r="J124" s="15">
        <v>3.5</v>
      </c>
      <c r="K124" s="25">
        <v>7.152E-2</v>
      </c>
      <c r="L124" s="25">
        <v>2.0230000000000001E-2</v>
      </c>
      <c r="M124" s="25">
        <v>2.6870000000000002E-2</v>
      </c>
      <c r="N124" s="25">
        <v>7.2370000000000004E-3</v>
      </c>
      <c r="O124" s="25">
        <v>2.6180000000000001E-3</v>
      </c>
      <c r="P124" s="25">
        <v>2.276E-4</v>
      </c>
      <c r="Q124" s="25">
        <v>7.4440000000000006E-2</v>
      </c>
      <c r="R124" s="25">
        <v>1.5049999999999999E-2</v>
      </c>
      <c r="S124" s="25">
        <v>7.5040000000000003E-3</v>
      </c>
      <c r="T124" s="25">
        <v>3.4030000000000002E-3</v>
      </c>
      <c r="U124" s="25">
        <v>7.3119999999999999E-4</v>
      </c>
      <c r="V124" s="25">
        <v>2.8259999999999998E-4</v>
      </c>
      <c r="W124" s="26">
        <v>0.89610000000000001</v>
      </c>
      <c r="X124" s="25">
        <v>-1</v>
      </c>
      <c r="Y124" s="25">
        <v>-1</v>
      </c>
      <c r="Z124" s="25">
        <v>10</v>
      </c>
      <c r="AA124" s="25">
        <v>0.1512</v>
      </c>
      <c r="AB124" s="25">
        <v>6.87</v>
      </c>
      <c r="AC124" s="25">
        <v>5.4559999999999997E-2</v>
      </c>
      <c r="AD124" s="25"/>
      <c r="AE124" s="25"/>
      <c r="AF124" s="25"/>
      <c r="AG124" s="25"/>
      <c r="AH124" s="25">
        <v>4</v>
      </c>
      <c r="AI124" s="25" t="s">
        <v>81</v>
      </c>
      <c r="AJ124" s="25"/>
    </row>
    <row r="125" spans="1:36">
      <c r="A125" s="17">
        <v>16</v>
      </c>
      <c r="B125" s="21">
        <v>4.0861499999999999</v>
      </c>
      <c r="C125" s="21">
        <v>0.67369999999999997</v>
      </c>
      <c r="D125" s="14">
        <f t="shared" si="11"/>
        <v>1577.0383220312256</v>
      </c>
      <c r="E125" s="14">
        <f t="shared" si="10"/>
        <v>260.14541631361965</v>
      </c>
      <c r="F125" s="21">
        <v>5.2409999999999998E-2</v>
      </c>
      <c r="G125" s="21">
        <v>2.4819999999999998E-2</v>
      </c>
      <c r="H125" s="15">
        <v>4.0999999999999996</v>
      </c>
      <c r="I125">
        <f t="shared" si="7"/>
        <v>0.65</v>
      </c>
      <c r="J125" s="15">
        <v>1.3</v>
      </c>
      <c r="K125" s="21">
        <v>5.3780000000000001E-2</v>
      </c>
      <c r="L125" s="21">
        <v>2.4809999999999999E-2</v>
      </c>
      <c r="M125" s="21">
        <v>2.138E-2</v>
      </c>
      <c r="N125" s="21">
        <v>9.7409999999999997E-3</v>
      </c>
      <c r="O125" s="21">
        <v>2.9589999999999998E-3</v>
      </c>
      <c r="P125" s="21">
        <v>2.13E-4</v>
      </c>
      <c r="Q125" s="21">
        <v>5.2409999999999998E-2</v>
      </c>
      <c r="R125" s="21">
        <v>2.4819999999999998E-2</v>
      </c>
      <c r="S125" s="21">
        <v>4.581E-3</v>
      </c>
      <c r="T125" s="21">
        <v>2.196E-3</v>
      </c>
      <c r="U125" s="21">
        <v>6.3409999999999996E-4</v>
      </c>
      <c r="V125" s="21">
        <v>1.0459999999999999E-4</v>
      </c>
      <c r="W125" s="22">
        <v>0.20610000000000001</v>
      </c>
      <c r="X125" s="21">
        <v>-1</v>
      </c>
      <c r="Y125" s="21">
        <v>-1</v>
      </c>
      <c r="Z125" s="21">
        <v>9.7650000000000006</v>
      </c>
      <c r="AA125" s="21">
        <v>0.1051</v>
      </c>
      <c r="AB125" s="21">
        <v>6.7539999999999996</v>
      </c>
      <c r="AC125" s="21">
        <v>5.2010000000000001E-2</v>
      </c>
      <c r="AD125" s="21">
        <v>18.86</v>
      </c>
      <c r="AE125" s="21">
        <v>15.62</v>
      </c>
      <c r="AF125" s="21">
        <v>38.340000000000003</v>
      </c>
      <c r="AG125" s="21" t="s">
        <v>75</v>
      </c>
      <c r="AH125" s="21">
        <v>5</v>
      </c>
      <c r="AI125" s="21" t="s">
        <v>9</v>
      </c>
      <c r="AJ125" s="21" t="s">
        <v>84</v>
      </c>
    </row>
    <row r="126" spans="1:36">
      <c r="A126" s="17">
        <v>17</v>
      </c>
      <c r="B126" s="23">
        <v>3.9489800000000002</v>
      </c>
      <c r="C126" s="23">
        <v>0.65480000000000005</v>
      </c>
      <c r="D126" s="14">
        <f t="shared" si="11"/>
        <v>1631.8537859007831</v>
      </c>
      <c r="E126" s="14">
        <f t="shared" si="10"/>
        <v>270.55539270156584</v>
      </c>
      <c r="F126" s="23">
        <v>4.3540000000000002E-2</v>
      </c>
      <c r="G126" s="23">
        <v>1.924E-2</v>
      </c>
      <c r="H126" s="15">
        <v>4</v>
      </c>
      <c r="I126">
        <f t="shared" si="7"/>
        <v>0.65</v>
      </c>
      <c r="J126" s="15">
        <v>1.3</v>
      </c>
      <c r="K126" s="23">
        <v>4.4949999999999997E-2</v>
      </c>
      <c r="L126" s="23">
        <v>2.0410000000000001E-2</v>
      </c>
      <c r="M126" s="23">
        <v>1.7469999999999999E-2</v>
      </c>
      <c r="N126" s="23">
        <v>7.5100000000000002E-3</v>
      </c>
      <c r="O126" s="23">
        <v>2.9099999999999998E-3</v>
      </c>
      <c r="P126" s="23">
        <v>2.1499999999999999E-4</v>
      </c>
      <c r="Q126" s="23">
        <v>4.3540000000000002E-2</v>
      </c>
      <c r="R126" s="23">
        <v>1.924E-2</v>
      </c>
      <c r="S126" s="23">
        <v>3.6779999999999998E-3</v>
      </c>
      <c r="T126" s="23">
        <v>1.663E-3</v>
      </c>
      <c r="U126" s="23">
        <v>6.1280000000000004E-4</v>
      </c>
      <c r="V126" s="23">
        <v>1.016E-4</v>
      </c>
      <c r="W126" s="24">
        <v>0.24510000000000001</v>
      </c>
      <c r="X126" s="23">
        <v>-1</v>
      </c>
      <c r="Y126" s="23">
        <v>-1</v>
      </c>
      <c r="Z126" s="23">
        <v>9.7040000000000006</v>
      </c>
      <c r="AA126" s="23">
        <v>0.12740000000000001</v>
      </c>
      <c r="AB126" s="23">
        <v>6.8449999999999998</v>
      </c>
      <c r="AC126" s="23">
        <v>3.8789999999999998E-2</v>
      </c>
      <c r="AD126" s="23"/>
      <c r="AE126" s="23"/>
      <c r="AF126" s="23"/>
      <c r="AG126" s="23"/>
      <c r="AH126" s="23">
        <v>5</v>
      </c>
      <c r="AI126" s="23" t="s">
        <v>78</v>
      </c>
      <c r="AJ126" s="23"/>
    </row>
    <row r="127" spans="1:36">
      <c r="A127" s="17">
        <v>18</v>
      </c>
      <c r="B127" s="23">
        <v>3.5470700000000002</v>
      </c>
      <c r="C127" s="23">
        <v>0.56859999999999999</v>
      </c>
      <c r="D127" s="14">
        <f t="shared" si="11"/>
        <v>1816.8604651162789</v>
      </c>
      <c r="E127" s="14">
        <f t="shared" si="10"/>
        <v>291.31165706124926</v>
      </c>
      <c r="F127" s="23">
        <v>0.11119999999999999</v>
      </c>
      <c r="G127" s="23">
        <v>4.6989999999999997E-2</v>
      </c>
      <c r="H127" s="15">
        <v>3.3</v>
      </c>
      <c r="I127">
        <f t="shared" si="7"/>
        <v>0.55000000000000004</v>
      </c>
      <c r="J127" s="15">
        <v>1.1000000000000001</v>
      </c>
      <c r="K127" s="23">
        <v>0.10589999999999999</v>
      </c>
      <c r="L127" s="23">
        <v>4.3679999999999997E-2</v>
      </c>
      <c r="M127" s="23">
        <v>4.0980000000000003E-2</v>
      </c>
      <c r="N127" s="23">
        <v>1.8519999999999998E-2</v>
      </c>
      <c r="O127" s="23">
        <v>2.673E-3</v>
      </c>
      <c r="P127" s="23">
        <v>2.0819999999999999E-4</v>
      </c>
      <c r="Q127" s="23">
        <v>0.11119999999999999</v>
      </c>
      <c r="R127" s="23">
        <v>4.6989999999999997E-2</v>
      </c>
      <c r="S127" s="23">
        <v>8.4379999999999993E-3</v>
      </c>
      <c r="T127" s="23">
        <v>3.967E-3</v>
      </c>
      <c r="U127" s="23">
        <v>5.5040000000000004E-4</v>
      </c>
      <c r="V127" s="23">
        <v>8.8250000000000004E-5</v>
      </c>
      <c r="W127" s="24">
        <v>0.4516</v>
      </c>
      <c r="X127" s="23">
        <v>-1</v>
      </c>
      <c r="Y127" s="23">
        <v>-1</v>
      </c>
      <c r="Z127" s="23">
        <v>9.6519999999999992</v>
      </c>
      <c r="AA127" s="23">
        <v>0.1046</v>
      </c>
      <c r="AB127" s="23">
        <v>6.9630000000000001</v>
      </c>
      <c r="AC127" s="23">
        <v>6.2640000000000001E-2</v>
      </c>
      <c r="AD127" s="23"/>
      <c r="AE127" s="23"/>
      <c r="AF127" s="23"/>
      <c r="AG127" s="23"/>
      <c r="AH127" s="23">
        <v>5</v>
      </c>
      <c r="AI127" s="23" t="s">
        <v>79</v>
      </c>
      <c r="AJ127" s="23"/>
    </row>
    <row r="128" spans="1:36">
      <c r="A128" s="17">
        <v>19</v>
      </c>
      <c r="B128" s="23">
        <v>4.2874100000000004</v>
      </c>
      <c r="C128" s="23">
        <v>0.67630000000000001</v>
      </c>
      <c r="D128" s="14">
        <f t="shared" si="11"/>
        <v>1503.0813166992334</v>
      </c>
      <c r="E128" s="14">
        <f t="shared" si="10"/>
        <v>237.22161168408164</v>
      </c>
      <c r="F128" s="23">
        <v>0.16300000000000001</v>
      </c>
      <c r="G128" s="23">
        <v>5.2720000000000003E-2</v>
      </c>
      <c r="H128" s="15">
        <v>3.7</v>
      </c>
      <c r="I128">
        <f t="shared" si="7"/>
        <v>0.65</v>
      </c>
      <c r="J128" s="15">
        <v>1.3</v>
      </c>
      <c r="K128" s="23">
        <v>0.17710000000000001</v>
      </c>
      <c r="L128" s="23">
        <v>5.9819999999999998E-2</v>
      </c>
      <c r="M128" s="23">
        <v>7.4609999999999996E-2</v>
      </c>
      <c r="N128" s="23">
        <v>1.9619999999999999E-2</v>
      </c>
      <c r="O128" s="23">
        <v>3.3210000000000002E-3</v>
      </c>
      <c r="P128" s="23">
        <v>2.3790000000000001E-4</v>
      </c>
      <c r="Q128" s="23">
        <v>0.16300000000000001</v>
      </c>
      <c r="R128" s="23">
        <v>5.2720000000000003E-2</v>
      </c>
      <c r="S128" s="23">
        <v>1.495E-2</v>
      </c>
      <c r="T128" s="23">
        <v>4.4429999999999999E-3</v>
      </c>
      <c r="U128" s="23">
        <v>6.6529999999999996E-4</v>
      </c>
      <c r="V128" s="23">
        <v>1.05E-4</v>
      </c>
      <c r="W128" s="24">
        <v>9.1389999999999999E-2</v>
      </c>
      <c r="X128" s="23">
        <v>-1</v>
      </c>
      <c r="Y128" s="23">
        <v>-1</v>
      </c>
      <c r="Z128" s="23">
        <v>9.6820000000000004</v>
      </c>
      <c r="AA128" s="23">
        <v>0.1066</v>
      </c>
      <c r="AB128" s="23">
        <v>7.1109999999999998</v>
      </c>
      <c r="AC128" s="23">
        <v>5.1650000000000001E-2</v>
      </c>
      <c r="AD128" s="23"/>
      <c r="AE128" s="23"/>
      <c r="AF128" s="23"/>
      <c r="AG128" s="23"/>
      <c r="AH128" s="23">
        <v>5</v>
      </c>
      <c r="AI128" s="23" t="s">
        <v>80</v>
      </c>
      <c r="AJ128" s="23"/>
    </row>
    <row r="129" spans="1:36">
      <c r="A129" s="17">
        <v>20</v>
      </c>
      <c r="B129" s="25">
        <v>4.0442999999999998</v>
      </c>
      <c r="C129" s="25">
        <v>0.75770000000000004</v>
      </c>
      <c r="D129" s="14">
        <f t="shared" si="11"/>
        <v>1593.3715742511154</v>
      </c>
      <c r="E129" s="14">
        <f t="shared" si="10"/>
        <v>298.56675769906178</v>
      </c>
      <c r="F129" s="25">
        <v>5.5669999999999997E-2</v>
      </c>
      <c r="G129" s="25">
        <v>1.7420000000000001E-2</v>
      </c>
      <c r="H129" s="15">
        <v>4</v>
      </c>
      <c r="I129">
        <f t="shared" si="7"/>
        <v>0.75</v>
      </c>
      <c r="J129" s="15">
        <v>1.5</v>
      </c>
      <c r="K129" s="25">
        <v>5.7450000000000001E-2</v>
      </c>
      <c r="L129" s="25">
        <v>1.7729999999999999E-2</v>
      </c>
      <c r="M129" s="25">
        <v>2.4420000000000001E-2</v>
      </c>
      <c r="N129" s="25">
        <v>7.2589999999999998E-3</v>
      </c>
      <c r="O129" s="25">
        <v>3.1809999999999998E-3</v>
      </c>
      <c r="P129" s="25">
        <v>3.369E-4</v>
      </c>
      <c r="Q129" s="25">
        <v>5.5669999999999997E-2</v>
      </c>
      <c r="R129" s="25">
        <v>1.7420000000000001E-2</v>
      </c>
      <c r="S129" s="25">
        <v>4.8170000000000001E-3</v>
      </c>
      <c r="T129" s="25">
        <v>1.585E-3</v>
      </c>
      <c r="U129" s="25">
        <v>6.2759999999999997E-4</v>
      </c>
      <c r="V129" s="25">
        <v>1.176E-4</v>
      </c>
      <c r="W129" s="26">
        <v>0.36859999999999998</v>
      </c>
      <c r="X129" s="25">
        <v>-1</v>
      </c>
      <c r="Y129" s="25">
        <v>-1</v>
      </c>
      <c r="Z129" s="25">
        <v>9.56</v>
      </c>
      <c r="AA129" s="25">
        <v>0.1183</v>
      </c>
      <c r="AB129" s="25">
        <v>7.1959999999999997</v>
      </c>
      <c r="AC129" s="25">
        <v>0.1368</v>
      </c>
      <c r="AD129" s="25"/>
      <c r="AE129" s="25"/>
      <c r="AF129" s="25"/>
      <c r="AG129" s="25"/>
      <c r="AH129" s="25">
        <v>4</v>
      </c>
      <c r="AI129" s="25" t="s">
        <v>81</v>
      </c>
      <c r="AJ129" s="25"/>
    </row>
    <row r="130" spans="1:36">
      <c r="F130"/>
      <c r="G130"/>
      <c r="I130">
        <f t="shared" si="7"/>
        <v>0</v>
      </c>
      <c r="W130" s="20"/>
    </row>
    <row r="131" spans="1:36">
      <c r="A131" s="19" t="s">
        <v>10</v>
      </c>
      <c r="F131"/>
      <c r="G131"/>
      <c r="I131">
        <f t="shared" si="7"/>
        <v>0</v>
      </c>
      <c r="W131" s="20"/>
    </row>
    <row r="132" spans="1:36">
      <c r="A132" s="17" t="s">
        <v>71</v>
      </c>
      <c r="F132"/>
      <c r="G132"/>
      <c r="I132">
        <f t="shared" si="7"/>
        <v>0</v>
      </c>
      <c r="W132" s="20"/>
    </row>
    <row r="133" spans="1:36">
      <c r="A133" s="17" t="s">
        <v>5</v>
      </c>
      <c r="F133"/>
      <c r="G133"/>
      <c r="I133">
        <f t="shared" si="7"/>
        <v>0</v>
      </c>
      <c r="W133" s="20"/>
    </row>
    <row r="134" spans="1:36">
      <c r="A134" s="17">
        <v>1</v>
      </c>
      <c r="B134" s="15">
        <v>3.83989</v>
      </c>
      <c r="C134" s="18">
        <v>0.79510000000000003</v>
      </c>
      <c r="D134" s="14">
        <f>1/U134</f>
        <v>1678.4155756965426</v>
      </c>
      <c r="E134" s="14">
        <f t="shared" ref="E134:E153" si="12">(V134/U134)*D134</f>
        <v>347.62752944100936</v>
      </c>
      <c r="F134">
        <v>0.2475</v>
      </c>
      <c r="G134">
        <v>0.1118</v>
      </c>
      <c r="H134" s="15">
        <v>2.9</v>
      </c>
      <c r="I134">
        <f t="shared" si="7"/>
        <v>0.8</v>
      </c>
      <c r="J134" s="15">
        <v>1.6</v>
      </c>
      <c r="K134" s="16">
        <v>0.24740000000000001</v>
      </c>
      <c r="L134">
        <v>0.1182</v>
      </c>
      <c r="M134">
        <v>8.5139999999999993E-2</v>
      </c>
      <c r="N134">
        <v>3.7940000000000002E-2</v>
      </c>
      <c r="O134">
        <v>2.4940000000000001E-3</v>
      </c>
      <c r="P134">
        <v>3.0390000000000001E-4</v>
      </c>
      <c r="Q134">
        <v>0.2475</v>
      </c>
      <c r="R134">
        <v>0.1118</v>
      </c>
      <c r="S134">
        <v>2.034E-2</v>
      </c>
      <c r="T134">
        <v>8.8570000000000003E-3</v>
      </c>
      <c r="U134">
        <v>5.9579999999999995E-4</v>
      </c>
      <c r="V134">
        <v>1.2339999999999999E-4</v>
      </c>
      <c r="W134" s="20">
        <v>0.159</v>
      </c>
      <c r="X134">
        <v>-1</v>
      </c>
      <c r="Y134">
        <v>-1</v>
      </c>
      <c r="Z134">
        <v>7.5759999999999996</v>
      </c>
      <c r="AA134">
        <v>0.2455</v>
      </c>
      <c r="AB134">
        <v>7.6749999999999998</v>
      </c>
      <c r="AC134">
        <v>0.1376</v>
      </c>
      <c r="AD134">
        <v>18.86</v>
      </c>
      <c r="AE134">
        <v>15.62</v>
      </c>
      <c r="AF134">
        <v>38.340000000000003</v>
      </c>
      <c r="AG134" t="s">
        <v>75</v>
      </c>
      <c r="AH134">
        <v>5</v>
      </c>
      <c r="AI134" t="s">
        <v>11</v>
      </c>
      <c r="AJ134" t="s">
        <v>77</v>
      </c>
    </row>
    <row r="135" spans="1:36">
      <c r="A135" s="17">
        <v>2</v>
      </c>
      <c r="B135" s="15">
        <v>3.6455299999999999</v>
      </c>
      <c r="C135" s="18">
        <v>0.73270000000000002</v>
      </c>
      <c r="D135" s="14">
        <f>1/U135</f>
        <v>1767.7214071062399</v>
      </c>
      <c r="E135" s="14">
        <f t="shared" si="12"/>
        <v>355.29419124620728</v>
      </c>
      <c r="F135">
        <v>0.1091</v>
      </c>
      <c r="G135">
        <v>4.4909999999999999E-2</v>
      </c>
      <c r="H135" s="15">
        <v>3.4</v>
      </c>
      <c r="I135">
        <f t="shared" si="7"/>
        <v>0.7</v>
      </c>
      <c r="J135" s="15">
        <v>1.4</v>
      </c>
      <c r="K135" s="16">
        <v>0.10340000000000001</v>
      </c>
      <c r="L135">
        <v>4.9009999999999998E-2</v>
      </c>
      <c r="M135">
        <v>3.6900000000000002E-2</v>
      </c>
      <c r="N135">
        <v>1.6389999999999998E-2</v>
      </c>
      <c r="O135">
        <v>2.4529999999999999E-3</v>
      </c>
      <c r="P135">
        <v>2.5530000000000003E-4</v>
      </c>
      <c r="Q135">
        <v>0.1091</v>
      </c>
      <c r="R135">
        <v>4.4909999999999999E-2</v>
      </c>
      <c r="S135">
        <v>8.5100000000000002E-3</v>
      </c>
      <c r="T135">
        <v>4.1149999999999997E-3</v>
      </c>
      <c r="U135">
        <v>5.6570000000000004E-4</v>
      </c>
      <c r="V135">
        <v>1.137E-4</v>
      </c>
      <c r="W135" s="20">
        <v>0.5393</v>
      </c>
      <c r="X135">
        <v>-1</v>
      </c>
      <c r="Y135">
        <v>-1</v>
      </c>
      <c r="Z135">
        <v>10.77</v>
      </c>
      <c r="AA135">
        <v>0.49149999999999999</v>
      </c>
      <c r="AB135">
        <v>7.7830000000000004</v>
      </c>
      <c r="AC135">
        <v>0.1231</v>
      </c>
      <c r="AH135">
        <v>5</v>
      </c>
      <c r="AI135" t="s">
        <v>78</v>
      </c>
    </row>
    <row r="136" spans="1:36">
      <c r="A136" s="17">
        <v>3</v>
      </c>
      <c r="B136" s="15">
        <v>4.6450800000000001</v>
      </c>
      <c r="C136" s="18">
        <v>0.8972</v>
      </c>
      <c r="D136" s="14">
        <f>1/U136</f>
        <v>1387.3473917869035</v>
      </c>
      <c r="E136" s="14">
        <f t="shared" si="12"/>
        <v>268.1152770198608</v>
      </c>
      <c r="F136">
        <v>5.5309999999999998E-2</v>
      </c>
      <c r="G136">
        <v>2.3220000000000001E-2</v>
      </c>
      <c r="H136" s="15">
        <v>4.5999999999999996</v>
      </c>
      <c r="I136">
        <f t="shared" si="7"/>
        <v>0.9</v>
      </c>
      <c r="J136" s="15">
        <v>1.8</v>
      </c>
      <c r="K136" s="16">
        <v>5.2040000000000003E-2</v>
      </c>
      <c r="L136">
        <v>1.9990000000000001E-2</v>
      </c>
      <c r="M136">
        <v>2.444E-2</v>
      </c>
      <c r="N136">
        <v>1.184E-2</v>
      </c>
      <c r="O136">
        <v>3.2039999999999998E-3</v>
      </c>
      <c r="P136">
        <v>3.4979999999999999E-4</v>
      </c>
      <c r="Q136">
        <v>5.5309999999999998E-2</v>
      </c>
      <c r="R136">
        <v>2.3220000000000001E-2</v>
      </c>
      <c r="S136">
        <v>5.4970000000000001E-3</v>
      </c>
      <c r="T136">
        <v>2.8050000000000002E-3</v>
      </c>
      <c r="U136">
        <v>7.2079999999999996E-4</v>
      </c>
      <c r="V136">
        <v>1.393E-4</v>
      </c>
      <c r="W136" s="20">
        <v>0.61629999999999996</v>
      </c>
      <c r="X136">
        <v>-1</v>
      </c>
      <c r="Y136">
        <v>-1</v>
      </c>
      <c r="Z136">
        <v>12.33</v>
      </c>
      <c r="AA136">
        <v>0.16769999999999999</v>
      </c>
      <c r="AB136">
        <v>7.8630000000000004</v>
      </c>
      <c r="AC136">
        <v>0.1212</v>
      </c>
      <c r="AH136">
        <v>5</v>
      </c>
      <c r="AI136" t="s">
        <v>79</v>
      </c>
    </row>
    <row r="137" spans="1:36">
      <c r="A137" s="17">
        <v>4</v>
      </c>
      <c r="B137" s="15">
        <v>4.1866099999999999</v>
      </c>
      <c r="C137" s="18">
        <v>0.67459999999999998</v>
      </c>
      <c r="D137" s="14">
        <f>1/U137</f>
        <v>1539.1719255040787</v>
      </c>
      <c r="E137" s="14">
        <f t="shared" si="12"/>
        <v>248.03955764241502</v>
      </c>
      <c r="F137">
        <v>7.8299999999999995E-2</v>
      </c>
      <c r="G137">
        <v>1.704E-2</v>
      </c>
      <c r="H137" s="15">
        <v>4</v>
      </c>
      <c r="I137">
        <f t="shared" ref="I137:I200" si="13">J137/2</f>
        <v>0.65</v>
      </c>
      <c r="J137" s="15">
        <v>1.3</v>
      </c>
      <c r="K137" s="16">
        <v>7.4679999999999996E-2</v>
      </c>
      <c r="L137">
        <v>1.9550000000000001E-2</v>
      </c>
      <c r="M137">
        <v>3.5610000000000003E-2</v>
      </c>
      <c r="N137">
        <v>9.7120000000000001E-3</v>
      </c>
      <c r="O137">
        <v>3.2980000000000002E-3</v>
      </c>
      <c r="P137">
        <v>2.7389999999999999E-4</v>
      </c>
      <c r="Q137">
        <v>7.8299999999999995E-2</v>
      </c>
      <c r="R137">
        <v>1.704E-2</v>
      </c>
      <c r="S137">
        <v>7.0140000000000003E-3</v>
      </c>
      <c r="T137">
        <v>2.2190000000000001E-3</v>
      </c>
      <c r="U137">
        <v>6.4970000000000002E-4</v>
      </c>
      <c r="V137">
        <v>1.047E-4</v>
      </c>
      <c r="W137" s="20">
        <v>0.77190000000000003</v>
      </c>
      <c r="X137">
        <v>-1</v>
      </c>
      <c r="Y137">
        <v>-1</v>
      </c>
      <c r="Z137">
        <v>12.72</v>
      </c>
      <c r="AA137">
        <v>0.21079999999999999</v>
      </c>
      <c r="AB137">
        <v>8.32</v>
      </c>
      <c r="AC137">
        <v>0.1181</v>
      </c>
      <c r="AH137">
        <v>5</v>
      </c>
      <c r="AI137" t="s">
        <v>80</v>
      </c>
    </row>
    <row r="138" spans="1:36">
      <c r="A138" s="17">
        <v>5</v>
      </c>
      <c r="B138" s="15">
        <v>3.07213</v>
      </c>
      <c r="C138" s="18">
        <v>0.51319999999999999</v>
      </c>
      <c r="D138" s="14">
        <f>1/U138</f>
        <v>2097.7554017201596</v>
      </c>
      <c r="E138" s="14">
        <f t="shared" si="12"/>
        <v>350.46201005452809</v>
      </c>
      <c r="F138">
        <v>4.5359999999999998E-2</v>
      </c>
      <c r="G138">
        <v>1.644E-2</v>
      </c>
      <c r="H138" s="15">
        <v>3.1</v>
      </c>
      <c r="I138">
        <f t="shared" si="13"/>
        <v>0.5</v>
      </c>
      <c r="J138" s="15">
        <v>1</v>
      </c>
      <c r="K138" s="16">
        <v>4.7899999999999998E-2</v>
      </c>
      <c r="L138">
        <v>1.711E-2</v>
      </c>
      <c r="M138">
        <v>1.6230000000000001E-2</v>
      </c>
      <c r="N138">
        <v>5.6119999999999998E-3</v>
      </c>
      <c r="O138">
        <v>2.5959999999999998E-3</v>
      </c>
      <c r="P138">
        <v>3.5320000000000002E-4</v>
      </c>
      <c r="Q138">
        <v>4.5359999999999998E-2</v>
      </c>
      <c r="R138">
        <v>1.644E-2</v>
      </c>
      <c r="S138">
        <v>2.9810000000000001E-3</v>
      </c>
      <c r="T138">
        <v>1.085E-3</v>
      </c>
      <c r="U138">
        <v>4.7669999999999999E-4</v>
      </c>
      <c r="V138">
        <v>7.9640000000000003E-5</v>
      </c>
      <c r="W138" s="20">
        <v>0.23799999999999999</v>
      </c>
      <c r="X138">
        <v>-1</v>
      </c>
      <c r="Y138">
        <v>-1</v>
      </c>
      <c r="Z138">
        <v>16.940000000000001</v>
      </c>
      <c r="AA138">
        <v>2.3660000000000001</v>
      </c>
      <c r="AB138">
        <v>8.5879999999999992</v>
      </c>
      <c r="AC138">
        <v>9.9030000000000007E-2</v>
      </c>
      <c r="AH138">
        <v>4</v>
      </c>
      <c r="AI138" t="s">
        <v>81</v>
      </c>
    </row>
    <row r="139" spans="1:36">
      <c r="A139" s="17">
        <v>6</v>
      </c>
      <c r="B139" s="21">
        <v>3.6342699999999999</v>
      </c>
      <c r="C139" s="21">
        <v>0.6774</v>
      </c>
      <c r="D139" s="14">
        <f t="shared" ref="D139:D153" si="14">1/U139</f>
        <v>1773.3640716439086</v>
      </c>
      <c r="E139" s="14">
        <f t="shared" si="12"/>
        <v>330.52059572579321</v>
      </c>
      <c r="F139" s="21">
        <v>4.5339999999999998E-2</v>
      </c>
      <c r="G139" s="21">
        <v>1.5259999999999999E-2</v>
      </c>
      <c r="H139" s="15">
        <v>3.6</v>
      </c>
      <c r="I139">
        <f t="shared" si="13"/>
        <v>0.65</v>
      </c>
      <c r="J139" s="15">
        <v>1.3</v>
      </c>
      <c r="K139" s="21">
        <v>4.7149999999999997E-2</v>
      </c>
      <c r="L139" s="21">
        <v>1.494E-2</v>
      </c>
      <c r="M139" s="21">
        <v>1.796E-2</v>
      </c>
      <c r="N139" s="21">
        <v>5.5579999999999996E-3</v>
      </c>
      <c r="O139" s="21">
        <v>2.8739999999999998E-3</v>
      </c>
      <c r="P139" s="21">
        <v>1.6650000000000001E-4</v>
      </c>
      <c r="Q139" s="21">
        <v>4.5339999999999998E-2</v>
      </c>
      <c r="R139" s="21">
        <v>1.5259999999999999E-2</v>
      </c>
      <c r="S139" s="21">
        <v>3.5249999999999999E-3</v>
      </c>
      <c r="T139" s="21">
        <v>1.3140000000000001E-3</v>
      </c>
      <c r="U139" s="21">
        <v>5.6389999999999999E-4</v>
      </c>
      <c r="V139" s="21">
        <v>1.0509999999999999E-4</v>
      </c>
      <c r="W139" s="22">
        <v>0.435</v>
      </c>
      <c r="X139" s="21">
        <v>-1</v>
      </c>
      <c r="Y139" s="21">
        <v>-1</v>
      </c>
      <c r="Z139" s="21">
        <v>32.590000000000003</v>
      </c>
      <c r="AA139" s="21">
        <v>0.72289999999999999</v>
      </c>
      <c r="AB139" s="21">
        <v>7.8140000000000001</v>
      </c>
      <c r="AC139" s="21">
        <v>0.1016</v>
      </c>
      <c r="AD139" s="21">
        <v>18.86</v>
      </c>
      <c r="AE139" s="21">
        <v>15.62</v>
      </c>
      <c r="AF139" s="21">
        <v>38.340000000000003</v>
      </c>
      <c r="AG139" s="21" t="s">
        <v>75</v>
      </c>
      <c r="AH139" s="21">
        <v>5</v>
      </c>
      <c r="AI139" s="21" t="s">
        <v>11</v>
      </c>
      <c r="AJ139" s="21" t="s">
        <v>87</v>
      </c>
    </row>
    <row r="140" spans="1:36">
      <c r="A140" s="17">
        <v>7</v>
      </c>
      <c r="B140" s="23">
        <v>3.4273699999999998</v>
      </c>
      <c r="C140" s="23">
        <v>0.59370000000000001</v>
      </c>
      <c r="D140" s="14">
        <f t="shared" si="14"/>
        <v>1880.4061677322302</v>
      </c>
      <c r="E140" s="14">
        <f t="shared" si="12"/>
        <v>325.83570582272472</v>
      </c>
      <c r="F140" s="23">
        <v>6.4589999999999995E-2</v>
      </c>
      <c r="G140" s="23">
        <v>1.119E-2</v>
      </c>
      <c r="H140" s="15">
        <v>3.3</v>
      </c>
      <c r="I140">
        <f t="shared" si="13"/>
        <v>0.6</v>
      </c>
      <c r="J140" s="15">
        <v>1.2</v>
      </c>
      <c r="K140" s="23">
        <v>6.4899999999999999E-2</v>
      </c>
      <c r="L140" s="23">
        <v>1.086E-2</v>
      </c>
      <c r="M140" s="23">
        <v>2.6919999999999999E-2</v>
      </c>
      <c r="N140" s="23">
        <v>4.3140000000000001E-3</v>
      </c>
      <c r="O140" s="23">
        <v>3.0219999999999999E-3</v>
      </c>
      <c r="P140" s="23">
        <v>1.4630000000000001E-4</v>
      </c>
      <c r="Q140" s="23">
        <v>6.4589999999999995E-2</v>
      </c>
      <c r="R140" s="23">
        <v>1.119E-2</v>
      </c>
      <c r="S140" s="23">
        <v>4.7359999999999998E-3</v>
      </c>
      <c r="T140" s="23">
        <v>1.0839999999999999E-3</v>
      </c>
      <c r="U140" s="23">
        <v>5.3180000000000002E-4</v>
      </c>
      <c r="V140" s="23">
        <v>9.2150000000000004E-5</v>
      </c>
      <c r="W140" s="24">
        <v>0.6603</v>
      </c>
      <c r="X140" s="23">
        <v>-1</v>
      </c>
      <c r="Y140" s="23">
        <v>-1</v>
      </c>
      <c r="Z140" s="23">
        <v>38.18</v>
      </c>
      <c r="AA140" s="23">
        <v>0.78010000000000002</v>
      </c>
      <c r="AB140" s="23">
        <v>8.1069999999999993</v>
      </c>
      <c r="AC140" s="23">
        <v>5.1630000000000002E-2</v>
      </c>
      <c r="AD140" s="23"/>
      <c r="AE140" s="23"/>
      <c r="AF140" s="23"/>
      <c r="AG140" s="23"/>
      <c r="AH140" s="23">
        <v>5</v>
      </c>
      <c r="AI140" s="23" t="s">
        <v>78</v>
      </c>
      <c r="AJ140" s="23"/>
    </row>
    <row r="141" spans="1:36">
      <c r="A141" s="17">
        <v>8</v>
      </c>
      <c r="B141" s="23">
        <v>3.8118500000000002</v>
      </c>
      <c r="C141" s="23">
        <v>0.63080000000000003</v>
      </c>
      <c r="D141" s="14">
        <f t="shared" si="14"/>
        <v>1690.6170752324599</v>
      </c>
      <c r="E141" s="14">
        <f t="shared" si="12"/>
        <v>279.84500056806451</v>
      </c>
      <c r="F141" s="23">
        <v>6.4759999999999998E-2</v>
      </c>
      <c r="G141" s="23">
        <v>1.072E-2</v>
      </c>
      <c r="H141" s="15">
        <v>3.7</v>
      </c>
      <c r="I141">
        <f t="shared" si="13"/>
        <v>0.6</v>
      </c>
      <c r="J141" s="15">
        <v>1.2</v>
      </c>
      <c r="K141" s="23">
        <v>6.5379999999999994E-2</v>
      </c>
      <c r="L141" s="23">
        <v>1.106E-2</v>
      </c>
      <c r="M141" s="23">
        <v>3.1469999999999998E-2</v>
      </c>
      <c r="N141" s="23">
        <v>4.8970000000000003E-3</v>
      </c>
      <c r="O141" s="23">
        <v>3.5239999999999998E-3</v>
      </c>
      <c r="P141" s="23">
        <v>1.5239999999999999E-4</v>
      </c>
      <c r="Q141" s="23">
        <v>6.4759999999999998E-2</v>
      </c>
      <c r="R141" s="23">
        <v>1.072E-2</v>
      </c>
      <c r="S141" s="23">
        <v>5.2810000000000001E-3</v>
      </c>
      <c r="T141" s="23">
        <v>1.1620000000000001E-3</v>
      </c>
      <c r="U141" s="23">
        <v>5.9150000000000001E-4</v>
      </c>
      <c r="V141" s="23">
        <v>9.7910000000000003E-5</v>
      </c>
      <c r="W141" s="24">
        <v>0.66420000000000001</v>
      </c>
      <c r="X141" s="23">
        <v>-1</v>
      </c>
      <c r="Y141" s="23">
        <v>-1</v>
      </c>
      <c r="Z141" s="23">
        <v>41.13</v>
      </c>
      <c r="AA141" s="23">
        <v>0.52849999999999997</v>
      </c>
      <c r="AB141" s="23">
        <v>8.2449999999999992</v>
      </c>
      <c r="AC141" s="23">
        <v>3.841E-2</v>
      </c>
      <c r="AD141" s="23"/>
      <c r="AE141" s="23"/>
      <c r="AF141" s="23"/>
      <c r="AG141" s="23"/>
      <c r="AH141" s="23">
        <v>5</v>
      </c>
      <c r="AI141" s="23" t="s">
        <v>79</v>
      </c>
      <c r="AJ141" s="23"/>
    </row>
    <row r="142" spans="1:36">
      <c r="A142" s="17">
        <v>9</v>
      </c>
      <c r="B142" s="23">
        <v>3.2559999999999998</v>
      </c>
      <c r="C142" s="23">
        <v>0.52639999999999998</v>
      </c>
      <c r="D142" s="14">
        <f t="shared" si="14"/>
        <v>1979.414093428345</v>
      </c>
      <c r="E142" s="14">
        <f t="shared" si="12"/>
        <v>320.10714852156718</v>
      </c>
      <c r="F142" s="23">
        <v>4.9520000000000002E-2</v>
      </c>
      <c r="G142" s="23">
        <v>1.2710000000000001E-2</v>
      </c>
      <c r="H142" s="15">
        <v>3.2</v>
      </c>
      <c r="I142">
        <f t="shared" si="13"/>
        <v>0.5</v>
      </c>
      <c r="J142" s="15">
        <v>1</v>
      </c>
      <c r="K142" s="23">
        <v>5.1290000000000002E-2</v>
      </c>
      <c r="L142" s="23">
        <v>1.43E-2</v>
      </c>
      <c r="M142" s="23">
        <v>2.1569999999999999E-2</v>
      </c>
      <c r="N142" s="23">
        <v>5.0850000000000001E-3</v>
      </c>
      <c r="O142" s="23">
        <v>3.1589999999999999E-3</v>
      </c>
      <c r="P142" s="23">
        <v>1.8589999999999999E-4</v>
      </c>
      <c r="Q142" s="23">
        <v>4.9520000000000002E-2</v>
      </c>
      <c r="R142" s="23">
        <v>1.2710000000000001E-2</v>
      </c>
      <c r="S142" s="23">
        <v>3.4499999999999999E-3</v>
      </c>
      <c r="T142" s="23">
        <v>9.4149999999999995E-4</v>
      </c>
      <c r="U142" s="23">
        <v>5.0520000000000003E-4</v>
      </c>
      <c r="V142" s="23">
        <v>8.1699999999999994E-5</v>
      </c>
      <c r="W142" s="24">
        <v>0.39340000000000003</v>
      </c>
      <c r="X142" s="23">
        <v>-1</v>
      </c>
      <c r="Y142" s="23">
        <v>-1</v>
      </c>
      <c r="Z142" s="23">
        <v>45.46</v>
      </c>
      <c r="AA142" s="23">
        <v>0.61480000000000001</v>
      </c>
      <c r="AB142" s="23">
        <v>8.3919999999999995</v>
      </c>
      <c r="AC142" s="23">
        <v>3.4070000000000003E-2</v>
      </c>
      <c r="AD142" s="23"/>
      <c r="AE142" s="23"/>
      <c r="AF142" s="23"/>
      <c r="AG142" s="23"/>
      <c r="AH142" s="23">
        <v>5</v>
      </c>
      <c r="AI142" s="23" t="s">
        <v>80</v>
      </c>
      <c r="AJ142" s="23"/>
    </row>
    <row r="143" spans="1:36">
      <c r="A143" s="17">
        <v>10</v>
      </c>
      <c r="B143" s="25">
        <v>3.1738499999999998</v>
      </c>
      <c r="C143" s="25">
        <v>0.47320000000000001</v>
      </c>
      <c r="D143" s="14">
        <f t="shared" si="14"/>
        <v>2030.4568527918782</v>
      </c>
      <c r="E143" s="14">
        <f t="shared" si="12"/>
        <v>302.77512948027521</v>
      </c>
      <c r="F143" s="25">
        <v>5.1560000000000002E-2</v>
      </c>
      <c r="G143" s="25">
        <v>9.051E-3</v>
      </c>
      <c r="H143" s="15">
        <v>3.15</v>
      </c>
      <c r="I143">
        <f t="shared" si="13"/>
        <v>0.46500000000000002</v>
      </c>
      <c r="J143" s="15">
        <v>0.93</v>
      </c>
      <c r="K143" s="25">
        <v>5.1540000000000002E-2</v>
      </c>
      <c r="L143" s="25">
        <v>9.1520000000000004E-3</v>
      </c>
      <c r="M143" s="25">
        <v>2.316E-2</v>
      </c>
      <c r="N143" s="25">
        <v>3.9719999999999998E-3</v>
      </c>
      <c r="O143" s="25">
        <v>3.258E-3</v>
      </c>
      <c r="P143" s="25">
        <v>1.504E-4</v>
      </c>
      <c r="Q143" s="25">
        <v>5.1560000000000002E-2</v>
      </c>
      <c r="R143" s="25">
        <v>9.051E-3</v>
      </c>
      <c r="S143" s="25">
        <v>3.5010000000000002E-3</v>
      </c>
      <c r="T143" s="25">
        <v>7.8399999999999997E-4</v>
      </c>
      <c r="U143" s="25">
        <v>4.9249999999999999E-4</v>
      </c>
      <c r="V143" s="25">
        <v>7.3440000000000002E-5</v>
      </c>
      <c r="W143" s="26">
        <v>0.62239999999999995</v>
      </c>
      <c r="X143" s="25">
        <v>-1</v>
      </c>
      <c r="Y143" s="25">
        <v>-1</v>
      </c>
      <c r="Z143" s="25">
        <v>48.77</v>
      </c>
      <c r="AA143" s="25">
        <v>0.68730000000000002</v>
      </c>
      <c r="AB143" s="25">
        <v>8.5739999999999998</v>
      </c>
      <c r="AC143" s="25">
        <v>7.8359999999999999E-2</v>
      </c>
      <c r="AD143" s="25"/>
      <c r="AE143" s="25"/>
      <c r="AF143" s="25"/>
      <c r="AG143" s="25"/>
      <c r="AH143" s="25">
        <v>4</v>
      </c>
      <c r="AI143" s="25" t="s">
        <v>81</v>
      </c>
      <c r="AJ143" s="25"/>
    </row>
    <row r="144" spans="1:36">
      <c r="A144" s="17">
        <v>11</v>
      </c>
      <c r="B144" s="21">
        <v>3.6156899999999998</v>
      </c>
      <c r="C144" s="21">
        <v>0.80740000000000001</v>
      </c>
      <c r="D144" s="14">
        <f t="shared" si="14"/>
        <v>1782.5311942959001</v>
      </c>
      <c r="E144" s="14">
        <f t="shared" si="12"/>
        <v>398.1304075673375</v>
      </c>
      <c r="F144" s="21">
        <v>5.0990000000000001E-2</v>
      </c>
      <c r="G144" s="21">
        <v>7.3889999999999997E-3</v>
      </c>
      <c r="H144" s="15">
        <v>3.6</v>
      </c>
      <c r="I144">
        <f t="shared" si="13"/>
        <v>0.8</v>
      </c>
      <c r="J144" s="15">
        <v>1.6</v>
      </c>
      <c r="K144" s="21">
        <v>5.1360000000000003E-2</v>
      </c>
      <c r="L144" s="21">
        <v>7.0780000000000001E-3</v>
      </c>
      <c r="M144" s="21">
        <v>2.4150000000000001E-2</v>
      </c>
      <c r="N144" s="21">
        <v>3.2160000000000001E-3</v>
      </c>
      <c r="O144" s="21">
        <v>3.434E-3</v>
      </c>
      <c r="P144" s="21">
        <v>1.225E-4</v>
      </c>
      <c r="Q144" s="21">
        <v>5.0990000000000001E-2</v>
      </c>
      <c r="R144" s="21">
        <v>7.3889999999999997E-3</v>
      </c>
      <c r="S144" s="21">
        <v>3.9449999999999997E-3</v>
      </c>
      <c r="T144" s="21">
        <v>1.0189999999999999E-3</v>
      </c>
      <c r="U144" s="21">
        <v>5.6099999999999998E-4</v>
      </c>
      <c r="V144" s="21">
        <v>1.2530000000000001E-4</v>
      </c>
      <c r="W144" s="22">
        <v>0.82879999999999998</v>
      </c>
      <c r="X144" s="21">
        <v>-1</v>
      </c>
      <c r="Y144" s="21">
        <v>-1</v>
      </c>
      <c r="Z144" s="21">
        <v>57.57</v>
      </c>
      <c r="AA144" s="21">
        <v>0.82769999999999999</v>
      </c>
      <c r="AB144" s="21">
        <v>8.14</v>
      </c>
      <c r="AC144" s="21">
        <v>5.781E-2</v>
      </c>
      <c r="AD144" s="21">
        <v>18.86</v>
      </c>
      <c r="AE144" s="21">
        <v>15.62</v>
      </c>
      <c r="AF144" s="21">
        <v>38.340000000000003</v>
      </c>
      <c r="AG144" s="21" t="s">
        <v>75</v>
      </c>
      <c r="AH144" s="21">
        <v>5</v>
      </c>
      <c r="AI144" s="21" t="s">
        <v>11</v>
      </c>
      <c r="AJ144" s="21" t="s">
        <v>83</v>
      </c>
    </row>
    <row r="145" spans="1:36">
      <c r="A145" s="17">
        <v>12</v>
      </c>
      <c r="B145" s="23">
        <v>3.2537699999999998</v>
      </c>
      <c r="C145" s="23">
        <v>0.72250000000000003</v>
      </c>
      <c r="D145" s="14">
        <f t="shared" si="14"/>
        <v>1980.5902158843337</v>
      </c>
      <c r="E145" s="14">
        <f t="shared" si="12"/>
        <v>439.73888532508187</v>
      </c>
      <c r="F145" s="23">
        <v>4.2259999999999999E-2</v>
      </c>
      <c r="G145" s="23">
        <v>7.391E-3</v>
      </c>
      <c r="H145" s="15">
        <v>3.3</v>
      </c>
      <c r="I145">
        <f t="shared" si="13"/>
        <v>0.7</v>
      </c>
      <c r="J145" s="15">
        <v>1.4</v>
      </c>
      <c r="K145" s="23">
        <v>4.2169999999999999E-2</v>
      </c>
      <c r="L145" s="23">
        <v>7.2909999999999997E-3</v>
      </c>
      <c r="M145" s="23">
        <v>1.821E-2</v>
      </c>
      <c r="N145" s="23">
        <v>3.1949999999999999E-3</v>
      </c>
      <c r="O145" s="23">
        <v>3.1259999999999999E-3</v>
      </c>
      <c r="P145" s="23">
        <v>1.104E-4</v>
      </c>
      <c r="Q145" s="23">
        <v>4.2259999999999999E-2</v>
      </c>
      <c r="R145" s="23">
        <v>7.391E-3</v>
      </c>
      <c r="S145" s="23">
        <v>2.9420000000000002E-3</v>
      </c>
      <c r="T145" s="23">
        <v>8.1610000000000005E-4</v>
      </c>
      <c r="U145" s="23">
        <v>5.0489999999999997E-4</v>
      </c>
      <c r="V145" s="23">
        <v>1.121E-4</v>
      </c>
      <c r="W145" s="24">
        <v>0.77659999999999996</v>
      </c>
      <c r="X145" s="23">
        <v>-1</v>
      </c>
      <c r="Y145" s="23">
        <v>-1</v>
      </c>
      <c r="Z145" s="23">
        <v>62.14</v>
      </c>
      <c r="AA145" s="23">
        <v>1.077</v>
      </c>
      <c r="AB145" s="23">
        <v>8.1750000000000007</v>
      </c>
      <c r="AC145" s="23">
        <v>2.7609999999999999E-2</v>
      </c>
      <c r="AD145" s="23"/>
      <c r="AE145" s="23"/>
      <c r="AF145" s="23"/>
      <c r="AG145" s="23"/>
      <c r="AH145" s="23">
        <v>5</v>
      </c>
      <c r="AI145" s="23" t="s">
        <v>78</v>
      </c>
      <c r="AJ145" s="23"/>
    </row>
    <row r="146" spans="1:36">
      <c r="A146" s="17">
        <v>13</v>
      </c>
      <c r="B146" s="23">
        <v>3.5857199999999998</v>
      </c>
      <c r="C146" s="23">
        <v>0.75490000000000002</v>
      </c>
      <c r="D146" s="14">
        <f t="shared" si="14"/>
        <v>1797.2681524083393</v>
      </c>
      <c r="E146" s="14">
        <f t="shared" si="12"/>
        <v>378.57625352670271</v>
      </c>
      <c r="F146" s="23">
        <v>4.7300000000000002E-2</v>
      </c>
      <c r="G146" s="23">
        <v>6.2519999999999997E-3</v>
      </c>
      <c r="H146" s="15">
        <v>3.6</v>
      </c>
      <c r="I146">
        <f t="shared" si="13"/>
        <v>0.75</v>
      </c>
      <c r="J146" s="15">
        <v>1.5</v>
      </c>
      <c r="K146" s="23">
        <v>4.7579999999999997E-2</v>
      </c>
      <c r="L146" s="23">
        <v>6.2500000000000003E-3</v>
      </c>
      <c r="M146" s="23">
        <v>2.3939999999999999E-2</v>
      </c>
      <c r="N146" s="23">
        <v>3.0460000000000001E-3</v>
      </c>
      <c r="O146" s="23">
        <v>3.6709999999999998E-3</v>
      </c>
      <c r="P146" s="23">
        <v>1.45E-4</v>
      </c>
      <c r="Q146" s="23">
        <v>4.7300000000000002E-2</v>
      </c>
      <c r="R146" s="23">
        <v>6.2519999999999997E-3</v>
      </c>
      <c r="S146" s="23">
        <v>3.6280000000000001E-3</v>
      </c>
      <c r="T146" s="23">
        <v>8.7889999999999995E-4</v>
      </c>
      <c r="U146" s="23">
        <v>5.5639999999999997E-4</v>
      </c>
      <c r="V146" s="23">
        <v>1.172E-4</v>
      </c>
      <c r="W146" s="24">
        <v>0.83860000000000001</v>
      </c>
      <c r="X146" s="23">
        <v>-1</v>
      </c>
      <c r="Y146" s="23">
        <v>-1</v>
      </c>
      <c r="Z146" s="23">
        <v>60.47</v>
      </c>
      <c r="AA146" s="23">
        <v>0.72419999999999995</v>
      </c>
      <c r="AB146" s="23">
        <v>8.3780000000000001</v>
      </c>
      <c r="AC146" s="23">
        <v>3.8199999999999998E-2</v>
      </c>
      <c r="AD146" s="23"/>
      <c r="AE146" s="23"/>
      <c r="AF146" s="23"/>
      <c r="AG146" s="23"/>
      <c r="AH146" s="23">
        <v>5</v>
      </c>
      <c r="AI146" s="23" t="s">
        <v>79</v>
      </c>
      <c r="AJ146" s="23"/>
    </row>
    <row r="147" spans="1:36">
      <c r="A147" s="17">
        <v>14</v>
      </c>
      <c r="B147" s="23">
        <v>3.32315</v>
      </c>
      <c r="C147" s="23">
        <v>0.66400000000000003</v>
      </c>
      <c r="D147" s="14">
        <f t="shared" si="14"/>
        <v>1939.4879751745541</v>
      </c>
      <c r="E147" s="14">
        <f t="shared" si="12"/>
        <v>387.82236276279389</v>
      </c>
      <c r="F147" s="23">
        <v>7.2389999999999996E-2</v>
      </c>
      <c r="G147" s="23">
        <v>1.7680000000000001E-2</v>
      </c>
      <c r="H147" s="15">
        <v>3.2</v>
      </c>
      <c r="I147">
        <f t="shared" si="13"/>
        <v>0.65</v>
      </c>
      <c r="J147" s="15">
        <v>1.3</v>
      </c>
      <c r="K147" s="23">
        <v>7.3639999999999997E-2</v>
      </c>
      <c r="L147" s="23">
        <v>1.7500000000000002E-2</v>
      </c>
      <c r="M147" s="23">
        <v>3.5349999999999999E-2</v>
      </c>
      <c r="N147" s="23">
        <v>8.0230000000000006E-3</v>
      </c>
      <c r="O147" s="23">
        <v>3.542E-3</v>
      </c>
      <c r="P147" s="23">
        <v>1.156E-4</v>
      </c>
      <c r="Q147" s="23">
        <v>7.2389999999999996E-2</v>
      </c>
      <c r="R147" s="23">
        <v>1.7680000000000001E-2</v>
      </c>
      <c r="S147" s="23">
        <v>5.1469999999999997E-3</v>
      </c>
      <c r="T147" s="23">
        <v>1.544E-3</v>
      </c>
      <c r="U147" s="23">
        <v>5.1559999999999996E-4</v>
      </c>
      <c r="V147" s="23">
        <v>1.031E-4</v>
      </c>
      <c r="W147" s="24">
        <v>0.58630000000000004</v>
      </c>
      <c r="X147" s="23">
        <v>-1</v>
      </c>
      <c r="Y147" s="23">
        <v>-1</v>
      </c>
      <c r="Z147" s="23">
        <v>66.41</v>
      </c>
      <c r="AA147" s="23">
        <v>0.96640000000000004</v>
      </c>
      <c r="AB147" s="23">
        <v>8.5139999999999993</v>
      </c>
      <c r="AC147" s="23">
        <v>2.5270000000000001E-2</v>
      </c>
      <c r="AD147" s="23"/>
      <c r="AE147" s="23"/>
      <c r="AF147" s="23"/>
      <c r="AG147" s="23"/>
      <c r="AH147" s="23">
        <v>5</v>
      </c>
      <c r="AI147" s="23" t="s">
        <v>80</v>
      </c>
      <c r="AJ147" s="23"/>
    </row>
    <row r="148" spans="1:36">
      <c r="A148" s="17">
        <v>15</v>
      </c>
      <c r="B148" s="25">
        <v>3.4044500000000002</v>
      </c>
      <c r="C148" s="25">
        <v>0.68889999999999996</v>
      </c>
      <c r="D148" s="14">
        <f t="shared" si="14"/>
        <v>1892.8639030853683</v>
      </c>
      <c r="E148" s="14">
        <f t="shared" si="12"/>
        <v>383.01561847402206</v>
      </c>
      <c r="F148" s="25">
        <v>5.4899999999999997E-2</v>
      </c>
      <c r="G148" s="25">
        <v>8.2269999999999999E-3</v>
      </c>
      <c r="H148" s="15">
        <v>3.4</v>
      </c>
      <c r="I148">
        <f t="shared" si="13"/>
        <v>0.7</v>
      </c>
      <c r="J148" s="15">
        <v>1.4</v>
      </c>
      <c r="K148" s="25">
        <v>5.5620000000000003E-2</v>
      </c>
      <c r="L148" s="25">
        <v>7.2059999999999997E-3</v>
      </c>
      <c r="M148" s="25">
        <v>2.775E-2</v>
      </c>
      <c r="N148" s="25">
        <v>3.4650000000000002E-3</v>
      </c>
      <c r="O148" s="25">
        <v>3.666E-3</v>
      </c>
      <c r="P148" s="25">
        <v>1.629E-4</v>
      </c>
      <c r="Q148" s="25">
        <v>5.4899999999999997E-2</v>
      </c>
      <c r="R148" s="25">
        <v>8.2269999999999999E-3</v>
      </c>
      <c r="S148" s="25">
        <v>3.999E-3</v>
      </c>
      <c r="T148" s="25">
        <v>9.3300000000000002E-4</v>
      </c>
      <c r="U148" s="25">
        <v>5.2829999999999999E-4</v>
      </c>
      <c r="V148" s="25">
        <v>1.069E-4</v>
      </c>
      <c r="W148" s="26">
        <v>0.77239999999999998</v>
      </c>
      <c r="X148" s="25">
        <v>-1</v>
      </c>
      <c r="Y148" s="25">
        <v>-1</v>
      </c>
      <c r="Z148" s="25">
        <v>68.209999999999994</v>
      </c>
      <c r="AA148" s="25">
        <v>1.5880000000000001</v>
      </c>
      <c r="AB148" s="25">
        <v>8.5489999999999995</v>
      </c>
      <c r="AC148" s="25">
        <v>5.6660000000000002E-2</v>
      </c>
      <c r="AD148" s="25"/>
      <c r="AE148" s="25"/>
      <c r="AF148" s="25"/>
      <c r="AG148" s="25"/>
      <c r="AH148" s="25">
        <v>4</v>
      </c>
      <c r="AI148" s="25" t="s">
        <v>81</v>
      </c>
      <c r="AJ148" s="25"/>
    </row>
    <row r="149" spans="1:36">
      <c r="A149" s="17">
        <v>16</v>
      </c>
      <c r="B149" s="21">
        <v>3.5972900000000001</v>
      </c>
      <c r="C149" s="21">
        <v>0.43070000000000003</v>
      </c>
      <c r="D149" s="14">
        <f t="shared" si="14"/>
        <v>1791.4725904693657</v>
      </c>
      <c r="E149" s="14">
        <f t="shared" si="12"/>
        <v>214.57874847506588</v>
      </c>
      <c r="F149" s="21">
        <v>4.9880000000000001E-2</v>
      </c>
      <c r="G149" s="21">
        <v>6.1980000000000004E-3</v>
      </c>
      <c r="H149" s="15">
        <v>3.58</v>
      </c>
      <c r="I149">
        <f t="shared" si="13"/>
        <v>0.28999999999999998</v>
      </c>
      <c r="J149" s="15">
        <v>0.57999999999999996</v>
      </c>
      <c r="K149" s="21">
        <v>5.0299999999999997E-2</v>
      </c>
      <c r="L149" s="21">
        <v>5.6800000000000002E-3</v>
      </c>
      <c r="M149" s="21">
        <v>2.3099999999999999E-2</v>
      </c>
      <c r="N149" s="21">
        <v>2.5119999999999999E-3</v>
      </c>
      <c r="O149" s="21">
        <v>3.359E-3</v>
      </c>
      <c r="P149" s="21">
        <v>9.6669999999999994E-5</v>
      </c>
      <c r="Q149" s="21">
        <v>4.9880000000000001E-2</v>
      </c>
      <c r="R149" s="21">
        <v>6.1980000000000004E-3</v>
      </c>
      <c r="S149" s="21">
        <v>3.839E-3</v>
      </c>
      <c r="T149" s="21">
        <v>6.1410000000000002E-4</v>
      </c>
      <c r="U149" s="21">
        <v>5.5820000000000002E-4</v>
      </c>
      <c r="V149" s="21">
        <v>6.6859999999999993E-5</v>
      </c>
      <c r="W149" s="22">
        <v>0.63919999999999999</v>
      </c>
      <c r="X149" s="21">
        <v>-1</v>
      </c>
      <c r="Y149" s="21">
        <v>-1</v>
      </c>
      <c r="Z149" s="21">
        <v>85.18</v>
      </c>
      <c r="AA149" s="21">
        <v>1.022</v>
      </c>
      <c r="AB149" s="21">
        <v>8.24</v>
      </c>
      <c r="AC149" s="21">
        <v>1.924E-2</v>
      </c>
      <c r="AD149" s="21">
        <v>18.86</v>
      </c>
      <c r="AE149" s="21">
        <v>15.62</v>
      </c>
      <c r="AF149" s="21">
        <v>38.340000000000003</v>
      </c>
      <c r="AG149" s="21" t="s">
        <v>75</v>
      </c>
      <c r="AH149" s="21">
        <v>5</v>
      </c>
      <c r="AI149" s="21" t="s">
        <v>11</v>
      </c>
      <c r="AJ149" s="21" t="s">
        <v>84</v>
      </c>
    </row>
    <row r="150" spans="1:36">
      <c r="A150" s="17">
        <v>17</v>
      </c>
      <c r="B150" s="23">
        <v>3.5626199999999999</v>
      </c>
      <c r="C150" s="23">
        <v>0.434</v>
      </c>
      <c r="D150" s="14">
        <f t="shared" si="14"/>
        <v>1808.972503617945</v>
      </c>
      <c r="E150" s="14">
        <f t="shared" si="12"/>
        <v>220.46034292463995</v>
      </c>
      <c r="F150" s="23">
        <v>5.3749999999999999E-2</v>
      </c>
      <c r="G150" s="23">
        <v>5.5139999999999998E-3</v>
      </c>
      <c r="H150" s="15">
        <v>3.53</v>
      </c>
      <c r="I150">
        <f t="shared" si="13"/>
        <v>0.42499999999999999</v>
      </c>
      <c r="J150" s="15">
        <v>0.85</v>
      </c>
      <c r="K150" s="23">
        <v>5.3769999999999998E-2</v>
      </c>
      <c r="L150" s="23">
        <v>5.6410000000000002E-3</v>
      </c>
      <c r="M150" s="23">
        <v>2.4279999999999999E-2</v>
      </c>
      <c r="N150" s="23">
        <v>2.457E-3</v>
      </c>
      <c r="O150" s="23">
        <v>3.2759999999999998E-3</v>
      </c>
      <c r="P150" s="23">
        <v>9.098E-5</v>
      </c>
      <c r="Q150" s="23">
        <v>5.3749999999999999E-2</v>
      </c>
      <c r="R150" s="23">
        <v>5.5139999999999998E-3</v>
      </c>
      <c r="S150" s="23">
        <v>4.0969999999999999E-3</v>
      </c>
      <c r="T150" s="23">
        <v>6.3190000000000002E-4</v>
      </c>
      <c r="U150" s="23">
        <v>5.5279999999999999E-4</v>
      </c>
      <c r="V150" s="23">
        <v>6.737E-5</v>
      </c>
      <c r="W150" s="24">
        <v>0.74790000000000001</v>
      </c>
      <c r="X150" s="23">
        <v>-1</v>
      </c>
      <c r="Y150" s="23">
        <v>-1</v>
      </c>
      <c r="Z150" s="23">
        <v>93.01</v>
      </c>
      <c r="AA150" s="23">
        <v>1.1180000000000001</v>
      </c>
      <c r="AB150" s="23">
        <v>8.14</v>
      </c>
      <c r="AC150" s="23">
        <v>3.7629999999999997E-2</v>
      </c>
      <c r="AD150" s="23"/>
      <c r="AE150" s="23"/>
      <c r="AF150" s="23"/>
      <c r="AG150" s="23"/>
      <c r="AH150" s="23">
        <v>5</v>
      </c>
      <c r="AI150" s="23" t="s">
        <v>78</v>
      </c>
      <c r="AJ150" s="23"/>
    </row>
    <row r="151" spans="1:36">
      <c r="A151" s="17">
        <v>18</v>
      </c>
      <c r="B151" s="23">
        <v>3.37975</v>
      </c>
      <c r="C151" s="23">
        <v>0.43099999999999999</v>
      </c>
      <c r="D151" s="14">
        <f t="shared" si="14"/>
        <v>1906.941266209001</v>
      </c>
      <c r="E151" s="14">
        <f t="shared" si="12"/>
        <v>243.240467766438</v>
      </c>
      <c r="F151" s="23">
        <v>5.7149999999999999E-2</v>
      </c>
      <c r="G151" s="23">
        <v>6.509E-3</v>
      </c>
      <c r="H151" s="15">
        <v>3.33</v>
      </c>
      <c r="I151">
        <f t="shared" si="13"/>
        <v>0.42</v>
      </c>
      <c r="J151" s="15">
        <v>0.84</v>
      </c>
      <c r="K151" s="23">
        <v>5.7680000000000002E-2</v>
      </c>
      <c r="L151" s="23">
        <v>6.6759999999999996E-3</v>
      </c>
      <c r="M151" s="23">
        <v>2.4049999999999998E-2</v>
      </c>
      <c r="N151" s="23">
        <v>2.3839999999999998E-3</v>
      </c>
      <c r="O151" s="23">
        <v>3.052E-3</v>
      </c>
      <c r="P151" s="23">
        <v>1.3210000000000001E-4</v>
      </c>
      <c r="Q151" s="23">
        <v>5.7149999999999999E-2</v>
      </c>
      <c r="R151" s="23">
        <v>6.509E-3</v>
      </c>
      <c r="S151" s="23">
        <v>4.1320000000000003E-3</v>
      </c>
      <c r="T151" s="23">
        <v>6.4550000000000002E-4</v>
      </c>
      <c r="U151" s="23">
        <v>5.2439999999999995E-4</v>
      </c>
      <c r="V151" s="23">
        <v>6.6890000000000005E-5</v>
      </c>
      <c r="W151" s="24">
        <v>0.69510000000000005</v>
      </c>
      <c r="X151" s="23">
        <v>-1</v>
      </c>
      <c r="Y151" s="23">
        <v>-1</v>
      </c>
      <c r="Z151" s="23">
        <v>98.97</v>
      </c>
      <c r="AA151" s="23">
        <v>1.75</v>
      </c>
      <c r="AB151" s="23">
        <v>8.0239999999999991</v>
      </c>
      <c r="AC151" s="23">
        <v>3.492E-2</v>
      </c>
      <c r="AD151" s="23"/>
      <c r="AE151" s="23"/>
      <c r="AF151" s="23"/>
      <c r="AG151" s="23"/>
      <c r="AH151" s="23">
        <v>5</v>
      </c>
      <c r="AI151" s="23" t="s">
        <v>79</v>
      </c>
      <c r="AJ151" s="23"/>
    </row>
    <row r="152" spans="1:36">
      <c r="A152" s="17">
        <v>19</v>
      </c>
      <c r="B152" s="23">
        <v>3.2187299999999999</v>
      </c>
      <c r="C152" s="23">
        <v>0.4052</v>
      </c>
      <c r="D152" s="14">
        <f t="shared" si="14"/>
        <v>2002.4028834601522</v>
      </c>
      <c r="E152" s="14">
        <f t="shared" si="12"/>
        <v>252.16483248059467</v>
      </c>
      <c r="F152" s="23">
        <v>6.0299999999999999E-2</v>
      </c>
      <c r="G152" s="23">
        <v>5.6429999999999996E-3</v>
      </c>
      <c r="H152" s="15">
        <v>3.16</v>
      </c>
      <c r="I152">
        <f t="shared" si="13"/>
        <v>0.39500000000000002</v>
      </c>
      <c r="J152" s="15">
        <v>0.79</v>
      </c>
      <c r="K152" s="23">
        <v>6.0409999999999998E-2</v>
      </c>
      <c r="L152" s="23">
        <v>5.6769999999999998E-3</v>
      </c>
      <c r="M152" s="23">
        <v>2.3650000000000001E-2</v>
      </c>
      <c r="N152" s="23">
        <v>2.1350000000000002E-3</v>
      </c>
      <c r="O152" s="23">
        <v>2.8440000000000002E-3</v>
      </c>
      <c r="P152" s="23">
        <v>7.4670000000000002E-5</v>
      </c>
      <c r="Q152" s="23">
        <v>6.0299999999999999E-2</v>
      </c>
      <c r="R152" s="23">
        <v>5.6429999999999996E-3</v>
      </c>
      <c r="S152" s="23">
        <v>4.1520000000000003E-3</v>
      </c>
      <c r="T152" s="23">
        <v>6.2890000000000005E-4</v>
      </c>
      <c r="U152" s="23">
        <v>4.994E-4</v>
      </c>
      <c r="V152" s="23">
        <v>6.2890000000000003E-5</v>
      </c>
      <c r="W152" s="24">
        <v>0.78749999999999998</v>
      </c>
      <c r="X152" s="23">
        <v>-1</v>
      </c>
      <c r="Y152" s="23">
        <v>-1</v>
      </c>
      <c r="Z152" s="23">
        <v>109.6</v>
      </c>
      <c r="AA152" s="23">
        <v>2.2639999999999998</v>
      </c>
      <c r="AB152" s="23">
        <v>7.8860000000000001</v>
      </c>
      <c r="AC152" s="23">
        <v>0.03</v>
      </c>
      <c r="AD152" s="23"/>
      <c r="AE152" s="23"/>
      <c r="AF152" s="23"/>
      <c r="AG152" s="23"/>
      <c r="AH152" s="23">
        <v>5</v>
      </c>
      <c r="AI152" s="23" t="s">
        <v>80</v>
      </c>
      <c r="AJ152" s="23"/>
    </row>
    <row r="153" spans="1:36">
      <c r="A153" s="17">
        <v>20</v>
      </c>
      <c r="B153" s="25">
        <v>3.4162300000000001</v>
      </c>
      <c r="C153" s="25">
        <v>0.4556</v>
      </c>
      <c r="D153" s="14">
        <f t="shared" si="14"/>
        <v>1886.4365214110544</v>
      </c>
      <c r="E153" s="14">
        <f t="shared" si="12"/>
        <v>251.6316288039533</v>
      </c>
      <c r="F153" s="25">
        <v>5.0959999999999998E-2</v>
      </c>
      <c r="G153" s="25">
        <v>5.5380000000000004E-3</v>
      </c>
      <c r="H153" s="15">
        <v>3.4</v>
      </c>
      <c r="I153">
        <f t="shared" si="13"/>
        <v>0.45</v>
      </c>
      <c r="J153" s="15">
        <v>0.9</v>
      </c>
      <c r="K153" s="25">
        <v>5.126E-2</v>
      </c>
      <c r="L153" s="25">
        <v>5.4720000000000003E-3</v>
      </c>
      <c r="M153" s="25">
        <v>2.094E-2</v>
      </c>
      <c r="N153" s="25">
        <v>2.1610000000000002E-3</v>
      </c>
      <c r="O153" s="25">
        <v>2.98E-3</v>
      </c>
      <c r="P153" s="25">
        <v>1.429E-4</v>
      </c>
      <c r="Q153" s="25">
        <v>5.0959999999999998E-2</v>
      </c>
      <c r="R153" s="25">
        <v>5.5380000000000004E-3</v>
      </c>
      <c r="S153" s="25">
        <v>3.725E-3</v>
      </c>
      <c r="T153" s="25">
        <v>6.0159999999999999E-4</v>
      </c>
      <c r="U153" s="25">
        <v>5.3010000000000004E-4</v>
      </c>
      <c r="V153" s="25">
        <v>7.0710000000000006E-5</v>
      </c>
      <c r="W153" s="26">
        <v>0.74429999999999996</v>
      </c>
      <c r="X153" s="25">
        <v>-1</v>
      </c>
      <c r="Y153" s="25">
        <v>-1</v>
      </c>
      <c r="Z153" s="25">
        <v>121</v>
      </c>
      <c r="AA153" s="25">
        <v>1.6060000000000001</v>
      </c>
      <c r="AB153" s="25">
        <v>7.806</v>
      </c>
      <c r="AC153" s="25">
        <v>3.4130000000000001E-2</v>
      </c>
      <c r="AD153" s="25"/>
      <c r="AE153" s="25"/>
      <c r="AF153" s="25"/>
      <c r="AG153" s="25"/>
      <c r="AH153" s="25">
        <v>4</v>
      </c>
      <c r="AI153" s="25" t="s">
        <v>81</v>
      </c>
      <c r="AJ153" s="25"/>
    </row>
    <row r="154" spans="1:36">
      <c r="F154"/>
      <c r="G154"/>
      <c r="I154">
        <f t="shared" si="13"/>
        <v>0</v>
      </c>
      <c r="W154" s="20"/>
    </row>
    <row r="155" spans="1:36">
      <c r="A155" s="19" t="s">
        <v>12</v>
      </c>
      <c r="F155"/>
      <c r="G155"/>
      <c r="I155">
        <f t="shared" si="13"/>
        <v>0</v>
      </c>
      <c r="W155" s="20"/>
    </row>
    <row r="156" spans="1:36">
      <c r="A156" s="17" t="s">
        <v>71</v>
      </c>
      <c r="F156"/>
      <c r="G156"/>
      <c r="I156">
        <f t="shared" si="13"/>
        <v>0</v>
      </c>
      <c r="W156" s="20"/>
    </row>
    <row r="157" spans="1:36">
      <c r="A157" s="17" t="s">
        <v>13</v>
      </c>
      <c r="F157"/>
      <c r="G157"/>
      <c r="I157">
        <f t="shared" si="13"/>
        <v>0</v>
      </c>
      <c r="W157" s="20"/>
    </row>
    <row r="158" spans="1:36">
      <c r="A158" s="17">
        <v>1</v>
      </c>
      <c r="B158" s="14">
        <v>3.9124599999999998</v>
      </c>
      <c r="C158" s="27">
        <v>0.76870000000000005</v>
      </c>
      <c r="D158" s="14">
        <f>1/U158</f>
        <v>1647.1750947125681</v>
      </c>
      <c r="E158" s="14">
        <f t="shared" ref="E158:E177" si="15">(V158/U158)*D158</f>
        <v>323.68306506211394</v>
      </c>
      <c r="F158">
        <v>0.1075</v>
      </c>
      <c r="G158">
        <v>3.2289999999999999E-2</v>
      </c>
      <c r="H158" s="15">
        <v>3.6</v>
      </c>
      <c r="I158">
        <f t="shared" si="13"/>
        <v>0.7</v>
      </c>
      <c r="J158" s="15">
        <v>1.4</v>
      </c>
      <c r="K158" s="16">
        <v>0.1196</v>
      </c>
      <c r="L158">
        <v>4.197E-2</v>
      </c>
      <c r="M158">
        <v>3.9350000000000003E-2</v>
      </c>
      <c r="N158">
        <v>1.022E-2</v>
      </c>
      <c r="O158">
        <v>2.6540000000000001E-3</v>
      </c>
      <c r="P158">
        <v>3.5730000000000001E-4</v>
      </c>
      <c r="Q158">
        <v>0.1075</v>
      </c>
      <c r="R158">
        <v>3.2289999999999999E-2</v>
      </c>
      <c r="S158">
        <v>9.0010000000000003E-3</v>
      </c>
      <c r="T158">
        <v>2.833E-3</v>
      </c>
      <c r="U158">
        <v>6.0709999999999996E-4</v>
      </c>
      <c r="V158">
        <v>1.193E-4</v>
      </c>
      <c r="W158" s="20">
        <v>0.38419999999999999</v>
      </c>
      <c r="X158">
        <v>-1</v>
      </c>
      <c r="Y158">
        <v>-1</v>
      </c>
      <c r="Z158">
        <v>16.079999999999998</v>
      </c>
      <c r="AA158">
        <v>0.9446</v>
      </c>
      <c r="AB158">
        <v>7.8090000000000002</v>
      </c>
      <c r="AC158">
        <v>9.4649999999999998E-2</v>
      </c>
      <c r="AD158">
        <v>18.86</v>
      </c>
      <c r="AE158">
        <v>15.62</v>
      </c>
      <c r="AF158">
        <v>38.340000000000003</v>
      </c>
      <c r="AG158" t="s">
        <v>75</v>
      </c>
      <c r="AH158">
        <v>5</v>
      </c>
      <c r="AI158" t="s">
        <v>14</v>
      </c>
      <c r="AJ158" t="s">
        <v>77</v>
      </c>
    </row>
    <row r="159" spans="1:36">
      <c r="A159" s="17">
        <v>2</v>
      </c>
      <c r="B159" s="14">
        <v>3.3443900000000002</v>
      </c>
      <c r="C159" s="27">
        <v>0.70530000000000004</v>
      </c>
      <c r="D159" s="14">
        <f>1/U159</f>
        <v>1927.1535941414531</v>
      </c>
      <c r="E159" s="14">
        <f t="shared" si="15"/>
        <v>406.67434680764916</v>
      </c>
      <c r="F159">
        <v>7.5469999999999995E-2</v>
      </c>
      <c r="G159">
        <v>3.4090000000000002E-2</v>
      </c>
      <c r="H159" s="15">
        <v>3.2</v>
      </c>
      <c r="I159">
        <f t="shared" si="13"/>
        <v>0.7</v>
      </c>
      <c r="J159" s="15">
        <v>1.4</v>
      </c>
      <c r="K159" s="16">
        <v>9.3659999999999993E-2</v>
      </c>
      <c r="L159">
        <v>3.8510000000000003E-2</v>
      </c>
      <c r="M159">
        <v>2.334E-2</v>
      </c>
      <c r="N159">
        <v>7.8130000000000005E-3</v>
      </c>
      <c r="O159">
        <v>2.2430000000000002E-3</v>
      </c>
      <c r="P159">
        <v>3.4630000000000001E-4</v>
      </c>
      <c r="Q159">
        <v>7.5469999999999995E-2</v>
      </c>
      <c r="R159">
        <v>3.4090000000000002E-2</v>
      </c>
      <c r="S159">
        <v>5.4000000000000003E-3</v>
      </c>
      <c r="T159">
        <v>2.078E-3</v>
      </c>
      <c r="U159">
        <v>5.1889999999999998E-4</v>
      </c>
      <c r="V159">
        <v>1.0950000000000001E-4</v>
      </c>
      <c r="W159" s="20">
        <v>-7.0620000000000002E-2</v>
      </c>
      <c r="X159">
        <v>-1</v>
      </c>
      <c r="Y159">
        <v>-1</v>
      </c>
      <c r="Z159">
        <v>21.11</v>
      </c>
      <c r="AA159">
        <v>0.60940000000000005</v>
      </c>
      <c r="AB159">
        <v>7.774</v>
      </c>
      <c r="AC159">
        <v>6.6830000000000001E-2</v>
      </c>
      <c r="AH159">
        <v>5</v>
      </c>
      <c r="AI159" t="s">
        <v>78</v>
      </c>
    </row>
    <row r="160" spans="1:36">
      <c r="A160" s="17">
        <v>3</v>
      </c>
      <c r="B160" s="14">
        <v>3.36599</v>
      </c>
      <c r="C160" s="27">
        <v>0.69140000000000001</v>
      </c>
      <c r="D160" s="14">
        <f>1/U160</f>
        <v>1914.6084625694048</v>
      </c>
      <c r="E160" s="14">
        <f t="shared" si="15"/>
        <v>393.33235311831737</v>
      </c>
      <c r="F160">
        <v>7.4579999999999994E-2</v>
      </c>
      <c r="G160">
        <v>2.3869999999999999E-2</v>
      </c>
      <c r="H160" s="15">
        <v>3.2</v>
      </c>
      <c r="I160">
        <f t="shared" si="13"/>
        <v>0.65</v>
      </c>
      <c r="J160" s="15">
        <v>1.3</v>
      </c>
      <c r="K160" s="16">
        <v>8.3059999999999995E-2</v>
      </c>
      <c r="L160">
        <v>2.7689999999999999E-2</v>
      </c>
      <c r="M160">
        <v>2.2919999999999999E-2</v>
      </c>
      <c r="N160">
        <v>5.7219999999999997E-3</v>
      </c>
      <c r="O160">
        <v>2.2290000000000001E-3</v>
      </c>
      <c r="P160">
        <v>2.6580000000000001E-4</v>
      </c>
      <c r="Q160">
        <v>7.4579999999999994E-2</v>
      </c>
      <c r="R160">
        <v>2.3869999999999999E-2</v>
      </c>
      <c r="S160">
        <v>5.3709999999999999E-3</v>
      </c>
      <c r="T160">
        <v>1.573E-3</v>
      </c>
      <c r="U160">
        <v>5.2229999999999996E-4</v>
      </c>
      <c r="V160">
        <v>1.0730000000000001E-4</v>
      </c>
      <c r="W160" s="20">
        <v>0.21179999999999999</v>
      </c>
      <c r="X160">
        <v>-1</v>
      </c>
      <c r="Y160">
        <v>-1</v>
      </c>
      <c r="Z160">
        <v>23.56</v>
      </c>
      <c r="AA160">
        <v>0.3427</v>
      </c>
      <c r="AB160">
        <v>7.7329999999999997</v>
      </c>
      <c r="AC160">
        <v>4.5310000000000003E-2</v>
      </c>
      <c r="AH160">
        <v>5</v>
      </c>
      <c r="AI160" t="s">
        <v>79</v>
      </c>
    </row>
    <row r="161" spans="1:49">
      <c r="A161" s="17">
        <v>4</v>
      </c>
      <c r="B161" s="14">
        <v>4.1387</v>
      </c>
      <c r="C161" s="27">
        <v>0.71599999999999997</v>
      </c>
      <c r="D161" s="14">
        <f>1/U161</f>
        <v>1557.1473061351603</v>
      </c>
      <c r="E161" s="14">
        <f t="shared" si="15"/>
        <v>269.38502913674296</v>
      </c>
      <c r="F161">
        <v>3.5770000000000003E-2</v>
      </c>
      <c r="G161">
        <v>1.427E-2</v>
      </c>
      <c r="H161" s="15">
        <v>4.2</v>
      </c>
      <c r="I161">
        <f t="shared" si="13"/>
        <v>0.7</v>
      </c>
      <c r="J161" s="15">
        <v>1.4</v>
      </c>
      <c r="K161" s="16">
        <v>3.6040000000000003E-2</v>
      </c>
      <c r="L161">
        <v>1.422E-2</v>
      </c>
      <c r="M161">
        <v>1.354E-2</v>
      </c>
      <c r="N161">
        <v>5.28E-3</v>
      </c>
      <c r="O161">
        <v>2.7460000000000002E-3</v>
      </c>
      <c r="P161">
        <v>1.905E-4</v>
      </c>
      <c r="Q161">
        <v>3.5770000000000003E-2</v>
      </c>
      <c r="R161">
        <v>1.427E-2</v>
      </c>
      <c r="S161">
        <v>3.1679999999999998E-3</v>
      </c>
      <c r="T161">
        <v>1.3190000000000001E-3</v>
      </c>
      <c r="U161">
        <v>6.422E-4</v>
      </c>
      <c r="V161">
        <v>1.111E-4</v>
      </c>
      <c r="W161" s="20">
        <v>0.30690000000000001</v>
      </c>
      <c r="X161">
        <v>-1</v>
      </c>
      <c r="Y161">
        <v>-1</v>
      </c>
      <c r="Z161">
        <v>24</v>
      </c>
      <c r="AA161">
        <v>0.34639999999999999</v>
      </c>
      <c r="AB161">
        <v>7.74</v>
      </c>
      <c r="AC161">
        <v>5.7520000000000002E-2</v>
      </c>
      <c r="AH161">
        <v>5</v>
      </c>
      <c r="AI161" t="s">
        <v>80</v>
      </c>
    </row>
    <row r="162" spans="1:49">
      <c r="A162" s="17">
        <v>5</v>
      </c>
      <c r="B162" s="14">
        <v>4.1921799999999996</v>
      </c>
      <c r="C162" s="27">
        <v>0.68379999999999996</v>
      </c>
      <c r="D162" s="14">
        <f>1/U162</f>
        <v>1537.2790161414296</v>
      </c>
      <c r="E162" s="14">
        <f t="shared" si="15"/>
        <v>250.73836066503563</v>
      </c>
      <c r="F162">
        <v>5.8840000000000003E-2</v>
      </c>
      <c r="G162">
        <v>1.7770000000000001E-2</v>
      </c>
      <c r="H162" s="15">
        <v>4.0999999999999996</v>
      </c>
      <c r="I162">
        <f t="shared" si="13"/>
        <v>0.65</v>
      </c>
      <c r="J162" s="15">
        <v>1.3</v>
      </c>
      <c r="K162" s="16">
        <v>6.1510000000000002E-2</v>
      </c>
      <c r="L162">
        <v>1.7600000000000001E-2</v>
      </c>
      <c r="M162">
        <v>2.4320000000000001E-2</v>
      </c>
      <c r="N162">
        <v>6.3590000000000001E-3</v>
      </c>
      <c r="O162">
        <v>2.9970000000000001E-3</v>
      </c>
      <c r="P162">
        <v>2.4620000000000002E-4</v>
      </c>
      <c r="Q162">
        <v>5.8840000000000003E-2</v>
      </c>
      <c r="R162">
        <v>1.7770000000000001E-2</v>
      </c>
      <c r="S162">
        <v>5.2779999999999997E-3</v>
      </c>
      <c r="T162">
        <v>1.6100000000000001E-3</v>
      </c>
      <c r="U162">
        <v>6.5050000000000004E-4</v>
      </c>
      <c r="V162">
        <v>1.061E-4</v>
      </c>
      <c r="W162" s="20">
        <v>0.28610000000000002</v>
      </c>
      <c r="X162">
        <v>-1</v>
      </c>
      <c r="Y162">
        <v>-1</v>
      </c>
      <c r="Z162">
        <v>23.63</v>
      </c>
      <c r="AA162">
        <v>0.4728</v>
      </c>
      <c r="AB162">
        <v>7.98</v>
      </c>
      <c r="AC162">
        <v>4.6260000000000003E-2</v>
      </c>
      <c r="AH162">
        <v>4</v>
      </c>
      <c r="AI162" t="s">
        <v>81</v>
      </c>
    </row>
    <row r="163" spans="1:49">
      <c r="A163" s="17">
        <v>6</v>
      </c>
      <c r="B163" s="21">
        <v>3.6964399999999999</v>
      </c>
      <c r="C163" s="21">
        <v>0.73070000000000002</v>
      </c>
      <c r="D163" s="14">
        <f t="shared" ref="D163:D177" si="16">1/U163</f>
        <v>1743.3751743375176</v>
      </c>
      <c r="E163" s="14">
        <f t="shared" si="15"/>
        <v>344.66308362948837</v>
      </c>
      <c r="F163" s="21">
        <v>6.7510000000000001E-2</v>
      </c>
      <c r="G163" s="21">
        <v>1.5520000000000001E-2</v>
      </c>
      <c r="H163" s="15">
        <v>3.6</v>
      </c>
      <c r="I163">
        <f t="shared" si="13"/>
        <v>0.7</v>
      </c>
      <c r="J163" s="15">
        <v>1.4</v>
      </c>
      <c r="K163" s="21">
        <v>6.8629999999999997E-2</v>
      </c>
      <c r="L163" s="21">
        <v>1.5180000000000001E-2</v>
      </c>
      <c r="M163" s="21">
        <v>2.7390000000000001E-2</v>
      </c>
      <c r="N163" s="21">
        <v>5.7930000000000004E-3</v>
      </c>
      <c r="O163" s="21">
        <v>2.9429999999999999E-3</v>
      </c>
      <c r="P163" s="21">
        <v>1.9139999999999999E-4</v>
      </c>
      <c r="Q163" s="21">
        <v>6.7510000000000001E-2</v>
      </c>
      <c r="R163" s="21">
        <v>1.5520000000000001E-2</v>
      </c>
      <c r="S163" s="21">
        <v>5.339E-3</v>
      </c>
      <c r="T163" s="21">
        <v>1.47E-3</v>
      </c>
      <c r="U163" s="21">
        <v>5.7359999999999996E-4</v>
      </c>
      <c r="V163" s="21">
        <v>1.1340000000000001E-4</v>
      </c>
      <c r="W163" s="22">
        <v>0.56999999999999995</v>
      </c>
      <c r="X163" s="21">
        <v>-1</v>
      </c>
      <c r="Y163" s="21">
        <v>-1</v>
      </c>
      <c r="Z163" s="21">
        <v>23.77</v>
      </c>
      <c r="AA163" s="21">
        <v>0.32950000000000002</v>
      </c>
      <c r="AB163" s="21">
        <v>7.8310000000000004</v>
      </c>
      <c r="AC163" s="21">
        <v>4.2369999999999998E-2</v>
      </c>
      <c r="AD163" s="21">
        <v>18.86</v>
      </c>
      <c r="AE163" s="21">
        <v>15.62</v>
      </c>
      <c r="AF163" s="21">
        <v>38.340000000000003</v>
      </c>
      <c r="AG163" s="21" t="s">
        <v>75</v>
      </c>
      <c r="AH163" s="21">
        <v>5</v>
      </c>
      <c r="AI163" s="21" t="s">
        <v>14</v>
      </c>
      <c r="AJ163" s="21" t="s">
        <v>87</v>
      </c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</row>
    <row r="164" spans="1:49">
      <c r="A164" s="17">
        <v>7</v>
      </c>
      <c r="B164" s="23">
        <v>3.6212200000000001</v>
      </c>
      <c r="C164" s="23">
        <v>0.68859999999999999</v>
      </c>
      <c r="D164" s="14">
        <f t="shared" si="16"/>
        <v>1779.676098949991</v>
      </c>
      <c r="E164" s="14">
        <f t="shared" si="15"/>
        <v>338.5787061358854</v>
      </c>
      <c r="F164" s="23">
        <v>8.5139999999999993E-2</v>
      </c>
      <c r="G164" s="23">
        <v>1.6299999999999999E-2</v>
      </c>
      <c r="H164" s="15">
        <v>3.1</v>
      </c>
      <c r="I164">
        <f t="shared" si="13"/>
        <v>0.65</v>
      </c>
      <c r="J164" s="15">
        <v>1.3</v>
      </c>
      <c r="K164" s="23">
        <v>8.5129999999999997E-2</v>
      </c>
      <c r="L164" s="23">
        <v>1.694E-2</v>
      </c>
      <c r="M164" s="23">
        <v>3.5119999999999998E-2</v>
      </c>
      <c r="N164" s="23">
        <v>6.6090000000000003E-3</v>
      </c>
      <c r="O164" s="23">
        <v>2.9919999999999999E-3</v>
      </c>
      <c r="P164" s="23">
        <v>1.9489999999999999E-4</v>
      </c>
      <c r="Q164" s="23">
        <v>8.5139999999999993E-2</v>
      </c>
      <c r="R164" s="23">
        <v>1.6299999999999999E-2</v>
      </c>
      <c r="S164" s="23">
        <v>6.5960000000000003E-3</v>
      </c>
      <c r="T164" s="23">
        <v>1.712E-3</v>
      </c>
      <c r="U164" s="23">
        <v>5.6190000000000005E-4</v>
      </c>
      <c r="V164" s="23">
        <v>1.069E-4</v>
      </c>
      <c r="W164" s="24">
        <v>0.67749999999999999</v>
      </c>
      <c r="X164" s="23">
        <v>-1</v>
      </c>
      <c r="Y164" s="23">
        <v>-1</v>
      </c>
      <c r="Z164" s="23">
        <v>22.44</v>
      </c>
      <c r="AA164" s="23">
        <v>0.36180000000000001</v>
      </c>
      <c r="AB164" s="23">
        <v>7.9279999999999999</v>
      </c>
      <c r="AC164" s="23">
        <v>4.1549999999999997E-2</v>
      </c>
      <c r="AD164" s="23"/>
      <c r="AE164" s="23"/>
      <c r="AF164" s="23"/>
      <c r="AG164" s="23"/>
      <c r="AH164" s="23">
        <v>5</v>
      </c>
      <c r="AI164" s="23" t="s">
        <v>78</v>
      </c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</row>
    <row r="165" spans="1:49">
      <c r="A165" s="17">
        <v>8</v>
      </c>
      <c r="B165" s="23">
        <v>3.7676099999999999</v>
      </c>
      <c r="C165" s="23">
        <v>0.74960000000000004</v>
      </c>
      <c r="D165" s="14">
        <f t="shared" si="16"/>
        <v>1710.5713308244954</v>
      </c>
      <c r="E165" s="14">
        <f t="shared" si="15"/>
        <v>340.59271794042292</v>
      </c>
      <c r="F165" s="23">
        <v>4.2610000000000002E-2</v>
      </c>
      <c r="G165" s="23">
        <v>1.448E-2</v>
      </c>
      <c r="H165" s="15">
        <v>3.8</v>
      </c>
      <c r="I165">
        <f t="shared" si="13"/>
        <v>0.75</v>
      </c>
      <c r="J165" s="15">
        <v>1.5</v>
      </c>
      <c r="K165" s="23">
        <v>4.7239999999999997E-2</v>
      </c>
      <c r="L165" s="23">
        <v>1.2489999999999999E-2</v>
      </c>
      <c r="M165" s="23">
        <v>1.8710000000000001E-2</v>
      </c>
      <c r="N165" s="23">
        <v>4.8069999999999996E-3</v>
      </c>
      <c r="O165" s="23">
        <v>3.186E-3</v>
      </c>
      <c r="P165" s="23">
        <v>3.1990000000000002E-4</v>
      </c>
      <c r="Q165" s="23">
        <v>4.2610000000000002E-2</v>
      </c>
      <c r="R165" s="23">
        <v>1.448E-2</v>
      </c>
      <c r="S165" s="23">
        <v>3.434E-3</v>
      </c>
      <c r="T165" s="23">
        <v>1.085E-3</v>
      </c>
      <c r="U165" s="23">
        <v>5.8460000000000001E-4</v>
      </c>
      <c r="V165" s="23">
        <v>1.164E-4</v>
      </c>
      <c r="W165" s="24">
        <v>0.19009999999999999</v>
      </c>
      <c r="X165" s="23">
        <v>-1</v>
      </c>
      <c r="Y165" s="23">
        <v>-1</v>
      </c>
      <c r="Z165" s="23">
        <v>21.84</v>
      </c>
      <c r="AA165" s="23">
        <v>0.29010000000000002</v>
      </c>
      <c r="AB165" s="23">
        <v>7.9909999999999997</v>
      </c>
      <c r="AC165" s="23">
        <v>4.4760000000000001E-2</v>
      </c>
      <c r="AD165" s="23"/>
      <c r="AE165" s="23"/>
      <c r="AF165" s="23"/>
      <c r="AG165" s="23"/>
      <c r="AH165" s="23">
        <v>5</v>
      </c>
      <c r="AI165" s="23" t="s">
        <v>79</v>
      </c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</row>
    <row r="166" spans="1:49">
      <c r="A166" s="17">
        <v>9</v>
      </c>
      <c r="B166" s="23">
        <v>3.5738699999999999</v>
      </c>
      <c r="C166" s="23">
        <v>0.6895</v>
      </c>
      <c r="D166" s="14">
        <f t="shared" si="16"/>
        <v>1803.4265103697026</v>
      </c>
      <c r="E166" s="14">
        <f t="shared" si="15"/>
        <v>348.00114807855402</v>
      </c>
      <c r="F166" s="23">
        <v>5.3409999999999999E-2</v>
      </c>
      <c r="G166" s="23">
        <v>1.5779999999999999E-2</v>
      </c>
      <c r="H166" s="15">
        <v>3.5</v>
      </c>
      <c r="I166">
        <f t="shared" si="13"/>
        <v>0.7</v>
      </c>
      <c r="J166" s="15">
        <v>1.4</v>
      </c>
      <c r="K166" s="23">
        <v>5.7439999999999998E-2</v>
      </c>
      <c r="L166" s="23">
        <v>1.4420000000000001E-2</v>
      </c>
      <c r="M166" s="23">
        <v>2.1229999999999999E-2</v>
      </c>
      <c r="N166" s="23">
        <v>4.9760000000000004E-3</v>
      </c>
      <c r="O166" s="23">
        <v>2.8830000000000001E-3</v>
      </c>
      <c r="P166" s="23">
        <v>2.152E-4</v>
      </c>
      <c r="Q166" s="23">
        <v>5.3409999999999999E-2</v>
      </c>
      <c r="R166" s="23">
        <v>1.5779999999999999E-2</v>
      </c>
      <c r="S166" s="23">
        <v>4.084E-3</v>
      </c>
      <c r="T166" s="23">
        <v>1.24E-3</v>
      </c>
      <c r="U166" s="23">
        <v>5.5449999999999998E-4</v>
      </c>
      <c r="V166" s="23">
        <v>1.07E-4</v>
      </c>
      <c r="W166" s="24">
        <v>0.3594</v>
      </c>
      <c r="X166" s="23">
        <v>-1</v>
      </c>
      <c r="Y166" s="23">
        <v>-1</v>
      </c>
      <c r="Z166" s="23">
        <v>23.12</v>
      </c>
      <c r="AA166" s="23">
        <v>0.31019999999999998</v>
      </c>
      <c r="AB166" s="23">
        <v>7.8650000000000002</v>
      </c>
      <c r="AC166" s="23">
        <v>3.8179999999999999E-2</v>
      </c>
      <c r="AD166" s="23"/>
      <c r="AE166" s="23"/>
      <c r="AF166" s="23"/>
      <c r="AG166" s="23"/>
      <c r="AH166" s="23">
        <v>5</v>
      </c>
      <c r="AI166" s="23" t="s">
        <v>80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49">
      <c r="A167" s="17">
        <v>10</v>
      </c>
      <c r="B167" s="25">
        <v>3.7405599999999999</v>
      </c>
      <c r="C167" s="25">
        <v>0.7581</v>
      </c>
      <c r="D167" s="14">
        <f t="shared" si="16"/>
        <v>1722.9496898690559</v>
      </c>
      <c r="E167" s="14">
        <f t="shared" si="15"/>
        <v>349.39899810059939</v>
      </c>
      <c r="F167" s="25">
        <v>5.3609999999999998E-2</v>
      </c>
      <c r="G167" s="25">
        <v>2.5180000000000001E-2</v>
      </c>
      <c r="H167" s="15">
        <v>3.7</v>
      </c>
      <c r="I167">
        <f t="shared" si="13"/>
        <v>0.75</v>
      </c>
      <c r="J167" s="15">
        <v>1.5</v>
      </c>
      <c r="K167" s="25">
        <v>5.185E-2</v>
      </c>
      <c r="L167" s="25">
        <v>2.3290000000000002E-2</v>
      </c>
      <c r="M167" s="25">
        <v>2.196E-2</v>
      </c>
      <c r="N167" s="25">
        <v>1.1010000000000001E-2</v>
      </c>
      <c r="O167" s="25">
        <v>2.97E-3</v>
      </c>
      <c r="P167" s="25">
        <v>2.0939999999999999E-4</v>
      </c>
      <c r="Q167" s="25">
        <v>5.3609999999999998E-2</v>
      </c>
      <c r="R167" s="25">
        <v>2.5180000000000001E-2</v>
      </c>
      <c r="S167" s="25">
        <v>4.2900000000000004E-3</v>
      </c>
      <c r="T167" s="25">
        <v>2.2859999999999998E-3</v>
      </c>
      <c r="U167" s="25">
        <v>5.8040000000000001E-4</v>
      </c>
      <c r="V167" s="25">
        <v>1.177E-4</v>
      </c>
      <c r="W167" s="26">
        <v>0.48299999999999998</v>
      </c>
      <c r="X167" s="25">
        <v>-1</v>
      </c>
      <c r="Y167" s="25">
        <v>-1</v>
      </c>
      <c r="Z167" s="25">
        <v>22.77</v>
      </c>
      <c r="AA167" s="25">
        <v>0.49180000000000001</v>
      </c>
      <c r="AB167" s="25">
        <v>7.8250000000000002</v>
      </c>
      <c r="AC167" s="25">
        <v>5.2670000000000002E-2</v>
      </c>
      <c r="AD167" s="25"/>
      <c r="AE167" s="25"/>
      <c r="AF167" s="25"/>
      <c r="AG167" s="25"/>
      <c r="AH167" s="25">
        <v>4</v>
      </c>
      <c r="AI167" s="25" t="s">
        <v>81</v>
      </c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</row>
    <row r="168" spans="1:49">
      <c r="A168" s="17">
        <v>11</v>
      </c>
      <c r="B168" s="21">
        <v>3.6832500000000001</v>
      </c>
      <c r="C168" s="21">
        <v>1.103</v>
      </c>
      <c r="D168" s="14">
        <f t="shared" si="16"/>
        <v>1749.7812773403325</v>
      </c>
      <c r="E168" s="14">
        <f t="shared" si="15"/>
        <v>524.168949572467</v>
      </c>
      <c r="F168" s="21">
        <v>6.8269999999999997E-2</v>
      </c>
      <c r="G168" s="21">
        <v>1.8169999999999999E-2</v>
      </c>
      <c r="H168" s="15">
        <v>3.6</v>
      </c>
      <c r="I168">
        <f t="shared" si="13"/>
        <v>1.05</v>
      </c>
      <c r="J168" s="15">
        <v>2.1</v>
      </c>
      <c r="K168" s="21">
        <v>7.7590000000000006E-2</v>
      </c>
      <c r="L168" s="21">
        <v>2.1870000000000001E-2</v>
      </c>
      <c r="M168" s="21">
        <v>2.726E-2</v>
      </c>
      <c r="N168" s="21">
        <v>5.5929999999999999E-3</v>
      </c>
      <c r="O168" s="21">
        <v>2.8960000000000001E-3</v>
      </c>
      <c r="P168" s="21">
        <v>3.7960000000000001E-4</v>
      </c>
      <c r="Q168" s="21">
        <v>6.8269999999999997E-2</v>
      </c>
      <c r="R168" s="21">
        <v>1.8169999999999999E-2</v>
      </c>
      <c r="S168" s="21">
        <v>5.3790000000000001E-3</v>
      </c>
      <c r="T168" s="21">
        <v>1.825E-3</v>
      </c>
      <c r="U168" s="21">
        <v>5.7149999999999996E-4</v>
      </c>
      <c r="V168" s="21">
        <v>1.7119999999999999E-4</v>
      </c>
      <c r="W168" s="22">
        <v>0.65920000000000001</v>
      </c>
      <c r="X168" s="21">
        <v>-1</v>
      </c>
      <c r="Y168" s="21">
        <v>-1</v>
      </c>
      <c r="Z168" s="21">
        <v>21.43</v>
      </c>
      <c r="AA168" s="21">
        <v>0.28110000000000002</v>
      </c>
      <c r="AB168" s="21">
        <v>7.6130000000000004</v>
      </c>
      <c r="AC168" s="21">
        <v>4.5780000000000001E-2</v>
      </c>
      <c r="AD168" s="21">
        <v>18.86</v>
      </c>
      <c r="AE168" s="21">
        <v>15.62</v>
      </c>
      <c r="AF168" s="21">
        <v>38.340000000000003</v>
      </c>
      <c r="AG168" s="21" t="s">
        <v>75</v>
      </c>
      <c r="AH168" s="21">
        <v>5</v>
      </c>
      <c r="AI168" s="21" t="s">
        <v>14</v>
      </c>
      <c r="AJ168" s="21" t="s">
        <v>83</v>
      </c>
    </row>
    <row r="169" spans="1:49">
      <c r="A169" s="17">
        <v>12</v>
      </c>
      <c r="B169" s="23">
        <v>3.7369300000000001</v>
      </c>
      <c r="C169" s="23">
        <v>1.0549999999999999</v>
      </c>
      <c r="D169" s="14">
        <f t="shared" si="16"/>
        <v>1724.4352474564582</v>
      </c>
      <c r="E169" s="14">
        <f t="shared" si="15"/>
        <v>487.08827993338139</v>
      </c>
      <c r="F169" s="23">
        <v>4.5199999999999997E-2</v>
      </c>
      <c r="G169" s="23">
        <v>2.036E-2</v>
      </c>
      <c r="H169" s="15">
        <v>3.7</v>
      </c>
      <c r="I169">
        <f t="shared" si="13"/>
        <v>1.05</v>
      </c>
      <c r="J169" s="15">
        <v>2.1</v>
      </c>
      <c r="K169" s="23">
        <v>4.9029999999999997E-2</v>
      </c>
      <c r="L169" s="23">
        <v>2.1700000000000001E-2</v>
      </c>
      <c r="M169" s="23">
        <v>1.7739999999999999E-2</v>
      </c>
      <c r="N169" s="23">
        <v>7.2090000000000001E-3</v>
      </c>
      <c r="O169" s="23">
        <v>2.8470000000000001E-3</v>
      </c>
      <c r="P169" s="23">
        <v>1.905E-4</v>
      </c>
      <c r="Q169" s="23">
        <v>4.5199999999999997E-2</v>
      </c>
      <c r="R169" s="23">
        <v>2.036E-2</v>
      </c>
      <c r="S169" s="23">
        <v>3.614E-3</v>
      </c>
      <c r="T169" s="23">
        <v>1.8420000000000001E-3</v>
      </c>
      <c r="U169" s="23">
        <v>5.7989999999999995E-4</v>
      </c>
      <c r="V169" s="23">
        <v>1.638E-4</v>
      </c>
      <c r="W169" s="24">
        <v>0.47510000000000002</v>
      </c>
      <c r="X169" s="23">
        <v>-1</v>
      </c>
      <c r="Y169" s="23">
        <v>-1</v>
      </c>
      <c r="Z169" s="23">
        <v>20.72</v>
      </c>
      <c r="AA169" s="23">
        <v>0.41289999999999999</v>
      </c>
      <c r="AB169" s="23">
        <v>7.5339999999999998</v>
      </c>
      <c r="AC169" s="23">
        <v>6.0220000000000003E-2</v>
      </c>
      <c r="AD169" s="23"/>
      <c r="AE169" s="23"/>
      <c r="AF169" s="23"/>
      <c r="AG169" s="23"/>
      <c r="AH169" s="23">
        <v>5</v>
      </c>
      <c r="AI169" s="23" t="s">
        <v>78</v>
      </c>
      <c r="AJ169" s="23"/>
    </row>
    <row r="170" spans="1:49">
      <c r="A170" s="17">
        <v>13</v>
      </c>
      <c r="B170" s="23">
        <v>4.1601800000000004</v>
      </c>
      <c r="C170" s="23">
        <v>1.236</v>
      </c>
      <c r="D170" s="14">
        <f t="shared" si="16"/>
        <v>1548.9467162329618</v>
      </c>
      <c r="E170" s="14">
        <f t="shared" si="15"/>
        <v>460.4133749149712</v>
      </c>
      <c r="F170" s="23">
        <v>5.6710000000000003E-2</v>
      </c>
      <c r="G170" s="23">
        <v>9.0950000000000007E-3</v>
      </c>
      <c r="H170" s="15">
        <v>4.0999999999999996</v>
      </c>
      <c r="I170">
        <f t="shared" si="13"/>
        <v>1.2</v>
      </c>
      <c r="J170" s="15">
        <v>2.4</v>
      </c>
      <c r="K170" s="23">
        <v>5.4980000000000001E-2</v>
      </c>
      <c r="L170" s="23">
        <v>1.234E-2</v>
      </c>
      <c r="M170" s="23">
        <v>2.4230000000000002E-2</v>
      </c>
      <c r="N170" s="23">
        <v>5.2360000000000002E-3</v>
      </c>
      <c r="O170" s="23">
        <v>3.0990000000000002E-3</v>
      </c>
      <c r="P170" s="23">
        <v>2.3890000000000001E-4</v>
      </c>
      <c r="Q170" s="23">
        <v>5.6710000000000003E-2</v>
      </c>
      <c r="R170" s="23">
        <v>9.0950000000000007E-3</v>
      </c>
      <c r="S170" s="23">
        <v>5.0470000000000003E-3</v>
      </c>
      <c r="T170" s="23">
        <v>1.8320000000000001E-3</v>
      </c>
      <c r="U170" s="23">
        <v>6.4559999999999997E-4</v>
      </c>
      <c r="V170" s="23">
        <v>1.919E-4</v>
      </c>
      <c r="W170" s="24">
        <v>0.90080000000000005</v>
      </c>
      <c r="X170" s="23">
        <v>-1</v>
      </c>
      <c r="Y170" s="23">
        <v>-1</v>
      </c>
      <c r="Z170" s="23">
        <v>20.45</v>
      </c>
      <c r="AA170" s="23">
        <v>0.53420000000000001</v>
      </c>
      <c r="AB170" s="23">
        <v>7.4790000000000001</v>
      </c>
      <c r="AC170" s="23">
        <v>4.5519999999999998E-2</v>
      </c>
      <c r="AD170" s="23"/>
      <c r="AE170" s="23"/>
      <c r="AF170" s="23"/>
      <c r="AG170" s="23"/>
      <c r="AH170" s="23">
        <v>5</v>
      </c>
      <c r="AI170" s="23" t="s">
        <v>79</v>
      </c>
      <c r="AJ170" s="23"/>
    </row>
    <row r="171" spans="1:49">
      <c r="A171" s="17">
        <v>14</v>
      </c>
      <c r="B171" s="23">
        <v>3.9768599999999998</v>
      </c>
      <c r="C171" s="23">
        <v>1.1559999999999999</v>
      </c>
      <c r="D171" s="14">
        <f t="shared" si="16"/>
        <v>1620.4829039053639</v>
      </c>
      <c r="E171" s="14">
        <f t="shared" si="15"/>
        <v>471.09809262781118</v>
      </c>
      <c r="F171" s="23">
        <v>4.2250000000000003E-2</v>
      </c>
      <c r="G171" s="23">
        <v>1.2880000000000001E-2</v>
      </c>
      <c r="H171" s="15">
        <v>4</v>
      </c>
      <c r="I171">
        <f t="shared" si="13"/>
        <v>1.1499999999999999</v>
      </c>
      <c r="J171" s="15">
        <v>2.2999999999999998</v>
      </c>
      <c r="K171" s="23">
        <v>4.4749999999999998E-2</v>
      </c>
      <c r="L171" s="23">
        <v>1.1809999999999999E-2</v>
      </c>
      <c r="M171" s="23">
        <v>1.7399999999999999E-2</v>
      </c>
      <c r="N171" s="23">
        <v>4.4640000000000001E-3</v>
      </c>
      <c r="O171" s="23">
        <v>2.9870000000000001E-3</v>
      </c>
      <c r="P171" s="23">
        <v>2.018E-4</v>
      </c>
      <c r="Q171" s="23">
        <v>4.2250000000000003E-2</v>
      </c>
      <c r="R171" s="23">
        <v>1.2880000000000001E-2</v>
      </c>
      <c r="S171" s="23">
        <v>3.5950000000000001E-3</v>
      </c>
      <c r="T171" s="23">
        <v>1.374E-3</v>
      </c>
      <c r="U171" s="23">
        <v>6.1709999999999998E-4</v>
      </c>
      <c r="V171" s="23">
        <v>1.794E-4</v>
      </c>
      <c r="W171" s="24">
        <v>0.61970000000000003</v>
      </c>
      <c r="X171" s="23">
        <v>-1</v>
      </c>
      <c r="Y171" s="23">
        <v>-1</v>
      </c>
      <c r="Z171" s="23">
        <v>19.96</v>
      </c>
      <c r="AA171" s="23">
        <v>0.25130000000000002</v>
      </c>
      <c r="AB171" s="23">
        <v>7.5</v>
      </c>
      <c r="AC171" s="23">
        <v>4.9660000000000003E-2</v>
      </c>
      <c r="AD171" s="23"/>
      <c r="AE171" s="23"/>
      <c r="AF171" s="23"/>
      <c r="AG171" s="23"/>
      <c r="AH171" s="23">
        <v>5</v>
      </c>
      <c r="AI171" s="23" t="s">
        <v>80</v>
      </c>
      <c r="AJ171" s="23"/>
    </row>
    <row r="172" spans="1:49">
      <c r="A172" s="17">
        <v>15</v>
      </c>
      <c r="B172" s="25">
        <v>4.0994999999999999</v>
      </c>
      <c r="C172" s="25">
        <v>1.224</v>
      </c>
      <c r="D172" s="14">
        <f t="shared" si="16"/>
        <v>1572.0798616569721</v>
      </c>
      <c r="E172" s="14">
        <f t="shared" si="15"/>
        <v>469.57266737120693</v>
      </c>
      <c r="F172" s="25">
        <v>4.7509999999999997E-2</v>
      </c>
      <c r="G172" s="25">
        <v>2.1680000000000001E-2</v>
      </c>
      <c r="H172" s="15">
        <v>4.0999999999999996</v>
      </c>
      <c r="I172">
        <f t="shared" si="13"/>
        <v>1.2</v>
      </c>
      <c r="J172" s="15">
        <v>2.4</v>
      </c>
      <c r="K172" s="25">
        <v>4.3900000000000002E-2</v>
      </c>
      <c r="L172" s="25">
        <v>2.0920000000000001E-2</v>
      </c>
      <c r="M172" s="25">
        <v>1.993E-2</v>
      </c>
      <c r="N172" s="25">
        <v>1.0189999999999999E-2</v>
      </c>
      <c r="O172" s="25">
        <v>3.042E-3</v>
      </c>
      <c r="P172" s="25">
        <v>2.7139999999999998E-4</v>
      </c>
      <c r="Q172" s="25">
        <v>4.7509999999999997E-2</v>
      </c>
      <c r="R172" s="25">
        <v>2.1680000000000001E-2</v>
      </c>
      <c r="S172" s="25">
        <v>4.1679999999999998E-3</v>
      </c>
      <c r="T172" s="25">
        <v>2.447E-3</v>
      </c>
      <c r="U172" s="25">
        <v>6.3610000000000001E-4</v>
      </c>
      <c r="V172" s="25">
        <v>1.9000000000000001E-4</v>
      </c>
      <c r="W172" s="26">
        <v>0.64370000000000005</v>
      </c>
      <c r="X172" s="25">
        <v>-1</v>
      </c>
      <c r="Y172" s="25">
        <v>-1</v>
      </c>
      <c r="Z172" s="25">
        <v>20.32</v>
      </c>
      <c r="AA172" s="25">
        <v>0.33090000000000003</v>
      </c>
      <c r="AB172" s="25">
        <v>7.47</v>
      </c>
      <c r="AC172" s="25">
        <v>0.1037</v>
      </c>
      <c r="AD172" s="25"/>
      <c r="AE172" s="25"/>
      <c r="AF172" s="25"/>
      <c r="AG172" s="25"/>
      <c r="AH172" s="25">
        <v>4</v>
      </c>
      <c r="AI172" s="25" t="s">
        <v>81</v>
      </c>
      <c r="AJ172" s="25"/>
    </row>
    <row r="173" spans="1:49">
      <c r="A173" s="17">
        <v>16</v>
      </c>
      <c r="B173" s="21">
        <v>4.2951899999999998</v>
      </c>
      <c r="C173" s="21">
        <v>0.62239999999999995</v>
      </c>
      <c r="D173" s="14">
        <f t="shared" si="16"/>
        <v>1500.3750937734433</v>
      </c>
      <c r="E173" s="14">
        <f t="shared" si="15"/>
        <v>217.48122702093374</v>
      </c>
      <c r="F173" s="21">
        <v>5.8200000000000002E-2</v>
      </c>
      <c r="G173" s="21">
        <v>1.504E-2</v>
      </c>
      <c r="H173" s="15">
        <v>4.2</v>
      </c>
      <c r="I173">
        <f t="shared" si="13"/>
        <v>0.6</v>
      </c>
      <c r="J173" s="15">
        <v>1.2</v>
      </c>
      <c r="K173" s="21">
        <v>5.9679999999999997E-2</v>
      </c>
      <c r="L173" s="21">
        <v>1.5480000000000001E-2</v>
      </c>
      <c r="M173" s="21">
        <v>2.818E-2</v>
      </c>
      <c r="N173" s="21">
        <v>6.6750000000000004E-3</v>
      </c>
      <c r="O173" s="21">
        <v>3.5119999999999999E-3</v>
      </c>
      <c r="P173" s="21">
        <v>1.953E-4</v>
      </c>
      <c r="Q173" s="21">
        <v>5.8200000000000002E-2</v>
      </c>
      <c r="R173" s="21">
        <v>1.504E-2</v>
      </c>
      <c r="S173" s="21">
        <v>5.3480000000000003E-3</v>
      </c>
      <c r="T173" s="21">
        <v>1.446E-3</v>
      </c>
      <c r="U173" s="21">
        <v>6.6649999999999999E-4</v>
      </c>
      <c r="V173" s="21">
        <v>9.6609999999999998E-5</v>
      </c>
      <c r="W173" s="22">
        <v>0.34920000000000001</v>
      </c>
      <c r="X173" s="21">
        <v>-1</v>
      </c>
      <c r="Y173" s="21">
        <v>-1</v>
      </c>
      <c r="Z173" s="21">
        <v>20.149999999999999</v>
      </c>
      <c r="AA173" s="21">
        <v>0.2472</v>
      </c>
      <c r="AB173" s="21">
        <v>7.4169999999999998</v>
      </c>
      <c r="AC173" s="21">
        <v>3.4939999999999999E-2</v>
      </c>
      <c r="AD173" s="21">
        <v>18.86</v>
      </c>
      <c r="AE173" s="21">
        <v>15.62</v>
      </c>
      <c r="AF173" s="21">
        <v>38.340000000000003</v>
      </c>
      <c r="AG173" s="21" t="s">
        <v>75</v>
      </c>
      <c r="AH173" s="21">
        <v>5</v>
      </c>
      <c r="AI173" s="21" t="s">
        <v>14</v>
      </c>
      <c r="AJ173" s="21" t="s">
        <v>84</v>
      </c>
    </row>
    <row r="174" spans="1:49">
      <c r="A174" s="17">
        <v>17</v>
      </c>
      <c r="B174" s="23">
        <v>4.4747599999999998</v>
      </c>
      <c r="C174" s="23">
        <v>0.86370000000000002</v>
      </c>
      <c r="D174" s="14">
        <f t="shared" si="16"/>
        <v>1440.0921658986176</v>
      </c>
      <c r="E174" s="14">
        <f t="shared" si="15"/>
        <v>278.10535634649284</v>
      </c>
      <c r="F174" s="23">
        <v>3.85E-2</v>
      </c>
      <c r="G174" s="23">
        <v>1.677E-2</v>
      </c>
      <c r="H174" s="15">
        <v>4.5</v>
      </c>
      <c r="I174">
        <f t="shared" si="13"/>
        <v>0.85</v>
      </c>
      <c r="J174" s="15">
        <v>1.7</v>
      </c>
      <c r="K174" s="23">
        <v>4.6449999999999998E-2</v>
      </c>
      <c r="L174" s="23">
        <v>1.8870000000000001E-2</v>
      </c>
      <c r="M174" s="23">
        <v>1.9290000000000002E-2</v>
      </c>
      <c r="N174" s="23">
        <v>7.1890000000000001E-3</v>
      </c>
      <c r="O174" s="23">
        <v>3.6329999999999999E-3</v>
      </c>
      <c r="P174" s="23">
        <v>5.1060000000000005E-4</v>
      </c>
      <c r="Q174" s="23">
        <v>3.85E-2</v>
      </c>
      <c r="R174" s="23">
        <v>1.677E-2</v>
      </c>
      <c r="S174" s="23">
        <v>3.686E-3</v>
      </c>
      <c r="T174" s="23">
        <v>1.4350000000000001E-3</v>
      </c>
      <c r="U174" s="23">
        <v>6.9439999999999997E-4</v>
      </c>
      <c r="V174" s="23">
        <v>1.3410000000000001E-4</v>
      </c>
      <c r="W174" s="24">
        <v>-7.1399999999999996E-3</v>
      </c>
      <c r="X174" s="23">
        <v>-1</v>
      </c>
      <c r="Y174" s="23">
        <v>-1</v>
      </c>
      <c r="Z174" s="23">
        <v>18.440000000000001</v>
      </c>
      <c r="AA174" s="23">
        <v>0.27289999999999998</v>
      </c>
      <c r="AB174" s="23">
        <v>7.3760000000000003</v>
      </c>
      <c r="AC174" s="23">
        <v>5.4600000000000003E-2</v>
      </c>
      <c r="AD174" s="23"/>
      <c r="AE174" s="23"/>
      <c r="AF174" s="23"/>
      <c r="AG174" s="23"/>
      <c r="AH174" s="23">
        <v>5</v>
      </c>
      <c r="AI174" s="23" t="s">
        <v>78</v>
      </c>
      <c r="AJ174" s="23"/>
    </row>
    <row r="175" spans="1:49">
      <c r="A175" s="17">
        <v>18</v>
      </c>
      <c r="B175" s="23">
        <v>3.8663400000000001</v>
      </c>
      <c r="C175" s="23">
        <v>0.63039999999999996</v>
      </c>
      <c r="D175" s="14">
        <f t="shared" si="16"/>
        <v>1666.9444907484581</v>
      </c>
      <c r="E175" s="14">
        <f t="shared" si="15"/>
        <v>271.89618006290488</v>
      </c>
      <c r="F175" s="23">
        <v>6.9900000000000004E-2</v>
      </c>
      <c r="G175" s="23">
        <v>1.3729999999999999E-2</v>
      </c>
      <c r="H175" s="15">
        <v>3.8</v>
      </c>
      <c r="I175">
        <f t="shared" si="13"/>
        <v>0.6</v>
      </c>
      <c r="J175" s="15">
        <v>1.2</v>
      </c>
      <c r="K175" s="23">
        <v>7.0809999999999998E-2</v>
      </c>
      <c r="L175" s="23">
        <v>1.4670000000000001E-2</v>
      </c>
      <c r="M175" s="23">
        <v>3.0370000000000001E-2</v>
      </c>
      <c r="N175" s="23">
        <v>6.0060000000000001E-3</v>
      </c>
      <c r="O175" s="23">
        <v>3.1510000000000002E-3</v>
      </c>
      <c r="P175" s="23">
        <v>2.7599999999999999E-4</v>
      </c>
      <c r="Q175" s="23">
        <v>6.9900000000000004E-2</v>
      </c>
      <c r="R175" s="23">
        <v>1.3729999999999999E-2</v>
      </c>
      <c r="S175" s="23">
        <v>5.7819999999999998E-3</v>
      </c>
      <c r="T175" s="23">
        <v>1.3630000000000001E-3</v>
      </c>
      <c r="U175" s="23">
        <v>5.999E-4</v>
      </c>
      <c r="V175" s="23">
        <v>9.7850000000000007E-5</v>
      </c>
      <c r="W175" s="24">
        <v>0.5665</v>
      </c>
      <c r="X175" s="23">
        <v>-1</v>
      </c>
      <c r="Y175" s="23">
        <v>-1</v>
      </c>
      <c r="Z175" s="23">
        <v>17.48</v>
      </c>
      <c r="AA175" s="23">
        <v>0.31180000000000002</v>
      </c>
      <c r="AB175" s="23">
        <v>7.3979999999999997</v>
      </c>
      <c r="AC175" s="23">
        <v>6.6210000000000005E-2</v>
      </c>
      <c r="AD175" s="23"/>
      <c r="AE175" s="23"/>
      <c r="AF175" s="23"/>
      <c r="AG175" s="23"/>
      <c r="AH175" s="23">
        <v>5</v>
      </c>
      <c r="AI175" s="23" t="s">
        <v>79</v>
      </c>
      <c r="AJ175" s="23"/>
    </row>
    <row r="176" spans="1:49">
      <c r="A176" s="17">
        <v>19</v>
      </c>
      <c r="B176" s="23">
        <v>4.47567</v>
      </c>
      <c r="C176" s="23">
        <v>0.66720000000000002</v>
      </c>
      <c r="D176" s="14">
        <f t="shared" si="16"/>
        <v>1439.8848092152627</v>
      </c>
      <c r="E176" s="14">
        <f t="shared" si="15"/>
        <v>214.79059213059932</v>
      </c>
      <c r="F176" s="23">
        <v>4.8469999999999999E-2</v>
      </c>
      <c r="G176" s="23">
        <v>1.089E-2</v>
      </c>
      <c r="H176" s="15">
        <v>4.5</v>
      </c>
      <c r="I176">
        <f t="shared" si="13"/>
        <v>0.65</v>
      </c>
      <c r="J176" s="15">
        <v>1.3</v>
      </c>
      <c r="K176" s="23">
        <v>4.8349999999999997E-2</v>
      </c>
      <c r="L176" s="23">
        <v>1.1220000000000001E-2</v>
      </c>
      <c r="M176" s="23">
        <v>2.3890000000000002E-2</v>
      </c>
      <c r="N176" s="23">
        <v>5.3629999999999997E-3</v>
      </c>
      <c r="O176" s="23">
        <v>3.5739999999999999E-3</v>
      </c>
      <c r="P176" s="23">
        <v>2.0990000000000001E-4</v>
      </c>
      <c r="Q176" s="23">
        <v>4.8469999999999999E-2</v>
      </c>
      <c r="R176" s="23">
        <v>1.089E-2</v>
      </c>
      <c r="S176" s="23">
        <v>4.6420000000000003E-3</v>
      </c>
      <c r="T176" s="23">
        <v>1.224E-3</v>
      </c>
      <c r="U176" s="23">
        <v>6.9450000000000002E-4</v>
      </c>
      <c r="V176" s="23">
        <v>1.036E-4</v>
      </c>
      <c r="W176" s="24">
        <v>0.52459999999999996</v>
      </c>
      <c r="X176" s="23">
        <v>-1</v>
      </c>
      <c r="Y176" s="23">
        <v>-1</v>
      </c>
      <c r="Z176" s="23">
        <v>16.89</v>
      </c>
      <c r="AA176" s="23">
        <v>0.20449999999999999</v>
      </c>
      <c r="AB176" s="23">
        <v>7.282</v>
      </c>
      <c r="AC176" s="23">
        <v>3.6159999999999998E-2</v>
      </c>
      <c r="AD176" s="23"/>
      <c r="AE176" s="23"/>
      <c r="AF176" s="23"/>
      <c r="AG176" s="23"/>
      <c r="AH176" s="23">
        <v>5</v>
      </c>
      <c r="AI176" s="23" t="s">
        <v>80</v>
      </c>
      <c r="AJ176" s="23"/>
    </row>
    <row r="177" spans="1:36">
      <c r="A177" s="17">
        <v>20</v>
      </c>
      <c r="B177" s="25">
        <v>3.2491699999999999</v>
      </c>
      <c r="C177" s="25">
        <v>0.53869999999999996</v>
      </c>
      <c r="D177" s="14">
        <f t="shared" si="16"/>
        <v>1983.3399444664815</v>
      </c>
      <c r="E177" s="14">
        <f t="shared" si="15"/>
        <v>328.89141760579633</v>
      </c>
      <c r="F177" s="25">
        <v>1.9279999999999999E-2</v>
      </c>
      <c r="G177" s="25">
        <v>1.3729999999999999E-2</v>
      </c>
      <c r="H177" s="15">
        <v>3.4</v>
      </c>
      <c r="I177">
        <f t="shared" si="13"/>
        <v>0.55000000000000004</v>
      </c>
      <c r="J177" s="15">
        <v>1.1000000000000001</v>
      </c>
      <c r="K177" s="25">
        <v>2.2030000000000001E-2</v>
      </c>
      <c r="L177" s="25">
        <v>1.2970000000000001E-2</v>
      </c>
      <c r="M177" s="25">
        <v>6.8649999999999996E-3</v>
      </c>
      <c r="N177" s="25">
        <v>4.3779999999999999E-3</v>
      </c>
      <c r="O177" s="25">
        <v>2.5829999999999998E-3</v>
      </c>
      <c r="P177" s="25">
        <v>2.2939999999999999E-4</v>
      </c>
      <c r="Q177" s="25">
        <v>1.9279999999999999E-2</v>
      </c>
      <c r="R177" s="25">
        <v>1.3729999999999999E-2</v>
      </c>
      <c r="S177" s="25">
        <v>1.34E-3</v>
      </c>
      <c r="T177" s="25">
        <v>8.7000000000000001E-4</v>
      </c>
      <c r="U177" s="25">
        <v>5.042E-4</v>
      </c>
      <c r="V177" s="25">
        <v>8.3609999999999994E-5</v>
      </c>
      <c r="W177" s="26">
        <v>-0.26989999999999997</v>
      </c>
      <c r="X177" s="25">
        <v>-1</v>
      </c>
      <c r="Y177" s="25">
        <v>-1</v>
      </c>
      <c r="Z177" s="25">
        <v>16.440000000000001</v>
      </c>
      <c r="AA177" s="25">
        <v>0.2228</v>
      </c>
      <c r="AB177" s="25">
        <v>7.2560000000000002</v>
      </c>
      <c r="AC177" s="25">
        <v>4.0829999999999998E-2</v>
      </c>
      <c r="AD177" s="25"/>
      <c r="AE177" s="25"/>
      <c r="AF177" s="25"/>
      <c r="AG177" s="25"/>
      <c r="AH177" s="25">
        <v>4</v>
      </c>
      <c r="AI177" s="25" t="s">
        <v>81</v>
      </c>
      <c r="AJ177" s="25"/>
    </row>
    <row r="178" spans="1:36">
      <c r="F178"/>
      <c r="G178"/>
      <c r="I178">
        <f t="shared" si="13"/>
        <v>0</v>
      </c>
    </row>
    <row r="179" spans="1:36">
      <c r="A179" s="19" t="s">
        <v>15</v>
      </c>
      <c r="F179"/>
      <c r="G179"/>
      <c r="I179">
        <f t="shared" si="13"/>
        <v>0</v>
      </c>
    </row>
    <row r="180" spans="1:36">
      <c r="A180" s="17" t="s">
        <v>71</v>
      </c>
      <c r="F180"/>
      <c r="G180"/>
      <c r="I180">
        <f t="shared" si="13"/>
        <v>0</v>
      </c>
    </row>
    <row r="181" spans="1:36">
      <c r="A181" s="17" t="s">
        <v>5</v>
      </c>
      <c r="F181"/>
      <c r="G181"/>
      <c r="I181">
        <f t="shared" si="13"/>
        <v>0</v>
      </c>
    </row>
    <row r="182" spans="1:36">
      <c r="A182" s="17">
        <v>1</v>
      </c>
      <c r="B182" s="14">
        <v>2.1673399999999998</v>
      </c>
      <c r="C182" s="27">
        <v>0.46060000000000001</v>
      </c>
      <c r="D182" s="14">
        <f>1/U182</f>
        <v>2973.5355337496285</v>
      </c>
      <c r="E182" s="14">
        <f t="shared" ref="E182:E201" si="17">(V182/U182)*D182</f>
        <v>631.93156288161151</v>
      </c>
      <c r="F182">
        <v>0.11310000000000001</v>
      </c>
      <c r="G182">
        <v>4.1329999999999999E-2</v>
      </c>
      <c r="H182" s="15">
        <v>1.99</v>
      </c>
      <c r="I182">
        <f t="shared" si="13"/>
        <v>0.435</v>
      </c>
      <c r="J182" s="15">
        <v>0.87</v>
      </c>
      <c r="K182" s="16">
        <v>0.13059999999999999</v>
      </c>
      <c r="L182">
        <v>3.5720000000000002E-2</v>
      </c>
      <c r="M182">
        <v>2.5170000000000001E-2</v>
      </c>
      <c r="N182">
        <v>6.4120000000000002E-3</v>
      </c>
      <c r="O182">
        <v>1.614E-3</v>
      </c>
      <c r="P182">
        <v>2.6269999999999999E-4</v>
      </c>
      <c r="Q182">
        <v>0.11310000000000001</v>
      </c>
      <c r="R182">
        <v>4.1329999999999999E-2</v>
      </c>
      <c r="S182">
        <v>5.2459999999999998E-3</v>
      </c>
      <c r="T182">
        <v>1.519E-3</v>
      </c>
      <c r="U182">
        <v>3.3629999999999999E-4</v>
      </c>
      <c r="V182">
        <v>7.1470000000000005E-5</v>
      </c>
      <c r="W182" s="20">
        <v>-3.6119999999999999E-2</v>
      </c>
      <c r="X182">
        <v>-1</v>
      </c>
      <c r="Y182">
        <v>-1</v>
      </c>
      <c r="Z182">
        <v>16.91</v>
      </c>
      <c r="AA182">
        <v>0.54049999999999998</v>
      </c>
      <c r="AB182">
        <v>8.1189999999999998</v>
      </c>
      <c r="AC182">
        <v>5.8869999999999999E-2</v>
      </c>
      <c r="AD182">
        <v>18.86</v>
      </c>
      <c r="AE182">
        <v>15.62</v>
      </c>
      <c r="AF182">
        <v>38.340000000000003</v>
      </c>
      <c r="AG182" t="s">
        <v>75</v>
      </c>
      <c r="AH182">
        <v>5</v>
      </c>
      <c r="AI182" t="s">
        <v>16</v>
      </c>
      <c r="AJ182" t="s">
        <v>77</v>
      </c>
    </row>
    <row r="183" spans="1:36">
      <c r="A183" s="17">
        <v>2</v>
      </c>
      <c r="B183" s="14">
        <v>2.6158999999999999</v>
      </c>
      <c r="C183" s="27">
        <v>0.40870000000000001</v>
      </c>
      <c r="D183" s="14">
        <f>1/U183</f>
        <v>2463.6610002463663</v>
      </c>
      <c r="E183" s="14">
        <f t="shared" si="17"/>
        <v>384.99634699587824</v>
      </c>
      <c r="F183">
        <v>7.8170000000000003E-2</v>
      </c>
      <c r="G183">
        <v>2.2110000000000001E-2</v>
      </c>
      <c r="H183" s="15">
        <v>2.5099999999999998</v>
      </c>
      <c r="I183">
        <f t="shared" si="13"/>
        <v>0.39500000000000002</v>
      </c>
      <c r="J183" s="15">
        <v>0.79</v>
      </c>
      <c r="K183" s="16">
        <v>7.2249999999999995E-2</v>
      </c>
      <c r="L183">
        <v>2.5020000000000001E-2</v>
      </c>
      <c r="M183">
        <v>2.2919999999999999E-2</v>
      </c>
      <c r="N183">
        <v>8.1969999999999994E-3</v>
      </c>
      <c r="O183">
        <v>2.127E-3</v>
      </c>
      <c r="P183">
        <v>2.2680000000000001E-4</v>
      </c>
      <c r="Q183">
        <v>7.8170000000000003E-2</v>
      </c>
      <c r="R183">
        <v>2.2110000000000001E-2</v>
      </c>
      <c r="S183">
        <v>4.3740000000000003E-3</v>
      </c>
      <c r="T183">
        <v>1.5939999999999999E-3</v>
      </c>
      <c r="U183">
        <v>4.059E-4</v>
      </c>
      <c r="V183">
        <v>6.3429999999999994E-5</v>
      </c>
      <c r="W183" s="20">
        <v>0.67789999999999995</v>
      </c>
      <c r="X183">
        <v>-1</v>
      </c>
      <c r="Y183">
        <v>-1</v>
      </c>
      <c r="Z183">
        <v>12.01</v>
      </c>
      <c r="AA183">
        <v>0.69610000000000005</v>
      </c>
      <c r="AB183">
        <v>8.4390000000000001</v>
      </c>
      <c r="AC183">
        <v>0.13700000000000001</v>
      </c>
      <c r="AH183">
        <v>5</v>
      </c>
      <c r="AI183" t="s">
        <v>78</v>
      </c>
    </row>
    <row r="184" spans="1:36">
      <c r="A184" s="17">
        <v>3</v>
      </c>
      <c r="B184" s="14">
        <v>2.5628799999999998</v>
      </c>
      <c r="C184" s="27">
        <v>0.71209999999999996</v>
      </c>
      <c r="D184" s="14">
        <f>1/U184</f>
        <v>2515.0905432595573</v>
      </c>
      <c r="E184" s="14">
        <f t="shared" si="17"/>
        <v>698.98768870769891</v>
      </c>
      <c r="F184">
        <v>4.3720000000000002E-2</v>
      </c>
      <c r="G184">
        <v>1.942E-2</v>
      </c>
      <c r="H184" s="15">
        <v>2.6</v>
      </c>
      <c r="I184">
        <f t="shared" si="13"/>
        <v>0.7</v>
      </c>
      <c r="J184" s="15">
        <v>1.4</v>
      </c>
      <c r="K184" s="16">
        <v>5.2109999999999997E-2</v>
      </c>
      <c r="L184">
        <v>2.1239999999999998E-2</v>
      </c>
      <c r="M184">
        <v>1.1140000000000001E-2</v>
      </c>
      <c r="N184">
        <v>4.4130000000000003E-3</v>
      </c>
      <c r="O184">
        <v>1.8469999999999999E-3</v>
      </c>
      <c r="P184">
        <v>3.7359999999999997E-4</v>
      </c>
      <c r="Q184">
        <v>4.3720000000000002E-2</v>
      </c>
      <c r="R184">
        <v>1.942E-2</v>
      </c>
      <c r="S184">
        <v>2.3969999999999998E-3</v>
      </c>
      <c r="T184">
        <v>1.0139999999999999E-3</v>
      </c>
      <c r="U184">
        <v>3.9760000000000002E-4</v>
      </c>
      <c r="V184">
        <v>1.105E-4</v>
      </c>
      <c r="W184" s="20">
        <v>0.2505</v>
      </c>
      <c r="X184">
        <v>-1</v>
      </c>
      <c r="Y184">
        <v>-1</v>
      </c>
      <c r="Z184">
        <v>14.68</v>
      </c>
      <c r="AA184">
        <v>1.1819999999999999</v>
      </c>
      <c r="AB184">
        <v>8.0079999999999991</v>
      </c>
      <c r="AC184">
        <v>0.1583</v>
      </c>
      <c r="AH184">
        <v>5</v>
      </c>
      <c r="AI184" t="s">
        <v>79</v>
      </c>
    </row>
    <row r="185" spans="1:36">
      <c r="A185" s="17">
        <v>4</v>
      </c>
      <c r="B185" s="14">
        <v>8.5108800000000002</v>
      </c>
      <c r="C185" s="27">
        <v>2.3919999999999999</v>
      </c>
      <c r="D185" s="14">
        <f>1/U185</f>
        <v>757.00227100681309</v>
      </c>
      <c r="E185" s="14">
        <f t="shared" si="17"/>
        <v>212.94628607579997</v>
      </c>
      <c r="F185">
        <v>4.7649999999999998E-2</v>
      </c>
      <c r="G185">
        <v>2.31E-3</v>
      </c>
      <c r="H185" s="15">
        <v>8.5</v>
      </c>
      <c r="I185">
        <f t="shared" si="13"/>
        <v>2.35</v>
      </c>
      <c r="J185" s="15">
        <v>4.7</v>
      </c>
      <c r="K185" s="16">
        <v>5.0959999999999998E-2</v>
      </c>
      <c r="L185">
        <v>8.3479999999999995E-3</v>
      </c>
      <c r="M185">
        <v>4.104E-2</v>
      </c>
      <c r="N185">
        <v>9.5270000000000007E-3</v>
      </c>
      <c r="O185">
        <v>6.2469999999999999E-3</v>
      </c>
      <c r="P185">
        <v>1.6930000000000001E-3</v>
      </c>
      <c r="Q185">
        <v>4.7649999999999998E-2</v>
      </c>
      <c r="R185">
        <v>2.31E-3</v>
      </c>
      <c r="S185">
        <v>8.6800000000000002E-3</v>
      </c>
      <c r="T185">
        <v>2.16E-3</v>
      </c>
      <c r="U185">
        <v>1.3209999999999999E-3</v>
      </c>
      <c r="V185">
        <v>3.7159999999999998E-4</v>
      </c>
      <c r="W185" s="20">
        <v>0.99070000000000003</v>
      </c>
      <c r="X185">
        <v>-1</v>
      </c>
      <c r="Y185">
        <v>-1</v>
      </c>
      <c r="Z185">
        <v>24.44</v>
      </c>
      <c r="AA185">
        <v>1.3320000000000001</v>
      </c>
      <c r="AB185">
        <v>8.0679999999999996</v>
      </c>
      <c r="AC185">
        <v>0.1002</v>
      </c>
      <c r="AH185">
        <v>5</v>
      </c>
      <c r="AI185" t="s">
        <v>80</v>
      </c>
    </row>
    <row r="186" spans="1:36">
      <c r="A186" s="17">
        <v>5</v>
      </c>
      <c r="B186" s="14">
        <v>16.544</v>
      </c>
      <c r="C186" s="27">
        <v>2.0089999999999999</v>
      </c>
      <c r="D186" s="14">
        <f>1/U186</f>
        <v>389.10505836575879</v>
      </c>
      <c r="E186" s="14">
        <f t="shared" si="17"/>
        <v>47.313358264318921</v>
      </c>
      <c r="F186">
        <v>4.4909999999999999E-2</v>
      </c>
      <c r="G186">
        <v>1.022E-2</v>
      </c>
      <c r="H186" s="15">
        <v>16.600000000000001</v>
      </c>
      <c r="I186">
        <f t="shared" si="13"/>
        <v>2</v>
      </c>
      <c r="J186" s="15">
        <v>4</v>
      </c>
      <c r="K186" s="16">
        <v>4.3990000000000001E-2</v>
      </c>
      <c r="L186">
        <v>1.034E-2</v>
      </c>
      <c r="M186">
        <v>9.1590000000000005E-2</v>
      </c>
      <c r="N186">
        <v>2.3640000000000001E-2</v>
      </c>
      <c r="O186">
        <v>1.4789999999999999E-2</v>
      </c>
      <c r="P186">
        <v>7.2860000000000004E-4</v>
      </c>
      <c r="Q186">
        <v>4.4909999999999999E-2</v>
      </c>
      <c r="R186">
        <v>1.022E-2</v>
      </c>
      <c r="S186">
        <v>1.5910000000000001E-2</v>
      </c>
      <c r="T186">
        <v>4.0470000000000002E-3</v>
      </c>
      <c r="U186">
        <v>2.5699999999999998E-3</v>
      </c>
      <c r="V186">
        <v>3.1250000000000001E-4</v>
      </c>
      <c r="W186" s="20">
        <v>0.44790000000000002</v>
      </c>
      <c r="X186">
        <v>-1</v>
      </c>
      <c r="Y186">
        <v>-1</v>
      </c>
      <c r="Z186">
        <v>26.7</v>
      </c>
      <c r="AA186">
        <v>0.56069999999999998</v>
      </c>
      <c r="AB186">
        <v>8.8130000000000006</v>
      </c>
      <c r="AC186">
        <v>0.13370000000000001</v>
      </c>
      <c r="AH186">
        <v>4</v>
      </c>
      <c r="AI186" t="s">
        <v>81</v>
      </c>
    </row>
    <row r="187" spans="1:36">
      <c r="A187" s="17">
        <v>6</v>
      </c>
      <c r="B187" s="21">
        <v>23.454499999999999</v>
      </c>
      <c r="C187" s="21">
        <v>3.6320000000000001</v>
      </c>
      <c r="D187" s="14">
        <f t="shared" ref="D187:D201" si="18">1/U187</f>
        <v>274.34842249657066</v>
      </c>
      <c r="E187" s="14">
        <f t="shared" si="17"/>
        <v>42.555993986162157</v>
      </c>
      <c r="F187" s="21">
        <v>4.8340000000000001E-2</v>
      </c>
      <c r="G187" s="21">
        <v>5.6210000000000001E-3</v>
      </c>
      <c r="H187" s="15">
        <v>23.4</v>
      </c>
      <c r="I187">
        <f t="shared" si="13"/>
        <v>3.6</v>
      </c>
      <c r="J187" s="15">
        <v>7.2</v>
      </c>
      <c r="K187" s="21">
        <v>4.8160000000000001E-2</v>
      </c>
      <c r="L187" s="21">
        <v>5.8650000000000004E-3</v>
      </c>
      <c r="M187" s="21">
        <v>0.15060000000000001</v>
      </c>
      <c r="N187" s="21">
        <v>1.8859999999999998E-2</v>
      </c>
      <c r="O187" s="21">
        <v>2.2589999999999999E-2</v>
      </c>
      <c r="P187" s="21">
        <v>5.3629999999999997E-4</v>
      </c>
      <c r="Q187" s="21">
        <v>4.8340000000000001E-2</v>
      </c>
      <c r="R187" s="21">
        <v>5.6210000000000001E-3</v>
      </c>
      <c r="S187" s="21">
        <v>2.4289999999999999E-2</v>
      </c>
      <c r="T187" s="21">
        <v>4.7749999999999997E-3</v>
      </c>
      <c r="U187" s="21">
        <v>3.6449999999999998E-3</v>
      </c>
      <c r="V187" s="21">
        <v>5.6539999999999997E-4</v>
      </c>
      <c r="W187" s="22">
        <v>0.80640000000000001</v>
      </c>
      <c r="X187" s="21">
        <v>-1</v>
      </c>
      <c r="Y187" s="21">
        <v>-1</v>
      </c>
      <c r="Z187" s="21">
        <v>20.82</v>
      </c>
      <c r="AA187" s="21">
        <v>0.33019999999999999</v>
      </c>
      <c r="AB187" s="21">
        <v>8.3650000000000002</v>
      </c>
      <c r="AC187" s="21">
        <v>6.6189999999999999E-2</v>
      </c>
      <c r="AD187" s="21">
        <v>18.86</v>
      </c>
      <c r="AE187" s="21">
        <v>15.62</v>
      </c>
      <c r="AF187" s="21">
        <v>38.340000000000003</v>
      </c>
      <c r="AG187" s="21" t="s">
        <v>75</v>
      </c>
      <c r="AH187" s="21">
        <v>5</v>
      </c>
      <c r="AI187" s="21" t="s">
        <v>16</v>
      </c>
      <c r="AJ187" s="21" t="s">
        <v>82</v>
      </c>
    </row>
    <row r="188" spans="1:36">
      <c r="A188" s="17">
        <v>7</v>
      </c>
      <c r="B188" s="23">
        <v>30.982700000000001</v>
      </c>
      <c r="C188" s="23">
        <v>5.1020000000000003</v>
      </c>
      <c r="D188" s="14">
        <f t="shared" si="18"/>
        <v>207.55500207555002</v>
      </c>
      <c r="E188" s="14">
        <f t="shared" si="17"/>
        <v>34.260791438498323</v>
      </c>
      <c r="F188" s="23">
        <v>4.947E-2</v>
      </c>
      <c r="G188" s="23">
        <v>5.4320000000000002E-3</v>
      </c>
      <c r="H188" s="15">
        <v>31</v>
      </c>
      <c r="I188">
        <f t="shared" si="13"/>
        <v>5</v>
      </c>
      <c r="J188" s="15">
        <v>10</v>
      </c>
      <c r="K188" s="23">
        <v>4.956E-2</v>
      </c>
      <c r="L188" s="23">
        <v>5.7939999999999997E-3</v>
      </c>
      <c r="M188" s="23">
        <v>0.20039999999999999</v>
      </c>
      <c r="N188" s="23">
        <v>2.3279999999999999E-2</v>
      </c>
      <c r="O188" s="23">
        <v>2.938E-2</v>
      </c>
      <c r="P188" s="23">
        <v>1.2080000000000001E-3</v>
      </c>
      <c r="Q188" s="23">
        <v>4.947E-2</v>
      </c>
      <c r="R188" s="23">
        <v>5.4320000000000002E-3</v>
      </c>
      <c r="S188" s="23">
        <v>3.286E-2</v>
      </c>
      <c r="T188" s="23">
        <v>6.7380000000000001E-3</v>
      </c>
      <c r="U188" s="23">
        <v>4.8180000000000002E-3</v>
      </c>
      <c r="V188" s="23">
        <v>7.9529999999999998E-4</v>
      </c>
      <c r="W188" s="24">
        <v>0.84540000000000004</v>
      </c>
      <c r="X188" s="23">
        <v>-1</v>
      </c>
      <c r="Y188" s="23">
        <v>-1</v>
      </c>
      <c r="Z188" s="23">
        <v>19.73</v>
      </c>
      <c r="AA188" s="23">
        <v>0.2681</v>
      </c>
      <c r="AB188" s="23">
        <v>8.3149999999999995</v>
      </c>
      <c r="AC188" s="23">
        <v>0.10050000000000001</v>
      </c>
      <c r="AD188" s="23"/>
      <c r="AE188" s="23"/>
      <c r="AF188" s="23"/>
      <c r="AG188" s="23"/>
      <c r="AH188" s="23">
        <v>5</v>
      </c>
      <c r="AI188" s="23" t="s">
        <v>78</v>
      </c>
      <c r="AJ188" s="23"/>
    </row>
    <row r="189" spans="1:36">
      <c r="A189" s="17">
        <v>8</v>
      </c>
      <c r="B189" s="23">
        <v>37.3245</v>
      </c>
      <c r="C189" s="23">
        <v>5.8259999999999996</v>
      </c>
      <c r="D189" s="14">
        <f t="shared" si="18"/>
        <v>172.20595832615808</v>
      </c>
      <c r="E189" s="14">
        <f t="shared" si="17"/>
        <v>26.956296903474719</v>
      </c>
      <c r="F189" s="23">
        <v>5.1139999999999998E-2</v>
      </c>
      <c r="G189" s="23">
        <v>5.5579999999999996E-3</v>
      </c>
      <c r="H189" s="15">
        <v>37</v>
      </c>
      <c r="I189">
        <f t="shared" si="13"/>
        <v>5.5</v>
      </c>
      <c r="J189" s="15">
        <v>11</v>
      </c>
      <c r="K189" s="23">
        <v>5.1470000000000002E-2</v>
      </c>
      <c r="L189" s="23">
        <v>5.5640000000000004E-3</v>
      </c>
      <c r="M189" s="23">
        <v>0.24779999999999999</v>
      </c>
      <c r="N189" s="23">
        <v>2.4230000000000002E-2</v>
      </c>
      <c r="O189" s="23">
        <v>3.5150000000000001E-2</v>
      </c>
      <c r="P189" s="23">
        <v>1.0759999999999999E-3</v>
      </c>
      <c r="Q189" s="23">
        <v>5.1139999999999998E-2</v>
      </c>
      <c r="R189" s="23">
        <v>5.5579999999999996E-3</v>
      </c>
      <c r="S189" s="23">
        <v>4.0939999999999997E-2</v>
      </c>
      <c r="T189" s="23">
        <v>7.587E-3</v>
      </c>
      <c r="U189" s="23">
        <v>5.8069999999999997E-3</v>
      </c>
      <c r="V189" s="23">
        <v>9.0899999999999998E-4</v>
      </c>
      <c r="W189" s="24">
        <v>0.81059999999999999</v>
      </c>
      <c r="X189" s="23">
        <v>-1</v>
      </c>
      <c r="Y189" s="23">
        <v>-1</v>
      </c>
      <c r="Z189" s="23">
        <v>19.29</v>
      </c>
      <c r="AA189" s="23">
        <v>0.25119999999999998</v>
      </c>
      <c r="AB189" s="23">
        <v>8.2929999999999993</v>
      </c>
      <c r="AC189" s="23">
        <v>5.2970000000000003E-2</v>
      </c>
      <c r="AD189" s="23"/>
      <c r="AE189" s="23"/>
      <c r="AF189" s="23"/>
      <c r="AG189" s="23"/>
      <c r="AH189" s="23">
        <v>5</v>
      </c>
      <c r="AI189" s="23" t="s">
        <v>79</v>
      </c>
      <c r="AJ189" s="23"/>
    </row>
    <row r="190" spans="1:36">
      <c r="A190" s="17">
        <v>9</v>
      </c>
      <c r="B190" s="23">
        <v>40.530099999999997</v>
      </c>
      <c r="C190" s="23">
        <v>6.125</v>
      </c>
      <c r="D190" s="14">
        <f t="shared" si="18"/>
        <v>158.55398763278896</v>
      </c>
      <c r="E190" s="14">
        <f t="shared" si="17"/>
        <v>24.038262719910069</v>
      </c>
      <c r="F190" s="23">
        <v>4.9680000000000002E-2</v>
      </c>
      <c r="G190" s="23">
        <v>5.2779999999999997E-3</v>
      </c>
      <c r="H190" s="15">
        <v>40</v>
      </c>
      <c r="I190">
        <f t="shared" si="13"/>
        <v>6</v>
      </c>
      <c r="J190" s="15">
        <v>12</v>
      </c>
      <c r="K190" s="23">
        <v>5.0119999999999998E-2</v>
      </c>
      <c r="L190" s="23">
        <v>5.3550000000000004E-3</v>
      </c>
      <c r="M190" s="23">
        <v>0.27139999999999997</v>
      </c>
      <c r="N190" s="23">
        <v>2.4889999999999999E-2</v>
      </c>
      <c r="O190" s="23">
        <v>3.9620000000000002E-2</v>
      </c>
      <c r="P190" s="23">
        <v>1.423E-3</v>
      </c>
      <c r="Q190" s="23">
        <v>4.9680000000000002E-2</v>
      </c>
      <c r="R190" s="23">
        <v>5.2779999999999997E-3</v>
      </c>
      <c r="S190" s="23">
        <v>4.3209999999999998E-2</v>
      </c>
      <c r="T190" s="23">
        <v>7.6400000000000001E-3</v>
      </c>
      <c r="U190" s="23">
        <v>6.3070000000000001E-3</v>
      </c>
      <c r="V190" s="23">
        <v>9.5620000000000004E-4</v>
      </c>
      <c r="W190" s="24">
        <v>0.8014</v>
      </c>
      <c r="X190" s="23">
        <v>-1</v>
      </c>
      <c r="Y190" s="23">
        <v>-1</v>
      </c>
      <c r="Z190" s="23">
        <v>17.79</v>
      </c>
      <c r="AA190" s="23">
        <v>0.31419999999999998</v>
      </c>
      <c r="AB190" s="23">
        <v>8.407</v>
      </c>
      <c r="AC190" s="23">
        <v>7.0569999999999994E-2</v>
      </c>
      <c r="AD190" s="23"/>
      <c r="AE190" s="23"/>
      <c r="AF190" s="23"/>
      <c r="AG190" s="23"/>
      <c r="AH190" s="23">
        <v>5</v>
      </c>
      <c r="AI190" s="23" t="s">
        <v>80</v>
      </c>
      <c r="AJ190" s="23"/>
    </row>
    <row r="191" spans="1:36">
      <c r="A191" s="17">
        <v>10</v>
      </c>
      <c r="B191" s="25">
        <v>45.222900000000003</v>
      </c>
      <c r="C191" s="25">
        <v>6.819</v>
      </c>
      <c r="D191" s="14">
        <f t="shared" si="18"/>
        <v>142.04545454545453</v>
      </c>
      <c r="E191" s="14">
        <f t="shared" si="17"/>
        <v>21.488410382231404</v>
      </c>
      <c r="F191" s="25">
        <v>4.0550000000000003E-2</v>
      </c>
      <c r="G191" s="25">
        <v>5.5630000000000002E-3</v>
      </c>
      <c r="H191" s="15">
        <v>46</v>
      </c>
      <c r="I191">
        <f t="shared" si="13"/>
        <v>7</v>
      </c>
      <c r="J191" s="15">
        <v>14</v>
      </c>
      <c r="K191" s="25">
        <v>4.0419999999999998E-2</v>
      </c>
      <c r="L191" s="25">
        <v>5.6249999999999998E-3</v>
      </c>
      <c r="M191" s="25">
        <v>0.246</v>
      </c>
      <c r="N191" s="25">
        <v>3.7010000000000001E-2</v>
      </c>
      <c r="O191" s="25">
        <v>4.3999999999999997E-2</v>
      </c>
      <c r="P191" s="25">
        <v>1.137E-3</v>
      </c>
      <c r="Q191" s="25">
        <v>4.0550000000000003E-2</v>
      </c>
      <c r="R191" s="25">
        <v>5.5630000000000002E-3</v>
      </c>
      <c r="S191" s="25">
        <v>3.9359999999999999E-2</v>
      </c>
      <c r="T191" s="25">
        <v>7.5789999999999998E-3</v>
      </c>
      <c r="U191" s="25">
        <v>7.0400000000000003E-3</v>
      </c>
      <c r="V191" s="25">
        <v>1.065E-3</v>
      </c>
      <c r="W191" s="26">
        <v>0.70620000000000005</v>
      </c>
      <c r="X191" s="25">
        <v>-1</v>
      </c>
      <c r="Y191" s="25">
        <v>-1</v>
      </c>
      <c r="Z191" s="25">
        <v>17.28</v>
      </c>
      <c r="AA191" s="25">
        <v>0.26900000000000002</v>
      </c>
      <c r="AB191" s="25">
        <v>8.391</v>
      </c>
      <c r="AC191" s="25">
        <v>0.12809999999999999</v>
      </c>
      <c r="AD191" s="25"/>
      <c r="AE191" s="25"/>
      <c r="AF191" s="25"/>
      <c r="AG191" s="25"/>
      <c r="AH191" s="25">
        <v>3</v>
      </c>
      <c r="AI191" s="25" t="s">
        <v>81</v>
      </c>
      <c r="AJ191" s="25"/>
    </row>
    <row r="192" spans="1:36">
      <c r="A192" s="17">
        <v>11</v>
      </c>
      <c r="B192" s="21">
        <v>50.779800000000002</v>
      </c>
      <c r="C192" s="21">
        <v>11.44</v>
      </c>
      <c r="D192" s="14">
        <f t="shared" si="18"/>
        <v>126.45422357106727</v>
      </c>
      <c r="E192" s="14">
        <f t="shared" si="17"/>
        <v>28.607309808882064</v>
      </c>
      <c r="F192" s="21">
        <v>4.6050000000000001E-2</v>
      </c>
      <c r="G192" s="21">
        <v>3.1840000000000002E-3</v>
      </c>
      <c r="H192" s="15">
        <v>51</v>
      </c>
      <c r="I192">
        <f t="shared" si="13"/>
        <v>11.5</v>
      </c>
      <c r="J192" s="15">
        <v>23</v>
      </c>
      <c r="K192" s="21">
        <v>4.5999999999999999E-2</v>
      </c>
      <c r="L192" s="21">
        <v>3.1689999999999999E-3</v>
      </c>
      <c r="M192" s="21">
        <v>0.3029</v>
      </c>
      <c r="N192" s="21">
        <v>2.2020000000000001E-2</v>
      </c>
      <c r="O192" s="21">
        <v>4.7699999999999999E-2</v>
      </c>
      <c r="P192" s="21">
        <v>8.1919999999999996E-4</v>
      </c>
      <c r="Q192" s="21">
        <v>4.6050000000000001E-2</v>
      </c>
      <c r="R192" s="21">
        <v>3.1840000000000002E-3</v>
      </c>
      <c r="S192" s="21">
        <v>5.0209999999999998E-2</v>
      </c>
      <c r="T192" s="21">
        <v>1.193E-2</v>
      </c>
      <c r="U192" s="21">
        <v>7.9080000000000001E-3</v>
      </c>
      <c r="V192" s="21">
        <v>1.789E-3</v>
      </c>
      <c r="W192" s="22">
        <v>0.95679999999999998</v>
      </c>
      <c r="X192" s="21">
        <v>-1</v>
      </c>
      <c r="Y192" s="21">
        <v>-1</v>
      </c>
      <c r="Z192" s="21">
        <v>16.760000000000002</v>
      </c>
      <c r="AA192" s="21">
        <v>0.1976</v>
      </c>
      <c r="AB192" s="21">
        <v>8.0950000000000006</v>
      </c>
      <c r="AC192" s="21">
        <v>4.1079999999999998E-2</v>
      </c>
      <c r="AD192" s="21">
        <v>18.86</v>
      </c>
      <c r="AE192" s="21">
        <v>15.62</v>
      </c>
      <c r="AF192" s="21">
        <v>38.340000000000003</v>
      </c>
      <c r="AG192" s="21" t="s">
        <v>75</v>
      </c>
      <c r="AH192" s="21">
        <v>5</v>
      </c>
      <c r="AI192" s="21" t="s">
        <v>16</v>
      </c>
      <c r="AJ192" s="21" t="s">
        <v>83</v>
      </c>
    </row>
    <row r="193" spans="1:36">
      <c r="A193" s="17">
        <v>12</v>
      </c>
      <c r="B193" s="23">
        <v>54.709400000000002</v>
      </c>
      <c r="C193" s="23">
        <v>12.43</v>
      </c>
      <c r="D193" s="14">
        <f t="shared" si="18"/>
        <v>117.32957878681216</v>
      </c>
      <c r="E193" s="14">
        <f t="shared" si="17"/>
        <v>26.761551233317242</v>
      </c>
      <c r="F193" s="23">
        <v>5.0189999999999999E-2</v>
      </c>
      <c r="G193" s="23">
        <v>2.9020000000000001E-3</v>
      </c>
      <c r="H193" s="15">
        <v>55</v>
      </c>
      <c r="I193">
        <f t="shared" si="13"/>
        <v>12.5</v>
      </c>
      <c r="J193" s="15">
        <v>25</v>
      </c>
      <c r="K193" s="23">
        <v>5.0200000000000002E-2</v>
      </c>
      <c r="L193" s="23">
        <v>3.0890000000000002E-3</v>
      </c>
      <c r="M193" s="23">
        <v>0.35239999999999999</v>
      </c>
      <c r="N193" s="23">
        <v>2.102E-2</v>
      </c>
      <c r="O193" s="23">
        <v>5.0930000000000003E-2</v>
      </c>
      <c r="P193" s="23">
        <v>1.005E-3</v>
      </c>
      <c r="Q193" s="23">
        <v>5.0189999999999999E-2</v>
      </c>
      <c r="R193" s="23">
        <v>2.9020000000000001E-3</v>
      </c>
      <c r="S193" s="23">
        <v>5.8979999999999998E-2</v>
      </c>
      <c r="T193" s="23">
        <v>1.384E-2</v>
      </c>
      <c r="U193" s="23">
        <v>8.5229999999999993E-3</v>
      </c>
      <c r="V193" s="23">
        <v>1.944E-3</v>
      </c>
      <c r="W193" s="24">
        <v>0.96919999999999995</v>
      </c>
      <c r="X193" s="23">
        <v>-1</v>
      </c>
      <c r="Y193" s="23">
        <v>-1</v>
      </c>
      <c r="Z193" s="23">
        <v>16.78</v>
      </c>
      <c r="AA193" s="23">
        <v>0.25519999999999998</v>
      </c>
      <c r="AB193" s="23">
        <v>8.0670000000000002</v>
      </c>
      <c r="AC193" s="23">
        <v>7.9339999999999994E-2</v>
      </c>
      <c r="AD193" s="23"/>
      <c r="AE193" s="23"/>
      <c r="AF193" s="23"/>
      <c r="AG193" s="23"/>
      <c r="AH193" s="23">
        <v>5</v>
      </c>
      <c r="AI193" s="23" t="s">
        <v>78</v>
      </c>
      <c r="AJ193" s="23"/>
    </row>
    <row r="194" spans="1:36">
      <c r="A194" s="17">
        <v>13</v>
      </c>
      <c r="B194" s="23">
        <v>55.837600000000002</v>
      </c>
      <c r="C194" s="23">
        <v>12.59</v>
      </c>
      <c r="D194" s="14">
        <f t="shared" si="18"/>
        <v>114.95574203931486</v>
      </c>
      <c r="E194" s="14">
        <f t="shared" si="17"/>
        <v>26.046415399412528</v>
      </c>
      <c r="F194" s="23">
        <v>5.1220000000000002E-2</v>
      </c>
      <c r="G194" s="23">
        <v>3.3990000000000001E-3</v>
      </c>
      <c r="H194" s="15">
        <v>56</v>
      </c>
      <c r="I194">
        <f t="shared" si="13"/>
        <v>12.5</v>
      </c>
      <c r="J194" s="15">
        <v>25</v>
      </c>
      <c r="K194" s="23">
        <v>5.1270000000000003E-2</v>
      </c>
      <c r="L194" s="23">
        <v>3.3609999999999998E-3</v>
      </c>
      <c r="M194" s="23">
        <v>0.37090000000000001</v>
      </c>
      <c r="N194" s="23">
        <v>2.4410000000000001E-2</v>
      </c>
      <c r="O194" s="23">
        <v>5.2519999999999997E-2</v>
      </c>
      <c r="P194" s="23">
        <v>1.1490000000000001E-3</v>
      </c>
      <c r="Q194" s="23">
        <v>5.1220000000000002E-2</v>
      </c>
      <c r="R194" s="23">
        <v>3.3990000000000001E-3</v>
      </c>
      <c r="S194" s="23">
        <v>6.1440000000000002E-2</v>
      </c>
      <c r="T194" s="23">
        <v>1.426E-2</v>
      </c>
      <c r="U194" s="23">
        <v>8.6990000000000001E-3</v>
      </c>
      <c r="V194" s="23">
        <v>1.9710000000000001E-3</v>
      </c>
      <c r="W194" s="24">
        <v>0.95840000000000003</v>
      </c>
      <c r="X194" s="23">
        <v>-1</v>
      </c>
      <c r="Y194" s="23">
        <v>-1</v>
      </c>
      <c r="Z194" s="23">
        <v>18.47</v>
      </c>
      <c r="AA194" s="23">
        <v>0.37680000000000002</v>
      </c>
      <c r="AB194" s="23">
        <v>8.0980000000000008</v>
      </c>
      <c r="AC194" s="23">
        <v>5.1380000000000002E-2</v>
      </c>
      <c r="AD194" s="23"/>
      <c r="AE194" s="23"/>
      <c r="AF194" s="23"/>
      <c r="AG194" s="23"/>
      <c r="AH194" s="23">
        <v>5</v>
      </c>
      <c r="AI194" s="23" t="s">
        <v>79</v>
      </c>
      <c r="AJ194" s="23"/>
    </row>
    <row r="195" spans="1:36">
      <c r="A195" s="17">
        <v>14</v>
      </c>
      <c r="B195" s="23">
        <v>61.737200000000001</v>
      </c>
      <c r="C195" s="23">
        <v>14.36</v>
      </c>
      <c r="D195" s="14">
        <f t="shared" si="18"/>
        <v>103.91769718383041</v>
      </c>
      <c r="E195" s="14">
        <f t="shared" si="17"/>
        <v>24.286698635190128</v>
      </c>
      <c r="F195" s="23">
        <v>4.4769999999999997E-2</v>
      </c>
      <c r="G195" s="23">
        <v>2.9229999999999998E-3</v>
      </c>
      <c r="H195" s="15">
        <v>62</v>
      </c>
      <c r="I195">
        <f t="shared" si="13"/>
        <v>14.5</v>
      </c>
      <c r="J195" s="15">
        <v>29</v>
      </c>
      <c r="K195" s="23">
        <v>4.4850000000000001E-2</v>
      </c>
      <c r="L195" s="23">
        <v>2.82E-3</v>
      </c>
      <c r="M195" s="23">
        <v>0.34660000000000002</v>
      </c>
      <c r="N195" s="23">
        <v>2.0080000000000001E-2</v>
      </c>
      <c r="O195" s="23">
        <v>5.6140000000000002E-2</v>
      </c>
      <c r="P195" s="23">
        <v>7.9810000000000005E-4</v>
      </c>
      <c r="Q195" s="23">
        <v>4.4769999999999997E-2</v>
      </c>
      <c r="R195" s="23">
        <v>2.9229999999999998E-3</v>
      </c>
      <c r="S195" s="23">
        <v>5.9409999999999998E-2</v>
      </c>
      <c r="T195" s="23">
        <v>1.4319999999999999E-2</v>
      </c>
      <c r="U195" s="23">
        <v>9.6229999999999996E-3</v>
      </c>
      <c r="V195" s="23">
        <v>2.2490000000000001E-3</v>
      </c>
      <c r="W195" s="24">
        <v>0.96260000000000001</v>
      </c>
      <c r="X195" s="23">
        <v>-1</v>
      </c>
      <c r="Y195" s="23">
        <v>-1</v>
      </c>
      <c r="Z195" s="23">
        <v>20.29</v>
      </c>
      <c r="AA195" s="23">
        <v>0.3201</v>
      </c>
      <c r="AB195" s="23">
        <v>7.9969999999999999</v>
      </c>
      <c r="AC195" s="23">
        <v>4.4560000000000002E-2</v>
      </c>
      <c r="AD195" s="23"/>
      <c r="AE195" s="23"/>
      <c r="AF195" s="23"/>
      <c r="AG195" s="23"/>
      <c r="AH195" s="23">
        <v>5</v>
      </c>
      <c r="AI195" s="23" t="s">
        <v>80</v>
      </c>
      <c r="AJ195" s="23"/>
    </row>
    <row r="196" spans="1:36">
      <c r="A196" s="17">
        <v>15</v>
      </c>
      <c r="B196" s="25">
        <v>65.754199999999997</v>
      </c>
      <c r="C196" s="25">
        <v>15.36</v>
      </c>
      <c r="D196" s="14">
        <f t="shared" si="18"/>
        <v>97.560975609756099</v>
      </c>
      <c r="E196" s="14">
        <f t="shared" si="17"/>
        <v>22.919690660321237</v>
      </c>
      <c r="F196" s="25">
        <v>4.8280000000000003E-2</v>
      </c>
      <c r="G196" s="25">
        <v>3.7399999999999998E-3</v>
      </c>
      <c r="H196" s="15">
        <v>66</v>
      </c>
      <c r="I196">
        <f t="shared" si="13"/>
        <v>15</v>
      </c>
      <c r="J196" s="15">
        <v>30</v>
      </c>
      <c r="K196" s="25">
        <v>4.8309999999999999E-2</v>
      </c>
      <c r="L196" s="25">
        <v>3.7090000000000001E-3</v>
      </c>
      <c r="M196" s="25">
        <v>0.3957</v>
      </c>
      <c r="N196" s="25">
        <v>2.9329999999999998E-2</v>
      </c>
      <c r="O196" s="25">
        <v>5.944E-2</v>
      </c>
      <c r="P196" s="25">
        <v>8.855E-4</v>
      </c>
      <c r="Q196" s="25">
        <v>4.8280000000000003E-2</v>
      </c>
      <c r="R196" s="25">
        <v>3.7399999999999998E-3</v>
      </c>
      <c r="S196" s="25">
        <v>6.8250000000000005E-2</v>
      </c>
      <c r="T196" s="25">
        <v>1.686E-2</v>
      </c>
      <c r="U196" s="25">
        <v>1.025E-2</v>
      </c>
      <c r="V196" s="25">
        <v>2.408E-3</v>
      </c>
      <c r="W196" s="26">
        <v>0.94950000000000001</v>
      </c>
      <c r="X196" s="25">
        <v>-1</v>
      </c>
      <c r="Y196" s="25">
        <v>-1</v>
      </c>
      <c r="Z196" s="25">
        <v>21.48</v>
      </c>
      <c r="AA196" s="25">
        <v>0.3715</v>
      </c>
      <c r="AB196" s="25">
        <v>7.9779999999999998</v>
      </c>
      <c r="AC196" s="25">
        <v>3.8899999999999997E-2</v>
      </c>
      <c r="AD196" s="25"/>
      <c r="AE196" s="25"/>
      <c r="AF196" s="25"/>
      <c r="AG196" s="25"/>
      <c r="AH196" s="25">
        <v>4</v>
      </c>
      <c r="AI196" s="25" t="s">
        <v>81</v>
      </c>
      <c r="AJ196" s="25"/>
    </row>
    <row r="197" spans="1:36">
      <c r="A197" s="17">
        <v>16</v>
      </c>
      <c r="B197" s="21">
        <v>69.555000000000007</v>
      </c>
      <c r="C197" s="21">
        <v>8.5809999999999995</v>
      </c>
      <c r="D197" s="14">
        <f t="shared" si="18"/>
        <v>92.165898617511516</v>
      </c>
      <c r="E197" s="14">
        <f t="shared" si="17"/>
        <v>11.433668160292212</v>
      </c>
      <c r="F197" s="21">
        <v>4.6800000000000001E-2</v>
      </c>
      <c r="G197" s="21">
        <v>2.496E-3</v>
      </c>
      <c r="H197" s="15">
        <v>70</v>
      </c>
      <c r="I197">
        <f t="shared" si="13"/>
        <v>8.5</v>
      </c>
      <c r="J197" s="15">
        <v>17</v>
      </c>
      <c r="K197" s="21">
        <v>4.6870000000000002E-2</v>
      </c>
      <c r="L197" s="21">
        <v>2.2420000000000001E-3</v>
      </c>
      <c r="M197" s="21">
        <v>0.3972</v>
      </c>
      <c r="N197" s="21">
        <v>1.8100000000000002E-2</v>
      </c>
      <c r="O197" s="21">
        <v>6.1559999999999997E-2</v>
      </c>
      <c r="P197" s="21">
        <v>7.5239999999999997E-4</v>
      </c>
      <c r="Q197" s="21">
        <v>4.6800000000000001E-2</v>
      </c>
      <c r="R197" s="21">
        <v>2.496E-3</v>
      </c>
      <c r="S197" s="21">
        <v>6.9989999999999997E-2</v>
      </c>
      <c r="T197" s="21">
        <v>9.2639999999999997E-3</v>
      </c>
      <c r="U197" s="21">
        <v>1.085E-2</v>
      </c>
      <c r="V197" s="21">
        <v>1.346E-3</v>
      </c>
      <c r="W197" s="22">
        <v>0.91539999999999999</v>
      </c>
      <c r="X197" s="21">
        <v>-1</v>
      </c>
      <c r="Y197" s="21">
        <v>-1</v>
      </c>
      <c r="Z197" s="21">
        <v>23.09</v>
      </c>
      <c r="AA197" s="21">
        <v>0.43769999999999998</v>
      </c>
      <c r="AB197" s="21">
        <v>7.8639999999999999</v>
      </c>
      <c r="AC197" s="21">
        <v>3.771E-2</v>
      </c>
      <c r="AD197" s="21">
        <v>18.86</v>
      </c>
      <c r="AE197" s="21">
        <v>15.62</v>
      </c>
      <c r="AF197" s="21">
        <v>38.340000000000003</v>
      </c>
      <c r="AG197" s="21" t="s">
        <v>75</v>
      </c>
      <c r="AH197" s="21">
        <v>5</v>
      </c>
      <c r="AI197" s="21" t="s">
        <v>16</v>
      </c>
      <c r="AJ197" s="21" t="s">
        <v>84</v>
      </c>
    </row>
    <row r="198" spans="1:36">
      <c r="A198" s="17">
        <v>17</v>
      </c>
      <c r="B198" s="23">
        <v>71.4452</v>
      </c>
      <c r="C198" s="23">
        <v>8.782</v>
      </c>
      <c r="D198" s="14">
        <f t="shared" si="18"/>
        <v>89.766606822262119</v>
      </c>
      <c r="E198" s="14">
        <f t="shared" si="17"/>
        <v>11.103984219127218</v>
      </c>
      <c r="F198" s="23">
        <v>4.6469999999999997E-2</v>
      </c>
      <c r="G198" s="23">
        <v>1.758E-3</v>
      </c>
      <c r="H198" s="15">
        <v>72</v>
      </c>
      <c r="I198">
        <f t="shared" si="13"/>
        <v>8.5</v>
      </c>
      <c r="J198" s="15">
        <v>17</v>
      </c>
      <c r="K198" s="23">
        <v>4.6440000000000002E-2</v>
      </c>
      <c r="L198" s="23">
        <v>2.0739999999999999E-3</v>
      </c>
      <c r="M198" s="23">
        <v>0.40539999999999998</v>
      </c>
      <c r="N198" s="23">
        <v>1.7610000000000001E-2</v>
      </c>
      <c r="O198" s="23">
        <v>6.3270000000000007E-2</v>
      </c>
      <c r="P198" s="23">
        <v>7.3430000000000001E-4</v>
      </c>
      <c r="Q198" s="23">
        <v>4.6469999999999997E-2</v>
      </c>
      <c r="R198" s="23">
        <v>1.758E-3</v>
      </c>
      <c r="S198" s="23">
        <v>7.1410000000000001E-2</v>
      </c>
      <c r="T198" s="23">
        <v>9.2870000000000001E-3</v>
      </c>
      <c r="U198" s="23">
        <v>1.1140000000000001E-2</v>
      </c>
      <c r="V198" s="23">
        <v>1.3780000000000001E-3</v>
      </c>
      <c r="W198" s="24">
        <v>0.95679999999999998</v>
      </c>
      <c r="X198" s="23">
        <v>-1</v>
      </c>
      <c r="Y198" s="23">
        <v>-1</v>
      </c>
      <c r="Z198" s="23">
        <v>25.2</v>
      </c>
      <c r="AA198" s="23">
        <v>0.43830000000000002</v>
      </c>
      <c r="AB198" s="23">
        <v>7.8659999999999997</v>
      </c>
      <c r="AC198" s="23">
        <v>6.9970000000000004E-2</v>
      </c>
      <c r="AD198" s="23"/>
      <c r="AE198" s="23"/>
      <c r="AF198" s="23"/>
      <c r="AG198" s="23"/>
      <c r="AH198" s="23">
        <v>5</v>
      </c>
      <c r="AI198" s="23" t="s">
        <v>78</v>
      </c>
      <c r="AJ198" s="23"/>
    </row>
    <row r="199" spans="1:36">
      <c r="A199" s="17">
        <v>18</v>
      </c>
      <c r="B199" s="23">
        <v>74.570400000000006</v>
      </c>
      <c r="C199" s="23">
        <v>9.3940000000000001</v>
      </c>
      <c r="D199" s="14">
        <f t="shared" si="18"/>
        <v>85.984522785898534</v>
      </c>
      <c r="E199" s="14">
        <f t="shared" si="17"/>
        <v>10.897780445951371</v>
      </c>
      <c r="F199" s="23">
        <v>4.6269999999999999E-2</v>
      </c>
      <c r="G199" s="23">
        <v>1.931E-3</v>
      </c>
      <c r="H199" s="15">
        <v>75</v>
      </c>
      <c r="I199">
        <f t="shared" si="13"/>
        <v>9.5</v>
      </c>
      <c r="J199" s="15">
        <v>19</v>
      </c>
      <c r="K199" s="23">
        <v>4.6249999999999999E-2</v>
      </c>
      <c r="L199" s="23">
        <v>1.9629999999999999E-3</v>
      </c>
      <c r="M199" s="23">
        <v>0.41370000000000001</v>
      </c>
      <c r="N199" s="23">
        <v>1.847E-2</v>
      </c>
      <c r="O199" s="23">
        <v>6.4839999999999995E-2</v>
      </c>
      <c r="P199" s="23">
        <v>7.1440000000000002E-4</v>
      </c>
      <c r="Q199" s="23">
        <v>4.6269999999999999E-2</v>
      </c>
      <c r="R199" s="23">
        <v>1.931E-3</v>
      </c>
      <c r="S199" s="23">
        <v>7.4230000000000004E-2</v>
      </c>
      <c r="T199" s="23">
        <v>9.9509999999999998E-3</v>
      </c>
      <c r="U199" s="23">
        <v>1.163E-2</v>
      </c>
      <c r="V199" s="23">
        <v>1.474E-3</v>
      </c>
      <c r="W199" s="24">
        <v>0.95030000000000003</v>
      </c>
      <c r="X199" s="23">
        <v>-1</v>
      </c>
      <c r="Y199" s="23">
        <v>-1</v>
      </c>
      <c r="Z199" s="23">
        <v>26.51</v>
      </c>
      <c r="AA199" s="23">
        <v>0.2949</v>
      </c>
      <c r="AB199" s="23">
        <v>7.7519999999999998</v>
      </c>
      <c r="AC199" s="23">
        <v>3.1609999999999999E-2</v>
      </c>
      <c r="AD199" s="23"/>
      <c r="AE199" s="23"/>
      <c r="AF199" s="23"/>
      <c r="AG199" s="23"/>
      <c r="AH199" s="23">
        <v>5</v>
      </c>
      <c r="AI199" s="23" t="s">
        <v>79</v>
      </c>
      <c r="AJ199" s="23"/>
    </row>
    <row r="200" spans="1:36">
      <c r="A200" s="17">
        <v>19</v>
      </c>
      <c r="B200" s="23">
        <v>76.660300000000007</v>
      </c>
      <c r="C200" s="23">
        <v>9.5210000000000008</v>
      </c>
      <c r="D200" s="14">
        <f t="shared" si="18"/>
        <v>83.61204013377926</v>
      </c>
      <c r="E200" s="14">
        <f t="shared" si="17"/>
        <v>10.451505016722408</v>
      </c>
      <c r="F200" s="23">
        <v>4.5589999999999999E-2</v>
      </c>
      <c r="G200" s="23">
        <v>1.6720000000000001E-3</v>
      </c>
      <c r="H200" s="15">
        <v>77</v>
      </c>
      <c r="I200">
        <f t="shared" si="13"/>
        <v>9.5</v>
      </c>
      <c r="J200" s="15">
        <v>19</v>
      </c>
      <c r="K200" s="23">
        <v>4.555E-2</v>
      </c>
      <c r="L200" s="23">
        <v>1.866E-3</v>
      </c>
      <c r="M200" s="23">
        <v>0.42430000000000001</v>
      </c>
      <c r="N200" s="23">
        <v>2.0250000000000001E-2</v>
      </c>
      <c r="O200" s="23">
        <v>6.7479999999999998E-2</v>
      </c>
      <c r="P200" s="23">
        <v>1.3500000000000001E-3</v>
      </c>
      <c r="Q200" s="23">
        <v>4.5589999999999999E-2</v>
      </c>
      <c r="R200" s="23">
        <v>1.6720000000000001E-3</v>
      </c>
      <c r="S200" s="23">
        <v>7.5209999999999999E-2</v>
      </c>
      <c r="T200" s="23">
        <v>9.9360000000000004E-3</v>
      </c>
      <c r="U200" s="23">
        <v>1.196E-2</v>
      </c>
      <c r="V200" s="23">
        <v>1.495E-3</v>
      </c>
      <c r="W200" s="24">
        <v>0.96079999999999999</v>
      </c>
      <c r="X200" s="23">
        <v>-1</v>
      </c>
      <c r="Y200" s="23">
        <v>-1</v>
      </c>
      <c r="Z200" s="23">
        <v>27.97</v>
      </c>
      <c r="AA200" s="23">
        <v>0.31069999999999998</v>
      </c>
      <c r="AB200" s="23">
        <v>7.8259999999999996</v>
      </c>
      <c r="AC200" s="23">
        <v>5.704E-2</v>
      </c>
      <c r="AD200" s="23"/>
      <c r="AE200" s="23"/>
      <c r="AF200" s="23"/>
      <c r="AG200" s="23"/>
      <c r="AH200" s="23">
        <v>5</v>
      </c>
      <c r="AI200" s="23" t="s">
        <v>80</v>
      </c>
      <c r="AJ200" s="23"/>
    </row>
    <row r="201" spans="1:36">
      <c r="A201" s="17">
        <v>20</v>
      </c>
      <c r="B201" s="25">
        <v>74.432199999999995</v>
      </c>
      <c r="C201" s="25">
        <v>9.327</v>
      </c>
      <c r="D201" s="14">
        <f t="shared" si="18"/>
        <v>86.132644272179149</v>
      </c>
      <c r="E201" s="14">
        <f t="shared" si="17"/>
        <v>10.861170647241194</v>
      </c>
      <c r="F201" s="25">
        <v>4.7399999999999998E-2</v>
      </c>
      <c r="G201" s="25">
        <v>4.346E-3</v>
      </c>
      <c r="H201" s="15">
        <v>74</v>
      </c>
      <c r="I201">
        <f t="shared" ref="I201:I225" si="19">J201/2</f>
        <v>9.5</v>
      </c>
      <c r="J201" s="15">
        <v>19</v>
      </c>
      <c r="K201" s="25">
        <v>4.761E-2</v>
      </c>
      <c r="L201" s="25">
        <v>4.463E-3</v>
      </c>
      <c r="M201" s="25">
        <v>0.42559999999999998</v>
      </c>
      <c r="N201" s="25">
        <v>3.27E-2</v>
      </c>
      <c r="O201" s="25">
        <v>6.5119999999999997E-2</v>
      </c>
      <c r="P201" s="25">
        <v>1.1460000000000001E-3</v>
      </c>
      <c r="Q201" s="25">
        <v>4.7399999999999998E-2</v>
      </c>
      <c r="R201" s="25">
        <v>4.346E-3</v>
      </c>
      <c r="S201" s="25">
        <v>7.5899999999999995E-2</v>
      </c>
      <c r="T201" s="25">
        <v>1.1169999999999999E-2</v>
      </c>
      <c r="U201" s="25">
        <v>1.1610000000000001E-2</v>
      </c>
      <c r="V201" s="25">
        <v>1.464E-3</v>
      </c>
      <c r="W201" s="26">
        <v>0.7853</v>
      </c>
      <c r="X201" s="25">
        <v>-1</v>
      </c>
      <c r="Y201" s="25">
        <v>-1</v>
      </c>
      <c r="Z201" s="25">
        <v>29.23</v>
      </c>
      <c r="AA201" s="25">
        <v>0.36270000000000002</v>
      </c>
      <c r="AB201" s="25">
        <v>7.79</v>
      </c>
      <c r="AC201" s="25">
        <v>5.4809999999999998E-2</v>
      </c>
      <c r="AD201" s="25"/>
      <c r="AE201" s="25"/>
      <c r="AF201" s="25"/>
      <c r="AG201" s="25"/>
      <c r="AH201" s="25">
        <v>4</v>
      </c>
      <c r="AI201" s="25" t="s">
        <v>81</v>
      </c>
      <c r="AJ201" s="25"/>
    </row>
    <row r="202" spans="1:36">
      <c r="F202"/>
      <c r="G202"/>
      <c r="I202">
        <f t="shared" si="19"/>
        <v>0</v>
      </c>
    </row>
    <row r="203" spans="1:36">
      <c r="A203" s="19" t="s">
        <v>17</v>
      </c>
      <c r="F203"/>
      <c r="G203"/>
      <c r="I203">
        <f t="shared" si="19"/>
        <v>0</v>
      </c>
    </row>
    <row r="204" spans="1:36">
      <c r="A204" s="17" t="s">
        <v>71</v>
      </c>
      <c r="F204"/>
      <c r="G204"/>
      <c r="I204">
        <f t="shared" si="19"/>
        <v>0</v>
      </c>
    </row>
    <row r="205" spans="1:36">
      <c r="A205" s="17" t="s">
        <v>5</v>
      </c>
      <c r="F205"/>
      <c r="G205"/>
      <c r="I205">
        <f t="shared" si="19"/>
        <v>0</v>
      </c>
    </row>
    <row r="206" spans="1:36">
      <c r="A206" s="17">
        <v>1</v>
      </c>
      <c r="B206" s="14">
        <v>3.3946499999999999</v>
      </c>
      <c r="C206" s="27">
        <v>0.52129999999999999</v>
      </c>
      <c r="D206" s="14">
        <f>1/U206</f>
        <v>1898.6140117714071</v>
      </c>
      <c r="E206" s="14">
        <f t="shared" ref="E206:E225" si="20">(V206/U206)*D206</f>
        <v>291.6951696080165</v>
      </c>
      <c r="F206">
        <v>7.6429999999999998E-2</v>
      </c>
      <c r="G206">
        <v>1.753E-2</v>
      </c>
      <c r="H206" s="15">
        <v>3.3</v>
      </c>
      <c r="I206">
        <f t="shared" si="19"/>
        <v>0.5</v>
      </c>
      <c r="J206" s="15">
        <v>1</v>
      </c>
      <c r="K206" s="16">
        <v>8.0960000000000004E-2</v>
      </c>
      <c r="L206">
        <v>1.6129999999999999E-2</v>
      </c>
      <c r="M206">
        <v>2.571E-2</v>
      </c>
      <c r="N206">
        <v>4.8770000000000003E-3</v>
      </c>
      <c r="O206">
        <v>2.4390000000000002E-3</v>
      </c>
      <c r="P206">
        <v>2.3450000000000001E-4</v>
      </c>
      <c r="Q206">
        <v>7.6429999999999998E-2</v>
      </c>
      <c r="R206">
        <v>1.753E-2</v>
      </c>
      <c r="S206">
        <v>5.5510000000000004E-3</v>
      </c>
      <c r="T206">
        <v>1.379E-3</v>
      </c>
      <c r="U206">
        <v>5.2669999999999995E-4</v>
      </c>
      <c r="V206">
        <v>8.0920000000000005E-5</v>
      </c>
      <c r="W206" s="20">
        <v>0.42849999999999999</v>
      </c>
      <c r="X206">
        <v>-1</v>
      </c>
      <c r="Y206">
        <v>-1</v>
      </c>
      <c r="Z206">
        <v>26.52</v>
      </c>
      <c r="AA206">
        <v>4.4770000000000003</v>
      </c>
      <c r="AB206">
        <v>7.9969999999999999</v>
      </c>
      <c r="AC206">
        <v>0.1472</v>
      </c>
      <c r="AD206">
        <v>18.86</v>
      </c>
      <c r="AE206">
        <v>15.62</v>
      </c>
      <c r="AF206">
        <v>38.340000000000003</v>
      </c>
      <c r="AG206" t="s">
        <v>75</v>
      </c>
      <c r="AH206">
        <v>5</v>
      </c>
      <c r="AI206" t="s">
        <v>18</v>
      </c>
      <c r="AJ206" t="s">
        <v>77</v>
      </c>
    </row>
    <row r="207" spans="1:36">
      <c r="A207" s="17">
        <v>2</v>
      </c>
      <c r="B207" s="14">
        <v>13.7767</v>
      </c>
      <c r="C207" s="27">
        <v>5.8920000000000003</v>
      </c>
      <c r="D207" s="14">
        <f>1/U207</f>
        <v>467.50818139317443</v>
      </c>
      <c r="E207" s="14">
        <f t="shared" si="20"/>
        <v>200.20453209731079</v>
      </c>
      <c r="F207">
        <v>5.2310000000000002E-2</v>
      </c>
      <c r="G207">
        <v>5.4970000000000001E-3</v>
      </c>
      <c r="H207" s="15">
        <v>14</v>
      </c>
      <c r="I207">
        <f t="shared" si="19"/>
        <v>6</v>
      </c>
      <c r="J207" s="15">
        <v>12</v>
      </c>
      <c r="K207" s="16">
        <v>4.6080000000000003E-2</v>
      </c>
      <c r="L207">
        <v>6.8760000000000002E-3</v>
      </c>
      <c r="M207">
        <v>7.6060000000000003E-2</v>
      </c>
      <c r="N207">
        <v>3.5290000000000002E-2</v>
      </c>
      <c r="O207">
        <v>1.0540000000000001E-2</v>
      </c>
      <c r="P207">
        <v>4.4169999999999999E-3</v>
      </c>
      <c r="Q207">
        <v>5.2310000000000002E-2</v>
      </c>
      <c r="R207">
        <v>5.4970000000000001E-3</v>
      </c>
      <c r="S207">
        <v>1.5429999999999999E-2</v>
      </c>
      <c r="T207">
        <v>7.2379999999999996E-3</v>
      </c>
      <c r="U207">
        <v>2.1389999999999998E-3</v>
      </c>
      <c r="V207">
        <v>9.1600000000000004E-4</v>
      </c>
      <c r="W207" s="20">
        <v>0.97670000000000001</v>
      </c>
      <c r="X207">
        <v>-1</v>
      </c>
      <c r="Y207">
        <v>-1</v>
      </c>
      <c r="Z207">
        <v>43.24</v>
      </c>
      <c r="AA207">
        <v>3.07</v>
      </c>
      <c r="AB207">
        <v>8.2129999999999992</v>
      </c>
      <c r="AC207">
        <v>6.2059999999999997E-2</v>
      </c>
      <c r="AH207">
        <v>5</v>
      </c>
      <c r="AI207" t="s">
        <v>78</v>
      </c>
    </row>
    <row r="208" spans="1:36">
      <c r="A208" s="17">
        <v>3</v>
      </c>
      <c r="B208" s="14">
        <v>59.738599999999998</v>
      </c>
      <c r="C208" s="27">
        <v>7.7709999999999999</v>
      </c>
      <c r="D208" s="14">
        <f>1/U208</f>
        <v>107.41138560687432</v>
      </c>
      <c r="E208" s="14">
        <f t="shared" si="20"/>
        <v>14.040779407472185</v>
      </c>
      <c r="F208">
        <v>5.1799999999999999E-2</v>
      </c>
      <c r="G208">
        <v>2.1419999999999998E-3</v>
      </c>
      <c r="H208" s="15">
        <v>59</v>
      </c>
      <c r="I208">
        <f t="shared" si="19"/>
        <v>7.5</v>
      </c>
      <c r="J208" s="15">
        <v>15</v>
      </c>
      <c r="K208" s="16">
        <v>5.2310000000000002E-2</v>
      </c>
      <c r="L208">
        <v>2.9750000000000002E-3</v>
      </c>
      <c r="M208">
        <v>0.38529999999999998</v>
      </c>
      <c r="N208">
        <v>2.843E-2</v>
      </c>
      <c r="O208">
        <v>5.3949999999999998E-2</v>
      </c>
      <c r="P208">
        <v>4.7889999999999999E-3</v>
      </c>
      <c r="Q208">
        <v>5.1799999999999999E-2</v>
      </c>
      <c r="R208">
        <v>2.1419999999999998E-3</v>
      </c>
      <c r="S208">
        <v>6.6489999999999994E-2</v>
      </c>
      <c r="T208">
        <v>8.4899999999999993E-3</v>
      </c>
      <c r="U208">
        <v>9.3100000000000006E-3</v>
      </c>
      <c r="V208">
        <v>1.217E-3</v>
      </c>
      <c r="W208" s="20">
        <v>0.94899999999999995</v>
      </c>
      <c r="X208">
        <v>-1</v>
      </c>
      <c r="Y208">
        <v>-1</v>
      </c>
      <c r="Z208">
        <v>26.37</v>
      </c>
      <c r="AA208">
        <v>1.607</v>
      </c>
      <c r="AB208">
        <v>8.8409999999999993</v>
      </c>
      <c r="AC208">
        <v>0.1221</v>
      </c>
      <c r="AH208">
        <v>5</v>
      </c>
      <c r="AI208" t="s">
        <v>79</v>
      </c>
    </row>
    <row r="209" spans="1:36">
      <c r="A209" s="17">
        <v>4</v>
      </c>
      <c r="B209" s="14">
        <v>79.293999999999997</v>
      </c>
      <c r="C209" s="27">
        <v>8.5239999999999991</v>
      </c>
      <c r="D209" s="14">
        <f>1/U209</f>
        <v>80.775444264943459</v>
      </c>
      <c r="E209" s="14">
        <f t="shared" si="20"/>
        <v>8.736536338510442</v>
      </c>
      <c r="F209">
        <v>4.5060000000000003E-2</v>
      </c>
      <c r="G209">
        <v>3.5950000000000001E-3</v>
      </c>
      <c r="H209" s="15">
        <v>80</v>
      </c>
      <c r="I209">
        <f t="shared" si="19"/>
        <v>8.5</v>
      </c>
      <c r="J209" s="15">
        <v>17</v>
      </c>
      <c r="K209" s="16">
        <v>4.4749999999999998E-2</v>
      </c>
      <c r="L209">
        <v>3.5079999999999998E-3</v>
      </c>
      <c r="M209">
        <v>0.49490000000000001</v>
      </c>
      <c r="N209">
        <v>5.1549999999999999E-2</v>
      </c>
      <c r="O209">
        <v>7.9659999999999995E-2</v>
      </c>
      <c r="P209">
        <v>2.369E-3</v>
      </c>
      <c r="Q209">
        <v>4.5060000000000003E-2</v>
      </c>
      <c r="R209">
        <v>3.5950000000000001E-3</v>
      </c>
      <c r="S209">
        <v>7.689E-2</v>
      </c>
      <c r="T209">
        <v>1.106E-2</v>
      </c>
      <c r="U209">
        <v>1.238E-2</v>
      </c>
      <c r="V209">
        <v>1.3389999999999999E-3</v>
      </c>
      <c r="W209" s="20">
        <v>0.83650000000000002</v>
      </c>
      <c r="X209">
        <v>-1</v>
      </c>
      <c r="Y209">
        <v>-1</v>
      </c>
      <c r="Z209">
        <v>18.71</v>
      </c>
      <c r="AA209">
        <v>0.67920000000000003</v>
      </c>
      <c r="AB209">
        <v>9.3070000000000004</v>
      </c>
      <c r="AC209">
        <v>7.0010000000000003E-2</v>
      </c>
      <c r="AH209">
        <v>5</v>
      </c>
      <c r="AI209" t="s">
        <v>80</v>
      </c>
    </row>
    <row r="210" spans="1:36">
      <c r="A210" s="17">
        <v>5</v>
      </c>
      <c r="B210" s="14">
        <v>94.318200000000004</v>
      </c>
      <c r="C210" s="27">
        <v>9.8550000000000004</v>
      </c>
      <c r="D210" s="14">
        <f>1/U210</f>
        <v>67.84260515603799</v>
      </c>
      <c r="E210" s="14">
        <f t="shared" si="20"/>
        <v>7.1386621843293705</v>
      </c>
      <c r="F210">
        <v>4.4150000000000002E-2</v>
      </c>
      <c r="G210">
        <v>2.836E-3</v>
      </c>
      <c r="H210" s="15">
        <v>95</v>
      </c>
      <c r="I210">
        <f t="shared" si="19"/>
        <v>10</v>
      </c>
      <c r="J210" s="15">
        <v>20</v>
      </c>
      <c r="K210" s="16">
        <v>4.4139999999999999E-2</v>
      </c>
      <c r="L210">
        <v>2.9949999999999998E-3</v>
      </c>
      <c r="M210">
        <v>0.60860000000000003</v>
      </c>
      <c r="N210">
        <v>4.0289999999999999E-2</v>
      </c>
      <c r="O210">
        <v>9.9989999999999996E-2</v>
      </c>
      <c r="P210">
        <v>1.769E-3</v>
      </c>
      <c r="Q210">
        <v>4.4150000000000002E-2</v>
      </c>
      <c r="R210">
        <v>2.836E-3</v>
      </c>
      <c r="S210">
        <v>8.9709999999999998E-2</v>
      </c>
      <c r="T210">
        <v>1.116E-2</v>
      </c>
      <c r="U210">
        <v>1.474E-2</v>
      </c>
      <c r="V210">
        <v>1.5510000000000001E-3</v>
      </c>
      <c r="W210" s="20">
        <v>0.85650000000000004</v>
      </c>
      <c r="X210">
        <v>-1</v>
      </c>
      <c r="Y210">
        <v>-1</v>
      </c>
      <c r="Z210">
        <v>15.22</v>
      </c>
      <c r="AA210">
        <v>0.31990000000000002</v>
      </c>
      <c r="AB210">
        <v>9.5589999999999993</v>
      </c>
      <c r="AC210">
        <v>0.10639999999999999</v>
      </c>
      <c r="AH210">
        <v>4</v>
      </c>
      <c r="AI210" t="s">
        <v>81</v>
      </c>
    </row>
    <row r="211" spans="1:36">
      <c r="A211" s="17">
        <v>6</v>
      </c>
      <c r="B211" s="21">
        <v>108.438</v>
      </c>
      <c r="C211" s="21">
        <v>15.85</v>
      </c>
      <c r="D211" s="14">
        <f t="shared" ref="D211:D225" si="21">1/U211</f>
        <v>58.962264150943398</v>
      </c>
      <c r="E211" s="14">
        <f t="shared" si="20"/>
        <v>8.6913714845140628</v>
      </c>
      <c r="F211" s="21">
        <v>5.0389999999999997E-2</v>
      </c>
      <c r="G211" s="21">
        <v>2.6059999999999998E-3</v>
      </c>
      <c r="H211" s="15">
        <v>108</v>
      </c>
      <c r="I211">
        <f t="shared" si="19"/>
        <v>15.5</v>
      </c>
      <c r="J211" s="15">
        <v>31</v>
      </c>
      <c r="K211" s="21">
        <v>5.042E-2</v>
      </c>
      <c r="L211" s="21">
        <v>2.7409999999999999E-3</v>
      </c>
      <c r="M211" s="21">
        <v>0.76380000000000003</v>
      </c>
      <c r="N211" s="21">
        <v>4.0390000000000002E-2</v>
      </c>
      <c r="O211" s="21">
        <v>0.1099</v>
      </c>
      <c r="P211" s="21">
        <v>2.134E-3</v>
      </c>
      <c r="Q211" s="21">
        <v>5.0389999999999997E-2</v>
      </c>
      <c r="R211" s="21">
        <v>2.6059999999999998E-3</v>
      </c>
      <c r="S211" s="21">
        <v>0.1179</v>
      </c>
      <c r="T211" s="21">
        <v>1.8460000000000001E-2</v>
      </c>
      <c r="U211" s="21">
        <v>1.6959999999999999E-2</v>
      </c>
      <c r="V211" s="21">
        <v>2.5000000000000001E-3</v>
      </c>
      <c r="W211" s="22">
        <v>0.94389999999999996</v>
      </c>
      <c r="X211" s="21">
        <v>-1</v>
      </c>
      <c r="Y211" s="21">
        <v>-1</v>
      </c>
      <c r="Z211" s="21">
        <v>12.79</v>
      </c>
      <c r="AA211" s="21">
        <v>0.32819999999999999</v>
      </c>
      <c r="AB211" s="21">
        <v>8.5060000000000002</v>
      </c>
      <c r="AC211" s="21">
        <v>6.9570000000000007E-2</v>
      </c>
      <c r="AD211" s="21">
        <v>18.86</v>
      </c>
      <c r="AE211" s="21">
        <v>15.62</v>
      </c>
      <c r="AF211" s="21">
        <v>38.340000000000003</v>
      </c>
      <c r="AG211" s="21" t="s">
        <v>75</v>
      </c>
      <c r="AH211" s="21">
        <v>5</v>
      </c>
      <c r="AI211" s="21" t="s">
        <v>18</v>
      </c>
      <c r="AJ211" s="21" t="s">
        <v>87</v>
      </c>
    </row>
    <row r="212" spans="1:36">
      <c r="A212" s="17">
        <v>7</v>
      </c>
      <c r="B212" s="23">
        <v>122.627</v>
      </c>
      <c r="C212" s="23">
        <v>19.239999999999998</v>
      </c>
      <c r="D212" s="14">
        <f t="shared" si="21"/>
        <v>52.083333333333336</v>
      </c>
      <c r="E212" s="14">
        <f t="shared" si="20"/>
        <v>8.251953125</v>
      </c>
      <c r="F212" s="23">
        <v>4.607E-2</v>
      </c>
      <c r="G212" s="23">
        <v>2.2829999999999999E-3</v>
      </c>
      <c r="H212" s="15">
        <v>123</v>
      </c>
      <c r="I212">
        <f t="shared" si="19"/>
        <v>19</v>
      </c>
      <c r="J212" s="15">
        <v>38</v>
      </c>
      <c r="K212" s="23">
        <v>4.6039999999999998E-2</v>
      </c>
      <c r="L212" s="23">
        <v>2.5890000000000002E-3</v>
      </c>
      <c r="M212" s="23">
        <v>0.73880000000000001</v>
      </c>
      <c r="N212" s="23">
        <v>4.0660000000000002E-2</v>
      </c>
      <c r="O212" s="23">
        <v>0.1163</v>
      </c>
      <c r="P212" s="23">
        <v>1.9840000000000001E-3</v>
      </c>
      <c r="Q212" s="23">
        <v>4.607E-2</v>
      </c>
      <c r="R212" s="23">
        <v>2.2829999999999999E-3</v>
      </c>
      <c r="S212" s="23">
        <v>0.122</v>
      </c>
      <c r="T212" s="23">
        <v>1.95E-2</v>
      </c>
      <c r="U212" s="23">
        <v>1.9199999999999998E-2</v>
      </c>
      <c r="V212" s="23">
        <v>3.042E-3</v>
      </c>
      <c r="W212" s="24">
        <v>0.95150000000000001</v>
      </c>
      <c r="X212" s="23">
        <v>-1</v>
      </c>
      <c r="Y212" s="23">
        <v>-1</v>
      </c>
      <c r="Z212" s="23">
        <v>11.79</v>
      </c>
      <c r="AA212" s="23">
        <v>0.15140000000000001</v>
      </c>
      <c r="AB212" s="23">
        <v>8.2940000000000005</v>
      </c>
      <c r="AC212" s="23">
        <v>0.1089</v>
      </c>
      <c r="AD212" s="23"/>
      <c r="AE212" s="23"/>
      <c r="AF212" s="23"/>
      <c r="AG212" s="23"/>
      <c r="AH212" s="23">
        <v>5</v>
      </c>
      <c r="AI212" s="23" t="s">
        <v>78</v>
      </c>
      <c r="AJ212" s="23"/>
    </row>
    <row r="213" spans="1:36">
      <c r="A213" s="17">
        <v>8</v>
      </c>
      <c r="B213" s="23">
        <v>130.15899999999999</v>
      </c>
      <c r="C213" s="23">
        <v>19.579999999999998</v>
      </c>
      <c r="D213" s="14">
        <f t="shared" si="21"/>
        <v>49.019607843137251</v>
      </c>
      <c r="E213" s="14">
        <f t="shared" si="20"/>
        <v>7.4490580545943859</v>
      </c>
      <c r="F213" s="23">
        <v>5.1339999999999997E-2</v>
      </c>
      <c r="G213" s="23">
        <v>4.2430000000000002E-3</v>
      </c>
      <c r="H213" s="15">
        <v>130</v>
      </c>
      <c r="I213">
        <f t="shared" si="19"/>
        <v>19.5</v>
      </c>
      <c r="J213" s="15">
        <v>39</v>
      </c>
      <c r="K213" s="23">
        <v>5.1200000000000002E-2</v>
      </c>
      <c r="L213" s="23">
        <v>4.2490000000000002E-3</v>
      </c>
      <c r="M213" s="23">
        <v>0.89359999999999995</v>
      </c>
      <c r="N213" s="23">
        <v>8.3909999999999998E-2</v>
      </c>
      <c r="O213" s="23">
        <v>0.12620000000000001</v>
      </c>
      <c r="P213" s="23">
        <v>2.6770000000000001E-3</v>
      </c>
      <c r="Q213" s="23">
        <v>5.1339999999999997E-2</v>
      </c>
      <c r="R213" s="23">
        <v>4.2430000000000002E-3</v>
      </c>
      <c r="S213" s="23">
        <v>0.1444</v>
      </c>
      <c r="T213" s="23">
        <v>2.4920000000000001E-2</v>
      </c>
      <c r="U213" s="23">
        <v>2.0400000000000001E-2</v>
      </c>
      <c r="V213" s="23">
        <v>3.0999999999999999E-3</v>
      </c>
      <c r="W213" s="24">
        <v>0.87790000000000001</v>
      </c>
      <c r="X213" s="23">
        <v>-1</v>
      </c>
      <c r="Y213" s="23">
        <v>-1</v>
      </c>
      <c r="Z213" s="23">
        <v>11.38</v>
      </c>
      <c r="AA213" s="23">
        <v>0.2298</v>
      </c>
      <c r="AB213" s="23">
        <v>8.3610000000000007</v>
      </c>
      <c r="AC213" s="23">
        <v>5.6779999999999997E-2</v>
      </c>
      <c r="AD213" s="23"/>
      <c r="AE213" s="23"/>
      <c r="AF213" s="23"/>
      <c r="AG213" s="23"/>
      <c r="AH213" s="23">
        <v>5</v>
      </c>
      <c r="AI213" s="23" t="s">
        <v>79</v>
      </c>
      <c r="AJ213" s="23"/>
    </row>
    <row r="214" spans="1:36">
      <c r="A214" s="17">
        <v>9</v>
      </c>
      <c r="B214" s="23">
        <v>126.815</v>
      </c>
      <c r="C214" s="23">
        <v>17.62</v>
      </c>
      <c r="D214" s="14">
        <f t="shared" si="21"/>
        <v>50.327126321087071</v>
      </c>
      <c r="E214" s="14">
        <f t="shared" si="20"/>
        <v>7.0589683470996318</v>
      </c>
      <c r="F214" s="23">
        <v>4.8320000000000002E-2</v>
      </c>
      <c r="G214" s="23">
        <v>2.5669999999999998E-3</v>
      </c>
      <c r="H214" s="15">
        <v>127</v>
      </c>
      <c r="I214">
        <f t="shared" si="19"/>
        <v>17.5</v>
      </c>
      <c r="J214" s="15">
        <v>35</v>
      </c>
      <c r="K214" s="23">
        <v>4.8379999999999999E-2</v>
      </c>
      <c r="L214" s="23">
        <v>2.6120000000000002E-3</v>
      </c>
      <c r="M214" s="23">
        <v>0.89459999999999995</v>
      </c>
      <c r="N214" s="23">
        <v>4.709E-2</v>
      </c>
      <c r="O214" s="23">
        <v>0.1343</v>
      </c>
      <c r="P214" s="23">
        <v>3.369E-3</v>
      </c>
      <c r="Q214" s="23">
        <v>4.8320000000000002E-2</v>
      </c>
      <c r="R214" s="23">
        <v>2.5669999999999998E-3</v>
      </c>
      <c r="S214" s="23">
        <v>0.13239999999999999</v>
      </c>
      <c r="T214" s="23">
        <v>1.9650000000000001E-2</v>
      </c>
      <c r="U214" s="23">
        <v>1.9869999999999999E-2</v>
      </c>
      <c r="V214" s="23">
        <v>2.787E-3</v>
      </c>
      <c r="W214" s="24">
        <v>0.93389999999999995</v>
      </c>
      <c r="X214" s="23">
        <v>-1</v>
      </c>
      <c r="Y214" s="23">
        <v>-1</v>
      </c>
      <c r="Z214" s="23">
        <v>10.53</v>
      </c>
      <c r="AA214" s="23">
        <v>0.18659999999999999</v>
      </c>
      <c r="AB214" s="23">
        <v>8.6460000000000008</v>
      </c>
      <c r="AC214" s="23">
        <v>7.8E-2</v>
      </c>
      <c r="AD214" s="23"/>
      <c r="AE214" s="23"/>
      <c r="AF214" s="23"/>
      <c r="AG214" s="23"/>
      <c r="AH214" s="23">
        <v>5</v>
      </c>
      <c r="AI214" s="23" t="s">
        <v>80</v>
      </c>
      <c r="AJ214" s="23"/>
    </row>
    <row r="215" spans="1:36">
      <c r="A215" s="17">
        <v>10</v>
      </c>
      <c r="B215" s="25">
        <v>129.11500000000001</v>
      </c>
      <c r="C215" s="25">
        <v>17.45</v>
      </c>
      <c r="D215" s="14">
        <f t="shared" si="21"/>
        <v>49.431537320810676</v>
      </c>
      <c r="E215" s="14">
        <f t="shared" si="20"/>
        <v>6.7488831478042055</v>
      </c>
      <c r="F215" s="25">
        <v>4.7739999999999998E-2</v>
      </c>
      <c r="G215" s="25">
        <v>4.6950000000000004E-3</v>
      </c>
      <c r="H215" s="15">
        <v>129</v>
      </c>
      <c r="I215">
        <f t="shared" si="19"/>
        <v>17.5</v>
      </c>
      <c r="J215" s="15">
        <v>35</v>
      </c>
      <c r="K215" s="25">
        <v>4.7899999999999998E-2</v>
      </c>
      <c r="L215" s="25">
        <v>4.6519999999999999E-3</v>
      </c>
      <c r="M215" s="25">
        <v>0.92720000000000002</v>
      </c>
      <c r="N215" s="25">
        <v>8.1199999999999994E-2</v>
      </c>
      <c r="O215" s="25">
        <v>0.1409</v>
      </c>
      <c r="P215" s="25">
        <v>2.4030000000000002E-3</v>
      </c>
      <c r="Q215" s="25">
        <v>4.7739999999999998E-2</v>
      </c>
      <c r="R215" s="25">
        <v>4.6950000000000004E-3</v>
      </c>
      <c r="S215" s="25">
        <v>0.13320000000000001</v>
      </c>
      <c r="T215" s="25">
        <v>2.196E-2</v>
      </c>
      <c r="U215" s="25">
        <v>2.0230000000000001E-2</v>
      </c>
      <c r="V215" s="25">
        <v>2.7620000000000001E-3</v>
      </c>
      <c r="W215" s="26">
        <v>0.80310000000000004</v>
      </c>
      <c r="X215" s="25">
        <v>-1</v>
      </c>
      <c r="Y215" s="25">
        <v>-1</v>
      </c>
      <c r="Z215" s="25">
        <v>9.8260000000000005</v>
      </c>
      <c r="AA215" s="25">
        <v>0.36459999999999998</v>
      </c>
      <c r="AB215" s="25">
        <v>8.7479999999999993</v>
      </c>
      <c r="AC215" s="25">
        <v>7.0430000000000006E-2</v>
      </c>
      <c r="AD215" s="25"/>
      <c r="AE215" s="25"/>
      <c r="AF215" s="25"/>
      <c r="AG215" s="25"/>
      <c r="AH215" s="25">
        <v>4</v>
      </c>
      <c r="AI215" s="25" t="s">
        <v>81</v>
      </c>
      <c r="AJ215" s="25"/>
    </row>
    <row r="216" spans="1:36">
      <c r="A216" s="17">
        <v>11</v>
      </c>
      <c r="B216">
        <v>142.39099999999999</v>
      </c>
      <c r="C216">
        <v>29.65</v>
      </c>
      <c r="D216" s="14">
        <f t="shared" si="21"/>
        <v>44.782803403493062</v>
      </c>
      <c r="E216" s="14">
        <f t="shared" si="20"/>
        <v>9.4318640576188031</v>
      </c>
      <c r="F216">
        <v>4.7169999999999997E-2</v>
      </c>
      <c r="G216">
        <v>2.1619999999999999E-3</v>
      </c>
      <c r="H216" s="15">
        <v>143</v>
      </c>
      <c r="I216">
        <f t="shared" si="19"/>
        <v>29.5</v>
      </c>
      <c r="J216" s="15">
        <v>59</v>
      </c>
      <c r="K216">
        <v>4.6940000000000003E-2</v>
      </c>
      <c r="L216">
        <v>2.562E-3</v>
      </c>
      <c r="M216">
        <v>0.93720000000000003</v>
      </c>
      <c r="N216">
        <v>7.0639999999999994E-2</v>
      </c>
      <c r="O216">
        <v>0.14410000000000001</v>
      </c>
      <c r="P216">
        <v>5.0889999999999998E-3</v>
      </c>
      <c r="Q216">
        <v>4.7169999999999997E-2</v>
      </c>
      <c r="R216">
        <v>2.1619999999999999E-3</v>
      </c>
      <c r="S216">
        <v>0.14530000000000001</v>
      </c>
      <c r="T216">
        <v>3.1539999999999999E-2</v>
      </c>
      <c r="U216">
        <v>2.2329999999999999E-2</v>
      </c>
      <c r="V216">
        <v>4.7029999999999997E-3</v>
      </c>
      <c r="W216" s="20">
        <v>0.97750000000000004</v>
      </c>
      <c r="X216">
        <v>-1</v>
      </c>
      <c r="Y216">
        <v>-1</v>
      </c>
      <c r="Z216">
        <v>9.1</v>
      </c>
      <c r="AA216">
        <v>0.1208</v>
      </c>
      <c r="AB216">
        <v>8.3049999999999997</v>
      </c>
      <c r="AC216">
        <v>0.1144</v>
      </c>
      <c r="AD216">
        <v>18.86</v>
      </c>
      <c r="AE216">
        <v>15.62</v>
      </c>
      <c r="AF216">
        <v>38.340000000000003</v>
      </c>
      <c r="AG216" t="s">
        <v>75</v>
      </c>
      <c r="AH216">
        <v>5</v>
      </c>
      <c r="AI216" t="s">
        <v>18</v>
      </c>
      <c r="AJ216" t="s">
        <v>83</v>
      </c>
    </row>
    <row r="217" spans="1:36">
      <c r="A217" s="17">
        <v>12</v>
      </c>
      <c r="B217">
        <v>137.768</v>
      </c>
      <c r="C217">
        <v>27.81</v>
      </c>
      <c r="D217" s="14">
        <f t="shared" si="21"/>
        <v>46.296296296296291</v>
      </c>
      <c r="E217" s="14">
        <f t="shared" si="20"/>
        <v>9.445730452674896</v>
      </c>
      <c r="F217">
        <v>4.9090000000000002E-2</v>
      </c>
      <c r="G217">
        <v>4.2579999999999996E-3</v>
      </c>
      <c r="H217" s="15">
        <v>138</v>
      </c>
      <c r="I217">
        <f t="shared" si="19"/>
        <v>27.5</v>
      </c>
      <c r="J217" s="15">
        <v>55</v>
      </c>
      <c r="K217">
        <v>4.9189999999999998E-2</v>
      </c>
      <c r="L217">
        <v>4.2810000000000001E-3</v>
      </c>
      <c r="M217">
        <v>0.98170000000000002</v>
      </c>
      <c r="N217">
        <v>7.8890000000000002E-2</v>
      </c>
      <c r="O217">
        <v>0.14510000000000001</v>
      </c>
      <c r="P217">
        <v>2.2369999999999998E-3</v>
      </c>
      <c r="Q217">
        <v>4.9090000000000002E-2</v>
      </c>
      <c r="R217">
        <v>4.2579999999999996E-3</v>
      </c>
      <c r="S217">
        <v>0.1462</v>
      </c>
      <c r="T217">
        <v>3.1019999999999999E-2</v>
      </c>
      <c r="U217">
        <v>2.1600000000000001E-2</v>
      </c>
      <c r="V217">
        <v>4.4070000000000003E-3</v>
      </c>
      <c r="W217" s="20">
        <v>0.91390000000000005</v>
      </c>
      <c r="X217">
        <v>-1</v>
      </c>
      <c r="Y217">
        <v>-1</v>
      </c>
      <c r="Z217">
        <v>8.6069999999999993</v>
      </c>
      <c r="AA217">
        <v>0.10539999999999999</v>
      </c>
      <c r="AB217">
        <v>8.4369999999999994</v>
      </c>
      <c r="AC217">
        <v>6.2300000000000001E-2</v>
      </c>
      <c r="AH217">
        <v>5</v>
      </c>
      <c r="AI217" t="s">
        <v>78</v>
      </c>
    </row>
    <row r="218" spans="1:36">
      <c r="A218" s="17">
        <v>13</v>
      </c>
      <c r="B218">
        <v>142.321</v>
      </c>
      <c r="C218">
        <v>28.07</v>
      </c>
      <c r="D218" s="14">
        <f t="shared" si="21"/>
        <v>44.802867383512549</v>
      </c>
      <c r="E218" s="14">
        <f t="shared" si="20"/>
        <v>8.9364859135930939</v>
      </c>
      <c r="F218">
        <v>5.1560000000000002E-2</v>
      </c>
      <c r="G218">
        <v>2.99E-3</v>
      </c>
      <c r="H218" s="15">
        <v>142</v>
      </c>
      <c r="I218">
        <f t="shared" si="19"/>
        <v>28</v>
      </c>
      <c r="J218" s="15">
        <v>56</v>
      </c>
      <c r="K218">
        <v>5.1670000000000001E-2</v>
      </c>
      <c r="L218">
        <v>2.908E-3</v>
      </c>
      <c r="M218">
        <v>1.091</v>
      </c>
      <c r="N218">
        <v>5.6349999999999997E-2</v>
      </c>
      <c r="O218">
        <v>0.1535</v>
      </c>
      <c r="P218">
        <v>2.9199999999999999E-3</v>
      </c>
      <c r="Q218">
        <v>5.1560000000000002E-2</v>
      </c>
      <c r="R218">
        <v>2.99E-3</v>
      </c>
      <c r="S218">
        <v>0.15870000000000001</v>
      </c>
      <c r="T218">
        <v>3.1809999999999998E-2</v>
      </c>
      <c r="U218">
        <v>2.232E-2</v>
      </c>
      <c r="V218">
        <v>4.4520000000000002E-3</v>
      </c>
      <c r="W218" s="20">
        <v>0.95789999999999997</v>
      </c>
      <c r="X218">
        <v>-1</v>
      </c>
      <c r="Y218">
        <v>-1</v>
      </c>
      <c r="Z218">
        <v>8.1150000000000002</v>
      </c>
      <c r="AA218">
        <v>0.1278</v>
      </c>
      <c r="AB218">
        <v>8.5169999999999995</v>
      </c>
      <c r="AC218">
        <v>7.0519999999999999E-2</v>
      </c>
      <c r="AH218">
        <v>5</v>
      </c>
      <c r="AI218" t="s">
        <v>79</v>
      </c>
    </row>
    <row r="219" spans="1:36">
      <c r="A219" s="17">
        <v>14</v>
      </c>
      <c r="B219">
        <v>133.334</v>
      </c>
      <c r="C219">
        <v>24.59</v>
      </c>
      <c r="D219" s="14">
        <f t="shared" si="21"/>
        <v>47.846889952153113</v>
      </c>
      <c r="E219" s="14">
        <f t="shared" si="20"/>
        <v>8.9146310752958957</v>
      </c>
      <c r="F219">
        <v>5.3150000000000003E-2</v>
      </c>
      <c r="G219">
        <v>4.8719999999999996E-3</v>
      </c>
      <c r="H219" s="15">
        <v>133</v>
      </c>
      <c r="I219">
        <f t="shared" si="19"/>
        <v>24.5</v>
      </c>
      <c r="J219" s="15">
        <v>49</v>
      </c>
      <c r="K219">
        <v>5.3449999999999998E-2</v>
      </c>
      <c r="L219">
        <v>4.9090000000000002E-3</v>
      </c>
      <c r="M219">
        <v>1.1200000000000001</v>
      </c>
      <c r="N219">
        <v>8.7419999999999998E-2</v>
      </c>
      <c r="O219">
        <v>0.15279999999999999</v>
      </c>
      <c r="P219">
        <v>3.3860000000000001E-3</v>
      </c>
      <c r="Q219">
        <v>5.3150000000000003E-2</v>
      </c>
      <c r="R219">
        <v>4.8719999999999996E-3</v>
      </c>
      <c r="S219">
        <v>0.1532</v>
      </c>
      <c r="T219">
        <v>3.1220000000000001E-2</v>
      </c>
      <c r="U219">
        <v>2.0899999999999998E-2</v>
      </c>
      <c r="V219">
        <v>3.8939999999999999E-3</v>
      </c>
      <c r="W219" s="20">
        <v>0.89339999999999997</v>
      </c>
      <c r="X219">
        <v>-1</v>
      </c>
      <c r="Y219">
        <v>-1</v>
      </c>
      <c r="Z219">
        <v>7.8029999999999999</v>
      </c>
      <c r="AA219">
        <v>9.2740000000000003E-2</v>
      </c>
      <c r="AB219">
        <v>8.734</v>
      </c>
      <c r="AC219">
        <v>9.1859999999999997E-2</v>
      </c>
      <c r="AH219">
        <v>5</v>
      </c>
      <c r="AI219" t="s">
        <v>80</v>
      </c>
    </row>
    <row r="220" spans="1:36">
      <c r="A220" s="17">
        <v>15</v>
      </c>
      <c r="B220">
        <v>136.83099999999999</v>
      </c>
      <c r="C220">
        <v>25.4</v>
      </c>
      <c r="D220" s="14">
        <f t="shared" si="21"/>
        <v>46.620046620046622</v>
      </c>
      <c r="E220" s="14">
        <f t="shared" si="20"/>
        <v>8.7480507060926644</v>
      </c>
      <c r="F220">
        <v>5.1159999999999997E-2</v>
      </c>
      <c r="G220">
        <v>3.1110000000000001E-3</v>
      </c>
      <c r="H220" s="15">
        <v>136</v>
      </c>
      <c r="I220">
        <f t="shared" si="19"/>
        <v>25</v>
      </c>
      <c r="J220" s="15">
        <v>50</v>
      </c>
      <c r="K220">
        <v>5.1209999999999999E-2</v>
      </c>
      <c r="L220">
        <v>3.042E-3</v>
      </c>
      <c r="M220">
        <v>1.109</v>
      </c>
      <c r="N220">
        <v>6.4210000000000003E-2</v>
      </c>
      <c r="O220">
        <v>0.15720000000000001</v>
      </c>
      <c r="P220">
        <v>2.7130000000000001E-3</v>
      </c>
      <c r="Q220">
        <v>5.1159999999999997E-2</v>
      </c>
      <c r="R220">
        <v>3.1110000000000001E-3</v>
      </c>
      <c r="S220">
        <v>0.15129999999999999</v>
      </c>
      <c r="T220">
        <v>0.03</v>
      </c>
      <c r="U220">
        <v>2.145E-2</v>
      </c>
      <c r="V220">
        <v>4.0249999999999999E-3</v>
      </c>
      <c r="W220" s="20">
        <v>0.95179999999999998</v>
      </c>
      <c r="X220">
        <v>-1</v>
      </c>
      <c r="Y220">
        <v>-1</v>
      </c>
      <c r="Z220">
        <v>8.01</v>
      </c>
      <c r="AA220">
        <v>0.1076</v>
      </c>
      <c r="AB220">
        <v>8.7430000000000003</v>
      </c>
      <c r="AC220">
        <v>7.4399999999999994E-2</v>
      </c>
      <c r="AH220">
        <v>4</v>
      </c>
      <c r="AI220" t="s">
        <v>81</v>
      </c>
    </row>
    <row r="221" spans="1:36">
      <c r="A221" s="17">
        <v>16</v>
      </c>
      <c r="B221">
        <v>158.643</v>
      </c>
      <c r="C221">
        <v>18.39</v>
      </c>
      <c r="D221" s="14">
        <f t="shared" si="21"/>
        <v>40.144520272982739</v>
      </c>
      <c r="E221" s="14">
        <f t="shared" si="20"/>
        <v>4.710655670731775</v>
      </c>
      <c r="F221">
        <v>5.2859999999999997E-2</v>
      </c>
      <c r="G221">
        <v>2.245E-3</v>
      </c>
      <c r="H221" s="15">
        <v>158</v>
      </c>
      <c r="I221">
        <f t="shared" si="19"/>
        <v>18</v>
      </c>
      <c r="J221" s="15">
        <v>36</v>
      </c>
      <c r="K221">
        <v>5.2839999999999998E-2</v>
      </c>
      <c r="L221">
        <v>2.614E-3</v>
      </c>
      <c r="M221">
        <v>1.095</v>
      </c>
      <c r="N221">
        <v>5.2729999999999999E-2</v>
      </c>
      <c r="O221">
        <v>0.1502</v>
      </c>
      <c r="P221">
        <v>2.6329999999999999E-3</v>
      </c>
      <c r="Q221">
        <v>5.2859999999999997E-2</v>
      </c>
      <c r="R221">
        <v>2.245E-3</v>
      </c>
      <c r="S221">
        <v>0.18160000000000001</v>
      </c>
      <c r="T221">
        <v>2.266E-2</v>
      </c>
      <c r="U221">
        <v>2.4910000000000002E-2</v>
      </c>
      <c r="V221">
        <v>2.9229999999999998E-3</v>
      </c>
      <c r="W221" s="20">
        <v>0.94030000000000002</v>
      </c>
      <c r="X221">
        <v>-1</v>
      </c>
      <c r="Y221">
        <v>-1</v>
      </c>
      <c r="Z221">
        <v>8.6460000000000008</v>
      </c>
      <c r="AA221">
        <v>0.21729999999999999</v>
      </c>
      <c r="AB221">
        <v>8.2520000000000007</v>
      </c>
      <c r="AC221">
        <v>5.824E-2</v>
      </c>
      <c r="AD221">
        <v>18.86</v>
      </c>
      <c r="AE221">
        <v>15.62</v>
      </c>
      <c r="AF221">
        <v>38.340000000000003</v>
      </c>
      <c r="AG221" t="s">
        <v>75</v>
      </c>
      <c r="AH221">
        <v>5</v>
      </c>
      <c r="AI221" t="s">
        <v>18</v>
      </c>
      <c r="AJ221" t="s">
        <v>84</v>
      </c>
    </row>
    <row r="222" spans="1:36">
      <c r="A222" s="17">
        <v>17</v>
      </c>
      <c r="B222">
        <v>159.00399999999999</v>
      </c>
      <c r="C222">
        <v>18.75</v>
      </c>
      <c r="D222" s="14">
        <f t="shared" si="21"/>
        <v>40.048057669203047</v>
      </c>
      <c r="E222" s="14">
        <f t="shared" si="20"/>
        <v>4.7810676776889984</v>
      </c>
      <c r="F222">
        <v>4.4940000000000001E-2</v>
      </c>
      <c r="G222">
        <v>2.6679999999999998E-3</v>
      </c>
      <c r="H222" s="15">
        <v>160</v>
      </c>
      <c r="I222">
        <f t="shared" si="19"/>
        <v>19</v>
      </c>
      <c r="J222" s="15">
        <v>38</v>
      </c>
      <c r="K222">
        <v>4.5109999999999997E-2</v>
      </c>
      <c r="L222">
        <v>2.264E-3</v>
      </c>
      <c r="M222">
        <v>0.92600000000000005</v>
      </c>
      <c r="N222">
        <v>4.5429999999999998E-2</v>
      </c>
      <c r="O222">
        <v>0.14949999999999999</v>
      </c>
      <c r="P222">
        <v>4.437E-3</v>
      </c>
      <c r="Q222">
        <v>4.4940000000000001E-2</v>
      </c>
      <c r="R222">
        <v>2.6679999999999998E-3</v>
      </c>
      <c r="S222">
        <v>0.1547</v>
      </c>
      <c r="T222">
        <v>1.9720000000000001E-2</v>
      </c>
      <c r="U222">
        <v>2.4969999999999999E-2</v>
      </c>
      <c r="V222">
        <v>2.9810000000000001E-3</v>
      </c>
      <c r="W222" s="20">
        <v>0.88629999999999998</v>
      </c>
      <c r="X222">
        <v>-1</v>
      </c>
      <c r="Y222">
        <v>-1</v>
      </c>
      <c r="Z222">
        <v>9.5690000000000008</v>
      </c>
      <c r="AA222">
        <v>0.35699999999999998</v>
      </c>
      <c r="AB222">
        <v>8.2050000000000001</v>
      </c>
      <c r="AC222">
        <v>5.4350000000000002E-2</v>
      </c>
      <c r="AH222">
        <v>5</v>
      </c>
      <c r="AI222" t="s">
        <v>78</v>
      </c>
    </row>
    <row r="223" spans="1:36">
      <c r="A223" s="17">
        <v>18</v>
      </c>
      <c r="B223">
        <v>159.21299999999999</v>
      </c>
      <c r="C223">
        <v>19.149999999999999</v>
      </c>
      <c r="D223" s="14">
        <f t="shared" si="21"/>
        <v>39.984006397441021</v>
      </c>
      <c r="E223" s="14">
        <f t="shared" si="20"/>
        <v>4.8681047373133906</v>
      </c>
      <c r="F223">
        <v>4.6829999999999997E-2</v>
      </c>
      <c r="G223">
        <v>1.8029999999999999E-3</v>
      </c>
      <c r="H223" s="15">
        <v>160</v>
      </c>
      <c r="I223">
        <f t="shared" si="19"/>
        <v>19</v>
      </c>
      <c r="J223" s="15">
        <v>38</v>
      </c>
      <c r="K223">
        <v>4.6809999999999997E-2</v>
      </c>
      <c r="L223">
        <v>2.1949999999999999E-3</v>
      </c>
      <c r="M223">
        <v>0.93920000000000003</v>
      </c>
      <c r="N223">
        <v>4.2999999999999997E-2</v>
      </c>
      <c r="O223">
        <v>0.14549999999999999</v>
      </c>
      <c r="P223">
        <v>2.6689999999999999E-3</v>
      </c>
      <c r="Q223">
        <v>4.6829999999999997E-2</v>
      </c>
      <c r="R223">
        <v>1.8029999999999999E-3</v>
      </c>
      <c r="S223">
        <v>0.1615</v>
      </c>
      <c r="T223">
        <v>2.1049999999999999E-2</v>
      </c>
      <c r="U223">
        <v>2.5010000000000001E-2</v>
      </c>
      <c r="V223">
        <v>3.045E-3</v>
      </c>
      <c r="W223" s="20">
        <v>0.9556</v>
      </c>
      <c r="X223">
        <v>-1</v>
      </c>
      <c r="Y223">
        <v>-1</v>
      </c>
      <c r="Z223">
        <v>10.65</v>
      </c>
      <c r="AA223">
        <v>0.12670000000000001</v>
      </c>
      <c r="AB223">
        <v>8.02</v>
      </c>
      <c r="AC223">
        <v>0.11</v>
      </c>
      <c r="AH223">
        <v>5</v>
      </c>
      <c r="AI223" t="s">
        <v>79</v>
      </c>
    </row>
    <row r="224" spans="1:36">
      <c r="A224" s="17">
        <v>19</v>
      </c>
      <c r="B224">
        <v>166.40600000000001</v>
      </c>
      <c r="C224">
        <v>20.04</v>
      </c>
      <c r="D224" s="14">
        <f t="shared" si="21"/>
        <v>38.24091778202677</v>
      </c>
      <c r="E224" s="14">
        <f t="shared" si="20"/>
        <v>4.6649532590694225</v>
      </c>
      <c r="F224">
        <v>4.6120000000000001E-2</v>
      </c>
      <c r="G224">
        <v>2.8579999999999999E-3</v>
      </c>
      <c r="H224" s="15">
        <v>167</v>
      </c>
      <c r="I224">
        <f t="shared" si="19"/>
        <v>20</v>
      </c>
      <c r="J224" s="15">
        <v>40</v>
      </c>
      <c r="K224">
        <v>4.6379999999999998E-2</v>
      </c>
      <c r="L224">
        <v>2.1320000000000002E-3</v>
      </c>
      <c r="M224">
        <v>0.96050000000000002</v>
      </c>
      <c r="N224">
        <v>4.3139999999999998E-2</v>
      </c>
      <c r="O224">
        <v>0.151</v>
      </c>
      <c r="P224">
        <v>5.1060000000000003E-3</v>
      </c>
      <c r="Q224">
        <v>4.6120000000000001E-2</v>
      </c>
      <c r="R224">
        <v>2.8579999999999999E-3</v>
      </c>
      <c r="S224">
        <v>0.1663</v>
      </c>
      <c r="T224">
        <v>2.2370000000000001E-2</v>
      </c>
      <c r="U224">
        <v>2.615E-2</v>
      </c>
      <c r="V224">
        <v>3.1900000000000001E-3</v>
      </c>
      <c r="W224" s="20">
        <v>0.88780000000000003</v>
      </c>
      <c r="X224">
        <v>-1</v>
      </c>
      <c r="Y224">
        <v>-1</v>
      </c>
      <c r="Z224">
        <v>10.57</v>
      </c>
      <c r="AA224">
        <v>0.19819999999999999</v>
      </c>
      <c r="AB224">
        <v>7.9740000000000002</v>
      </c>
      <c r="AC224">
        <v>0.19159999999999999</v>
      </c>
      <c r="AH224">
        <v>5</v>
      </c>
      <c r="AI224" t="s">
        <v>80</v>
      </c>
    </row>
    <row r="225" spans="1:35">
      <c r="A225" s="17">
        <v>20</v>
      </c>
      <c r="B225">
        <v>166.59200000000001</v>
      </c>
      <c r="C225">
        <v>20.11</v>
      </c>
      <c r="D225" s="14">
        <f t="shared" si="21"/>
        <v>38.197097020626437</v>
      </c>
      <c r="E225" s="14">
        <f t="shared" si="20"/>
        <v>4.6703173247908794</v>
      </c>
      <c r="F225">
        <v>5.246E-2</v>
      </c>
      <c r="G225">
        <v>2.764E-3</v>
      </c>
      <c r="H225" s="15">
        <v>166</v>
      </c>
      <c r="I225">
        <f t="shared" si="19"/>
        <v>20</v>
      </c>
      <c r="J225" s="15">
        <v>40</v>
      </c>
      <c r="K225">
        <v>5.2519999999999997E-2</v>
      </c>
      <c r="L225">
        <v>2.4650000000000002E-3</v>
      </c>
      <c r="M225">
        <v>1.0880000000000001</v>
      </c>
      <c r="N225">
        <v>4.9730000000000003E-2</v>
      </c>
      <c r="O225">
        <v>0.15040000000000001</v>
      </c>
      <c r="P225">
        <v>2.0739999999999999E-3</v>
      </c>
      <c r="Q225">
        <v>5.246E-2</v>
      </c>
      <c r="R225">
        <v>2.764E-3</v>
      </c>
      <c r="S225">
        <v>0.1893</v>
      </c>
      <c r="T225">
        <v>2.494E-2</v>
      </c>
      <c r="U225">
        <v>2.6179999999999998E-2</v>
      </c>
      <c r="V225">
        <v>3.2009999999999999E-3</v>
      </c>
      <c r="W225" s="20">
        <v>0.91659999999999997</v>
      </c>
      <c r="X225">
        <v>-1</v>
      </c>
      <c r="Y225">
        <v>-1</v>
      </c>
      <c r="Z225">
        <v>11.52</v>
      </c>
      <c r="AA225">
        <v>0.20069999999999999</v>
      </c>
      <c r="AB225">
        <v>7.9409999999999998</v>
      </c>
      <c r="AC225">
        <v>8.269E-2</v>
      </c>
      <c r="AH225">
        <v>4</v>
      </c>
      <c r="AI225" t="s">
        <v>81</v>
      </c>
    </row>
  </sheetData>
  <phoneticPr fontId="8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48"/>
  <sheetViews>
    <sheetView topLeftCell="G2" workbookViewId="0">
      <selection activeCell="AE46" sqref="AE46"/>
    </sheetView>
  </sheetViews>
  <sheetFormatPr baseColWidth="10" defaultColWidth="7.5703125" defaultRowHeight="13"/>
  <sheetData>
    <row r="1" spans="1:19" ht="12">
      <c r="R1" t="s">
        <v>47</v>
      </c>
      <c r="S1" t="s">
        <v>47</v>
      </c>
    </row>
    <row r="2" spans="1:19" ht="12">
      <c r="A2" s="1" t="s">
        <v>19</v>
      </c>
      <c r="R2" t="s">
        <v>53</v>
      </c>
      <c r="S2" t="s">
        <v>53</v>
      </c>
    </row>
    <row r="3" spans="1:19" ht="12">
      <c r="B3" t="s">
        <v>20</v>
      </c>
      <c r="C3" t="s">
        <v>21</v>
      </c>
      <c r="E3" t="s">
        <v>22</v>
      </c>
      <c r="G3" t="s">
        <v>23</v>
      </c>
      <c r="L3" t="s">
        <v>24</v>
      </c>
      <c r="N3" t="s">
        <v>65</v>
      </c>
      <c r="P3" t="s">
        <v>25</v>
      </c>
      <c r="R3" t="s">
        <v>61</v>
      </c>
      <c r="S3" t="s">
        <v>61</v>
      </c>
    </row>
    <row r="4" spans="1:19" ht="12">
      <c r="A4" t="s">
        <v>26</v>
      </c>
      <c r="B4" t="s">
        <v>27</v>
      </c>
      <c r="C4" t="s">
        <v>28</v>
      </c>
      <c r="G4" t="s">
        <v>29</v>
      </c>
      <c r="L4" t="s">
        <v>29</v>
      </c>
      <c r="N4" t="s">
        <v>29</v>
      </c>
      <c r="P4" t="s">
        <v>29</v>
      </c>
    </row>
    <row r="5" spans="1:19" ht="12">
      <c r="A5">
        <v>1</v>
      </c>
      <c r="B5">
        <v>2.1934944798091456</v>
      </c>
      <c r="C5">
        <f>(-1/((LOG(B5)-6.01)/5080))-272.15</f>
        <v>623.97318960088739</v>
      </c>
      <c r="D5" t="e">
        <v>#DIV/0!</v>
      </c>
      <c r="E5">
        <v>18285.49512164704</v>
      </c>
      <c r="F5" t="e">
        <v>#DIV/0!</v>
      </c>
      <c r="G5">
        <v>17910.31979409308</v>
      </c>
      <c r="H5" t="e">
        <v>#DIV/0!</v>
      </c>
      <c r="L5">
        <v>787.41085868659684</v>
      </c>
      <c r="N5">
        <v>401.4014111376564</v>
      </c>
      <c r="O5" t="e">
        <v>#DIV/0!</v>
      </c>
      <c r="P5">
        <v>4.9957192184546271</v>
      </c>
      <c r="R5">
        <v>2.1673399999999998</v>
      </c>
      <c r="S5">
        <v>0.46060000000000001</v>
      </c>
    </row>
    <row r="6" spans="1:19" ht="12">
      <c r="A6">
        <v>2</v>
      </c>
      <c r="B6">
        <v>2.0100629824753535</v>
      </c>
      <c r="C6">
        <f t="shared" ref="C6:C48" si="0">(-1/((LOG(B6)-6.01)/5080))-272.15</f>
        <v>618.01762529546363</v>
      </c>
      <c r="D6" t="e">
        <v>#DIV/0!</v>
      </c>
      <c r="E6">
        <v>18819.617997406367</v>
      </c>
      <c r="F6" t="e">
        <v>#DIV/0!</v>
      </c>
      <c r="G6">
        <v>17013.091548724293</v>
      </c>
      <c r="H6" t="e">
        <v>#DIV/0!</v>
      </c>
      <c r="L6">
        <v>621.28960910916362</v>
      </c>
      <c r="N6">
        <v>292.29217494345801</v>
      </c>
      <c r="O6" t="e">
        <v>#DIV/0!</v>
      </c>
      <c r="P6">
        <v>3.9329366021480916</v>
      </c>
      <c r="R6">
        <v>2.6158999999999999</v>
      </c>
      <c r="S6">
        <v>0.40870000000000001</v>
      </c>
    </row>
    <row r="7" spans="1:19" ht="12">
      <c r="A7">
        <v>3</v>
      </c>
      <c r="B7">
        <v>2.2902254526491124</v>
      </c>
      <c r="C7">
        <f t="shared" si="0"/>
        <v>626.94566785051666</v>
      </c>
      <c r="D7" t="e">
        <v>#DIV/0!</v>
      </c>
      <c r="E7">
        <v>18799.818544363552</v>
      </c>
      <c r="F7" t="e">
        <v>#DIV/0!</v>
      </c>
      <c r="G7">
        <v>17041.869040532267</v>
      </c>
      <c r="H7" t="e">
        <v>#DIV/0!</v>
      </c>
      <c r="L7">
        <v>503.63843924525031</v>
      </c>
      <c r="N7">
        <v>348.22497684126597</v>
      </c>
      <c r="O7" t="e">
        <v>#DIV/0!</v>
      </c>
      <c r="P7">
        <v>3.5398506336433964</v>
      </c>
      <c r="R7">
        <v>2.5628799999999998</v>
      </c>
      <c r="S7">
        <v>0.71209999999999996</v>
      </c>
    </row>
    <row r="8" spans="1:19" ht="12">
      <c r="A8">
        <v>4</v>
      </c>
      <c r="B8">
        <v>3.3146262698788727</v>
      </c>
      <c r="C8">
        <f t="shared" si="0"/>
        <v>653.24201197924071</v>
      </c>
      <c r="D8" t="e">
        <v>#DIV/0!</v>
      </c>
      <c r="E8">
        <v>18935.795755346026</v>
      </c>
      <c r="F8" t="e">
        <v>#DIV/0!</v>
      </c>
      <c r="G8">
        <v>18649.826416876505</v>
      </c>
      <c r="H8" t="e">
        <v>#DIV/0!</v>
      </c>
      <c r="L8">
        <v>504.44556892058256</v>
      </c>
      <c r="N8">
        <v>574.06621583953734</v>
      </c>
      <c r="O8" t="e">
        <v>#DIV/0!</v>
      </c>
      <c r="P8">
        <v>12.844030764223501</v>
      </c>
      <c r="R8">
        <v>8.5108800000000002</v>
      </c>
      <c r="S8">
        <v>2.3919999999999999</v>
      </c>
    </row>
    <row r="9" spans="1:19" ht="12">
      <c r="A9">
        <v>5</v>
      </c>
      <c r="B9">
        <v>4.0117257821433734</v>
      </c>
      <c r="C9">
        <f t="shared" si="0"/>
        <v>667.43040062848797</v>
      </c>
      <c r="D9" t="e">
        <v>#DIV/0!</v>
      </c>
      <c r="E9">
        <v>17395.37484026693</v>
      </c>
      <c r="F9" t="e">
        <v>#DIV/0!</v>
      </c>
      <c r="G9">
        <v>16566.080867260425</v>
      </c>
      <c r="H9" t="e">
        <v>#DIV/0!</v>
      </c>
      <c r="L9">
        <v>562.43140912998126</v>
      </c>
      <c r="N9">
        <v>620.18336996037272</v>
      </c>
      <c r="O9" t="e">
        <v>#DIV/0!</v>
      </c>
      <c r="P9">
        <v>34.662611499829886</v>
      </c>
      <c r="R9">
        <v>16.544</v>
      </c>
      <c r="S9">
        <v>2.0089999999999999</v>
      </c>
    </row>
    <row r="10" spans="1:19" ht="12">
      <c r="A10">
        <v>6</v>
      </c>
      <c r="B10">
        <v>3.8027088244811167</v>
      </c>
      <c r="C10">
        <f t="shared" si="0"/>
        <v>663.40931397036798</v>
      </c>
      <c r="D10" t="e">
        <v>#DIV/0!</v>
      </c>
      <c r="E10">
        <v>16022.988505747126</v>
      </c>
      <c r="F10" t="e">
        <v>#DIV/0!</v>
      </c>
      <c r="G10">
        <v>15044.02926355616</v>
      </c>
      <c r="H10" t="e">
        <v>#DIV/0!</v>
      </c>
      <c r="L10">
        <v>620.18991635068892</v>
      </c>
      <c r="N10">
        <v>509.65603563155685</v>
      </c>
      <c r="O10" t="e">
        <v>#DIV/0!</v>
      </c>
      <c r="P10">
        <v>43.61128402950574</v>
      </c>
      <c r="R10">
        <v>27.0868</v>
      </c>
      <c r="S10">
        <v>1.859</v>
      </c>
    </row>
    <row r="11" spans="1:19" ht="12">
      <c r="A11">
        <v>7</v>
      </c>
      <c r="B11">
        <v>3.3786805489576817</v>
      </c>
      <c r="C11">
        <f t="shared" si="0"/>
        <v>654.64541009179891</v>
      </c>
      <c r="D11" t="e">
        <v>#DIV/0!</v>
      </c>
      <c r="E11">
        <v>15715.430562212361</v>
      </c>
      <c r="F11" t="e">
        <v>#DIV/0!</v>
      </c>
      <c r="G11">
        <v>14814.080791035534</v>
      </c>
      <c r="H11" t="e">
        <v>#DIV/0!</v>
      </c>
      <c r="L11">
        <v>655.32916391618619</v>
      </c>
      <c r="N11">
        <v>472.79586241863973</v>
      </c>
      <c r="O11" t="e">
        <v>#DIV/0!</v>
      </c>
      <c r="P11">
        <v>38.901681663653306</v>
      </c>
      <c r="R11">
        <v>35.1965</v>
      </c>
      <c r="S11">
        <v>2.6869999999999998</v>
      </c>
    </row>
    <row r="12" spans="1:19" ht="12">
      <c r="A12">
        <v>8</v>
      </c>
      <c r="B12">
        <v>3.3610956072351423</v>
      </c>
      <c r="C12">
        <f t="shared" si="0"/>
        <v>654.2623779101541</v>
      </c>
      <c r="D12" t="e">
        <v>#DIV/0!</v>
      </c>
      <c r="E12">
        <v>15947.481038201933</v>
      </c>
      <c r="F12" t="e">
        <v>#DIV/0!</v>
      </c>
      <c r="G12">
        <v>15559.491069605376</v>
      </c>
      <c r="H12" t="e">
        <v>#DIV/0!</v>
      </c>
      <c r="L12">
        <v>692.14599789945203</v>
      </c>
      <c r="N12">
        <v>466.28064894390764</v>
      </c>
      <c r="O12" t="e">
        <v>#DIV/0!</v>
      </c>
      <c r="P12">
        <v>39.195850861692925</v>
      </c>
      <c r="R12">
        <v>42.091700000000003</v>
      </c>
      <c r="S12">
        <v>2.9980000000000002</v>
      </c>
    </row>
    <row r="13" spans="1:19" ht="12">
      <c r="A13">
        <v>9</v>
      </c>
      <c r="B13">
        <v>3.1412239997666904</v>
      </c>
      <c r="C13">
        <f t="shared" si="0"/>
        <v>649.32490300025268</v>
      </c>
      <c r="D13" t="e">
        <v>#DIV/0!</v>
      </c>
      <c r="E13">
        <v>15721.371013311506</v>
      </c>
      <c r="F13" t="e">
        <v>#DIV/0!</v>
      </c>
      <c r="G13">
        <v>15016.35211448675</v>
      </c>
      <c r="H13" t="e">
        <v>#DIV/0!</v>
      </c>
      <c r="L13">
        <v>654.16428906038789</v>
      </c>
      <c r="N13">
        <v>424.24948819196158</v>
      </c>
      <c r="O13" t="e">
        <v>#DIV/0!</v>
      </c>
      <c r="P13">
        <v>37.694644264992917</v>
      </c>
      <c r="R13">
        <v>47.420699999999997</v>
      </c>
      <c r="S13">
        <v>3.4910000000000001</v>
      </c>
    </row>
    <row r="14" spans="1:19" ht="12">
      <c r="A14">
        <v>10</v>
      </c>
      <c r="B14">
        <v>3.0170886694691563</v>
      </c>
      <c r="C14">
        <f t="shared" si="0"/>
        <v>646.40725538389927</v>
      </c>
      <c r="D14" t="e">
        <v>#DIV/0!</v>
      </c>
      <c r="E14">
        <v>16120.836397841891</v>
      </c>
      <c r="F14" t="e">
        <v>#DIV/0!</v>
      </c>
      <c r="G14">
        <v>14997.656938661337</v>
      </c>
      <c r="H14" t="e">
        <v>#DIV/0!</v>
      </c>
      <c r="L14">
        <v>676.69694207359532</v>
      </c>
      <c r="N14">
        <v>412.37462304978834</v>
      </c>
      <c r="O14" t="e">
        <v>#DIV/0!</v>
      </c>
      <c r="P14">
        <v>36.472598217745052</v>
      </c>
      <c r="R14">
        <v>52.648099999999999</v>
      </c>
      <c r="S14">
        <v>3.6469999999999998</v>
      </c>
    </row>
    <row r="15" spans="1:19" ht="12">
      <c r="A15">
        <v>11</v>
      </c>
      <c r="B15">
        <v>2.9212615707605689</v>
      </c>
      <c r="C15">
        <f t="shared" si="0"/>
        <v>644.08492554981444</v>
      </c>
      <c r="D15" t="e">
        <v>#DIV/0!</v>
      </c>
      <c r="E15">
        <v>15728.470453496522</v>
      </c>
      <c r="F15" t="e">
        <v>#DIV/0!</v>
      </c>
      <c r="G15">
        <v>14926.139060275274</v>
      </c>
      <c r="H15" t="e">
        <v>#DIV/0!</v>
      </c>
      <c r="L15">
        <v>651.25200108055151</v>
      </c>
      <c r="N15">
        <v>394.77795993244422</v>
      </c>
      <c r="O15" t="e">
        <v>#DIV/0!</v>
      </c>
      <c r="P15">
        <v>30.961029953739125</v>
      </c>
      <c r="R15">
        <v>54.428600000000003</v>
      </c>
      <c r="S15">
        <v>5.3520000000000003</v>
      </c>
    </row>
    <row r="16" spans="1:19" ht="12">
      <c r="A16">
        <v>12</v>
      </c>
      <c r="B16">
        <v>2.8983591252970093</v>
      </c>
      <c r="C16">
        <f t="shared" si="0"/>
        <v>643.52039684311922</v>
      </c>
      <c r="D16" t="e">
        <v>#DIV/0!</v>
      </c>
      <c r="E16">
        <v>15469.726068592208</v>
      </c>
      <c r="F16" t="e">
        <v>#DIV/0!</v>
      </c>
      <c r="G16">
        <v>13624.404740266822</v>
      </c>
      <c r="H16" t="e">
        <v>#DIV/0!</v>
      </c>
      <c r="L16">
        <v>730.28742135723462</v>
      </c>
      <c r="N16">
        <v>393.00629376905289</v>
      </c>
      <c r="O16" t="e">
        <v>#DIV/0!</v>
      </c>
      <c r="P16">
        <v>29.420768837642381</v>
      </c>
      <c r="R16">
        <v>58.096699999999998</v>
      </c>
      <c r="S16">
        <v>5.7389999999999999</v>
      </c>
    </row>
    <row r="17" spans="1:19" ht="12">
      <c r="A17">
        <v>13</v>
      </c>
      <c r="B17">
        <v>3.1029377518165222</v>
      </c>
      <c r="C17">
        <f t="shared" si="0"/>
        <v>648.43555370132253</v>
      </c>
      <c r="D17" t="e">
        <v>#DIV/0!</v>
      </c>
      <c r="E17">
        <v>15770.88912555706</v>
      </c>
      <c r="F17" t="e">
        <v>#DIV/0!</v>
      </c>
      <c r="G17">
        <v>15133.614747607082</v>
      </c>
      <c r="H17" t="e">
        <v>#DIV/0!</v>
      </c>
      <c r="L17">
        <v>926.57055805545667</v>
      </c>
      <c r="N17">
        <v>438.26320729536064</v>
      </c>
      <c r="O17" t="e">
        <v>#DIV/0!</v>
      </c>
      <c r="P17">
        <v>31.211251346112423</v>
      </c>
      <c r="R17">
        <v>59.9026</v>
      </c>
      <c r="S17">
        <v>5.9429999999999996</v>
      </c>
    </row>
    <row r="18" spans="1:19" ht="12">
      <c r="A18">
        <v>14</v>
      </c>
      <c r="B18">
        <v>3.2698382976490685</v>
      </c>
      <c r="C18">
        <f t="shared" si="0"/>
        <v>652.24710483137164</v>
      </c>
      <c r="D18" t="e">
        <v>#DIV/0!</v>
      </c>
      <c r="E18">
        <v>15926.282149535577</v>
      </c>
      <c r="F18" t="e">
        <v>#DIV/0!</v>
      </c>
      <c r="G18">
        <v>15122.982864356165</v>
      </c>
      <c r="H18" t="e">
        <v>#DIV/0!</v>
      </c>
      <c r="L18">
        <v>1087.7786689574093</v>
      </c>
      <c r="N18">
        <v>472.71565168555503</v>
      </c>
      <c r="O18" t="e">
        <v>#DIV/0!</v>
      </c>
      <c r="P18">
        <v>31.164476861800789</v>
      </c>
      <c r="R18">
        <v>64.018100000000004</v>
      </c>
      <c r="S18">
        <v>6.26</v>
      </c>
    </row>
    <row r="19" spans="1:19" ht="12">
      <c r="A19">
        <v>15</v>
      </c>
      <c r="B19">
        <v>3.1046063625333504</v>
      </c>
      <c r="C19">
        <f t="shared" si="0"/>
        <v>648.47450594744623</v>
      </c>
      <c r="D19" t="e">
        <v>#DIV/0!</v>
      </c>
      <c r="E19">
        <v>15653.42248871522</v>
      </c>
      <c r="F19" t="e">
        <v>#DIV/0!</v>
      </c>
      <c r="G19">
        <v>15104.069680831253</v>
      </c>
      <c r="H19" t="e">
        <v>#DIV/0!</v>
      </c>
      <c r="L19">
        <v>1134.3834313001955</v>
      </c>
      <c r="N19">
        <v>495.5717454861072</v>
      </c>
      <c r="O19" t="e">
        <v>#DIV/0!</v>
      </c>
      <c r="P19">
        <v>35.331335368207874</v>
      </c>
      <c r="R19">
        <v>67.753500000000003</v>
      </c>
      <c r="S19">
        <v>6.63</v>
      </c>
    </row>
    <row r="20" spans="1:19" ht="12">
      <c r="A20">
        <v>16</v>
      </c>
      <c r="B20">
        <v>2.9291574311501298</v>
      </c>
      <c r="C20">
        <f t="shared" si="0"/>
        <v>644.27868766482027</v>
      </c>
      <c r="D20" t="e">
        <v>#DIV/0!</v>
      </c>
      <c r="E20">
        <v>15122.838207812936</v>
      </c>
      <c r="F20" t="e">
        <v>#DIV/0!</v>
      </c>
      <c r="G20">
        <v>14553.87764726057</v>
      </c>
      <c r="H20" t="e">
        <v>#DIV/0!</v>
      </c>
      <c r="L20">
        <v>1149.5226126239145</v>
      </c>
      <c r="N20">
        <v>522.61079564526608</v>
      </c>
      <c r="O20" t="e">
        <v>#DIV/0!</v>
      </c>
      <c r="P20">
        <v>39.214733343566671</v>
      </c>
      <c r="R20">
        <v>65.011899999999997</v>
      </c>
      <c r="S20">
        <v>7.3659999999999997</v>
      </c>
    </row>
    <row r="21" spans="1:19" ht="12">
      <c r="A21">
        <v>17</v>
      </c>
      <c r="B21">
        <v>3.1058878265251249</v>
      </c>
      <c r="C21">
        <f t="shared" si="0"/>
        <v>648.5044086207929</v>
      </c>
      <c r="D21" t="e">
        <v>#DIV/0!</v>
      </c>
      <c r="E21">
        <v>15805.700996318505</v>
      </c>
      <c r="F21" t="e">
        <v>#DIV/0!</v>
      </c>
      <c r="G21">
        <v>15002.138720715977</v>
      </c>
      <c r="H21" t="e">
        <v>#DIV/0!</v>
      </c>
      <c r="L21">
        <v>1258.7335759728333</v>
      </c>
      <c r="N21">
        <v>585.18744958679122</v>
      </c>
      <c r="O21" t="e">
        <v>#DIV/0!</v>
      </c>
      <c r="P21">
        <v>46.119075697659689</v>
      </c>
      <c r="R21">
        <v>66.808099999999996</v>
      </c>
      <c r="S21">
        <v>7.5650000000000004</v>
      </c>
    </row>
    <row r="22" spans="1:19" ht="12">
      <c r="A22">
        <v>18</v>
      </c>
      <c r="B22">
        <v>3.021473335999127</v>
      </c>
      <c r="C22">
        <f t="shared" si="0"/>
        <v>646.51202026006524</v>
      </c>
      <c r="D22" t="e">
        <v>#DIV/0!</v>
      </c>
      <c r="E22">
        <v>15371.487909830284</v>
      </c>
      <c r="F22" t="e">
        <v>#DIV/0!</v>
      </c>
      <c r="G22">
        <v>14850.309778605781</v>
      </c>
      <c r="H22" t="e">
        <v>#DIV/0!</v>
      </c>
      <c r="L22">
        <v>1249.0234025095574</v>
      </c>
      <c r="N22">
        <v>603.78957726255339</v>
      </c>
      <c r="O22" t="e">
        <v>#DIV/0!</v>
      </c>
      <c r="P22">
        <v>51.389303208468711</v>
      </c>
      <c r="R22">
        <v>68.457899999999995</v>
      </c>
      <c r="S22">
        <v>7.7460000000000004</v>
      </c>
    </row>
    <row r="23" spans="1:19" ht="12">
      <c r="A23">
        <v>19</v>
      </c>
      <c r="B23">
        <v>3.0465950115965099</v>
      </c>
      <c r="C23">
        <f t="shared" si="0"/>
        <v>647.10980558358381</v>
      </c>
      <c r="D23" t="e">
        <v>#DIV/0!</v>
      </c>
      <c r="E23">
        <v>15393.622793089202</v>
      </c>
      <c r="F23" t="e">
        <v>#DIV/0!</v>
      </c>
      <c r="G23">
        <v>15737.808954253087</v>
      </c>
      <c r="H23" t="e">
        <v>#DIV/0!</v>
      </c>
      <c r="L23">
        <v>1258.2013045548399</v>
      </c>
      <c r="N23">
        <v>629.25797416670378</v>
      </c>
      <c r="O23" t="e">
        <v>#DIV/0!</v>
      </c>
      <c r="P23">
        <v>55.651627562092258</v>
      </c>
      <c r="R23">
        <v>71.232500000000002</v>
      </c>
      <c r="S23">
        <v>8.1449999999999996</v>
      </c>
    </row>
    <row r="24" spans="1:19" ht="12">
      <c r="A24">
        <v>20</v>
      </c>
      <c r="B24">
        <v>3.1647943962544915</v>
      </c>
      <c r="C24">
        <f t="shared" si="0"/>
        <v>649.86788712179612</v>
      </c>
      <c r="D24" t="e">
        <v>#DIV/0!</v>
      </c>
      <c r="E24">
        <v>15424.840871412118</v>
      </c>
      <c r="F24" t="e">
        <v>#DIV/0!</v>
      </c>
      <c r="G24">
        <v>14943.424178181913</v>
      </c>
      <c r="H24" t="e">
        <v>#DIV/0!</v>
      </c>
      <c r="L24">
        <v>1230.2165112252808</v>
      </c>
      <c r="N24">
        <v>657.372804737347</v>
      </c>
      <c r="O24" t="e">
        <v>#DIV/0!</v>
      </c>
      <c r="P24">
        <v>63.612392235226942</v>
      </c>
      <c r="R24">
        <v>68.752899999999997</v>
      </c>
      <c r="S24">
        <v>7.8360000000000003</v>
      </c>
    </row>
    <row r="25" spans="1:19" ht="12">
      <c r="C25" t="e">
        <f t="shared" si="0"/>
        <v>#NUM!</v>
      </c>
    </row>
    <row r="26" spans="1:19" ht="12">
      <c r="A26" s="1" t="s">
        <v>30</v>
      </c>
      <c r="C26" t="e">
        <f t="shared" si="0"/>
        <v>#NUM!</v>
      </c>
    </row>
    <row r="27" spans="1:19" ht="12">
      <c r="B27" t="s">
        <v>20</v>
      </c>
      <c r="C27" t="e">
        <f t="shared" si="0"/>
        <v>#VALUE!</v>
      </c>
      <c r="E27" t="s">
        <v>22</v>
      </c>
      <c r="G27" t="s">
        <v>23</v>
      </c>
      <c r="L27" t="s">
        <v>24</v>
      </c>
      <c r="N27" t="s">
        <v>65</v>
      </c>
      <c r="P27" t="s">
        <v>25</v>
      </c>
    </row>
    <row r="28" spans="1:19" ht="12">
      <c r="A28" t="s">
        <v>26</v>
      </c>
      <c r="C28" t="e">
        <f t="shared" si="0"/>
        <v>#NUM!</v>
      </c>
    </row>
    <row r="29" spans="1:19" ht="12">
      <c r="A29">
        <v>1</v>
      </c>
      <c r="B29">
        <v>2.7361737566054796</v>
      </c>
      <c r="C29">
        <f t="shared" si="0"/>
        <v>639.41127164411546</v>
      </c>
      <c r="D29" t="e">
        <v>#DIV/0!</v>
      </c>
      <c r="E29">
        <v>17310.422471687441</v>
      </c>
      <c r="F29" t="e">
        <v>#DIV/0!</v>
      </c>
      <c r="G29">
        <v>17669.305584795122</v>
      </c>
      <c r="H29" t="e">
        <v>#DIV/0!</v>
      </c>
      <c r="L29">
        <v>845.1859530389961</v>
      </c>
      <c r="N29">
        <v>629.58814327390985</v>
      </c>
      <c r="O29" t="e">
        <v>#DIV/0!</v>
      </c>
      <c r="P29">
        <v>13.185514763841317</v>
      </c>
      <c r="R29">
        <v>3.3946499999999999</v>
      </c>
      <c r="S29">
        <v>0.52129999999999999</v>
      </c>
    </row>
    <row r="30" spans="1:19" ht="12">
      <c r="A30">
        <v>2</v>
      </c>
      <c r="B30">
        <v>4.1452870910391519</v>
      </c>
      <c r="C30">
        <f t="shared" si="0"/>
        <v>669.90868327302258</v>
      </c>
      <c r="D30" t="e">
        <v>#DIV/0!</v>
      </c>
      <c r="E30">
        <v>18825.415024175749</v>
      </c>
      <c r="F30" t="e">
        <v>#DIV/0!</v>
      </c>
      <c r="G30">
        <v>17946.459316186454</v>
      </c>
      <c r="H30" t="e">
        <v>#DIV/0!</v>
      </c>
      <c r="L30">
        <v>647.7984976327582</v>
      </c>
      <c r="N30">
        <v>1052.0946507627159</v>
      </c>
      <c r="O30" t="e">
        <v>#DIV/0!</v>
      </c>
      <c r="P30">
        <v>23.259523894144991</v>
      </c>
      <c r="R30">
        <v>13.7767</v>
      </c>
      <c r="S30">
        <v>5.8920000000000003</v>
      </c>
    </row>
    <row r="31" spans="1:19" ht="12">
      <c r="A31">
        <v>3</v>
      </c>
      <c r="B31">
        <v>4.7018540542859872</v>
      </c>
      <c r="C31">
        <f t="shared" si="0"/>
        <v>679.56527705423264</v>
      </c>
      <c r="D31" t="e">
        <v>#DIV/0!</v>
      </c>
      <c r="E31">
        <v>14754.171215635371</v>
      </c>
      <c r="F31" t="e">
        <v>#DIV/0!</v>
      </c>
      <c r="G31">
        <v>13803.142202655034</v>
      </c>
      <c r="H31" t="e">
        <v>#DIV/0!</v>
      </c>
      <c r="L31">
        <v>984.77398669135823</v>
      </c>
      <c r="N31">
        <v>625.32177741818236</v>
      </c>
      <c r="O31" t="e">
        <v>#DIV/0!</v>
      </c>
      <c r="P31">
        <v>122.69407259571646</v>
      </c>
      <c r="R31">
        <v>59.738599999999998</v>
      </c>
      <c r="S31">
        <v>7.7709999999999999</v>
      </c>
    </row>
    <row r="32" spans="1:19" ht="12">
      <c r="A32">
        <v>4</v>
      </c>
      <c r="B32">
        <v>3.6927001167044993</v>
      </c>
      <c r="C32">
        <f t="shared" si="0"/>
        <v>661.21783317881295</v>
      </c>
      <c r="D32" t="e">
        <v>#DIV/0!</v>
      </c>
      <c r="E32">
        <v>13106.956534850526</v>
      </c>
      <c r="F32" t="e">
        <v>#DIV/0!</v>
      </c>
      <c r="G32">
        <v>12473.661684335288</v>
      </c>
      <c r="H32" t="e">
        <v>#DIV/0!</v>
      </c>
      <c r="L32">
        <v>898.0250517672838</v>
      </c>
      <c r="N32">
        <v>439.53746762523087</v>
      </c>
      <c r="O32" t="e">
        <v>#DIV/0!</v>
      </c>
      <c r="P32">
        <v>111.32350689506343</v>
      </c>
      <c r="R32">
        <v>79.293999999999997</v>
      </c>
      <c r="S32">
        <v>8.5239999999999991</v>
      </c>
    </row>
    <row r="33" spans="1:19" ht="12">
      <c r="A33">
        <v>5</v>
      </c>
      <c r="B33">
        <v>3.0109860858772604</v>
      </c>
      <c r="C33">
        <f t="shared" si="0"/>
        <v>646.26122969364167</v>
      </c>
      <c r="D33" t="e">
        <v>#DIV/0!</v>
      </c>
      <c r="E33">
        <v>12210.177447381053</v>
      </c>
      <c r="F33" t="e">
        <v>#DIV/0!</v>
      </c>
      <c r="G33">
        <v>11306.78132138101</v>
      </c>
      <c r="H33" t="e">
        <v>#DIV/0!</v>
      </c>
      <c r="L33">
        <v>862.11000383954695</v>
      </c>
      <c r="N33">
        <v>357.25151378774251</v>
      </c>
      <c r="O33" t="e">
        <v>#DIV/0!</v>
      </c>
      <c r="P33">
        <v>109.713122586944</v>
      </c>
      <c r="R33">
        <v>94.318200000000004</v>
      </c>
      <c r="S33">
        <v>9.8550000000000004</v>
      </c>
    </row>
    <row r="34" spans="1:19" ht="12">
      <c r="A34">
        <v>6</v>
      </c>
      <c r="B34">
        <v>2.812859531452061</v>
      </c>
      <c r="C34">
        <f t="shared" si="0"/>
        <v>641.37908529663764</v>
      </c>
      <c r="D34" t="e">
        <v>#DIV/0!</v>
      </c>
      <c r="E34">
        <v>11670.895684233354</v>
      </c>
      <c r="F34" t="e">
        <v>#DIV/0!</v>
      </c>
      <c r="G34">
        <v>11708.221376793399</v>
      </c>
      <c r="H34" t="e">
        <v>#DIV/0!</v>
      </c>
      <c r="L34">
        <v>958.50726174887552</v>
      </c>
      <c r="N34">
        <v>308.48471676907167</v>
      </c>
      <c r="O34" t="e">
        <v>#DIV/0!</v>
      </c>
      <c r="P34">
        <v>117.02377243481207</v>
      </c>
      <c r="R34">
        <v>130.73599999999999</v>
      </c>
      <c r="S34">
        <v>8.7260000000000009</v>
      </c>
    </row>
    <row r="35" spans="1:19" ht="12">
      <c r="A35">
        <v>7</v>
      </c>
      <c r="B35">
        <v>2.8250477504070663</v>
      </c>
      <c r="C35">
        <f t="shared" si="0"/>
        <v>641.6876633406066</v>
      </c>
      <c r="D35" t="e">
        <v>#DIV/0!</v>
      </c>
      <c r="E35">
        <v>11388.399291544052</v>
      </c>
      <c r="F35" t="e">
        <v>#DIV/0!</v>
      </c>
      <c r="G35">
        <v>10944.938429570288</v>
      </c>
      <c r="H35" t="e">
        <v>#DIV/0!</v>
      </c>
      <c r="L35">
        <v>917.45891919858025</v>
      </c>
      <c r="N35">
        <v>281.0985962409207</v>
      </c>
      <c r="O35" t="e">
        <v>#DIV/0!</v>
      </c>
      <c r="P35">
        <v>113.3452443612959</v>
      </c>
      <c r="R35">
        <v>138.249</v>
      </c>
      <c r="S35">
        <v>9.1340000000000003</v>
      </c>
    </row>
    <row r="36" spans="1:19" ht="12">
      <c r="A36">
        <v>8</v>
      </c>
      <c r="B36">
        <v>3.0323359173126616</v>
      </c>
      <c r="C36">
        <f t="shared" si="0"/>
        <v>646.77101402771427</v>
      </c>
      <c r="D36" t="e">
        <v>#DIV/0!</v>
      </c>
      <c r="E36">
        <v>11744.57240275555</v>
      </c>
      <c r="F36" t="e">
        <v>#DIV/0!</v>
      </c>
      <c r="G36">
        <v>11935.659232998363</v>
      </c>
      <c r="H36" t="e">
        <v>#DIV/0!</v>
      </c>
      <c r="L36">
        <v>927.4918852239208</v>
      </c>
      <c r="N36">
        <v>273.31954104881925</v>
      </c>
      <c r="O36" t="e">
        <v>#DIV/0!</v>
      </c>
      <c r="P36">
        <v>118.26260821990728</v>
      </c>
      <c r="R36">
        <v>149.898</v>
      </c>
      <c r="S36">
        <v>10.07</v>
      </c>
    </row>
    <row r="37" spans="1:19" ht="12">
      <c r="A37">
        <v>9</v>
      </c>
      <c r="B37">
        <v>2.8139889005183574</v>
      </c>
      <c r="C37">
        <f t="shared" si="0"/>
        <v>641.40772573399056</v>
      </c>
      <c r="D37" t="e">
        <v>#DIV/0!</v>
      </c>
      <c r="E37">
        <v>11066.56010383455</v>
      </c>
      <c r="F37" t="e">
        <v>#DIV/0!</v>
      </c>
      <c r="G37">
        <v>10655.657601668972</v>
      </c>
      <c r="H37" t="e">
        <v>#DIV/0!</v>
      </c>
      <c r="L37">
        <v>848.84316564291532</v>
      </c>
      <c r="N37">
        <v>248.51891502528423</v>
      </c>
      <c r="O37" t="e">
        <v>#DIV/0!</v>
      </c>
      <c r="P37">
        <v>118.42851085001338</v>
      </c>
      <c r="R37">
        <v>159.34700000000001</v>
      </c>
      <c r="S37">
        <v>10.9</v>
      </c>
    </row>
    <row r="38" spans="1:19" ht="12">
      <c r="A38">
        <v>10</v>
      </c>
      <c r="B38">
        <v>2.8211653143024731</v>
      </c>
      <c r="C38">
        <f t="shared" si="0"/>
        <v>641.58949099536119</v>
      </c>
      <c r="D38" t="e">
        <v>#DIV/0!</v>
      </c>
      <c r="E38">
        <v>11411.382236804357</v>
      </c>
      <c r="F38" t="e">
        <v>#DIV/0!</v>
      </c>
      <c r="G38">
        <v>10960.649987923429</v>
      </c>
      <c r="H38" t="e">
        <v>#DIV/0!</v>
      </c>
      <c r="L38">
        <v>801.4731705229608</v>
      </c>
      <c r="N38">
        <v>233.69006028261336</v>
      </c>
      <c r="O38" t="e">
        <v>#DIV/0!</v>
      </c>
      <c r="P38">
        <v>112.17504843084075</v>
      </c>
      <c r="R38">
        <v>167.05199999999999</v>
      </c>
      <c r="S38">
        <v>11.01</v>
      </c>
    </row>
    <row r="39" spans="1:19" ht="12">
      <c r="A39">
        <v>11</v>
      </c>
      <c r="B39">
        <v>2.6673537551293061</v>
      </c>
      <c r="C39">
        <f t="shared" si="0"/>
        <v>637.60525467169009</v>
      </c>
      <c r="D39" t="e">
        <v>#DIV/0!</v>
      </c>
      <c r="E39">
        <v>11229.722568844978</v>
      </c>
      <c r="F39" t="e">
        <v>#DIV/0!</v>
      </c>
      <c r="G39">
        <v>10917.536782154722</v>
      </c>
      <c r="H39" t="e">
        <v>#DIV/0!</v>
      </c>
      <c r="L39">
        <v>700.4476494848401</v>
      </c>
      <c r="N39">
        <v>214.38075971114088</v>
      </c>
      <c r="O39" t="e">
        <v>#DIV/0!</v>
      </c>
      <c r="P39">
        <v>94.096020441829921</v>
      </c>
      <c r="R39">
        <v>163.035</v>
      </c>
      <c r="S39">
        <v>16.66</v>
      </c>
    </row>
    <row r="40" spans="1:19" ht="12">
      <c r="A40">
        <v>12</v>
      </c>
      <c r="B40">
        <v>2.6150866075024792</v>
      </c>
      <c r="C40">
        <f t="shared" si="0"/>
        <v>636.20714842458847</v>
      </c>
      <c r="D40" t="e">
        <v>#DIV/0!</v>
      </c>
      <c r="E40">
        <v>11255.010627827824</v>
      </c>
      <c r="F40" t="e">
        <v>#DIV/0!</v>
      </c>
      <c r="G40">
        <v>10383.590370424225</v>
      </c>
      <c r="H40" t="e">
        <v>#DIV/0!</v>
      </c>
      <c r="L40">
        <v>656.25097810329021</v>
      </c>
      <c r="N40">
        <v>201.57419583638517</v>
      </c>
      <c r="O40" t="e">
        <v>#DIV/0!</v>
      </c>
      <c r="P40">
        <v>89.996858000966128</v>
      </c>
      <c r="R40">
        <v>164.11099999999999</v>
      </c>
      <c r="S40">
        <v>15.95</v>
      </c>
    </row>
    <row r="41" spans="1:19" ht="12">
      <c r="A41">
        <v>13</v>
      </c>
      <c r="B41">
        <v>2.6833820465580769</v>
      </c>
      <c r="C41">
        <f t="shared" si="0"/>
        <v>638.02936336373489</v>
      </c>
      <c r="D41" t="e">
        <v>#DIV/0!</v>
      </c>
      <c r="E41">
        <v>11328.514091521649</v>
      </c>
      <c r="F41" t="e">
        <v>#DIV/0!</v>
      </c>
      <c r="G41">
        <v>11433.819575483227</v>
      </c>
      <c r="H41" t="e">
        <v>#DIV/0!</v>
      </c>
      <c r="L41">
        <v>624.30498835471883</v>
      </c>
      <c r="N41">
        <v>192.55789387233119</v>
      </c>
      <c r="O41" t="e">
        <v>#DIV/0!</v>
      </c>
      <c r="P41">
        <v>86.055323425945858</v>
      </c>
      <c r="R41">
        <v>173.51499999999999</v>
      </c>
      <c r="S41">
        <v>16.96</v>
      </c>
    </row>
    <row r="42" spans="1:19" ht="12">
      <c r="A42">
        <v>14</v>
      </c>
      <c r="B42">
        <v>2.6406272647675135</v>
      </c>
      <c r="C42">
        <f t="shared" si="0"/>
        <v>636.8932612838563</v>
      </c>
      <c r="D42" t="e">
        <v>#DIV/0!</v>
      </c>
      <c r="E42">
        <v>11050.844037072235</v>
      </c>
      <c r="F42" t="e">
        <v>#DIV/0!</v>
      </c>
      <c r="G42">
        <v>10621.932493664806</v>
      </c>
      <c r="H42" t="e">
        <v>#DIV/0!</v>
      </c>
      <c r="L42">
        <v>587.03035172086186</v>
      </c>
      <c r="N42">
        <v>181.8083711821206</v>
      </c>
      <c r="O42" t="e">
        <v>#DIV/0!</v>
      </c>
      <c r="P42">
        <v>79.966459236029934</v>
      </c>
      <c r="R42">
        <v>172.72300000000001</v>
      </c>
      <c r="S42">
        <v>17</v>
      </c>
    </row>
    <row r="43" spans="1:19" ht="12">
      <c r="A43">
        <v>15</v>
      </c>
      <c r="B43">
        <v>2.64305061329337</v>
      </c>
      <c r="C43">
        <f t="shared" si="0"/>
        <v>636.95806952507928</v>
      </c>
      <c r="D43" t="e">
        <v>#DIV/0!</v>
      </c>
      <c r="E43">
        <v>11430.78808192414</v>
      </c>
      <c r="F43" t="e">
        <v>#DIV/0!</v>
      </c>
      <c r="G43">
        <v>11188.654519384752</v>
      </c>
      <c r="H43" t="e">
        <v>#DIV/0!</v>
      </c>
      <c r="L43">
        <v>600.00221313431871</v>
      </c>
      <c r="N43">
        <v>186.60549604284915</v>
      </c>
      <c r="O43" t="e">
        <v>#DIV/0!</v>
      </c>
      <c r="P43">
        <v>87.298868677744338</v>
      </c>
      <c r="R43">
        <v>177.65</v>
      </c>
      <c r="S43">
        <v>17.309999999999999</v>
      </c>
    </row>
    <row r="44" spans="1:19" ht="12">
      <c r="A44">
        <v>16</v>
      </c>
      <c r="B44">
        <v>2.6924239790227014</v>
      </c>
      <c r="C44">
        <f t="shared" si="0"/>
        <v>638.26767010949152</v>
      </c>
      <c r="D44" t="e">
        <v>#DIV/0!</v>
      </c>
      <c r="E44">
        <v>11186.815029732647</v>
      </c>
      <c r="F44" t="e">
        <v>#DIV/0!</v>
      </c>
      <c r="G44">
        <v>11022.249849952843</v>
      </c>
      <c r="H44" t="e">
        <v>#DIV/0!</v>
      </c>
      <c r="L44">
        <v>642.11018286100102</v>
      </c>
      <c r="N44">
        <v>195.66432687358741</v>
      </c>
      <c r="O44" t="e">
        <v>#DIV/0!</v>
      </c>
      <c r="P44">
        <v>90.430147426870533</v>
      </c>
      <c r="R44">
        <v>157.47300000000001</v>
      </c>
      <c r="S44">
        <v>17.82</v>
      </c>
    </row>
    <row r="45" spans="1:19" ht="12">
      <c r="A45">
        <v>17</v>
      </c>
      <c r="B45">
        <v>2.7693788347779691</v>
      </c>
      <c r="C45">
        <f t="shared" si="0"/>
        <v>640.2689799751812</v>
      </c>
      <c r="D45" t="e">
        <v>#DIV/0!</v>
      </c>
      <c r="E45">
        <v>11459.901432556315</v>
      </c>
      <c r="F45" t="e">
        <v>#DIV/0!</v>
      </c>
      <c r="G45">
        <v>11144.43493901904</v>
      </c>
      <c r="H45" t="e">
        <v>#DIV/0!</v>
      </c>
      <c r="L45">
        <v>710.96840681026845</v>
      </c>
      <c r="N45">
        <v>222.21601252687515</v>
      </c>
      <c r="O45" t="e">
        <v>#DIV/0!</v>
      </c>
      <c r="P45">
        <v>113.88975921417415</v>
      </c>
      <c r="R45">
        <v>156.71199999999999</v>
      </c>
      <c r="S45">
        <v>18.12</v>
      </c>
    </row>
    <row r="46" spans="1:19" ht="12">
      <c r="A46">
        <v>18</v>
      </c>
      <c r="B46">
        <v>2.8635679232251259</v>
      </c>
      <c r="C46">
        <f t="shared" si="0"/>
        <v>642.65557723224902</v>
      </c>
      <c r="D46" t="e">
        <v>#DIV/0!</v>
      </c>
      <c r="E46">
        <v>11435.088458787546</v>
      </c>
      <c r="F46" t="e">
        <v>#DIV/0!</v>
      </c>
      <c r="G46">
        <v>11308.273038429877</v>
      </c>
      <c r="H46" t="e">
        <v>#DIV/0!</v>
      </c>
      <c r="L46">
        <v>741.14691625362298</v>
      </c>
      <c r="N46">
        <v>242.54170080380649</v>
      </c>
      <c r="O46" t="e">
        <v>#DIV/0!</v>
      </c>
      <c r="P46">
        <v>134.00509885609878</v>
      </c>
      <c r="R46">
        <v>152.559</v>
      </c>
      <c r="S46">
        <v>17.29</v>
      </c>
    </row>
    <row r="47" spans="1:19" ht="12">
      <c r="A47">
        <v>19</v>
      </c>
      <c r="B47">
        <v>2.8116038183553238</v>
      </c>
      <c r="C47">
        <f t="shared" si="0"/>
        <v>641.34722942092799</v>
      </c>
      <c r="D47" t="e">
        <v>#DIV/0!</v>
      </c>
      <c r="E47">
        <v>11342.019946607734</v>
      </c>
      <c r="F47" t="e">
        <v>#DIV/0!</v>
      </c>
      <c r="G47">
        <v>11946.682806966826</v>
      </c>
      <c r="H47" t="e">
        <v>#DIV/0!</v>
      </c>
      <c r="L47">
        <v>713.63834965051558</v>
      </c>
      <c r="N47">
        <v>237.83568543901032</v>
      </c>
      <c r="O47" t="e">
        <v>#DIV/0!</v>
      </c>
      <c r="P47">
        <v>123.75258607201408</v>
      </c>
      <c r="R47">
        <v>158.34100000000001</v>
      </c>
      <c r="S47">
        <v>18.48</v>
      </c>
    </row>
    <row r="48" spans="1:19" ht="12">
      <c r="A48">
        <v>20</v>
      </c>
      <c r="B48">
        <v>2.9534671360650386</v>
      </c>
      <c r="C48">
        <f t="shared" si="0"/>
        <v>644.87248778797255</v>
      </c>
      <c r="D48" t="e">
        <v>#DIV/0!</v>
      </c>
      <c r="E48">
        <v>11760.285099838209</v>
      </c>
      <c r="F48" t="e">
        <v>#DIV/0!</v>
      </c>
      <c r="G48">
        <v>11790.886567392916</v>
      </c>
      <c r="H48" t="e">
        <v>#DIV/0!</v>
      </c>
      <c r="L48">
        <v>758.46135527992692</v>
      </c>
      <c r="N48">
        <v>258.9960549910341</v>
      </c>
      <c r="O48" t="e">
        <v>#DIV/0!</v>
      </c>
      <c r="P48">
        <v>143.52944904367686</v>
      </c>
      <c r="R48">
        <v>157.69</v>
      </c>
      <c r="S48">
        <v>17.77</v>
      </c>
    </row>
  </sheetData>
  <phoneticPr fontId="8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96"/>
  <sheetViews>
    <sheetView topLeftCell="A32" workbookViewId="0">
      <selection sqref="A1:XFD1048576"/>
    </sheetView>
  </sheetViews>
  <sheetFormatPr baseColWidth="10" defaultColWidth="7.5703125" defaultRowHeight="13"/>
  <sheetData>
    <row r="1" spans="1:19" ht="12">
      <c r="R1" t="s">
        <v>47</v>
      </c>
      <c r="S1" t="s">
        <v>47</v>
      </c>
    </row>
    <row r="2" spans="1:19" ht="12">
      <c r="A2" s="1" t="s">
        <v>31</v>
      </c>
      <c r="R2" t="s">
        <v>53</v>
      </c>
      <c r="S2" t="s">
        <v>53</v>
      </c>
    </row>
    <row r="3" spans="1:19" ht="12">
      <c r="B3" t="s">
        <v>20</v>
      </c>
      <c r="C3" t="s">
        <v>32</v>
      </c>
      <c r="E3" t="s">
        <v>22</v>
      </c>
      <c r="G3" t="s">
        <v>23</v>
      </c>
      <c r="L3" t="s">
        <v>24</v>
      </c>
      <c r="N3" t="s">
        <v>65</v>
      </c>
      <c r="P3" t="s">
        <v>25</v>
      </c>
      <c r="R3" t="s">
        <v>61</v>
      </c>
      <c r="S3" t="s">
        <v>61</v>
      </c>
    </row>
    <row r="4" spans="1:19" ht="12">
      <c r="A4" t="s">
        <v>26</v>
      </c>
      <c r="B4" t="s">
        <v>33</v>
      </c>
      <c r="C4" t="s">
        <v>34</v>
      </c>
      <c r="G4" t="s">
        <v>29</v>
      </c>
      <c r="L4" t="s">
        <v>29</v>
      </c>
      <c r="N4" t="s">
        <v>29</v>
      </c>
      <c r="P4" t="s">
        <v>29</v>
      </c>
    </row>
    <row r="5" spans="1:19" ht="12">
      <c r="A5">
        <v>1</v>
      </c>
      <c r="B5">
        <v>3.7806931928765497</v>
      </c>
      <c r="C5">
        <f>(-1/((LOG(B5)-6.01)/5080))-272.15</f>
        <v>662.97504389974893</v>
      </c>
      <c r="D5" t="e">
        <v>#DIV/0!</v>
      </c>
      <c r="E5">
        <v>16448.104609108195</v>
      </c>
      <c r="F5" t="e">
        <v>#DIV/0!</v>
      </c>
      <c r="G5">
        <v>17143.276333154499</v>
      </c>
      <c r="H5" t="e">
        <v>#DIV/0!</v>
      </c>
      <c r="L5">
        <v>154.16534143264522</v>
      </c>
      <c r="N5">
        <v>45.603155101873107</v>
      </c>
      <c r="O5" t="e">
        <v>#DIV/0!</v>
      </c>
      <c r="P5">
        <v>0.83174159615505339</v>
      </c>
      <c r="R5">
        <v>3.1461100000000002</v>
      </c>
      <c r="S5">
        <v>0.90329999999999999</v>
      </c>
    </row>
    <row r="6" spans="1:19" ht="12">
      <c r="A6">
        <v>2</v>
      </c>
      <c r="B6">
        <v>3.8541845016042706</v>
      </c>
      <c r="C6">
        <f t="shared" ref="C6:C69" si="0">(-1/((LOG(B6)-6.01)/5080))-272.15</f>
        <v>664.41651593139545</v>
      </c>
      <c r="D6" t="e">
        <v>#DIV/0!</v>
      </c>
      <c r="E6">
        <v>15990.239524557923</v>
      </c>
      <c r="F6" t="e">
        <v>#DIV/0!</v>
      </c>
      <c r="G6">
        <v>15469.861364249478</v>
      </c>
      <c r="H6" t="e">
        <v>#DIV/0!</v>
      </c>
      <c r="L6">
        <v>109.74966506990329</v>
      </c>
      <c r="N6">
        <v>34.072326885135467</v>
      </c>
      <c r="O6" t="e">
        <v>#DIV/0!</v>
      </c>
      <c r="P6">
        <v>0.41398355167290996</v>
      </c>
      <c r="R6">
        <v>2.71652</v>
      </c>
      <c r="S6">
        <v>0.91739999999999999</v>
      </c>
    </row>
    <row r="7" spans="1:19" ht="12">
      <c r="A7">
        <v>3</v>
      </c>
      <c r="B7">
        <v>3.3709647749489231</v>
      </c>
      <c r="C7">
        <f t="shared" si="0"/>
        <v>654.47755349470197</v>
      </c>
      <c r="D7" t="e">
        <v>#DIV/0!</v>
      </c>
      <c r="E7">
        <v>15624.659351421875</v>
      </c>
      <c r="F7" t="e">
        <v>#DIV/0!</v>
      </c>
      <c r="G7">
        <v>14345.384087892486</v>
      </c>
      <c r="H7" t="e">
        <v>#DIV/0!</v>
      </c>
      <c r="L7">
        <v>86.002184698110938</v>
      </c>
      <c r="N7">
        <v>28.666134895228716</v>
      </c>
      <c r="O7" t="e">
        <v>#DIV/0!</v>
      </c>
      <c r="P7">
        <v>0.21030368338281649</v>
      </c>
      <c r="R7">
        <v>2.08623</v>
      </c>
      <c r="S7">
        <v>0.92779999999999996</v>
      </c>
    </row>
    <row r="8" spans="1:19" ht="12">
      <c r="A8">
        <v>4</v>
      </c>
      <c r="B8">
        <v>3.1409204012293923</v>
      </c>
      <c r="C8">
        <f t="shared" si="0"/>
        <v>649.31788673384142</v>
      </c>
      <c r="D8" t="e">
        <v>#DIV/0!</v>
      </c>
      <c r="E8">
        <v>15478.19789844729</v>
      </c>
      <c r="F8" t="e">
        <v>#DIV/0!</v>
      </c>
      <c r="G8">
        <v>15437.50269627154</v>
      </c>
      <c r="H8" t="e">
        <v>#DIV/0!</v>
      </c>
      <c r="L8">
        <v>72.754688590650844</v>
      </c>
      <c r="N8">
        <v>24.046329601282217</v>
      </c>
      <c r="O8" t="e">
        <v>#DIV/0!</v>
      </c>
      <c r="P8">
        <v>0.27797972165028689</v>
      </c>
      <c r="R8">
        <v>3.4588000000000001</v>
      </c>
      <c r="S8">
        <v>1.39</v>
      </c>
    </row>
    <row r="9" spans="1:19" ht="12">
      <c r="A9">
        <v>5</v>
      </c>
      <c r="B9">
        <v>2.9808913387700042</v>
      </c>
      <c r="C9">
        <f t="shared" si="0"/>
        <v>645.53743733099736</v>
      </c>
      <c r="D9" t="e">
        <v>#DIV/0!</v>
      </c>
      <c r="E9">
        <v>15644.966633536846</v>
      </c>
      <c r="F9" t="e">
        <v>#DIV/0!</v>
      </c>
      <c r="G9">
        <v>16437.055908944272</v>
      </c>
      <c r="H9" t="e">
        <v>#DIV/0!</v>
      </c>
      <c r="L9">
        <v>63.323945483341276</v>
      </c>
      <c r="N9">
        <v>20.246561480823409</v>
      </c>
      <c r="O9" t="e">
        <v>#DIV/0!</v>
      </c>
      <c r="P9">
        <v>0.20200104436324909</v>
      </c>
      <c r="R9">
        <v>3.8118500000000002</v>
      </c>
      <c r="S9">
        <v>1.429</v>
      </c>
    </row>
    <row r="10" spans="1:19" ht="12">
      <c r="A10">
        <v>6</v>
      </c>
      <c r="B10">
        <v>2.6198000345001371</v>
      </c>
      <c r="C10">
        <f t="shared" si="0"/>
        <v>636.33419244491654</v>
      </c>
      <c r="D10" t="e">
        <v>#DIV/0!</v>
      </c>
      <c r="E10">
        <v>15737.041856430274</v>
      </c>
      <c r="F10" t="e">
        <v>#DIV/0!</v>
      </c>
      <c r="G10">
        <v>16403.464165536639</v>
      </c>
      <c r="H10" t="e">
        <v>#DIV/0!</v>
      </c>
      <c r="L10">
        <v>56.578724891304553</v>
      </c>
      <c r="N10">
        <v>24.048644259807475</v>
      </c>
      <c r="O10" t="e">
        <v>#DIV/0!</v>
      </c>
      <c r="P10">
        <v>0.24345246543677032</v>
      </c>
      <c r="R10">
        <v>1.79575</v>
      </c>
      <c r="S10">
        <v>0.70909999999999995</v>
      </c>
    </row>
    <row r="11" spans="1:19" ht="12">
      <c r="A11">
        <v>7</v>
      </c>
      <c r="B11">
        <v>2.3512300985367465</v>
      </c>
      <c r="C11">
        <f t="shared" si="0"/>
        <v>628.76610031879159</v>
      </c>
      <c r="D11" t="e">
        <v>#DIV/0!</v>
      </c>
      <c r="E11">
        <v>15976.441778286269</v>
      </c>
      <c r="F11" t="e">
        <v>#DIV/0!</v>
      </c>
      <c r="G11">
        <v>15794.131312475723</v>
      </c>
      <c r="H11" t="e">
        <v>#DIV/0!</v>
      </c>
      <c r="L11">
        <v>52.470700509654613</v>
      </c>
      <c r="N11">
        <v>25.793743219979252</v>
      </c>
      <c r="O11" t="e">
        <v>#DIV/0!</v>
      </c>
      <c r="P11">
        <v>0.27976134198016067</v>
      </c>
      <c r="R11">
        <v>5.0559099999999999</v>
      </c>
      <c r="S11">
        <v>1.1739999999999999</v>
      </c>
    </row>
    <row r="12" spans="1:19" ht="12">
      <c r="A12">
        <v>8</v>
      </c>
      <c r="B12">
        <v>2.2139638242894057</v>
      </c>
      <c r="C12">
        <f t="shared" si="0"/>
        <v>624.61132674797454</v>
      </c>
      <c r="D12" t="e">
        <v>#DIV/0!</v>
      </c>
      <c r="E12">
        <v>16232.342912810522</v>
      </c>
      <c r="F12" t="e">
        <v>#DIV/0!</v>
      </c>
      <c r="G12">
        <v>16870.009102007654</v>
      </c>
      <c r="H12" t="e">
        <v>#DIV/0!</v>
      </c>
      <c r="L12">
        <v>49.132202472112297</v>
      </c>
      <c r="N12">
        <v>23.738087693517986</v>
      </c>
      <c r="O12" t="e">
        <v>#DIV/0!</v>
      </c>
      <c r="P12">
        <v>0.38836381111513635</v>
      </c>
      <c r="R12">
        <v>3.0863100000000001</v>
      </c>
      <c r="S12">
        <v>1.129</v>
      </c>
    </row>
    <row r="13" spans="1:19" ht="12">
      <c r="A13">
        <v>9</v>
      </c>
      <c r="B13">
        <v>1.8249362449490121</v>
      </c>
      <c r="C13">
        <f t="shared" si="0"/>
        <v>611.52000908026207</v>
      </c>
      <c r="D13" t="e">
        <v>#DIV/0!</v>
      </c>
      <c r="E13">
        <v>15682.522953531299</v>
      </c>
      <c r="F13" t="e">
        <v>#DIV/0!</v>
      </c>
      <c r="G13">
        <v>16342.77303432324</v>
      </c>
      <c r="H13" t="e">
        <v>#DIV/0!</v>
      </c>
      <c r="L13">
        <v>42.547604144765927</v>
      </c>
      <c r="N13">
        <v>19.834658007244055</v>
      </c>
      <c r="O13" t="e">
        <v>#DIV/0!</v>
      </c>
      <c r="P13">
        <v>0.32806353094263074</v>
      </c>
      <c r="R13">
        <v>4.8402000000000003</v>
      </c>
      <c r="S13">
        <v>1.337</v>
      </c>
    </row>
    <row r="14" spans="1:19" ht="12">
      <c r="A14">
        <v>10</v>
      </c>
      <c r="B14">
        <v>1.814845048391827</v>
      </c>
      <c r="C14">
        <f t="shared" si="0"/>
        <v>611.14999570066925</v>
      </c>
      <c r="D14" t="e">
        <v>#DIV/0!</v>
      </c>
      <c r="E14">
        <v>16628.110367514993</v>
      </c>
      <c r="F14" t="e">
        <v>#DIV/0!</v>
      </c>
      <c r="G14">
        <v>16665.862422044182</v>
      </c>
      <c r="H14" t="e">
        <v>#DIV/0!</v>
      </c>
      <c r="L14">
        <v>45.899498372795762</v>
      </c>
      <c r="N14">
        <v>18.548408615500488</v>
      </c>
      <c r="O14" t="e">
        <v>#DIV/0!</v>
      </c>
      <c r="P14">
        <v>0.28109728012398294</v>
      </c>
      <c r="R14">
        <v>4.2469900000000003</v>
      </c>
      <c r="S14">
        <v>1.909</v>
      </c>
    </row>
    <row r="15" spans="1:19" ht="12">
      <c r="A15">
        <v>11</v>
      </c>
      <c r="B15">
        <v>1.6704981391354137</v>
      </c>
      <c r="C15">
        <f t="shared" si="0"/>
        <v>605.65625790403658</v>
      </c>
      <c r="D15" t="e">
        <v>#DIV/0!</v>
      </c>
      <c r="E15">
        <v>16315.319396249637</v>
      </c>
      <c r="F15" t="e">
        <v>#DIV/0!</v>
      </c>
      <c r="G15">
        <v>16642.085904129097</v>
      </c>
      <c r="H15" t="e">
        <v>#DIV/0!</v>
      </c>
      <c r="L15">
        <v>40.03815802995269</v>
      </c>
      <c r="N15">
        <v>16.490624716091084</v>
      </c>
      <c r="O15" t="e">
        <v>#DIV/0!</v>
      </c>
      <c r="P15">
        <v>0.25736696313871943</v>
      </c>
      <c r="R15">
        <v>3.0556000000000001</v>
      </c>
      <c r="S15">
        <v>1.069</v>
      </c>
    </row>
    <row r="16" spans="1:19" ht="12">
      <c r="A16">
        <v>12</v>
      </c>
      <c r="B16">
        <v>1.5131987065336288</v>
      </c>
      <c r="C16">
        <f t="shared" si="0"/>
        <v>599.18951064303792</v>
      </c>
      <c r="D16" t="e">
        <v>#DIV/0!</v>
      </c>
      <c r="E16">
        <v>16151.906174392061</v>
      </c>
      <c r="F16" t="e">
        <v>#DIV/0!</v>
      </c>
      <c r="G16">
        <v>16464.1571849213</v>
      </c>
      <c r="H16" t="e">
        <v>#DIV/0!</v>
      </c>
      <c r="L16">
        <v>38.634166614096095</v>
      </c>
      <c r="N16">
        <v>14.878769588415299</v>
      </c>
      <c r="O16" t="e">
        <v>#DIV/0!</v>
      </c>
      <c r="P16">
        <v>0.18779422706683749</v>
      </c>
      <c r="R16">
        <v>4.9729000000000001</v>
      </c>
      <c r="S16">
        <v>1.46</v>
      </c>
    </row>
    <row r="17" spans="1:19" ht="12">
      <c r="A17">
        <v>13</v>
      </c>
      <c r="B17">
        <v>1.5578832023313476</v>
      </c>
      <c r="C17">
        <f t="shared" si="0"/>
        <v>601.08256916483253</v>
      </c>
      <c r="D17" t="e">
        <v>#DIV/0!</v>
      </c>
      <c r="E17">
        <v>16090.563488534804</v>
      </c>
      <c r="F17" t="e">
        <v>#DIV/0!</v>
      </c>
      <c r="G17">
        <v>17467.870376707306</v>
      </c>
      <c r="H17" t="e">
        <v>#DIV/0!</v>
      </c>
      <c r="L17">
        <v>36.879293852908759</v>
      </c>
      <c r="N17">
        <v>14.312244572916942</v>
      </c>
      <c r="O17" t="e">
        <v>#DIV/0!</v>
      </c>
      <c r="P17">
        <v>0.23396306985426085</v>
      </c>
      <c r="R17">
        <v>4.2226299999999997</v>
      </c>
      <c r="S17">
        <v>1.7290000000000001</v>
      </c>
    </row>
    <row r="18" spans="1:19" ht="12">
      <c r="A18">
        <v>14</v>
      </c>
      <c r="B18">
        <v>1.6014815883624152</v>
      </c>
      <c r="C18">
        <f t="shared" si="0"/>
        <v>602.88560539570972</v>
      </c>
      <c r="D18" t="e">
        <v>#DIV/0!</v>
      </c>
      <c r="E18">
        <v>16441.245244201931</v>
      </c>
      <c r="F18" t="e">
        <v>#DIV/0!</v>
      </c>
      <c r="G18">
        <v>17102.495925692161</v>
      </c>
      <c r="H18" t="e">
        <v>#DIV/0!</v>
      </c>
      <c r="L18">
        <v>36.269665186122367</v>
      </c>
      <c r="N18">
        <v>13.717689327938022</v>
      </c>
      <c r="O18" t="e">
        <v>#DIV/0!</v>
      </c>
      <c r="P18">
        <v>0.23253930098908709</v>
      </c>
      <c r="R18">
        <v>6.2050799999999997</v>
      </c>
      <c r="S18">
        <v>1.7769999999999999</v>
      </c>
    </row>
    <row r="19" spans="1:19" ht="12">
      <c r="A19">
        <v>15</v>
      </c>
      <c r="B19">
        <v>1.5565375286215763</v>
      </c>
      <c r="C19">
        <f t="shared" si="0"/>
        <v>601.0262384915543</v>
      </c>
      <c r="D19" t="e">
        <v>#DIV/0!</v>
      </c>
      <c r="E19">
        <v>16060.390419726473</v>
      </c>
      <c r="F19" t="e">
        <v>#DIV/0!</v>
      </c>
      <c r="G19">
        <v>16984.178894640794</v>
      </c>
      <c r="H19" t="e">
        <v>#DIV/0!</v>
      </c>
      <c r="L19">
        <v>32.711209261041972</v>
      </c>
      <c r="N19">
        <v>12.564085144410312</v>
      </c>
      <c r="O19" t="e">
        <v>#DIV/0!</v>
      </c>
      <c r="P19">
        <v>0.2070918243208788</v>
      </c>
      <c r="R19">
        <v>5.5744800000000003</v>
      </c>
      <c r="S19">
        <v>3.137</v>
      </c>
    </row>
    <row r="20" spans="1:19" ht="12">
      <c r="A20">
        <v>16</v>
      </c>
      <c r="B20">
        <v>1.45089168006722</v>
      </c>
      <c r="C20">
        <f t="shared" si="0"/>
        <v>596.46883476568814</v>
      </c>
      <c r="D20" t="e">
        <v>#DIV/0!</v>
      </c>
      <c r="E20">
        <v>15969.214856574476</v>
      </c>
      <c r="F20" t="e">
        <v>#DIV/0!</v>
      </c>
      <c r="G20">
        <v>17143.209294349654</v>
      </c>
      <c r="H20" t="e">
        <v>#DIV/0!</v>
      </c>
      <c r="L20">
        <v>38.882489138693082</v>
      </c>
      <c r="N20">
        <v>13.225725238883793</v>
      </c>
      <c r="O20" t="e">
        <v>#DIV/0!</v>
      </c>
      <c r="P20">
        <v>0.40848562104153185</v>
      </c>
      <c r="R20">
        <v>10.7478</v>
      </c>
      <c r="S20">
        <v>4.7560000000000002</v>
      </c>
    </row>
    <row r="21" spans="1:19" ht="12">
      <c r="A21">
        <v>17</v>
      </c>
      <c r="B21">
        <v>1.5420438810811268</v>
      </c>
      <c r="C21">
        <f t="shared" si="0"/>
        <v>600.41688516995316</v>
      </c>
      <c r="D21" t="e">
        <v>#DIV/0!</v>
      </c>
      <c r="E21">
        <v>16407.280880044738</v>
      </c>
      <c r="F21" t="e">
        <v>#DIV/0!</v>
      </c>
      <c r="G21">
        <v>17550.780907256292</v>
      </c>
      <c r="H21" t="e">
        <v>#DIV/0!</v>
      </c>
      <c r="L21">
        <v>107.62973180980104</v>
      </c>
      <c r="N21">
        <v>32.934428525910604</v>
      </c>
      <c r="O21" t="e">
        <v>#DIV/0!</v>
      </c>
      <c r="P21">
        <v>0.95349366019786375</v>
      </c>
      <c r="R21">
        <v>19.957599999999999</v>
      </c>
      <c r="S21">
        <v>3.04</v>
      </c>
    </row>
    <row r="22" spans="1:19" ht="12">
      <c r="A22">
        <v>18</v>
      </c>
      <c r="B22">
        <v>1.498716783598095</v>
      </c>
      <c r="C22">
        <f t="shared" si="0"/>
        <v>598.56577406788244</v>
      </c>
      <c r="D22" t="e">
        <v>#DIV/0!</v>
      </c>
      <c r="E22">
        <v>15943.49125534976</v>
      </c>
      <c r="F22" t="e">
        <v>#DIV/0!</v>
      </c>
      <c r="G22">
        <v>17462.469130453617</v>
      </c>
      <c r="H22" t="e">
        <v>#DIV/0!</v>
      </c>
      <c r="L22">
        <v>183.21423256253718</v>
      </c>
      <c r="N22">
        <v>49.734190914593803</v>
      </c>
      <c r="O22" t="e">
        <v>#DIV/0!</v>
      </c>
      <c r="P22">
        <v>2.55373662545589</v>
      </c>
      <c r="R22">
        <v>31.591000000000001</v>
      </c>
      <c r="S22">
        <v>4.2450000000000001</v>
      </c>
    </row>
    <row r="23" spans="1:19" ht="12">
      <c r="A23">
        <v>19</v>
      </c>
      <c r="B23">
        <v>1.5595696166306194</v>
      </c>
      <c r="C23">
        <f t="shared" si="0"/>
        <v>601.15310502279624</v>
      </c>
      <c r="D23" t="e">
        <v>#DIV/0!</v>
      </c>
      <c r="E23">
        <v>16254.423776648435</v>
      </c>
      <c r="F23" t="e">
        <v>#DIV/0!</v>
      </c>
      <c r="G23">
        <v>18624.092108115918</v>
      </c>
      <c r="H23" t="e">
        <v>#DIV/0!</v>
      </c>
      <c r="L23">
        <v>275.29535820301112</v>
      </c>
      <c r="N23">
        <v>64.551285823950877</v>
      </c>
      <c r="O23" t="e">
        <v>#DIV/0!</v>
      </c>
      <c r="P23">
        <v>3.3542560153470435</v>
      </c>
      <c r="R23">
        <v>32.295299999999997</v>
      </c>
      <c r="S23">
        <v>4.0380000000000003</v>
      </c>
    </row>
    <row r="24" spans="1:19" ht="12">
      <c r="A24">
        <v>20</v>
      </c>
      <c r="B24">
        <v>1.7295760897179981</v>
      </c>
      <c r="C24">
        <f t="shared" si="0"/>
        <v>607.95168155518445</v>
      </c>
      <c r="D24" t="e">
        <v>#DIV/0!</v>
      </c>
      <c r="E24">
        <v>16090.234731312379</v>
      </c>
      <c r="F24" t="e">
        <v>#DIV/0!</v>
      </c>
      <c r="G24">
        <v>17745.342817978257</v>
      </c>
      <c r="H24" t="e">
        <v>#DIV/0!</v>
      </c>
      <c r="L24">
        <v>350.26681918646165</v>
      </c>
      <c r="N24">
        <v>77.55082389246445</v>
      </c>
      <c r="O24" t="e">
        <v>#DIV/0!</v>
      </c>
      <c r="P24">
        <v>4.7290904938624037</v>
      </c>
      <c r="R24">
        <v>39.832000000000001</v>
      </c>
      <c r="S24">
        <v>4.88</v>
      </c>
    </row>
    <row r="25" spans="1:19" ht="12">
      <c r="C25" t="e">
        <f t="shared" si="0"/>
        <v>#NUM!</v>
      </c>
    </row>
    <row r="26" spans="1:19" ht="12">
      <c r="A26" s="1" t="s">
        <v>35</v>
      </c>
      <c r="C26" t="e">
        <f t="shared" si="0"/>
        <v>#NUM!</v>
      </c>
    </row>
    <row r="27" spans="1:19" ht="12">
      <c r="B27" t="s">
        <v>20</v>
      </c>
      <c r="C27" t="e">
        <f t="shared" si="0"/>
        <v>#VALUE!</v>
      </c>
      <c r="E27" t="s">
        <v>22</v>
      </c>
      <c r="G27" t="s">
        <v>23</v>
      </c>
      <c r="L27" t="s">
        <v>24</v>
      </c>
      <c r="N27" t="s">
        <v>65</v>
      </c>
      <c r="P27" t="s">
        <v>25</v>
      </c>
    </row>
    <row r="28" spans="1:19" ht="12">
      <c r="A28" t="s">
        <v>26</v>
      </c>
      <c r="C28" t="e">
        <f t="shared" si="0"/>
        <v>#NUM!</v>
      </c>
    </row>
    <row r="29" spans="1:19" ht="12">
      <c r="A29">
        <v>1</v>
      </c>
      <c r="B29">
        <v>1.8265076712133377</v>
      </c>
      <c r="C29">
        <f t="shared" si="0"/>
        <v>611.57747210281536</v>
      </c>
      <c r="D29" t="e">
        <v>#DIV/0!</v>
      </c>
      <c r="E29">
        <v>17083.738367891536</v>
      </c>
      <c r="F29" t="e">
        <v>#DIV/0!</v>
      </c>
      <c r="G29">
        <v>17756.246137547452</v>
      </c>
      <c r="H29" t="e">
        <v>#DIV/0!</v>
      </c>
      <c r="L29">
        <v>1536.1027793108915</v>
      </c>
      <c r="N29">
        <v>863.96018114687229</v>
      </c>
      <c r="O29" t="e">
        <v>#DIV/0!</v>
      </c>
      <c r="P29">
        <v>8.0670683677811326</v>
      </c>
      <c r="R29">
        <v>2.6710699999999998</v>
      </c>
      <c r="S29">
        <v>0.55500000000000005</v>
      </c>
    </row>
    <row r="30" spans="1:19" ht="12">
      <c r="A30">
        <v>2</v>
      </c>
      <c r="B30">
        <v>2.0241688550144814</v>
      </c>
      <c r="C30">
        <f t="shared" si="0"/>
        <v>618.49161209279475</v>
      </c>
      <c r="D30" t="e">
        <v>#DIV/0!</v>
      </c>
      <c r="E30">
        <v>17855.59391612776</v>
      </c>
      <c r="F30" t="e">
        <v>#DIV/0!</v>
      </c>
      <c r="G30">
        <v>18079.768194708551</v>
      </c>
      <c r="H30" t="e">
        <v>#DIV/0!</v>
      </c>
      <c r="L30">
        <v>1517.5607740291782</v>
      </c>
      <c r="N30">
        <v>713.15241987873549</v>
      </c>
      <c r="O30" t="e">
        <v>#DIV/0!</v>
      </c>
      <c r="P30">
        <v>7.5897320927190908</v>
      </c>
      <c r="R30">
        <v>2.33175</v>
      </c>
      <c r="S30">
        <v>0.55920000000000003</v>
      </c>
    </row>
    <row r="31" spans="1:19" ht="12">
      <c r="A31">
        <v>3</v>
      </c>
      <c r="B31">
        <v>1.8900936488848936</v>
      </c>
      <c r="C31">
        <f t="shared" si="0"/>
        <v>613.86817802199425</v>
      </c>
      <c r="D31" t="e">
        <v>#DIV/0!</v>
      </c>
      <c r="E31">
        <v>17440.473495234692</v>
      </c>
      <c r="F31" t="e">
        <v>#DIV/0!</v>
      </c>
      <c r="G31">
        <v>16984.877439792679</v>
      </c>
      <c r="H31" t="e">
        <v>#DIV/0!</v>
      </c>
      <c r="L31">
        <v>1438.9739675611361</v>
      </c>
      <c r="N31">
        <v>624.06484445538877</v>
      </c>
      <c r="O31" t="e">
        <v>#DIV/0!</v>
      </c>
      <c r="P31">
        <v>7.3236866268450402</v>
      </c>
      <c r="R31">
        <v>2.7203599999999999</v>
      </c>
      <c r="S31">
        <v>0.64570000000000005</v>
      </c>
    </row>
    <row r="32" spans="1:19" ht="12">
      <c r="A32">
        <v>4</v>
      </c>
      <c r="B32">
        <v>1.9391838450362324</v>
      </c>
      <c r="C32">
        <f t="shared" si="0"/>
        <v>615.59235518759715</v>
      </c>
      <c r="D32" t="e">
        <v>#DIV/0!</v>
      </c>
      <c r="E32">
        <v>16797.427340289363</v>
      </c>
      <c r="F32" t="e">
        <v>#DIV/0!</v>
      </c>
      <c r="G32">
        <v>17564.57712244819</v>
      </c>
      <c r="H32" t="e">
        <v>#DIV/0!</v>
      </c>
      <c r="L32">
        <v>1349.4091991560417</v>
      </c>
      <c r="N32">
        <v>539.087472851651</v>
      </c>
      <c r="O32" t="e">
        <v>#DIV/0!</v>
      </c>
      <c r="P32">
        <v>5.6346268741199861</v>
      </c>
      <c r="R32">
        <v>3.0541700000000001</v>
      </c>
      <c r="S32">
        <v>0.7893</v>
      </c>
    </row>
    <row r="33" spans="1:19" ht="12">
      <c r="A33">
        <v>5</v>
      </c>
      <c r="B33">
        <v>1.9608407613434491</v>
      </c>
      <c r="C33">
        <f t="shared" si="0"/>
        <v>616.34125621960663</v>
      </c>
      <c r="D33" t="e">
        <v>#DIV/0!</v>
      </c>
      <c r="E33">
        <v>17127.145832065609</v>
      </c>
      <c r="F33" t="e">
        <v>#DIV/0!</v>
      </c>
      <c r="G33">
        <v>18812.680871278146</v>
      </c>
      <c r="H33" t="e">
        <v>#DIV/0!</v>
      </c>
      <c r="L33">
        <v>1326.1910910944641</v>
      </c>
      <c r="N33">
        <v>498.3704600979579</v>
      </c>
      <c r="O33" t="e">
        <v>#DIV/0!</v>
      </c>
      <c r="P33">
        <v>6.464895489711691</v>
      </c>
      <c r="R33">
        <v>2.7248000000000001</v>
      </c>
      <c r="S33">
        <v>0.70960000000000001</v>
      </c>
    </row>
    <row r="34" spans="1:19" ht="12">
      <c r="A34">
        <v>6</v>
      </c>
      <c r="B34">
        <v>2.0474135608087463</v>
      </c>
      <c r="C34">
        <f t="shared" si="0"/>
        <v>619.26660876984567</v>
      </c>
      <c r="D34" t="e">
        <v>#DIV/0!</v>
      </c>
      <c r="E34">
        <v>17237.258729125999</v>
      </c>
      <c r="F34" t="e">
        <v>#DIV/0!</v>
      </c>
      <c r="G34">
        <v>17322.004796343732</v>
      </c>
      <c r="H34" t="e">
        <v>#DIV/0!</v>
      </c>
      <c r="L34">
        <v>1035.0212470329052</v>
      </c>
      <c r="N34">
        <v>419.75347983054741</v>
      </c>
      <c r="O34" t="e">
        <v>#DIV/0!</v>
      </c>
      <c r="P34">
        <v>5.1043395809714518</v>
      </c>
      <c r="R34">
        <v>1.3574200000000001</v>
      </c>
      <c r="S34">
        <v>0.15590000000000001</v>
      </c>
    </row>
    <row r="35" spans="1:19" ht="12">
      <c r="A35">
        <v>7</v>
      </c>
      <c r="B35">
        <v>2.0690920269651927</v>
      </c>
      <c r="C35">
        <f t="shared" si="0"/>
        <v>619.98269385428659</v>
      </c>
      <c r="D35" t="e">
        <v>#DIV/0!</v>
      </c>
      <c r="E35">
        <v>17178.317365588347</v>
      </c>
      <c r="F35" t="e">
        <v>#DIV/0!</v>
      </c>
      <c r="G35">
        <v>17467.061648725579</v>
      </c>
      <c r="H35" t="e">
        <v>#DIV/0!</v>
      </c>
      <c r="L35">
        <v>909.22673592227284</v>
      </c>
      <c r="N35">
        <v>356.87795667861525</v>
      </c>
      <c r="O35" t="e">
        <v>#DIV/0!</v>
      </c>
      <c r="P35">
        <v>3.8051769272116771</v>
      </c>
      <c r="R35">
        <v>1.5809500000000001</v>
      </c>
      <c r="S35">
        <v>0.2356</v>
      </c>
    </row>
    <row r="36" spans="1:19" ht="12">
      <c r="A36">
        <v>8</v>
      </c>
      <c r="B36">
        <v>2.1702583979328165</v>
      </c>
      <c r="C36">
        <f t="shared" si="0"/>
        <v>623.24265852599569</v>
      </c>
      <c r="D36" t="e">
        <v>#DIV/0!</v>
      </c>
      <c r="E36">
        <v>17785.275033052676</v>
      </c>
      <c r="F36" t="e">
        <v>#DIV/0!</v>
      </c>
      <c r="G36">
        <v>18692.107755605663</v>
      </c>
      <c r="H36" t="e">
        <v>#DIV/0!</v>
      </c>
      <c r="L36">
        <v>816.36580194880059</v>
      </c>
      <c r="N36">
        <v>314.12318059699277</v>
      </c>
      <c r="O36" t="e">
        <v>#DIV/0!</v>
      </c>
      <c r="P36">
        <v>3.782894194015836</v>
      </c>
      <c r="R36">
        <v>1.5115099999999999</v>
      </c>
      <c r="S36">
        <v>0.24099999999999999</v>
      </c>
    </row>
    <row r="37" spans="1:19" ht="12">
      <c r="A37">
        <v>9</v>
      </c>
      <c r="B37">
        <v>2.1239368487452595</v>
      </c>
      <c r="C37">
        <f t="shared" si="0"/>
        <v>621.76634317493279</v>
      </c>
      <c r="D37" t="e">
        <v>#DIV/0!</v>
      </c>
      <c r="E37">
        <v>17425.227651770703</v>
      </c>
      <c r="F37" t="e">
        <v>#DIV/0!</v>
      </c>
      <c r="G37">
        <v>18016.330165339787</v>
      </c>
      <c r="H37" t="e">
        <v>#DIV/0!</v>
      </c>
      <c r="L37">
        <v>647.65909807134801</v>
      </c>
      <c r="N37">
        <v>250.4016162052132</v>
      </c>
      <c r="O37" t="e">
        <v>#DIV/0!</v>
      </c>
      <c r="P37">
        <v>2.898280378123923</v>
      </c>
      <c r="R37">
        <v>1.70136</v>
      </c>
      <c r="S37">
        <v>0.28179999999999999</v>
      </c>
    </row>
    <row r="38" spans="1:19" ht="12">
      <c r="A38">
        <v>10</v>
      </c>
      <c r="B38">
        <v>2.0383370808485677</v>
      </c>
      <c r="C38">
        <f t="shared" si="0"/>
        <v>618.96488375059528</v>
      </c>
      <c r="D38" t="e">
        <v>#DIV/0!</v>
      </c>
      <c r="E38">
        <v>17842.503386173285</v>
      </c>
      <c r="F38" t="e">
        <v>#DIV/0!</v>
      </c>
      <c r="G38">
        <v>18358.582313705978</v>
      </c>
      <c r="H38" t="e">
        <v>#DIV/0!</v>
      </c>
      <c r="L38">
        <v>543.50719702697768</v>
      </c>
      <c r="N38">
        <v>208.43271560081081</v>
      </c>
      <c r="O38" t="e">
        <v>#DIV/0!</v>
      </c>
      <c r="P38">
        <v>2.4874042619139867</v>
      </c>
      <c r="R38">
        <v>2.1288800000000001</v>
      </c>
      <c r="S38">
        <v>0.28939999999999999</v>
      </c>
    </row>
    <row r="39" spans="1:19" ht="12">
      <c r="A39">
        <v>11</v>
      </c>
      <c r="B39">
        <v>2.08491745395553</v>
      </c>
      <c r="C39">
        <f t="shared" si="0"/>
        <v>620.50143657134754</v>
      </c>
      <c r="D39" t="e">
        <v>#DIV/0!</v>
      </c>
      <c r="E39">
        <v>17339.126681595186</v>
      </c>
      <c r="F39" t="e">
        <v>#DIV/0!</v>
      </c>
      <c r="G39">
        <v>18231.490270526818</v>
      </c>
      <c r="H39" t="e">
        <v>#DIV/0!</v>
      </c>
      <c r="L39">
        <v>387.77808689581582</v>
      </c>
      <c r="N39">
        <v>164.69658843398756</v>
      </c>
      <c r="O39" t="e">
        <v>#DIV/0!</v>
      </c>
      <c r="P39">
        <v>1.7797423711680342</v>
      </c>
      <c r="R39">
        <v>2.3219599999999998</v>
      </c>
      <c r="S39">
        <v>0.52049999999999996</v>
      </c>
    </row>
    <row r="40" spans="1:19" ht="12">
      <c r="A40">
        <v>12</v>
      </c>
      <c r="B40">
        <v>2.363508751297057</v>
      </c>
      <c r="C40">
        <f t="shared" si="0"/>
        <v>629.12766633973547</v>
      </c>
      <c r="D40" t="e">
        <v>#DIV/0!</v>
      </c>
      <c r="E40">
        <v>17428.697868966745</v>
      </c>
      <c r="F40" t="e">
        <v>#DIV/0!</v>
      </c>
      <c r="G40">
        <v>18060.850539823332</v>
      </c>
      <c r="H40" t="e">
        <v>#DIV/0!</v>
      </c>
      <c r="L40">
        <v>425.54369625871078</v>
      </c>
      <c r="N40">
        <v>155.93990782262807</v>
      </c>
      <c r="O40" t="e">
        <v>#DIV/0!</v>
      </c>
      <c r="P40">
        <v>2.547925706564734</v>
      </c>
      <c r="R40">
        <v>7.3319299999999998</v>
      </c>
      <c r="S40">
        <v>1.518</v>
      </c>
    </row>
    <row r="41" spans="1:19" ht="12">
      <c r="A41">
        <v>13</v>
      </c>
      <c r="B41">
        <v>2.7286103924894105</v>
      </c>
      <c r="C41">
        <f t="shared" si="0"/>
        <v>639.21467734230987</v>
      </c>
      <c r="D41" t="e">
        <v>#DIV/0!</v>
      </c>
      <c r="E41">
        <v>17085.991541985044</v>
      </c>
      <c r="F41" t="e">
        <v>#DIV/0!</v>
      </c>
      <c r="G41">
        <v>18473.189057596228</v>
      </c>
      <c r="H41" t="e">
        <v>#DIV/0!</v>
      </c>
      <c r="L41">
        <v>491.13391145166253</v>
      </c>
      <c r="N41">
        <v>148.419533099267</v>
      </c>
      <c r="O41" t="e">
        <v>#DIV/0!</v>
      </c>
      <c r="P41">
        <v>4.2942333261540666</v>
      </c>
      <c r="R41">
        <v>13.362500000000001</v>
      </c>
      <c r="S41">
        <v>1.5720000000000001</v>
      </c>
    </row>
    <row r="42" spans="1:19" ht="12">
      <c r="A42">
        <v>14</v>
      </c>
      <c r="B42">
        <v>3.3798694072881377</v>
      </c>
      <c r="C42">
        <f t="shared" si="0"/>
        <v>654.67124500643013</v>
      </c>
      <c r="D42" t="e">
        <v>#DIV/0!</v>
      </c>
      <c r="E42">
        <v>17183.141228043285</v>
      </c>
      <c r="F42" t="e">
        <v>#DIV/0!</v>
      </c>
      <c r="G42">
        <v>18387.61033602442</v>
      </c>
      <c r="H42" t="e">
        <v>#DIV/0!</v>
      </c>
      <c r="L42">
        <v>731.98475038808897</v>
      </c>
      <c r="N42">
        <v>161.38782857883444</v>
      </c>
      <c r="O42" t="e">
        <v>#DIV/0!</v>
      </c>
      <c r="P42">
        <v>7.4739081191944496</v>
      </c>
      <c r="R42">
        <v>21.9453</v>
      </c>
      <c r="S42">
        <v>2.4809999999999999</v>
      </c>
    </row>
    <row r="43" spans="1:19" ht="12">
      <c r="A43">
        <v>15</v>
      </c>
      <c r="B43">
        <v>3.5124351148468511</v>
      </c>
      <c r="C43">
        <f t="shared" si="0"/>
        <v>657.50517269747434</v>
      </c>
      <c r="D43" t="e">
        <v>#DIV/0!</v>
      </c>
      <c r="E43">
        <v>16766.005019200973</v>
      </c>
      <c r="F43" t="e">
        <v>#DIV/0!</v>
      </c>
      <c r="G43">
        <v>17923.564299281217</v>
      </c>
      <c r="H43" t="e">
        <v>#DIV/0!</v>
      </c>
      <c r="L43">
        <v>871.33839668779331</v>
      </c>
      <c r="N43">
        <v>165.47206525587293</v>
      </c>
      <c r="O43" t="e">
        <v>#DIV/0!</v>
      </c>
      <c r="P43">
        <v>12.312011247659772</v>
      </c>
      <c r="R43">
        <v>25.808399999999999</v>
      </c>
      <c r="S43">
        <v>2.82</v>
      </c>
    </row>
    <row r="44" spans="1:19" ht="12">
      <c r="A44">
        <v>16</v>
      </c>
      <c r="B44">
        <v>3.5766761557071871</v>
      </c>
      <c r="C44">
        <f t="shared" si="0"/>
        <v>658.84624773760163</v>
      </c>
      <c r="D44" t="e">
        <v>#DIV/0!</v>
      </c>
      <c r="E44">
        <v>16232.23600401172</v>
      </c>
      <c r="F44" t="e">
        <v>#DIV/0!</v>
      </c>
      <c r="G44">
        <v>17057.200120037727</v>
      </c>
      <c r="H44" t="e">
        <v>#DIV/0!</v>
      </c>
      <c r="L44">
        <v>913.81607347555484</v>
      </c>
      <c r="N44">
        <v>170.93422136191734</v>
      </c>
      <c r="O44" t="e">
        <v>#DIV/0!</v>
      </c>
      <c r="P44">
        <v>18.030608194237736</v>
      </c>
      <c r="R44">
        <v>29.677099999999999</v>
      </c>
      <c r="S44">
        <v>3.7370000000000001</v>
      </c>
    </row>
    <row r="45" spans="1:19" ht="12">
      <c r="A45">
        <v>17</v>
      </c>
      <c r="B45">
        <v>3.5473800712225976</v>
      </c>
      <c r="C45">
        <f t="shared" si="0"/>
        <v>658.2372061567828</v>
      </c>
      <c r="D45" t="e">
        <v>#DIV/0!</v>
      </c>
      <c r="E45">
        <v>15901.265292399292</v>
      </c>
      <c r="F45" t="e">
        <v>#DIV/0!</v>
      </c>
      <c r="G45">
        <v>16997.784504694217</v>
      </c>
      <c r="H45" t="e">
        <v>#DIV/0!</v>
      </c>
      <c r="L45">
        <v>1020.5234768214332</v>
      </c>
      <c r="N45">
        <v>179.07837162105918</v>
      </c>
      <c r="O45" t="e">
        <v>#DIV/0!</v>
      </c>
      <c r="P45">
        <v>26.234999085267177</v>
      </c>
      <c r="R45">
        <v>36.000399999999999</v>
      </c>
      <c r="S45">
        <v>4.3259999999999996</v>
      </c>
    </row>
    <row r="46" spans="1:19" ht="12">
      <c r="A46">
        <v>18</v>
      </c>
      <c r="B46">
        <v>3.7523116071103995</v>
      </c>
      <c r="C46">
        <f t="shared" si="0"/>
        <v>662.41205621453423</v>
      </c>
      <c r="D46" t="e">
        <v>#DIV/0!</v>
      </c>
      <c r="E46">
        <v>15839.254924933246</v>
      </c>
      <c r="F46" t="e">
        <v>#DIV/0!</v>
      </c>
      <c r="G46">
        <v>17270.482214808719</v>
      </c>
      <c r="H46" t="e">
        <v>#DIV/0!</v>
      </c>
      <c r="L46">
        <v>1148.2803725293418</v>
      </c>
      <c r="N46">
        <v>192.63782226163835</v>
      </c>
      <c r="O46" t="e">
        <v>#DIV/0!</v>
      </c>
      <c r="P46">
        <v>35.740521402825273</v>
      </c>
      <c r="R46">
        <v>38.255600000000001</v>
      </c>
      <c r="S46">
        <v>4.6529999999999996</v>
      </c>
    </row>
    <row r="47" spans="1:19" ht="12">
      <c r="A47">
        <v>19</v>
      </c>
      <c r="B47">
        <v>3.9638475602035386</v>
      </c>
      <c r="C47">
        <f t="shared" si="0"/>
        <v>666.52512428847501</v>
      </c>
      <c r="D47" t="e">
        <v>#DIV/0!</v>
      </c>
      <c r="E47">
        <v>15381.593770791544</v>
      </c>
      <c r="F47" t="e">
        <v>#DIV/0!</v>
      </c>
      <c r="G47">
        <v>17622.757371540072</v>
      </c>
      <c r="H47" t="e">
        <v>#DIV/0!</v>
      </c>
      <c r="L47">
        <v>1315.838304439701</v>
      </c>
      <c r="N47">
        <v>205.19541019536297</v>
      </c>
      <c r="O47" t="e">
        <v>#DIV/0!</v>
      </c>
      <c r="P47">
        <v>43.353571112728659</v>
      </c>
      <c r="R47">
        <v>42.137700000000002</v>
      </c>
      <c r="S47">
        <v>5.0140000000000002</v>
      </c>
    </row>
    <row r="48" spans="1:19" ht="12">
      <c r="A48">
        <v>20</v>
      </c>
      <c r="B48">
        <v>4.1423587268174069</v>
      </c>
      <c r="C48">
        <f t="shared" si="0"/>
        <v>669.85506958052463</v>
      </c>
      <c r="D48" t="e">
        <v>#DIV/0!</v>
      </c>
      <c r="E48">
        <v>15619.382228199718</v>
      </c>
      <c r="F48" t="e">
        <v>#DIV/0!</v>
      </c>
      <c r="G48">
        <v>16873.557933811822</v>
      </c>
      <c r="H48" t="e">
        <v>#DIV/0!</v>
      </c>
      <c r="L48">
        <v>1569.6241628610401</v>
      </c>
      <c r="N48">
        <v>231.95479225454901</v>
      </c>
      <c r="O48" t="e">
        <v>#DIV/0!</v>
      </c>
      <c r="P48">
        <v>74.172400799314872</v>
      </c>
      <c r="R48">
        <v>39.796700000000001</v>
      </c>
      <c r="S48">
        <v>4.5890000000000004</v>
      </c>
    </row>
    <row r="49" spans="1:19" ht="12">
      <c r="C49" t="e">
        <f t="shared" si="0"/>
        <v>#NUM!</v>
      </c>
    </row>
    <row r="50" spans="1:19" ht="12">
      <c r="A50" s="1" t="s">
        <v>36</v>
      </c>
      <c r="C50" t="e">
        <f t="shared" si="0"/>
        <v>#NUM!</v>
      </c>
    </row>
    <row r="51" spans="1:19" ht="12">
      <c r="B51" t="s">
        <v>20</v>
      </c>
      <c r="C51" t="e">
        <f t="shared" si="0"/>
        <v>#VALUE!</v>
      </c>
      <c r="E51" t="s">
        <v>22</v>
      </c>
      <c r="G51" t="s">
        <v>23</v>
      </c>
      <c r="L51" t="s">
        <v>24</v>
      </c>
      <c r="N51" t="s">
        <v>65</v>
      </c>
      <c r="P51" t="s">
        <v>25</v>
      </c>
    </row>
    <row r="52" spans="1:19" ht="12">
      <c r="A52" t="s">
        <v>26</v>
      </c>
      <c r="C52" t="e">
        <f t="shared" si="0"/>
        <v>#NUM!</v>
      </c>
    </row>
    <row r="53" spans="1:19" ht="12">
      <c r="A53">
        <v>1</v>
      </c>
      <c r="B53">
        <v>3.615332189188754</v>
      </c>
      <c r="C53">
        <f t="shared" si="0"/>
        <v>659.64348847984274</v>
      </c>
      <c r="D53" t="e">
        <v>#DIV/0!</v>
      </c>
      <c r="E53">
        <v>15133.593067972342</v>
      </c>
      <c r="F53" t="e">
        <v>#DIV/0!</v>
      </c>
      <c r="G53">
        <v>16458.009340061075</v>
      </c>
      <c r="H53" t="e">
        <v>#DIV/0!</v>
      </c>
      <c r="I53" t="e">
        <v>#DIV/0!</v>
      </c>
      <c r="J53" t="e">
        <v>#DIV/0!</v>
      </c>
      <c r="K53" t="e">
        <v>#DIV/0!</v>
      </c>
      <c r="L53">
        <v>94.22072809094162</v>
      </c>
      <c r="M53" t="e">
        <v>#DIV/0!</v>
      </c>
      <c r="N53">
        <v>29.868259675156583</v>
      </c>
      <c r="O53" t="e">
        <v>#DIV/0!</v>
      </c>
      <c r="P53">
        <v>0.9315121549697607</v>
      </c>
      <c r="R53">
        <v>4.6525800000000004</v>
      </c>
      <c r="S53">
        <v>1.155</v>
      </c>
    </row>
    <row r="54" spans="1:19" ht="12">
      <c r="A54">
        <v>2</v>
      </c>
      <c r="B54">
        <v>2.4017673190156743</v>
      </c>
      <c r="C54">
        <f t="shared" si="0"/>
        <v>630.24415791938623</v>
      </c>
      <c r="D54" t="e">
        <v>#DIV/0!</v>
      </c>
      <c r="E54">
        <v>15042.210943068903</v>
      </c>
      <c r="F54" t="e">
        <v>#DIV/0!</v>
      </c>
      <c r="G54">
        <v>15880.00035092106</v>
      </c>
      <c r="H54" t="e">
        <v>#DIV/0!</v>
      </c>
      <c r="I54" t="e">
        <v>#DIV/0!</v>
      </c>
      <c r="J54" t="e">
        <v>#DIV/0!</v>
      </c>
      <c r="K54" t="e">
        <v>#DIV/0!</v>
      </c>
      <c r="L54">
        <v>62.132432960994961</v>
      </c>
      <c r="M54" t="e">
        <v>#DIV/0!</v>
      </c>
      <c r="N54">
        <v>18.569461948414421</v>
      </c>
      <c r="O54" t="e">
        <v>#DIV/0!</v>
      </c>
      <c r="P54">
        <v>0.43728163317529478</v>
      </c>
      <c r="R54">
        <v>3.12026</v>
      </c>
      <c r="S54">
        <v>1.657</v>
      </c>
    </row>
    <row r="55" spans="1:19" ht="12">
      <c r="A55">
        <v>3</v>
      </c>
      <c r="B55">
        <v>1.9245793116498902</v>
      </c>
      <c r="C55">
        <f t="shared" si="0"/>
        <v>615.08331199685131</v>
      </c>
      <c r="D55" t="e">
        <v>#DIV/0!</v>
      </c>
      <c r="E55">
        <v>15116.830932651781</v>
      </c>
      <c r="F55" t="e">
        <v>#DIV/0!</v>
      </c>
      <c r="G55">
        <v>15211.893062459114</v>
      </c>
      <c r="H55" t="e">
        <v>#DIV/0!</v>
      </c>
      <c r="I55" t="e">
        <v>#DIV/0!</v>
      </c>
      <c r="J55" t="e">
        <v>#DIV/0!</v>
      </c>
      <c r="K55" t="e">
        <v>#DIV/0!</v>
      </c>
      <c r="L55">
        <v>47.554683742985901</v>
      </c>
      <c r="M55" t="e">
        <v>#DIV/0!</v>
      </c>
      <c r="N55">
        <v>13.771408138975858</v>
      </c>
      <c r="O55" t="e">
        <v>#DIV/0!</v>
      </c>
      <c r="P55">
        <v>0.2235824794251017</v>
      </c>
      <c r="R55">
        <v>3.8816899999999999</v>
      </c>
      <c r="S55">
        <v>1.74</v>
      </c>
    </row>
    <row r="56" spans="1:19" ht="12">
      <c r="A56">
        <v>4</v>
      </c>
      <c r="B56">
        <v>1.5811110335832106</v>
      </c>
      <c r="C56">
        <f t="shared" si="0"/>
        <v>602.04843458002824</v>
      </c>
      <c r="D56" t="e">
        <v>#DIV/0!</v>
      </c>
      <c r="E56">
        <v>14692.565824303225</v>
      </c>
      <c r="F56" t="e">
        <v>#DIV/0!</v>
      </c>
      <c r="G56">
        <v>16325.427486757049</v>
      </c>
      <c r="H56" t="e">
        <v>#DIV/0!</v>
      </c>
      <c r="I56" t="e">
        <v>#DIV/0!</v>
      </c>
      <c r="J56" t="e">
        <v>#DIV/0!</v>
      </c>
      <c r="K56" t="e">
        <v>#DIV/0!</v>
      </c>
      <c r="L56">
        <v>37.715417620566555</v>
      </c>
      <c r="M56" t="e">
        <v>#DIV/0!</v>
      </c>
      <c r="N56">
        <v>11.007886290519274</v>
      </c>
      <c r="O56" t="e">
        <v>#DIV/0!</v>
      </c>
      <c r="P56">
        <v>0.1652130358798016</v>
      </c>
      <c r="R56">
        <v>3.0670500000000001</v>
      </c>
      <c r="S56">
        <v>1.915</v>
      </c>
    </row>
    <row r="57" spans="1:19" ht="12">
      <c r="A57">
        <v>5</v>
      </c>
      <c r="B57">
        <v>1.4795086235241701</v>
      </c>
      <c r="C57">
        <f t="shared" si="0"/>
        <v>597.73051570213113</v>
      </c>
      <c r="D57" t="e">
        <v>#DIV/0!</v>
      </c>
      <c r="E57">
        <v>14899.228717470232</v>
      </c>
      <c r="F57" t="e">
        <v>#DIV/0!</v>
      </c>
      <c r="G57">
        <v>16374.869867214338</v>
      </c>
      <c r="H57" t="e">
        <v>#DIV/0!</v>
      </c>
      <c r="I57" t="e">
        <v>#DIV/0!</v>
      </c>
      <c r="J57" t="e">
        <v>#DIV/0!</v>
      </c>
      <c r="K57" t="e">
        <v>#DIV/0!</v>
      </c>
      <c r="L57">
        <v>34.33928728530131</v>
      </c>
      <c r="M57" t="e">
        <v>#DIV/0!</v>
      </c>
      <c r="N57">
        <v>10.191180491425767</v>
      </c>
      <c r="O57" t="e">
        <v>#DIV/0!</v>
      </c>
      <c r="P57">
        <v>0.16873278501797312</v>
      </c>
      <c r="R57">
        <v>4.9896599999999998</v>
      </c>
      <c r="S57">
        <v>1.7629999999999999</v>
      </c>
    </row>
    <row r="58" spans="1:19" ht="12">
      <c r="A58">
        <v>6</v>
      </c>
      <c r="B58">
        <v>1.3955492004649626</v>
      </c>
      <c r="C58">
        <f t="shared" si="0"/>
        <v>593.96752291735334</v>
      </c>
      <c r="D58" t="e">
        <v>#DIV/0!</v>
      </c>
      <c r="E58">
        <v>15274.994578182606</v>
      </c>
      <c r="F58" t="e">
        <v>#DIV/0!</v>
      </c>
      <c r="G58">
        <v>16544.325372909447</v>
      </c>
      <c r="H58" t="e">
        <v>#DIV/0!</v>
      </c>
      <c r="I58" t="e">
        <v>#DIV/0!</v>
      </c>
      <c r="J58" t="e">
        <v>#DIV/0!</v>
      </c>
      <c r="K58" t="e">
        <v>#DIV/0!</v>
      </c>
      <c r="L58">
        <v>31.869553673872456</v>
      </c>
      <c r="M58" t="e">
        <v>#DIV/0!</v>
      </c>
      <c r="N58">
        <v>8.8387699182847257</v>
      </c>
      <c r="O58" t="e">
        <v>#DIV/0!</v>
      </c>
      <c r="P58">
        <v>0.20144748597594195</v>
      </c>
      <c r="R58">
        <v>3.76335</v>
      </c>
      <c r="S58">
        <v>1.6060000000000001</v>
      </c>
    </row>
    <row r="59" spans="1:19" ht="12">
      <c r="A59">
        <v>7</v>
      </c>
      <c r="B59">
        <v>1.4142878282055567</v>
      </c>
      <c r="C59">
        <f t="shared" si="0"/>
        <v>594.8237647977453</v>
      </c>
      <c r="D59" t="e">
        <v>#DIV/0!</v>
      </c>
      <c r="E59">
        <v>14596.228210770796</v>
      </c>
      <c r="F59" t="e">
        <v>#DIV/0!</v>
      </c>
      <c r="G59">
        <v>15897.21658182897</v>
      </c>
      <c r="H59" t="e">
        <v>#DIV/0!</v>
      </c>
      <c r="I59" t="e">
        <v>#DIV/0!</v>
      </c>
      <c r="J59" t="e">
        <v>#DIV/0!</v>
      </c>
      <c r="K59" t="e">
        <v>#DIV/0!</v>
      </c>
      <c r="L59">
        <v>86.530985703513267</v>
      </c>
      <c r="M59" t="e">
        <v>#DIV/0!</v>
      </c>
      <c r="N59">
        <v>13.647057706820112</v>
      </c>
      <c r="O59" t="e">
        <v>#DIV/0!</v>
      </c>
      <c r="P59">
        <v>7.358472890241603</v>
      </c>
      <c r="R59">
        <v>33.941899999999997</v>
      </c>
      <c r="S59">
        <v>7.9109999999999996</v>
      </c>
    </row>
    <row r="60" spans="1:19" ht="12">
      <c r="A60">
        <v>8</v>
      </c>
      <c r="B60">
        <v>2.1644909560723518</v>
      </c>
      <c r="C60">
        <f t="shared" si="0"/>
        <v>623.06030729946951</v>
      </c>
      <c r="D60" t="e">
        <v>#DIV/0!</v>
      </c>
      <c r="E60">
        <v>14953.943706074737</v>
      </c>
      <c r="F60" t="e">
        <v>#DIV/0!</v>
      </c>
      <c r="G60">
        <v>16549.456594936764</v>
      </c>
      <c r="H60" t="e">
        <v>#DIV/0!</v>
      </c>
      <c r="I60" t="e">
        <v>#DIV/0!</v>
      </c>
      <c r="J60" t="e">
        <v>#DIV/0!</v>
      </c>
      <c r="K60" t="e">
        <v>#DIV/0!</v>
      </c>
      <c r="L60">
        <v>583.25488170653466</v>
      </c>
      <c r="M60" t="e">
        <v>#DIV/0!</v>
      </c>
      <c r="N60">
        <v>81.142564308085085</v>
      </c>
      <c r="O60" t="e">
        <v>#DIV/0!</v>
      </c>
      <c r="P60">
        <v>30.561227884693583</v>
      </c>
      <c r="R60">
        <v>65.636300000000006</v>
      </c>
      <c r="S60">
        <v>4.7320000000000002</v>
      </c>
    </row>
    <row r="61" spans="1:19" ht="12">
      <c r="A61">
        <v>9</v>
      </c>
      <c r="B61">
        <v>2.4979689655209656</v>
      </c>
      <c r="C61">
        <f t="shared" si="0"/>
        <v>632.98653125665282</v>
      </c>
      <c r="D61" t="e">
        <v>#DIV/0!</v>
      </c>
      <c r="E61">
        <v>15112.965448985115</v>
      </c>
      <c r="F61" t="e">
        <v>#DIV/0!</v>
      </c>
      <c r="G61">
        <v>16662.930085695742</v>
      </c>
      <c r="H61" t="e">
        <v>#DIV/0!</v>
      </c>
      <c r="I61" t="e">
        <v>#DIV/0!</v>
      </c>
      <c r="J61" t="e">
        <v>#DIV/0!</v>
      </c>
      <c r="K61" t="e">
        <v>#DIV/0!</v>
      </c>
      <c r="L61">
        <v>978.14088994667975</v>
      </c>
      <c r="M61" t="e">
        <v>#DIV/0!</v>
      </c>
      <c r="N61">
        <v>137.47115968994058</v>
      </c>
      <c r="O61" t="e">
        <v>#DIV/0!</v>
      </c>
      <c r="P61">
        <v>46.550827050403761</v>
      </c>
      <c r="R61">
        <v>73.434899999999999</v>
      </c>
      <c r="S61">
        <v>5.6150000000000002</v>
      </c>
    </row>
    <row r="62" spans="1:19" ht="12">
      <c r="A62">
        <v>10</v>
      </c>
      <c r="B62">
        <v>2.6945009287320363</v>
      </c>
      <c r="C62">
        <f t="shared" si="0"/>
        <v>638.32231418689298</v>
      </c>
      <c r="D62" t="e">
        <v>#DIV/0!</v>
      </c>
      <c r="E62">
        <v>15429.148562158665</v>
      </c>
      <c r="F62" t="e">
        <v>#DIV/0!</v>
      </c>
      <c r="G62">
        <v>16898.749300694246</v>
      </c>
      <c r="H62" t="e">
        <v>#DIV/0!</v>
      </c>
      <c r="I62" t="e">
        <v>#DIV/0!</v>
      </c>
      <c r="J62" t="e">
        <v>#DIV/0!</v>
      </c>
      <c r="K62" t="e">
        <v>#DIV/0!</v>
      </c>
      <c r="L62">
        <v>1439.1284048124946</v>
      </c>
      <c r="M62" t="e">
        <v>#DIV/0!</v>
      </c>
      <c r="N62">
        <v>192.59921329571432</v>
      </c>
      <c r="O62" t="e">
        <v>#DIV/0!</v>
      </c>
      <c r="P62">
        <v>63.934440914374271</v>
      </c>
      <c r="R62">
        <v>73.726799999999997</v>
      </c>
      <c r="S62">
        <v>5.81</v>
      </c>
    </row>
    <row r="63" spans="1:19" ht="12">
      <c r="A63">
        <v>11</v>
      </c>
      <c r="B63">
        <v>3.1504580589750928</v>
      </c>
      <c r="C63">
        <f t="shared" si="0"/>
        <v>649.53803283756463</v>
      </c>
      <c r="D63" t="e">
        <v>#DIV/0!</v>
      </c>
      <c r="E63">
        <v>15341.724927779014</v>
      </c>
      <c r="F63" t="e">
        <v>#DIV/0!</v>
      </c>
      <c r="G63">
        <v>16797.93545325107</v>
      </c>
      <c r="H63" t="e">
        <v>#DIV/0!</v>
      </c>
      <c r="I63" t="e">
        <v>#DIV/0!</v>
      </c>
      <c r="J63" t="e">
        <v>#DIV/0!</v>
      </c>
      <c r="K63" t="e">
        <v>#DIV/0!</v>
      </c>
      <c r="L63">
        <v>1569.9021105734373</v>
      </c>
      <c r="M63" t="e">
        <v>#DIV/0!</v>
      </c>
      <c r="N63">
        <v>227.52188602876942</v>
      </c>
      <c r="O63" t="e">
        <v>#DIV/0!</v>
      </c>
      <c r="P63">
        <v>66.677090689560757</v>
      </c>
      <c r="R63">
        <v>76.035399999999996</v>
      </c>
      <c r="S63">
        <v>7.4740000000000002</v>
      </c>
    </row>
    <row r="64" spans="1:19" ht="12">
      <c r="A64">
        <v>12</v>
      </c>
      <c r="B64">
        <v>3.071242541596892</v>
      </c>
      <c r="C64">
        <f t="shared" si="0"/>
        <v>647.6922842828601</v>
      </c>
      <c r="D64" t="e">
        <v>#DIV/0!</v>
      </c>
      <c r="E64">
        <v>15197.516129693675</v>
      </c>
      <c r="F64" t="e">
        <v>#DIV/0!</v>
      </c>
      <c r="G64">
        <v>16050.542549711003</v>
      </c>
      <c r="H64" t="e">
        <v>#DIV/0!</v>
      </c>
      <c r="I64" t="e">
        <v>#DIV/0!</v>
      </c>
      <c r="J64" t="e">
        <v>#DIV/0!</v>
      </c>
      <c r="K64" t="e">
        <v>#DIV/0!</v>
      </c>
      <c r="L64">
        <v>1803.5868882430416</v>
      </c>
      <c r="M64" t="e">
        <v>#DIV/0!</v>
      </c>
      <c r="N64">
        <v>254.26443673082997</v>
      </c>
      <c r="O64" t="e">
        <v>#DIV/0!</v>
      </c>
      <c r="P64">
        <v>76.044494850846064</v>
      </c>
      <c r="R64">
        <v>77.362099999999998</v>
      </c>
      <c r="S64">
        <v>7.665</v>
      </c>
    </row>
    <row r="65" spans="1:19" ht="12">
      <c r="A65">
        <v>13</v>
      </c>
      <c r="B65">
        <v>3.2310626980095729</v>
      </c>
      <c r="C65">
        <f t="shared" si="0"/>
        <v>651.37644476017249</v>
      </c>
      <c r="D65" t="e">
        <v>#DIV/0!</v>
      </c>
      <c r="E65">
        <v>15576.047170494143</v>
      </c>
      <c r="F65" t="e">
        <v>#DIV/0!</v>
      </c>
      <c r="G65">
        <v>18062.677818949756</v>
      </c>
      <c r="H65" t="e">
        <v>#DIV/0!</v>
      </c>
      <c r="I65" t="e">
        <v>#DIV/0!</v>
      </c>
      <c r="J65" t="e">
        <v>#DIV/0!</v>
      </c>
      <c r="K65" t="e">
        <v>#DIV/0!</v>
      </c>
      <c r="L65">
        <v>1902.2977126205672</v>
      </c>
      <c r="M65" t="e">
        <v>#DIV/0!</v>
      </c>
      <c r="N65">
        <v>258.36915604128717</v>
      </c>
      <c r="O65" t="e">
        <v>#DIV/0!</v>
      </c>
      <c r="P65">
        <v>77.282906166989719</v>
      </c>
      <c r="R65">
        <v>74.3523</v>
      </c>
      <c r="S65">
        <v>7.298</v>
      </c>
    </row>
    <row r="66" spans="1:19" ht="12">
      <c r="A66">
        <v>14</v>
      </c>
      <c r="B66">
        <v>3.2810139927789779</v>
      </c>
      <c r="C66">
        <f t="shared" si="0"/>
        <v>652.49642764974419</v>
      </c>
      <c r="D66" t="e">
        <v>#DIV/0!</v>
      </c>
      <c r="E66">
        <v>15585.563491820199</v>
      </c>
      <c r="F66" t="e">
        <v>#DIV/0!</v>
      </c>
      <c r="G66">
        <v>17103.673471310281</v>
      </c>
      <c r="H66" t="e">
        <v>#DIV/0!</v>
      </c>
      <c r="I66" t="e">
        <v>#DIV/0!</v>
      </c>
      <c r="J66" t="e">
        <v>#DIV/0!</v>
      </c>
      <c r="K66" t="e">
        <v>#DIV/0!</v>
      </c>
      <c r="L66">
        <v>1895.3560375622624</v>
      </c>
      <c r="M66" t="e">
        <v>#DIV/0!</v>
      </c>
      <c r="N66">
        <v>257.74810132050749</v>
      </c>
      <c r="O66" t="e">
        <v>#DIV/0!</v>
      </c>
      <c r="P66">
        <v>68.7338088604848</v>
      </c>
      <c r="R66">
        <v>77.754099999999994</v>
      </c>
      <c r="S66">
        <v>7.6219999999999999</v>
      </c>
    </row>
    <row r="67" spans="1:19" ht="12">
      <c r="A67">
        <v>15</v>
      </c>
      <c r="B67">
        <v>3.0742930953941077</v>
      </c>
      <c r="C67">
        <f t="shared" si="0"/>
        <v>647.76410177299636</v>
      </c>
      <c r="D67" t="e">
        <v>#DIV/0!</v>
      </c>
      <c r="E67">
        <v>15577.734453951358</v>
      </c>
      <c r="F67" t="e">
        <v>#DIV/0!</v>
      </c>
      <c r="G67">
        <v>17373.130888979926</v>
      </c>
      <c r="H67" t="e">
        <v>#DIV/0!</v>
      </c>
      <c r="I67" t="e">
        <v>#DIV/0!</v>
      </c>
      <c r="J67" t="e">
        <v>#DIV/0!</v>
      </c>
      <c r="K67" t="e">
        <v>#DIV/0!</v>
      </c>
      <c r="L67">
        <v>1933.8572218706663</v>
      </c>
      <c r="M67" t="e">
        <v>#DIV/0!</v>
      </c>
      <c r="N67">
        <v>285.43620593172915</v>
      </c>
      <c r="O67" t="e">
        <v>#DIV/0!</v>
      </c>
      <c r="P67">
        <v>68.063549277716646</v>
      </c>
      <c r="R67">
        <v>81.878</v>
      </c>
      <c r="S67">
        <v>8.0739999999999998</v>
      </c>
    </row>
    <row r="68" spans="1:19" ht="12">
      <c r="A68">
        <v>16</v>
      </c>
      <c r="B68">
        <v>3.0367609775884801</v>
      </c>
      <c r="C68">
        <f t="shared" si="0"/>
        <v>646.8762954909206</v>
      </c>
      <c r="D68" t="e">
        <v>#DIV/0!</v>
      </c>
      <c r="E68">
        <v>15928.837444462988</v>
      </c>
      <c r="F68" t="e">
        <v>#DIV/0!</v>
      </c>
      <c r="G68">
        <v>17897.196261682242</v>
      </c>
      <c r="H68" t="e">
        <v>#DIV/0!</v>
      </c>
      <c r="I68" t="e">
        <v>#DIV/0!</v>
      </c>
      <c r="J68" t="e">
        <v>#DIV/0!</v>
      </c>
      <c r="K68" t="e">
        <v>#DIV/0!</v>
      </c>
      <c r="L68">
        <v>1974.4930821798971</v>
      </c>
      <c r="M68" t="e">
        <v>#DIV/0!</v>
      </c>
      <c r="N68">
        <v>328.17933067782582</v>
      </c>
      <c r="O68" t="e">
        <v>#DIV/0!</v>
      </c>
      <c r="P68">
        <v>56.489534627628693</v>
      </c>
      <c r="R68">
        <v>81.523499999999999</v>
      </c>
      <c r="S68">
        <v>9.2379999999999995</v>
      </c>
    </row>
    <row r="69" spans="1:19" ht="12">
      <c r="A69">
        <v>17</v>
      </c>
      <c r="B69">
        <v>3.2608965917319117</v>
      </c>
      <c r="C69">
        <f t="shared" si="0"/>
        <v>652.04710373613682</v>
      </c>
      <c r="D69" t="e">
        <v>#DIV/0!</v>
      </c>
      <c r="E69">
        <v>17518.255420449113</v>
      </c>
      <c r="F69" t="e">
        <v>#DIV/0!</v>
      </c>
      <c r="G69">
        <v>20055.442221637273</v>
      </c>
      <c r="H69" t="e">
        <v>#DIV/0!</v>
      </c>
      <c r="I69" t="e">
        <v>#DIV/0!</v>
      </c>
      <c r="J69" t="e">
        <v>#DIV/0!</v>
      </c>
      <c r="K69" t="e">
        <v>#DIV/0!</v>
      </c>
      <c r="L69">
        <v>2360.3524774736388</v>
      </c>
      <c r="M69" t="e">
        <v>#DIV/0!</v>
      </c>
      <c r="N69">
        <v>400.10748885527215</v>
      </c>
      <c r="O69" t="e">
        <v>#DIV/0!</v>
      </c>
      <c r="P69">
        <v>63.288008556270142</v>
      </c>
      <c r="R69">
        <v>75.930700000000002</v>
      </c>
      <c r="S69">
        <v>8.7230000000000008</v>
      </c>
    </row>
    <row r="70" spans="1:19" ht="12">
      <c r="A70">
        <v>18</v>
      </c>
      <c r="B70">
        <v>3.2155919880766293</v>
      </c>
      <c r="C70">
        <f t="shared" ref="C70:C96" si="1">(-1/((LOG(B70)-6.01)/5080))-272.15</f>
        <v>651.02661126207352</v>
      </c>
      <c r="D70" t="e">
        <v>#DIV/0!</v>
      </c>
      <c r="E70">
        <v>17079.926551244029</v>
      </c>
      <c r="F70" t="e">
        <v>#DIV/0!</v>
      </c>
      <c r="G70">
        <v>20093.52930982193</v>
      </c>
      <c r="H70" t="e">
        <v>#DIV/0!</v>
      </c>
      <c r="I70" t="e">
        <v>#DIV/0!</v>
      </c>
      <c r="J70" t="e">
        <v>#DIV/0!</v>
      </c>
      <c r="K70" t="e">
        <v>#DIV/0!</v>
      </c>
      <c r="L70">
        <v>2525.5571580540977</v>
      </c>
      <c r="M70" t="e">
        <v>#DIV/0!</v>
      </c>
      <c r="N70">
        <v>414.75756014471335</v>
      </c>
      <c r="O70" t="e">
        <v>#DIV/0!</v>
      </c>
      <c r="P70">
        <v>60.192235121819436</v>
      </c>
      <c r="R70">
        <v>73.503500000000003</v>
      </c>
      <c r="S70">
        <v>8.3569999999999993</v>
      </c>
    </row>
    <row r="71" spans="1:19" ht="12">
      <c r="A71">
        <v>19</v>
      </c>
      <c r="B71">
        <v>3.1212797749258043</v>
      </c>
      <c r="C71">
        <f t="shared" si="1"/>
        <v>648.86276637845845</v>
      </c>
      <c r="D71" t="e">
        <v>#DIV/0!</v>
      </c>
      <c r="E71">
        <v>17070.634418931855</v>
      </c>
      <c r="F71" t="e">
        <v>#DIV/0!</v>
      </c>
      <c r="G71">
        <v>21232.869751391194</v>
      </c>
      <c r="H71" t="e">
        <v>#DIV/0!</v>
      </c>
      <c r="I71" t="e">
        <v>#DIV/0!</v>
      </c>
      <c r="J71" t="e">
        <v>#DIV/0!</v>
      </c>
      <c r="K71" t="e">
        <v>#DIV/0!</v>
      </c>
      <c r="L71">
        <v>2674.5979387940847</v>
      </c>
      <c r="M71" t="e">
        <v>#DIV/0!</v>
      </c>
      <c r="N71">
        <v>417.43595356236932</v>
      </c>
      <c r="O71" t="e">
        <v>#DIV/0!</v>
      </c>
      <c r="P71">
        <v>54.671917496037388</v>
      </c>
      <c r="R71">
        <v>74.226699999999994</v>
      </c>
      <c r="S71">
        <v>8.4220000000000006</v>
      </c>
    </row>
    <row r="72" spans="1:19" ht="12">
      <c r="A72">
        <v>20</v>
      </c>
      <c r="B72">
        <v>3.2140569085036117</v>
      </c>
      <c r="C72">
        <f t="shared" si="1"/>
        <v>650.99182182053949</v>
      </c>
      <c r="D72" t="e">
        <v>#DIV/0!</v>
      </c>
      <c r="E72">
        <v>17827.686709766771</v>
      </c>
      <c r="F72" t="e">
        <v>#DIV/0!</v>
      </c>
      <c r="G72">
        <v>20365.539832954459</v>
      </c>
      <c r="H72" t="e">
        <v>#DIV/0!</v>
      </c>
      <c r="I72" t="e">
        <v>#DIV/0!</v>
      </c>
      <c r="J72" t="e">
        <v>#DIV/0!</v>
      </c>
      <c r="K72" t="e">
        <v>#DIV/0!</v>
      </c>
      <c r="L72">
        <v>2911.1103612567154</v>
      </c>
      <c r="M72" t="e">
        <v>#DIV/0!</v>
      </c>
      <c r="N72">
        <v>438.96675794770567</v>
      </c>
      <c r="O72" t="e">
        <v>#DIV/0!</v>
      </c>
      <c r="P72">
        <v>60.04800171281758</v>
      </c>
      <c r="R72">
        <v>70.118399999999994</v>
      </c>
      <c r="S72">
        <v>8.1460000000000008</v>
      </c>
    </row>
    <row r="73" spans="1:19" ht="12">
      <c r="C73" t="e">
        <f t="shared" si="1"/>
        <v>#NUM!</v>
      </c>
    </row>
    <row r="74" spans="1:19" ht="12">
      <c r="A74" s="1" t="s">
        <v>37</v>
      </c>
      <c r="C74" t="e">
        <f t="shared" si="1"/>
        <v>#NUM!</v>
      </c>
    </row>
    <row r="75" spans="1:19" ht="12">
      <c r="B75" t="s">
        <v>20</v>
      </c>
      <c r="C75" t="e">
        <f t="shared" si="1"/>
        <v>#VALUE!</v>
      </c>
      <c r="E75" t="s">
        <v>22</v>
      </c>
      <c r="G75" t="s">
        <v>23</v>
      </c>
      <c r="L75" t="s">
        <v>24</v>
      </c>
      <c r="N75" t="s">
        <v>65</v>
      </c>
      <c r="P75" t="s">
        <v>25</v>
      </c>
    </row>
    <row r="76" spans="1:19" ht="12">
      <c r="A76" t="s">
        <v>26</v>
      </c>
      <c r="C76" t="e">
        <f t="shared" si="1"/>
        <v>#NUM!</v>
      </c>
    </row>
    <row r="77" spans="1:19" ht="12">
      <c r="A77">
        <v>1</v>
      </c>
      <c r="B77">
        <v>3.869122992474872</v>
      </c>
      <c r="C77">
        <f t="shared" si="1"/>
        <v>664.70669516398777</v>
      </c>
      <c r="D77" t="e">
        <v>#DIV/0!</v>
      </c>
      <c r="E77">
        <v>14760.092834774943</v>
      </c>
      <c r="F77" t="e">
        <v>#DIV/0!</v>
      </c>
      <c r="G77">
        <v>13524.455408339049</v>
      </c>
      <c r="H77" t="e">
        <v>#DIV/0!</v>
      </c>
      <c r="L77">
        <v>87.759765388463109</v>
      </c>
      <c r="N77">
        <v>52.239596381758531</v>
      </c>
      <c r="O77" t="e">
        <v>#DIV/0!</v>
      </c>
      <c r="P77">
        <v>1.9209626317515012</v>
      </c>
      <c r="R77">
        <v>5.4476500000000003</v>
      </c>
      <c r="S77">
        <v>0.7419</v>
      </c>
    </row>
    <row r="78" spans="1:19" ht="12">
      <c r="A78">
        <v>2</v>
      </c>
      <c r="B78">
        <v>4.0206772654933856</v>
      </c>
      <c r="C78">
        <f t="shared" si="1"/>
        <v>667.59864709365138</v>
      </c>
      <c r="D78" t="e">
        <v>#DIV/0!</v>
      </c>
      <c r="E78">
        <v>14769.965389603141</v>
      </c>
      <c r="F78" t="e">
        <v>#DIV/0!</v>
      </c>
      <c r="G78">
        <v>13612.241552123842</v>
      </c>
      <c r="H78" t="e">
        <v>#DIV/0!</v>
      </c>
      <c r="L78">
        <v>67.388065190804141</v>
      </c>
      <c r="N78">
        <v>30.777649956691214</v>
      </c>
      <c r="O78" t="e">
        <v>#DIV/0!</v>
      </c>
      <c r="P78">
        <v>0.54714053581456179</v>
      </c>
      <c r="R78">
        <v>4.2801999999999998</v>
      </c>
      <c r="S78">
        <v>1.123</v>
      </c>
    </row>
    <row r="79" spans="1:19" ht="12">
      <c r="A79">
        <v>3</v>
      </c>
      <c r="B79">
        <v>2.9950014687648174</v>
      </c>
      <c r="C79">
        <f t="shared" si="1"/>
        <v>645.87755572652304</v>
      </c>
      <c r="D79" t="e">
        <v>#DIV/0!</v>
      </c>
      <c r="E79">
        <v>14448.111570060824</v>
      </c>
      <c r="F79" t="e">
        <v>#DIV/0!</v>
      </c>
      <c r="G79">
        <v>13296.594018918846</v>
      </c>
      <c r="H79" t="e">
        <v>#DIV/0!</v>
      </c>
      <c r="L79">
        <v>63.485359060071652</v>
      </c>
      <c r="N79">
        <v>23.150641907341615</v>
      </c>
      <c r="O79" t="e">
        <v>#DIV/0!</v>
      </c>
      <c r="P79">
        <v>0.48773037891663551</v>
      </c>
      <c r="R79">
        <v>4.3604900000000004</v>
      </c>
      <c r="S79">
        <v>1.657</v>
      </c>
    </row>
    <row r="80" spans="1:19" ht="12">
      <c r="A80">
        <v>4</v>
      </c>
      <c r="B80">
        <v>2.9017272716018674</v>
      </c>
      <c r="C80">
        <f t="shared" si="1"/>
        <v>643.60365464930703</v>
      </c>
      <c r="D80" t="e">
        <v>#DIV/0!</v>
      </c>
      <c r="E80">
        <v>14957.375036019917</v>
      </c>
      <c r="F80" t="e">
        <v>#DIV/0!</v>
      </c>
      <c r="G80">
        <v>13982.154655864932</v>
      </c>
      <c r="H80" t="e">
        <v>#DIV/0!</v>
      </c>
      <c r="L80">
        <v>61.646516994731272</v>
      </c>
      <c r="N80">
        <v>19.099272191960605</v>
      </c>
      <c r="O80" t="e">
        <v>#DIV/0!</v>
      </c>
      <c r="P80">
        <v>0.36182757034804325</v>
      </c>
      <c r="R80">
        <v>6.3067599999999997</v>
      </c>
      <c r="S80">
        <v>1.8089999999999999</v>
      </c>
    </row>
    <row r="81" spans="1:19" ht="12">
      <c r="A81">
        <v>5</v>
      </c>
      <c r="B81">
        <v>2.7530004746894035</v>
      </c>
      <c r="C81">
        <f t="shared" si="1"/>
        <v>639.84700783919607</v>
      </c>
      <c r="D81" t="e">
        <v>#DIV/0!</v>
      </c>
      <c r="E81">
        <v>15244.894457854134</v>
      </c>
      <c r="F81" t="e">
        <v>#DIV/0!</v>
      </c>
      <c r="G81">
        <v>14700.499615362345</v>
      </c>
      <c r="H81" t="e">
        <v>#DIV/0!</v>
      </c>
      <c r="L81">
        <v>59.270498239889278</v>
      </c>
      <c r="N81">
        <v>16.360553759921448</v>
      </c>
      <c r="O81" t="e">
        <v>#DIV/0!</v>
      </c>
      <c r="P81">
        <v>0.40428860519814802</v>
      </c>
      <c r="R81">
        <v>3.3991799999999999</v>
      </c>
      <c r="S81">
        <v>1.6739999999999999</v>
      </c>
    </row>
    <row r="82" spans="1:19" ht="12">
      <c r="A82">
        <v>6</v>
      </c>
      <c r="B82">
        <v>2.4922034763961562</v>
      </c>
      <c r="C82">
        <f t="shared" si="1"/>
        <v>632.8247150819692</v>
      </c>
      <c r="D82" t="e">
        <v>#DIV/0!</v>
      </c>
      <c r="E82">
        <v>15226.089785296028</v>
      </c>
      <c r="F82" t="e">
        <v>#DIV/0!</v>
      </c>
      <c r="G82">
        <v>14966.862956824536</v>
      </c>
      <c r="H82" t="e">
        <v>#DIV/0!</v>
      </c>
      <c r="L82">
        <v>57.982721802631772</v>
      </c>
      <c r="N82">
        <v>14.402208071358514</v>
      </c>
      <c r="O82" t="e">
        <v>#DIV/0!</v>
      </c>
      <c r="P82">
        <v>0.51237206083717379</v>
      </c>
      <c r="R82">
        <v>1.86297</v>
      </c>
      <c r="S82">
        <v>1.2769999999999999</v>
      </c>
    </row>
    <row r="83" spans="1:19" ht="12">
      <c r="A83">
        <v>7</v>
      </c>
      <c r="B83">
        <v>2.2641703223439147</v>
      </c>
      <c r="C83">
        <f t="shared" si="1"/>
        <v>626.15563010513574</v>
      </c>
      <c r="D83" t="e">
        <v>#DIV/0!</v>
      </c>
      <c r="E83">
        <v>15112.882250979623</v>
      </c>
      <c r="F83" t="e">
        <v>#DIV/0!</v>
      </c>
      <c r="G83">
        <v>15048.453295998564</v>
      </c>
      <c r="H83" t="e">
        <v>#DIV/0!</v>
      </c>
      <c r="L83">
        <v>58.499758838534881</v>
      </c>
      <c r="N83">
        <v>14.126235290302803</v>
      </c>
      <c r="O83" t="e">
        <v>#DIV/0!</v>
      </c>
      <c r="P83">
        <v>0.43283478649363705</v>
      </c>
      <c r="R83">
        <v>4.6246099999999997</v>
      </c>
      <c r="S83">
        <v>1.871</v>
      </c>
    </row>
    <row r="84" spans="1:19" ht="12">
      <c r="A84">
        <v>8</v>
      </c>
      <c r="B84">
        <v>2.3607235142118865</v>
      </c>
      <c r="C84">
        <f t="shared" si="1"/>
        <v>629.04578982715066</v>
      </c>
      <c r="D84" t="e">
        <v>#DIV/0!</v>
      </c>
      <c r="E84">
        <v>16002.17016909053</v>
      </c>
      <c r="F84" t="e">
        <v>#DIV/0!</v>
      </c>
      <c r="G84">
        <v>17219.14115280511</v>
      </c>
      <c r="H84" t="e">
        <v>#DIV/0!</v>
      </c>
      <c r="L84">
        <v>103.63398510929079</v>
      </c>
      <c r="N84">
        <v>22.519502248742043</v>
      </c>
      <c r="O84" t="e">
        <v>#DIV/0!</v>
      </c>
      <c r="P84">
        <v>1.2577598793408105</v>
      </c>
      <c r="R84">
        <v>27.761500000000002</v>
      </c>
      <c r="S84">
        <v>6.375</v>
      </c>
    </row>
    <row r="85" spans="1:19" ht="12">
      <c r="A85">
        <v>9</v>
      </c>
      <c r="B85">
        <v>2.391012077005084</v>
      </c>
      <c r="C85">
        <f t="shared" si="1"/>
        <v>629.93181887574679</v>
      </c>
      <c r="D85" t="e">
        <v>#DIV/0!</v>
      </c>
      <c r="E85">
        <v>16205.098920216573</v>
      </c>
      <c r="F85" t="e">
        <v>#DIV/0!</v>
      </c>
      <c r="G85">
        <v>17558.729646085685</v>
      </c>
      <c r="H85" t="e">
        <v>#DIV/0!</v>
      </c>
      <c r="L85">
        <v>334.78975118575181</v>
      </c>
      <c r="N85">
        <v>90.139391429621313</v>
      </c>
      <c r="O85" t="e">
        <v>#DIV/0!</v>
      </c>
      <c r="P85">
        <v>5.0212860806000981</v>
      </c>
      <c r="R85">
        <v>50.9161</v>
      </c>
      <c r="S85">
        <v>4.9580000000000002</v>
      </c>
    </row>
    <row r="86" spans="1:19" ht="12">
      <c r="A86">
        <v>10</v>
      </c>
      <c r="B86">
        <v>2.6234235995698505</v>
      </c>
      <c r="C86">
        <f t="shared" si="1"/>
        <v>636.43172951847237</v>
      </c>
      <c r="D86" t="e">
        <v>#DIV/0!</v>
      </c>
      <c r="E86">
        <v>16492.598233799832</v>
      </c>
      <c r="F86" t="e">
        <v>#DIV/0!</v>
      </c>
      <c r="G86">
        <v>17152.21537997849</v>
      </c>
      <c r="H86" t="e">
        <v>#DIV/0!</v>
      </c>
      <c r="L86">
        <v>585.13191289678707</v>
      </c>
      <c r="N86">
        <v>119.4736333440228</v>
      </c>
      <c r="O86" t="e">
        <v>#DIV/0!</v>
      </c>
      <c r="P86">
        <v>6.3912433940333191</v>
      </c>
      <c r="R86">
        <v>59.8812</v>
      </c>
      <c r="S86">
        <v>4.3310000000000004</v>
      </c>
    </row>
    <row r="87" spans="1:19" ht="12">
      <c r="A87">
        <v>11</v>
      </c>
      <c r="B87">
        <v>2.427130451378948</v>
      </c>
      <c r="C87">
        <f t="shared" si="1"/>
        <v>630.97606191047248</v>
      </c>
      <c r="D87" t="e">
        <v>#DIV/0!</v>
      </c>
      <c r="E87">
        <v>17390.514692056546</v>
      </c>
      <c r="F87" t="e">
        <v>#DIV/0!</v>
      </c>
      <c r="G87">
        <v>17418.723303274797</v>
      </c>
      <c r="H87" t="e">
        <v>#DIV/0!</v>
      </c>
      <c r="L87">
        <v>659.1272462205286</v>
      </c>
      <c r="N87">
        <v>152.35993914157592</v>
      </c>
      <c r="O87" t="e">
        <v>#DIV/0!</v>
      </c>
      <c r="P87">
        <v>8.3695599250279038</v>
      </c>
      <c r="R87">
        <v>60.265099999999997</v>
      </c>
      <c r="S87">
        <v>6.1989999999999998</v>
      </c>
    </row>
    <row r="88" spans="1:19" ht="12">
      <c r="A88">
        <v>12</v>
      </c>
      <c r="B88">
        <v>2.6089352007485203</v>
      </c>
      <c r="C88">
        <f t="shared" si="1"/>
        <v>636.04105435838017</v>
      </c>
      <c r="D88" t="e">
        <v>#DIV/0!</v>
      </c>
      <c r="E88">
        <v>17902.101815274003</v>
      </c>
      <c r="F88" t="e">
        <v>#DIV/0!</v>
      </c>
      <c r="G88">
        <v>17009.603675160855</v>
      </c>
      <c r="H88" t="e">
        <v>#DIV/0!</v>
      </c>
      <c r="L88">
        <v>901.4742646482697</v>
      </c>
      <c r="N88">
        <v>182.84700785418377</v>
      </c>
      <c r="O88" t="e">
        <v>#DIV/0!</v>
      </c>
      <c r="P88">
        <v>10.337004319548583</v>
      </c>
      <c r="R88">
        <v>61.929600000000001</v>
      </c>
      <c r="S88">
        <v>6.1589999999999998</v>
      </c>
    </row>
    <row r="89" spans="1:19" ht="12">
      <c r="A89">
        <v>13</v>
      </c>
      <c r="B89">
        <v>2.674632121887806</v>
      </c>
      <c r="C89">
        <f t="shared" si="1"/>
        <v>637.79810627869165</v>
      </c>
      <c r="D89" t="e">
        <v>#DIV/0!</v>
      </c>
      <c r="E89">
        <v>18031.335842475502</v>
      </c>
      <c r="F89" t="e">
        <v>#DIV/0!</v>
      </c>
      <c r="G89">
        <v>18664.69578905173</v>
      </c>
      <c r="H89" t="e">
        <v>#DIV/0!</v>
      </c>
      <c r="L89">
        <v>1090.8190377550748</v>
      </c>
      <c r="N89">
        <v>198.71682872386921</v>
      </c>
      <c r="O89" t="e">
        <v>#DIV/0!</v>
      </c>
      <c r="P89">
        <v>16.998630483164618</v>
      </c>
      <c r="R89">
        <v>59.994799999999998</v>
      </c>
      <c r="S89">
        <v>6.101</v>
      </c>
    </row>
    <row r="90" spans="1:19" ht="12">
      <c r="A90">
        <v>14</v>
      </c>
      <c r="B90">
        <v>3.4625605987567072</v>
      </c>
      <c r="C90">
        <f t="shared" si="1"/>
        <v>656.44970929279214</v>
      </c>
      <c r="D90" t="e">
        <v>#DIV/0!</v>
      </c>
      <c r="E90">
        <v>18759.962907329638</v>
      </c>
      <c r="F90" t="e">
        <v>#DIV/0!</v>
      </c>
      <c r="G90">
        <v>18911.971399772028</v>
      </c>
      <c r="H90" t="e">
        <v>#DIV/0!</v>
      </c>
      <c r="L90">
        <v>1763.6859335402301</v>
      </c>
      <c r="N90">
        <v>251.90454041444062</v>
      </c>
      <c r="O90" t="e">
        <v>#DIV/0!</v>
      </c>
      <c r="P90">
        <v>31.473805640526667</v>
      </c>
      <c r="R90">
        <v>57.717199999999998</v>
      </c>
      <c r="S90">
        <v>5.8959999999999999</v>
      </c>
    </row>
    <row r="91" spans="1:19" ht="12">
      <c r="A91">
        <v>15</v>
      </c>
      <c r="B91">
        <v>4.4541910557508073</v>
      </c>
      <c r="C91">
        <f t="shared" si="1"/>
        <v>675.39354919853804</v>
      </c>
      <c r="D91" t="e">
        <v>#DIV/0!</v>
      </c>
      <c r="E91">
        <v>19118.018594623729</v>
      </c>
      <c r="F91" t="e">
        <v>#DIV/0!</v>
      </c>
      <c r="G91">
        <v>18988.876112621503</v>
      </c>
      <c r="H91" t="e">
        <v>#DIV/0!</v>
      </c>
      <c r="L91">
        <v>3389.7148256365067</v>
      </c>
      <c r="N91">
        <v>395.62588079439951</v>
      </c>
      <c r="O91" t="e">
        <v>#DIV/0!</v>
      </c>
      <c r="P91">
        <v>54.739405418399819</v>
      </c>
      <c r="R91">
        <v>54.169699999999999</v>
      </c>
      <c r="S91">
        <v>5.5730000000000004</v>
      </c>
    </row>
    <row r="92" spans="1:19" ht="12">
      <c r="A92">
        <v>16</v>
      </c>
      <c r="B92">
        <v>5.5054181697017111</v>
      </c>
      <c r="C92">
        <f t="shared" si="1"/>
        <v>691.941448366445</v>
      </c>
      <c r="D92" t="e">
        <v>#DIV/0!</v>
      </c>
      <c r="E92">
        <v>18986.058123646173</v>
      </c>
      <c r="F92" t="e">
        <v>#DIV/0!</v>
      </c>
      <c r="G92">
        <v>18196.218811626513</v>
      </c>
      <c r="H92" t="e">
        <v>#DIV/0!</v>
      </c>
      <c r="L92">
        <v>4337.0820586374612</v>
      </c>
      <c r="N92">
        <v>549.95190715420597</v>
      </c>
      <c r="O92" t="e">
        <v>#DIV/0!</v>
      </c>
      <c r="P92">
        <v>76.417886102898478</v>
      </c>
      <c r="R92">
        <v>47.755899999999997</v>
      </c>
      <c r="S92">
        <v>5.4240000000000004</v>
      </c>
    </row>
    <row r="93" spans="1:19" ht="12">
      <c r="A93">
        <v>17</v>
      </c>
      <c r="B93">
        <v>6.1506429935510099</v>
      </c>
      <c r="C93">
        <f t="shared" si="1"/>
        <v>700.82886751942488</v>
      </c>
      <c r="D93" t="e">
        <v>#DIV/0!</v>
      </c>
      <c r="E93">
        <v>19986.348561107927</v>
      </c>
      <c r="F93" t="e">
        <v>#DIV/0!</v>
      </c>
      <c r="G93">
        <v>19215.199175221547</v>
      </c>
      <c r="H93" t="e">
        <v>#DIV/0!</v>
      </c>
      <c r="L93">
        <v>5182.9410768768021</v>
      </c>
      <c r="N93">
        <v>641.80823030619661</v>
      </c>
      <c r="O93" t="e">
        <v>#DIV/0!</v>
      </c>
      <c r="P93">
        <v>90.16527392729985</v>
      </c>
      <c r="R93">
        <v>50.239800000000002</v>
      </c>
      <c r="S93">
        <v>5.7750000000000004</v>
      </c>
    </row>
    <row r="94" spans="1:19" ht="12">
      <c r="A94">
        <v>18</v>
      </c>
      <c r="B94">
        <v>5.2858191864480704</v>
      </c>
      <c r="C94">
        <f t="shared" si="1"/>
        <v>688.71777158032626</v>
      </c>
      <c r="D94" t="e">
        <v>#DIV/0!</v>
      </c>
      <c r="E94">
        <v>19208.836917541903</v>
      </c>
      <c r="F94" t="e">
        <v>#DIV/0!</v>
      </c>
      <c r="G94">
        <v>18346.529613101684</v>
      </c>
      <c r="H94" t="e">
        <v>#DIV/0!</v>
      </c>
      <c r="L94">
        <v>4562.6748562298599</v>
      </c>
      <c r="N94">
        <v>570.87701057195557</v>
      </c>
      <c r="O94" t="e">
        <v>#DIV/0!</v>
      </c>
      <c r="P94">
        <v>92.811278339814734</v>
      </c>
      <c r="R94">
        <v>55.856699999999996</v>
      </c>
      <c r="S94">
        <v>6.4080000000000004</v>
      </c>
    </row>
    <row r="95" spans="1:19" ht="12">
      <c r="A95">
        <v>19</v>
      </c>
      <c r="B95">
        <v>5.0605777357313526</v>
      </c>
      <c r="C95">
        <f t="shared" si="1"/>
        <v>685.29281657516856</v>
      </c>
      <c r="D95" t="e">
        <v>#DIV/0!</v>
      </c>
      <c r="E95">
        <v>18838.071108943124</v>
      </c>
      <c r="F95" t="e">
        <v>#DIV/0!</v>
      </c>
      <c r="G95">
        <v>18544.538646382884</v>
      </c>
      <c r="H95" t="e">
        <v>#DIV/0!</v>
      </c>
      <c r="L95">
        <v>3964.5787353716864</v>
      </c>
      <c r="N95">
        <v>513.05265397623612</v>
      </c>
      <c r="O95" t="e">
        <v>#DIV/0!</v>
      </c>
      <c r="P95">
        <v>84.933385941400957</v>
      </c>
      <c r="R95">
        <v>60.518099999999997</v>
      </c>
      <c r="S95">
        <v>6.8819999999999997</v>
      </c>
    </row>
    <row r="96" spans="1:19" ht="12">
      <c r="A96">
        <v>20</v>
      </c>
      <c r="B96">
        <v>4.7882916560810083</v>
      </c>
      <c r="C96">
        <f t="shared" si="1"/>
        <v>680.97797948437358</v>
      </c>
      <c r="D96" t="e">
        <v>#DIV/0!</v>
      </c>
      <c r="E96">
        <v>19404.824126290841</v>
      </c>
      <c r="F96" t="e">
        <v>#DIV/0!</v>
      </c>
      <c r="G96">
        <v>18627.504193166631</v>
      </c>
      <c r="H96" t="e">
        <v>#DIV/0!</v>
      </c>
      <c r="L96">
        <v>3635.3084961761938</v>
      </c>
      <c r="N96">
        <v>562.73850623444866</v>
      </c>
      <c r="O96" t="e">
        <v>#DIV/0!</v>
      </c>
      <c r="P96">
        <v>107.94695689409077</v>
      </c>
      <c r="R96">
        <v>56.104700000000001</v>
      </c>
      <c r="S96">
        <v>6.7240000000000002</v>
      </c>
    </row>
  </sheetData>
  <sheetCalcPr fullCalcOnLoad="1"/>
  <phoneticPr fontId="8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O72"/>
  <sheetViews>
    <sheetView workbookViewId="0">
      <selection activeCell="P62" sqref="P62"/>
    </sheetView>
  </sheetViews>
  <sheetFormatPr baseColWidth="10" defaultColWidth="7.5703125" defaultRowHeight="13"/>
  <sheetData>
    <row r="1" spans="1:15" ht="12">
      <c r="N1" t="s">
        <v>47</v>
      </c>
      <c r="O1" t="s">
        <v>47</v>
      </c>
    </row>
    <row r="2" spans="1:15" ht="12">
      <c r="A2" s="1" t="s">
        <v>38</v>
      </c>
      <c r="N2" t="s">
        <v>53</v>
      </c>
      <c r="O2" t="s">
        <v>53</v>
      </c>
    </row>
    <row r="3" spans="1:15" ht="12">
      <c r="B3" t="s">
        <v>20</v>
      </c>
      <c r="C3" t="s">
        <v>21</v>
      </c>
      <c r="E3" t="s">
        <v>22</v>
      </c>
      <c r="G3" t="s">
        <v>23</v>
      </c>
      <c r="I3" t="s">
        <v>24</v>
      </c>
      <c r="J3" t="s">
        <v>65</v>
      </c>
      <c r="L3" t="s">
        <v>25</v>
      </c>
      <c r="N3" t="s">
        <v>61</v>
      </c>
      <c r="O3" t="s">
        <v>61</v>
      </c>
    </row>
    <row r="4" spans="1:15" ht="12">
      <c r="A4" t="s">
        <v>26</v>
      </c>
      <c r="B4" t="s">
        <v>39</v>
      </c>
      <c r="C4" t="s">
        <v>40</v>
      </c>
      <c r="G4" t="s">
        <v>39</v>
      </c>
      <c r="I4" t="s">
        <v>39</v>
      </c>
      <c r="J4" t="s">
        <v>39</v>
      </c>
      <c r="L4" t="s">
        <v>39</v>
      </c>
    </row>
    <row r="5" spans="1:15" ht="12">
      <c r="A5">
        <v>1</v>
      </c>
      <c r="B5">
        <v>1.8919664486503773</v>
      </c>
      <c r="C5">
        <f>(-1/((LOG(B5)-6.01)/5080))-272.15</f>
        <v>613.93464889699635</v>
      </c>
      <c r="D5" t="e">
        <v>#DIV/0!</v>
      </c>
      <c r="E5">
        <v>14169.19795469649</v>
      </c>
      <c r="F5" t="e">
        <v>#DIV/0!</v>
      </c>
      <c r="G5">
        <v>16637.337494029467</v>
      </c>
      <c r="H5" t="e">
        <v>#DIV/0!</v>
      </c>
      <c r="I5">
        <v>354.85131594209821</v>
      </c>
      <c r="J5">
        <v>221.20077953028607</v>
      </c>
      <c r="K5" t="e">
        <v>#DIV/0!</v>
      </c>
      <c r="L5">
        <v>21.272512678139186</v>
      </c>
      <c r="N5">
        <v>4.9610000000000003</v>
      </c>
      <c r="O5">
        <v>1.002</v>
      </c>
    </row>
    <row r="6" spans="1:15" ht="12">
      <c r="A6">
        <v>2</v>
      </c>
      <c r="B6">
        <v>1.6946077517609694</v>
      </c>
      <c r="C6">
        <f t="shared" ref="C6:C69" si="0">(-1/((LOG(B6)-6.01)/5080))-272.15</f>
        <v>606.60121945221294</v>
      </c>
      <c r="D6" t="e">
        <v>#DIV/0!</v>
      </c>
      <c r="E6">
        <v>15120.685509150715</v>
      </c>
      <c r="F6" t="e">
        <v>#DIV/0!</v>
      </c>
      <c r="G6">
        <v>16506.723428147816</v>
      </c>
      <c r="H6" t="e">
        <v>#DIV/0!</v>
      </c>
      <c r="I6">
        <v>302.98047194869929</v>
      </c>
      <c r="J6">
        <v>162.40681812713538</v>
      </c>
      <c r="K6" t="e">
        <v>#DIV/0!</v>
      </c>
      <c r="L6">
        <v>10.163745157552796</v>
      </c>
      <c r="N6">
        <v>4.2882899999999999</v>
      </c>
      <c r="O6">
        <v>0.87119999999999997</v>
      </c>
    </row>
    <row r="7" spans="1:15" ht="12">
      <c r="A7">
        <v>3</v>
      </c>
      <c r="B7">
        <v>1.581965328348701</v>
      </c>
      <c r="C7">
        <f t="shared" si="0"/>
        <v>602.08372739145739</v>
      </c>
      <c r="D7" t="e">
        <v>#DIV/0!</v>
      </c>
      <c r="E7">
        <v>15796.451049742656</v>
      </c>
      <c r="F7" t="e">
        <v>#DIV/0!</v>
      </c>
      <c r="G7">
        <v>16768.480266050203</v>
      </c>
      <c r="H7" t="e">
        <v>#DIV/0!</v>
      </c>
      <c r="I7">
        <v>265.65561683878377</v>
      </c>
      <c r="J7">
        <v>153.95152085458662</v>
      </c>
      <c r="K7" t="e">
        <v>#DIV/0!</v>
      </c>
      <c r="L7">
        <v>7.1294717170078767</v>
      </c>
      <c r="N7">
        <v>4.6945499999999996</v>
      </c>
      <c r="O7">
        <v>0.86119999999999997</v>
      </c>
    </row>
    <row r="8" spans="1:15" ht="12">
      <c r="A8">
        <v>4</v>
      </c>
      <c r="B8">
        <v>1.5630250999078292</v>
      </c>
      <c r="C8">
        <f t="shared" si="0"/>
        <v>601.29743140428945</v>
      </c>
      <c r="D8" t="e">
        <v>#DIV/0!</v>
      </c>
      <c r="E8">
        <v>16361.418816134241</v>
      </c>
      <c r="F8" t="e">
        <v>#DIV/0!</v>
      </c>
      <c r="G8">
        <v>18649.542598819771</v>
      </c>
      <c r="H8" t="e">
        <v>#DIV/0!</v>
      </c>
      <c r="I8">
        <v>249.41226092256073</v>
      </c>
      <c r="J8">
        <v>149.21272633302749</v>
      </c>
      <c r="K8" t="e">
        <v>#DIV/0!</v>
      </c>
      <c r="L8">
        <v>6.5055778905138917</v>
      </c>
      <c r="N8">
        <v>4.4963300000000004</v>
      </c>
      <c r="O8">
        <v>0.89</v>
      </c>
    </row>
    <row r="9" spans="1:15" ht="12">
      <c r="A9">
        <v>5</v>
      </c>
      <c r="B9">
        <v>1.6134899883179272</v>
      </c>
      <c r="C9">
        <f t="shared" si="0"/>
        <v>603.37488243872201</v>
      </c>
      <c r="D9" t="e">
        <v>#DIV/0!</v>
      </c>
      <c r="E9">
        <v>18201.223944071451</v>
      </c>
      <c r="F9" t="e">
        <v>#DIV/0!</v>
      </c>
      <c r="G9">
        <v>22199.826056335532</v>
      </c>
      <c r="H9" t="e">
        <v>#DIV/0!</v>
      </c>
      <c r="I9">
        <v>269.86062099844554</v>
      </c>
      <c r="J9">
        <v>281.42224449717702</v>
      </c>
      <c r="K9" t="e">
        <v>#DIV/0!</v>
      </c>
      <c r="L9">
        <v>16.108779455925212</v>
      </c>
      <c r="N9">
        <v>4.9797000000000002</v>
      </c>
      <c r="O9">
        <v>1.1399999999999999</v>
      </c>
    </row>
    <row r="10" spans="1:15" ht="12">
      <c r="A10">
        <v>6</v>
      </c>
      <c r="B10">
        <v>1.6764278377771988</v>
      </c>
      <c r="C10">
        <f t="shared" si="0"/>
        <v>605.88973829309612</v>
      </c>
      <c r="D10" t="e">
        <v>#DIV/0!</v>
      </c>
      <c r="E10">
        <v>20008.241162437647</v>
      </c>
      <c r="F10" t="e">
        <v>#DIV/0!</v>
      </c>
      <c r="G10">
        <v>23222.873035005778</v>
      </c>
      <c r="H10" t="e">
        <v>#DIV/0!</v>
      </c>
      <c r="I10">
        <v>240.80816029122573</v>
      </c>
      <c r="J10">
        <v>321.88472213526995</v>
      </c>
      <c r="K10" t="e">
        <v>#DIV/0!</v>
      </c>
      <c r="L10">
        <v>17.261930534901868</v>
      </c>
      <c r="N10">
        <v>2.9029199999999999</v>
      </c>
      <c r="O10">
        <v>0.30599999999999999</v>
      </c>
    </row>
    <row r="11" spans="1:15" ht="12">
      <c r="A11">
        <v>7</v>
      </c>
      <c r="B11">
        <v>1.5901961780017233</v>
      </c>
      <c r="C11">
        <f t="shared" si="0"/>
        <v>602.42293418186773</v>
      </c>
      <c r="D11" t="e">
        <v>#DIV/0!</v>
      </c>
      <c r="E11">
        <v>20414.813497769326</v>
      </c>
      <c r="F11" t="e">
        <v>#DIV/0!</v>
      </c>
      <c r="G11">
        <v>23896.015358352983</v>
      </c>
      <c r="H11" t="e">
        <v>#DIV/0!</v>
      </c>
      <c r="I11">
        <v>222.44736687021711</v>
      </c>
      <c r="J11">
        <v>299.60224860862189</v>
      </c>
      <c r="K11" t="e">
        <v>#DIV/0!</v>
      </c>
      <c r="L11">
        <v>16.313797739631834</v>
      </c>
      <c r="N11">
        <v>2.3274599999999999</v>
      </c>
      <c r="O11">
        <v>0.24460000000000001</v>
      </c>
    </row>
    <row r="12" spans="1:15" ht="12">
      <c r="A12">
        <v>8</v>
      </c>
      <c r="B12">
        <v>1.6399534883720932</v>
      </c>
      <c r="C12">
        <f t="shared" si="0"/>
        <v>604.44229013549989</v>
      </c>
      <c r="D12" t="e">
        <v>#DIV/0!</v>
      </c>
      <c r="E12">
        <v>21038.136698907525</v>
      </c>
      <c r="F12" t="e">
        <v>#DIV/0!</v>
      </c>
      <c r="G12">
        <v>25229.355929773341</v>
      </c>
      <c r="H12" t="e">
        <v>#DIV/0!</v>
      </c>
      <c r="I12">
        <v>210.29601602351283</v>
      </c>
      <c r="J12">
        <v>288.01029226224938</v>
      </c>
      <c r="K12" t="e">
        <v>#DIV/0!</v>
      </c>
      <c r="L12">
        <v>15.591034549043671</v>
      </c>
      <c r="N12">
        <v>2.75421</v>
      </c>
      <c r="O12">
        <v>0.36620000000000003</v>
      </c>
    </row>
    <row r="13" spans="1:15" ht="12">
      <c r="A13">
        <v>9</v>
      </c>
      <c r="B13">
        <v>1.6870025026760378</v>
      </c>
      <c r="C13">
        <f t="shared" si="0"/>
        <v>606.30437675484131</v>
      </c>
      <c r="D13" t="e">
        <v>#DIV/0!</v>
      </c>
      <c r="E13">
        <v>21059.608120464516</v>
      </c>
      <c r="F13" t="e">
        <v>#DIV/0!</v>
      </c>
      <c r="G13">
        <v>24538.362405501084</v>
      </c>
      <c r="H13" t="e">
        <v>#DIV/0!</v>
      </c>
      <c r="I13">
        <v>196.55686939536974</v>
      </c>
      <c r="J13">
        <v>263.98160115718196</v>
      </c>
      <c r="K13" t="e">
        <v>#DIV/0!</v>
      </c>
      <c r="L13">
        <v>16.045233724979905</v>
      </c>
      <c r="N13">
        <v>2.3730699999999998</v>
      </c>
      <c r="O13">
        <v>0.25419999999999998</v>
      </c>
    </row>
    <row r="14" spans="1:15" ht="12">
      <c r="A14">
        <v>10</v>
      </c>
      <c r="B14">
        <v>1.5614429563007137</v>
      </c>
      <c r="C14">
        <f t="shared" si="0"/>
        <v>601.23138318001088</v>
      </c>
      <c r="D14" t="e">
        <v>#DIV/0!</v>
      </c>
      <c r="E14">
        <v>20473.525254158601</v>
      </c>
      <c r="F14" t="e">
        <v>#DIV/0!</v>
      </c>
      <c r="G14">
        <v>23244.239372100848</v>
      </c>
      <c r="H14" t="e">
        <v>#DIV/0!</v>
      </c>
      <c r="I14">
        <v>186.03390375280463</v>
      </c>
      <c r="J14">
        <v>236.77850243748881</v>
      </c>
      <c r="K14" t="e">
        <v>#DIV/0!</v>
      </c>
      <c r="L14">
        <v>13.875529174738471</v>
      </c>
      <c r="N14">
        <v>2.3654299999999999</v>
      </c>
      <c r="O14">
        <v>0.28000000000000003</v>
      </c>
    </row>
    <row r="15" spans="1:15" ht="12">
      <c r="A15">
        <v>11</v>
      </c>
      <c r="B15">
        <v>1.8033877278366255</v>
      </c>
      <c r="C15">
        <f t="shared" si="0"/>
        <v>610.72776732577631</v>
      </c>
      <c r="D15" t="e">
        <v>#DIV/0!</v>
      </c>
      <c r="E15">
        <v>19361.421172287653</v>
      </c>
      <c r="F15" t="e">
        <v>#DIV/0!</v>
      </c>
      <c r="G15">
        <v>21509.729473184623</v>
      </c>
      <c r="H15" t="e">
        <v>#DIV/0!</v>
      </c>
      <c r="I15">
        <v>160.7920574041849</v>
      </c>
      <c r="J15">
        <v>211.72162745326423</v>
      </c>
      <c r="K15" t="e">
        <v>#DIV/0!</v>
      </c>
      <c r="L15">
        <v>11.607929071342829</v>
      </c>
      <c r="N15">
        <v>2.4463900000000001</v>
      </c>
      <c r="O15">
        <v>0.3982</v>
      </c>
    </row>
    <row r="16" spans="1:15" ht="12">
      <c r="A16">
        <v>12</v>
      </c>
      <c r="B16">
        <v>15.003134272591689</v>
      </c>
      <c r="C16">
        <f t="shared" si="0"/>
        <v>778.7790990810455</v>
      </c>
      <c r="D16" t="e">
        <v>#DIV/0!</v>
      </c>
      <c r="E16">
        <v>18512.304871714259</v>
      </c>
      <c r="F16" t="e">
        <v>#DIV/0!</v>
      </c>
      <c r="G16">
        <v>19430.004725726125</v>
      </c>
      <c r="H16" t="e">
        <v>#DIV/0!</v>
      </c>
      <c r="I16">
        <v>359.56090586808631</v>
      </c>
      <c r="J16">
        <v>201.57068273208637</v>
      </c>
      <c r="K16" t="e">
        <v>#DIV/0!</v>
      </c>
      <c r="L16">
        <v>9.8293239241383663</v>
      </c>
      <c r="N16">
        <v>2.7021199999999999</v>
      </c>
      <c r="O16">
        <v>0.34920000000000001</v>
      </c>
    </row>
    <row r="17" spans="1:15" ht="12">
      <c r="A17">
        <v>13</v>
      </c>
      <c r="B17">
        <v>112.66592987017459</v>
      </c>
      <c r="C17">
        <f t="shared" si="0"/>
        <v>1011.2592541410435</v>
      </c>
      <c r="D17" t="e">
        <v>#DIV/0!</v>
      </c>
      <c r="E17">
        <v>18145.936085807145</v>
      </c>
      <c r="F17" t="e">
        <v>#DIV/0!</v>
      </c>
      <c r="G17">
        <v>20641.541439759094</v>
      </c>
      <c r="H17" t="e">
        <v>#DIV/0!</v>
      </c>
      <c r="I17">
        <v>1243.8404490310809</v>
      </c>
      <c r="J17">
        <v>221.79924940383484</v>
      </c>
      <c r="K17" t="e">
        <v>#DIV/0!</v>
      </c>
      <c r="L17">
        <v>9.7234879747289806</v>
      </c>
      <c r="N17">
        <v>2.8997600000000001</v>
      </c>
      <c r="O17">
        <v>0.36530000000000001</v>
      </c>
    </row>
    <row r="18" spans="1:15" ht="12">
      <c r="A18">
        <v>14</v>
      </c>
      <c r="B18">
        <v>212.06565379978113</v>
      </c>
      <c r="C18">
        <f t="shared" si="0"/>
        <v>1106.9620102402823</v>
      </c>
      <c r="D18" t="e">
        <v>#DIV/0!</v>
      </c>
      <c r="E18">
        <v>17381.441402777353</v>
      </c>
      <c r="F18" t="e">
        <v>#DIV/0!</v>
      </c>
      <c r="G18">
        <v>18893.130669882154</v>
      </c>
      <c r="H18" t="e">
        <v>#DIV/0!</v>
      </c>
      <c r="I18">
        <v>2036.6235950305916</v>
      </c>
      <c r="J18">
        <v>235.82309808044008</v>
      </c>
      <c r="K18" t="e">
        <v>#DIV/0!</v>
      </c>
      <c r="L18">
        <v>9.0415450199147394</v>
      </c>
      <c r="N18">
        <v>2.7922600000000002</v>
      </c>
      <c r="O18">
        <v>0.35089999999999999</v>
      </c>
    </row>
    <row r="19" spans="1:15" ht="12">
      <c r="A19">
        <v>15</v>
      </c>
      <c r="B19">
        <v>261.38024711485099</v>
      </c>
      <c r="C19">
        <f t="shared" si="0"/>
        <v>1141.8176258769176</v>
      </c>
      <c r="D19" t="e">
        <v>#DIV/0!</v>
      </c>
      <c r="E19">
        <v>16629.050730984301</v>
      </c>
      <c r="F19" t="e">
        <v>#DIV/0!</v>
      </c>
      <c r="G19">
        <v>18373.035454917881</v>
      </c>
      <c r="H19" t="e">
        <v>#DIV/0!</v>
      </c>
      <c r="I19">
        <v>2533.2690118597416</v>
      </c>
      <c r="J19">
        <v>232.44325514201205</v>
      </c>
      <c r="K19" t="e">
        <v>#DIV/0!</v>
      </c>
      <c r="L19">
        <v>9.2278638916611406</v>
      </c>
      <c r="N19">
        <v>2.9990600000000001</v>
      </c>
      <c r="O19">
        <v>0.3911</v>
      </c>
    </row>
    <row r="20" spans="1:15" ht="12">
      <c r="A20">
        <v>16</v>
      </c>
      <c r="B20">
        <v>319.21914613122402</v>
      </c>
      <c r="C20">
        <f t="shared" si="0"/>
        <v>1176.8314204818262</v>
      </c>
      <c r="D20" t="e">
        <v>#DIV/0!</v>
      </c>
      <c r="E20">
        <v>15378.940463660743</v>
      </c>
      <c r="F20" t="e">
        <v>#DIV/0!</v>
      </c>
      <c r="G20">
        <v>16788.937237417475</v>
      </c>
      <c r="H20" t="e">
        <v>#DIV/0!</v>
      </c>
      <c r="I20">
        <v>3110.4228832806784</v>
      </c>
      <c r="J20">
        <v>220.98235001230788</v>
      </c>
      <c r="K20" t="e">
        <v>#DIV/0!</v>
      </c>
      <c r="L20">
        <v>7.2308674092513865</v>
      </c>
      <c r="N20">
        <v>3.1393900000000001</v>
      </c>
      <c r="O20">
        <v>0.42109999999999997</v>
      </c>
    </row>
    <row r="21" spans="1:15" ht="12">
      <c r="A21">
        <v>17</v>
      </c>
      <c r="B21">
        <v>369.24569467439585</v>
      </c>
      <c r="C21">
        <f t="shared" si="0"/>
        <v>1203.4426405130212</v>
      </c>
      <c r="D21" t="e">
        <v>#DIV/0!</v>
      </c>
      <c r="E21">
        <v>15560.401703726606</v>
      </c>
      <c r="F21" t="e">
        <v>#DIV/0!</v>
      </c>
      <c r="G21">
        <v>17028.384662630517</v>
      </c>
      <c r="H21" t="e">
        <v>#DIV/0!</v>
      </c>
      <c r="I21">
        <v>3626.1197627193906</v>
      </c>
      <c r="J21">
        <v>225.35358683702148</v>
      </c>
      <c r="K21" t="e">
        <v>#DIV/0!</v>
      </c>
      <c r="L21">
        <v>6.9980846901870279</v>
      </c>
      <c r="N21">
        <v>3.08771</v>
      </c>
      <c r="O21">
        <v>0.41739999999999999</v>
      </c>
    </row>
    <row r="22" spans="1:15" ht="12">
      <c r="A22">
        <v>18</v>
      </c>
      <c r="B22">
        <v>393.69788069359112</v>
      </c>
      <c r="C22">
        <f t="shared" si="0"/>
        <v>1215.4759436338873</v>
      </c>
      <c r="D22" t="e">
        <v>#DIV/0!</v>
      </c>
      <c r="E22">
        <v>14904.965507627816</v>
      </c>
      <c r="F22" t="e">
        <v>#DIV/0!</v>
      </c>
      <c r="G22">
        <v>16045.448637407391</v>
      </c>
      <c r="H22" t="e">
        <v>#DIV/0!</v>
      </c>
      <c r="I22">
        <v>3800.2067770046156</v>
      </c>
      <c r="J22">
        <v>219.84205160690908</v>
      </c>
      <c r="K22" t="e">
        <v>#DIV/0!</v>
      </c>
      <c r="L22">
        <v>5.0723414783270178</v>
      </c>
      <c r="N22">
        <v>2.8363200000000002</v>
      </c>
      <c r="O22">
        <v>0.38969999999999999</v>
      </c>
    </row>
    <row r="23" spans="1:15" ht="12">
      <c r="A23">
        <v>19</v>
      </c>
      <c r="B23">
        <v>419.06138274863525</v>
      </c>
      <c r="C23">
        <f t="shared" si="0"/>
        <v>1227.3825657392495</v>
      </c>
      <c r="D23" t="e">
        <v>#DIV/0!</v>
      </c>
      <c r="E23">
        <v>14953.526494543801</v>
      </c>
      <c r="F23" t="e">
        <v>#DIV/0!</v>
      </c>
      <c r="G23">
        <v>16344.086507190865</v>
      </c>
      <c r="H23" t="e">
        <v>#DIV/0!</v>
      </c>
      <c r="I23">
        <v>4058.2164459698238</v>
      </c>
      <c r="J23">
        <v>217.84649826442973</v>
      </c>
      <c r="K23" t="e">
        <v>#DIV/0!</v>
      </c>
      <c r="L23">
        <v>5.6791692460492929</v>
      </c>
      <c r="N23">
        <v>3.52345</v>
      </c>
      <c r="O23">
        <v>0.47199999999999998</v>
      </c>
    </row>
    <row r="24" spans="1:15" ht="12">
      <c r="A24">
        <v>20</v>
      </c>
      <c r="B24">
        <v>425.99216056327811</v>
      </c>
      <c r="C24">
        <f t="shared" si="0"/>
        <v>1230.5425441511875</v>
      </c>
      <c r="D24" t="e">
        <v>#DIV/0!</v>
      </c>
      <c r="E24">
        <v>14684.543387508073</v>
      </c>
      <c r="F24" t="e">
        <v>#DIV/0!</v>
      </c>
      <c r="G24">
        <v>15426.436532059635</v>
      </c>
      <c r="H24" t="e">
        <v>#DIV/0!</v>
      </c>
      <c r="I24">
        <v>4136.1937145519805</v>
      </c>
      <c r="J24">
        <v>215.0087393486148</v>
      </c>
      <c r="K24" t="e">
        <v>#DIV/0!</v>
      </c>
      <c r="L24">
        <v>5.3383568369968595</v>
      </c>
      <c r="N24">
        <v>3.3751699999999998</v>
      </c>
      <c r="O24">
        <v>0.5232</v>
      </c>
    </row>
    <row r="25" spans="1:15" ht="12">
      <c r="C25" t="e">
        <f t="shared" si="0"/>
        <v>#NUM!</v>
      </c>
    </row>
    <row r="26" spans="1:15" ht="12">
      <c r="A26" s="1" t="s">
        <v>41</v>
      </c>
      <c r="C26" t="e">
        <f t="shared" si="0"/>
        <v>#NUM!</v>
      </c>
    </row>
    <row r="27" spans="1:15" ht="12">
      <c r="A27" s="1"/>
      <c r="B27" t="s">
        <v>20</v>
      </c>
      <c r="C27" t="e">
        <f t="shared" si="0"/>
        <v>#VALUE!</v>
      </c>
      <c r="E27" t="s">
        <v>22</v>
      </c>
      <c r="G27" t="s">
        <v>23</v>
      </c>
      <c r="I27" t="s">
        <v>24</v>
      </c>
      <c r="J27" t="s">
        <v>65</v>
      </c>
      <c r="L27" t="s">
        <v>25</v>
      </c>
    </row>
    <row r="28" spans="1:15" ht="12">
      <c r="A28" t="s">
        <v>26</v>
      </c>
      <c r="C28" t="e">
        <f t="shared" si="0"/>
        <v>#NUM!</v>
      </c>
    </row>
    <row r="29" spans="1:15" ht="12">
      <c r="A29">
        <v>1</v>
      </c>
      <c r="B29">
        <v>2.2359717675423365</v>
      </c>
      <c r="C29">
        <f t="shared" si="0"/>
        <v>625.29188150204311</v>
      </c>
      <c r="D29" t="e">
        <v>#DIV/0!</v>
      </c>
      <c r="E29">
        <v>18094.473990374838</v>
      </c>
      <c r="F29" t="e">
        <v>#DIV/0!</v>
      </c>
      <c r="G29">
        <v>18605.702734333441</v>
      </c>
      <c r="H29" t="e">
        <v>#DIV/0!</v>
      </c>
      <c r="I29">
        <v>387.2851130961547</v>
      </c>
      <c r="J29">
        <v>179.89053528137643</v>
      </c>
      <c r="K29" t="e">
        <v>#DIV/0!</v>
      </c>
      <c r="L29">
        <v>2.1580965003452914</v>
      </c>
      <c r="N29">
        <v>3.83989</v>
      </c>
      <c r="O29">
        <v>0.79510000000000003</v>
      </c>
    </row>
    <row r="30" spans="1:15" ht="12">
      <c r="A30">
        <v>2</v>
      </c>
      <c r="B30">
        <v>2.0091671190934997</v>
      </c>
      <c r="C30">
        <f t="shared" si="0"/>
        <v>617.98742728201728</v>
      </c>
      <c r="D30" t="e">
        <v>#DIV/0!</v>
      </c>
      <c r="E30">
        <v>18334.385386339629</v>
      </c>
      <c r="F30" t="e">
        <v>#DIV/0!</v>
      </c>
      <c r="G30">
        <v>17976.959290964001</v>
      </c>
      <c r="H30" t="e">
        <v>#DIV/0!</v>
      </c>
      <c r="I30">
        <v>388.328639571758</v>
      </c>
      <c r="J30">
        <v>262.06805796159955</v>
      </c>
      <c r="K30" t="e">
        <v>#DIV/0!</v>
      </c>
      <c r="L30">
        <v>11.804886162507197</v>
      </c>
      <c r="N30">
        <v>3.6455299999999999</v>
      </c>
      <c r="O30">
        <v>0.73270000000000002</v>
      </c>
    </row>
    <row r="31" spans="1:15" ht="12">
      <c r="A31">
        <v>3</v>
      </c>
      <c r="B31">
        <v>1.7870821859181207</v>
      </c>
      <c r="C31">
        <f t="shared" si="0"/>
        <v>610.12292655406588</v>
      </c>
      <c r="D31" t="e">
        <v>#DIV/0!</v>
      </c>
      <c r="E31">
        <v>17825.878055774967</v>
      </c>
      <c r="F31" t="e">
        <v>#DIV/0!</v>
      </c>
      <c r="G31">
        <v>16752.769778649093</v>
      </c>
      <c r="H31" t="e">
        <v>#DIV/0!</v>
      </c>
      <c r="I31">
        <v>350.85510124175147</v>
      </c>
      <c r="J31">
        <v>292.33414828625371</v>
      </c>
      <c r="K31" t="e">
        <v>#DIV/0!</v>
      </c>
      <c r="L31">
        <v>23.533711803327243</v>
      </c>
      <c r="N31">
        <v>4.6450800000000001</v>
      </c>
      <c r="O31">
        <v>0.8972</v>
      </c>
    </row>
    <row r="32" spans="1:15" ht="12">
      <c r="A32">
        <v>4</v>
      </c>
      <c r="B32">
        <v>1.5847108103028578</v>
      </c>
      <c r="C32">
        <f t="shared" si="0"/>
        <v>602.19703968981878</v>
      </c>
      <c r="D32" t="e">
        <v>#DIV/0!</v>
      </c>
      <c r="E32">
        <v>18505.127393230268</v>
      </c>
      <c r="F32" t="e">
        <v>#DIV/0!</v>
      </c>
      <c r="G32">
        <v>18736.390924179712</v>
      </c>
      <c r="H32" t="e">
        <v>#DIV/0!</v>
      </c>
      <c r="I32">
        <v>343.73081362154318</v>
      </c>
      <c r="J32">
        <v>298.83793451876284</v>
      </c>
      <c r="K32" t="e">
        <v>#DIV/0!</v>
      </c>
      <c r="L32">
        <v>30.762898969101343</v>
      </c>
      <c r="N32">
        <v>4.1866099999999999</v>
      </c>
      <c r="O32">
        <v>0.67459999999999998</v>
      </c>
    </row>
    <row r="33" spans="1:15" ht="12">
      <c r="A33">
        <v>5</v>
      </c>
      <c r="B33">
        <v>2.4946165957251019</v>
      </c>
      <c r="C33">
        <f t="shared" si="0"/>
        <v>632.8924809706325</v>
      </c>
      <c r="D33" t="e">
        <v>#DIV/0!</v>
      </c>
      <c r="E33">
        <v>20697.581353995523</v>
      </c>
      <c r="F33" t="e">
        <v>#DIV/0!</v>
      </c>
      <c r="G33">
        <v>20598.941685150152</v>
      </c>
      <c r="H33" t="e">
        <v>#DIV/0!</v>
      </c>
      <c r="I33">
        <v>525.62970971261609</v>
      </c>
      <c r="J33">
        <v>432.41644359241121</v>
      </c>
      <c r="K33" t="e">
        <v>#DIV/0!</v>
      </c>
      <c r="L33">
        <v>34.616609221757081</v>
      </c>
      <c r="N33">
        <v>3.07213</v>
      </c>
      <c r="O33">
        <v>0.51319999999999999</v>
      </c>
    </row>
    <row r="34" spans="1:15" ht="12">
      <c r="A34">
        <v>6</v>
      </c>
      <c r="B34">
        <v>4.0721015656973929</v>
      </c>
      <c r="C34">
        <f t="shared" si="0"/>
        <v>668.5591401547199</v>
      </c>
      <c r="D34" t="e">
        <v>#DIV/0!</v>
      </c>
      <c r="E34">
        <v>24268.705270006503</v>
      </c>
      <c r="F34" t="e">
        <v>#DIV/0!</v>
      </c>
      <c r="G34">
        <v>23612.562884000468</v>
      </c>
      <c r="H34" t="e">
        <v>#DIV/0!</v>
      </c>
      <c r="I34">
        <v>992.4218871131269</v>
      </c>
      <c r="J34">
        <v>786.12641272623762</v>
      </c>
      <c r="K34" t="e">
        <v>#DIV/0!</v>
      </c>
      <c r="L34">
        <v>27.063817194010518</v>
      </c>
      <c r="N34">
        <v>3.4516300000000002</v>
      </c>
      <c r="O34">
        <v>0.2994</v>
      </c>
    </row>
    <row r="35" spans="1:15" ht="12">
      <c r="A35">
        <v>7</v>
      </c>
      <c r="B35">
        <v>4.7765511920401797</v>
      </c>
      <c r="C35">
        <f t="shared" si="0"/>
        <v>680.78735713940921</v>
      </c>
      <c r="D35" t="e">
        <v>#DIV/0!</v>
      </c>
      <c r="E35">
        <v>24803.259172219728</v>
      </c>
      <c r="F35" t="e">
        <v>#DIV/0!</v>
      </c>
      <c r="G35">
        <v>23385.611279550252</v>
      </c>
      <c r="H35" t="e">
        <v>#DIV/0!</v>
      </c>
      <c r="I35">
        <v>1193.9746527347995</v>
      </c>
      <c r="J35">
        <v>910.44694781152737</v>
      </c>
      <c r="K35" t="e">
        <v>#DIV/0!</v>
      </c>
      <c r="L35">
        <v>21.528536624526179</v>
      </c>
      <c r="N35">
        <v>3.6296599999999999</v>
      </c>
      <c r="O35">
        <v>0.29289999999999999</v>
      </c>
    </row>
    <row r="36" spans="1:15" ht="12">
      <c r="A36">
        <v>8</v>
      </c>
      <c r="B36">
        <v>5.5639276485788116</v>
      </c>
      <c r="C36">
        <f t="shared" si="0"/>
        <v>692.78221205924319</v>
      </c>
      <c r="D36" t="e">
        <v>#DIV/0!</v>
      </c>
      <c r="E36">
        <v>24893.339885881291</v>
      </c>
      <c r="F36" t="e">
        <v>#DIV/0!</v>
      </c>
      <c r="G36">
        <v>25004.18170996094</v>
      </c>
      <c r="H36" t="e">
        <v>#DIV/0!</v>
      </c>
      <c r="I36">
        <v>1485.0964676091598</v>
      </c>
      <c r="J36">
        <v>987.69064137388511</v>
      </c>
      <c r="K36" t="e">
        <v>#DIV/0!</v>
      </c>
      <c r="L36">
        <v>21.594221371167482</v>
      </c>
      <c r="N36">
        <v>4.2327899999999996</v>
      </c>
      <c r="O36">
        <v>0.32879999999999998</v>
      </c>
    </row>
    <row r="37" spans="1:15" ht="12">
      <c r="A37">
        <v>9</v>
      </c>
      <c r="B37">
        <v>6.2703187158474369</v>
      </c>
      <c r="C37">
        <f t="shared" si="0"/>
        <v>702.39100190518843</v>
      </c>
      <c r="D37" t="e">
        <v>#DIV/0!</v>
      </c>
      <c r="E37">
        <v>24427.724201463683</v>
      </c>
      <c r="F37" t="e">
        <v>#DIV/0!</v>
      </c>
      <c r="G37">
        <v>23343.04844385774</v>
      </c>
      <c r="H37" t="e">
        <v>#DIV/0!</v>
      </c>
      <c r="I37">
        <v>1886.344232186151</v>
      </c>
      <c r="J37">
        <v>1072.5191833235153</v>
      </c>
      <c r="K37" t="e">
        <v>#DIV/0!</v>
      </c>
      <c r="L37">
        <v>26.878101726051511</v>
      </c>
      <c r="N37">
        <v>3.7938999999999998</v>
      </c>
      <c r="O37">
        <v>0.33139999999999997</v>
      </c>
    </row>
    <row r="38" spans="1:15" ht="12">
      <c r="A38">
        <v>10</v>
      </c>
      <c r="B38">
        <v>7.5253201681493795</v>
      </c>
      <c r="C38">
        <f t="shared" si="0"/>
        <v>717.43307620129985</v>
      </c>
      <c r="D38" t="e">
        <v>#DIV/0!</v>
      </c>
      <c r="E38">
        <v>23515.321673421626</v>
      </c>
      <c r="F38" t="e">
        <v>#DIV/0!</v>
      </c>
      <c r="G38">
        <v>22745.048605620457</v>
      </c>
      <c r="H38" t="e">
        <v>#DIV/0!</v>
      </c>
      <c r="I38">
        <v>2411.8188009448122</v>
      </c>
      <c r="J38">
        <v>1160.8553423222781</v>
      </c>
      <c r="K38" t="e">
        <v>#DIV/0!</v>
      </c>
      <c r="L38">
        <v>41.540364199922507</v>
      </c>
      <c r="N38">
        <v>3.9125299999999998</v>
      </c>
      <c r="O38">
        <v>0.3105</v>
      </c>
    </row>
    <row r="39" spans="1:15" ht="12">
      <c r="A39">
        <v>11</v>
      </c>
      <c r="B39">
        <v>10.208607691573624</v>
      </c>
      <c r="C39">
        <f t="shared" si="0"/>
        <v>743.64003915590513</v>
      </c>
      <c r="D39" t="e">
        <v>#DIV/0!</v>
      </c>
      <c r="E39">
        <v>22552.071759457107</v>
      </c>
      <c r="F39" t="e">
        <v>#DIV/0!</v>
      </c>
      <c r="G39">
        <v>21237.126245847176</v>
      </c>
      <c r="H39" t="e">
        <v>#DIV/0!</v>
      </c>
      <c r="I39">
        <v>3181.3103836712767</v>
      </c>
      <c r="J39">
        <v>1356.2870158988994</v>
      </c>
      <c r="K39" t="e">
        <v>#DIV/0!</v>
      </c>
      <c r="L39">
        <v>76.397880002527145</v>
      </c>
      <c r="N39">
        <v>3.9343699999999999</v>
      </c>
      <c r="O39">
        <v>0.40739999999999998</v>
      </c>
    </row>
    <row r="40" spans="1:15" ht="12">
      <c r="A40">
        <v>12</v>
      </c>
      <c r="B40">
        <v>12.269002080495071</v>
      </c>
      <c r="C40">
        <f t="shared" si="0"/>
        <v>760.12049058944979</v>
      </c>
      <c r="D40" t="e">
        <v>#DIV/0!</v>
      </c>
      <c r="E40">
        <v>21614.68656451194</v>
      </c>
      <c r="F40" t="e">
        <v>#DIV/0!</v>
      </c>
      <c r="G40">
        <v>19427.675942418842</v>
      </c>
      <c r="H40" t="e">
        <v>#DIV/0!</v>
      </c>
      <c r="I40">
        <v>3686.4798966299832</v>
      </c>
      <c r="J40">
        <v>1455.3877702861148</v>
      </c>
      <c r="K40" t="e">
        <v>#DIV/0!</v>
      </c>
      <c r="L40">
        <v>101.6712802525921</v>
      </c>
      <c r="N40">
        <v>3.5807799999999999</v>
      </c>
      <c r="O40">
        <v>0.37030000000000002</v>
      </c>
    </row>
    <row r="41" spans="1:15" ht="12">
      <c r="A41">
        <v>13</v>
      </c>
      <c r="B41">
        <v>13.449863222734942</v>
      </c>
      <c r="C41">
        <f t="shared" si="0"/>
        <v>768.5601786905562</v>
      </c>
      <c r="D41" t="e">
        <v>#DIV/0!</v>
      </c>
      <c r="E41">
        <v>21847.394697024531</v>
      </c>
      <c r="F41" t="e">
        <v>#DIV/0!</v>
      </c>
      <c r="G41">
        <v>21130.329679999217</v>
      </c>
      <c r="H41" t="e">
        <v>#DIV/0!</v>
      </c>
      <c r="I41">
        <v>3668.5380763478652</v>
      </c>
      <c r="J41">
        <v>1434.9902941668206</v>
      </c>
      <c r="K41" t="e">
        <v>#DIV/0!</v>
      </c>
      <c r="L41">
        <v>95.340323066982549</v>
      </c>
      <c r="N41">
        <v>4.20505</v>
      </c>
      <c r="O41">
        <v>0.44119999999999998</v>
      </c>
    </row>
    <row r="42" spans="1:15" ht="12">
      <c r="A42">
        <v>14</v>
      </c>
      <c r="B42">
        <v>13.421825827559029</v>
      </c>
      <c r="C42">
        <f t="shared" si="0"/>
        <v>768.36699412317932</v>
      </c>
      <c r="D42" t="e">
        <v>#DIV/0!</v>
      </c>
      <c r="E42">
        <v>23358.972917922678</v>
      </c>
      <c r="F42" t="e">
        <v>#DIV/0!</v>
      </c>
      <c r="G42">
        <v>21874.676174955021</v>
      </c>
      <c r="H42" t="e">
        <v>#DIV/0!</v>
      </c>
      <c r="I42">
        <v>3432.4069020724282</v>
      </c>
      <c r="J42">
        <v>1547.2714773267282</v>
      </c>
      <c r="K42" t="e">
        <v>#DIV/0!</v>
      </c>
      <c r="L42">
        <v>97.510728760526106</v>
      </c>
      <c r="N42">
        <v>4.0574500000000002</v>
      </c>
      <c r="O42">
        <v>0.41599999999999998</v>
      </c>
    </row>
    <row r="43" spans="1:15" ht="12">
      <c r="A43">
        <v>15</v>
      </c>
      <c r="B43">
        <v>12.460916329373601</v>
      </c>
      <c r="C43">
        <f t="shared" si="0"/>
        <v>761.53636962809662</v>
      </c>
      <c r="D43" t="e">
        <v>#DIV/0!</v>
      </c>
      <c r="E43">
        <v>23460.448527925622</v>
      </c>
      <c r="F43" t="e">
        <v>#DIV/0!</v>
      </c>
      <c r="G43">
        <v>22032.81535138356</v>
      </c>
      <c r="H43" t="e">
        <v>#DIV/0!</v>
      </c>
      <c r="I43">
        <v>3132.6238098279482</v>
      </c>
      <c r="J43">
        <v>1621.5732072907508</v>
      </c>
      <c r="K43" t="e">
        <v>#DIV/0!</v>
      </c>
      <c r="L43">
        <v>101.3431862055903</v>
      </c>
      <c r="N43">
        <v>4.1992900000000004</v>
      </c>
      <c r="O43">
        <v>0.44879999999999998</v>
      </c>
    </row>
    <row r="44" spans="1:15" ht="12">
      <c r="A44">
        <v>16</v>
      </c>
      <c r="B44">
        <v>13.296246396337665</v>
      </c>
      <c r="C44">
        <f t="shared" si="0"/>
        <v>767.49762836641719</v>
      </c>
      <c r="D44" t="e">
        <v>#DIV/0!</v>
      </c>
      <c r="E44">
        <v>24753.522232154221</v>
      </c>
      <c r="F44" t="e">
        <v>#DIV/0!</v>
      </c>
      <c r="G44">
        <v>22506.269827660122</v>
      </c>
      <c r="H44" t="e">
        <v>#DIV/0!</v>
      </c>
      <c r="I44">
        <v>3088.3112097454723</v>
      </c>
      <c r="J44">
        <v>1927.5981465526888</v>
      </c>
      <c r="K44" t="e">
        <v>#DIV/0!</v>
      </c>
      <c r="L44">
        <v>81.569943338427748</v>
      </c>
      <c r="N44">
        <v>3.5639699999999999</v>
      </c>
      <c r="O44">
        <v>0.41620000000000001</v>
      </c>
    </row>
    <row r="45" spans="1:15" ht="12">
      <c r="A45">
        <v>17</v>
      </c>
      <c r="B45">
        <v>13.6784566461016</v>
      </c>
      <c r="C45">
        <f t="shared" si="0"/>
        <v>770.12301323854433</v>
      </c>
      <c r="D45" t="e">
        <v>#DIV/0!</v>
      </c>
      <c r="E45">
        <v>26379.019191422572</v>
      </c>
      <c r="F45" t="e">
        <v>#DIV/0!</v>
      </c>
      <c r="G45">
        <v>24354.654733701849</v>
      </c>
      <c r="H45" t="e">
        <v>#DIV/0!</v>
      </c>
      <c r="I45">
        <v>3150.9396377231701</v>
      </c>
      <c r="J45">
        <v>2160.0077761926227</v>
      </c>
      <c r="K45" t="e">
        <v>#DIV/0!</v>
      </c>
      <c r="L45">
        <v>74.696728071039558</v>
      </c>
      <c r="N45">
        <v>3.4759799999999998</v>
      </c>
      <c r="O45">
        <v>0.40510000000000002</v>
      </c>
    </row>
    <row r="46" spans="1:15" ht="12">
      <c r="A46">
        <v>18</v>
      </c>
      <c r="B46">
        <v>13.612643134974006</v>
      </c>
      <c r="C46">
        <f t="shared" si="0"/>
        <v>769.67527741531796</v>
      </c>
      <c r="D46" t="e">
        <v>#DIV/0!</v>
      </c>
      <c r="E46">
        <v>25336.792250874129</v>
      </c>
      <c r="F46" t="e">
        <v>#DIV/0!</v>
      </c>
      <c r="G46">
        <v>23414.930029028204</v>
      </c>
      <c r="H46" t="e">
        <v>#DIV/0!</v>
      </c>
      <c r="I46">
        <v>2953.238810754845</v>
      </c>
      <c r="J46">
        <v>2254.2124414037758</v>
      </c>
      <c r="K46" t="e">
        <v>#DIV/0!</v>
      </c>
      <c r="L46">
        <v>65.774350734755686</v>
      </c>
      <c r="N46">
        <v>3.23889</v>
      </c>
      <c r="O46">
        <v>0.39250000000000002</v>
      </c>
    </row>
    <row r="47" spans="1:15" ht="12">
      <c r="A47">
        <v>19</v>
      </c>
      <c r="B47">
        <v>13.769116225539497</v>
      </c>
      <c r="C47">
        <f t="shared" si="0"/>
        <v>770.73688920109237</v>
      </c>
      <c r="D47" t="e">
        <v>#DIV/0!</v>
      </c>
      <c r="E47">
        <v>25521.852170782255</v>
      </c>
      <c r="F47" t="e">
        <v>#DIV/0!</v>
      </c>
      <c r="G47">
        <v>23765.763893907639</v>
      </c>
      <c r="H47" t="e">
        <v>#DIV/0!</v>
      </c>
      <c r="I47">
        <v>3054.5617366452229</v>
      </c>
      <c r="J47">
        <v>2465.0990721374219</v>
      </c>
      <c r="K47" t="e">
        <v>#DIV/0!</v>
      </c>
      <c r="L47">
        <v>55.56333580500548</v>
      </c>
      <c r="N47">
        <v>3.0183599999999999</v>
      </c>
      <c r="O47">
        <v>0.35070000000000001</v>
      </c>
    </row>
    <row r="48" spans="1:15" ht="12">
      <c r="A48">
        <v>20</v>
      </c>
      <c r="B48">
        <v>15.029289006641745</v>
      </c>
      <c r="C48">
        <f t="shared" si="0"/>
        <v>778.94358375521767</v>
      </c>
      <c r="D48" t="e">
        <v>#DIV/0!</v>
      </c>
      <c r="E48">
        <v>26315.723768750875</v>
      </c>
      <c r="F48" t="e">
        <v>#DIV/0!</v>
      </c>
      <c r="G48">
        <v>23553.463938766999</v>
      </c>
      <c r="H48" t="e">
        <v>#DIV/0!</v>
      </c>
      <c r="I48">
        <v>3208.8260964897099</v>
      </c>
      <c r="J48">
        <v>2722.5241385062345</v>
      </c>
      <c r="K48" t="e">
        <v>#DIV/0!</v>
      </c>
      <c r="L48">
        <v>56.803242934627463</v>
      </c>
      <c r="N48">
        <v>3.1625899999999998</v>
      </c>
      <c r="O48">
        <v>0.38879999999999998</v>
      </c>
    </row>
    <row r="49" spans="1:15" ht="12">
      <c r="C49" t="e">
        <f t="shared" si="0"/>
        <v>#NUM!</v>
      </c>
    </row>
    <row r="50" spans="1:15" ht="12">
      <c r="A50" s="1" t="s">
        <v>42</v>
      </c>
      <c r="C50" t="e">
        <f t="shared" si="0"/>
        <v>#NUM!</v>
      </c>
    </row>
    <row r="51" spans="1:15" ht="12">
      <c r="B51" t="s">
        <v>20</v>
      </c>
      <c r="C51" t="e">
        <f t="shared" si="0"/>
        <v>#VALUE!</v>
      </c>
      <c r="E51" t="s">
        <v>22</v>
      </c>
      <c r="G51" t="s">
        <v>23</v>
      </c>
      <c r="I51" t="s">
        <v>24</v>
      </c>
      <c r="J51" t="s">
        <v>65</v>
      </c>
      <c r="K51" t="s">
        <v>25</v>
      </c>
    </row>
    <row r="52" spans="1:15" ht="12">
      <c r="A52" t="s">
        <v>26</v>
      </c>
      <c r="C52" t="e">
        <f t="shared" si="0"/>
        <v>#NUM!</v>
      </c>
    </row>
    <row r="53" spans="1:15" ht="12">
      <c r="A53">
        <v>1</v>
      </c>
      <c r="B53">
        <v>3.6541824734227948</v>
      </c>
      <c r="C53">
        <f t="shared" si="0"/>
        <v>660.43754752366021</v>
      </c>
      <c r="D53" t="e">
        <v>#DIV/0!</v>
      </c>
      <c r="E53">
        <v>17208.238445624003</v>
      </c>
      <c r="F53" t="e">
        <v>#DIV/0!</v>
      </c>
      <c r="G53">
        <v>16449.378951586066</v>
      </c>
      <c r="H53" t="e">
        <v>#DIV/0!</v>
      </c>
      <c r="I53">
        <v>645.28363872165619</v>
      </c>
      <c r="J53">
        <v>381.7865125998627</v>
      </c>
      <c r="K53">
        <v>29.177767391895753</v>
      </c>
      <c r="N53">
        <v>3.9124599999999998</v>
      </c>
      <c r="O53">
        <v>0.76870000000000005</v>
      </c>
    </row>
    <row r="54" spans="1:15" ht="12">
      <c r="A54">
        <v>2</v>
      </c>
      <c r="B54">
        <v>4.3629977957298669</v>
      </c>
      <c r="C54">
        <f t="shared" si="0"/>
        <v>673.80840090579318</v>
      </c>
      <c r="D54" t="e">
        <v>#DIV/0!</v>
      </c>
      <c r="E54">
        <v>18574.854644921375</v>
      </c>
      <c r="F54" t="e">
        <v>#DIV/0!</v>
      </c>
      <c r="G54">
        <v>17516.786637803409</v>
      </c>
      <c r="H54" t="e">
        <v>#DIV/0!</v>
      </c>
      <c r="I54">
        <v>799.33668214157842</v>
      </c>
      <c r="J54">
        <v>513.59100861363754</v>
      </c>
      <c r="K54">
        <v>70.187766823283553</v>
      </c>
      <c r="N54">
        <v>3.3443900000000002</v>
      </c>
      <c r="O54">
        <v>0.70530000000000004</v>
      </c>
    </row>
    <row r="55" spans="1:15" ht="12">
      <c r="A55">
        <v>3</v>
      </c>
      <c r="B55">
        <v>4.7008728973833973</v>
      </c>
      <c r="C55">
        <f t="shared" si="0"/>
        <v>679.54911703243727</v>
      </c>
      <c r="D55" t="e">
        <v>#DIV/0!</v>
      </c>
      <c r="E55">
        <v>19188.996442999953</v>
      </c>
      <c r="F55" t="e">
        <v>#DIV/0!</v>
      </c>
      <c r="G55">
        <v>16937.811711846258</v>
      </c>
      <c r="H55" t="e">
        <v>#DIV/0!</v>
      </c>
      <c r="I55">
        <v>899.77376764380324</v>
      </c>
      <c r="J55">
        <v>558.77547753895954</v>
      </c>
      <c r="K55">
        <v>88.328828835182193</v>
      </c>
      <c r="N55">
        <v>3.36599</v>
      </c>
      <c r="O55">
        <v>0.69140000000000001</v>
      </c>
    </row>
    <row r="56" spans="1:15" ht="12">
      <c r="A56">
        <v>4</v>
      </c>
      <c r="B56">
        <v>4.5470607797481115</v>
      </c>
      <c r="C56">
        <f t="shared" si="0"/>
        <v>676.98012997307205</v>
      </c>
      <c r="D56" t="e">
        <v>#DIV/0!</v>
      </c>
      <c r="E56">
        <v>19658.183557494489</v>
      </c>
      <c r="F56" t="e">
        <v>#DIV/0!</v>
      </c>
      <c r="G56">
        <v>18684.026492712688</v>
      </c>
      <c r="H56" t="e">
        <v>#DIV/0!</v>
      </c>
      <c r="I56">
        <v>886.61027998553709</v>
      </c>
      <c r="J56">
        <v>563.8387329996167</v>
      </c>
      <c r="K56">
        <v>95.235739706933259</v>
      </c>
      <c r="N56">
        <v>4.1387</v>
      </c>
      <c r="O56">
        <v>0.71599999999999997</v>
      </c>
    </row>
    <row r="57" spans="1:15" ht="12">
      <c r="A57">
        <v>5</v>
      </c>
      <c r="B57">
        <v>4.31625766320394</v>
      </c>
      <c r="C57">
        <f t="shared" si="0"/>
        <v>672.98515758039571</v>
      </c>
      <c r="D57" t="e">
        <v>#DIV/0!</v>
      </c>
      <c r="E57">
        <v>20304.376009952466</v>
      </c>
      <c r="F57" t="e">
        <v>#DIV/0!</v>
      </c>
      <c r="G57">
        <v>19780.626551696838</v>
      </c>
      <c r="H57" t="e">
        <v>#DIV/0!</v>
      </c>
      <c r="I57">
        <v>867.7127925861472</v>
      </c>
      <c r="J57">
        <v>561.54890878698268</v>
      </c>
      <c r="K57">
        <v>96.585878907116765</v>
      </c>
      <c r="N57">
        <v>4.1921799999999996</v>
      </c>
      <c r="O57">
        <v>0.68379999999999996</v>
      </c>
    </row>
    <row r="58" spans="1:15" ht="12">
      <c r="A58">
        <v>6</v>
      </c>
      <c r="B58">
        <v>3.875286965600206</v>
      </c>
      <c r="C58">
        <f t="shared" si="0"/>
        <v>664.82615579160097</v>
      </c>
      <c r="D58" t="e">
        <v>#DIV/0!</v>
      </c>
      <c r="E58">
        <v>20777.597050531334</v>
      </c>
      <c r="F58" t="e">
        <v>#DIV/0!</v>
      </c>
      <c r="G58">
        <v>19356.383301525122</v>
      </c>
      <c r="H58" t="e">
        <v>#DIV/0!</v>
      </c>
      <c r="I58">
        <v>850.54777053965984</v>
      </c>
      <c r="J58">
        <v>573.23370688036073</v>
      </c>
      <c r="K58">
        <v>99.92498122763881</v>
      </c>
      <c r="N58">
        <v>3.5342899999999999</v>
      </c>
      <c r="O58">
        <v>0.32379999999999998</v>
      </c>
    </row>
    <row r="59" spans="1:15" ht="12">
      <c r="A59">
        <v>7</v>
      </c>
      <c r="B59">
        <v>3.5567056423562766</v>
      </c>
      <c r="C59">
        <f t="shared" si="0"/>
        <v>658.43153454603328</v>
      </c>
      <c r="D59" t="e">
        <v>#DIV/0!</v>
      </c>
      <c r="E59">
        <v>19978.041129612735</v>
      </c>
      <c r="F59" t="e">
        <v>#DIV/0!</v>
      </c>
      <c r="G59">
        <v>17819.972555237218</v>
      </c>
      <c r="H59" t="e">
        <v>#DIV/0!</v>
      </c>
      <c r="I59">
        <v>792.56977552334263</v>
      </c>
      <c r="J59">
        <v>535.21319627865296</v>
      </c>
      <c r="K59">
        <v>88.310199579758603</v>
      </c>
      <c r="N59">
        <v>3.5935199999999998</v>
      </c>
      <c r="O59">
        <v>0.32950000000000002</v>
      </c>
    </row>
    <row r="60" spans="1:15" ht="12">
      <c r="A60">
        <v>8</v>
      </c>
      <c r="B60">
        <v>3.6771989664082692</v>
      </c>
      <c r="C60">
        <f t="shared" si="0"/>
        <v>660.90463911114205</v>
      </c>
      <c r="D60" t="e">
        <v>#DIV/0!</v>
      </c>
      <c r="E60">
        <v>20117.989353559253</v>
      </c>
      <c r="F60" t="e">
        <v>#DIV/0!</v>
      </c>
      <c r="G60">
        <v>18627.82075344638</v>
      </c>
      <c r="H60" t="e">
        <v>#DIV/0!</v>
      </c>
      <c r="I60">
        <v>778.27083588635151</v>
      </c>
      <c r="J60">
        <v>524.43123896038367</v>
      </c>
      <c r="K60">
        <v>92.954216047967947</v>
      </c>
      <c r="N60">
        <v>3.8261400000000001</v>
      </c>
      <c r="O60">
        <v>0.45660000000000001</v>
      </c>
    </row>
    <row r="61" spans="1:15" ht="12">
      <c r="A61">
        <v>9</v>
      </c>
      <c r="B61">
        <v>3.4837681422410021</v>
      </c>
      <c r="C61">
        <f t="shared" si="0"/>
        <v>656.90006392935243</v>
      </c>
      <c r="D61" t="e">
        <v>#DIV/0!</v>
      </c>
      <c r="E61">
        <v>20414.601904774951</v>
      </c>
      <c r="F61" t="e">
        <v>#DIV/0!</v>
      </c>
      <c r="G61">
        <v>18895.406566139573</v>
      </c>
      <c r="H61" t="e">
        <v>#DIV/0!</v>
      </c>
      <c r="I61">
        <v>827.99029401754774</v>
      </c>
      <c r="J61">
        <v>545.55867274031652</v>
      </c>
      <c r="K61">
        <v>116.82226797810858</v>
      </c>
      <c r="N61">
        <v>3.4625300000000001</v>
      </c>
      <c r="O61">
        <v>0.3417</v>
      </c>
    </row>
    <row r="62" spans="1:15" ht="12">
      <c r="A62">
        <v>10</v>
      </c>
      <c r="B62">
        <v>3.430780134910548</v>
      </c>
      <c r="C62">
        <f t="shared" si="0"/>
        <v>655.77046897636944</v>
      </c>
      <c r="D62" t="e">
        <v>#DIV/0!</v>
      </c>
      <c r="E62">
        <v>20618.600393300334</v>
      </c>
      <c r="F62" t="e">
        <v>#DIV/0!</v>
      </c>
      <c r="G62">
        <v>19210.328978198177</v>
      </c>
      <c r="H62" t="e">
        <v>#DIV/0!</v>
      </c>
      <c r="I62">
        <v>820.38195854180879</v>
      </c>
      <c r="J62">
        <v>545.17811173319137</v>
      </c>
      <c r="K62">
        <v>117.94747772181323</v>
      </c>
      <c r="N62">
        <v>3.56758</v>
      </c>
      <c r="O62">
        <v>0.34100000000000003</v>
      </c>
    </row>
    <row r="63" spans="1:15" ht="12">
      <c r="A63">
        <v>11</v>
      </c>
      <c r="B63">
        <v>3.8931863727454905</v>
      </c>
      <c r="C63">
        <f t="shared" si="0"/>
        <v>665.17215232743513</v>
      </c>
      <c r="D63" t="e">
        <v>#DIV/0!</v>
      </c>
      <c r="E63">
        <v>19382.788328404644</v>
      </c>
      <c r="F63" t="e">
        <v>#DIV/0!</v>
      </c>
      <c r="G63">
        <v>17941.860465116279</v>
      </c>
      <c r="H63" t="e">
        <v>#DIV/0!</v>
      </c>
      <c r="I63">
        <v>691.24082351625373</v>
      </c>
      <c r="J63">
        <v>504.87706015957133</v>
      </c>
      <c r="K63">
        <v>100.33611366555986</v>
      </c>
      <c r="N63">
        <v>3.3177699999999999</v>
      </c>
      <c r="O63">
        <v>0.54139999999999999</v>
      </c>
    </row>
    <row r="64" spans="1:15" ht="12">
      <c r="A64">
        <v>12</v>
      </c>
      <c r="B64">
        <v>4.1723064666033185</v>
      </c>
      <c r="C64">
        <f t="shared" si="0"/>
        <v>670.40187178615781</v>
      </c>
      <c r="D64" t="e">
        <v>#DIV/0!</v>
      </c>
      <c r="E64">
        <v>19236.987745533581</v>
      </c>
      <c r="F64" t="e">
        <v>#DIV/0!</v>
      </c>
      <c r="G64">
        <v>17700.627521901923</v>
      </c>
      <c r="H64" t="e">
        <v>#DIV/0!</v>
      </c>
      <c r="I64">
        <v>632.21839468656424</v>
      </c>
      <c r="J64">
        <v>485.35643750669482</v>
      </c>
      <c r="K64">
        <v>91.054807160509384</v>
      </c>
      <c r="N64">
        <v>3.26166</v>
      </c>
      <c r="O64">
        <v>0.38490000000000002</v>
      </c>
    </row>
    <row r="65" spans="1:15" ht="12">
      <c r="A65">
        <v>13</v>
      </c>
      <c r="B65">
        <v>4.3668538431075445</v>
      </c>
      <c r="C65">
        <f t="shared" si="0"/>
        <v>673.8759876033522</v>
      </c>
      <c r="D65" t="e">
        <v>#DIV/0!</v>
      </c>
      <c r="E65">
        <v>19236.79253737002</v>
      </c>
      <c r="F65" t="e">
        <v>#DIV/0!</v>
      </c>
      <c r="G65">
        <v>18503.253292400346</v>
      </c>
      <c r="H65" t="e">
        <v>#DIV/0!</v>
      </c>
      <c r="I65">
        <v>576.00644902072531</v>
      </c>
      <c r="J65">
        <v>485.25430221541728</v>
      </c>
      <c r="K65">
        <v>90.808434202024543</v>
      </c>
      <c r="N65">
        <v>3.5499200000000002</v>
      </c>
      <c r="O65">
        <v>0.44040000000000001</v>
      </c>
    </row>
    <row r="66" spans="1:15" ht="12">
      <c r="A66">
        <v>14</v>
      </c>
      <c r="B66">
        <v>4.2787494165576287</v>
      </c>
      <c r="C66">
        <f t="shared" si="0"/>
        <v>672.31909421757666</v>
      </c>
      <c r="D66" t="e">
        <v>#DIV/0!</v>
      </c>
      <c r="E66">
        <v>18896.952883112106</v>
      </c>
      <c r="F66" t="e">
        <v>#DIV/0!</v>
      </c>
      <c r="G66">
        <v>18266.264260077438</v>
      </c>
      <c r="H66" t="e">
        <v>#DIV/0!</v>
      </c>
      <c r="I66">
        <v>509.72351272478767</v>
      </c>
      <c r="J66">
        <v>465.14791411661361</v>
      </c>
      <c r="K66">
        <v>83.683772110962551</v>
      </c>
      <c r="N66">
        <v>3.42239</v>
      </c>
      <c r="O66">
        <v>0.40510000000000002</v>
      </c>
    </row>
    <row r="67" spans="1:15" ht="12">
      <c r="A67">
        <v>15</v>
      </c>
      <c r="B67">
        <v>4.2226072048515855</v>
      </c>
      <c r="C67">
        <f t="shared" si="0"/>
        <v>671.31292556893527</v>
      </c>
      <c r="D67" t="e">
        <v>#DIV/0!</v>
      </c>
      <c r="E67">
        <v>18346.716465674057</v>
      </c>
      <c r="F67" t="e">
        <v>#DIV/0!</v>
      </c>
      <c r="G67">
        <v>18143.644556999738</v>
      </c>
      <c r="H67" t="e">
        <v>#DIV/0!</v>
      </c>
      <c r="I67">
        <v>459.5965678159111</v>
      </c>
      <c r="J67">
        <v>472.37707993102117</v>
      </c>
      <c r="K67">
        <v>78.930289277570964</v>
      </c>
      <c r="N67">
        <v>3.4845899999999999</v>
      </c>
      <c r="O67">
        <v>0.4597</v>
      </c>
    </row>
    <row r="68" spans="1:15" ht="12">
      <c r="A68">
        <v>16</v>
      </c>
      <c r="B68">
        <v>4.0603365349790668</v>
      </c>
      <c r="C68">
        <f t="shared" si="0"/>
        <v>668.34029704377747</v>
      </c>
      <c r="D68" t="e">
        <v>#DIV/0!</v>
      </c>
      <c r="E68">
        <v>17694.290737194475</v>
      </c>
      <c r="F68" t="e">
        <v>#DIV/0!</v>
      </c>
      <c r="G68">
        <v>17956.732830318102</v>
      </c>
      <c r="H68" t="e">
        <v>#DIV/0!</v>
      </c>
      <c r="I68">
        <v>400.18378888189983</v>
      </c>
      <c r="J68">
        <v>456.00728679481733</v>
      </c>
      <c r="K68">
        <v>66.517869418101</v>
      </c>
      <c r="N68">
        <v>3.7260599999999999</v>
      </c>
      <c r="O68">
        <v>0.46989999999999998</v>
      </c>
    </row>
    <row r="69" spans="1:15" ht="12">
      <c r="A69">
        <v>17</v>
      </c>
      <c r="B69">
        <v>3.9867385491253851</v>
      </c>
      <c r="C69">
        <f t="shared" si="0"/>
        <v>666.95908314308463</v>
      </c>
      <c r="D69" t="e">
        <v>#DIV/0!</v>
      </c>
      <c r="E69">
        <v>17419.945630779261</v>
      </c>
      <c r="F69" t="e">
        <v>#DIV/0!</v>
      </c>
      <c r="G69">
        <v>17313.547424760902</v>
      </c>
      <c r="H69" t="e">
        <v>#DIV/0!</v>
      </c>
      <c r="I69">
        <v>365.58729158129773</v>
      </c>
      <c r="J69">
        <v>428.24138920863106</v>
      </c>
      <c r="K69">
        <v>62.825992485117993</v>
      </c>
      <c r="N69">
        <v>3.8548399999999998</v>
      </c>
      <c r="O69">
        <v>0.69550000000000001</v>
      </c>
    </row>
    <row r="70" spans="1:15" ht="12">
      <c r="A70">
        <v>18</v>
      </c>
      <c r="B70">
        <v>3.7028143516667269</v>
      </c>
      <c r="C70">
        <f>(-1/((LOG(B70)-6.01)/5080))-272.15</f>
        <v>661.42159178928955</v>
      </c>
      <c r="D70" t="e">
        <v>#DIV/0!</v>
      </c>
      <c r="E70">
        <v>17095.069341533395</v>
      </c>
      <c r="F70" t="e">
        <v>#DIV/0!</v>
      </c>
      <c r="G70">
        <v>17470.646852389411</v>
      </c>
      <c r="H70" t="e">
        <v>#DIV/0!</v>
      </c>
      <c r="I70">
        <v>324.13353535045508</v>
      </c>
      <c r="J70">
        <v>398.18283711305378</v>
      </c>
      <c r="K70">
        <v>59.532807712268671</v>
      </c>
      <c r="N70">
        <v>3.34348</v>
      </c>
      <c r="O70">
        <v>0.47849999999999998</v>
      </c>
    </row>
    <row r="71" spans="1:15" ht="12">
      <c r="A71">
        <v>19</v>
      </c>
      <c r="B71">
        <v>3.6439419690697985</v>
      </c>
      <c r="C71">
        <f>(-1/((LOG(B71)-6.01)/5080))-272.15</f>
        <v>660.22893372727765</v>
      </c>
      <c r="D71" t="e">
        <v>#DIV/0!</v>
      </c>
      <c r="E71">
        <v>16982.905514933409</v>
      </c>
      <c r="F71" t="e">
        <v>#DIV/0!</v>
      </c>
      <c r="G71">
        <v>18957.042259882921</v>
      </c>
      <c r="H71" t="e">
        <v>#DIV/0!</v>
      </c>
      <c r="I71">
        <v>299.98374147759176</v>
      </c>
      <c r="J71">
        <v>380.14467535935211</v>
      </c>
      <c r="K71">
        <v>53.483552949339796</v>
      </c>
      <c r="N71">
        <v>3.7927300000000002</v>
      </c>
      <c r="O71">
        <v>0.48359999999999997</v>
      </c>
    </row>
    <row r="72" spans="1:15" ht="12">
      <c r="A72">
        <v>20</v>
      </c>
      <c r="B72">
        <v>3.6640202518781986</v>
      </c>
      <c r="C72">
        <f>(-1/((LOG(B72)-6.01)/5080))-272.15</f>
        <v>660.63749493504179</v>
      </c>
      <c r="D72" t="e">
        <v>#DIV/0!</v>
      </c>
      <c r="E72">
        <v>16838.542741672383</v>
      </c>
      <c r="F72" t="e">
        <v>#DIV/0!</v>
      </c>
      <c r="G72">
        <v>17752.260478659551</v>
      </c>
      <c r="H72" t="e">
        <v>#DIV/0!</v>
      </c>
      <c r="I72">
        <v>280.44551214186021</v>
      </c>
      <c r="J72">
        <v>369.64414295444749</v>
      </c>
      <c r="K72">
        <v>54.765058521267484</v>
      </c>
      <c r="N72">
        <v>2.7404700000000002</v>
      </c>
      <c r="O72">
        <v>0.39429999999999998</v>
      </c>
    </row>
  </sheetData>
  <sheetCalcPr fullCalcOnLoad="1"/>
  <phoneticPr fontId="8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S313"/>
  <sheetViews>
    <sheetView tabSelected="1" workbookViewId="0">
      <selection activeCell="E35" sqref="E35"/>
    </sheetView>
  </sheetViews>
  <sheetFormatPr baseColWidth="10" defaultRowHeight="13"/>
  <cols>
    <col min="1" max="1" width="16.85546875" customWidth="1"/>
    <col min="2" max="2" width="14.7109375" customWidth="1"/>
    <col min="3" max="10" width="7.5703125" customWidth="1"/>
    <col min="11" max="11" width="10.85546875" customWidth="1"/>
    <col min="12" max="13" width="7.5703125" customWidth="1"/>
    <col min="14" max="15" width="7.85546875" style="1" customWidth="1"/>
    <col min="16" max="17" width="11" customWidth="1"/>
    <col min="19" max="19" width="37" customWidth="1"/>
  </cols>
  <sheetData>
    <row r="1" spans="1:19">
      <c r="B1" s="1"/>
      <c r="C1" s="4"/>
      <c r="D1" s="4"/>
      <c r="E1" s="4"/>
      <c r="F1" s="4"/>
      <c r="G1" s="4"/>
      <c r="H1" s="4"/>
      <c r="I1" s="4"/>
      <c r="J1" s="4"/>
      <c r="K1" s="4" t="s">
        <v>395</v>
      </c>
      <c r="L1" s="4" t="s">
        <v>262</v>
      </c>
      <c r="M1" s="4" t="s">
        <v>262</v>
      </c>
      <c r="N1" s="1" t="s">
        <v>268</v>
      </c>
      <c r="P1" s="1" t="s">
        <v>213</v>
      </c>
      <c r="Q1" s="1" t="s">
        <v>398</v>
      </c>
      <c r="S1" s="2" t="s">
        <v>515</v>
      </c>
    </row>
    <row r="2" spans="1:19">
      <c r="C2" s="4" t="s">
        <v>264</v>
      </c>
      <c r="D2" s="4" t="s">
        <v>264</v>
      </c>
      <c r="E2" s="4" t="s">
        <v>508</v>
      </c>
      <c r="F2" s="4" t="s">
        <v>509</v>
      </c>
      <c r="G2" s="4" t="s">
        <v>568</v>
      </c>
      <c r="H2" s="4"/>
      <c r="I2" s="4" t="s">
        <v>264</v>
      </c>
      <c r="J2" s="4" t="s">
        <v>264</v>
      </c>
      <c r="K2" s="4" t="s">
        <v>396</v>
      </c>
      <c r="L2" s="4" t="s">
        <v>263</v>
      </c>
      <c r="M2" s="4" t="s">
        <v>263</v>
      </c>
      <c r="N2" s="1" t="s">
        <v>269</v>
      </c>
      <c r="O2" s="1" t="s">
        <v>271</v>
      </c>
      <c r="P2" s="4" t="s">
        <v>512</v>
      </c>
    </row>
    <row r="3" spans="1:19">
      <c r="C3" s="4" t="s">
        <v>265</v>
      </c>
      <c r="D3" s="4" t="s">
        <v>265</v>
      </c>
      <c r="E3" s="4" t="s">
        <v>510</v>
      </c>
      <c r="F3" s="4" t="s">
        <v>510</v>
      </c>
      <c r="G3" s="4" t="s">
        <v>569</v>
      </c>
      <c r="H3" s="4" t="s">
        <v>570</v>
      </c>
      <c r="I3" s="4" t="s">
        <v>267</v>
      </c>
      <c r="J3" s="4" t="s">
        <v>267</v>
      </c>
      <c r="K3" s="4" t="s">
        <v>397</v>
      </c>
      <c r="L3" s="4"/>
      <c r="M3" s="4"/>
      <c r="N3" s="1" t="s">
        <v>270</v>
      </c>
      <c r="O3" s="1" t="s">
        <v>272</v>
      </c>
      <c r="P3" s="4" t="s">
        <v>513</v>
      </c>
    </row>
    <row r="4" spans="1:19"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 s="4" t="s">
        <v>514</v>
      </c>
    </row>
    <row r="5" spans="1:19">
      <c r="A5" s="1" t="s">
        <v>320</v>
      </c>
      <c r="B5" s="1" t="s">
        <v>557</v>
      </c>
      <c r="C5" s="4"/>
      <c r="D5" s="4" t="s">
        <v>266</v>
      </c>
      <c r="E5" s="4"/>
      <c r="F5" s="4" t="s">
        <v>511</v>
      </c>
      <c r="G5" s="4"/>
      <c r="H5" s="4"/>
      <c r="I5" s="4"/>
      <c r="J5" s="4" t="s">
        <v>266</v>
      </c>
      <c r="K5" s="4"/>
      <c r="L5" s="4"/>
      <c r="M5" s="4" t="s">
        <v>266</v>
      </c>
    </row>
    <row r="6" spans="1:19">
      <c r="A6" t="s">
        <v>450</v>
      </c>
      <c r="B6" t="s">
        <v>563</v>
      </c>
      <c r="C6">
        <v>0.39229999999999998</v>
      </c>
      <c r="D6">
        <v>3.8980000000000001E-2</v>
      </c>
      <c r="E6">
        <v>233.20895522388059</v>
      </c>
      <c r="F6">
        <v>21.319475384272668</v>
      </c>
      <c r="G6" s="7">
        <f>(LN((1/E6)+1))/0.000155125</f>
        <v>27.583127960296562</v>
      </c>
      <c r="H6" s="7">
        <f>(F6/E6)*G6</f>
        <v>2.521591921743529</v>
      </c>
      <c r="I6">
        <v>0.66359999999999997</v>
      </c>
      <c r="J6">
        <v>3.7620000000000001E-2</v>
      </c>
      <c r="K6" s="3">
        <v>0.82650000000000001</v>
      </c>
      <c r="L6" s="3">
        <v>6.8390999999999993E-2</v>
      </c>
      <c r="M6" s="3">
        <v>8.9061100000000001E-3</v>
      </c>
      <c r="N6" s="1">
        <v>5.8</v>
      </c>
      <c r="O6" s="1">
        <v>0.4</v>
      </c>
      <c r="P6">
        <v>0.3218799368088468</v>
      </c>
      <c r="Q6">
        <v>10.316990306392794</v>
      </c>
      <c r="S6" t="s">
        <v>340</v>
      </c>
    </row>
    <row r="7" spans="1:19">
      <c r="A7" t="s">
        <v>451</v>
      </c>
      <c r="B7" t="s">
        <v>563</v>
      </c>
      <c r="C7">
        <v>1.452E-2</v>
      </c>
      <c r="D7">
        <v>1.936E-3</v>
      </c>
      <c r="E7">
        <v>2119.9915200339201</v>
      </c>
      <c r="F7">
        <v>190.51609186821682</v>
      </c>
      <c r="G7" s="7">
        <f t="shared" ref="G7:G70" si="0">(LN((1/E7)+1))/0.000155125</f>
        <v>3.0400566287011084</v>
      </c>
      <c r="H7" s="7">
        <f t="shared" ref="H7:H70" si="1">(F7/E7)*G7</f>
        <v>0.27319906824388379</v>
      </c>
      <c r="I7">
        <v>0.2233</v>
      </c>
      <c r="J7">
        <v>2.8389999999999999E-2</v>
      </c>
      <c r="K7" s="3">
        <v>0.40400000000000003</v>
      </c>
      <c r="L7" s="3">
        <v>5.3698999999999997E-2</v>
      </c>
      <c r="M7" s="3">
        <v>1.27923E-2</v>
      </c>
      <c r="N7" s="1">
        <v>2.35</v>
      </c>
      <c r="O7" s="1">
        <v>0.48</v>
      </c>
      <c r="P7">
        <v>0.54403633491311221</v>
      </c>
      <c r="Q7">
        <v>31.973319203316397</v>
      </c>
      <c r="S7" t="s">
        <v>341</v>
      </c>
    </row>
    <row r="8" spans="1:19">
      <c r="A8" t="s">
        <v>452</v>
      </c>
      <c r="B8" t="s">
        <v>563</v>
      </c>
      <c r="C8">
        <v>2.7289999999999998E-2</v>
      </c>
      <c r="D8">
        <v>3.1419999999999998E-3</v>
      </c>
      <c r="E8">
        <v>1900.4180919802357</v>
      </c>
      <c r="F8">
        <v>98.632493523337587</v>
      </c>
      <c r="G8" s="7">
        <f t="shared" si="0"/>
        <v>3.3912109932418657</v>
      </c>
      <c r="H8" s="7">
        <f t="shared" si="1"/>
        <v>0.1760052683873724</v>
      </c>
      <c r="I8">
        <v>0.37609999999999999</v>
      </c>
      <c r="J8">
        <v>4.5710000000000001E-2</v>
      </c>
      <c r="K8" s="3">
        <v>9.8589999999999997E-2</v>
      </c>
      <c r="L8" s="3">
        <v>7.3404999999999998E-2</v>
      </c>
      <c r="M8" s="3">
        <v>1.66058E-2</v>
      </c>
      <c r="N8" s="1">
        <v>1.96</v>
      </c>
      <c r="O8" s="1">
        <v>0.48</v>
      </c>
      <c r="P8">
        <v>0.24397709320695105</v>
      </c>
      <c r="Q8">
        <v>28.812766885889722</v>
      </c>
      <c r="S8" t="s">
        <v>342</v>
      </c>
    </row>
    <row r="9" spans="1:19">
      <c r="A9" t="s">
        <v>453</v>
      </c>
      <c r="B9" t="s">
        <v>563</v>
      </c>
      <c r="C9">
        <v>2.894E-2</v>
      </c>
      <c r="D9">
        <v>4.359E-3</v>
      </c>
      <c r="E9">
        <v>1497.454327643007</v>
      </c>
      <c r="F9">
        <v>154.76834036226467</v>
      </c>
      <c r="G9" s="7">
        <f t="shared" si="0"/>
        <v>4.3034786191799901</v>
      </c>
      <c r="H9" s="7">
        <f t="shared" si="1"/>
        <v>0.44478301032614992</v>
      </c>
      <c r="I9">
        <v>0.31430000000000002</v>
      </c>
      <c r="J9">
        <v>3.1739999999999997E-2</v>
      </c>
      <c r="K9" s="3">
        <v>0.74409999999999998</v>
      </c>
      <c r="L9" s="3">
        <v>8.5434999999999997E-2</v>
      </c>
      <c r="M9" s="3">
        <v>1.83555E-2</v>
      </c>
      <c r="N9" s="1">
        <v>2.83</v>
      </c>
      <c r="O9" s="1">
        <v>0.7</v>
      </c>
      <c r="P9">
        <v>0.44312796208530808</v>
      </c>
      <c r="Q9">
        <v>17.167970576317675</v>
      </c>
      <c r="S9" t="s">
        <v>343</v>
      </c>
    </row>
    <row r="10" spans="1:19">
      <c r="A10" t="s">
        <v>454</v>
      </c>
      <c r="B10" t="s">
        <v>563</v>
      </c>
      <c r="C10">
        <v>1.474E-2</v>
      </c>
      <c r="D10">
        <v>2.1299999999999999E-3</v>
      </c>
      <c r="E10">
        <v>1946.6614755693986</v>
      </c>
      <c r="F10">
        <v>138.65747204805197</v>
      </c>
      <c r="G10" s="7">
        <f t="shared" si="0"/>
        <v>3.3106726918544216</v>
      </c>
      <c r="H10" s="7">
        <f t="shared" si="1"/>
        <v>0.23581373135089212</v>
      </c>
      <c r="I10">
        <v>0.20810000000000001</v>
      </c>
      <c r="J10">
        <v>3.1440000000000003E-2</v>
      </c>
      <c r="K10" s="3">
        <v>0.15260000000000001</v>
      </c>
      <c r="L10" s="3">
        <v>6.6362000000000004E-2</v>
      </c>
      <c r="M10" s="3">
        <v>1.42078E-2</v>
      </c>
      <c r="N10" s="1">
        <v>2.63</v>
      </c>
      <c r="O10" s="1">
        <v>0.46</v>
      </c>
      <c r="P10">
        <v>0.46475118483412325</v>
      </c>
      <c r="Q10">
        <v>26.556120063585073</v>
      </c>
      <c r="S10" t="s">
        <v>344</v>
      </c>
    </row>
    <row r="11" spans="1:19">
      <c r="A11" t="s">
        <v>455</v>
      </c>
      <c r="B11" t="s">
        <v>563</v>
      </c>
      <c r="C11">
        <v>4.623E-2</v>
      </c>
      <c r="D11">
        <v>6.8440000000000003E-3</v>
      </c>
      <c r="E11">
        <v>1422.2727919214906</v>
      </c>
      <c r="F11">
        <v>192.41443317817121</v>
      </c>
      <c r="G11" s="7">
        <f t="shared" si="0"/>
        <v>4.5308811667556217</v>
      </c>
      <c r="H11" s="7">
        <f t="shared" si="1"/>
        <v>0.61296745353690052</v>
      </c>
      <c r="I11">
        <v>0.4768</v>
      </c>
      <c r="J11">
        <v>6.1379999999999997E-2</v>
      </c>
      <c r="K11" s="3">
        <v>0.59040000000000004</v>
      </c>
      <c r="L11" s="3">
        <v>0.13109000000000001</v>
      </c>
      <c r="M11" s="3">
        <v>2.7017900000000001E-2</v>
      </c>
      <c r="N11" s="1">
        <v>2.04</v>
      </c>
      <c r="O11" s="1">
        <v>0.94</v>
      </c>
      <c r="P11">
        <v>0.35910347551342819</v>
      </c>
      <c r="Q11">
        <v>12.791821213726896</v>
      </c>
      <c r="S11" t="s">
        <v>345</v>
      </c>
    </row>
    <row r="12" spans="1:19">
      <c r="A12" t="s">
        <v>456</v>
      </c>
      <c r="B12" t="s">
        <v>563</v>
      </c>
      <c r="C12">
        <v>2.3269999999999999E-2</v>
      </c>
      <c r="D12">
        <v>4.7390000000000002E-3</v>
      </c>
      <c r="E12">
        <v>1693.7669376693766</v>
      </c>
      <c r="F12">
        <v>138.22102143785665</v>
      </c>
      <c r="G12" s="7">
        <f t="shared" si="0"/>
        <v>3.8048398548831051</v>
      </c>
      <c r="H12" s="7">
        <f t="shared" si="1"/>
        <v>0.31049658571861111</v>
      </c>
      <c r="I12">
        <v>0.28589999999999999</v>
      </c>
      <c r="J12">
        <v>5.2580000000000002E-2</v>
      </c>
      <c r="K12" s="3">
        <v>0.43020000000000003</v>
      </c>
      <c r="L12" s="3">
        <v>6.5528000000000003E-2</v>
      </c>
      <c r="M12" s="3">
        <v>1.3170899999999999E-2</v>
      </c>
      <c r="N12" s="1">
        <v>2.64</v>
      </c>
      <c r="O12" s="1">
        <v>0.68</v>
      </c>
      <c r="P12">
        <v>0.51737756714060035</v>
      </c>
      <c r="Q12">
        <v>26.93638375463641</v>
      </c>
      <c r="S12" t="s">
        <v>346</v>
      </c>
    </row>
    <row r="13" spans="1:19">
      <c r="A13" t="s">
        <v>457</v>
      </c>
      <c r="B13" t="s">
        <v>563</v>
      </c>
      <c r="C13">
        <v>2.6970000000000001E-2</v>
      </c>
      <c r="D13">
        <v>5.463E-3</v>
      </c>
      <c r="E13">
        <v>1681.8028927009755</v>
      </c>
      <c r="F13">
        <v>152.8500308132538</v>
      </c>
      <c r="G13" s="7">
        <f t="shared" si="0"/>
        <v>3.8318987620441507</v>
      </c>
      <c r="H13" s="7">
        <f t="shared" si="1"/>
        <v>0.34826069475423121</v>
      </c>
      <c r="I13">
        <v>0.32900000000000001</v>
      </c>
      <c r="J13">
        <v>4.761E-2</v>
      </c>
      <c r="K13" s="3">
        <v>0.76980000000000004</v>
      </c>
      <c r="L13" s="3">
        <v>8.5628999999999997E-2</v>
      </c>
      <c r="M13" s="3">
        <v>2.0692499999999999E-2</v>
      </c>
      <c r="N13" s="1">
        <v>2.4500000000000002</v>
      </c>
      <c r="O13" s="1">
        <v>0.66</v>
      </c>
      <c r="P13">
        <v>0.34518167456556087</v>
      </c>
      <c r="Q13">
        <v>17.554468098369853</v>
      </c>
      <c r="S13" t="s">
        <v>347</v>
      </c>
    </row>
    <row r="14" spans="1:19">
      <c r="A14" t="s">
        <v>458</v>
      </c>
      <c r="B14" t="s">
        <v>563</v>
      </c>
      <c r="C14">
        <v>8.7930000000000005E-3</v>
      </c>
      <c r="D14">
        <v>8.7739999999999997E-4</v>
      </c>
      <c r="E14">
        <v>1820.8302986161689</v>
      </c>
      <c r="F14">
        <v>65.579066472374038</v>
      </c>
      <c r="G14" s="7">
        <f t="shared" si="0"/>
        <v>3.5393988388330628</v>
      </c>
      <c r="H14" s="7">
        <f t="shared" si="1"/>
        <v>0.12747507107086303</v>
      </c>
      <c r="I14">
        <v>0.11609999999999999</v>
      </c>
      <c r="J14">
        <v>1.0359999999999999E-2</v>
      </c>
      <c r="K14" s="3">
        <v>0.4582</v>
      </c>
      <c r="L14" s="3">
        <v>9.5528000000000002E-3</v>
      </c>
      <c r="M14" s="3">
        <v>2.0744299999999999E-3</v>
      </c>
      <c r="N14" s="1">
        <v>3.22</v>
      </c>
      <c r="O14" s="1">
        <v>0.25</v>
      </c>
      <c r="P14">
        <v>8.1368483412322286E-3</v>
      </c>
      <c r="Q14">
        <v>224.54259265031325</v>
      </c>
      <c r="S14" t="s">
        <v>239</v>
      </c>
    </row>
    <row r="15" spans="1:19">
      <c r="A15" t="s">
        <v>459</v>
      </c>
      <c r="B15" t="s">
        <v>563</v>
      </c>
      <c r="C15">
        <v>0.2089</v>
      </c>
      <c r="D15">
        <v>1.5970000000000002E-2</v>
      </c>
      <c r="E15">
        <v>394.94470774091627</v>
      </c>
      <c r="F15">
        <v>18.967328776183024</v>
      </c>
      <c r="G15" s="7">
        <f t="shared" si="0"/>
        <v>16.301691465912633</v>
      </c>
      <c r="H15" s="7">
        <f t="shared" si="1"/>
        <v>0.78289323943719435</v>
      </c>
      <c r="I15">
        <v>0.59860000000000002</v>
      </c>
      <c r="J15">
        <v>2.8750000000000001E-2</v>
      </c>
      <c r="K15" s="3">
        <v>0.79549999999999998</v>
      </c>
      <c r="L15" s="3">
        <v>4.5411E-2</v>
      </c>
      <c r="M15" s="3">
        <v>6.1715600000000004E-3</v>
      </c>
      <c r="N15" s="1">
        <v>4.8</v>
      </c>
      <c r="O15" s="1">
        <v>1.9</v>
      </c>
      <c r="P15">
        <v>7.0645734597156409E-2</v>
      </c>
      <c r="Q15">
        <v>47.233737493376552</v>
      </c>
      <c r="S15" t="s">
        <v>240</v>
      </c>
    </row>
    <row r="16" spans="1:19">
      <c r="A16" t="s">
        <v>460</v>
      </c>
      <c r="B16" t="s">
        <v>563</v>
      </c>
      <c r="C16">
        <v>3.159E-2</v>
      </c>
      <c r="D16">
        <v>1.4920000000000001E-3</v>
      </c>
      <c r="E16">
        <v>247.83147459727383</v>
      </c>
      <c r="F16">
        <v>7.6898390630926095</v>
      </c>
      <c r="G16" s="7">
        <f t="shared" si="0"/>
        <v>25.958944204295026</v>
      </c>
      <c r="H16" s="7">
        <f t="shared" si="1"/>
        <v>0.80546711632657675</v>
      </c>
      <c r="I16">
        <v>5.6779999999999997E-2</v>
      </c>
      <c r="J16">
        <v>2.6809999999999998E-3</v>
      </c>
      <c r="K16" s="3">
        <v>0.32869999999999999</v>
      </c>
      <c r="L16" s="3">
        <v>1.6534E-3</v>
      </c>
      <c r="M16" s="3">
        <v>3.98945E-4</v>
      </c>
      <c r="N16" s="1">
        <v>25.6</v>
      </c>
      <c r="O16" s="1">
        <v>1.6</v>
      </c>
      <c r="P16">
        <v>0.71218404423380732</v>
      </c>
      <c r="Q16">
        <v>89.580151482093314</v>
      </c>
      <c r="S16" t="s">
        <v>241</v>
      </c>
    </row>
    <row r="17" spans="1:19">
      <c r="A17" t="s">
        <v>461</v>
      </c>
      <c r="B17" t="s">
        <v>563</v>
      </c>
      <c r="C17">
        <v>2.5260000000000001E-2</v>
      </c>
      <c r="D17">
        <v>4.0239999999999998E-3</v>
      </c>
      <c r="E17">
        <v>1573.0690577316343</v>
      </c>
      <c r="F17">
        <v>110.81018154038475</v>
      </c>
      <c r="G17" s="7">
        <f t="shared" si="0"/>
        <v>4.0966835026331019</v>
      </c>
      <c r="H17" s="7">
        <f t="shared" si="1"/>
        <v>0.28857871204642177</v>
      </c>
      <c r="I17">
        <v>0.28810000000000002</v>
      </c>
      <c r="J17">
        <v>3.0200000000000001E-2</v>
      </c>
      <c r="K17" s="3">
        <v>0.86250000000000004</v>
      </c>
      <c r="L17" s="3">
        <v>9.1091000000000005E-2</v>
      </c>
      <c r="M17" s="3">
        <v>2.2218700000000001E-2</v>
      </c>
      <c r="N17" s="1">
        <v>2.83</v>
      </c>
      <c r="O17" s="1">
        <v>0.53</v>
      </c>
      <c r="P17">
        <v>0.35238941548183256</v>
      </c>
      <c r="Q17">
        <v>11.956487859614125</v>
      </c>
      <c r="S17" t="s">
        <v>242</v>
      </c>
    </row>
    <row r="18" spans="1:19">
      <c r="A18" t="s">
        <v>462</v>
      </c>
      <c r="B18" t="s">
        <v>563</v>
      </c>
      <c r="C18">
        <v>9.8769999999999997E-2</v>
      </c>
      <c r="D18">
        <v>1.1379999999999999E-2</v>
      </c>
      <c r="E18">
        <v>98.135426889106967</v>
      </c>
      <c r="F18">
        <v>9.0922135943087223</v>
      </c>
      <c r="G18" s="7">
        <f t="shared" si="0"/>
        <v>65.356531654628725</v>
      </c>
      <c r="H18" s="7">
        <f t="shared" si="1"/>
        <v>6.0552602095323831</v>
      </c>
      <c r="I18">
        <v>7.0279999999999995E-2</v>
      </c>
      <c r="J18">
        <v>5.9540000000000001E-3</v>
      </c>
      <c r="K18" s="3">
        <v>0.68740000000000001</v>
      </c>
      <c r="L18" s="3">
        <v>4.6646999999999999E-3</v>
      </c>
      <c r="M18" s="3">
        <v>1.65222E-3</v>
      </c>
      <c r="N18" s="1">
        <v>63</v>
      </c>
      <c r="O18" s="1">
        <v>12</v>
      </c>
      <c r="P18">
        <v>0.64484597156398116</v>
      </c>
      <c r="Q18">
        <v>7.9668360190755232</v>
      </c>
      <c r="S18" t="s">
        <v>352</v>
      </c>
    </row>
    <row r="19" spans="1:19">
      <c r="A19" t="s">
        <v>463</v>
      </c>
      <c r="B19" t="s">
        <v>563</v>
      </c>
      <c r="C19">
        <v>4.0599999999999997E-2</v>
      </c>
      <c r="D19">
        <v>5.2100000000000002E-3</v>
      </c>
      <c r="E19">
        <v>1317.6966662274344</v>
      </c>
      <c r="F19">
        <v>111.81929806963602</v>
      </c>
      <c r="G19" s="7">
        <f t="shared" si="0"/>
        <v>4.8903283223395011</v>
      </c>
      <c r="H19" s="7">
        <f t="shared" si="1"/>
        <v>0.41499162466552098</v>
      </c>
      <c r="I19">
        <v>0.38800000000000001</v>
      </c>
      <c r="J19">
        <v>4.6440000000000002E-2</v>
      </c>
      <c r="K19" s="3">
        <v>0.42899999999999999</v>
      </c>
      <c r="L19" s="3">
        <v>0.10786</v>
      </c>
      <c r="M19" s="3">
        <v>2.46182E-2</v>
      </c>
      <c r="N19" s="1">
        <v>2.75</v>
      </c>
      <c r="O19" s="1">
        <v>0.78</v>
      </c>
      <c r="P19">
        <v>0.36571879936808849</v>
      </c>
      <c r="Q19">
        <v>9.4255524732724503</v>
      </c>
      <c r="S19" t="s">
        <v>244</v>
      </c>
    </row>
    <row r="20" spans="1:19">
      <c r="A20" t="s">
        <v>464</v>
      </c>
      <c r="B20" t="s">
        <v>563</v>
      </c>
      <c r="C20">
        <v>3.9820000000000001E-2</v>
      </c>
      <c r="D20">
        <v>8.5159999999999993E-3</v>
      </c>
      <c r="E20">
        <v>1364.0703860319193</v>
      </c>
      <c r="F20">
        <v>133.98814417972787</v>
      </c>
      <c r="G20" s="7">
        <f t="shared" si="0"/>
        <v>4.7241348167871893</v>
      </c>
      <c r="H20" s="7">
        <f t="shared" si="1"/>
        <v>0.46403621355455665</v>
      </c>
      <c r="I20">
        <v>0.39400000000000002</v>
      </c>
      <c r="J20">
        <v>6.2289999999999998E-2</v>
      </c>
      <c r="K20" s="3">
        <v>0.72319999999999995</v>
      </c>
      <c r="L20" s="3">
        <v>8.7543999999999997E-2</v>
      </c>
      <c r="M20" s="3">
        <v>2.04453E-2</v>
      </c>
      <c r="N20" s="1">
        <v>2.62</v>
      </c>
      <c r="O20" s="1">
        <v>0.94</v>
      </c>
      <c r="P20">
        <v>0.39198262243285947</v>
      </c>
      <c r="Q20">
        <v>15.366393417074462</v>
      </c>
      <c r="S20" t="s">
        <v>245</v>
      </c>
    </row>
    <row r="21" spans="1:19">
      <c r="A21" t="s">
        <v>465</v>
      </c>
      <c r="B21" t="s">
        <v>563</v>
      </c>
      <c r="C21">
        <v>4.505E-2</v>
      </c>
      <c r="D21">
        <v>6.123E-3</v>
      </c>
      <c r="E21">
        <v>1650.4373659019639</v>
      </c>
      <c r="F21">
        <v>148.8090333375545</v>
      </c>
      <c r="G21" s="7">
        <f t="shared" si="0"/>
        <v>3.9046995436346528</v>
      </c>
      <c r="H21" s="7">
        <f t="shared" si="1"/>
        <v>0.35206096066803277</v>
      </c>
      <c r="I21">
        <v>0.5393</v>
      </c>
      <c r="J21">
        <v>7.1050000000000002E-2</v>
      </c>
      <c r="K21" s="3">
        <v>0.37709999999999999</v>
      </c>
      <c r="L21" s="3">
        <v>0.10254000000000001</v>
      </c>
      <c r="M21" s="3">
        <v>2.8133200000000001E-2</v>
      </c>
      <c r="N21" s="1">
        <v>1.44</v>
      </c>
      <c r="O21" s="1">
        <v>0.81</v>
      </c>
      <c r="P21">
        <v>0.29966429699842023</v>
      </c>
      <c r="Q21">
        <v>11.968955521615808</v>
      </c>
      <c r="S21" t="s">
        <v>246</v>
      </c>
    </row>
    <row r="22" spans="1:19">
      <c r="A22" s="6" t="s">
        <v>523</v>
      </c>
      <c r="B22" t="s">
        <v>147</v>
      </c>
      <c r="C22">
        <v>2.7089999999999999E-2</v>
      </c>
      <c r="D22">
        <v>4.718E-3</v>
      </c>
      <c r="E22">
        <v>1582.0281601012498</v>
      </c>
      <c r="F22">
        <v>130.57175939326402</v>
      </c>
      <c r="G22" s="7">
        <f t="shared" si="0"/>
        <v>4.0734911132338807</v>
      </c>
      <c r="H22" s="7">
        <f t="shared" si="1"/>
        <v>0.3362031820557056</v>
      </c>
      <c r="I22">
        <v>0.31090000000000001</v>
      </c>
      <c r="J22">
        <v>4.8570000000000002E-2</v>
      </c>
      <c r="K22" s="3">
        <v>0.4425</v>
      </c>
      <c r="L22" s="3">
        <v>2.6266299999999999E-2</v>
      </c>
      <c r="M22" s="3">
        <v>1.6012800000000001E-2</v>
      </c>
      <c r="N22" s="1">
        <v>2.69</v>
      </c>
      <c r="O22" s="1">
        <v>0.69</v>
      </c>
      <c r="P22">
        <v>0.23743386243386244</v>
      </c>
      <c r="Q22">
        <v>9.8231827111984273</v>
      </c>
      <c r="S22" t="s">
        <v>233</v>
      </c>
    </row>
    <row r="23" spans="1:19">
      <c r="A23" s="6" t="s">
        <v>524</v>
      </c>
      <c r="B23" t="s">
        <v>147</v>
      </c>
      <c r="C23">
        <v>3.5090000000000003E-2</v>
      </c>
      <c r="D23">
        <v>5.5490000000000001E-3</v>
      </c>
      <c r="E23">
        <v>1467.1361502347418</v>
      </c>
      <c r="F23">
        <v>105.6871845312879</v>
      </c>
      <c r="G23" s="7">
        <f t="shared" si="0"/>
        <v>4.3923791537043018</v>
      </c>
      <c r="H23" s="7">
        <f t="shared" si="1"/>
        <v>0.31641111567910979</v>
      </c>
      <c r="I23">
        <v>0.37330000000000002</v>
      </c>
      <c r="J23">
        <v>5.9089999999999997E-2</v>
      </c>
      <c r="K23" s="3">
        <v>0.22589999999999999</v>
      </c>
      <c r="L23" s="3">
        <v>3.5186099999999998E-2</v>
      </c>
      <c r="M23" s="3">
        <v>2.0382000000000001E-2</v>
      </c>
      <c r="N23" s="1">
        <v>2.56</v>
      </c>
      <c r="O23" s="1">
        <v>0.79</v>
      </c>
      <c r="P23">
        <v>0.25595238095238093</v>
      </c>
      <c r="Q23">
        <v>9.9472056779969158</v>
      </c>
      <c r="S23" t="s">
        <v>234</v>
      </c>
    </row>
    <row r="24" spans="1:19">
      <c r="A24" s="6" t="s">
        <v>525</v>
      </c>
      <c r="B24" t="s">
        <v>147</v>
      </c>
      <c r="C24">
        <v>5.2979999999999999E-2</v>
      </c>
      <c r="D24">
        <v>7.2880000000000002E-3</v>
      </c>
      <c r="E24">
        <v>1309.4146916328402</v>
      </c>
      <c r="F24">
        <v>131.59300456045631</v>
      </c>
      <c r="G24" s="7">
        <f t="shared" si="0"/>
        <v>4.9212475715901292</v>
      </c>
      <c r="H24" s="7">
        <f t="shared" si="1"/>
        <v>0.49457345963014587</v>
      </c>
      <c r="I24">
        <v>0.50319999999999998</v>
      </c>
      <c r="J24">
        <v>2.8850000000000001E-2</v>
      </c>
      <c r="K24" s="3">
        <v>0.93079999999999996</v>
      </c>
      <c r="L24" s="3">
        <v>5.8265499999999998E-2</v>
      </c>
      <c r="M24" s="3">
        <v>2.1525900000000001E-2</v>
      </c>
      <c r="N24" s="1">
        <v>2.0499999999999998</v>
      </c>
      <c r="O24" s="1">
        <v>0.65</v>
      </c>
      <c r="P24">
        <v>0.24943310657596374</v>
      </c>
      <c r="Q24">
        <v>11.038044045065435</v>
      </c>
      <c r="S24" t="s">
        <v>235</v>
      </c>
    </row>
    <row r="25" spans="1:19">
      <c r="A25" s="6" t="s">
        <v>526</v>
      </c>
      <c r="B25" t="s">
        <v>147</v>
      </c>
      <c r="C25">
        <v>1.422E-2</v>
      </c>
      <c r="D25">
        <v>1.603E-3</v>
      </c>
      <c r="E25">
        <v>2031.2817387771684</v>
      </c>
      <c r="F25">
        <v>115.69599828420029</v>
      </c>
      <c r="G25" s="7">
        <f t="shared" si="0"/>
        <v>3.1727887839572659</v>
      </c>
      <c r="H25" s="7">
        <f t="shared" si="1"/>
        <v>0.18071297481649753</v>
      </c>
      <c r="I25">
        <v>0.20949999999999999</v>
      </c>
      <c r="J25">
        <v>2.3949999999999999E-2</v>
      </c>
      <c r="K25" s="3">
        <v>0.2243</v>
      </c>
      <c r="L25" s="3">
        <v>2.1769E-2</v>
      </c>
      <c r="M25" s="3">
        <v>1.25939E-2</v>
      </c>
      <c r="N25" s="1">
        <v>2.5099999999999998</v>
      </c>
      <c r="O25" s="1">
        <v>0.35</v>
      </c>
      <c r="P25">
        <v>9.3178382464096751E-2</v>
      </c>
      <c r="Q25">
        <v>22.786401445431302</v>
      </c>
      <c r="S25" t="s">
        <v>236</v>
      </c>
    </row>
    <row r="26" spans="1:19">
      <c r="A26" s="6" t="s">
        <v>527</v>
      </c>
      <c r="B26" t="s">
        <v>147</v>
      </c>
      <c r="C26">
        <v>2.4819999999999998E-2</v>
      </c>
      <c r="D26">
        <v>5.352E-3</v>
      </c>
      <c r="E26">
        <v>1601.0246557796991</v>
      </c>
      <c r="F26">
        <v>118.24410402036106</v>
      </c>
      <c r="G26" s="7">
        <f t="shared" si="0"/>
        <v>4.0251733673238617</v>
      </c>
      <c r="H26" s="7">
        <f t="shared" si="1"/>
        <v>0.29728025525880519</v>
      </c>
      <c r="I26">
        <v>0.2883</v>
      </c>
      <c r="J26">
        <v>5.5149999999999998E-2</v>
      </c>
      <c r="K26" s="3">
        <v>0.48139999999999999</v>
      </c>
      <c r="L26" s="3">
        <v>1.7223700000000002E-2</v>
      </c>
      <c r="M26" s="3">
        <v>1.22002E-2</v>
      </c>
      <c r="N26" s="1">
        <v>2.78</v>
      </c>
      <c r="O26" s="1">
        <v>0.71</v>
      </c>
      <c r="P26">
        <v>0.31698790627362056</v>
      </c>
      <c r="Q26">
        <v>15.804472155434603</v>
      </c>
      <c r="S26" t="s">
        <v>237</v>
      </c>
    </row>
    <row r="27" spans="1:19">
      <c r="G27" s="7" t="e">
        <f t="shared" si="0"/>
        <v>#DIV/0!</v>
      </c>
      <c r="H27" s="7" t="e">
        <f t="shared" si="1"/>
        <v>#DIV/0!</v>
      </c>
    </row>
    <row r="28" spans="1:19">
      <c r="A28" t="s">
        <v>466</v>
      </c>
      <c r="B28" t="s">
        <v>563</v>
      </c>
      <c r="C28">
        <v>3.9120000000000002E-2</v>
      </c>
      <c r="D28">
        <v>9.077E-3</v>
      </c>
      <c r="E28">
        <v>1190.3344839900012</v>
      </c>
      <c r="F28">
        <v>102.49826993433722</v>
      </c>
      <c r="G28" s="7">
        <f t="shared" si="0"/>
        <v>5.4133589911950697</v>
      </c>
      <c r="H28" s="7">
        <f t="shared" si="1"/>
        <v>0.46613782814313937</v>
      </c>
      <c r="I28">
        <v>0.3377</v>
      </c>
      <c r="J28">
        <v>7.4700000000000003E-2</v>
      </c>
      <c r="K28" s="3">
        <v>0.30859999999999999</v>
      </c>
      <c r="L28" s="3">
        <v>0.15334999999999999</v>
      </c>
      <c r="M28" s="3">
        <v>2.95867E-2</v>
      </c>
      <c r="N28" s="1">
        <v>3.4</v>
      </c>
      <c r="O28" s="1">
        <v>1.2</v>
      </c>
      <c r="P28">
        <v>0.54472748815165872</v>
      </c>
      <c r="Q28">
        <v>12.829224199731945</v>
      </c>
      <c r="S28" t="s">
        <v>357</v>
      </c>
    </row>
    <row r="29" spans="1:19">
      <c r="A29" t="s">
        <v>467</v>
      </c>
      <c r="B29" t="s">
        <v>563</v>
      </c>
      <c r="C29">
        <v>5.9540000000000003E-2</v>
      </c>
      <c r="D29">
        <v>4.2269999999999999E-3</v>
      </c>
      <c r="E29">
        <v>372.02380952380952</v>
      </c>
      <c r="F29">
        <v>15.431791206065762</v>
      </c>
      <c r="G29" s="7">
        <f t="shared" si="0"/>
        <v>17.304714191038531</v>
      </c>
      <c r="H29" s="7">
        <f t="shared" si="1"/>
        <v>0.71781087511190345</v>
      </c>
      <c r="I29">
        <v>0.16059999999999999</v>
      </c>
      <c r="J29">
        <v>9.92E-3</v>
      </c>
      <c r="K29" s="3">
        <v>0.50009999999999999</v>
      </c>
      <c r="L29" s="3">
        <v>1.4237E-2</v>
      </c>
      <c r="M29" s="3">
        <v>2.4685100000000001E-3</v>
      </c>
      <c r="N29" s="1">
        <v>14.8</v>
      </c>
      <c r="O29" s="1">
        <v>1.3</v>
      </c>
      <c r="P29">
        <v>0.60169826224328604</v>
      </c>
      <c r="Q29">
        <v>49.128822117632389</v>
      </c>
      <c r="S29" t="s">
        <v>358</v>
      </c>
    </row>
    <row r="30" spans="1:19">
      <c r="A30" t="s">
        <v>468</v>
      </c>
      <c r="B30" t="s">
        <v>563</v>
      </c>
      <c r="C30">
        <v>4.4019999999999997E-2</v>
      </c>
      <c r="D30">
        <v>6.5170000000000002E-3</v>
      </c>
      <c r="E30">
        <v>1270.1638511367967</v>
      </c>
      <c r="F30">
        <v>127.19384989664049</v>
      </c>
      <c r="G30" s="7">
        <f t="shared" si="0"/>
        <v>5.0732650567353543</v>
      </c>
      <c r="H30" s="7">
        <f t="shared" si="1"/>
        <v>0.5080353322405885</v>
      </c>
      <c r="I30">
        <v>0.40560000000000002</v>
      </c>
      <c r="J30">
        <v>5.7070000000000003E-2</v>
      </c>
      <c r="K30" s="3">
        <v>0.40949999999999998</v>
      </c>
      <c r="L30" s="3">
        <v>4.8075E-2</v>
      </c>
      <c r="M30" s="3">
        <v>1.37967E-2</v>
      </c>
      <c r="N30" s="1">
        <v>2.74</v>
      </c>
      <c r="O30" s="1">
        <v>0.96</v>
      </c>
      <c r="P30">
        <v>0.42239336492891</v>
      </c>
      <c r="Q30">
        <v>16.507184490228472</v>
      </c>
      <c r="S30" t="s">
        <v>359</v>
      </c>
    </row>
    <row r="31" spans="1:19">
      <c r="A31" t="s">
        <v>469</v>
      </c>
      <c r="B31" t="s">
        <v>563</v>
      </c>
      <c r="C31">
        <v>3.5630000000000002E-2</v>
      </c>
      <c r="D31">
        <v>3.388E-3</v>
      </c>
      <c r="E31">
        <v>233.8087444470423</v>
      </c>
      <c r="F31">
        <v>8.2601125288632424</v>
      </c>
      <c r="G31" s="7">
        <f t="shared" si="0"/>
        <v>27.512519783808546</v>
      </c>
      <c r="H31" s="7">
        <f t="shared" si="1"/>
        <v>0.97197609056195244</v>
      </c>
      <c r="I31">
        <v>6.0429999999999998E-2</v>
      </c>
      <c r="J31">
        <v>4.725E-3</v>
      </c>
      <c r="K31" s="3">
        <v>0.62119999999999997</v>
      </c>
      <c r="L31" s="3">
        <v>4.2941000000000003E-3</v>
      </c>
      <c r="M31" s="3">
        <v>7.6524099999999995E-4</v>
      </c>
      <c r="N31" s="1">
        <v>27</v>
      </c>
      <c r="O31" s="1">
        <v>1.9</v>
      </c>
      <c r="P31">
        <v>0.5572669826224329</v>
      </c>
      <c r="Q31">
        <v>59.589190537044537</v>
      </c>
      <c r="S31" t="s">
        <v>249</v>
      </c>
    </row>
    <row r="32" spans="1:19">
      <c r="A32" t="s">
        <v>470</v>
      </c>
      <c r="B32" t="s">
        <v>563</v>
      </c>
      <c r="C32">
        <v>4.2090000000000002E-2</v>
      </c>
      <c r="D32">
        <v>2.4229999999999998E-3</v>
      </c>
      <c r="E32">
        <v>172.50301880282905</v>
      </c>
      <c r="F32">
        <v>5.8026718417373928</v>
      </c>
      <c r="G32" s="7">
        <f t="shared" si="0"/>
        <v>37.261963261505798</v>
      </c>
      <c r="H32" s="7">
        <f t="shared" si="1"/>
        <v>1.2534212240803226</v>
      </c>
      <c r="I32">
        <v>5.2659999999999998E-2</v>
      </c>
      <c r="J32">
        <v>2.9069999999999999E-3</v>
      </c>
      <c r="K32" s="3">
        <v>0.36109999999999998</v>
      </c>
      <c r="L32" s="3">
        <v>2.7439000000000001E-3</v>
      </c>
      <c r="M32" s="3">
        <v>4.9176199999999997E-4</v>
      </c>
      <c r="N32" s="1">
        <v>37</v>
      </c>
      <c r="O32" s="1">
        <v>2.5</v>
      </c>
      <c r="P32">
        <v>0.48439968404423384</v>
      </c>
      <c r="Q32">
        <v>66.826668329021601</v>
      </c>
      <c r="S32" t="s">
        <v>250</v>
      </c>
    </row>
    <row r="33" spans="1:19">
      <c r="A33" t="s">
        <v>471</v>
      </c>
      <c r="B33" t="s">
        <v>563</v>
      </c>
      <c r="C33">
        <v>6.3700000000000007E-2</v>
      </c>
      <c r="D33">
        <v>1.3440000000000001E-2</v>
      </c>
      <c r="E33">
        <v>1047.6689366160292</v>
      </c>
      <c r="F33">
        <v>153.88495014517264</v>
      </c>
      <c r="G33" s="7">
        <f t="shared" si="0"/>
        <v>6.1501676360341655</v>
      </c>
      <c r="H33" s="7">
        <f t="shared" si="1"/>
        <v>0.90335621013304346</v>
      </c>
      <c r="I33">
        <v>0.48399999999999999</v>
      </c>
      <c r="J33">
        <v>0.10489999999999999</v>
      </c>
      <c r="K33" s="3">
        <v>0.30830000000000002</v>
      </c>
      <c r="L33" s="3">
        <v>0.37014999999999998</v>
      </c>
      <c r="M33" s="3">
        <v>6.9064299999999995E-2</v>
      </c>
      <c r="N33" s="1">
        <v>2.7</v>
      </c>
      <c r="O33" s="1">
        <v>1.9</v>
      </c>
      <c r="P33">
        <v>0.55420616113744081</v>
      </c>
      <c r="Q33">
        <v>12.667144593710065</v>
      </c>
      <c r="S33" t="s">
        <v>251</v>
      </c>
    </row>
    <row r="34" spans="1:19">
      <c r="A34" t="s">
        <v>472</v>
      </c>
      <c r="B34" t="s">
        <v>563</v>
      </c>
      <c r="C34">
        <v>9.3100000000000002E-2</v>
      </c>
      <c r="D34">
        <v>1.6619999999999999E-2</v>
      </c>
      <c r="E34">
        <v>836.82008368200832</v>
      </c>
      <c r="F34">
        <v>107.35106178113126</v>
      </c>
      <c r="G34" s="7">
        <f t="shared" si="0"/>
        <v>7.6988657909472265</v>
      </c>
      <c r="H34" s="7">
        <f t="shared" si="1"/>
        <v>0.98764529351649355</v>
      </c>
      <c r="I34">
        <v>0.56520000000000004</v>
      </c>
      <c r="J34">
        <v>7.4859999999999996E-2</v>
      </c>
      <c r="K34" s="3">
        <v>0.67210000000000003</v>
      </c>
      <c r="L34" s="3">
        <v>5.1766E-2</v>
      </c>
      <c r="M34" s="3">
        <v>1.56817E-2</v>
      </c>
      <c r="N34" s="1">
        <v>2.6</v>
      </c>
      <c r="O34" s="1">
        <v>1.7</v>
      </c>
      <c r="P34">
        <v>0.46968799368088471</v>
      </c>
      <c r="Q34">
        <v>5.9146588535984783</v>
      </c>
      <c r="S34" t="s">
        <v>252</v>
      </c>
    </row>
    <row r="35" spans="1:19">
      <c r="A35" t="s">
        <v>473</v>
      </c>
      <c r="B35" t="s">
        <v>563</v>
      </c>
      <c r="C35">
        <v>1.848E-2</v>
      </c>
      <c r="D35">
        <v>2.8639999999999998E-3</v>
      </c>
      <c r="E35">
        <v>1926.4110961279137</v>
      </c>
      <c r="F35">
        <v>105.80231236872822</v>
      </c>
      <c r="G35" s="7">
        <f t="shared" si="0"/>
        <v>3.3454653615035848</v>
      </c>
      <c r="H35" s="7">
        <f t="shared" si="1"/>
        <v>0.18373958284813563</v>
      </c>
      <c r="I35">
        <v>0.25819999999999999</v>
      </c>
      <c r="J35">
        <v>3.9669999999999997E-2</v>
      </c>
      <c r="K35" s="3">
        <v>0.20119999999999999</v>
      </c>
      <c r="L35" s="3">
        <v>5.6025999999999999E-2</v>
      </c>
      <c r="M35" s="3">
        <v>1.5914299999999999E-2</v>
      </c>
      <c r="N35" s="1">
        <v>2.44</v>
      </c>
      <c r="O35" s="1">
        <v>0.44</v>
      </c>
      <c r="P35">
        <v>0.95379146919431279</v>
      </c>
      <c r="Q35">
        <v>30.121871396066453</v>
      </c>
      <c r="S35" t="s">
        <v>253</v>
      </c>
    </row>
    <row r="36" spans="1:19">
      <c r="A36" t="s">
        <v>474</v>
      </c>
      <c r="B36" t="s">
        <v>563</v>
      </c>
      <c r="C36">
        <v>2.7969999999999998E-2</v>
      </c>
      <c r="D36">
        <v>6.3899999999999998E-3</v>
      </c>
      <c r="E36">
        <v>403.06328093510677</v>
      </c>
      <c r="F36">
        <v>13.255112088470518</v>
      </c>
      <c r="G36" s="7">
        <f t="shared" si="0"/>
        <v>15.973746337019481</v>
      </c>
      <c r="H36" s="7">
        <f t="shared" si="1"/>
        <v>0.52531155325974177</v>
      </c>
      <c r="I36">
        <v>8.1769999999999995E-2</v>
      </c>
      <c r="J36">
        <v>1.7950000000000001E-2</v>
      </c>
      <c r="K36" s="3">
        <v>0.33929999999999999</v>
      </c>
      <c r="L36" s="3">
        <v>6.9733E-3</v>
      </c>
      <c r="M36" s="3">
        <v>1.36111E-3</v>
      </c>
      <c r="N36" s="1">
        <v>15.3</v>
      </c>
      <c r="O36" s="1">
        <v>1.2</v>
      </c>
      <c r="P36">
        <v>0.59468799368088465</v>
      </c>
      <c r="Q36">
        <v>59.308668142006667</v>
      </c>
      <c r="S36" t="s">
        <v>254</v>
      </c>
    </row>
    <row r="37" spans="1:19">
      <c r="A37" t="s">
        <v>475</v>
      </c>
      <c r="B37" t="s">
        <v>563</v>
      </c>
      <c r="C37">
        <v>4.6190000000000002E-2</v>
      </c>
      <c r="D37">
        <v>4.4450000000000002E-3</v>
      </c>
      <c r="E37">
        <v>1330.1409949454644</v>
      </c>
      <c r="F37">
        <v>104.28107241565</v>
      </c>
      <c r="G37" s="7">
        <f t="shared" si="0"/>
        <v>4.8445933275750876</v>
      </c>
      <c r="H37" s="7">
        <f t="shared" si="1"/>
        <v>0.37980889961063535</v>
      </c>
      <c r="I37">
        <v>0.4456</v>
      </c>
      <c r="J37">
        <v>4.265E-2</v>
      </c>
      <c r="K37" s="3">
        <v>0.41410000000000002</v>
      </c>
      <c r="L37" s="3">
        <v>0.15207999999999999</v>
      </c>
      <c r="M37" s="3">
        <v>2.5655799999999999E-2</v>
      </c>
      <c r="N37" s="1">
        <v>2.37</v>
      </c>
      <c r="O37" s="1">
        <v>0.71</v>
      </c>
      <c r="P37">
        <v>0.58412322274881523</v>
      </c>
      <c r="Q37">
        <v>15.609512826107284</v>
      </c>
      <c r="S37" t="s">
        <v>255</v>
      </c>
    </row>
    <row r="38" spans="1:19">
      <c r="A38" t="s">
        <v>476</v>
      </c>
      <c r="B38" t="s">
        <v>563</v>
      </c>
      <c r="C38">
        <v>1.8700000000000001E-2</v>
      </c>
      <c r="D38">
        <v>2.1940000000000002E-3</v>
      </c>
      <c r="E38">
        <v>720.98053352559486</v>
      </c>
      <c r="F38">
        <v>37.920353223282007</v>
      </c>
      <c r="G38" s="7">
        <f t="shared" si="0"/>
        <v>8.9349814923343427</v>
      </c>
      <c r="H38" s="7">
        <f t="shared" si="1"/>
        <v>0.46994008642090146</v>
      </c>
      <c r="I38">
        <v>9.7820000000000004E-2</v>
      </c>
      <c r="J38">
        <v>9.7730000000000004E-3</v>
      </c>
      <c r="K38" s="3">
        <v>0.5302</v>
      </c>
      <c r="L38" s="3">
        <v>1.4546999999999999E-2</v>
      </c>
      <c r="M38" s="3">
        <v>2.6287300000000001E-3</v>
      </c>
      <c r="N38" s="1">
        <v>8.35</v>
      </c>
      <c r="O38" s="1">
        <v>0.9</v>
      </c>
      <c r="P38">
        <v>0.2695497630331754</v>
      </c>
      <c r="Q38">
        <v>61.397001527288595</v>
      </c>
      <c r="S38" t="s">
        <v>256</v>
      </c>
    </row>
    <row r="39" spans="1:19">
      <c r="A39" t="s">
        <v>477</v>
      </c>
      <c r="B39" t="s">
        <v>563</v>
      </c>
      <c r="C39">
        <v>2.1340000000000001E-2</v>
      </c>
      <c r="D39">
        <v>2.5430000000000001E-3</v>
      </c>
      <c r="E39">
        <v>607.16454159077114</v>
      </c>
      <c r="F39">
        <v>31.298281469979642</v>
      </c>
      <c r="G39" s="7">
        <f t="shared" si="0"/>
        <v>10.608510445673836</v>
      </c>
      <c r="H39" s="7">
        <f t="shared" si="1"/>
        <v>0.54685035630704837</v>
      </c>
      <c r="I39">
        <v>9.3950000000000006E-2</v>
      </c>
      <c r="J39">
        <v>7.9439999999999997E-3</v>
      </c>
      <c r="K39" s="3">
        <v>0.79069999999999996</v>
      </c>
      <c r="L39" s="3">
        <v>5.9931000000000003E-3</v>
      </c>
      <c r="M39" s="3">
        <v>1.77918E-3</v>
      </c>
      <c r="N39" s="1">
        <v>10</v>
      </c>
      <c r="O39" s="1">
        <v>1</v>
      </c>
      <c r="P39">
        <v>0.42308451816745657</v>
      </c>
      <c r="Q39">
        <v>47.620235015428733</v>
      </c>
      <c r="S39" t="s">
        <v>257</v>
      </c>
    </row>
    <row r="40" spans="1:19">
      <c r="A40" t="s">
        <v>478</v>
      </c>
      <c r="B40" t="s">
        <v>563</v>
      </c>
      <c r="C40">
        <v>3.2340000000000001E-2</v>
      </c>
      <c r="D40">
        <v>3.3739999999999998E-3</v>
      </c>
      <c r="E40">
        <v>655.7377049180327</v>
      </c>
      <c r="F40">
        <v>47.557108304219284</v>
      </c>
      <c r="G40" s="7">
        <f t="shared" si="0"/>
        <v>9.8232932689264896</v>
      </c>
      <c r="H40" s="7">
        <f t="shared" si="1"/>
        <v>0.71243031838902926</v>
      </c>
      <c r="I40">
        <v>0.15379999999999999</v>
      </c>
      <c r="J40">
        <v>1.7510000000000001E-2</v>
      </c>
      <c r="K40" s="3">
        <v>0.2097</v>
      </c>
      <c r="L40" s="3">
        <v>4.3624999999999997E-2</v>
      </c>
      <c r="M40" s="3">
        <v>9.75643E-3</v>
      </c>
      <c r="N40" s="1">
        <v>8.5</v>
      </c>
      <c r="O40" s="1">
        <v>1.3</v>
      </c>
      <c r="P40">
        <v>0.48222748815165878</v>
      </c>
      <c r="Q40">
        <v>21.818408502945484</v>
      </c>
      <c r="S40" t="s">
        <v>258</v>
      </c>
    </row>
    <row r="41" spans="1:19">
      <c r="A41" t="s">
        <v>479</v>
      </c>
      <c r="B41" t="s">
        <v>563</v>
      </c>
      <c r="C41">
        <v>2.707E-2</v>
      </c>
      <c r="D41">
        <v>3.3500000000000001E-3</v>
      </c>
      <c r="E41">
        <v>409.50040950040949</v>
      </c>
      <c r="F41">
        <v>23.376067602111824</v>
      </c>
      <c r="G41" s="7">
        <f t="shared" si="0"/>
        <v>15.722953510428731</v>
      </c>
      <c r="H41" s="7">
        <f t="shared" si="1"/>
        <v>0.89753469261005936</v>
      </c>
      <c r="I41">
        <v>8.0399999999999999E-2</v>
      </c>
      <c r="J41">
        <v>9.9380000000000007E-3</v>
      </c>
      <c r="K41" s="3">
        <v>0.23280000000000001</v>
      </c>
      <c r="L41" s="3">
        <v>8.7934999999999992E-3</v>
      </c>
      <c r="M41" s="3">
        <v>2.3098900000000002E-3</v>
      </c>
      <c r="N41" s="1">
        <v>15</v>
      </c>
      <c r="O41" s="1">
        <v>1.7</v>
      </c>
      <c r="P41">
        <v>0.34054107424960506</v>
      </c>
      <c r="Q41">
        <v>32.578000810398031</v>
      </c>
      <c r="S41" t="s">
        <v>259</v>
      </c>
    </row>
    <row r="42" spans="1:19">
      <c r="A42" t="s">
        <v>480</v>
      </c>
      <c r="B42" t="s">
        <v>563</v>
      </c>
      <c r="C42">
        <v>1.968E-2</v>
      </c>
      <c r="D42">
        <v>2.9009999999999999E-3</v>
      </c>
      <c r="E42">
        <v>1460.0671630895022</v>
      </c>
      <c r="F42">
        <v>111.79138857119797</v>
      </c>
      <c r="G42" s="7">
        <f t="shared" si="0"/>
        <v>4.4136377955377935</v>
      </c>
      <c r="H42" s="7">
        <f t="shared" si="1"/>
        <v>0.33793424733246002</v>
      </c>
      <c r="I42">
        <v>0.2084</v>
      </c>
      <c r="J42">
        <v>2.1860000000000001E-2</v>
      </c>
      <c r="K42" s="3">
        <v>0.73480000000000001</v>
      </c>
      <c r="L42" s="3">
        <v>1.5886999999999998E-2</v>
      </c>
      <c r="M42" s="3">
        <v>6.1767200000000001E-3</v>
      </c>
      <c r="N42" s="1">
        <v>3.5</v>
      </c>
      <c r="O42" s="1">
        <v>0.59</v>
      </c>
      <c r="P42">
        <v>9.0106635071090055E-2</v>
      </c>
      <c r="Q42">
        <v>33.033070473459468</v>
      </c>
      <c r="S42" t="s">
        <v>260</v>
      </c>
    </row>
    <row r="43" spans="1:19">
      <c r="A43" t="s">
        <v>481</v>
      </c>
      <c r="B43" t="s">
        <v>563</v>
      </c>
      <c r="C43">
        <v>2.6679999999999999E-2</v>
      </c>
      <c r="D43">
        <v>3.6150000000000002E-3</v>
      </c>
      <c r="E43">
        <v>372.30081906180192</v>
      </c>
      <c r="F43">
        <v>31.491714851392924</v>
      </c>
      <c r="G43" s="7">
        <f t="shared" si="0"/>
        <v>17.291855912867376</v>
      </c>
      <c r="H43" s="7">
        <f t="shared" si="1"/>
        <v>1.4626618255411272</v>
      </c>
      <c r="I43">
        <v>7.2020000000000001E-2</v>
      </c>
      <c r="J43">
        <v>6.8609999999999999E-3</v>
      </c>
      <c r="K43" s="3">
        <v>0.71740000000000004</v>
      </c>
      <c r="L43" s="3">
        <v>4.1742000000000003E-3</v>
      </c>
      <c r="M43" s="3">
        <v>1.10184E-3</v>
      </c>
      <c r="N43" s="1">
        <v>16.7</v>
      </c>
      <c r="O43" s="1">
        <v>2.8</v>
      </c>
      <c r="P43">
        <v>0.36581753554502372</v>
      </c>
      <c r="Q43">
        <v>74.556618770065143</v>
      </c>
      <c r="S43" t="s">
        <v>261</v>
      </c>
    </row>
    <row r="44" spans="1:19">
      <c r="A44" s="6" t="s">
        <v>528</v>
      </c>
      <c r="B44" t="s">
        <v>147</v>
      </c>
      <c r="C44">
        <v>4.0730000000000002E-2</v>
      </c>
      <c r="D44">
        <v>4.4079999999999996E-3</v>
      </c>
      <c r="E44">
        <v>1298.0269989615786</v>
      </c>
      <c r="F44">
        <v>90.797864711889247</v>
      </c>
      <c r="G44" s="7">
        <f t="shared" si="0"/>
        <v>4.9644054423651101</v>
      </c>
      <c r="H44" s="7">
        <f t="shared" si="1"/>
        <v>0.34726351153823443</v>
      </c>
      <c r="I44">
        <v>0.38340000000000002</v>
      </c>
      <c r="J44">
        <v>3.8170000000000003E-2</v>
      </c>
      <c r="K44" s="3">
        <v>0.44219999999999998</v>
      </c>
      <c r="L44" s="3">
        <v>1.7707799999999999E-2</v>
      </c>
      <c r="M44" s="3">
        <v>1.07825E-2</v>
      </c>
      <c r="N44" s="1">
        <v>2.82</v>
      </c>
      <c r="O44" s="1">
        <v>0.67</v>
      </c>
      <c r="P44">
        <v>0.79393424036281179</v>
      </c>
      <c r="Q44">
        <v>10.919658485848698</v>
      </c>
      <c r="S44" t="s">
        <v>238</v>
      </c>
    </row>
    <row r="45" spans="1:19">
      <c r="A45" s="6" t="s">
        <v>529</v>
      </c>
      <c r="B45" t="s">
        <v>147</v>
      </c>
      <c r="C45">
        <v>6.2960000000000002E-2</v>
      </c>
      <c r="D45">
        <v>6.6870000000000002E-3</v>
      </c>
      <c r="E45">
        <v>1150.7479861910242</v>
      </c>
      <c r="F45">
        <v>72.156798351609794</v>
      </c>
      <c r="G45" s="7">
        <f t="shared" si="0"/>
        <v>5.5995012931668677</v>
      </c>
      <c r="H45" s="7">
        <f t="shared" si="1"/>
        <v>0.35111257245645877</v>
      </c>
      <c r="I45">
        <v>0.52549999999999997</v>
      </c>
      <c r="J45">
        <v>4.1279999999999997E-2</v>
      </c>
      <c r="K45" s="3">
        <v>0.67879999999999996</v>
      </c>
      <c r="L45" s="3">
        <v>2.1248300000000001E-2</v>
      </c>
      <c r="M45" s="3">
        <v>1.2292300000000001E-2</v>
      </c>
      <c r="N45" s="1">
        <v>2.17</v>
      </c>
      <c r="O45" s="1">
        <v>0.78</v>
      </c>
      <c r="P45">
        <v>0.52428193499622067</v>
      </c>
      <c r="Q45">
        <v>10.339005504928505</v>
      </c>
      <c r="S45" t="s">
        <v>142</v>
      </c>
    </row>
    <row r="46" spans="1:19">
      <c r="A46" s="6" t="s">
        <v>556</v>
      </c>
      <c r="B46" t="s">
        <v>147</v>
      </c>
      <c r="C46">
        <v>0.1043</v>
      </c>
      <c r="D46">
        <v>1.1010000000000001E-2</v>
      </c>
      <c r="E46">
        <v>734.75385745775168</v>
      </c>
      <c r="F46">
        <v>62.516162155479535</v>
      </c>
      <c r="G46" s="7">
        <f t="shared" si="0"/>
        <v>8.7676046993031367</v>
      </c>
      <c r="H46" s="7">
        <f t="shared" si="1"/>
        <v>0.7459872330487165</v>
      </c>
      <c r="I46">
        <v>0.5554</v>
      </c>
      <c r="J46">
        <v>3.3840000000000002E-2</v>
      </c>
      <c r="K46" s="3">
        <v>0.81689999999999996</v>
      </c>
      <c r="L46" s="3">
        <v>1.9618E-2</v>
      </c>
      <c r="M46" s="3">
        <v>1.1349100000000001E-2</v>
      </c>
      <c r="N46" s="1">
        <v>3.1</v>
      </c>
      <c r="O46" s="1">
        <v>1.2</v>
      </c>
      <c r="P46">
        <v>0.49102418745275894</v>
      </c>
      <c r="Q46">
        <v>8.7520752706660314</v>
      </c>
      <c r="S46" t="s">
        <v>143</v>
      </c>
    </row>
    <row r="47" spans="1:19">
      <c r="A47" s="6" t="s">
        <v>530</v>
      </c>
      <c r="B47" t="s">
        <v>147</v>
      </c>
      <c r="C47">
        <v>3.0679999999999999E-2</v>
      </c>
      <c r="D47">
        <v>5.7279999999999996E-3</v>
      </c>
      <c r="E47">
        <v>1707.6502732240435</v>
      </c>
      <c r="F47">
        <v>148.04884626295197</v>
      </c>
      <c r="G47" s="7">
        <f t="shared" si="0"/>
        <v>3.7739152504754148</v>
      </c>
      <c r="H47" s="7">
        <f t="shared" si="1"/>
        <v>0.32718865653455731</v>
      </c>
      <c r="I47">
        <v>0.37990000000000002</v>
      </c>
      <c r="J47">
        <v>5.0540000000000002E-2</v>
      </c>
      <c r="K47" s="3">
        <v>0.76219999999999999</v>
      </c>
      <c r="L47" s="3">
        <v>7.9845899999999997E-2</v>
      </c>
      <c r="M47" s="3">
        <v>2.4150100000000001E-2</v>
      </c>
      <c r="N47" s="1">
        <v>2.16</v>
      </c>
      <c r="O47" s="1">
        <v>0.64</v>
      </c>
      <c r="P47">
        <v>0.96560846560846558</v>
      </c>
      <c r="Q47">
        <v>13.789098944959171</v>
      </c>
      <c r="S47" t="s">
        <v>144</v>
      </c>
    </row>
    <row r="48" spans="1:19">
      <c r="A48" s="6" t="s">
        <v>531</v>
      </c>
      <c r="B48" t="s">
        <v>147</v>
      </c>
      <c r="C48">
        <v>2.6980000000000001E-2</v>
      </c>
      <c r="D48">
        <v>4.1330000000000004E-3</v>
      </c>
      <c r="E48">
        <v>1579.5293002685198</v>
      </c>
      <c r="F48">
        <v>101.71759528028359</v>
      </c>
      <c r="G48" s="7">
        <f t="shared" si="0"/>
        <v>4.0799334519919643</v>
      </c>
      <c r="H48" s="7">
        <f t="shared" si="1"/>
        <v>0.26273714553421634</v>
      </c>
      <c r="I48">
        <v>0.30909999999999999</v>
      </c>
      <c r="J48">
        <v>3.9419999999999997E-2</v>
      </c>
      <c r="K48" s="3">
        <v>0.57509999999999994</v>
      </c>
      <c r="L48" s="3">
        <v>1.18768E-2</v>
      </c>
      <c r="M48" s="3">
        <v>1.18846E-2</v>
      </c>
      <c r="N48" s="1">
        <v>2.71</v>
      </c>
      <c r="O48" s="1">
        <v>0.56000000000000005</v>
      </c>
      <c r="P48">
        <v>0.56198034769463345</v>
      </c>
      <c r="Q48">
        <v>11.156429604282176</v>
      </c>
      <c r="S48" t="s">
        <v>243</v>
      </c>
    </row>
    <row r="49" spans="1:19">
      <c r="G49" s="7" t="e">
        <f t="shared" si="0"/>
        <v>#DIV/0!</v>
      </c>
      <c r="H49" s="7" t="e">
        <f t="shared" si="1"/>
        <v>#DIV/0!</v>
      </c>
    </row>
    <row r="50" spans="1:19">
      <c r="G50" s="7" t="e">
        <f t="shared" si="0"/>
        <v>#DIV/0!</v>
      </c>
      <c r="H50" s="7" t="e">
        <f t="shared" si="1"/>
        <v>#DIV/0!</v>
      </c>
    </row>
    <row r="51" spans="1:19">
      <c r="A51" t="s">
        <v>505</v>
      </c>
      <c r="B51" t="s">
        <v>563</v>
      </c>
      <c r="C51">
        <v>0.1109</v>
      </c>
      <c r="D51">
        <v>6.3629999999999997E-3</v>
      </c>
      <c r="E51">
        <v>78.740157480314963</v>
      </c>
      <c r="F51">
        <v>4.0343480686961382</v>
      </c>
      <c r="G51" s="7">
        <f t="shared" si="0"/>
        <v>81.353949112665262</v>
      </c>
      <c r="H51" s="7">
        <f t="shared" si="1"/>
        <v>4.1682688730402591</v>
      </c>
      <c r="I51">
        <v>6.336E-2</v>
      </c>
      <c r="J51">
        <v>2.5360000000000001E-3</v>
      </c>
      <c r="K51" s="3">
        <v>0.73360000000000003</v>
      </c>
      <c r="L51" s="3">
        <v>3.1402000000000001E-3</v>
      </c>
      <c r="M51" s="3">
        <v>4.37317E-4</v>
      </c>
      <c r="N51" s="1">
        <v>79.7</v>
      </c>
      <c r="O51" s="1">
        <v>8.1</v>
      </c>
      <c r="P51">
        <v>0.29186413902053709</v>
      </c>
      <c r="Q51">
        <v>60.786086089206115</v>
      </c>
      <c r="S51" t="s">
        <v>314</v>
      </c>
    </row>
    <row r="52" spans="1:19">
      <c r="A52" s="5" t="s">
        <v>535</v>
      </c>
      <c r="B52" t="s">
        <v>147</v>
      </c>
      <c r="C52">
        <v>1.124E-2</v>
      </c>
      <c r="D52">
        <v>2.4290000000000002E-3</v>
      </c>
      <c r="E52">
        <v>2644.1036488630357</v>
      </c>
      <c r="F52">
        <v>143.46114985370042</v>
      </c>
      <c r="G52" s="7">
        <f t="shared" si="0"/>
        <v>2.4375729276839251</v>
      </c>
      <c r="H52" s="7">
        <f t="shared" si="1"/>
        <v>0.13225541109485497</v>
      </c>
      <c r="I52">
        <v>0.2155</v>
      </c>
      <c r="J52">
        <v>4.7160000000000001E-2</v>
      </c>
      <c r="K52" s="3">
        <v>7.6259999999999994E-2</v>
      </c>
      <c r="L52" s="3">
        <v>0</v>
      </c>
      <c r="M52" s="3">
        <v>0</v>
      </c>
      <c r="N52" s="1">
        <v>1.91</v>
      </c>
      <c r="O52" s="1">
        <v>0.36</v>
      </c>
      <c r="P52">
        <v>7.302532123960695E-2</v>
      </c>
      <c r="Q52">
        <v>10.471484583099615</v>
      </c>
      <c r="S52" t="s">
        <v>279</v>
      </c>
    </row>
    <row r="53" spans="1:19">
      <c r="A53" s="5"/>
      <c r="G53" s="7" t="e">
        <f t="shared" si="0"/>
        <v>#DIV/0!</v>
      </c>
      <c r="H53" s="7" t="e">
        <f t="shared" si="1"/>
        <v>#DIV/0!</v>
      </c>
      <c r="K53" s="3"/>
      <c r="L53" s="3"/>
      <c r="M53" s="3"/>
    </row>
    <row r="54" spans="1:19">
      <c r="A54" t="s">
        <v>360</v>
      </c>
      <c r="B54" t="s">
        <v>563</v>
      </c>
      <c r="C54">
        <v>0.1094</v>
      </c>
      <c r="D54">
        <v>6.4859999999999996E-3</v>
      </c>
      <c r="E54">
        <v>71.123755334281654</v>
      </c>
      <c r="F54">
        <v>3.5172366347031319</v>
      </c>
      <c r="G54" s="7">
        <f t="shared" si="0"/>
        <v>90.005318395194791</v>
      </c>
      <c r="H54" s="7">
        <f t="shared" si="1"/>
        <v>4.450974244678445</v>
      </c>
      <c r="I54">
        <v>5.6410000000000002E-2</v>
      </c>
      <c r="J54">
        <v>1.9090000000000001E-3</v>
      </c>
      <c r="K54" s="3">
        <v>0.82140000000000002</v>
      </c>
      <c r="L54" s="3">
        <v>1.9941E-3</v>
      </c>
      <c r="M54" s="3">
        <v>3.7988600000000001E-4</v>
      </c>
      <c r="N54" s="1">
        <v>89</v>
      </c>
      <c r="O54" s="1">
        <v>8.6999999999999993</v>
      </c>
      <c r="P54">
        <v>0.53613744075829395</v>
      </c>
      <c r="Q54">
        <v>47.838419100458189</v>
      </c>
      <c r="S54" t="s">
        <v>315</v>
      </c>
    </row>
    <row r="55" spans="1:19">
      <c r="A55" t="s">
        <v>361</v>
      </c>
      <c r="B55" t="s">
        <v>563</v>
      </c>
      <c r="C55">
        <v>9.9820000000000006E-2</v>
      </c>
      <c r="D55">
        <v>5.0540000000000003E-3</v>
      </c>
      <c r="E55">
        <v>73.583517292126572</v>
      </c>
      <c r="F55">
        <v>3.6791758646063286</v>
      </c>
      <c r="G55" s="7">
        <f t="shared" si="0"/>
        <v>87.016819670212499</v>
      </c>
      <c r="H55" s="7">
        <f t="shared" si="1"/>
        <v>4.3508409835106248</v>
      </c>
      <c r="I55">
        <v>5.3280000000000001E-2</v>
      </c>
      <c r="J55">
        <v>1.83E-3</v>
      </c>
      <c r="K55" s="3">
        <v>0.7671</v>
      </c>
      <c r="L55" s="3">
        <v>2.2176000000000001E-3</v>
      </c>
      <c r="M55" s="3">
        <v>3.5452900000000002E-4</v>
      </c>
      <c r="N55" s="1">
        <v>86.4</v>
      </c>
      <c r="O55" s="1">
        <v>8.5</v>
      </c>
      <c r="P55">
        <v>0.24624802527646134</v>
      </c>
      <c r="Q55">
        <v>57.388648193747464</v>
      </c>
      <c r="S55" t="s">
        <v>316</v>
      </c>
    </row>
    <row r="56" spans="1:19">
      <c r="A56" t="s">
        <v>362</v>
      </c>
      <c r="B56" t="s">
        <v>563</v>
      </c>
      <c r="C56">
        <v>0.10639999999999999</v>
      </c>
      <c r="D56">
        <v>4.1469999999999996E-3</v>
      </c>
      <c r="E56">
        <v>65.573770491803273</v>
      </c>
      <c r="F56">
        <v>2.3223864552539637</v>
      </c>
      <c r="G56" s="7">
        <f t="shared" si="0"/>
        <v>97.56575396789755</v>
      </c>
      <c r="H56" s="7">
        <f t="shared" si="1"/>
        <v>3.4554271290532106</v>
      </c>
      <c r="I56">
        <v>5.0590000000000003E-2</v>
      </c>
      <c r="J56">
        <v>1.1999999999999999E-3</v>
      </c>
      <c r="K56" s="3">
        <v>0.80100000000000005</v>
      </c>
      <c r="L56" s="3">
        <v>4.2871000000000001E-4</v>
      </c>
      <c r="M56" s="3">
        <v>1.14603E-4</v>
      </c>
      <c r="N56" s="1">
        <v>97.2</v>
      </c>
      <c r="O56" s="1">
        <v>8.6</v>
      </c>
      <c r="P56">
        <v>0.51016982622432872</v>
      </c>
      <c r="Q56">
        <v>78.047564130536415</v>
      </c>
      <c r="S56" t="s">
        <v>317</v>
      </c>
    </row>
    <row r="57" spans="1:19">
      <c r="A57" s="5" t="s">
        <v>536</v>
      </c>
      <c r="B57" t="s">
        <v>147</v>
      </c>
      <c r="C57">
        <v>7.7039999999999999E-3</v>
      </c>
      <c r="D57">
        <v>1.588E-3</v>
      </c>
      <c r="E57">
        <v>4372.540445999125</v>
      </c>
      <c r="F57">
        <v>226.56145292999403</v>
      </c>
      <c r="G57" s="7">
        <f t="shared" si="0"/>
        <v>1.4741263635241415</v>
      </c>
      <c r="H57" s="7">
        <f t="shared" si="1"/>
        <v>7.6381274192221585E-2</v>
      </c>
      <c r="I57">
        <v>0.24429999999999999</v>
      </c>
      <c r="J57">
        <v>4.5609999999999998E-2</v>
      </c>
      <c r="K57" s="3">
        <v>0.4819</v>
      </c>
      <c r="L57" s="3">
        <v>1.23345E-2</v>
      </c>
      <c r="M57" s="3">
        <v>1.2356000000000001E-2</v>
      </c>
      <c r="N57" s="1">
        <v>1.1000000000000001</v>
      </c>
      <c r="O57" s="1">
        <v>0.21</v>
      </c>
      <c r="P57">
        <v>2.2845804988662132E-2</v>
      </c>
      <c r="Q57">
        <v>8.1009546949739697</v>
      </c>
      <c r="S57" t="s">
        <v>278</v>
      </c>
    </row>
    <row r="58" spans="1:19">
      <c r="A58" s="5"/>
      <c r="G58" s="7" t="e">
        <f t="shared" si="0"/>
        <v>#DIV/0!</v>
      </c>
      <c r="H58" s="7" t="e">
        <f t="shared" si="1"/>
        <v>#DIV/0!</v>
      </c>
      <c r="K58" s="3"/>
      <c r="L58" s="3"/>
      <c r="M58" s="3"/>
    </row>
    <row r="59" spans="1:19">
      <c r="A59" t="s">
        <v>363</v>
      </c>
      <c r="B59" t="s">
        <v>563</v>
      </c>
      <c r="C59">
        <v>0.1522</v>
      </c>
      <c r="D59">
        <v>1.443E-2</v>
      </c>
      <c r="E59">
        <v>128.71669455528382</v>
      </c>
      <c r="F59">
        <v>9.0047011830089794</v>
      </c>
      <c r="G59" s="7">
        <f t="shared" si="0"/>
        <v>49.888649281657599</v>
      </c>
      <c r="H59" s="7">
        <f t="shared" si="1"/>
        <v>3.4900863540456823</v>
      </c>
      <c r="I59">
        <v>0.1421</v>
      </c>
      <c r="J59">
        <v>1.141E-2</v>
      </c>
      <c r="K59" s="3">
        <v>0.56020000000000003</v>
      </c>
      <c r="L59" s="3">
        <v>3.4398999999999999E-2</v>
      </c>
      <c r="M59" s="3">
        <v>6.0010899999999997E-3</v>
      </c>
      <c r="N59" s="1">
        <v>43.8</v>
      </c>
      <c r="O59" s="1">
        <v>6.3</v>
      </c>
      <c r="P59">
        <v>0.13359004739336494</v>
      </c>
      <c r="Q59">
        <v>5.7544493968768506</v>
      </c>
      <c r="S59" t="s">
        <v>318</v>
      </c>
    </row>
    <row r="60" spans="1:19">
      <c r="A60" t="s">
        <v>364</v>
      </c>
      <c r="B60" t="s">
        <v>563</v>
      </c>
      <c r="C60">
        <v>0.10589999999999999</v>
      </c>
      <c r="D60">
        <v>5.6080000000000001E-3</v>
      </c>
      <c r="E60">
        <v>70.472163495419309</v>
      </c>
      <c r="F60">
        <v>3.1089199681559192</v>
      </c>
      <c r="G60" s="7">
        <f t="shared" si="0"/>
        <v>90.831679883987405</v>
      </c>
      <c r="H60" s="7">
        <f t="shared" si="1"/>
        <v>4.0070917270878166</v>
      </c>
      <c r="I60">
        <v>5.4140000000000001E-2</v>
      </c>
      <c r="J60">
        <v>1.374E-3</v>
      </c>
      <c r="K60" s="3">
        <v>0.87880000000000003</v>
      </c>
      <c r="L60" s="3">
        <v>1.0755999999999999E-3</v>
      </c>
      <c r="M60" s="3">
        <v>1.8215399999999999E-4</v>
      </c>
      <c r="N60" s="1">
        <v>90.1</v>
      </c>
      <c r="O60" s="1">
        <v>7.8</v>
      </c>
      <c r="P60">
        <v>3.1951026856240128E-2</v>
      </c>
      <c r="Q60">
        <v>113.95443069538385</v>
      </c>
      <c r="S60" t="s">
        <v>319</v>
      </c>
    </row>
    <row r="61" spans="1:19">
      <c r="A61" t="s">
        <v>365</v>
      </c>
      <c r="B61" t="s">
        <v>563</v>
      </c>
      <c r="C61">
        <v>7.8939999999999996E-2</v>
      </c>
      <c r="D61">
        <v>5.4920000000000004E-3</v>
      </c>
      <c r="E61">
        <v>111.54489682097044</v>
      </c>
      <c r="F61">
        <v>4.8263542082380848</v>
      </c>
      <c r="G61" s="7">
        <f t="shared" si="0"/>
        <v>57.534587978231905</v>
      </c>
      <c r="H61" s="7">
        <f t="shared" si="1"/>
        <v>2.4894218267435755</v>
      </c>
      <c r="I61">
        <v>6.386E-2</v>
      </c>
      <c r="J61">
        <v>3.9690000000000003E-3</v>
      </c>
      <c r="K61" s="3">
        <v>0.4733</v>
      </c>
      <c r="L61" s="3">
        <v>4.0461999999999998E-3</v>
      </c>
      <c r="M61" s="3">
        <v>9.7435700000000002E-4</v>
      </c>
      <c r="N61" s="1">
        <v>56.3</v>
      </c>
      <c r="O61" s="1">
        <v>4.8</v>
      </c>
      <c r="P61">
        <v>8.1013033175355454E-3</v>
      </c>
      <c r="Q61">
        <v>14.119627216906149</v>
      </c>
      <c r="S61" t="s">
        <v>210</v>
      </c>
    </row>
    <row r="62" spans="1:19">
      <c r="A62" s="5" t="s">
        <v>533</v>
      </c>
      <c r="B62" t="s">
        <v>147</v>
      </c>
      <c r="C62">
        <v>0.1085</v>
      </c>
      <c r="D62">
        <v>6.9540000000000001E-3</v>
      </c>
      <c r="E62">
        <v>67.249495628782782</v>
      </c>
      <c r="F62">
        <v>5.1330314417396403</v>
      </c>
      <c r="G62" s="7">
        <f t="shared" si="0"/>
        <v>95.152460746007534</v>
      </c>
      <c r="H62" s="7">
        <f t="shared" si="1"/>
        <v>7.2628139170624442</v>
      </c>
      <c r="I62">
        <v>5.2900000000000003E-2</v>
      </c>
      <c r="J62">
        <v>2.6029999999999998E-3</v>
      </c>
      <c r="K62" s="3">
        <v>0.76759999999999995</v>
      </c>
      <c r="L62" s="3">
        <v>3.9482900000000002E-4</v>
      </c>
      <c r="M62" s="3">
        <v>3.9483699999999999E-4</v>
      </c>
      <c r="N62" s="1">
        <v>95</v>
      </c>
      <c r="O62" s="1">
        <v>14</v>
      </c>
      <c r="P62">
        <v>0.15570672713529857</v>
      </c>
      <c r="Q62">
        <v>15.170263802487787</v>
      </c>
      <c r="S62" t="s">
        <v>276</v>
      </c>
    </row>
    <row r="63" spans="1:19">
      <c r="A63" s="5"/>
      <c r="G63" s="7" t="e">
        <f t="shared" si="0"/>
        <v>#DIV/0!</v>
      </c>
      <c r="H63" s="7" t="e">
        <f t="shared" si="1"/>
        <v>#DIV/0!</v>
      </c>
      <c r="K63" s="3"/>
      <c r="L63" s="3"/>
      <c r="M63" s="3"/>
    </row>
    <row r="64" spans="1:19">
      <c r="A64" t="s">
        <v>366</v>
      </c>
      <c r="B64" t="s">
        <v>563</v>
      </c>
      <c r="C64">
        <v>0.12920000000000001</v>
      </c>
      <c r="D64">
        <v>7.1370000000000001E-3</v>
      </c>
      <c r="E64">
        <v>67.114093959731548</v>
      </c>
      <c r="F64">
        <v>3.2340885545696141</v>
      </c>
      <c r="G64" s="7">
        <f t="shared" si="0"/>
        <v>95.343016745433331</v>
      </c>
      <c r="H64" s="7">
        <f t="shared" si="1"/>
        <v>4.5943816122967203</v>
      </c>
      <c r="I64">
        <v>6.2899999999999998E-2</v>
      </c>
      <c r="J64">
        <v>3.3769999999999998E-3</v>
      </c>
      <c r="K64" s="3">
        <v>0.46789999999999998</v>
      </c>
      <c r="L64" s="3">
        <v>1.7306999999999999E-3</v>
      </c>
      <c r="M64" s="3">
        <v>6.1151599999999999E-4</v>
      </c>
      <c r="N64" s="1">
        <v>93.5</v>
      </c>
      <c r="O64" s="1">
        <v>8.9</v>
      </c>
      <c r="P64">
        <v>0.70833333333333337</v>
      </c>
      <c r="Q64">
        <v>15.865099897141787</v>
      </c>
      <c r="S64" t="s">
        <v>211</v>
      </c>
    </row>
    <row r="65" spans="1:19">
      <c r="G65" s="7" t="e">
        <f t="shared" si="0"/>
        <v>#DIV/0!</v>
      </c>
      <c r="H65" s="7" t="e">
        <f t="shared" si="1"/>
        <v>#DIV/0!</v>
      </c>
      <c r="K65" s="3"/>
      <c r="L65" s="3"/>
      <c r="M65" s="3"/>
    </row>
    <row r="66" spans="1:19">
      <c r="A66" t="s">
        <v>367</v>
      </c>
      <c r="B66" t="s">
        <v>563</v>
      </c>
      <c r="C66">
        <v>0.1547</v>
      </c>
      <c r="D66">
        <v>1.342E-2</v>
      </c>
      <c r="E66">
        <v>89.445438282647586</v>
      </c>
      <c r="F66">
        <v>5.4899337879743086</v>
      </c>
      <c r="G66" s="7">
        <f t="shared" si="0"/>
        <v>71.671011982894441</v>
      </c>
      <c r="H66" s="7">
        <f t="shared" si="1"/>
        <v>4.3989846531898174</v>
      </c>
      <c r="I66">
        <v>0.1004</v>
      </c>
      <c r="J66">
        <v>6.1630000000000001E-3</v>
      </c>
      <c r="K66" s="3">
        <v>0.70630000000000004</v>
      </c>
      <c r="L66" s="3">
        <v>6.2059999999999997E-3</v>
      </c>
      <c r="M66" s="3">
        <v>1.5223599999999999E-3</v>
      </c>
      <c r="N66" s="1">
        <v>66.8</v>
      </c>
      <c r="O66" s="1">
        <v>8.1999999999999993</v>
      </c>
      <c r="P66">
        <v>0.29640600315955773</v>
      </c>
      <c r="Q66">
        <v>13.066109777763925</v>
      </c>
      <c r="S66" t="s">
        <v>212</v>
      </c>
    </row>
    <row r="67" spans="1:19">
      <c r="A67" s="5" t="s">
        <v>532</v>
      </c>
      <c r="B67" t="s">
        <v>147</v>
      </c>
      <c r="C67">
        <v>1.7489999999999999E-2</v>
      </c>
      <c r="D67">
        <v>2.2260000000000001E-3</v>
      </c>
      <c r="E67">
        <v>1972.3865877712033</v>
      </c>
      <c r="F67">
        <v>103.48221545308483</v>
      </c>
      <c r="G67" s="7">
        <f t="shared" si="0"/>
        <v>3.267503748105105</v>
      </c>
      <c r="H67" s="7">
        <f t="shared" si="1"/>
        <v>0.17143116311557358</v>
      </c>
      <c r="I67">
        <v>0.25019999999999998</v>
      </c>
      <c r="J67">
        <v>3.7949999999999998E-2</v>
      </c>
      <c r="K67" s="3">
        <v>-0.30409999999999998</v>
      </c>
      <c r="L67" s="3">
        <v>4.7578500000000003E-2</v>
      </c>
      <c r="M67" s="3">
        <v>2.7561800000000001E-2</v>
      </c>
      <c r="N67" s="1">
        <v>2.42</v>
      </c>
      <c r="O67" s="1">
        <v>0.42</v>
      </c>
      <c r="P67">
        <v>3.3947467876039299E-2</v>
      </c>
      <c r="Q67">
        <v>5.4147299822703534</v>
      </c>
      <c r="S67" t="s">
        <v>275</v>
      </c>
    </row>
    <row r="68" spans="1:19">
      <c r="A68" s="5"/>
      <c r="G68" s="7" t="e">
        <f t="shared" si="0"/>
        <v>#DIV/0!</v>
      </c>
      <c r="H68" s="7" t="e">
        <f t="shared" si="1"/>
        <v>#DIV/0!</v>
      </c>
      <c r="K68" s="3"/>
      <c r="L68" s="3"/>
      <c r="M68" s="3"/>
    </row>
    <row r="69" spans="1:19">
      <c r="A69" t="s">
        <v>368</v>
      </c>
      <c r="B69" t="s">
        <v>563</v>
      </c>
      <c r="C69">
        <v>0.1166</v>
      </c>
      <c r="D69">
        <v>6.9160000000000003E-3</v>
      </c>
      <c r="E69">
        <v>57.937427578215527</v>
      </c>
      <c r="F69">
        <v>2.6994947426651752</v>
      </c>
      <c r="G69" s="7">
        <f t="shared" si="0"/>
        <v>110.31579872045069</v>
      </c>
      <c r="H69" s="7">
        <f t="shared" si="1"/>
        <v>5.1399748163955064</v>
      </c>
      <c r="I69">
        <v>4.8980000000000003E-2</v>
      </c>
      <c r="J69">
        <v>1.2949999999999999E-3</v>
      </c>
      <c r="K69" s="3">
        <v>0.90290000000000004</v>
      </c>
      <c r="L69" s="3">
        <v>4.0146000000000002E-4</v>
      </c>
      <c r="M69" s="3">
        <v>9.11563E-5</v>
      </c>
      <c r="N69" s="1">
        <v>110</v>
      </c>
      <c r="O69" s="1">
        <v>10</v>
      </c>
      <c r="P69">
        <v>0.3742101105845182</v>
      </c>
      <c r="Q69">
        <v>123.6792070566967</v>
      </c>
      <c r="S69" t="s">
        <v>321</v>
      </c>
    </row>
    <row r="70" spans="1:19">
      <c r="A70" t="s">
        <v>369</v>
      </c>
      <c r="B70" t="s">
        <v>563</v>
      </c>
      <c r="C70">
        <v>0.1032</v>
      </c>
      <c r="D70">
        <v>5.3639999999999998E-3</v>
      </c>
      <c r="E70">
        <v>65.487884741322858</v>
      </c>
      <c r="F70">
        <v>3.1603157999921945</v>
      </c>
      <c r="G70" s="7">
        <f t="shared" si="0"/>
        <v>97.69274437788691</v>
      </c>
      <c r="H70" s="7">
        <f t="shared" si="1"/>
        <v>4.7144586334030683</v>
      </c>
      <c r="I70">
        <v>4.9020000000000001E-2</v>
      </c>
      <c r="J70">
        <v>1.3489999999999999E-3</v>
      </c>
      <c r="K70" s="3">
        <v>0.8518</v>
      </c>
      <c r="L70" s="3">
        <v>7.2009000000000005E-4</v>
      </c>
      <c r="M70" s="3">
        <v>1.61065E-4</v>
      </c>
      <c r="N70" s="1">
        <v>97.6</v>
      </c>
      <c r="O70" s="1">
        <v>6.3</v>
      </c>
      <c r="P70">
        <v>0.1130529225908373</v>
      </c>
      <c r="Q70">
        <v>82.909952311192853</v>
      </c>
      <c r="S70" t="s">
        <v>322</v>
      </c>
    </row>
    <row r="71" spans="1:19">
      <c r="A71" t="s">
        <v>370</v>
      </c>
      <c r="B71" t="s">
        <v>563</v>
      </c>
      <c r="C71">
        <v>0.35560000000000003</v>
      </c>
      <c r="D71">
        <v>3.3110000000000001E-2</v>
      </c>
      <c r="E71">
        <v>215.23891519586741</v>
      </c>
      <c r="F71">
        <v>22.297565622852126</v>
      </c>
      <c r="G71" s="7">
        <f t="shared" ref="G71:G134" si="2">(LN((1/E71)+1))/0.000155125</f>
        <v>29.880681092081286</v>
      </c>
      <c r="H71" s="7">
        <f t="shared" ref="H71:H134" si="3">(F71/E71)*G71</f>
        <v>3.0954739151138018</v>
      </c>
      <c r="I71">
        <v>0.55520000000000003</v>
      </c>
      <c r="J71">
        <v>3.678E-2</v>
      </c>
      <c r="K71" s="3">
        <v>0.77829999999999999</v>
      </c>
      <c r="L71" s="3">
        <v>4.6608999999999998</v>
      </c>
      <c r="M71" s="3">
        <v>0.198515</v>
      </c>
      <c r="N71" s="1">
        <v>10.5</v>
      </c>
      <c r="O71" s="1">
        <v>4.3</v>
      </c>
      <c r="P71">
        <v>0.1389218009478673</v>
      </c>
      <c r="Q71">
        <v>7.5491693420191384</v>
      </c>
      <c r="S71" t="s">
        <v>323</v>
      </c>
    </row>
    <row r="72" spans="1:19">
      <c r="G72" s="7" t="e">
        <f t="shared" si="2"/>
        <v>#DIV/0!</v>
      </c>
      <c r="H72" s="7" t="e">
        <f t="shared" si="3"/>
        <v>#DIV/0!</v>
      </c>
      <c r="K72" s="3"/>
      <c r="L72" s="3"/>
      <c r="M72" s="3"/>
    </row>
    <row r="73" spans="1:19">
      <c r="A73" t="s">
        <v>371</v>
      </c>
      <c r="B73" t="s">
        <v>563</v>
      </c>
      <c r="C73">
        <v>7.9479999999999995E-2</v>
      </c>
      <c r="D73">
        <v>4.287E-3</v>
      </c>
      <c r="E73">
        <v>92.678405931417984</v>
      </c>
      <c r="F73">
        <v>3.8402701846095444</v>
      </c>
      <c r="G73" s="7">
        <f t="shared" si="2"/>
        <v>69.184227745541591</v>
      </c>
      <c r="H73" s="7">
        <f t="shared" si="3"/>
        <v>2.8667533109389849</v>
      </c>
      <c r="I73">
        <v>5.3440000000000001E-2</v>
      </c>
      <c r="J73">
        <v>1.495E-3</v>
      </c>
      <c r="K73" s="3">
        <v>0.8599</v>
      </c>
      <c r="L73" s="3">
        <v>7.6199999999999998E-4</v>
      </c>
      <c r="M73" s="3">
        <v>2.1496199999999999E-4</v>
      </c>
      <c r="N73" s="1">
        <v>68.7</v>
      </c>
      <c r="O73" s="1">
        <v>5.6</v>
      </c>
      <c r="P73">
        <v>0.2352883096366509</v>
      </c>
      <c r="Q73">
        <v>130.10005298756352</v>
      </c>
      <c r="S73" t="s">
        <v>324</v>
      </c>
    </row>
    <row r="74" spans="1:19">
      <c r="A74" s="5" t="s">
        <v>534</v>
      </c>
      <c r="B74" t="s">
        <v>147</v>
      </c>
      <c r="C74">
        <v>8.251E-2</v>
      </c>
      <c r="D74">
        <v>1.0279999999999999E-2</v>
      </c>
      <c r="E74">
        <v>952.38095238095241</v>
      </c>
      <c r="F74">
        <v>71.882086167800466</v>
      </c>
      <c r="G74" s="7">
        <f t="shared" si="2"/>
        <v>6.765183790951645</v>
      </c>
      <c r="H74" s="7">
        <f t="shared" si="3"/>
        <v>0.51061030041230282</v>
      </c>
      <c r="I74">
        <v>0.57010000000000005</v>
      </c>
      <c r="J74">
        <v>6.7830000000000001E-2</v>
      </c>
      <c r="K74" s="3">
        <v>0.375</v>
      </c>
      <c r="L74" s="3">
        <v>5.1416200000000002E-2</v>
      </c>
      <c r="M74" s="3">
        <v>2.5852300000000002E-2</v>
      </c>
      <c r="N74" s="1">
        <v>2.2000000000000002</v>
      </c>
      <c r="O74" s="1">
        <v>1.3</v>
      </c>
      <c r="P74">
        <v>5.7927059712774003E-2</v>
      </c>
      <c r="Q74">
        <v>3.4529121438215422</v>
      </c>
      <c r="S74" t="s">
        <v>277</v>
      </c>
    </row>
    <row r="75" spans="1:19">
      <c r="A75" s="5"/>
      <c r="G75" s="7" t="e">
        <f t="shared" si="2"/>
        <v>#DIV/0!</v>
      </c>
      <c r="H75" s="7" t="e">
        <f t="shared" si="3"/>
        <v>#DIV/0!</v>
      </c>
      <c r="K75" s="3"/>
      <c r="L75" s="3"/>
      <c r="M75" s="3"/>
    </row>
    <row r="76" spans="1:19">
      <c r="A76" t="s">
        <v>418</v>
      </c>
      <c r="B76" t="s">
        <v>563</v>
      </c>
      <c r="C76">
        <v>0.1021</v>
      </c>
      <c r="D76">
        <v>9.2709999999999997E-3</v>
      </c>
      <c r="E76">
        <v>83.61204013377926</v>
      </c>
      <c r="F76">
        <v>3.5444234404536861</v>
      </c>
      <c r="G76" s="7">
        <f t="shared" si="2"/>
        <v>76.641704383003585</v>
      </c>
      <c r="H76" s="7">
        <f t="shared" si="3"/>
        <v>3.2489418162360213</v>
      </c>
      <c r="I76">
        <v>6.191E-2</v>
      </c>
      <c r="J76">
        <v>4.4130000000000003E-3</v>
      </c>
      <c r="K76" s="3">
        <v>0.64410000000000001</v>
      </c>
      <c r="L76" s="3">
        <v>3.6960000000000001E-3</v>
      </c>
      <c r="M76" s="3">
        <v>8.2649600000000002E-4</v>
      </c>
      <c r="N76" s="1">
        <v>75.3</v>
      </c>
      <c r="O76" s="1">
        <v>6.2</v>
      </c>
      <c r="P76">
        <v>0.75029620853080581</v>
      </c>
      <c r="Q76">
        <v>22.148801545990086</v>
      </c>
      <c r="S76" t="s">
        <v>325</v>
      </c>
    </row>
    <row r="77" spans="1:19">
      <c r="A77" t="s">
        <v>419</v>
      </c>
      <c r="B77" t="s">
        <v>563</v>
      </c>
      <c r="C77">
        <v>9.8979999999999999E-2</v>
      </c>
      <c r="D77">
        <v>5.9280000000000001E-3</v>
      </c>
      <c r="E77">
        <v>71.736011477761835</v>
      </c>
      <c r="F77">
        <v>2.9440582615801683</v>
      </c>
      <c r="G77" s="7">
        <f t="shared" si="2"/>
        <v>89.242429141984232</v>
      </c>
      <c r="H77" s="7">
        <f t="shared" si="3"/>
        <v>3.6625246565372436</v>
      </c>
      <c r="I77">
        <v>5.1499999999999997E-2</v>
      </c>
      <c r="J77">
        <v>1.5900000000000001E-3</v>
      </c>
      <c r="K77" s="3">
        <v>0.87839999999999996</v>
      </c>
      <c r="L77" s="3">
        <v>3.0893000000000001E-4</v>
      </c>
      <c r="M77" s="3">
        <v>1.05373E-4</v>
      </c>
      <c r="N77" s="1">
        <v>88.8</v>
      </c>
      <c r="O77" s="1">
        <v>7.2</v>
      </c>
      <c r="P77">
        <v>0.31161137440758296</v>
      </c>
      <c r="Q77">
        <v>106.16214194433189</v>
      </c>
      <c r="S77" t="s">
        <v>326</v>
      </c>
    </row>
    <row r="78" spans="1:19">
      <c r="A78" t="s">
        <v>443</v>
      </c>
      <c r="B78" t="s">
        <v>147</v>
      </c>
      <c r="C78">
        <v>8.6599999999999996E-2</v>
      </c>
      <c r="D78">
        <v>7.9080000000000001E-3</v>
      </c>
      <c r="E78">
        <v>945.17958412098301</v>
      </c>
      <c r="F78">
        <v>61.802952390821929</v>
      </c>
      <c r="G78" s="7">
        <f t="shared" si="2"/>
        <v>6.8167008054755529</v>
      </c>
      <c r="H78" s="7">
        <f t="shared" si="3"/>
        <v>0.44572718499319353</v>
      </c>
      <c r="I78">
        <v>0.59350000000000003</v>
      </c>
      <c r="J78">
        <v>6.2850000000000003E-2</v>
      </c>
      <c r="K78" s="3">
        <v>0.1173</v>
      </c>
      <c r="L78" s="3">
        <v>3.7611100000000001E-2</v>
      </c>
      <c r="M78" s="3">
        <v>1.9610099999999998E-2</v>
      </c>
      <c r="N78" s="1">
        <v>2</v>
      </c>
      <c r="O78" s="1">
        <v>1.3</v>
      </c>
      <c r="P78">
        <v>6.5665154950869248E-2</v>
      </c>
      <c r="Q78">
        <v>6.1785987095974049</v>
      </c>
      <c r="S78" t="s">
        <v>208</v>
      </c>
    </row>
    <row r="79" spans="1:19">
      <c r="A79" t="s">
        <v>444</v>
      </c>
      <c r="B79" t="s">
        <v>147</v>
      </c>
      <c r="C79">
        <v>5.527E-2</v>
      </c>
      <c r="D79">
        <v>6.339E-3</v>
      </c>
      <c r="E79">
        <v>1222.1950623319481</v>
      </c>
      <c r="F79">
        <v>123.74314221899117</v>
      </c>
      <c r="G79" s="7">
        <f t="shared" si="2"/>
        <v>5.2722994800954224</v>
      </c>
      <c r="H79" s="7">
        <f t="shared" si="3"/>
        <v>0.53380260196908424</v>
      </c>
      <c r="I79">
        <v>0.4899</v>
      </c>
      <c r="J79">
        <v>7.6679999999999998E-2</v>
      </c>
      <c r="K79" s="3">
        <v>-4.7169999999999997E-2</v>
      </c>
      <c r="L79" s="3">
        <v>0</v>
      </c>
      <c r="M79" s="3">
        <v>0</v>
      </c>
      <c r="N79" s="1">
        <v>2.2999999999999998</v>
      </c>
      <c r="O79" s="1">
        <v>1.3</v>
      </c>
      <c r="P79">
        <v>0.21655328798185941</v>
      </c>
      <c r="Q79">
        <v>4.3520786531105804</v>
      </c>
      <c r="S79" t="s">
        <v>209</v>
      </c>
    </row>
    <row r="80" spans="1:19">
      <c r="A80" t="s">
        <v>445</v>
      </c>
      <c r="B80" t="s">
        <v>147</v>
      </c>
      <c r="C80">
        <v>1.0959999999999999E-2</v>
      </c>
      <c r="D80">
        <v>2.0010000000000002E-3</v>
      </c>
      <c r="E80">
        <v>3145.6432840515886</v>
      </c>
      <c r="F80">
        <v>175.83542358476481</v>
      </c>
      <c r="G80" s="7">
        <f t="shared" si="2"/>
        <v>2.0489893988813166</v>
      </c>
      <c r="H80" s="7">
        <f t="shared" si="3"/>
        <v>0.11453457570972317</v>
      </c>
      <c r="I80">
        <v>0.25009999999999999</v>
      </c>
      <c r="J80">
        <v>4.8890000000000003E-2</v>
      </c>
      <c r="K80" s="3">
        <v>-8.7440000000000004E-2</v>
      </c>
      <c r="L80" s="3">
        <v>5.4758599999999998E-2</v>
      </c>
      <c r="M80" s="3">
        <v>2.8593E-2</v>
      </c>
      <c r="N80" s="1">
        <v>1.51</v>
      </c>
      <c r="O80" s="1">
        <v>0.31</v>
      </c>
      <c r="P80">
        <v>2.5075585789871506E-2</v>
      </c>
      <c r="Q80">
        <v>8.8732795336736459</v>
      </c>
      <c r="S80" t="s">
        <v>214</v>
      </c>
    </row>
    <row r="81" spans="1:19">
      <c r="A81" t="s">
        <v>446</v>
      </c>
      <c r="B81" t="s">
        <v>147</v>
      </c>
      <c r="C81">
        <v>0.4078</v>
      </c>
      <c r="D81">
        <v>4.147E-2</v>
      </c>
      <c r="E81">
        <v>266.88017080330934</v>
      </c>
      <c r="F81">
        <v>23.589728468122779</v>
      </c>
      <c r="G81" s="7">
        <f t="shared" si="2"/>
        <v>24.10957281120378</v>
      </c>
      <c r="H81" s="7">
        <f t="shared" si="3"/>
        <v>2.1310623205419512</v>
      </c>
      <c r="I81">
        <v>0.7893</v>
      </c>
      <c r="J81">
        <v>2.7369999999999998E-2</v>
      </c>
      <c r="K81" s="3">
        <v>0.94289999999999996</v>
      </c>
      <c r="L81" s="3">
        <v>4.4799499999999999E-2</v>
      </c>
      <c r="M81" s="3">
        <v>8.8248700000000003E-3</v>
      </c>
      <c r="N81" s="1">
        <v>1.2</v>
      </c>
      <c r="O81" s="1">
        <v>3.4</v>
      </c>
      <c r="P81">
        <v>2.7267573696145124E-2</v>
      </c>
      <c r="Q81">
        <v>9.476482144920837</v>
      </c>
      <c r="S81" t="s">
        <v>215</v>
      </c>
    </row>
    <row r="82" spans="1:19">
      <c r="A82" t="s">
        <v>447</v>
      </c>
      <c r="B82" t="s">
        <v>147</v>
      </c>
      <c r="C82">
        <v>8.1540000000000001E-2</v>
      </c>
      <c r="D82">
        <v>9.8460000000000006E-3</v>
      </c>
      <c r="E82">
        <v>783.69905956112848</v>
      </c>
      <c r="F82">
        <v>63.75232161633631</v>
      </c>
      <c r="G82" s="7">
        <f t="shared" si="2"/>
        <v>8.2203810079324207</v>
      </c>
      <c r="H82" s="7">
        <f t="shared" si="3"/>
        <v>0.668711245002653</v>
      </c>
      <c r="I82">
        <v>0.46339999999999998</v>
      </c>
      <c r="J82">
        <v>3.6979999999999999E-2</v>
      </c>
      <c r="K82" s="3">
        <v>0.75490000000000002</v>
      </c>
      <c r="L82" s="3">
        <v>5.5929899999999998E-2</v>
      </c>
      <c r="M82" s="3">
        <v>2.5149000000000001E-2</v>
      </c>
      <c r="N82" s="1">
        <v>3.8</v>
      </c>
      <c r="O82" s="1">
        <v>1.1000000000000001</v>
      </c>
      <c r="P82">
        <v>9.1061980347694624E-2</v>
      </c>
      <c r="Q82">
        <v>5.0933977501106336</v>
      </c>
      <c r="S82" t="s">
        <v>216</v>
      </c>
    </row>
    <row r="83" spans="1:19">
      <c r="A83" t="s">
        <v>448</v>
      </c>
      <c r="B83" t="s">
        <v>147</v>
      </c>
      <c r="C83">
        <v>1.7389999999999999E-2</v>
      </c>
      <c r="D83">
        <v>3.2060000000000001E-3</v>
      </c>
      <c r="E83">
        <v>2092.050209205021</v>
      </c>
      <c r="F83">
        <v>122.94077484637874</v>
      </c>
      <c r="G83" s="7">
        <f t="shared" si="2"/>
        <v>3.0806497623983855</v>
      </c>
      <c r="H83" s="7">
        <f t="shared" si="3"/>
        <v>0.1810365100957545</v>
      </c>
      <c r="I83">
        <v>0.26390000000000002</v>
      </c>
      <c r="J83">
        <v>4.8239999999999998E-2</v>
      </c>
      <c r="K83" s="3">
        <v>0.18559999999999999</v>
      </c>
      <c r="L83" s="3">
        <v>1.5043300000000001E-2</v>
      </c>
      <c r="M83" s="3">
        <v>1.5059599999999999E-2</v>
      </c>
      <c r="N83" s="1">
        <v>2.2200000000000002</v>
      </c>
      <c r="O83" s="1">
        <v>0.47</v>
      </c>
      <c r="P83">
        <v>1.3907785336356766E-2</v>
      </c>
      <c r="Q83">
        <v>14.144255622609386</v>
      </c>
      <c r="S83" t="s">
        <v>217</v>
      </c>
    </row>
    <row r="84" spans="1:19">
      <c r="A84" t="s">
        <v>541</v>
      </c>
      <c r="B84" t="s">
        <v>147</v>
      </c>
      <c r="C84">
        <v>0.1545</v>
      </c>
      <c r="D84">
        <v>1.7399999999999999E-2</v>
      </c>
      <c r="E84">
        <v>83.822296730930432</v>
      </c>
      <c r="F84">
        <v>3.6304258776925198</v>
      </c>
      <c r="G84" s="7">
        <f t="shared" si="2"/>
        <v>76.450594761949745</v>
      </c>
      <c r="H84" s="7">
        <f t="shared" si="3"/>
        <v>3.3111502358339848</v>
      </c>
      <c r="I84">
        <v>9.393E-2</v>
      </c>
      <c r="J84">
        <v>1.159E-2</v>
      </c>
      <c r="K84" s="3">
        <v>-6.6970000000000002E-2</v>
      </c>
      <c r="L84" s="3">
        <v>6.5582399999999999E-3</v>
      </c>
      <c r="M84" s="3">
        <v>2.5665900000000001E-3</v>
      </c>
      <c r="N84" s="1">
        <v>71.900000000000006</v>
      </c>
      <c r="O84" s="1">
        <v>6.6</v>
      </c>
      <c r="P84">
        <v>5.3609221466364321E-2</v>
      </c>
      <c r="Q84">
        <v>27.172304544032382</v>
      </c>
      <c r="S84" t="s">
        <v>218</v>
      </c>
    </row>
    <row r="85" spans="1:19">
      <c r="A85" t="s">
        <v>542</v>
      </c>
      <c r="B85" t="s">
        <v>147</v>
      </c>
      <c r="C85">
        <v>0.15890000000000001</v>
      </c>
      <c r="D85">
        <v>2.5420000000000002E-2</v>
      </c>
      <c r="E85">
        <v>535.04547886570356</v>
      </c>
      <c r="F85">
        <v>56.567676096234905</v>
      </c>
      <c r="G85" s="7">
        <f t="shared" si="2"/>
        <v>12.037102934363981</v>
      </c>
      <c r="H85" s="7">
        <f t="shared" si="3"/>
        <v>1.2726225467256944</v>
      </c>
      <c r="I85">
        <v>0.61650000000000005</v>
      </c>
      <c r="J85">
        <v>5.2569999999999999E-2</v>
      </c>
      <c r="K85" s="3">
        <v>0.87209999999999999</v>
      </c>
      <c r="L85" s="3">
        <v>6.5647700000000003E-2</v>
      </c>
      <c r="M85" s="3">
        <v>1.80622E-2</v>
      </c>
      <c r="N85" s="1">
        <v>3.3</v>
      </c>
      <c r="O85" s="1">
        <v>2.1</v>
      </c>
      <c r="P85">
        <v>0.11715797430083144</v>
      </c>
      <c r="Q85">
        <v>7.2187004084301787</v>
      </c>
      <c r="S85" t="s">
        <v>219</v>
      </c>
    </row>
    <row r="86" spans="1:19">
      <c r="A86" t="s">
        <v>543</v>
      </c>
      <c r="B86" t="s">
        <v>147</v>
      </c>
      <c r="C86">
        <v>0.21440000000000001</v>
      </c>
      <c r="D86">
        <v>2.7320000000000001E-2</v>
      </c>
      <c r="E86">
        <v>447.0272686633885</v>
      </c>
      <c r="F86">
        <v>42.604476387588036</v>
      </c>
      <c r="G86" s="7">
        <f t="shared" si="2"/>
        <v>14.40452306651293</v>
      </c>
      <c r="H86" s="7">
        <f t="shared" si="3"/>
        <v>1.3728405533216614</v>
      </c>
      <c r="I86">
        <v>0.69489999999999996</v>
      </c>
      <c r="J86">
        <v>8.992E-2</v>
      </c>
      <c r="K86" s="3">
        <v>0.35320000000000001</v>
      </c>
      <c r="L86" s="3">
        <v>8.9783199999999994E-2</v>
      </c>
      <c r="M86" s="3">
        <v>3.3248800000000002E-2</v>
      </c>
      <c r="N86" s="1">
        <v>2.5</v>
      </c>
      <c r="O86" s="1">
        <v>3.6</v>
      </c>
      <c r="P86">
        <v>8.6649659863945572E-2</v>
      </c>
      <c r="Q86">
        <v>3.5882099257835289</v>
      </c>
      <c r="S86" t="s">
        <v>220</v>
      </c>
    </row>
    <row r="87" spans="1:19">
      <c r="A87" t="s">
        <v>544</v>
      </c>
      <c r="B87" t="s">
        <v>147</v>
      </c>
      <c r="C87">
        <v>5.1279999999999999E-2</v>
      </c>
      <c r="D87">
        <v>8.4080000000000005E-3</v>
      </c>
      <c r="E87">
        <v>1684.3523665150751</v>
      </c>
      <c r="F87">
        <v>155.04439418906662</v>
      </c>
      <c r="G87" s="7">
        <f t="shared" si="2"/>
        <v>3.8261004343575515</v>
      </c>
      <c r="H87" s="7">
        <f t="shared" si="3"/>
        <v>0.35219199720000033</v>
      </c>
      <c r="I87">
        <v>0.62649999999999995</v>
      </c>
      <c r="J87">
        <v>0.1072</v>
      </c>
      <c r="K87" s="3">
        <v>0.2006</v>
      </c>
      <c r="L87" s="3">
        <v>5.0777099999999999E-2</v>
      </c>
      <c r="M87" s="3">
        <v>5.0923200000000002E-2</v>
      </c>
      <c r="N87" s="1">
        <v>1</v>
      </c>
      <c r="O87" s="1">
        <v>1.1000000000000001</v>
      </c>
      <c r="P87">
        <v>0.32350718065003775</v>
      </c>
      <c r="Q87">
        <v>2.2935792746347663</v>
      </c>
      <c r="S87" t="s">
        <v>221</v>
      </c>
    </row>
    <row r="88" spans="1:19">
      <c r="A88" t="s">
        <v>545</v>
      </c>
      <c r="B88" t="s">
        <v>147</v>
      </c>
      <c r="C88">
        <v>0.1273</v>
      </c>
      <c r="D88">
        <v>1.636E-2</v>
      </c>
      <c r="E88">
        <v>666.22251832111931</v>
      </c>
      <c r="F88">
        <v>45.539260746000565</v>
      </c>
      <c r="G88" s="7">
        <f t="shared" si="2"/>
        <v>9.6688130571087427</v>
      </c>
      <c r="H88" s="7">
        <f t="shared" si="3"/>
        <v>0.66090620896692676</v>
      </c>
      <c r="I88">
        <v>0.61519999999999997</v>
      </c>
      <c r="J88">
        <v>8.7989999999999999E-2</v>
      </c>
      <c r="K88" s="3">
        <v>4.0939999999999997E-2</v>
      </c>
      <c r="L88" s="3">
        <v>4.9540300000000002E-2</v>
      </c>
      <c r="M88" s="3">
        <v>2.9309700000000001E-2</v>
      </c>
      <c r="N88" s="1">
        <v>2.6</v>
      </c>
      <c r="O88" s="1">
        <v>2.4</v>
      </c>
      <c r="P88">
        <v>7.5661375661375666E-2</v>
      </c>
      <c r="Q88">
        <v>3.7855191911447599</v>
      </c>
      <c r="S88" t="s">
        <v>222</v>
      </c>
    </row>
    <row r="89" spans="1:19">
      <c r="A89" t="s">
        <v>546</v>
      </c>
      <c r="B89" t="s">
        <v>147</v>
      </c>
      <c r="C89">
        <v>9.7600000000000006E-2</v>
      </c>
      <c r="D89">
        <v>1.295E-2</v>
      </c>
      <c r="E89">
        <v>834.02835696413683</v>
      </c>
      <c r="F89">
        <v>72.273182892888926</v>
      </c>
      <c r="G89" s="7">
        <f t="shared" si="2"/>
        <v>7.7246206191456617</v>
      </c>
      <c r="H89" s="7">
        <f t="shared" si="3"/>
        <v>0.66938121962404862</v>
      </c>
      <c r="I89">
        <v>0.59030000000000005</v>
      </c>
      <c r="J89">
        <v>7.5359999999999996E-2</v>
      </c>
      <c r="K89" s="3">
        <v>0.3836</v>
      </c>
      <c r="L89" s="3">
        <v>8.1560199999999999E-2</v>
      </c>
      <c r="M89" s="3">
        <v>3.5220899999999999E-2</v>
      </c>
      <c r="N89" s="1">
        <v>2.4</v>
      </c>
      <c r="O89" s="1">
        <v>1.7</v>
      </c>
      <c r="P89">
        <v>4.9225245653817085E-2</v>
      </c>
      <c r="Q89">
        <v>5.9474649987456765</v>
      </c>
      <c r="S89" t="s">
        <v>223</v>
      </c>
    </row>
    <row r="90" spans="1:19">
      <c r="A90" t="s">
        <v>547</v>
      </c>
      <c r="B90" t="s">
        <v>147</v>
      </c>
      <c r="C90">
        <v>0.1457</v>
      </c>
      <c r="D90">
        <v>9.1090000000000008E-3</v>
      </c>
      <c r="E90">
        <v>80.064051240992796</v>
      </c>
      <c r="F90">
        <v>5.1480736230297293</v>
      </c>
      <c r="G90" s="7">
        <f t="shared" si="2"/>
        <v>80.017040493626396</v>
      </c>
      <c r="H90" s="7">
        <f t="shared" si="3"/>
        <v>5.1450508583211656</v>
      </c>
      <c r="I90">
        <v>8.4650000000000003E-2</v>
      </c>
      <c r="J90">
        <v>7.5129999999999997E-3</v>
      </c>
      <c r="K90" s="3">
        <v>2.0799999999999999E-2</v>
      </c>
      <c r="L90" s="3">
        <v>2.0725700000000001E-3</v>
      </c>
      <c r="M90" s="3">
        <v>9.9286899999999996E-4</v>
      </c>
      <c r="N90" s="1">
        <v>76.2</v>
      </c>
      <c r="O90" s="1">
        <v>9.8000000000000007</v>
      </c>
      <c r="P90">
        <v>9.6938775510204078E-2</v>
      </c>
      <c r="Q90">
        <v>21.027530279925472</v>
      </c>
      <c r="S90" t="s">
        <v>224</v>
      </c>
    </row>
    <row r="91" spans="1:19">
      <c r="A91" t="s">
        <v>548</v>
      </c>
      <c r="B91" t="s">
        <v>147</v>
      </c>
      <c r="C91">
        <v>3.0419999999999999E-2</v>
      </c>
      <c r="D91">
        <v>4.2500000000000003E-3</v>
      </c>
      <c r="E91">
        <v>1656.7263088137838</v>
      </c>
      <c r="F91">
        <v>115.11448209352234</v>
      </c>
      <c r="G91" s="7">
        <f t="shared" si="2"/>
        <v>3.8898817520751674</v>
      </c>
      <c r="H91" s="7">
        <f t="shared" si="3"/>
        <v>0.27028104818096838</v>
      </c>
      <c r="I91">
        <v>0.36549999999999999</v>
      </c>
      <c r="J91">
        <v>5.5750000000000001E-2</v>
      </c>
      <c r="K91" s="3">
        <v>5.5489999999999998E-2</v>
      </c>
      <c r="L91" s="3">
        <v>1.40549E-2</v>
      </c>
      <c r="M91" s="3">
        <v>1.40841E-2</v>
      </c>
      <c r="N91" s="1">
        <v>2.2999999999999998</v>
      </c>
      <c r="O91" s="1">
        <v>0.66</v>
      </c>
      <c r="P91">
        <v>4.8233182161753589E-2</v>
      </c>
      <c r="Q91">
        <v>5.3921803519433551</v>
      </c>
      <c r="S91" t="s">
        <v>225</v>
      </c>
    </row>
    <row r="92" spans="1:19">
      <c r="A92" t="s">
        <v>549</v>
      </c>
      <c r="B92" t="s">
        <v>147</v>
      </c>
      <c r="C92">
        <v>0.20979999999999999</v>
      </c>
      <c r="D92">
        <v>0.1305</v>
      </c>
      <c r="E92">
        <v>48.851978505129459</v>
      </c>
      <c r="F92">
        <v>20.213788858741893</v>
      </c>
      <c r="G92" s="7">
        <f t="shared" si="2"/>
        <v>130.62565983183637</v>
      </c>
      <c r="H92" s="7">
        <f t="shared" si="3"/>
        <v>54.049796715957697</v>
      </c>
      <c r="I92">
        <v>7.4349999999999999E-2</v>
      </c>
      <c r="J92">
        <v>1.602E-2</v>
      </c>
      <c r="K92" s="3">
        <v>0.99399999999999999</v>
      </c>
      <c r="L92" s="3">
        <v>8.4163499999999997E-4</v>
      </c>
      <c r="M92" s="3">
        <v>4.8598700000000001E-4</v>
      </c>
      <c r="N92" s="1">
        <v>126</v>
      </c>
      <c r="O92" s="1">
        <v>100</v>
      </c>
      <c r="P92">
        <v>7.6965230536659116E-2</v>
      </c>
      <c r="Q92">
        <v>4.1406758687949763</v>
      </c>
      <c r="S92" t="s">
        <v>226</v>
      </c>
    </row>
    <row r="93" spans="1:19">
      <c r="A93" t="s">
        <v>550</v>
      </c>
      <c r="B93" t="s">
        <v>147</v>
      </c>
      <c r="C93">
        <v>3.1130000000000001E-2</v>
      </c>
      <c r="D93">
        <v>6.3870000000000003E-3</v>
      </c>
      <c r="E93">
        <v>2180.0741225201659</v>
      </c>
      <c r="F93">
        <v>177.08646567495398</v>
      </c>
      <c r="G93" s="7">
        <f t="shared" si="2"/>
        <v>2.9562922115390848</v>
      </c>
      <c r="H93" s="7">
        <f t="shared" si="3"/>
        <v>0.24013832091115395</v>
      </c>
      <c r="I93">
        <v>0.49220000000000003</v>
      </c>
      <c r="J93">
        <v>9.1730000000000006E-2</v>
      </c>
      <c r="K93" s="3">
        <v>0.41860000000000003</v>
      </c>
      <c r="L93" s="3">
        <v>7.1268E-3</v>
      </c>
      <c r="M93" s="3">
        <v>8.4782199999999999E-3</v>
      </c>
      <c r="N93" s="1">
        <v>1.27</v>
      </c>
      <c r="O93" s="1">
        <v>0.75</v>
      </c>
      <c r="P93">
        <v>2.7229780801209372E-2</v>
      </c>
      <c r="Q93">
        <v>6.0489383352171666</v>
      </c>
      <c r="S93" t="s">
        <v>227</v>
      </c>
    </row>
    <row r="94" spans="1:19">
      <c r="A94" t="s">
        <v>551</v>
      </c>
      <c r="B94" t="s">
        <v>147</v>
      </c>
      <c r="C94">
        <v>5.3540000000000003E-3</v>
      </c>
      <c r="D94">
        <v>6.4610000000000004E-4</v>
      </c>
      <c r="E94">
        <v>2457.002457002457</v>
      </c>
      <c r="F94">
        <v>88.741857783626827</v>
      </c>
      <c r="G94" s="7">
        <f t="shared" si="2"/>
        <v>2.6231567959144964</v>
      </c>
      <c r="H94" s="7">
        <f t="shared" si="3"/>
        <v>9.474300958216976E-2</v>
      </c>
      <c r="I94">
        <v>9.5390000000000003E-2</v>
      </c>
      <c r="J94">
        <v>1.162E-2</v>
      </c>
      <c r="K94" s="3">
        <v>0.1198</v>
      </c>
      <c r="L94" s="3">
        <v>0</v>
      </c>
      <c r="M94" s="3">
        <v>0</v>
      </c>
      <c r="N94" s="1">
        <v>2.46</v>
      </c>
      <c r="O94" s="1">
        <v>0.19</v>
      </c>
      <c r="P94">
        <v>9.7789115646258508E-3</v>
      </c>
      <c r="Q94">
        <v>102.2343864950264</v>
      </c>
      <c r="S94" t="s">
        <v>228</v>
      </c>
    </row>
    <row r="95" spans="1:19">
      <c r="A95" t="s">
        <v>552</v>
      </c>
      <c r="B95" t="s">
        <v>147</v>
      </c>
      <c r="C95">
        <v>1.8180000000000002E-2</v>
      </c>
      <c r="D95">
        <v>3.0430000000000001E-3</v>
      </c>
      <c r="E95">
        <v>2866.1507595299513</v>
      </c>
      <c r="F95">
        <v>196.41635041662693</v>
      </c>
      <c r="G95" s="7">
        <f t="shared" si="2"/>
        <v>2.2487616344801449</v>
      </c>
      <c r="H95" s="7">
        <f t="shared" si="3"/>
        <v>0.15410688071200992</v>
      </c>
      <c r="I95">
        <v>0.378</v>
      </c>
      <c r="J95">
        <v>6.1519999999999998E-2</v>
      </c>
      <c r="K95" s="3">
        <v>0.27079999999999999</v>
      </c>
      <c r="L95" s="3">
        <v>0</v>
      </c>
      <c r="M95" s="3">
        <v>0</v>
      </c>
      <c r="N95" s="1">
        <v>1.29</v>
      </c>
      <c r="O95" s="1">
        <v>0.41</v>
      </c>
      <c r="P95">
        <v>3.9984882842025705E-2</v>
      </c>
      <c r="Q95">
        <v>6.4745626076392515</v>
      </c>
      <c r="S95" t="s">
        <v>229</v>
      </c>
    </row>
    <row r="96" spans="1:19">
      <c r="A96" t="s">
        <v>553</v>
      </c>
      <c r="B96" t="s">
        <v>147</v>
      </c>
      <c r="C96">
        <v>3.6459999999999999E-2</v>
      </c>
      <c r="D96">
        <v>5.6610000000000002E-3</v>
      </c>
      <c r="E96">
        <v>1917.5455417066153</v>
      </c>
      <c r="F96">
        <v>130.60636172851193</v>
      </c>
      <c r="G96" s="7">
        <f t="shared" si="2"/>
        <v>3.3609287099609015</v>
      </c>
      <c r="H96" s="7">
        <f t="shared" si="3"/>
        <v>0.22891694684144048</v>
      </c>
      <c r="I96">
        <v>0.50700000000000001</v>
      </c>
      <c r="J96">
        <v>8.5989999999999997E-2</v>
      </c>
      <c r="K96" s="3">
        <v>-8.8730000000000005E-4</v>
      </c>
      <c r="L96" s="3">
        <v>4.1581199999999999E-2</v>
      </c>
      <c r="M96" s="3">
        <v>3.09533E-2</v>
      </c>
      <c r="N96" s="1">
        <v>1.38</v>
      </c>
      <c r="O96" s="1">
        <v>0.79</v>
      </c>
      <c r="P96">
        <v>3.0243764172335597E-2</v>
      </c>
      <c r="Q96">
        <v>5.0567546008292625</v>
      </c>
      <c r="S96" t="s">
        <v>230</v>
      </c>
    </row>
    <row r="97" spans="1:19">
      <c r="A97" t="s">
        <v>554</v>
      </c>
      <c r="B97" t="s">
        <v>147</v>
      </c>
      <c r="C97">
        <v>1.9390000000000001E-2</v>
      </c>
      <c r="D97">
        <v>3.6259999999999999E-3</v>
      </c>
      <c r="E97">
        <v>1863.5855385762206</v>
      </c>
      <c r="F97">
        <v>153.05295319614993</v>
      </c>
      <c r="G97" s="7">
        <f t="shared" si="2"/>
        <v>3.4582180931640232</v>
      </c>
      <c r="H97" s="7">
        <f t="shared" si="3"/>
        <v>0.2840172779831131</v>
      </c>
      <c r="I97">
        <v>0.2621</v>
      </c>
      <c r="J97">
        <v>4.3830000000000001E-2</v>
      </c>
      <c r="K97" s="3">
        <v>0.44750000000000001</v>
      </c>
      <c r="L97" s="3">
        <v>1.1499799999999999E-2</v>
      </c>
      <c r="M97" s="3">
        <v>1.1514399999999999E-2</v>
      </c>
      <c r="N97" s="1">
        <v>2.5</v>
      </c>
      <c r="O97" s="1">
        <v>0.56999999999999995</v>
      </c>
      <c r="P97">
        <v>3.119803476946334E-2</v>
      </c>
      <c r="Q97">
        <v>8.6506019341945404</v>
      </c>
      <c r="S97" t="s">
        <v>231</v>
      </c>
    </row>
    <row r="98" spans="1:19">
      <c r="A98" t="s">
        <v>555</v>
      </c>
      <c r="B98" t="s">
        <v>147</v>
      </c>
      <c r="C98">
        <v>1.9560000000000001E-2</v>
      </c>
      <c r="D98">
        <v>4.1099999999999999E-3</v>
      </c>
      <c r="E98">
        <v>2198.2853374367992</v>
      </c>
      <c r="F98">
        <v>118.25025765460207</v>
      </c>
      <c r="G98" s="7">
        <f t="shared" si="2"/>
        <v>2.9318070224814052</v>
      </c>
      <c r="H98" s="7">
        <f t="shared" si="3"/>
        <v>0.15770788709632885</v>
      </c>
      <c r="I98">
        <v>0.31180000000000002</v>
      </c>
      <c r="J98">
        <v>7.0330000000000004E-2</v>
      </c>
      <c r="K98" s="3">
        <v>-0.16889999999999999</v>
      </c>
      <c r="L98" s="3">
        <v>4.7820399999999999E-2</v>
      </c>
      <c r="M98" s="3">
        <v>2.8289999999999999E-2</v>
      </c>
      <c r="N98" s="1">
        <v>1.94</v>
      </c>
      <c r="O98" s="1">
        <v>0.56999999999999995</v>
      </c>
      <c r="P98">
        <v>5.1568405139833705E-2</v>
      </c>
      <c r="Q98">
        <v>8.8958291640006433</v>
      </c>
      <c r="S98" t="s">
        <v>232</v>
      </c>
    </row>
    <row r="99" spans="1:19">
      <c r="G99" s="7" t="e">
        <f t="shared" si="2"/>
        <v>#DIV/0!</v>
      </c>
      <c r="H99" s="7" t="e">
        <f t="shared" si="3"/>
        <v>#DIV/0!</v>
      </c>
    </row>
    <row r="100" spans="1:19">
      <c r="G100" s="7" t="e">
        <f t="shared" si="2"/>
        <v>#DIV/0!</v>
      </c>
      <c r="H100" s="7" t="e">
        <f t="shared" si="3"/>
        <v>#DIV/0!</v>
      </c>
    </row>
    <row r="101" spans="1:19">
      <c r="A101" t="s">
        <v>420</v>
      </c>
      <c r="B101" t="s">
        <v>563</v>
      </c>
      <c r="C101">
        <v>1.2319999999999999E-2</v>
      </c>
      <c r="D101">
        <v>2.2009999999999998E-3</v>
      </c>
      <c r="E101">
        <v>1460.0671630895022</v>
      </c>
      <c r="F101">
        <v>79.942354527458505</v>
      </c>
      <c r="G101" s="7">
        <f t="shared" si="2"/>
        <v>4.4136377955377935</v>
      </c>
      <c r="H101" s="7">
        <f t="shared" si="3"/>
        <v>0.24165778556383014</v>
      </c>
      <c r="I101">
        <v>0.13039999999999999</v>
      </c>
      <c r="J101">
        <v>2.2780000000000002E-2</v>
      </c>
      <c r="K101" s="3">
        <v>0.2263</v>
      </c>
      <c r="L101" s="3">
        <v>8.8027999999999995E-3</v>
      </c>
      <c r="M101" s="3">
        <v>2.9954399999999998E-3</v>
      </c>
      <c r="N101" s="1">
        <v>3.94</v>
      </c>
      <c r="O101" s="1">
        <v>0.5</v>
      </c>
      <c r="P101">
        <v>1.304304897314376E-2</v>
      </c>
      <c r="Q101">
        <v>77.922887510519587</v>
      </c>
      <c r="S101" t="s">
        <v>327</v>
      </c>
    </row>
    <row r="102" spans="1:19">
      <c r="A102" s="5" t="s">
        <v>537</v>
      </c>
      <c r="B102" t="s">
        <v>147</v>
      </c>
      <c r="C102">
        <v>1.197E-2</v>
      </c>
      <c r="D102">
        <v>1.8270000000000001E-3</v>
      </c>
      <c r="E102">
        <v>1488.7598630340926</v>
      </c>
      <c r="F102">
        <v>73.030575386293521</v>
      </c>
      <c r="G102" s="7">
        <f t="shared" si="2"/>
        <v>4.3286028075654501</v>
      </c>
      <c r="H102" s="7">
        <f t="shared" si="3"/>
        <v>0.21233804155021824</v>
      </c>
      <c r="I102">
        <v>0.1293</v>
      </c>
      <c r="J102">
        <v>1.9480000000000001E-2</v>
      </c>
      <c r="K102" s="3">
        <v>0.2</v>
      </c>
      <c r="L102" s="3">
        <v>7.62439E-3</v>
      </c>
      <c r="M102" s="3">
        <v>5.3948900000000003E-3</v>
      </c>
      <c r="N102" s="1">
        <v>3.87</v>
      </c>
      <c r="O102" s="1">
        <v>0.44</v>
      </c>
      <c r="P102">
        <v>1.1026077097505669E-2</v>
      </c>
      <c r="Q102">
        <v>19.471605787362623</v>
      </c>
      <c r="S102" t="s">
        <v>247</v>
      </c>
    </row>
    <row r="103" spans="1:19">
      <c r="A103" s="5" t="s">
        <v>538</v>
      </c>
      <c r="B103" t="s">
        <v>147</v>
      </c>
      <c r="C103">
        <v>9.6989999999999993E-3</v>
      </c>
      <c r="D103">
        <v>2.1640000000000001E-3</v>
      </c>
      <c r="E103">
        <v>1182.1728336682822</v>
      </c>
      <c r="F103">
        <v>177.62639456110495</v>
      </c>
      <c r="G103" s="7">
        <f t="shared" si="2"/>
        <v>5.4507167009024959</v>
      </c>
      <c r="H103" s="7">
        <f t="shared" si="3"/>
        <v>0.81899289831505762</v>
      </c>
      <c r="I103">
        <v>8.3159999999999998E-2</v>
      </c>
      <c r="J103">
        <v>1.06E-2</v>
      </c>
      <c r="K103" s="3">
        <v>0.83689999999999998</v>
      </c>
      <c r="L103" s="3">
        <v>1.0476299999999999E-2</v>
      </c>
      <c r="M103" s="3">
        <v>5.3214100000000004E-3</v>
      </c>
      <c r="N103" s="1">
        <v>5.2</v>
      </c>
      <c r="O103" s="1">
        <v>1.5</v>
      </c>
      <c r="P103">
        <v>3.9106198034769467E-2</v>
      </c>
      <c r="Q103">
        <v>32.048662102245657</v>
      </c>
      <c r="S103" t="s">
        <v>274</v>
      </c>
    </row>
    <row r="104" spans="1:19">
      <c r="A104" s="5"/>
      <c r="G104" s="7" t="e">
        <f t="shared" si="2"/>
        <v>#DIV/0!</v>
      </c>
      <c r="H104" s="7" t="e">
        <f t="shared" si="3"/>
        <v>#DIV/0!</v>
      </c>
      <c r="K104" s="3"/>
      <c r="L104" s="3"/>
      <c r="M104" s="3"/>
    </row>
    <row r="105" spans="1:19">
      <c r="A105" t="s">
        <v>421</v>
      </c>
      <c r="B105" t="s">
        <v>563</v>
      </c>
      <c r="C105">
        <v>8.7270000000000004E-3</v>
      </c>
      <c r="D105">
        <v>1.9319999999999999E-3</v>
      </c>
      <c r="E105">
        <v>1453.9110206455364</v>
      </c>
      <c r="F105">
        <v>59.462804610001356</v>
      </c>
      <c r="G105" s="7">
        <f t="shared" si="2"/>
        <v>4.4323195744264527</v>
      </c>
      <c r="H105" s="7">
        <f t="shared" si="3"/>
        <v>0.1812752975118001</v>
      </c>
      <c r="I105">
        <v>9.2030000000000001E-2</v>
      </c>
      <c r="J105">
        <v>1.8620000000000001E-2</v>
      </c>
      <c r="K105" s="3">
        <v>0.53810000000000002</v>
      </c>
      <c r="L105" s="3">
        <v>3.6345000000000001E-3</v>
      </c>
      <c r="M105" s="3">
        <v>5.5430799999999999E-4</v>
      </c>
      <c r="N105" s="1">
        <v>4.17</v>
      </c>
      <c r="O105" s="1">
        <v>0.4</v>
      </c>
      <c r="P105">
        <v>3.0894549763033175E-2</v>
      </c>
      <c r="Q105">
        <v>1057.881120842814</v>
      </c>
      <c r="S105" t="s">
        <v>328</v>
      </c>
    </row>
    <row r="106" spans="1:19">
      <c r="A106" t="s">
        <v>565</v>
      </c>
      <c r="B106" t="s">
        <v>563</v>
      </c>
      <c r="C106">
        <v>5.7939999999999997E-3</v>
      </c>
      <c r="D106">
        <v>2.7799999999999998E-4</v>
      </c>
      <c r="E106">
        <v>1318.3915622940015</v>
      </c>
      <c r="F106">
        <v>42.341487748822516</v>
      </c>
      <c r="G106" s="7">
        <f t="shared" si="2"/>
        <v>4.8877517115426254</v>
      </c>
      <c r="H106" s="7">
        <f t="shared" si="3"/>
        <v>0.15697512418349158</v>
      </c>
      <c r="I106">
        <v>5.5399999999999998E-2</v>
      </c>
      <c r="J106">
        <v>2.284E-3</v>
      </c>
      <c r="K106" s="3">
        <v>0.53010000000000002</v>
      </c>
      <c r="L106" s="3">
        <v>9.3260999999999995E-4</v>
      </c>
      <c r="M106" s="3">
        <v>3.60405E-4</v>
      </c>
      <c r="N106" s="1">
        <v>4.83</v>
      </c>
      <c r="O106" s="1">
        <v>0.81</v>
      </c>
      <c r="P106">
        <v>8.8270142180094782E-2</v>
      </c>
      <c r="Q106">
        <v>1597.1075024156094</v>
      </c>
      <c r="S106" t="s">
        <v>329</v>
      </c>
    </row>
    <row r="107" spans="1:19">
      <c r="A107" s="5" t="s">
        <v>539</v>
      </c>
      <c r="B107" t="s">
        <v>147</v>
      </c>
      <c r="C107">
        <v>9.5670000000000009E-3</v>
      </c>
      <c r="D107">
        <v>1.4660000000000001E-3</v>
      </c>
      <c r="E107">
        <v>1282.5445684237527</v>
      </c>
      <c r="F107">
        <v>67.244352901324888</v>
      </c>
      <c r="G107" s="7">
        <f t="shared" si="2"/>
        <v>5.0243106647172429</v>
      </c>
      <c r="H107" s="7">
        <f t="shared" si="3"/>
        <v>0.26342672819499924</v>
      </c>
      <c r="I107">
        <v>8.899E-2</v>
      </c>
      <c r="J107">
        <v>1.2579999999999999E-2</v>
      </c>
      <c r="K107" s="3">
        <v>0.38840000000000002</v>
      </c>
      <c r="L107" s="3">
        <v>1.59855E-2</v>
      </c>
      <c r="M107" s="3">
        <v>8.3142700000000003E-3</v>
      </c>
      <c r="N107" s="1">
        <v>4.75</v>
      </c>
      <c r="O107" s="1">
        <v>0.52</v>
      </c>
      <c r="P107">
        <v>5.7653061224489793E-2</v>
      </c>
      <c r="Q107">
        <v>14.375389333461113</v>
      </c>
      <c r="S107" t="s">
        <v>248</v>
      </c>
    </row>
    <row r="108" spans="1:19">
      <c r="A108" s="5"/>
      <c r="G108" s="7" t="e">
        <f t="shared" si="2"/>
        <v>#DIV/0!</v>
      </c>
      <c r="H108" s="7" t="e">
        <f t="shared" si="3"/>
        <v>#DIV/0!</v>
      </c>
      <c r="K108" s="3"/>
      <c r="L108" s="3"/>
      <c r="M108" s="3"/>
    </row>
    <row r="109" spans="1:19">
      <c r="A109" t="s">
        <v>423</v>
      </c>
      <c r="B109" t="s">
        <v>563</v>
      </c>
      <c r="C109">
        <v>4.9480000000000003E-2</v>
      </c>
      <c r="D109">
        <v>8.0180000000000008E-3</v>
      </c>
      <c r="E109">
        <v>854.70085470085462</v>
      </c>
      <c r="F109">
        <v>63.160201621740072</v>
      </c>
      <c r="G109" s="7">
        <f t="shared" si="2"/>
        <v>7.5378957834189197</v>
      </c>
      <c r="H109" s="7">
        <f t="shared" si="3"/>
        <v>0.55703117045675188</v>
      </c>
      <c r="I109">
        <v>0.30680000000000002</v>
      </c>
      <c r="J109">
        <v>3.6429999999999997E-2</v>
      </c>
      <c r="K109" s="3">
        <v>0.73560000000000003</v>
      </c>
      <c r="L109" s="3">
        <v>4.4311000000000003E-2</v>
      </c>
      <c r="M109" s="3">
        <v>1.0402399999999999E-2</v>
      </c>
      <c r="N109" s="1">
        <v>5</v>
      </c>
      <c r="O109" s="1">
        <v>1.1000000000000001</v>
      </c>
      <c r="P109">
        <v>2.3272116903633495E-4</v>
      </c>
      <c r="Q109">
        <v>16.214194433188915</v>
      </c>
      <c r="S109" t="s">
        <v>330</v>
      </c>
    </row>
    <row r="110" spans="1:19">
      <c r="A110" t="s">
        <v>506</v>
      </c>
      <c r="B110" t="s">
        <v>563</v>
      </c>
      <c r="C110">
        <v>5.6299999999999996E-3</v>
      </c>
      <c r="D110">
        <v>4.1169999999999998E-4</v>
      </c>
      <c r="E110">
        <v>1456.4520827264782</v>
      </c>
      <c r="F110">
        <v>51.843415237161558</v>
      </c>
      <c r="G110" s="7">
        <f t="shared" si="2"/>
        <v>4.4245891897294918</v>
      </c>
      <c r="H110" s="7">
        <f t="shared" si="3"/>
        <v>0.15749630031603376</v>
      </c>
      <c r="I110">
        <v>5.9470000000000002E-2</v>
      </c>
      <c r="J110">
        <v>3.4719999999999998E-3</v>
      </c>
      <c r="K110" s="3">
        <v>0.61580000000000001</v>
      </c>
      <c r="L110" s="3">
        <v>4.3121000000000001E-3</v>
      </c>
      <c r="M110" s="3">
        <v>6.3900700000000003E-4</v>
      </c>
      <c r="N110" s="1">
        <v>4.3099999999999996</v>
      </c>
      <c r="O110" s="1">
        <v>0.35</v>
      </c>
      <c r="P110">
        <v>8.0094786729857828E-2</v>
      </c>
      <c r="Q110">
        <v>715.64379889661188</v>
      </c>
      <c r="S110" t="s">
        <v>331</v>
      </c>
    </row>
    <row r="111" spans="1:19">
      <c r="A111" t="s">
        <v>372</v>
      </c>
      <c r="B111" t="s">
        <v>563</v>
      </c>
      <c r="C111">
        <v>1.227E-2</v>
      </c>
      <c r="D111">
        <v>1.1039999999999999E-3</v>
      </c>
      <c r="E111">
        <v>1389.0818169190165</v>
      </c>
      <c r="F111">
        <v>61.919204757509711</v>
      </c>
      <c r="G111" s="7">
        <f t="shared" si="2"/>
        <v>4.6391039245257319</v>
      </c>
      <c r="H111" s="7">
        <f t="shared" si="3"/>
        <v>0.20679100560915506</v>
      </c>
      <c r="I111">
        <v>0.1236</v>
      </c>
      <c r="J111">
        <v>7.1050000000000002E-3</v>
      </c>
      <c r="K111" s="3">
        <v>0.84499999999999997</v>
      </c>
      <c r="L111" s="3">
        <v>1.6976000000000002E-2</v>
      </c>
      <c r="M111" s="3">
        <v>2.9803999999999998E-3</v>
      </c>
      <c r="N111" s="1">
        <v>4.18</v>
      </c>
      <c r="O111" s="1">
        <v>0.38</v>
      </c>
      <c r="P111">
        <v>4.2486176935229072E-3</v>
      </c>
      <c r="Q111">
        <v>105.97512701430664</v>
      </c>
      <c r="S111" t="s">
        <v>332</v>
      </c>
    </row>
    <row r="112" spans="1:19">
      <c r="A112" t="s">
        <v>373</v>
      </c>
      <c r="B112" t="s">
        <v>563</v>
      </c>
      <c r="C112">
        <v>1.915E-2</v>
      </c>
      <c r="D112">
        <v>2.5249999999999999E-3</v>
      </c>
      <c r="E112">
        <v>1299.2074834351047</v>
      </c>
      <c r="F112">
        <v>69.002990675363236</v>
      </c>
      <c r="G112" s="7">
        <f t="shared" si="2"/>
        <v>4.9598964246069848</v>
      </c>
      <c r="H112" s="7">
        <f t="shared" si="3"/>
        <v>0.26342804448217949</v>
      </c>
      <c r="I112">
        <v>0.1804</v>
      </c>
      <c r="J112">
        <v>2.1930000000000002E-2</v>
      </c>
      <c r="K112" s="3">
        <v>0.3886</v>
      </c>
      <c r="L112" s="3">
        <v>1.9057000000000001E-2</v>
      </c>
      <c r="M112" s="3">
        <v>5.4753099999999997E-3</v>
      </c>
      <c r="N112" s="1">
        <v>4.1100000000000003</v>
      </c>
      <c r="O112" s="1">
        <v>0.52</v>
      </c>
      <c r="P112">
        <v>8.3481437598736177E-2</v>
      </c>
      <c r="Q112">
        <v>51.223389333915158</v>
      </c>
      <c r="S112" t="s">
        <v>333</v>
      </c>
    </row>
    <row r="113" spans="1:19">
      <c r="G113" s="7" t="e">
        <f t="shared" si="2"/>
        <v>#DIV/0!</v>
      </c>
      <c r="H113" s="7" t="e">
        <f t="shared" si="3"/>
        <v>#DIV/0!</v>
      </c>
      <c r="K113" s="3"/>
      <c r="L113" s="3"/>
      <c r="M113" s="3"/>
    </row>
    <row r="114" spans="1:19">
      <c r="A114" t="s">
        <v>374</v>
      </c>
      <c r="B114" t="s">
        <v>563</v>
      </c>
      <c r="C114">
        <v>1.1089999999999999E-2</v>
      </c>
      <c r="D114">
        <v>9.3950000000000001E-4</v>
      </c>
      <c r="E114">
        <v>1434.5144168698896</v>
      </c>
      <c r="F114">
        <v>76.901167348196509</v>
      </c>
      <c r="G114" s="7">
        <f t="shared" si="2"/>
        <v>4.4922297415259616</v>
      </c>
      <c r="H114" s="7">
        <f t="shared" si="3"/>
        <v>0.24081857042149651</v>
      </c>
      <c r="I114">
        <v>0.1153</v>
      </c>
      <c r="J114">
        <v>7.6439999999999998E-3</v>
      </c>
      <c r="K114" s="3">
        <v>0.62339999999999995</v>
      </c>
      <c r="L114" s="3">
        <v>1.1217E-2</v>
      </c>
      <c r="M114" s="3">
        <v>2.7331899999999999E-3</v>
      </c>
      <c r="N114" s="1">
        <v>4.0999999999999996</v>
      </c>
      <c r="O114" s="1">
        <v>0.45</v>
      </c>
      <c r="P114">
        <v>7.7379541864139026E-3</v>
      </c>
      <c r="Q114">
        <v>115.7622416856279</v>
      </c>
      <c r="S114" t="s">
        <v>334</v>
      </c>
    </row>
    <row r="115" spans="1:19">
      <c r="A115" t="s">
        <v>375</v>
      </c>
      <c r="B115" t="s">
        <v>563</v>
      </c>
      <c r="C115">
        <v>1.345E-2</v>
      </c>
      <c r="D115">
        <v>1.601E-3</v>
      </c>
      <c r="E115">
        <v>1498.5763524651582</v>
      </c>
      <c r="F115">
        <v>49.203968054116011</v>
      </c>
      <c r="G115" s="7">
        <f t="shared" si="2"/>
        <v>4.300257562305001</v>
      </c>
      <c r="H115" s="7">
        <f t="shared" si="3"/>
        <v>0.1411938306460401</v>
      </c>
      <c r="I115">
        <v>0.1462</v>
      </c>
      <c r="J115">
        <v>1.384E-2</v>
      </c>
      <c r="K115" s="3">
        <v>0.80430000000000001</v>
      </c>
      <c r="L115" s="3">
        <v>5.0219000000000001E-3</v>
      </c>
      <c r="M115" s="3">
        <v>1.0956E-3</v>
      </c>
      <c r="N115" s="1">
        <v>3.75</v>
      </c>
      <c r="O115" s="1">
        <v>0.28999999999999998</v>
      </c>
      <c r="P115">
        <v>0.2492101105845182</v>
      </c>
      <c r="Q115">
        <v>166.94199420253719</v>
      </c>
      <c r="S115" t="s">
        <v>335</v>
      </c>
    </row>
    <row r="116" spans="1:19">
      <c r="A116" s="5" t="s">
        <v>540</v>
      </c>
      <c r="B116" t="s">
        <v>147</v>
      </c>
      <c r="C116">
        <v>4.3210000000000002E-3</v>
      </c>
      <c r="D116">
        <v>5.1009999999999998E-4</v>
      </c>
      <c r="E116">
        <v>1928.2684149633628</v>
      </c>
      <c r="F116">
        <v>121.77167487475921</v>
      </c>
      <c r="G116" s="7">
        <f t="shared" si="2"/>
        <v>3.342243825905824</v>
      </c>
      <c r="H116" s="7">
        <f t="shared" si="3"/>
        <v>0.21106533995066667</v>
      </c>
      <c r="I116">
        <v>6.0429999999999998E-2</v>
      </c>
      <c r="J116">
        <v>4.5430000000000002E-3</v>
      </c>
      <c r="K116" s="3">
        <v>0.82310000000000005</v>
      </c>
      <c r="L116" s="3">
        <v>3.3817000000000001E-3</v>
      </c>
      <c r="M116" s="3">
        <v>1.7025E-3</v>
      </c>
      <c r="N116" s="1">
        <v>3.28</v>
      </c>
      <c r="O116" s="1">
        <v>0.41</v>
      </c>
      <c r="P116">
        <v>4.979213907785337E-3</v>
      </c>
      <c r="Q116">
        <v>235.58726284130978</v>
      </c>
      <c r="S116" t="s">
        <v>273</v>
      </c>
    </row>
    <row r="117" spans="1:19">
      <c r="A117" s="5"/>
      <c r="G117" s="7" t="e">
        <f t="shared" si="2"/>
        <v>#DIV/0!</v>
      </c>
      <c r="H117" s="7" t="e">
        <f t="shared" si="3"/>
        <v>#DIV/0!</v>
      </c>
      <c r="K117" s="3"/>
      <c r="L117" s="3"/>
      <c r="M117" s="3"/>
    </row>
    <row r="118" spans="1:19">
      <c r="A118" t="s">
        <v>376</v>
      </c>
      <c r="B118" t="s">
        <v>563</v>
      </c>
      <c r="C118">
        <v>0.16320000000000001</v>
      </c>
      <c r="D118">
        <v>9.4020000000000006E-3</v>
      </c>
      <c r="E118">
        <v>59.701492537313428</v>
      </c>
      <c r="F118">
        <v>3.0609935397638668</v>
      </c>
      <c r="G118" s="7">
        <f t="shared" si="2"/>
        <v>107.08309946944017</v>
      </c>
      <c r="H118" s="7">
        <f t="shared" si="3"/>
        <v>5.4903263178719532</v>
      </c>
      <c r="I118">
        <v>7.0660000000000001E-2</v>
      </c>
      <c r="J118">
        <v>3.8270000000000001E-3</v>
      </c>
      <c r="K118" s="3">
        <v>0.51060000000000005</v>
      </c>
      <c r="L118" s="3">
        <v>1.8067000000000001E-3</v>
      </c>
      <c r="M118" s="3">
        <v>2.27624E-4</v>
      </c>
      <c r="N118" s="1">
        <v>104</v>
      </c>
      <c r="O118" s="1">
        <v>11</v>
      </c>
      <c r="P118">
        <v>1.1976698262243288</v>
      </c>
      <c r="Q118">
        <v>162.51597419193965</v>
      </c>
      <c r="S118" t="s">
        <v>336</v>
      </c>
    </row>
    <row r="119" spans="1:19">
      <c r="A119" t="s">
        <v>377</v>
      </c>
      <c r="B119" t="s">
        <v>563</v>
      </c>
      <c r="C119">
        <v>3.2980000000000002E-2</v>
      </c>
      <c r="D119">
        <v>6.058E-3</v>
      </c>
      <c r="E119">
        <v>1347.8905512872354</v>
      </c>
      <c r="F119">
        <v>98.398372095587931</v>
      </c>
      <c r="G119" s="7">
        <f t="shared" si="2"/>
        <v>4.7808214551945074</v>
      </c>
      <c r="H119" s="7">
        <f t="shared" si="3"/>
        <v>0.34900834346048598</v>
      </c>
      <c r="I119">
        <v>0.32240000000000002</v>
      </c>
      <c r="J119">
        <v>4.9660000000000003E-2</v>
      </c>
      <c r="K119" s="3">
        <v>0.57220000000000004</v>
      </c>
      <c r="L119" s="3">
        <v>3.6700999999999998E-2</v>
      </c>
      <c r="M119" s="3">
        <v>1.0896899999999999E-2</v>
      </c>
      <c r="N119" s="1">
        <v>3.09</v>
      </c>
      <c r="O119" s="1">
        <v>0.78</v>
      </c>
      <c r="P119">
        <v>1.1078199052132703E-2</v>
      </c>
      <c r="Q119">
        <v>16.270298912196488</v>
      </c>
      <c r="S119" t="s">
        <v>337</v>
      </c>
    </row>
    <row r="120" spans="1:19">
      <c r="A120" t="s">
        <v>378</v>
      </c>
      <c r="B120" t="s">
        <v>563</v>
      </c>
      <c r="C120">
        <v>3.7650000000000003E-2</v>
      </c>
      <c r="D120">
        <v>5.3819999999999996E-3</v>
      </c>
      <c r="E120">
        <v>1113.2138483802739</v>
      </c>
      <c r="F120">
        <v>80.15437127155306</v>
      </c>
      <c r="G120" s="7">
        <f t="shared" si="2"/>
        <v>5.7882144723155236</v>
      </c>
      <c r="H120" s="7">
        <f t="shared" si="3"/>
        <v>0.41676690645593684</v>
      </c>
      <c r="I120">
        <v>0.30399999999999999</v>
      </c>
      <c r="J120">
        <v>3.0720000000000001E-2</v>
      </c>
      <c r="K120" s="3">
        <v>0.74839999999999995</v>
      </c>
      <c r="L120" s="3">
        <v>2.0371E-2</v>
      </c>
      <c r="M120" s="3">
        <v>7.1313799999999997E-3</v>
      </c>
      <c r="N120" s="1">
        <v>3.88</v>
      </c>
      <c r="O120" s="1">
        <v>0.75</v>
      </c>
      <c r="P120">
        <v>6.6429699842022122E-3</v>
      </c>
      <c r="Q120">
        <v>23.5451796901786</v>
      </c>
      <c r="S120" t="s">
        <v>338</v>
      </c>
    </row>
    <row r="121" spans="1:19">
      <c r="A121" t="s">
        <v>449</v>
      </c>
      <c r="B121" t="s">
        <v>563</v>
      </c>
      <c r="C121">
        <v>3.2190000000000003E-2</v>
      </c>
      <c r="D121">
        <v>4.5820000000000001E-3</v>
      </c>
      <c r="E121">
        <v>1124.4799280332845</v>
      </c>
      <c r="F121">
        <v>83.504615368624883</v>
      </c>
      <c r="G121" s="7">
        <f t="shared" si="2"/>
        <v>5.7302485546138522</v>
      </c>
      <c r="H121" s="7">
        <f t="shared" si="3"/>
        <v>0.42553200781142331</v>
      </c>
      <c r="I121">
        <v>0.26250000000000001</v>
      </c>
      <c r="J121">
        <v>2.529E-2</v>
      </c>
      <c r="K121" s="3">
        <v>0.78059999999999996</v>
      </c>
      <c r="L121" s="3">
        <v>1.0165E-2</v>
      </c>
      <c r="M121" s="3">
        <v>4.5660700000000002E-3</v>
      </c>
      <c r="N121" s="1">
        <v>4.1500000000000004</v>
      </c>
      <c r="O121" s="1">
        <v>0.75</v>
      </c>
      <c r="P121">
        <v>1.3171406003159558E-2</v>
      </c>
      <c r="Q121">
        <v>23.15244833712558</v>
      </c>
      <c r="S121" t="s">
        <v>339</v>
      </c>
    </row>
    <row r="122" spans="1:19">
      <c r="A122" t="s">
        <v>482</v>
      </c>
      <c r="B122" t="s">
        <v>147</v>
      </c>
      <c r="C122">
        <v>0.1331</v>
      </c>
      <c r="D122">
        <v>2.002E-2</v>
      </c>
      <c r="E122">
        <v>533.33333333333337</v>
      </c>
      <c r="F122">
        <v>52.50844444444445</v>
      </c>
      <c r="G122" s="7">
        <f t="shared" si="2"/>
        <v>12.07570914862478</v>
      </c>
      <c r="H122" s="7">
        <f t="shared" si="3"/>
        <v>1.1888938180459383</v>
      </c>
      <c r="I122">
        <v>0.5151</v>
      </c>
      <c r="J122">
        <v>3.2910000000000002E-2</v>
      </c>
      <c r="K122" s="3">
        <v>0.95309999999999995</v>
      </c>
      <c r="L122" s="3">
        <v>3.8752500000000002E-2</v>
      </c>
      <c r="M122" s="3">
        <v>5.3645899999999998E-3</v>
      </c>
      <c r="N122" s="1">
        <v>4.8</v>
      </c>
      <c r="O122" s="1">
        <v>1.7</v>
      </c>
      <c r="P122">
        <v>9.1288737717309137E-2</v>
      </c>
      <c r="Q122">
        <v>56.176766552133337</v>
      </c>
      <c r="S122" t="s">
        <v>280</v>
      </c>
    </row>
    <row r="123" spans="1:19">
      <c r="A123" t="s">
        <v>424</v>
      </c>
      <c r="B123" t="s">
        <v>147</v>
      </c>
      <c r="C123">
        <v>7.8200000000000006E-2</v>
      </c>
      <c r="D123">
        <v>1.1860000000000001E-2</v>
      </c>
      <c r="E123">
        <v>636.53723742838963</v>
      </c>
      <c r="F123">
        <v>39.184924399554149</v>
      </c>
      <c r="G123" s="7">
        <f t="shared" si="2"/>
        <v>10.119369994584352</v>
      </c>
      <c r="H123" s="7">
        <f t="shared" si="3"/>
        <v>0.62294352143618892</v>
      </c>
      <c r="I123">
        <v>0.36099999999999999</v>
      </c>
      <c r="J123">
        <v>3.5430000000000003E-2</v>
      </c>
      <c r="K123" s="3">
        <v>0.91869999999999996</v>
      </c>
      <c r="L123" s="3">
        <v>2.24473E-2</v>
      </c>
      <c r="M123" s="3">
        <v>2.2853700000000001E-3</v>
      </c>
      <c r="N123" s="1">
        <v>6</v>
      </c>
      <c r="O123" s="1">
        <v>1.3</v>
      </c>
      <c r="P123">
        <v>0.43112244897959184</v>
      </c>
      <c r="Q123">
        <v>273.16058437366991</v>
      </c>
      <c r="S123" t="s">
        <v>281</v>
      </c>
    </row>
    <row r="124" spans="1:19">
      <c r="A124" t="s">
        <v>425</v>
      </c>
      <c r="B124" t="s">
        <v>147</v>
      </c>
      <c r="C124">
        <v>6.9290000000000003E-3</v>
      </c>
      <c r="D124">
        <v>1.106E-3</v>
      </c>
      <c r="E124">
        <v>1446.7592592592594</v>
      </c>
      <c r="F124">
        <v>64.593447252229083</v>
      </c>
      <c r="G124" s="7">
        <f t="shared" si="2"/>
        <v>4.4542222807295708</v>
      </c>
      <c r="H124" s="7">
        <f t="shared" si="3"/>
        <v>0.19886762092493424</v>
      </c>
      <c r="I124">
        <v>7.2709999999999997E-2</v>
      </c>
      <c r="J124">
        <v>1.086E-2</v>
      </c>
      <c r="K124" s="3">
        <v>0.3639</v>
      </c>
      <c r="L124" s="3">
        <v>1.15055E-3</v>
      </c>
      <c r="M124" s="3">
        <v>1.1507799999999999E-3</v>
      </c>
      <c r="N124" s="1">
        <v>4.3</v>
      </c>
      <c r="O124" s="1">
        <v>0.4</v>
      </c>
      <c r="P124">
        <v>7.952569916855631E-3</v>
      </c>
      <c r="Q124">
        <v>78.895519106583635</v>
      </c>
      <c r="S124" t="s">
        <v>282</v>
      </c>
    </row>
    <row r="125" spans="1:19">
      <c r="A125" t="s">
        <v>571</v>
      </c>
      <c r="B125" t="s">
        <v>147</v>
      </c>
      <c r="C125">
        <v>4.9919999999999999E-2</v>
      </c>
      <c r="D125">
        <v>5.5900000000000004E-3</v>
      </c>
      <c r="E125">
        <v>952.38095238095241</v>
      </c>
      <c r="F125">
        <v>60.925170068027207</v>
      </c>
      <c r="G125" s="7">
        <f t="shared" si="2"/>
        <v>6.765183790951645</v>
      </c>
      <c r="H125" s="7">
        <f t="shared" si="3"/>
        <v>0.43277847165544947</v>
      </c>
      <c r="I125">
        <v>0.3448</v>
      </c>
      <c r="J125">
        <v>2.2579999999999999E-2</v>
      </c>
      <c r="K125" s="3">
        <v>0.86150000000000004</v>
      </c>
      <c r="L125" s="3">
        <v>2.31378E-2</v>
      </c>
      <c r="M125" s="3">
        <v>4.4393599999999998E-3</v>
      </c>
      <c r="N125" s="1">
        <v>4.18</v>
      </c>
      <c r="O125" s="1">
        <v>0.73</v>
      </c>
      <c r="P125">
        <v>5.829554043839758E-3</v>
      </c>
      <c r="Q125">
        <v>73.962787472552861</v>
      </c>
      <c r="S125" t="s">
        <v>283</v>
      </c>
    </row>
    <row r="126" spans="1:19">
      <c r="A126" t="s">
        <v>572</v>
      </c>
      <c r="B126" t="s">
        <v>147</v>
      </c>
      <c r="C126">
        <v>5.8609999999999999E-3</v>
      </c>
      <c r="D126">
        <v>5.3720000000000005E-4</v>
      </c>
      <c r="E126">
        <v>1632.3865491348349</v>
      </c>
      <c r="F126">
        <v>64.24557574214964</v>
      </c>
      <c r="G126" s="7">
        <f t="shared" si="2"/>
        <v>3.9478642205749863</v>
      </c>
      <c r="H126" s="7">
        <f t="shared" si="3"/>
        <v>0.15537545928511742</v>
      </c>
      <c r="I126">
        <v>6.9389999999999993E-2</v>
      </c>
      <c r="J126">
        <v>5.8650000000000004E-3</v>
      </c>
      <c r="K126" s="3">
        <v>0.38879999999999998</v>
      </c>
      <c r="L126" s="3">
        <v>1.33036E-3</v>
      </c>
      <c r="M126" s="3">
        <v>1.1711E-3</v>
      </c>
      <c r="N126" s="1">
        <v>3.83</v>
      </c>
      <c r="O126" s="1">
        <v>0.3</v>
      </c>
      <c r="P126">
        <v>6.1356764928193501E-3</v>
      </c>
      <c r="Q126">
        <v>83.574567399435693</v>
      </c>
      <c r="S126" t="s">
        <v>284</v>
      </c>
    </row>
    <row r="127" spans="1:19">
      <c r="A127" t="s">
        <v>573</v>
      </c>
      <c r="B127" t="s">
        <v>147</v>
      </c>
      <c r="C127">
        <v>0.28760000000000002</v>
      </c>
      <c r="D127">
        <v>1.209E-2</v>
      </c>
      <c r="E127">
        <v>319.38677738741615</v>
      </c>
      <c r="F127">
        <v>10.629224593985551</v>
      </c>
      <c r="G127" s="7">
        <f t="shared" si="2"/>
        <v>20.152190986410247</v>
      </c>
      <c r="H127" s="7">
        <f t="shared" si="3"/>
        <v>0.67066697565760069</v>
      </c>
      <c r="I127">
        <v>0.66620000000000001</v>
      </c>
      <c r="J127">
        <v>1.7950000000000001E-2</v>
      </c>
      <c r="K127" s="3">
        <v>0.76770000000000005</v>
      </c>
      <c r="L127" s="3">
        <v>3.5835899999999997E-2</v>
      </c>
      <c r="M127" s="3">
        <v>5.8017199999999998E-3</v>
      </c>
      <c r="N127" s="1">
        <v>4.2</v>
      </c>
      <c r="O127" s="1">
        <v>2.2000000000000002</v>
      </c>
      <c r="P127">
        <v>4.8752834467120178E-2</v>
      </c>
      <c r="Q127">
        <v>24.316957603876283</v>
      </c>
      <c r="S127" t="s">
        <v>285</v>
      </c>
    </row>
    <row r="128" spans="1:19">
      <c r="A128" t="s">
        <v>574</v>
      </c>
      <c r="B128" t="s">
        <v>147</v>
      </c>
      <c r="C128">
        <v>3.2030000000000003E-2</v>
      </c>
      <c r="D128">
        <v>5.241E-3</v>
      </c>
      <c r="E128">
        <v>1093.3741526350318</v>
      </c>
      <c r="F128">
        <v>70.556464562125058</v>
      </c>
      <c r="G128" s="7">
        <f t="shared" si="2"/>
        <v>5.8931958631043795</v>
      </c>
      <c r="H128" s="7">
        <f t="shared" si="3"/>
        <v>0.38029348331557011</v>
      </c>
      <c r="I128">
        <v>0.254</v>
      </c>
      <c r="J128">
        <v>3.09E-2</v>
      </c>
      <c r="K128" s="3">
        <v>0.76419999999999999</v>
      </c>
      <c r="L128" s="3">
        <v>2.4620099999999999E-2</v>
      </c>
      <c r="M128" s="3">
        <v>8.7234800000000005E-3</v>
      </c>
      <c r="N128" s="1">
        <v>4.33</v>
      </c>
      <c r="O128" s="1">
        <v>0.75</v>
      </c>
      <c r="P128">
        <v>4.632464096749811E-2</v>
      </c>
      <c r="Q128">
        <v>23.003441637328656</v>
      </c>
      <c r="S128" t="s">
        <v>286</v>
      </c>
    </row>
    <row r="129" spans="1:19">
      <c r="A129" t="s">
        <v>429</v>
      </c>
      <c r="B129" t="s">
        <v>147</v>
      </c>
      <c r="C129">
        <v>1.8540000000000001E-2</v>
      </c>
      <c r="D129">
        <v>3.0980000000000001E-3</v>
      </c>
      <c r="E129">
        <v>1044.2773600668338</v>
      </c>
      <c r="F129">
        <v>146.67429503862692</v>
      </c>
      <c r="G129" s="7">
        <f t="shared" si="2"/>
        <v>6.1701324326551337</v>
      </c>
      <c r="H129" s="7">
        <f t="shared" si="3"/>
        <v>0.8666278322808223</v>
      </c>
      <c r="I129">
        <v>0.1404</v>
      </c>
      <c r="J129">
        <v>2.5659999999999999E-2</v>
      </c>
      <c r="K129" s="3">
        <v>0.3039</v>
      </c>
      <c r="L129" s="3">
        <v>8.8781599999999995E-3</v>
      </c>
      <c r="M129" s="3">
        <v>8.8781599999999995E-3</v>
      </c>
      <c r="N129" s="1">
        <v>5.4</v>
      </c>
      <c r="O129" s="1">
        <v>1.6</v>
      </c>
      <c r="P129">
        <v>4.8034769463340891E-2</v>
      </c>
      <c r="Q129">
        <v>23.414972390796368</v>
      </c>
      <c r="S129" t="s">
        <v>287</v>
      </c>
    </row>
    <row r="130" spans="1:19">
      <c r="A130" t="s">
        <v>430</v>
      </c>
      <c r="B130" t="s">
        <v>147</v>
      </c>
      <c r="C130">
        <v>2.2669999999999999E-2</v>
      </c>
      <c r="D130">
        <v>2.6719999999999999E-3</v>
      </c>
      <c r="E130">
        <v>1235.4830738818878</v>
      </c>
      <c r="F130">
        <v>67.223467474374019</v>
      </c>
      <c r="G130" s="7">
        <f t="shared" si="2"/>
        <v>5.2156171633616362</v>
      </c>
      <c r="H130" s="7">
        <f t="shared" si="3"/>
        <v>0.28378524817697853</v>
      </c>
      <c r="I130">
        <v>0.2031</v>
      </c>
      <c r="J130">
        <v>1.9470000000000001E-2</v>
      </c>
      <c r="K130" s="3">
        <v>0.59740000000000004</v>
      </c>
      <c r="L130" s="3">
        <v>9.2386499999999993E-3</v>
      </c>
      <c r="M130" s="3">
        <v>4.8022899999999999E-3</v>
      </c>
      <c r="N130" s="1">
        <v>4.17</v>
      </c>
      <c r="O130" s="1">
        <v>0.53</v>
      </c>
      <c r="P130">
        <v>6.804610733182162E-2</v>
      </c>
      <c r="Q130">
        <v>35.318358499660341</v>
      </c>
      <c r="S130" t="s">
        <v>288</v>
      </c>
    </row>
    <row r="131" spans="1:19">
      <c r="A131" t="s">
        <v>431</v>
      </c>
      <c r="B131" t="s">
        <v>147</v>
      </c>
      <c r="C131">
        <v>2.4989999999999998E-2</v>
      </c>
      <c r="D131">
        <v>3.4970000000000001E-3</v>
      </c>
      <c r="E131">
        <v>1249.5314257153568</v>
      </c>
      <c r="F131">
        <v>60.876209282321334</v>
      </c>
      <c r="G131" s="7">
        <f t="shared" si="2"/>
        <v>5.1570019707419021</v>
      </c>
      <c r="H131" s="7">
        <f t="shared" si="3"/>
        <v>0.2512451666115541</v>
      </c>
      <c r="I131">
        <v>0.22650000000000001</v>
      </c>
      <c r="J131">
        <v>2.945E-2</v>
      </c>
      <c r="K131" s="3">
        <v>0.37040000000000001</v>
      </c>
      <c r="L131" s="3">
        <v>1.59048E-2</v>
      </c>
      <c r="M131" s="3">
        <v>7.12431E-3</v>
      </c>
      <c r="N131" s="1">
        <v>3.97</v>
      </c>
      <c r="O131" s="1">
        <v>0.56000000000000005</v>
      </c>
      <c r="P131">
        <v>8.1840513983371128E-3</v>
      </c>
      <c r="Q131">
        <v>23.025991267655655</v>
      </c>
      <c r="S131" t="s">
        <v>289</v>
      </c>
    </row>
    <row r="132" spans="1:19">
      <c r="A132" t="s">
        <v>432</v>
      </c>
      <c r="B132" t="s">
        <v>147</v>
      </c>
      <c r="C132">
        <v>9.1479999999999999E-3</v>
      </c>
      <c r="D132">
        <v>1.2229999999999999E-3</v>
      </c>
      <c r="E132">
        <v>1308.5579691180319</v>
      </c>
      <c r="F132">
        <v>57.568331486192399</v>
      </c>
      <c r="G132" s="7">
        <f t="shared" si="2"/>
        <v>4.924468318192269</v>
      </c>
      <c r="H132" s="7">
        <f t="shared" si="3"/>
        <v>0.21664567502960494</v>
      </c>
      <c r="I132">
        <v>8.6830000000000004E-2</v>
      </c>
      <c r="J132">
        <v>1.1299999999999999E-2</v>
      </c>
      <c r="K132" s="3">
        <v>0.2437</v>
      </c>
      <c r="L132" s="3">
        <v>1.09509E-2</v>
      </c>
      <c r="M132" s="3">
        <v>4.9025800000000001E-3</v>
      </c>
      <c r="N132" s="1">
        <v>4.67</v>
      </c>
      <c r="O132" s="1">
        <v>0.63</v>
      </c>
      <c r="P132">
        <v>1.8981481481481481E-2</v>
      </c>
      <c r="Q132">
        <v>34.331812172854193</v>
      </c>
      <c r="S132" t="s">
        <v>290</v>
      </c>
    </row>
    <row r="133" spans="1:19">
      <c r="A133" t="s">
        <v>433</v>
      </c>
      <c r="B133" t="s">
        <v>147</v>
      </c>
      <c r="C133">
        <v>8.5070000000000007E-2</v>
      </c>
      <c r="D133">
        <v>9.1669999999999998E-3</v>
      </c>
      <c r="E133">
        <v>735.83517292126567</v>
      </c>
      <c r="F133">
        <v>46.418800128432743</v>
      </c>
      <c r="G133" s="7">
        <f t="shared" si="2"/>
        <v>8.754729381372357</v>
      </c>
      <c r="H133" s="7">
        <f t="shared" si="3"/>
        <v>0.55227590129878745</v>
      </c>
      <c r="I133">
        <v>0.45400000000000001</v>
      </c>
      <c r="J133">
        <v>3.1690000000000003E-2</v>
      </c>
      <c r="K133" s="3">
        <v>0.78839999999999999</v>
      </c>
      <c r="L133" s="3">
        <v>1.8885300000000001E-2</v>
      </c>
      <c r="M133" s="3">
        <v>5.9836899999999998E-3</v>
      </c>
      <c r="N133" s="1">
        <v>4.2</v>
      </c>
      <c r="O133" s="1">
        <v>1</v>
      </c>
      <c r="P133">
        <v>1.2622826908541194E-2</v>
      </c>
      <c r="Q133">
        <v>30.216504638177089</v>
      </c>
      <c r="S133" t="s">
        <v>291</v>
      </c>
    </row>
    <row r="134" spans="1:19">
      <c r="A134" t="s">
        <v>434</v>
      </c>
      <c r="B134" t="s">
        <v>147</v>
      </c>
      <c r="C134">
        <v>2.4570000000000002E-2</v>
      </c>
      <c r="D134">
        <v>3.179E-3</v>
      </c>
      <c r="E134">
        <v>1225.3400318588408</v>
      </c>
      <c r="F134">
        <v>65.028154368099976</v>
      </c>
      <c r="G134" s="7">
        <f t="shared" si="2"/>
        <v>5.2587730634236198</v>
      </c>
      <c r="H134" s="7">
        <f t="shared" si="3"/>
        <v>0.27908033497963108</v>
      </c>
      <c r="I134">
        <v>0.21840000000000001</v>
      </c>
      <c r="J134">
        <v>2.5510000000000001E-2</v>
      </c>
      <c r="K134" s="3">
        <v>0.43049999999999999</v>
      </c>
      <c r="L134" s="3">
        <v>2.76834E-2</v>
      </c>
      <c r="M134" s="3">
        <v>9.4066500000000008E-3</v>
      </c>
      <c r="N134" s="1">
        <v>4.0999999999999996</v>
      </c>
      <c r="O134" s="1">
        <v>0.56999999999999995</v>
      </c>
      <c r="P134">
        <v>1.0308012093726379E-2</v>
      </c>
      <c r="Q134">
        <v>28.271599022473524</v>
      </c>
      <c r="S134" t="s">
        <v>292</v>
      </c>
    </row>
    <row r="135" spans="1:19">
      <c r="A135" t="s">
        <v>435</v>
      </c>
      <c r="B135" t="s">
        <v>147</v>
      </c>
      <c r="C135">
        <v>1.1259999999999999E-2</v>
      </c>
      <c r="D135">
        <v>1.2769999999999999E-3</v>
      </c>
      <c r="E135">
        <v>1204.5290291496026</v>
      </c>
      <c r="F135">
        <v>66.000994382095186</v>
      </c>
      <c r="G135" s="7">
        <f t="shared" ref="G135:G198" si="4">(LN((1/E135)+1))/0.000155125</f>
        <v>5.3495927451719689</v>
      </c>
      <c r="H135" s="7">
        <f t="shared" ref="H135:H198" si="5">(F135/E135)*G135</f>
        <v>0.29312572148623572</v>
      </c>
      <c r="I135">
        <v>9.8369999999999999E-2</v>
      </c>
      <c r="J135">
        <v>9.1760000000000001E-3</v>
      </c>
      <c r="K135" s="3">
        <v>0.57599999999999996</v>
      </c>
      <c r="L135" s="3">
        <v>2.59765E-3</v>
      </c>
      <c r="M135" s="3">
        <v>2.5978099999999999E-3</v>
      </c>
      <c r="N135" s="1">
        <v>4.99</v>
      </c>
      <c r="O135" s="1">
        <v>0.56000000000000005</v>
      </c>
      <c r="P135">
        <v>0.13841647770219198</v>
      </c>
      <c r="Q135">
        <v>49.411877454033991</v>
      </c>
      <c r="S135" t="s">
        <v>293</v>
      </c>
    </row>
    <row r="136" spans="1:19">
      <c r="A136" t="s">
        <v>436</v>
      </c>
      <c r="B136" t="s">
        <v>147</v>
      </c>
      <c r="C136">
        <v>1.29E-2</v>
      </c>
      <c r="D136">
        <v>2.2659999999999998E-3</v>
      </c>
      <c r="E136">
        <v>1472.3203769140164</v>
      </c>
      <c r="F136">
        <v>69.909205175908454</v>
      </c>
      <c r="G136" s="7">
        <f t="shared" si="4"/>
        <v>4.376918279245765</v>
      </c>
      <c r="H136" s="7">
        <f t="shared" si="5"/>
        <v>0.20782628755252636</v>
      </c>
      <c r="I136">
        <v>0.13780000000000001</v>
      </c>
      <c r="J136">
        <v>1.9650000000000001E-2</v>
      </c>
      <c r="K136" s="3">
        <v>0.7651</v>
      </c>
      <c r="L136" s="3">
        <v>3.6340000000000001E-3</v>
      </c>
      <c r="M136" s="3">
        <v>2.4019000000000002E-3</v>
      </c>
      <c r="N136" s="1">
        <v>3.86</v>
      </c>
      <c r="O136" s="1">
        <v>0.43</v>
      </c>
      <c r="P136">
        <v>3.8274754346182918E-3</v>
      </c>
      <c r="Q136">
        <v>59.249153684186787</v>
      </c>
      <c r="S136" t="s">
        <v>195</v>
      </c>
    </row>
    <row r="137" spans="1:19">
      <c r="A137" t="s">
        <v>437</v>
      </c>
      <c r="B137" t="s">
        <v>147</v>
      </c>
      <c r="C137">
        <v>9.0360000000000006E-3</v>
      </c>
      <c r="D137">
        <v>7.4910000000000005E-4</v>
      </c>
      <c r="E137">
        <v>1478.6337424220021</v>
      </c>
      <c r="F137">
        <v>66.836956241077331</v>
      </c>
      <c r="G137" s="7">
        <f t="shared" si="4"/>
        <v>4.3582363398026231</v>
      </c>
      <c r="H137" s="7">
        <f t="shared" si="5"/>
        <v>0.19700027341086229</v>
      </c>
      <c r="I137">
        <v>9.69E-2</v>
      </c>
      <c r="J137">
        <v>6.8630000000000002E-3</v>
      </c>
      <c r="K137" s="3">
        <v>0.5202</v>
      </c>
      <c r="L137" s="3">
        <v>1.1310999999999999E-3</v>
      </c>
      <c r="M137" s="3">
        <v>1.13098E-3</v>
      </c>
      <c r="N137" s="1">
        <v>4.08</v>
      </c>
      <c r="O137" s="1">
        <v>0.37</v>
      </c>
      <c r="P137">
        <v>4.2082388510959936E-3</v>
      </c>
      <c r="Q137">
        <v>101.05053090285901</v>
      </c>
      <c r="S137" t="s">
        <v>196</v>
      </c>
    </row>
    <row r="138" spans="1:19">
      <c r="A138" t="s">
        <v>438</v>
      </c>
      <c r="B138" t="s">
        <v>147</v>
      </c>
      <c r="C138">
        <v>1.644E-2</v>
      </c>
      <c r="D138">
        <v>2.2279999999999999E-3</v>
      </c>
      <c r="E138">
        <v>1438.0212827149842</v>
      </c>
      <c r="F138">
        <v>74.713415220725309</v>
      </c>
      <c r="G138" s="7">
        <f t="shared" si="4"/>
        <v>4.481278462243897</v>
      </c>
      <c r="H138" s="7">
        <f t="shared" si="5"/>
        <v>0.23282799948356631</v>
      </c>
      <c r="I138">
        <v>0.1714</v>
      </c>
      <c r="J138">
        <v>2.0719999999999999E-2</v>
      </c>
      <c r="K138" s="3">
        <v>0.45939999999999998</v>
      </c>
      <c r="L138" s="3">
        <v>2.3364599999999999E-2</v>
      </c>
      <c r="M138" s="3">
        <v>1.0792400000000001E-2</v>
      </c>
      <c r="N138" s="1">
        <v>3.76</v>
      </c>
      <c r="O138" s="1">
        <v>0.46</v>
      </c>
      <c r="P138">
        <v>6.1498488284202572E-3</v>
      </c>
      <c r="Q138">
        <v>14.68826545424821</v>
      </c>
      <c r="S138" t="s">
        <v>197</v>
      </c>
    </row>
    <row r="139" spans="1:19">
      <c r="A139" t="s">
        <v>439</v>
      </c>
      <c r="B139" t="s">
        <v>147</v>
      </c>
      <c r="C139">
        <v>2.29E-2</v>
      </c>
      <c r="D139">
        <v>6.0239999999999998E-3</v>
      </c>
      <c r="E139">
        <v>1226.3919548687761</v>
      </c>
      <c r="F139">
        <v>97.521773796531079</v>
      </c>
      <c r="G139" s="7">
        <f t="shared" si="4"/>
        <v>5.2542642515596478</v>
      </c>
      <c r="H139" s="7">
        <f t="shared" si="5"/>
        <v>0.41781517546127978</v>
      </c>
      <c r="I139">
        <v>0.20369999999999999</v>
      </c>
      <c r="J139">
        <v>4.6769999999999999E-2</v>
      </c>
      <c r="K139" s="3">
        <v>0.54469999999999996</v>
      </c>
      <c r="L139" s="3">
        <v>2.1614100000000001E-2</v>
      </c>
      <c r="M139" s="3">
        <v>1.3146400000000001E-2</v>
      </c>
      <c r="N139" s="1">
        <v>4.2</v>
      </c>
      <c r="O139" s="1">
        <v>0.92</v>
      </c>
      <c r="P139">
        <v>1.0015117157974301E-2</v>
      </c>
      <c r="Q139">
        <v>17.774746105256035</v>
      </c>
      <c r="S139" t="s">
        <v>297</v>
      </c>
    </row>
    <row r="140" spans="1:19">
      <c r="A140" t="s">
        <v>440</v>
      </c>
      <c r="B140" t="s">
        <v>147</v>
      </c>
      <c r="C140">
        <v>9.5449999999999997E-3</v>
      </c>
      <c r="D140">
        <v>1.0549999999999999E-3</v>
      </c>
      <c r="E140">
        <v>1496.3339817447254</v>
      </c>
      <c r="F140">
        <v>63.543256624143801</v>
      </c>
      <c r="G140" s="7">
        <f t="shared" si="4"/>
        <v>4.3066996744455261</v>
      </c>
      <c r="H140" s="7">
        <f t="shared" si="5"/>
        <v>0.18288812922454589</v>
      </c>
      <c r="I140">
        <v>0.1036</v>
      </c>
      <c r="J140">
        <v>1.1129999999999999E-2</v>
      </c>
      <c r="K140" s="3">
        <v>0.26529999999999998</v>
      </c>
      <c r="L140" s="3">
        <v>3.45978E-3</v>
      </c>
      <c r="M140" s="3">
        <v>2.6475299999999999E-3</v>
      </c>
      <c r="N140" s="1">
        <v>3.99</v>
      </c>
      <c r="O140" s="1">
        <v>0.36</v>
      </c>
      <c r="P140">
        <v>5.6538170823885103E-3</v>
      </c>
      <c r="Q140">
        <v>46.818669966429233</v>
      </c>
      <c r="S140" t="s">
        <v>199</v>
      </c>
    </row>
    <row r="141" spans="1:19">
      <c r="A141" t="s">
        <v>441</v>
      </c>
      <c r="B141" t="s">
        <v>147</v>
      </c>
      <c r="C141">
        <v>0.59470000000000001</v>
      </c>
      <c r="D141">
        <v>6.3270000000000007E-2</v>
      </c>
      <c r="E141">
        <v>166.11295681063123</v>
      </c>
      <c r="F141">
        <v>14.657674860100883</v>
      </c>
      <c r="G141" s="7">
        <f t="shared" si="4"/>
        <v>38.691069754290638</v>
      </c>
      <c r="H141" s="7">
        <f t="shared" si="5"/>
        <v>3.4140691450962106</v>
      </c>
      <c r="I141">
        <v>0.71650000000000003</v>
      </c>
      <c r="J141">
        <v>2.4910000000000002E-2</v>
      </c>
      <c r="K141" s="3">
        <v>0.95320000000000005</v>
      </c>
      <c r="L141" s="3">
        <v>4.5961700000000001E-2</v>
      </c>
      <c r="M141" s="3">
        <v>7.1526899999999997E-3</v>
      </c>
      <c r="N141" s="1">
        <v>5.5</v>
      </c>
      <c r="O141" s="1">
        <v>5</v>
      </c>
      <c r="P141">
        <v>4.1969009826152683E-2</v>
      </c>
      <c r="Q141">
        <v>19.916960986320831</v>
      </c>
      <c r="S141" t="s">
        <v>200</v>
      </c>
    </row>
    <row r="142" spans="1:19">
      <c r="A142" t="s">
        <v>442</v>
      </c>
      <c r="B142" t="s">
        <v>147</v>
      </c>
      <c r="C142">
        <v>9.7999999999999997E-3</v>
      </c>
      <c r="D142">
        <v>1.4989999999999999E-3</v>
      </c>
      <c r="E142">
        <v>1656.7263088137838</v>
      </c>
      <c r="F142">
        <v>82.424604131341823</v>
      </c>
      <c r="G142" s="7">
        <f t="shared" si="4"/>
        <v>3.8898817520751674</v>
      </c>
      <c r="H142" s="7">
        <f t="shared" si="5"/>
        <v>0.19352741718823274</v>
      </c>
      <c r="I142">
        <v>0.1177</v>
      </c>
      <c r="J142">
        <v>1.7319999999999999E-2</v>
      </c>
      <c r="K142" s="3">
        <v>0.27910000000000001</v>
      </c>
      <c r="L142" s="3">
        <v>0</v>
      </c>
      <c r="M142" s="3">
        <v>0</v>
      </c>
      <c r="N142" s="1">
        <v>3.53</v>
      </c>
      <c r="O142" s="1">
        <v>0.39</v>
      </c>
      <c r="P142">
        <v>3.1566515495086924E-3</v>
      </c>
      <c r="Q142">
        <v>24.201390748450418</v>
      </c>
      <c r="S142" t="s">
        <v>301</v>
      </c>
    </row>
    <row r="143" spans="1:19">
      <c r="G143" s="7" t="e">
        <f t="shared" si="4"/>
        <v>#DIV/0!</v>
      </c>
      <c r="H143" s="7" t="e">
        <f t="shared" si="5"/>
        <v>#DIV/0!</v>
      </c>
    </row>
    <row r="144" spans="1:19">
      <c r="A144" s="1" t="s">
        <v>507</v>
      </c>
      <c r="B144" s="1"/>
      <c r="G144" s="7" t="e">
        <f t="shared" si="4"/>
        <v>#DIV/0!</v>
      </c>
      <c r="H144" s="7" t="e">
        <f t="shared" si="5"/>
        <v>#DIV/0!</v>
      </c>
    </row>
    <row r="145" spans="1:19">
      <c r="A145" t="s">
        <v>379</v>
      </c>
      <c r="B145" t="s">
        <v>563</v>
      </c>
      <c r="C145">
        <v>0.2</v>
      </c>
      <c r="D145">
        <v>2.2880000000000001E-2</v>
      </c>
      <c r="E145">
        <v>50.735667174023341</v>
      </c>
      <c r="F145">
        <v>4.2395557501581154</v>
      </c>
      <c r="G145" s="7">
        <f t="shared" si="4"/>
        <v>125.8228728179195</v>
      </c>
      <c r="H145" s="7">
        <f t="shared" si="5"/>
        <v>10.513966084785057</v>
      </c>
      <c r="I145">
        <v>7.3609999999999995E-2</v>
      </c>
      <c r="J145">
        <v>4.6169999999999996E-3</v>
      </c>
      <c r="K145" s="3">
        <v>0.84399999999999997</v>
      </c>
      <c r="L145" s="3">
        <v>7.3896999999999999E-3</v>
      </c>
      <c r="M145" s="3">
        <v>2.2032100000000002E-3</v>
      </c>
      <c r="N145" s="1">
        <v>122</v>
      </c>
      <c r="O145" s="1">
        <v>20</v>
      </c>
      <c r="P145">
        <v>0.32444707740916273</v>
      </c>
      <c r="Q145">
        <v>11.301935604525761</v>
      </c>
      <c r="S145" t="s">
        <v>399</v>
      </c>
    </row>
    <row r="146" spans="1:19">
      <c r="A146" t="s">
        <v>380</v>
      </c>
      <c r="B146" t="s">
        <v>563</v>
      </c>
      <c r="C146">
        <v>0.15040000000000001</v>
      </c>
      <c r="D146">
        <v>1.1169999999999999E-2</v>
      </c>
      <c r="E146">
        <v>88.967971530249116</v>
      </c>
      <c r="F146">
        <v>5.0198832334950172</v>
      </c>
      <c r="G146" s="7">
        <f t="shared" si="4"/>
        <v>72.053509041902771</v>
      </c>
      <c r="H146" s="7">
        <f t="shared" si="5"/>
        <v>4.0655102699621652</v>
      </c>
      <c r="I146">
        <v>9.708E-2</v>
      </c>
      <c r="J146">
        <v>3.2650000000000001E-3</v>
      </c>
      <c r="K146" s="3">
        <v>0.90300000000000002</v>
      </c>
      <c r="L146" s="3">
        <v>1.9610999999999999E-3</v>
      </c>
      <c r="M146" s="3">
        <v>4.6508399999999999E-4</v>
      </c>
      <c r="N146" s="1">
        <v>67.5</v>
      </c>
      <c r="O146" s="1">
        <v>7.5</v>
      </c>
      <c r="P146">
        <v>0.60722748815165883</v>
      </c>
      <c r="Q146">
        <v>60.399588567153941</v>
      </c>
      <c r="S146" t="s">
        <v>400</v>
      </c>
    </row>
    <row r="147" spans="1:19">
      <c r="A147" t="s">
        <v>381</v>
      </c>
      <c r="B147" t="s">
        <v>563</v>
      </c>
      <c r="C147">
        <v>0.128</v>
      </c>
      <c r="D147">
        <v>6.1159999999999999E-3</v>
      </c>
      <c r="E147">
        <v>1362.3978201634877</v>
      </c>
      <c r="F147">
        <v>63.757990630266768</v>
      </c>
      <c r="G147" s="7">
        <f t="shared" si="4"/>
        <v>4.7299323367808235</v>
      </c>
      <c r="H147" s="7">
        <f t="shared" si="5"/>
        <v>0.22135310050193638</v>
      </c>
      <c r="I147">
        <v>1.2649999999999999</v>
      </c>
      <c r="J147">
        <v>1.38E-2</v>
      </c>
      <c r="K147" s="3">
        <v>0.97360000000000002</v>
      </c>
      <c r="L147" s="3">
        <v>1.2489000000000001E-3</v>
      </c>
      <c r="M147" s="3">
        <v>3.3302800000000002E-4</v>
      </c>
      <c r="P147">
        <v>0.55825434439178523</v>
      </c>
      <c r="Q147">
        <v>1138.9209238537542</v>
      </c>
      <c r="S147" t="s">
        <v>401</v>
      </c>
    </row>
    <row r="148" spans="1:19">
      <c r="A148" t="s">
        <v>382</v>
      </c>
      <c r="B148" t="s">
        <v>563</v>
      </c>
      <c r="C148">
        <v>0.3291</v>
      </c>
      <c r="D148">
        <v>5.6189999999999997E-2</v>
      </c>
      <c r="E148">
        <v>53.106744556558681</v>
      </c>
      <c r="F148">
        <v>8.6555814680870213</v>
      </c>
      <c r="G148" s="7">
        <f t="shared" si="4"/>
        <v>120.25727701638115</v>
      </c>
      <c r="H148" s="7">
        <f t="shared" si="5"/>
        <v>19.600084076647573</v>
      </c>
      <c r="I148">
        <v>0.1268</v>
      </c>
      <c r="J148">
        <v>4.7949999999999998E-3</v>
      </c>
      <c r="K148" s="3">
        <v>0.97540000000000004</v>
      </c>
      <c r="L148" s="3">
        <v>1.3013E-2</v>
      </c>
      <c r="M148" s="3">
        <v>1.5983099999999999E-3</v>
      </c>
      <c r="N148" s="1">
        <v>108</v>
      </c>
      <c r="O148" s="1">
        <v>35</v>
      </c>
      <c r="P148">
        <v>0.47472353870458139</v>
      </c>
      <c r="Q148">
        <v>99.491942773431418</v>
      </c>
      <c r="S148" t="s">
        <v>402</v>
      </c>
    </row>
    <row r="149" spans="1:19">
      <c r="A149" t="s">
        <v>383</v>
      </c>
      <c r="B149" t="s">
        <v>563</v>
      </c>
      <c r="C149">
        <v>0.1166</v>
      </c>
      <c r="D149">
        <v>7.293E-3</v>
      </c>
      <c r="E149">
        <v>60.168471720818296</v>
      </c>
      <c r="F149">
        <v>2.8556492474958768</v>
      </c>
      <c r="G149" s="7">
        <f t="shared" si="4"/>
        <v>106.25881874845379</v>
      </c>
      <c r="H149" s="7">
        <f t="shared" si="5"/>
        <v>5.0431381605764347</v>
      </c>
      <c r="I149">
        <v>5.0869999999999999E-2</v>
      </c>
      <c r="J149">
        <v>1.848E-3</v>
      </c>
      <c r="K149" s="3">
        <v>0.81599999999999995</v>
      </c>
      <c r="L149" s="3">
        <v>7.6579000000000003E-4</v>
      </c>
      <c r="M149" s="3">
        <v>2.3096299999999999E-4</v>
      </c>
      <c r="N149" s="1">
        <v>105.9</v>
      </c>
      <c r="O149" s="1">
        <v>9.9</v>
      </c>
      <c r="P149">
        <v>0.52409162717219593</v>
      </c>
      <c r="Q149">
        <v>32.179035626344167</v>
      </c>
      <c r="S149" t="s">
        <v>403</v>
      </c>
    </row>
    <row r="150" spans="1:19">
      <c r="A150" t="s">
        <v>384</v>
      </c>
      <c r="B150" t="s">
        <v>563</v>
      </c>
      <c r="C150">
        <v>0.1449</v>
      </c>
      <c r="D150">
        <v>7.9719999999999999E-3</v>
      </c>
      <c r="E150">
        <v>50.658561296859169</v>
      </c>
      <c r="F150">
        <v>2.1674883926710868</v>
      </c>
      <c r="G150" s="7">
        <f t="shared" si="4"/>
        <v>126.01252436660033</v>
      </c>
      <c r="H150" s="7">
        <f t="shared" si="5"/>
        <v>5.3915997001028693</v>
      </c>
      <c r="I150">
        <v>5.3269999999999998E-2</v>
      </c>
      <c r="J150">
        <v>1.408E-3</v>
      </c>
      <c r="K150" s="3">
        <v>0.88329999999999997</v>
      </c>
      <c r="L150" s="3">
        <v>6.2339000000000003E-4</v>
      </c>
      <c r="M150" s="3">
        <v>1.3478700000000001E-4</v>
      </c>
      <c r="N150" s="1">
        <v>125</v>
      </c>
      <c r="O150" s="1">
        <v>11</v>
      </c>
      <c r="P150">
        <v>0.2877172195892575</v>
      </c>
      <c r="Q150">
        <v>43.456035906866568</v>
      </c>
      <c r="S150" t="s">
        <v>404</v>
      </c>
    </row>
    <row r="151" spans="1:19">
      <c r="A151" t="s">
        <v>385</v>
      </c>
      <c r="B151" t="s">
        <v>563</v>
      </c>
      <c r="C151">
        <v>0.12479999999999999</v>
      </c>
      <c r="D151">
        <v>5.6889999999999996E-3</v>
      </c>
      <c r="E151">
        <v>53.676865271068166</v>
      </c>
      <c r="F151">
        <v>2.4723627530383037</v>
      </c>
      <c r="G151" s="7">
        <f t="shared" si="4"/>
        <v>118.991698462139</v>
      </c>
      <c r="H151" s="7">
        <f t="shared" si="5"/>
        <v>5.4807716827891291</v>
      </c>
      <c r="I151">
        <v>4.8579999999999998E-2</v>
      </c>
      <c r="J151">
        <v>3.9399999999999998E-4</v>
      </c>
      <c r="K151" s="3">
        <v>0.98440000000000005</v>
      </c>
      <c r="L151" s="3">
        <v>6.0804999999999998E-5</v>
      </c>
      <c r="M151" s="3">
        <v>1.3805099999999999E-5</v>
      </c>
      <c r="N151" s="1">
        <v>119</v>
      </c>
      <c r="O151" s="1">
        <v>11</v>
      </c>
      <c r="P151">
        <v>0.34982227488151663</v>
      </c>
      <c r="Q151">
        <v>844.68410061403233</v>
      </c>
      <c r="S151" t="s">
        <v>405</v>
      </c>
    </row>
    <row r="152" spans="1:19">
      <c r="A152" t="s">
        <v>386</v>
      </c>
      <c r="B152" t="s">
        <v>563</v>
      </c>
      <c r="C152">
        <v>0.16020000000000001</v>
      </c>
      <c r="D152">
        <v>2.53E-2</v>
      </c>
      <c r="E152">
        <v>42.480883602378931</v>
      </c>
      <c r="F152">
        <v>6.6626772412906972</v>
      </c>
      <c r="G152" s="7">
        <f t="shared" si="4"/>
        <v>149.99005278546983</v>
      </c>
      <c r="H152" s="7">
        <f t="shared" si="5"/>
        <v>23.524353223617442</v>
      </c>
      <c r="I152">
        <v>4.9360000000000001E-2</v>
      </c>
      <c r="J152">
        <v>5.7160000000000002E-4</v>
      </c>
      <c r="K152" s="3">
        <v>0.99729999999999996</v>
      </c>
      <c r="L152" s="3">
        <v>5.3171000000000003E-5</v>
      </c>
      <c r="M152" s="3">
        <v>2.1977E-5</v>
      </c>
      <c r="N152" s="1">
        <v>150</v>
      </c>
      <c r="O152" s="1">
        <v>46</v>
      </c>
      <c r="P152">
        <v>0.15215244865718799</v>
      </c>
      <c r="Q152">
        <v>1807.1876071439701</v>
      </c>
      <c r="S152" t="s">
        <v>406</v>
      </c>
    </row>
    <row r="153" spans="1:19">
      <c r="A153" t="s">
        <v>387</v>
      </c>
      <c r="B153" t="s">
        <v>563</v>
      </c>
      <c r="C153">
        <v>0.12970000000000001</v>
      </c>
      <c r="D153">
        <v>6.7819999999999998E-3</v>
      </c>
      <c r="E153">
        <v>52.910052910052912</v>
      </c>
      <c r="F153">
        <v>2.6547409087091629</v>
      </c>
      <c r="G153" s="7">
        <f t="shared" si="4"/>
        <v>120.70017081774382</v>
      </c>
      <c r="H153" s="7">
        <f t="shared" si="5"/>
        <v>6.0560831738871155</v>
      </c>
      <c r="I153">
        <v>4.9779999999999998E-2</v>
      </c>
      <c r="J153">
        <v>1.111E-3</v>
      </c>
      <c r="K153" s="3">
        <v>0.90590000000000004</v>
      </c>
      <c r="L153" s="3">
        <v>1.5431E-4</v>
      </c>
      <c r="M153" s="3">
        <v>5.0334000000000003E-5</v>
      </c>
      <c r="N153" s="1">
        <v>120</v>
      </c>
      <c r="O153" s="1">
        <v>12</v>
      </c>
      <c r="P153">
        <v>0.72926540284360197</v>
      </c>
      <c r="Q153">
        <v>176.97846211389211</v>
      </c>
      <c r="S153" t="s">
        <v>407</v>
      </c>
    </row>
    <row r="154" spans="1:19">
      <c r="A154" t="s">
        <v>521</v>
      </c>
      <c r="B154" t="s">
        <v>563</v>
      </c>
      <c r="C154">
        <v>0.12820000000000001</v>
      </c>
      <c r="D154">
        <v>5.7359999999999998E-3</v>
      </c>
      <c r="E154">
        <v>52.60389268805892</v>
      </c>
      <c r="F154">
        <v>2.3484967766625782</v>
      </c>
      <c r="G154" s="7">
        <f t="shared" si="4"/>
        <v>121.39608531909202</v>
      </c>
      <c r="H154" s="7">
        <f t="shared" si="5"/>
        <v>5.4197189695062287</v>
      </c>
      <c r="I154">
        <v>4.8919999999999998E-2</v>
      </c>
      <c r="J154">
        <v>4.8890000000000001E-4</v>
      </c>
      <c r="K154" s="3">
        <v>0.97499999999999998</v>
      </c>
      <c r="L154" s="3">
        <v>5.0362000000000003E-5</v>
      </c>
      <c r="M154" s="3">
        <v>1.34599E-5</v>
      </c>
      <c r="N154" s="1">
        <v>121</v>
      </c>
      <c r="O154" s="1">
        <v>11</v>
      </c>
      <c r="P154">
        <v>1.0890600315955767</v>
      </c>
      <c r="Q154">
        <v>724.99454539787428</v>
      </c>
      <c r="S154" t="s">
        <v>408</v>
      </c>
    </row>
    <row r="155" spans="1:19">
      <c r="A155" t="s">
        <v>388</v>
      </c>
      <c r="B155" t="s">
        <v>563</v>
      </c>
      <c r="C155">
        <v>0.18229999999999999</v>
      </c>
      <c r="D155">
        <v>2.7689999999999999E-2</v>
      </c>
      <c r="E155">
        <v>42.158516020236085</v>
      </c>
      <c r="F155">
        <v>4.6744054440649618</v>
      </c>
      <c r="G155" s="7">
        <f t="shared" si="4"/>
        <v>151.12362112146081</v>
      </c>
      <c r="H155" s="7">
        <f t="shared" si="5"/>
        <v>16.75611819348406</v>
      </c>
      <c r="I155">
        <v>5.5730000000000002E-2</v>
      </c>
      <c r="J155">
        <v>5.0889999999999998E-3</v>
      </c>
      <c r="K155" s="3">
        <v>0.8024</v>
      </c>
      <c r="L155" s="3">
        <v>2.7358999999999999E-3</v>
      </c>
      <c r="M155" s="3">
        <v>1.00304E-3</v>
      </c>
      <c r="N155" s="1">
        <v>150</v>
      </c>
      <c r="O155" s="1">
        <v>33</v>
      </c>
      <c r="P155">
        <v>0.29028436018957349</v>
      </c>
      <c r="Q155">
        <v>11.002711716485365</v>
      </c>
      <c r="S155" t="s">
        <v>409</v>
      </c>
    </row>
    <row r="156" spans="1:19">
      <c r="A156" t="s">
        <v>389</v>
      </c>
      <c r="B156" t="s">
        <v>563</v>
      </c>
      <c r="C156">
        <v>0.12659999999999999</v>
      </c>
      <c r="D156">
        <v>7.6400000000000001E-3</v>
      </c>
      <c r="E156">
        <v>57.012542759407069</v>
      </c>
      <c r="F156">
        <v>3.0072978655076068</v>
      </c>
      <c r="G156" s="7">
        <f t="shared" si="4"/>
        <v>112.0899249071843</v>
      </c>
      <c r="H156" s="7">
        <f t="shared" si="5"/>
        <v>5.9125198702466886</v>
      </c>
      <c r="I156">
        <v>5.2380000000000003E-2</v>
      </c>
      <c r="J156">
        <v>1.6900000000000001E-3</v>
      </c>
      <c r="K156" s="3">
        <v>0.84540000000000004</v>
      </c>
      <c r="L156" s="3">
        <v>4.0293000000000002E-4</v>
      </c>
      <c r="M156" s="3">
        <v>1.4522800000000001E-4</v>
      </c>
      <c r="N156" s="1">
        <v>112</v>
      </c>
      <c r="O156" s="1">
        <v>12</v>
      </c>
      <c r="P156">
        <v>0.62509873617693523</v>
      </c>
      <c r="Q156">
        <v>60.655175638188453</v>
      </c>
      <c r="S156" t="s">
        <v>410</v>
      </c>
    </row>
    <row r="157" spans="1:19">
      <c r="G157" s="7" t="e">
        <f t="shared" si="4"/>
        <v>#DIV/0!</v>
      </c>
      <c r="H157" s="7" t="e">
        <f t="shared" si="5"/>
        <v>#DIV/0!</v>
      </c>
      <c r="K157" s="3"/>
      <c r="L157" s="3"/>
      <c r="M157" s="3"/>
    </row>
    <row r="158" spans="1:19">
      <c r="A158" t="s">
        <v>390</v>
      </c>
      <c r="B158" t="s">
        <v>563</v>
      </c>
      <c r="C158">
        <v>0.11269999999999999</v>
      </c>
      <c r="D158">
        <v>5.2659999999999998E-3</v>
      </c>
      <c r="E158">
        <v>58.513750731421879</v>
      </c>
      <c r="F158">
        <v>2.5860407213249235</v>
      </c>
      <c r="G158" s="7">
        <f t="shared" si="4"/>
        <v>109.23841241670765</v>
      </c>
      <c r="H158" s="7">
        <f t="shared" si="5"/>
        <v>4.8278392567781907</v>
      </c>
      <c r="I158">
        <v>4.7840000000000001E-2</v>
      </c>
      <c r="J158">
        <v>5.6590000000000004E-4</v>
      </c>
      <c r="K158" s="3">
        <v>0.9677</v>
      </c>
      <c r="L158" s="3">
        <v>4.4642999999999999E-5</v>
      </c>
      <c r="M158" s="3">
        <v>2.3175599999999999E-5</v>
      </c>
      <c r="N158" s="1">
        <v>109.3</v>
      </c>
      <c r="O158" s="1">
        <v>9.5</v>
      </c>
      <c r="P158">
        <v>0.43108214849921012</v>
      </c>
      <c r="Q158">
        <v>1273.5716734719322</v>
      </c>
      <c r="S158" t="s">
        <v>411</v>
      </c>
    </row>
    <row r="159" spans="1:19">
      <c r="A159" t="s">
        <v>391</v>
      </c>
      <c r="B159" t="s">
        <v>563</v>
      </c>
      <c r="C159">
        <v>0.14299999999999999</v>
      </c>
      <c r="D159">
        <v>1.0580000000000001E-2</v>
      </c>
      <c r="E159">
        <v>47.66444232602479</v>
      </c>
      <c r="F159">
        <v>3.5873286192942397</v>
      </c>
      <c r="G159" s="7">
        <f t="shared" si="4"/>
        <v>133.84657761211281</v>
      </c>
      <c r="H159" s="7">
        <f t="shared" si="5"/>
        <v>10.073581794543667</v>
      </c>
      <c r="I159">
        <v>4.9430000000000002E-2</v>
      </c>
      <c r="J159">
        <v>4.8430000000000001E-4</v>
      </c>
      <c r="K159" s="3">
        <v>0.99150000000000005</v>
      </c>
      <c r="L159" s="3">
        <v>4.2054000000000001E-5</v>
      </c>
      <c r="M159" s="3">
        <v>1.9399399999999999E-5</v>
      </c>
      <c r="N159" s="1">
        <v>134</v>
      </c>
      <c r="O159" s="1">
        <v>20</v>
      </c>
      <c r="P159">
        <v>0.38595971563981046</v>
      </c>
      <c r="Q159">
        <v>448.02543403048344</v>
      </c>
      <c r="S159" t="s">
        <v>412</v>
      </c>
    </row>
    <row r="160" spans="1:19">
      <c r="A160" s="5" t="s">
        <v>522</v>
      </c>
      <c r="B160" t="s">
        <v>147</v>
      </c>
      <c r="C160">
        <v>0.15640000000000001</v>
      </c>
      <c r="D160">
        <v>4.7280000000000004E-3</v>
      </c>
      <c r="E160">
        <v>43.38394793926247</v>
      </c>
      <c r="F160">
        <v>1.2849553691164635</v>
      </c>
      <c r="G160" s="7">
        <f t="shared" si="4"/>
        <v>146.90321760149052</v>
      </c>
      <c r="H160" s="7">
        <f t="shared" si="5"/>
        <v>4.3510120024528227</v>
      </c>
      <c r="I160">
        <v>4.9200000000000001E-2</v>
      </c>
      <c r="J160">
        <v>3.5120000000000003E-4</v>
      </c>
      <c r="K160" s="3">
        <v>0.9718</v>
      </c>
      <c r="L160" s="3">
        <v>5.7568700000000003E-5</v>
      </c>
      <c r="M160" s="3">
        <v>1.7836500000000001E-5</v>
      </c>
      <c r="N160" s="1">
        <v>146.9</v>
      </c>
      <c r="O160" s="1">
        <v>8.5</v>
      </c>
      <c r="P160">
        <v>0.18934240362811791</v>
      </c>
      <c r="Q160">
        <v>569.0962953776077</v>
      </c>
      <c r="S160" t="s">
        <v>302</v>
      </c>
    </row>
    <row r="161" spans="1:19">
      <c r="A161" s="5"/>
      <c r="G161" s="7" t="e">
        <f t="shared" si="4"/>
        <v>#DIV/0!</v>
      </c>
      <c r="H161" s="7" t="e">
        <f t="shared" si="5"/>
        <v>#DIV/0!</v>
      </c>
      <c r="K161" s="3"/>
      <c r="L161" s="3"/>
      <c r="M161" s="3"/>
    </row>
    <row r="162" spans="1:19">
      <c r="A162" t="s">
        <v>558</v>
      </c>
      <c r="B162" t="s">
        <v>563</v>
      </c>
      <c r="C162">
        <v>0.19239999999999999</v>
      </c>
      <c r="D162">
        <v>2.5600000000000001E-2</v>
      </c>
      <c r="E162">
        <v>43.936731107205624</v>
      </c>
      <c r="F162">
        <v>4.092525041620207</v>
      </c>
      <c r="G162" s="7">
        <f t="shared" si="4"/>
        <v>145.07561863058444</v>
      </c>
      <c r="H162" s="7">
        <f t="shared" si="5"/>
        <v>13.513194705485018</v>
      </c>
      <c r="I162">
        <v>6.13E-2</v>
      </c>
      <c r="J162">
        <v>4.2249999999999996E-3</v>
      </c>
      <c r="K162" s="3">
        <v>0.87290000000000001</v>
      </c>
      <c r="L162" s="3">
        <v>7.7059999999999997E-4</v>
      </c>
      <c r="M162" s="3">
        <v>4.2430700000000002E-4</v>
      </c>
      <c r="N162" s="1">
        <v>143</v>
      </c>
      <c r="O162" s="1">
        <v>26</v>
      </c>
      <c r="P162">
        <v>0.44135071090047395</v>
      </c>
      <c r="Q162">
        <v>13.402736651809368</v>
      </c>
      <c r="S162" t="s">
        <v>413</v>
      </c>
    </row>
    <row r="163" spans="1:19">
      <c r="A163" t="s">
        <v>559</v>
      </c>
      <c r="B163" t="s">
        <v>563</v>
      </c>
      <c r="C163">
        <v>0.1283</v>
      </c>
      <c r="D163">
        <v>7.064E-3</v>
      </c>
      <c r="E163">
        <v>55.309734513274343</v>
      </c>
      <c r="F163">
        <v>2.4436623854647981</v>
      </c>
      <c r="G163" s="7">
        <f t="shared" si="4"/>
        <v>115.51007576048382</v>
      </c>
      <c r="H163" s="7">
        <f t="shared" si="5"/>
        <v>5.1033987011877473</v>
      </c>
      <c r="I163">
        <v>5.1479999999999998E-2</v>
      </c>
      <c r="J163">
        <v>1.9629999999999999E-3</v>
      </c>
      <c r="K163" s="3">
        <v>0.72529999999999994</v>
      </c>
      <c r="L163" s="3">
        <v>3.5939000000000001E-4</v>
      </c>
      <c r="M163" s="3">
        <v>1.29527E-4</v>
      </c>
      <c r="N163" s="1">
        <v>115</v>
      </c>
      <c r="O163" s="1">
        <v>10</v>
      </c>
      <c r="P163">
        <v>0.54660347551342814</v>
      </c>
      <c r="Q163">
        <v>47.956861889474176</v>
      </c>
      <c r="S163" t="s">
        <v>414</v>
      </c>
    </row>
    <row r="164" spans="1:19">
      <c r="A164" t="s">
        <v>560</v>
      </c>
      <c r="B164" t="s">
        <v>563</v>
      </c>
      <c r="C164">
        <v>0.1381</v>
      </c>
      <c r="D164">
        <v>8.8129999999999997E-3</v>
      </c>
      <c r="E164">
        <v>48.496605237633368</v>
      </c>
      <c r="F164">
        <v>2.4154225790033688</v>
      </c>
      <c r="G164" s="7">
        <f t="shared" si="4"/>
        <v>131.57315565912285</v>
      </c>
      <c r="H164" s="7">
        <f t="shared" si="5"/>
        <v>6.5531343773966615</v>
      </c>
      <c r="I164">
        <v>4.8579999999999998E-2</v>
      </c>
      <c r="J164">
        <v>1.67E-3</v>
      </c>
      <c r="K164" s="3">
        <v>0.84489999999999998</v>
      </c>
      <c r="L164" s="3">
        <v>2.6018999999999999E-4</v>
      </c>
      <c r="M164" s="3">
        <v>1.1637E-4</v>
      </c>
      <c r="N164" s="1">
        <v>132</v>
      </c>
      <c r="O164" s="1">
        <v>13</v>
      </c>
      <c r="P164">
        <v>0.24861769352290683</v>
      </c>
      <c r="Q164">
        <v>30.932269426175854</v>
      </c>
      <c r="S164" t="s">
        <v>415</v>
      </c>
    </row>
    <row r="165" spans="1:19">
      <c r="A165" t="s">
        <v>561</v>
      </c>
      <c r="B165" t="s">
        <v>563</v>
      </c>
      <c r="C165">
        <v>0.114</v>
      </c>
      <c r="D165">
        <v>4.9090000000000002E-3</v>
      </c>
      <c r="E165">
        <v>58.004640371229705</v>
      </c>
      <c r="F165">
        <v>2.4820199073002414</v>
      </c>
      <c r="G165" s="7">
        <f t="shared" si="4"/>
        <v>110.18905673603462</v>
      </c>
      <c r="H165" s="7">
        <f t="shared" si="5"/>
        <v>4.7149922943255653</v>
      </c>
      <c r="I165">
        <v>4.795E-2</v>
      </c>
      <c r="J165">
        <v>3.771E-4</v>
      </c>
      <c r="K165" s="3">
        <v>0.98319999999999996</v>
      </c>
      <c r="L165" s="3">
        <v>4.7576E-5</v>
      </c>
      <c r="M165" s="3">
        <v>1.1821099999999999E-5</v>
      </c>
      <c r="N165" s="1">
        <v>110.2</v>
      </c>
      <c r="O165" s="1">
        <v>9.3000000000000007</v>
      </c>
      <c r="P165">
        <v>0.3505134281200632</v>
      </c>
      <c r="Q165">
        <v>945.67216282766572</v>
      </c>
      <c r="S165" t="s">
        <v>416</v>
      </c>
    </row>
    <row r="166" spans="1:19">
      <c r="A166" t="s">
        <v>392</v>
      </c>
      <c r="B166" t="s">
        <v>563</v>
      </c>
      <c r="C166">
        <v>0.10970000000000001</v>
      </c>
      <c r="D166">
        <v>5.4720000000000003E-3</v>
      </c>
      <c r="E166">
        <v>64.226075786769428</v>
      </c>
      <c r="F166">
        <v>2.3999184902210957</v>
      </c>
      <c r="G166" s="7">
        <f t="shared" si="4"/>
        <v>99.597300392838193</v>
      </c>
      <c r="H166" s="7">
        <f t="shared" si="5"/>
        <v>3.7216255214228173</v>
      </c>
      <c r="I166">
        <v>5.11E-2</v>
      </c>
      <c r="J166">
        <v>1.861E-3</v>
      </c>
      <c r="K166" s="3">
        <v>0.68659999999999999</v>
      </c>
      <c r="L166" s="3">
        <v>1.917E-4</v>
      </c>
      <c r="M166" s="3">
        <v>8.0295400000000004E-5</v>
      </c>
      <c r="N166" s="1">
        <v>99.2</v>
      </c>
      <c r="O166" s="1">
        <v>7.3</v>
      </c>
      <c r="P166">
        <v>0.33145734597156401</v>
      </c>
      <c r="Q166">
        <v>69.694230589408718</v>
      </c>
      <c r="S166" t="s">
        <v>417</v>
      </c>
    </row>
    <row r="167" spans="1:19">
      <c r="A167" t="s">
        <v>393</v>
      </c>
      <c r="B167" t="s">
        <v>563</v>
      </c>
      <c r="C167">
        <v>0.15440000000000001</v>
      </c>
      <c r="D167">
        <v>1.5049999999999999E-2</v>
      </c>
      <c r="E167">
        <v>53.792361484669179</v>
      </c>
      <c r="F167">
        <v>3.7443418914019322</v>
      </c>
      <c r="G167" s="7">
        <f t="shared" si="4"/>
        <v>118.73855293311767</v>
      </c>
      <c r="H167" s="7">
        <f t="shared" si="5"/>
        <v>8.26507194703896</v>
      </c>
      <c r="I167">
        <v>6.0229999999999999E-2</v>
      </c>
      <c r="J167">
        <v>3.7450000000000001E-3</v>
      </c>
      <c r="K167" s="3">
        <v>0.77259999999999995</v>
      </c>
      <c r="L167" s="3">
        <v>1.1371E-3</v>
      </c>
      <c r="M167" s="3">
        <v>4.6445900000000002E-4</v>
      </c>
      <c r="N167" s="1">
        <v>117</v>
      </c>
      <c r="O167" s="1">
        <v>16</v>
      </c>
      <c r="P167">
        <v>0.31654818325434442</v>
      </c>
      <c r="Q167">
        <v>14.867686937007136</v>
      </c>
      <c r="S167" t="s">
        <v>294</v>
      </c>
    </row>
    <row r="168" spans="1:19">
      <c r="A168" t="s">
        <v>394</v>
      </c>
      <c r="B168" t="s">
        <v>563</v>
      </c>
      <c r="C168">
        <v>0.1336</v>
      </c>
      <c r="D168">
        <v>8.8050000000000003E-3</v>
      </c>
      <c r="E168">
        <v>56.529112492933855</v>
      </c>
      <c r="F168">
        <v>3.1102196263070954</v>
      </c>
      <c r="G168" s="7">
        <f t="shared" si="4"/>
        <v>113.04014884164688</v>
      </c>
      <c r="H168" s="7">
        <f t="shared" si="5"/>
        <v>6.2194447070421086</v>
      </c>
      <c r="I168">
        <v>5.4769999999999999E-2</v>
      </c>
      <c r="J168">
        <v>1.993E-3</v>
      </c>
      <c r="K168" s="3">
        <v>0.83379999999999999</v>
      </c>
      <c r="L168" s="3">
        <v>3.5930000000000001E-4</v>
      </c>
      <c r="M168" s="3">
        <v>1.5050900000000001E-4</v>
      </c>
      <c r="N168" s="1">
        <v>112</v>
      </c>
      <c r="O168" s="1">
        <v>12</v>
      </c>
      <c r="P168">
        <v>0.38911927330173779</v>
      </c>
      <c r="Q168">
        <v>44.646697628027304</v>
      </c>
      <c r="S168" t="s">
        <v>295</v>
      </c>
    </row>
    <row r="169" spans="1:19">
      <c r="A169" t="s">
        <v>483</v>
      </c>
      <c r="B169" t="s">
        <v>563</v>
      </c>
      <c r="C169">
        <v>0.1134</v>
      </c>
      <c r="D169">
        <v>6.7200000000000003E-3</v>
      </c>
      <c r="E169">
        <v>64.267352185089976</v>
      </c>
      <c r="F169">
        <v>2.7342536726561417</v>
      </c>
      <c r="G169" s="7">
        <f t="shared" si="4"/>
        <v>99.533824257069384</v>
      </c>
      <c r="H169" s="7">
        <f t="shared" si="5"/>
        <v>4.2346652736619497</v>
      </c>
      <c r="I169">
        <v>5.2880000000000003E-2</v>
      </c>
      <c r="J169">
        <v>1.7440000000000001E-3</v>
      </c>
      <c r="K169" s="3">
        <v>0.83960000000000001</v>
      </c>
      <c r="L169" s="3">
        <v>5.2243000000000005E-4</v>
      </c>
      <c r="M169" s="3">
        <v>1.32294E-4</v>
      </c>
      <c r="N169" s="1">
        <v>98.9</v>
      </c>
      <c r="O169" s="1">
        <v>8.3000000000000007</v>
      </c>
      <c r="P169">
        <v>0.4851895734597157</v>
      </c>
      <c r="Q169">
        <v>77.050151170401762</v>
      </c>
      <c r="S169" t="s">
        <v>296</v>
      </c>
    </row>
    <row r="170" spans="1:19">
      <c r="A170" t="s">
        <v>484</v>
      </c>
      <c r="B170" t="s">
        <v>563</v>
      </c>
      <c r="C170">
        <v>0.14829999999999999</v>
      </c>
      <c r="D170">
        <v>1.78E-2</v>
      </c>
      <c r="E170">
        <v>56.085249579360635</v>
      </c>
      <c r="F170">
        <v>3.5104396259431563</v>
      </c>
      <c r="G170" s="7">
        <f t="shared" si="4"/>
        <v>113.92689816066003</v>
      </c>
      <c r="H170" s="7">
        <f t="shared" si="5"/>
        <v>7.13081426513161</v>
      </c>
      <c r="I170">
        <v>6.0319999999999999E-2</v>
      </c>
      <c r="J170">
        <v>4.9550000000000002E-3</v>
      </c>
      <c r="K170" s="3">
        <v>0.77100000000000002</v>
      </c>
      <c r="L170" s="3">
        <v>1.3094999999999999E-3</v>
      </c>
      <c r="M170" s="3">
        <v>4.2731000000000003E-4</v>
      </c>
      <c r="N170" s="1">
        <v>112</v>
      </c>
      <c r="O170" s="1">
        <v>14</v>
      </c>
      <c r="P170">
        <v>0.36779225908372831</v>
      </c>
      <c r="Q170">
        <v>15.709254122120749</v>
      </c>
      <c r="S170" t="s">
        <v>422</v>
      </c>
    </row>
    <row r="171" spans="1:19">
      <c r="A171" t="s">
        <v>485</v>
      </c>
      <c r="B171" t="s">
        <v>563</v>
      </c>
      <c r="C171">
        <v>0.19270000000000001</v>
      </c>
      <c r="D171">
        <v>2.3439999999999999E-2</v>
      </c>
      <c r="E171">
        <v>42.58943781942078</v>
      </c>
      <c r="F171">
        <v>4.5527891365735158</v>
      </c>
      <c r="G171" s="7">
        <f t="shared" si="4"/>
        <v>149.61215237312692</v>
      </c>
      <c r="H171" s="7">
        <f t="shared" si="5"/>
        <v>15.99346262591774</v>
      </c>
      <c r="I171">
        <v>5.9499999999999997E-2</v>
      </c>
      <c r="J171">
        <v>5.4010000000000004E-3</v>
      </c>
      <c r="K171" s="3">
        <v>0.69140000000000001</v>
      </c>
      <c r="L171" s="3">
        <v>9.5018000000000001E-4</v>
      </c>
      <c r="M171" s="3">
        <v>4.75293E-4</v>
      </c>
      <c r="N171" s="1">
        <v>148</v>
      </c>
      <c r="O171" s="1">
        <v>31</v>
      </c>
      <c r="P171">
        <v>0.49308846761453401</v>
      </c>
      <c r="Q171">
        <v>16.831343702272232</v>
      </c>
      <c r="S171" t="s">
        <v>298</v>
      </c>
    </row>
    <row r="172" spans="1:19">
      <c r="A172" t="s">
        <v>486</v>
      </c>
      <c r="B172" t="s">
        <v>563</v>
      </c>
      <c r="C172">
        <v>0.16220000000000001</v>
      </c>
      <c r="D172">
        <v>1.372E-2</v>
      </c>
      <c r="E172">
        <v>52.714812862414334</v>
      </c>
      <c r="F172">
        <v>3.9487479745646161</v>
      </c>
      <c r="G172" s="7">
        <f t="shared" si="4"/>
        <v>121.14303419266506</v>
      </c>
      <c r="H172" s="7">
        <f t="shared" si="5"/>
        <v>9.0745520077900395</v>
      </c>
      <c r="I172">
        <v>6.2E-2</v>
      </c>
      <c r="J172">
        <v>3.3300000000000001E-3</v>
      </c>
      <c r="K172" s="3">
        <v>0.77990000000000004</v>
      </c>
      <c r="L172" s="3">
        <v>4.5326000000000003E-3</v>
      </c>
      <c r="M172" s="3">
        <v>1.0800600000000001E-3</v>
      </c>
      <c r="N172" s="1">
        <v>119</v>
      </c>
      <c r="O172" s="1">
        <v>18</v>
      </c>
      <c r="P172">
        <v>0.34182464454976308</v>
      </c>
      <c r="Q172">
        <v>16.020945672162828</v>
      </c>
      <c r="S172" t="s">
        <v>299</v>
      </c>
    </row>
    <row r="173" spans="1:19">
      <c r="A173" t="s">
        <v>487</v>
      </c>
      <c r="B173" t="s">
        <v>563</v>
      </c>
      <c r="C173">
        <v>0.19389999999999999</v>
      </c>
      <c r="D173">
        <v>2.0969999999999999E-2</v>
      </c>
      <c r="E173">
        <v>41.220115416323168</v>
      </c>
      <c r="F173">
        <v>4.0217647646511523</v>
      </c>
      <c r="G173" s="7">
        <f t="shared" si="4"/>
        <v>154.52313062742542</v>
      </c>
      <c r="H173" s="7">
        <f t="shared" si="5"/>
        <v>15.076514847284255</v>
      </c>
      <c r="I173">
        <v>5.7979999999999997E-2</v>
      </c>
      <c r="J173">
        <v>4.3990000000000001E-3</v>
      </c>
      <c r="K173" s="3">
        <v>0.73240000000000005</v>
      </c>
      <c r="L173" s="3">
        <v>3.5460999999999999E-3</v>
      </c>
      <c r="M173" s="3">
        <v>7.3205000000000004E-4</v>
      </c>
      <c r="N173" s="1">
        <v>153</v>
      </c>
      <c r="O173" s="1">
        <v>29</v>
      </c>
      <c r="P173">
        <v>0.383590047393365</v>
      </c>
      <c r="Q173">
        <v>28.563413645856059</v>
      </c>
      <c r="S173" t="s">
        <v>300</v>
      </c>
    </row>
    <row r="174" spans="1:19">
      <c r="A174" t="s">
        <v>488</v>
      </c>
      <c r="B174" t="s">
        <v>563</v>
      </c>
      <c r="C174">
        <v>0.14499999999999999</v>
      </c>
      <c r="D174">
        <v>7.4200000000000004E-3</v>
      </c>
      <c r="E174">
        <v>60.938452163315048</v>
      </c>
      <c r="F174">
        <v>2.5886773310814695</v>
      </c>
      <c r="G174" s="7">
        <f t="shared" si="4"/>
        <v>104.92706566752699</v>
      </c>
      <c r="H174" s="7">
        <f t="shared" si="5"/>
        <v>4.4573222106540555</v>
      </c>
      <c r="I174">
        <v>6.4089999999999994E-2</v>
      </c>
      <c r="J174">
        <v>1.732E-3</v>
      </c>
      <c r="K174" s="3">
        <v>0.84950000000000003</v>
      </c>
      <c r="L174" s="3">
        <v>1.8274000000000001E-3</v>
      </c>
      <c r="M174" s="3">
        <v>2.4505099999999998E-4</v>
      </c>
      <c r="N174" s="1">
        <v>102.8</v>
      </c>
      <c r="O174" s="1">
        <v>8.6</v>
      </c>
      <c r="P174">
        <v>0.53347156398104267</v>
      </c>
      <c r="Q174">
        <v>87.335972321790351</v>
      </c>
      <c r="S174" t="s">
        <v>426</v>
      </c>
    </row>
    <row r="175" spans="1:19">
      <c r="A175" t="s">
        <v>348</v>
      </c>
      <c r="B175" t="s">
        <v>563</v>
      </c>
      <c r="C175">
        <v>0.13739999999999999</v>
      </c>
      <c r="D175">
        <v>7.6030000000000004E-3</v>
      </c>
      <c r="E175">
        <v>48.899755501222494</v>
      </c>
      <c r="F175">
        <v>2.7283433264985266</v>
      </c>
      <c r="G175" s="7">
        <f t="shared" si="4"/>
        <v>130.49931653210314</v>
      </c>
      <c r="H175" s="7">
        <f t="shared" si="5"/>
        <v>7.2811599101774913</v>
      </c>
      <c r="I175">
        <v>4.8730000000000002E-2</v>
      </c>
      <c r="J175">
        <v>6.112E-4</v>
      </c>
      <c r="K175" s="3">
        <v>0.97450000000000003</v>
      </c>
      <c r="L175" s="3">
        <v>1.7045E-4</v>
      </c>
      <c r="M175" s="3">
        <v>3.5011700000000002E-5</v>
      </c>
      <c r="N175" s="1">
        <v>130</v>
      </c>
      <c r="O175" s="1">
        <v>14</v>
      </c>
      <c r="P175">
        <v>0.26273696682464459</v>
      </c>
      <c r="Q175">
        <v>734.96867499922075</v>
      </c>
      <c r="S175" t="s">
        <v>427</v>
      </c>
    </row>
    <row r="176" spans="1:19">
      <c r="A176" t="s">
        <v>349</v>
      </c>
      <c r="B176" t="s">
        <v>563</v>
      </c>
      <c r="C176">
        <v>0.1177</v>
      </c>
      <c r="D176">
        <v>4.4809999999999997E-3</v>
      </c>
      <c r="E176">
        <v>56.882821387940844</v>
      </c>
      <c r="F176">
        <v>2.1002639000519001</v>
      </c>
      <c r="G176" s="7">
        <f t="shared" si="4"/>
        <v>112.34333165206216</v>
      </c>
      <c r="H176" s="7">
        <f t="shared" si="5"/>
        <v>4.1480123194171528</v>
      </c>
      <c r="I176">
        <v>4.8570000000000002E-2</v>
      </c>
      <c r="J176">
        <v>3.8039999999999998E-4</v>
      </c>
      <c r="K176" s="3">
        <v>0.97860000000000003</v>
      </c>
      <c r="L176" s="3">
        <v>8.1514000000000006E-5</v>
      </c>
      <c r="M176" s="3">
        <v>1.7073999999999999E-5</v>
      </c>
      <c r="N176" s="1">
        <v>112.3</v>
      </c>
      <c r="O176" s="1">
        <v>8.1</v>
      </c>
      <c r="P176">
        <v>0.59261453396524488</v>
      </c>
      <c r="Q176">
        <v>680.11096219181491</v>
      </c>
      <c r="S176" t="s">
        <v>428</v>
      </c>
    </row>
    <row r="177" spans="1:19">
      <c r="A177" t="s">
        <v>350</v>
      </c>
      <c r="B177" t="s">
        <v>563</v>
      </c>
      <c r="C177">
        <v>0.113</v>
      </c>
      <c r="D177">
        <v>5.3959999999999998E-3</v>
      </c>
      <c r="E177">
        <v>62.344139650872826</v>
      </c>
      <c r="F177">
        <v>2.5854938713067708</v>
      </c>
      <c r="G177" s="7">
        <f t="shared" si="4"/>
        <v>102.57997395680356</v>
      </c>
      <c r="H177" s="7">
        <f t="shared" si="5"/>
        <v>4.2541270995053448</v>
      </c>
      <c r="I177">
        <v>5.1119999999999999E-2</v>
      </c>
      <c r="J177">
        <v>1.3619999999999999E-3</v>
      </c>
      <c r="K177" s="3">
        <v>0.83050000000000002</v>
      </c>
      <c r="L177" s="3">
        <v>4.2848000000000002E-4</v>
      </c>
      <c r="M177" s="3">
        <v>7.3173100000000006E-5</v>
      </c>
      <c r="N177" s="1">
        <v>102.2</v>
      </c>
      <c r="O177" s="1">
        <v>8.3000000000000007</v>
      </c>
      <c r="P177">
        <v>1.3122037914691944</v>
      </c>
      <c r="Q177">
        <v>224.04388617024591</v>
      </c>
      <c r="S177" t="s">
        <v>303</v>
      </c>
    </row>
    <row r="178" spans="1:19">
      <c r="A178" t="s">
        <v>351</v>
      </c>
      <c r="B178" t="s">
        <v>563</v>
      </c>
      <c r="C178">
        <v>0.1547</v>
      </c>
      <c r="D178">
        <v>8.4939999999999998E-3</v>
      </c>
      <c r="E178">
        <v>53.106744556558681</v>
      </c>
      <c r="F178">
        <v>2.9472410016783757</v>
      </c>
      <c r="G178" s="7">
        <f t="shared" si="4"/>
        <v>120.25727701638115</v>
      </c>
      <c r="H178" s="7">
        <f t="shared" si="5"/>
        <v>6.6738637536972005</v>
      </c>
      <c r="I178">
        <v>5.96E-2</v>
      </c>
      <c r="J178">
        <v>1.9840000000000001E-3</v>
      </c>
      <c r="K178" s="3">
        <v>0.81810000000000005</v>
      </c>
      <c r="L178" s="3">
        <v>1.4417E-3</v>
      </c>
      <c r="M178" s="3">
        <v>3.7907700000000002E-4</v>
      </c>
      <c r="N178" s="1">
        <v>119</v>
      </c>
      <c r="O178" s="1">
        <v>13</v>
      </c>
      <c r="P178">
        <v>0.4619865718799368</v>
      </c>
      <c r="Q178">
        <v>36.492846678926533</v>
      </c>
      <c r="S178" t="s">
        <v>304</v>
      </c>
    </row>
    <row r="179" spans="1:19">
      <c r="A179" t="s">
        <v>494</v>
      </c>
      <c r="B179" t="s">
        <v>563</v>
      </c>
      <c r="C179">
        <v>0.16439999999999999</v>
      </c>
      <c r="D179">
        <v>1.35E-2</v>
      </c>
      <c r="E179">
        <v>53.879310344827587</v>
      </c>
      <c r="F179">
        <v>4.1048138376932215</v>
      </c>
      <c r="G179" s="7">
        <f t="shared" si="4"/>
        <v>118.54868726247133</v>
      </c>
      <c r="H179" s="7">
        <f t="shared" si="5"/>
        <v>9.0316726179490541</v>
      </c>
      <c r="I179">
        <v>6.4259999999999998E-2</v>
      </c>
      <c r="J179">
        <v>3.3370000000000001E-3</v>
      </c>
      <c r="K179" s="3">
        <v>0.78710000000000002</v>
      </c>
      <c r="L179" s="3">
        <v>1.5226E-3</v>
      </c>
      <c r="M179" s="3">
        <v>4.9324500000000001E-4</v>
      </c>
      <c r="N179" s="1">
        <v>116</v>
      </c>
      <c r="O179" s="1">
        <v>17</v>
      </c>
      <c r="P179">
        <v>0.44056082148499209</v>
      </c>
      <c r="Q179">
        <v>17.891094972415299</v>
      </c>
      <c r="S179" t="s">
        <v>305</v>
      </c>
    </row>
    <row r="180" spans="1:19">
      <c r="A180" t="s">
        <v>353</v>
      </c>
      <c r="B180" t="s">
        <v>563</v>
      </c>
      <c r="C180">
        <v>0.1273</v>
      </c>
      <c r="D180">
        <v>7.633E-3</v>
      </c>
      <c r="E180">
        <v>57.636887608069159</v>
      </c>
      <c r="F180">
        <v>2.6556154440282702</v>
      </c>
      <c r="G180" s="7">
        <f t="shared" si="4"/>
        <v>110.88610681563149</v>
      </c>
      <c r="H180" s="7">
        <f t="shared" si="5"/>
        <v>5.1090693826176263</v>
      </c>
      <c r="I180">
        <v>5.323E-2</v>
      </c>
      <c r="J180">
        <v>1.6130000000000001E-3</v>
      </c>
      <c r="K180" s="3">
        <v>0.86850000000000005</v>
      </c>
      <c r="L180" s="3">
        <v>1.2784999999999999E-3</v>
      </c>
      <c r="M180" s="3">
        <v>3.2374900000000002E-4</v>
      </c>
      <c r="N180" s="1">
        <v>110</v>
      </c>
      <c r="O180" s="1">
        <v>10</v>
      </c>
      <c r="P180">
        <v>0.27330173775671407</v>
      </c>
      <c r="Q180">
        <v>63.522737898575564</v>
      </c>
      <c r="S180" t="s">
        <v>306</v>
      </c>
    </row>
    <row r="181" spans="1:19">
      <c r="G181" s="7" t="e">
        <f t="shared" si="4"/>
        <v>#DIV/0!</v>
      </c>
      <c r="H181" s="7" t="e">
        <f t="shared" si="5"/>
        <v>#DIV/0!</v>
      </c>
    </row>
    <row r="182" spans="1:19">
      <c r="G182" s="7" t="e">
        <f t="shared" si="4"/>
        <v>#DIV/0!</v>
      </c>
      <c r="H182" s="7" t="e">
        <f t="shared" si="5"/>
        <v>#DIV/0!</v>
      </c>
    </row>
    <row r="183" spans="1:19">
      <c r="A183" s="4" t="s">
        <v>507</v>
      </c>
      <c r="G183" s="7" t="e">
        <f t="shared" si="4"/>
        <v>#DIV/0!</v>
      </c>
      <c r="H183" s="7" t="e">
        <f t="shared" si="5"/>
        <v>#DIV/0!</v>
      </c>
    </row>
    <row r="184" spans="1:19">
      <c r="A184" t="s">
        <v>354</v>
      </c>
      <c r="B184" t="s">
        <v>563</v>
      </c>
      <c r="C184">
        <v>0.15</v>
      </c>
      <c r="D184">
        <v>1.1690000000000001E-2</v>
      </c>
      <c r="E184">
        <v>61.236987140232699</v>
      </c>
      <c r="F184">
        <v>4.0874657674741979</v>
      </c>
      <c r="G184" s="7">
        <f t="shared" si="4"/>
        <v>104.41965878338472</v>
      </c>
      <c r="H184" s="7">
        <f t="shared" si="5"/>
        <v>6.9698363792951223</v>
      </c>
      <c r="I184">
        <v>6.6610000000000003E-2</v>
      </c>
      <c r="J184">
        <v>4.1859999999999996E-3</v>
      </c>
      <c r="K184" s="3">
        <v>0.63260000000000005</v>
      </c>
      <c r="L184" s="3">
        <v>3.5999000000000001E-3</v>
      </c>
      <c r="M184" s="3">
        <v>8.2265099999999998E-4</v>
      </c>
      <c r="N184" s="1">
        <v>102</v>
      </c>
      <c r="O184" s="1">
        <v>13</v>
      </c>
      <c r="P184">
        <v>0.71899684044233814</v>
      </c>
      <c r="Q184">
        <v>16.189259109185549</v>
      </c>
      <c r="S184" t="s">
        <v>307</v>
      </c>
    </row>
    <row r="185" spans="1:19">
      <c r="A185" t="s">
        <v>355</v>
      </c>
      <c r="B185" t="s">
        <v>563</v>
      </c>
      <c r="C185">
        <v>2.5139999999999999E-2</v>
      </c>
      <c r="D185">
        <v>1.7260000000000001E-3</v>
      </c>
      <c r="E185">
        <v>332.55736614566013</v>
      </c>
      <c r="F185">
        <v>11.678768827729202</v>
      </c>
      <c r="G185" s="7">
        <f t="shared" si="4"/>
        <v>19.355281342507531</v>
      </c>
      <c r="H185" s="7">
        <f t="shared" si="5"/>
        <v>0.67971989017918044</v>
      </c>
      <c r="I185">
        <v>6.0630000000000003E-2</v>
      </c>
      <c r="J185">
        <v>3.003E-3</v>
      </c>
      <c r="K185" s="3">
        <v>0.72450000000000003</v>
      </c>
      <c r="L185" s="3">
        <v>3.3865000000000002E-3</v>
      </c>
      <c r="M185" s="3">
        <v>8.0632100000000003E-4</v>
      </c>
      <c r="N185" s="1">
        <v>19</v>
      </c>
      <c r="O185" s="1">
        <v>1.3</v>
      </c>
      <c r="P185">
        <v>0.34992101105845186</v>
      </c>
      <c r="Q185">
        <v>115.45055013558581</v>
      </c>
      <c r="S185" t="s">
        <v>308</v>
      </c>
    </row>
    <row r="186" spans="1:19">
      <c r="A186" s="5" t="s">
        <v>518</v>
      </c>
      <c r="B186" t="s">
        <v>147</v>
      </c>
      <c r="C186">
        <v>0.19439999999999999</v>
      </c>
      <c r="D186">
        <v>1.8120000000000001E-2</v>
      </c>
      <c r="E186">
        <v>80.97165991902834</v>
      </c>
      <c r="F186">
        <v>3.6951925125801113</v>
      </c>
      <c r="G186" s="7">
        <f t="shared" si="4"/>
        <v>79.125614023453494</v>
      </c>
      <c r="H186" s="7">
        <f t="shared" si="5"/>
        <v>3.6109470496856999</v>
      </c>
      <c r="I186">
        <v>0.11409999999999999</v>
      </c>
      <c r="J186">
        <v>1.406E-2</v>
      </c>
      <c r="K186" s="3">
        <v>-0.51719999999999999</v>
      </c>
      <c r="L186" s="3">
        <v>4.0989099999999999E-3</v>
      </c>
      <c r="M186" s="3">
        <v>1.6960300000000001E-3</v>
      </c>
      <c r="N186" s="1">
        <v>72.400000000000006</v>
      </c>
      <c r="O186" s="1">
        <v>7.1</v>
      </c>
      <c r="P186">
        <v>0.3775510204081633</v>
      </c>
      <c r="Q186">
        <v>26.594470266903063</v>
      </c>
      <c r="S186" t="s">
        <v>204</v>
      </c>
    </row>
    <row r="187" spans="1:19">
      <c r="A187" s="5"/>
      <c r="G187" s="7" t="e">
        <f t="shared" si="4"/>
        <v>#DIV/0!</v>
      </c>
      <c r="H187" s="7" t="e">
        <f t="shared" si="5"/>
        <v>#DIV/0!</v>
      </c>
      <c r="K187" s="3"/>
      <c r="L187" s="3"/>
      <c r="M187" s="3"/>
    </row>
    <row r="188" spans="1:19">
      <c r="A188" t="s">
        <v>356</v>
      </c>
      <c r="B188" t="s">
        <v>563</v>
      </c>
      <c r="C188">
        <v>0.15809999999999999</v>
      </c>
      <c r="D188">
        <v>1.1679999999999999E-2</v>
      </c>
      <c r="E188">
        <v>49.554013875123886</v>
      </c>
      <c r="F188">
        <v>3.4329292070080868</v>
      </c>
      <c r="G188" s="7">
        <f t="shared" si="4"/>
        <v>128.79343958299739</v>
      </c>
      <c r="H188" s="7">
        <f t="shared" si="5"/>
        <v>8.9223601851848535</v>
      </c>
      <c r="I188">
        <v>5.6820000000000002E-2</v>
      </c>
      <c r="J188">
        <v>2.6480000000000002E-3</v>
      </c>
      <c r="K188" s="3">
        <v>0.79</v>
      </c>
      <c r="L188" s="3">
        <v>3.3609E-3</v>
      </c>
      <c r="M188" s="3">
        <v>8.1721500000000004E-4</v>
      </c>
      <c r="N188" s="1">
        <v>127</v>
      </c>
      <c r="O188" s="1">
        <v>17</v>
      </c>
      <c r="P188">
        <v>0.66834518167456558</v>
      </c>
      <c r="Q188">
        <v>22.678677181061619</v>
      </c>
      <c r="S188" t="s">
        <v>309</v>
      </c>
    </row>
    <row r="189" spans="1:19">
      <c r="A189" s="5" t="s">
        <v>519</v>
      </c>
      <c r="B189" t="s">
        <v>147</v>
      </c>
      <c r="C189">
        <v>0.1217</v>
      </c>
      <c r="D189">
        <v>1.239E-2</v>
      </c>
      <c r="E189">
        <v>402.90088638195004</v>
      </c>
      <c r="F189">
        <v>21.800801386420588</v>
      </c>
      <c r="G189" s="7">
        <f t="shared" si="4"/>
        <v>15.980176794023439</v>
      </c>
      <c r="H189" s="7">
        <f t="shared" si="5"/>
        <v>0.86468079912866569</v>
      </c>
      <c r="I189">
        <v>0.35570000000000002</v>
      </c>
      <c r="J189">
        <v>2.0410000000000001E-2</v>
      </c>
      <c r="K189" s="3">
        <v>0.90759999999999996</v>
      </c>
      <c r="L189" s="3">
        <v>1.6499799999999998E-2</v>
      </c>
      <c r="M189" s="3">
        <v>2.5641399999999999E-3</v>
      </c>
      <c r="N189" s="1">
        <v>9.6999999999999993</v>
      </c>
      <c r="O189" s="1">
        <v>1.5</v>
      </c>
      <c r="P189">
        <v>0.10685941043083901</v>
      </c>
      <c r="Q189">
        <v>123.91021864685305</v>
      </c>
      <c r="S189" t="s">
        <v>205</v>
      </c>
    </row>
    <row r="190" spans="1:19">
      <c r="A190" s="5"/>
      <c r="G190" s="7" t="e">
        <f t="shared" si="4"/>
        <v>#DIV/0!</v>
      </c>
      <c r="H190" s="7" t="e">
        <f t="shared" si="5"/>
        <v>#DIV/0!</v>
      </c>
      <c r="K190" s="3"/>
      <c r="L190" s="3"/>
      <c r="M190" s="3"/>
    </row>
    <row r="191" spans="1:19">
      <c r="A191" t="s">
        <v>501</v>
      </c>
      <c r="B191" t="s">
        <v>563</v>
      </c>
      <c r="C191">
        <v>2.4649999999999998E-2</v>
      </c>
      <c r="D191">
        <v>3.6419999999999998E-3</v>
      </c>
      <c r="E191">
        <v>526.87038988408858</v>
      </c>
      <c r="F191">
        <v>54.047241786318253</v>
      </c>
      <c r="G191" s="7">
        <f t="shared" si="4"/>
        <v>12.223697494804034</v>
      </c>
      <c r="H191" s="7">
        <f t="shared" si="5"/>
        <v>1.2539272403784747</v>
      </c>
      <c r="I191">
        <v>9.4219999999999998E-2</v>
      </c>
      <c r="J191">
        <v>8.1460000000000005E-3</v>
      </c>
      <c r="K191" s="3">
        <v>0.82050000000000001</v>
      </c>
      <c r="L191" s="3">
        <v>1.0891E-2</v>
      </c>
      <c r="M191" s="3">
        <v>2.08581E-3</v>
      </c>
      <c r="N191" s="1">
        <v>11.5</v>
      </c>
      <c r="O191" s="1">
        <v>2.2999999999999998</v>
      </c>
      <c r="P191">
        <v>0.79670221169036337</v>
      </c>
      <c r="Q191">
        <v>111.39855998503882</v>
      </c>
      <c r="S191" t="s">
        <v>310</v>
      </c>
    </row>
    <row r="192" spans="1:19">
      <c r="A192" s="5" t="s">
        <v>520</v>
      </c>
      <c r="B192" t="s">
        <v>147</v>
      </c>
      <c r="C192">
        <v>7.5800000000000006E-2</v>
      </c>
      <c r="D192">
        <v>4.6750000000000003E-3</v>
      </c>
      <c r="E192">
        <v>426.98548249359521</v>
      </c>
      <c r="F192">
        <v>11.673732042726259</v>
      </c>
      <c r="G192" s="7">
        <f t="shared" si="4"/>
        <v>15.079850394336734</v>
      </c>
      <c r="H192" s="7">
        <f t="shared" si="5"/>
        <v>0.41228130689555126</v>
      </c>
      <c r="I192">
        <v>0.23480000000000001</v>
      </c>
      <c r="J192">
        <v>1.1780000000000001E-2</v>
      </c>
      <c r="K192" s="3">
        <v>0.60270000000000001</v>
      </c>
      <c r="L192" s="3">
        <v>1.07213E-2</v>
      </c>
      <c r="M192" s="3">
        <v>1.8683199999999999E-3</v>
      </c>
      <c r="N192" s="1">
        <v>11.45</v>
      </c>
      <c r="O192" s="1">
        <v>0.89</v>
      </c>
      <c r="P192">
        <v>0.26832955404383974</v>
      </c>
      <c r="Q192">
        <v>203.8768451939691</v>
      </c>
      <c r="S192" t="s">
        <v>206</v>
      </c>
    </row>
    <row r="193" spans="1:19">
      <c r="A193" s="5"/>
      <c r="G193" s="7" t="e">
        <f t="shared" si="4"/>
        <v>#DIV/0!</v>
      </c>
      <c r="H193" s="7" t="e">
        <f t="shared" si="5"/>
        <v>#DIV/0!</v>
      </c>
      <c r="K193" s="3"/>
      <c r="L193" s="3"/>
      <c r="M193" s="3"/>
    </row>
    <row r="194" spans="1:19">
      <c r="A194" t="s">
        <v>502</v>
      </c>
      <c r="B194" t="s">
        <v>563</v>
      </c>
      <c r="C194">
        <v>1.089E-2</v>
      </c>
      <c r="D194">
        <v>7.4509999999999995E-4</v>
      </c>
      <c r="E194">
        <v>640.20486555697823</v>
      </c>
      <c r="F194">
        <v>29.194489483753877</v>
      </c>
      <c r="G194" s="7">
        <f t="shared" si="4"/>
        <v>10.061443009567467</v>
      </c>
      <c r="H194" s="7">
        <f t="shared" si="5"/>
        <v>0.45881983711363034</v>
      </c>
      <c r="I194">
        <v>5.058E-2</v>
      </c>
      <c r="J194">
        <v>2.3730000000000001E-3</v>
      </c>
      <c r="K194" s="3">
        <v>0.73070000000000002</v>
      </c>
      <c r="L194" s="3">
        <v>9.5354999999999995E-4</v>
      </c>
      <c r="M194" s="3">
        <v>2.5495100000000001E-4</v>
      </c>
      <c r="N194" s="1">
        <v>10.01</v>
      </c>
      <c r="O194" s="1">
        <v>0.9</v>
      </c>
      <c r="P194">
        <v>1.3605845181674565</v>
      </c>
      <c r="Q194">
        <v>522.27036125050654</v>
      </c>
      <c r="S194" t="s">
        <v>311</v>
      </c>
    </row>
    <row r="195" spans="1:19">
      <c r="A195" t="s">
        <v>503</v>
      </c>
      <c r="B195" t="s">
        <v>563</v>
      </c>
      <c r="C195">
        <v>0.12230000000000001</v>
      </c>
      <c r="D195">
        <v>7.0899999999999999E-3</v>
      </c>
      <c r="E195">
        <v>62.774639045825488</v>
      </c>
      <c r="F195">
        <v>2.9696778396066597</v>
      </c>
      <c r="G195" s="7">
        <f t="shared" si="4"/>
        <v>101.8820251084197</v>
      </c>
      <c r="H195" s="7">
        <f t="shared" si="5"/>
        <v>4.8197297000442614</v>
      </c>
      <c r="I195">
        <v>5.57E-2</v>
      </c>
      <c r="J195">
        <v>1.915E-3</v>
      </c>
      <c r="K195" s="3">
        <v>0.80530000000000002</v>
      </c>
      <c r="L195" s="3">
        <v>1.1169000000000001E-3</v>
      </c>
      <c r="M195" s="3">
        <v>3.0521299999999998E-4</v>
      </c>
      <c r="N195" s="1">
        <v>100.9</v>
      </c>
      <c r="O195" s="1">
        <v>9.4</v>
      </c>
      <c r="P195">
        <v>0.67881121642969988</v>
      </c>
      <c r="Q195">
        <v>33.363463516504069</v>
      </c>
      <c r="S195" t="s">
        <v>312</v>
      </c>
    </row>
    <row r="196" spans="1:19">
      <c r="A196" t="s">
        <v>504</v>
      </c>
      <c r="B196" t="s">
        <v>563</v>
      </c>
      <c r="C196">
        <v>0.1132</v>
      </c>
      <c r="D196">
        <v>7.7359999999999998E-3</v>
      </c>
      <c r="E196">
        <v>61.614294516327782</v>
      </c>
      <c r="F196">
        <v>2.8115555464443842</v>
      </c>
      <c r="G196" s="7">
        <f t="shared" si="4"/>
        <v>103.78534400917763</v>
      </c>
      <c r="H196" s="7">
        <f t="shared" si="5"/>
        <v>4.7358857531236573</v>
      </c>
      <c r="I196">
        <v>5.0569999999999997E-2</v>
      </c>
      <c r="J196">
        <v>1.7949999999999999E-3</v>
      </c>
      <c r="K196" s="3">
        <v>0.88060000000000005</v>
      </c>
      <c r="L196" s="3">
        <v>6.4508000000000002E-4</v>
      </c>
      <c r="M196" s="3">
        <v>1.83246E-4</v>
      </c>
      <c r="N196" s="1">
        <v>103.5</v>
      </c>
      <c r="O196" s="1">
        <v>9.3000000000000007</v>
      </c>
      <c r="P196">
        <v>0.91054502369668255</v>
      </c>
      <c r="Q196">
        <v>48.044135523485956</v>
      </c>
      <c r="S196" t="s">
        <v>313</v>
      </c>
    </row>
    <row r="197" spans="1:19">
      <c r="A197" s="5" t="s">
        <v>516</v>
      </c>
      <c r="B197" t="s">
        <v>147</v>
      </c>
      <c r="C197">
        <v>2.1860000000000001E-2</v>
      </c>
      <c r="D197">
        <v>3.3319999999999999E-3</v>
      </c>
      <c r="E197">
        <v>589.62264150943395</v>
      </c>
      <c r="F197">
        <v>20.508160154859379</v>
      </c>
      <c r="G197" s="7">
        <f t="shared" si="4"/>
        <v>10.923857637828368</v>
      </c>
      <c r="H197" s="7">
        <f t="shared" si="5"/>
        <v>0.37995186441951379</v>
      </c>
      <c r="I197">
        <v>9.35E-2</v>
      </c>
      <c r="J197">
        <v>1.2919999999999999E-2</v>
      </c>
      <c r="K197" s="3">
        <v>0.50509999999999999</v>
      </c>
      <c r="L197" s="3">
        <v>2.4233000000000002E-3</v>
      </c>
      <c r="M197" s="3">
        <v>1.0838600000000001E-3</v>
      </c>
      <c r="N197" s="1">
        <v>10.26</v>
      </c>
      <c r="O197" s="1">
        <v>0.79</v>
      </c>
      <c r="P197">
        <v>0.34807256235827666</v>
      </c>
      <c r="Q197">
        <v>77.063361642515076</v>
      </c>
      <c r="S197" t="s">
        <v>203</v>
      </c>
    </row>
    <row r="198" spans="1:19">
      <c r="A198" s="5" t="s">
        <v>517</v>
      </c>
      <c r="B198" t="s">
        <v>147</v>
      </c>
      <c r="C198">
        <v>2.1510000000000001E-2</v>
      </c>
      <c r="D198">
        <v>1.727E-3</v>
      </c>
      <c r="E198">
        <v>601.68471720818286</v>
      </c>
      <c r="F198">
        <v>18.130186906008301</v>
      </c>
      <c r="G198" s="7">
        <f t="shared" si="4"/>
        <v>10.7050469387801</v>
      </c>
      <c r="H198" s="7">
        <f t="shared" si="5"/>
        <v>0.32256844205421625</v>
      </c>
      <c r="I198">
        <v>9.3869999999999995E-2</v>
      </c>
      <c r="J198">
        <v>7.7739999999999997E-3</v>
      </c>
      <c r="K198" s="3">
        <v>0.10349999999999999</v>
      </c>
      <c r="L198" s="3">
        <v>6.1636E-3</v>
      </c>
      <c r="M198" s="3">
        <v>2.1258700000000002E-3</v>
      </c>
      <c r="N198" s="1">
        <v>10.050000000000001</v>
      </c>
      <c r="O198" s="1">
        <v>0.64</v>
      </c>
      <c r="P198">
        <v>0.20049130763416478</v>
      </c>
      <c r="Q198">
        <v>45.014699540269412</v>
      </c>
      <c r="S198" t="s">
        <v>207</v>
      </c>
    </row>
    <row r="199" spans="1:19">
      <c r="G199" s="7" t="e">
        <f t="shared" ref="G199:G262" si="6">(LN((1/E199)+1))/0.000155125</f>
        <v>#DIV/0!</v>
      </c>
      <c r="H199" s="7" t="e">
        <f t="shared" ref="H199:H262" si="7">(F199/E199)*G199</f>
        <v>#DIV/0!</v>
      </c>
    </row>
    <row r="200" spans="1:19">
      <c r="G200" s="7" t="e">
        <f t="shared" si="6"/>
        <v>#DIV/0!</v>
      </c>
      <c r="H200" s="7" t="e">
        <f t="shared" si="7"/>
        <v>#DIV/0!</v>
      </c>
    </row>
    <row r="201" spans="1:19">
      <c r="G201" s="7" t="e">
        <f t="shared" si="6"/>
        <v>#DIV/0!</v>
      </c>
      <c r="H201" s="7" t="e">
        <f t="shared" si="7"/>
        <v>#DIV/0!</v>
      </c>
    </row>
    <row r="202" spans="1:19">
      <c r="G202" s="7" t="e">
        <f t="shared" si="6"/>
        <v>#DIV/0!</v>
      </c>
      <c r="H202" s="7" t="e">
        <f t="shared" si="7"/>
        <v>#DIV/0!</v>
      </c>
    </row>
    <row r="203" spans="1:19">
      <c r="A203" s="7" t="s">
        <v>567</v>
      </c>
      <c r="G203" s="7" t="e">
        <f t="shared" si="6"/>
        <v>#DIV/0!</v>
      </c>
      <c r="H203" s="7" t="e">
        <f t="shared" si="7"/>
        <v>#DIV/0!</v>
      </c>
    </row>
    <row r="204" spans="1:19" s="8" customFormat="1">
      <c r="A204" s="8" t="s">
        <v>575</v>
      </c>
      <c r="B204" s="8" t="s">
        <v>147</v>
      </c>
      <c r="C204" s="8">
        <v>1.7739999999999999E-2</v>
      </c>
      <c r="D204" s="8">
        <v>2.5170000000000001E-3</v>
      </c>
      <c r="E204" s="8">
        <v>1887.8610534264676</v>
      </c>
      <c r="F204" s="8">
        <v>105.99393567850319</v>
      </c>
      <c r="G204" s="9">
        <f t="shared" si="6"/>
        <v>3.4137615373198225</v>
      </c>
      <c r="H204" s="9">
        <f t="shared" si="7"/>
        <v>0.19166559962222296</v>
      </c>
      <c r="I204" s="8">
        <v>0.2429</v>
      </c>
      <c r="J204" s="8">
        <v>2.8639999999999999E-2</v>
      </c>
      <c r="K204" s="8">
        <v>0.5887</v>
      </c>
      <c r="L204" s="8">
        <v>2.2718200000000001E-2</v>
      </c>
      <c r="M204" s="8">
        <v>4.7292000000000002E-3</v>
      </c>
      <c r="N204" s="10">
        <v>2.56</v>
      </c>
      <c r="O204" s="10">
        <v>0.39</v>
      </c>
      <c r="P204" s="8">
        <v>2.0823459715639814E-2</v>
      </c>
      <c r="Q204" s="8">
        <v>60.867125892217054</v>
      </c>
      <c r="S204" s="8" t="s">
        <v>162</v>
      </c>
    </row>
    <row r="205" spans="1:19">
      <c r="A205" t="s">
        <v>576</v>
      </c>
      <c r="B205" t="s">
        <v>563</v>
      </c>
      <c r="C205">
        <v>5.692E-3</v>
      </c>
      <c r="D205">
        <v>7.2990000000000001E-4</v>
      </c>
      <c r="E205">
        <v>1846.7220683287167</v>
      </c>
      <c r="F205">
        <v>77.108746010918338</v>
      </c>
      <c r="G205" s="7">
        <f t="shared" si="6"/>
        <v>3.489788504625968</v>
      </c>
      <c r="H205" s="7">
        <f t="shared" si="7"/>
        <v>0.14571397615806672</v>
      </c>
      <c r="I205">
        <v>7.6240000000000002E-2</v>
      </c>
      <c r="J205">
        <v>8.7069999999999995E-3</v>
      </c>
      <c r="K205">
        <v>0.48039999999999999</v>
      </c>
      <c r="L205">
        <v>1.6191000000000001E-2</v>
      </c>
      <c r="M205">
        <v>2.0887000000000002E-3</v>
      </c>
      <c r="N205" s="1">
        <v>3.36</v>
      </c>
      <c r="O205" s="1">
        <v>0.28999999999999998</v>
      </c>
      <c r="P205">
        <v>1.5926145339652448E-2</v>
      </c>
      <c r="Q205">
        <v>393.29239784309448</v>
      </c>
      <c r="S205" t="s">
        <v>163</v>
      </c>
    </row>
    <row r="206" spans="1:19">
      <c r="A206" t="s">
        <v>577</v>
      </c>
      <c r="B206" t="s">
        <v>563</v>
      </c>
      <c r="C206">
        <v>8.4229999999999999E-3</v>
      </c>
      <c r="D206">
        <v>1.0939999999999999E-3</v>
      </c>
      <c r="E206">
        <v>1614.7263038914903</v>
      </c>
      <c r="F206">
        <v>69.589932263626466</v>
      </c>
      <c r="G206" s="7">
        <f t="shared" si="6"/>
        <v>3.9910286084914395</v>
      </c>
      <c r="H206" s="7">
        <f t="shared" si="7"/>
        <v>0.17200153973944213</v>
      </c>
      <c r="I206">
        <v>9.8640000000000005E-2</v>
      </c>
      <c r="J206">
        <v>1.2489999999999999E-2</v>
      </c>
      <c r="K206">
        <v>0.24030000000000001</v>
      </c>
      <c r="L206">
        <v>1.0901599999999999E-2</v>
      </c>
      <c r="M206">
        <v>2.8270999999999999E-3</v>
      </c>
      <c r="N206" s="1">
        <v>3.72</v>
      </c>
      <c r="O206" s="1">
        <v>0.34</v>
      </c>
      <c r="P206">
        <v>0.45201421800947872</v>
      </c>
      <c r="Q206">
        <v>95.502290932892805</v>
      </c>
      <c r="S206" t="s">
        <v>164</v>
      </c>
    </row>
    <row r="207" spans="1:19">
      <c r="A207" t="s">
        <v>578</v>
      </c>
      <c r="B207" t="s">
        <v>563</v>
      </c>
      <c r="C207">
        <v>5.0299999999999997E-2</v>
      </c>
      <c r="D207">
        <v>4.1850000000000004E-3</v>
      </c>
      <c r="E207">
        <v>913.24200913242009</v>
      </c>
      <c r="F207">
        <v>46.571172410917207</v>
      </c>
      <c r="G207" s="7">
        <f t="shared" si="6"/>
        <v>7.0549616424502339</v>
      </c>
      <c r="H207" s="7">
        <f t="shared" si="7"/>
        <v>0.3597708293282384</v>
      </c>
      <c r="I207">
        <v>0.33310000000000001</v>
      </c>
      <c r="J207">
        <v>2.7609999999999999E-2</v>
      </c>
      <c r="K207">
        <v>0.31209999999999999</v>
      </c>
      <c r="L207">
        <v>2.4312899999999998E-2</v>
      </c>
      <c r="M207">
        <v>4.4622000000000004E-3</v>
      </c>
      <c r="N207" s="1">
        <v>4.47</v>
      </c>
      <c r="O207" s="1">
        <v>0.74</v>
      </c>
      <c r="P207">
        <v>2.3834913112164301E-2</v>
      </c>
      <c r="Q207">
        <v>53.879001340273668</v>
      </c>
      <c r="S207" t="s">
        <v>165</v>
      </c>
    </row>
    <row r="208" spans="1:19">
      <c r="A208" t="s">
        <v>579</v>
      </c>
      <c r="B208" t="s">
        <v>563</v>
      </c>
      <c r="C208">
        <v>4.9419999999999999E-2</v>
      </c>
      <c r="D208">
        <v>4.1599999999999996E-3</v>
      </c>
      <c r="E208">
        <v>1126.5067027148812</v>
      </c>
      <c r="F208">
        <v>68.450795927048205</v>
      </c>
      <c r="G208" s="7">
        <f t="shared" si="6"/>
        <v>5.7199434480093938</v>
      </c>
      <c r="H208" s="7">
        <f t="shared" si="7"/>
        <v>0.34756533692196317</v>
      </c>
      <c r="I208">
        <v>0.40379999999999999</v>
      </c>
      <c r="J208">
        <v>1.711E-2</v>
      </c>
      <c r="K208">
        <v>0.87819999999999998</v>
      </c>
      <c r="L208">
        <v>2.8062900000000002E-2</v>
      </c>
      <c r="M208">
        <v>3.8E-3</v>
      </c>
      <c r="N208" s="1">
        <v>3.1</v>
      </c>
      <c r="O208" s="1">
        <v>0.56000000000000005</v>
      </c>
      <c r="P208">
        <v>1.7061611374407586E-2</v>
      </c>
      <c r="Q208">
        <v>88.645076831967089</v>
      </c>
      <c r="S208" t="s">
        <v>166</v>
      </c>
    </row>
    <row r="209" spans="1:19">
      <c r="A209" t="s">
        <v>580</v>
      </c>
      <c r="B209" t="s">
        <v>563</v>
      </c>
      <c r="C209">
        <v>1.8069999999999999E-2</v>
      </c>
      <c r="D209">
        <v>3.4429999999999999E-3</v>
      </c>
      <c r="E209">
        <v>1689.4745734076701</v>
      </c>
      <c r="F209">
        <v>117.74087878537993</v>
      </c>
      <c r="G209" s="7">
        <f t="shared" si="6"/>
        <v>3.8145037633367118</v>
      </c>
      <c r="H209" s="7">
        <f t="shared" si="7"/>
        <v>0.26583591863091627</v>
      </c>
      <c r="I209">
        <v>0.22140000000000001</v>
      </c>
      <c r="J209">
        <v>2.963E-2</v>
      </c>
      <c r="K209">
        <v>0.87549999999999994</v>
      </c>
      <c r="L209">
        <v>5.0237200000000003E-2</v>
      </c>
      <c r="M209">
        <v>1.0853E-2</v>
      </c>
      <c r="N209" s="1">
        <v>2.96</v>
      </c>
      <c r="O209" s="1">
        <v>0.41</v>
      </c>
      <c r="P209">
        <v>7.779423380726699E-3</v>
      </c>
      <c r="Q209">
        <v>40.9562696755291</v>
      </c>
      <c r="S209" t="s">
        <v>167</v>
      </c>
    </row>
    <row r="210" spans="1:19">
      <c r="A210" t="s">
        <v>581</v>
      </c>
      <c r="B210" t="s">
        <v>563</v>
      </c>
      <c r="C210">
        <v>1.217E-2</v>
      </c>
      <c r="D210">
        <v>1.4630000000000001E-3</v>
      </c>
      <c r="E210">
        <v>1800.1800180018001</v>
      </c>
      <c r="F210">
        <v>90.025204140576079</v>
      </c>
      <c r="G210" s="7">
        <f t="shared" si="6"/>
        <v>3.5799888282991943</v>
      </c>
      <c r="H210" s="7">
        <f t="shared" si="7"/>
        <v>0.17903166453672661</v>
      </c>
      <c r="I210">
        <v>0.1588</v>
      </c>
      <c r="J210">
        <v>1.694E-2</v>
      </c>
      <c r="K210">
        <v>0.46460000000000001</v>
      </c>
      <c r="L210">
        <v>2.7974200000000001E-2</v>
      </c>
      <c r="M210">
        <v>5.2861999999999996E-3</v>
      </c>
      <c r="N210" s="1">
        <v>3.06</v>
      </c>
      <c r="O210" s="1">
        <v>0.35</v>
      </c>
      <c r="P210">
        <v>5.5015797788309636E-3</v>
      </c>
      <c r="Q210">
        <v>89.206121622042829</v>
      </c>
      <c r="S210" t="s">
        <v>168</v>
      </c>
    </row>
    <row r="211" spans="1:19">
      <c r="A211" t="s">
        <v>582</v>
      </c>
      <c r="B211" t="s">
        <v>563</v>
      </c>
      <c r="C211">
        <v>4.999E-3</v>
      </c>
      <c r="D211">
        <v>5.2119999999999998E-4</v>
      </c>
      <c r="E211">
        <v>2726.2813522355505</v>
      </c>
      <c r="F211">
        <v>125.16515259445657</v>
      </c>
      <c r="G211" s="7">
        <f t="shared" si="6"/>
        <v>2.364111170510212</v>
      </c>
      <c r="H211" s="7">
        <f t="shared" si="7"/>
        <v>0.10853771022734997</v>
      </c>
      <c r="I211">
        <v>9.8830000000000001E-2</v>
      </c>
      <c r="J211">
        <v>1.0540000000000001E-2</v>
      </c>
      <c r="K211">
        <v>0.16850000000000001</v>
      </c>
      <c r="L211">
        <v>1.2670000000000001E-2</v>
      </c>
      <c r="M211">
        <v>3.2560000000000002E-3</v>
      </c>
      <c r="N211" s="1">
        <v>2.2000000000000002</v>
      </c>
      <c r="O211" s="1">
        <v>0.21</v>
      </c>
      <c r="P211">
        <v>2.4684044233807271E-2</v>
      </c>
      <c r="Q211">
        <v>137.33129694853974</v>
      </c>
      <c r="S211" t="s">
        <v>169</v>
      </c>
    </row>
    <row r="212" spans="1:19">
      <c r="A212" t="s">
        <v>583</v>
      </c>
      <c r="B212" t="s">
        <v>563</v>
      </c>
      <c r="C212">
        <v>2.121E-2</v>
      </c>
      <c r="D212">
        <v>3.1909999999999998E-3</v>
      </c>
      <c r="E212">
        <v>1796.2996227770791</v>
      </c>
      <c r="F212">
        <v>158.72099594827469</v>
      </c>
      <c r="G212" s="7">
        <f t="shared" si="6"/>
        <v>3.5877202258877525</v>
      </c>
      <c r="H212" s="7">
        <f t="shared" si="7"/>
        <v>0.31701088182399595</v>
      </c>
      <c r="I212">
        <v>0.27629999999999999</v>
      </c>
      <c r="J212">
        <v>3.5040000000000002E-2</v>
      </c>
      <c r="K212">
        <v>0.54020000000000001</v>
      </c>
      <c r="L212">
        <v>2.94039E-2</v>
      </c>
      <c r="M212">
        <v>9.0997000000000005E-3</v>
      </c>
      <c r="N212" s="1">
        <v>2.5299999999999998</v>
      </c>
      <c r="O212" s="1">
        <v>0.56000000000000005</v>
      </c>
      <c r="P212">
        <v>1.0110584518167457E-2</v>
      </c>
      <c r="Q212">
        <v>29.641866409001651</v>
      </c>
      <c r="S212" t="s">
        <v>170</v>
      </c>
    </row>
    <row r="213" spans="1:19">
      <c r="A213" t="s">
        <v>584</v>
      </c>
      <c r="B213" t="s">
        <v>563</v>
      </c>
      <c r="C213">
        <v>3.653E-2</v>
      </c>
      <c r="D213">
        <v>3.986E-3</v>
      </c>
      <c r="E213">
        <v>1473.8393515106854</v>
      </c>
      <c r="F213">
        <v>106.63341748807598</v>
      </c>
      <c r="G213" s="7">
        <f t="shared" si="6"/>
        <v>4.3724088505441889</v>
      </c>
      <c r="H213" s="7">
        <f t="shared" si="7"/>
        <v>0.31634716355669013</v>
      </c>
      <c r="I213">
        <v>0.39050000000000001</v>
      </c>
      <c r="J213">
        <v>3.6240000000000001E-2</v>
      </c>
      <c r="K213">
        <v>0.54010000000000002</v>
      </c>
      <c r="L213">
        <v>4.1418700000000003E-2</v>
      </c>
      <c r="M213">
        <v>1.031E-2</v>
      </c>
      <c r="N213" s="1">
        <v>2.4500000000000002</v>
      </c>
      <c r="O213" s="1">
        <v>0.59</v>
      </c>
      <c r="P213">
        <v>8.6048578199052136E-3</v>
      </c>
      <c r="Q213">
        <v>39.086120375276622</v>
      </c>
      <c r="S213" t="s">
        <v>171</v>
      </c>
    </row>
    <row r="214" spans="1:19">
      <c r="A214" t="s">
        <v>585</v>
      </c>
      <c r="B214" t="s">
        <v>563</v>
      </c>
      <c r="C214">
        <v>1.908E-2</v>
      </c>
      <c r="D214">
        <v>2.6779999999999998E-3</v>
      </c>
      <c r="E214">
        <v>1240.6947890818858</v>
      </c>
      <c r="F214">
        <v>110.32331952046992</v>
      </c>
      <c r="G214" s="7">
        <f t="shared" si="6"/>
        <v>5.1937170438690368</v>
      </c>
      <c r="H214" s="7">
        <f t="shared" si="7"/>
        <v>0.46182841257331747</v>
      </c>
      <c r="I214">
        <v>0.1716</v>
      </c>
      <c r="J214">
        <v>2.4539999999999999E-2</v>
      </c>
      <c r="K214">
        <v>0.28710000000000002</v>
      </c>
      <c r="L214">
        <v>1.19828</v>
      </c>
      <c r="M214">
        <v>8.3166000000000004E-2</v>
      </c>
      <c r="N214" s="1">
        <v>4.3600000000000003</v>
      </c>
      <c r="O214" s="1">
        <v>0.84</v>
      </c>
      <c r="P214">
        <v>7.8939573459715657E-3</v>
      </c>
      <c r="Q214">
        <v>155.90811333104762</v>
      </c>
      <c r="S214" t="s">
        <v>172</v>
      </c>
    </row>
    <row r="215" spans="1:19">
      <c r="A215" t="s">
        <v>586</v>
      </c>
      <c r="B215" t="s">
        <v>563</v>
      </c>
      <c r="C215">
        <v>5.6499999999999996E-3</v>
      </c>
      <c r="D215">
        <v>3.4689999999999998E-4</v>
      </c>
      <c r="E215">
        <v>1788.9087656529516</v>
      </c>
      <c r="F215">
        <v>79.524835109974674</v>
      </c>
      <c r="G215" s="7">
        <f t="shared" si="6"/>
        <v>3.6025387120141978</v>
      </c>
      <c r="H215" s="7">
        <f t="shared" si="7"/>
        <v>0.16014863505107838</v>
      </c>
      <c r="I215">
        <v>7.3300000000000004E-2</v>
      </c>
      <c r="J215">
        <v>3.026E-3</v>
      </c>
      <c r="K215">
        <v>0.74029999999999996</v>
      </c>
      <c r="L215">
        <v>2.6635999999999999E-3</v>
      </c>
      <c r="M215">
        <v>5.8611000000000004E-4</v>
      </c>
      <c r="N215" s="1">
        <v>3.48</v>
      </c>
      <c r="O215" s="1">
        <v>0.31</v>
      </c>
      <c r="P215">
        <v>1.5116508688783573E-5</v>
      </c>
      <c r="Q215">
        <v>875.85325561824015</v>
      </c>
      <c r="S215" t="s">
        <v>173</v>
      </c>
    </row>
    <row r="216" spans="1:19">
      <c r="A216" t="s">
        <v>587</v>
      </c>
      <c r="B216" t="s">
        <v>563</v>
      </c>
      <c r="C216">
        <v>5.2119999999999996E-3</v>
      </c>
      <c r="D216">
        <v>4.1889999999999999E-4</v>
      </c>
      <c r="E216">
        <v>2263.9800769753224</v>
      </c>
      <c r="F216">
        <v>48.170443204469279</v>
      </c>
      <c r="G216" s="7">
        <f t="shared" si="6"/>
        <v>2.8467524852257706</v>
      </c>
      <c r="H216" s="7">
        <f t="shared" si="7"/>
        <v>6.0570024578111371E-2</v>
      </c>
      <c r="I216">
        <v>8.5569999999999993E-2</v>
      </c>
      <c r="J216">
        <v>7.0569999999999999E-3</v>
      </c>
      <c r="K216">
        <v>3.2000000000000001E-2</v>
      </c>
      <c r="L216">
        <v>4.2232299999999997E-3</v>
      </c>
      <c r="M216">
        <v>1.3119E-3</v>
      </c>
      <c r="N216" s="1">
        <v>2.7</v>
      </c>
      <c r="O216" s="1">
        <v>0.13</v>
      </c>
      <c r="P216">
        <v>8.1951026856240131E-2</v>
      </c>
      <c r="Q216">
        <v>175.35766605367328</v>
      </c>
      <c r="S216" t="s">
        <v>174</v>
      </c>
    </row>
    <row r="217" spans="1:19">
      <c r="A217" t="s">
        <v>588</v>
      </c>
      <c r="B217" t="s">
        <v>563</v>
      </c>
      <c r="C217">
        <v>2.75E-2</v>
      </c>
      <c r="D217">
        <v>4.326E-3</v>
      </c>
      <c r="E217">
        <v>1400.3640946646128</v>
      </c>
      <c r="F217">
        <v>144.91934826454963</v>
      </c>
      <c r="G217" s="7">
        <f t="shared" si="6"/>
        <v>4.6017415111194353</v>
      </c>
      <c r="H217" s="7">
        <f t="shared" si="7"/>
        <v>0.47621999393884085</v>
      </c>
      <c r="I217">
        <v>0.27929999999999999</v>
      </c>
      <c r="J217">
        <v>3.6859999999999997E-2</v>
      </c>
      <c r="K217">
        <v>0.55420000000000003</v>
      </c>
      <c r="L217">
        <v>1.9395099999999998E-2</v>
      </c>
      <c r="M217">
        <v>9.0170000000000007E-3</v>
      </c>
      <c r="N217" s="1">
        <v>3.23</v>
      </c>
      <c r="O217" s="1">
        <v>0.81</v>
      </c>
      <c r="P217">
        <v>8.8210900473933655E-3</v>
      </c>
      <c r="Q217">
        <v>44.416045880996165</v>
      </c>
      <c r="S217" t="s">
        <v>175</v>
      </c>
    </row>
    <row r="218" spans="1:19">
      <c r="A218" t="s">
        <v>589</v>
      </c>
      <c r="B218" t="s">
        <v>563</v>
      </c>
      <c r="C218">
        <v>1.353E-2</v>
      </c>
      <c r="D218">
        <v>2.4589999999999998E-3</v>
      </c>
      <c r="E218">
        <v>2119.9915200339201</v>
      </c>
      <c r="F218">
        <v>141.12303101349391</v>
      </c>
      <c r="G218" s="7">
        <f t="shared" si="6"/>
        <v>3.0400566287011084</v>
      </c>
      <c r="H218" s="7">
        <f t="shared" si="7"/>
        <v>0.20236968018065463</v>
      </c>
      <c r="I218">
        <v>0.20799999999999999</v>
      </c>
      <c r="J218">
        <v>3.7100000000000001E-2</v>
      </c>
      <c r="K218">
        <v>0.23280000000000001</v>
      </c>
      <c r="L218">
        <v>4.7471199999999998E-2</v>
      </c>
      <c r="M218">
        <v>1.2102E-2</v>
      </c>
      <c r="N218" s="1">
        <v>2.41</v>
      </c>
      <c r="O218" s="1">
        <v>0.31</v>
      </c>
      <c r="P218">
        <v>1.1798973143759875E-2</v>
      </c>
      <c r="Q218">
        <v>32.496961007387092</v>
      </c>
      <c r="S218" t="s">
        <v>176</v>
      </c>
    </row>
    <row r="219" spans="1:19">
      <c r="A219" t="s">
        <v>590</v>
      </c>
      <c r="B219" t="s">
        <v>563</v>
      </c>
      <c r="C219">
        <v>7.339E-3</v>
      </c>
      <c r="D219">
        <v>9.1189999999999999E-4</v>
      </c>
      <c r="E219">
        <v>2394.6360153256705</v>
      </c>
      <c r="F219">
        <v>177.99210228857473</v>
      </c>
      <c r="G219" s="7">
        <f t="shared" si="6"/>
        <v>2.6914606245767749</v>
      </c>
      <c r="H219" s="7">
        <f t="shared" si="7"/>
        <v>0.2000549276505342</v>
      </c>
      <c r="I219">
        <v>0.1275</v>
      </c>
      <c r="J219">
        <v>2.018E-2</v>
      </c>
      <c r="K219">
        <v>-0.2218</v>
      </c>
      <c r="L219">
        <v>1.05559E-2</v>
      </c>
      <c r="M219">
        <v>3.7488999999999999E-3</v>
      </c>
      <c r="N219" s="1">
        <v>2.41</v>
      </c>
      <c r="O219" s="1">
        <v>0.31</v>
      </c>
      <c r="P219">
        <v>1.2105055292259085E-2</v>
      </c>
      <c r="Q219">
        <v>73.122837639871591</v>
      </c>
      <c r="S219" t="s">
        <v>177</v>
      </c>
    </row>
    <row r="220" spans="1:19">
      <c r="A220" t="s">
        <v>591</v>
      </c>
      <c r="B220" t="s">
        <v>563</v>
      </c>
      <c r="C220">
        <v>1.23E-2</v>
      </c>
      <c r="D220">
        <v>2.2560000000000002E-3</v>
      </c>
      <c r="E220">
        <v>1848.7705675725642</v>
      </c>
      <c r="F220">
        <v>120.58536813451668</v>
      </c>
      <c r="G220" s="7">
        <f t="shared" si="6"/>
        <v>3.4859227482646475</v>
      </c>
      <c r="H220" s="7">
        <f t="shared" si="7"/>
        <v>0.22736800620960765</v>
      </c>
      <c r="I220">
        <v>0.16489999999999999</v>
      </c>
      <c r="J220">
        <v>2.537E-2</v>
      </c>
      <c r="K220">
        <v>0.59470000000000001</v>
      </c>
      <c r="L220">
        <v>1.44292E-2</v>
      </c>
      <c r="M220">
        <v>4.8396000000000003E-3</v>
      </c>
      <c r="N220" s="1">
        <v>2.96</v>
      </c>
      <c r="O220" s="1">
        <v>0.45</v>
      </c>
      <c r="P220">
        <v>1.1907582938388625E-2</v>
      </c>
      <c r="Q220">
        <v>52.39534956207337</v>
      </c>
      <c r="S220" t="s">
        <v>178</v>
      </c>
    </row>
    <row r="221" spans="1:19">
      <c r="A221" t="s">
        <v>592</v>
      </c>
      <c r="B221" t="s">
        <v>563</v>
      </c>
      <c r="C221">
        <v>5.176E-3</v>
      </c>
      <c r="D221">
        <v>4.26E-4</v>
      </c>
      <c r="E221">
        <v>1816.5304268846503</v>
      </c>
      <c r="F221">
        <v>72.727212731221968</v>
      </c>
      <c r="G221" s="7">
        <f t="shared" si="6"/>
        <v>3.5477745718721643</v>
      </c>
      <c r="H221" s="7">
        <f t="shared" si="7"/>
        <v>0.14203987568403725</v>
      </c>
      <c r="I221">
        <v>6.8199999999999997E-2</v>
      </c>
      <c r="J221">
        <v>4.5859999999999998E-3</v>
      </c>
      <c r="K221">
        <v>0.58499999999999996</v>
      </c>
      <c r="L221">
        <v>2.4685000000000002E-3</v>
      </c>
      <c r="M221">
        <v>6.7504000000000002E-4</v>
      </c>
      <c r="N221" s="1">
        <v>3.45</v>
      </c>
      <c r="O221" s="1">
        <v>0.28000000000000003</v>
      </c>
      <c r="P221">
        <v>1.0456161137440759E-3</v>
      </c>
      <c r="Q221">
        <v>464.35807125268832</v>
      </c>
      <c r="S221" t="s">
        <v>179</v>
      </c>
    </row>
    <row r="222" spans="1:19">
      <c r="A222" t="s">
        <v>593</v>
      </c>
      <c r="B222" t="s">
        <v>563</v>
      </c>
      <c r="C222">
        <v>6.0330000000000002E-3</v>
      </c>
      <c r="D222">
        <v>8.6740000000000005E-4</v>
      </c>
      <c r="E222">
        <v>2005.6157240272764</v>
      </c>
      <c r="F222">
        <v>131.01264366539991</v>
      </c>
      <c r="G222" s="7">
        <f t="shared" si="6"/>
        <v>3.2133810818515194</v>
      </c>
      <c r="H222" s="7">
        <f t="shared" si="7"/>
        <v>0.20990738434798234</v>
      </c>
      <c r="I222">
        <v>8.7760000000000005E-2</v>
      </c>
      <c r="J222">
        <v>1.251E-2</v>
      </c>
      <c r="K222">
        <v>0.2465</v>
      </c>
      <c r="L222">
        <v>9.1008500000000006E-3</v>
      </c>
      <c r="M222">
        <v>2.9489999999999998E-3</v>
      </c>
      <c r="N222" s="1">
        <v>3.04</v>
      </c>
      <c r="O222" s="1">
        <v>0.41</v>
      </c>
      <c r="P222">
        <v>1.6291469194312798E-2</v>
      </c>
      <c r="Q222">
        <v>172.61478041330301</v>
      </c>
      <c r="S222" t="s">
        <v>180</v>
      </c>
    </row>
    <row r="223" spans="1:19">
      <c r="A223" t="s">
        <v>594</v>
      </c>
      <c r="B223" t="s">
        <v>563</v>
      </c>
      <c r="C223">
        <v>6.2129999999999998E-3</v>
      </c>
      <c r="D223">
        <v>6.0570000000000003E-4</v>
      </c>
      <c r="E223">
        <v>2237.6370552696353</v>
      </c>
      <c r="F223">
        <v>104.34628827885253</v>
      </c>
      <c r="G223" s="7">
        <f t="shared" si="6"/>
        <v>2.8802589520491475</v>
      </c>
      <c r="H223" s="7">
        <f t="shared" si="7"/>
        <v>0.13431326149184208</v>
      </c>
      <c r="I223">
        <v>0.1008</v>
      </c>
      <c r="J223">
        <v>7.1130000000000004E-3</v>
      </c>
      <c r="K223">
        <v>0.73719999999999997</v>
      </c>
      <c r="L223">
        <v>5.3995299999999996E-3</v>
      </c>
      <c r="M223">
        <v>1.6029E-3</v>
      </c>
      <c r="N223" s="1">
        <v>2.68</v>
      </c>
      <c r="O223" s="1">
        <v>0.25</v>
      </c>
      <c r="P223">
        <v>2.1248025276461293E-3</v>
      </c>
      <c r="Q223">
        <v>233.95567746158403</v>
      </c>
      <c r="S223" t="s">
        <v>181</v>
      </c>
    </row>
    <row r="224" spans="1:19">
      <c r="A224" t="s">
        <v>595</v>
      </c>
      <c r="B224" t="s">
        <v>563</v>
      </c>
      <c r="C224">
        <v>5.7650000000000002E-3</v>
      </c>
      <c r="D224">
        <v>8.0239999999999999E-4</v>
      </c>
      <c r="E224">
        <v>2012.8824476650561</v>
      </c>
      <c r="F224">
        <v>123.09051682782689</v>
      </c>
      <c r="G224" s="7">
        <f t="shared" si="6"/>
        <v>3.2017833085358771</v>
      </c>
      <c r="H224" s="7">
        <f t="shared" si="7"/>
        <v>0.19579343179009648</v>
      </c>
      <c r="I224">
        <v>8.4169999999999995E-2</v>
      </c>
      <c r="J224">
        <v>1.039E-2</v>
      </c>
      <c r="K224">
        <v>0.46189999999999998</v>
      </c>
      <c r="L224">
        <v>5.7305000000000004E-3</v>
      </c>
      <c r="M224">
        <v>1.9472999999999999E-3</v>
      </c>
      <c r="N224" s="1">
        <v>3.05</v>
      </c>
      <c r="O224" s="1">
        <v>0.38</v>
      </c>
      <c r="P224">
        <v>3.0637835703001579E-2</v>
      </c>
      <c r="Q224">
        <v>256.39746906461369</v>
      </c>
      <c r="S224" t="s">
        <v>182</v>
      </c>
    </row>
    <row r="225" spans="1:19">
      <c r="A225" t="s">
        <v>596</v>
      </c>
      <c r="B225" t="s">
        <v>563</v>
      </c>
      <c r="C225">
        <v>8.8739999999999999E-3</v>
      </c>
      <c r="D225">
        <v>9.1149999999999998E-4</v>
      </c>
      <c r="E225">
        <v>1942.8793471925394</v>
      </c>
      <c r="F225">
        <v>69.116224688353213</v>
      </c>
      <c r="G225" s="7">
        <f t="shared" si="6"/>
        <v>3.3171157929948278</v>
      </c>
      <c r="H225" s="7">
        <f t="shared" si="7"/>
        <v>0.11800347808380668</v>
      </c>
      <c r="I225">
        <v>0.125</v>
      </c>
      <c r="J225">
        <v>1.261E-2</v>
      </c>
      <c r="K225">
        <v>0.22620000000000001</v>
      </c>
      <c r="L225">
        <v>6.5490699999999997E-3</v>
      </c>
      <c r="M225">
        <v>2.5370000000000002E-3</v>
      </c>
      <c r="N225" s="1">
        <v>2.98</v>
      </c>
      <c r="O225" s="1">
        <v>0.24</v>
      </c>
      <c r="P225">
        <v>7.4555687203791479E-3</v>
      </c>
      <c r="Q225">
        <v>77.985225820528001</v>
      </c>
      <c r="S225" t="s">
        <v>183</v>
      </c>
    </row>
    <row r="226" spans="1:19">
      <c r="A226" t="s">
        <v>597</v>
      </c>
      <c r="B226" t="s">
        <v>563</v>
      </c>
      <c r="C226">
        <v>3.4000000000000002E-2</v>
      </c>
      <c r="D226">
        <v>2.2829999999999999E-3</v>
      </c>
      <c r="E226">
        <v>1024.5901639344263</v>
      </c>
      <c r="F226">
        <v>50.505156543939805</v>
      </c>
      <c r="G226" s="7">
        <f t="shared" si="6"/>
        <v>6.2886318883361154</v>
      </c>
      <c r="H226" s="7">
        <f t="shared" si="7"/>
        <v>0.30998573785640421</v>
      </c>
      <c r="I226">
        <v>0.25269999999999998</v>
      </c>
      <c r="J226">
        <v>1.017E-2</v>
      </c>
      <c r="K226">
        <v>0.8034</v>
      </c>
      <c r="L226">
        <v>1.23389E-2</v>
      </c>
      <c r="M226">
        <v>1.6956E-3</v>
      </c>
      <c r="N226" s="1">
        <v>4.63</v>
      </c>
      <c r="O226" s="1">
        <v>0.52</v>
      </c>
      <c r="P226">
        <v>3.1171011058451822E-3</v>
      </c>
      <c r="Q226">
        <v>358.44528254839008</v>
      </c>
      <c r="S226" t="s">
        <v>184</v>
      </c>
    </row>
    <row r="227" spans="1:19">
      <c r="A227" t="s">
        <v>598</v>
      </c>
      <c r="B227" t="s">
        <v>563</v>
      </c>
      <c r="C227">
        <v>2.0709999999999999E-2</v>
      </c>
      <c r="D227">
        <v>4.1359999999999999E-3</v>
      </c>
      <c r="E227">
        <v>1187.507421921387</v>
      </c>
      <c r="F227">
        <v>94.100902820109454</v>
      </c>
      <c r="G227" s="7">
        <f t="shared" si="6"/>
        <v>5.4262409845150863</v>
      </c>
      <c r="H227" s="7">
        <f t="shared" si="7"/>
        <v>0.42998819724105419</v>
      </c>
      <c r="I227">
        <v>0.1784</v>
      </c>
      <c r="J227">
        <v>2.809E-2</v>
      </c>
      <c r="K227">
        <v>0.67500000000000004</v>
      </c>
      <c r="L227">
        <v>1.91378E-2</v>
      </c>
      <c r="M227">
        <v>6.6940000000000003E-3</v>
      </c>
      <c r="N227" s="1">
        <v>4.51</v>
      </c>
      <c r="O227" s="1">
        <v>0.81</v>
      </c>
      <c r="P227">
        <v>5.2014218009478674E-3</v>
      </c>
      <c r="Q227">
        <v>27.21690614967428</v>
      </c>
      <c r="S227" t="s">
        <v>185</v>
      </c>
    </row>
    <row r="228" spans="1:19">
      <c r="A228" t="s">
        <v>599</v>
      </c>
      <c r="B228" t="s">
        <v>563</v>
      </c>
      <c r="C228">
        <v>3.3230000000000003E-2</v>
      </c>
      <c r="D228">
        <v>3.7269999999999998E-3</v>
      </c>
      <c r="E228">
        <v>1165.093790050099</v>
      </c>
      <c r="F228">
        <v>79.125383924059506</v>
      </c>
      <c r="G228" s="7">
        <f t="shared" si="6"/>
        <v>5.5305841816807622</v>
      </c>
      <c r="H228" s="7">
        <f t="shared" si="7"/>
        <v>0.37560031684745621</v>
      </c>
      <c r="I228">
        <v>0.28079999999999999</v>
      </c>
      <c r="J228">
        <v>2.5239999999999999E-2</v>
      </c>
      <c r="K228">
        <v>0.59830000000000005</v>
      </c>
      <c r="L228">
        <v>2.4520400000000002</v>
      </c>
      <c r="M228">
        <v>8.3978999999999998E-2</v>
      </c>
      <c r="N228" s="1">
        <v>3.87</v>
      </c>
      <c r="O228" s="1">
        <v>0.66</v>
      </c>
      <c r="P228">
        <v>9.8183254344391784E-3</v>
      </c>
      <c r="Q228">
        <v>96.749057133061115</v>
      </c>
      <c r="S228" t="s">
        <v>186</v>
      </c>
    </row>
    <row r="229" spans="1:19">
      <c r="A229" t="s">
        <v>600</v>
      </c>
      <c r="B229" t="s">
        <v>563</v>
      </c>
      <c r="C229">
        <v>5.8760000000000001E-3</v>
      </c>
      <c r="D229">
        <v>9.5649999999999999E-4</v>
      </c>
      <c r="E229">
        <v>2683.8432635534086</v>
      </c>
      <c r="F229">
        <v>143.41202194672132</v>
      </c>
      <c r="G229" s="7">
        <f t="shared" si="6"/>
        <v>2.4014865550872431</v>
      </c>
      <c r="H229" s="7">
        <f t="shared" si="7"/>
        <v>0.12832420105149492</v>
      </c>
      <c r="I229">
        <v>0.1144</v>
      </c>
      <c r="J229">
        <v>1.8509999999999999E-2</v>
      </c>
      <c r="K229">
        <v>0.1825</v>
      </c>
      <c r="L229">
        <v>3.4975600000000003E-2</v>
      </c>
      <c r="M229">
        <v>7.5133999999999999E-3</v>
      </c>
      <c r="N229" s="1">
        <v>2.19</v>
      </c>
      <c r="O229" s="1">
        <v>0.26</v>
      </c>
      <c r="P229">
        <v>1.8611769352290679E-2</v>
      </c>
      <c r="Q229">
        <v>60.542966680173301</v>
      </c>
      <c r="S229" t="s">
        <v>187</v>
      </c>
    </row>
    <row r="230" spans="1:19">
      <c r="A230" t="s">
        <v>601</v>
      </c>
      <c r="B230" t="s">
        <v>563</v>
      </c>
      <c r="C230">
        <v>1.695E-2</v>
      </c>
      <c r="D230">
        <v>1.5410000000000001E-3</v>
      </c>
      <c r="E230">
        <v>1700.9695526450075</v>
      </c>
      <c r="F230">
        <v>96.433602976115154</v>
      </c>
      <c r="G230" s="7">
        <f t="shared" si="6"/>
        <v>3.7887333085987414</v>
      </c>
      <c r="H230" s="7">
        <f t="shared" si="7"/>
        <v>0.21479585163394463</v>
      </c>
      <c r="I230">
        <v>0.20910000000000001</v>
      </c>
      <c r="J230">
        <v>1.754E-2</v>
      </c>
      <c r="K230">
        <v>0.43120000000000003</v>
      </c>
      <c r="L230">
        <v>1.41453E-2</v>
      </c>
      <c r="M230">
        <v>4.0566999999999999E-3</v>
      </c>
      <c r="N230" s="1">
        <v>3</v>
      </c>
      <c r="O230" s="1">
        <v>0.39</v>
      </c>
      <c r="P230">
        <v>1.8404423380726699E-4</v>
      </c>
      <c r="Q230">
        <v>77.922887510519587</v>
      </c>
      <c r="S230" t="s">
        <v>188</v>
      </c>
    </row>
    <row r="231" spans="1:19">
      <c r="A231" t="s">
        <v>602</v>
      </c>
      <c r="B231" t="s">
        <v>563</v>
      </c>
      <c r="C231">
        <v>1.754E-2</v>
      </c>
      <c r="D231">
        <v>1.413E-3</v>
      </c>
      <c r="E231">
        <v>1278.1186094069528</v>
      </c>
      <c r="F231">
        <v>67.712188599077436</v>
      </c>
      <c r="G231" s="7">
        <f t="shared" si="6"/>
        <v>5.0417023991948815</v>
      </c>
      <c r="H231" s="7">
        <f t="shared" si="7"/>
        <v>0.26709939218638523</v>
      </c>
      <c r="I231">
        <v>0.16259999999999999</v>
      </c>
      <c r="J231">
        <v>1.274E-2</v>
      </c>
      <c r="K231">
        <v>0.37</v>
      </c>
      <c r="L231">
        <v>3.6432399999999998E-3</v>
      </c>
      <c r="M231">
        <v>1.2465E-3</v>
      </c>
      <c r="N231" s="1">
        <v>4.29</v>
      </c>
      <c r="O231" s="1">
        <v>0.49</v>
      </c>
      <c r="P231">
        <v>3.9800552922590837E-4</v>
      </c>
      <c r="Q231">
        <v>204.28264189757817</v>
      </c>
      <c r="S231" t="s">
        <v>189</v>
      </c>
    </row>
    <row r="232" spans="1:19">
      <c r="A232" t="s">
        <v>603</v>
      </c>
      <c r="B232" t="s">
        <v>563</v>
      </c>
      <c r="C232">
        <v>1.847E-2</v>
      </c>
      <c r="D232">
        <v>2.4840000000000001E-3</v>
      </c>
      <c r="E232">
        <v>1623.640201331385</v>
      </c>
      <c r="F232">
        <v>116.62581994950558</v>
      </c>
      <c r="G232" s="7">
        <f t="shared" si="6"/>
        <v>3.9691243283543076</v>
      </c>
      <c r="H232" s="7">
        <f t="shared" si="7"/>
        <v>0.28510157539599706</v>
      </c>
      <c r="I232">
        <v>0.2175</v>
      </c>
      <c r="J232">
        <v>2.6370000000000001E-2</v>
      </c>
      <c r="K232">
        <v>0.44269999999999998</v>
      </c>
      <c r="L232">
        <v>4.87982E-2</v>
      </c>
      <c r="M232">
        <v>1.1965999999999999E-2</v>
      </c>
      <c r="N232" s="1">
        <v>3.1</v>
      </c>
      <c r="O232" s="1">
        <v>0.52</v>
      </c>
      <c r="P232">
        <v>1.0969589257503951E-2</v>
      </c>
      <c r="Q232">
        <v>32.634105289405603</v>
      </c>
      <c r="S232" t="s">
        <v>190</v>
      </c>
    </row>
    <row r="233" spans="1:19">
      <c r="A233" t="s">
        <v>604</v>
      </c>
      <c r="B233" t="s">
        <v>563</v>
      </c>
      <c r="C233">
        <v>0.25490000000000002</v>
      </c>
      <c r="D233">
        <v>1.3860000000000001E-2</v>
      </c>
      <c r="E233">
        <v>351.37034434293747</v>
      </c>
      <c r="F233">
        <v>17.370979426932994</v>
      </c>
      <c r="G233" s="7">
        <f t="shared" si="6"/>
        <v>18.320437128550445</v>
      </c>
      <c r="H233" s="7">
        <f t="shared" si="7"/>
        <v>0.90572224314372718</v>
      </c>
      <c r="I233">
        <v>0.64959999999999996</v>
      </c>
      <c r="J233">
        <v>1.06E-2</v>
      </c>
      <c r="K233">
        <v>0.95499999999999996</v>
      </c>
      <c r="L233">
        <v>5.1610499999999997E-2</v>
      </c>
      <c r="M233">
        <v>3.0257999999999999E-3</v>
      </c>
      <c r="N233" s="1">
        <v>4.2</v>
      </c>
      <c r="O233" s="1">
        <v>1.9</v>
      </c>
      <c r="P233">
        <v>0.34202211690363349</v>
      </c>
      <c r="Q233">
        <v>174.36025309353863</v>
      </c>
      <c r="S233" t="s">
        <v>191</v>
      </c>
    </row>
    <row r="234" spans="1:19">
      <c r="A234" t="s">
        <v>605</v>
      </c>
      <c r="B234" t="s">
        <v>563</v>
      </c>
      <c r="C234">
        <v>8.7709999999999996E-2</v>
      </c>
      <c r="D234">
        <v>7.515E-3</v>
      </c>
      <c r="E234">
        <v>95.602294455066911</v>
      </c>
      <c r="F234">
        <v>3.8908123087497111</v>
      </c>
      <c r="G234" s="7">
        <f t="shared" si="6"/>
        <v>67.079276157168707</v>
      </c>
      <c r="H234" s="7">
        <f t="shared" si="7"/>
        <v>2.7299854550771236</v>
      </c>
      <c r="I234">
        <v>6.0789999999999997E-2</v>
      </c>
      <c r="J234">
        <v>3.5530000000000002E-3</v>
      </c>
      <c r="K234">
        <v>0.8004</v>
      </c>
      <c r="L234">
        <v>2.6960500000000002E-3</v>
      </c>
      <c r="M234">
        <v>4.5481999999999999E-4</v>
      </c>
      <c r="N234" s="1">
        <v>65.900000000000006</v>
      </c>
      <c r="O234" s="1">
        <v>5.3</v>
      </c>
      <c r="P234">
        <v>0.59458925750394942</v>
      </c>
      <c r="Q234">
        <v>62.163762740392102</v>
      </c>
      <c r="S234" t="s">
        <v>192</v>
      </c>
    </row>
    <row r="235" spans="1:19">
      <c r="A235" t="s">
        <v>606</v>
      </c>
      <c r="B235" t="s">
        <v>563</v>
      </c>
      <c r="C235">
        <v>7.2359999999999994E-2</v>
      </c>
      <c r="D235">
        <v>5.0520000000000001E-3</v>
      </c>
      <c r="E235">
        <v>100.6238679814852</v>
      </c>
      <c r="F235">
        <v>6.3484770803372124</v>
      </c>
      <c r="G235" s="7">
        <f t="shared" si="6"/>
        <v>63.748221307642922</v>
      </c>
      <c r="H235" s="7">
        <f t="shared" si="7"/>
        <v>4.0219495632815567</v>
      </c>
      <c r="I235">
        <v>5.2810000000000003E-2</v>
      </c>
      <c r="J235">
        <v>3.6649999999999999E-3</v>
      </c>
      <c r="K235">
        <v>0.45810000000000001</v>
      </c>
      <c r="L235">
        <v>7.9277700000000004E-4</v>
      </c>
      <c r="M235">
        <v>3.4124999999999997E-4</v>
      </c>
      <c r="N235" s="1">
        <v>63.3</v>
      </c>
      <c r="O235" s="1">
        <v>7.9</v>
      </c>
      <c r="P235">
        <v>0.29759083728278041</v>
      </c>
      <c r="Q235">
        <v>53.779260044260205</v>
      </c>
      <c r="S235" t="s">
        <v>193</v>
      </c>
    </row>
    <row r="236" spans="1:19">
      <c r="A236" t="s">
        <v>607</v>
      </c>
      <c r="B236" t="s">
        <v>563</v>
      </c>
      <c r="C236">
        <v>8.2299999999999995E-3</v>
      </c>
      <c r="D236">
        <v>4.9839999999999997E-4</v>
      </c>
      <c r="E236">
        <v>1363.3265167007498</v>
      </c>
      <c r="F236">
        <v>47.953407131396524</v>
      </c>
      <c r="G236" s="7">
        <f t="shared" si="6"/>
        <v>4.7267114929834539</v>
      </c>
      <c r="H236" s="7">
        <f t="shared" si="7"/>
        <v>0.16625651877160616</v>
      </c>
      <c r="I236">
        <v>8.1379999999999994E-2</v>
      </c>
      <c r="J236">
        <v>4.1710000000000002E-3</v>
      </c>
      <c r="K236">
        <v>0.53469999999999995</v>
      </c>
      <c r="L236">
        <v>4.3532600000000003E-3</v>
      </c>
      <c r="M236">
        <v>8.6576000000000003E-4</v>
      </c>
      <c r="N236" s="1">
        <v>4.51</v>
      </c>
      <c r="O236" s="1">
        <v>0.32</v>
      </c>
      <c r="P236">
        <v>0.20537124802527645</v>
      </c>
      <c r="Q236">
        <v>363.24533241903811</v>
      </c>
      <c r="S236" t="s">
        <v>194</v>
      </c>
    </row>
    <row r="237" spans="1:19">
      <c r="A237" t="s">
        <v>608</v>
      </c>
      <c r="B237" t="s">
        <v>563</v>
      </c>
      <c r="C237">
        <v>1.056E-2</v>
      </c>
      <c r="D237">
        <v>1.0740000000000001E-3</v>
      </c>
      <c r="E237">
        <v>1331.2034078807242</v>
      </c>
      <c r="F237">
        <v>76.519386517957486</v>
      </c>
      <c r="G237" s="7">
        <f t="shared" si="6"/>
        <v>4.840728383571844</v>
      </c>
      <c r="H237" s="7">
        <f t="shared" si="7"/>
        <v>0.27825166613768926</v>
      </c>
      <c r="I237">
        <v>0.1019</v>
      </c>
      <c r="J237">
        <v>7.4999999999999997E-3</v>
      </c>
      <c r="K237">
        <v>0.70479999999999998</v>
      </c>
      <c r="L237">
        <v>6.2139999999999999E-3</v>
      </c>
      <c r="M237">
        <v>1.8531999999999999E-3</v>
      </c>
      <c r="N237" s="1">
        <v>4.5</v>
      </c>
      <c r="O237" s="1">
        <v>0.52</v>
      </c>
      <c r="P237">
        <v>0.37825829383886256</v>
      </c>
      <c r="Q237">
        <v>125.48701804694073</v>
      </c>
      <c r="S237" t="s">
        <v>88</v>
      </c>
    </row>
    <row r="238" spans="1:19">
      <c r="A238" t="s">
        <v>609</v>
      </c>
      <c r="B238" t="s">
        <v>563</v>
      </c>
      <c r="C238">
        <v>5.1200000000000004E-3</v>
      </c>
      <c r="D238">
        <v>3.3300000000000002E-4</v>
      </c>
      <c r="E238">
        <v>1465.4161781946073</v>
      </c>
      <c r="F238">
        <v>71.166313225922167</v>
      </c>
      <c r="G238" s="7">
        <f t="shared" si="6"/>
        <v>4.3975327702836324</v>
      </c>
      <c r="H238" s="7">
        <f t="shared" si="7"/>
        <v>0.21356130716178134</v>
      </c>
      <c r="I238">
        <v>5.4420000000000003E-2</v>
      </c>
      <c r="J238">
        <v>2.0449999999999999E-3</v>
      </c>
      <c r="K238">
        <v>0.81950000000000001</v>
      </c>
      <c r="L238">
        <v>2.1502399999999999E-3</v>
      </c>
      <c r="M238">
        <v>4.1645000000000001E-4</v>
      </c>
      <c r="N238" s="1">
        <v>4.3499999999999996</v>
      </c>
      <c r="O238" s="1">
        <v>0.42</v>
      </c>
      <c r="P238">
        <v>8.9869668246445503E-2</v>
      </c>
      <c r="Q238">
        <v>871.48957391765111</v>
      </c>
      <c r="S238" t="s">
        <v>89</v>
      </c>
    </row>
    <row r="239" spans="1:19">
      <c r="A239" t="s">
        <v>610</v>
      </c>
      <c r="B239" t="s">
        <v>563</v>
      </c>
      <c r="C239">
        <v>9.7800000000000005E-3</v>
      </c>
      <c r="D239">
        <v>7.4850000000000003E-4</v>
      </c>
      <c r="E239">
        <v>1688.0486158001352</v>
      </c>
      <c r="F239">
        <v>71.12372290744662</v>
      </c>
      <c r="G239" s="7">
        <f t="shared" si="6"/>
        <v>3.8177250629342305</v>
      </c>
      <c r="H239" s="7">
        <f t="shared" si="7"/>
        <v>0.16085485747947062</v>
      </c>
      <c r="I239">
        <v>0.1197</v>
      </c>
      <c r="J239">
        <v>8.6269999999999993E-3</v>
      </c>
      <c r="K239">
        <v>0.37840000000000001</v>
      </c>
      <c r="L239">
        <v>2.6295499999999999E-2</v>
      </c>
      <c r="M239">
        <v>3.6140999999999999E-3</v>
      </c>
      <c r="N239" s="1">
        <v>3.46</v>
      </c>
      <c r="O239" s="1">
        <v>0.3</v>
      </c>
      <c r="P239">
        <v>7.3025276461295419E-3</v>
      </c>
      <c r="Q239">
        <v>167.62771561262974</v>
      </c>
      <c r="S239" t="s">
        <v>90</v>
      </c>
    </row>
    <row r="240" spans="1:19">
      <c r="A240" t="s">
        <v>611</v>
      </c>
      <c r="B240" t="s">
        <v>563</v>
      </c>
      <c r="C240">
        <v>0.1016</v>
      </c>
      <c r="D240">
        <v>8.6490000000000004E-3</v>
      </c>
      <c r="E240">
        <v>102.51153254741159</v>
      </c>
      <c r="F240">
        <v>6.9398888871666449</v>
      </c>
      <c r="G240" s="7">
        <f t="shared" si="6"/>
        <v>62.580030103776814</v>
      </c>
      <c r="H240" s="7">
        <f t="shared" si="7"/>
        <v>4.2365814331659877</v>
      </c>
      <c r="I240">
        <v>7.5550000000000006E-2</v>
      </c>
      <c r="J240">
        <v>4.8500000000000001E-3</v>
      </c>
      <c r="K240">
        <v>0.66869999999999996</v>
      </c>
      <c r="L240">
        <v>1.1347299999999999E-2</v>
      </c>
      <c r="M240">
        <v>1.6682999999999999E-3</v>
      </c>
      <c r="N240" s="1">
        <v>60.3</v>
      </c>
      <c r="O240" s="1">
        <v>8.1</v>
      </c>
      <c r="P240">
        <v>0.78110189573459721</v>
      </c>
      <c r="Q240">
        <v>17.94096562042203</v>
      </c>
      <c r="S240" t="s">
        <v>91</v>
      </c>
    </row>
    <row r="241" spans="1:19">
      <c r="A241" t="s">
        <v>612</v>
      </c>
      <c r="B241" t="s">
        <v>563</v>
      </c>
      <c r="C241">
        <v>0.1104</v>
      </c>
      <c r="D241">
        <v>8.2920000000000008E-3</v>
      </c>
      <c r="E241">
        <v>71.428571428571431</v>
      </c>
      <c r="F241">
        <v>4.0750000000000002</v>
      </c>
      <c r="G241" s="7">
        <f t="shared" si="6"/>
        <v>89.623885053933506</v>
      </c>
      <c r="H241" s="7">
        <f t="shared" si="7"/>
        <v>5.1130426423269064</v>
      </c>
      <c r="I241">
        <v>5.7180000000000002E-2</v>
      </c>
      <c r="J241">
        <v>2.797E-3</v>
      </c>
      <c r="K241">
        <v>0.75890000000000002</v>
      </c>
      <c r="L241">
        <v>4.1550600000000004E-3</v>
      </c>
      <c r="M241">
        <v>6.7969000000000005E-4</v>
      </c>
      <c r="N241" s="1">
        <v>89</v>
      </c>
      <c r="O241" s="1">
        <v>10</v>
      </c>
      <c r="P241">
        <v>0.38566350710900477</v>
      </c>
      <c r="Q241">
        <v>29.966025621045414</v>
      </c>
      <c r="S241" t="s">
        <v>198</v>
      </c>
    </row>
    <row r="242" spans="1:19">
      <c r="A242" t="s">
        <v>613</v>
      </c>
      <c r="B242" t="s">
        <v>563</v>
      </c>
      <c r="C242">
        <v>0.1027</v>
      </c>
      <c r="D242">
        <v>6.9829999999999996E-3</v>
      </c>
      <c r="E242">
        <v>82.169268693508627</v>
      </c>
      <c r="F242">
        <v>3.5001272712173273</v>
      </c>
      <c r="G242" s="7">
        <f t="shared" si="6"/>
        <v>77.979313116731902</v>
      </c>
      <c r="H242" s="7">
        <f t="shared" si="7"/>
        <v>3.3216496236412341</v>
      </c>
      <c r="I242">
        <v>6.1179999999999998E-2</v>
      </c>
      <c r="J242">
        <v>2.6020000000000001E-3</v>
      </c>
      <c r="K242">
        <v>0.7994</v>
      </c>
      <c r="L242">
        <v>3.91224E-3</v>
      </c>
      <c r="M242">
        <v>6.4512E-4</v>
      </c>
      <c r="N242" s="1">
        <v>76.599999999999994</v>
      </c>
      <c r="O242" s="1">
        <v>6.4</v>
      </c>
      <c r="P242">
        <v>0.31901658767772512</v>
      </c>
      <c r="Q242">
        <v>30.433562946108527</v>
      </c>
      <c r="S242" t="s">
        <v>93</v>
      </c>
    </row>
    <row r="243" spans="1:19">
      <c r="A243" t="s">
        <v>614</v>
      </c>
      <c r="B243" t="s">
        <v>563</v>
      </c>
      <c r="C243">
        <v>7.1510000000000002E-3</v>
      </c>
      <c r="D243">
        <v>6.2890000000000005E-4</v>
      </c>
      <c r="E243">
        <v>1965.4088050314465</v>
      </c>
      <c r="F243">
        <v>92.669334183774367</v>
      </c>
      <c r="G243" s="7">
        <f t="shared" si="6"/>
        <v>3.2791014031835117</v>
      </c>
      <c r="H243" s="7">
        <f t="shared" si="7"/>
        <v>0.1546101467420842</v>
      </c>
      <c r="I243">
        <v>0.1019</v>
      </c>
      <c r="J243">
        <v>8.4110000000000001E-3</v>
      </c>
      <c r="K243">
        <v>0.37940000000000002</v>
      </c>
      <c r="L243">
        <v>9.6830500000000003E-3</v>
      </c>
      <c r="M243">
        <v>2.3787999999999999E-3</v>
      </c>
      <c r="N243" s="1">
        <v>3.05</v>
      </c>
      <c r="O243" s="1">
        <v>0.28999999999999998</v>
      </c>
      <c r="P243">
        <v>2.33609794628752E-2</v>
      </c>
      <c r="Q243">
        <v>160.64582489168717</v>
      </c>
      <c r="S243" t="s">
        <v>201</v>
      </c>
    </row>
    <row r="244" spans="1:19">
      <c r="A244" t="s">
        <v>615</v>
      </c>
      <c r="B244" t="s">
        <v>563</v>
      </c>
      <c r="C244">
        <v>0.10580000000000001</v>
      </c>
      <c r="D244">
        <v>1.3259999999999999E-2</v>
      </c>
      <c r="E244">
        <v>156.98587127158555</v>
      </c>
      <c r="F244">
        <v>8.9336543698508262</v>
      </c>
      <c r="G244" s="7">
        <f t="shared" si="6"/>
        <v>40.933423360191227</v>
      </c>
      <c r="H244" s="7">
        <f t="shared" si="7"/>
        <v>2.3294138097440062</v>
      </c>
      <c r="I244">
        <v>0.1205</v>
      </c>
      <c r="J244">
        <v>1.4590000000000001E-2</v>
      </c>
      <c r="K244">
        <v>0.2999</v>
      </c>
      <c r="L244">
        <v>8.6125100000000003E-3</v>
      </c>
      <c r="M244">
        <v>2.3971999999999999E-3</v>
      </c>
      <c r="N244" s="1">
        <v>37.1</v>
      </c>
      <c r="O244" s="1">
        <v>4.5</v>
      </c>
      <c r="P244">
        <v>0.35880726698262244</v>
      </c>
      <c r="Q244">
        <v>9.4442539662749727</v>
      </c>
      <c r="S244" t="s">
        <v>202</v>
      </c>
    </row>
    <row r="245" spans="1:19">
      <c r="A245" t="s">
        <v>616</v>
      </c>
      <c r="B245" t="s">
        <v>563</v>
      </c>
      <c r="C245">
        <v>9.6839999999999996E-2</v>
      </c>
      <c r="D245">
        <v>9.1789999999999997E-3</v>
      </c>
      <c r="E245">
        <v>89.206066012488847</v>
      </c>
      <c r="F245">
        <v>4.262156017510172</v>
      </c>
      <c r="G245" s="7">
        <f t="shared" si="6"/>
        <v>71.862263349324607</v>
      </c>
      <c r="H245" s="7">
        <f t="shared" si="7"/>
        <v>3.4334904772433772</v>
      </c>
      <c r="I245">
        <v>6.2640000000000001E-2</v>
      </c>
      <c r="J245">
        <v>4.3909999999999999E-3</v>
      </c>
      <c r="K245">
        <v>0.7016</v>
      </c>
      <c r="L245">
        <v>4.0161700000000003E-3</v>
      </c>
      <c r="M245">
        <v>8.6359000000000002E-4</v>
      </c>
      <c r="N245" s="1">
        <v>70.5</v>
      </c>
      <c r="O245" s="1">
        <v>6.5</v>
      </c>
      <c r="P245">
        <v>0.52349921011058453</v>
      </c>
      <c r="Q245">
        <v>21.718667206932018</v>
      </c>
      <c r="S245" t="s">
        <v>111</v>
      </c>
    </row>
    <row r="246" spans="1:19">
      <c r="A246" t="s">
        <v>617</v>
      </c>
      <c r="B246" t="s">
        <v>563</v>
      </c>
      <c r="C246">
        <v>1.9470000000000001E-2</v>
      </c>
      <c r="D246">
        <v>8.6160000000000002E-4</v>
      </c>
      <c r="E246">
        <v>356.76061362825544</v>
      </c>
      <c r="F246">
        <v>9.4758571832406773</v>
      </c>
      <c r="G246" s="7">
        <f t="shared" si="6"/>
        <v>18.044022053059251</v>
      </c>
      <c r="H246" s="7">
        <f t="shared" si="7"/>
        <v>0.47926416048885523</v>
      </c>
      <c r="I246">
        <v>5.0369999999999998E-2</v>
      </c>
      <c r="J246">
        <v>1.6130000000000001E-3</v>
      </c>
      <c r="K246">
        <v>0.69710000000000005</v>
      </c>
      <c r="L246">
        <v>6.9749500000000002E-4</v>
      </c>
      <c r="M246">
        <v>1.7281999999999999E-4</v>
      </c>
      <c r="N246" s="1">
        <v>17.95</v>
      </c>
      <c r="O246" s="1">
        <v>0.94</v>
      </c>
      <c r="P246">
        <v>0.12342022116903635</v>
      </c>
      <c r="Q246">
        <v>359.75438705856686</v>
      </c>
      <c r="S246" t="s">
        <v>112</v>
      </c>
    </row>
    <row r="247" spans="1:19">
      <c r="A247" t="s">
        <v>618</v>
      </c>
      <c r="B247" t="s">
        <v>563</v>
      </c>
      <c r="C247">
        <v>0.1201</v>
      </c>
      <c r="D247">
        <v>1.278E-2</v>
      </c>
      <c r="E247">
        <v>65.402223675604972</v>
      </c>
      <c r="F247">
        <v>4.9575655487263681</v>
      </c>
      <c r="G247" s="7">
        <f t="shared" si="6"/>
        <v>97.8197322862937</v>
      </c>
      <c r="H247" s="7">
        <f t="shared" si="7"/>
        <v>7.414850864605258</v>
      </c>
      <c r="I247">
        <v>5.6950000000000001E-2</v>
      </c>
      <c r="J247">
        <v>3.8809999999999999E-3</v>
      </c>
      <c r="K247">
        <v>0.77029999999999998</v>
      </c>
      <c r="L247">
        <v>2.02389E-3</v>
      </c>
      <c r="M247">
        <v>5.3943000000000003E-4</v>
      </c>
      <c r="N247" s="1">
        <v>97</v>
      </c>
      <c r="O247" s="1">
        <v>14</v>
      </c>
      <c r="P247">
        <v>0.38911927330173779</v>
      </c>
      <c r="Q247">
        <v>26.649627528597701</v>
      </c>
      <c r="S247" t="s">
        <v>113</v>
      </c>
    </row>
    <row r="248" spans="1:19">
      <c r="A248" t="s">
        <v>619</v>
      </c>
      <c r="B248" t="s">
        <v>563</v>
      </c>
      <c r="C248">
        <v>0.1037</v>
      </c>
      <c r="D248">
        <v>8.8769999999999995E-3</v>
      </c>
      <c r="E248">
        <v>72.727272727272734</v>
      </c>
      <c r="F248">
        <v>2.7906115702479344</v>
      </c>
      <c r="G248" s="7">
        <f t="shared" si="6"/>
        <v>88.034336486611167</v>
      </c>
      <c r="H248" s="7">
        <f t="shared" si="7"/>
        <v>3.3779575222062586</v>
      </c>
      <c r="I248">
        <v>5.4710000000000002E-2</v>
      </c>
      <c r="J248">
        <v>3.9240000000000004E-3</v>
      </c>
      <c r="K248">
        <v>0.55620000000000003</v>
      </c>
      <c r="L248">
        <v>1.2167600000000001E-3</v>
      </c>
      <c r="M248">
        <v>3.3257000000000002E-4</v>
      </c>
      <c r="N248" s="1">
        <v>87.3</v>
      </c>
      <c r="O248" s="1">
        <v>6.6</v>
      </c>
      <c r="P248">
        <v>0.52014218009478685</v>
      </c>
      <c r="Q248">
        <v>35.252314309759065</v>
      </c>
      <c r="S248" t="s">
        <v>114</v>
      </c>
    </row>
    <row r="249" spans="1:19">
      <c r="A249" t="s">
        <v>620</v>
      </c>
      <c r="B249" t="s">
        <v>563</v>
      </c>
      <c r="C249">
        <v>0.1895</v>
      </c>
      <c r="D249">
        <v>1.7270000000000001E-2</v>
      </c>
      <c r="E249">
        <v>60.606060606060602</v>
      </c>
      <c r="F249">
        <v>4.1799816345270884</v>
      </c>
      <c r="G249" s="7">
        <f t="shared" si="6"/>
        <v>105.49785067696523</v>
      </c>
      <c r="H249" s="7">
        <f t="shared" si="7"/>
        <v>7.2761547921446308</v>
      </c>
      <c r="I249">
        <v>8.3269999999999997E-2</v>
      </c>
      <c r="J249">
        <v>6.3299999999999997E-3</v>
      </c>
      <c r="K249">
        <v>0.57930000000000004</v>
      </c>
      <c r="L249">
        <v>4.5036E-3</v>
      </c>
      <c r="M249">
        <v>1.4059999999999999E-3</v>
      </c>
      <c r="N249" s="1">
        <v>101</v>
      </c>
      <c r="O249" s="1">
        <v>14</v>
      </c>
      <c r="P249">
        <v>0.53060821484992104</v>
      </c>
      <c r="Q249">
        <v>6.3211046348533495</v>
      </c>
      <c r="S249" t="s">
        <v>115</v>
      </c>
    </row>
    <row r="250" spans="1:19">
      <c r="A250" t="s">
        <v>621</v>
      </c>
      <c r="B250" t="s">
        <v>563</v>
      </c>
      <c r="C250">
        <v>5.0340000000000003E-3</v>
      </c>
      <c r="D250">
        <v>4.1330000000000002E-4</v>
      </c>
      <c r="E250">
        <v>2320.7240659085633</v>
      </c>
      <c r="F250">
        <v>83.64085575205381</v>
      </c>
      <c r="G250" s="7">
        <f t="shared" si="6"/>
        <v>2.777161574572041</v>
      </c>
      <c r="H250" s="7">
        <f t="shared" si="7"/>
        <v>0.10009124913693153</v>
      </c>
      <c r="I250">
        <v>8.473E-2</v>
      </c>
      <c r="J250">
        <v>5.7070000000000003E-3</v>
      </c>
      <c r="K250">
        <v>0.59209999999999996</v>
      </c>
      <c r="L250">
        <v>4.4301999999999996E-3</v>
      </c>
      <c r="M250">
        <v>1.0958999999999999E-3</v>
      </c>
      <c r="N250" s="1">
        <v>2.64</v>
      </c>
      <c r="O250" s="1">
        <v>0.19</v>
      </c>
      <c r="P250">
        <v>4.0906398104265405E-2</v>
      </c>
      <c r="Q250">
        <v>270.48592712651561</v>
      </c>
      <c r="S250" t="s">
        <v>116</v>
      </c>
    </row>
    <row r="251" spans="1:19">
      <c r="A251" t="s">
        <v>622</v>
      </c>
      <c r="B251" t="s">
        <v>563</v>
      </c>
      <c r="C251">
        <v>4.4400000000000004E-3</v>
      </c>
      <c r="D251">
        <v>1.816E-4</v>
      </c>
      <c r="E251">
        <v>1838.9113644722324</v>
      </c>
      <c r="F251">
        <v>47.173250339072531</v>
      </c>
      <c r="G251" s="7">
        <f t="shared" si="6"/>
        <v>3.5046072158712409</v>
      </c>
      <c r="H251" s="7">
        <f t="shared" si="7"/>
        <v>8.9903035420014363E-2</v>
      </c>
      <c r="I251">
        <v>5.9220000000000002E-2</v>
      </c>
      <c r="J251">
        <v>1.7830000000000001E-3</v>
      </c>
      <c r="K251">
        <v>0.67859999999999998</v>
      </c>
      <c r="L251">
        <v>1.52344E-3</v>
      </c>
      <c r="M251">
        <v>2.7924999999999998E-4</v>
      </c>
      <c r="N251" s="1">
        <v>3.45</v>
      </c>
      <c r="O251" s="1">
        <v>0.18</v>
      </c>
      <c r="P251">
        <v>2.4140995260663509E-3</v>
      </c>
      <c r="Q251">
        <v>1324.0657045787489</v>
      </c>
      <c r="S251" t="s">
        <v>117</v>
      </c>
    </row>
    <row r="252" spans="1:19">
      <c r="A252" t="s">
        <v>623</v>
      </c>
      <c r="B252" t="s">
        <v>563</v>
      </c>
      <c r="C252">
        <v>2.2249999999999999E-2</v>
      </c>
      <c r="D252">
        <v>2.643E-3</v>
      </c>
      <c r="E252">
        <v>1442.5851125216386</v>
      </c>
      <c r="F252">
        <v>114.12488108869974</v>
      </c>
      <c r="G252" s="7">
        <f t="shared" si="6"/>
        <v>4.4671061908515819</v>
      </c>
      <c r="H252" s="7">
        <f t="shared" si="7"/>
        <v>0.3533988798417495</v>
      </c>
      <c r="I252">
        <v>0.23269999999999999</v>
      </c>
      <c r="J252">
        <v>2.3220000000000001E-2</v>
      </c>
      <c r="K252">
        <v>0.55400000000000005</v>
      </c>
      <c r="L252">
        <v>2.25764E-2</v>
      </c>
      <c r="M252">
        <v>6.5247999999999999E-3</v>
      </c>
      <c r="N252" s="1">
        <v>3.4</v>
      </c>
      <c r="O252" s="1">
        <v>0.61</v>
      </c>
      <c r="P252">
        <v>3.1052527646129542E-2</v>
      </c>
      <c r="Q252">
        <v>35.545304366798618</v>
      </c>
      <c r="S252" t="s">
        <v>118</v>
      </c>
    </row>
    <row r="253" spans="1:19">
      <c r="A253" t="s">
        <v>624</v>
      </c>
      <c r="B253" t="s">
        <v>563</v>
      </c>
      <c r="C253">
        <v>0.10780000000000001</v>
      </c>
      <c r="D253">
        <v>6.8360000000000001E-3</v>
      </c>
      <c r="E253">
        <v>76.452599388379213</v>
      </c>
      <c r="F253">
        <v>3.3275584733795327</v>
      </c>
      <c r="G253" s="7">
        <f t="shared" si="6"/>
        <v>83.772412537059211</v>
      </c>
      <c r="H253" s="7">
        <f t="shared" si="7"/>
        <v>3.6461494233446339</v>
      </c>
      <c r="I253">
        <v>5.9729999999999998E-2</v>
      </c>
      <c r="J253">
        <v>2.8470000000000001E-3</v>
      </c>
      <c r="K253">
        <v>0.66059999999999997</v>
      </c>
      <c r="L253">
        <v>2.2393399999999998E-3</v>
      </c>
      <c r="M253">
        <v>5.3277000000000001E-4</v>
      </c>
      <c r="N253" s="1">
        <v>82.5</v>
      </c>
      <c r="O253" s="1">
        <v>7.1</v>
      </c>
      <c r="P253">
        <v>0.57484202211690372</v>
      </c>
      <c r="Q253">
        <v>25.066234454383942</v>
      </c>
      <c r="S253" t="s">
        <v>119</v>
      </c>
    </row>
    <row r="254" spans="1:19">
      <c r="A254" t="s">
        <v>625</v>
      </c>
      <c r="B254" t="s">
        <v>563</v>
      </c>
      <c r="C254">
        <v>7.8619999999999995E-2</v>
      </c>
      <c r="D254">
        <v>4.3249999999999999E-3</v>
      </c>
      <c r="E254">
        <v>103.69141435089175</v>
      </c>
      <c r="F254">
        <v>4.7168626582057458</v>
      </c>
      <c r="G254" s="7">
        <f t="shared" si="6"/>
        <v>61.87135195256964</v>
      </c>
      <c r="H254" s="7">
        <f t="shared" si="7"/>
        <v>2.8144921299867587</v>
      </c>
      <c r="I254">
        <v>5.9119999999999999E-2</v>
      </c>
      <c r="J254">
        <v>1.9480000000000001E-3</v>
      </c>
      <c r="K254">
        <v>0.8014</v>
      </c>
      <c r="L254">
        <v>7.9016599999999996E-3</v>
      </c>
      <c r="M254">
        <v>5.1824E-4</v>
      </c>
      <c r="N254" s="1">
        <v>60.9</v>
      </c>
      <c r="O254" s="1">
        <v>5.5</v>
      </c>
      <c r="P254">
        <v>4.6524486571879943E-2</v>
      </c>
      <c r="Q254">
        <v>274.03921079699529</v>
      </c>
      <c r="S254" t="s">
        <v>120</v>
      </c>
    </row>
    <row r="255" spans="1:19">
      <c r="A255" t="s">
        <v>626</v>
      </c>
      <c r="B255" t="s">
        <v>563</v>
      </c>
      <c r="C255">
        <v>0.1154</v>
      </c>
      <c r="D255">
        <v>7.437E-3</v>
      </c>
      <c r="E255">
        <v>71.787508973438619</v>
      </c>
      <c r="F255">
        <v>3.2471866047497251</v>
      </c>
      <c r="G255" s="7">
        <f t="shared" si="6"/>
        <v>89.178850962098878</v>
      </c>
      <c r="H255" s="7">
        <f t="shared" si="7"/>
        <v>4.0338545578764178</v>
      </c>
      <c r="I255">
        <v>6.0100000000000001E-2</v>
      </c>
      <c r="J255">
        <v>3.777E-3</v>
      </c>
      <c r="K255">
        <v>0.38590000000000002</v>
      </c>
      <c r="L255">
        <v>2.2958900000000001E-3</v>
      </c>
      <c r="M255">
        <v>7.0244999999999997E-4</v>
      </c>
      <c r="N255" s="1">
        <v>87.8</v>
      </c>
      <c r="O255" s="1">
        <v>7.9</v>
      </c>
      <c r="P255">
        <v>0.83422195892575046</v>
      </c>
      <c r="Q255">
        <v>16.158089954181342</v>
      </c>
      <c r="S255" t="s">
        <v>121</v>
      </c>
    </row>
    <row r="256" spans="1:19">
      <c r="A256" t="s">
        <v>627</v>
      </c>
      <c r="B256" t="s">
        <v>563</v>
      </c>
      <c r="C256">
        <v>0.17960000000000001</v>
      </c>
      <c r="D256">
        <v>1.7659999999999999E-2</v>
      </c>
      <c r="E256">
        <v>391.08330074305832</v>
      </c>
      <c r="F256">
        <v>26.566745928458833</v>
      </c>
      <c r="G256" s="7">
        <f t="shared" si="6"/>
        <v>16.462442788732474</v>
      </c>
      <c r="H256" s="7">
        <f t="shared" si="7"/>
        <v>1.1183129888161247</v>
      </c>
      <c r="I256">
        <v>0.50960000000000005</v>
      </c>
      <c r="J256">
        <v>2.9649999999999999E-2</v>
      </c>
      <c r="K256">
        <v>0.81579999999999997</v>
      </c>
      <c r="L256">
        <v>1.9208400000000001</v>
      </c>
      <c r="M256">
        <v>7.1734000000000006E-2</v>
      </c>
      <c r="N256" s="1">
        <v>6.7</v>
      </c>
      <c r="O256" s="1">
        <v>2</v>
      </c>
      <c r="P256">
        <v>1.0673380726698264E-2</v>
      </c>
      <c r="Q256">
        <v>33.768662531558768</v>
      </c>
      <c r="S256" t="s">
        <v>122</v>
      </c>
    </row>
    <row r="257" spans="1:19">
      <c r="A257" t="s">
        <v>628</v>
      </c>
      <c r="B257" t="s">
        <v>563</v>
      </c>
      <c r="C257">
        <v>7.8369999999999995E-2</v>
      </c>
      <c r="D257">
        <v>6.7520000000000002E-3</v>
      </c>
      <c r="E257">
        <v>115.50011550011548</v>
      </c>
      <c r="F257">
        <v>6.077830055654033</v>
      </c>
      <c r="G257" s="7">
        <f t="shared" si="6"/>
        <v>55.572824884551522</v>
      </c>
      <c r="H257" s="7">
        <f t="shared" si="7"/>
        <v>2.9243450008548941</v>
      </c>
      <c r="I257">
        <v>6.565E-2</v>
      </c>
      <c r="J257">
        <v>4.7099999999999998E-3</v>
      </c>
      <c r="K257">
        <v>0.55640000000000001</v>
      </c>
      <c r="L257">
        <v>4.1167699999999996E-3</v>
      </c>
      <c r="M257">
        <v>9.1542999999999995E-4</v>
      </c>
      <c r="N257" s="1">
        <v>54.3</v>
      </c>
      <c r="O257" s="1">
        <v>5.7</v>
      </c>
      <c r="P257">
        <v>0.38023301737756715</v>
      </c>
      <c r="Q257">
        <v>24.816881214350278</v>
      </c>
      <c r="S257" t="s">
        <v>123</v>
      </c>
    </row>
    <row r="258" spans="1:19">
      <c r="A258" t="s">
        <v>629</v>
      </c>
      <c r="B258" t="s">
        <v>563</v>
      </c>
      <c r="C258">
        <v>1.35E-2</v>
      </c>
      <c r="D258">
        <v>1.7240000000000001E-3</v>
      </c>
      <c r="E258">
        <v>1847.4043968224644</v>
      </c>
      <c r="F258">
        <v>97.472509834194696</v>
      </c>
      <c r="G258" s="7">
        <f t="shared" si="6"/>
        <v>3.4884999194302488</v>
      </c>
      <c r="H258" s="7">
        <f t="shared" si="7"/>
        <v>0.18405977775527049</v>
      </c>
      <c r="I258">
        <v>0.18090000000000001</v>
      </c>
      <c r="J258">
        <v>2.2550000000000001E-2</v>
      </c>
      <c r="K258">
        <v>0.26340000000000002</v>
      </c>
      <c r="L258">
        <v>1.82737E-2</v>
      </c>
      <c r="M258">
        <v>5.6645999999999997E-3</v>
      </c>
      <c r="N258" s="1">
        <v>2.89</v>
      </c>
      <c r="O258" s="1">
        <v>0.37</v>
      </c>
      <c r="P258">
        <v>6.0870853080568728E-2</v>
      </c>
      <c r="Q258">
        <v>42.776548327774833</v>
      </c>
      <c r="S258" t="s">
        <v>124</v>
      </c>
    </row>
    <row r="259" spans="1:19">
      <c r="A259" t="s">
        <v>630</v>
      </c>
      <c r="B259" t="s">
        <v>563</v>
      </c>
      <c r="C259">
        <v>1.038E-2</v>
      </c>
      <c r="D259">
        <v>1.7769999999999999E-3</v>
      </c>
      <c r="E259">
        <v>1442.3770373575653</v>
      </c>
      <c r="F259">
        <v>95.971228520560359</v>
      </c>
      <c r="G259" s="7">
        <f t="shared" si="6"/>
        <v>4.4677503856821037</v>
      </c>
      <c r="H259" s="7">
        <f t="shared" si="7"/>
        <v>0.29727004946129448</v>
      </c>
      <c r="I259">
        <v>0.1086</v>
      </c>
      <c r="J259">
        <v>1.523E-2</v>
      </c>
      <c r="K259">
        <v>0.61719999999999997</v>
      </c>
      <c r="L259">
        <v>4.8515600000000004E-3</v>
      </c>
      <c r="M259">
        <v>1.9368E-3</v>
      </c>
      <c r="N259" s="1">
        <v>4.1100000000000003</v>
      </c>
      <c r="O259" s="1">
        <v>0.56999999999999995</v>
      </c>
      <c r="P259">
        <v>6.6577804107424976E-2</v>
      </c>
      <c r="Q259">
        <v>107.65826138453386</v>
      </c>
      <c r="S259" t="s">
        <v>125</v>
      </c>
    </row>
    <row r="260" spans="1:19">
      <c r="A260" t="s">
        <v>631</v>
      </c>
      <c r="B260" t="s">
        <v>563</v>
      </c>
      <c r="C260">
        <v>7.3220000000000004E-3</v>
      </c>
      <c r="D260">
        <v>7.6690000000000005E-4</v>
      </c>
      <c r="E260">
        <v>1731.3019390581717</v>
      </c>
      <c r="F260">
        <v>58.719191458015203</v>
      </c>
      <c r="G260" s="7">
        <f t="shared" si="6"/>
        <v>3.7223739134598066</v>
      </c>
      <c r="H260" s="7">
        <f t="shared" si="7"/>
        <v>0.12624879668399863</v>
      </c>
      <c r="I260">
        <v>9.1929999999999998E-2</v>
      </c>
      <c r="J260">
        <v>8.7390000000000002E-3</v>
      </c>
      <c r="K260">
        <v>0.43409999999999999</v>
      </c>
      <c r="L260">
        <v>5.9270900000000003E-3</v>
      </c>
      <c r="M260">
        <v>1.7834000000000001E-3</v>
      </c>
      <c r="N260" s="1">
        <v>3.5</v>
      </c>
      <c r="O260" s="1">
        <v>0.25</v>
      </c>
      <c r="P260">
        <v>9.8667061611374424E-2</v>
      </c>
      <c r="Q260">
        <v>125.98572452700807</v>
      </c>
      <c r="S260" t="s">
        <v>126</v>
      </c>
    </row>
    <row r="261" spans="1:19">
      <c r="A261" t="s">
        <v>632</v>
      </c>
      <c r="B261" t="s">
        <v>563</v>
      </c>
      <c r="C261">
        <v>6.1589999999999999E-2</v>
      </c>
      <c r="D261">
        <v>2.6050000000000001E-3</v>
      </c>
      <c r="E261">
        <v>121.22681537156019</v>
      </c>
      <c r="F261">
        <v>4.1442552957667571</v>
      </c>
      <c r="G261" s="7">
        <f t="shared" si="6"/>
        <v>52.95834297078482</v>
      </c>
      <c r="H261" s="7">
        <f t="shared" si="7"/>
        <v>1.8104318969282727</v>
      </c>
      <c r="I261">
        <v>5.416E-2</v>
      </c>
      <c r="J261">
        <v>1.2570000000000001E-3</v>
      </c>
      <c r="K261">
        <v>0.83640000000000003</v>
      </c>
      <c r="L261">
        <v>7.8516700000000003E-4</v>
      </c>
      <c r="M261">
        <v>1.4815999999999999E-4</v>
      </c>
      <c r="N261" s="1">
        <v>52.5</v>
      </c>
      <c r="O261" s="1">
        <v>3.5</v>
      </c>
      <c r="P261">
        <v>0.32424960505529232</v>
      </c>
      <c r="Q261">
        <v>187.3266215752891</v>
      </c>
      <c r="S261" t="s">
        <v>127</v>
      </c>
    </row>
    <row r="262" spans="1:19">
      <c r="A262" t="s">
        <v>633</v>
      </c>
      <c r="B262" t="s">
        <v>563</v>
      </c>
      <c r="C262">
        <v>1.014E-2</v>
      </c>
      <c r="D262">
        <v>1.3209999999999999E-3</v>
      </c>
      <c r="E262">
        <v>1754.0782318891422</v>
      </c>
      <c r="F262">
        <v>123.19468936123708</v>
      </c>
      <c r="G262" s="7">
        <f t="shared" si="6"/>
        <v>3.6740535357428978</v>
      </c>
      <c r="H262" s="7">
        <f t="shared" si="7"/>
        <v>0.25804087628687183</v>
      </c>
      <c r="I262">
        <v>0.129</v>
      </c>
      <c r="J262">
        <v>1.2319999999999999E-2</v>
      </c>
      <c r="K262">
        <v>0.69820000000000004</v>
      </c>
      <c r="L262">
        <v>2.8802999999999999E-2</v>
      </c>
      <c r="M262">
        <v>5.6517E-3</v>
      </c>
      <c r="N262" s="1">
        <v>3.28</v>
      </c>
      <c r="O262" s="1">
        <v>0.47</v>
      </c>
      <c r="P262">
        <v>3.5653633491311225E-2</v>
      </c>
      <c r="Q262">
        <v>132.46890876788331</v>
      </c>
      <c r="S262" t="s">
        <v>128</v>
      </c>
    </row>
    <row r="263" spans="1:19">
      <c r="A263" t="s">
        <v>634</v>
      </c>
      <c r="B263" t="s">
        <v>563</v>
      </c>
      <c r="C263">
        <v>9.2259999999999995E-2</v>
      </c>
      <c r="D263">
        <v>6.3790000000000001E-3</v>
      </c>
      <c r="E263">
        <v>76.982294072363359</v>
      </c>
      <c r="F263">
        <v>3.8420031752973953</v>
      </c>
      <c r="G263" s="7">
        <f t="shared" ref="G263:G313" si="8">(LN((1/E263)+1))/0.000155125</f>
        <v>83.199700560897355</v>
      </c>
      <c r="H263" s="7">
        <f t="shared" ref="H263:H313" si="9">(F263/E263)*G263</f>
        <v>4.152299143466494</v>
      </c>
      <c r="I263">
        <v>5.1529999999999999E-2</v>
      </c>
      <c r="J263">
        <v>2.8140000000000001E-3</v>
      </c>
      <c r="K263">
        <v>0.62129999999999996</v>
      </c>
      <c r="L263">
        <v>9.4622200000000004E-4</v>
      </c>
      <c r="M263">
        <v>2.5300000000000002E-4</v>
      </c>
      <c r="N263" s="1">
        <v>82.8</v>
      </c>
      <c r="O263" s="1">
        <v>8.1</v>
      </c>
      <c r="P263">
        <v>0.27053712480252767</v>
      </c>
      <c r="Q263">
        <v>65.205872268802793</v>
      </c>
      <c r="S263" t="s">
        <v>129</v>
      </c>
    </row>
    <row r="264" spans="1:19">
      <c r="A264" t="s">
        <v>635</v>
      </c>
      <c r="B264" t="s">
        <v>563</v>
      </c>
      <c r="C264">
        <v>8.5510000000000003E-2</v>
      </c>
      <c r="D264">
        <v>5.8060000000000004E-3</v>
      </c>
      <c r="E264">
        <v>90.009000900090015</v>
      </c>
      <c r="F264">
        <v>5.1250849657422988</v>
      </c>
      <c r="G264" s="7">
        <f t="shared" si="8"/>
        <v>71.224736727685652</v>
      </c>
      <c r="H264" s="7">
        <f t="shared" si="9"/>
        <v>4.0555147123252873</v>
      </c>
      <c r="I264">
        <v>5.5800000000000002E-2</v>
      </c>
      <c r="J264">
        <v>2.8470000000000001E-3</v>
      </c>
      <c r="K264">
        <v>0.67869999999999997</v>
      </c>
      <c r="L264">
        <v>1.27516E-3</v>
      </c>
      <c r="M264">
        <v>3.7953999999999999E-4</v>
      </c>
      <c r="N264" s="1">
        <v>70.5</v>
      </c>
      <c r="O264" s="1">
        <v>7.9</v>
      </c>
      <c r="P264">
        <v>0.53623617693522918</v>
      </c>
      <c r="Q264">
        <v>49.50285197768288</v>
      </c>
      <c r="S264" t="s">
        <v>130</v>
      </c>
    </row>
    <row r="265" spans="1:19">
      <c r="A265" t="s">
        <v>636</v>
      </c>
      <c r="B265" t="s">
        <v>563</v>
      </c>
      <c r="C265">
        <v>1.6920000000000001E-2</v>
      </c>
      <c r="D265">
        <v>1.7390000000000001E-3</v>
      </c>
      <c r="E265">
        <v>1291.4890869172154</v>
      </c>
      <c r="F265">
        <v>57.544070126106071</v>
      </c>
      <c r="G265" s="7">
        <f t="shared" si="8"/>
        <v>4.9895270549982236</v>
      </c>
      <c r="H265" s="7">
        <f t="shared" si="9"/>
        <v>0.22231523104408976</v>
      </c>
      <c r="I265">
        <v>0.1585</v>
      </c>
      <c r="J265">
        <v>1.6709999999999999E-2</v>
      </c>
      <c r="K265">
        <v>0.15609999999999999</v>
      </c>
      <c r="L265">
        <v>7.6224099999999996E-3</v>
      </c>
      <c r="M265">
        <v>3.2905999999999999E-3</v>
      </c>
      <c r="N265" s="1">
        <v>4.2699999999999996</v>
      </c>
      <c r="O265" s="1">
        <v>0.44</v>
      </c>
      <c r="P265">
        <v>2.0695102685624012E-2</v>
      </c>
      <c r="Q265">
        <v>48.380762397531406</v>
      </c>
      <c r="S265" t="s">
        <v>131</v>
      </c>
    </row>
    <row r="266" spans="1:19">
      <c r="A266" t="s">
        <v>637</v>
      </c>
      <c r="B266" t="s">
        <v>563</v>
      </c>
      <c r="C266">
        <v>1.3509999999999999E-2</v>
      </c>
      <c r="D266">
        <v>2.2780000000000001E-3</v>
      </c>
      <c r="E266">
        <v>1940.993788819876</v>
      </c>
      <c r="F266">
        <v>144.97174105937273</v>
      </c>
      <c r="G266" s="7">
        <f t="shared" si="8"/>
        <v>3.3203373411486807</v>
      </c>
      <c r="H266" s="7">
        <f t="shared" si="9"/>
        <v>0.24799413992119806</v>
      </c>
      <c r="I266">
        <v>0.19020000000000001</v>
      </c>
      <c r="J266">
        <v>2.6120000000000001E-2</v>
      </c>
      <c r="K266">
        <v>0.6008</v>
      </c>
      <c r="L266">
        <v>1.7027500000000001E-2</v>
      </c>
      <c r="M266">
        <v>5.5063000000000004E-3</v>
      </c>
      <c r="N266" s="1">
        <v>2.71</v>
      </c>
      <c r="O266" s="1">
        <v>0.46</v>
      </c>
      <c r="P266">
        <v>6.4050157977883104E-2</v>
      </c>
      <c r="Q266">
        <v>45.600473771156068</v>
      </c>
      <c r="S266" t="s">
        <v>132</v>
      </c>
    </row>
    <row r="267" spans="1:19">
      <c r="A267" t="s">
        <v>638</v>
      </c>
      <c r="B267" t="s">
        <v>563</v>
      </c>
      <c r="C267">
        <v>4.8390000000000002E-2</v>
      </c>
      <c r="D267">
        <v>4.797E-3</v>
      </c>
      <c r="E267">
        <v>1616.2922256343945</v>
      </c>
      <c r="F267">
        <v>127.06716317255042</v>
      </c>
      <c r="G267" s="7">
        <f t="shared" si="8"/>
        <v>3.9871631526984816</v>
      </c>
      <c r="H267" s="7">
        <f t="shared" si="9"/>
        <v>0.31345662800590612</v>
      </c>
      <c r="I267">
        <v>0.56730000000000003</v>
      </c>
      <c r="J267">
        <v>6.8940000000000001E-2</v>
      </c>
      <c r="K267">
        <v>7.954E-2</v>
      </c>
      <c r="L267">
        <v>4.6836200000000001E-2</v>
      </c>
      <c r="M267">
        <v>1.5096E-2</v>
      </c>
      <c r="N267" s="1">
        <v>1.33</v>
      </c>
      <c r="O267" s="1">
        <v>0.8</v>
      </c>
      <c r="P267">
        <v>1.6696287519747236E-3</v>
      </c>
      <c r="Q267">
        <v>21.05164728984197</v>
      </c>
      <c r="S267" t="s">
        <v>133</v>
      </c>
    </row>
    <row r="268" spans="1:19">
      <c r="A268" t="s">
        <v>639</v>
      </c>
      <c r="B268" t="s">
        <v>563</v>
      </c>
      <c r="C268">
        <v>7.2239999999999999E-2</v>
      </c>
      <c r="D268">
        <v>3.5769999999999999E-3</v>
      </c>
      <c r="E268">
        <v>97.276264591439698</v>
      </c>
      <c r="F268">
        <v>3.8550924313767054</v>
      </c>
      <c r="G268" s="7">
        <f t="shared" si="8"/>
        <v>65.930830977830425</v>
      </c>
      <c r="H268" s="7">
        <f t="shared" si="9"/>
        <v>2.612861920269272</v>
      </c>
      <c r="I268">
        <v>5.0979999999999998E-2</v>
      </c>
      <c r="J268">
        <v>1.2880000000000001E-3</v>
      </c>
      <c r="K268">
        <v>0.86209999999999998</v>
      </c>
      <c r="L268">
        <v>1.3408700000000001E-3</v>
      </c>
      <c r="M268">
        <v>1.9997999999999999E-4</v>
      </c>
      <c r="N268" s="1">
        <v>65.599999999999994</v>
      </c>
      <c r="O268" s="1">
        <v>0.51</v>
      </c>
      <c r="P268">
        <v>0.4619865718799368</v>
      </c>
      <c r="Q268">
        <v>170.74463111305053</v>
      </c>
      <c r="S268" t="s">
        <v>134</v>
      </c>
    </row>
    <row r="269" spans="1:19">
      <c r="A269" t="s">
        <v>640</v>
      </c>
      <c r="B269" t="s">
        <v>563</v>
      </c>
      <c r="C269">
        <v>1.6619999999999999E-2</v>
      </c>
      <c r="D269">
        <v>1.9870000000000001E-3</v>
      </c>
      <c r="E269">
        <v>1621.2710765239947</v>
      </c>
      <c r="F269">
        <v>99.515763549284102</v>
      </c>
      <c r="G269" s="7">
        <f t="shared" si="8"/>
        <v>3.9749225273987516</v>
      </c>
      <c r="H269" s="7">
        <f t="shared" si="9"/>
        <v>0.24398600338410625</v>
      </c>
      <c r="I269">
        <v>0.19539999999999999</v>
      </c>
      <c r="J269">
        <v>2.264E-2</v>
      </c>
      <c r="K269">
        <v>0.31590000000000001</v>
      </c>
      <c r="L269">
        <v>3.8719200000000002E-2</v>
      </c>
      <c r="M269">
        <v>8.5845000000000001E-3</v>
      </c>
      <c r="N269" s="1">
        <v>3.22</v>
      </c>
      <c r="O269" s="1">
        <v>0.46</v>
      </c>
      <c r="P269">
        <v>5.1727883096366507E-3</v>
      </c>
      <c r="Q269">
        <v>37.334413864040144</v>
      </c>
      <c r="S269" t="s">
        <v>135</v>
      </c>
    </row>
    <row r="270" spans="1:19">
      <c r="A270" t="s">
        <v>641</v>
      </c>
      <c r="B270" t="s">
        <v>563</v>
      </c>
      <c r="C270">
        <v>9.3920000000000003E-2</v>
      </c>
      <c r="D270">
        <v>4.4479999999999997E-3</v>
      </c>
      <c r="E270">
        <v>74.460163812360392</v>
      </c>
      <c r="F270">
        <v>3.030523122847073</v>
      </c>
      <c r="G270" s="7">
        <f t="shared" si="8"/>
        <v>85.999142221268244</v>
      </c>
      <c r="H270" s="7">
        <f t="shared" si="9"/>
        <v>3.5001586848953998</v>
      </c>
      <c r="I270">
        <v>5.0729999999999997E-2</v>
      </c>
      <c r="J270">
        <v>1.407E-3</v>
      </c>
      <c r="K270">
        <v>0.81200000000000006</v>
      </c>
      <c r="L270">
        <v>1.3296099999999999E-3</v>
      </c>
      <c r="M270">
        <v>2.3894000000000001E-4</v>
      </c>
      <c r="N270" s="1">
        <v>85.7</v>
      </c>
      <c r="O270" s="1">
        <v>6.9</v>
      </c>
      <c r="P270">
        <v>0.39810426540284366</v>
      </c>
      <c r="Q270">
        <v>79.481345260729981</v>
      </c>
      <c r="S270" t="s">
        <v>136</v>
      </c>
    </row>
    <row r="271" spans="1:19">
      <c r="A271" t="s">
        <v>642</v>
      </c>
      <c r="B271" t="s">
        <v>563</v>
      </c>
      <c r="C271">
        <v>6.8459999999999997E-3</v>
      </c>
      <c r="D271">
        <v>5.5239999999999998E-4</v>
      </c>
      <c r="E271">
        <v>1306.3357282821685</v>
      </c>
      <c r="F271">
        <v>53.70396521102527</v>
      </c>
      <c r="G271" s="7">
        <f t="shared" si="8"/>
        <v>4.9328422518250434</v>
      </c>
      <c r="H271" s="7">
        <f t="shared" si="9"/>
        <v>0.20279104593720984</v>
      </c>
      <c r="I271">
        <v>6.4860000000000001E-2</v>
      </c>
      <c r="J271">
        <v>4.7619999999999997E-3</v>
      </c>
      <c r="K271">
        <v>0.42359999999999998</v>
      </c>
      <c r="L271">
        <v>1.8957500000000001E-3</v>
      </c>
      <c r="M271">
        <v>5.9117999999999996E-4</v>
      </c>
      <c r="N271" s="1">
        <v>4.8099999999999996</v>
      </c>
      <c r="O271" s="1">
        <v>0.4</v>
      </c>
      <c r="P271">
        <v>1.2243285939968405E-2</v>
      </c>
      <c r="Q271">
        <v>315.18249540254965</v>
      </c>
      <c r="S271" t="s">
        <v>137</v>
      </c>
    </row>
    <row r="272" spans="1:19">
      <c r="A272" t="s">
        <v>643</v>
      </c>
      <c r="B272" t="s">
        <v>563</v>
      </c>
      <c r="C272">
        <v>4.1360000000000001E-2</v>
      </c>
      <c r="D272">
        <v>1.6100000000000001E-3</v>
      </c>
      <c r="E272">
        <v>169.00456312320432</v>
      </c>
      <c r="F272">
        <v>5.8981649966100544</v>
      </c>
      <c r="G272" s="7">
        <f t="shared" si="8"/>
        <v>38.031028548887789</v>
      </c>
      <c r="H272" s="7">
        <f t="shared" si="9"/>
        <v>1.3272616858788793</v>
      </c>
      <c r="I272">
        <v>5.0700000000000002E-2</v>
      </c>
      <c r="J272">
        <v>6.1700000000000004E-4</v>
      </c>
      <c r="K272">
        <v>0.95150000000000001</v>
      </c>
      <c r="L272">
        <v>2.6763600000000002E-4</v>
      </c>
      <c r="M272">
        <v>7.3394999999999998E-5</v>
      </c>
      <c r="N272" s="1">
        <v>37.799999999999997</v>
      </c>
      <c r="O272" s="1">
        <v>2.6</v>
      </c>
      <c r="P272">
        <v>0.14129146919431282</v>
      </c>
      <c r="Q272">
        <v>418.16538353645234</v>
      </c>
      <c r="S272" t="s">
        <v>138</v>
      </c>
    </row>
    <row r="273" spans="1:19">
      <c r="A273" t="s">
        <v>644</v>
      </c>
      <c r="B273" t="s">
        <v>563</v>
      </c>
      <c r="C273">
        <v>6.4330000000000003E-3</v>
      </c>
      <c r="D273">
        <v>4.9700000000000005E-4</v>
      </c>
      <c r="E273">
        <v>1400.7564084605688</v>
      </c>
      <c r="F273">
        <v>50.269476375906677</v>
      </c>
      <c r="G273" s="7">
        <f t="shared" si="8"/>
        <v>4.6004531481748332</v>
      </c>
      <c r="H273" s="7">
        <f t="shared" si="9"/>
        <v>0.16509820655027208</v>
      </c>
      <c r="I273">
        <v>6.5350000000000005E-2</v>
      </c>
      <c r="J273">
        <v>4.4920000000000003E-3</v>
      </c>
      <c r="K273">
        <v>0.45669999999999999</v>
      </c>
      <c r="L273">
        <v>1.8341799999999999E-3</v>
      </c>
      <c r="M273">
        <v>5.8047000000000003E-4</v>
      </c>
      <c r="N273" s="1">
        <v>4.49</v>
      </c>
      <c r="O273" s="1">
        <v>0.32</v>
      </c>
      <c r="P273">
        <v>1.304304897314376E-2</v>
      </c>
      <c r="Q273">
        <v>364.67911354923166</v>
      </c>
      <c r="S273" t="s">
        <v>139</v>
      </c>
    </row>
    <row r="274" spans="1:19">
      <c r="A274" t="s">
        <v>645</v>
      </c>
      <c r="B274" t="s">
        <v>563</v>
      </c>
      <c r="C274">
        <v>9.8239999999999994E-2</v>
      </c>
      <c r="D274">
        <v>6.1570000000000001E-3</v>
      </c>
      <c r="E274">
        <v>81.766148814390846</v>
      </c>
      <c r="F274">
        <v>3.4678741937877784</v>
      </c>
      <c r="G274" s="7">
        <f t="shared" si="8"/>
        <v>78.361436067768864</v>
      </c>
      <c r="H274" s="7">
        <f t="shared" si="9"/>
        <v>3.3234731715741379</v>
      </c>
      <c r="I274">
        <v>5.8270000000000002E-2</v>
      </c>
      <c r="J274">
        <v>2.8319999999999999E-3</v>
      </c>
      <c r="K274">
        <v>0.63280000000000003</v>
      </c>
      <c r="L274">
        <v>2.4570899999999999E-3</v>
      </c>
      <c r="M274">
        <v>4.5671999999999998E-4</v>
      </c>
      <c r="N274" s="1">
        <v>77.3</v>
      </c>
      <c r="O274" s="1">
        <v>6.5</v>
      </c>
      <c r="P274">
        <v>0.51500789889415477</v>
      </c>
      <c r="Q274">
        <v>47.539195212417795</v>
      </c>
      <c r="S274" t="s">
        <v>140</v>
      </c>
    </row>
    <row r="275" spans="1:19">
      <c r="A275" t="s">
        <v>646</v>
      </c>
      <c r="B275" t="s">
        <v>563</v>
      </c>
      <c r="C275">
        <v>8.6499999999999994E-2</v>
      </c>
      <c r="D275">
        <v>4.182E-3</v>
      </c>
      <c r="E275">
        <v>89.206066012488847</v>
      </c>
      <c r="F275">
        <v>2.9157094189987438</v>
      </c>
      <c r="G275" s="7">
        <f t="shared" si="8"/>
        <v>71.862263349324607</v>
      </c>
      <c r="H275" s="7">
        <f t="shared" si="9"/>
        <v>2.3488254497049543</v>
      </c>
      <c r="I275">
        <v>5.5980000000000002E-2</v>
      </c>
      <c r="J275">
        <v>1.6850000000000001E-3</v>
      </c>
      <c r="K275">
        <v>0.79100000000000004</v>
      </c>
      <c r="L275">
        <v>1.81189E-3</v>
      </c>
      <c r="M275">
        <v>2.6940999999999998E-4</v>
      </c>
      <c r="N275" s="1">
        <v>71.099999999999994</v>
      </c>
      <c r="O275" s="1">
        <v>4.5999999999999996</v>
      </c>
      <c r="P275">
        <v>0.51727883096366511</v>
      </c>
      <c r="Q275">
        <v>97.559455163170526</v>
      </c>
      <c r="S275" t="s">
        <v>141</v>
      </c>
    </row>
    <row r="276" spans="1:19">
      <c r="A276" t="s">
        <v>647</v>
      </c>
      <c r="B276" t="s">
        <v>563</v>
      </c>
      <c r="C276">
        <v>8.1909999999999997E-2</v>
      </c>
      <c r="D276">
        <v>5.6779999999999999E-3</v>
      </c>
      <c r="E276">
        <v>91.324200913242009</v>
      </c>
      <c r="F276">
        <v>4.246783845207565</v>
      </c>
      <c r="G276" s="7">
        <f t="shared" si="8"/>
        <v>70.204562972910793</v>
      </c>
      <c r="H276" s="7">
        <f t="shared" si="9"/>
        <v>3.2646724626307013</v>
      </c>
      <c r="I276">
        <v>5.4260000000000003E-2</v>
      </c>
      <c r="J276">
        <v>2.4030000000000002E-3</v>
      </c>
      <c r="K276">
        <v>0.77629999999999999</v>
      </c>
      <c r="L276">
        <v>1.4428100000000001E-3</v>
      </c>
      <c r="M276">
        <v>3.4410000000000002E-4</v>
      </c>
      <c r="N276" s="1">
        <v>69.599999999999994</v>
      </c>
      <c r="O276" s="1">
        <v>6.4</v>
      </c>
      <c r="P276">
        <v>0.30746445497630337</v>
      </c>
      <c r="Q276">
        <v>71.502041579652783</v>
      </c>
      <c r="S276" t="s">
        <v>43</v>
      </c>
    </row>
    <row r="277" spans="1:19">
      <c r="A277" t="s">
        <v>648</v>
      </c>
      <c r="B277" t="s">
        <v>563</v>
      </c>
      <c r="C277">
        <v>0.17960000000000001</v>
      </c>
      <c r="D277">
        <v>1.447E-2</v>
      </c>
      <c r="E277">
        <v>58.719906048150321</v>
      </c>
      <c r="F277">
        <v>3.435959270521538</v>
      </c>
      <c r="G277" s="7">
        <f t="shared" si="8"/>
        <v>108.85811543222439</v>
      </c>
      <c r="H277" s="7">
        <f t="shared" si="9"/>
        <v>6.3697658266712631</v>
      </c>
      <c r="I277">
        <v>7.6469999999999996E-2</v>
      </c>
      <c r="J277">
        <v>4.228E-3</v>
      </c>
      <c r="K277">
        <v>0.72729999999999995</v>
      </c>
      <c r="L277">
        <v>7.2458699999999997E-3</v>
      </c>
      <c r="M277">
        <v>1.2356999999999999E-3</v>
      </c>
      <c r="N277" s="1">
        <v>105</v>
      </c>
      <c r="O277" s="1">
        <v>12</v>
      </c>
      <c r="P277">
        <v>0.92871248025276465</v>
      </c>
      <c r="Q277">
        <v>14.755477978991989</v>
      </c>
      <c r="S277" t="s">
        <v>44</v>
      </c>
    </row>
    <row r="278" spans="1:19">
      <c r="A278" t="s">
        <v>649</v>
      </c>
      <c r="B278" t="s">
        <v>563</v>
      </c>
      <c r="C278">
        <v>0.15210000000000001</v>
      </c>
      <c r="D278">
        <v>1.1820000000000001E-2</v>
      </c>
      <c r="E278">
        <v>53.879310344827587</v>
      </c>
      <c r="F278">
        <v>3.4748671596313909</v>
      </c>
      <c r="G278" s="7">
        <f t="shared" si="8"/>
        <v>118.54868726247133</v>
      </c>
      <c r="H278" s="7">
        <f t="shared" si="9"/>
        <v>7.6456238498479623</v>
      </c>
      <c r="I278">
        <v>5.9409999999999998E-2</v>
      </c>
      <c r="J278">
        <v>3.3509999999999998E-3</v>
      </c>
      <c r="K278">
        <v>0.69989999999999997</v>
      </c>
      <c r="L278">
        <v>6.7268199999999997E-3</v>
      </c>
      <c r="M278">
        <v>1.1887E-3</v>
      </c>
      <c r="N278" s="1">
        <v>117</v>
      </c>
      <c r="O278" s="1">
        <v>15</v>
      </c>
      <c r="P278">
        <v>0.93809241706161139</v>
      </c>
      <c r="Q278">
        <v>15.883801390144313</v>
      </c>
      <c r="S278" t="s">
        <v>45</v>
      </c>
    </row>
    <row r="279" spans="1:19">
      <c r="A279" t="s">
        <v>650</v>
      </c>
      <c r="B279" t="s">
        <v>563</v>
      </c>
      <c r="C279">
        <v>7.2720000000000007E-2</v>
      </c>
      <c r="D279">
        <v>7.6889999999999997E-3</v>
      </c>
      <c r="E279">
        <v>112.89230074508919</v>
      </c>
      <c r="F279">
        <v>5.1870813279805041</v>
      </c>
      <c r="G279" s="7">
        <f t="shared" si="8"/>
        <v>56.850914218807517</v>
      </c>
      <c r="H279" s="7">
        <f t="shared" si="9"/>
        <v>2.6121384157885146</v>
      </c>
      <c r="I279">
        <v>5.9549999999999999E-2</v>
      </c>
      <c r="J279">
        <v>4.2929999999999999E-3</v>
      </c>
      <c r="K279">
        <v>0.83299999999999996</v>
      </c>
      <c r="L279">
        <v>5.02383E-3</v>
      </c>
      <c r="M279">
        <v>1.0556000000000001E-3</v>
      </c>
      <c r="N279" s="1">
        <v>56</v>
      </c>
      <c r="O279" s="1">
        <v>5.0999999999999996</v>
      </c>
      <c r="P279">
        <v>0.48597946287519755</v>
      </c>
      <c r="Q279">
        <v>33.463204812517532</v>
      </c>
      <c r="S279" t="s">
        <v>46</v>
      </c>
    </row>
    <row r="280" spans="1:19">
      <c r="A280" t="s">
        <v>651</v>
      </c>
      <c r="B280" t="s">
        <v>563</v>
      </c>
      <c r="C280">
        <v>9.6139999999999993E-3</v>
      </c>
      <c r="D280">
        <v>1.108E-3</v>
      </c>
      <c r="E280">
        <v>1216.9891687963977</v>
      </c>
      <c r="F280">
        <v>76.570938331232526</v>
      </c>
      <c r="G280" s="7">
        <f t="shared" si="8"/>
        <v>5.2948434448078281</v>
      </c>
      <c r="H280" s="7">
        <f t="shared" si="9"/>
        <v>0.33314276024895306</v>
      </c>
      <c r="I280">
        <v>8.4860000000000005E-2</v>
      </c>
      <c r="J280">
        <v>7.1339999999999997E-3</v>
      </c>
      <c r="K280">
        <v>0.70189999999999997</v>
      </c>
      <c r="L280">
        <v>4.1704400000000001E-3</v>
      </c>
      <c r="M280">
        <v>1.6515E-3</v>
      </c>
      <c r="N280" s="1">
        <v>5.03</v>
      </c>
      <c r="O280" s="1">
        <v>0.63</v>
      </c>
      <c r="P280">
        <v>5.023696682464455E-3</v>
      </c>
      <c r="Q280">
        <v>154.34965558083721</v>
      </c>
      <c r="S280" t="s">
        <v>145</v>
      </c>
    </row>
    <row r="281" spans="1:19">
      <c r="A281" t="s">
        <v>652</v>
      </c>
      <c r="B281" t="s">
        <v>563</v>
      </c>
      <c r="C281">
        <v>5.901E-2</v>
      </c>
      <c r="D281">
        <v>2.5769999999999999E-3</v>
      </c>
      <c r="E281">
        <v>115.51345731777752</v>
      </c>
      <c r="F281">
        <v>3.9763209288087906</v>
      </c>
      <c r="G281" s="7">
        <f t="shared" si="8"/>
        <v>55.56643380117287</v>
      </c>
      <c r="H281" s="7">
        <f t="shared" si="9"/>
        <v>1.9127639219994819</v>
      </c>
      <c r="I281">
        <v>4.9430000000000002E-2</v>
      </c>
      <c r="J281">
        <v>1.4009999999999999E-3</v>
      </c>
      <c r="K281">
        <v>0.76139999999999997</v>
      </c>
      <c r="L281">
        <v>7.5345499999999999E-4</v>
      </c>
      <c r="M281">
        <v>1.5417E-4</v>
      </c>
      <c r="N281" s="1">
        <v>55.4</v>
      </c>
      <c r="O281" s="1">
        <v>3.8</v>
      </c>
      <c r="P281">
        <v>6.7347946287519764E-2</v>
      </c>
      <c r="Q281">
        <v>173.73686999345449</v>
      </c>
      <c r="S281" t="s">
        <v>92</v>
      </c>
    </row>
    <row r="282" spans="1:19">
      <c r="A282" t="s">
        <v>653</v>
      </c>
      <c r="B282" t="s">
        <v>563</v>
      </c>
      <c r="C282">
        <v>1.5189999999999999</v>
      </c>
      <c r="D282">
        <v>5.0880000000000002E-2</v>
      </c>
      <c r="E282">
        <v>7.5414781297134237</v>
      </c>
      <c r="F282">
        <v>0.25672875020758973</v>
      </c>
      <c r="G282" s="7">
        <f t="shared" si="8"/>
        <v>802.68090054838115</v>
      </c>
      <c r="H282" s="7">
        <f t="shared" si="9"/>
        <v>27.325049661202055</v>
      </c>
      <c r="I282">
        <v>8.3119999999999999E-2</v>
      </c>
      <c r="J282">
        <v>5.1029999999999999E-4</v>
      </c>
      <c r="K282">
        <v>0.98360000000000003</v>
      </c>
      <c r="L282">
        <v>8.0563799999999996E-5</v>
      </c>
      <c r="M282">
        <v>1.7252999999999999E-5</v>
      </c>
      <c r="N282" s="1">
        <v>785</v>
      </c>
      <c r="O282" s="1">
        <v>51</v>
      </c>
      <c r="P282">
        <v>0.21702211690363352</v>
      </c>
      <c r="Q282">
        <v>101.92313686375964</v>
      </c>
      <c r="S282" t="s">
        <v>148</v>
      </c>
    </row>
    <row r="283" spans="1:19">
      <c r="A283" t="s">
        <v>654</v>
      </c>
      <c r="B283" t="s">
        <v>563</v>
      </c>
      <c r="C283">
        <v>2.137</v>
      </c>
      <c r="D283">
        <v>0.10390000000000001</v>
      </c>
      <c r="E283">
        <v>5.4259359739555073</v>
      </c>
      <c r="F283">
        <v>0.24909844967790315</v>
      </c>
      <c r="G283" s="7">
        <f t="shared" si="8"/>
        <v>1090.4230958601918</v>
      </c>
      <c r="H283" s="7">
        <f t="shared" si="9"/>
        <v>50.060064102404141</v>
      </c>
      <c r="I283">
        <v>8.4129999999999996E-2</v>
      </c>
      <c r="J283">
        <v>6.0470000000000001E-4</v>
      </c>
      <c r="K283">
        <v>0.99009999999999998</v>
      </c>
      <c r="L283">
        <v>1.12137E-4</v>
      </c>
      <c r="M283">
        <v>1.7934000000000001E-5</v>
      </c>
      <c r="N283" s="1">
        <v>1079</v>
      </c>
      <c r="O283" s="1">
        <v>95</v>
      </c>
      <c r="P283">
        <v>0.41015007898894157</v>
      </c>
      <c r="Q283">
        <v>104.29199264407941</v>
      </c>
      <c r="S283" t="s">
        <v>149</v>
      </c>
    </row>
    <row r="284" spans="1:19">
      <c r="A284" t="s">
        <v>655</v>
      </c>
      <c r="B284" t="s">
        <v>563</v>
      </c>
      <c r="C284">
        <v>2.137</v>
      </c>
      <c r="D284">
        <v>9.6449999999999994E-2</v>
      </c>
      <c r="E284">
        <v>5.417118093174432</v>
      </c>
      <c r="F284">
        <v>0.25677022380973069</v>
      </c>
      <c r="G284" s="7">
        <f t="shared" si="8"/>
        <v>1092.0558572810808</v>
      </c>
      <c r="H284" s="7">
        <f t="shared" si="9"/>
        <v>51.763211003301507</v>
      </c>
      <c r="I284">
        <v>8.3979999999999999E-2</v>
      </c>
      <c r="J284">
        <v>6.6049999999999995E-4</v>
      </c>
      <c r="K284">
        <v>0.98680000000000001</v>
      </c>
      <c r="L284">
        <v>1.57529E-4</v>
      </c>
      <c r="M284">
        <v>2.2347000000000001E-5</v>
      </c>
      <c r="N284" s="1">
        <v>1081</v>
      </c>
      <c r="O284" s="1">
        <v>98</v>
      </c>
      <c r="P284">
        <v>0.42199842022116907</v>
      </c>
      <c r="Q284">
        <v>104.47900757410467</v>
      </c>
      <c r="S284" t="s">
        <v>150</v>
      </c>
    </row>
    <row r="285" spans="1:19">
      <c r="A285" t="s">
        <v>656</v>
      </c>
      <c r="B285" t="s">
        <v>563</v>
      </c>
      <c r="C285">
        <v>8.3710000000000007E-2</v>
      </c>
      <c r="D285">
        <v>5.9930000000000001E-3</v>
      </c>
      <c r="E285">
        <v>81.10300081103</v>
      </c>
      <c r="F285">
        <v>4.7484392770058843</v>
      </c>
      <c r="G285" s="7">
        <f t="shared" si="8"/>
        <v>78.998257321508234</v>
      </c>
      <c r="H285" s="7">
        <f t="shared" si="9"/>
        <v>4.6252102157661632</v>
      </c>
      <c r="I285">
        <v>4.9239999999999999E-2</v>
      </c>
      <c r="J285">
        <v>1.4779999999999999E-3</v>
      </c>
      <c r="K285">
        <v>0.91279999999999994</v>
      </c>
      <c r="L285">
        <v>1.11568E-3</v>
      </c>
      <c r="M285">
        <v>2.3126000000000001E-4</v>
      </c>
      <c r="N285" s="1">
        <v>78.8</v>
      </c>
      <c r="O285" s="1">
        <v>9.1</v>
      </c>
      <c r="P285">
        <v>0.30045418641390209</v>
      </c>
      <c r="Q285">
        <v>84.406071751394819</v>
      </c>
      <c r="S285" t="s">
        <v>151</v>
      </c>
    </row>
    <row r="286" spans="1:19">
      <c r="A286" t="s">
        <v>657</v>
      </c>
      <c r="B286" t="s">
        <v>563</v>
      </c>
      <c r="C286">
        <v>9.0579999999999994E-2</v>
      </c>
      <c r="D286">
        <v>4.7600000000000003E-3</v>
      </c>
      <c r="E286">
        <v>78.308535630383716</v>
      </c>
      <c r="F286">
        <v>2.948374622638096</v>
      </c>
      <c r="G286" s="7">
        <f t="shared" si="8"/>
        <v>81.799523713056814</v>
      </c>
      <c r="H286" s="7">
        <f t="shared" si="9"/>
        <v>3.0798129210053022</v>
      </c>
      <c r="I286">
        <v>5.144E-2</v>
      </c>
      <c r="J286">
        <v>1.6000000000000001E-3</v>
      </c>
      <c r="K286">
        <v>0.81159999999999999</v>
      </c>
      <c r="L286">
        <v>8.91222E-4</v>
      </c>
      <c r="M286">
        <v>2.0294000000000001E-4</v>
      </c>
      <c r="N286" s="1">
        <v>81.400000000000006</v>
      </c>
      <c r="O286" s="1">
        <v>6</v>
      </c>
      <c r="P286">
        <v>7.3617693522906799E-2</v>
      </c>
      <c r="Q286">
        <v>72.125424679736938</v>
      </c>
      <c r="S286" t="s">
        <v>152</v>
      </c>
    </row>
    <row r="287" spans="1:19">
      <c r="A287" t="s">
        <v>658</v>
      </c>
      <c r="B287" t="s">
        <v>563</v>
      </c>
      <c r="C287">
        <v>0.34210000000000002</v>
      </c>
      <c r="D287">
        <v>1.201E-2</v>
      </c>
      <c r="E287">
        <v>28.224668360146765</v>
      </c>
      <c r="F287">
        <v>0.93205932772711575</v>
      </c>
      <c r="G287" s="7">
        <f t="shared" si="8"/>
        <v>224.44350926905673</v>
      </c>
      <c r="H287" s="7">
        <f t="shared" si="9"/>
        <v>7.411767029206783</v>
      </c>
      <c r="I287">
        <v>7.0019999999999999E-2</v>
      </c>
      <c r="J287">
        <v>8.185E-4</v>
      </c>
      <c r="K287">
        <v>0.94299999999999995</v>
      </c>
      <c r="L287">
        <v>4.2159700000000001E-4</v>
      </c>
      <c r="M287">
        <v>6.1907000000000002E-5</v>
      </c>
      <c r="N287" s="1">
        <v>219</v>
      </c>
      <c r="O287" s="1">
        <v>14</v>
      </c>
      <c r="P287">
        <v>0.1174960505529226</v>
      </c>
      <c r="Q287">
        <v>127.7311972072437</v>
      </c>
      <c r="S287" t="s">
        <v>153</v>
      </c>
    </row>
    <row r="288" spans="1:19">
      <c r="A288" t="s">
        <v>659</v>
      </c>
      <c r="B288" t="s">
        <v>563</v>
      </c>
      <c r="C288">
        <v>0.11509999999999999</v>
      </c>
      <c r="D288">
        <v>5.1710000000000002E-3</v>
      </c>
      <c r="E288">
        <v>64.226075786769428</v>
      </c>
      <c r="F288">
        <v>2.4077559689619341</v>
      </c>
      <c r="G288" s="7">
        <f t="shared" si="8"/>
        <v>99.597300392838193</v>
      </c>
      <c r="H288" s="7">
        <f t="shared" si="9"/>
        <v>3.7337793345728745</v>
      </c>
      <c r="I288">
        <v>5.3609999999999998E-2</v>
      </c>
      <c r="J288">
        <v>1.418E-3</v>
      </c>
      <c r="K288">
        <v>0.80900000000000005</v>
      </c>
      <c r="L288">
        <v>9.0643500000000003E-4</v>
      </c>
      <c r="M288">
        <v>1.9179000000000001E-4</v>
      </c>
      <c r="N288" s="1">
        <v>98.9</v>
      </c>
      <c r="O288" s="1">
        <v>7.3</v>
      </c>
      <c r="P288">
        <v>0.31970774091627174</v>
      </c>
      <c r="Q288">
        <v>77.673534270485931</v>
      </c>
      <c r="S288" t="s">
        <v>154</v>
      </c>
    </row>
    <row r="289" spans="1:19">
      <c r="A289" t="s">
        <v>660</v>
      </c>
      <c r="B289" t="s">
        <v>563</v>
      </c>
      <c r="C289">
        <v>0.18559999999999999</v>
      </c>
      <c r="D289">
        <v>8.7720000000000003E-3</v>
      </c>
      <c r="E289">
        <v>40.064102564102562</v>
      </c>
      <c r="F289">
        <v>1.6340246959237343</v>
      </c>
      <c r="G289" s="7">
        <f t="shared" si="8"/>
        <v>158.92723570447293</v>
      </c>
      <c r="H289" s="7">
        <f t="shared" si="9"/>
        <v>6.4818880587801866</v>
      </c>
      <c r="I289">
        <v>5.3929999999999999E-2</v>
      </c>
      <c r="J289">
        <v>1.062E-3</v>
      </c>
      <c r="K289">
        <v>0.91020000000000001</v>
      </c>
      <c r="L289">
        <v>6.0846999999999995E-4</v>
      </c>
      <c r="M289">
        <v>1.1959999999999999E-4</v>
      </c>
      <c r="N289" s="1">
        <v>158</v>
      </c>
      <c r="O289" s="1">
        <v>13</v>
      </c>
      <c r="P289">
        <v>1.0130331753554502</v>
      </c>
      <c r="Q289">
        <v>80.478758220864634</v>
      </c>
      <c r="S289" t="s">
        <v>155</v>
      </c>
    </row>
    <row r="290" spans="1:19">
      <c r="A290" t="s">
        <v>661</v>
      </c>
      <c r="B290" t="s">
        <v>563</v>
      </c>
      <c r="C290">
        <v>1.05</v>
      </c>
      <c r="D290">
        <v>4.3490000000000001E-2</v>
      </c>
      <c r="E290">
        <v>12.223444566678891</v>
      </c>
      <c r="F290">
        <v>0.51054284420415319</v>
      </c>
      <c r="G290" s="7">
        <f t="shared" si="8"/>
        <v>506.9174166981673</v>
      </c>
      <c r="H290" s="7">
        <f t="shared" si="9"/>
        <v>21.172678313869181</v>
      </c>
      <c r="I290">
        <v>9.3130000000000004E-2</v>
      </c>
      <c r="J290">
        <v>5.7700000000000004E-4</v>
      </c>
      <c r="K290">
        <v>0.9889</v>
      </c>
      <c r="L290">
        <v>1.26654E-4</v>
      </c>
      <c r="M290">
        <v>2.0230000000000001E-5</v>
      </c>
      <c r="N290" s="1">
        <v>484</v>
      </c>
      <c r="O290" s="1">
        <v>39</v>
      </c>
      <c r="P290">
        <v>9.2565165876777253E-2</v>
      </c>
      <c r="Q290">
        <v>217.06199544930337</v>
      </c>
      <c r="S290" t="s">
        <v>156</v>
      </c>
    </row>
    <row r="291" spans="1:19">
      <c r="A291" t="s">
        <v>662</v>
      </c>
      <c r="B291" t="s">
        <v>563</v>
      </c>
      <c r="C291">
        <v>0.1148</v>
      </c>
      <c r="D291">
        <v>8.6250000000000007E-3</v>
      </c>
      <c r="E291">
        <v>59.665871121718375</v>
      </c>
      <c r="F291">
        <v>3.3239871041974012</v>
      </c>
      <c r="G291" s="7">
        <f t="shared" si="8"/>
        <v>107.14650131336721</v>
      </c>
      <c r="H291" s="7">
        <f t="shared" si="9"/>
        <v>5.969134145363423</v>
      </c>
      <c r="I291">
        <v>4.9689999999999998E-2</v>
      </c>
      <c r="J291">
        <v>1.7669999999999999E-3</v>
      </c>
      <c r="K291">
        <v>0.89390000000000003</v>
      </c>
      <c r="L291">
        <v>5.5294700000000003E-4</v>
      </c>
      <c r="M291">
        <v>1.7490999999999999E-4</v>
      </c>
      <c r="N291" s="1">
        <v>107</v>
      </c>
      <c r="O291" s="1">
        <v>12</v>
      </c>
      <c r="P291">
        <v>0.36394154818325436</v>
      </c>
      <c r="Q291">
        <v>63.148708038525079</v>
      </c>
      <c r="S291" t="s">
        <v>157</v>
      </c>
    </row>
    <row r="292" spans="1:19">
      <c r="A292" t="s">
        <v>663</v>
      </c>
      <c r="B292" t="s">
        <v>563</v>
      </c>
      <c r="C292">
        <v>9.5589999999999994E-2</v>
      </c>
      <c r="D292">
        <v>4.3359999999999996E-3</v>
      </c>
      <c r="E292">
        <v>77.101002313030065</v>
      </c>
      <c r="F292">
        <v>3.3301450652089</v>
      </c>
      <c r="G292" s="7">
        <f t="shared" si="8"/>
        <v>83.072424322820339</v>
      </c>
      <c r="H292" s="7">
        <f t="shared" si="9"/>
        <v>3.5880626141591323</v>
      </c>
      <c r="I292">
        <v>5.3449999999999998E-2</v>
      </c>
      <c r="J292">
        <v>1.7719999999999999E-3</v>
      </c>
      <c r="K292">
        <v>0.7208</v>
      </c>
      <c r="L292">
        <v>5.1024399999999998E-4</v>
      </c>
      <c r="M292">
        <v>1.2642E-4</v>
      </c>
      <c r="N292" s="1">
        <v>82.5</v>
      </c>
      <c r="O292" s="1">
        <v>7</v>
      </c>
      <c r="P292">
        <v>0.42338072669826227</v>
      </c>
      <c r="Q292">
        <v>129.35199326746252</v>
      </c>
      <c r="S292" t="s">
        <v>158</v>
      </c>
    </row>
    <row r="293" spans="1:19">
      <c r="A293" t="s">
        <v>664</v>
      </c>
      <c r="B293" t="s">
        <v>563</v>
      </c>
      <c r="C293">
        <v>9.6699999999999994E-2</v>
      </c>
      <c r="D293">
        <v>4.5869999999999999E-3</v>
      </c>
      <c r="E293">
        <v>74.794315632011973</v>
      </c>
      <c r="F293">
        <v>3.2093866026989732</v>
      </c>
      <c r="G293" s="7">
        <f t="shared" si="8"/>
        <v>85.61747175448383</v>
      </c>
      <c r="H293" s="7">
        <f t="shared" si="9"/>
        <v>3.6738028081935212</v>
      </c>
      <c r="I293">
        <v>5.2470000000000003E-2</v>
      </c>
      <c r="J293">
        <v>1.505E-3</v>
      </c>
      <c r="K293">
        <v>0.80289999999999995</v>
      </c>
      <c r="L293">
        <v>5.2618900000000004E-4</v>
      </c>
      <c r="M293">
        <v>1.1769000000000001E-4</v>
      </c>
      <c r="N293" s="1">
        <v>85.1</v>
      </c>
      <c r="O293" s="1">
        <v>7.2</v>
      </c>
      <c r="P293">
        <v>2.8929699842022118E-2</v>
      </c>
      <c r="Q293">
        <v>148.92622261010504</v>
      </c>
      <c r="S293" t="s">
        <v>159</v>
      </c>
    </row>
    <row r="294" spans="1:19">
      <c r="A294" t="s">
        <v>665</v>
      </c>
      <c r="B294" t="s">
        <v>563</v>
      </c>
      <c r="C294">
        <v>6.417E-3</v>
      </c>
      <c r="D294">
        <v>4.9149999999999997E-4</v>
      </c>
      <c r="E294">
        <v>1441.753171856978</v>
      </c>
      <c r="F294">
        <v>57.05900312496258</v>
      </c>
      <c r="G294" s="7">
        <f t="shared" si="8"/>
        <v>4.4696829697859872</v>
      </c>
      <c r="H294" s="7">
        <f t="shared" si="9"/>
        <v>0.17689272998936756</v>
      </c>
      <c r="I294">
        <v>6.7100000000000007E-2</v>
      </c>
      <c r="J294">
        <v>5.1700000000000001E-3</v>
      </c>
      <c r="K294">
        <v>0.24709999999999999</v>
      </c>
      <c r="L294">
        <v>2.59545E-3</v>
      </c>
      <c r="M294">
        <v>7.8339999999999996E-4</v>
      </c>
      <c r="N294" s="1">
        <v>4.3499999999999996</v>
      </c>
      <c r="O294" s="1">
        <v>0.35</v>
      </c>
      <c r="P294">
        <v>1.0949842022116903E-2</v>
      </c>
      <c r="Q294">
        <v>285.94582800860269</v>
      </c>
      <c r="S294" t="s">
        <v>160</v>
      </c>
    </row>
    <row r="295" spans="1:19">
      <c r="A295" t="s">
        <v>666</v>
      </c>
      <c r="B295" t="s">
        <v>563</v>
      </c>
      <c r="C295">
        <v>4.6759999999999996E-3</v>
      </c>
      <c r="D295">
        <v>2.7690000000000001E-4</v>
      </c>
      <c r="E295">
        <v>1697.2165648336727</v>
      </c>
      <c r="F295">
        <v>56.919550782609257</v>
      </c>
      <c r="G295" s="7">
        <f t="shared" si="8"/>
        <v>3.7971087176890657</v>
      </c>
      <c r="H295" s="7">
        <f t="shared" si="9"/>
        <v>0.12734363248733188</v>
      </c>
      <c r="I295">
        <v>5.7570000000000003E-2</v>
      </c>
      <c r="J295">
        <v>2.65E-3</v>
      </c>
      <c r="K295">
        <v>0.63219999999999998</v>
      </c>
      <c r="L295">
        <v>5.2117600000000002E-3</v>
      </c>
      <c r="M295">
        <v>7.5469999999999997E-4</v>
      </c>
      <c r="N295" s="1">
        <v>3.74</v>
      </c>
      <c r="O295" s="1">
        <v>0.25</v>
      </c>
      <c r="P295">
        <v>0.3356042654028436</v>
      </c>
      <c r="Q295">
        <v>720.00748059720104</v>
      </c>
      <c r="S295" t="s">
        <v>161</v>
      </c>
    </row>
    <row r="296" spans="1:19">
      <c r="A296" t="s">
        <v>667</v>
      </c>
      <c r="B296" t="s">
        <v>563</v>
      </c>
      <c r="C296">
        <v>0.1678</v>
      </c>
      <c r="D296">
        <v>1.1140000000000001E-2</v>
      </c>
      <c r="E296">
        <v>53.7345513164965</v>
      </c>
      <c r="F296">
        <v>2.1257053562173414</v>
      </c>
      <c r="G296" s="7">
        <f t="shared" si="8"/>
        <v>118.86512694023112</v>
      </c>
      <c r="H296" s="7">
        <f t="shared" si="9"/>
        <v>4.7022303306500888</v>
      </c>
      <c r="I296">
        <v>6.54E-2</v>
      </c>
      <c r="J296">
        <v>3.6410000000000001E-3</v>
      </c>
      <c r="K296">
        <v>0.54720000000000002</v>
      </c>
      <c r="L296">
        <v>1.7109899999999999E-3</v>
      </c>
      <c r="M296">
        <v>3.2951999999999998E-4</v>
      </c>
      <c r="N296" s="1">
        <v>116.3</v>
      </c>
      <c r="O296" s="1">
        <v>9.1</v>
      </c>
      <c r="P296">
        <v>0.60989336492891</v>
      </c>
      <c r="Q296">
        <v>37.353115357042668</v>
      </c>
      <c r="S296" t="s">
        <v>94</v>
      </c>
    </row>
    <row r="297" spans="1:19">
      <c r="A297" t="s">
        <v>668</v>
      </c>
      <c r="B297" t="s">
        <v>563</v>
      </c>
      <c r="C297">
        <v>6.1630000000000001E-3</v>
      </c>
      <c r="D297">
        <v>3.1300000000000002E-4</v>
      </c>
      <c r="E297">
        <v>1289.3243940175348</v>
      </c>
      <c r="F297">
        <v>42.390113521721425</v>
      </c>
      <c r="G297" s="7">
        <f t="shared" si="8"/>
        <v>4.9979009041211908</v>
      </c>
      <c r="H297" s="7">
        <f t="shared" si="9"/>
        <v>0.16431984664142646</v>
      </c>
      <c r="I297">
        <v>5.7630000000000001E-2</v>
      </c>
      <c r="J297">
        <v>2.2790000000000002E-3</v>
      </c>
      <c r="K297">
        <v>0.62780000000000002</v>
      </c>
      <c r="L297">
        <v>1.2525699999999999E-3</v>
      </c>
      <c r="M297">
        <v>3.1629999999999999E-4</v>
      </c>
      <c r="N297" s="1">
        <v>4.92</v>
      </c>
      <c r="O297" s="1">
        <v>0.32</v>
      </c>
      <c r="P297">
        <v>1.2401263823064772E-2</v>
      </c>
      <c r="Q297">
        <v>739.33235669980979</v>
      </c>
      <c r="S297" t="s">
        <v>95</v>
      </c>
    </row>
    <row r="298" spans="1:19">
      <c r="A298" t="s">
        <v>669</v>
      </c>
      <c r="B298" t="s">
        <v>563</v>
      </c>
      <c r="C298">
        <v>0.22850000000000001</v>
      </c>
      <c r="D298">
        <v>1.414E-2</v>
      </c>
      <c r="E298">
        <v>31.545741324921135</v>
      </c>
      <c r="F298">
        <v>1.7783040929853018</v>
      </c>
      <c r="G298" s="7">
        <f t="shared" si="8"/>
        <v>201.17922400769203</v>
      </c>
      <c r="H298" s="7">
        <f t="shared" si="9"/>
        <v>11.340923448004595</v>
      </c>
      <c r="I298">
        <v>5.228E-2</v>
      </c>
      <c r="J298">
        <v>1.8959999999999999E-3</v>
      </c>
      <c r="K298">
        <v>0.81589999999999996</v>
      </c>
      <c r="L298">
        <v>9.3251399999999996E-4</v>
      </c>
      <c r="M298">
        <v>2.4930999999999998E-4</v>
      </c>
      <c r="N298" s="1">
        <v>201</v>
      </c>
      <c r="O298" s="1">
        <v>22</v>
      </c>
      <c r="P298">
        <v>0.49437203791469203</v>
      </c>
      <c r="Q298">
        <v>25.253249384409191</v>
      </c>
      <c r="S298" t="s">
        <v>96</v>
      </c>
    </row>
    <row r="299" spans="1:19">
      <c r="A299" t="s">
        <v>670</v>
      </c>
      <c r="B299" t="s">
        <v>563</v>
      </c>
      <c r="C299">
        <v>0.2208</v>
      </c>
      <c r="D299">
        <v>1.584E-2</v>
      </c>
      <c r="E299">
        <v>35.050823694356815</v>
      </c>
      <c r="F299">
        <v>1.8108977961963528</v>
      </c>
      <c r="G299" s="7">
        <f t="shared" si="8"/>
        <v>181.34148833358273</v>
      </c>
      <c r="H299" s="7">
        <f t="shared" si="9"/>
        <v>9.3689924221416394</v>
      </c>
      <c r="I299">
        <v>5.6129999999999999E-2</v>
      </c>
      <c r="J299">
        <v>2.0110000000000002E-3</v>
      </c>
      <c r="K299">
        <v>0.88109999999999999</v>
      </c>
      <c r="L299">
        <v>1.05204E-3</v>
      </c>
      <c r="M299">
        <v>2.4673000000000002E-4</v>
      </c>
      <c r="N299" s="1">
        <v>180</v>
      </c>
      <c r="O299" s="1">
        <v>18</v>
      </c>
      <c r="P299">
        <v>0.71642969984202221</v>
      </c>
      <c r="Q299">
        <v>32.559299317395507</v>
      </c>
      <c r="S299" t="s">
        <v>97</v>
      </c>
    </row>
    <row r="300" spans="1:19">
      <c r="A300" t="s">
        <v>489</v>
      </c>
      <c r="B300" t="s">
        <v>563</v>
      </c>
      <c r="C300">
        <v>0.1454</v>
      </c>
      <c r="D300">
        <v>1.285E-2</v>
      </c>
      <c r="E300">
        <v>68.870523415977956</v>
      </c>
      <c r="F300">
        <v>4.0283564419552391</v>
      </c>
      <c r="G300" s="7">
        <f t="shared" si="8"/>
        <v>92.928891115617944</v>
      </c>
      <c r="H300" s="7">
        <f t="shared" si="9"/>
        <v>5.4355721228990568</v>
      </c>
      <c r="I300">
        <v>7.2599999999999998E-2</v>
      </c>
      <c r="J300">
        <v>5.8780000000000004E-3</v>
      </c>
      <c r="K300">
        <v>0.45250000000000001</v>
      </c>
      <c r="L300">
        <v>1.6132E-3</v>
      </c>
      <c r="M300">
        <v>4.4266999999999999E-4</v>
      </c>
      <c r="N300" s="1">
        <v>90</v>
      </c>
      <c r="O300" s="1">
        <v>10</v>
      </c>
      <c r="P300">
        <v>0.30558846761453401</v>
      </c>
      <c r="Q300">
        <v>28.008602686781163</v>
      </c>
      <c r="S300" t="s">
        <v>98</v>
      </c>
    </row>
    <row r="301" spans="1:19">
      <c r="A301" t="s">
        <v>490</v>
      </c>
      <c r="B301" t="s">
        <v>563</v>
      </c>
      <c r="C301">
        <v>0.2382</v>
      </c>
      <c r="D301">
        <v>9.8180000000000003E-3</v>
      </c>
      <c r="E301">
        <v>31.298904538341159</v>
      </c>
      <c r="F301">
        <v>1.2441192101312448</v>
      </c>
      <c r="G301" s="7">
        <f t="shared" si="8"/>
        <v>202.74112021432674</v>
      </c>
      <c r="H301" s="7">
        <f t="shared" si="9"/>
        <v>8.0588802088323934</v>
      </c>
      <c r="I301">
        <v>5.407E-2</v>
      </c>
      <c r="J301">
        <v>1.1640000000000001E-3</v>
      </c>
      <c r="K301">
        <v>0.85919999999999996</v>
      </c>
      <c r="L301">
        <v>3.2834599999999998E-4</v>
      </c>
      <c r="M301">
        <v>1.0768E-4</v>
      </c>
      <c r="N301" s="1">
        <v>202</v>
      </c>
      <c r="O301" s="1">
        <v>16</v>
      </c>
      <c r="P301">
        <v>0.65274486571879942</v>
      </c>
      <c r="Q301">
        <v>47.077891718355509</v>
      </c>
      <c r="S301" t="s">
        <v>99</v>
      </c>
    </row>
    <row r="302" spans="1:19">
      <c r="A302" t="s">
        <v>491</v>
      </c>
      <c r="B302" t="s">
        <v>563</v>
      </c>
      <c r="C302">
        <v>0.21970000000000001</v>
      </c>
      <c r="D302">
        <v>1.17E-2</v>
      </c>
      <c r="E302">
        <v>32.299741602067179</v>
      </c>
      <c r="F302">
        <v>1.2592308822252933</v>
      </c>
      <c r="G302" s="7">
        <f t="shared" si="8"/>
        <v>196.55379209024184</v>
      </c>
      <c r="H302" s="7">
        <f t="shared" si="9"/>
        <v>7.6628044913734463</v>
      </c>
      <c r="I302">
        <v>5.1479999999999998E-2</v>
      </c>
      <c r="J302">
        <v>1.5250000000000001E-3</v>
      </c>
      <c r="K302">
        <v>0.83760000000000001</v>
      </c>
      <c r="L302">
        <v>7.7595300000000002E-4</v>
      </c>
      <c r="M302">
        <v>1.5223E-4</v>
      </c>
      <c r="N302" s="1">
        <v>196</v>
      </c>
      <c r="O302" s="1">
        <v>15</v>
      </c>
      <c r="P302">
        <v>0.74496445497630337</v>
      </c>
      <c r="Q302">
        <v>51.348065953931986</v>
      </c>
      <c r="S302" t="s">
        <v>100</v>
      </c>
    </row>
    <row r="303" spans="1:19">
      <c r="A303" t="s">
        <v>492</v>
      </c>
      <c r="B303" t="s">
        <v>563</v>
      </c>
      <c r="C303">
        <v>0.2374</v>
      </c>
      <c r="D303">
        <v>9.6810000000000004E-3</v>
      </c>
      <c r="E303">
        <v>31.328320802005017</v>
      </c>
      <c r="F303">
        <v>1.3112354821891825</v>
      </c>
      <c r="G303" s="7">
        <f t="shared" si="8"/>
        <v>202.55371264943477</v>
      </c>
      <c r="H303" s="7">
        <f t="shared" si="9"/>
        <v>8.4778120331968942</v>
      </c>
      <c r="I303">
        <v>5.3940000000000002E-2</v>
      </c>
      <c r="J303">
        <v>1.0629999999999999E-3</v>
      </c>
      <c r="K303">
        <v>0.88670000000000004</v>
      </c>
      <c r="L303">
        <v>7.2233499999999995E-4</v>
      </c>
      <c r="M303">
        <v>1.3486999999999999E-4</v>
      </c>
      <c r="N303" s="1">
        <v>202</v>
      </c>
      <c r="O303" s="1">
        <v>17</v>
      </c>
      <c r="P303">
        <v>0.89306872037914697</v>
      </c>
      <c r="Q303">
        <v>55.961100894554747</v>
      </c>
      <c r="S303" t="s">
        <v>101</v>
      </c>
    </row>
    <row r="304" spans="1:19">
      <c r="A304" t="s">
        <v>493</v>
      </c>
      <c r="B304" t="s">
        <v>563</v>
      </c>
      <c r="C304">
        <v>0.26529999999999998</v>
      </c>
      <c r="D304">
        <v>1.7860000000000001E-2</v>
      </c>
      <c r="E304">
        <v>27.770063871146903</v>
      </c>
      <c r="F304">
        <v>1.3618976061217838</v>
      </c>
      <c r="G304" s="7">
        <f t="shared" si="8"/>
        <v>228.05348138829169</v>
      </c>
      <c r="H304" s="7">
        <f t="shared" si="9"/>
        <v>11.18418350824002</v>
      </c>
      <c r="I304">
        <v>5.3449999999999998E-2</v>
      </c>
      <c r="J304">
        <v>1.73E-3</v>
      </c>
      <c r="K304">
        <v>0.89180000000000004</v>
      </c>
      <c r="L304">
        <v>4.4179100000000003E-4</v>
      </c>
      <c r="M304">
        <v>1.2400000000000001E-4</v>
      </c>
      <c r="N304" s="1">
        <v>227</v>
      </c>
      <c r="O304" s="1">
        <v>22</v>
      </c>
      <c r="P304">
        <v>0.75641785150079</v>
      </c>
      <c r="Q304">
        <v>43.300190131845525</v>
      </c>
      <c r="S304" t="s">
        <v>102</v>
      </c>
    </row>
    <row r="305" spans="1:19">
      <c r="A305" t="s">
        <v>562</v>
      </c>
      <c r="B305" t="s">
        <v>563</v>
      </c>
      <c r="C305">
        <v>0.29949999999999999</v>
      </c>
      <c r="D305">
        <v>3.3020000000000001E-2</v>
      </c>
      <c r="E305">
        <v>28.538812785388128</v>
      </c>
      <c r="F305">
        <v>2.0386029795041805</v>
      </c>
      <c r="G305" s="7">
        <f t="shared" si="8"/>
        <v>222.01497704134218</v>
      </c>
      <c r="H305" s="7">
        <f t="shared" si="9"/>
        <v>15.859117794933773</v>
      </c>
      <c r="I305">
        <v>6.2E-2</v>
      </c>
      <c r="J305">
        <v>3.2290000000000001E-3</v>
      </c>
      <c r="K305">
        <v>0.9234</v>
      </c>
      <c r="L305">
        <v>2.34352E-3</v>
      </c>
      <c r="M305">
        <v>5.8648000000000001E-4</v>
      </c>
      <c r="N305" s="1">
        <v>219</v>
      </c>
      <c r="O305" s="1">
        <v>31</v>
      </c>
      <c r="P305">
        <v>0.45665481832543448</v>
      </c>
      <c r="Q305">
        <v>9.693607206308636</v>
      </c>
      <c r="S305" t="s">
        <v>103</v>
      </c>
    </row>
    <row r="306" spans="1:19">
      <c r="A306" t="s">
        <v>495</v>
      </c>
      <c r="B306" t="s">
        <v>563</v>
      </c>
      <c r="C306">
        <v>4.1770000000000002E-2</v>
      </c>
      <c r="D306">
        <v>7.3010000000000002E-3</v>
      </c>
      <c r="E306">
        <v>1363.1406761177752</v>
      </c>
      <c r="F306">
        <v>158.20310409578431</v>
      </c>
      <c r="G306" s="7">
        <f t="shared" si="8"/>
        <v>4.7273556618719521</v>
      </c>
      <c r="H306" s="7">
        <f t="shared" si="9"/>
        <v>0.54864648453077691</v>
      </c>
      <c r="I306">
        <v>0.41299999999999998</v>
      </c>
      <c r="J306">
        <v>4.7789999999999999E-2</v>
      </c>
      <c r="K306">
        <v>0.75490000000000002</v>
      </c>
      <c r="L306">
        <v>4.3545599999999997E-2</v>
      </c>
      <c r="M306">
        <v>1.6747000000000001E-2</v>
      </c>
      <c r="N306" s="1">
        <v>2.5099999999999998</v>
      </c>
      <c r="O306" s="1">
        <v>0.86</v>
      </c>
      <c r="P306">
        <v>2.4516192733017379E-3</v>
      </c>
      <c r="Q306">
        <v>15.14820933204501</v>
      </c>
      <c r="S306" t="s">
        <v>104</v>
      </c>
    </row>
    <row r="307" spans="1:19">
      <c r="A307" t="s">
        <v>496</v>
      </c>
      <c r="B307" t="s">
        <v>563</v>
      </c>
      <c r="C307">
        <v>0.2828</v>
      </c>
      <c r="D307">
        <v>2.1309999999999999E-2</v>
      </c>
      <c r="E307">
        <v>26.75943270002676</v>
      </c>
      <c r="F307">
        <v>1.5918174710238024</v>
      </c>
      <c r="G307" s="7">
        <f t="shared" si="8"/>
        <v>236.51032436451351</v>
      </c>
      <c r="H307" s="7">
        <f t="shared" si="9"/>
        <v>14.069104925403092</v>
      </c>
      <c r="I307">
        <v>5.4879999999999998E-2</v>
      </c>
      <c r="J307">
        <v>1.7340000000000001E-3</v>
      </c>
      <c r="K307">
        <v>0.91669999999999996</v>
      </c>
      <c r="L307">
        <v>7.09737E-4</v>
      </c>
      <c r="M307">
        <v>1.9252000000000001E-4</v>
      </c>
      <c r="N307" s="1">
        <v>235</v>
      </c>
      <c r="O307" s="1">
        <v>27</v>
      </c>
      <c r="P307">
        <v>0.44312796208530808</v>
      </c>
      <c r="Q307">
        <v>23.701025465199638</v>
      </c>
      <c r="S307" t="s">
        <v>105</v>
      </c>
    </row>
    <row r="308" spans="1:19">
      <c r="A308" t="s">
        <v>497</v>
      </c>
      <c r="B308" t="s">
        <v>563</v>
      </c>
      <c r="C308">
        <v>0.30120000000000002</v>
      </c>
      <c r="D308">
        <v>1.9009999999999999E-2</v>
      </c>
      <c r="E308">
        <v>25.025025025025023</v>
      </c>
      <c r="F308">
        <v>1.3408052697341986</v>
      </c>
      <c r="G308" s="7">
        <f t="shared" si="8"/>
        <v>252.58501772864349</v>
      </c>
      <c r="H308" s="7">
        <f t="shared" si="9"/>
        <v>13.533146220145788</v>
      </c>
      <c r="I308">
        <v>5.466E-2</v>
      </c>
      <c r="J308">
        <v>1.9740000000000001E-3</v>
      </c>
      <c r="K308">
        <v>0.82069999999999999</v>
      </c>
      <c r="L308">
        <v>8.8038099999999996E-4</v>
      </c>
      <c r="M308">
        <v>1.9996E-4</v>
      </c>
      <c r="N308" s="1">
        <v>251</v>
      </c>
      <c r="O308" s="1">
        <v>26</v>
      </c>
      <c r="P308">
        <v>0.24555687203791471</v>
      </c>
      <c r="Q308">
        <v>32.122931147336594</v>
      </c>
      <c r="S308" t="s">
        <v>106</v>
      </c>
    </row>
    <row r="309" spans="1:19">
      <c r="A309" t="s">
        <v>498</v>
      </c>
      <c r="B309" t="s">
        <v>563</v>
      </c>
      <c r="C309">
        <v>0.31819999999999998</v>
      </c>
      <c r="D309">
        <v>1.542E-2</v>
      </c>
      <c r="E309">
        <v>23.1535077564251</v>
      </c>
      <c r="F309">
        <v>0.99497361416820995</v>
      </c>
      <c r="G309" s="7">
        <f t="shared" si="8"/>
        <v>272.57583403536523</v>
      </c>
      <c r="H309" s="7">
        <f t="shared" si="9"/>
        <v>11.713376892096269</v>
      </c>
      <c r="I309">
        <v>5.3429999999999998E-2</v>
      </c>
      <c r="J309">
        <v>1.3339999999999999E-3</v>
      </c>
      <c r="K309">
        <v>0.85770000000000002</v>
      </c>
      <c r="L309">
        <v>6.6703800000000001E-4</v>
      </c>
      <c r="M309">
        <v>1.5307999999999999E-4</v>
      </c>
      <c r="N309" s="1">
        <v>272</v>
      </c>
      <c r="O309" s="1">
        <v>23</v>
      </c>
      <c r="P309">
        <v>0.35219194312796215</v>
      </c>
      <c r="Q309">
        <v>33.86840382757223</v>
      </c>
      <c r="S309" t="s">
        <v>107</v>
      </c>
    </row>
    <row r="310" spans="1:19">
      <c r="A310" t="s">
        <v>499</v>
      </c>
      <c r="B310" t="s">
        <v>563</v>
      </c>
      <c r="C310">
        <v>0.28029999999999999</v>
      </c>
      <c r="D310">
        <v>1.9730000000000001E-2</v>
      </c>
      <c r="E310">
        <v>26.659557451346306</v>
      </c>
      <c r="F310">
        <v>1.5529494276510709</v>
      </c>
      <c r="G310" s="7">
        <f t="shared" si="8"/>
        <v>237.38025225129766</v>
      </c>
      <c r="H310" s="7">
        <f t="shared" si="9"/>
        <v>13.827668652868178</v>
      </c>
      <c r="I310">
        <v>5.4190000000000002E-2</v>
      </c>
      <c r="J310">
        <v>3.2699999999999999E-3</v>
      </c>
      <c r="K310">
        <v>0.57389999999999997</v>
      </c>
      <c r="L310">
        <v>9.7336799999999995E-4</v>
      </c>
      <c r="M310">
        <v>2.9040000000000001E-4</v>
      </c>
      <c r="N310" s="1">
        <v>236</v>
      </c>
      <c r="O310" s="1">
        <v>27</v>
      </c>
      <c r="P310">
        <v>0.586196682464455</v>
      </c>
      <c r="Q310">
        <v>17.379920830346286</v>
      </c>
      <c r="S310" t="s">
        <v>108</v>
      </c>
    </row>
    <row r="311" spans="1:19" s="8" customFormat="1">
      <c r="A311" s="8" t="s">
        <v>500</v>
      </c>
      <c r="B311" s="8" t="s">
        <v>563</v>
      </c>
      <c r="C311" s="8">
        <v>2.3650000000000002</v>
      </c>
      <c r="D311" s="8">
        <v>0.1399</v>
      </c>
      <c r="E311" s="8">
        <v>4.9019607843137258</v>
      </c>
      <c r="F311" s="8">
        <v>0.28186274509803927</v>
      </c>
      <c r="G311" s="9">
        <f t="shared" si="8"/>
        <v>1196.7725826696487</v>
      </c>
      <c r="H311" s="9">
        <f t="shared" si="9"/>
        <v>68.814423503504813</v>
      </c>
      <c r="I311" s="8">
        <v>8.4070000000000006E-2</v>
      </c>
      <c r="J311" s="8">
        <v>6.9510000000000004E-4</v>
      </c>
      <c r="K311" s="8">
        <v>0.99039999999999995</v>
      </c>
      <c r="L311" s="8">
        <v>7.5074599999999994E-5</v>
      </c>
      <c r="M311" s="8">
        <v>1.7444000000000001E-5</v>
      </c>
      <c r="N311" s="10">
        <v>1190</v>
      </c>
      <c r="O311" s="10">
        <v>130</v>
      </c>
      <c r="P311" s="8">
        <v>0.43977093206951035</v>
      </c>
      <c r="Q311" s="8">
        <v>103.16990306392795</v>
      </c>
      <c r="S311" s="8" t="s">
        <v>109</v>
      </c>
    </row>
    <row r="312" spans="1:19" s="8" customFormat="1">
      <c r="A312" s="8" t="s">
        <v>566</v>
      </c>
      <c r="B312" s="8" t="s">
        <v>563</v>
      </c>
      <c r="C312" s="8">
        <v>2.1080000000000001</v>
      </c>
      <c r="D312" s="8">
        <v>0.1062</v>
      </c>
      <c r="E312" s="8">
        <v>5.4794520547945202</v>
      </c>
      <c r="F312" s="8">
        <v>0.27160067554888351</v>
      </c>
      <c r="G312" s="9">
        <f t="shared" si="8"/>
        <v>1080.6178332567354</v>
      </c>
      <c r="H312" s="9">
        <f t="shared" si="9"/>
        <v>53.563117367892772</v>
      </c>
      <c r="I312" s="8">
        <v>8.3760000000000001E-2</v>
      </c>
      <c r="J312" s="8">
        <v>5.6119999999999998E-4</v>
      </c>
      <c r="K312" s="8">
        <v>0.99109999999999998</v>
      </c>
      <c r="L312" s="8">
        <v>4.10923E-5</v>
      </c>
      <c r="M312" s="8">
        <v>1.0086E-5</v>
      </c>
      <c r="N312" s="10">
        <v>1069</v>
      </c>
      <c r="O312" s="10">
        <v>100</v>
      </c>
      <c r="P312" s="8">
        <v>0.41893759873617697</v>
      </c>
      <c r="Q312" s="8">
        <v>98.120499953246267</v>
      </c>
      <c r="S312" s="8" t="s">
        <v>110</v>
      </c>
    </row>
    <row r="313" spans="1:19" s="8" customFormat="1">
      <c r="A313" s="8" t="s">
        <v>575</v>
      </c>
      <c r="B313" s="8" t="s">
        <v>564</v>
      </c>
      <c r="C313" s="8">
        <v>1.7739999999999999E-2</v>
      </c>
      <c r="D313" s="8">
        <v>2.5170000000000001E-3</v>
      </c>
      <c r="E313" s="8">
        <v>1887.8610534264676</v>
      </c>
      <c r="F313" s="8">
        <v>105.99393567850319</v>
      </c>
      <c r="G313" s="9">
        <f t="shared" si="8"/>
        <v>3.4137615373198225</v>
      </c>
      <c r="H313" s="9">
        <f t="shared" si="9"/>
        <v>0.19166559962222296</v>
      </c>
      <c r="I313" s="8">
        <v>0.2429</v>
      </c>
      <c r="J313" s="8">
        <v>2.8639999999999999E-2</v>
      </c>
      <c r="K313" s="8">
        <v>0.5887</v>
      </c>
      <c r="L313" s="8">
        <v>2.2718200000000001E-2</v>
      </c>
      <c r="M313" s="8">
        <v>4.7292000000000002E-3</v>
      </c>
      <c r="N313" s="10">
        <v>2.56</v>
      </c>
      <c r="O313" s="10">
        <v>0.39</v>
      </c>
      <c r="P313" s="8">
        <v>2.0823459715639814E-2</v>
      </c>
      <c r="Q313" s="8">
        <v>60.867125892217054</v>
      </c>
      <c r="S313" s="8" t="s">
        <v>162</v>
      </c>
    </row>
  </sheetData>
  <sheetCalcPr fullCalcOnLoad="1"/>
  <phoneticPr fontId="8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SpotModeSamples</vt:lpstr>
      <vt:lpstr>DepthProfilesUPbAge</vt:lpstr>
      <vt:lpstr>0621ConcentrationDepthProfile</vt:lpstr>
      <vt:lpstr>03118ConcentrationDepthProfile</vt:lpstr>
      <vt:lpstr>08010ConcentrationDepthProfile</vt:lpstr>
      <vt:lpstr>AdditionalSamplesNotinText</vt:lpstr>
    </vt:vector>
  </TitlesOfParts>
  <Company/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Alexander Zirakparvar</dc:creator>
  <cp:lastModifiedBy>N. Alexander Zirakparvar</cp:lastModifiedBy>
  <dcterms:created xsi:type="dcterms:W3CDTF">2011-02-10T20:20:38Z</dcterms:created>
  <dcterms:modified xsi:type="dcterms:W3CDTF">2011-10-27T16:13:03Z</dcterms:modified>
</cp:coreProperties>
</file>