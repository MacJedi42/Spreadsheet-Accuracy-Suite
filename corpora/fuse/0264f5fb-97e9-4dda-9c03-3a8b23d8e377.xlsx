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60" windowWidth="11340" windowHeight="6030"/>
  </bookViews>
  <sheets>
    <sheet name="Instructions" sheetId="5" r:id="rId1"/>
    <sheet name="TOT Report Page 1" sheetId="2" r:id="rId2"/>
    <sheet name="Page 2" sheetId="11" r:id="rId3"/>
    <sheet name="Page 3" sheetId="18" r:id="rId4"/>
    <sheet name="Page 4" sheetId="19" r:id="rId5"/>
    <sheet name="Page 5" sheetId="20" r:id="rId6"/>
    <sheet name="Sheet1" sheetId="21" r:id="rId7"/>
  </sheets>
  <definedNames>
    <definedName name="_xlnm.Print_Titles" localSheetId="0">Instructions!$1:$3</definedName>
  </definedNames>
  <calcPr calcId="125725"/>
</workbook>
</file>

<file path=xl/calcChain.xml><?xml version="1.0" encoding="utf-8"?>
<calcChain xmlns="http://schemas.openxmlformats.org/spreadsheetml/2006/main">
  <c r="K48" i="11"/>
  <c r="J48"/>
  <c r="K48" i="18"/>
  <c r="J48"/>
  <c r="K48" i="19"/>
  <c r="J48"/>
  <c r="K48" i="20"/>
  <c r="J48"/>
  <c r="K44" i="11"/>
  <c r="J44"/>
  <c r="K44" i="18"/>
  <c r="J44"/>
  <c r="K44" i="19"/>
  <c r="J44"/>
  <c r="K44" i="20"/>
  <c r="J44"/>
  <c r="K40" i="11"/>
  <c r="J40"/>
  <c r="K40" i="18"/>
  <c r="J40"/>
  <c r="K40" i="19"/>
  <c r="J40"/>
  <c r="K40" i="20"/>
  <c r="J40"/>
  <c r="K36" i="11"/>
  <c r="J36"/>
  <c r="K36" i="18"/>
  <c r="J36"/>
  <c r="K36" i="19"/>
  <c r="J36"/>
  <c r="K36" i="20"/>
  <c r="J36"/>
  <c r="K32" i="11"/>
  <c r="J32"/>
  <c r="K32" i="18"/>
  <c r="J32"/>
  <c r="K32" i="19"/>
  <c r="J32"/>
  <c r="K32" i="20"/>
  <c r="J32"/>
  <c r="K28" i="11"/>
  <c r="J28"/>
  <c r="K28" i="18"/>
  <c r="J28"/>
  <c r="K28" i="19"/>
  <c r="J28"/>
  <c r="K28" i="20"/>
  <c r="J28"/>
  <c r="K24" i="11"/>
  <c r="J24"/>
  <c r="K24" i="18"/>
  <c r="J24"/>
  <c r="K24" i="19"/>
  <c r="J24"/>
  <c r="K24" i="20"/>
  <c r="J24"/>
  <c r="K20" i="11"/>
  <c r="J20"/>
  <c r="K20" i="18"/>
  <c r="J20"/>
  <c r="K20" i="19"/>
  <c r="J20"/>
  <c r="K20" i="20"/>
  <c r="J20"/>
  <c r="K16" i="11"/>
  <c r="J16"/>
  <c r="K16" i="18"/>
  <c r="J16"/>
  <c r="K16" i="19"/>
  <c r="J16"/>
  <c r="K16" i="20"/>
  <c r="J16"/>
  <c r="K12" i="11"/>
  <c r="J12"/>
  <c r="K12" i="18"/>
  <c r="J12"/>
  <c r="K12" i="19"/>
  <c r="J12"/>
  <c r="K12" i="20"/>
  <c r="J12"/>
  <c r="K8" i="11"/>
  <c r="J8"/>
  <c r="K8" i="18"/>
  <c r="J8"/>
  <c r="K8" i="19"/>
  <c r="J8"/>
  <c r="K8" i="20"/>
  <c r="J8"/>
  <c r="K4" i="11"/>
  <c r="J4"/>
  <c r="K4" i="18"/>
  <c r="K50" s="1"/>
  <c r="J4"/>
  <c r="K4" i="19"/>
  <c r="J4"/>
  <c r="K4" i="20"/>
  <c r="K50" s="1"/>
  <c r="J4"/>
  <c r="K40" i="2"/>
  <c r="J40"/>
  <c r="K36"/>
  <c r="J36"/>
  <c r="K32"/>
  <c r="J32"/>
  <c r="K28"/>
  <c r="K43" s="1"/>
  <c r="J28"/>
  <c r="J43" s="1"/>
  <c r="G2" i="20"/>
  <c r="I2" s="1"/>
  <c r="L2" s="1"/>
  <c r="G3"/>
  <c r="I3"/>
  <c r="L3" s="1"/>
  <c r="E4"/>
  <c r="E50" s="1"/>
  <c r="F4"/>
  <c r="G4"/>
  <c r="I4" s="1"/>
  <c r="L4" s="1"/>
  <c r="M4"/>
  <c r="N4"/>
  <c r="G6"/>
  <c r="I6" s="1"/>
  <c r="L6" s="1"/>
  <c r="G7"/>
  <c r="I7"/>
  <c r="L7" s="1"/>
  <c r="E8"/>
  <c r="F8"/>
  <c r="G8"/>
  <c r="I8" s="1"/>
  <c r="L8" s="1"/>
  <c r="M8"/>
  <c r="N8"/>
  <c r="N50" s="1"/>
  <c r="G10"/>
  <c r="I10"/>
  <c r="L10" s="1"/>
  <c r="G11"/>
  <c r="I11" s="1"/>
  <c r="L11" s="1"/>
  <c r="E12"/>
  <c r="F12"/>
  <c r="G12" s="1"/>
  <c r="I12" s="1"/>
  <c r="L12" s="1"/>
  <c r="L50" s="1"/>
  <c r="M17" i="2" s="1"/>
  <c r="M12" i="20"/>
  <c r="N12"/>
  <c r="G14"/>
  <c r="I14" s="1"/>
  <c r="L14" s="1"/>
  <c r="G15"/>
  <c r="I15"/>
  <c r="L15" s="1"/>
  <c r="E16"/>
  <c r="F16"/>
  <c r="G16"/>
  <c r="I16" s="1"/>
  <c r="L16" s="1"/>
  <c r="M16"/>
  <c r="N16"/>
  <c r="G18"/>
  <c r="I18"/>
  <c r="L18" s="1"/>
  <c r="G19"/>
  <c r="I19" s="1"/>
  <c r="L19" s="1"/>
  <c r="E20"/>
  <c r="F20"/>
  <c r="G20" s="1"/>
  <c r="I20" s="1"/>
  <c r="L20" s="1"/>
  <c r="M20"/>
  <c r="N20"/>
  <c r="G22"/>
  <c r="I22" s="1"/>
  <c r="L22" s="1"/>
  <c r="G23"/>
  <c r="I23"/>
  <c r="L23" s="1"/>
  <c r="E24"/>
  <c r="F24"/>
  <c r="G24"/>
  <c r="I24" s="1"/>
  <c r="L24" s="1"/>
  <c r="M24"/>
  <c r="N24"/>
  <c r="G26"/>
  <c r="I26"/>
  <c r="L26" s="1"/>
  <c r="G27"/>
  <c r="I27" s="1"/>
  <c r="L27" s="1"/>
  <c r="E28"/>
  <c r="F28"/>
  <c r="G28" s="1"/>
  <c r="I28" s="1"/>
  <c r="L28" s="1"/>
  <c r="M28"/>
  <c r="N28"/>
  <c r="G30"/>
  <c r="I30" s="1"/>
  <c r="L30" s="1"/>
  <c r="G31"/>
  <c r="I31"/>
  <c r="L31" s="1"/>
  <c r="E32"/>
  <c r="F32"/>
  <c r="G32"/>
  <c r="I32" s="1"/>
  <c r="L32" s="1"/>
  <c r="M32"/>
  <c r="N32"/>
  <c r="G34"/>
  <c r="I34"/>
  <c r="L34" s="1"/>
  <c r="G35"/>
  <c r="I35" s="1"/>
  <c r="L35" s="1"/>
  <c r="E36"/>
  <c r="F36"/>
  <c r="G36" s="1"/>
  <c r="I36" s="1"/>
  <c r="L36" s="1"/>
  <c r="M36"/>
  <c r="N36"/>
  <c r="G38"/>
  <c r="I38" s="1"/>
  <c r="L38" s="1"/>
  <c r="G39"/>
  <c r="I39"/>
  <c r="L39" s="1"/>
  <c r="E40"/>
  <c r="F40"/>
  <c r="G40"/>
  <c r="I40" s="1"/>
  <c r="L40" s="1"/>
  <c r="M40"/>
  <c r="N40"/>
  <c r="G42"/>
  <c r="I42"/>
  <c r="L42" s="1"/>
  <c r="G43"/>
  <c r="I43" s="1"/>
  <c r="L43" s="1"/>
  <c r="E44"/>
  <c r="F44"/>
  <c r="G44" s="1"/>
  <c r="I44" s="1"/>
  <c r="L44" s="1"/>
  <c r="M44"/>
  <c r="N44"/>
  <c r="G46"/>
  <c r="I46" s="1"/>
  <c r="L46" s="1"/>
  <c r="G47"/>
  <c r="I47"/>
  <c r="L47" s="1"/>
  <c r="E48"/>
  <c r="F48"/>
  <c r="G48"/>
  <c r="I48" s="1"/>
  <c r="L48" s="1"/>
  <c r="M48"/>
  <c r="N48"/>
  <c r="F50"/>
  <c r="J50"/>
  <c r="M50"/>
  <c r="D51"/>
  <c r="F51"/>
  <c r="J51"/>
  <c r="G2" i="19"/>
  <c r="I2"/>
  <c r="L2" s="1"/>
  <c r="G3"/>
  <c r="I3" s="1"/>
  <c r="L3" s="1"/>
  <c r="E4"/>
  <c r="F4"/>
  <c r="G4" s="1"/>
  <c r="I4" s="1"/>
  <c r="M4"/>
  <c r="M50" s="1"/>
  <c r="N4"/>
  <c r="G6"/>
  <c r="I6" s="1"/>
  <c r="L6" s="1"/>
  <c r="G7"/>
  <c r="I7"/>
  <c r="L7" s="1"/>
  <c r="E8"/>
  <c r="E50" s="1"/>
  <c r="F8"/>
  <c r="G8"/>
  <c r="I8" s="1"/>
  <c r="L8" s="1"/>
  <c r="M8"/>
  <c r="N8"/>
  <c r="G10"/>
  <c r="I10"/>
  <c r="L10" s="1"/>
  <c r="G11"/>
  <c r="I11" s="1"/>
  <c r="L11" s="1"/>
  <c r="E12"/>
  <c r="F12"/>
  <c r="G12" s="1"/>
  <c r="I12" s="1"/>
  <c r="L12" s="1"/>
  <c r="M12"/>
  <c r="N12"/>
  <c r="G14"/>
  <c r="I14" s="1"/>
  <c r="L14" s="1"/>
  <c r="G15"/>
  <c r="I15"/>
  <c r="L15" s="1"/>
  <c r="E16"/>
  <c r="F16"/>
  <c r="G16"/>
  <c r="I16" s="1"/>
  <c r="L16" s="1"/>
  <c r="M16"/>
  <c r="N16"/>
  <c r="G18"/>
  <c r="I18"/>
  <c r="L18" s="1"/>
  <c r="G19"/>
  <c r="I19" s="1"/>
  <c r="L19" s="1"/>
  <c r="E20"/>
  <c r="F20"/>
  <c r="G20" s="1"/>
  <c r="I20" s="1"/>
  <c r="L20" s="1"/>
  <c r="M20"/>
  <c r="N20"/>
  <c r="G22"/>
  <c r="I22" s="1"/>
  <c r="L22" s="1"/>
  <c r="G23"/>
  <c r="I23"/>
  <c r="L23" s="1"/>
  <c r="E24"/>
  <c r="F24"/>
  <c r="G24"/>
  <c r="I24" s="1"/>
  <c r="L24" s="1"/>
  <c r="M24"/>
  <c r="N24"/>
  <c r="G26"/>
  <c r="I26"/>
  <c r="L26" s="1"/>
  <c r="G27"/>
  <c r="I27" s="1"/>
  <c r="L27" s="1"/>
  <c r="E28"/>
  <c r="F28"/>
  <c r="G28" s="1"/>
  <c r="I28" s="1"/>
  <c r="L28" s="1"/>
  <c r="M28"/>
  <c r="N28"/>
  <c r="G30"/>
  <c r="I30" s="1"/>
  <c r="L30" s="1"/>
  <c r="G31"/>
  <c r="I31"/>
  <c r="L31" s="1"/>
  <c r="E32"/>
  <c r="F32"/>
  <c r="G32"/>
  <c r="I32" s="1"/>
  <c r="L32" s="1"/>
  <c r="M32"/>
  <c r="N32"/>
  <c r="G34"/>
  <c r="I34"/>
  <c r="L34" s="1"/>
  <c r="G35"/>
  <c r="I35" s="1"/>
  <c r="L35" s="1"/>
  <c r="E36"/>
  <c r="F36"/>
  <c r="G36" s="1"/>
  <c r="I36" s="1"/>
  <c r="L36" s="1"/>
  <c r="M36"/>
  <c r="N36"/>
  <c r="G38"/>
  <c r="I38" s="1"/>
  <c r="L38" s="1"/>
  <c r="G39"/>
  <c r="I39"/>
  <c r="L39" s="1"/>
  <c r="E40"/>
  <c r="F40"/>
  <c r="G40"/>
  <c r="I40" s="1"/>
  <c r="L40" s="1"/>
  <c r="M40"/>
  <c r="N40"/>
  <c r="G42"/>
  <c r="I42"/>
  <c r="L42" s="1"/>
  <c r="G43"/>
  <c r="I43" s="1"/>
  <c r="L43" s="1"/>
  <c r="E44"/>
  <c r="F44"/>
  <c r="G44" s="1"/>
  <c r="I44" s="1"/>
  <c r="L44" s="1"/>
  <c r="M44"/>
  <c r="N44"/>
  <c r="G46"/>
  <c r="I46" s="1"/>
  <c r="L46" s="1"/>
  <c r="G47"/>
  <c r="I47"/>
  <c r="L47" s="1"/>
  <c r="E48"/>
  <c r="F48"/>
  <c r="G48"/>
  <c r="I48" s="1"/>
  <c r="L48" s="1"/>
  <c r="M48"/>
  <c r="N48"/>
  <c r="F50"/>
  <c r="J50"/>
  <c r="K50"/>
  <c r="N50"/>
  <c r="D51"/>
  <c r="F51"/>
  <c r="J51"/>
  <c r="G2" i="18"/>
  <c r="I2" s="1"/>
  <c r="L2" s="1"/>
  <c r="G3"/>
  <c r="I3"/>
  <c r="L3" s="1"/>
  <c r="E4"/>
  <c r="F4"/>
  <c r="G4"/>
  <c r="M4"/>
  <c r="M50" s="1"/>
  <c r="N4"/>
  <c r="G6"/>
  <c r="I6" s="1"/>
  <c r="L6" s="1"/>
  <c r="G7"/>
  <c r="I7"/>
  <c r="L7" s="1"/>
  <c r="E8"/>
  <c r="F8"/>
  <c r="G8"/>
  <c r="I8" s="1"/>
  <c r="L8" s="1"/>
  <c r="M8"/>
  <c r="N8"/>
  <c r="G10"/>
  <c r="I10"/>
  <c r="L10" s="1"/>
  <c r="G11"/>
  <c r="I11" s="1"/>
  <c r="L11" s="1"/>
  <c r="E12"/>
  <c r="F12"/>
  <c r="G12" s="1"/>
  <c r="I12"/>
  <c r="L12" s="1"/>
  <c r="M12"/>
  <c r="N12"/>
  <c r="G14"/>
  <c r="I14" s="1"/>
  <c r="L14"/>
  <c r="G15"/>
  <c r="I15"/>
  <c r="L15" s="1"/>
  <c r="E16"/>
  <c r="F16"/>
  <c r="G16"/>
  <c r="I16" s="1"/>
  <c r="L16"/>
  <c r="M16"/>
  <c r="N16"/>
  <c r="G18"/>
  <c r="I18"/>
  <c r="L18" s="1"/>
  <c r="G19"/>
  <c r="I19" s="1"/>
  <c r="L19"/>
  <c r="E20"/>
  <c r="F20"/>
  <c r="G20" s="1"/>
  <c r="I20" s="1"/>
  <c r="L20" s="1"/>
  <c r="M20"/>
  <c r="N20"/>
  <c r="G22"/>
  <c r="I22" s="1"/>
  <c r="L22" s="1"/>
  <c r="G23"/>
  <c r="I23"/>
  <c r="L23" s="1"/>
  <c r="E24"/>
  <c r="F24"/>
  <c r="G24"/>
  <c r="I24" s="1"/>
  <c r="L24" s="1"/>
  <c r="M24"/>
  <c r="N24"/>
  <c r="G26"/>
  <c r="I26"/>
  <c r="L26" s="1"/>
  <c r="G27"/>
  <c r="I27" s="1"/>
  <c r="L27" s="1"/>
  <c r="E28"/>
  <c r="F28"/>
  <c r="G28" s="1"/>
  <c r="I28"/>
  <c r="L28" s="1"/>
  <c r="M28"/>
  <c r="N28"/>
  <c r="G30"/>
  <c r="I30" s="1"/>
  <c r="L30"/>
  <c r="G31"/>
  <c r="I31"/>
  <c r="L31" s="1"/>
  <c r="E32"/>
  <c r="F32"/>
  <c r="G32"/>
  <c r="I32" s="1"/>
  <c r="L32"/>
  <c r="M32"/>
  <c r="N32"/>
  <c r="G34"/>
  <c r="I34"/>
  <c r="L34" s="1"/>
  <c r="G35"/>
  <c r="I35" s="1"/>
  <c r="L35"/>
  <c r="E36"/>
  <c r="F36"/>
  <c r="G36" s="1"/>
  <c r="I36" s="1"/>
  <c r="L36" s="1"/>
  <c r="M36"/>
  <c r="N36"/>
  <c r="G38"/>
  <c r="I38" s="1"/>
  <c r="L38" s="1"/>
  <c r="G39"/>
  <c r="I39"/>
  <c r="L39" s="1"/>
  <c r="E40"/>
  <c r="F40"/>
  <c r="G40"/>
  <c r="I40" s="1"/>
  <c r="L40" s="1"/>
  <c r="M40"/>
  <c r="N40"/>
  <c r="G42"/>
  <c r="I42"/>
  <c r="L42" s="1"/>
  <c r="G43"/>
  <c r="I43" s="1"/>
  <c r="L43" s="1"/>
  <c r="E44"/>
  <c r="F44"/>
  <c r="G44" s="1"/>
  <c r="I44"/>
  <c r="L44" s="1"/>
  <c r="M44"/>
  <c r="N44"/>
  <c r="G46"/>
  <c r="I46" s="1"/>
  <c r="L46"/>
  <c r="G47"/>
  <c r="I47"/>
  <c r="L47" s="1"/>
  <c r="E48"/>
  <c r="F48"/>
  <c r="G48"/>
  <c r="I48" s="1"/>
  <c r="L48"/>
  <c r="M48"/>
  <c r="N48"/>
  <c r="J50"/>
  <c r="D51"/>
  <c r="F51"/>
  <c r="J51"/>
  <c r="J50" i="11"/>
  <c r="K50"/>
  <c r="N48"/>
  <c r="M48"/>
  <c r="E48"/>
  <c r="F48"/>
  <c r="G48" s="1"/>
  <c r="I48" s="1"/>
  <c r="L48" s="1"/>
  <c r="G47"/>
  <c r="I47" s="1"/>
  <c r="L47" s="1"/>
  <c r="G46"/>
  <c r="I46"/>
  <c r="L46" s="1"/>
  <c r="N44"/>
  <c r="M44"/>
  <c r="E44"/>
  <c r="F44"/>
  <c r="G44"/>
  <c r="I44" s="1"/>
  <c r="L44" s="1"/>
  <c r="G43"/>
  <c r="I43"/>
  <c r="L43" s="1"/>
  <c r="G42"/>
  <c r="I42" s="1"/>
  <c r="L42" s="1"/>
  <c r="N40"/>
  <c r="M40"/>
  <c r="E40"/>
  <c r="F40"/>
  <c r="G40" s="1"/>
  <c r="I40"/>
  <c r="L40" s="1"/>
  <c r="G39"/>
  <c r="I39" s="1"/>
  <c r="L39"/>
  <c r="G38"/>
  <c r="I38"/>
  <c r="L38" s="1"/>
  <c r="N4"/>
  <c r="N8"/>
  <c r="N12"/>
  <c r="N16"/>
  <c r="N20"/>
  <c r="N24"/>
  <c r="N28"/>
  <c r="N32"/>
  <c r="N36"/>
  <c r="M4"/>
  <c r="M50" s="1"/>
  <c r="M8"/>
  <c r="M12"/>
  <c r="M16"/>
  <c r="M20"/>
  <c r="M24"/>
  <c r="M28"/>
  <c r="M32"/>
  <c r="M36"/>
  <c r="E4"/>
  <c r="F4"/>
  <c r="E8"/>
  <c r="F8"/>
  <c r="G8"/>
  <c r="I8" s="1"/>
  <c r="L8" s="1"/>
  <c r="E12"/>
  <c r="F12"/>
  <c r="G12" s="1"/>
  <c r="I12"/>
  <c r="L12" s="1"/>
  <c r="E16"/>
  <c r="F16"/>
  <c r="G16"/>
  <c r="I16" s="1"/>
  <c r="L16"/>
  <c r="E20"/>
  <c r="F20"/>
  <c r="G20" s="1"/>
  <c r="I20" s="1"/>
  <c r="L20" s="1"/>
  <c r="E24"/>
  <c r="F24"/>
  <c r="G24"/>
  <c r="I24" s="1"/>
  <c r="L24" s="1"/>
  <c r="E28"/>
  <c r="F28"/>
  <c r="G28" s="1"/>
  <c r="I28"/>
  <c r="L28" s="1"/>
  <c r="E32"/>
  <c r="F32"/>
  <c r="G32"/>
  <c r="I32" s="1"/>
  <c r="L32"/>
  <c r="E36"/>
  <c r="F36"/>
  <c r="G36" s="1"/>
  <c r="I36" s="1"/>
  <c r="L36" s="1"/>
  <c r="E28" i="2"/>
  <c r="F28"/>
  <c r="G28"/>
  <c r="E32"/>
  <c r="F32"/>
  <c r="G32"/>
  <c r="I32" s="1"/>
  <c r="L32"/>
  <c r="E36"/>
  <c r="F36"/>
  <c r="G36" s="1"/>
  <c r="I36" s="1"/>
  <c r="L36" s="1"/>
  <c r="E40"/>
  <c r="G40" s="1"/>
  <c r="I40" s="1"/>
  <c r="L40" s="1"/>
  <c r="F40"/>
  <c r="G35" i="11"/>
  <c r="I35" s="1"/>
  <c r="L35" s="1"/>
  <c r="G34"/>
  <c r="I34"/>
  <c r="L34" s="1"/>
  <c r="G31"/>
  <c r="I31" s="1"/>
  <c r="L31" s="1"/>
  <c r="G30"/>
  <c r="I30"/>
  <c r="L30" s="1"/>
  <c r="G27"/>
  <c r="I27" s="1"/>
  <c r="L27" s="1"/>
  <c r="G26"/>
  <c r="I26"/>
  <c r="L26" s="1"/>
  <c r="G23"/>
  <c r="I23" s="1"/>
  <c r="L23" s="1"/>
  <c r="G22"/>
  <c r="I22"/>
  <c r="L22" s="1"/>
  <c r="G19"/>
  <c r="I19" s="1"/>
  <c r="L19" s="1"/>
  <c r="G18"/>
  <c r="I18"/>
  <c r="L18" s="1"/>
  <c r="G15"/>
  <c r="I15" s="1"/>
  <c r="L15" s="1"/>
  <c r="G14"/>
  <c r="I14"/>
  <c r="L14" s="1"/>
  <c r="G11"/>
  <c r="I11" s="1"/>
  <c r="L11" s="1"/>
  <c r="G10"/>
  <c r="I10"/>
  <c r="L10" s="1"/>
  <c r="G7"/>
  <c r="I7" s="1"/>
  <c r="L7" s="1"/>
  <c r="G6"/>
  <c r="I6"/>
  <c r="L6" s="1"/>
  <c r="G3"/>
  <c r="I3" s="1"/>
  <c r="L3" s="1"/>
  <c r="G2"/>
  <c r="I2"/>
  <c r="L2" s="1"/>
  <c r="N28" i="2"/>
  <c r="N43" s="1"/>
  <c r="N32"/>
  <c r="N36"/>
  <c r="N40"/>
  <c r="M28"/>
  <c r="M32"/>
  <c r="M36"/>
  <c r="M40"/>
  <c r="G39"/>
  <c r="I39" s="1"/>
  <c r="L39" s="1"/>
  <c r="G38"/>
  <c r="I38"/>
  <c r="L38" s="1"/>
  <c r="G35"/>
  <c r="I35" s="1"/>
  <c r="L35" s="1"/>
  <c r="G34"/>
  <c r="I34"/>
  <c r="L34" s="1"/>
  <c r="G31"/>
  <c r="I31" s="1"/>
  <c r="L31" s="1"/>
  <c r="G30"/>
  <c r="I30"/>
  <c r="L30" s="1"/>
  <c r="G26"/>
  <c r="I26" s="1"/>
  <c r="L26" s="1"/>
  <c r="G27"/>
  <c r="I27"/>
  <c r="L27" s="1"/>
  <c r="J51" i="11"/>
  <c r="F51"/>
  <c r="D51"/>
  <c r="F43" i="2"/>
  <c r="I50" i="20"/>
  <c r="L4" i="19"/>
  <c r="L50" s="1"/>
  <c r="M16" i="2" s="1"/>
  <c r="I28" l="1"/>
  <c r="G43"/>
  <c r="E50" i="11"/>
  <c r="G4"/>
  <c r="I4" i="18"/>
  <c r="G50"/>
  <c r="M43" i="2"/>
  <c r="E43"/>
  <c r="F50" i="11"/>
  <c r="G50" i="19"/>
  <c r="N50" i="11"/>
  <c r="F50" i="18"/>
  <c r="N50"/>
  <c r="E50"/>
  <c r="I50" i="19"/>
  <c r="G50" i="20"/>
  <c r="L4" i="18" l="1"/>
  <c r="L50" s="1"/>
  <c r="M15" i="2" s="1"/>
  <c r="I50" i="18"/>
  <c r="L28" i="2"/>
  <c r="L43" s="1"/>
  <c r="M13" s="1"/>
  <c r="I43"/>
  <c r="G50" i="11"/>
  <c r="I4"/>
  <c r="I50" l="1"/>
  <c r="L4"/>
  <c r="L50" s="1"/>
  <c r="M14" i="2" s="1"/>
  <c r="M18"/>
</calcChain>
</file>

<file path=xl/sharedStrings.xml><?xml version="1.0" encoding="utf-8"?>
<sst xmlns="http://schemas.openxmlformats.org/spreadsheetml/2006/main" count="324" uniqueCount="107">
  <si>
    <t>CERT #</t>
  </si>
  <si>
    <t>ACCOUNT#</t>
  </si>
  <si>
    <t>GROSS RENTAL INCOME</t>
  </si>
  <si>
    <t>TAXABLE RECEIPTS</t>
  </si>
  <si>
    <t>EXEMPT AMOUNT</t>
  </si>
  <si>
    <t>TAX RATE (%)</t>
  </si>
  <si>
    <t>AMOUNT OF TAX DUE</t>
  </si>
  <si>
    <t>PENALTY</t>
  </si>
  <si>
    <t>INTEREST</t>
  </si>
  <si>
    <t>TOTAL AMOUNT DUE</t>
  </si>
  <si>
    <t>DAYS AVAILABLE</t>
  </si>
  <si>
    <t xml:space="preserve">PLACER COUNTY TRANSIENT OCCUPANCY TAX </t>
  </si>
  <si>
    <t>REPORTING INSTRUCTIONS FOR PROPERTY MANAGEMENT COMPANIES</t>
  </si>
  <si>
    <t>Company Name</t>
  </si>
  <si>
    <t>GENERAL INFORMATION:</t>
  </si>
  <si>
    <t>All columns, with the exception of the penalty and interest, must be completed for each certificate. The penalty and interest is to be completed for late filings.</t>
  </si>
  <si>
    <t>TAXABLE RECEIPTS:</t>
  </si>
  <si>
    <t>CERT # :</t>
  </si>
  <si>
    <t>ACCOUNT # :</t>
  </si>
  <si>
    <t>GROSS RENTAL INCOME:</t>
  </si>
  <si>
    <t>EXEMPT AMOUNT:</t>
  </si>
  <si>
    <t>TAX RATE:</t>
  </si>
  <si>
    <t>AMOUNT OF TAX DUE:</t>
  </si>
  <si>
    <t>PENALTY:</t>
  </si>
  <si>
    <t>INTEREST:</t>
  </si>
  <si>
    <t>TOTAL AMOUNT DUE:</t>
  </si>
  <si>
    <t>DAYS AVAILABLE:</t>
  </si>
  <si>
    <t>DAYS OCCUPIED:</t>
  </si>
  <si>
    <t>DAYS OCCUPIED</t>
  </si>
  <si>
    <t xml:space="preserve">Enter the tax rate for the rental property - either 8 or 10. </t>
  </si>
  <si>
    <t>If paid within 30 days after the delinquent date add 10% of the tax due amount. If paid more than 30 days after the delinquent date add 20% of the tax due amount.</t>
  </si>
  <si>
    <t>In addition to above penalty, add 1.5% per month, or fraction thereof, of the tax due amount.</t>
  </si>
  <si>
    <t>ADDITIONAL INFORMATION:</t>
  </si>
  <si>
    <t>CHANGE OF ADDRESS OR OWNERSHIP:</t>
  </si>
  <si>
    <t>Must be reported immediately to Revenue Services.</t>
  </si>
  <si>
    <t>PLACER COUNTY TRANSIENT OCCUPANCY TAX IS DUE IMMEDIATELY FOLLOWING THE CLOSE OF THE REPORTING PERIOD. PENALTY AND INTEREST ARE DUE FOR DELINQUENT FILINGS. THE DELINQUENCY DATE IS THE LAST DAY OF THE MONTH FOLLOWING THE CLOSE OF THE REPORTING PERIOD.</t>
  </si>
  <si>
    <t>Enter the certificate number assigned to each parcel number.</t>
  </si>
  <si>
    <t>IF RENTAL PROPERTY IS DISCONTINUED:</t>
  </si>
  <si>
    <t>IF RENTAL PROPERTY IS ADDED:</t>
  </si>
  <si>
    <t>An application for a Transient Occupancy Tax Certificate must be submitted.</t>
  </si>
  <si>
    <t>EXAMPLE:  Rental property has 10 units available to rent.</t>
  </si>
  <si>
    <t>Day 2  -  10 units were occupied.</t>
  </si>
  <si>
    <t>Day 3  -    7 units were occupied.</t>
  </si>
  <si>
    <t>Day 1  -    5 units occupied.</t>
  </si>
  <si>
    <t>Total of unit/days occupied = 22</t>
  </si>
  <si>
    <t>Continue this method through the end of the reporting period. The unit/days occupied will then be the arithmetical total of  the number of units occupied each day.</t>
  </si>
  <si>
    <t>SPREADSHEET INSTRUCTIONS:</t>
  </si>
  <si>
    <t>(Sec.4.16.090 of the Transient Occupancy Tax Code)</t>
  </si>
  <si>
    <t>Property Management Information:</t>
  </si>
  <si>
    <t>Address</t>
  </si>
  <si>
    <t xml:space="preserve">Phone  </t>
  </si>
  <si>
    <t>Contact</t>
  </si>
  <si>
    <t>Fax</t>
  </si>
  <si>
    <t>County of Placer</t>
  </si>
  <si>
    <t>Transient Occupancy Tax</t>
  </si>
  <si>
    <t>Authorization</t>
  </si>
  <si>
    <t>Signature:</t>
  </si>
  <si>
    <t>Print Name:</t>
  </si>
  <si>
    <t>Title:</t>
  </si>
  <si>
    <t>Reporting Period:</t>
  </si>
  <si>
    <t>mm-dd-yy</t>
  </si>
  <si>
    <t xml:space="preserve">to </t>
  </si>
  <si>
    <t>Page 2</t>
  </si>
  <si>
    <t>Page 1</t>
  </si>
  <si>
    <t>Page 3</t>
  </si>
  <si>
    <t>Page 4</t>
  </si>
  <si>
    <t>Page 5</t>
  </si>
  <si>
    <t>Amount</t>
  </si>
  <si>
    <t xml:space="preserve">Report period </t>
  </si>
  <si>
    <t>Total Due</t>
  </si>
  <si>
    <t>City, State, Zip</t>
  </si>
  <si>
    <t>Property Management Companies must complete their business information at the top of the form.  The Authorization section must be completed and signed.</t>
  </si>
  <si>
    <t>NOTE: When any unit is occupied more than 1 time each day, then the actual number of times occupied is to be recorded and counted as a separate occupancy.</t>
  </si>
  <si>
    <t>The holder of the certificate must remit the final return and payment immediately to Revenue Services. The certificate must be returned for cancellation with a request to close the certificate. A request form is available on our web site at www.placer.ca.gov Transient Occupancy Tax.</t>
  </si>
  <si>
    <r>
      <t xml:space="preserve">The reporting spreadsheet may be filled out electronically using Microsoft Excel or you may print out the form and complete it manually.  To access spreadsheet click on the </t>
    </r>
    <r>
      <rPr>
        <sz val="10"/>
        <color indexed="12"/>
        <rFont val="Arial"/>
        <family val="2"/>
      </rPr>
      <t>BLUE</t>
    </r>
    <r>
      <rPr>
        <sz val="10"/>
        <rFont val="Arial"/>
      </rPr>
      <t xml:space="preserve"> "TOT Report Page 1" below.</t>
    </r>
  </si>
  <si>
    <t>Date __________</t>
  </si>
  <si>
    <r>
      <t xml:space="preserve">Remit check payable to </t>
    </r>
    <r>
      <rPr>
        <b/>
        <sz val="10"/>
        <rFont val="Arial"/>
        <family val="2"/>
      </rPr>
      <t xml:space="preserve">Placer County Revenue Services </t>
    </r>
    <r>
      <rPr>
        <sz val="10"/>
        <rFont val="Arial"/>
      </rPr>
      <t>and send with this report to:</t>
    </r>
  </si>
  <si>
    <t>REPORTINGS</t>
  </si>
  <si>
    <t>DIFFERENCE</t>
  </si>
  <si>
    <t>PREVIOUS</t>
  </si>
  <si>
    <t>**AMENDED**</t>
  </si>
  <si>
    <t>AMENDED</t>
  </si>
  <si>
    <t>Enter the AMENDED amount of any exemption on the first row. Enter the PREVIOUSLY REPORTED amount on the second row.</t>
  </si>
  <si>
    <t>Enter the amount of taxable income - gross rental income less the exempt amount. AMENDED on the top row and PREVIOUS REPORTING on the second row.  **If working in Excel, this column is formulated and will automatically calculate the taxable receipts based on the gross rental income and exempt amounts entered.</t>
  </si>
  <si>
    <t>Enter the amount of taxable receipts multiplied by the tax rate. AMENDED on the top row and PREVIOUS REPORTING on the second row.  **If using this spreadsheet in Excel, it will calculate automatically based on the amounts entered in the corresponding columns.</t>
  </si>
  <si>
    <t>If amended processing results in a credit balance, a refund will be processed.</t>
  </si>
  <si>
    <t>PROPERTY MANAGEMENT SPREADSHEET FOR AMENDING PREVIOUS REPORTING</t>
  </si>
  <si>
    <t>AMENDED TOTALS page 1</t>
  </si>
  <si>
    <t>AMENDED TOTALS page 2</t>
  </si>
  <si>
    <t>***AMENDED***</t>
  </si>
  <si>
    <t>***AMENDED***                                               ***AMENDED***                                              ***AMENDED***</t>
  </si>
  <si>
    <t>AMENDED TOTALS page 3</t>
  </si>
  <si>
    <t>AMENDED TOTALS page 4</t>
  </si>
  <si>
    <t>AMENDED TOTALS page 5</t>
  </si>
  <si>
    <t>The dates for the reporting period must be listed. If amending more than one period, a separate worksheet must be used for each period.</t>
  </si>
  <si>
    <t>Enter the AMENDED amount (what should have been reported) of rental income on the top row. Enter the PREVIOUSLY REPORTED amount of rental income on the second row.</t>
  </si>
  <si>
    <t>Enter the amount owed, or overpaid for the account listed. If working in Excel, the figures will be calculated.</t>
  </si>
  <si>
    <t>***This form is to report changes to previously reported Transient Occupancy Tax. ***</t>
  </si>
  <si>
    <t>Enter the number of rental units/days available in the reporting period. AMENDED on the top row and PREVIOUS REPORTING on the second row. This number is derived by multiplying the number of units available for rent times the number of days in the reporting period. (i.e. 10 units x 92 days = 920 unit/days available.)</t>
  </si>
  <si>
    <t>Enter the number of unit/days occupied in the reporting period. AMENDED on the top row and PREVIOUS REPORTING on the second row. This number requires an auditable record of the number of units actually rented each day during the reporting period.</t>
  </si>
  <si>
    <t>If completing this spreadsheet electronically, the taxable receipts, amount of tax due and total amount due will automatically calculate based on the amounts entered in the other columns.  If completing the spreadsheet manually, please enter these calculations.</t>
  </si>
  <si>
    <t xml:space="preserve">Enter the total of the tax due plus any penalty and interest. AMENDED on the top row and PREVIOUS REPORTING on the second row. **If using this spreadsheet in Excel, it will calculate automatically based on the amounts entered. </t>
  </si>
  <si>
    <t>Enter the Revenue Services Account Number. This will be listed on the spreadsheet that was sent with the certificates.</t>
  </si>
  <si>
    <t>Placer County Administrative Services Department - Revenue Services Division, 10810 Justice Center Drive Ste. 100, Roseville, CA 95678</t>
  </si>
  <si>
    <t>REASON FOR AMENDMENT: (Please provide supporting documentation.)</t>
  </si>
  <si>
    <t>By signing this form under the penalty of perjury, I certify that I am authorized to complete this information.  This information reported is accurate based on the Transient Occupancy Tax collected by the Property Management Company named on the certificates listed below.</t>
  </si>
  <si>
    <t>Remittance address: Placer County Revenue Services, 10810 Justice Center Dr. Ste. 100, Roseville, CA 95678</t>
  </si>
</sst>
</file>

<file path=xl/styles.xml><?xml version="1.0" encoding="utf-8"?>
<styleSheet xmlns="http://schemas.openxmlformats.org/spreadsheetml/2006/main">
  <numFmts count="2">
    <numFmt numFmtId="8" formatCode="&quot;$&quot;#,##0.00_);[Red]\(&quot;$&quot;#,##0.00\)"/>
    <numFmt numFmtId="164" formatCode="&quot;$&quot;#,##0.00"/>
  </numFmts>
  <fonts count="19">
    <font>
      <sz val="10"/>
      <name val="Arial"/>
    </font>
    <font>
      <sz val="10"/>
      <name val="Arial"/>
    </font>
    <font>
      <sz val="8"/>
      <name val="Arial"/>
      <family val="2"/>
    </font>
    <font>
      <sz val="9"/>
      <name val="Arial"/>
      <family val="2"/>
    </font>
    <font>
      <b/>
      <sz val="9"/>
      <name val="Arial"/>
      <family val="2"/>
    </font>
    <font>
      <sz val="14"/>
      <name val="Arial"/>
      <family val="2"/>
    </font>
    <font>
      <sz val="10"/>
      <name val="Arial"/>
      <family val="2"/>
    </font>
    <font>
      <sz val="12"/>
      <name val="Arial"/>
      <family val="2"/>
    </font>
    <font>
      <u/>
      <sz val="9"/>
      <name val="Arial"/>
      <family val="2"/>
    </font>
    <font>
      <sz val="9"/>
      <name val="Arial"/>
      <family val="2"/>
    </font>
    <font>
      <b/>
      <sz val="11"/>
      <name val="Arial"/>
      <family val="2"/>
    </font>
    <font>
      <b/>
      <u/>
      <sz val="11"/>
      <name val="Arial"/>
      <family val="2"/>
    </font>
    <font>
      <b/>
      <sz val="12"/>
      <name val="Arial"/>
      <family val="2"/>
    </font>
    <font>
      <b/>
      <sz val="10"/>
      <name val="Arial"/>
      <family val="2"/>
    </font>
    <font>
      <sz val="12"/>
      <name val="Arial"/>
      <family val="2"/>
    </font>
    <font>
      <sz val="10"/>
      <color indexed="12"/>
      <name val="Arial"/>
      <family val="2"/>
    </font>
    <font>
      <b/>
      <sz val="12"/>
      <color indexed="10"/>
      <name val="Arial"/>
      <family val="2"/>
    </font>
    <font>
      <sz val="10"/>
      <color indexed="10"/>
      <name val="Arial"/>
      <family val="2"/>
    </font>
    <font>
      <b/>
      <sz val="10"/>
      <color rgb="FFFF0000"/>
      <name val="Arial"/>
      <family val="2"/>
    </font>
  </fonts>
  <fills count="4">
    <fill>
      <patternFill patternType="none"/>
    </fill>
    <fill>
      <patternFill patternType="gray125"/>
    </fill>
    <fill>
      <patternFill patternType="solid">
        <fgColor indexed="22"/>
        <bgColor indexed="64"/>
      </patternFill>
    </fill>
    <fill>
      <patternFill patternType="solid">
        <fgColor indexed="13"/>
        <bgColor indexed="64"/>
      </patternFill>
    </fill>
  </fills>
  <borders count="45">
    <border>
      <left/>
      <right/>
      <top/>
      <bottom/>
      <diagonal/>
    </border>
    <border>
      <left/>
      <right/>
      <top/>
      <bottom style="double">
        <color indexed="64"/>
      </bottom>
      <diagonal/>
    </border>
    <border>
      <left style="hair">
        <color indexed="64"/>
      </left>
      <right style="hair">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diagonal/>
    </border>
    <border>
      <left/>
      <right style="hair">
        <color indexed="64"/>
      </right>
      <top style="hair">
        <color indexed="64"/>
      </top>
      <bottom/>
      <diagonal/>
    </border>
    <border>
      <left style="thin">
        <color indexed="64"/>
      </left>
      <right/>
      <top/>
      <bottom style="thin">
        <color indexed="64"/>
      </bottom>
      <diagonal/>
    </border>
    <border>
      <left/>
      <right style="hair">
        <color indexed="64"/>
      </right>
      <top/>
      <bottom style="thin">
        <color indexed="64"/>
      </bottom>
      <diagonal/>
    </border>
    <border>
      <left/>
      <right/>
      <top style="hair">
        <color indexed="64"/>
      </top>
      <bottom style="hair">
        <color indexed="64"/>
      </bottom>
      <diagonal/>
    </border>
    <border>
      <left/>
      <right/>
      <top style="hair">
        <color indexed="64"/>
      </top>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hair">
        <color indexed="64"/>
      </top>
      <bottom style="hair">
        <color indexed="64"/>
      </bottom>
      <diagonal/>
    </border>
  </borders>
  <cellStyleXfs count="1">
    <xf numFmtId="0" fontId="0" fillId="0" borderId="0"/>
  </cellStyleXfs>
  <cellXfs count="210">
    <xf numFmtId="0" fontId="0" fillId="0" borderId="0" xfId="0"/>
    <xf numFmtId="0" fontId="3" fillId="0" borderId="0" xfId="0" applyFont="1" applyAlignment="1">
      <alignment wrapText="1"/>
    </xf>
    <xf numFmtId="0" fontId="0" fillId="0" borderId="0" xfId="0" applyAlignment="1">
      <alignment wrapText="1"/>
    </xf>
    <xf numFmtId="0" fontId="0" fillId="0" borderId="0" xfId="0" applyAlignment="1">
      <alignment horizontal="center"/>
    </xf>
    <xf numFmtId="0" fontId="3" fillId="0" borderId="0" xfId="0" applyFont="1" applyAlignment="1">
      <alignment horizontal="center"/>
    </xf>
    <xf numFmtId="0" fontId="3" fillId="0" borderId="0" xfId="0" applyFont="1" applyAlignment="1">
      <alignment horizontal="left" wrapText="1"/>
    </xf>
    <xf numFmtId="0" fontId="0" fillId="0" borderId="0" xfId="0" applyAlignment="1">
      <alignment vertical="top" wrapText="1"/>
    </xf>
    <xf numFmtId="0" fontId="0" fillId="0" borderId="1" xfId="0" applyBorder="1" applyAlignment="1">
      <alignment vertical="top" wrapText="1"/>
    </xf>
    <xf numFmtId="0" fontId="3" fillId="0" borderId="1" xfId="0" applyFont="1" applyBorder="1" applyAlignment="1">
      <alignment wrapText="1"/>
    </xf>
    <xf numFmtId="0" fontId="3" fillId="0" borderId="0" xfId="0" applyFont="1" applyBorder="1" applyAlignment="1">
      <alignment wrapText="1"/>
    </xf>
    <xf numFmtId="0" fontId="0" fillId="0" borderId="0" xfId="0" applyAlignment="1">
      <alignment vertical="center" wrapText="1"/>
    </xf>
    <xf numFmtId="0" fontId="0" fillId="0" borderId="0" xfId="0" applyBorder="1" applyAlignment="1">
      <alignment vertical="center" wrapText="1"/>
    </xf>
    <xf numFmtId="0" fontId="3" fillId="0" borderId="0" xfId="0" applyFont="1" applyAlignment="1">
      <alignment horizontal="left" wrapText="1" indent="9"/>
    </xf>
    <xf numFmtId="0" fontId="8" fillId="0" borderId="0" xfId="0" applyFont="1" applyAlignment="1">
      <alignment horizontal="left" wrapText="1" indent="9"/>
    </xf>
    <xf numFmtId="4" fontId="3" fillId="0" borderId="2" xfId="0" applyNumberFormat="1" applyFont="1" applyBorder="1" applyProtection="1">
      <protection locked="0"/>
    </xf>
    <xf numFmtId="4" fontId="3" fillId="0" borderId="2" xfId="0" applyNumberFormat="1" applyFont="1" applyBorder="1" applyProtection="1"/>
    <xf numFmtId="0" fontId="3" fillId="0" borderId="0" xfId="0" applyFont="1" applyProtection="1">
      <protection locked="0"/>
    </xf>
    <xf numFmtId="0" fontId="12" fillId="0" borderId="0" xfId="0" applyFont="1" applyFill="1" applyBorder="1" applyAlignment="1" applyProtection="1">
      <alignment horizontal="center" vertical="center"/>
      <protection locked="0"/>
    </xf>
    <xf numFmtId="0" fontId="3" fillId="0" borderId="0" xfId="0" applyFont="1" applyFill="1" applyBorder="1" applyProtection="1">
      <protection locked="0"/>
    </xf>
    <xf numFmtId="0" fontId="6" fillId="0" borderId="3" xfId="0" applyFont="1" applyFill="1" applyBorder="1" applyAlignment="1" applyProtection="1">
      <alignment vertical="center"/>
      <protection locked="0"/>
    </xf>
    <xf numFmtId="0" fontId="6" fillId="0" borderId="4" xfId="0" applyFont="1" applyFill="1" applyBorder="1" applyAlignment="1" applyProtection="1">
      <alignment vertical="center"/>
      <protection locked="0"/>
    </xf>
    <xf numFmtId="0" fontId="6" fillId="0" borderId="3" xfId="0" applyFont="1" applyFill="1" applyBorder="1" applyAlignment="1" applyProtection="1">
      <alignment vertical="center" wrapText="1"/>
      <protection locked="0"/>
    </xf>
    <xf numFmtId="0" fontId="6" fillId="0" borderId="5" xfId="0" applyFont="1" applyFill="1" applyBorder="1" applyAlignment="1" applyProtection="1">
      <alignment vertical="center" wrapText="1"/>
      <protection locked="0"/>
    </xf>
    <xf numFmtId="0" fontId="5" fillId="0" borderId="0" xfId="0" applyFont="1" applyBorder="1" applyAlignment="1" applyProtection="1">
      <alignment vertical="center"/>
      <protection locked="0"/>
    </xf>
    <xf numFmtId="0" fontId="6" fillId="0" borderId="6" xfId="0" applyFont="1" applyFill="1" applyBorder="1" applyAlignment="1" applyProtection="1">
      <alignment vertical="center"/>
      <protection locked="0"/>
    </xf>
    <xf numFmtId="0" fontId="7" fillId="0" borderId="0" xfId="0" applyFont="1" applyBorder="1" applyAlignment="1" applyProtection="1">
      <alignment vertical="center"/>
      <protection locked="0"/>
    </xf>
    <xf numFmtId="0" fontId="7" fillId="0" borderId="0" xfId="0" applyFont="1" applyProtection="1">
      <protection locked="0"/>
    </xf>
    <xf numFmtId="0" fontId="7" fillId="0" borderId="7" xfId="0" applyFont="1" applyBorder="1" applyProtection="1">
      <protection locked="0"/>
    </xf>
    <xf numFmtId="0" fontId="2" fillId="0" borderId="0" xfId="0" applyFont="1" applyBorder="1" applyAlignment="1" applyProtection="1">
      <alignment horizontal="center" vertical="center"/>
      <protection locked="0"/>
    </xf>
    <xf numFmtId="0" fontId="1" fillId="0" borderId="0" xfId="0" applyFont="1" applyBorder="1" applyAlignment="1" applyProtection="1">
      <alignment horizontal="right"/>
      <protection locked="0"/>
    </xf>
    <xf numFmtId="0" fontId="7" fillId="0" borderId="0" xfId="0" applyFont="1" applyBorder="1" applyAlignment="1" applyProtection="1">
      <alignment horizontal="left" vertical="center"/>
      <protection locked="0"/>
    </xf>
    <xf numFmtId="0" fontId="7" fillId="0" borderId="0" xfId="0" applyFont="1" applyBorder="1" applyAlignment="1" applyProtection="1">
      <alignment horizontal="center" vertical="center"/>
      <protection locked="0"/>
    </xf>
    <xf numFmtId="0" fontId="7" fillId="0" borderId="8" xfId="0" applyFont="1" applyBorder="1" applyAlignment="1" applyProtection="1">
      <alignment horizontal="center" vertical="center"/>
      <protection locked="0"/>
    </xf>
    <xf numFmtId="0" fontId="1" fillId="0" borderId="7" xfId="0" applyFont="1" applyBorder="1" applyAlignment="1" applyProtection="1">
      <protection locked="0"/>
    </xf>
    <xf numFmtId="0" fontId="1" fillId="0" borderId="0" xfId="0" applyFont="1" applyBorder="1" applyAlignment="1" applyProtection="1">
      <alignment horizontal="center" vertical="top"/>
      <protection locked="0"/>
    </xf>
    <xf numFmtId="0" fontId="1" fillId="0" borderId="0" xfId="0" applyFont="1" applyBorder="1" applyAlignment="1" applyProtection="1">
      <alignment horizontal="center" vertical="center"/>
      <protection locked="0"/>
    </xf>
    <xf numFmtId="0" fontId="1" fillId="0" borderId="0" xfId="0" applyFont="1" applyBorder="1" applyAlignment="1" applyProtection="1">
      <alignment horizontal="right" vertical="center"/>
      <protection locked="0"/>
    </xf>
    <xf numFmtId="14" fontId="1" fillId="2" borderId="9" xfId="0" applyNumberFormat="1" applyFont="1" applyFill="1" applyBorder="1" applyAlignment="1" applyProtection="1">
      <alignment horizontal="right"/>
      <protection locked="0"/>
    </xf>
    <xf numFmtId="14" fontId="1" fillId="2" borderId="9" xfId="0" applyNumberFormat="1" applyFont="1" applyFill="1" applyBorder="1" applyAlignment="1" applyProtection="1">
      <alignment vertical="center"/>
      <protection locked="0"/>
    </xf>
    <xf numFmtId="0" fontId="7" fillId="0" borderId="10"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3" fillId="0" borderId="12" xfId="0" applyFont="1" applyBorder="1" applyAlignment="1" applyProtection="1">
      <alignment horizontal="center" wrapText="1"/>
      <protection locked="0"/>
    </xf>
    <xf numFmtId="0" fontId="3" fillId="0" borderId="9" xfId="0" applyFont="1" applyBorder="1" applyAlignment="1" applyProtection="1">
      <alignment horizontal="center" wrapText="1"/>
      <protection locked="0"/>
    </xf>
    <xf numFmtId="4" fontId="3" fillId="0" borderId="9" xfId="0" applyNumberFormat="1" applyFont="1" applyBorder="1" applyAlignment="1" applyProtection="1">
      <alignment horizontal="center" wrapText="1"/>
      <protection locked="0"/>
    </xf>
    <xf numFmtId="0" fontId="3" fillId="0" borderId="0" xfId="0" applyFont="1" applyAlignment="1" applyProtection="1">
      <alignment wrapText="1"/>
      <protection locked="0"/>
    </xf>
    <xf numFmtId="0" fontId="3" fillId="0" borderId="13" xfId="0" applyFont="1" applyBorder="1" applyAlignment="1" applyProtection="1">
      <alignment horizontal="center"/>
      <protection locked="0"/>
    </xf>
    <xf numFmtId="0" fontId="3" fillId="0" borderId="14" xfId="0" applyFont="1" applyBorder="1" applyAlignment="1" applyProtection="1">
      <alignment horizontal="center"/>
      <protection locked="0"/>
    </xf>
    <xf numFmtId="0" fontId="3" fillId="0" borderId="2" xfId="0" applyFont="1" applyBorder="1" applyAlignment="1" applyProtection="1">
      <alignment horizontal="center"/>
      <protection locked="0"/>
    </xf>
    <xf numFmtId="9" fontId="3" fillId="0" borderId="2" xfId="0" applyNumberFormat="1" applyFont="1" applyBorder="1" applyProtection="1">
      <protection locked="0"/>
    </xf>
    <xf numFmtId="0" fontId="3" fillId="0" borderId="2" xfId="0" applyFont="1" applyBorder="1" applyProtection="1">
      <protection locked="0"/>
    </xf>
    <xf numFmtId="0" fontId="3" fillId="0" borderId="15" xfId="0" applyFont="1" applyBorder="1" applyProtection="1">
      <protection locked="0"/>
    </xf>
    <xf numFmtId="0" fontId="3" fillId="0" borderId="16" xfId="0" applyFont="1" applyBorder="1" applyProtection="1">
      <protection locked="0"/>
    </xf>
    <xf numFmtId="4" fontId="3" fillId="0" borderId="0" xfId="0" applyNumberFormat="1" applyFont="1" applyProtection="1">
      <protection locked="0"/>
    </xf>
    <xf numFmtId="4" fontId="3" fillId="0" borderId="16" xfId="0" applyNumberFormat="1" applyFont="1" applyBorder="1" applyProtection="1"/>
    <xf numFmtId="164" fontId="4" fillId="0" borderId="9" xfId="0" applyNumberFormat="1" applyFont="1" applyBorder="1" applyProtection="1"/>
    <xf numFmtId="0" fontId="0" fillId="0" borderId="0" xfId="0" applyProtection="1">
      <protection locked="0"/>
    </xf>
    <xf numFmtId="0" fontId="0" fillId="0" borderId="0" xfId="0" applyProtection="1"/>
    <xf numFmtId="14" fontId="1" fillId="2" borderId="9" xfId="0" applyNumberFormat="1" applyFont="1" applyFill="1" applyBorder="1" applyAlignment="1" applyProtection="1">
      <alignment horizontal="right"/>
    </xf>
    <xf numFmtId="0" fontId="1" fillId="0" borderId="0" xfId="0" applyFont="1" applyBorder="1" applyAlignment="1" applyProtection="1">
      <alignment horizontal="center" vertical="center"/>
    </xf>
    <xf numFmtId="14" fontId="1" fillId="2" borderId="9" xfId="0" applyNumberFormat="1" applyFont="1" applyFill="1" applyBorder="1" applyAlignment="1" applyProtection="1">
      <alignment vertical="center"/>
    </xf>
    <xf numFmtId="0" fontId="13" fillId="0" borderId="0" xfId="0" applyFont="1" applyProtection="1"/>
    <xf numFmtId="0" fontId="2" fillId="0" borderId="7" xfId="0" applyFont="1" applyBorder="1" applyAlignment="1" applyProtection="1">
      <protection locked="0"/>
    </xf>
    <xf numFmtId="8" fontId="7" fillId="0" borderId="17" xfId="0" applyNumberFormat="1" applyFont="1" applyBorder="1" applyAlignment="1" applyProtection="1">
      <alignment horizontal="right" vertical="center"/>
    </xf>
    <xf numFmtId="8" fontId="7" fillId="0" borderId="18" xfId="0" applyNumberFormat="1" applyFont="1" applyBorder="1" applyAlignment="1" applyProtection="1">
      <alignment horizontal="right" vertical="center"/>
    </xf>
    <xf numFmtId="8" fontId="7" fillId="0" borderId="19" xfId="0" applyNumberFormat="1" applyFont="1" applyBorder="1" applyAlignment="1" applyProtection="1">
      <alignment horizontal="right" vertical="center"/>
    </xf>
    <xf numFmtId="0" fontId="1" fillId="0" borderId="7" xfId="0" applyFont="1" applyBorder="1" applyProtection="1">
      <protection locked="0"/>
    </xf>
    <xf numFmtId="0" fontId="3" fillId="0" borderId="7" xfId="0" applyFont="1" applyBorder="1" applyAlignment="1" applyProtection="1">
      <alignment horizontal="center"/>
      <protection locked="0"/>
    </xf>
    <xf numFmtId="0" fontId="7" fillId="0" borderId="0" xfId="0" applyFont="1" applyAlignment="1" applyProtection="1">
      <alignment wrapText="1"/>
      <protection locked="0"/>
    </xf>
    <xf numFmtId="0" fontId="1" fillId="0" borderId="0" xfId="0" applyFont="1" applyBorder="1" applyAlignment="1" applyProtection="1">
      <alignment horizontal="center" vertical="top" wrapText="1"/>
      <protection locked="0"/>
    </xf>
    <xf numFmtId="0" fontId="3" fillId="0" borderId="2" xfId="0" applyFont="1" applyBorder="1" applyAlignment="1" applyProtection="1">
      <alignment horizontal="center" wrapText="1"/>
      <protection locked="0"/>
    </xf>
    <xf numFmtId="0" fontId="3" fillId="0" borderId="16" xfId="0" applyFont="1" applyBorder="1" applyAlignment="1" applyProtection="1">
      <alignment wrapText="1"/>
      <protection locked="0"/>
    </xf>
    <xf numFmtId="0" fontId="6" fillId="0" borderId="0" xfId="0" applyFont="1" applyFill="1" applyBorder="1" applyAlignment="1" applyProtection="1">
      <alignment horizontal="right" vertical="center" wrapText="1"/>
      <protection locked="0"/>
    </xf>
    <xf numFmtId="0" fontId="3" fillId="0" borderId="20" xfId="0" applyFont="1" applyBorder="1" applyAlignment="1" applyProtection="1">
      <alignment horizontal="center"/>
      <protection locked="0"/>
    </xf>
    <xf numFmtId="0" fontId="3" fillId="0" borderId="21" xfId="0" applyFont="1" applyBorder="1" applyAlignment="1" applyProtection="1">
      <alignment horizontal="center"/>
      <protection locked="0"/>
    </xf>
    <xf numFmtId="0" fontId="3" fillId="0" borderId="0" xfId="0" applyFont="1" applyBorder="1" applyAlignment="1" applyProtection="1">
      <alignment horizontal="center"/>
      <protection locked="0"/>
    </xf>
    <xf numFmtId="4" fontId="3" fillId="0" borderId="21" xfId="0" applyNumberFormat="1" applyFont="1" applyBorder="1" applyProtection="1">
      <protection locked="0"/>
    </xf>
    <xf numFmtId="4" fontId="3" fillId="0" borderId="21" xfId="0" applyNumberFormat="1" applyFont="1" applyBorder="1" applyProtection="1"/>
    <xf numFmtId="4" fontId="3" fillId="0" borderId="22" xfId="0" applyNumberFormat="1" applyFont="1" applyBorder="1" applyProtection="1">
      <protection locked="0"/>
    </xf>
    <xf numFmtId="4" fontId="3" fillId="0" borderId="22" xfId="0" applyNumberFormat="1" applyFont="1" applyBorder="1" applyProtection="1"/>
    <xf numFmtId="0" fontId="3" fillId="0" borderId="21" xfId="0" applyFont="1" applyBorder="1" applyAlignment="1" applyProtection="1">
      <alignment horizontal="center" wrapText="1"/>
      <protection locked="0"/>
    </xf>
    <xf numFmtId="9" fontId="3" fillId="0" borderId="21" xfId="0" applyNumberFormat="1" applyFont="1" applyBorder="1" applyProtection="1">
      <protection locked="0"/>
    </xf>
    <xf numFmtId="0" fontId="3" fillId="0" borderId="21" xfId="0" applyFont="1" applyBorder="1" applyProtection="1">
      <protection locked="0"/>
    </xf>
    <xf numFmtId="0" fontId="3" fillId="0" borderId="23" xfId="0" applyFont="1" applyBorder="1" applyProtection="1">
      <protection locked="0"/>
    </xf>
    <xf numFmtId="0" fontId="3" fillId="0" borderId="0" xfId="0" applyFont="1" applyBorder="1" applyAlignment="1" applyProtection="1">
      <alignment horizontal="center" wrapText="1"/>
      <protection locked="0"/>
    </xf>
    <xf numFmtId="4" fontId="3" fillId="0" borderId="0" xfId="0" applyNumberFormat="1" applyFont="1" applyBorder="1" applyProtection="1">
      <protection locked="0"/>
    </xf>
    <xf numFmtId="4" fontId="3" fillId="0" borderId="0" xfId="0" applyNumberFormat="1" applyFont="1" applyBorder="1" applyProtection="1"/>
    <xf numFmtId="9" fontId="3" fillId="0" borderId="0" xfId="0" applyNumberFormat="1" applyFont="1" applyBorder="1" applyProtection="1">
      <protection locked="0"/>
    </xf>
    <xf numFmtId="0" fontId="3" fillId="0" borderId="0" xfId="0" applyFont="1" applyBorder="1" applyProtection="1">
      <protection locked="0"/>
    </xf>
    <xf numFmtId="0" fontId="3" fillId="0" borderId="22" xfId="0" applyFont="1" applyBorder="1" applyAlignment="1" applyProtection="1">
      <alignment horizontal="center" wrapText="1"/>
      <protection locked="0"/>
    </xf>
    <xf numFmtId="9" fontId="3" fillId="0" borderId="22" xfId="0" applyNumberFormat="1" applyFont="1" applyBorder="1" applyProtection="1">
      <protection locked="0"/>
    </xf>
    <xf numFmtId="0" fontId="3" fillId="0" borderId="22" xfId="0" applyFont="1" applyBorder="1" applyProtection="1">
      <protection locked="0"/>
    </xf>
    <xf numFmtId="0" fontId="3" fillId="0" borderId="24" xfId="0" applyFont="1" applyBorder="1" applyProtection="1">
      <protection locked="0"/>
    </xf>
    <xf numFmtId="0" fontId="3" fillId="0" borderId="10" xfId="0" applyFont="1" applyBorder="1" applyAlignment="1" applyProtection="1">
      <alignment horizontal="center"/>
      <protection locked="0"/>
    </xf>
    <xf numFmtId="0" fontId="3" fillId="0" borderId="25" xfId="0" applyFont="1" applyBorder="1" applyAlignment="1" applyProtection="1">
      <alignment horizontal="center"/>
      <protection locked="0"/>
    </xf>
    <xf numFmtId="0" fontId="3" fillId="0" borderId="26" xfId="0" applyFont="1" applyBorder="1" applyAlignment="1" applyProtection="1">
      <alignment horizontal="center"/>
      <protection locked="0"/>
    </xf>
    <xf numFmtId="0" fontId="3" fillId="0" borderId="27" xfId="0" applyFont="1" applyBorder="1" applyAlignment="1" applyProtection="1">
      <alignment horizontal="center"/>
      <protection locked="0"/>
    </xf>
    <xf numFmtId="0" fontId="3" fillId="0" borderId="28" xfId="0" applyFont="1" applyBorder="1" applyAlignment="1" applyProtection="1">
      <alignment horizontal="center"/>
      <protection locked="0"/>
    </xf>
    <xf numFmtId="0" fontId="3" fillId="0" borderId="29" xfId="0" applyFont="1" applyBorder="1" applyAlignment="1" applyProtection="1">
      <alignment horizontal="center"/>
      <protection locked="0"/>
    </xf>
    <xf numFmtId="0" fontId="3" fillId="0" borderId="29" xfId="0" applyFont="1" applyBorder="1" applyAlignment="1" applyProtection="1">
      <alignment horizontal="center" wrapText="1"/>
      <protection locked="0"/>
    </xf>
    <xf numFmtId="4" fontId="3" fillId="0" borderId="29" xfId="0" applyNumberFormat="1" applyFont="1" applyBorder="1" applyProtection="1">
      <protection locked="0"/>
    </xf>
    <xf numFmtId="4" fontId="3" fillId="0" borderId="29" xfId="0" applyNumberFormat="1" applyFont="1" applyBorder="1" applyProtection="1"/>
    <xf numFmtId="9" fontId="3" fillId="0" borderId="29" xfId="0" applyNumberFormat="1" applyFont="1" applyBorder="1" applyProtection="1">
      <protection locked="0"/>
    </xf>
    <xf numFmtId="0" fontId="3" fillId="0" borderId="29" xfId="0" applyFont="1" applyBorder="1" applyProtection="1">
      <protection locked="0"/>
    </xf>
    <xf numFmtId="0" fontId="3" fillId="0" borderId="30" xfId="0" applyFont="1" applyBorder="1" applyAlignment="1" applyProtection="1">
      <alignment horizontal="center"/>
      <protection locked="0"/>
    </xf>
    <xf numFmtId="0" fontId="3" fillId="0" borderId="30" xfId="0" applyFont="1" applyBorder="1" applyAlignment="1" applyProtection="1">
      <alignment horizontal="center" wrapText="1"/>
      <protection locked="0"/>
    </xf>
    <xf numFmtId="4" fontId="3" fillId="0" borderId="30" xfId="0" applyNumberFormat="1" applyFont="1" applyBorder="1" applyProtection="1">
      <protection locked="0"/>
    </xf>
    <xf numFmtId="4" fontId="3" fillId="0" borderId="30" xfId="0" applyNumberFormat="1" applyFont="1" applyBorder="1" applyProtection="1"/>
    <xf numFmtId="9" fontId="3" fillId="0" borderId="30" xfId="0" applyNumberFormat="1" applyFont="1" applyBorder="1" applyProtection="1">
      <protection locked="0"/>
    </xf>
    <xf numFmtId="0" fontId="3" fillId="0" borderId="30" xfId="0" applyFont="1" applyBorder="1" applyProtection="1">
      <protection locked="0"/>
    </xf>
    <xf numFmtId="0" fontId="3" fillId="0" borderId="10" xfId="0" applyFont="1" applyBorder="1" applyAlignment="1">
      <alignment wrapText="1"/>
    </xf>
    <xf numFmtId="0" fontId="3" fillId="0" borderId="16" xfId="0" applyFont="1" applyBorder="1" applyAlignment="1">
      <alignment wrapText="1"/>
    </xf>
    <xf numFmtId="0" fontId="9" fillId="0" borderId="10" xfId="0" applyFont="1" applyBorder="1" applyAlignment="1">
      <alignment wrapText="1"/>
    </xf>
    <xf numFmtId="0" fontId="3" fillId="0" borderId="31" xfId="0" applyFont="1" applyBorder="1" applyAlignment="1" applyProtection="1">
      <alignment horizontal="center" wrapText="1"/>
      <protection locked="0"/>
    </xf>
    <xf numFmtId="4" fontId="3" fillId="0" borderId="31" xfId="0" applyNumberFormat="1" applyFont="1" applyBorder="1" applyProtection="1">
      <protection locked="0"/>
    </xf>
    <xf numFmtId="4" fontId="3" fillId="0" borderId="31" xfId="0" applyNumberFormat="1" applyFont="1" applyBorder="1" applyProtection="1"/>
    <xf numFmtId="9" fontId="3" fillId="0" borderId="31" xfId="0" applyNumberFormat="1" applyFont="1" applyBorder="1" applyProtection="1">
      <protection locked="0"/>
    </xf>
    <xf numFmtId="0" fontId="3" fillId="0" borderId="31" xfId="0" applyFont="1" applyBorder="1" applyProtection="1">
      <protection locked="0"/>
    </xf>
    <xf numFmtId="0" fontId="3" fillId="0" borderId="32" xfId="0" applyFont="1" applyBorder="1" applyProtection="1">
      <protection locked="0"/>
    </xf>
    <xf numFmtId="0" fontId="4" fillId="0" borderId="33" xfId="0" applyFont="1" applyBorder="1" applyAlignment="1" applyProtection="1">
      <alignment horizontal="right"/>
      <protection locked="0"/>
    </xf>
    <xf numFmtId="0" fontId="7" fillId="0" borderId="34" xfId="0" applyFont="1" applyBorder="1" applyAlignment="1" applyProtection="1">
      <alignment horizontal="center" vertical="center"/>
      <protection locked="0"/>
    </xf>
    <xf numFmtId="0" fontId="3" fillId="0" borderId="16" xfId="0" applyNumberFormat="1" applyFont="1" applyBorder="1" applyProtection="1"/>
    <xf numFmtId="0" fontId="3" fillId="0" borderId="35" xfId="0" applyNumberFormat="1" applyFont="1" applyBorder="1" applyProtection="1"/>
    <xf numFmtId="0" fontId="3" fillId="0" borderId="16" xfId="0" applyFont="1" applyBorder="1" applyAlignment="1" applyProtection="1">
      <alignment horizontal="center"/>
      <protection locked="0"/>
    </xf>
    <xf numFmtId="4" fontId="3" fillId="0" borderId="16" xfId="0" applyNumberFormat="1" applyFont="1" applyBorder="1" applyProtection="1">
      <protection locked="0"/>
    </xf>
    <xf numFmtId="9" fontId="3" fillId="0" borderId="16" xfId="0" applyNumberFormat="1" applyFont="1" applyBorder="1" applyProtection="1">
      <protection locked="0"/>
    </xf>
    <xf numFmtId="0" fontId="3" fillId="0" borderId="16" xfId="0" applyFont="1" applyBorder="1" applyAlignment="1" applyProtection="1">
      <alignment horizontal="center" wrapText="1"/>
      <protection locked="0"/>
    </xf>
    <xf numFmtId="0" fontId="4" fillId="0" borderId="33" xfId="0" applyFont="1" applyBorder="1" applyAlignment="1" applyProtection="1">
      <alignment horizontal="left"/>
      <protection locked="0"/>
    </xf>
    <xf numFmtId="4" fontId="3" fillId="0" borderId="10" xfId="0" applyNumberFormat="1" applyFont="1" applyBorder="1" applyProtection="1">
      <protection locked="0"/>
    </xf>
    <xf numFmtId="4" fontId="3" fillId="0" borderId="10" xfId="0" applyNumberFormat="1" applyFont="1" applyBorder="1" applyProtection="1"/>
    <xf numFmtId="9" fontId="3" fillId="0" borderId="10" xfId="0" applyNumberFormat="1" applyFont="1" applyBorder="1" applyProtection="1">
      <protection locked="0"/>
    </xf>
    <xf numFmtId="0" fontId="3" fillId="0" borderId="10" xfId="0" applyFont="1" applyBorder="1" applyProtection="1">
      <protection locked="0"/>
    </xf>
    <xf numFmtId="164" fontId="9" fillId="0" borderId="9" xfId="0" applyNumberFormat="1" applyFont="1" applyBorder="1" applyProtection="1"/>
    <xf numFmtId="0" fontId="17" fillId="0" borderId="0" xfId="0" applyFont="1" applyProtection="1"/>
    <xf numFmtId="0" fontId="1" fillId="0" borderId="27" xfId="0" applyFont="1" applyBorder="1" applyAlignment="1" applyProtection="1">
      <protection locked="0"/>
    </xf>
    <xf numFmtId="0" fontId="7" fillId="0" borderId="10" xfId="0" applyFont="1" applyBorder="1" applyProtection="1">
      <protection locked="0"/>
    </xf>
    <xf numFmtId="0" fontId="7" fillId="0" borderId="10" xfId="0" applyFont="1" applyBorder="1" applyAlignment="1" applyProtection="1">
      <alignment wrapText="1"/>
      <protection locked="0"/>
    </xf>
    <xf numFmtId="0" fontId="1" fillId="0" borderId="10" xfId="0" applyFont="1" applyBorder="1" applyAlignment="1" applyProtection="1">
      <alignment horizontal="center" vertical="top"/>
      <protection locked="0"/>
    </xf>
    <xf numFmtId="0" fontId="1" fillId="0" borderId="10"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1" fillId="0" borderId="10" xfId="0" applyFont="1" applyBorder="1" applyAlignment="1" applyProtection="1">
      <alignment horizontal="right"/>
      <protection locked="0"/>
    </xf>
    <xf numFmtId="0" fontId="1" fillId="0" borderId="33" xfId="0" applyFont="1" applyBorder="1" applyAlignment="1" applyProtection="1">
      <protection locked="0"/>
    </xf>
    <xf numFmtId="0" fontId="7" fillId="0" borderId="16" xfId="0" applyFont="1" applyBorder="1" applyProtection="1">
      <protection locked="0"/>
    </xf>
    <xf numFmtId="0" fontId="7" fillId="0" borderId="16" xfId="0" applyFont="1" applyBorder="1" applyAlignment="1" applyProtection="1">
      <alignment wrapText="1"/>
      <protection locked="0"/>
    </xf>
    <xf numFmtId="0" fontId="1" fillId="0" borderId="16" xfId="0" applyFont="1" applyBorder="1" applyAlignment="1" applyProtection="1">
      <alignment horizontal="center" vertical="top"/>
      <protection locked="0"/>
    </xf>
    <xf numFmtId="0" fontId="1" fillId="0" borderId="16" xfId="0" applyFont="1" applyBorder="1" applyAlignment="1" applyProtection="1">
      <alignment horizontal="center" vertical="center"/>
      <protection locked="0"/>
    </xf>
    <xf numFmtId="0" fontId="2" fillId="0" borderId="16" xfId="0" applyFont="1" applyBorder="1" applyAlignment="1" applyProtection="1">
      <alignment horizontal="center" vertical="center"/>
      <protection locked="0"/>
    </xf>
    <xf numFmtId="0" fontId="1" fillId="0" borderId="16" xfId="0" applyFont="1" applyBorder="1" applyAlignment="1" applyProtection="1">
      <alignment horizontal="right"/>
      <protection locked="0"/>
    </xf>
    <xf numFmtId="0" fontId="1" fillId="0" borderId="16" xfId="0" applyFont="1" applyBorder="1" applyAlignment="1" applyProtection="1">
      <alignment horizontal="center" vertical="top" wrapText="1"/>
      <protection locked="0"/>
    </xf>
    <xf numFmtId="0" fontId="7" fillId="0" borderId="0" xfId="0" applyFont="1" applyBorder="1" applyProtection="1">
      <protection locked="0"/>
    </xf>
    <xf numFmtId="164" fontId="12" fillId="3" borderId="12" xfId="0" applyNumberFormat="1" applyFont="1" applyFill="1" applyBorder="1" applyAlignment="1" applyProtection="1">
      <alignment horizontal="right" vertical="center"/>
    </xf>
    <xf numFmtId="8" fontId="7" fillId="0" borderId="0" xfId="0" applyNumberFormat="1" applyFont="1" applyBorder="1" applyAlignment="1" applyProtection="1">
      <alignment horizontal="right" vertical="center"/>
    </xf>
    <xf numFmtId="8" fontId="7" fillId="0" borderId="36" xfId="0" applyNumberFormat="1" applyFont="1" applyBorder="1" applyAlignment="1" applyProtection="1">
      <alignment horizontal="right" vertical="center"/>
    </xf>
    <xf numFmtId="0" fontId="18" fillId="0" borderId="27" xfId="0" applyFont="1" applyBorder="1" applyAlignment="1" applyProtection="1">
      <protection locked="0"/>
    </xf>
    <xf numFmtId="0" fontId="3" fillId="0" borderId="0" xfId="0" applyFont="1" applyAlignment="1">
      <alignment horizontal="left" wrapText="1"/>
    </xf>
    <xf numFmtId="0" fontId="10" fillId="0" borderId="0" xfId="0" applyFont="1" applyAlignment="1">
      <alignment horizontal="left" wrapText="1"/>
    </xf>
    <xf numFmtId="0" fontId="10" fillId="0" borderId="0" xfId="0" applyFont="1" applyAlignment="1">
      <alignment horizontal="center"/>
    </xf>
    <xf numFmtId="0" fontId="11" fillId="0" borderId="0" xfId="0" applyFont="1" applyAlignment="1">
      <alignment horizontal="left" wrapText="1"/>
    </xf>
    <xf numFmtId="0" fontId="0" fillId="0" borderId="0" xfId="0" applyAlignment="1">
      <alignment wrapText="1"/>
    </xf>
    <xf numFmtId="0" fontId="0" fillId="0" borderId="1" xfId="0" applyBorder="1" applyAlignment="1">
      <alignment horizontal="center"/>
    </xf>
    <xf numFmtId="0" fontId="3" fillId="0" borderId="36" xfId="0" applyFont="1" applyBorder="1" applyAlignment="1">
      <alignment horizontal="left" wrapText="1"/>
    </xf>
    <xf numFmtId="0" fontId="6" fillId="0" borderId="10" xfId="0" applyFont="1" applyBorder="1" applyAlignment="1">
      <alignment horizontal="center" vertical="top" wrapText="1"/>
    </xf>
    <xf numFmtId="0" fontId="12" fillId="0" borderId="0" xfId="0" applyFont="1" applyBorder="1" applyAlignment="1" applyProtection="1">
      <alignment horizontal="center" vertical="center"/>
      <protection locked="0"/>
    </xf>
    <xf numFmtId="0" fontId="12" fillId="0" borderId="8" xfId="0" applyFont="1" applyBorder="1" applyAlignment="1" applyProtection="1">
      <alignment horizontal="center" vertical="center"/>
      <protection locked="0"/>
    </xf>
    <xf numFmtId="0" fontId="12" fillId="0" borderId="4" xfId="0" applyFont="1" applyFill="1" applyBorder="1" applyAlignment="1" applyProtection="1">
      <alignment horizontal="center" vertical="center"/>
      <protection locked="0"/>
    </xf>
    <xf numFmtId="0" fontId="12" fillId="0" borderId="29" xfId="0" applyFont="1" applyFill="1" applyBorder="1" applyAlignment="1" applyProtection="1">
      <alignment horizontal="center" vertical="center"/>
      <protection locked="0"/>
    </xf>
    <xf numFmtId="0" fontId="12" fillId="0" borderId="37" xfId="0" applyFont="1" applyFill="1" applyBorder="1" applyAlignment="1" applyProtection="1">
      <alignment horizontal="center" vertical="center"/>
      <protection locked="0"/>
    </xf>
    <xf numFmtId="0" fontId="1" fillId="0" borderId="6" xfId="0" applyFont="1" applyFill="1" applyBorder="1" applyAlignment="1" applyProtection="1">
      <alignment horizontal="left"/>
      <protection locked="0"/>
    </xf>
    <xf numFmtId="0" fontId="1" fillId="0" borderId="38" xfId="0" applyFont="1" applyFill="1" applyBorder="1" applyAlignment="1" applyProtection="1">
      <alignment horizontal="left"/>
      <protection locked="0"/>
    </xf>
    <xf numFmtId="0" fontId="12" fillId="0" borderId="6" xfId="0" applyFont="1" applyFill="1" applyBorder="1" applyAlignment="1" applyProtection="1">
      <alignment horizontal="center" vertical="center"/>
      <protection locked="0"/>
    </xf>
    <xf numFmtId="0" fontId="12" fillId="0" borderId="38" xfId="0" applyFont="1" applyFill="1" applyBorder="1" applyAlignment="1" applyProtection="1">
      <alignment horizontal="center" vertical="center"/>
      <protection locked="0"/>
    </xf>
    <xf numFmtId="0" fontId="12" fillId="0" borderId="39" xfId="0" applyFont="1" applyFill="1" applyBorder="1" applyAlignment="1" applyProtection="1">
      <alignment horizontal="center" vertical="center"/>
      <protection locked="0"/>
    </xf>
    <xf numFmtId="0" fontId="6" fillId="0" borderId="7" xfId="0" applyFont="1" applyFill="1" applyBorder="1" applyAlignment="1" applyProtection="1">
      <alignment horizontal="right" vertical="center"/>
      <protection locked="0"/>
    </xf>
    <xf numFmtId="0" fontId="6" fillId="0" borderId="0" xfId="0" applyFont="1" applyFill="1" applyBorder="1" applyAlignment="1" applyProtection="1">
      <alignment horizontal="right" vertical="center"/>
      <protection locked="0"/>
    </xf>
    <xf numFmtId="0" fontId="12" fillId="0" borderId="7" xfId="0" applyFont="1" applyFill="1" applyBorder="1" applyAlignment="1" applyProtection="1">
      <alignment horizontal="center"/>
      <protection locked="0"/>
    </xf>
    <xf numFmtId="0" fontId="12" fillId="0" borderId="0" xfId="0" applyFont="1" applyFill="1" applyBorder="1" applyAlignment="1" applyProtection="1">
      <alignment horizontal="center"/>
      <protection locked="0"/>
    </xf>
    <xf numFmtId="0" fontId="12" fillId="0" borderId="8" xfId="0" applyFont="1" applyFill="1" applyBorder="1" applyAlignment="1" applyProtection="1">
      <alignment horizontal="center"/>
      <protection locked="0"/>
    </xf>
    <xf numFmtId="0" fontId="6" fillId="0" borderId="40" xfId="0" applyFont="1" applyFill="1" applyBorder="1" applyAlignment="1" applyProtection="1">
      <alignment horizontal="left" vertical="center" wrapText="1"/>
      <protection locked="0"/>
    </xf>
    <xf numFmtId="0" fontId="6" fillId="0" borderId="36" xfId="0" applyFont="1" applyFill="1" applyBorder="1" applyAlignment="1" applyProtection="1">
      <alignment horizontal="left" vertical="center" wrapText="1"/>
      <protection locked="0"/>
    </xf>
    <xf numFmtId="0" fontId="6" fillId="0" borderId="34" xfId="0" applyFont="1" applyFill="1" applyBorder="1" applyAlignment="1" applyProtection="1">
      <alignment horizontal="left" vertical="center" wrapText="1"/>
      <protection locked="0"/>
    </xf>
    <xf numFmtId="0" fontId="6" fillId="0" borderId="7" xfId="0" applyFont="1" applyFill="1" applyBorder="1" applyAlignment="1" applyProtection="1">
      <alignment horizontal="left" vertical="center" wrapText="1"/>
      <protection locked="0"/>
    </xf>
    <xf numFmtId="0" fontId="6" fillId="0" borderId="0" xfId="0" applyFont="1" applyFill="1" applyBorder="1" applyAlignment="1" applyProtection="1">
      <alignment horizontal="left" vertical="center" wrapText="1"/>
      <protection locked="0"/>
    </xf>
    <xf numFmtId="0" fontId="6" fillId="0" borderId="8" xfId="0" applyFont="1" applyFill="1" applyBorder="1" applyAlignment="1" applyProtection="1">
      <alignment horizontal="left" vertical="center" wrapText="1"/>
      <protection locked="0"/>
    </xf>
    <xf numFmtId="0" fontId="6" fillId="0" borderId="41" xfId="0" applyFont="1" applyFill="1" applyBorder="1" applyAlignment="1" applyProtection="1">
      <alignment horizontal="right" vertical="center" wrapText="1"/>
      <protection locked="0"/>
    </xf>
    <xf numFmtId="0" fontId="6" fillId="0" borderId="5" xfId="0" applyFont="1" applyFill="1" applyBorder="1" applyAlignment="1" applyProtection="1">
      <alignment horizontal="right" vertical="center" wrapText="1"/>
      <protection locked="0"/>
    </xf>
    <xf numFmtId="0" fontId="6" fillId="0" borderId="42" xfId="0" applyFont="1" applyFill="1" applyBorder="1" applyAlignment="1" applyProtection="1">
      <alignment horizontal="right" vertical="center" wrapText="1"/>
      <protection locked="0"/>
    </xf>
    <xf numFmtId="0" fontId="12" fillId="0" borderId="43" xfId="0" applyFont="1" applyBorder="1" applyAlignment="1" applyProtection="1">
      <alignment horizontal="center" vertical="center"/>
      <protection locked="0"/>
    </xf>
    <xf numFmtId="0" fontId="12" fillId="0" borderId="38" xfId="0" applyFont="1" applyBorder="1" applyAlignment="1" applyProtection="1">
      <alignment horizontal="center" vertical="center"/>
      <protection locked="0"/>
    </xf>
    <xf numFmtId="0" fontId="12" fillId="0" borderId="39" xfId="0" applyFont="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5" fillId="0" borderId="29" xfId="0" applyFont="1" applyBorder="1" applyAlignment="1" applyProtection="1">
      <alignment horizontal="center" vertical="center"/>
      <protection locked="0"/>
    </xf>
    <xf numFmtId="0" fontId="5" fillId="0" borderId="37" xfId="0" applyFont="1" applyBorder="1" applyAlignment="1" applyProtection="1">
      <alignment horizontal="center" vertical="center"/>
      <protection locked="0"/>
    </xf>
    <xf numFmtId="0" fontId="16" fillId="0" borderId="10" xfId="0" applyFont="1" applyBorder="1" applyAlignment="1" applyProtection="1">
      <alignment horizontal="center"/>
      <protection locked="0"/>
    </xf>
    <xf numFmtId="0" fontId="12" fillId="0" borderId="40" xfId="0" applyFont="1" applyFill="1" applyBorder="1" applyAlignment="1" applyProtection="1">
      <alignment horizontal="center"/>
      <protection locked="0"/>
    </xf>
    <xf numFmtId="0" fontId="12" fillId="0" borderId="36" xfId="0" applyFont="1" applyFill="1" applyBorder="1" applyAlignment="1" applyProtection="1">
      <alignment horizontal="center"/>
      <protection locked="0"/>
    </xf>
    <xf numFmtId="0" fontId="12" fillId="0" borderId="34" xfId="0" applyFont="1" applyFill="1" applyBorder="1" applyAlignment="1" applyProtection="1">
      <alignment horizontal="center"/>
      <protection locked="0"/>
    </xf>
    <xf numFmtId="0" fontId="14" fillId="0" borderId="7" xfId="0" applyFont="1" applyFill="1" applyBorder="1" applyAlignment="1" applyProtection="1">
      <alignment horizontal="center" vertical="center"/>
      <protection locked="0"/>
    </xf>
    <xf numFmtId="0" fontId="14" fillId="0" borderId="0" xfId="0" applyFont="1" applyFill="1" applyBorder="1" applyAlignment="1" applyProtection="1">
      <alignment horizontal="center" vertical="center"/>
      <protection locked="0"/>
    </xf>
    <xf numFmtId="0" fontId="14" fillId="0" borderId="8" xfId="0" applyFont="1" applyFill="1" applyBorder="1" applyAlignment="1" applyProtection="1">
      <alignment horizontal="center" vertical="center"/>
      <protection locked="0"/>
    </xf>
    <xf numFmtId="0" fontId="16" fillId="0" borderId="0" xfId="0" applyFont="1" applyBorder="1" applyAlignment="1" applyProtection="1">
      <alignment horizontal="center" vertical="center"/>
      <protection locked="0"/>
    </xf>
    <xf numFmtId="0" fontId="13" fillId="2" borderId="33"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0" fontId="13" fillId="2" borderId="35" xfId="0" applyFont="1" applyFill="1" applyBorder="1" applyAlignment="1" applyProtection="1">
      <alignment horizontal="center" vertical="center"/>
      <protection locked="0"/>
    </xf>
    <xf numFmtId="0" fontId="12" fillId="0" borderId="3" xfId="0" applyFont="1" applyFill="1" applyBorder="1" applyAlignment="1" applyProtection="1">
      <alignment horizontal="center" vertical="center"/>
      <protection locked="0"/>
    </xf>
    <xf numFmtId="0" fontId="12" fillId="0" borderId="5" xfId="0" applyFont="1" applyFill="1" applyBorder="1" applyAlignment="1" applyProtection="1">
      <alignment horizontal="center" vertical="center"/>
      <protection locked="0"/>
    </xf>
    <xf numFmtId="0" fontId="12" fillId="0" borderId="42" xfId="0" applyFont="1" applyFill="1" applyBorder="1" applyAlignment="1" applyProtection="1">
      <alignment horizontal="center" vertical="center"/>
      <protection locked="0"/>
    </xf>
    <xf numFmtId="0" fontId="1" fillId="0" borderId="0" xfId="0" applyFont="1" applyBorder="1" applyAlignment="1" applyProtection="1">
      <alignment horizontal="right"/>
      <protection locked="0"/>
    </xf>
    <xf numFmtId="0" fontId="1" fillId="0" borderId="4" xfId="0" applyFont="1" applyFill="1" applyBorder="1" applyAlignment="1" applyProtection="1">
      <alignment horizontal="left"/>
      <protection locked="0"/>
    </xf>
    <xf numFmtId="0" fontId="1" fillId="0" borderId="29" xfId="0" applyFont="1" applyFill="1" applyBorder="1" applyAlignment="1" applyProtection="1">
      <alignment horizontal="left"/>
      <protection locked="0"/>
    </xf>
    <xf numFmtId="0" fontId="7" fillId="0" borderId="0" xfId="0" applyFont="1" applyBorder="1" applyAlignment="1" applyProtection="1">
      <alignment horizontal="left" vertical="center"/>
      <protection locked="0"/>
    </xf>
    <xf numFmtId="0" fontId="13" fillId="0" borderId="36" xfId="0" applyNumberFormat="1" applyFont="1" applyBorder="1" applyAlignment="1" applyProtection="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49"/>
  <sheetViews>
    <sheetView showGridLines="0" tabSelected="1" topLeftCell="A7" workbookViewId="0">
      <selection activeCell="E15" sqref="E15"/>
    </sheetView>
  </sheetViews>
  <sheetFormatPr defaultRowHeight="12.75"/>
  <cols>
    <col min="1" max="1" width="26" customWidth="1"/>
    <col min="2" max="2" width="63.140625" style="2" customWidth="1"/>
  </cols>
  <sheetData>
    <row r="1" spans="1:3" ht="15">
      <c r="A1" s="155" t="s">
        <v>11</v>
      </c>
      <c r="B1" s="155"/>
    </row>
    <row r="2" spans="1:3" ht="15">
      <c r="A2" s="155" t="s">
        <v>12</v>
      </c>
      <c r="B2" s="155"/>
    </row>
    <row r="3" spans="1:3">
      <c r="B3" s="4"/>
    </row>
    <row r="4" spans="1:3" ht="15">
      <c r="A4" s="156" t="s">
        <v>14</v>
      </c>
      <c r="B4" s="156"/>
    </row>
    <row r="5" spans="1:3" ht="18.75" customHeight="1">
      <c r="A5" s="154" t="s">
        <v>97</v>
      </c>
      <c r="B5" s="154"/>
    </row>
    <row r="6" spans="1:3" ht="35.25" customHeight="1">
      <c r="A6" s="157" t="s">
        <v>74</v>
      </c>
      <c r="B6" s="157"/>
    </row>
    <row r="7" spans="1:3" ht="12.75" customHeight="1"/>
    <row r="8" spans="1:3" ht="23.25" customHeight="1">
      <c r="A8" s="153" t="s">
        <v>71</v>
      </c>
      <c r="B8" s="153"/>
    </row>
    <row r="9" spans="1:3" ht="11.25" customHeight="1">
      <c r="A9" s="5"/>
      <c r="B9" s="5"/>
    </row>
    <row r="10" spans="1:3" ht="24" customHeight="1">
      <c r="A10" s="153" t="s">
        <v>94</v>
      </c>
      <c r="B10" s="153"/>
    </row>
    <row r="11" spans="1:3" ht="30" customHeight="1">
      <c r="A11" s="153" t="s">
        <v>15</v>
      </c>
      <c r="B11" s="153"/>
      <c r="C11" s="3"/>
    </row>
    <row r="12" spans="1:3" ht="42" customHeight="1">
      <c r="A12" s="153" t="s">
        <v>100</v>
      </c>
      <c r="B12" s="153"/>
    </row>
    <row r="13" spans="1:3" ht="21.75" customHeight="1">
      <c r="A13" s="153" t="s">
        <v>106</v>
      </c>
      <c r="B13" s="153"/>
    </row>
    <row r="14" spans="1:3" ht="9.9499999999999993" customHeight="1" thickBot="1">
      <c r="A14" s="158"/>
      <c r="B14" s="158"/>
    </row>
    <row r="15" spans="1:3" ht="9.9499999999999993" customHeight="1" thickTop="1">
      <c r="B15" s="1"/>
    </row>
    <row r="16" spans="1:3" ht="15.75" customHeight="1">
      <c r="A16" s="156" t="s">
        <v>46</v>
      </c>
      <c r="B16" s="156"/>
    </row>
    <row r="17" spans="1:2">
      <c r="A17" s="10" t="s">
        <v>17</v>
      </c>
      <c r="B17" s="111" t="s">
        <v>36</v>
      </c>
    </row>
    <row r="18" spans="1:2" ht="28.5" customHeight="1">
      <c r="A18" s="10" t="s">
        <v>18</v>
      </c>
      <c r="B18" s="109" t="s">
        <v>102</v>
      </c>
    </row>
    <row r="19" spans="1:2" ht="38.25" customHeight="1">
      <c r="A19" s="10" t="s">
        <v>19</v>
      </c>
      <c r="B19" s="110" t="s">
        <v>95</v>
      </c>
    </row>
    <row r="20" spans="1:2" ht="29.25" customHeight="1">
      <c r="A20" s="10" t="s">
        <v>20</v>
      </c>
      <c r="B20" s="110" t="s">
        <v>82</v>
      </c>
    </row>
    <row r="21" spans="1:2" ht="64.5" customHeight="1">
      <c r="A21" s="10" t="s">
        <v>16</v>
      </c>
      <c r="B21" s="110" t="s">
        <v>83</v>
      </c>
    </row>
    <row r="22" spans="1:2" ht="20.25" customHeight="1">
      <c r="A22" s="10" t="s">
        <v>21</v>
      </c>
      <c r="B22" s="110" t="s">
        <v>29</v>
      </c>
    </row>
    <row r="23" spans="1:2" ht="49.5" customHeight="1">
      <c r="A23" s="11" t="s">
        <v>22</v>
      </c>
      <c r="B23" s="110" t="s">
        <v>84</v>
      </c>
    </row>
    <row r="24" spans="1:2" ht="28.5" customHeight="1">
      <c r="A24" s="11" t="s">
        <v>78</v>
      </c>
      <c r="B24" s="9" t="s">
        <v>96</v>
      </c>
    </row>
    <row r="25" spans="1:2" ht="41.25" customHeight="1">
      <c r="A25" s="159" t="s">
        <v>35</v>
      </c>
      <c r="B25" s="159"/>
    </row>
    <row r="26" spans="1:2">
      <c r="A26" s="160" t="s">
        <v>47</v>
      </c>
      <c r="B26" s="160"/>
    </row>
    <row r="27" spans="1:2" ht="39" customHeight="1">
      <c r="A27" s="10" t="s">
        <v>23</v>
      </c>
      <c r="B27" s="110" t="s">
        <v>30</v>
      </c>
    </row>
    <row r="28" spans="1:2" ht="31.5" customHeight="1">
      <c r="A28" s="10" t="s">
        <v>24</v>
      </c>
      <c r="B28" s="110" t="s">
        <v>31</v>
      </c>
    </row>
    <row r="29" spans="1:2" ht="15" customHeight="1">
      <c r="A29" s="10"/>
      <c r="B29" s="1"/>
    </row>
    <row r="30" spans="1:2" ht="48">
      <c r="A30" s="10" t="s">
        <v>25</v>
      </c>
      <c r="B30" s="109" t="s">
        <v>101</v>
      </c>
    </row>
    <row r="31" spans="1:2" ht="60" customHeight="1">
      <c r="A31" s="10" t="s">
        <v>26</v>
      </c>
      <c r="B31" s="110" t="s">
        <v>98</v>
      </c>
    </row>
    <row r="32" spans="1:2" ht="49.5" customHeight="1">
      <c r="A32" s="10" t="s">
        <v>27</v>
      </c>
      <c r="B32" s="1" t="s">
        <v>99</v>
      </c>
    </row>
    <row r="33" spans="1:2">
      <c r="A33" s="10"/>
      <c r="B33" s="1" t="s">
        <v>40</v>
      </c>
    </row>
    <row r="34" spans="1:2">
      <c r="A34" s="10"/>
      <c r="B34" s="12" t="s">
        <v>43</v>
      </c>
    </row>
    <row r="35" spans="1:2">
      <c r="A35" s="10"/>
      <c r="B35" s="12" t="s">
        <v>41</v>
      </c>
    </row>
    <row r="36" spans="1:2">
      <c r="A36" s="10"/>
      <c r="B36" s="13" t="s">
        <v>42</v>
      </c>
    </row>
    <row r="37" spans="1:2" ht="30" customHeight="1">
      <c r="A37" s="10"/>
      <c r="B37" s="1" t="s">
        <v>44</v>
      </c>
    </row>
    <row r="38" spans="1:2" ht="36">
      <c r="A38" s="10"/>
      <c r="B38" s="1" t="s">
        <v>45</v>
      </c>
    </row>
    <row r="39" spans="1:2" ht="41.25" customHeight="1">
      <c r="A39" s="6"/>
      <c r="B39" s="1" t="s">
        <v>72</v>
      </c>
    </row>
    <row r="40" spans="1:2" ht="13.5" thickBot="1">
      <c r="A40" s="7"/>
      <c r="B40" s="8"/>
    </row>
    <row r="41" spans="1:2" ht="13.5" thickTop="1">
      <c r="A41" s="6"/>
      <c r="B41" s="1"/>
    </row>
    <row r="42" spans="1:2" ht="25.5" customHeight="1">
      <c r="A42" s="156" t="s">
        <v>32</v>
      </c>
      <c r="B42" s="156"/>
    </row>
    <row r="43" spans="1:2" ht="36" customHeight="1">
      <c r="A43" s="2" t="s">
        <v>33</v>
      </c>
      <c r="B43" s="109" t="s">
        <v>34</v>
      </c>
    </row>
    <row r="44" spans="1:2" ht="60" customHeight="1">
      <c r="A44" s="10" t="s">
        <v>37</v>
      </c>
      <c r="B44" s="110" t="s">
        <v>73</v>
      </c>
    </row>
    <row r="45" spans="1:2" ht="34.5" customHeight="1">
      <c r="A45" s="2" t="s">
        <v>38</v>
      </c>
      <c r="B45" s="110" t="s">
        <v>39</v>
      </c>
    </row>
    <row r="46" spans="1:2">
      <c r="A46" s="2"/>
      <c r="B46" s="1"/>
    </row>
    <row r="47" spans="1:2">
      <c r="B47" s="1"/>
    </row>
    <row r="48" spans="1:2">
      <c r="B48" s="1"/>
    </row>
    <row r="49" spans="2:2">
      <c r="B49" s="1"/>
    </row>
  </sheetData>
  <sheetProtection password="CCBC" sheet="1" objects="1" scenarios="1"/>
  <mergeCells count="15">
    <mergeCell ref="A13:B13"/>
    <mergeCell ref="A42:B42"/>
    <mergeCell ref="A14:B14"/>
    <mergeCell ref="A16:B16"/>
    <mergeCell ref="A25:B25"/>
    <mergeCell ref="A26:B26"/>
    <mergeCell ref="A10:B10"/>
    <mergeCell ref="A5:B5"/>
    <mergeCell ref="A11:B11"/>
    <mergeCell ref="A12:B12"/>
    <mergeCell ref="A1:B1"/>
    <mergeCell ref="A2:B2"/>
    <mergeCell ref="A4:B4"/>
    <mergeCell ref="A8:B8"/>
    <mergeCell ref="A6:B6"/>
  </mergeCells>
  <phoneticPr fontId="2" type="noConversion"/>
  <pageMargins left="0.75" right="0.75" top="0.75" bottom="0.75" header="0.5" footer="0.5"/>
  <pageSetup orientation="portrait" horizontalDpi="4294967294" r:id="rId1"/>
  <headerFooter alignWithMargins="0">
    <oddFooter>&amp;R&amp;P</oddFooter>
  </headerFooter>
</worksheet>
</file>

<file path=xl/worksheets/sheet2.xml><?xml version="1.0" encoding="utf-8"?>
<worksheet xmlns="http://schemas.openxmlformats.org/spreadsheetml/2006/main" xmlns:r="http://schemas.openxmlformats.org/officeDocument/2006/relationships">
  <sheetPr enableFormatConditionsCalculation="0">
    <tabColor indexed="12"/>
  </sheetPr>
  <dimension ref="A1:N43"/>
  <sheetViews>
    <sheetView showGridLines="0" topLeftCell="E2" workbookViewId="0">
      <selection activeCell="B4" sqref="B4:N4"/>
    </sheetView>
  </sheetViews>
  <sheetFormatPr defaultRowHeight="12"/>
  <cols>
    <col min="1" max="1" width="2.7109375" style="16" customWidth="1"/>
    <col min="2" max="2" width="15.140625" style="16" customWidth="1"/>
    <col min="3" max="3" width="10.85546875" style="16" bestFit="1" customWidth="1"/>
    <col min="4" max="4" width="13.5703125" style="44" customWidth="1"/>
    <col min="5" max="5" width="12.85546875" style="52" customWidth="1"/>
    <col min="6" max="6" width="8.5703125" style="52" customWidth="1"/>
    <col min="7" max="7" width="12" style="52" customWidth="1"/>
    <col min="8" max="8" width="5.42578125" style="16" bestFit="1" customWidth="1"/>
    <col min="9" max="9" width="11.140625" style="52" customWidth="1"/>
    <col min="10" max="10" width="8.5703125" style="52" bestFit="1" customWidth="1"/>
    <col min="11" max="11" width="9.42578125" style="52" bestFit="1" customWidth="1"/>
    <col min="12" max="12" width="11.140625" style="52" customWidth="1"/>
    <col min="13" max="13" width="14.28515625" style="16" customWidth="1"/>
    <col min="14" max="14" width="10.28515625" style="16" customWidth="1"/>
    <col min="15" max="16384" width="9.140625" style="16"/>
  </cols>
  <sheetData>
    <row r="1" spans="2:14" ht="15.75">
      <c r="B1" s="191" t="s">
        <v>90</v>
      </c>
      <c r="C1" s="191"/>
      <c r="D1" s="191"/>
      <c r="E1" s="191"/>
      <c r="F1" s="191"/>
      <c r="G1" s="191"/>
      <c r="H1" s="191"/>
      <c r="I1" s="191"/>
      <c r="J1" s="191"/>
      <c r="K1" s="191"/>
      <c r="L1" s="191"/>
      <c r="M1" s="191"/>
      <c r="N1" s="191"/>
    </row>
    <row r="2" spans="2:14" ht="15.75">
      <c r="B2" s="192" t="s">
        <v>53</v>
      </c>
      <c r="C2" s="193"/>
      <c r="D2" s="193"/>
      <c r="E2" s="193"/>
      <c r="F2" s="193"/>
      <c r="G2" s="193"/>
      <c r="H2" s="193"/>
      <c r="I2" s="193"/>
      <c r="J2" s="193"/>
      <c r="K2" s="193"/>
      <c r="L2" s="193"/>
      <c r="M2" s="193"/>
      <c r="N2" s="194"/>
    </row>
    <row r="3" spans="2:14" ht="15.75">
      <c r="B3" s="173" t="s">
        <v>54</v>
      </c>
      <c r="C3" s="174"/>
      <c r="D3" s="174"/>
      <c r="E3" s="174"/>
      <c r="F3" s="174"/>
      <c r="G3" s="174"/>
      <c r="H3" s="174"/>
      <c r="I3" s="174"/>
      <c r="J3" s="174"/>
      <c r="K3" s="174"/>
      <c r="L3" s="174"/>
      <c r="M3" s="174"/>
      <c r="N3" s="175"/>
    </row>
    <row r="4" spans="2:14" ht="16.5" customHeight="1">
      <c r="B4" s="195" t="s">
        <v>86</v>
      </c>
      <c r="C4" s="196"/>
      <c r="D4" s="196"/>
      <c r="E4" s="196"/>
      <c r="F4" s="196"/>
      <c r="G4" s="196"/>
      <c r="H4" s="196"/>
      <c r="I4" s="196"/>
      <c r="J4" s="196"/>
      <c r="K4" s="196"/>
      <c r="L4" s="196"/>
      <c r="M4" s="196"/>
      <c r="N4" s="197"/>
    </row>
    <row r="5" spans="2:14" s="18" customFormat="1" ht="16.5" customHeight="1">
      <c r="B5" s="199" t="s">
        <v>48</v>
      </c>
      <c r="C5" s="200"/>
      <c r="D5" s="200"/>
      <c r="E5" s="200"/>
      <c r="F5" s="200"/>
      <c r="G5" s="201"/>
      <c r="H5" s="17"/>
      <c r="I5" s="199" t="s">
        <v>55</v>
      </c>
      <c r="J5" s="200"/>
      <c r="K5" s="200"/>
      <c r="L5" s="200"/>
      <c r="M5" s="200"/>
      <c r="N5" s="201"/>
    </row>
    <row r="6" spans="2:14" s="18" customFormat="1" ht="16.5" customHeight="1">
      <c r="B6" s="19" t="s">
        <v>13</v>
      </c>
      <c r="C6" s="202"/>
      <c r="D6" s="203"/>
      <c r="E6" s="203"/>
      <c r="F6" s="203"/>
      <c r="G6" s="204"/>
      <c r="H6" s="17"/>
      <c r="I6" s="176" t="s">
        <v>105</v>
      </c>
      <c r="J6" s="177"/>
      <c r="K6" s="177"/>
      <c r="L6" s="177"/>
      <c r="M6" s="177"/>
      <c r="N6" s="178"/>
    </row>
    <row r="7" spans="2:14" s="18" customFormat="1" ht="16.5" customHeight="1">
      <c r="B7" s="20" t="s">
        <v>49</v>
      </c>
      <c r="C7" s="163"/>
      <c r="D7" s="164"/>
      <c r="E7" s="164"/>
      <c r="F7" s="164"/>
      <c r="G7" s="165"/>
      <c r="H7" s="17"/>
      <c r="I7" s="179"/>
      <c r="J7" s="180"/>
      <c r="K7" s="180"/>
      <c r="L7" s="180"/>
      <c r="M7" s="180"/>
      <c r="N7" s="181"/>
    </row>
    <row r="8" spans="2:14" s="18" customFormat="1" ht="18.75" customHeight="1">
      <c r="B8" s="20" t="s">
        <v>70</v>
      </c>
      <c r="C8" s="163"/>
      <c r="D8" s="164"/>
      <c r="E8" s="164"/>
      <c r="F8" s="164"/>
      <c r="G8" s="165"/>
      <c r="H8" s="17"/>
      <c r="I8" s="179"/>
      <c r="J8" s="180"/>
      <c r="K8" s="180"/>
      <c r="L8" s="180"/>
      <c r="M8" s="180"/>
      <c r="N8" s="181"/>
    </row>
    <row r="9" spans="2:14" s="18" customFormat="1" ht="16.5" customHeight="1">
      <c r="B9" s="20" t="s">
        <v>50</v>
      </c>
      <c r="C9" s="163"/>
      <c r="D9" s="164"/>
      <c r="E9" s="164"/>
      <c r="F9" s="164"/>
      <c r="G9" s="165"/>
      <c r="H9" s="17"/>
      <c r="I9" s="21" t="s">
        <v>56</v>
      </c>
      <c r="J9" s="22"/>
      <c r="K9" s="182" t="s">
        <v>75</v>
      </c>
      <c r="L9" s="183"/>
      <c r="M9" s="183"/>
      <c r="N9" s="184"/>
    </row>
    <row r="10" spans="2:14" ht="15" customHeight="1">
      <c r="B10" s="20" t="s">
        <v>52</v>
      </c>
      <c r="C10" s="163"/>
      <c r="D10" s="164"/>
      <c r="E10" s="164"/>
      <c r="F10" s="164"/>
      <c r="G10" s="165"/>
      <c r="H10" s="23"/>
      <c r="I10" s="206" t="s">
        <v>57</v>
      </c>
      <c r="J10" s="207"/>
      <c r="K10" s="188"/>
      <c r="L10" s="189"/>
      <c r="M10" s="189"/>
      <c r="N10" s="190"/>
    </row>
    <row r="11" spans="2:14" s="26" customFormat="1" ht="13.5" customHeight="1">
      <c r="B11" s="24" t="s">
        <v>51</v>
      </c>
      <c r="C11" s="168"/>
      <c r="D11" s="169"/>
      <c r="E11" s="169"/>
      <c r="F11" s="169"/>
      <c r="G11" s="170"/>
      <c r="H11" s="25"/>
      <c r="I11" s="166" t="s">
        <v>58</v>
      </c>
      <c r="J11" s="167"/>
      <c r="K11" s="185"/>
      <c r="L11" s="186"/>
      <c r="M11" s="186"/>
      <c r="N11" s="187"/>
    </row>
    <row r="12" spans="2:14" s="26" customFormat="1" ht="15" customHeight="1">
      <c r="B12" s="27"/>
      <c r="D12" s="67"/>
      <c r="H12" s="28"/>
      <c r="I12" s="205"/>
      <c r="J12" s="205"/>
      <c r="K12" s="208"/>
      <c r="L12" s="208"/>
      <c r="M12" s="31" t="s">
        <v>67</v>
      </c>
      <c r="N12" s="119"/>
    </row>
    <row r="13" spans="2:14" s="26" customFormat="1" ht="15" customHeight="1">
      <c r="B13" s="33"/>
      <c r="C13" s="34"/>
      <c r="D13" s="68"/>
      <c r="E13" s="198" t="s">
        <v>80</v>
      </c>
      <c r="F13" s="198"/>
      <c r="G13" s="198"/>
      <c r="H13" s="28"/>
      <c r="I13" s="29"/>
      <c r="J13" s="29"/>
      <c r="K13" s="30"/>
      <c r="L13" s="36" t="s">
        <v>63</v>
      </c>
      <c r="M13" s="62">
        <f>L43</f>
        <v>0</v>
      </c>
      <c r="N13" s="32"/>
    </row>
    <row r="14" spans="2:14" s="26" customFormat="1" ht="15" customHeight="1">
      <c r="B14" s="171" t="s">
        <v>59</v>
      </c>
      <c r="C14" s="172"/>
      <c r="D14" s="71"/>
      <c r="E14" s="37"/>
      <c r="F14" s="35" t="s">
        <v>61</v>
      </c>
      <c r="G14" s="38"/>
      <c r="H14" s="28"/>
      <c r="I14" s="29"/>
      <c r="J14" s="29"/>
      <c r="K14" s="30"/>
      <c r="L14" s="36" t="s">
        <v>62</v>
      </c>
      <c r="M14" s="63">
        <f>'Page 2'!L50</f>
        <v>0</v>
      </c>
      <c r="N14" s="32"/>
    </row>
    <row r="15" spans="2:14" s="26" customFormat="1" ht="15" customHeight="1">
      <c r="B15" s="33"/>
      <c r="D15" s="67"/>
      <c r="E15" s="34" t="s">
        <v>60</v>
      </c>
      <c r="F15" s="35"/>
      <c r="G15" s="34" t="s">
        <v>60</v>
      </c>
      <c r="H15" s="28"/>
      <c r="I15" s="29"/>
      <c r="J15" s="29"/>
      <c r="K15" s="30"/>
      <c r="L15" s="36" t="s">
        <v>64</v>
      </c>
      <c r="M15" s="63">
        <f>'Page 3'!L50</f>
        <v>0</v>
      </c>
      <c r="N15" s="32"/>
    </row>
    <row r="16" spans="2:14" s="26" customFormat="1" ht="15" customHeight="1">
      <c r="B16" s="152" t="s">
        <v>104</v>
      </c>
      <c r="C16" s="134"/>
      <c r="D16" s="135"/>
      <c r="E16" s="136"/>
      <c r="F16" s="137"/>
      <c r="G16" s="136"/>
      <c r="H16" s="138"/>
      <c r="I16" s="139"/>
      <c r="J16" s="29"/>
      <c r="K16" s="30"/>
      <c r="L16" s="36" t="s">
        <v>65</v>
      </c>
      <c r="M16" s="63">
        <f>'Page 4'!L50</f>
        <v>0</v>
      </c>
      <c r="N16" s="32"/>
    </row>
    <row r="17" spans="1:14" s="26" customFormat="1" ht="15" customHeight="1">
      <c r="B17" s="133"/>
      <c r="C17" s="134"/>
      <c r="D17" s="135"/>
      <c r="E17" s="136"/>
      <c r="F17" s="137"/>
      <c r="G17" s="136"/>
      <c r="H17" s="138"/>
      <c r="I17" s="139"/>
      <c r="J17" s="29"/>
      <c r="K17" s="30"/>
      <c r="L17" s="36" t="s">
        <v>66</v>
      </c>
      <c r="M17" s="64">
        <f>'Page 5'!L50</f>
        <v>0</v>
      </c>
      <c r="N17" s="32"/>
    </row>
    <row r="18" spans="1:14" s="26" customFormat="1" ht="15" customHeight="1">
      <c r="B18" s="140"/>
      <c r="C18" s="141"/>
      <c r="D18" s="142"/>
      <c r="E18" s="143"/>
      <c r="F18" s="144"/>
      <c r="G18" s="143"/>
      <c r="H18" s="145"/>
      <c r="I18" s="146"/>
      <c r="J18" s="161" t="s">
        <v>69</v>
      </c>
      <c r="K18" s="161"/>
      <c r="L18" s="162"/>
      <c r="M18" s="149">
        <f>SUM(M13:M17)</f>
        <v>0</v>
      </c>
      <c r="N18" s="32"/>
    </row>
    <row r="19" spans="1:14" s="26" customFormat="1" ht="15" customHeight="1">
      <c r="B19" s="140"/>
      <c r="C19" s="141"/>
      <c r="D19" s="142"/>
      <c r="E19" s="143"/>
      <c r="F19" s="144"/>
      <c r="G19" s="143"/>
      <c r="H19" s="145"/>
      <c r="I19" s="146"/>
      <c r="J19" s="29"/>
      <c r="K19" s="30"/>
      <c r="L19" s="36"/>
      <c r="M19" s="151"/>
      <c r="N19" s="32"/>
    </row>
    <row r="20" spans="1:14" s="26" customFormat="1" ht="15" customHeight="1">
      <c r="B20" s="140"/>
      <c r="C20" s="141"/>
      <c r="D20" s="142"/>
      <c r="E20" s="143"/>
      <c r="F20" s="144"/>
      <c r="G20" s="143"/>
      <c r="H20" s="145"/>
      <c r="I20" s="146"/>
      <c r="J20" s="29"/>
      <c r="K20" s="30"/>
      <c r="L20" s="36"/>
      <c r="M20" s="150"/>
      <c r="N20" s="32"/>
    </row>
    <row r="21" spans="1:14" s="26" customFormat="1" ht="15" customHeight="1">
      <c r="B21" s="140"/>
      <c r="C21" s="143"/>
      <c r="D21" s="147"/>
      <c r="E21" s="141"/>
      <c r="F21" s="141"/>
      <c r="G21" s="141"/>
      <c r="H21" s="145"/>
      <c r="I21" s="146"/>
      <c r="M21" s="148"/>
      <c r="N21" s="32"/>
    </row>
    <row r="22" spans="1:14" s="26" customFormat="1" ht="15" customHeight="1">
      <c r="B22" s="65" t="s">
        <v>85</v>
      </c>
      <c r="C22" s="34"/>
      <c r="D22" s="68"/>
      <c r="E22" s="35"/>
      <c r="F22" s="34"/>
      <c r="G22" s="25"/>
      <c r="H22" s="28"/>
      <c r="I22" s="29"/>
      <c r="M22" s="148"/>
      <c r="N22" s="32"/>
    </row>
    <row r="23" spans="1:14" s="26" customFormat="1" ht="15" customHeight="1">
      <c r="B23" s="33" t="s">
        <v>76</v>
      </c>
      <c r="C23" s="34"/>
      <c r="D23" s="68"/>
      <c r="E23" s="35"/>
      <c r="F23" s="34"/>
      <c r="G23" s="25"/>
      <c r="H23" s="28"/>
      <c r="I23" s="29"/>
      <c r="M23" s="148"/>
      <c r="N23" s="32"/>
    </row>
    <row r="24" spans="1:14" s="26" customFormat="1" ht="15" customHeight="1">
      <c r="B24" s="61" t="s">
        <v>103</v>
      </c>
      <c r="C24" s="34"/>
      <c r="D24" s="68"/>
      <c r="E24" s="35"/>
      <c r="F24" s="34"/>
      <c r="G24" s="25"/>
      <c r="H24" s="28"/>
      <c r="I24" s="29"/>
      <c r="J24" s="29"/>
      <c r="K24" s="39"/>
      <c r="L24" s="39"/>
      <c r="M24" s="39"/>
      <c r="N24" s="40"/>
    </row>
    <row r="25" spans="1:14" s="44" customFormat="1" ht="36">
      <c r="A25" s="41"/>
      <c r="B25" s="42" t="s">
        <v>0</v>
      </c>
      <c r="C25" s="42" t="s">
        <v>1</v>
      </c>
      <c r="D25" s="42" t="s">
        <v>77</v>
      </c>
      <c r="E25" s="43" t="s">
        <v>2</v>
      </c>
      <c r="F25" s="43" t="s">
        <v>4</v>
      </c>
      <c r="G25" s="43" t="s">
        <v>3</v>
      </c>
      <c r="H25" s="42" t="s">
        <v>5</v>
      </c>
      <c r="I25" s="43" t="s">
        <v>6</v>
      </c>
      <c r="J25" s="43" t="s">
        <v>7</v>
      </c>
      <c r="K25" s="43" t="s">
        <v>8</v>
      </c>
      <c r="L25" s="43" t="s">
        <v>9</v>
      </c>
      <c r="M25" s="42" t="s">
        <v>10</v>
      </c>
      <c r="N25" s="42" t="s">
        <v>28</v>
      </c>
    </row>
    <row r="26" spans="1:14">
      <c r="A26" s="45">
        <v>1</v>
      </c>
      <c r="B26" s="46"/>
      <c r="C26" s="47"/>
      <c r="D26" s="69" t="s">
        <v>81</v>
      </c>
      <c r="E26" s="14"/>
      <c r="F26" s="14"/>
      <c r="G26" s="15">
        <f>E26-F26</f>
        <v>0</v>
      </c>
      <c r="H26" s="48">
        <v>0.1</v>
      </c>
      <c r="I26" s="15">
        <f>G26*H26</f>
        <v>0</v>
      </c>
      <c r="J26" s="14"/>
      <c r="K26" s="14"/>
      <c r="L26" s="15">
        <f>I26+J26+K26</f>
        <v>0</v>
      </c>
      <c r="M26" s="49"/>
      <c r="N26" s="50"/>
    </row>
    <row r="27" spans="1:14">
      <c r="A27" s="45">
        <v>2</v>
      </c>
      <c r="B27" s="93"/>
      <c r="C27" s="94"/>
      <c r="D27" s="88" t="s">
        <v>79</v>
      </c>
      <c r="E27" s="77"/>
      <c r="F27" s="77"/>
      <c r="G27" s="78">
        <f>E27-F27</f>
        <v>0</v>
      </c>
      <c r="H27" s="89">
        <v>0.1</v>
      </c>
      <c r="I27" s="78">
        <f>G27*H27</f>
        <v>0</v>
      </c>
      <c r="J27" s="77"/>
      <c r="K27" s="77"/>
      <c r="L27" s="78">
        <f>I27+J27+K27</f>
        <v>0</v>
      </c>
      <c r="M27" s="90"/>
      <c r="N27" s="91"/>
    </row>
    <row r="28" spans="1:14">
      <c r="A28" s="45">
        <v>3</v>
      </c>
      <c r="B28" s="95"/>
      <c r="C28" s="96"/>
      <c r="D28" s="112" t="s">
        <v>78</v>
      </c>
      <c r="E28" s="113">
        <f>E26-E27</f>
        <v>0</v>
      </c>
      <c r="F28" s="113">
        <f>F26-F27</f>
        <v>0</v>
      </c>
      <c r="G28" s="114">
        <f>E28-F28</f>
        <v>0</v>
      </c>
      <c r="H28" s="115">
        <v>0.1</v>
      </c>
      <c r="I28" s="114">
        <f>G28*H28</f>
        <v>0</v>
      </c>
      <c r="J28" s="113">
        <f>J26-J27</f>
        <v>0</v>
      </c>
      <c r="K28" s="113">
        <f>K26-K27</f>
        <v>0</v>
      </c>
      <c r="L28" s="114">
        <f>I28+J28+K28</f>
        <v>0</v>
      </c>
      <c r="M28" s="116">
        <f>M26-M27</f>
        <v>0</v>
      </c>
      <c r="N28" s="117">
        <f>N26-N27</f>
        <v>0</v>
      </c>
    </row>
    <row r="29" spans="1:14" s="87" customFormat="1">
      <c r="A29" s="66"/>
      <c r="B29" s="74"/>
      <c r="C29" s="74"/>
      <c r="D29" s="83"/>
      <c r="E29" s="84"/>
      <c r="F29" s="84"/>
      <c r="G29" s="85"/>
      <c r="H29" s="86"/>
      <c r="I29" s="85"/>
      <c r="J29" s="84"/>
      <c r="K29" s="84"/>
      <c r="L29" s="85"/>
    </row>
    <row r="30" spans="1:14" s="87" customFormat="1">
      <c r="A30" s="66">
        <v>4</v>
      </c>
      <c r="B30" s="46"/>
      <c r="C30" s="47"/>
      <c r="D30" s="69" t="s">
        <v>81</v>
      </c>
      <c r="E30" s="14"/>
      <c r="F30" s="14"/>
      <c r="G30" s="15">
        <f>E30-F30</f>
        <v>0</v>
      </c>
      <c r="H30" s="48">
        <v>0.1</v>
      </c>
      <c r="I30" s="15">
        <f>G30*H30</f>
        <v>0</v>
      </c>
      <c r="J30" s="14"/>
      <c r="K30" s="14"/>
      <c r="L30" s="15">
        <f>I30+J30+K30</f>
        <v>0</v>
      </c>
      <c r="M30" s="49"/>
      <c r="N30" s="50"/>
    </row>
    <row r="31" spans="1:14">
      <c r="A31" s="45">
        <v>5</v>
      </c>
      <c r="B31" s="93"/>
      <c r="C31" s="94"/>
      <c r="D31" s="88" t="s">
        <v>79</v>
      </c>
      <c r="E31" s="77"/>
      <c r="F31" s="77"/>
      <c r="G31" s="78">
        <f>E31-F31</f>
        <v>0</v>
      </c>
      <c r="H31" s="89">
        <v>0.1</v>
      </c>
      <c r="I31" s="78">
        <f>G31*H31</f>
        <v>0</v>
      </c>
      <c r="J31" s="77"/>
      <c r="K31" s="77"/>
      <c r="L31" s="78">
        <f>I31+J31+K31</f>
        <v>0</v>
      </c>
      <c r="M31" s="90"/>
      <c r="N31" s="91"/>
    </row>
    <row r="32" spans="1:14">
      <c r="A32" s="45">
        <v>6</v>
      </c>
      <c r="B32" s="95"/>
      <c r="C32" s="96"/>
      <c r="D32" s="112" t="s">
        <v>78</v>
      </c>
      <c r="E32" s="113">
        <f>E30-E31</f>
        <v>0</v>
      </c>
      <c r="F32" s="113">
        <f>F30-F31</f>
        <v>0</v>
      </c>
      <c r="G32" s="114">
        <f>E32-F32</f>
        <v>0</v>
      </c>
      <c r="H32" s="115">
        <v>0.1</v>
      </c>
      <c r="I32" s="114">
        <f>G32*H32</f>
        <v>0</v>
      </c>
      <c r="J32" s="113">
        <f>J30-J31</f>
        <v>0</v>
      </c>
      <c r="K32" s="113">
        <f>K30-K31</f>
        <v>0</v>
      </c>
      <c r="L32" s="114">
        <f>I32+J32+K32</f>
        <v>0</v>
      </c>
      <c r="M32" s="116">
        <f>M30-M31</f>
        <v>0</v>
      </c>
      <c r="N32" s="117">
        <f>N30-N31</f>
        <v>0</v>
      </c>
    </row>
    <row r="33" spans="1:14" s="87" customFormat="1">
      <c r="A33" s="66"/>
      <c r="B33" s="97"/>
      <c r="C33" s="97"/>
      <c r="D33" s="98"/>
      <c r="E33" s="99"/>
      <c r="F33" s="99"/>
      <c r="G33" s="100"/>
      <c r="H33" s="101"/>
      <c r="I33" s="100"/>
      <c r="J33" s="99"/>
      <c r="K33" s="99"/>
      <c r="L33" s="100"/>
      <c r="M33" s="102"/>
      <c r="N33" s="102"/>
    </row>
    <row r="34" spans="1:14">
      <c r="A34" s="45">
        <v>7</v>
      </c>
      <c r="B34" s="46"/>
      <c r="C34" s="47"/>
      <c r="D34" s="69" t="s">
        <v>81</v>
      </c>
      <c r="E34" s="14"/>
      <c r="F34" s="14"/>
      <c r="G34" s="15">
        <f>E34-F34</f>
        <v>0</v>
      </c>
      <c r="H34" s="48">
        <v>0.1</v>
      </c>
      <c r="I34" s="15">
        <f>G34*H34</f>
        <v>0</v>
      </c>
      <c r="J34" s="14"/>
      <c r="K34" s="14"/>
      <c r="L34" s="15">
        <f>I34+J34+K34</f>
        <v>0</v>
      </c>
      <c r="M34" s="49"/>
      <c r="N34" s="50"/>
    </row>
    <row r="35" spans="1:14">
      <c r="A35" s="45">
        <v>8</v>
      </c>
      <c r="B35" s="93"/>
      <c r="C35" s="94"/>
      <c r="D35" s="88" t="s">
        <v>79</v>
      </c>
      <c r="E35" s="77"/>
      <c r="F35" s="77"/>
      <c r="G35" s="78">
        <f>E35-F35</f>
        <v>0</v>
      </c>
      <c r="H35" s="89">
        <v>0.1</v>
      </c>
      <c r="I35" s="78">
        <f>G35*H35</f>
        <v>0</v>
      </c>
      <c r="J35" s="77"/>
      <c r="K35" s="77"/>
      <c r="L35" s="78">
        <f>I35+J35+K35</f>
        <v>0</v>
      </c>
      <c r="M35" s="90"/>
      <c r="N35" s="91"/>
    </row>
    <row r="36" spans="1:14">
      <c r="A36" s="45">
        <v>9</v>
      </c>
      <c r="B36" s="95"/>
      <c r="C36" s="96"/>
      <c r="D36" s="112" t="s">
        <v>78</v>
      </c>
      <c r="E36" s="113">
        <f>E34-E35</f>
        <v>0</v>
      </c>
      <c r="F36" s="113">
        <f>F34-F35</f>
        <v>0</v>
      </c>
      <c r="G36" s="114">
        <f>E36-F36</f>
        <v>0</v>
      </c>
      <c r="H36" s="115">
        <v>0.1</v>
      </c>
      <c r="I36" s="114">
        <f>G36*H36</f>
        <v>0</v>
      </c>
      <c r="J36" s="113">
        <f>J34-J35</f>
        <v>0</v>
      </c>
      <c r="K36" s="113">
        <f>K34-K35</f>
        <v>0</v>
      </c>
      <c r="L36" s="114">
        <f>I36+J36+K36</f>
        <v>0</v>
      </c>
      <c r="M36" s="116">
        <f>M34-M35</f>
        <v>0</v>
      </c>
      <c r="N36" s="117">
        <f>N34-N35</f>
        <v>0</v>
      </c>
    </row>
    <row r="37" spans="1:14" s="87" customFormat="1">
      <c r="A37" s="66"/>
      <c r="B37" s="97"/>
      <c r="C37" s="97"/>
      <c r="D37" s="98"/>
      <c r="E37" s="99"/>
      <c r="F37" s="99"/>
      <c r="G37" s="100"/>
      <c r="H37" s="101"/>
      <c r="I37" s="100"/>
      <c r="J37" s="99"/>
      <c r="K37" s="99"/>
      <c r="L37" s="100"/>
      <c r="M37" s="102"/>
      <c r="N37" s="102"/>
    </row>
    <row r="38" spans="1:14">
      <c r="A38" s="45">
        <v>10</v>
      </c>
      <c r="B38" s="46"/>
      <c r="C38" s="47"/>
      <c r="D38" s="69" t="s">
        <v>81</v>
      </c>
      <c r="E38" s="14"/>
      <c r="F38" s="14"/>
      <c r="G38" s="15">
        <f>E38-F38</f>
        <v>0</v>
      </c>
      <c r="H38" s="48">
        <v>0.1</v>
      </c>
      <c r="I38" s="15">
        <f>G38*H38</f>
        <v>0</v>
      </c>
      <c r="J38" s="14"/>
      <c r="K38" s="14"/>
      <c r="L38" s="15">
        <f>I38+J38+K38</f>
        <v>0</v>
      </c>
      <c r="M38" s="49"/>
      <c r="N38" s="50"/>
    </row>
    <row r="39" spans="1:14">
      <c r="A39" s="45">
        <v>11</v>
      </c>
      <c r="B39" s="93"/>
      <c r="C39" s="94"/>
      <c r="D39" s="88" t="s">
        <v>79</v>
      </c>
      <c r="E39" s="77"/>
      <c r="F39" s="77"/>
      <c r="G39" s="78">
        <f>E39-F39</f>
        <v>0</v>
      </c>
      <c r="H39" s="89">
        <v>0.1</v>
      </c>
      <c r="I39" s="78">
        <f>G39*H39</f>
        <v>0</v>
      </c>
      <c r="J39" s="77"/>
      <c r="K39" s="77"/>
      <c r="L39" s="78">
        <f>I39+J39+K39</f>
        <v>0</v>
      </c>
      <c r="M39" s="90"/>
      <c r="N39" s="91"/>
    </row>
    <row r="40" spans="1:14">
      <c r="A40" s="45">
        <v>12</v>
      </c>
      <c r="B40" s="95"/>
      <c r="C40" s="96"/>
      <c r="D40" s="112" t="s">
        <v>78</v>
      </c>
      <c r="E40" s="113">
        <f>E38-E39</f>
        <v>0</v>
      </c>
      <c r="F40" s="113">
        <f>F38-F39</f>
        <v>0</v>
      </c>
      <c r="G40" s="114">
        <f>E40-F40</f>
        <v>0</v>
      </c>
      <c r="H40" s="115">
        <v>0.1</v>
      </c>
      <c r="I40" s="114">
        <f>G40*H40</f>
        <v>0</v>
      </c>
      <c r="J40" s="113">
        <f>J38-J39</f>
        <v>0</v>
      </c>
      <c r="K40" s="113">
        <f>K38-K39</f>
        <v>0</v>
      </c>
      <c r="L40" s="114">
        <f>I40+J40+K40</f>
        <v>0</v>
      </c>
      <c r="M40" s="116">
        <f>M38-M39</f>
        <v>0</v>
      </c>
      <c r="N40" s="117">
        <f>N38-N39</f>
        <v>0</v>
      </c>
    </row>
    <row r="41" spans="1:14" s="87" customFormat="1">
      <c r="A41" s="66"/>
      <c r="B41" s="97"/>
      <c r="C41" s="97"/>
      <c r="D41" s="98"/>
      <c r="E41" s="99"/>
      <c r="F41" s="99"/>
      <c r="G41" s="100"/>
      <c r="H41" s="101"/>
      <c r="I41" s="100"/>
      <c r="J41" s="99"/>
      <c r="K41" s="99"/>
      <c r="L41" s="100"/>
      <c r="M41" s="102"/>
      <c r="N41" s="102"/>
    </row>
    <row r="42" spans="1:14" s="87" customFormat="1">
      <c r="A42" s="66"/>
      <c r="B42" s="103"/>
      <c r="C42" s="103"/>
      <c r="D42" s="104"/>
      <c r="E42" s="105"/>
      <c r="F42" s="105"/>
      <c r="G42" s="106"/>
      <c r="H42" s="107"/>
      <c r="I42" s="106"/>
      <c r="J42" s="105"/>
      <c r="K42" s="105"/>
      <c r="L42" s="106"/>
      <c r="M42" s="108"/>
      <c r="N42" s="108"/>
    </row>
    <row r="43" spans="1:14">
      <c r="A43" s="51"/>
      <c r="B43" s="51"/>
      <c r="C43" s="118" t="s">
        <v>87</v>
      </c>
      <c r="D43" s="70"/>
      <c r="E43" s="53">
        <f>E28+E32+E36+E40</f>
        <v>0</v>
      </c>
      <c r="F43" s="53">
        <f>F28+F32+F36+F40</f>
        <v>0</v>
      </c>
      <c r="G43" s="53">
        <f>G28+G32+G36+G40</f>
        <v>0</v>
      </c>
      <c r="H43" s="53"/>
      <c r="I43" s="53">
        <f t="shared" ref="I43:N43" si="0">I28+I32+I36+I40</f>
        <v>0</v>
      </c>
      <c r="J43" s="53">
        <f t="shared" si="0"/>
        <v>0</v>
      </c>
      <c r="K43" s="53">
        <f t="shared" si="0"/>
        <v>0</v>
      </c>
      <c r="L43" s="54">
        <f t="shared" si="0"/>
        <v>0</v>
      </c>
      <c r="M43" s="120">
        <f t="shared" si="0"/>
        <v>0</v>
      </c>
      <c r="N43" s="121">
        <f t="shared" si="0"/>
        <v>0</v>
      </c>
    </row>
  </sheetData>
  <sheetProtection password="CCBC" sheet="1"/>
  <mergeCells count="23">
    <mergeCell ref="B1:N1"/>
    <mergeCell ref="B2:N2"/>
    <mergeCell ref="B4:N4"/>
    <mergeCell ref="E13:G13"/>
    <mergeCell ref="I5:N5"/>
    <mergeCell ref="B5:G5"/>
    <mergeCell ref="C6:G6"/>
    <mergeCell ref="C7:G7"/>
    <mergeCell ref="I12:J12"/>
    <mergeCell ref="I10:J10"/>
    <mergeCell ref="K12:L12"/>
    <mergeCell ref="B3:N3"/>
    <mergeCell ref="I6:N8"/>
    <mergeCell ref="K9:N9"/>
    <mergeCell ref="K11:N11"/>
    <mergeCell ref="K10:N10"/>
    <mergeCell ref="J18:L18"/>
    <mergeCell ref="C8:G8"/>
    <mergeCell ref="I11:J11"/>
    <mergeCell ref="C9:G9"/>
    <mergeCell ref="C10:G10"/>
    <mergeCell ref="C11:G11"/>
    <mergeCell ref="B14:C14"/>
  </mergeCells>
  <phoneticPr fontId="2" type="noConversion"/>
  <printOptions horizontalCentered="1"/>
  <pageMargins left="0" right="0" top="0.25" bottom="0.45" header="0.5" footer="0.16"/>
  <pageSetup scale="90" orientation="landscape" horizontalDpi="4294967295" r:id="rId1"/>
  <headerFooter alignWithMargins="0">
    <oddFooter>&amp;CPage 1&amp;R&amp;9&amp;D&amp;T</oddFooter>
  </headerFooter>
</worksheet>
</file>

<file path=xl/worksheets/sheet3.xml><?xml version="1.0" encoding="utf-8"?>
<worksheet xmlns="http://schemas.openxmlformats.org/spreadsheetml/2006/main" xmlns:r="http://schemas.openxmlformats.org/officeDocument/2006/relationships">
  <dimension ref="A1:N51"/>
  <sheetViews>
    <sheetView showGridLines="0" workbookViewId="0"/>
  </sheetViews>
  <sheetFormatPr defaultRowHeight="12.75"/>
  <cols>
    <col min="1" max="1" width="3" style="55" bestFit="1" customWidth="1"/>
    <col min="2" max="3" width="9.140625" style="55"/>
    <col min="4" max="4" width="13" style="55" customWidth="1"/>
    <col min="5" max="5" width="9.140625" style="55"/>
    <col min="6" max="6" width="11.42578125" style="55" bestFit="1" customWidth="1"/>
    <col min="7" max="11" width="9.140625" style="55"/>
    <col min="12" max="12" width="10.5703125" style="55" customWidth="1"/>
    <col min="13" max="13" width="10.42578125" style="55" customWidth="1"/>
    <col min="14" max="14" width="10" style="55" customWidth="1"/>
    <col min="15" max="16384" width="9.140625" style="55"/>
  </cols>
  <sheetData>
    <row r="1" spans="1:14" s="44" customFormat="1" ht="36">
      <c r="A1" s="41"/>
      <c r="B1" s="42" t="s">
        <v>0</v>
      </c>
      <c r="C1" s="42" t="s">
        <v>1</v>
      </c>
      <c r="D1" s="42" t="s">
        <v>77</v>
      </c>
      <c r="E1" s="43" t="s">
        <v>2</v>
      </c>
      <c r="F1" s="43" t="s">
        <v>4</v>
      </c>
      <c r="G1" s="43" t="s">
        <v>3</v>
      </c>
      <c r="H1" s="42" t="s">
        <v>5</v>
      </c>
      <c r="I1" s="43" t="s">
        <v>6</v>
      </c>
      <c r="J1" s="43" t="s">
        <v>7</v>
      </c>
      <c r="K1" s="43" t="s">
        <v>8</v>
      </c>
      <c r="L1" s="43" t="s">
        <v>9</v>
      </c>
      <c r="M1" s="42" t="s">
        <v>10</v>
      </c>
      <c r="N1" s="42" t="s">
        <v>28</v>
      </c>
    </row>
    <row r="2" spans="1:14" s="16" customFormat="1" ht="12">
      <c r="A2" s="45">
        <v>1</v>
      </c>
      <c r="B2" s="46"/>
      <c r="C2" s="47"/>
      <c r="D2" s="69" t="s">
        <v>81</v>
      </c>
      <c r="E2" s="14"/>
      <c r="F2" s="14"/>
      <c r="G2" s="15">
        <f>E2-F2</f>
        <v>0</v>
      </c>
      <c r="H2" s="48">
        <v>0.1</v>
      </c>
      <c r="I2" s="15">
        <f>G2*H2</f>
        <v>0</v>
      </c>
      <c r="J2" s="14"/>
      <c r="K2" s="14"/>
      <c r="L2" s="15">
        <f>I2+J2+K2</f>
        <v>0</v>
      </c>
      <c r="M2" s="49"/>
      <c r="N2" s="50"/>
    </row>
    <row r="3" spans="1:14" s="16" customFormat="1" ht="12">
      <c r="A3" s="45">
        <v>2</v>
      </c>
      <c r="B3" s="93"/>
      <c r="C3" s="94"/>
      <c r="D3" s="88" t="s">
        <v>79</v>
      </c>
      <c r="E3" s="77"/>
      <c r="F3" s="77"/>
      <c r="G3" s="78">
        <f>E3-F3</f>
        <v>0</v>
      </c>
      <c r="H3" s="89">
        <v>0.1</v>
      </c>
      <c r="I3" s="78">
        <f>G3*H3</f>
        <v>0</v>
      </c>
      <c r="J3" s="77"/>
      <c r="K3" s="77"/>
      <c r="L3" s="78">
        <f>I3+J3+K3</f>
        <v>0</v>
      </c>
      <c r="M3" s="90"/>
      <c r="N3" s="91"/>
    </row>
    <row r="4" spans="1:14" s="16" customFormat="1" ht="12">
      <c r="A4" s="45">
        <v>3</v>
      </c>
      <c r="B4" s="95"/>
      <c r="C4" s="96"/>
      <c r="D4" s="112" t="s">
        <v>78</v>
      </c>
      <c r="E4" s="113">
        <f>E2-E3</f>
        <v>0</v>
      </c>
      <c r="F4" s="113">
        <f>F2-F3</f>
        <v>0</v>
      </c>
      <c r="G4" s="114">
        <f>E4-F4</f>
        <v>0</v>
      </c>
      <c r="H4" s="115">
        <v>0.1</v>
      </c>
      <c r="I4" s="114">
        <f>G4*H4</f>
        <v>0</v>
      </c>
      <c r="J4" s="113">
        <f>J2-J3</f>
        <v>0</v>
      </c>
      <c r="K4" s="113">
        <f>K2-K3</f>
        <v>0</v>
      </c>
      <c r="L4" s="114">
        <f>I4+J4+K4</f>
        <v>0</v>
      </c>
      <c r="M4" s="116">
        <f>M2-M3</f>
        <v>0</v>
      </c>
      <c r="N4" s="117">
        <f>N2-N3</f>
        <v>0</v>
      </c>
    </row>
    <row r="5" spans="1:14" s="16" customFormat="1" ht="12">
      <c r="A5" s="66"/>
      <c r="B5" s="74"/>
      <c r="C5" s="74"/>
      <c r="D5" s="83"/>
      <c r="E5" s="84"/>
      <c r="F5" s="84"/>
      <c r="G5" s="85"/>
      <c r="H5" s="86"/>
      <c r="I5" s="85"/>
      <c r="J5" s="84"/>
      <c r="K5" s="84"/>
      <c r="L5" s="85"/>
      <c r="M5" s="87"/>
      <c r="N5" s="51"/>
    </row>
    <row r="6" spans="1:14" s="16" customFormat="1" ht="12">
      <c r="A6" s="66">
        <v>4</v>
      </c>
      <c r="B6" s="46"/>
      <c r="C6" s="47"/>
      <c r="D6" s="69" t="s">
        <v>81</v>
      </c>
      <c r="E6" s="14"/>
      <c r="F6" s="14"/>
      <c r="G6" s="15">
        <f>E6-F6</f>
        <v>0</v>
      </c>
      <c r="H6" s="48">
        <v>0.1</v>
      </c>
      <c r="I6" s="15">
        <f>G6*H6</f>
        <v>0</v>
      </c>
      <c r="J6" s="14"/>
      <c r="K6" s="14"/>
      <c r="L6" s="15">
        <f>I6+J6+K6</f>
        <v>0</v>
      </c>
      <c r="M6" s="49"/>
      <c r="N6" s="50"/>
    </row>
    <row r="7" spans="1:14" s="16" customFormat="1" ht="12">
      <c r="A7" s="45">
        <v>5</v>
      </c>
      <c r="B7" s="93"/>
      <c r="C7" s="94"/>
      <c r="D7" s="88" t="s">
        <v>79</v>
      </c>
      <c r="E7" s="77"/>
      <c r="F7" s="77"/>
      <c r="G7" s="78">
        <f>E7-F7</f>
        <v>0</v>
      </c>
      <c r="H7" s="89">
        <v>0.1</v>
      </c>
      <c r="I7" s="78">
        <f>G7*H7</f>
        <v>0</v>
      </c>
      <c r="J7" s="77"/>
      <c r="K7" s="77"/>
      <c r="L7" s="78">
        <f>I7+J7+K7</f>
        <v>0</v>
      </c>
      <c r="M7" s="90"/>
      <c r="N7" s="91"/>
    </row>
    <row r="8" spans="1:14" s="16" customFormat="1" ht="12">
      <c r="A8" s="45">
        <v>6</v>
      </c>
      <c r="B8" s="95"/>
      <c r="C8" s="96"/>
      <c r="D8" s="112" t="s">
        <v>78</v>
      </c>
      <c r="E8" s="113">
        <f>E6-E7</f>
        <v>0</v>
      </c>
      <c r="F8" s="113">
        <f>F6-F7</f>
        <v>0</v>
      </c>
      <c r="G8" s="114">
        <f>E8-F8</f>
        <v>0</v>
      </c>
      <c r="H8" s="115">
        <v>0.1</v>
      </c>
      <c r="I8" s="114">
        <f>G8*H8</f>
        <v>0</v>
      </c>
      <c r="J8" s="113">
        <f>J6-J7</f>
        <v>0</v>
      </c>
      <c r="K8" s="113">
        <f>K6-K7</f>
        <v>0</v>
      </c>
      <c r="L8" s="114">
        <f>I8+J8+K8</f>
        <v>0</v>
      </c>
      <c r="M8" s="116">
        <f>M6-M7</f>
        <v>0</v>
      </c>
      <c r="N8" s="117">
        <f>N6-N7</f>
        <v>0</v>
      </c>
    </row>
    <row r="9" spans="1:14" s="16" customFormat="1" ht="12">
      <c r="A9" s="66"/>
      <c r="B9" s="97"/>
      <c r="C9" s="97"/>
      <c r="D9" s="98"/>
      <c r="E9" s="99"/>
      <c r="F9" s="99"/>
      <c r="G9" s="100"/>
      <c r="H9" s="101"/>
      <c r="I9" s="100"/>
      <c r="J9" s="99"/>
      <c r="K9" s="99"/>
      <c r="L9" s="100"/>
      <c r="M9" s="102"/>
      <c r="N9" s="51"/>
    </row>
    <row r="10" spans="1:14" s="16" customFormat="1" ht="12">
      <c r="A10" s="45">
        <v>7</v>
      </c>
      <c r="B10" s="46"/>
      <c r="C10" s="47"/>
      <c r="D10" s="69" t="s">
        <v>81</v>
      </c>
      <c r="E10" s="14"/>
      <c r="F10" s="14"/>
      <c r="G10" s="15">
        <f>E10-F10</f>
        <v>0</v>
      </c>
      <c r="H10" s="48">
        <v>0.1</v>
      </c>
      <c r="I10" s="15">
        <f>G10*H10</f>
        <v>0</v>
      </c>
      <c r="J10" s="14"/>
      <c r="K10" s="14"/>
      <c r="L10" s="15">
        <f>I10+J10+K10</f>
        <v>0</v>
      </c>
      <c r="M10" s="49"/>
      <c r="N10" s="50"/>
    </row>
    <row r="11" spans="1:14" s="16" customFormat="1" ht="12">
      <c r="A11" s="45">
        <v>8</v>
      </c>
      <c r="B11" s="93"/>
      <c r="C11" s="94"/>
      <c r="D11" s="88" t="s">
        <v>79</v>
      </c>
      <c r="E11" s="77"/>
      <c r="F11" s="77"/>
      <c r="G11" s="78">
        <f>E11-F11</f>
        <v>0</v>
      </c>
      <c r="H11" s="89">
        <v>0.1</v>
      </c>
      <c r="I11" s="78">
        <f>G11*H11</f>
        <v>0</v>
      </c>
      <c r="J11" s="77"/>
      <c r="K11" s="77"/>
      <c r="L11" s="78">
        <f>I11+J11+K11</f>
        <v>0</v>
      </c>
      <c r="M11" s="90"/>
      <c r="N11" s="91"/>
    </row>
    <row r="12" spans="1:14" s="16" customFormat="1" ht="12">
      <c r="A12" s="45">
        <v>9</v>
      </c>
      <c r="B12" s="95"/>
      <c r="C12" s="96"/>
      <c r="D12" s="112" t="s">
        <v>78</v>
      </c>
      <c r="E12" s="113">
        <f>E10-E11</f>
        <v>0</v>
      </c>
      <c r="F12" s="113">
        <f>F10-F11</f>
        <v>0</v>
      </c>
      <c r="G12" s="114">
        <f>E12-F12</f>
        <v>0</v>
      </c>
      <c r="H12" s="115">
        <v>0.1</v>
      </c>
      <c r="I12" s="114">
        <f>G12*H12</f>
        <v>0</v>
      </c>
      <c r="J12" s="113">
        <f>J10-J11</f>
        <v>0</v>
      </c>
      <c r="K12" s="113">
        <f>K10-K11</f>
        <v>0</v>
      </c>
      <c r="L12" s="114">
        <f>I12+J12+K12</f>
        <v>0</v>
      </c>
      <c r="M12" s="116">
        <f>M10-M11</f>
        <v>0</v>
      </c>
      <c r="N12" s="117">
        <f>N10-N11</f>
        <v>0</v>
      </c>
    </row>
    <row r="13" spans="1:14" s="16" customFormat="1" ht="12">
      <c r="A13" s="66"/>
      <c r="B13" s="97"/>
      <c r="C13" s="97"/>
      <c r="D13" s="98"/>
      <c r="E13" s="99"/>
      <c r="F13" s="99"/>
      <c r="G13" s="100"/>
      <c r="H13" s="101"/>
      <c r="I13" s="100"/>
      <c r="J13" s="99"/>
      <c r="K13" s="99"/>
      <c r="L13" s="100"/>
      <c r="M13" s="102"/>
      <c r="N13" s="51"/>
    </row>
    <row r="14" spans="1:14" s="16" customFormat="1" ht="12">
      <c r="A14" s="45">
        <v>10</v>
      </c>
      <c r="B14" s="46"/>
      <c r="C14" s="47"/>
      <c r="D14" s="69" t="s">
        <v>81</v>
      </c>
      <c r="E14" s="14"/>
      <c r="F14" s="14"/>
      <c r="G14" s="15">
        <f>E14-F14</f>
        <v>0</v>
      </c>
      <c r="H14" s="48">
        <v>0.1</v>
      </c>
      <c r="I14" s="15">
        <f>G14*H14</f>
        <v>0</v>
      </c>
      <c r="J14" s="14"/>
      <c r="K14" s="14"/>
      <c r="L14" s="15">
        <f>I14+J14+K14</f>
        <v>0</v>
      </c>
      <c r="M14" s="49"/>
      <c r="N14" s="50"/>
    </row>
    <row r="15" spans="1:14" s="16" customFormat="1" ht="12">
      <c r="A15" s="45">
        <v>11</v>
      </c>
      <c r="B15" s="93"/>
      <c r="C15" s="94"/>
      <c r="D15" s="88" t="s">
        <v>79</v>
      </c>
      <c r="E15" s="77"/>
      <c r="F15" s="77"/>
      <c r="G15" s="78">
        <f>E15-F15</f>
        <v>0</v>
      </c>
      <c r="H15" s="89">
        <v>0.1</v>
      </c>
      <c r="I15" s="78">
        <f>G15*H15</f>
        <v>0</v>
      </c>
      <c r="J15" s="77"/>
      <c r="K15" s="77"/>
      <c r="L15" s="78">
        <f>I15+J15+K15</f>
        <v>0</v>
      </c>
      <c r="M15" s="90"/>
      <c r="N15" s="91"/>
    </row>
    <row r="16" spans="1:14" s="16" customFormat="1" ht="12">
      <c r="A16" s="45">
        <v>12</v>
      </c>
      <c r="B16" s="95"/>
      <c r="C16" s="96"/>
      <c r="D16" s="112" t="s">
        <v>78</v>
      </c>
      <c r="E16" s="113">
        <f>E14-E15</f>
        <v>0</v>
      </c>
      <c r="F16" s="113">
        <f>F14-F15</f>
        <v>0</v>
      </c>
      <c r="G16" s="114">
        <f>E16-F16</f>
        <v>0</v>
      </c>
      <c r="H16" s="115">
        <v>0.1</v>
      </c>
      <c r="I16" s="114">
        <f>G16*H16</f>
        <v>0</v>
      </c>
      <c r="J16" s="113">
        <f>J14-J15</f>
        <v>0</v>
      </c>
      <c r="K16" s="113">
        <f>K14-K15</f>
        <v>0</v>
      </c>
      <c r="L16" s="114">
        <f>I16+J16+K16</f>
        <v>0</v>
      </c>
      <c r="M16" s="116">
        <f>M14-M15</f>
        <v>0</v>
      </c>
      <c r="N16" s="117">
        <f>N14-N15</f>
        <v>0</v>
      </c>
    </row>
    <row r="17" spans="1:14" s="16" customFormat="1" ht="12">
      <c r="A17" s="66"/>
      <c r="B17" s="97"/>
      <c r="C17" s="97"/>
      <c r="D17" s="98"/>
      <c r="E17" s="99"/>
      <c r="F17" s="99"/>
      <c r="G17" s="100"/>
      <c r="H17" s="101"/>
      <c r="I17" s="100"/>
      <c r="J17" s="99"/>
      <c r="K17" s="99"/>
      <c r="L17" s="100"/>
      <c r="M17" s="102"/>
      <c r="N17" s="51"/>
    </row>
    <row r="18" spans="1:14" s="16" customFormat="1" ht="12">
      <c r="A18" s="45">
        <v>13</v>
      </c>
      <c r="B18" s="46"/>
      <c r="C18" s="47"/>
      <c r="D18" s="69" t="s">
        <v>81</v>
      </c>
      <c r="E18" s="14"/>
      <c r="F18" s="14"/>
      <c r="G18" s="15">
        <f>E18-F18</f>
        <v>0</v>
      </c>
      <c r="H18" s="48">
        <v>0.1</v>
      </c>
      <c r="I18" s="15">
        <f>G18*H18</f>
        <v>0</v>
      </c>
      <c r="J18" s="14"/>
      <c r="K18" s="14"/>
      <c r="L18" s="15">
        <f>I18+J18+K18</f>
        <v>0</v>
      </c>
      <c r="M18" s="49"/>
      <c r="N18" s="50"/>
    </row>
    <row r="19" spans="1:14" s="16" customFormat="1" ht="12">
      <c r="A19" s="45">
        <v>14</v>
      </c>
      <c r="B19" s="93"/>
      <c r="C19" s="94"/>
      <c r="D19" s="88" t="s">
        <v>79</v>
      </c>
      <c r="E19" s="77"/>
      <c r="F19" s="77"/>
      <c r="G19" s="78">
        <f>E19-F19</f>
        <v>0</v>
      </c>
      <c r="H19" s="89">
        <v>0.1</v>
      </c>
      <c r="I19" s="78">
        <f>G19*H19</f>
        <v>0</v>
      </c>
      <c r="J19" s="77"/>
      <c r="K19" s="77"/>
      <c r="L19" s="78">
        <f>I19+J19+K19</f>
        <v>0</v>
      </c>
      <c r="M19" s="90"/>
      <c r="N19" s="91"/>
    </row>
    <row r="20" spans="1:14" s="16" customFormat="1" ht="12">
      <c r="A20" s="45">
        <v>15</v>
      </c>
      <c r="B20" s="95"/>
      <c r="C20" s="96"/>
      <c r="D20" s="112" t="s">
        <v>78</v>
      </c>
      <c r="E20" s="113">
        <f>E18-E19</f>
        <v>0</v>
      </c>
      <c r="F20" s="113">
        <f>F18-F19</f>
        <v>0</v>
      </c>
      <c r="G20" s="114">
        <f>E20-F20</f>
        <v>0</v>
      </c>
      <c r="H20" s="115">
        <v>0.1</v>
      </c>
      <c r="I20" s="114">
        <f>G20*H20</f>
        <v>0</v>
      </c>
      <c r="J20" s="113">
        <f>J18-J19</f>
        <v>0</v>
      </c>
      <c r="K20" s="113">
        <f>K18-K19</f>
        <v>0</v>
      </c>
      <c r="L20" s="114">
        <f>I20+J20+K20</f>
        <v>0</v>
      </c>
      <c r="M20" s="116">
        <f>M18-M19</f>
        <v>0</v>
      </c>
      <c r="N20" s="117">
        <f>N18-N19</f>
        <v>0</v>
      </c>
    </row>
    <row r="21" spans="1:14" s="16" customFormat="1" ht="12">
      <c r="A21" s="66"/>
      <c r="B21" s="97"/>
      <c r="C21" s="97"/>
      <c r="D21" s="98"/>
      <c r="E21" s="99"/>
      <c r="F21" s="99"/>
      <c r="G21" s="100"/>
      <c r="H21" s="101"/>
      <c r="I21" s="100"/>
      <c r="J21" s="99"/>
      <c r="K21" s="99"/>
      <c r="L21" s="100"/>
      <c r="M21" s="102"/>
      <c r="N21" s="51"/>
    </row>
    <row r="22" spans="1:14" s="16" customFormat="1" ht="12">
      <c r="A22" s="45">
        <v>16</v>
      </c>
      <c r="B22" s="46"/>
      <c r="C22" s="47"/>
      <c r="D22" s="69" t="s">
        <v>81</v>
      </c>
      <c r="E22" s="14"/>
      <c r="F22" s="14"/>
      <c r="G22" s="15">
        <f>E22-F22</f>
        <v>0</v>
      </c>
      <c r="H22" s="48">
        <v>0.1</v>
      </c>
      <c r="I22" s="15">
        <f>G22*H22</f>
        <v>0</v>
      </c>
      <c r="J22" s="14"/>
      <c r="K22" s="14"/>
      <c r="L22" s="15">
        <f>I22+J22+K22</f>
        <v>0</v>
      </c>
      <c r="M22" s="49"/>
      <c r="N22" s="50"/>
    </row>
    <row r="23" spans="1:14" s="16" customFormat="1" ht="12">
      <c r="A23" s="45">
        <v>17</v>
      </c>
      <c r="B23" s="93"/>
      <c r="C23" s="94"/>
      <c r="D23" s="88" t="s">
        <v>79</v>
      </c>
      <c r="E23" s="77"/>
      <c r="F23" s="77"/>
      <c r="G23" s="78">
        <f>E23-F23</f>
        <v>0</v>
      </c>
      <c r="H23" s="89">
        <v>0.1</v>
      </c>
      <c r="I23" s="78">
        <f>G23*H23</f>
        <v>0</v>
      </c>
      <c r="J23" s="77"/>
      <c r="K23" s="77"/>
      <c r="L23" s="78">
        <f>I23+J23+K23</f>
        <v>0</v>
      </c>
      <c r="M23" s="90"/>
      <c r="N23" s="91"/>
    </row>
    <row r="24" spans="1:14" s="16" customFormat="1" ht="12">
      <c r="A24" s="45">
        <v>18</v>
      </c>
      <c r="B24" s="95"/>
      <c r="C24" s="96"/>
      <c r="D24" s="112" t="s">
        <v>78</v>
      </c>
      <c r="E24" s="113">
        <f>E22-E23</f>
        <v>0</v>
      </c>
      <c r="F24" s="113">
        <f>F22-F23</f>
        <v>0</v>
      </c>
      <c r="G24" s="114">
        <f>E24-F24</f>
        <v>0</v>
      </c>
      <c r="H24" s="115">
        <v>0.1</v>
      </c>
      <c r="I24" s="114">
        <f>G24*H24</f>
        <v>0</v>
      </c>
      <c r="J24" s="113">
        <f>J22-J23</f>
        <v>0</v>
      </c>
      <c r="K24" s="113">
        <f>K22-K23</f>
        <v>0</v>
      </c>
      <c r="L24" s="114">
        <f>I24+J24+K24</f>
        <v>0</v>
      </c>
      <c r="M24" s="116">
        <f>M22-M23</f>
        <v>0</v>
      </c>
      <c r="N24" s="117">
        <f>N22-N23</f>
        <v>0</v>
      </c>
    </row>
    <row r="25" spans="1:14" s="16" customFormat="1" ht="12">
      <c r="A25" s="66"/>
      <c r="B25" s="122"/>
      <c r="C25" s="122"/>
      <c r="D25" s="123"/>
      <c r="E25" s="123"/>
      <c r="F25" s="53"/>
      <c r="G25" s="124"/>
      <c r="H25" s="53"/>
      <c r="I25" s="123"/>
      <c r="J25" s="123"/>
      <c r="K25" s="53"/>
      <c r="L25" s="51"/>
      <c r="M25" s="51"/>
      <c r="N25" s="51"/>
    </row>
    <row r="26" spans="1:14" s="16" customFormat="1" ht="12">
      <c r="A26" s="66">
        <v>19</v>
      </c>
      <c r="B26" s="72"/>
      <c r="C26" s="73"/>
      <c r="D26" s="79" t="s">
        <v>81</v>
      </c>
      <c r="E26" s="75"/>
      <c r="F26" s="75"/>
      <c r="G26" s="76">
        <f>E26-F26</f>
        <v>0</v>
      </c>
      <c r="H26" s="80">
        <v>0.1</v>
      </c>
      <c r="I26" s="76">
        <f>G26*H26</f>
        <v>0</v>
      </c>
      <c r="J26" s="75"/>
      <c r="K26" s="75"/>
      <c r="L26" s="76">
        <f>I26+J26+K26</f>
        <v>0</v>
      </c>
      <c r="M26" s="81"/>
      <c r="N26" s="82"/>
    </row>
    <row r="27" spans="1:14" s="16" customFormat="1" ht="12">
      <c r="A27" s="45">
        <v>20</v>
      </c>
      <c r="B27" s="93"/>
      <c r="C27" s="94"/>
      <c r="D27" s="88" t="s">
        <v>79</v>
      </c>
      <c r="E27" s="77"/>
      <c r="F27" s="77"/>
      <c r="G27" s="78">
        <f>E27-F27</f>
        <v>0</v>
      </c>
      <c r="H27" s="89">
        <v>0.1</v>
      </c>
      <c r="I27" s="78">
        <f>G27*H27</f>
        <v>0</v>
      </c>
      <c r="J27" s="77"/>
      <c r="K27" s="77"/>
      <c r="L27" s="78">
        <f>I27+J27+K27</f>
        <v>0</v>
      </c>
      <c r="M27" s="90"/>
      <c r="N27" s="91"/>
    </row>
    <row r="28" spans="1:14" s="16" customFormat="1" ht="12">
      <c r="A28" s="45">
        <v>21</v>
      </c>
      <c r="B28" s="95"/>
      <c r="C28" s="96"/>
      <c r="D28" s="112" t="s">
        <v>78</v>
      </c>
      <c r="E28" s="113">
        <f>E26-E27</f>
        <v>0</v>
      </c>
      <c r="F28" s="113">
        <f>F26-F27</f>
        <v>0</v>
      </c>
      <c r="G28" s="114">
        <f>E28-F28</f>
        <v>0</v>
      </c>
      <c r="H28" s="115">
        <v>0.1</v>
      </c>
      <c r="I28" s="114">
        <f>G28*H28</f>
        <v>0</v>
      </c>
      <c r="J28" s="113">
        <f>J26-J27</f>
        <v>0</v>
      </c>
      <c r="K28" s="113">
        <f>K26-K27</f>
        <v>0</v>
      </c>
      <c r="L28" s="114">
        <f>I28+J28+K28</f>
        <v>0</v>
      </c>
      <c r="M28" s="116">
        <f>M26-M27</f>
        <v>0</v>
      </c>
      <c r="N28" s="117">
        <f>N26-N27</f>
        <v>0</v>
      </c>
    </row>
    <row r="29" spans="1:14" s="16" customFormat="1" ht="12">
      <c r="A29" s="66"/>
      <c r="B29" s="97"/>
      <c r="C29" s="97"/>
      <c r="D29" s="98"/>
      <c r="E29" s="99"/>
      <c r="F29" s="99"/>
      <c r="G29" s="100"/>
      <c r="H29" s="101"/>
      <c r="I29" s="100"/>
      <c r="J29" s="99"/>
      <c r="K29" s="99"/>
      <c r="L29" s="100"/>
      <c r="M29" s="102"/>
      <c r="N29" s="51"/>
    </row>
    <row r="30" spans="1:14" s="16" customFormat="1" ht="12">
      <c r="A30" s="45">
        <v>22</v>
      </c>
      <c r="B30" s="46"/>
      <c r="C30" s="47"/>
      <c r="D30" s="69" t="s">
        <v>81</v>
      </c>
      <c r="E30" s="14"/>
      <c r="F30" s="14"/>
      <c r="G30" s="15">
        <f>E30-F30</f>
        <v>0</v>
      </c>
      <c r="H30" s="48">
        <v>0.1</v>
      </c>
      <c r="I30" s="15">
        <f>G30*H30</f>
        <v>0</v>
      </c>
      <c r="J30" s="14"/>
      <c r="K30" s="14"/>
      <c r="L30" s="15">
        <f>I30+J30+K30</f>
        <v>0</v>
      </c>
      <c r="M30" s="49"/>
      <c r="N30" s="50"/>
    </row>
    <row r="31" spans="1:14" s="16" customFormat="1" ht="12">
      <c r="A31" s="45">
        <v>23</v>
      </c>
      <c r="B31" s="93"/>
      <c r="C31" s="94"/>
      <c r="D31" s="88" t="s">
        <v>79</v>
      </c>
      <c r="E31" s="77"/>
      <c r="F31" s="77"/>
      <c r="G31" s="78">
        <f>E31-F31</f>
        <v>0</v>
      </c>
      <c r="H31" s="89">
        <v>0.1</v>
      </c>
      <c r="I31" s="78">
        <f>G31*H31</f>
        <v>0</v>
      </c>
      <c r="J31" s="77"/>
      <c r="K31" s="77"/>
      <c r="L31" s="78">
        <f>I31+J31+K31</f>
        <v>0</v>
      </c>
      <c r="M31" s="90"/>
      <c r="N31" s="91"/>
    </row>
    <row r="32" spans="1:14" s="16" customFormat="1" ht="12">
      <c r="A32" s="45">
        <v>24</v>
      </c>
      <c r="B32" s="95"/>
      <c r="C32" s="96"/>
      <c r="D32" s="112" t="s">
        <v>78</v>
      </c>
      <c r="E32" s="113">
        <f>E30-E31</f>
        <v>0</v>
      </c>
      <c r="F32" s="113">
        <f>F30-F31</f>
        <v>0</v>
      </c>
      <c r="G32" s="114">
        <f>E32-F32</f>
        <v>0</v>
      </c>
      <c r="H32" s="115">
        <v>0.1</v>
      </c>
      <c r="I32" s="114">
        <f>G32*H32</f>
        <v>0</v>
      </c>
      <c r="J32" s="113">
        <f>J30-J31</f>
        <v>0</v>
      </c>
      <c r="K32" s="113">
        <f>K30-K31</f>
        <v>0</v>
      </c>
      <c r="L32" s="114">
        <f>I32+J32+K32</f>
        <v>0</v>
      </c>
      <c r="M32" s="116">
        <f>M30-M31</f>
        <v>0</v>
      </c>
      <c r="N32" s="117">
        <f>N30-N31</f>
        <v>0</v>
      </c>
    </row>
    <row r="33" spans="1:14" s="16" customFormat="1" ht="12">
      <c r="A33" s="66"/>
      <c r="B33" s="97"/>
      <c r="C33" s="97"/>
      <c r="D33" s="98"/>
      <c r="E33" s="99"/>
      <c r="F33" s="99"/>
      <c r="G33" s="100"/>
      <c r="H33" s="101"/>
      <c r="I33" s="100"/>
      <c r="J33" s="99"/>
      <c r="K33" s="99"/>
      <c r="L33" s="100"/>
      <c r="M33" s="102"/>
      <c r="N33" s="51"/>
    </row>
    <row r="34" spans="1:14" s="16" customFormat="1" ht="12">
      <c r="A34" s="45">
        <v>25</v>
      </c>
      <c r="B34" s="46"/>
      <c r="C34" s="47"/>
      <c r="D34" s="69" t="s">
        <v>81</v>
      </c>
      <c r="E34" s="14"/>
      <c r="F34" s="14"/>
      <c r="G34" s="15">
        <f>E34-F34</f>
        <v>0</v>
      </c>
      <c r="H34" s="48">
        <v>0.1</v>
      </c>
      <c r="I34" s="15">
        <f>G34*H34</f>
        <v>0</v>
      </c>
      <c r="J34" s="14"/>
      <c r="K34" s="14"/>
      <c r="L34" s="15">
        <f>I34+J34+K34</f>
        <v>0</v>
      </c>
      <c r="M34" s="49"/>
      <c r="N34" s="50"/>
    </row>
    <row r="35" spans="1:14" s="16" customFormat="1" ht="12">
      <c r="A35" s="45">
        <v>26</v>
      </c>
      <c r="B35" s="93"/>
      <c r="C35" s="94"/>
      <c r="D35" s="88" t="s">
        <v>79</v>
      </c>
      <c r="E35" s="77"/>
      <c r="F35" s="77"/>
      <c r="G35" s="78">
        <f>E35-F35</f>
        <v>0</v>
      </c>
      <c r="H35" s="89">
        <v>0.1</v>
      </c>
      <c r="I35" s="78">
        <f>G35*H35</f>
        <v>0</v>
      </c>
      <c r="J35" s="77"/>
      <c r="K35" s="77"/>
      <c r="L35" s="78">
        <f>I35+J35+K35</f>
        <v>0</v>
      </c>
      <c r="M35" s="90"/>
      <c r="N35" s="91"/>
    </row>
    <row r="36" spans="1:14" s="16" customFormat="1" ht="12">
      <c r="A36" s="45">
        <v>27</v>
      </c>
      <c r="B36" s="95"/>
      <c r="C36" s="96"/>
      <c r="D36" s="112" t="s">
        <v>78</v>
      </c>
      <c r="E36" s="113">
        <f>E34-E35</f>
        <v>0</v>
      </c>
      <c r="F36" s="113">
        <f>F34-F35</f>
        <v>0</v>
      </c>
      <c r="G36" s="114">
        <f>E36-F36</f>
        <v>0</v>
      </c>
      <c r="H36" s="115">
        <v>0.1</v>
      </c>
      <c r="I36" s="114">
        <f>G36*H36</f>
        <v>0</v>
      </c>
      <c r="J36" s="113">
        <f>J34-J35</f>
        <v>0</v>
      </c>
      <c r="K36" s="113">
        <f>K34-K35</f>
        <v>0</v>
      </c>
      <c r="L36" s="114">
        <f>I36+J36+K36</f>
        <v>0</v>
      </c>
      <c r="M36" s="116">
        <f>M34-M35</f>
        <v>0</v>
      </c>
      <c r="N36" s="117">
        <f>N34-N35</f>
        <v>0</v>
      </c>
    </row>
    <row r="37" spans="1:14" s="16" customFormat="1" ht="12">
      <c r="A37" s="66"/>
      <c r="B37" s="122"/>
      <c r="C37" s="122"/>
      <c r="D37" s="125"/>
      <c r="E37" s="123"/>
      <c r="F37" s="123"/>
      <c r="G37" s="53"/>
      <c r="H37" s="124"/>
      <c r="I37" s="53"/>
      <c r="J37" s="123"/>
      <c r="K37" s="123"/>
      <c r="L37" s="53"/>
      <c r="M37" s="51"/>
      <c r="N37" s="51"/>
    </row>
    <row r="38" spans="1:14" s="16" customFormat="1" ht="12">
      <c r="A38" s="66">
        <v>28</v>
      </c>
      <c r="B38" s="72"/>
      <c r="C38" s="73"/>
      <c r="D38" s="79" t="s">
        <v>81</v>
      </c>
      <c r="E38" s="75"/>
      <c r="F38" s="75"/>
      <c r="G38" s="76">
        <f>E38-F38</f>
        <v>0</v>
      </c>
      <c r="H38" s="80">
        <v>0.1</v>
      </c>
      <c r="I38" s="76">
        <f>G38*H38</f>
        <v>0</v>
      </c>
      <c r="J38" s="75"/>
      <c r="K38" s="75"/>
      <c r="L38" s="76">
        <f>I38+J38+K38</f>
        <v>0</v>
      </c>
      <c r="M38" s="81"/>
      <c r="N38" s="82"/>
    </row>
    <row r="39" spans="1:14">
      <c r="A39" s="45">
        <v>29</v>
      </c>
      <c r="B39" s="93"/>
      <c r="C39" s="94"/>
      <c r="D39" s="88" t="s">
        <v>79</v>
      </c>
      <c r="E39" s="77"/>
      <c r="F39" s="77"/>
      <c r="G39" s="78">
        <f>E39-F39</f>
        <v>0</v>
      </c>
      <c r="H39" s="89">
        <v>0.1</v>
      </c>
      <c r="I39" s="78">
        <f>G39*H39</f>
        <v>0</v>
      </c>
      <c r="J39" s="77"/>
      <c r="K39" s="77"/>
      <c r="L39" s="78">
        <f>I39+J39+K39</f>
        <v>0</v>
      </c>
      <c r="M39" s="90"/>
      <c r="N39" s="91"/>
    </row>
    <row r="40" spans="1:14">
      <c r="A40" s="45">
        <v>30</v>
      </c>
      <c r="B40" s="95"/>
      <c r="C40" s="96"/>
      <c r="D40" s="112" t="s">
        <v>78</v>
      </c>
      <c r="E40" s="113">
        <f>E38-E39</f>
        <v>0</v>
      </c>
      <c r="F40" s="113">
        <f>F38-F39</f>
        <v>0</v>
      </c>
      <c r="G40" s="114">
        <f>E40-F40</f>
        <v>0</v>
      </c>
      <c r="H40" s="115">
        <v>0.1</v>
      </c>
      <c r="I40" s="114">
        <f>G40*H40</f>
        <v>0</v>
      </c>
      <c r="J40" s="113">
        <f>J38-J39</f>
        <v>0</v>
      </c>
      <c r="K40" s="113">
        <f>K38-K39</f>
        <v>0</v>
      </c>
      <c r="L40" s="114">
        <f>I40+J40+K40</f>
        <v>0</v>
      </c>
      <c r="M40" s="116">
        <f>M38-M39</f>
        <v>0</v>
      </c>
      <c r="N40" s="117">
        <f>N38-N39</f>
        <v>0</v>
      </c>
    </row>
    <row r="41" spans="1:14">
      <c r="A41" s="66"/>
      <c r="B41" s="97"/>
      <c r="C41" s="97"/>
      <c r="D41" s="98"/>
      <c r="E41" s="99"/>
      <c r="F41" s="99"/>
      <c r="G41" s="100"/>
      <c r="H41" s="101"/>
      <c r="I41" s="100"/>
      <c r="J41" s="99"/>
      <c r="K41" s="99"/>
      <c r="L41" s="100"/>
      <c r="M41" s="102"/>
      <c r="N41" s="51"/>
    </row>
    <row r="42" spans="1:14">
      <c r="A42" s="45">
        <v>31</v>
      </c>
      <c r="B42" s="46"/>
      <c r="C42" s="47"/>
      <c r="D42" s="69" t="s">
        <v>81</v>
      </c>
      <c r="E42" s="14"/>
      <c r="F42" s="14"/>
      <c r="G42" s="15">
        <f>E42-F42</f>
        <v>0</v>
      </c>
      <c r="H42" s="48">
        <v>0.1</v>
      </c>
      <c r="I42" s="15">
        <f>G42*H42</f>
        <v>0</v>
      </c>
      <c r="J42" s="14"/>
      <c r="K42" s="14"/>
      <c r="L42" s="15">
        <f>I42+J42+K42</f>
        <v>0</v>
      </c>
      <c r="M42" s="49"/>
      <c r="N42" s="50"/>
    </row>
    <row r="43" spans="1:14">
      <c r="A43" s="45">
        <v>32</v>
      </c>
      <c r="B43" s="93"/>
      <c r="C43" s="94"/>
      <c r="D43" s="88" t="s">
        <v>79</v>
      </c>
      <c r="E43" s="77"/>
      <c r="F43" s="77"/>
      <c r="G43" s="78">
        <f>E43-F43</f>
        <v>0</v>
      </c>
      <c r="H43" s="89">
        <v>0.1</v>
      </c>
      <c r="I43" s="78">
        <f>G43*H43</f>
        <v>0</v>
      </c>
      <c r="J43" s="77"/>
      <c r="K43" s="77"/>
      <c r="L43" s="78">
        <f>I43+J43+K43</f>
        <v>0</v>
      </c>
      <c r="M43" s="90"/>
      <c r="N43" s="91"/>
    </row>
    <row r="44" spans="1:14">
      <c r="A44" s="45">
        <v>33</v>
      </c>
      <c r="B44" s="95"/>
      <c r="C44" s="96"/>
      <c r="D44" s="112" t="s">
        <v>78</v>
      </c>
      <c r="E44" s="113">
        <f>E42-E43</f>
        <v>0</v>
      </c>
      <c r="F44" s="113">
        <f>F42-F43</f>
        <v>0</v>
      </c>
      <c r="G44" s="114">
        <f>E44-F44</f>
        <v>0</v>
      </c>
      <c r="H44" s="115">
        <v>0.1</v>
      </c>
      <c r="I44" s="114">
        <f>G44*H44</f>
        <v>0</v>
      </c>
      <c r="J44" s="113">
        <f>J42-J43</f>
        <v>0</v>
      </c>
      <c r="K44" s="113">
        <f>K42-K43</f>
        <v>0</v>
      </c>
      <c r="L44" s="114">
        <f>I44+J44+K44</f>
        <v>0</v>
      </c>
      <c r="M44" s="116">
        <f>M42-M43</f>
        <v>0</v>
      </c>
      <c r="N44" s="117">
        <f>N42-N43</f>
        <v>0</v>
      </c>
    </row>
    <row r="45" spans="1:14">
      <c r="A45" s="66"/>
      <c r="B45" s="97"/>
      <c r="C45" s="97"/>
      <c r="D45" s="98"/>
      <c r="E45" s="99"/>
      <c r="F45" s="99"/>
      <c r="G45" s="100"/>
      <c r="H45" s="101"/>
      <c r="I45" s="100"/>
      <c r="J45" s="99"/>
      <c r="K45" s="99"/>
      <c r="L45" s="100"/>
      <c r="M45" s="102"/>
      <c r="N45" s="51"/>
    </row>
    <row r="46" spans="1:14">
      <c r="A46" s="45">
        <v>34</v>
      </c>
      <c r="B46" s="46"/>
      <c r="C46" s="47"/>
      <c r="D46" s="69" t="s">
        <v>81</v>
      </c>
      <c r="E46" s="14"/>
      <c r="F46" s="14"/>
      <c r="G46" s="15">
        <f>E46-F46</f>
        <v>0</v>
      </c>
      <c r="H46" s="48">
        <v>0.1</v>
      </c>
      <c r="I46" s="15">
        <f>G46*H46</f>
        <v>0</v>
      </c>
      <c r="J46" s="14"/>
      <c r="K46" s="14"/>
      <c r="L46" s="15">
        <f>I46+J46+K46</f>
        <v>0</v>
      </c>
      <c r="M46" s="49"/>
      <c r="N46" s="50"/>
    </row>
    <row r="47" spans="1:14">
      <c r="A47" s="45">
        <v>35</v>
      </c>
      <c r="B47" s="93"/>
      <c r="C47" s="94"/>
      <c r="D47" s="88" t="s">
        <v>79</v>
      </c>
      <c r="E47" s="77"/>
      <c r="F47" s="77"/>
      <c r="G47" s="78">
        <f>E47-F47</f>
        <v>0</v>
      </c>
      <c r="H47" s="89">
        <v>0.1</v>
      </c>
      <c r="I47" s="78">
        <f>G47*H47</f>
        <v>0</v>
      </c>
      <c r="J47" s="77"/>
      <c r="K47" s="77"/>
      <c r="L47" s="78">
        <f>I47+J47+K47</f>
        <v>0</v>
      </c>
      <c r="M47" s="90"/>
      <c r="N47" s="91"/>
    </row>
    <row r="48" spans="1:14">
      <c r="A48" s="45">
        <v>36</v>
      </c>
      <c r="B48" s="95"/>
      <c r="C48" s="96"/>
      <c r="D48" s="112" t="s">
        <v>78</v>
      </c>
      <c r="E48" s="113">
        <f>E46-E47</f>
        <v>0</v>
      </c>
      <c r="F48" s="113">
        <f>F46-F47</f>
        <v>0</v>
      </c>
      <c r="G48" s="114">
        <f>E48-F48</f>
        <v>0</v>
      </c>
      <c r="H48" s="115">
        <v>0.1</v>
      </c>
      <c r="I48" s="114">
        <f>G48*H48</f>
        <v>0</v>
      </c>
      <c r="J48" s="113">
        <f>J46-J47</f>
        <v>0</v>
      </c>
      <c r="K48" s="113">
        <f>K46-K47</f>
        <v>0</v>
      </c>
      <c r="L48" s="114">
        <f>I48+J48+K48</f>
        <v>0</v>
      </c>
      <c r="M48" s="116">
        <f>M46-M47</f>
        <v>0</v>
      </c>
      <c r="N48" s="117">
        <f>N46-N47</f>
        <v>0</v>
      </c>
    </row>
    <row r="49" spans="1:14">
      <c r="A49" s="74"/>
      <c r="B49" s="122"/>
      <c r="C49" s="92"/>
      <c r="D49" s="125"/>
      <c r="E49" s="127"/>
      <c r="F49" s="127"/>
      <c r="G49" s="128"/>
      <c r="H49" s="129"/>
      <c r="I49" s="128"/>
      <c r="J49" s="127"/>
      <c r="K49" s="127"/>
      <c r="L49" s="128"/>
      <c r="M49" s="130"/>
      <c r="N49" s="51"/>
    </row>
    <row r="50" spans="1:14">
      <c r="A50" s="16"/>
      <c r="B50" s="126" t="s">
        <v>88</v>
      </c>
      <c r="C50" s="51"/>
      <c r="D50" s="16"/>
      <c r="E50" s="131">
        <f t="shared" ref="E50:K50" si="0">E4+E8+E12+E16+E20+E24+E28+E32+E36+E40+E44+E48</f>
        <v>0</v>
      </c>
      <c r="F50" s="131">
        <f t="shared" si="0"/>
        <v>0</v>
      </c>
      <c r="G50" s="131">
        <f t="shared" si="0"/>
        <v>0</v>
      </c>
      <c r="H50" s="131"/>
      <c r="I50" s="131">
        <f t="shared" si="0"/>
        <v>0</v>
      </c>
      <c r="J50" s="131">
        <f t="shared" si="0"/>
        <v>0</v>
      </c>
      <c r="K50" s="131">
        <f t="shared" si="0"/>
        <v>0</v>
      </c>
      <c r="L50" s="54">
        <f>L4+L8+L12+L16+L20+L24+L28+L32+L36+L40+L44+L48</f>
        <v>0</v>
      </c>
      <c r="M50" s="131">
        <f>M4+M8+M12+M16+M20+M24+M28+M32+M36+M40+M44+M48</f>
        <v>0</v>
      </c>
      <c r="N50" s="131">
        <f>N4+N8+N12+N16+N20+N24+N28+N32+N36+N40+N44+N48</f>
        <v>0</v>
      </c>
    </row>
    <row r="51" spans="1:14">
      <c r="B51" s="60" t="s">
        <v>68</v>
      </c>
      <c r="C51" s="56"/>
      <c r="D51" s="57">
        <f>'TOT Report Page 1'!E14</f>
        <v>0</v>
      </c>
      <c r="E51" s="58" t="s">
        <v>61</v>
      </c>
      <c r="F51" s="59">
        <f>'TOT Report Page 1'!G14</f>
        <v>0</v>
      </c>
      <c r="G51" s="56"/>
      <c r="H51" s="132" t="s">
        <v>89</v>
      </c>
      <c r="I51" s="56"/>
      <c r="J51" s="209">
        <f>'TOT Report Page 1'!C6</f>
        <v>0</v>
      </c>
      <c r="K51" s="209"/>
      <c r="L51" s="209"/>
      <c r="M51" s="209"/>
    </row>
  </sheetData>
  <mergeCells count="1">
    <mergeCell ref="J51:M51"/>
  </mergeCells>
  <phoneticPr fontId="2" type="noConversion"/>
  <printOptions horizontalCentered="1"/>
  <pageMargins left="0" right="0" top="0.18" bottom="0.38" header="0.17" footer="0.16"/>
  <pageSetup scale="87" orientation="landscape" r:id="rId1"/>
  <headerFooter alignWithMargins="0">
    <oddFooter>&amp;CPage 2
&amp;R&amp;D&amp;T</oddFooter>
  </headerFooter>
</worksheet>
</file>

<file path=xl/worksheets/sheet4.xml><?xml version="1.0" encoding="utf-8"?>
<worksheet xmlns="http://schemas.openxmlformats.org/spreadsheetml/2006/main" xmlns:r="http://schemas.openxmlformats.org/officeDocument/2006/relationships">
  <dimension ref="A1:N51"/>
  <sheetViews>
    <sheetView showGridLines="0" workbookViewId="0"/>
  </sheetViews>
  <sheetFormatPr defaultRowHeight="12.75"/>
  <cols>
    <col min="1" max="1" width="3" style="55" bestFit="1" customWidth="1"/>
    <col min="2" max="3" width="9.140625" style="55"/>
    <col min="4" max="4" width="13" style="55" customWidth="1"/>
    <col min="5" max="5" width="9.140625" style="55"/>
    <col min="6" max="6" width="11.42578125" style="55" bestFit="1" customWidth="1"/>
    <col min="7" max="11" width="9.140625" style="55"/>
    <col min="12" max="12" width="10.5703125" style="55" customWidth="1"/>
    <col min="13" max="13" width="10.42578125" style="55" customWidth="1"/>
    <col min="14" max="16384" width="9.140625" style="55"/>
  </cols>
  <sheetData>
    <row r="1" spans="1:14" s="44" customFormat="1" ht="36">
      <c r="A1" s="41"/>
      <c r="B1" s="42" t="s">
        <v>0</v>
      </c>
      <c r="C1" s="42" t="s">
        <v>1</v>
      </c>
      <c r="D1" s="42" t="s">
        <v>77</v>
      </c>
      <c r="E1" s="43" t="s">
        <v>2</v>
      </c>
      <c r="F1" s="43" t="s">
        <v>4</v>
      </c>
      <c r="G1" s="43" t="s">
        <v>3</v>
      </c>
      <c r="H1" s="42" t="s">
        <v>5</v>
      </c>
      <c r="I1" s="43" t="s">
        <v>6</v>
      </c>
      <c r="J1" s="43" t="s">
        <v>7</v>
      </c>
      <c r="K1" s="43" t="s">
        <v>8</v>
      </c>
      <c r="L1" s="43" t="s">
        <v>9</v>
      </c>
      <c r="M1" s="42" t="s">
        <v>10</v>
      </c>
      <c r="N1" s="42" t="s">
        <v>28</v>
      </c>
    </row>
    <row r="2" spans="1:14" s="16" customFormat="1" ht="12">
      <c r="A2" s="45">
        <v>1</v>
      </c>
      <c r="B2" s="46"/>
      <c r="C2" s="47"/>
      <c r="D2" s="69" t="s">
        <v>81</v>
      </c>
      <c r="E2" s="14"/>
      <c r="F2" s="14"/>
      <c r="G2" s="15">
        <f>E2-F2</f>
        <v>0</v>
      </c>
      <c r="H2" s="48">
        <v>0.1</v>
      </c>
      <c r="I2" s="15">
        <f>G2*H2</f>
        <v>0</v>
      </c>
      <c r="J2" s="14"/>
      <c r="K2" s="14"/>
      <c r="L2" s="15">
        <f>I2+J2+K2</f>
        <v>0</v>
      </c>
      <c r="M2" s="49"/>
      <c r="N2" s="50"/>
    </row>
    <row r="3" spans="1:14" s="16" customFormat="1" ht="12">
      <c r="A3" s="45">
        <v>2</v>
      </c>
      <c r="B3" s="93"/>
      <c r="C3" s="94"/>
      <c r="D3" s="88" t="s">
        <v>79</v>
      </c>
      <c r="E3" s="77"/>
      <c r="F3" s="77"/>
      <c r="G3" s="78">
        <f>E3-F3</f>
        <v>0</v>
      </c>
      <c r="H3" s="89">
        <v>0.1</v>
      </c>
      <c r="I3" s="78">
        <f>G3*H3</f>
        <v>0</v>
      </c>
      <c r="J3" s="77"/>
      <c r="K3" s="77"/>
      <c r="L3" s="78">
        <f>I3+J3+K3</f>
        <v>0</v>
      </c>
      <c r="M3" s="90"/>
      <c r="N3" s="91"/>
    </row>
    <row r="4" spans="1:14" s="16" customFormat="1" ht="12">
      <c r="A4" s="45">
        <v>3</v>
      </c>
      <c r="B4" s="95"/>
      <c r="C4" s="96"/>
      <c r="D4" s="112" t="s">
        <v>78</v>
      </c>
      <c r="E4" s="113">
        <f>E2-E3</f>
        <v>0</v>
      </c>
      <c r="F4" s="113">
        <f>F2-F3</f>
        <v>0</v>
      </c>
      <c r="G4" s="114">
        <f>E4-F4</f>
        <v>0</v>
      </c>
      <c r="H4" s="115">
        <v>0.1</v>
      </c>
      <c r="I4" s="114">
        <f>G4*H4</f>
        <v>0</v>
      </c>
      <c r="J4" s="113">
        <f>J2-J3</f>
        <v>0</v>
      </c>
      <c r="K4" s="113">
        <f>K2-K3</f>
        <v>0</v>
      </c>
      <c r="L4" s="114">
        <f>I4+J4+K4</f>
        <v>0</v>
      </c>
      <c r="M4" s="116">
        <f>M2-M3</f>
        <v>0</v>
      </c>
      <c r="N4" s="117">
        <f>N2-N3</f>
        <v>0</v>
      </c>
    </row>
    <row r="5" spans="1:14" s="16" customFormat="1" ht="12">
      <c r="A5" s="66"/>
      <c r="B5" s="74"/>
      <c r="C5" s="74"/>
      <c r="D5" s="83"/>
      <c r="E5" s="84"/>
      <c r="F5" s="84"/>
      <c r="G5" s="85"/>
      <c r="H5" s="86"/>
      <c r="I5" s="85"/>
      <c r="J5" s="84"/>
      <c r="K5" s="84"/>
      <c r="L5" s="85"/>
      <c r="M5" s="87"/>
      <c r="N5" s="51"/>
    </row>
    <row r="6" spans="1:14" s="16" customFormat="1" ht="12">
      <c r="A6" s="66">
        <v>4</v>
      </c>
      <c r="B6" s="46"/>
      <c r="C6" s="47"/>
      <c r="D6" s="69" t="s">
        <v>81</v>
      </c>
      <c r="E6" s="14"/>
      <c r="F6" s="14"/>
      <c r="G6" s="15">
        <f>E6-F6</f>
        <v>0</v>
      </c>
      <c r="H6" s="48">
        <v>0.1</v>
      </c>
      <c r="I6" s="15">
        <f>G6*H6</f>
        <v>0</v>
      </c>
      <c r="J6" s="14"/>
      <c r="K6" s="14"/>
      <c r="L6" s="15">
        <f>I6+J6+K6</f>
        <v>0</v>
      </c>
      <c r="M6" s="49"/>
      <c r="N6" s="50"/>
    </row>
    <row r="7" spans="1:14" s="16" customFormat="1" ht="12">
      <c r="A7" s="45">
        <v>5</v>
      </c>
      <c r="B7" s="93"/>
      <c r="C7" s="94"/>
      <c r="D7" s="88" t="s">
        <v>79</v>
      </c>
      <c r="E7" s="77"/>
      <c r="F7" s="77"/>
      <c r="G7" s="78">
        <f>E7-F7</f>
        <v>0</v>
      </c>
      <c r="H7" s="89">
        <v>0.1</v>
      </c>
      <c r="I7" s="78">
        <f>G7*H7</f>
        <v>0</v>
      </c>
      <c r="J7" s="77"/>
      <c r="K7" s="77"/>
      <c r="L7" s="78">
        <f>I7+J7+K7</f>
        <v>0</v>
      </c>
      <c r="M7" s="90"/>
      <c r="N7" s="91"/>
    </row>
    <row r="8" spans="1:14" s="16" customFormat="1" ht="12">
      <c r="A8" s="45">
        <v>6</v>
      </c>
      <c r="B8" s="95"/>
      <c r="C8" s="96"/>
      <c r="D8" s="112" t="s">
        <v>78</v>
      </c>
      <c r="E8" s="113">
        <f>E6-E7</f>
        <v>0</v>
      </c>
      <c r="F8" s="113">
        <f>F6-F7</f>
        <v>0</v>
      </c>
      <c r="G8" s="114">
        <f>E8-F8</f>
        <v>0</v>
      </c>
      <c r="H8" s="115">
        <v>0.1</v>
      </c>
      <c r="I8" s="114">
        <f>G8*H8</f>
        <v>0</v>
      </c>
      <c r="J8" s="113">
        <f>J6-J7</f>
        <v>0</v>
      </c>
      <c r="K8" s="113">
        <f>K6-K7</f>
        <v>0</v>
      </c>
      <c r="L8" s="114">
        <f>I8+J8+K8</f>
        <v>0</v>
      </c>
      <c r="M8" s="116">
        <f>M6-M7</f>
        <v>0</v>
      </c>
      <c r="N8" s="117">
        <f>N6-N7</f>
        <v>0</v>
      </c>
    </row>
    <row r="9" spans="1:14" s="16" customFormat="1" ht="12">
      <c r="A9" s="66"/>
      <c r="B9" s="97"/>
      <c r="C9" s="97"/>
      <c r="D9" s="98"/>
      <c r="E9" s="99"/>
      <c r="F9" s="99"/>
      <c r="G9" s="100"/>
      <c r="H9" s="101"/>
      <c r="I9" s="100"/>
      <c r="J9" s="99"/>
      <c r="K9" s="99"/>
      <c r="L9" s="100"/>
      <c r="M9" s="102"/>
      <c r="N9" s="51"/>
    </row>
    <row r="10" spans="1:14" s="16" customFormat="1" ht="12">
      <c r="A10" s="45">
        <v>7</v>
      </c>
      <c r="B10" s="46"/>
      <c r="C10" s="47"/>
      <c r="D10" s="69" t="s">
        <v>81</v>
      </c>
      <c r="E10" s="14"/>
      <c r="F10" s="14"/>
      <c r="G10" s="15">
        <f>E10-F10</f>
        <v>0</v>
      </c>
      <c r="H10" s="48">
        <v>0.1</v>
      </c>
      <c r="I10" s="15">
        <f>G10*H10</f>
        <v>0</v>
      </c>
      <c r="J10" s="14"/>
      <c r="K10" s="14"/>
      <c r="L10" s="15">
        <f>I10+J10+K10</f>
        <v>0</v>
      </c>
      <c r="M10" s="49"/>
      <c r="N10" s="50"/>
    </row>
    <row r="11" spans="1:14" s="16" customFormat="1" ht="12">
      <c r="A11" s="45">
        <v>8</v>
      </c>
      <c r="B11" s="93"/>
      <c r="C11" s="94"/>
      <c r="D11" s="88" t="s">
        <v>79</v>
      </c>
      <c r="E11" s="77"/>
      <c r="F11" s="77"/>
      <c r="G11" s="78">
        <f>E11-F11</f>
        <v>0</v>
      </c>
      <c r="H11" s="89">
        <v>0.1</v>
      </c>
      <c r="I11" s="78">
        <f>G11*H11</f>
        <v>0</v>
      </c>
      <c r="J11" s="77"/>
      <c r="K11" s="77"/>
      <c r="L11" s="78">
        <f>I11+J11+K11</f>
        <v>0</v>
      </c>
      <c r="M11" s="90"/>
      <c r="N11" s="91"/>
    </row>
    <row r="12" spans="1:14" s="16" customFormat="1" ht="12">
      <c r="A12" s="45">
        <v>9</v>
      </c>
      <c r="B12" s="95"/>
      <c r="C12" s="96"/>
      <c r="D12" s="112" t="s">
        <v>78</v>
      </c>
      <c r="E12" s="113">
        <f>E10-E11</f>
        <v>0</v>
      </c>
      <c r="F12" s="113">
        <f>F10-F11</f>
        <v>0</v>
      </c>
      <c r="G12" s="114">
        <f>E12-F12</f>
        <v>0</v>
      </c>
      <c r="H12" s="115">
        <v>0.1</v>
      </c>
      <c r="I12" s="114">
        <f>G12*H12</f>
        <v>0</v>
      </c>
      <c r="J12" s="113">
        <f>J10-J11</f>
        <v>0</v>
      </c>
      <c r="K12" s="113">
        <f>K10-K11</f>
        <v>0</v>
      </c>
      <c r="L12" s="114">
        <f>I12+J12+K12</f>
        <v>0</v>
      </c>
      <c r="M12" s="116">
        <f>M10-M11</f>
        <v>0</v>
      </c>
      <c r="N12" s="117">
        <f>N10-N11</f>
        <v>0</v>
      </c>
    </row>
    <row r="13" spans="1:14" s="16" customFormat="1" ht="12">
      <c r="A13" s="66"/>
      <c r="B13" s="97"/>
      <c r="C13" s="97"/>
      <c r="D13" s="98"/>
      <c r="E13" s="99"/>
      <c r="F13" s="99"/>
      <c r="G13" s="100"/>
      <c r="H13" s="101"/>
      <c r="I13" s="100"/>
      <c r="J13" s="99"/>
      <c r="K13" s="99"/>
      <c r="L13" s="100"/>
      <c r="M13" s="102"/>
      <c r="N13" s="51"/>
    </row>
    <row r="14" spans="1:14" s="16" customFormat="1" ht="12">
      <c r="A14" s="45">
        <v>10</v>
      </c>
      <c r="B14" s="46"/>
      <c r="C14" s="47"/>
      <c r="D14" s="69" t="s">
        <v>81</v>
      </c>
      <c r="E14" s="14"/>
      <c r="F14" s="14"/>
      <c r="G14" s="15">
        <f>E14-F14</f>
        <v>0</v>
      </c>
      <c r="H14" s="48">
        <v>0.1</v>
      </c>
      <c r="I14" s="15">
        <f>G14*H14</f>
        <v>0</v>
      </c>
      <c r="J14" s="14"/>
      <c r="K14" s="14"/>
      <c r="L14" s="15">
        <f>I14+J14+K14</f>
        <v>0</v>
      </c>
      <c r="M14" s="49"/>
      <c r="N14" s="50"/>
    </row>
    <row r="15" spans="1:14" s="16" customFormat="1" ht="12">
      <c r="A15" s="45">
        <v>11</v>
      </c>
      <c r="B15" s="93"/>
      <c r="C15" s="94"/>
      <c r="D15" s="88" t="s">
        <v>79</v>
      </c>
      <c r="E15" s="77"/>
      <c r="F15" s="77"/>
      <c r="G15" s="78">
        <f>E15-F15</f>
        <v>0</v>
      </c>
      <c r="H15" s="89">
        <v>0.1</v>
      </c>
      <c r="I15" s="78">
        <f>G15*H15</f>
        <v>0</v>
      </c>
      <c r="J15" s="77"/>
      <c r="K15" s="77"/>
      <c r="L15" s="78">
        <f>I15+J15+K15</f>
        <v>0</v>
      </c>
      <c r="M15" s="90"/>
      <c r="N15" s="91"/>
    </row>
    <row r="16" spans="1:14" s="16" customFormat="1" ht="12">
      <c r="A16" s="45">
        <v>12</v>
      </c>
      <c r="B16" s="95"/>
      <c r="C16" s="96"/>
      <c r="D16" s="112" t="s">
        <v>78</v>
      </c>
      <c r="E16" s="113">
        <f>E14-E15</f>
        <v>0</v>
      </c>
      <c r="F16" s="113">
        <f>F14-F15</f>
        <v>0</v>
      </c>
      <c r="G16" s="114">
        <f>E16-F16</f>
        <v>0</v>
      </c>
      <c r="H16" s="115">
        <v>0.1</v>
      </c>
      <c r="I16" s="114">
        <f>G16*H16</f>
        <v>0</v>
      </c>
      <c r="J16" s="113">
        <f>J14-J15</f>
        <v>0</v>
      </c>
      <c r="K16" s="113">
        <f>K14-K15</f>
        <v>0</v>
      </c>
      <c r="L16" s="114">
        <f>I16+J16+K16</f>
        <v>0</v>
      </c>
      <c r="M16" s="116">
        <f>M14-M15</f>
        <v>0</v>
      </c>
      <c r="N16" s="117">
        <f>N14-N15</f>
        <v>0</v>
      </c>
    </row>
    <row r="17" spans="1:14" s="16" customFormat="1" ht="12">
      <c r="A17" s="66"/>
      <c r="B17" s="97"/>
      <c r="C17" s="97"/>
      <c r="D17" s="98"/>
      <c r="E17" s="99"/>
      <c r="F17" s="99"/>
      <c r="G17" s="100"/>
      <c r="H17" s="101"/>
      <c r="I17" s="100"/>
      <c r="J17" s="99"/>
      <c r="K17" s="99"/>
      <c r="L17" s="100"/>
      <c r="M17" s="102"/>
      <c r="N17" s="51"/>
    </row>
    <row r="18" spans="1:14" s="16" customFormat="1" ht="12">
      <c r="A18" s="45">
        <v>13</v>
      </c>
      <c r="B18" s="46"/>
      <c r="C18" s="47"/>
      <c r="D18" s="69" t="s">
        <v>81</v>
      </c>
      <c r="E18" s="14"/>
      <c r="F18" s="14"/>
      <c r="G18" s="15">
        <f>E18-F18</f>
        <v>0</v>
      </c>
      <c r="H18" s="48">
        <v>0.1</v>
      </c>
      <c r="I18" s="15">
        <f>G18*H18</f>
        <v>0</v>
      </c>
      <c r="J18" s="14"/>
      <c r="K18" s="14"/>
      <c r="L18" s="15">
        <f>I18+J18+K18</f>
        <v>0</v>
      </c>
      <c r="M18" s="49"/>
      <c r="N18" s="50"/>
    </row>
    <row r="19" spans="1:14" s="16" customFormat="1" ht="12">
      <c r="A19" s="45">
        <v>14</v>
      </c>
      <c r="B19" s="93"/>
      <c r="C19" s="94"/>
      <c r="D19" s="88" t="s">
        <v>79</v>
      </c>
      <c r="E19" s="77"/>
      <c r="F19" s="77"/>
      <c r="G19" s="78">
        <f>E19-F19</f>
        <v>0</v>
      </c>
      <c r="H19" s="89">
        <v>0.1</v>
      </c>
      <c r="I19" s="78">
        <f>G19*H19</f>
        <v>0</v>
      </c>
      <c r="J19" s="77"/>
      <c r="K19" s="77"/>
      <c r="L19" s="78">
        <f>I19+J19+K19</f>
        <v>0</v>
      </c>
      <c r="M19" s="90"/>
      <c r="N19" s="91"/>
    </row>
    <row r="20" spans="1:14" s="16" customFormat="1" ht="12">
      <c r="A20" s="45">
        <v>15</v>
      </c>
      <c r="B20" s="95"/>
      <c r="C20" s="96"/>
      <c r="D20" s="112" t="s">
        <v>78</v>
      </c>
      <c r="E20" s="113">
        <f>E18-E19</f>
        <v>0</v>
      </c>
      <c r="F20" s="113">
        <f>F18-F19</f>
        <v>0</v>
      </c>
      <c r="G20" s="114">
        <f>E20-F20</f>
        <v>0</v>
      </c>
      <c r="H20" s="115">
        <v>0.1</v>
      </c>
      <c r="I20" s="114">
        <f>G20*H20</f>
        <v>0</v>
      </c>
      <c r="J20" s="113">
        <f>J18-J19</f>
        <v>0</v>
      </c>
      <c r="K20" s="113">
        <f>K18-K19</f>
        <v>0</v>
      </c>
      <c r="L20" s="114">
        <f>I20+J20+K20</f>
        <v>0</v>
      </c>
      <c r="M20" s="116">
        <f>M18-M19</f>
        <v>0</v>
      </c>
      <c r="N20" s="117">
        <f>N18-N19</f>
        <v>0</v>
      </c>
    </row>
    <row r="21" spans="1:14" s="16" customFormat="1" ht="12">
      <c r="A21" s="66"/>
      <c r="B21" s="97"/>
      <c r="C21" s="97"/>
      <c r="D21" s="98"/>
      <c r="E21" s="99"/>
      <c r="F21" s="99"/>
      <c r="G21" s="100"/>
      <c r="H21" s="101"/>
      <c r="I21" s="100"/>
      <c r="J21" s="99"/>
      <c r="K21" s="99"/>
      <c r="L21" s="100"/>
      <c r="M21" s="102"/>
      <c r="N21" s="51"/>
    </row>
    <row r="22" spans="1:14" s="16" customFormat="1" ht="12">
      <c r="A22" s="45">
        <v>16</v>
      </c>
      <c r="B22" s="46"/>
      <c r="C22" s="47"/>
      <c r="D22" s="69" t="s">
        <v>81</v>
      </c>
      <c r="E22" s="14"/>
      <c r="F22" s="14"/>
      <c r="G22" s="15">
        <f>E22-F22</f>
        <v>0</v>
      </c>
      <c r="H22" s="48">
        <v>0.1</v>
      </c>
      <c r="I22" s="15">
        <f>G22*H22</f>
        <v>0</v>
      </c>
      <c r="J22" s="14"/>
      <c r="K22" s="14"/>
      <c r="L22" s="15">
        <f>I22+J22+K22</f>
        <v>0</v>
      </c>
      <c r="M22" s="49"/>
      <c r="N22" s="50"/>
    </row>
    <row r="23" spans="1:14" s="16" customFormat="1" ht="12">
      <c r="A23" s="45">
        <v>17</v>
      </c>
      <c r="B23" s="93"/>
      <c r="C23" s="94"/>
      <c r="D23" s="88" t="s">
        <v>79</v>
      </c>
      <c r="E23" s="77"/>
      <c r="F23" s="77"/>
      <c r="G23" s="78">
        <f>E23-F23</f>
        <v>0</v>
      </c>
      <c r="H23" s="89">
        <v>0.1</v>
      </c>
      <c r="I23" s="78">
        <f>G23*H23</f>
        <v>0</v>
      </c>
      <c r="J23" s="77"/>
      <c r="K23" s="77"/>
      <c r="L23" s="78">
        <f>I23+J23+K23</f>
        <v>0</v>
      </c>
      <c r="M23" s="90"/>
      <c r="N23" s="91"/>
    </row>
    <row r="24" spans="1:14" s="16" customFormat="1" ht="12">
      <c r="A24" s="45">
        <v>18</v>
      </c>
      <c r="B24" s="95"/>
      <c r="C24" s="96"/>
      <c r="D24" s="112" t="s">
        <v>78</v>
      </c>
      <c r="E24" s="113">
        <f>E22-E23</f>
        <v>0</v>
      </c>
      <c r="F24" s="113">
        <f>F22-F23</f>
        <v>0</v>
      </c>
      <c r="G24" s="114">
        <f>E24-F24</f>
        <v>0</v>
      </c>
      <c r="H24" s="115">
        <v>0.1</v>
      </c>
      <c r="I24" s="114">
        <f>G24*H24</f>
        <v>0</v>
      </c>
      <c r="J24" s="113">
        <f>J22-J23</f>
        <v>0</v>
      </c>
      <c r="K24" s="113">
        <f>K22-K23</f>
        <v>0</v>
      </c>
      <c r="L24" s="114">
        <f>I24+J24+K24</f>
        <v>0</v>
      </c>
      <c r="M24" s="116">
        <f>M22-M23</f>
        <v>0</v>
      </c>
      <c r="N24" s="117">
        <f>N22-N23</f>
        <v>0</v>
      </c>
    </row>
    <row r="25" spans="1:14" s="16" customFormat="1" ht="12">
      <c r="A25" s="66"/>
      <c r="B25" s="122"/>
      <c r="C25" s="122"/>
      <c r="D25" s="123"/>
      <c r="E25" s="123"/>
      <c r="F25" s="53"/>
      <c r="G25" s="124"/>
      <c r="H25" s="53"/>
      <c r="I25" s="123"/>
      <c r="J25" s="123"/>
      <c r="K25" s="53"/>
      <c r="L25" s="51"/>
      <c r="M25" s="51"/>
      <c r="N25" s="51"/>
    </row>
    <row r="26" spans="1:14" s="16" customFormat="1" ht="12">
      <c r="A26" s="66">
        <v>19</v>
      </c>
      <c r="B26" s="72"/>
      <c r="C26" s="73"/>
      <c r="D26" s="79" t="s">
        <v>81</v>
      </c>
      <c r="E26" s="75"/>
      <c r="F26" s="75"/>
      <c r="G26" s="76">
        <f>E26-F26</f>
        <v>0</v>
      </c>
      <c r="H26" s="80">
        <v>0.1</v>
      </c>
      <c r="I26" s="76">
        <f>G26*H26</f>
        <v>0</v>
      </c>
      <c r="J26" s="75"/>
      <c r="K26" s="75"/>
      <c r="L26" s="76">
        <f>I26+J26+K26</f>
        <v>0</v>
      </c>
      <c r="M26" s="81"/>
      <c r="N26" s="82"/>
    </row>
    <row r="27" spans="1:14" s="16" customFormat="1" ht="12">
      <c r="A27" s="45">
        <v>20</v>
      </c>
      <c r="B27" s="93"/>
      <c r="C27" s="94"/>
      <c r="D27" s="88" t="s">
        <v>79</v>
      </c>
      <c r="E27" s="77"/>
      <c r="F27" s="77"/>
      <c r="G27" s="78">
        <f>E27-F27</f>
        <v>0</v>
      </c>
      <c r="H27" s="89">
        <v>0.1</v>
      </c>
      <c r="I27" s="78">
        <f>G27*H27</f>
        <v>0</v>
      </c>
      <c r="J27" s="77"/>
      <c r="K27" s="77"/>
      <c r="L27" s="78">
        <f>I27+J27+K27</f>
        <v>0</v>
      </c>
      <c r="M27" s="90"/>
      <c r="N27" s="91"/>
    </row>
    <row r="28" spans="1:14" s="16" customFormat="1" ht="12">
      <c r="A28" s="45">
        <v>21</v>
      </c>
      <c r="B28" s="95"/>
      <c r="C28" s="96"/>
      <c r="D28" s="112" t="s">
        <v>78</v>
      </c>
      <c r="E28" s="113">
        <f>E26-E27</f>
        <v>0</v>
      </c>
      <c r="F28" s="113">
        <f>F26-F27</f>
        <v>0</v>
      </c>
      <c r="G28" s="114">
        <f>E28-F28</f>
        <v>0</v>
      </c>
      <c r="H28" s="115">
        <v>0.1</v>
      </c>
      <c r="I28" s="114">
        <f>G28*H28</f>
        <v>0</v>
      </c>
      <c r="J28" s="113">
        <f>J26-J27</f>
        <v>0</v>
      </c>
      <c r="K28" s="113">
        <f>K26-K27</f>
        <v>0</v>
      </c>
      <c r="L28" s="114">
        <f>I28+J28+K28</f>
        <v>0</v>
      </c>
      <c r="M28" s="116">
        <f>M26-M27</f>
        <v>0</v>
      </c>
      <c r="N28" s="117">
        <f>N26-N27</f>
        <v>0</v>
      </c>
    </row>
    <row r="29" spans="1:14" s="16" customFormat="1" ht="12">
      <c r="A29" s="66"/>
      <c r="B29" s="97"/>
      <c r="C29" s="97"/>
      <c r="D29" s="98"/>
      <c r="E29" s="99"/>
      <c r="F29" s="99"/>
      <c r="G29" s="100"/>
      <c r="H29" s="101"/>
      <c r="I29" s="100"/>
      <c r="J29" s="99"/>
      <c r="K29" s="99"/>
      <c r="L29" s="100"/>
      <c r="M29" s="102"/>
      <c r="N29" s="51"/>
    </row>
    <row r="30" spans="1:14" s="16" customFormat="1" ht="12">
      <c r="A30" s="45">
        <v>22</v>
      </c>
      <c r="B30" s="46"/>
      <c r="C30" s="47"/>
      <c r="D30" s="69" t="s">
        <v>81</v>
      </c>
      <c r="E30" s="14"/>
      <c r="F30" s="14"/>
      <c r="G30" s="15">
        <f>E30-F30</f>
        <v>0</v>
      </c>
      <c r="H30" s="48">
        <v>0.1</v>
      </c>
      <c r="I30" s="15">
        <f>G30*H30</f>
        <v>0</v>
      </c>
      <c r="J30" s="14"/>
      <c r="K30" s="14"/>
      <c r="L30" s="15">
        <f>I30+J30+K30</f>
        <v>0</v>
      </c>
      <c r="M30" s="49"/>
      <c r="N30" s="50"/>
    </row>
    <row r="31" spans="1:14" s="16" customFormat="1" ht="12">
      <c r="A31" s="45">
        <v>23</v>
      </c>
      <c r="B31" s="93"/>
      <c r="C31" s="94"/>
      <c r="D31" s="88" t="s">
        <v>79</v>
      </c>
      <c r="E31" s="77"/>
      <c r="F31" s="77"/>
      <c r="G31" s="78">
        <f>E31-F31</f>
        <v>0</v>
      </c>
      <c r="H31" s="89">
        <v>0.1</v>
      </c>
      <c r="I31" s="78">
        <f>G31*H31</f>
        <v>0</v>
      </c>
      <c r="J31" s="77"/>
      <c r="K31" s="77"/>
      <c r="L31" s="78">
        <f>I31+J31+K31</f>
        <v>0</v>
      </c>
      <c r="M31" s="90"/>
      <c r="N31" s="91"/>
    </row>
    <row r="32" spans="1:14" s="16" customFormat="1" ht="12">
      <c r="A32" s="45">
        <v>24</v>
      </c>
      <c r="B32" s="95"/>
      <c r="C32" s="96"/>
      <c r="D32" s="112" t="s">
        <v>78</v>
      </c>
      <c r="E32" s="113">
        <f>E30-E31</f>
        <v>0</v>
      </c>
      <c r="F32" s="113">
        <f>F30-F31</f>
        <v>0</v>
      </c>
      <c r="G32" s="114">
        <f>E32-F32</f>
        <v>0</v>
      </c>
      <c r="H32" s="115">
        <v>0.1</v>
      </c>
      <c r="I32" s="114">
        <f>G32*H32</f>
        <v>0</v>
      </c>
      <c r="J32" s="113">
        <f>J30-J31</f>
        <v>0</v>
      </c>
      <c r="K32" s="113">
        <f>K30-K31</f>
        <v>0</v>
      </c>
      <c r="L32" s="114">
        <f>I32+J32+K32</f>
        <v>0</v>
      </c>
      <c r="M32" s="116">
        <f>M30-M31</f>
        <v>0</v>
      </c>
      <c r="N32" s="117">
        <f>N30-N31</f>
        <v>0</v>
      </c>
    </row>
    <row r="33" spans="1:14" s="16" customFormat="1" ht="12">
      <c r="A33" s="66"/>
      <c r="B33" s="97"/>
      <c r="C33" s="97"/>
      <c r="D33" s="98"/>
      <c r="E33" s="99"/>
      <c r="F33" s="99"/>
      <c r="G33" s="100"/>
      <c r="H33" s="101"/>
      <c r="I33" s="100"/>
      <c r="J33" s="99"/>
      <c r="K33" s="99"/>
      <c r="L33" s="100"/>
      <c r="M33" s="102"/>
      <c r="N33" s="51"/>
    </row>
    <row r="34" spans="1:14" s="16" customFormat="1" ht="12">
      <c r="A34" s="45">
        <v>25</v>
      </c>
      <c r="B34" s="46"/>
      <c r="C34" s="47"/>
      <c r="D34" s="69" t="s">
        <v>81</v>
      </c>
      <c r="E34" s="14"/>
      <c r="F34" s="14"/>
      <c r="G34" s="15">
        <f>E34-F34</f>
        <v>0</v>
      </c>
      <c r="H34" s="48">
        <v>0.1</v>
      </c>
      <c r="I34" s="15">
        <f>G34*H34</f>
        <v>0</v>
      </c>
      <c r="J34" s="14"/>
      <c r="K34" s="14"/>
      <c r="L34" s="15">
        <f>I34+J34+K34</f>
        <v>0</v>
      </c>
      <c r="M34" s="49"/>
      <c r="N34" s="50"/>
    </row>
    <row r="35" spans="1:14" s="16" customFormat="1" ht="12">
      <c r="A35" s="45">
        <v>26</v>
      </c>
      <c r="B35" s="93"/>
      <c r="C35" s="94"/>
      <c r="D35" s="88" t="s">
        <v>79</v>
      </c>
      <c r="E35" s="77"/>
      <c r="F35" s="77"/>
      <c r="G35" s="78">
        <f>E35-F35</f>
        <v>0</v>
      </c>
      <c r="H35" s="89">
        <v>0.1</v>
      </c>
      <c r="I35" s="78">
        <f>G35*H35</f>
        <v>0</v>
      </c>
      <c r="J35" s="77"/>
      <c r="K35" s="77"/>
      <c r="L35" s="78">
        <f>I35+J35+K35</f>
        <v>0</v>
      </c>
      <c r="M35" s="90"/>
      <c r="N35" s="91"/>
    </row>
    <row r="36" spans="1:14" s="16" customFormat="1" ht="12">
      <c r="A36" s="45">
        <v>27</v>
      </c>
      <c r="B36" s="95"/>
      <c r="C36" s="96"/>
      <c r="D36" s="112" t="s">
        <v>78</v>
      </c>
      <c r="E36" s="113">
        <f>E34-E35</f>
        <v>0</v>
      </c>
      <c r="F36" s="113">
        <f>F34-F35</f>
        <v>0</v>
      </c>
      <c r="G36" s="114">
        <f>E36-F36</f>
        <v>0</v>
      </c>
      <c r="H36" s="115">
        <v>0.1</v>
      </c>
      <c r="I36" s="114">
        <f>G36*H36</f>
        <v>0</v>
      </c>
      <c r="J36" s="113">
        <f>J34-J35</f>
        <v>0</v>
      </c>
      <c r="K36" s="113">
        <f>K34-K35</f>
        <v>0</v>
      </c>
      <c r="L36" s="114">
        <f>I36+J36+K36</f>
        <v>0</v>
      </c>
      <c r="M36" s="116">
        <f>M34-M35</f>
        <v>0</v>
      </c>
      <c r="N36" s="117">
        <f>N34-N35</f>
        <v>0</v>
      </c>
    </row>
    <row r="37" spans="1:14" s="16" customFormat="1" ht="12">
      <c r="A37" s="66"/>
      <c r="B37" s="122"/>
      <c r="C37" s="122"/>
      <c r="D37" s="125"/>
      <c r="E37" s="123"/>
      <c r="F37" s="123"/>
      <c r="G37" s="53"/>
      <c r="H37" s="124"/>
      <c r="I37" s="53"/>
      <c r="J37" s="123"/>
      <c r="K37" s="123"/>
      <c r="L37" s="53"/>
      <c r="M37" s="51"/>
      <c r="N37" s="51"/>
    </row>
    <row r="38" spans="1:14" s="16" customFormat="1" ht="12">
      <c r="A38" s="66">
        <v>28</v>
      </c>
      <c r="B38" s="72"/>
      <c r="C38" s="73"/>
      <c r="D38" s="79" t="s">
        <v>81</v>
      </c>
      <c r="E38" s="75"/>
      <c r="F38" s="75"/>
      <c r="G38" s="76">
        <f>E38-F38</f>
        <v>0</v>
      </c>
      <c r="H38" s="80">
        <v>0.1</v>
      </c>
      <c r="I38" s="76">
        <f>G38*H38</f>
        <v>0</v>
      </c>
      <c r="J38" s="75"/>
      <c r="K38" s="75"/>
      <c r="L38" s="76">
        <f>I38+J38+K38</f>
        <v>0</v>
      </c>
      <c r="M38" s="81"/>
      <c r="N38" s="82"/>
    </row>
    <row r="39" spans="1:14">
      <c r="A39" s="45">
        <v>29</v>
      </c>
      <c r="B39" s="93"/>
      <c r="C39" s="94"/>
      <c r="D39" s="88" t="s">
        <v>79</v>
      </c>
      <c r="E39" s="77"/>
      <c r="F39" s="77"/>
      <c r="G39" s="78">
        <f>E39-F39</f>
        <v>0</v>
      </c>
      <c r="H39" s="89">
        <v>0.1</v>
      </c>
      <c r="I39" s="78">
        <f>G39*H39</f>
        <v>0</v>
      </c>
      <c r="J39" s="77"/>
      <c r="K39" s="77"/>
      <c r="L39" s="78">
        <f>I39+J39+K39</f>
        <v>0</v>
      </c>
      <c r="M39" s="90"/>
      <c r="N39" s="91"/>
    </row>
    <row r="40" spans="1:14">
      <c r="A40" s="45">
        <v>30</v>
      </c>
      <c r="B40" s="95"/>
      <c r="C40" s="96"/>
      <c r="D40" s="112" t="s">
        <v>78</v>
      </c>
      <c r="E40" s="113">
        <f>E38-E39</f>
        <v>0</v>
      </c>
      <c r="F40" s="113">
        <f>F38-F39</f>
        <v>0</v>
      </c>
      <c r="G40" s="114">
        <f>E40-F40</f>
        <v>0</v>
      </c>
      <c r="H40" s="115">
        <v>0.1</v>
      </c>
      <c r="I40" s="114">
        <f>G40*H40</f>
        <v>0</v>
      </c>
      <c r="J40" s="113">
        <f>J38-J39</f>
        <v>0</v>
      </c>
      <c r="K40" s="113">
        <f>K38-K39</f>
        <v>0</v>
      </c>
      <c r="L40" s="114">
        <f>I40+J40+K40</f>
        <v>0</v>
      </c>
      <c r="M40" s="116">
        <f>M38-M39</f>
        <v>0</v>
      </c>
      <c r="N40" s="117">
        <f>N38-N39</f>
        <v>0</v>
      </c>
    </row>
    <row r="41" spans="1:14">
      <c r="A41" s="66"/>
      <c r="B41" s="97"/>
      <c r="C41" s="97"/>
      <c r="D41" s="98"/>
      <c r="E41" s="99"/>
      <c r="F41" s="99"/>
      <c r="G41" s="100"/>
      <c r="H41" s="101"/>
      <c r="I41" s="100"/>
      <c r="J41" s="99"/>
      <c r="K41" s="99"/>
      <c r="L41" s="100"/>
      <c r="M41" s="102"/>
      <c r="N41" s="51"/>
    </row>
    <row r="42" spans="1:14">
      <c r="A42" s="45">
        <v>31</v>
      </c>
      <c r="B42" s="46"/>
      <c r="C42" s="47"/>
      <c r="D42" s="69" t="s">
        <v>81</v>
      </c>
      <c r="E42" s="14"/>
      <c r="F42" s="14"/>
      <c r="G42" s="15">
        <f>E42-F42</f>
        <v>0</v>
      </c>
      <c r="H42" s="48">
        <v>0.1</v>
      </c>
      <c r="I42" s="15">
        <f>G42*H42</f>
        <v>0</v>
      </c>
      <c r="J42" s="14"/>
      <c r="K42" s="14"/>
      <c r="L42" s="15">
        <f>I42+J42+K42</f>
        <v>0</v>
      </c>
      <c r="M42" s="49"/>
      <c r="N42" s="50"/>
    </row>
    <row r="43" spans="1:14">
      <c r="A43" s="45">
        <v>32</v>
      </c>
      <c r="B43" s="93"/>
      <c r="C43" s="94"/>
      <c r="D43" s="88" t="s">
        <v>79</v>
      </c>
      <c r="E43" s="77"/>
      <c r="F43" s="77"/>
      <c r="G43" s="78">
        <f>E43-F43</f>
        <v>0</v>
      </c>
      <c r="H43" s="89">
        <v>0.1</v>
      </c>
      <c r="I43" s="78">
        <f>G43*H43</f>
        <v>0</v>
      </c>
      <c r="J43" s="77"/>
      <c r="K43" s="77"/>
      <c r="L43" s="78">
        <f>I43+J43+K43</f>
        <v>0</v>
      </c>
      <c r="M43" s="90"/>
      <c r="N43" s="91"/>
    </row>
    <row r="44" spans="1:14">
      <c r="A44" s="45">
        <v>33</v>
      </c>
      <c r="B44" s="95"/>
      <c r="C44" s="96"/>
      <c r="D44" s="112" t="s">
        <v>78</v>
      </c>
      <c r="E44" s="113">
        <f>E42-E43</f>
        <v>0</v>
      </c>
      <c r="F44" s="113">
        <f>F42-F43</f>
        <v>0</v>
      </c>
      <c r="G44" s="114">
        <f>E44-F44</f>
        <v>0</v>
      </c>
      <c r="H44" s="115">
        <v>0.1</v>
      </c>
      <c r="I44" s="114">
        <f>G44*H44</f>
        <v>0</v>
      </c>
      <c r="J44" s="113">
        <f>J42-J43</f>
        <v>0</v>
      </c>
      <c r="K44" s="113">
        <f>K42-K43</f>
        <v>0</v>
      </c>
      <c r="L44" s="114">
        <f>I44+J44+K44</f>
        <v>0</v>
      </c>
      <c r="M44" s="116">
        <f>M42-M43</f>
        <v>0</v>
      </c>
      <c r="N44" s="117">
        <f>N42-N43</f>
        <v>0</v>
      </c>
    </row>
    <row r="45" spans="1:14">
      <c r="A45" s="66"/>
      <c r="B45" s="97"/>
      <c r="C45" s="97"/>
      <c r="D45" s="98"/>
      <c r="E45" s="99"/>
      <c r="F45" s="99"/>
      <c r="G45" s="100"/>
      <c r="H45" s="101"/>
      <c r="I45" s="100"/>
      <c r="J45" s="99"/>
      <c r="K45" s="99"/>
      <c r="L45" s="100"/>
      <c r="M45" s="102"/>
      <c r="N45" s="51"/>
    </row>
    <row r="46" spans="1:14">
      <c r="A46" s="45">
        <v>34</v>
      </c>
      <c r="B46" s="46"/>
      <c r="C46" s="47"/>
      <c r="D46" s="69" t="s">
        <v>81</v>
      </c>
      <c r="E46" s="14"/>
      <c r="F46" s="14"/>
      <c r="G46" s="15">
        <f>E46-F46</f>
        <v>0</v>
      </c>
      <c r="H46" s="48">
        <v>0.1</v>
      </c>
      <c r="I46" s="15">
        <f>G46*H46</f>
        <v>0</v>
      </c>
      <c r="J46" s="14"/>
      <c r="K46" s="14"/>
      <c r="L46" s="15">
        <f>I46+J46+K46</f>
        <v>0</v>
      </c>
      <c r="M46" s="49"/>
      <c r="N46" s="50"/>
    </row>
    <row r="47" spans="1:14">
      <c r="A47" s="45">
        <v>35</v>
      </c>
      <c r="B47" s="93"/>
      <c r="C47" s="94"/>
      <c r="D47" s="88" t="s">
        <v>79</v>
      </c>
      <c r="E47" s="77"/>
      <c r="F47" s="77"/>
      <c r="G47" s="78">
        <f>E47-F47</f>
        <v>0</v>
      </c>
      <c r="H47" s="89">
        <v>0.1</v>
      </c>
      <c r="I47" s="78">
        <f>G47*H47</f>
        <v>0</v>
      </c>
      <c r="J47" s="77"/>
      <c r="K47" s="77"/>
      <c r="L47" s="78">
        <f>I47+J47+K47</f>
        <v>0</v>
      </c>
      <c r="M47" s="90"/>
      <c r="N47" s="91"/>
    </row>
    <row r="48" spans="1:14">
      <c r="A48" s="45">
        <v>36</v>
      </c>
      <c r="B48" s="95"/>
      <c r="C48" s="96"/>
      <c r="D48" s="112" t="s">
        <v>78</v>
      </c>
      <c r="E48" s="113">
        <f>E46-E47</f>
        <v>0</v>
      </c>
      <c r="F48" s="113">
        <f>F46-F47</f>
        <v>0</v>
      </c>
      <c r="G48" s="114">
        <f>E48-F48</f>
        <v>0</v>
      </c>
      <c r="H48" s="115">
        <v>0.1</v>
      </c>
      <c r="I48" s="114">
        <f>G48*H48</f>
        <v>0</v>
      </c>
      <c r="J48" s="113">
        <f>J46-J47</f>
        <v>0</v>
      </c>
      <c r="K48" s="113">
        <f>K46-K47</f>
        <v>0</v>
      </c>
      <c r="L48" s="114">
        <f>I48+J48+K48</f>
        <v>0</v>
      </c>
      <c r="M48" s="116">
        <f>M46-M47</f>
        <v>0</v>
      </c>
      <c r="N48" s="117">
        <f>N46-N47</f>
        <v>0</v>
      </c>
    </row>
    <row r="49" spans="1:14">
      <c r="A49" s="74"/>
      <c r="B49" s="122"/>
      <c r="C49" s="92"/>
      <c r="D49" s="125"/>
      <c r="E49" s="127"/>
      <c r="F49" s="127"/>
      <c r="G49" s="128"/>
      <c r="H49" s="129"/>
      <c r="I49" s="128"/>
      <c r="J49" s="127"/>
      <c r="K49" s="127"/>
      <c r="L49" s="128"/>
      <c r="M49" s="130"/>
      <c r="N49" s="51"/>
    </row>
    <row r="50" spans="1:14">
      <c r="A50" s="16"/>
      <c r="B50" s="126" t="s">
        <v>91</v>
      </c>
      <c r="C50" s="51"/>
      <c r="D50" s="16"/>
      <c r="E50" s="131">
        <f>E4+E8+E12+E16+E20+E24+E28+E32+E36+E40+E44+E48</f>
        <v>0</v>
      </c>
      <c r="F50" s="131">
        <f>F4+F8+F12+F16+F20+F24+F28+F32+F36+F40+F44+F48</f>
        <v>0</v>
      </c>
      <c r="G50" s="131">
        <f>G4+G8+G12+G16+G20+G24+G28+G32+G36+G40+G44+G48</f>
        <v>0</v>
      </c>
      <c r="H50" s="131"/>
      <c r="I50" s="131">
        <f t="shared" ref="I50:N50" si="0">I4+I8+I12+I16+I20+I24+I28+I32+I36+I40+I44+I48</f>
        <v>0</v>
      </c>
      <c r="J50" s="131">
        <f t="shared" si="0"/>
        <v>0</v>
      </c>
      <c r="K50" s="131">
        <f t="shared" si="0"/>
        <v>0</v>
      </c>
      <c r="L50" s="54">
        <f t="shared" si="0"/>
        <v>0</v>
      </c>
      <c r="M50" s="131">
        <f t="shared" si="0"/>
        <v>0</v>
      </c>
      <c r="N50" s="131">
        <f t="shared" si="0"/>
        <v>0</v>
      </c>
    </row>
    <row r="51" spans="1:14">
      <c r="B51" s="60" t="s">
        <v>68</v>
      </c>
      <c r="C51" s="56"/>
      <c r="D51" s="57">
        <f>'TOT Report Page 1'!E14</f>
        <v>0</v>
      </c>
      <c r="E51" s="58" t="s">
        <v>61</v>
      </c>
      <c r="F51" s="59">
        <f>'TOT Report Page 1'!G14</f>
        <v>0</v>
      </c>
      <c r="G51" s="56"/>
      <c r="H51" s="132" t="s">
        <v>89</v>
      </c>
      <c r="I51" s="56"/>
      <c r="J51" s="209">
        <f>'TOT Report Page 1'!C6</f>
        <v>0</v>
      </c>
      <c r="K51" s="209"/>
      <c r="L51" s="209"/>
      <c r="M51" s="209"/>
    </row>
  </sheetData>
  <mergeCells count="1">
    <mergeCell ref="J51:M51"/>
  </mergeCells>
  <phoneticPr fontId="2" type="noConversion"/>
  <printOptions horizontalCentered="1"/>
  <pageMargins left="0" right="0" top="0.18" bottom="0.38" header="0.17" footer="0.16"/>
  <pageSetup scale="87" orientation="landscape" r:id="rId1"/>
  <headerFooter alignWithMargins="0">
    <oddFooter>&amp;CPage 2
&amp;R&amp;D&amp;T</oddFooter>
  </headerFooter>
</worksheet>
</file>

<file path=xl/worksheets/sheet5.xml><?xml version="1.0" encoding="utf-8"?>
<worksheet xmlns="http://schemas.openxmlformats.org/spreadsheetml/2006/main" xmlns:r="http://schemas.openxmlformats.org/officeDocument/2006/relationships">
  <dimension ref="A1:N51"/>
  <sheetViews>
    <sheetView showGridLines="0" workbookViewId="0"/>
  </sheetViews>
  <sheetFormatPr defaultRowHeight="12.75"/>
  <cols>
    <col min="1" max="1" width="3" style="55" bestFit="1" customWidth="1"/>
    <col min="2" max="3" width="9.140625" style="55"/>
    <col min="4" max="4" width="13" style="55" customWidth="1"/>
    <col min="5" max="5" width="9.140625" style="55"/>
    <col min="6" max="6" width="11.42578125" style="55" bestFit="1" customWidth="1"/>
    <col min="7" max="11" width="9.140625" style="55"/>
    <col min="12" max="12" width="10.5703125" style="55" customWidth="1"/>
    <col min="13" max="13" width="10.42578125" style="55" customWidth="1"/>
    <col min="14" max="16384" width="9.140625" style="55"/>
  </cols>
  <sheetData>
    <row r="1" spans="1:14" s="44" customFormat="1" ht="36">
      <c r="A1" s="41"/>
      <c r="B1" s="42" t="s">
        <v>0</v>
      </c>
      <c r="C1" s="42" t="s">
        <v>1</v>
      </c>
      <c r="D1" s="42" t="s">
        <v>77</v>
      </c>
      <c r="E1" s="43" t="s">
        <v>2</v>
      </c>
      <c r="F1" s="43" t="s">
        <v>4</v>
      </c>
      <c r="G1" s="43" t="s">
        <v>3</v>
      </c>
      <c r="H1" s="42" t="s">
        <v>5</v>
      </c>
      <c r="I1" s="43" t="s">
        <v>6</v>
      </c>
      <c r="J1" s="43" t="s">
        <v>7</v>
      </c>
      <c r="K1" s="43" t="s">
        <v>8</v>
      </c>
      <c r="L1" s="43" t="s">
        <v>9</v>
      </c>
      <c r="M1" s="42" t="s">
        <v>10</v>
      </c>
      <c r="N1" s="42" t="s">
        <v>28</v>
      </c>
    </row>
    <row r="2" spans="1:14" s="16" customFormat="1" ht="12">
      <c r="A2" s="45">
        <v>1</v>
      </c>
      <c r="B2" s="46"/>
      <c r="C2" s="47"/>
      <c r="D2" s="69" t="s">
        <v>81</v>
      </c>
      <c r="E2" s="14"/>
      <c r="F2" s="14"/>
      <c r="G2" s="15">
        <f>E2-F2</f>
        <v>0</v>
      </c>
      <c r="H2" s="48">
        <v>0.1</v>
      </c>
      <c r="I2" s="15">
        <f>G2*H2</f>
        <v>0</v>
      </c>
      <c r="J2" s="14"/>
      <c r="K2" s="14"/>
      <c r="L2" s="15">
        <f>I2+J2+K2</f>
        <v>0</v>
      </c>
      <c r="M2" s="49"/>
      <c r="N2" s="50"/>
    </row>
    <row r="3" spans="1:14" s="16" customFormat="1" ht="12">
      <c r="A3" s="45">
        <v>2</v>
      </c>
      <c r="B3" s="93"/>
      <c r="C3" s="94"/>
      <c r="D3" s="88" t="s">
        <v>79</v>
      </c>
      <c r="E3" s="77"/>
      <c r="F3" s="77"/>
      <c r="G3" s="78">
        <f>E3-F3</f>
        <v>0</v>
      </c>
      <c r="H3" s="89">
        <v>0.1</v>
      </c>
      <c r="I3" s="78">
        <f>G3*H3</f>
        <v>0</v>
      </c>
      <c r="J3" s="77"/>
      <c r="K3" s="77"/>
      <c r="L3" s="78">
        <f>I3+J3+K3</f>
        <v>0</v>
      </c>
      <c r="M3" s="90"/>
      <c r="N3" s="91"/>
    </row>
    <row r="4" spans="1:14" s="16" customFormat="1" ht="12">
      <c r="A4" s="45">
        <v>3</v>
      </c>
      <c r="B4" s="95"/>
      <c r="C4" s="96"/>
      <c r="D4" s="112" t="s">
        <v>78</v>
      </c>
      <c r="E4" s="113">
        <f>E2-E3</f>
        <v>0</v>
      </c>
      <c r="F4" s="113">
        <f>F2-F3</f>
        <v>0</v>
      </c>
      <c r="G4" s="114">
        <f>E4-F4</f>
        <v>0</v>
      </c>
      <c r="H4" s="115">
        <v>0.1</v>
      </c>
      <c r="I4" s="114">
        <f>G4*H4</f>
        <v>0</v>
      </c>
      <c r="J4" s="113">
        <f>J2-J3</f>
        <v>0</v>
      </c>
      <c r="K4" s="113">
        <f>K2-K3</f>
        <v>0</v>
      </c>
      <c r="L4" s="114">
        <f>I4+J4+K4</f>
        <v>0</v>
      </c>
      <c r="M4" s="116">
        <f>M2-M3</f>
        <v>0</v>
      </c>
      <c r="N4" s="117">
        <f>N2-N3</f>
        <v>0</v>
      </c>
    </row>
    <row r="5" spans="1:14" s="16" customFormat="1" ht="12">
      <c r="A5" s="66"/>
      <c r="B5" s="74"/>
      <c r="C5" s="74"/>
      <c r="D5" s="83"/>
      <c r="E5" s="84"/>
      <c r="F5" s="84"/>
      <c r="G5" s="85"/>
      <c r="H5" s="86"/>
      <c r="I5" s="85"/>
      <c r="J5" s="84"/>
      <c r="K5" s="84"/>
      <c r="L5" s="85"/>
      <c r="M5" s="87"/>
      <c r="N5" s="51"/>
    </row>
    <row r="6" spans="1:14" s="16" customFormat="1" ht="12">
      <c r="A6" s="66">
        <v>4</v>
      </c>
      <c r="B6" s="46"/>
      <c r="C6" s="47"/>
      <c r="D6" s="69" t="s">
        <v>81</v>
      </c>
      <c r="E6" s="14"/>
      <c r="F6" s="14"/>
      <c r="G6" s="15">
        <f>E6-F6</f>
        <v>0</v>
      </c>
      <c r="H6" s="48">
        <v>0.1</v>
      </c>
      <c r="I6" s="15">
        <f>G6*H6</f>
        <v>0</v>
      </c>
      <c r="J6" s="14"/>
      <c r="K6" s="14"/>
      <c r="L6" s="15">
        <f>I6+J6+K6</f>
        <v>0</v>
      </c>
      <c r="M6" s="49"/>
      <c r="N6" s="50"/>
    </row>
    <row r="7" spans="1:14" s="16" customFormat="1" ht="12">
      <c r="A7" s="45">
        <v>5</v>
      </c>
      <c r="B7" s="93"/>
      <c r="C7" s="94"/>
      <c r="D7" s="88" t="s">
        <v>79</v>
      </c>
      <c r="E7" s="77"/>
      <c r="F7" s="77"/>
      <c r="G7" s="78">
        <f>E7-F7</f>
        <v>0</v>
      </c>
      <c r="H7" s="89">
        <v>0.1</v>
      </c>
      <c r="I7" s="78">
        <f>G7*H7</f>
        <v>0</v>
      </c>
      <c r="J7" s="77"/>
      <c r="K7" s="77"/>
      <c r="L7" s="78">
        <f>I7+J7+K7</f>
        <v>0</v>
      </c>
      <c r="M7" s="90"/>
      <c r="N7" s="91"/>
    </row>
    <row r="8" spans="1:14" s="16" customFormat="1" ht="12">
      <c r="A8" s="45">
        <v>6</v>
      </c>
      <c r="B8" s="95"/>
      <c r="C8" s="96"/>
      <c r="D8" s="112" t="s">
        <v>78</v>
      </c>
      <c r="E8" s="113">
        <f>E6-E7</f>
        <v>0</v>
      </c>
      <c r="F8" s="113">
        <f>F6-F7</f>
        <v>0</v>
      </c>
      <c r="G8" s="114">
        <f>E8-F8</f>
        <v>0</v>
      </c>
      <c r="H8" s="115">
        <v>0.1</v>
      </c>
      <c r="I8" s="114">
        <f>G8*H8</f>
        <v>0</v>
      </c>
      <c r="J8" s="113">
        <f>J6-J7</f>
        <v>0</v>
      </c>
      <c r="K8" s="113">
        <f>K6-K7</f>
        <v>0</v>
      </c>
      <c r="L8" s="114">
        <f>I8+J8+K8</f>
        <v>0</v>
      </c>
      <c r="M8" s="116">
        <f>M6-M7</f>
        <v>0</v>
      </c>
      <c r="N8" s="117">
        <f>N6-N7</f>
        <v>0</v>
      </c>
    </row>
    <row r="9" spans="1:14" s="16" customFormat="1" ht="12">
      <c r="A9" s="66"/>
      <c r="B9" s="97"/>
      <c r="C9" s="97"/>
      <c r="D9" s="98"/>
      <c r="E9" s="99"/>
      <c r="F9" s="99"/>
      <c r="G9" s="100"/>
      <c r="H9" s="101"/>
      <c r="I9" s="100"/>
      <c r="J9" s="99"/>
      <c r="K9" s="99"/>
      <c r="L9" s="100"/>
      <c r="M9" s="102"/>
      <c r="N9" s="51"/>
    </row>
    <row r="10" spans="1:14" s="16" customFormat="1" ht="12">
      <c r="A10" s="45">
        <v>7</v>
      </c>
      <c r="B10" s="46"/>
      <c r="C10" s="47"/>
      <c r="D10" s="69" t="s">
        <v>81</v>
      </c>
      <c r="E10" s="14"/>
      <c r="F10" s="14"/>
      <c r="G10" s="15">
        <f>E10-F10</f>
        <v>0</v>
      </c>
      <c r="H10" s="48">
        <v>0.1</v>
      </c>
      <c r="I10" s="15">
        <f>G10*H10</f>
        <v>0</v>
      </c>
      <c r="J10" s="14"/>
      <c r="K10" s="14"/>
      <c r="L10" s="15">
        <f>I10+J10+K10</f>
        <v>0</v>
      </c>
      <c r="M10" s="49"/>
      <c r="N10" s="50"/>
    </row>
    <row r="11" spans="1:14" s="16" customFormat="1" ht="12">
      <c r="A11" s="45">
        <v>8</v>
      </c>
      <c r="B11" s="93"/>
      <c r="C11" s="94"/>
      <c r="D11" s="88" t="s">
        <v>79</v>
      </c>
      <c r="E11" s="77"/>
      <c r="F11" s="77"/>
      <c r="G11" s="78">
        <f>E11-F11</f>
        <v>0</v>
      </c>
      <c r="H11" s="89">
        <v>0.1</v>
      </c>
      <c r="I11" s="78">
        <f>G11*H11</f>
        <v>0</v>
      </c>
      <c r="J11" s="77"/>
      <c r="K11" s="77"/>
      <c r="L11" s="78">
        <f>I11+J11+K11</f>
        <v>0</v>
      </c>
      <c r="M11" s="90"/>
      <c r="N11" s="91"/>
    </row>
    <row r="12" spans="1:14" s="16" customFormat="1" ht="12">
      <c r="A12" s="45">
        <v>9</v>
      </c>
      <c r="B12" s="95"/>
      <c r="C12" s="96"/>
      <c r="D12" s="112" t="s">
        <v>78</v>
      </c>
      <c r="E12" s="113">
        <f>E10-E11</f>
        <v>0</v>
      </c>
      <c r="F12" s="113">
        <f>F10-F11</f>
        <v>0</v>
      </c>
      <c r="G12" s="114">
        <f>E12-F12</f>
        <v>0</v>
      </c>
      <c r="H12" s="115">
        <v>0.1</v>
      </c>
      <c r="I12" s="114">
        <f>G12*H12</f>
        <v>0</v>
      </c>
      <c r="J12" s="113">
        <f>J10-J11</f>
        <v>0</v>
      </c>
      <c r="K12" s="113">
        <f>K10-K11</f>
        <v>0</v>
      </c>
      <c r="L12" s="114">
        <f>I12+J12+K12</f>
        <v>0</v>
      </c>
      <c r="M12" s="116">
        <f>M10-M11</f>
        <v>0</v>
      </c>
      <c r="N12" s="117">
        <f>N10-N11</f>
        <v>0</v>
      </c>
    </row>
    <row r="13" spans="1:14" s="16" customFormat="1" ht="12">
      <c r="A13" s="66"/>
      <c r="B13" s="97"/>
      <c r="C13" s="97"/>
      <c r="D13" s="98"/>
      <c r="E13" s="99"/>
      <c r="F13" s="99"/>
      <c r="G13" s="100"/>
      <c r="H13" s="101"/>
      <c r="I13" s="100"/>
      <c r="J13" s="99"/>
      <c r="K13" s="99"/>
      <c r="L13" s="100"/>
      <c r="M13" s="102"/>
      <c r="N13" s="51"/>
    </row>
    <row r="14" spans="1:14" s="16" customFormat="1" ht="12">
      <c r="A14" s="45">
        <v>10</v>
      </c>
      <c r="B14" s="46"/>
      <c r="C14" s="47"/>
      <c r="D14" s="69" t="s">
        <v>81</v>
      </c>
      <c r="E14" s="14"/>
      <c r="F14" s="14"/>
      <c r="G14" s="15">
        <f>E14-F14</f>
        <v>0</v>
      </c>
      <c r="H14" s="48">
        <v>0.1</v>
      </c>
      <c r="I14" s="15">
        <f>G14*H14</f>
        <v>0</v>
      </c>
      <c r="J14" s="14"/>
      <c r="K14" s="14"/>
      <c r="L14" s="15">
        <f>I14+J14+K14</f>
        <v>0</v>
      </c>
      <c r="M14" s="49"/>
      <c r="N14" s="50"/>
    </row>
    <row r="15" spans="1:14" s="16" customFormat="1" ht="12">
      <c r="A15" s="45">
        <v>11</v>
      </c>
      <c r="B15" s="93"/>
      <c r="C15" s="94"/>
      <c r="D15" s="88" t="s">
        <v>79</v>
      </c>
      <c r="E15" s="77"/>
      <c r="F15" s="77"/>
      <c r="G15" s="78">
        <f>E15-F15</f>
        <v>0</v>
      </c>
      <c r="H15" s="89">
        <v>0.1</v>
      </c>
      <c r="I15" s="78">
        <f>G15*H15</f>
        <v>0</v>
      </c>
      <c r="J15" s="77"/>
      <c r="K15" s="77"/>
      <c r="L15" s="78">
        <f>I15+J15+K15</f>
        <v>0</v>
      </c>
      <c r="M15" s="90"/>
      <c r="N15" s="91"/>
    </row>
    <row r="16" spans="1:14" s="16" customFormat="1" ht="12">
      <c r="A16" s="45">
        <v>12</v>
      </c>
      <c r="B16" s="95"/>
      <c r="C16" s="96"/>
      <c r="D16" s="112" t="s">
        <v>78</v>
      </c>
      <c r="E16" s="113">
        <f>E14-E15</f>
        <v>0</v>
      </c>
      <c r="F16" s="113">
        <f>F14-F15</f>
        <v>0</v>
      </c>
      <c r="G16" s="114">
        <f>E16-F16</f>
        <v>0</v>
      </c>
      <c r="H16" s="115">
        <v>0.1</v>
      </c>
      <c r="I16" s="114">
        <f>G16*H16</f>
        <v>0</v>
      </c>
      <c r="J16" s="113">
        <f>J14-J15</f>
        <v>0</v>
      </c>
      <c r="K16" s="113">
        <f>K14-K15</f>
        <v>0</v>
      </c>
      <c r="L16" s="114">
        <f>I16+J16+K16</f>
        <v>0</v>
      </c>
      <c r="M16" s="116">
        <f>M14-M15</f>
        <v>0</v>
      </c>
      <c r="N16" s="117">
        <f>N14-N15</f>
        <v>0</v>
      </c>
    </row>
    <row r="17" spans="1:14" s="16" customFormat="1" ht="12">
      <c r="A17" s="66"/>
      <c r="B17" s="97"/>
      <c r="C17" s="97"/>
      <c r="D17" s="98"/>
      <c r="E17" s="99"/>
      <c r="F17" s="99"/>
      <c r="G17" s="100"/>
      <c r="H17" s="101"/>
      <c r="I17" s="100"/>
      <c r="J17" s="99"/>
      <c r="K17" s="99"/>
      <c r="L17" s="100"/>
      <c r="M17" s="102"/>
      <c r="N17" s="51"/>
    </row>
    <row r="18" spans="1:14" s="16" customFormat="1" ht="12">
      <c r="A18" s="45">
        <v>13</v>
      </c>
      <c r="B18" s="46"/>
      <c r="C18" s="47"/>
      <c r="D18" s="69" t="s">
        <v>81</v>
      </c>
      <c r="E18" s="14"/>
      <c r="F18" s="14"/>
      <c r="G18" s="15">
        <f>E18-F18</f>
        <v>0</v>
      </c>
      <c r="H18" s="48">
        <v>0.1</v>
      </c>
      <c r="I18" s="15">
        <f>G18*H18</f>
        <v>0</v>
      </c>
      <c r="J18" s="14"/>
      <c r="K18" s="14"/>
      <c r="L18" s="15">
        <f>I18+J18+K18</f>
        <v>0</v>
      </c>
      <c r="M18" s="49"/>
      <c r="N18" s="50"/>
    </row>
    <row r="19" spans="1:14" s="16" customFormat="1" ht="12">
      <c r="A19" s="45">
        <v>14</v>
      </c>
      <c r="B19" s="93"/>
      <c r="C19" s="94"/>
      <c r="D19" s="88" t="s">
        <v>79</v>
      </c>
      <c r="E19" s="77"/>
      <c r="F19" s="77"/>
      <c r="G19" s="78">
        <f>E19-F19</f>
        <v>0</v>
      </c>
      <c r="H19" s="89">
        <v>0.1</v>
      </c>
      <c r="I19" s="78">
        <f>G19*H19</f>
        <v>0</v>
      </c>
      <c r="J19" s="77"/>
      <c r="K19" s="77"/>
      <c r="L19" s="78">
        <f>I19+J19+K19</f>
        <v>0</v>
      </c>
      <c r="M19" s="90"/>
      <c r="N19" s="91"/>
    </row>
    <row r="20" spans="1:14" s="16" customFormat="1" ht="12">
      <c r="A20" s="45">
        <v>15</v>
      </c>
      <c r="B20" s="95"/>
      <c r="C20" s="96"/>
      <c r="D20" s="112" t="s">
        <v>78</v>
      </c>
      <c r="E20" s="113">
        <f>E18-E19</f>
        <v>0</v>
      </c>
      <c r="F20" s="113">
        <f>F18-F19</f>
        <v>0</v>
      </c>
      <c r="G20" s="114">
        <f>E20-F20</f>
        <v>0</v>
      </c>
      <c r="H20" s="115">
        <v>0.1</v>
      </c>
      <c r="I20" s="114">
        <f>G20*H20</f>
        <v>0</v>
      </c>
      <c r="J20" s="113">
        <f>J18-J19</f>
        <v>0</v>
      </c>
      <c r="K20" s="113">
        <f>K18-K19</f>
        <v>0</v>
      </c>
      <c r="L20" s="114">
        <f>I20+J20+K20</f>
        <v>0</v>
      </c>
      <c r="M20" s="116">
        <f>M18-M19</f>
        <v>0</v>
      </c>
      <c r="N20" s="117">
        <f>N18-N19</f>
        <v>0</v>
      </c>
    </row>
    <row r="21" spans="1:14" s="16" customFormat="1" ht="12">
      <c r="A21" s="66"/>
      <c r="B21" s="97"/>
      <c r="C21" s="97"/>
      <c r="D21" s="98"/>
      <c r="E21" s="99"/>
      <c r="F21" s="99"/>
      <c r="G21" s="100"/>
      <c r="H21" s="101"/>
      <c r="I21" s="100"/>
      <c r="J21" s="99"/>
      <c r="K21" s="99"/>
      <c r="L21" s="100"/>
      <c r="M21" s="102"/>
      <c r="N21" s="51"/>
    </row>
    <row r="22" spans="1:14" s="16" customFormat="1" ht="12">
      <c r="A22" s="45">
        <v>16</v>
      </c>
      <c r="B22" s="46"/>
      <c r="C22" s="47"/>
      <c r="D22" s="69" t="s">
        <v>81</v>
      </c>
      <c r="E22" s="14"/>
      <c r="F22" s="14"/>
      <c r="G22" s="15">
        <f>E22-F22</f>
        <v>0</v>
      </c>
      <c r="H22" s="48">
        <v>0.1</v>
      </c>
      <c r="I22" s="15">
        <f>G22*H22</f>
        <v>0</v>
      </c>
      <c r="J22" s="14"/>
      <c r="K22" s="14"/>
      <c r="L22" s="15">
        <f>I22+J22+K22</f>
        <v>0</v>
      </c>
      <c r="M22" s="49"/>
      <c r="N22" s="50"/>
    </row>
    <row r="23" spans="1:14" s="16" customFormat="1" ht="12">
      <c r="A23" s="45">
        <v>17</v>
      </c>
      <c r="B23" s="93"/>
      <c r="C23" s="94"/>
      <c r="D23" s="88" t="s">
        <v>79</v>
      </c>
      <c r="E23" s="77"/>
      <c r="F23" s="77"/>
      <c r="G23" s="78">
        <f>E23-F23</f>
        <v>0</v>
      </c>
      <c r="H23" s="89">
        <v>0.1</v>
      </c>
      <c r="I23" s="78">
        <f>G23*H23</f>
        <v>0</v>
      </c>
      <c r="J23" s="77"/>
      <c r="K23" s="77"/>
      <c r="L23" s="78">
        <f>I23+J23+K23</f>
        <v>0</v>
      </c>
      <c r="M23" s="90"/>
      <c r="N23" s="91"/>
    </row>
    <row r="24" spans="1:14" s="16" customFormat="1" ht="12">
      <c r="A24" s="45">
        <v>18</v>
      </c>
      <c r="B24" s="95"/>
      <c r="C24" s="96"/>
      <c r="D24" s="112" t="s">
        <v>78</v>
      </c>
      <c r="E24" s="113">
        <f>E22-E23</f>
        <v>0</v>
      </c>
      <c r="F24" s="113">
        <f>F22-F23</f>
        <v>0</v>
      </c>
      <c r="G24" s="114">
        <f>E24-F24</f>
        <v>0</v>
      </c>
      <c r="H24" s="115">
        <v>0.1</v>
      </c>
      <c r="I24" s="114">
        <f>G24*H24</f>
        <v>0</v>
      </c>
      <c r="J24" s="113">
        <f>J22-J23</f>
        <v>0</v>
      </c>
      <c r="K24" s="113">
        <f>K22-K23</f>
        <v>0</v>
      </c>
      <c r="L24" s="114">
        <f>I24+J24+K24</f>
        <v>0</v>
      </c>
      <c r="M24" s="116">
        <f>M22-M23</f>
        <v>0</v>
      </c>
      <c r="N24" s="117">
        <f>N22-N23</f>
        <v>0</v>
      </c>
    </row>
    <row r="25" spans="1:14" s="16" customFormat="1" ht="12">
      <c r="A25" s="66"/>
      <c r="B25" s="122"/>
      <c r="C25" s="122"/>
      <c r="D25" s="123"/>
      <c r="E25" s="123"/>
      <c r="F25" s="53"/>
      <c r="G25" s="124"/>
      <c r="H25" s="53"/>
      <c r="I25" s="123"/>
      <c r="J25" s="123"/>
      <c r="K25" s="53"/>
      <c r="L25" s="51"/>
      <c r="M25" s="51"/>
      <c r="N25" s="51"/>
    </row>
    <row r="26" spans="1:14" s="16" customFormat="1" ht="12">
      <c r="A26" s="66">
        <v>19</v>
      </c>
      <c r="B26" s="72"/>
      <c r="C26" s="73"/>
      <c r="D26" s="79" t="s">
        <v>81</v>
      </c>
      <c r="E26" s="75"/>
      <c r="F26" s="75"/>
      <c r="G26" s="76">
        <f>E26-F26</f>
        <v>0</v>
      </c>
      <c r="H26" s="80">
        <v>0.1</v>
      </c>
      <c r="I26" s="76">
        <f>G26*H26</f>
        <v>0</v>
      </c>
      <c r="J26" s="75"/>
      <c r="K26" s="75"/>
      <c r="L26" s="76">
        <f>I26+J26+K26</f>
        <v>0</v>
      </c>
      <c r="M26" s="81"/>
      <c r="N26" s="82"/>
    </row>
    <row r="27" spans="1:14" s="16" customFormat="1" ht="12">
      <c r="A27" s="45">
        <v>20</v>
      </c>
      <c r="B27" s="93"/>
      <c r="C27" s="94"/>
      <c r="D27" s="88" t="s">
        <v>79</v>
      </c>
      <c r="E27" s="77"/>
      <c r="F27" s="77"/>
      <c r="G27" s="78">
        <f>E27-F27</f>
        <v>0</v>
      </c>
      <c r="H27" s="89">
        <v>0.1</v>
      </c>
      <c r="I27" s="78">
        <f>G27*H27</f>
        <v>0</v>
      </c>
      <c r="J27" s="77"/>
      <c r="K27" s="77"/>
      <c r="L27" s="78">
        <f>I27+J27+K27</f>
        <v>0</v>
      </c>
      <c r="M27" s="90"/>
      <c r="N27" s="91"/>
    </row>
    <row r="28" spans="1:14" s="16" customFormat="1" ht="12">
      <c r="A28" s="45">
        <v>21</v>
      </c>
      <c r="B28" s="95"/>
      <c r="C28" s="96"/>
      <c r="D28" s="112" t="s">
        <v>78</v>
      </c>
      <c r="E28" s="113">
        <f>E26-E27</f>
        <v>0</v>
      </c>
      <c r="F28" s="113">
        <f>F26-F27</f>
        <v>0</v>
      </c>
      <c r="G28" s="114">
        <f>E28-F28</f>
        <v>0</v>
      </c>
      <c r="H28" s="115">
        <v>0.1</v>
      </c>
      <c r="I28" s="114">
        <f>G28*H28</f>
        <v>0</v>
      </c>
      <c r="J28" s="113">
        <f>J26-J27</f>
        <v>0</v>
      </c>
      <c r="K28" s="113">
        <f>K26-K27</f>
        <v>0</v>
      </c>
      <c r="L28" s="114">
        <f>I28+J28+K28</f>
        <v>0</v>
      </c>
      <c r="M28" s="116">
        <f>M26-M27</f>
        <v>0</v>
      </c>
      <c r="N28" s="117">
        <f>N26-N27</f>
        <v>0</v>
      </c>
    </row>
    <row r="29" spans="1:14" s="16" customFormat="1" ht="12">
      <c r="A29" s="66"/>
      <c r="B29" s="97"/>
      <c r="C29" s="97"/>
      <c r="D29" s="98"/>
      <c r="E29" s="99"/>
      <c r="F29" s="99"/>
      <c r="G29" s="100"/>
      <c r="H29" s="101"/>
      <c r="I29" s="100"/>
      <c r="J29" s="99"/>
      <c r="K29" s="99"/>
      <c r="L29" s="100"/>
      <c r="M29" s="102"/>
      <c r="N29" s="51"/>
    </row>
    <row r="30" spans="1:14" s="16" customFormat="1" ht="12">
      <c r="A30" s="45">
        <v>22</v>
      </c>
      <c r="B30" s="46"/>
      <c r="C30" s="47"/>
      <c r="D30" s="69" t="s">
        <v>81</v>
      </c>
      <c r="E30" s="14"/>
      <c r="F30" s="14"/>
      <c r="G30" s="15">
        <f>E30-F30</f>
        <v>0</v>
      </c>
      <c r="H30" s="48">
        <v>0.1</v>
      </c>
      <c r="I30" s="15">
        <f>G30*H30</f>
        <v>0</v>
      </c>
      <c r="J30" s="14"/>
      <c r="K30" s="14"/>
      <c r="L30" s="15">
        <f>I30+J30+K30</f>
        <v>0</v>
      </c>
      <c r="M30" s="49"/>
      <c r="N30" s="50"/>
    </row>
    <row r="31" spans="1:14" s="16" customFormat="1" ht="12">
      <c r="A31" s="45">
        <v>23</v>
      </c>
      <c r="B31" s="93"/>
      <c r="C31" s="94"/>
      <c r="D31" s="88" t="s">
        <v>79</v>
      </c>
      <c r="E31" s="77"/>
      <c r="F31" s="77"/>
      <c r="G31" s="78">
        <f>E31-F31</f>
        <v>0</v>
      </c>
      <c r="H31" s="89">
        <v>0.1</v>
      </c>
      <c r="I31" s="78">
        <f>G31*H31</f>
        <v>0</v>
      </c>
      <c r="J31" s="77"/>
      <c r="K31" s="77"/>
      <c r="L31" s="78">
        <f>I31+J31+K31</f>
        <v>0</v>
      </c>
      <c r="M31" s="90"/>
      <c r="N31" s="91"/>
    </row>
    <row r="32" spans="1:14" s="16" customFormat="1" ht="12">
      <c r="A32" s="45">
        <v>24</v>
      </c>
      <c r="B32" s="95"/>
      <c r="C32" s="96"/>
      <c r="D32" s="112" t="s">
        <v>78</v>
      </c>
      <c r="E32" s="113">
        <f>E30-E31</f>
        <v>0</v>
      </c>
      <c r="F32" s="113">
        <f>F30-F31</f>
        <v>0</v>
      </c>
      <c r="G32" s="114">
        <f>E32-F32</f>
        <v>0</v>
      </c>
      <c r="H32" s="115">
        <v>0.1</v>
      </c>
      <c r="I32" s="114">
        <f>G32*H32</f>
        <v>0</v>
      </c>
      <c r="J32" s="113">
        <f>J30-J31</f>
        <v>0</v>
      </c>
      <c r="K32" s="113">
        <f>K30-K31</f>
        <v>0</v>
      </c>
      <c r="L32" s="114">
        <f>I32+J32+K32</f>
        <v>0</v>
      </c>
      <c r="M32" s="116">
        <f>M30-M31</f>
        <v>0</v>
      </c>
      <c r="N32" s="117">
        <f>N30-N31</f>
        <v>0</v>
      </c>
    </row>
    <row r="33" spans="1:14" s="16" customFormat="1" ht="12">
      <c r="A33" s="66"/>
      <c r="B33" s="97"/>
      <c r="C33" s="97"/>
      <c r="D33" s="98"/>
      <c r="E33" s="99"/>
      <c r="F33" s="99"/>
      <c r="G33" s="100"/>
      <c r="H33" s="101"/>
      <c r="I33" s="100"/>
      <c r="J33" s="99"/>
      <c r="K33" s="99"/>
      <c r="L33" s="100"/>
      <c r="M33" s="102"/>
      <c r="N33" s="51"/>
    </row>
    <row r="34" spans="1:14" s="16" customFormat="1" ht="12">
      <c r="A34" s="45">
        <v>25</v>
      </c>
      <c r="B34" s="46"/>
      <c r="C34" s="47"/>
      <c r="D34" s="69" t="s">
        <v>81</v>
      </c>
      <c r="E34" s="14"/>
      <c r="F34" s="14"/>
      <c r="G34" s="15">
        <f>E34-F34</f>
        <v>0</v>
      </c>
      <c r="H34" s="48">
        <v>0.1</v>
      </c>
      <c r="I34" s="15">
        <f>G34*H34</f>
        <v>0</v>
      </c>
      <c r="J34" s="14"/>
      <c r="K34" s="14"/>
      <c r="L34" s="15">
        <f>I34+J34+K34</f>
        <v>0</v>
      </c>
      <c r="M34" s="49"/>
      <c r="N34" s="50"/>
    </row>
    <row r="35" spans="1:14" s="16" customFormat="1" ht="12">
      <c r="A35" s="45">
        <v>26</v>
      </c>
      <c r="B35" s="93"/>
      <c r="C35" s="94"/>
      <c r="D35" s="88" t="s">
        <v>79</v>
      </c>
      <c r="E35" s="77"/>
      <c r="F35" s="77"/>
      <c r="G35" s="78">
        <f>E35-F35</f>
        <v>0</v>
      </c>
      <c r="H35" s="89">
        <v>0.1</v>
      </c>
      <c r="I35" s="78">
        <f>G35*H35</f>
        <v>0</v>
      </c>
      <c r="J35" s="77"/>
      <c r="K35" s="77"/>
      <c r="L35" s="78">
        <f>I35+J35+K35</f>
        <v>0</v>
      </c>
      <c r="M35" s="90"/>
      <c r="N35" s="91"/>
    </row>
    <row r="36" spans="1:14" s="16" customFormat="1" ht="12">
      <c r="A36" s="45">
        <v>27</v>
      </c>
      <c r="B36" s="95"/>
      <c r="C36" s="96"/>
      <c r="D36" s="112" t="s">
        <v>78</v>
      </c>
      <c r="E36" s="113">
        <f>E34-E35</f>
        <v>0</v>
      </c>
      <c r="F36" s="113">
        <f>F34-F35</f>
        <v>0</v>
      </c>
      <c r="G36" s="114">
        <f>E36-F36</f>
        <v>0</v>
      </c>
      <c r="H36" s="115">
        <v>0.1</v>
      </c>
      <c r="I36" s="114">
        <f>G36*H36</f>
        <v>0</v>
      </c>
      <c r="J36" s="113">
        <f>J34-J35</f>
        <v>0</v>
      </c>
      <c r="K36" s="113">
        <f>K34-K35</f>
        <v>0</v>
      </c>
      <c r="L36" s="114">
        <f>I36+J36+K36</f>
        <v>0</v>
      </c>
      <c r="M36" s="116">
        <f>M34-M35</f>
        <v>0</v>
      </c>
      <c r="N36" s="117">
        <f>N34-N35</f>
        <v>0</v>
      </c>
    </row>
    <row r="37" spans="1:14" s="16" customFormat="1" ht="12">
      <c r="A37" s="66"/>
      <c r="B37" s="122"/>
      <c r="C37" s="122"/>
      <c r="D37" s="125"/>
      <c r="E37" s="123"/>
      <c r="F37" s="123"/>
      <c r="G37" s="53"/>
      <c r="H37" s="124"/>
      <c r="I37" s="53"/>
      <c r="J37" s="123"/>
      <c r="K37" s="123"/>
      <c r="L37" s="53"/>
      <c r="M37" s="51"/>
      <c r="N37" s="51"/>
    </row>
    <row r="38" spans="1:14" s="16" customFormat="1" ht="12">
      <c r="A38" s="66">
        <v>28</v>
      </c>
      <c r="B38" s="72"/>
      <c r="C38" s="73"/>
      <c r="D38" s="79" t="s">
        <v>81</v>
      </c>
      <c r="E38" s="75"/>
      <c r="F38" s="75"/>
      <c r="G38" s="76">
        <f>E38-F38</f>
        <v>0</v>
      </c>
      <c r="H38" s="80">
        <v>0.1</v>
      </c>
      <c r="I38" s="76">
        <f>G38*H38</f>
        <v>0</v>
      </c>
      <c r="J38" s="75"/>
      <c r="K38" s="75"/>
      <c r="L38" s="76">
        <f>I38+J38+K38</f>
        <v>0</v>
      </c>
      <c r="M38" s="81"/>
      <c r="N38" s="82"/>
    </row>
    <row r="39" spans="1:14">
      <c r="A39" s="45">
        <v>29</v>
      </c>
      <c r="B39" s="93"/>
      <c r="C39" s="94"/>
      <c r="D39" s="88" t="s">
        <v>79</v>
      </c>
      <c r="E39" s="77"/>
      <c r="F39" s="77"/>
      <c r="G39" s="78">
        <f>E39-F39</f>
        <v>0</v>
      </c>
      <c r="H39" s="89">
        <v>0.1</v>
      </c>
      <c r="I39" s="78">
        <f>G39*H39</f>
        <v>0</v>
      </c>
      <c r="J39" s="77"/>
      <c r="K39" s="77"/>
      <c r="L39" s="78">
        <f>I39+J39+K39</f>
        <v>0</v>
      </c>
      <c r="M39" s="90"/>
      <c r="N39" s="91"/>
    </row>
    <row r="40" spans="1:14">
      <c r="A40" s="45">
        <v>30</v>
      </c>
      <c r="B40" s="95"/>
      <c r="C40" s="96"/>
      <c r="D40" s="112" t="s">
        <v>78</v>
      </c>
      <c r="E40" s="113">
        <f>E38-E39</f>
        <v>0</v>
      </c>
      <c r="F40" s="113">
        <f>F38-F39</f>
        <v>0</v>
      </c>
      <c r="G40" s="114">
        <f>E40-F40</f>
        <v>0</v>
      </c>
      <c r="H40" s="115">
        <v>0.1</v>
      </c>
      <c r="I40" s="114">
        <f>G40*H40</f>
        <v>0</v>
      </c>
      <c r="J40" s="113">
        <f>J38-J39</f>
        <v>0</v>
      </c>
      <c r="K40" s="113">
        <f>K38-K39</f>
        <v>0</v>
      </c>
      <c r="L40" s="114">
        <f>I40+J40+K40</f>
        <v>0</v>
      </c>
      <c r="M40" s="116">
        <f>M38-M39</f>
        <v>0</v>
      </c>
      <c r="N40" s="117">
        <f>N38-N39</f>
        <v>0</v>
      </c>
    </row>
    <row r="41" spans="1:14">
      <c r="A41" s="66"/>
      <c r="B41" s="97"/>
      <c r="C41" s="97"/>
      <c r="D41" s="98"/>
      <c r="E41" s="99"/>
      <c r="F41" s="99"/>
      <c r="G41" s="100"/>
      <c r="H41" s="101"/>
      <c r="I41" s="100"/>
      <c r="J41" s="99"/>
      <c r="K41" s="99"/>
      <c r="L41" s="100"/>
      <c r="M41" s="102"/>
      <c r="N41" s="51"/>
    </row>
    <row r="42" spans="1:14">
      <c r="A42" s="45">
        <v>31</v>
      </c>
      <c r="B42" s="46"/>
      <c r="C42" s="47"/>
      <c r="D42" s="69" t="s">
        <v>81</v>
      </c>
      <c r="E42" s="14"/>
      <c r="F42" s="14"/>
      <c r="G42" s="15">
        <f>E42-F42</f>
        <v>0</v>
      </c>
      <c r="H42" s="48">
        <v>0.1</v>
      </c>
      <c r="I42" s="15">
        <f>G42*H42</f>
        <v>0</v>
      </c>
      <c r="J42" s="14"/>
      <c r="K42" s="14"/>
      <c r="L42" s="15">
        <f>I42+J42+K42</f>
        <v>0</v>
      </c>
      <c r="M42" s="49"/>
      <c r="N42" s="50"/>
    </row>
    <row r="43" spans="1:14">
      <c r="A43" s="45">
        <v>32</v>
      </c>
      <c r="B43" s="93"/>
      <c r="C43" s="94"/>
      <c r="D43" s="88" t="s">
        <v>79</v>
      </c>
      <c r="E43" s="77"/>
      <c r="F43" s="77"/>
      <c r="G43" s="78">
        <f>E43-F43</f>
        <v>0</v>
      </c>
      <c r="H43" s="89">
        <v>0.1</v>
      </c>
      <c r="I43" s="78">
        <f>G43*H43</f>
        <v>0</v>
      </c>
      <c r="J43" s="77"/>
      <c r="K43" s="77"/>
      <c r="L43" s="78">
        <f>I43+J43+K43</f>
        <v>0</v>
      </c>
      <c r="M43" s="90"/>
      <c r="N43" s="91"/>
    </row>
    <row r="44" spans="1:14">
      <c r="A44" s="45">
        <v>33</v>
      </c>
      <c r="B44" s="95"/>
      <c r="C44" s="96"/>
      <c r="D44" s="112" t="s">
        <v>78</v>
      </c>
      <c r="E44" s="113">
        <f>E42-E43</f>
        <v>0</v>
      </c>
      <c r="F44" s="113">
        <f>F42-F43</f>
        <v>0</v>
      </c>
      <c r="G44" s="114">
        <f>E44-F44</f>
        <v>0</v>
      </c>
      <c r="H44" s="115">
        <v>0.1</v>
      </c>
      <c r="I44" s="114">
        <f>G44*H44</f>
        <v>0</v>
      </c>
      <c r="J44" s="113">
        <f>J42-J43</f>
        <v>0</v>
      </c>
      <c r="K44" s="113">
        <f>K42-K43</f>
        <v>0</v>
      </c>
      <c r="L44" s="114">
        <f>I44+J44+K44</f>
        <v>0</v>
      </c>
      <c r="M44" s="116">
        <f>M42-M43</f>
        <v>0</v>
      </c>
      <c r="N44" s="117">
        <f>N42-N43</f>
        <v>0</v>
      </c>
    </row>
    <row r="45" spans="1:14">
      <c r="A45" s="66"/>
      <c r="B45" s="97"/>
      <c r="C45" s="97"/>
      <c r="D45" s="98"/>
      <c r="E45" s="99"/>
      <c r="F45" s="99"/>
      <c r="G45" s="100"/>
      <c r="H45" s="101"/>
      <c r="I45" s="100"/>
      <c r="J45" s="99"/>
      <c r="K45" s="99"/>
      <c r="L45" s="100"/>
      <c r="M45" s="102"/>
      <c r="N45" s="51"/>
    </row>
    <row r="46" spans="1:14">
      <c r="A46" s="45">
        <v>34</v>
      </c>
      <c r="B46" s="46"/>
      <c r="C46" s="47"/>
      <c r="D46" s="69" t="s">
        <v>81</v>
      </c>
      <c r="E46" s="14"/>
      <c r="F46" s="14"/>
      <c r="G46" s="15">
        <f>E46-F46</f>
        <v>0</v>
      </c>
      <c r="H46" s="48">
        <v>0.1</v>
      </c>
      <c r="I46" s="15">
        <f>G46*H46</f>
        <v>0</v>
      </c>
      <c r="J46" s="14"/>
      <c r="K46" s="14"/>
      <c r="L46" s="15">
        <f>I46+J46+K46</f>
        <v>0</v>
      </c>
      <c r="M46" s="49"/>
      <c r="N46" s="50"/>
    </row>
    <row r="47" spans="1:14">
      <c r="A47" s="45">
        <v>35</v>
      </c>
      <c r="B47" s="93"/>
      <c r="C47" s="94"/>
      <c r="D47" s="88" t="s">
        <v>79</v>
      </c>
      <c r="E47" s="77"/>
      <c r="F47" s="77"/>
      <c r="G47" s="78">
        <f>E47-F47</f>
        <v>0</v>
      </c>
      <c r="H47" s="89">
        <v>0.1</v>
      </c>
      <c r="I47" s="78">
        <f>G47*H47</f>
        <v>0</v>
      </c>
      <c r="J47" s="77"/>
      <c r="K47" s="77"/>
      <c r="L47" s="78">
        <f>I47+J47+K47</f>
        <v>0</v>
      </c>
      <c r="M47" s="90"/>
      <c r="N47" s="91"/>
    </row>
    <row r="48" spans="1:14">
      <c r="A48" s="45">
        <v>36</v>
      </c>
      <c r="B48" s="95"/>
      <c r="C48" s="96"/>
      <c r="D48" s="112" t="s">
        <v>78</v>
      </c>
      <c r="E48" s="113">
        <f>E46-E47</f>
        <v>0</v>
      </c>
      <c r="F48" s="113">
        <f>F46-F47</f>
        <v>0</v>
      </c>
      <c r="G48" s="114">
        <f>E48-F48</f>
        <v>0</v>
      </c>
      <c r="H48" s="115">
        <v>0.1</v>
      </c>
      <c r="I48" s="114">
        <f>G48*H48</f>
        <v>0</v>
      </c>
      <c r="J48" s="113">
        <f>J46-J47</f>
        <v>0</v>
      </c>
      <c r="K48" s="113">
        <f>K46-K47</f>
        <v>0</v>
      </c>
      <c r="L48" s="114">
        <f>I48+J48+K48</f>
        <v>0</v>
      </c>
      <c r="M48" s="116">
        <f>M46-M47</f>
        <v>0</v>
      </c>
      <c r="N48" s="117">
        <f>N46-N47</f>
        <v>0</v>
      </c>
    </row>
    <row r="49" spans="1:14">
      <c r="A49" s="74"/>
      <c r="B49" s="122"/>
      <c r="C49" s="92"/>
      <c r="D49" s="125"/>
      <c r="E49" s="127"/>
      <c r="F49" s="127"/>
      <c r="G49" s="128"/>
      <c r="H49" s="129"/>
      <c r="I49" s="128"/>
      <c r="J49" s="127"/>
      <c r="K49" s="127"/>
      <c r="L49" s="128"/>
      <c r="M49" s="130"/>
      <c r="N49" s="51"/>
    </row>
    <row r="50" spans="1:14">
      <c r="A50" s="16"/>
      <c r="B50" s="126" t="s">
        <v>92</v>
      </c>
      <c r="C50" s="51"/>
      <c r="D50" s="16"/>
      <c r="E50" s="131">
        <f>E4+E8+E12+E16+E20+E24+E28+E32+E36+E40+E44+E48</f>
        <v>0</v>
      </c>
      <c r="F50" s="131">
        <f>F4+F8+F12+F16+F20+F24+F28+F32+F36+F40+F44+F48</f>
        <v>0</v>
      </c>
      <c r="G50" s="131">
        <f>G4+G8+G12+G16+G20+G24+G28+G32+G36+G40+G44+G48</f>
        <v>0</v>
      </c>
      <c r="H50" s="131"/>
      <c r="I50" s="131">
        <f t="shared" ref="I50:N50" si="0">I4+I8+I12+I16+I20+I24+I28+I32+I36+I40+I44+I48</f>
        <v>0</v>
      </c>
      <c r="J50" s="131">
        <f t="shared" si="0"/>
        <v>0</v>
      </c>
      <c r="K50" s="131">
        <f t="shared" si="0"/>
        <v>0</v>
      </c>
      <c r="L50" s="54">
        <f t="shared" si="0"/>
        <v>0</v>
      </c>
      <c r="M50" s="131">
        <f t="shared" si="0"/>
        <v>0</v>
      </c>
      <c r="N50" s="131">
        <f t="shared" si="0"/>
        <v>0</v>
      </c>
    </row>
    <row r="51" spans="1:14">
      <c r="B51" s="60" t="s">
        <v>68</v>
      </c>
      <c r="C51" s="56"/>
      <c r="D51" s="57">
        <f>'TOT Report Page 1'!E14</f>
        <v>0</v>
      </c>
      <c r="E51" s="58" t="s">
        <v>61</v>
      </c>
      <c r="F51" s="59">
        <f>'TOT Report Page 1'!G14</f>
        <v>0</v>
      </c>
      <c r="G51" s="56"/>
      <c r="H51" s="132" t="s">
        <v>89</v>
      </c>
      <c r="I51" s="56"/>
      <c r="J51" s="209">
        <f>'TOT Report Page 1'!C6</f>
        <v>0</v>
      </c>
      <c r="K51" s="209"/>
      <c r="L51" s="209"/>
      <c r="M51" s="209"/>
    </row>
  </sheetData>
  <mergeCells count="1">
    <mergeCell ref="J51:M51"/>
  </mergeCells>
  <phoneticPr fontId="2" type="noConversion"/>
  <printOptions horizontalCentered="1"/>
  <pageMargins left="0" right="0" top="0.18" bottom="0.38" header="0.17" footer="0.16"/>
  <pageSetup scale="87" orientation="landscape" r:id="rId1"/>
  <headerFooter alignWithMargins="0">
    <oddFooter>&amp;CPage 2
&amp;R&amp;D&amp;T</oddFooter>
  </headerFooter>
</worksheet>
</file>

<file path=xl/worksheets/sheet6.xml><?xml version="1.0" encoding="utf-8"?>
<worksheet xmlns="http://schemas.openxmlformats.org/spreadsheetml/2006/main" xmlns:r="http://schemas.openxmlformats.org/officeDocument/2006/relationships">
  <dimension ref="A1:N51"/>
  <sheetViews>
    <sheetView showGridLines="0" workbookViewId="0"/>
  </sheetViews>
  <sheetFormatPr defaultRowHeight="12.75"/>
  <cols>
    <col min="1" max="1" width="2.7109375" style="55" customWidth="1"/>
    <col min="2" max="3" width="9.140625" style="55"/>
    <col min="4" max="4" width="13" style="55" customWidth="1"/>
    <col min="5" max="5" width="9.140625" style="55"/>
    <col min="6" max="6" width="11.42578125" style="55" bestFit="1" customWidth="1"/>
    <col min="7" max="11" width="9.140625" style="55"/>
    <col min="12" max="12" width="10.5703125" style="55" customWidth="1"/>
    <col min="13" max="13" width="10.42578125" style="55" customWidth="1"/>
    <col min="14" max="16384" width="9.140625" style="55"/>
  </cols>
  <sheetData>
    <row r="1" spans="1:14" s="44" customFormat="1" ht="36">
      <c r="A1" s="41"/>
      <c r="B1" s="42" t="s">
        <v>0</v>
      </c>
      <c r="C1" s="42" t="s">
        <v>1</v>
      </c>
      <c r="D1" s="42" t="s">
        <v>77</v>
      </c>
      <c r="E1" s="43" t="s">
        <v>2</v>
      </c>
      <c r="F1" s="43" t="s">
        <v>4</v>
      </c>
      <c r="G1" s="43" t="s">
        <v>3</v>
      </c>
      <c r="H1" s="42" t="s">
        <v>5</v>
      </c>
      <c r="I1" s="43" t="s">
        <v>6</v>
      </c>
      <c r="J1" s="43" t="s">
        <v>7</v>
      </c>
      <c r="K1" s="43" t="s">
        <v>8</v>
      </c>
      <c r="L1" s="43" t="s">
        <v>9</v>
      </c>
      <c r="M1" s="42" t="s">
        <v>10</v>
      </c>
      <c r="N1" s="42" t="s">
        <v>28</v>
      </c>
    </row>
    <row r="2" spans="1:14" s="16" customFormat="1" ht="12">
      <c r="A2" s="45">
        <v>1</v>
      </c>
      <c r="B2" s="46"/>
      <c r="C2" s="47"/>
      <c r="D2" s="69" t="s">
        <v>81</v>
      </c>
      <c r="E2" s="14"/>
      <c r="F2" s="14"/>
      <c r="G2" s="15">
        <f>E2-F2</f>
        <v>0</v>
      </c>
      <c r="H2" s="48">
        <v>0.1</v>
      </c>
      <c r="I2" s="15">
        <f>G2*H2</f>
        <v>0</v>
      </c>
      <c r="J2" s="14"/>
      <c r="K2" s="14"/>
      <c r="L2" s="15">
        <f>I2+J2+K2</f>
        <v>0</v>
      </c>
      <c r="M2" s="49"/>
      <c r="N2" s="50"/>
    </row>
    <row r="3" spans="1:14" s="16" customFormat="1" ht="12">
      <c r="A3" s="45">
        <v>2</v>
      </c>
      <c r="B3" s="93"/>
      <c r="C3" s="94"/>
      <c r="D3" s="88" t="s">
        <v>79</v>
      </c>
      <c r="E3" s="77"/>
      <c r="F3" s="77"/>
      <c r="G3" s="78">
        <f>E3-F3</f>
        <v>0</v>
      </c>
      <c r="H3" s="89">
        <v>0.1</v>
      </c>
      <c r="I3" s="78">
        <f>G3*H3</f>
        <v>0</v>
      </c>
      <c r="J3" s="77"/>
      <c r="K3" s="77"/>
      <c r="L3" s="78">
        <f>I3+J3+K3</f>
        <v>0</v>
      </c>
      <c r="M3" s="90"/>
      <c r="N3" s="91"/>
    </row>
    <row r="4" spans="1:14" s="16" customFormat="1" ht="12">
      <c r="A4" s="45">
        <v>3</v>
      </c>
      <c r="B4" s="95"/>
      <c r="C4" s="96"/>
      <c r="D4" s="112" t="s">
        <v>78</v>
      </c>
      <c r="E4" s="113">
        <f>E2-E3</f>
        <v>0</v>
      </c>
      <c r="F4" s="113">
        <f>F2-F3</f>
        <v>0</v>
      </c>
      <c r="G4" s="114">
        <f>E4-F4</f>
        <v>0</v>
      </c>
      <c r="H4" s="115">
        <v>0.1</v>
      </c>
      <c r="I4" s="114">
        <f>G4*H4</f>
        <v>0</v>
      </c>
      <c r="J4" s="113">
        <f>J2-J3</f>
        <v>0</v>
      </c>
      <c r="K4" s="113">
        <f>K2-K3</f>
        <v>0</v>
      </c>
      <c r="L4" s="114">
        <f>I4+J4+K4</f>
        <v>0</v>
      </c>
      <c r="M4" s="116">
        <f>M2-M3</f>
        <v>0</v>
      </c>
      <c r="N4" s="117">
        <f>N2-N3</f>
        <v>0</v>
      </c>
    </row>
    <row r="5" spans="1:14" s="16" customFormat="1" ht="12">
      <c r="A5" s="66"/>
      <c r="B5" s="74"/>
      <c r="C5" s="74"/>
      <c r="D5" s="83"/>
      <c r="E5" s="84"/>
      <c r="F5" s="84"/>
      <c r="G5" s="85"/>
      <c r="H5" s="86"/>
      <c r="I5" s="85"/>
      <c r="J5" s="84"/>
      <c r="K5" s="84"/>
      <c r="L5" s="85"/>
      <c r="M5" s="87"/>
      <c r="N5" s="51"/>
    </row>
    <row r="6" spans="1:14" s="16" customFormat="1" ht="12">
      <c r="A6" s="66">
        <v>4</v>
      </c>
      <c r="B6" s="46"/>
      <c r="C6" s="47"/>
      <c r="D6" s="69" t="s">
        <v>81</v>
      </c>
      <c r="E6" s="14"/>
      <c r="F6" s="14"/>
      <c r="G6" s="15">
        <f>E6-F6</f>
        <v>0</v>
      </c>
      <c r="H6" s="48">
        <v>0.1</v>
      </c>
      <c r="I6" s="15">
        <f>G6*H6</f>
        <v>0</v>
      </c>
      <c r="J6" s="14"/>
      <c r="K6" s="14"/>
      <c r="L6" s="15">
        <f>I6+J6+K6</f>
        <v>0</v>
      </c>
      <c r="M6" s="49"/>
      <c r="N6" s="50"/>
    </row>
    <row r="7" spans="1:14" s="16" customFormat="1" ht="12">
      <c r="A7" s="45">
        <v>5</v>
      </c>
      <c r="B7" s="93"/>
      <c r="C7" s="94"/>
      <c r="D7" s="88" t="s">
        <v>79</v>
      </c>
      <c r="E7" s="77"/>
      <c r="F7" s="77"/>
      <c r="G7" s="78">
        <f>E7-F7</f>
        <v>0</v>
      </c>
      <c r="H7" s="89">
        <v>0.1</v>
      </c>
      <c r="I7" s="78">
        <f>G7*H7</f>
        <v>0</v>
      </c>
      <c r="J7" s="77"/>
      <c r="K7" s="77"/>
      <c r="L7" s="78">
        <f>I7+J7+K7</f>
        <v>0</v>
      </c>
      <c r="M7" s="90"/>
      <c r="N7" s="91"/>
    </row>
    <row r="8" spans="1:14" s="16" customFormat="1" ht="12">
      <c r="A8" s="45">
        <v>6</v>
      </c>
      <c r="B8" s="95"/>
      <c r="C8" s="96"/>
      <c r="D8" s="112" t="s">
        <v>78</v>
      </c>
      <c r="E8" s="113">
        <f>E6-E7</f>
        <v>0</v>
      </c>
      <c r="F8" s="113">
        <f>F6-F7</f>
        <v>0</v>
      </c>
      <c r="G8" s="114">
        <f>E8-F8</f>
        <v>0</v>
      </c>
      <c r="H8" s="115">
        <v>0.1</v>
      </c>
      <c r="I8" s="114">
        <f>G8*H8</f>
        <v>0</v>
      </c>
      <c r="J8" s="113">
        <f>J6-J7</f>
        <v>0</v>
      </c>
      <c r="K8" s="113">
        <f>K6-K7</f>
        <v>0</v>
      </c>
      <c r="L8" s="114">
        <f>I8+J8+K8</f>
        <v>0</v>
      </c>
      <c r="M8" s="116">
        <f>M6-M7</f>
        <v>0</v>
      </c>
      <c r="N8" s="117">
        <f>N6-N7</f>
        <v>0</v>
      </c>
    </row>
    <row r="9" spans="1:14" s="16" customFormat="1" ht="12">
      <c r="A9" s="66"/>
      <c r="B9" s="97"/>
      <c r="C9" s="97"/>
      <c r="D9" s="98"/>
      <c r="E9" s="99"/>
      <c r="F9" s="99"/>
      <c r="G9" s="100"/>
      <c r="H9" s="101"/>
      <c r="I9" s="100"/>
      <c r="J9" s="99"/>
      <c r="K9" s="99"/>
      <c r="L9" s="100"/>
      <c r="M9" s="102"/>
      <c r="N9" s="51"/>
    </row>
    <row r="10" spans="1:14" s="16" customFormat="1" ht="12">
      <c r="A10" s="45">
        <v>7</v>
      </c>
      <c r="B10" s="46"/>
      <c r="C10" s="47"/>
      <c r="D10" s="69" t="s">
        <v>81</v>
      </c>
      <c r="E10" s="14"/>
      <c r="F10" s="14"/>
      <c r="G10" s="15">
        <f>E10-F10</f>
        <v>0</v>
      </c>
      <c r="H10" s="48">
        <v>0.1</v>
      </c>
      <c r="I10" s="15">
        <f>G10*H10</f>
        <v>0</v>
      </c>
      <c r="J10" s="14"/>
      <c r="K10" s="14"/>
      <c r="L10" s="15">
        <f>I10+J10+K10</f>
        <v>0</v>
      </c>
      <c r="M10" s="49"/>
      <c r="N10" s="50"/>
    </row>
    <row r="11" spans="1:14" s="16" customFormat="1" ht="12">
      <c r="A11" s="45">
        <v>8</v>
      </c>
      <c r="B11" s="93"/>
      <c r="C11" s="94"/>
      <c r="D11" s="88" t="s">
        <v>79</v>
      </c>
      <c r="E11" s="77"/>
      <c r="F11" s="77"/>
      <c r="G11" s="78">
        <f>E11-F11</f>
        <v>0</v>
      </c>
      <c r="H11" s="89">
        <v>0.1</v>
      </c>
      <c r="I11" s="78">
        <f>G11*H11</f>
        <v>0</v>
      </c>
      <c r="J11" s="77"/>
      <c r="K11" s="77"/>
      <c r="L11" s="78">
        <f>I11+J11+K11</f>
        <v>0</v>
      </c>
      <c r="M11" s="90"/>
      <c r="N11" s="91"/>
    </row>
    <row r="12" spans="1:14" s="16" customFormat="1" ht="12">
      <c r="A12" s="45">
        <v>9</v>
      </c>
      <c r="B12" s="95"/>
      <c r="C12" s="96"/>
      <c r="D12" s="112" t="s">
        <v>78</v>
      </c>
      <c r="E12" s="113">
        <f>E10-E11</f>
        <v>0</v>
      </c>
      <c r="F12" s="113">
        <f>F10-F11</f>
        <v>0</v>
      </c>
      <c r="G12" s="114">
        <f>E12-F12</f>
        <v>0</v>
      </c>
      <c r="H12" s="115">
        <v>0.1</v>
      </c>
      <c r="I12" s="114">
        <f>G12*H12</f>
        <v>0</v>
      </c>
      <c r="J12" s="113">
        <f>J10-J11</f>
        <v>0</v>
      </c>
      <c r="K12" s="113">
        <f>K10-K11</f>
        <v>0</v>
      </c>
      <c r="L12" s="114">
        <f>I12+J12+K12</f>
        <v>0</v>
      </c>
      <c r="M12" s="116">
        <f>M10-M11</f>
        <v>0</v>
      </c>
      <c r="N12" s="117">
        <f>N10-N11</f>
        <v>0</v>
      </c>
    </row>
    <row r="13" spans="1:14" s="16" customFormat="1" ht="12">
      <c r="A13" s="66"/>
      <c r="B13" s="97"/>
      <c r="C13" s="97"/>
      <c r="D13" s="98"/>
      <c r="E13" s="99"/>
      <c r="F13" s="99"/>
      <c r="G13" s="100"/>
      <c r="H13" s="101"/>
      <c r="I13" s="100"/>
      <c r="J13" s="99"/>
      <c r="K13" s="99"/>
      <c r="L13" s="100"/>
      <c r="M13" s="102"/>
      <c r="N13" s="51"/>
    </row>
    <row r="14" spans="1:14" s="16" customFormat="1" ht="12">
      <c r="A14" s="45">
        <v>10</v>
      </c>
      <c r="B14" s="46"/>
      <c r="C14" s="47"/>
      <c r="D14" s="69" t="s">
        <v>81</v>
      </c>
      <c r="E14" s="14"/>
      <c r="F14" s="14"/>
      <c r="G14" s="15">
        <f>E14-F14</f>
        <v>0</v>
      </c>
      <c r="H14" s="48">
        <v>0.1</v>
      </c>
      <c r="I14" s="15">
        <f>G14*H14</f>
        <v>0</v>
      </c>
      <c r="J14" s="14"/>
      <c r="K14" s="14"/>
      <c r="L14" s="15">
        <f>I14+J14+K14</f>
        <v>0</v>
      </c>
      <c r="M14" s="49"/>
      <c r="N14" s="50"/>
    </row>
    <row r="15" spans="1:14" s="16" customFormat="1" ht="12">
      <c r="A15" s="45">
        <v>11</v>
      </c>
      <c r="B15" s="93"/>
      <c r="C15" s="94"/>
      <c r="D15" s="88" t="s">
        <v>79</v>
      </c>
      <c r="E15" s="77"/>
      <c r="F15" s="77"/>
      <c r="G15" s="78">
        <f>E15-F15</f>
        <v>0</v>
      </c>
      <c r="H15" s="89">
        <v>0.1</v>
      </c>
      <c r="I15" s="78">
        <f>G15*H15</f>
        <v>0</v>
      </c>
      <c r="J15" s="77"/>
      <c r="K15" s="77"/>
      <c r="L15" s="78">
        <f>I15+J15+K15</f>
        <v>0</v>
      </c>
      <c r="M15" s="90"/>
      <c r="N15" s="91"/>
    </row>
    <row r="16" spans="1:14" s="16" customFormat="1" ht="12">
      <c r="A16" s="45">
        <v>12</v>
      </c>
      <c r="B16" s="95"/>
      <c r="C16" s="96"/>
      <c r="D16" s="112" t="s">
        <v>78</v>
      </c>
      <c r="E16" s="113">
        <f>E14-E15</f>
        <v>0</v>
      </c>
      <c r="F16" s="113">
        <f>F14-F15</f>
        <v>0</v>
      </c>
      <c r="G16" s="114">
        <f>E16-F16</f>
        <v>0</v>
      </c>
      <c r="H16" s="115">
        <v>0.1</v>
      </c>
      <c r="I16" s="114">
        <f>G16*H16</f>
        <v>0</v>
      </c>
      <c r="J16" s="113">
        <f>J14-J15</f>
        <v>0</v>
      </c>
      <c r="K16" s="113">
        <f>K14-K15</f>
        <v>0</v>
      </c>
      <c r="L16" s="114">
        <f>I16+J16+K16</f>
        <v>0</v>
      </c>
      <c r="M16" s="116">
        <f>M14-M15</f>
        <v>0</v>
      </c>
      <c r="N16" s="117">
        <f>N14-N15</f>
        <v>0</v>
      </c>
    </row>
    <row r="17" spans="1:14" s="16" customFormat="1" ht="12">
      <c r="A17" s="66"/>
      <c r="B17" s="97"/>
      <c r="C17" s="97"/>
      <c r="D17" s="98"/>
      <c r="E17" s="99"/>
      <c r="F17" s="99"/>
      <c r="G17" s="100"/>
      <c r="H17" s="101"/>
      <c r="I17" s="100"/>
      <c r="J17" s="99"/>
      <c r="K17" s="99"/>
      <c r="L17" s="100"/>
      <c r="M17" s="102"/>
      <c r="N17" s="51"/>
    </row>
    <row r="18" spans="1:14" s="16" customFormat="1" ht="12">
      <c r="A18" s="45">
        <v>13</v>
      </c>
      <c r="B18" s="46"/>
      <c r="C18" s="47"/>
      <c r="D18" s="69" t="s">
        <v>81</v>
      </c>
      <c r="E18" s="14"/>
      <c r="F18" s="14"/>
      <c r="G18" s="15">
        <f>E18-F18</f>
        <v>0</v>
      </c>
      <c r="H18" s="48">
        <v>0.1</v>
      </c>
      <c r="I18" s="15">
        <f>G18*H18</f>
        <v>0</v>
      </c>
      <c r="J18" s="14"/>
      <c r="K18" s="14"/>
      <c r="L18" s="15">
        <f>I18+J18+K18</f>
        <v>0</v>
      </c>
      <c r="M18" s="49"/>
      <c r="N18" s="50"/>
    </row>
    <row r="19" spans="1:14" s="16" customFormat="1" ht="12">
      <c r="A19" s="45">
        <v>14</v>
      </c>
      <c r="B19" s="93"/>
      <c r="C19" s="94"/>
      <c r="D19" s="88" t="s">
        <v>79</v>
      </c>
      <c r="E19" s="77"/>
      <c r="F19" s="77"/>
      <c r="G19" s="78">
        <f>E19-F19</f>
        <v>0</v>
      </c>
      <c r="H19" s="89">
        <v>0.1</v>
      </c>
      <c r="I19" s="78">
        <f>G19*H19</f>
        <v>0</v>
      </c>
      <c r="J19" s="77"/>
      <c r="K19" s="77"/>
      <c r="L19" s="78">
        <f>I19+J19+K19</f>
        <v>0</v>
      </c>
      <c r="M19" s="90"/>
      <c r="N19" s="91"/>
    </row>
    <row r="20" spans="1:14" s="16" customFormat="1" ht="12">
      <c r="A20" s="45">
        <v>15</v>
      </c>
      <c r="B20" s="95"/>
      <c r="C20" s="96"/>
      <c r="D20" s="112" t="s">
        <v>78</v>
      </c>
      <c r="E20" s="113">
        <f>E18-E19</f>
        <v>0</v>
      </c>
      <c r="F20" s="113">
        <f>F18-F19</f>
        <v>0</v>
      </c>
      <c r="G20" s="114">
        <f>E20-F20</f>
        <v>0</v>
      </c>
      <c r="H20" s="115">
        <v>0.1</v>
      </c>
      <c r="I20" s="114">
        <f>G20*H20</f>
        <v>0</v>
      </c>
      <c r="J20" s="113">
        <f>J18-J19</f>
        <v>0</v>
      </c>
      <c r="K20" s="113">
        <f>K18-K19</f>
        <v>0</v>
      </c>
      <c r="L20" s="114">
        <f>I20+J20+K20</f>
        <v>0</v>
      </c>
      <c r="M20" s="116">
        <f>M18-M19</f>
        <v>0</v>
      </c>
      <c r="N20" s="117">
        <f>N18-N19</f>
        <v>0</v>
      </c>
    </row>
    <row r="21" spans="1:14" s="16" customFormat="1" ht="12">
      <c r="A21" s="66"/>
      <c r="B21" s="97"/>
      <c r="C21" s="97"/>
      <c r="D21" s="98"/>
      <c r="E21" s="99"/>
      <c r="F21" s="99"/>
      <c r="G21" s="100"/>
      <c r="H21" s="101"/>
      <c r="I21" s="100"/>
      <c r="J21" s="99"/>
      <c r="K21" s="99"/>
      <c r="L21" s="100"/>
      <c r="M21" s="102"/>
      <c r="N21" s="51"/>
    </row>
    <row r="22" spans="1:14" s="16" customFormat="1" ht="12">
      <c r="A22" s="45">
        <v>16</v>
      </c>
      <c r="B22" s="46"/>
      <c r="C22" s="47"/>
      <c r="D22" s="69" t="s">
        <v>81</v>
      </c>
      <c r="E22" s="14"/>
      <c r="F22" s="14"/>
      <c r="G22" s="15">
        <f>E22-F22</f>
        <v>0</v>
      </c>
      <c r="H22" s="48">
        <v>0.1</v>
      </c>
      <c r="I22" s="15">
        <f>G22*H22</f>
        <v>0</v>
      </c>
      <c r="J22" s="14"/>
      <c r="K22" s="14"/>
      <c r="L22" s="15">
        <f>I22+J22+K22</f>
        <v>0</v>
      </c>
      <c r="M22" s="49"/>
      <c r="N22" s="50"/>
    </row>
    <row r="23" spans="1:14" s="16" customFormat="1" ht="12">
      <c r="A23" s="45">
        <v>17</v>
      </c>
      <c r="B23" s="93"/>
      <c r="C23" s="94"/>
      <c r="D23" s="88" t="s">
        <v>79</v>
      </c>
      <c r="E23" s="77"/>
      <c r="F23" s="77"/>
      <c r="G23" s="78">
        <f>E23-F23</f>
        <v>0</v>
      </c>
      <c r="H23" s="89">
        <v>0.1</v>
      </c>
      <c r="I23" s="78">
        <f>G23*H23</f>
        <v>0</v>
      </c>
      <c r="J23" s="77"/>
      <c r="K23" s="77"/>
      <c r="L23" s="78">
        <f>I23+J23+K23</f>
        <v>0</v>
      </c>
      <c r="M23" s="90"/>
      <c r="N23" s="91"/>
    </row>
    <row r="24" spans="1:14" s="16" customFormat="1" ht="12">
      <c r="A24" s="45">
        <v>18</v>
      </c>
      <c r="B24" s="95"/>
      <c r="C24" s="96"/>
      <c r="D24" s="112" t="s">
        <v>78</v>
      </c>
      <c r="E24" s="113">
        <f>E22-E23</f>
        <v>0</v>
      </c>
      <c r="F24" s="113">
        <f>F22-F23</f>
        <v>0</v>
      </c>
      <c r="G24" s="114">
        <f>E24-F24</f>
        <v>0</v>
      </c>
      <c r="H24" s="115">
        <v>0.1</v>
      </c>
      <c r="I24" s="114">
        <f>G24*H24</f>
        <v>0</v>
      </c>
      <c r="J24" s="113">
        <f>J22-J23</f>
        <v>0</v>
      </c>
      <c r="K24" s="113">
        <f>K22-K23</f>
        <v>0</v>
      </c>
      <c r="L24" s="114">
        <f>I24+J24+K24</f>
        <v>0</v>
      </c>
      <c r="M24" s="116">
        <f>M22-M23</f>
        <v>0</v>
      </c>
      <c r="N24" s="117">
        <f>N22-N23</f>
        <v>0</v>
      </c>
    </row>
    <row r="25" spans="1:14" s="16" customFormat="1" ht="12">
      <c r="A25" s="66"/>
      <c r="B25" s="122"/>
      <c r="C25" s="122"/>
      <c r="D25" s="123"/>
      <c r="E25" s="123"/>
      <c r="F25" s="53"/>
      <c r="G25" s="124"/>
      <c r="H25" s="53"/>
      <c r="I25" s="123"/>
      <c r="J25" s="123"/>
      <c r="K25" s="53"/>
      <c r="L25" s="51"/>
      <c r="M25" s="51"/>
      <c r="N25" s="51"/>
    </row>
    <row r="26" spans="1:14" s="16" customFormat="1" ht="12">
      <c r="A26" s="66">
        <v>19</v>
      </c>
      <c r="B26" s="72"/>
      <c r="C26" s="73"/>
      <c r="D26" s="79" t="s">
        <v>81</v>
      </c>
      <c r="E26" s="75"/>
      <c r="F26" s="75"/>
      <c r="G26" s="76">
        <f>E26-F26</f>
        <v>0</v>
      </c>
      <c r="H26" s="80">
        <v>0.1</v>
      </c>
      <c r="I26" s="76">
        <f>G26*H26</f>
        <v>0</v>
      </c>
      <c r="J26" s="75"/>
      <c r="K26" s="75"/>
      <c r="L26" s="76">
        <f>I26+J26+K26</f>
        <v>0</v>
      </c>
      <c r="M26" s="81"/>
      <c r="N26" s="82"/>
    </row>
    <row r="27" spans="1:14" s="16" customFormat="1" ht="12">
      <c r="A27" s="45">
        <v>20</v>
      </c>
      <c r="B27" s="93"/>
      <c r="C27" s="94"/>
      <c r="D27" s="88" t="s">
        <v>79</v>
      </c>
      <c r="E27" s="77"/>
      <c r="F27" s="77"/>
      <c r="G27" s="78">
        <f>E27-F27</f>
        <v>0</v>
      </c>
      <c r="H27" s="89">
        <v>0.1</v>
      </c>
      <c r="I27" s="78">
        <f>G27*H27</f>
        <v>0</v>
      </c>
      <c r="J27" s="77"/>
      <c r="K27" s="77"/>
      <c r="L27" s="78">
        <f>I27+J27+K27</f>
        <v>0</v>
      </c>
      <c r="M27" s="90"/>
      <c r="N27" s="91"/>
    </row>
    <row r="28" spans="1:14" s="16" customFormat="1" ht="12">
      <c r="A28" s="45">
        <v>21</v>
      </c>
      <c r="B28" s="95"/>
      <c r="C28" s="96"/>
      <c r="D28" s="112" t="s">
        <v>78</v>
      </c>
      <c r="E28" s="113">
        <f>E26-E27</f>
        <v>0</v>
      </c>
      <c r="F28" s="113">
        <f>F26-F27</f>
        <v>0</v>
      </c>
      <c r="G28" s="114">
        <f>E28-F28</f>
        <v>0</v>
      </c>
      <c r="H28" s="115">
        <v>0.1</v>
      </c>
      <c r="I28" s="114">
        <f>G28*H28</f>
        <v>0</v>
      </c>
      <c r="J28" s="113">
        <f>J26-J27</f>
        <v>0</v>
      </c>
      <c r="K28" s="113">
        <f>K26-K27</f>
        <v>0</v>
      </c>
      <c r="L28" s="114">
        <f>I28+J28+K28</f>
        <v>0</v>
      </c>
      <c r="M28" s="116">
        <f>M26-M27</f>
        <v>0</v>
      </c>
      <c r="N28" s="117">
        <f>N26-N27</f>
        <v>0</v>
      </c>
    </row>
    <row r="29" spans="1:14" s="16" customFormat="1" ht="12">
      <c r="A29" s="66"/>
      <c r="B29" s="97"/>
      <c r="C29" s="97"/>
      <c r="D29" s="98"/>
      <c r="E29" s="99"/>
      <c r="F29" s="99"/>
      <c r="G29" s="100"/>
      <c r="H29" s="101"/>
      <c r="I29" s="100"/>
      <c r="J29" s="99"/>
      <c r="K29" s="99"/>
      <c r="L29" s="100"/>
      <c r="M29" s="102"/>
      <c r="N29" s="51"/>
    </row>
    <row r="30" spans="1:14" s="16" customFormat="1" ht="12">
      <c r="A30" s="45">
        <v>22</v>
      </c>
      <c r="B30" s="46"/>
      <c r="C30" s="47"/>
      <c r="D30" s="69" t="s">
        <v>81</v>
      </c>
      <c r="E30" s="14"/>
      <c r="F30" s="14"/>
      <c r="G30" s="15">
        <f>E30-F30</f>
        <v>0</v>
      </c>
      <c r="H30" s="48">
        <v>0.1</v>
      </c>
      <c r="I30" s="15">
        <f>G30*H30</f>
        <v>0</v>
      </c>
      <c r="J30" s="14"/>
      <c r="K30" s="14"/>
      <c r="L30" s="15">
        <f>I30+J30+K30</f>
        <v>0</v>
      </c>
      <c r="M30" s="49"/>
      <c r="N30" s="50"/>
    </row>
    <row r="31" spans="1:14" s="16" customFormat="1" ht="12">
      <c r="A31" s="45">
        <v>23</v>
      </c>
      <c r="B31" s="93"/>
      <c r="C31" s="94"/>
      <c r="D31" s="88" t="s">
        <v>79</v>
      </c>
      <c r="E31" s="77"/>
      <c r="F31" s="77"/>
      <c r="G31" s="78">
        <f>E31-F31</f>
        <v>0</v>
      </c>
      <c r="H31" s="89">
        <v>0.1</v>
      </c>
      <c r="I31" s="78">
        <f>G31*H31</f>
        <v>0</v>
      </c>
      <c r="J31" s="77"/>
      <c r="K31" s="77"/>
      <c r="L31" s="78">
        <f>I31+J31+K31</f>
        <v>0</v>
      </c>
      <c r="M31" s="90"/>
      <c r="N31" s="91"/>
    </row>
    <row r="32" spans="1:14" s="16" customFormat="1" ht="12">
      <c r="A32" s="45">
        <v>24</v>
      </c>
      <c r="B32" s="95"/>
      <c r="C32" s="96"/>
      <c r="D32" s="112" t="s">
        <v>78</v>
      </c>
      <c r="E32" s="113">
        <f>E30-E31</f>
        <v>0</v>
      </c>
      <c r="F32" s="113">
        <f>F30-F31</f>
        <v>0</v>
      </c>
      <c r="G32" s="114">
        <f>E32-F32</f>
        <v>0</v>
      </c>
      <c r="H32" s="115">
        <v>0.1</v>
      </c>
      <c r="I32" s="114">
        <f>G32*H32</f>
        <v>0</v>
      </c>
      <c r="J32" s="113">
        <f>J30-J31</f>
        <v>0</v>
      </c>
      <c r="K32" s="113">
        <f>K30-K31</f>
        <v>0</v>
      </c>
      <c r="L32" s="114">
        <f>I32+J32+K32</f>
        <v>0</v>
      </c>
      <c r="M32" s="116">
        <f>M30-M31</f>
        <v>0</v>
      </c>
      <c r="N32" s="117">
        <f>N30-N31</f>
        <v>0</v>
      </c>
    </row>
    <row r="33" spans="1:14" s="16" customFormat="1" ht="12">
      <c r="A33" s="66"/>
      <c r="B33" s="97"/>
      <c r="C33" s="97"/>
      <c r="D33" s="98"/>
      <c r="E33" s="99"/>
      <c r="F33" s="99"/>
      <c r="G33" s="100"/>
      <c r="H33" s="101"/>
      <c r="I33" s="100"/>
      <c r="J33" s="99"/>
      <c r="K33" s="99"/>
      <c r="L33" s="100"/>
      <c r="M33" s="102"/>
      <c r="N33" s="51"/>
    </row>
    <row r="34" spans="1:14" s="16" customFormat="1" ht="12">
      <c r="A34" s="45">
        <v>25</v>
      </c>
      <c r="B34" s="46"/>
      <c r="C34" s="47"/>
      <c r="D34" s="69" t="s">
        <v>81</v>
      </c>
      <c r="E34" s="14"/>
      <c r="F34" s="14"/>
      <c r="G34" s="15">
        <f>E34-F34</f>
        <v>0</v>
      </c>
      <c r="H34" s="48">
        <v>0.1</v>
      </c>
      <c r="I34" s="15">
        <f>G34*H34</f>
        <v>0</v>
      </c>
      <c r="J34" s="14"/>
      <c r="K34" s="14"/>
      <c r="L34" s="15">
        <f>I34+J34+K34</f>
        <v>0</v>
      </c>
      <c r="M34" s="49"/>
      <c r="N34" s="50"/>
    </row>
    <row r="35" spans="1:14" s="16" customFormat="1" ht="12">
      <c r="A35" s="45">
        <v>26</v>
      </c>
      <c r="B35" s="93"/>
      <c r="C35" s="94"/>
      <c r="D35" s="88" t="s">
        <v>79</v>
      </c>
      <c r="E35" s="77"/>
      <c r="F35" s="77"/>
      <c r="G35" s="78">
        <f>E35-F35</f>
        <v>0</v>
      </c>
      <c r="H35" s="89">
        <v>0.1</v>
      </c>
      <c r="I35" s="78">
        <f>G35*H35</f>
        <v>0</v>
      </c>
      <c r="J35" s="77"/>
      <c r="K35" s="77"/>
      <c r="L35" s="78">
        <f>I35+J35+K35</f>
        <v>0</v>
      </c>
      <c r="M35" s="90"/>
      <c r="N35" s="91"/>
    </row>
    <row r="36" spans="1:14" s="16" customFormat="1" ht="12">
      <c r="A36" s="45">
        <v>27</v>
      </c>
      <c r="B36" s="95"/>
      <c r="C36" s="96"/>
      <c r="D36" s="112" t="s">
        <v>78</v>
      </c>
      <c r="E36" s="113">
        <f>E34-E35</f>
        <v>0</v>
      </c>
      <c r="F36" s="113">
        <f>F34-F35</f>
        <v>0</v>
      </c>
      <c r="G36" s="114">
        <f>E36-F36</f>
        <v>0</v>
      </c>
      <c r="H36" s="115">
        <v>0.1</v>
      </c>
      <c r="I36" s="114">
        <f>G36*H36</f>
        <v>0</v>
      </c>
      <c r="J36" s="113">
        <f>J34-J35</f>
        <v>0</v>
      </c>
      <c r="K36" s="113">
        <f>K34-K35</f>
        <v>0</v>
      </c>
      <c r="L36" s="114">
        <f>I36+J36+K36</f>
        <v>0</v>
      </c>
      <c r="M36" s="116">
        <f>M34-M35</f>
        <v>0</v>
      </c>
      <c r="N36" s="117">
        <f>N34-N35</f>
        <v>0</v>
      </c>
    </row>
    <row r="37" spans="1:14" s="16" customFormat="1" ht="12">
      <c r="A37" s="66"/>
      <c r="B37" s="122"/>
      <c r="C37" s="122"/>
      <c r="D37" s="125"/>
      <c r="E37" s="123"/>
      <c r="F37" s="123"/>
      <c r="G37" s="53"/>
      <c r="H37" s="124"/>
      <c r="I37" s="53"/>
      <c r="J37" s="123"/>
      <c r="K37" s="123"/>
      <c r="L37" s="53"/>
      <c r="M37" s="51"/>
      <c r="N37" s="51"/>
    </row>
    <row r="38" spans="1:14" s="16" customFormat="1" ht="12">
      <c r="A38" s="66">
        <v>28</v>
      </c>
      <c r="B38" s="72"/>
      <c r="C38" s="73"/>
      <c r="D38" s="79" t="s">
        <v>81</v>
      </c>
      <c r="E38" s="75"/>
      <c r="F38" s="75"/>
      <c r="G38" s="76">
        <f>E38-F38</f>
        <v>0</v>
      </c>
      <c r="H38" s="80">
        <v>0.1</v>
      </c>
      <c r="I38" s="76">
        <f>G38*H38</f>
        <v>0</v>
      </c>
      <c r="J38" s="75"/>
      <c r="K38" s="75"/>
      <c r="L38" s="76">
        <f>I38+J38+K38</f>
        <v>0</v>
      </c>
      <c r="M38" s="81"/>
      <c r="N38" s="82"/>
    </row>
    <row r="39" spans="1:14">
      <c r="A39" s="45">
        <v>29</v>
      </c>
      <c r="B39" s="93"/>
      <c r="C39" s="94"/>
      <c r="D39" s="88" t="s">
        <v>79</v>
      </c>
      <c r="E39" s="77"/>
      <c r="F39" s="77"/>
      <c r="G39" s="78">
        <f>E39-F39</f>
        <v>0</v>
      </c>
      <c r="H39" s="89">
        <v>0.1</v>
      </c>
      <c r="I39" s="78">
        <f>G39*H39</f>
        <v>0</v>
      </c>
      <c r="J39" s="77"/>
      <c r="K39" s="77"/>
      <c r="L39" s="78">
        <f>I39+J39+K39</f>
        <v>0</v>
      </c>
      <c r="M39" s="90"/>
      <c r="N39" s="91"/>
    </row>
    <row r="40" spans="1:14">
      <c r="A40" s="45">
        <v>30</v>
      </c>
      <c r="B40" s="95"/>
      <c r="C40" s="96"/>
      <c r="D40" s="112" t="s">
        <v>78</v>
      </c>
      <c r="E40" s="113">
        <f>E38-E39</f>
        <v>0</v>
      </c>
      <c r="F40" s="113">
        <f>F38-F39</f>
        <v>0</v>
      </c>
      <c r="G40" s="114">
        <f>E40-F40</f>
        <v>0</v>
      </c>
      <c r="H40" s="115">
        <v>0.1</v>
      </c>
      <c r="I40" s="114">
        <f>G40*H40</f>
        <v>0</v>
      </c>
      <c r="J40" s="113">
        <f>J38-J39</f>
        <v>0</v>
      </c>
      <c r="K40" s="113">
        <f>K38-K39</f>
        <v>0</v>
      </c>
      <c r="L40" s="114">
        <f>I40+J40+K40</f>
        <v>0</v>
      </c>
      <c r="M40" s="116">
        <f>M38-M39</f>
        <v>0</v>
      </c>
      <c r="N40" s="117">
        <f>N38-N39</f>
        <v>0</v>
      </c>
    </row>
    <row r="41" spans="1:14">
      <c r="A41" s="66"/>
      <c r="B41" s="97"/>
      <c r="C41" s="97"/>
      <c r="D41" s="98"/>
      <c r="E41" s="99"/>
      <c r="F41" s="99"/>
      <c r="G41" s="100"/>
      <c r="H41" s="101"/>
      <c r="I41" s="100"/>
      <c r="J41" s="99"/>
      <c r="K41" s="99"/>
      <c r="L41" s="100"/>
      <c r="M41" s="102"/>
      <c r="N41" s="51"/>
    </row>
    <row r="42" spans="1:14">
      <c r="A42" s="45">
        <v>31</v>
      </c>
      <c r="B42" s="46"/>
      <c r="C42" s="47"/>
      <c r="D42" s="69" t="s">
        <v>81</v>
      </c>
      <c r="E42" s="14"/>
      <c r="F42" s="14"/>
      <c r="G42" s="15">
        <f>E42-F42</f>
        <v>0</v>
      </c>
      <c r="H42" s="48">
        <v>0.1</v>
      </c>
      <c r="I42" s="15">
        <f>G42*H42</f>
        <v>0</v>
      </c>
      <c r="J42" s="14"/>
      <c r="K42" s="14"/>
      <c r="L42" s="15">
        <f>I42+J42+K42</f>
        <v>0</v>
      </c>
      <c r="M42" s="49"/>
      <c r="N42" s="50"/>
    </row>
    <row r="43" spans="1:14">
      <c r="A43" s="45">
        <v>32</v>
      </c>
      <c r="B43" s="93"/>
      <c r="C43" s="94"/>
      <c r="D43" s="88" t="s">
        <v>79</v>
      </c>
      <c r="E43" s="77"/>
      <c r="F43" s="77"/>
      <c r="G43" s="78">
        <f>E43-F43</f>
        <v>0</v>
      </c>
      <c r="H43" s="89">
        <v>0.1</v>
      </c>
      <c r="I43" s="78">
        <f>G43*H43</f>
        <v>0</v>
      </c>
      <c r="J43" s="77"/>
      <c r="K43" s="77"/>
      <c r="L43" s="78">
        <f>I43+J43+K43</f>
        <v>0</v>
      </c>
      <c r="M43" s="90"/>
      <c r="N43" s="91"/>
    </row>
    <row r="44" spans="1:14">
      <c r="A44" s="45">
        <v>33</v>
      </c>
      <c r="B44" s="95"/>
      <c r="C44" s="96"/>
      <c r="D44" s="112" t="s">
        <v>78</v>
      </c>
      <c r="E44" s="113">
        <f>E42-E43</f>
        <v>0</v>
      </c>
      <c r="F44" s="113">
        <f>F42-F43</f>
        <v>0</v>
      </c>
      <c r="G44" s="114">
        <f>E44-F44</f>
        <v>0</v>
      </c>
      <c r="H44" s="115">
        <v>0.1</v>
      </c>
      <c r="I44" s="114">
        <f>G44*H44</f>
        <v>0</v>
      </c>
      <c r="J44" s="113">
        <f>J42-J43</f>
        <v>0</v>
      </c>
      <c r="K44" s="113">
        <f>K42-K43</f>
        <v>0</v>
      </c>
      <c r="L44" s="114">
        <f>I44+J44+K44</f>
        <v>0</v>
      </c>
      <c r="M44" s="116">
        <f>M42-M43</f>
        <v>0</v>
      </c>
      <c r="N44" s="117">
        <f>N42-N43</f>
        <v>0</v>
      </c>
    </row>
    <row r="45" spans="1:14">
      <c r="A45" s="66"/>
      <c r="B45" s="97"/>
      <c r="C45" s="97"/>
      <c r="D45" s="98"/>
      <c r="E45" s="99"/>
      <c r="F45" s="99"/>
      <c r="G45" s="100"/>
      <c r="H45" s="101"/>
      <c r="I45" s="100"/>
      <c r="J45" s="99"/>
      <c r="K45" s="99"/>
      <c r="L45" s="100"/>
      <c r="M45" s="102"/>
      <c r="N45" s="51"/>
    </row>
    <row r="46" spans="1:14">
      <c r="A46" s="45">
        <v>34</v>
      </c>
      <c r="B46" s="46"/>
      <c r="C46" s="47"/>
      <c r="D46" s="69" t="s">
        <v>81</v>
      </c>
      <c r="E46" s="14"/>
      <c r="F46" s="14"/>
      <c r="G46" s="15">
        <f>E46-F46</f>
        <v>0</v>
      </c>
      <c r="H46" s="48">
        <v>0.1</v>
      </c>
      <c r="I46" s="15">
        <f>G46*H46</f>
        <v>0</v>
      </c>
      <c r="J46" s="14"/>
      <c r="K46" s="14"/>
      <c r="L46" s="15">
        <f>I46+J46+K46</f>
        <v>0</v>
      </c>
      <c r="M46" s="49"/>
      <c r="N46" s="50"/>
    </row>
    <row r="47" spans="1:14">
      <c r="A47" s="45">
        <v>35</v>
      </c>
      <c r="B47" s="93"/>
      <c r="C47" s="94"/>
      <c r="D47" s="88" t="s">
        <v>79</v>
      </c>
      <c r="E47" s="77"/>
      <c r="F47" s="77"/>
      <c r="G47" s="78">
        <f>E47-F47</f>
        <v>0</v>
      </c>
      <c r="H47" s="89">
        <v>0.1</v>
      </c>
      <c r="I47" s="78">
        <f>G47*H47</f>
        <v>0</v>
      </c>
      <c r="J47" s="77"/>
      <c r="K47" s="77"/>
      <c r="L47" s="78">
        <f>I47+J47+K47</f>
        <v>0</v>
      </c>
      <c r="M47" s="90"/>
      <c r="N47" s="91"/>
    </row>
    <row r="48" spans="1:14">
      <c r="A48" s="45">
        <v>36</v>
      </c>
      <c r="B48" s="95"/>
      <c r="C48" s="96"/>
      <c r="D48" s="112" t="s">
        <v>78</v>
      </c>
      <c r="E48" s="113">
        <f>E46-E47</f>
        <v>0</v>
      </c>
      <c r="F48" s="113">
        <f>F46-F47</f>
        <v>0</v>
      </c>
      <c r="G48" s="114">
        <f>E48-F48</f>
        <v>0</v>
      </c>
      <c r="H48" s="115">
        <v>0.1</v>
      </c>
      <c r="I48" s="114">
        <f>G48*H48</f>
        <v>0</v>
      </c>
      <c r="J48" s="113">
        <f>J46-J47</f>
        <v>0</v>
      </c>
      <c r="K48" s="113">
        <f>K46-K47</f>
        <v>0</v>
      </c>
      <c r="L48" s="114">
        <f>I48+J48+K48</f>
        <v>0</v>
      </c>
      <c r="M48" s="116">
        <f>M46-M47</f>
        <v>0</v>
      </c>
      <c r="N48" s="117">
        <f>N46-N47</f>
        <v>0</v>
      </c>
    </row>
    <row r="49" spans="1:14">
      <c r="A49" s="74"/>
      <c r="B49" s="122"/>
      <c r="C49" s="92"/>
      <c r="D49" s="125"/>
      <c r="E49" s="127"/>
      <c r="F49" s="127"/>
      <c r="G49" s="128"/>
      <c r="H49" s="129"/>
      <c r="I49" s="128"/>
      <c r="J49" s="127"/>
      <c r="K49" s="127"/>
      <c r="L49" s="128"/>
      <c r="M49" s="130"/>
      <c r="N49" s="51"/>
    </row>
    <row r="50" spans="1:14">
      <c r="A50" s="16"/>
      <c r="B50" s="126" t="s">
        <v>93</v>
      </c>
      <c r="C50" s="51"/>
      <c r="D50" s="16"/>
      <c r="E50" s="131">
        <f>E4+E8+E12+E16+E20+E24+E28+E32+E36+E40+E44+E48</f>
        <v>0</v>
      </c>
      <c r="F50" s="131">
        <f>F4+F8+F12+F16+F20+F24+F28+F32+F36+F40+F44+F48</f>
        <v>0</v>
      </c>
      <c r="G50" s="131">
        <f>G4+G8+G12+G16+G20+G24+G28+G32+G36+G40+G44+G48</f>
        <v>0</v>
      </c>
      <c r="H50" s="131"/>
      <c r="I50" s="131">
        <f t="shared" ref="I50:N50" si="0">I4+I8+I12+I16+I20+I24+I28+I32+I36+I40+I44+I48</f>
        <v>0</v>
      </c>
      <c r="J50" s="131">
        <f t="shared" si="0"/>
        <v>0</v>
      </c>
      <c r="K50" s="131">
        <f t="shared" si="0"/>
        <v>0</v>
      </c>
      <c r="L50" s="54">
        <f t="shared" si="0"/>
        <v>0</v>
      </c>
      <c r="M50" s="131">
        <f t="shared" si="0"/>
        <v>0</v>
      </c>
      <c r="N50" s="131">
        <f t="shared" si="0"/>
        <v>0</v>
      </c>
    </row>
    <row r="51" spans="1:14">
      <c r="B51" s="60" t="s">
        <v>68</v>
      </c>
      <c r="C51" s="56"/>
      <c r="D51" s="57">
        <f>'TOT Report Page 1'!E14</f>
        <v>0</v>
      </c>
      <c r="E51" s="58" t="s">
        <v>61</v>
      </c>
      <c r="F51" s="59">
        <f>'TOT Report Page 1'!G14</f>
        <v>0</v>
      </c>
      <c r="G51" s="56"/>
      <c r="H51" s="132" t="s">
        <v>89</v>
      </c>
      <c r="I51" s="56"/>
      <c r="J51" s="209">
        <f>'TOT Report Page 1'!C6</f>
        <v>0</v>
      </c>
      <c r="K51" s="209"/>
      <c r="L51" s="209"/>
      <c r="M51" s="209"/>
    </row>
  </sheetData>
  <mergeCells count="1">
    <mergeCell ref="J51:M51"/>
  </mergeCells>
  <phoneticPr fontId="2" type="noConversion"/>
  <printOptions horizontalCentered="1"/>
  <pageMargins left="0" right="0" top="0.18" bottom="0.38" header="0.17" footer="0.16"/>
  <pageSetup scale="87" orientation="landscape" r:id="rId1"/>
  <headerFooter alignWithMargins="0">
    <oddFooter>&amp;CPage 2
&amp;R&amp;D&amp;T</oddFooter>
  </headerFooter>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Instructions</vt:lpstr>
      <vt:lpstr>TOT Report Page 1</vt:lpstr>
      <vt:lpstr>Page 2</vt:lpstr>
      <vt:lpstr>Page 3</vt:lpstr>
      <vt:lpstr>Page 4</vt:lpstr>
      <vt:lpstr>Page 5</vt:lpstr>
      <vt:lpstr>Sheet1</vt:lpstr>
      <vt:lpstr>Instructions!Print_Titles</vt:lpstr>
    </vt:vector>
  </TitlesOfParts>
  <Company>Placer County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SSchwart</dc:creator>
  <cp:lastModifiedBy>JJRodrig</cp:lastModifiedBy>
  <cp:lastPrinted>2010-02-05T17:22:52Z</cp:lastPrinted>
  <dcterms:created xsi:type="dcterms:W3CDTF">2007-10-18T00:22:56Z</dcterms:created>
  <dcterms:modified xsi:type="dcterms:W3CDTF">2010-12-06T19:26:06Z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_AdHocReviewCycleID">
    <vt:i4>-1117133436</vt:i4>
  </property>
  <property fmtid="{D5CDD505-2E9C-101B-9397-08002B2CF9AE}" pid="4" name="_EmailSubject">
    <vt:lpwstr>Corrected Spreadsheets for WEB</vt:lpwstr>
  </property>
  <property fmtid="{D5CDD505-2E9C-101B-9397-08002B2CF9AE}" pid="5" name="_AuthorEmail">
    <vt:lpwstr>SSchwart@placer.ca.gov</vt:lpwstr>
  </property>
  <property fmtid="{D5CDD505-2E9C-101B-9397-08002B2CF9AE}" pid="6" name="_AuthorEmailDisplayName">
    <vt:lpwstr>Sheryl Schwartz</vt:lpwstr>
  </property>
  <property fmtid="{D5CDD505-2E9C-101B-9397-08002B2CF9AE}" pid="7" name="_ReviewingToolsShownOnce">
    <vt:lpwstr/>
  </property>
</Properties>
</file>