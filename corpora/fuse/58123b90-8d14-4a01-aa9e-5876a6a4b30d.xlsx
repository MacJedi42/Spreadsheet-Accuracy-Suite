
<file path=[Content_Types].xml><?xml version="1.0" encoding="utf-8"?>
<Types xmlns="http://schemas.openxmlformats.org/package/2006/content-types">
  <Default Extension="png" ContentType="image/png"/>
  <Override PartName="/xl/queryTables/queryTable1.xml" ContentType="application/vnd.openxmlformats-officedocument.spreadsheetml.queryTable+xml"/>
  <Default Extension="bin" ContentType="application/vnd.openxmlformats-officedocument.spreadsheetml.printerSettings"/>
  <Override PartName="/xl/drawings/drawing9.xml" ContentType="application/vnd.openxmlformats-officedocument.drawing+xml"/>
  <Override PartName="/xl/charts/chart6.xml" ContentType="application/vnd.openxmlformats-officedocument.drawingml.char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charts/chart4.xml" ContentType="application/vnd.openxmlformats-officedocument.drawingml.chart+xml"/>
  <Override PartName="/xl/drawings/drawing7.xml" ContentType="application/vnd.openxmlformats-officedocument.drawing+xml"/>
  <Override PartName="/xl/charts/chart5.xml" ContentType="application/vnd.openxmlformats-officedocument.drawingml.chart+xml"/>
  <Override PartName="/xl/drawings/drawing8.xml" ContentType="application/vnd.openxmlformats-officedocument.drawingml.chartshap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jpeg" ContentType="image/jpeg"/>
  <Override PartName="/xl/charts/chart2.xml" ContentType="application/vnd.openxmlformats-officedocument.drawingml.chart+xml"/>
  <Override PartName="/xl/drawings/drawing4.xml" ContentType="application/vnd.openxmlformats-officedocument.drawing+xml"/>
  <Override PartName="/xl/charts/chart3.xml" ContentType="application/vnd.openxmlformats-officedocument.drawingml.chart+xml"/>
  <Override PartName="/xl/drawings/drawing5.xml" ContentType="application/vnd.openxmlformats-officedocument.drawingml.chartshap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nnections.xml" ContentType="application/vnd.openxmlformats-officedocument.spreadsheetml.connections+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hartsheets/sheet2.xml" ContentType="application/vnd.openxmlformats-officedocument.spreadsheetml.chartsheet+xml"/>
  <Override PartName="/xl/chartsheets/sheet3.xml" ContentType="application/vnd.openxmlformats-officedocument.spreadsheetml.chartsheet+xml"/>
  <Override PartName="/xl/sharedStrings.xml" ContentType="application/vnd.openxmlformats-officedocument.spreadsheetml.sharedStrings+xml"/>
  <Override PartName="/xl/chartsheets/sheet1.xml" ContentType="application/vnd.openxmlformats-officedocument.spreadsheetml.chart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7"/>
  <workbookPr showInkAnnotation="0" codeName="ThisWorkbook" autoCompressPictures="0"/>
  <bookViews>
    <workbookView xWindow="0" yWindow="120" windowWidth="19440" windowHeight="11640" tabRatio="702"/>
  </bookViews>
  <sheets>
    <sheet name="Summary" sheetId="45" r:id="rId1"/>
    <sheet name="Holdings" sheetId="39" r:id="rId2"/>
    <sheet name="2012 Holiday Performance" sheetId="44" state="hidden" r:id="rId3"/>
    <sheet name="Holdings Pull Sheet" sheetId="29" state="hidden" r:id="rId4"/>
    <sheet name="Data" sheetId="2" r:id="rId5"/>
    <sheet name="Long-Term Chart" sheetId="30" state="hidden" r:id="rId6"/>
    <sheet name="Recession Chart" sheetId="26" state="hidden" r:id="rId7"/>
    <sheet name="V.P. of PM" sheetId="6" state="hidden" r:id="rId8"/>
    <sheet name="GICS Sector Weights" sheetId="24" state="hidden" r:id="rId9"/>
    <sheet name="GICS Sector Allocation" sheetId="28" state="hidden" r:id="rId10"/>
    <sheet name="MKT Cap" sheetId="22" state="hidden" r:id="rId11"/>
    <sheet name="Transactions" sheetId="9" r:id="rId12"/>
    <sheet name="Holdings_Old" sheetId="1" state="hidden" r:id="rId13"/>
    <sheet name="Sector Weights" sheetId="27" state="hidden" r:id="rId14"/>
    <sheet name="Turner's Pitches" sheetId="46" state="hidden" r:id="rId15"/>
  </sheets>
  <definedNames>
    <definedName name="_xlnm._FilterDatabase" localSheetId="2">'2012 Holiday Performance'!$C$3:$I$24</definedName>
    <definedName name="a">#REF!</definedName>
    <definedName name="asdf" localSheetId="2">#REF!</definedName>
    <definedName name="asdf" localSheetId="0">#REF!</definedName>
    <definedName name="asdf">#REF!</definedName>
    <definedName name="bnm" localSheetId="2">#REF!</definedName>
    <definedName name="bnm" localSheetId="0">#REF!</definedName>
    <definedName name="bnm">#REF!</definedName>
    <definedName name="Initial" localSheetId="2">#REF!</definedName>
    <definedName name="Initial" localSheetId="0">#REF!</definedName>
    <definedName name="Initial">#REF!</definedName>
    <definedName name="MSN_MoneyCentral_Investor_Stock_Quotes" localSheetId="3">'Holdings Pull Sheet'!$C$9:$R$63</definedName>
    <definedName name="portbeg" localSheetId="2">#REF!</definedName>
    <definedName name="portbeg" localSheetId="0">#REF!</definedName>
    <definedName name="portbeg">#REF!</definedName>
    <definedName name="_xlnm.Print_Area" localSheetId="4">Data!$A$2:$AC$18</definedName>
    <definedName name="_xlnm.Print_Area" localSheetId="12">Holdings_Old!$A$1:$U$20</definedName>
    <definedName name="_xlnm.Print_Area" localSheetId="7">'V.P. of PM'!$A$1:$K$38</definedName>
    <definedName name="qwer" localSheetId="2">#REF!</definedName>
    <definedName name="qwer" localSheetId="0">#REF!</definedName>
    <definedName name="qwer">#REF!</definedName>
    <definedName name="s">#REF!</definedName>
    <definedName name="Sheet" localSheetId="2">#REF!</definedName>
    <definedName name="Sheet" localSheetId="0">#REF!</definedName>
    <definedName name="Sheet">#REF!</definedName>
    <definedName name="SP" localSheetId="2">#REF!</definedName>
    <definedName name="SP" localSheetId="0">#REF!</definedName>
    <definedName name="SP">#REF!</definedName>
    <definedName name="spbeg" localSheetId="2">#REF!</definedName>
    <definedName name="spbeg" localSheetId="0">#REF!</definedName>
    <definedName name="spbeg">#REF!</definedName>
    <definedName name="vb" localSheetId="2">#REF!</definedName>
    <definedName name="vb" localSheetId="0">#REF!</definedName>
    <definedName name="vb">#REF!</definedName>
    <definedName name="WINBEG" localSheetId="2">#REF!</definedName>
    <definedName name="WINBEG" localSheetId="0">#REF!</definedName>
    <definedName name="WINBEG">#REF!</definedName>
    <definedName name="WINSP" localSheetId="2">#REF!</definedName>
    <definedName name="WINSP" localSheetId="0">#REF!</definedName>
    <definedName name="WINSP">#REF!</definedName>
    <definedName name="zxc" localSheetId="2">#REF!</definedName>
    <definedName name="zxc" localSheetId="0">#REF!</definedName>
    <definedName name="zxc">#REF!</definedName>
  </definedNames>
  <calcPr calcId="125725"/>
</workbook>
</file>

<file path=xl/calcChain.xml><?xml version="1.0" encoding="utf-8"?>
<calcChain xmlns="http://schemas.openxmlformats.org/spreadsheetml/2006/main">
  <c r="T82" i="45"/>
  <c r="X82"/>
  <c r="T83"/>
  <c r="X83"/>
  <c r="T84"/>
  <c r="X84"/>
  <c r="R84"/>
  <c r="R82"/>
  <c r="R83"/>
  <c r="J81"/>
  <c r="F81"/>
  <c r="D81"/>
  <c r="M6"/>
  <c r="T8"/>
  <c r="T6"/>
  <c r="T518" i="2"/>
  <c r="V518" s="1"/>
  <c r="U518"/>
  <c r="O518"/>
  <c r="P518" s="1"/>
  <c r="M518"/>
  <c r="N518"/>
  <c r="F518"/>
  <c r="G518"/>
  <c r="H518"/>
  <c r="I518"/>
  <c r="I57" i="39"/>
  <c r="I54"/>
  <c r="I53"/>
  <c r="I50"/>
  <c r="J50" s="1"/>
  <c r="I49"/>
  <c r="Z83" i="45" s="1"/>
  <c r="I48" i="39"/>
  <c r="Z82" i="45" s="1"/>
  <c r="AA82" s="1"/>
  <c r="I47" i="39"/>
  <c r="I46"/>
  <c r="I45"/>
  <c r="I44"/>
  <c r="I43"/>
  <c r="I42"/>
  <c r="I41"/>
  <c r="I40"/>
  <c r="I39"/>
  <c r="I38"/>
  <c r="J49"/>
  <c r="J48"/>
  <c r="I35"/>
  <c r="J35" s="1"/>
  <c r="I34"/>
  <c r="I33"/>
  <c r="I32"/>
  <c r="I31"/>
  <c r="I30"/>
  <c r="I29"/>
  <c r="I28"/>
  <c r="I27"/>
  <c r="I26"/>
  <c r="AA63" i="45"/>
  <c r="AH21"/>
  <c r="AE13"/>
  <c r="Z59"/>
  <c r="X55"/>
  <c r="AA49"/>
  <c r="X41"/>
  <c r="AA35"/>
  <c r="X27"/>
  <c r="AA21"/>
  <c r="T35"/>
  <c r="T21"/>
  <c r="M63"/>
  <c r="X13"/>
  <c r="Q41"/>
  <c r="Q27"/>
  <c r="Q13"/>
  <c r="J55"/>
  <c r="I22" i="39"/>
  <c r="Y6"/>
  <c r="Y7"/>
  <c r="Y8"/>
  <c r="Y9"/>
  <c r="Y10"/>
  <c r="Y11"/>
  <c r="Y12"/>
  <c r="Y13"/>
  <c r="Y14"/>
  <c r="Y15"/>
  <c r="Y16"/>
  <c r="Y17"/>
  <c r="Y18"/>
  <c r="Y19"/>
  <c r="Y20"/>
  <c r="Y21"/>
  <c r="X6"/>
  <c r="X7"/>
  <c r="X8"/>
  <c r="X9"/>
  <c r="X10"/>
  <c r="X11"/>
  <c r="X12"/>
  <c r="X13"/>
  <c r="X14"/>
  <c r="X15"/>
  <c r="X16"/>
  <c r="X17"/>
  <c r="X18"/>
  <c r="X19"/>
  <c r="X20"/>
  <c r="X21"/>
  <c r="V6"/>
  <c r="V7"/>
  <c r="V8"/>
  <c r="V9"/>
  <c r="V10"/>
  <c r="V11"/>
  <c r="V12"/>
  <c r="V13"/>
  <c r="V14"/>
  <c r="V15"/>
  <c r="Q49" i="45" s="1"/>
  <c r="V16" i="39"/>
  <c r="Q63" i="45" s="1"/>
  <c r="V17" i="39"/>
  <c r="X21" i="45" s="1"/>
  <c r="V18" i="39"/>
  <c r="X35" i="45" s="1"/>
  <c r="V19" i="39"/>
  <c r="X49" i="45" s="1"/>
  <c r="V20" i="39"/>
  <c r="X63" i="45" s="1"/>
  <c r="X62" s="1"/>
  <c r="V21" i="39"/>
  <c r="AE21" i="45" s="1"/>
  <c r="E11" i="39"/>
  <c r="H11" s="1"/>
  <c r="E12"/>
  <c r="H12" s="1"/>
  <c r="M62" i="45" s="1"/>
  <c r="E13" i="39"/>
  <c r="H13" s="1"/>
  <c r="T20" i="45" s="1"/>
  <c r="E14" i="39"/>
  <c r="H14" s="1"/>
  <c r="T34" i="45" s="1"/>
  <c r="E15" i="39"/>
  <c r="H15" s="1"/>
  <c r="T48" i="45" s="1"/>
  <c r="E16" i="39"/>
  <c r="H16" s="1"/>
  <c r="T62" i="45" s="1"/>
  <c r="E17" i="39"/>
  <c r="H17" s="1"/>
  <c r="AA20" i="45" s="1"/>
  <c r="E18" i="39"/>
  <c r="H18" s="1"/>
  <c r="AA34" i="45" s="1"/>
  <c r="E19" i="39"/>
  <c r="H19" s="1"/>
  <c r="AA48" i="45" s="1"/>
  <c r="E20" i="39"/>
  <c r="H20" s="1"/>
  <c r="AA62" i="45" s="1"/>
  <c r="E21" i="39"/>
  <c r="H21" s="1"/>
  <c r="AH20" i="45" s="1"/>
  <c r="D6" i="39"/>
  <c r="D7"/>
  <c r="D8"/>
  <c r="D9"/>
  <c r="D10"/>
  <c r="D11"/>
  <c r="D12"/>
  <c r="D13"/>
  <c r="D14"/>
  <c r="D15"/>
  <c r="Q43" i="45" s="1"/>
  <c r="D16" i="39"/>
  <c r="Q57" i="45" s="1"/>
  <c r="D17" i="39"/>
  <c r="X15" i="45" s="1"/>
  <c r="D18" i="39"/>
  <c r="X29" i="45" s="1"/>
  <c r="D19" i="39"/>
  <c r="X43" i="45" s="1"/>
  <c r="D20" i="39"/>
  <c r="X57" i="45" s="1"/>
  <c r="D21" i="39"/>
  <c r="AE15" i="45" s="1"/>
  <c r="S15" i="39"/>
  <c r="T43" i="45" s="1"/>
  <c r="G141" i="9"/>
  <c r="G139"/>
  <c r="G137"/>
  <c r="G135"/>
  <c r="T517" i="2"/>
  <c r="U517"/>
  <c r="V517"/>
  <c r="O517"/>
  <c r="P517"/>
  <c r="M517"/>
  <c r="N517"/>
  <c r="F517"/>
  <c r="G517"/>
  <c r="H517"/>
  <c r="I517"/>
  <c r="AA83" i="45" l="1"/>
  <c r="Q17" i="39"/>
  <c r="P17"/>
  <c r="W15"/>
  <c r="L81" i="45"/>
  <c r="M81" s="1"/>
  <c r="Z84"/>
  <c r="AA84" s="1"/>
  <c r="AA41"/>
  <c r="T41"/>
  <c r="T55"/>
  <c r="AH13"/>
  <c r="AA13"/>
  <c r="AA27"/>
  <c r="AA55"/>
  <c r="R19" i="39"/>
  <c r="AA44" i="45" s="1"/>
  <c r="N19" i="39"/>
  <c r="O19"/>
  <c r="AA46" i="45" s="1"/>
  <c r="P19" i="39"/>
  <c r="Q19"/>
  <c r="AA45" i="45" s="1"/>
  <c r="R15" i="39"/>
  <c r="T44" i="45" s="1"/>
  <c r="N15" i="39"/>
  <c r="O15"/>
  <c r="T46" i="45" s="1"/>
  <c r="P15" i="39"/>
  <c r="Q15"/>
  <c r="T45" i="45" s="1"/>
  <c r="R20" i="39"/>
  <c r="AA58" i="45" s="1"/>
  <c r="N20" i="39"/>
  <c r="O20"/>
  <c r="AA60" i="45" s="1"/>
  <c r="P20" i="39"/>
  <c r="Q20"/>
  <c r="AA59" i="45" s="1"/>
  <c r="Q16" i="39"/>
  <c r="T59" i="45" s="1"/>
  <c r="R16" i="39"/>
  <c r="T58" i="45" s="1"/>
  <c r="N16" i="39"/>
  <c r="O16"/>
  <c r="T60" i="45" s="1"/>
  <c r="P16" i="39"/>
  <c r="O21"/>
  <c r="AH18" i="45" s="1"/>
  <c r="Q21" i="39"/>
  <c r="AH17" i="45" s="1"/>
  <c r="R21" i="39"/>
  <c r="AH16" i="45" s="1"/>
  <c r="N21" i="39"/>
  <c r="P21"/>
  <c r="AA17" i="45"/>
  <c r="R17" i="39"/>
  <c r="AA16" i="45" s="1"/>
  <c r="N17" i="39"/>
  <c r="O17"/>
  <c r="AA18" i="45" s="1"/>
  <c r="P13" i="39"/>
  <c r="Q13"/>
  <c r="R13"/>
  <c r="N13"/>
  <c r="O13"/>
  <c r="P18"/>
  <c r="O18"/>
  <c r="AA32" i="45" s="1"/>
  <c r="P14" i="39"/>
  <c r="O14"/>
  <c r="N14"/>
  <c r="R14"/>
  <c r="N18"/>
  <c r="R18"/>
  <c r="AA30" i="45" s="1"/>
  <c r="Q14" i="39"/>
  <c r="Q18"/>
  <c r="AA31" i="45" s="1"/>
  <c r="Q12" i="39"/>
  <c r="P12"/>
  <c r="R12"/>
  <c r="N12"/>
  <c r="O12"/>
  <c r="T516" i="2"/>
  <c r="V516" s="1"/>
  <c r="U516"/>
  <c r="M516"/>
  <c r="N516"/>
  <c r="F516"/>
  <c r="G516"/>
  <c r="O516" s="1"/>
  <c r="P516" s="1"/>
  <c r="H516"/>
  <c r="I516"/>
  <c r="R81" i="45"/>
  <c r="T81"/>
  <c r="X81"/>
  <c r="D80"/>
  <c r="F80"/>
  <c r="J80"/>
  <c r="Z81"/>
  <c r="L80"/>
  <c r="Q29"/>
  <c r="H4" i="39"/>
  <c r="G133" i="9"/>
  <c r="G131"/>
  <c r="J79" i="45"/>
  <c r="F79"/>
  <c r="D79"/>
  <c r="X79"/>
  <c r="X80"/>
  <c r="T79"/>
  <c r="T80"/>
  <c r="R80"/>
  <c r="R79"/>
  <c r="G129" i="9"/>
  <c r="G127"/>
  <c r="G125"/>
  <c r="G123"/>
  <c r="G121"/>
  <c r="T515" i="2"/>
  <c r="U515"/>
  <c r="M515"/>
  <c r="O515" s="1"/>
  <c r="P515" s="1"/>
  <c r="N515"/>
  <c r="F515"/>
  <c r="G515"/>
  <c r="V515" s="1"/>
  <c r="H515"/>
  <c r="I515"/>
  <c r="F63" i="45"/>
  <c r="M21"/>
  <c r="J13"/>
  <c r="C55"/>
  <c r="L79"/>
  <c r="S8" i="39"/>
  <c r="S9"/>
  <c r="M15" i="45" s="1"/>
  <c r="S10" i="39"/>
  <c r="E9"/>
  <c r="H9" s="1"/>
  <c r="S7"/>
  <c r="S11"/>
  <c r="S12"/>
  <c r="W9"/>
  <c r="S13"/>
  <c r="S14"/>
  <c r="T29" i="45" s="1"/>
  <c r="S16" i="39"/>
  <c r="T57" i="45" s="1"/>
  <c r="S17" i="39"/>
  <c r="AA15" i="45" s="1"/>
  <c r="S18" i="39"/>
  <c r="AA29" i="45" s="1"/>
  <c r="S19" i="39"/>
  <c r="AA43" i="45" s="1"/>
  <c r="S20" i="39"/>
  <c r="AA57" i="45" s="1"/>
  <c r="S21" i="39"/>
  <c r="AH15" i="45" s="1"/>
  <c r="Z79"/>
  <c r="Z80"/>
  <c r="J32" i="39"/>
  <c r="J31"/>
  <c r="J30"/>
  <c r="J15" i="45"/>
  <c r="C57"/>
  <c r="J29"/>
  <c r="J43"/>
  <c r="J57"/>
  <c r="Q15"/>
  <c r="M79" l="1"/>
  <c r="J33" i="39"/>
  <c r="AA80" i="45"/>
  <c r="AA81"/>
  <c r="M80"/>
  <c r="J34" i="39"/>
  <c r="J47"/>
  <c r="AA79" i="45"/>
  <c r="Q9" i="39"/>
  <c r="M17" i="45" s="1"/>
  <c r="N9" i="39"/>
  <c r="P9"/>
  <c r="R9"/>
  <c r="M16" i="45" s="1"/>
  <c r="O9" i="39"/>
  <c r="M18" i="45" s="1"/>
  <c r="M20"/>
  <c r="J21"/>
  <c r="J45" i="39"/>
  <c r="J46"/>
  <c r="T514" i="2"/>
  <c r="U514"/>
  <c r="M514"/>
  <c r="O514" s="1"/>
  <c r="P514" s="1"/>
  <c r="N514"/>
  <c r="F514"/>
  <c r="G514"/>
  <c r="V514" s="1"/>
  <c r="H514"/>
  <c r="I514"/>
  <c r="E5" i="46"/>
  <c r="F5" s="1"/>
  <c r="E6"/>
  <c r="F6" s="1"/>
  <c r="E8"/>
  <c r="F8" s="1"/>
  <c r="K7"/>
  <c r="L7" s="1"/>
  <c r="J7"/>
  <c r="K4"/>
  <c r="L4" s="1"/>
  <c r="G119" i="9"/>
  <c r="F7" i="46"/>
  <c r="F4"/>
  <c r="G117" i="9"/>
  <c r="G115"/>
  <c r="T513" i="2"/>
  <c r="U513"/>
  <c r="M513"/>
  <c r="N513"/>
  <c r="F513"/>
  <c r="G513"/>
  <c r="H513"/>
  <c r="I513"/>
  <c r="AG17" i="45"/>
  <c r="Z45"/>
  <c r="Z31"/>
  <c r="L17"/>
  <c r="S31"/>
  <c r="S45"/>
  <c r="S59"/>
  <c r="Z17"/>
  <c r="S17"/>
  <c r="L59"/>
  <c r="L45"/>
  <c r="L31"/>
  <c r="E59"/>
  <c r="E45"/>
  <c r="E31"/>
  <c r="M8"/>
  <c r="V513" i="2" l="1"/>
  <c r="O513"/>
  <c r="P513" s="1"/>
  <c r="M4" i="46"/>
  <c r="M7"/>
  <c r="U512" i="2"/>
  <c r="T511"/>
  <c r="T512"/>
  <c r="V512" s="1"/>
  <c r="U511"/>
  <c r="M512"/>
  <c r="O512" s="1"/>
  <c r="P512" s="1"/>
  <c r="N512"/>
  <c r="M511"/>
  <c r="O511" s="1"/>
  <c r="P511" s="1"/>
  <c r="N511"/>
  <c r="F511"/>
  <c r="G511"/>
  <c r="V511" s="1"/>
  <c r="H511"/>
  <c r="I511"/>
  <c r="F512"/>
  <c r="G512"/>
  <c r="H512"/>
  <c r="I512"/>
  <c r="T510"/>
  <c r="U510"/>
  <c r="M510"/>
  <c r="N510"/>
  <c r="F510"/>
  <c r="G510"/>
  <c r="V510" s="1"/>
  <c r="H510"/>
  <c r="I510"/>
  <c r="O510" l="1"/>
  <c r="P510" s="1"/>
  <c r="T509"/>
  <c r="U509"/>
  <c r="M509"/>
  <c r="O509" s="1"/>
  <c r="P509" s="1"/>
  <c r="N509"/>
  <c r="F509"/>
  <c r="G509"/>
  <c r="V509" s="1"/>
  <c r="H509"/>
  <c r="I509"/>
  <c r="Z89" i="45" l="1"/>
  <c r="F78"/>
  <c r="J78"/>
  <c r="D78"/>
  <c r="L78"/>
  <c r="R78"/>
  <c r="T78"/>
  <c r="X78"/>
  <c r="Z78"/>
  <c r="T507" i="2"/>
  <c r="U507"/>
  <c r="T508"/>
  <c r="U508"/>
  <c r="M507"/>
  <c r="M508"/>
  <c r="N508"/>
  <c r="N507"/>
  <c r="F507"/>
  <c r="G507"/>
  <c r="V507" s="1"/>
  <c r="H507"/>
  <c r="I507"/>
  <c r="F508"/>
  <c r="G508"/>
  <c r="O508" s="1"/>
  <c r="P508" s="1"/>
  <c r="H508"/>
  <c r="I508"/>
  <c r="M78" i="45" l="1"/>
  <c r="AA78"/>
  <c r="J44" i="39"/>
  <c r="V508" i="2"/>
  <c r="O507"/>
  <c r="P507" s="1"/>
  <c r="H25" i="44"/>
  <c r="H24"/>
  <c r="G16"/>
  <c r="G20"/>
  <c r="G22"/>
  <c r="G19"/>
  <c r="G15"/>
  <c r="G8"/>
  <c r="G17"/>
  <c r="G10"/>
  <c r="G9"/>
  <c r="G4"/>
  <c r="G13"/>
  <c r="G11"/>
  <c r="G5"/>
  <c r="G14"/>
  <c r="G7"/>
  <c r="G12"/>
  <c r="G21"/>
  <c r="G6"/>
  <c r="G23"/>
  <c r="G18"/>
  <c r="G24"/>
  <c r="F24"/>
  <c r="C24"/>
  <c r="H16"/>
  <c r="H20"/>
  <c r="H22"/>
  <c r="H19"/>
  <c r="H15"/>
  <c r="H8"/>
  <c r="H17"/>
  <c r="H10"/>
  <c r="H9"/>
  <c r="H4"/>
  <c r="H13"/>
  <c r="H11"/>
  <c r="H5"/>
  <c r="H14"/>
  <c r="H7"/>
  <c r="H12"/>
  <c r="H21"/>
  <c r="H6"/>
  <c r="H23"/>
  <c r="H18"/>
  <c r="D16"/>
  <c r="D20"/>
  <c r="D22"/>
  <c r="D19"/>
  <c r="D15"/>
  <c r="D8"/>
  <c r="D17"/>
  <c r="D10"/>
  <c r="D9"/>
  <c r="D4"/>
  <c r="D13"/>
  <c r="D11"/>
  <c r="D5"/>
  <c r="D14"/>
  <c r="D7"/>
  <c r="D12"/>
  <c r="D21"/>
  <c r="D6"/>
  <c r="D23"/>
  <c r="C11"/>
  <c r="C5"/>
  <c r="C14"/>
  <c r="C7"/>
  <c r="C12"/>
  <c r="C21"/>
  <c r="C6"/>
  <c r="C23"/>
  <c r="C20"/>
  <c r="C22"/>
  <c r="C19"/>
  <c r="C15"/>
  <c r="C8"/>
  <c r="C17"/>
  <c r="C10"/>
  <c r="C9"/>
  <c r="C4"/>
  <c r="C13"/>
  <c r="C16"/>
  <c r="C18"/>
  <c r="X89" i="45" l="1"/>
  <c r="T89"/>
  <c r="R89"/>
  <c r="X75"/>
  <c r="X76"/>
  <c r="X77"/>
  <c r="T76"/>
  <c r="T77"/>
  <c r="R77"/>
  <c r="R76"/>
  <c r="J73"/>
  <c r="J74"/>
  <c r="J75"/>
  <c r="J76"/>
  <c r="J77"/>
  <c r="F73"/>
  <c r="F74"/>
  <c r="F75"/>
  <c r="F76"/>
  <c r="F77"/>
  <c r="D76"/>
  <c r="D77"/>
  <c r="D73"/>
  <c r="D74"/>
  <c r="D75"/>
  <c r="J72"/>
  <c r="F72"/>
  <c r="D72"/>
  <c r="L77"/>
  <c r="J42" i="39"/>
  <c r="L76" i="45"/>
  <c r="L73"/>
  <c r="L72"/>
  <c r="X20"/>
  <c r="J20"/>
  <c r="X34"/>
  <c r="X48"/>
  <c r="AE20"/>
  <c r="G113" i="9"/>
  <c r="G111"/>
  <c r="G109"/>
  <c r="R73" i="45"/>
  <c r="R74"/>
  <c r="R75"/>
  <c r="T73"/>
  <c r="T74"/>
  <c r="T75"/>
  <c r="X73"/>
  <c r="X74"/>
  <c r="R72"/>
  <c r="X72"/>
  <c r="T72"/>
  <c r="T506" i="2"/>
  <c r="U506"/>
  <c r="M506"/>
  <c r="N506"/>
  <c r="F506"/>
  <c r="G506"/>
  <c r="H506"/>
  <c r="I506"/>
  <c r="H8" i="46" l="1"/>
  <c r="K8" s="1"/>
  <c r="L8" s="1"/>
  <c r="M8" s="1"/>
  <c r="H6"/>
  <c r="K6" s="1"/>
  <c r="L6" s="1"/>
  <c r="M6" s="1"/>
  <c r="F14" i="44"/>
  <c r="F12"/>
  <c r="F21"/>
  <c r="F5"/>
  <c r="F6"/>
  <c r="F23"/>
  <c r="F13"/>
  <c r="F7"/>
  <c r="F11"/>
  <c r="Z76" i="45"/>
  <c r="AA76" s="1"/>
  <c r="J43" i="39"/>
  <c r="Z77" i="45"/>
  <c r="AA77" s="1"/>
  <c r="M77"/>
  <c r="Z75"/>
  <c r="V506" i="2"/>
  <c r="O506"/>
  <c r="P506" s="1"/>
  <c r="T505"/>
  <c r="U505"/>
  <c r="M505"/>
  <c r="O505" s="1"/>
  <c r="P505" s="1"/>
  <c r="N505"/>
  <c r="F505"/>
  <c r="G505"/>
  <c r="V505" s="1"/>
  <c r="H505"/>
  <c r="I505"/>
  <c r="I23" i="44" l="1"/>
  <c r="T504" i="2"/>
  <c r="U504"/>
  <c r="M504"/>
  <c r="N504"/>
  <c r="F504"/>
  <c r="G504"/>
  <c r="O504" s="1"/>
  <c r="P504" s="1"/>
  <c r="H504"/>
  <c r="I504"/>
  <c r="Z74" i="45"/>
  <c r="Z73"/>
  <c r="Z72"/>
  <c r="I107" i="9"/>
  <c r="G107"/>
  <c r="M503" i="2"/>
  <c r="N503"/>
  <c r="T503"/>
  <c r="U503"/>
  <c r="F503"/>
  <c r="G503"/>
  <c r="H503"/>
  <c r="I503"/>
  <c r="T502"/>
  <c r="U502"/>
  <c r="M502"/>
  <c r="N502"/>
  <c r="F502"/>
  <c r="G502"/>
  <c r="H502"/>
  <c r="I502"/>
  <c r="F501"/>
  <c r="G501"/>
  <c r="O501" s="1"/>
  <c r="P501" s="1"/>
  <c r="H501"/>
  <c r="I501"/>
  <c r="T501"/>
  <c r="U501"/>
  <c r="M501"/>
  <c r="N501"/>
  <c r="T500"/>
  <c r="U500"/>
  <c r="M500"/>
  <c r="N500"/>
  <c r="F500"/>
  <c r="G500"/>
  <c r="H500"/>
  <c r="I500"/>
  <c r="J90" i="45"/>
  <c r="F90"/>
  <c r="T499" i="2"/>
  <c r="U499"/>
  <c r="M499"/>
  <c r="N499"/>
  <c r="F499"/>
  <c r="G499"/>
  <c r="H499"/>
  <c r="I499"/>
  <c r="Q55" i="45"/>
  <c r="J41"/>
  <c r="J27"/>
  <c r="C41"/>
  <c r="C27"/>
  <c r="C13"/>
  <c r="F21"/>
  <c r="F35"/>
  <c r="F49"/>
  <c r="M49"/>
  <c r="M35"/>
  <c r="J54" i="39"/>
  <c r="AA89" i="45"/>
  <c r="J89"/>
  <c r="F89"/>
  <c r="D89"/>
  <c r="T63"/>
  <c r="T49"/>
  <c r="AA6"/>
  <c r="AA8"/>
  <c r="G105" i="9"/>
  <c r="V500" i="2" l="1"/>
  <c r="V502"/>
  <c r="V503"/>
  <c r="O503"/>
  <c r="P503" s="1"/>
  <c r="AA75" i="45"/>
  <c r="O500" i="2"/>
  <c r="P500" s="1"/>
  <c r="O502"/>
  <c r="P502" s="1"/>
  <c r="V504"/>
  <c r="M76" i="45"/>
  <c r="J41" i="39"/>
  <c r="V499" i="2"/>
  <c r="O499"/>
  <c r="P499" s="1"/>
  <c r="V501"/>
  <c r="L90" i="45"/>
  <c r="M90" s="1"/>
  <c r="T498" i="2"/>
  <c r="U498"/>
  <c r="M498"/>
  <c r="N498"/>
  <c r="F498"/>
  <c r="G498"/>
  <c r="H498"/>
  <c r="I498"/>
  <c r="I6" i="44" l="1"/>
  <c r="E6" s="1"/>
  <c r="O498" i="2"/>
  <c r="P498" s="1"/>
  <c r="V498"/>
  <c r="T497"/>
  <c r="U497"/>
  <c r="M497"/>
  <c r="N497"/>
  <c r="F497"/>
  <c r="G497"/>
  <c r="H497"/>
  <c r="I497"/>
  <c r="Y5" i="39"/>
  <c r="E6"/>
  <c r="E23" i="44"/>
  <c r="D18"/>
  <c r="T496" i="2"/>
  <c r="U496"/>
  <c r="M496"/>
  <c r="N496"/>
  <c r="F496"/>
  <c r="G496"/>
  <c r="H496"/>
  <c r="I496"/>
  <c r="T495"/>
  <c r="U495"/>
  <c r="M495"/>
  <c r="N495"/>
  <c r="F495"/>
  <c r="G495"/>
  <c r="H495"/>
  <c r="I495"/>
  <c r="E5" i="39"/>
  <c r="E7"/>
  <c r="H7" s="1"/>
  <c r="E8"/>
  <c r="H8" s="1"/>
  <c r="E10"/>
  <c r="H10" s="1"/>
  <c r="T13" i="45"/>
  <c r="T494" i="2"/>
  <c r="U494"/>
  <c r="M494"/>
  <c r="N494"/>
  <c r="F494"/>
  <c r="G494"/>
  <c r="H494"/>
  <c r="I494"/>
  <c r="M493"/>
  <c r="N493"/>
  <c r="T493"/>
  <c r="U493"/>
  <c r="F493"/>
  <c r="G493"/>
  <c r="H493"/>
  <c r="I493"/>
  <c r="T492"/>
  <c r="U492"/>
  <c r="M492"/>
  <c r="N492"/>
  <c r="F492"/>
  <c r="G492"/>
  <c r="H492"/>
  <c r="I492"/>
  <c r="T491"/>
  <c r="U491"/>
  <c r="M491"/>
  <c r="N491"/>
  <c r="F491"/>
  <c r="G491"/>
  <c r="H491"/>
  <c r="I491"/>
  <c r="F16" i="44" l="1"/>
  <c r="H6" i="39"/>
  <c r="O495" i="2"/>
  <c r="P495" s="1"/>
  <c r="T27" i="45"/>
  <c r="M41"/>
  <c r="M55"/>
  <c r="F20" i="44"/>
  <c r="O8" i="39"/>
  <c r="N8"/>
  <c r="R8"/>
  <c r="Q8"/>
  <c r="P8"/>
  <c r="M27" i="45"/>
  <c r="M13"/>
  <c r="F22" i="44"/>
  <c r="F15"/>
  <c r="F10"/>
  <c r="F19"/>
  <c r="F4"/>
  <c r="H5" i="46"/>
  <c r="K5" s="1"/>
  <c r="L5" s="1"/>
  <c r="M5" s="1"/>
  <c r="F17" i="44"/>
  <c r="F9"/>
  <c r="F8"/>
  <c r="F55" i="45"/>
  <c r="F13"/>
  <c r="F18" i="44"/>
  <c r="O493" i="2"/>
  <c r="P493" s="1"/>
  <c r="V497"/>
  <c r="O497"/>
  <c r="P497" s="1"/>
  <c r="O492"/>
  <c r="P492" s="1"/>
  <c r="V492"/>
  <c r="W492" s="1"/>
  <c r="F41" i="45"/>
  <c r="F27"/>
  <c r="V496" i="2"/>
  <c r="H5" i="39"/>
  <c r="V493" i="2"/>
  <c r="V495"/>
  <c r="O496"/>
  <c r="P496" s="1"/>
  <c r="V491"/>
  <c r="W491" s="1"/>
  <c r="V494"/>
  <c r="O494"/>
  <c r="P494" s="1"/>
  <c r="O491"/>
  <c r="P491" s="1"/>
  <c r="H22" i="39" l="1"/>
  <c r="N11"/>
  <c r="Q10"/>
  <c r="P10"/>
  <c r="O10"/>
  <c r="N10"/>
  <c r="R10"/>
  <c r="N7"/>
  <c r="O7"/>
  <c r="I16" i="44"/>
  <c r="E16" s="1"/>
  <c r="Q6" i="39"/>
  <c r="F31" i="45" s="1"/>
  <c r="I18" i="44"/>
  <c r="E18" s="1"/>
  <c r="Q5" i="39"/>
  <c r="F17" i="45" s="1"/>
  <c r="R5" i="39"/>
  <c r="I24" i="44"/>
  <c r="AA74" i="45"/>
  <c r="AA73"/>
  <c r="S6" i="39"/>
  <c r="M29" i="45"/>
  <c r="J57" i="39"/>
  <c r="E6" i="1"/>
  <c r="E7"/>
  <c r="E8"/>
  <c r="E9"/>
  <c r="E10"/>
  <c r="E11"/>
  <c r="E12"/>
  <c r="E13"/>
  <c r="E14"/>
  <c r="E15"/>
  <c r="E16"/>
  <c r="E17"/>
  <c r="E18"/>
  <c r="E19"/>
  <c r="E20"/>
  <c r="E21"/>
  <c r="E22"/>
  <c r="E23"/>
  <c r="E24"/>
  <c r="E25"/>
  <c r="C6"/>
  <c r="C7"/>
  <c r="C8"/>
  <c r="C9"/>
  <c r="C10"/>
  <c r="C11"/>
  <c r="C12"/>
  <c r="C13"/>
  <c r="C14"/>
  <c r="C15"/>
  <c r="C16"/>
  <c r="C17"/>
  <c r="C18"/>
  <c r="C19"/>
  <c r="C20"/>
  <c r="C21"/>
  <c r="C22"/>
  <c r="C23"/>
  <c r="C24"/>
  <c r="C25"/>
  <c r="M73" i="45"/>
  <c r="M72"/>
  <c r="L89"/>
  <c r="M89" s="1"/>
  <c r="C49"/>
  <c r="J35"/>
  <c r="Q21"/>
  <c r="X5" i="39"/>
  <c r="V5"/>
  <c r="S5"/>
  <c r="F15" i="45" s="1"/>
  <c r="J40" i="39"/>
  <c r="D5"/>
  <c r="I18" i="1"/>
  <c r="I16"/>
  <c r="L74" i="45" l="1"/>
  <c r="M74" s="1"/>
  <c r="L75"/>
  <c r="M75" s="1"/>
  <c r="C29"/>
  <c r="C43"/>
  <c r="C15"/>
  <c r="C21"/>
  <c r="C20" s="1"/>
  <c r="Q35"/>
  <c r="Q34" s="1"/>
  <c r="M57"/>
  <c r="F43"/>
  <c r="Q48"/>
  <c r="J49"/>
  <c r="J48" s="1"/>
  <c r="C35"/>
  <c r="C34" s="1"/>
  <c r="T15"/>
  <c r="F57"/>
  <c r="Q62"/>
  <c r="J63"/>
  <c r="J62" s="1"/>
  <c r="C63"/>
  <c r="C62" s="1"/>
  <c r="M43"/>
  <c r="F29"/>
  <c r="J38" i="39"/>
  <c r="AA72" i="45"/>
  <c r="W11" i="39"/>
  <c r="W12"/>
  <c r="W21"/>
  <c r="W19"/>
  <c r="W13"/>
  <c r="Q20" i="45"/>
  <c r="W8" i="39"/>
  <c r="W16"/>
  <c r="W17"/>
  <c r="W20"/>
  <c r="W14"/>
  <c r="W10"/>
  <c r="J34" i="45"/>
  <c r="W5" i="39"/>
  <c r="W6"/>
  <c r="W7"/>
  <c r="C48" i="45"/>
  <c r="W18" i="39"/>
  <c r="J27"/>
  <c r="J39"/>
  <c r="J29"/>
  <c r="J26"/>
  <c r="Q11"/>
  <c r="M45" i="45" s="1"/>
  <c r="F59"/>
  <c r="J28" i="39"/>
  <c r="J53"/>
  <c r="M30" i="45" l="1"/>
  <c r="M31"/>
  <c r="I4" i="44"/>
  <c r="E4" s="1"/>
  <c r="I17"/>
  <c r="E17" s="1"/>
  <c r="T17" i="45"/>
  <c r="I10" i="44"/>
  <c r="E10" s="1"/>
  <c r="T31" i="45"/>
  <c r="I8" i="44"/>
  <c r="E8" s="1"/>
  <c r="M59" i="45"/>
  <c r="I9" i="44"/>
  <c r="E9" s="1"/>
  <c r="I20"/>
  <c r="E20" s="1"/>
  <c r="Q7" i="39"/>
  <c r="F45" i="45" s="1"/>
  <c r="M34"/>
  <c r="I19" i="44"/>
  <c r="E19" s="1"/>
  <c r="I5"/>
  <c r="E5" s="1"/>
  <c r="I14"/>
  <c r="E14" s="1"/>
  <c r="I12"/>
  <c r="E12" s="1"/>
  <c r="I21"/>
  <c r="E21" s="1"/>
  <c r="I13"/>
  <c r="E13" s="1"/>
  <c r="I11"/>
  <c r="E11" s="1"/>
  <c r="F62" i="45"/>
  <c r="I22" i="44"/>
  <c r="E22" s="1"/>
  <c r="I7"/>
  <c r="E7" s="1"/>
  <c r="M48" i="45"/>
  <c r="I15" i="44"/>
  <c r="E15" s="1"/>
  <c r="F20" i="45"/>
  <c r="F34"/>
  <c r="F48"/>
  <c r="P5" i="39"/>
  <c r="R7"/>
  <c r="F44" i="45" s="1"/>
  <c r="P7" i="39"/>
  <c r="F46" i="45"/>
  <c r="N5" i="39"/>
  <c r="O5"/>
  <c r="F18" i="45" s="1"/>
  <c r="R11" i="39"/>
  <c r="M44" i="45" s="1"/>
  <c r="P11" i="39"/>
  <c r="O11"/>
  <c r="M46" i="45" s="1"/>
  <c r="N6" i="39"/>
  <c r="R6"/>
  <c r="F30" i="45" s="1"/>
  <c r="P6" i="39"/>
  <c r="O6"/>
  <c r="F32" i="45" s="1"/>
  <c r="M32"/>
  <c r="I25" i="44" l="1"/>
  <c r="T18" i="45"/>
  <c r="F60"/>
  <c r="M60"/>
  <c r="T30"/>
  <c r="T16"/>
  <c r="F16"/>
  <c r="AH8"/>
  <c r="F58"/>
  <c r="M58"/>
  <c r="T32"/>
  <c r="U490" i="2"/>
  <c r="T489"/>
  <c r="T490"/>
  <c r="U489"/>
  <c r="F489"/>
  <c r="G489"/>
  <c r="V489" s="1"/>
  <c r="W489" s="1"/>
  <c r="F490"/>
  <c r="G490"/>
  <c r="N489"/>
  <c r="N490"/>
  <c r="M489"/>
  <c r="M490"/>
  <c r="H489"/>
  <c r="I489"/>
  <c r="H490"/>
  <c r="I490"/>
  <c r="T488"/>
  <c r="U488"/>
  <c r="M488"/>
  <c r="N488"/>
  <c r="F488"/>
  <c r="G488"/>
  <c r="V488" s="1"/>
  <c r="W488" s="1"/>
  <c r="H488"/>
  <c r="I488"/>
  <c r="V490" l="1"/>
  <c r="W490" s="1"/>
  <c r="O489"/>
  <c r="P489" s="1"/>
  <c r="O490"/>
  <c r="P490" s="1"/>
  <c r="O488"/>
  <c r="P488" s="1"/>
  <c r="I21" i="1"/>
  <c r="W5" l="1"/>
  <c r="W477" i="2"/>
  <c r="W476"/>
  <c r="W475"/>
  <c r="W474"/>
  <c r="W473"/>
  <c r="W472"/>
  <c r="W471"/>
  <c r="W470"/>
  <c r="W469"/>
  <c r="W468"/>
  <c r="W467"/>
  <c r="W466"/>
  <c r="W465"/>
  <c r="W464"/>
  <c r="W463"/>
  <c r="W462"/>
  <c r="W461"/>
  <c r="W460"/>
  <c r="W459"/>
  <c r="W458"/>
  <c r="W457"/>
  <c r="W456"/>
  <c r="W455"/>
  <c r="W454"/>
  <c r="W453"/>
  <c r="W452"/>
  <c r="W451"/>
  <c r="W450"/>
  <c r="W449"/>
  <c r="W448"/>
  <c r="W447"/>
  <c r="W446"/>
  <c r="W445"/>
  <c r="W444"/>
  <c r="W443"/>
  <c r="W442"/>
  <c r="W441"/>
  <c r="W440"/>
  <c r="W439"/>
  <c r="W438"/>
  <c r="W437"/>
  <c r="W436"/>
  <c r="W435"/>
  <c r="W434"/>
  <c r="W433"/>
  <c r="W432"/>
  <c r="W431"/>
  <c r="W430"/>
  <c r="W429"/>
  <c r="W428"/>
  <c r="W427"/>
  <c r="W426"/>
  <c r="W425"/>
  <c r="W424"/>
  <c r="W423"/>
  <c r="W422"/>
  <c r="W421"/>
  <c r="W420"/>
  <c r="W419"/>
  <c r="W418"/>
  <c r="W417"/>
  <c r="W416"/>
  <c r="W415"/>
  <c r="W414"/>
  <c r="W413"/>
  <c r="W412"/>
  <c r="W411"/>
  <c r="W410"/>
  <c r="W409"/>
  <c r="W408"/>
  <c r="W407"/>
  <c r="W406"/>
  <c r="W405"/>
  <c r="W404"/>
  <c r="W403"/>
  <c r="W402"/>
  <c r="W401"/>
  <c r="W400"/>
  <c r="W399"/>
  <c r="W398"/>
  <c r="W397"/>
  <c r="W396"/>
  <c r="W395"/>
  <c r="W394"/>
  <c r="W393"/>
  <c r="W392"/>
  <c r="W391"/>
  <c r="W390"/>
  <c r="W389"/>
  <c r="W388"/>
  <c r="W387"/>
  <c r="W386"/>
  <c r="W385"/>
  <c r="W384"/>
  <c r="W383"/>
  <c r="W382"/>
  <c r="W381"/>
  <c r="W380"/>
  <c r="W379"/>
  <c r="W378"/>
  <c r="W377"/>
  <c r="W376"/>
  <c r="W375"/>
  <c r="W374"/>
  <c r="W373"/>
  <c r="W372"/>
  <c r="W371"/>
  <c r="W370"/>
  <c r="W369"/>
  <c r="W368"/>
  <c r="W367"/>
  <c r="W366"/>
  <c r="W365"/>
  <c r="W364"/>
  <c r="W363"/>
  <c r="W362"/>
  <c r="W361"/>
  <c r="W360"/>
  <c r="W359"/>
  <c r="W358"/>
  <c r="W357"/>
  <c r="W356"/>
  <c r="W355"/>
  <c r="W354"/>
  <c r="W353"/>
  <c r="W352"/>
  <c r="W351"/>
  <c r="W350"/>
  <c r="W349"/>
  <c r="W348"/>
  <c r="W347"/>
  <c r="W346"/>
  <c r="W345"/>
  <c r="W344"/>
  <c r="W343"/>
  <c r="W342"/>
  <c r="W341"/>
  <c r="W340"/>
  <c r="W339"/>
  <c r="W338"/>
  <c r="W337"/>
  <c r="W336"/>
  <c r="W335"/>
  <c r="W334"/>
  <c r="W333"/>
  <c r="W332"/>
  <c r="W331"/>
  <c r="W330"/>
  <c r="W329"/>
  <c r="W328"/>
  <c r="W327"/>
  <c r="W326"/>
  <c r="W325"/>
  <c r="W324"/>
  <c r="W323"/>
  <c r="W322"/>
  <c r="W321"/>
  <c r="W320"/>
  <c r="W319"/>
  <c r="W318"/>
  <c r="W317"/>
  <c r="W316"/>
  <c r="W315"/>
  <c r="W314"/>
  <c r="W313"/>
  <c r="W312"/>
  <c r="W311"/>
  <c r="W310"/>
  <c r="W309"/>
  <c r="W308"/>
  <c r="W307"/>
  <c r="W306"/>
  <c r="W305"/>
  <c r="W304"/>
  <c r="W303"/>
  <c r="W302"/>
  <c r="W301"/>
  <c r="W300"/>
  <c r="W299"/>
  <c r="W298"/>
  <c r="W297"/>
  <c r="W296"/>
  <c r="W295"/>
  <c r="W294"/>
  <c r="W293"/>
  <c r="W292"/>
  <c r="W291"/>
  <c r="W290"/>
  <c r="W289"/>
  <c r="W288"/>
  <c r="W287"/>
  <c r="W286"/>
  <c r="W285"/>
  <c r="W284"/>
  <c r="W283"/>
  <c r="W282"/>
  <c r="W281"/>
  <c r="W280"/>
  <c r="W279"/>
  <c r="W278"/>
  <c r="W277"/>
  <c r="W276"/>
  <c r="W275"/>
  <c r="W274"/>
  <c r="W273"/>
  <c r="W272"/>
  <c r="W271"/>
  <c r="W270"/>
  <c r="W269"/>
  <c r="W268"/>
  <c r="W267"/>
  <c r="W266"/>
  <c r="W265"/>
  <c r="W264"/>
  <c r="W263"/>
  <c r="W262"/>
  <c r="W261"/>
  <c r="W260"/>
  <c r="W259"/>
  <c r="W258"/>
  <c r="W257"/>
  <c r="W256"/>
  <c r="W255"/>
  <c r="W254"/>
  <c r="W253"/>
  <c r="W252"/>
  <c r="W251"/>
  <c r="W250"/>
  <c r="W249"/>
  <c r="W248"/>
  <c r="W247"/>
  <c r="W246"/>
  <c r="W245"/>
  <c r="W244"/>
  <c r="W243"/>
  <c r="W242"/>
  <c r="W241"/>
  <c r="W240"/>
  <c r="W239"/>
  <c r="W238"/>
  <c r="W237"/>
  <c r="W236"/>
  <c r="W235"/>
  <c r="W234"/>
  <c r="W233"/>
  <c r="W232"/>
  <c r="W231"/>
  <c r="W230"/>
  <c r="W229"/>
  <c r="W228"/>
  <c r="W227"/>
  <c r="W226"/>
  <c r="W225"/>
  <c r="W224"/>
  <c r="W223"/>
  <c r="W222"/>
  <c r="W221"/>
  <c r="W220"/>
  <c r="W219"/>
  <c r="W218"/>
  <c r="W217"/>
  <c r="W216"/>
  <c r="W215"/>
  <c r="W214"/>
  <c r="W213"/>
  <c r="W212"/>
  <c r="W211"/>
  <c r="W210"/>
  <c r="W209"/>
  <c r="W208"/>
  <c r="W207"/>
  <c r="W206"/>
  <c r="W205"/>
  <c r="W204"/>
  <c r="W203"/>
  <c r="U478"/>
  <c r="U479"/>
  <c r="U480"/>
  <c r="U481"/>
  <c r="U482"/>
  <c r="U483"/>
  <c r="U484"/>
  <c r="U485"/>
  <c r="U486"/>
  <c r="U487"/>
  <c r="T479"/>
  <c r="T480"/>
  <c r="T481"/>
  <c r="T482"/>
  <c r="T483"/>
  <c r="T484"/>
  <c r="T485"/>
  <c r="T486"/>
  <c r="T487"/>
  <c r="T478"/>
  <c r="Q22" i="1" l="1"/>
  <c r="Z25"/>
  <c r="AA25"/>
  <c r="W25"/>
  <c r="X25" s="1"/>
  <c r="AA23"/>
  <c r="Z23"/>
  <c r="W23"/>
  <c r="Q25"/>
  <c r="AA8"/>
  <c r="Z8"/>
  <c r="W8"/>
  <c r="Q8"/>
  <c r="H8"/>
  <c r="I7"/>
  <c r="I25"/>
  <c r="I24"/>
  <c r="I23"/>
  <c r="I22"/>
  <c r="I20"/>
  <c r="I19"/>
  <c r="I17"/>
  <c r="I15"/>
  <c r="I14"/>
  <c r="I13"/>
  <c r="I12"/>
  <c r="I11"/>
  <c r="I10"/>
  <c r="I9"/>
  <c r="M487" i="2"/>
  <c r="N487"/>
  <c r="I487"/>
  <c r="H487"/>
  <c r="G487"/>
  <c r="F487"/>
  <c r="O487" l="1"/>
  <c r="P487" s="1"/>
  <c r="V487"/>
  <c r="W487" s="1"/>
  <c r="H22" i="1"/>
  <c r="H25"/>
  <c r="O8"/>
  <c r="P8"/>
  <c r="H4"/>
  <c r="AA24"/>
  <c r="Z24"/>
  <c r="W24"/>
  <c r="Q24"/>
  <c r="N22" l="1"/>
  <c r="M25"/>
  <c r="P22"/>
  <c r="O22"/>
  <c r="M22"/>
  <c r="P25"/>
  <c r="O25"/>
  <c r="N25"/>
  <c r="H24"/>
  <c r="Q21"/>
  <c r="X24"/>
  <c r="H21" l="1"/>
  <c r="P24"/>
  <c r="O24"/>
  <c r="M24"/>
  <c r="N24"/>
  <c r="M486" i="2"/>
  <c r="N486"/>
  <c r="F486"/>
  <c r="G486"/>
  <c r="H486"/>
  <c r="I486"/>
  <c r="AA19" i="1"/>
  <c r="AA20"/>
  <c r="Z20"/>
  <c r="W20"/>
  <c r="M484" i="2"/>
  <c r="M485"/>
  <c r="N485"/>
  <c r="N484"/>
  <c r="I484"/>
  <c r="I485"/>
  <c r="H484"/>
  <c r="H485"/>
  <c r="G484"/>
  <c r="G485"/>
  <c r="F484"/>
  <c r="F485"/>
  <c r="O486" l="1"/>
  <c r="P486" s="1"/>
  <c r="V486"/>
  <c r="W486" s="1"/>
  <c r="O485"/>
  <c r="P485" s="1"/>
  <c r="V485"/>
  <c r="W485" s="1"/>
  <c r="O484"/>
  <c r="P484" s="1"/>
  <c r="V484"/>
  <c r="W484" s="1"/>
  <c r="P21" i="1"/>
  <c r="O21"/>
  <c r="N21"/>
  <c r="M21"/>
  <c r="Q23" l="1"/>
  <c r="N483" i="2" l="1"/>
  <c r="M483"/>
  <c r="I483"/>
  <c r="H483"/>
  <c r="G483"/>
  <c r="V483" s="1"/>
  <c r="W483" s="1"/>
  <c r="F483"/>
  <c r="N482"/>
  <c r="M482"/>
  <c r="I482"/>
  <c r="H482"/>
  <c r="N481"/>
  <c r="M481"/>
  <c r="E481"/>
  <c r="G482" s="1"/>
  <c r="V482" s="1"/>
  <c r="W482" s="1"/>
  <c r="O482" l="1"/>
  <c r="P482" s="1"/>
  <c r="O483"/>
  <c r="P483" s="1"/>
  <c r="F481"/>
  <c r="H481"/>
  <c r="F482"/>
  <c r="G481"/>
  <c r="I481"/>
  <c r="O481" l="1"/>
  <c r="P481" s="1"/>
  <c r="V481"/>
  <c r="W481" s="1"/>
  <c r="Q20" i="1"/>
  <c r="Z19"/>
  <c r="W19"/>
  <c r="X19" s="1"/>
  <c r="Q19"/>
  <c r="H23" l="1"/>
  <c r="H18"/>
  <c r="F480" i="2"/>
  <c r="G480"/>
  <c r="V480" s="1"/>
  <c r="W480" s="1"/>
  <c r="H480"/>
  <c r="I480"/>
  <c r="M480"/>
  <c r="N480"/>
  <c r="P23" i="1" l="1"/>
  <c r="O23"/>
  <c r="N23"/>
  <c r="M23"/>
  <c r="P18"/>
  <c r="O18"/>
  <c r="N18"/>
  <c r="M18"/>
  <c r="O480" i="2"/>
  <c r="P480" s="1"/>
  <c r="F479"/>
  <c r="G479"/>
  <c r="V479" s="1"/>
  <c r="W479" s="1"/>
  <c r="H479"/>
  <c r="I479"/>
  <c r="M479"/>
  <c r="N479"/>
  <c r="E471"/>
  <c r="G472" s="1"/>
  <c r="E470"/>
  <c r="I470" s="1"/>
  <c r="E469"/>
  <c r="I469" s="1"/>
  <c r="E468"/>
  <c r="I468" s="1"/>
  <c r="E467"/>
  <c r="H467" s="1"/>
  <c r="E466"/>
  <c r="I466" s="1"/>
  <c r="E465"/>
  <c r="H465" s="1"/>
  <c r="F462"/>
  <c r="H462"/>
  <c r="I462"/>
  <c r="I456"/>
  <c r="H456"/>
  <c r="G457"/>
  <c r="F457"/>
  <c r="G456"/>
  <c r="F456"/>
  <c r="I445"/>
  <c r="I446"/>
  <c r="I447"/>
  <c r="I448"/>
  <c r="F449"/>
  <c r="H445"/>
  <c r="H446"/>
  <c r="H447"/>
  <c r="H448"/>
  <c r="G449"/>
  <c r="G445"/>
  <c r="G446"/>
  <c r="G447"/>
  <c r="G448"/>
  <c r="F445"/>
  <c r="F446"/>
  <c r="F447"/>
  <c r="F448"/>
  <c r="M472"/>
  <c r="M465"/>
  <c r="M466"/>
  <c r="M467"/>
  <c r="M468"/>
  <c r="M469"/>
  <c r="M470"/>
  <c r="M471"/>
  <c r="N471"/>
  <c r="N470"/>
  <c r="N469"/>
  <c r="N468"/>
  <c r="N467"/>
  <c r="N466"/>
  <c r="N465"/>
  <c r="M463"/>
  <c r="M462"/>
  <c r="N462"/>
  <c r="M457"/>
  <c r="M456"/>
  <c r="N456"/>
  <c r="M445"/>
  <c r="M446"/>
  <c r="M447"/>
  <c r="M448"/>
  <c r="M449"/>
  <c r="N448"/>
  <c r="N447"/>
  <c r="N446"/>
  <c r="N445"/>
  <c r="Q18" i="1"/>
  <c r="Q17"/>
  <c r="Q16"/>
  <c r="Q15"/>
  <c r="Q14"/>
  <c r="Q13"/>
  <c r="Q12"/>
  <c r="Q11"/>
  <c r="Q10"/>
  <c r="Q9"/>
  <c r="Q7"/>
  <c r="Q6"/>
  <c r="Q5"/>
  <c r="K27"/>
  <c r="M478" i="2"/>
  <c r="N478"/>
  <c r="F478"/>
  <c r="G478"/>
  <c r="V478" s="1"/>
  <c r="W478" s="1"/>
  <c r="H478"/>
  <c r="I478"/>
  <c r="M477"/>
  <c r="N477"/>
  <c r="I477"/>
  <c r="H477"/>
  <c r="G477"/>
  <c r="F477"/>
  <c r="I5" i="1"/>
  <c r="M476" i="2"/>
  <c r="N476"/>
  <c r="I476"/>
  <c r="H476"/>
  <c r="G476"/>
  <c r="F476"/>
  <c r="M475"/>
  <c r="N475"/>
  <c r="I475"/>
  <c r="H475"/>
  <c r="G475"/>
  <c r="O475" s="1"/>
  <c r="P475" s="1"/>
  <c r="G474"/>
  <c r="F475"/>
  <c r="F474"/>
  <c r="M474"/>
  <c r="N474"/>
  <c r="I474"/>
  <c r="H474"/>
  <c r="H473"/>
  <c r="I473"/>
  <c r="G473"/>
  <c r="F473"/>
  <c r="M473"/>
  <c r="N473"/>
  <c r="N472"/>
  <c r="I472"/>
  <c r="H472"/>
  <c r="M464"/>
  <c r="N464"/>
  <c r="E464"/>
  <c r="I464" s="1"/>
  <c r="N463"/>
  <c r="E463"/>
  <c r="F463" s="1"/>
  <c r="E461"/>
  <c r="G462" s="1"/>
  <c r="M461"/>
  <c r="N461"/>
  <c r="M460"/>
  <c r="N460"/>
  <c r="E460"/>
  <c r="H460" s="1"/>
  <c r="AA9" i="1"/>
  <c r="AA10"/>
  <c r="AA11"/>
  <c r="AA12"/>
  <c r="AA13"/>
  <c r="AA14"/>
  <c r="AA15"/>
  <c r="AA16"/>
  <c r="AA17"/>
  <c r="AA18"/>
  <c r="AA21"/>
  <c r="AA22"/>
  <c r="AA7"/>
  <c r="Z9"/>
  <c r="Z10"/>
  <c r="Z11"/>
  <c r="Z12"/>
  <c r="Z13"/>
  <c r="Z14"/>
  <c r="Z15"/>
  <c r="Z16"/>
  <c r="Z17"/>
  <c r="Z18"/>
  <c r="Z21"/>
  <c r="Z22"/>
  <c r="Z7"/>
  <c r="W15"/>
  <c r="X15" s="1"/>
  <c r="W16"/>
  <c r="W17"/>
  <c r="X17" s="1"/>
  <c r="W18"/>
  <c r="X18" s="1"/>
  <c r="X20"/>
  <c r="W21"/>
  <c r="X21" s="1"/>
  <c r="W22"/>
  <c r="X22" s="1"/>
  <c r="X23"/>
  <c r="W14"/>
  <c r="X14" s="1"/>
  <c r="W13"/>
  <c r="X13" s="1"/>
  <c r="W12"/>
  <c r="X12" s="1"/>
  <c r="W11"/>
  <c r="X11" s="1"/>
  <c r="W10"/>
  <c r="X10" s="1"/>
  <c r="W9"/>
  <c r="X9" s="1"/>
  <c r="X8"/>
  <c r="W7"/>
  <c r="X7" s="1"/>
  <c r="M459" i="2"/>
  <c r="N459"/>
  <c r="I457"/>
  <c r="I458"/>
  <c r="E459"/>
  <c r="G459" s="1"/>
  <c r="E16" i="6"/>
  <c r="E5" i="1"/>
  <c r="F459" i="2"/>
  <c r="H15" i="1"/>
  <c r="H16"/>
  <c r="H17"/>
  <c r="G458" i="2"/>
  <c r="F458"/>
  <c r="M458"/>
  <c r="N458"/>
  <c r="H458"/>
  <c r="H457"/>
  <c r="G455"/>
  <c r="H455"/>
  <c r="I455"/>
  <c r="N457"/>
  <c r="M455"/>
  <c r="N455"/>
  <c r="F455"/>
  <c r="M454"/>
  <c r="N454"/>
  <c r="G454"/>
  <c r="H454"/>
  <c r="I454"/>
  <c r="G453"/>
  <c r="F454"/>
  <c r="M453"/>
  <c r="N453"/>
  <c r="I453"/>
  <c r="H453"/>
  <c r="F453"/>
  <c r="M452"/>
  <c r="N452"/>
  <c r="F452"/>
  <c r="G452"/>
  <c r="H452"/>
  <c r="I452"/>
  <c r="N451"/>
  <c r="M451"/>
  <c r="I450"/>
  <c r="I451"/>
  <c r="H451"/>
  <c r="G451"/>
  <c r="O451" s="1"/>
  <c r="P451" s="1"/>
  <c r="F451"/>
  <c r="F450"/>
  <c r="N450"/>
  <c r="M450"/>
  <c r="H450"/>
  <c r="G450"/>
  <c r="N449"/>
  <c r="I449"/>
  <c r="H449"/>
  <c r="G89" i="9"/>
  <c r="G87"/>
  <c r="F444" i="2"/>
  <c r="G444"/>
  <c r="H444"/>
  <c r="I444"/>
  <c r="M444"/>
  <c r="N444"/>
  <c r="M435"/>
  <c r="M436"/>
  <c r="M437"/>
  <c r="M438"/>
  <c r="M439"/>
  <c r="M440"/>
  <c r="M441"/>
  <c r="M442"/>
  <c r="M443"/>
  <c r="N443"/>
  <c r="N442"/>
  <c r="N441"/>
  <c r="N440"/>
  <c r="N439"/>
  <c r="N438"/>
  <c r="N437"/>
  <c r="N436"/>
  <c r="N435"/>
  <c r="F435"/>
  <c r="G435"/>
  <c r="H435"/>
  <c r="I435"/>
  <c r="F436"/>
  <c r="G436"/>
  <c r="O436" s="1"/>
  <c r="P436" s="1"/>
  <c r="H436"/>
  <c r="I436"/>
  <c r="F437"/>
  <c r="G437"/>
  <c r="H437"/>
  <c r="I437"/>
  <c r="F438"/>
  <c r="G438"/>
  <c r="O438" s="1"/>
  <c r="P438" s="1"/>
  <c r="H438"/>
  <c r="I438"/>
  <c r="F439"/>
  <c r="G439"/>
  <c r="H439"/>
  <c r="I439"/>
  <c r="F440"/>
  <c r="G440"/>
  <c r="O440" s="1"/>
  <c r="P440" s="1"/>
  <c r="H440"/>
  <c r="I440"/>
  <c r="F441"/>
  <c r="G441"/>
  <c r="H441"/>
  <c r="I441"/>
  <c r="F442"/>
  <c r="G442"/>
  <c r="O442" s="1"/>
  <c r="P442" s="1"/>
  <c r="H442"/>
  <c r="I442"/>
  <c r="F443"/>
  <c r="G443"/>
  <c r="H443"/>
  <c r="I443"/>
  <c r="H5" i="6"/>
  <c r="H6"/>
  <c r="H7"/>
  <c r="H8"/>
  <c r="H9"/>
  <c r="H10"/>
  <c r="H11"/>
  <c r="H12"/>
  <c r="H13"/>
  <c r="H15"/>
  <c r="H16"/>
  <c r="H14"/>
  <c r="G85" i="9"/>
  <c r="F431" i="2"/>
  <c r="G431"/>
  <c r="H431"/>
  <c r="I431"/>
  <c r="F432"/>
  <c r="G432"/>
  <c r="H432"/>
  <c r="I432"/>
  <c r="F433"/>
  <c r="G433"/>
  <c r="H433"/>
  <c r="I433"/>
  <c r="F434"/>
  <c r="G434"/>
  <c r="H434"/>
  <c r="I434"/>
  <c r="G83" i="9"/>
  <c r="M431" i="2"/>
  <c r="M432"/>
  <c r="M433"/>
  <c r="M434"/>
  <c r="N434"/>
  <c r="N433"/>
  <c r="N432"/>
  <c r="N431"/>
  <c r="I6" i="1"/>
  <c r="G81" i="9"/>
  <c r="G79"/>
  <c r="F430" i="2"/>
  <c r="G430"/>
  <c r="H430"/>
  <c r="I430"/>
  <c r="M430"/>
  <c r="N430"/>
  <c r="F426"/>
  <c r="G426"/>
  <c r="H426"/>
  <c r="I426"/>
  <c r="F427"/>
  <c r="G427"/>
  <c r="H427"/>
  <c r="I427"/>
  <c r="F428"/>
  <c r="G428"/>
  <c r="H428"/>
  <c r="I428"/>
  <c r="F429"/>
  <c r="G429"/>
  <c r="H429"/>
  <c r="I429"/>
  <c r="M426"/>
  <c r="M427"/>
  <c r="M428"/>
  <c r="M429"/>
  <c r="N429"/>
  <c r="N428"/>
  <c r="N427"/>
  <c r="N426"/>
  <c r="F425"/>
  <c r="G425"/>
  <c r="H425"/>
  <c r="I425"/>
  <c r="M425"/>
  <c r="N425"/>
  <c r="M411"/>
  <c r="M412"/>
  <c r="M413"/>
  <c r="M414"/>
  <c r="M415"/>
  <c r="M416"/>
  <c r="M417"/>
  <c r="M418"/>
  <c r="M419"/>
  <c r="M420"/>
  <c r="M421"/>
  <c r="M422"/>
  <c r="M423"/>
  <c r="M424"/>
  <c r="F411"/>
  <c r="G411"/>
  <c r="H411"/>
  <c r="I411"/>
  <c r="F412"/>
  <c r="G412"/>
  <c r="H412"/>
  <c r="I412"/>
  <c r="F413"/>
  <c r="G413"/>
  <c r="H413"/>
  <c r="I413"/>
  <c r="F414"/>
  <c r="G414"/>
  <c r="O414" s="1"/>
  <c r="P414" s="1"/>
  <c r="H414"/>
  <c r="I414"/>
  <c r="F415"/>
  <c r="G415"/>
  <c r="H415"/>
  <c r="I415"/>
  <c r="F416"/>
  <c r="G416"/>
  <c r="H416"/>
  <c r="I416"/>
  <c r="F417"/>
  <c r="G417"/>
  <c r="H417"/>
  <c r="I417"/>
  <c r="F418"/>
  <c r="G418"/>
  <c r="H418"/>
  <c r="I418"/>
  <c r="F419"/>
  <c r="G419"/>
  <c r="H419"/>
  <c r="I419"/>
  <c r="F420"/>
  <c r="G420"/>
  <c r="H420"/>
  <c r="I420"/>
  <c r="F421"/>
  <c r="G421"/>
  <c r="H421"/>
  <c r="I421"/>
  <c r="F422"/>
  <c r="G422"/>
  <c r="O422" s="1"/>
  <c r="P422" s="1"/>
  <c r="H422"/>
  <c r="I422"/>
  <c r="F423"/>
  <c r="G423"/>
  <c r="H423"/>
  <c r="I423"/>
  <c r="F424"/>
  <c r="G424"/>
  <c r="H424"/>
  <c r="I424"/>
  <c r="N424"/>
  <c r="N423"/>
  <c r="N422"/>
  <c r="N421"/>
  <c r="N420"/>
  <c r="N419"/>
  <c r="N418"/>
  <c r="N417"/>
  <c r="N416"/>
  <c r="N415"/>
  <c r="N414"/>
  <c r="N413"/>
  <c r="N412"/>
  <c r="N411"/>
  <c r="M408"/>
  <c r="M409"/>
  <c r="M410"/>
  <c r="N410"/>
  <c r="N409"/>
  <c r="N408"/>
  <c r="F408"/>
  <c r="G408"/>
  <c r="H408"/>
  <c r="I408"/>
  <c r="F409"/>
  <c r="G409"/>
  <c r="H409"/>
  <c r="I409"/>
  <c r="F410"/>
  <c r="G410"/>
  <c r="H410"/>
  <c r="I410"/>
  <c r="AA5" i="1"/>
  <c r="Z5"/>
  <c r="X5"/>
  <c r="C5"/>
  <c r="M405" i="2"/>
  <c r="M406"/>
  <c r="M407"/>
  <c r="N407"/>
  <c r="N406"/>
  <c r="N405"/>
  <c r="F405"/>
  <c r="G405"/>
  <c r="H405"/>
  <c r="I405"/>
  <c r="F406"/>
  <c r="G406"/>
  <c r="H406"/>
  <c r="I406"/>
  <c r="F407"/>
  <c r="G407"/>
  <c r="H407"/>
  <c r="I407"/>
  <c r="M404"/>
  <c r="N404"/>
  <c r="F404"/>
  <c r="G404"/>
  <c r="H404"/>
  <c r="I404"/>
  <c r="M403"/>
  <c r="N403"/>
  <c r="F403"/>
  <c r="G403"/>
  <c r="H403"/>
  <c r="I403"/>
  <c r="F402"/>
  <c r="G402"/>
  <c r="H402"/>
  <c r="I402"/>
  <c r="M402"/>
  <c r="N402"/>
  <c r="F401"/>
  <c r="G401"/>
  <c r="H401"/>
  <c r="I401"/>
  <c r="M401"/>
  <c r="N401"/>
  <c r="G77" i="9"/>
  <c r="G75"/>
  <c r="F400" i="2"/>
  <c r="G400"/>
  <c r="H400"/>
  <c r="I400"/>
  <c r="M400"/>
  <c r="N400"/>
  <c r="F399"/>
  <c r="G399"/>
  <c r="H399"/>
  <c r="I399"/>
  <c r="M399"/>
  <c r="N399"/>
  <c r="M398"/>
  <c r="N398"/>
  <c r="F398"/>
  <c r="G398"/>
  <c r="H398"/>
  <c r="I398"/>
  <c r="M396"/>
  <c r="N396"/>
  <c r="M397"/>
  <c r="N397"/>
  <c r="F396"/>
  <c r="G396"/>
  <c r="H396"/>
  <c r="I396"/>
  <c r="F397"/>
  <c r="G397"/>
  <c r="H397"/>
  <c r="I397"/>
  <c r="G73" i="9"/>
  <c r="M395" i="2"/>
  <c r="N395"/>
  <c r="F395"/>
  <c r="G395"/>
  <c r="H395"/>
  <c r="I395"/>
  <c r="I394"/>
  <c r="H394"/>
  <c r="G394"/>
  <c r="F394"/>
  <c r="M394"/>
  <c r="N394"/>
  <c r="F393"/>
  <c r="G393"/>
  <c r="H393"/>
  <c r="I393"/>
  <c r="M393"/>
  <c r="N393"/>
  <c r="N392"/>
  <c r="M392"/>
  <c r="I392"/>
  <c r="H392"/>
  <c r="G392"/>
  <c r="F392"/>
  <c r="F4" i="1"/>
  <c r="I4" s="1"/>
  <c r="B5" i="2"/>
  <c r="B6" s="1"/>
  <c r="B7" s="1"/>
  <c r="B8" s="1"/>
  <c r="B9" s="1"/>
  <c r="B10" s="1"/>
  <c r="B243"/>
  <c r="B244" s="1"/>
  <c r="B246"/>
  <c r="B248"/>
  <c r="B249" s="1"/>
  <c r="B250" s="1"/>
  <c r="B252"/>
  <c r="B254"/>
  <c r="B257"/>
  <c r="B258" s="1"/>
  <c r="B259" s="1"/>
  <c r="B262"/>
  <c r="B263" s="1"/>
  <c r="B264" s="1"/>
  <c r="B265" s="1"/>
  <c r="B266" s="1"/>
  <c r="B267" s="1"/>
  <c r="B268" s="1"/>
  <c r="B269" s="1"/>
  <c r="B270" s="1"/>
  <c r="B271" s="1"/>
  <c r="B272" s="1"/>
  <c r="B273" s="1"/>
  <c r="B274" s="1"/>
  <c r="B275" s="1"/>
  <c r="B276" s="1"/>
  <c r="B277" s="1"/>
  <c r="B278" s="1"/>
  <c r="B279" s="1"/>
  <c r="B280" s="1"/>
  <c r="B281" s="1"/>
  <c r="B282" s="1"/>
  <c r="B283" s="1"/>
  <c r="B284" s="1"/>
  <c r="B285" s="1"/>
  <c r="B286" s="1"/>
  <c r="B287" s="1"/>
  <c r="B288" s="1"/>
  <c r="B289" s="1"/>
  <c r="B290" s="1"/>
  <c r="B291" s="1"/>
  <c r="B292" s="1"/>
  <c r="B293" s="1"/>
  <c r="B294" s="1"/>
  <c r="B295" s="1"/>
  <c r="B296" s="1"/>
  <c r="B297" s="1"/>
  <c r="B298" s="1"/>
  <c r="B299" s="1"/>
  <c r="B300" s="1"/>
  <c r="B301" s="1"/>
  <c r="B302" s="1"/>
  <c r="B303" s="1"/>
  <c r="B304" s="1"/>
  <c r="B305" s="1"/>
  <c r="B306" s="1"/>
  <c r="B307" s="1"/>
  <c r="B308" s="1"/>
  <c r="B309" s="1"/>
  <c r="B310" s="1"/>
  <c r="B311" s="1"/>
  <c r="B312" s="1"/>
  <c r="B313" s="1"/>
  <c r="B314" s="1"/>
  <c r="B315" s="1"/>
  <c r="B316" s="1"/>
  <c r="B317" s="1"/>
  <c r="B318" s="1"/>
  <c r="B319" s="1"/>
  <c r="B320" s="1"/>
  <c r="B321" s="1"/>
  <c r="B322" s="1"/>
  <c r="B323" s="1"/>
  <c r="B324" s="1"/>
  <c r="B325" s="1"/>
  <c r="B326" s="1"/>
  <c r="B327" s="1"/>
  <c r="B328" s="1"/>
  <c r="B329" s="1"/>
  <c r="B330" s="1"/>
  <c r="B331" s="1"/>
  <c r="B332" s="1"/>
  <c r="B333" s="1"/>
  <c r="B334" s="1"/>
  <c r="B335" s="1"/>
  <c r="B336" s="1"/>
  <c r="B337" s="1"/>
  <c r="B338" s="1"/>
  <c r="B339" s="1"/>
  <c r="B340" s="1"/>
  <c r="B341" s="1"/>
  <c r="B342" s="1"/>
  <c r="B343" s="1"/>
  <c r="B344" s="1"/>
  <c r="B345" s="1"/>
  <c r="B346" s="1"/>
  <c r="B347" s="1"/>
  <c r="B348" s="1"/>
  <c r="B349" s="1"/>
  <c r="B350" s="1"/>
  <c r="B351" s="1"/>
  <c r="B352" s="1"/>
  <c r="B353" s="1"/>
  <c r="B354" s="1"/>
  <c r="B355" s="1"/>
  <c r="B356" s="1"/>
  <c r="B357" s="1"/>
  <c r="B358" s="1"/>
  <c r="B359" s="1"/>
  <c r="B360" s="1"/>
  <c r="B361" s="1"/>
  <c r="B362" s="1"/>
  <c r="B363" s="1"/>
  <c r="B364" s="1"/>
  <c r="B365" s="1"/>
  <c r="B366" s="1"/>
  <c r="B367" s="1"/>
  <c r="B368" s="1"/>
  <c r="B369" s="1"/>
  <c r="B370" s="1"/>
  <c r="B371" s="1"/>
  <c r="B372" s="1"/>
  <c r="B373" s="1"/>
  <c r="B374" s="1"/>
  <c r="B375" s="1"/>
  <c r="B376" s="1"/>
  <c r="B377" s="1"/>
  <c r="B378" s="1"/>
  <c r="B379" s="1"/>
  <c r="B380" s="1"/>
  <c r="B381" s="1"/>
  <c r="B382" s="1"/>
  <c r="B383" s="1"/>
  <c r="B384" s="1"/>
  <c r="B385" s="1"/>
  <c r="B386" s="1"/>
  <c r="B387" s="1"/>
  <c r="B388" s="1"/>
  <c r="B389" s="1"/>
  <c r="B390" s="1"/>
  <c r="B391" s="1"/>
  <c r="B392" s="1"/>
  <c r="B393" s="1"/>
  <c r="B394" s="1"/>
  <c r="B395" s="1"/>
  <c r="B396" s="1"/>
  <c r="B397" s="1"/>
  <c r="B398" s="1"/>
  <c r="B399" s="1"/>
  <c r="B400" s="1"/>
  <c r="B401" s="1"/>
  <c r="B402" s="1"/>
  <c r="B403" s="1"/>
  <c r="B404" s="1"/>
  <c r="B405" s="1"/>
  <c r="B406" s="1"/>
  <c r="B407" s="1"/>
  <c r="B408" s="1"/>
  <c r="B409" s="1"/>
  <c r="B410" s="1"/>
  <c r="B411" s="1"/>
  <c r="B412" s="1"/>
  <c r="B413" s="1"/>
  <c r="B414" s="1"/>
  <c r="B415" s="1"/>
  <c r="B416" s="1"/>
  <c r="B417" s="1"/>
  <c r="B418" s="1"/>
  <c r="B419" s="1"/>
  <c r="B420" s="1"/>
  <c r="B421" s="1"/>
  <c r="B422" s="1"/>
  <c r="B423" s="1"/>
  <c r="B424" s="1"/>
  <c r="B425" s="1"/>
  <c r="B426" s="1"/>
  <c r="B427" s="1"/>
  <c r="B428" s="1"/>
  <c r="B429" s="1"/>
  <c r="B430" s="1"/>
  <c r="B431" s="1"/>
  <c r="B432" s="1"/>
  <c r="B433" s="1"/>
  <c r="B434" s="1"/>
  <c r="B435" s="1"/>
  <c r="B436" s="1"/>
  <c r="B437" s="1"/>
  <c r="B438" s="1"/>
  <c r="B439" s="1"/>
  <c r="B440" s="1"/>
  <c r="B441" s="1"/>
  <c r="B442" s="1"/>
  <c r="B443" s="1"/>
  <c r="B444" s="1"/>
  <c r="B445" s="1"/>
  <c r="B446" s="1"/>
  <c r="B447" s="1"/>
  <c r="B448" s="1"/>
  <c r="B449" s="1"/>
  <c r="B450" s="1"/>
  <c r="B451" s="1"/>
  <c r="B452" s="1"/>
  <c r="B453" s="1"/>
  <c r="B454" s="1"/>
  <c r="B455" s="1"/>
  <c r="B456" s="1"/>
  <c r="B457" s="1"/>
  <c r="B458" s="1"/>
  <c r="B459" s="1"/>
  <c r="B460" s="1"/>
  <c r="B461" s="1"/>
  <c r="B462" s="1"/>
  <c r="B463" s="1"/>
  <c r="B464" s="1"/>
  <c r="B465" s="1"/>
  <c r="B466" s="1"/>
  <c r="B467" s="1"/>
  <c r="B468" s="1"/>
  <c r="B469" s="1"/>
  <c r="B470" s="1"/>
  <c r="B471" s="1"/>
  <c r="B472" s="1"/>
  <c r="B473" s="1"/>
  <c r="B474" s="1"/>
  <c r="B475" s="1"/>
  <c r="B476" s="1"/>
  <c r="B477" s="1"/>
  <c r="B478" s="1"/>
  <c r="B479" s="1"/>
  <c r="B480" s="1"/>
  <c r="B481" s="1"/>
  <c r="B482" s="1"/>
  <c r="B483" s="1"/>
  <c r="B484" s="1"/>
  <c r="B485" s="1"/>
  <c r="B486" s="1"/>
  <c r="B487" s="1"/>
  <c r="B488" s="1"/>
  <c r="B489" s="1"/>
  <c r="B490" s="1"/>
  <c r="B491" s="1"/>
  <c r="B492" s="1"/>
  <c r="B493" s="1"/>
  <c r="B494" s="1"/>
  <c r="B495" s="1"/>
  <c r="B496" s="1"/>
  <c r="B497" s="1"/>
  <c r="B498" s="1"/>
  <c r="B499" s="1"/>
  <c r="B500" s="1"/>
  <c r="B501" s="1"/>
  <c r="B502" s="1"/>
  <c r="B503" s="1"/>
  <c r="B504" s="1"/>
  <c r="B505" s="1"/>
  <c r="B506" s="1"/>
  <c r="B507" s="1"/>
  <c r="B508" s="1"/>
  <c r="B509" s="1"/>
  <c r="B510" s="1"/>
  <c r="B511" s="1"/>
  <c r="B512" s="1"/>
  <c r="B513" s="1"/>
  <c r="B514" s="1"/>
  <c r="B515" s="1"/>
  <c r="B516" s="1"/>
  <c r="B517" s="1"/>
  <c r="B518" s="1"/>
  <c r="B519" s="1"/>
  <c r="B520" s="1"/>
  <c r="B521" s="1"/>
  <c r="B522" s="1"/>
  <c r="B523" s="1"/>
  <c r="B524" s="1"/>
  <c r="B525" s="1"/>
  <c r="B526" s="1"/>
  <c r="B527" s="1"/>
  <c r="B528" s="1"/>
  <c r="B529" s="1"/>
  <c r="B530" s="1"/>
  <c r="D386"/>
  <c r="D387" s="1"/>
  <c r="D388" s="1"/>
  <c r="M391"/>
  <c r="G391"/>
  <c r="F391"/>
  <c r="H391"/>
  <c r="I391"/>
  <c r="N391"/>
  <c r="M390"/>
  <c r="G390"/>
  <c r="F390"/>
  <c r="H390"/>
  <c r="I390"/>
  <c r="N390"/>
  <c r="M389"/>
  <c r="E386"/>
  <c r="G386" s="1"/>
  <c r="H389"/>
  <c r="I389"/>
  <c r="N389"/>
  <c r="M388"/>
  <c r="N388"/>
  <c r="M387"/>
  <c r="N387"/>
  <c r="M386"/>
  <c r="N386"/>
  <c r="M384"/>
  <c r="G384"/>
  <c r="F384"/>
  <c r="H384"/>
  <c r="I384"/>
  <c r="F385"/>
  <c r="G385"/>
  <c r="H385"/>
  <c r="I385"/>
  <c r="M385"/>
  <c r="N385"/>
  <c r="N384"/>
  <c r="M383"/>
  <c r="G383"/>
  <c r="F383"/>
  <c r="H383"/>
  <c r="I383"/>
  <c r="N383"/>
  <c r="E13" i="6"/>
  <c r="M382" i="2"/>
  <c r="G382"/>
  <c r="N382"/>
  <c r="F382"/>
  <c r="H382"/>
  <c r="I382"/>
  <c r="G71" i="9"/>
  <c r="I8" i="1"/>
  <c r="E3" i="2"/>
  <c r="E4"/>
  <c r="F4"/>
  <c r="G4"/>
  <c r="H4"/>
  <c r="I4"/>
  <c r="M4"/>
  <c r="N4"/>
  <c r="T4"/>
  <c r="U4"/>
  <c r="AA4"/>
  <c r="AB4"/>
  <c r="E5"/>
  <c r="F5"/>
  <c r="G5"/>
  <c r="H5"/>
  <c r="I5"/>
  <c r="M5"/>
  <c r="N5"/>
  <c r="T5"/>
  <c r="U5"/>
  <c r="AA5"/>
  <c r="AB5"/>
  <c r="E6"/>
  <c r="F6"/>
  <c r="G6"/>
  <c r="H6"/>
  <c r="I6"/>
  <c r="M6"/>
  <c r="N6"/>
  <c r="T6"/>
  <c r="U6"/>
  <c r="AA6"/>
  <c r="AB6"/>
  <c r="E7"/>
  <c r="F7"/>
  <c r="G7"/>
  <c r="H7"/>
  <c r="I7"/>
  <c r="M7"/>
  <c r="N7"/>
  <c r="T7"/>
  <c r="U7"/>
  <c r="AA7"/>
  <c r="AB7"/>
  <c r="E8"/>
  <c r="F8"/>
  <c r="G8"/>
  <c r="H8"/>
  <c r="I8"/>
  <c r="M8"/>
  <c r="N8"/>
  <c r="T8"/>
  <c r="U8"/>
  <c r="AA8"/>
  <c r="AB8"/>
  <c r="E9"/>
  <c r="F9"/>
  <c r="G9"/>
  <c r="H9"/>
  <c r="I9"/>
  <c r="L9"/>
  <c r="M9" s="1"/>
  <c r="S9"/>
  <c r="T9" s="1"/>
  <c r="V9" s="1"/>
  <c r="W9" s="1"/>
  <c r="Z9"/>
  <c r="AA10" s="1"/>
  <c r="E10"/>
  <c r="F10"/>
  <c r="G10"/>
  <c r="H10"/>
  <c r="I10"/>
  <c r="N10"/>
  <c r="U10"/>
  <c r="AB10"/>
  <c r="E11"/>
  <c r="F11"/>
  <c r="G11"/>
  <c r="H11"/>
  <c r="I11"/>
  <c r="M11"/>
  <c r="N11"/>
  <c r="T11"/>
  <c r="U11"/>
  <c r="AA11"/>
  <c r="AB11"/>
  <c r="E12"/>
  <c r="F12"/>
  <c r="G12"/>
  <c r="H12"/>
  <c r="I12"/>
  <c r="M12"/>
  <c r="N12"/>
  <c r="T12"/>
  <c r="U12"/>
  <c r="AA12"/>
  <c r="AB12"/>
  <c r="E13"/>
  <c r="F13"/>
  <c r="G13"/>
  <c r="H13"/>
  <c r="I13"/>
  <c r="M13"/>
  <c r="N13"/>
  <c r="T13"/>
  <c r="U13"/>
  <c r="AA13"/>
  <c r="AB13"/>
  <c r="E14"/>
  <c r="F14"/>
  <c r="G14"/>
  <c r="H14"/>
  <c r="I14"/>
  <c r="M14"/>
  <c r="N14"/>
  <c r="T14"/>
  <c r="U14"/>
  <c r="AA14"/>
  <c r="AB14"/>
  <c r="E15"/>
  <c r="F15"/>
  <c r="G15"/>
  <c r="H15"/>
  <c r="I15"/>
  <c r="M15"/>
  <c r="N15"/>
  <c r="T15"/>
  <c r="U15"/>
  <c r="AA15"/>
  <c r="AB15"/>
  <c r="E16"/>
  <c r="F16"/>
  <c r="G16"/>
  <c r="H16"/>
  <c r="I16"/>
  <c r="M16"/>
  <c r="N16"/>
  <c r="T16"/>
  <c r="U16"/>
  <c r="AA16"/>
  <c r="AB16"/>
  <c r="E17"/>
  <c r="F17"/>
  <c r="G17"/>
  <c r="H17"/>
  <c r="I17"/>
  <c r="M17"/>
  <c r="N17"/>
  <c r="T17"/>
  <c r="U17"/>
  <c r="AA17"/>
  <c r="AB17"/>
  <c r="E18"/>
  <c r="F18"/>
  <c r="G18"/>
  <c r="H18"/>
  <c r="I18"/>
  <c r="M18"/>
  <c r="N18"/>
  <c r="T18"/>
  <c r="U18"/>
  <c r="AA18"/>
  <c r="AB18"/>
  <c r="E19"/>
  <c r="F19"/>
  <c r="G19"/>
  <c r="H19"/>
  <c r="I19"/>
  <c r="M19"/>
  <c r="N19"/>
  <c r="T19"/>
  <c r="U19"/>
  <c r="AA19"/>
  <c r="AB19"/>
  <c r="E20"/>
  <c r="F20"/>
  <c r="G20"/>
  <c r="H20"/>
  <c r="I20"/>
  <c r="M20"/>
  <c r="N20"/>
  <c r="T20"/>
  <c r="U20"/>
  <c r="AA20"/>
  <c r="AB20"/>
  <c r="E21"/>
  <c r="F21"/>
  <c r="G21"/>
  <c r="H21"/>
  <c r="I21"/>
  <c r="M21"/>
  <c r="N21"/>
  <c r="T21"/>
  <c r="U21"/>
  <c r="AA21"/>
  <c r="AB21"/>
  <c r="E22"/>
  <c r="F22"/>
  <c r="G22"/>
  <c r="H22"/>
  <c r="I22"/>
  <c r="M22"/>
  <c r="N22"/>
  <c r="T22"/>
  <c r="U22"/>
  <c r="AA22"/>
  <c r="AB22"/>
  <c r="E23"/>
  <c r="F23"/>
  <c r="G23"/>
  <c r="H23"/>
  <c r="I23"/>
  <c r="M23"/>
  <c r="N23"/>
  <c r="T23"/>
  <c r="U23"/>
  <c r="AA23"/>
  <c r="AB23"/>
  <c r="E24"/>
  <c r="F24"/>
  <c r="G24"/>
  <c r="H24"/>
  <c r="I24"/>
  <c r="M24"/>
  <c r="N24"/>
  <c r="T24"/>
  <c r="U24"/>
  <c r="AA24"/>
  <c r="AB24"/>
  <c r="E25"/>
  <c r="F25"/>
  <c r="G25"/>
  <c r="H25"/>
  <c r="I25"/>
  <c r="M25"/>
  <c r="N25"/>
  <c r="T25"/>
  <c r="U25"/>
  <c r="AA25"/>
  <c r="AB25"/>
  <c r="E26"/>
  <c r="F26"/>
  <c r="G26"/>
  <c r="H26"/>
  <c r="I26"/>
  <c r="M26"/>
  <c r="N26"/>
  <c r="T26"/>
  <c r="U26"/>
  <c r="AA26"/>
  <c r="AB26"/>
  <c r="E27"/>
  <c r="F27"/>
  <c r="G27"/>
  <c r="H27"/>
  <c r="I27"/>
  <c r="M27"/>
  <c r="N27"/>
  <c r="T27"/>
  <c r="U27"/>
  <c r="AA27"/>
  <c r="AB27"/>
  <c r="E28"/>
  <c r="F28"/>
  <c r="G28"/>
  <c r="H28"/>
  <c r="I28"/>
  <c r="M28"/>
  <c r="N28"/>
  <c r="T28"/>
  <c r="U28"/>
  <c r="AA28"/>
  <c r="AB28"/>
  <c r="E29"/>
  <c r="F29"/>
  <c r="G29"/>
  <c r="H29"/>
  <c r="I29"/>
  <c r="M29"/>
  <c r="N29"/>
  <c r="T29"/>
  <c r="U29"/>
  <c r="AA29"/>
  <c r="AB29"/>
  <c r="E30"/>
  <c r="F30"/>
  <c r="G30"/>
  <c r="H30"/>
  <c r="I30"/>
  <c r="M30"/>
  <c r="N30"/>
  <c r="T30"/>
  <c r="U30"/>
  <c r="AA30"/>
  <c r="AB30"/>
  <c r="E31"/>
  <c r="F31"/>
  <c r="G31"/>
  <c r="H31"/>
  <c r="I31"/>
  <c r="M31"/>
  <c r="N31"/>
  <c r="T31"/>
  <c r="U31"/>
  <c r="AA31"/>
  <c r="AB31"/>
  <c r="E32"/>
  <c r="F32"/>
  <c r="G32"/>
  <c r="H32"/>
  <c r="I32"/>
  <c r="M32"/>
  <c r="N32"/>
  <c r="T32"/>
  <c r="U32"/>
  <c r="AA32"/>
  <c r="AB32"/>
  <c r="E33"/>
  <c r="F33"/>
  <c r="G33"/>
  <c r="H33"/>
  <c r="I33"/>
  <c r="M33"/>
  <c r="N33"/>
  <c r="T33"/>
  <c r="U33"/>
  <c r="AA33"/>
  <c r="AB33"/>
  <c r="E34"/>
  <c r="F34"/>
  <c r="G34"/>
  <c r="H34"/>
  <c r="I34"/>
  <c r="M34"/>
  <c r="N34"/>
  <c r="T34"/>
  <c r="U34"/>
  <c r="AA34"/>
  <c r="AB34"/>
  <c r="E35"/>
  <c r="F35"/>
  <c r="G35"/>
  <c r="H35"/>
  <c r="I35"/>
  <c r="M35"/>
  <c r="N35"/>
  <c r="T35"/>
  <c r="U35"/>
  <c r="AA35"/>
  <c r="AB35"/>
  <c r="E36"/>
  <c r="F36"/>
  <c r="G36"/>
  <c r="H36"/>
  <c r="I36"/>
  <c r="M36"/>
  <c r="N36"/>
  <c r="T36"/>
  <c r="U36"/>
  <c r="AA36"/>
  <c r="AB36"/>
  <c r="E37"/>
  <c r="F37"/>
  <c r="G37"/>
  <c r="H37"/>
  <c r="I37"/>
  <c r="M37"/>
  <c r="N37"/>
  <c r="T37"/>
  <c r="U37"/>
  <c r="AA37"/>
  <c r="AB37"/>
  <c r="E38"/>
  <c r="F38"/>
  <c r="G38"/>
  <c r="H38"/>
  <c r="I38"/>
  <c r="M38"/>
  <c r="N38"/>
  <c r="T38"/>
  <c r="U38"/>
  <c r="AA38"/>
  <c r="AB38"/>
  <c r="E39"/>
  <c r="F39"/>
  <c r="G39"/>
  <c r="H39"/>
  <c r="I39"/>
  <c r="M39"/>
  <c r="N39"/>
  <c r="R39"/>
  <c r="T39"/>
  <c r="U39"/>
  <c r="AA39"/>
  <c r="AB39"/>
  <c r="E40"/>
  <c r="F40"/>
  <c r="G40"/>
  <c r="H40"/>
  <c r="I40"/>
  <c r="M40"/>
  <c r="N40"/>
  <c r="R40"/>
  <c r="T40"/>
  <c r="V40" s="1"/>
  <c r="W40" s="1"/>
  <c r="U40"/>
  <c r="AA40"/>
  <c r="AB40"/>
  <c r="E41"/>
  <c r="M41"/>
  <c r="N41"/>
  <c r="R41"/>
  <c r="T41"/>
  <c r="U41"/>
  <c r="AA41"/>
  <c r="AB41"/>
  <c r="E42"/>
  <c r="M42"/>
  <c r="N42"/>
  <c r="R42"/>
  <c r="T42"/>
  <c r="U42"/>
  <c r="AA42"/>
  <c r="AB42"/>
  <c r="E43"/>
  <c r="M43"/>
  <c r="N43"/>
  <c r="R43"/>
  <c r="T43"/>
  <c r="U43"/>
  <c r="AA43"/>
  <c r="AB43"/>
  <c r="E44"/>
  <c r="M44"/>
  <c r="N44"/>
  <c r="R44"/>
  <c r="T44"/>
  <c r="U44"/>
  <c r="AA44"/>
  <c r="AB44"/>
  <c r="E45"/>
  <c r="M45"/>
  <c r="N45"/>
  <c r="R45"/>
  <c r="T45"/>
  <c r="U45"/>
  <c r="AA45"/>
  <c r="AB45"/>
  <c r="E46"/>
  <c r="M46"/>
  <c r="N46"/>
  <c r="R46"/>
  <c r="T46"/>
  <c r="U46"/>
  <c r="AA46"/>
  <c r="AB46"/>
  <c r="E47"/>
  <c r="M47"/>
  <c r="N47"/>
  <c r="R47"/>
  <c r="T47"/>
  <c r="U47"/>
  <c r="AA47"/>
  <c r="AB47"/>
  <c r="E48"/>
  <c r="M48"/>
  <c r="N48"/>
  <c r="R48"/>
  <c r="T48"/>
  <c r="U48"/>
  <c r="AA48"/>
  <c r="AB48"/>
  <c r="E49"/>
  <c r="M49"/>
  <c r="N49"/>
  <c r="R49"/>
  <c r="T49"/>
  <c r="U49"/>
  <c r="AA49"/>
  <c r="AB49"/>
  <c r="E50"/>
  <c r="M50"/>
  <c r="N50"/>
  <c r="R50"/>
  <c r="T50"/>
  <c r="U50"/>
  <c r="AA50"/>
  <c r="AB50"/>
  <c r="E51"/>
  <c r="M51"/>
  <c r="N51"/>
  <c r="R51"/>
  <c r="T51"/>
  <c r="U51"/>
  <c r="AA51"/>
  <c r="AB51"/>
  <c r="E52"/>
  <c r="M52"/>
  <c r="N52"/>
  <c r="R52"/>
  <c r="T52"/>
  <c r="U52"/>
  <c r="AA52"/>
  <c r="AB52"/>
  <c r="E53"/>
  <c r="M53"/>
  <c r="N53"/>
  <c r="R53"/>
  <c r="T53"/>
  <c r="U53"/>
  <c r="AA53"/>
  <c r="AB53"/>
  <c r="E54"/>
  <c r="M54"/>
  <c r="N54"/>
  <c r="R54"/>
  <c r="T54"/>
  <c r="U54"/>
  <c r="AA54"/>
  <c r="AB54"/>
  <c r="E55"/>
  <c r="M55"/>
  <c r="N55"/>
  <c r="R55"/>
  <c r="T55"/>
  <c r="U55"/>
  <c r="AA55"/>
  <c r="AB55"/>
  <c r="E56"/>
  <c r="M56"/>
  <c r="N56"/>
  <c r="R56"/>
  <c r="T56"/>
  <c r="U56"/>
  <c r="AA56"/>
  <c r="AB56"/>
  <c r="E57"/>
  <c r="M57"/>
  <c r="N57"/>
  <c r="R57"/>
  <c r="T57"/>
  <c r="U57"/>
  <c r="AA57"/>
  <c r="AB57"/>
  <c r="E58"/>
  <c r="M58"/>
  <c r="N58"/>
  <c r="R58"/>
  <c r="T58"/>
  <c r="U58"/>
  <c r="AA58"/>
  <c r="AB58"/>
  <c r="E59"/>
  <c r="M59"/>
  <c r="N59"/>
  <c r="R59"/>
  <c r="T59"/>
  <c r="U59"/>
  <c r="AA59"/>
  <c r="AB59"/>
  <c r="E60"/>
  <c r="M60"/>
  <c r="N60"/>
  <c r="R60"/>
  <c r="T60"/>
  <c r="U60"/>
  <c r="AA60"/>
  <c r="AB60"/>
  <c r="E61"/>
  <c r="M61"/>
  <c r="N61"/>
  <c r="R61"/>
  <c r="T61"/>
  <c r="U61"/>
  <c r="AA61"/>
  <c r="AB61"/>
  <c r="E62"/>
  <c r="M62"/>
  <c r="N62"/>
  <c r="R62"/>
  <c r="T62"/>
  <c r="U62"/>
  <c r="AA62"/>
  <c r="AB62"/>
  <c r="E63"/>
  <c r="M63"/>
  <c r="N63"/>
  <c r="R63"/>
  <c r="T63"/>
  <c r="U63"/>
  <c r="AA63"/>
  <c r="AB63"/>
  <c r="E64"/>
  <c r="M64"/>
  <c r="N64"/>
  <c r="R64"/>
  <c r="T64"/>
  <c r="U64"/>
  <c r="AA64"/>
  <c r="AB64"/>
  <c r="E65"/>
  <c r="M65"/>
  <c r="N65"/>
  <c r="R65"/>
  <c r="T65"/>
  <c r="U65"/>
  <c r="AA65"/>
  <c r="AB65"/>
  <c r="E66"/>
  <c r="M66"/>
  <c r="N66"/>
  <c r="R66"/>
  <c r="T66"/>
  <c r="U66"/>
  <c r="AA66"/>
  <c r="AB66"/>
  <c r="E67"/>
  <c r="M67"/>
  <c r="N67"/>
  <c r="R67"/>
  <c r="T67"/>
  <c r="U67"/>
  <c r="AA67"/>
  <c r="AB67"/>
  <c r="E68"/>
  <c r="M68"/>
  <c r="N68"/>
  <c r="R68"/>
  <c r="T68"/>
  <c r="U68"/>
  <c r="AA68"/>
  <c r="AB68"/>
  <c r="E69"/>
  <c r="M69"/>
  <c r="N69"/>
  <c r="R69"/>
  <c r="T69"/>
  <c r="U69"/>
  <c r="AA69"/>
  <c r="AB69"/>
  <c r="E70"/>
  <c r="M70"/>
  <c r="N70"/>
  <c r="R70"/>
  <c r="T70"/>
  <c r="U70"/>
  <c r="AA70"/>
  <c r="AB70"/>
  <c r="E71"/>
  <c r="M71"/>
  <c r="N71"/>
  <c r="R71"/>
  <c r="T71"/>
  <c r="U71"/>
  <c r="AA71"/>
  <c r="AB71"/>
  <c r="E72"/>
  <c r="M72"/>
  <c r="N72"/>
  <c r="R72"/>
  <c r="T72"/>
  <c r="U72"/>
  <c r="AA72"/>
  <c r="AB72"/>
  <c r="E73"/>
  <c r="M73"/>
  <c r="N73"/>
  <c r="R73"/>
  <c r="T73"/>
  <c r="U73"/>
  <c r="AA73"/>
  <c r="AB73"/>
  <c r="E74"/>
  <c r="M74"/>
  <c r="N74"/>
  <c r="R74"/>
  <c r="T74"/>
  <c r="U74"/>
  <c r="AA74"/>
  <c r="AB74"/>
  <c r="E75"/>
  <c r="M75"/>
  <c r="N75"/>
  <c r="R75"/>
  <c r="T75"/>
  <c r="U75"/>
  <c r="AA75"/>
  <c r="AB75"/>
  <c r="E76"/>
  <c r="M76"/>
  <c r="N76"/>
  <c r="R76"/>
  <c r="T76"/>
  <c r="U76"/>
  <c r="AA76"/>
  <c r="AB76"/>
  <c r="E77"/>
  <c r="M77"/>
  <c r="N77"/>
  <c r="R77"/>
  <c r="T77"/>
  <c r="U77"/>
  <c r="AA77"/>
  <c r="AB77"/>
  <c r="E78"/>
  <c r="M78"/>
  <c r="N78"/>
  <c r="R78"/>
  <c r="T78"/>
  <c r="U78"/>
  <c r="AA78"/>
  <c r="AB78"/>
  <c r="E79"/>
  <c r="M79"/>
  <c r="N79"/>
  <c r="R79"/>
  <c r="T79"/>
  <c r="U79"/>
  <c r="AA79"/>
  <c r="AB79"/>
  <c r="E80"/>
  <c r="M80"/>
  <c r="N80"/>
  <c r="R80"/>
  <c r="T80"/>
  <c r="U80"/>
  <c r="AA80"/>
  <c r="AB80"/>
  <c r="E81"/>
  <c r="M81"/>
  <c r="N81"/>
  <c r="R81"/>
  <c r="T81"/>
  <c r="U81"/>
  <c r="AA81"/>
  <c r="AB81"/>
  <c r="E82"/>
  <c r="M82"/>
  <c r="N82"/>
  <c r="R82"/>
  <c r="T82"/>
  <c r="U82"/>
  <c r="AA82"/>
  <c r="AB82"/>
  <c r="E83"/>
  <c r="M83"/>
  <c r="N83"/>
  <c r="R83"/>
  <c r="T83"/>
  <c r="U83"/>
  <c r="AA83"/>
  <c r="AB83"/>
  <c r="E84"/>
  <c r="M84"/>
  <c r="N84"/>
  <c r="R84"/>
  <c r="T84"/>
  <c r="U84"/>
  <c r="AA84"/>
  <c r="AB84"/>
  <c r="E85"/>
  <c r="M85"/>
  <c r="N85"/>
  <c r="R85"/>
  <c r="T85"/>
  <c r="U85"/>
  <c r="AA85"/>
  <c r="AB85"/>
  <c r="E86"/>
  <c r="M86"/>
  <c r="N86"/>
  <c r="R86"/>
  <c r="T86"/>
  <c r="U86"/>
  <c r="AA86"/>
  <c r="AB86"/>
  <c r="E87"/>
  <c r="M87"/>
  <c r="N87"/>
  <c r="T87"/>
  <c r="U87"/>
  <c r="AA87"/>
  <c r="AB87"/>
  <c r="E88"/>
  <c r="M88"/>
  <c r="N88"/>
  <c r="T88"/>
  <c r="U88"/>
  <c r="AA88"/>
  <c r="AB88"/>
  <c r="E89"/>
  <c r="M89"/>
  <c r="N89"/>
  <c r="T89"/>
  <c r="U89"/>
  <c r="AA89"/>
  <c r="AB89"/>
  <c r="E90"/>
  <c r="M90"/>
  <c r="N90"/>
  <c r="T90"/>
  <c r="U90"/>
  <c r="AA90"/>
  <c r="AB90"/>
  <c r="E91"/>
  <c r="M91"/>
  <c r="N91"/>
  <c r="T91"/>
  <c r="U91"/>
  <c r="AA91"/>
  <c r="AB91"/>
  <c r="E92"/>
  <c r="M92"/>
  <c r="N92"/>
  <c r="T92"/>
  <c r="U92"/>
  <c r="AA92"/>
  <c r="AB92"/>
  <c r="E93"/>
  <c r="M93"/>
  <c r="N93"/>
  <c r="T93"/>
  <c r="U93"/>
  <c r="AA93"/>
  <c r="AB93"/>
  <c r="E94"/>
  <c r="M94"/>
  <c r="N94"/>
  <c r="T94"/>
  <c r="U94"/>
  <c r="AA94"/>
  <c r="AB94"/>
  <c r="E95"/>
  <c r="M95"/>
  <c r="N95"/>
  <c r="T95"/>
  <c r="U95"/>
  <c r="AA95"/>
  <c r="AB95"/>
  <c r="E96"/>
  <c r="M96"/>
  <c r="N96"/>
  <c r="T96"/>
  <c r="U96"/>
  <c r="AA96"/>
  <c r="AB96"/>
  <c r="E97"/>
  <c r="M97"/>
  <c r="N97"/>
  <c r="T97"/>
  <c r="U97"/>
  <c r="AA97"/>
  <c r="AB97"/>
  <c r="E98"/>
  <c r="M98"/>
  <c r="N98"/>
  <c r="T98"/>
  <c r="U98"/>
  <c r="AA98"/>
  <c r="AB98"/>
  <c r="E99"/>
  <c r="M99"/>
  <c r="N99"/>
  <c r="T99"/>
  <c r="U99"/>
  <c r="AA99"/>
  <c r="AB99"/>
  <c r="E100"/>
  <c r="M100"/>
  <c r="N100"/>
  <c r="T100"/>
  <c r="U100"/>
  <c r="AA100"/>
  <c r="AB100"/>
  <c r="E101"/>
  <c r="M101"/>
  <c r="N101"/>
  <c r="T101"/>
  <c r="U101"/>
  <c r="AA101"/>
  <c r="AB101"/>
  <c r="E102"/>
  <c r="M102"/>
  <c r="N102"/>
  <c r="T102"/>
  <c r="U102"/>
  <c r="AA102"/>
  <c r="AB102"/>
  <c r="E103"/>
  <c r="M103"/>
  <c r="N103"/>
  <c r="T103"/>
  <c r="U103"/>
  <c r="AA103"/>
  <c r="AB103"/>
  <c r="E104"/>
  <c r="M104"/>
  <c r="N104"/>
  <c r="T104"/>
  <c r="U104"/>
  <c r="AA104"/>
  <c r="AB104"/>
  <c r="E105"/>
  <c r="M105"/>
  <c r="N105"/>
  <c r="T105"/>
  <c r="U105"/>
  <c r="AA105"/>
  <c r="AB105"/>
  <c r="E106"/>
  <c r="M106"/>
  <c r="N106"/>
  <c r="T106"/>
  <c r="U106"/>
  <c r="AA106"/>
  <c r="AB106"/>
  <c r="E107"/>
  <c r="M107"/>
  <c r="N107"/>
  <c r="T107"/>
  <c r="U107"/>
  <c r="AA107"/>
  <c r="AB107"/>
  <c r="E108"/>
  <c r="M108"/>
  <c r="N108"/>
  <c r="T108"/>
  <c r="U108"/>
  <c r="AA108"/>
  <c r="AB108"/>
  <c r="E109"/>
  <c r="M109"/>
  <c r="N109"/>
  <c r="T109"/>
  <c r="U109"/>
  <c r="AA109"/>
  <c r="AB109"/>
  <c r="E110"/>
  <c r="M110"/>
  <c r="N110"/>
  <c r="T110"/>
  <c r="U110"/>
  <c r="AA110"/>
  <c r="AB110"/>
  <c r="E111"/>
  <c r="M111"/>
  <c r="N111"/>
  <c r="T111"/>
  <c r="U111"/>
  <c r="AA111"/>
  <c r="AB111"/>
  <c r="E112"/>
  <c r="M112"/>
  <c r="N112"/>
  <c r="T112"/>
  <c r="U112"/>
  <c r="AA112"/>
  <c r="AB112"/>
  <c r="E113"/>
  <c r="M113"/>
  <c r="N113"/>
  <c r="T113"/>
  <c r="U113"/>
  <c r="AA113"/>
  <c r="AB113"/>
  <c r="E114"/>
  <c r="M114"/>
  <c r="N114"/>
  <c r="T114"/>
  <c r="U114"/>
  <c r="AA114"/>
  <c r="AB114"/>
  <c r="E115"/>
  <c r="M115"/>
  <c r="N115"/>
  <c r="T115"/>
  <c r="U115"/>
  <c r="AA115"/>
  <c r="AB115"/>
  <c r="E116"/>
  <c r="M116"/>
  <c r="N116"/>
  <c r="T116"/>
  <c r="U116"/>
  <c r="AA116"/>
  <c r="AB116"/>
  <c r="E117"/>
  <c r="M117"/>
  <c r="N117"/>
  <c r="T117"/>
  <c r="U117"/>
  <c r="AA117"/>
  <c r="AB117"/>
  <c r="E118"/>
  <c r="M118"/>
  <c r="N118"/>
  <c r="T118"/>
  <c r="U118"/>
  <c r="AA118"/>
  <c r="AB118"/>
  <c r="E119"/>
  <c r="M119"/>
  <c r="N119"/>
  <c r="T119"/>
  <c r="U119"/>
  <c r="AA119"/>
  <c r="AB119"/>
  <c r="E120"/>
  <c r="M120"/>
  <c r="N120"/>
  <c r="T120"/>
  <c r="U120"/>
  <c r="AA120"/>
  <c r="AB120"/>
  <c r="E121"/>
  <c r="M121"/>
  <c r="N121"/>
  <c r="T121"/>
  <c r="U121"/>
  <c r="AA121"/>
  <c r="AB121"/>
  <c r="E122"/>
  <c r="M122"/>
  <c r="N122"/>
  <c r="T122"/>
  <c r="U122"/>
  <c r="AA122"/>
  <c r="AB122"/>
  <c r="E123"/>
  <c r="M123"/>
  <c r="N123"/>
  <c r="T123"/>
  <c r="U123"/>
  <c r="AA123"/>
  <c r="AB123"/>
  <c r="E124"/>
  <c r="M124"/>
  <c r="N124"/>
  <c r="T124"/>
  <c r="U124"/>
  <c r="AA124"/>
  <c r="AB124"/>
  <c r="E125"/>
  <c r="M125"/>
  <c r="N125"/>
  <c r="T125"/>
  <c r="U125"/>
  <c r="AA125"/>
  <c r="AB125"/>
  <c r="E126"/>
  <c r="M126"/>
  <c r="N126"/>
  <c r="T126"/>
  <c r="U126"/>
  <c r="AA126"/>
  <c r="AB126"/>
  <c r="E127"/>
  <c r="M127"/>
  <c r="N127"/>
  <c r="T127"/>
  <c r="U127"/>
  <c r="AA127"/>
  <c r="AB127"/>
  <c r="E128"/>
  <c r="M128"/>
  <c r="N128"/>
  <c r="T128"/>
  <c r="U128"/>
  <c r="AA128"/>
  <c r="AB128"/>
  <c r="E129"/>
  <c r="M129"/>
  <c r="N129"/>
  <c r="T129"/>
  <c r="U129"/>
  <c r="AA129"/>
  <c r="AB129"/>
  <c r="E130"/>
  <c r="M130"/>
  <c r="N130"/>
  <c r="T130"/>
  <c r="U130"/>
  <c r="AA130"/>
  <c r="AB130"/>
  <c r="E131"/>
  <c r="M131"/>
  <c r="N131"/>
  <c r="T131"/>
  <c r="U131"/>
  <c r="AA131"/>
  <c r="AB131"/>
  <c r="E132"/>
  <c r="M132"/>
  <c r="N132"/>
  <c r="T132"/>
  <c r="U132"/>
  <c r="AA132"/>
  <c r="AB132"/>
  <c r="E133"/>
  <c r="M133"/>
  <c r="N133"/>
  <c r="T133"/>
  <c r="U133"/>
  <c r="AA133"/>
  <c r="AB133"/>
  <c r="E134"/>
  <c r="M134"/>
  <c r="N134"/>
  <c r="T134"/>
  <c r="U134"/>
  <c r="AA134"/>
  <c r="AB134"/>
  <c r="E135"/>
  <c r="M135"/>
  <c r="N135"/>
  <c r="T135"/>
  <c r="U135"/>
  <c r="AA135"/>
  <c r="AB135"/>
  <c r="E136"/>
  <c r="M136"/>
  <c r="N136"/>
  <c r="T136"/>
  <c r="U136"/>
  <c r="AA136"/>
  <c r="AB136"/>
  <c r="E137"/>
  <c r="M137"/>
  <c r="N137"/>
  <c r="T137"/>
  <c r="U137"/>
  <c r="AA137"/>
  <c r="AB137"/>
  <c r="E138"/>
  <c r="M138"/>
  <c r="N138"/>
  <c r="T138"/>
  <c r="U138"/>
  <c r="AA138"/>
  <c r="AB138"/>
  <c r="E139"/>
  <c r="M139"/>
  <c r="N139"/>
  <c r="T139"/>
  <c r="U139"/>
  <c r="AA139"/>
  <c r="AB139"/>
  <c r="E140"/>
  <c r="M140"/>
  <c r="N140"/>
  <c r="T140"/>
  <c r="U140"/>
  <c r="AA140"/>
  <c r="AB140"/>
  <c r="E141"/>
  <c r="M141"/>
  <c r="N141"/>
  <c r="T141"/>
  <c r="U141"/>
  <c r="AA141"/>
  <c r="AB141"/>
  <c r="E142"/>
  <c r="M142"/>
  <c r="N142"/>
  <c r="T142"/>
  <c r="U142"/>
  <c r="AA142"/>
  <c r="AB142"/>
  <c r="E143"/>
  <c r="M143"/>
  <c r="N143"/>
  <c r="T143"/>
  <c r="U143"/>
  <c r="AA143"/>
  <c r="AB143"/>
  <c r="E144"/>
  <c r="M144"/>
  <c r="N144"/>
  <c r="T144"/>
  <c r="U144"/>
  <c r="AA144"/>
  <c r="AB144"/>
  <c r="E145"/>
  <c r="M145"/>
  <c r="N145"/>
  <c r="T145"/>
  <c r="U145"/>
  <c r="AA145"/>
  <c r="AB145"/>
  <c r="E146"/>
  <c r="M146"/>
  <c r="N146"/>
  <c r="T146"/>
  <c r="U146"/>
  <c r="AA146"/>
  <c r="AB146"/>
  <c r="E147"/>
  <c r="M147"/>
  <c r="N147"/>
  <c r="T147"/>
  <c r="U147"/>
  <c r="AA147"/>
  <c r="AB147"/>
  <c r="E148"/>
  <c r="M148"/>
  <c r="N148"/>
  <c r="T148"/>
  <c r="U148"/>
  <c r="AA148"/>
  <c r="AB148"/>
  <c r="E149"/>
  <c r="M149"/>
  <c r="N149"/>
  <c r="T149"/>
  <c r="U149"/>
  <c r="AA149"/>
  <c r="AB149"/>
  <c r="E150"/>
  <c r="M150"/>
  <c r="N150"/>
  <c r="T150"/>
  <c r="U150"/>
  <c r="AA150"/>
  <c r="AB150"/>
  <c r="E151"/>
  <c r="M151"/>
  <c r="N151"/>
  <c r="T151"/>
  <c r="U151"/>
  <c r="AA151"/>
  <c r="AB151"/>
  <c r="E152"/>
  <c r="M152"/>
  <c r="N152"/>
  <c r="T152"/>
  <c r="U152"/>
  <c r="AA152"/>
  <c r="AB152"/>
  <c r="E153"/>
  <c r="M153"/>
  <c r="N153"/>
  <c r="T153"/>
  <c r="U153"/>
  <c r="AA153"/>
  <c r="AB153"/>
  <c r="E154"/>
  <c r="M154"/>
  <c r="N154"/>
  <c r="T154"/>
  <c r="U154"/>
  <c r="AA154"/>
  <c r="AB154"/>
  <c r="E155"/>
  <c r="M155"/>
  <c r="N155"/>
  <c r="T155"/>
  <c r="U155"/>
  <c r="AA155"/>
  <c r="AB155"/>
  <c r="E156"/>
  <c r="M156"/>
  <c r="N156"/>
  <c r="T156"/>
  <c r="U156"/>
  <c r="AA156"/>
  <c r="AB156"/>
  <c r="E157"/>
  <c r="M157"/>
  <c r="N157"/>
  <c r="T157"/>
  <c r="U157"/>
  <c r="AA157"/>
  <c r="AB157"/>
  <c r="E158"/>
  <c r="M158"/>
  <c r="N158"/>
  <c r="T158"/>
  <c r="U158"/>
  <c r="AA158"/>
  <c r="AB158"/>
  <c r="E159"/>
  <c r="M159"/>
  <c r="N159"/>
  <c r="T159"/>
  <c r="U159"/>
  <c r="AA159"/>
  <c r="AB159"/>
  <c r="E160"/>
  <c r="M160"/>
  <c r="N160"/>
  <c r="T160"/>
  <c r="U160"/>
  <c r="AA160"/>
  <c r="AB160"/>
  <c r="E161"/>
  <c r="M161"/>
  <c r="N161"/>
  <c r="T161"/>
  <c r="U161"/>
  <c r="AA161"/>
  <c r="AB161"/>
  <c r="E162"/>
  <c r="M162"/>
  <c r="N162"/>
  <c r="T162"/>
  <c r="U162"/>
  <c r="AA162"/>
  <c r="AB162"/>
  <c r="E163"/>
  <c r="M163"/>
  <c r="N163"/>
  <c r="T163"/>
  <c r="U163"/>
  <c r="AA163"/>
  <c r="AB163"/>
  <c r="E164"/>
  <c r="M164"/>
  <c r="N164"/>
  <c r="T164"/>
  <c r="U164"/>
  <c r="AA164"/>
  <c r="AB164"/>
  <c r="E165"/>
  <c r="M165"/>
  <c r="N165"/>
  <c r="T165"/>
  <c r="U165"/>
  <c r="AA165"/>
  <c r="AB165"/>
  <c r="E166"/>
  <c r="M166"/>
  <c r="N166"/>
  <c r="T166"/>
  <c r="U166"/>
  <c r="AA166"/>
  <c r="AB166"/>
  <c r="E167"/>
  <c r="M167"/>
  <c r="N167"/>
  <c r="T167"/>
  <c r="U167"/>
  <c r="AA167"/>
  <c r="AB167"/>
  <c r="E168"/>
  <c r="M168"/>
  <c r="N168"/>
  <c r="T168"/>
  <c r="U168"/>
  <c r="AA168"/>
  <c r="AB168"/>
  <c r="E169"/>
  <c r="M169"/>
  <c r="N169"/>
  <c r="T169"/>
  <c r="U169"/>
  <c r="AA169"/>
  <c r="AB169"/>
  <c r="E170"/>
  <c r="M170"/>
  <c r="N170"/>
  <c r="T170"/>
  <c r="U170"/>
  <c r="AA170"/>
  <c r="AB170"/>
  <c r="E171"/>
  <c r="M171"/>
  <c r="N171"/>
  <c r="T171"/>
  <c r="U171"/>
  <c r="AA171"/>
  <c r="AB171"/>
  <c r="E172"/>
  <c r="M172"/>
  <c r="N172"/>
  <c r="T172"/>
  <c r="U172"/>
  <c r="AA172"/>
  <c r="AB172"/>
  <c r="E173"/>
  <c r="M173"/>
  <c r="N173"/>
  <c r="T173"/>
  <c r="U173"/>
  <c r="AA173"/>
  <c r="AB173"/>
  <c r="E174"/>
  <c r="M174"/>
  <c r="N174"/>
  <c r="T174"/>
  <c r="U174"/>
  <c r="AA174"/>
  <c r="AB174"/>
  <c r="E175"/>
  <c r="M175"/>
  <c r="N175"/>
  <c r="T175"/>
  <c r="U175"/>
  <c r="AA175"/>
  <c r="AB175"/>
  <c r="E176"/>
  <c r="M176"/>
  <c r="N176"/>
  <c r="T176"/>
  <c r="U176"/>
  <c r="AA176"/>
  <c r="AB176"/>
  <c r="E177"/>
  <c r="M177"/>
  <c r="N177"/>
  <c r="T177"/>
  <c r="U177"/>
  <c r="AA177"/>
  <c r="AB177"/>
  <c r="E178"/>
  <c r="M178"/>
  <c r="N178"/>
  <c r="T178"/>
  <c r="U178"/>
  <c r="AA178"/>
  <c r="AB178"/>
  <c r="D179"/>
  <c r="E179" s="1"/>
  <c r="M179"/>
  <c r="N179"/>
  <c r="T179"/>
  <c r="U179"/>
  <c r="AA179"/>
  <c r="AB179"/>
  <c r="E180"/>
  <c r="M180"/>
  <c r="N180"/>
  <c r="T180"/>
  <c r="U180"/>
  <c r="AA180"/>
  <c r="AB180"/>
  <c r="E181"/>
  <c r="M181"/>
  <c r="N181"/>
  <c r="T181"/>
  <c r="U181"/>
  <c r="AA181"/>
  <c r="AB181"/>
  <c r="E182"/>
  <c r="M182"/>
  <c r="N182"/>
  <c r="T182"/>
  <c r="U182"/>
  <c r="AA182"/>
  <c r="AB182"/>
  <c r="E183"/>
  <c r="M183"/>
  <c r="N183"/>
  <c r="T183"/>
  <c r="U183"/>
  <c r="AA183"/>
  <c r="AB183"/>
  <c r="E184"/>
  <c r="M184"/>
  <c r="N184"/>
  <c r="T184"/>
  <c r="U184"/>
  <c r="AA184"/>
  <c r="AB184"/>
  <c r="E185"/>
  <c r="M185"/>
  <c r="N185"/>
  <c r="T185"/>
  <c r="U185"/>
  <c r="AA185"/>
  <c r="AB185"/>
  <c r="E186"/>
  <c r="M186"/>
  <c r="N186"/>
  <c r="T186"/>
  <c r="U186"/>
  <c r="AA186"/>
  <c r="AB186"/>
  <c r="E187"/>
  <c r="M187"/>
  <c r="N187"/>
  <c r="T187"/>
  <c r="U187"/>
  <c r="AA187"/>
  <c r="AB187"/>
  <c r="E188"/>
  <c r="M188"/>
  <c r="N188"/>
  <c r="T188"/>
  <c r="U188"/>
  <c r="AA188"/>
  <c r="AB188"/>
  <c r="E189"/>
  <c r="M189"/>
  <c r="N189"/>
  <c r="T189"/>
  <c r="U189"/>
  <c r="AA189"/>
  <c r="AB189"/>
  <c r="C190"/>
  <c r="C191" s="1"/>
  <c r="E190"/>
  <c r="M190"/>
  <c r="N190"/>
  <c r="T190"/>
  <c r="U190"/>
  <c r="AA190"/>
  <c r="AB190"/>
  <c r="E191"/>
  <c r="M191"/>
  <c r="N191"/>
  <c r="T191"/>
  <c r="U191"/>
  <c r="AA191"/>
  <c r="AB191"/>
  <c r="E192"/>
  <c r="M192"/>
  <c r="N192"/>
  <c r="T192"/>
  <c r="U192"/>
  <c r="AA192"/>
  <c r="AB192"/>
  <c r="E193"/>
  <c r="M193"/>
  <c r="N193"/>
  <c r="T193"/>
  <c r="U193"/>
  <c r="AA193"/>
  <c r="AB193"/>
  <c r="E194"/>
  <c r="M194"/>
  <c r="N194"/>
  <c r="T194"/>
  <c r="U194"/>
  <c r="AA194"/>
  <c r="AB194"/>
  <c r="E195"/>
  <c r="M195"/>
  <c r="N195"/>
  <c r="T195"/>
  <c r="U195"/>
  <c r="AA195"/>
  <c r="AB195"/>
  <c r="E196"/>
  <c r="M196"/>
  <c r="N196"/>
  <c r="T196"/>
  <c r="U196"/>
  <c r="AA196"/>
  <c r="AB196"/>
  <c r="E197"/>
  <c r="M197"/>
  <c r="N197"/>
  <c r="T197"/>
  <c r="U197"/>
  <c r="AA197"/>
  <c r="AB197"/>
  <c r="E198"/>
  <c r="M198"/>
  <c r="N198"/>
  <c r="T198"/>
  <c r="U198"/>
  <c r="AA198"/>
  <c r="AB198"/>
  <c r="E199"/>
  <c r="M199"/>
  <c r="N199"/>
  <c r="T199"/>
  <c r="U199"/>
  <c r="AA199"/>
  <c r="AB199"/>
  <c r="E200"/>
  <c r="M200"/>
  <c r="N200"/>
  <c r="T200"/>
  <c r="U200"/>
  <c r="AA200"/>
  <c r="AB200"/>
  <c r="E201"/>
  <c r="M201"/>
  <c r="N201"/>
  <c r="T201"/>
  <c r="U201"/>
  <c r="AA201"/>
  <c r="AB201"/>
  <c r="A202"/>
  <c r="E202"/>
  <c r="M202"/>
  <c r="N202"/>
  <c r="T202"/>
  <c r="U202"/>
  <c r="AA202"/>
  <c r="AB202"/>
  <c r="E203"/>
  <c r="M203"/>
  <c r="N203"/>
  <c r="E204"/>
  <c r="M204"/>
  <c r="N204"/>
  <c r="E205"/>
  <c r="M205"/>
  <c r="N205"/>
  <c r="E206"/>
  <c r="M206"/>
  <c r="N206"/>
  <c r="E207"/>
  <c r="M207"/>
  <c r="N207"/>
  <c r="E208"/>
  <c r="M208"/>
  <c r="N208"/>
  <c r="E209"/>
  <c r="M209"/>
  <c r="N209"/>
  <c r="E210"/>
  <c r="M210"/>
  <c r="N210"/>
  <c r="E211"/>
  <c r="M211"/>
  <c r="N211"/>
  <c r="E212"/>
  <c r="M212"/>
  <c r="N212"/>
  <c r="E213"/>
  <c r="M213"/>
  <c r="N213"/>
  <c r="E214"/>
  <c r="M214"/>
  <c r="N214"/>
  <c r="A215"/>
  <c r="D215"/>
  <c r="E215" s="1"/>
  <c r="M215"/>
  <c r="N215"/>
  <c r="D216"/>
  <c r="E216" s="1"/>
  <c r="M216"/>
  <c r="N216"/>
  <c r="D217"/>
  <c r="E217" s="1"/>
  <c r="M217"/>
  <c r="N217"/>
  <c r="D218"/>
  <c r="E218" s="1"/>
  <c r="M218"/>
  <c r="N218"/>
  <c r="D219"/>
  <c r="E219" s="1"/>
  <c r="M219"/>
  <c r="N219"/>
  <c r="E220"/>
  <c r="M220"/>
  <c r="N220"/>
  <c r="E221"/>
  <c r="M221"/>
  <c r="N221"/>
  <c r="E222"/>
  <c r="M222"/>
  <c r="N222"/>
  <c r="E223"/>
  <c r="M223"/>
  <c r="N223"/>
  <c r="E224"/>
  <c r="M224"/>
  <c r="N224"/>
  <c r="E225"/>
  <c r="M225"/>
  <c r="N225"/>
  <c r="E226"/>
  <c r="M226"/>
  <c r="N226"/>
  <c r="E227"/>
  <c r="M227"/>
  <c r="N227"/>
  <c r="A228"/>
  <c r="E228"/>
  <c r="M228"/>
  <c r="N228"/>
  <c r="E229"/>
  <c r="M229"/>
  <c r="N229"/>
  <c r="E230"/>
  <c r="M230"/>
  <c r="N230"/>
  <c r="E231"/>
  <c r="M231"/>
  <c r="N231"/>
  <c r="E232"/>
  <c r="M232"/>
  <c r="N232"/>
  <c r="E233"/>
  <c r="M233"/>
  <c r="N233"/>
  <c r="E234"/>
  <c r="M234"/>
  <c r="N234"/>
  <c r="E235"/>
  <c r="M235"/>
  <c r="N235"/>
  <c r="D236"/>
  <c r="E236" s="1"/>
  <c r="E238"/>
  <c r="I238" s="1"/>
  <c r="M236"/>
  <c r="N236"/>
  <c r="D237"/>
  <c r="E237" s="1"/>
  <c r="M237"/>
  <c r="N237"/>
  <c r="M238"/>
  <c r="N238"/>
  <c r="E239"/>
  <c r="H239" s="1"/>
  <c r="M239"/>
  <c r="N239"/>
  <c r="D240"/>
  <c r="E240" s="1"/>
  <c r="M240"/>
  <c r="N240"/>
  <c r="A241"/>
  <c r="D241"/>
  <c r="E241" s="1"/>
  <c r="M241"/>
  <c r="N241"/>
  <c r="D242"/>
  <c r="E242"/>
  <c r="H242" s="1"/>
  <c r="M242"/>
  <c r="N242"/>
  <c r="D243"/>
  <c r="E243"/>
  <c r="I243" s="1"/>
  <c r="M243"/>
  <c r="N243"/>
  <c r="D244"/>
  <c r="E244"/>
  <c r="M244"/>
  <c r="N244"/>
  <c r="H245"/>
  <c r="I245"/>
  <c r="M245"/>
  <c r="N245"/>
  <c r="F246"/>
  <c r="G246"/>
  <c r="H246"/>
  <c r="I246"/>
  <c r="M246"/>
  <c r="N246"/>
  <c r="F247"/>
  <c r="G247"/>
  <c r="H247"/>
  <c r="I247"/>
  <c r="M247"/>
  <c r="N247"/>
  <c r="F248"/>
  <c r="G248"/>
  <c r="H248"/>
  <c r="I248"/>
  <c r="M248"/>
  <c r="N248"/>
  <c r="F249"/>
  <c r="G249"/>
  <c r="H249"/>
  <c r="I249"/>
  <c r="M249"/>
  <c r="N249"/>
  <c r="F250"/>
  <c r="G250"/>
  <c r="H250"/>
  <c r="I250"/>
  <c r="M250"/>
  <c r="N250"/>
  <c r="F251"/>
  <c r="G251"/>
  <c r="H251"/>
  <c r="I251"/>
  <c r="M251"/>
  <c r="N251"/>
  <c r="F252"/>
  <c r="G252"/>
  <c r="H252"/>
  <c r="I252"/>
  <c r="M252"/>
  <c r="N252"/>
  <c r="F253"/>
  <c r="G253"/>
  <c r="H253"/>
  <c r="I253"/>
  <c r="M253"/>
  <c r="N253"/>
  <c r="A254"/>
  <c r="F254"/>
  <c r="G254"/>
  <c r="H254"/>
  <c r="I254"/>
  <c r="M254"/>
  <c r="N254"/>
  <c r="F255"/>
  <c r="G255"/>
  <c r="H255"/>
  <c r="I255"/>
  <c r="M255"/>
  <c r="N255"/>
  <c r="F256"/>
  <c r="G256"/>
  <c r="H256"/>
  <c r="I256"/>
  <c r="M256"/>
  <c r="N256"/>
  <c r="F257"/>
  <c r="G257"/>
  <c r="H257"/>
  <c r="I257"/>
  <c r="M257"/>
  <c r="N257"/>
  <c r="F258"/>
  <c r="G258"/>
  <c r="H258"/>
  <c r="I258"/>
  <c r="M258"/>
  <c r="N258"/>
  <c r="F259"/>
  <c r="G259"/>
  <c r="H259"/>
  <c r="I259"/>
  <c r="M259"/>
  <c r="N259"/>
  <c r="F260"/>
  <c r="G260"/>
  <c r="H260"/>
  <c r="I260"/>
  <c r="M260"/>
  <c r="N260"/>
  <c r="F261"/>
  <c r="G261"/>
  <c r="H261"/>
  <c r="I261"/>
  <c r="M261"/>
  <c r="N261"/>
  <c r="F262"/>
  <c r="G262"/>
  <c r="H262"/>
  <c r="I262"/>
  <c r="M262"/>
  <c r="N262"/>
  <c r="F263"/>
  <c r="G263"/>
  <c r="H263"/>
  <c r="I263"/>
  <c r="M263"/>
  <c r="N263"/>
  <c r="F264"/>
  <c r="G264"/>
  <c r="H264"/>
  <c r="I264"/>
  <c r="M264"/>
  <c r="N264"/>
  <c r="F265"/>
  <c r="G265"/>
  <c r="H265"/>
  <c r="I265"/>
  <c r="M265"/>
  <c r="N265"/>
  <c r="F266"/>
  <c r="G266"/>
  <c r="H266"/>
  <c r="I266"/>
  <c r="M266"/>
  <c r="N266"/>
  <c r="A267"/>
  <c r="F267"/>
  <c r="G267"/>
  <c r="H267"/>
  <c r="I267"/>
  <c r="M267"/>
  <c r="N267"/>
  <c r="F268"/>
  <c r="G268"/>
  <c r="H268"/>
  <c r="I268"/>
  <c r="M268"/>
  <c r="N268"/>
  <c r="F269"/>
  <c r="G269"/>
  <c r="H269"/>
  <c r="I269"/>
  <c r="M269"/>
  <c r="N269"/>
  <c r="F270"/>
  <c r="G270"/>
  <c r="H270"/>
  <c r="I270"/>
  <c r="M270"/>
  <c r="N270"/>
  <c r="F271"/>
  <c r="G271"/>
  <c r="H271"/>
  <c r="I271"/>
  <c r="M271"/>
  <c r="N271"/>
  <c r="F272"/>
  <c r="G272"/>
  <c r="H272"/>
  <c r="I272"/>
  <c r="M272"/>
  <c r="N272"/>
  <c r="F273"/>
  <c r="G273"/>
  <c r="H273"/>
  <c r="I273"/>
  <c r="M273"/>
  <c r="N273"/>
  <c r="F274"/>
  <c r="G274"/>
  <c r="H274"/>
  <c r="I274"/>
  <c r="M274"/>
  <c r="N274"/>
  <c r="F275"/>
  <c r="G275"/>
  <c r="H275"/>
  <c r="I275"/>
  <c r="M275"/>
  <c r="N275"/>
  <c r="F276"/>
  <c r="G276"/>
  <c r="H276"/>
  <c r="I276"/>
  <c r="M276"/>
  <c r="N276"/>
  <c r="F277"/>
  <c r="G277"/>
  <c r="H277"/>
  <c r="I277"/>
  <c r="M277"/>
  <c r="N277"/>
  <c r="F278"/>
  <c r="G278"/>
  <c r="H278"/>
  <c r="I278"/>
  <c r="M278"/>
  <c r="N278"/>
  <c r="F279"/>
  <c r="G279"/>
  <c r="H279"/>
  <c r="I279"/>
  <c r="M279"/>
  <c r="N279"/>
  <c r="A280"/>
  <c r="F280"/>
  <c r="G280"/>
  <c r="H280"/>
  <c r="I280"/>
  <c r="M280"/>
  <c r="N280"/>
  <c r="F281"/>
  <c r="G281"/>
  <c r="H281"/>
  <c r="I281"/>
  <c r="M281"/>
  <c r="N281"/>
  <c r="F282"/>
  <c r="G282"/>
  <c r="H282"/>
  <c r="I282"/>
  <c r="M282"/>
  <c r="N282"/>
  <c r="F283"/>
  <c r="G283"/>
  <c r="H283"/>
  <c r="I283"/>
  <c r="M283"/>
  <c r="N283"/>
  <c r="F284"/>
  <c r="G284"/>
  <c r="H284"/>
  <c r="I284"/>
  <c r="M284"/>
  <c r="N284"/>
  <c r="F285"/>
  <c r="G285"/>
  <c r="H285"/>
  <c r="I285"/>
  <c r="M285"/>
  <c r="N285"/>
  <c r="F286"/>
  <c r="G286"/>
  <c r="H286"/>
  <c r="I286"/>
  <c r="M286"/>
  <c r="N286"/>
  <c r="F287"/>
  <c r="G287"/>
  <c r="H287"/>
  <c r="I287"/>
  <c r="M287"/>
  <c r="N287"/>
  <c r="F288"/>
  <c r="G288"/>
  <c r="H288"/>
  <c r="I288"/>
  <c r="M288"/>
  <c r="N288"/>
  <c r="F289"/>
  <c r="G289"/>
  <c r="H289"/>
  <c r="I289"/>
  <c r="M289"/>
  <c r="N289"/>
  <c r="F290"/>
  <c r="G290"/>
  <c r="H290"/>
  <c r="I290"/>
  <c r="M290"/>
  <c r="N290"/>
  <c r="F291"/>
  <c r="G291"/>
  <c r="H291"/>
  <c r="I291"/>
  <c r="M291"/>
  <c r="N291"/>
  <c r="F292"/>
  <c r="G292"/>
  <c r="H292"/>
  <c r="I292"/>
  <c r="M292"/>
  <c r="N292"/>
  <c r="A293"/>
  <c r="F293"/>
  <c r="G293"/>
  <c r="H293"/>
  <c r="I293"/>
  <c r="M293"/>
  <c r="N293"/>
  <c r="F294"/>
  <c r="G294"/>
  <c r="H294"/>
  <c r="I294"/>
  <c r="M294"/>
  <c r="N294"/>
  <c r="F295"/>
  <c r="G295"/>
  <c r="H295"/>
  <c r="I295"/>
  <c r="M295"/>
  <c r="N295"/>
  <c r="F296"/>
  <c r="G296"/>
  <c r="H296"/>
  <c r="I296"/>
  <c r="M296"/>
  <c r="N296"/>
  <c r="F297"/>
  <c r="G297"/>
  <c r="H297"/>
  <c r="I297"/>
  <c r="M297"/>
  <c r="N297"/>
  <c r="F298"/>
  <c r="G298"/>
  <c r="H298"/>
  <c r="I298"/>
  <c r="M298"/>
  <c r="N298"/>
  <c r="F299"/>
  <c r="G299"/>
  <c r="H299"/>
  <c r="I299"/>
  <c r="M299"/>
  <c r="N299"/>
  <c r="F300"/>
  <c r="G300"/>
  <c r="H300"/>
  <c r="I300"/>
  <c r="M300"/>
  <c r="N300"/>
  <c r="F301"/>
  <c r="G301"/>
  <c r="H301"/>
  <c r="I301"/>
  <c r="M301"/>
  <c r="N301"/>
  <c r="F302"/>
  <c r="G302"/>
  <c r="H302"/>
  <c r="I302"/>
  <c r="M302"/>
  <c r="N302"/>
  <c r="F303"/>
  <c r="G303"/>
  <c r="H303"/>
  <c r="I303"/>
  <c r="M303"/>
  <c r="N303"/>
  <c r="F304"/>
  <c r="G304"/>
  <c r="H304"/>
  <c r="I304"/>
  <c r="M304"/>
  <c r="N304"/>
  <c r="F305"/>
  <c r="G305"/>
  <c r="H305"/>
  <c r="I305"/>
  <c r="M305"/>
  <c r="N305"/>
  <c r="A306"/>
  <c r="F306"/>
  <c r="G306"/>
  <c r="H306"/>
  <c r="I306"/>
  <c r="M306"/>
  <c r="N306"/>
  <c r="F307"/>
  <c r="G307"/>
  <c r="H307"/>
  <c r="I307"/>
  <c r="M307"/>
  <c r="N307"/>
  <c r="F308"/>
  <c r="G308"/>
  <c r="H308"/>
  <c r="I308"/>
  <c r="M308"/>
  <c r="N308"/>
  <c r="F309"/>
  <c r="G309"/>
  <c r="H309"/>
  <c r="I309"/>
  <c r="M309"/>
  <c r="N309"/>
  <c r="F310"/>
  <c r="G310"/>
  <c r="H310"/>
  <c r="I310"/>
  <c r="M310"/>
  <c r="N310"/>
  <c r="F311"/>
  <c r="G311"/>
  <c r="H311"/>
  <c r="I311"/>
  <c r="M311"/>
  <c r="N311"/>
  <c r="F312"/>
  <c r="G312"/>
  <c r="H312"/>
  <c r="I312"/>
  <c r="M312"/>
  <c r="N312"/>
  <c r="F313"/>
  <c r="G313"/>
  <c r="H313"/>
  <c r="I313"/>
  <c r="M313"/>
  <c r="N313"/>
  <c r="F314"/>
  <c r="G314"/>
  <c r="H314"/>
  <c r="I314"/>
  <c r="M314"/>
  <c r="N314"/>
  <c r="F315"/>
  <c r="G315"/>
  <c r="H315"/>
  <c r="I315"/>
  <c r="M315"/>
  <c r="N315"/>
  <c r="F316"/>
  <c r="G316"/>
  <c r="H316"/>
  <c r="I316"/>
  <c r="M316"/>
  <c r="N316"/>
  <c r="F317"/>
  <c r="G317"/>
  <c r="H317"/>
  <c r="I317"/>
  <c r="M317"/>
  <c r="N317"/>
  <c r="F318"/>
  <c r="G318"/>
  <c r="H318"/>
  <c r="I318"/>
  <c r="M318"/>
  <c r="N318"/>
  <c r="A319"/>
  <c r="F319"/>
  <c r="G319"/>
  <c r="H319"/>
  <c r="I319"/>
  <c r="M319"/>
  <c r="N319"/>
  <c r="F320"/>
  <c r="G320"/>
  <c r="H320"/>
  <c r="I320"/>
  <c r="M320"/>
  <c r="N320"/>
  <c r="F321"/>
  <c r="G321"/>
  <c r="H321"/>
  <c r="I321"/>
  <c r="M321"/>
  <c r="N321"/>
  <c r="F322"/>
  <c r="G322"/>
  <c r="H322"/>
  <c r="I322"/>
  <c r="M322"/>
  <c r="N322"/>
  <c r="F323"/>
  <c r="G323"/>
  <c r="H323"/>
  <c r="I323"/>
  <c r="M323"/>
  <c r="N323"/>
  <c r="F324"/>
  <c r="G324"/>
  <c r="H324"/>
  <c r="I324"/>
  <c r="M324"/>
  <c r="N324"/>
  <c r="F325"/>
  <c r="G325"/>
  <c r="H325"/>
  <c r="I325"/>
  <c r="M325"/>
  <c r="N325"/>
  <c r="F326"/>
  <c r="G326"/>
  <c r="H326"/>
  <c r="I326"/>
  <c r="M326"/>
  <c r="N326"/>
  <c r="F327"/>
  <c r="G327"/>
  <c r="H327"/>
  <c r="I327"/>
  <c r="M327"/>
  <c r="N327"/>
  <c r="F328"/>
  <c r="G328"/>
  <c r="H328"/>
  <c r="I328"/>
  <c r="M328"/>
  <c r="N328"/>
  <c r="F329"/>
  <c r="G329"/>
  <c r="H329"/>
  <c r="I329"/>
  <c r="M329"/>
  <c r="N329"/>
  <c r="F330"/>
  <c r="G330"/>
  <c r="H330"/>
  <c r="I330"/>
  <c r="M330"/>
  <c r="N330"/>
  <c r="F331"/>
  <c r="G331"/>
  <c r="H331"/>
  <c r="I331"/>
  <c r="M331"/>
  <c r="N331"/>
  <c r="A332"/>
  <c r="F332"/>
  <c r="G332"/>
  <c r="H332"/>
  <c r="I332"/>
  <c r="M332"/>
  <c r="N332"/>
  <c r="F333"/>
  <c r="G333"/>
  <c r="H333"/>
  <c r="I333"/>
  <c r="M333"/>
  <c r="N333"/>
  <c r="F334"/>
  <c r="G334"/>
  <c r="H334"/>
  <c r="I334"/>
  <c r="M334"/>
  <c r="N334"/>
  <c r="F335"/>
  <c r="G335"/>
  <c r="H335"/>
  <c r="I335"/>
  <c r="M335"/>
  <c r="N335"/>
  <c r="F336"/>
  <c r="G336"/>
  <c r="H336"/>
  <c r="I336"/>
  <c r="M336"/>
  <c r="N336"/>
  <c r="F337"/>
  <c r="G337"/>
  <c r="H337"/>
  <c r="I337"/>
  <c r="M337"/>
  <c r="N337"/>
  <c r="F338"/>
  <c r="G338"/>
  <c r="H338"/>
  <c r="I338"/>
  <c r="M338"/>
  <c r="N338"/>
  <c r="F339"/>
  <c r="G339"/>
  <c r="H339"/>
  <c r="I339"/>
  <c r="M339"/>
  <c r="N339"/>
  <c r="F340"/>
  <c r="G340"/>
  <c r="H340"/>
  <c r="I340"/>
  <c r="M340"/>
  <c r="N340"/>
  <c r="F341"/>
  <c r="G341"/>
  <c r="H341"/>
  <c r="I341"/>
  <c r="M341"/>
  <c r="N341"/>
  <c r="F342"/>
  <c r="G342"/>
  <c r="H342"/>
  <c r="I342"/>
  <c r="M342"/>
  <c r="N342"/>
  <c r="F343"/>
  <c r="G343"/>
  <c r="H343"/>
  <c r="I343"/>
  <c r="M343"/>
  <c r="N343"/>
  <c r="F344"/>
  <c r="G344"/>
  <c r="H344"/>
  <c r="I344"/>
  <c r="M344"/>
  <c r="N344"/>
  <c r="F345"/>
  <c r="G345"/>
  <c r="H345"/>
  <c r="I345"/>
  <c r="M345"/>
  <c r="N345"/>
  <c r="D346"/>
  <c r="E346"/>
  <c r="F346" s="1"/>
  <c r="M346"/>
  <c r="N346"/>
  <c r="H347"/>
  <c r="I347"/>
  <c r="M347"/>
  <c r="N347"/>
  <c r="F348"/>
  <c r="G348"/>
  <c r="H348"/>
  <c r="I348"/>
  <c r="M348"/>
  <c r="N348"/>
  <c r="F349"/>
  <c r="G349"/>
  <c r="H349"/>
  <c r="I349"/>
  <c r="M349"/>
  <c r="N349"/>
  <c r="F350"/>
  <c r="G350"/>
  <c r="H350"/>
  <c r="I350"/>
  <c r="M350"/>
  <c r="N350"/>
  <c r="F351"/>
  <c r="G351"/>
  <c r="H351"/>
  <c r="I351"/>
  <c r="M351"/>
  <c r="N351"/>
  <c r="F352"/>
  <c r="G352"/>
  <c r="H352"/>
  <c r="I352"/>
  <c r="M352"/>
  <c r="N352"/>
  <c r="F353"/>
  <c r="G353"/>
  <c r="H353"/>
  <c r="I353"/>
  <c r="M353"/>
  <c r="N353"/>
  <c r="F354"/>
  <c r="G354"/>
  <c r="H354"/>
  <c r="I354"/>
  <c r="M354"/>
  <c r="N354"/>
  <c r="F355"/>
  <c r="G355"/>
  <c r="H355"/>
  <c r="I355"/>
  <c r="M355"/>
  <c r="N355"/>
  <c r="F356"/>
  <c r="G356"/>
  <c r="H356"/>
  <c r="I356"/>
  <c r="M356"/>
  <c r="N356"/>
  <c r="F357"/>
  <c r="G357"/>
  <c r="H357"/>
  <c r="I357"/>
  <c r="M357"/>
  <c r="N357"/>
  <c r="F358"/>
  <c r="G358"/>
  <c r="H358"/>
  <c r="I358"/>
  <c r="M358"/>
  <c r="N358"/>
  <c r="F359"/>
  <c r="G359"/>
  <c r="H359"/>
  <c r="I359"/>
  <c r="M359"/>
  <c r="N359"/>
  <c r="F360"/>
  <c r="G360"/>
  <c r="H360"/>
  <c r="I360"/>
  <c r="M360"/>
  <c r="N360"/>
  <c r="F361"/>
  <c r="G361"/>
  <c r="H361"/>
  <c r="I361"/>
  <c r="M361"/>
  <c r="N361"/>
  <c r="F362"/>
  <c r="G362"/>
  <c r="H362"/>
  <c r="I362"/>
  <c r="M362"/>
  <c r="N362"/>
  <c r="F363"/>
  <c r="G363"/>
  <c r="H363"/>
  <c r="I363"/>
  <c r="M363"/>
  <c r="N363"/>
  <c r="F364"/>
  <c r="G364"/>
  <c r="H364"/>
  <c r="I364"/>
  <c r="M364"/>
  <c r="N364"/>
  <c r="F365"/>
  <c r="G365"/>
  <c r="H365"/>
  <c r="I365"/>
  <c r="M365"/>
  <c r="N365"/>
  <c r="F366"/>
  <c r="G366"/>
  <c r="H366"/>
  <c r="I366"/>
  <c r="M366"/>
  <c r="N366"/>
  <c r="F367"/>
  <c r="G367"/>
  <c r="H367"/>
  <c r="I367"/>
  <c r="M367"/>
  <c r="N367"/>
  <c r="F368"/>
  <c r="G368"/>
  <c r="H368"/>
  <c r="I368"/>
  <c r="M368"/>
  <c r="N368"/>
  <c r="F369"/>
  <c r="G369"/>
  <c r="H369"/>
  <c r="I369"/>
  <c r="M369"/>
  <c r="N369"/>
  <c r="F370"/>
  <c r="G370"/>
  <c r="H370"/>
  <c r="I370"/>
  <c r="M370"/>
  <c r="N370"/>
  <c r="F371"/>
  <c r="G371"/>
  <c r="H371"/>
  <c r="I371"/>
  <c r="M371"/>
  <c r="N371"/>
  <c r="F372"/>
  <c r="G372"/>
  <c r="H372"/>
  <c r="I372"/>
  <c r="M372"/>
  <c r="N372"/>
  <c r="F373"/>
  <c r="G373"/>
  <c r="H373"/>
  <c r="I373"/>
  <c r="M373"/>
  <c r="N373"/>
  <c r="F374"/>
  <c r="G374"/>
  <c r="H374"/>
  <c r="I374"/>
  <c r="M374"/>
  <c r="N374"/>
  <c r="F375"/>
  <c r="G375"/>
  <c r="H375"/>
  <c r="I375"/>
  <c r="M375"/>
  <c r="N375"/>
  <c r="F376"/>
  <c r="G376"/>
  <c r="H376"/>
  <c r="I376"/>
  <c r="M376"/>
  <c r="N376"/>
  <c r="F377"/>
  <c r="G377"/>
  <c r="H377"/>
  <c r="I377"/>
  <c r="M377"/>
  <c r="N377"/>
  <c r="F378"/>
  <c r="G378"/>
  <c r="H378"/>
  <c r="I378"/>
  <c r="M378"/>
  <c r="N378"/>
  <c r="F379"/>
  <c r="G379"/>
  <c r="H379"/>
  <c r="I379"/>
  <c r="M379"/>
  <c r="N379"/>
  <c r="F380"/>
  <c r="G380"/>
  <c r="H380"/>
  <c r="I380"/>
  <c r="M380"/>
  <c r="N380"/>
  <c r="F381"/>
  <c r="G381"/>
  <c r="H381"/>
  <c r="I381"/>
  <c r="M381"/>
  <c r="N381"/>
  <c r="G5" i="9"/>
  <c r="G7"/>
  <c r="G9"/>
  <c r="G11"/>
  <c r="G13"/>
  <c r="G15"/>
  <c r="G17"/>
  <c r="G19"/>
  <c r="G21"/>
  <c r="I21"/>
  <c r="G23"/>
  <c r="G25"/>
  <c r="G27"/>
  <c r="G29"/>
  <c r="G31"/>
  <c r="G33"/>
  <c r="G35"/>
  <c r="G37"/>
  <c r="G55"/>
  <c r="G57"/>
  <c r="G59"/>
  <c r="G61"/>
  <c r="G63"/>
  <c r="G65"/>
  <c r="G67"/>
  <c r="G69"/>
  <c r="F347" i="2"/>
  <c r="E387"/>
  <c r="G387" s="1"/>
  <c r="O387" s="1"/>
  <c r="P387" s="1"/>
  <c r="N9"/>
  <c r="U9"/>
  <c r="G239"/>
  <c r="H386"/>
  <c r="H238" l="1"/>
  <c r="J39"/>
  <c r="O462"/>
  <c r="P462" s="1"/>
  <c r="I386"/>
  <c r="M10"/>
  <c r="F386"/>
  <c r="J40"/>
  <c r="V38"/>
  <c r="W38" s="1"/>
  <c r="V30"/>
  <c r="W30" s="1"/>
  <c r="V22"/>
  <c r="W22" s="1"/>
  <c r="V14"/>
  <c r="W14" s="1"/>
  <c r="V4"/>
  <c r="W4" s="1"/>
  <c r="AA9"/>
  <c r="AB9"/>
  <c r="F243"/>
  <c r="O418"/>
  <c r="P418" s="1"/>
  <c r="O477"/>
  <c r="P477" s="1"/>
  <c r="T10"/>
  <c r="V10" s="1"/>
  <c r="W10" s="1"/>
  <c r="O476"/>
  <c r="P476" s="1"/>
  <c r="H243"/>
  <c r="G244"/>
  <c r="V39"/>
  <c r="W39" s="1"/>
  <c r="V34"/>
  <c r="W34" s="1"/>
  <c r="V26"/>
  <c r="W26" s="1"/>
  <c r="V18"/>
  <c r="W18" s="1"/>
  <c r="V8"/>
  <c r="W8" s="1"/>
  <c r="O459"/>
  <c r="P459" s="1"/>
  <c r="H244"/>
  <c r="O239"/>
  <c r="P239" s="1"/>
  <c r="G245"/>
  <c r="O245" s="1"/>
  <c r="P245" s="1"/>
  <c r="F244"/>
  <c r="I242"/>
  <c r="V35"/>
  <c r="W35" s="1"/>
  <c r="V31"/>
  <c r="W31" s="1"/>
  <c r="V27"/>
  <c r="W27" s="1"/>
  <c r="V23"/>
  <c r="W23" s="1"/>
  <c r="V19"/>
  <c r="W19" s="1"/>
  <c r="V15"/>
  <c r="W15" s="1"/>
  <c r="V11"/>
  <c r="W11" s="1"/>
  <c r="V5"/>
  <c r="W5" s="1"/>
  <c r="V36"/>
  <c r="W36" s="1"/>
  <c r="V32"/>
  <c r="W32" s="1"/>
  <c r="V28"/>
  <c r="W28" s="1"/>
  <c r="V24"/>
  <c r="W24" s="1"/>
  <c r="V20"/>
  <c r="W20" s="1"/>
  <c r="V16"/>
  <c r="W16" s="1"/>
  <c r="V12"/>
  <c r="W12" s="1"/>
  <c r="V6"/>
  <c r="W6" s="1"/>
  <c r="O392"/>
  <c r="P392" s="1"/>
  <c r="O400"/>
  <c r="P400" s="1"/>
  <c r="O423"/>
  <c r="P423" s="1"/>
  <c r="O421"/>
  <c r="P421" s="1"/>
  <c r="O419"/>
  <c r="P419" s="1"/>
  <c r="O417"/>
  <c r="P417" s="1"/>
  <c r="O415"/>
  <c r="P415" s="1"/>
  <c r="O413"/>
  <c r="P413" s="1"/>
  <c r="O411"/>
  <c r="P411" s="1"/>
  <c r="O397"/>
  <c r="P397" s="1"/>
  <c r="O396"/>
  <c r="P396" s="1"/>
  <c r="O398"/>
  <c r="P398" s="1"/>
  <c r="O399"/>
  <c r="P399" s="1"/>
  <c r="O428"/>
  <c r="P428" s="1"/>
  <c r="O443"/>
  <c r="P443" s="1"/>
  <c r="O441"/>
  <c r="P441" s="1"/>
  <c r="O439"/>
  <c r="P439" s="1"/>
  <c r="O437"/>
  <c r="P437" s="1"/>
  <c r="G461"/>
  <c r="O461" s="1"/>
  <c r="P461" s="1"/>
  <c r="I461"/>
  <c r="V37"/>
  <c r="W37" s="1"/>
  <c r="V33"/>
  <c r="W33" s="1"/>
  <c r="V29"/>
  <c r="W29" s="1"/>
  <c r="V25"/>
  <c r="W25" s="1"/>
  <c r="V21"/>
  <c r="W21" s="1"/>
  <c r="V17"/>
  <c r="W17" s="1"/>
  <c r="V13"/>
  <c r="W13" s="1"/>
  <c r="V7"/>
  <c r="W7" s="1"/>
  <c r="H19" i="1"/>
  <c r="H20"/>
  <c r="P17"/>
  <c r="O17"/>
  <c r="N17"/>
  <c r="M17"/>
  <c r="O450" i="2"/>
  <c r="P450" s="1"/>
  <c r="I471"/>
  <c r="O409"/>
  <c r="P409" s="1"/>
  <c r="O424"/>
  <c r="P424" s="1"/>
  <c r="O420"/>
  <c r="P420" s="1"/>
  <c r="O425"/>
  <c r="P425" s="1"/>
  <c r="O430"/>
  <c r="P430" s="1"/>
  <c r="I387"/>
  <c r="O479"/>
  <c r="P479" s="1"/>
  <c r="I240"/>
  <c r="F240"/>
  <c r="G240"/>
  <c r="O240" s="1"/>
  <c r="P240" s="1"/>
  <c r="G346"/>
  <c r="O346" s="1"/>
  <c r="P346" s="1"/>
  <c r="O330"/>
  <c r="P330" s="1"/>
  <c r="O328"/>
  <c r="P328" s="1"/>
  <c r="O326"/>
  <c r="P326" s="1"/>
  <c r="O324"/>
  <c r="P324" s="1"/>
  <c r="O322"/>
  <c r="P322" s="1"/>
  <c r="O320"/>
  <c r="P320" s="1"/>
  <c r="O305"/>
  <c r="P305" s="1"/>
  <c r="O303"/>
  <c r="P303" s="1"/>
  <c r="O301"/>
  <c r="P301" s="1"/>
  <c r="O299"/>
  <c r="P299" s="1"/>
  <c r="O297"/>
  <c r="P297" s="1"/>
  <c r="O295"/>
  <c r="P295" s="1"/>
  <c r="O293"/>
  <c r="P293" s="1"/>
  <c r="O278"/>
  <c r="P278" s="1"/>
  <c r="O276"/>
  <c r="P276" s="1"/>
  <c r="O274"/>
  <c r="P274" s="1"/>
  <c r="O272"/>
  <c r="P272" s="1"/>
  <c r="O270"/>
  <c r="P270" s="1"/>
  <c r="O268"/>
  <c r="P268" s="1"/>
  <c r="O253"/>
  <c r="P253" s="1"/>
  <c r="O251"/>
  <c r="P251" s="1"/>
  <c r="O249"/>
  <c r="P249" s="1"/>
  <c r="O247"/>
  <c r="P247" s="1"/>
  <c r="O38"/>
  <c r="P38" s="1"/>
  <c r="O34"/>
  <c r="P34" s="1"/>
  <c r="O30"/>
  <c r="P30" s="1"/>
  <c r="O26"/>
  <c r="P26" s="1"/>
  <c r="O22"/>
  <c r="P22" s="1"/>
  <c r="O18"/>
  <c r="P18" s="1"/>
  <c r="O14"/>
  <c r="P14" s="1"/>
  <c r="O8"/>
  <c r="P8" s="1"/>
  <c r="O4"/>
  <c r="P4" s="1"/>
  <c r="Q4" s="1"/>
  <c r="F464"/>
  <c r="O406"/>
  <c r="P406" s="1"/>
  <c r="O331"/>
  <c r="P331" s="1"/>
  <c r="O329"/>
  <c r="P329" s="1"/>
  <c r="O327"/>
  <c r="P327" s="1"/>
  <c r="O325"/>
  <c r="P325" s="1"/>
  <c r="O323"/>
  <c r="P323" s="1"/>
  <c r="O321"/>
  <c r="P321" s="1"/>
  <c r="O319"/>
  <c r="P319" s="1"/>
  <c r="O304"/>
  <c r="P304" s="1"/>
  <c r="O302"/>
  <c r="P302" s="1"/>
  <c r="O300"/>
  <c r="P300" s="1"/>
  <c r="O298"/>
  <c r="P298" s="1"/>
  <c r="O296"/>
  <c r="P296" s="1"/>
  <c r="O294"/>
  <c r="P294" s="1"/>
  <c r="O279"/>
  <c r="P279" s="1"/>
  <c r="O277"/>
  <c r="P277" s="1"/>
  <c r="O275"/>
  <c r="P275" s="1"/>
  <c r="O273"/>
  <c r="P273" s="1"/>
  <c r="O271"/>
  <c r="P271" s="1"/>
  <c r="O269"/>
  <c r="P269" s="1"/>
  <c r="O267"/>
  <c r="P267" s="1"/>
  <c r="O252"/>
  <c r="P252" s="1"/>
  <c r="O250"/>
  <c r="P250" s="1"/>
  <c r="O248"/>
  <c r="P248" s="1"/>
  <c r="O246"/>
  <c r="P246" s="1"/>
  <c r="O244"/>
  <c r="P244" s="1"/>
  <c r="O36"/>
  <c r="P36" s="1"/>
  <c r="O32"/>
  <c r="P32" s="1"/>
  <c r="O28"/>
  <c r="P28" s="1"/>
  <c r="O24"/>
  <c r="P24" s="1"/>
  <c r="O20"/>
  <c r="P20" s="1"/>
  <c r="O16"/>
  <c r="P16" s="1"/>
  <c r="O12"/>
  <c r="P12" s="1"/>
  <c r="O6"/>
  <c r="P6" s="1"/>
  <c r="G347"/>
  <c r="O416"/>
  <c r="P416" s="1"/>
  <c r="O412"/>
  <c r="P412" s="1"/>
  <c r="O454"/>
  <c r="P454" s="1"/>
  <c r="H11" i="1"/>
  <c r="H7"/>
  <c r="H12"/>
  <c r="H13"/>
  <c r="H9"/>
  <c r="M8"/>
  <c r="N8"/>
  <c r="H14"/>
  <c r="H10"/>
  <c r="I239" i="2"/>
  <c r="F239"/>
  <c r="I244"/>
  <c r="F245"/>
  <c r="H240"/>
  <c r="G243"/>
  <c r="O243" s="1"/>
  <c r="P243" s="1"/>
  <c r="O383"/>
  <c r="P383" s="1"/>
  <c r="O384"/>
  <c r="P384" s="1"/>
  <c r="O452"/>
  <c r="P452" s="1"/>
  <c r="O478"/>
  <c r="P478" s="1"/>
  <c r="I465"/>
  <c r="O393"/>
  <c r="P393" s="1"/>
  <c r="O395"/>
  <c r="P395" s="1"/>
  <c r="O401"/>
  <c r="P401" s="1"/>
  <c r="O402"/>
  <c r="P402" s="1"/>
  <c r="O403"/>
  <c r="P403" s="1"/>
  <c r="O404"/>
  <c r="P404" s="1"/>
  <c r="O407"/>
  <c r="P407" s="1"/>
  <c r="O405"/>
  <c r="P405" s="1"/>
  <c r="O410"/>
  <c r="P410" s="1"/>
  <c r="O408"/>
  <c r="P408" s="1"/>
  <c r="O434"/>
  <c r="P434" s="1"/>
  <c r="O433"/>
  <c r="P433" s="1"/>
  <c r="O432"/>
  <c r="P432" s="1"/>
  <c r="O431"/>
  <c r="P431" s="1"/>
  <c r="O453"/>
  <c r="P453" s="1"/>
  <c r="O455"/>
  <c r="P455" s="1"/>
  <c r="O458"/>
  <c r="P458" s="1"/>
  <c r="O473"/>
  <c r="P473" s="1"/>
  <c r="O448"/>
  <c r="P448" s="1"/>
  <c r="O446"/>
  <c r="P446" s="1"/>
  <c r="O449"/>
  <c r="P449" s="1"/>
  <c r="I467"/>
  <c r="O472"/>
  <c r="P472" s="1"/>
  <c r="O347"/>
  <c r="P347" s="1"/>
  <c r="O381"/>
  <c r="P381" s="1"/>
  <c r="O380"/>
  <c r="P380" s="1"/>
  <c r="O379"/>
  <c r="P379" s="1"/>
  <c r="O378"/>
  <c r="P378" s="1"/>
  <c r="O377"/>
  <c r="P377" s="1"/>
  <c r="O376"/>
  <c r="P376" s="1"/>
  <c r="O375"/>
  <c r="P375" s="1"/>
  <c r="O374"/>
  <c r="P374" s="1"/>
  <c r="O373"/>
  <c r="P373" s="1"/>
  <c r="O372"/>
  <c r="P372" s="1"/>
  <c r="O371"/>
  <c r="P371" s="1"/>
  <c r="O370"/>
  <c r="P370" s="1"/>
  <c r="O369"/>
  <c r="P369" s="1"/>
  <c r="O368"/>
  <c r="P368" s="1"/>
  <c r="O367"/>
  <c r="P367" s="1"/>
  <c r="O366"/>
  <c r="P366" s="1"/>
  <c r="O365"/>
  <c r="P365" s="1"/>
  <c r="O364"/>
  <c r="P364" s="1"/>
  <c r="O363"/>
  <c r="P363" s="1"/>
  <c r="O362"/>
  <c r="P362" s="1"/>
  <c r="O361"/>
  <c r="P361" s="1"/>
  <c r="O360"/>
  <c r="P360" s="1"/>
  <c r="O359"/>
  <c r="P359" s="1"/>
  <c r="O358"/>
  <c r="P358" s="1"/>
  <c r="O357"/>
  <c r="P357" s="1"/>
  <c r="O356"/>
  <c r="P356" s="1"/>
  <c r="O355"/>
  <c r="P355" s="1"/>
  <c r="O354"/>
  <c r="P354" s="1"/>
  <c r="O353"/>
  <c r="P353" s="1"/>
  <c r="O352"/>
  <c r="P352" s="1"/>
  <c r="O351"/>
  <c r="P351" s="1"/>
  <c r="O350"/>
  <c r="P350" s="1"/>
  <c r="O349"/>
  <c r="P349" s="1"/>
  <c r="O348"/>
  <c r="P348" s="1"/>
  <c r="O345"/>
  <c r="P345" s="1"/>
  <c r="O344"/>
  <c r="P344" s="1"/>
  <c r="O343"/>
  <c r="P343" s="1"/>
  <c r="O342"/>
  <c r="P342" s="1"/>
  <c r="O341"/>
  <c r="P341" s="1"/>
  <c r="O340"/>
  <c r="P340" s="1"/>
  <c r="O339"/>
  <c r="P339" s="1"/>
  <c r="O338"/>
  <c r="P338" s="1"/>
  <c r="O337"/>
  <c r="P337" s="1"/>
  <c r="O336"/>
  <c r="P336" s="1"/>
  <c r="O335"/>
  <c r="P335" s="1"/>
  <c r="O334"/>
  <c r="P334" s="1"/>
  <c r="O333"/>
  <c r="P333" s="1"/>
  <c r="O332"/>
  <c r="P332" s="1"/>
  <c r="O318"/>
  <c r="P318" s="1"/>
  <c r="O317"/>
  <c r="P317" s="1"/>
  <c r="O316"/>
  <c r="P316" s="1"/>
  <c r="O315"/>
  <c r="P315" s="1"/>
  <c r="O314"/>
  <c r="P314" s="1"/>
  <c r="O313"/>
  <c r="P313" s="1"/>
  <c r="O312"/>
  <c r="P312" s="1"/>
  <c r="O311"/>
  <c r="P311" s="1"/>
  <c r="O310"/>
  <c r="P310" s="1"/>
  <c r="O309"/>
  <c r="P309" s="1"/>
  <c r="O308"/>
  <c r="P308" s="1"/>
  <c r="O307"/>
  <c r="P307" s="1"/>
  <c r="O306"/>
  <c r="P306" s="1"/>
  <c r="O292"/>
  <c r="P292" s="1"/>
  <c r="O291"/>
  <c r="P291" s="1"/>
  <c r="O290"/>
  <c r="P290" s="1"/>
  <c r="O289"/>
  <c r="P289" s="1"/>
  <c r="O288"/>
  <c r="P288" s="1"/>
  <c r="O287"/>
  <c r="P287" s="1"/>
  <c r="O286"/>
  <c r="P286" s="1"/>
  <c r="O285"/>
  <c r="P285" s="1"/>
  <c r="O284"/>
  <c r="P284" s="1"/>
  <c r="O283"/>
  <c r="P283" s="1"/>
  <c r="O282"/>
  <c r="P282" s="1"/>
  <c r="O281"/>
  <c r="P281" s="1"/>
  <c r="O280"/>
  <c r="P280" s="1"/>
  <c r="O266"/>
  <c r="P266" s="1"/>
  <c r="O265"/>
  <c r="P265" s="1"/>
  <c r="O264"/>
  <c r="P264" s="1"/>
  <c r="O263"/>
  <c r="P263" s="1"/>
  <c r="O262"/>
  <c r="P262" s="1"/>
  <c r="O261"/>
  <c r="P261" s="1"/>
  <c r="O260"/>
  <c r="P260" s="1"/>
  <c r="O259"/>
  <c r="P259" s="1"/>
  <c r="O258"/>
  <c r="P258" s="1"/>
  <c r="O257"/>
  <c r="P257" s="1"/>
  <c r="O256"/>
  <c r="P256" s="1"/>
  <c r="O255"/>
  <c r="P255" s="1"/>
  <c r="O254"/>
  <c r="P254" s="1"/>
  <c r="O40"/>
  <c r="P40" s="1"/>
  <c r="O39"/>
  <c r="P39" s="1"/>
  <c r="O37"/>
  <c r="P37" s="1"/>
  <c r="O35"/>
  <c r="P35" s="1"/>
  <c r="O33"/>
  <c r="P33" s="1"/>
  <c r="O31"/>
  <c r="P31" s="1"/>
  <c r="O29"/>
  <c r="P29" s="1"/>
  <c r="O27"/>
  <c r="P27" s="1"/>
  <c r="O25"/>
  <c r="P25" s="1"/>
  <c r="O23"/>
  <c r="P23" s="1"/>
  <c r="O21"/>
  <c r="P21" s="1"/>
  <c r="O19"/>
  <c r="P19" s="1"/>
  <c r="O17"/>
  <c r="P17" s="1"/>
  <c r="O15"/>
  <c r="P15" s="1"/>
  <c r="O13"/>
  <c r="P13" s="1"/>
  <c r="O11"/>
  <c r="P11" s="1"/>
  <c r="O10"/>
  <c r="P10" s="1"/>
  <c r="O9"/>
  <c r="P9" s="1"/>
  <c r="O7"/>
  <c r="P7" s="1"/>
  <c r="O5"/>
  <c r="P5" s="1"/>
  <c r="O382"/>
  <c r="P382" s="1"/>
  <c r="O385"/>
  <c r="P385" s="1"/>
  <c r="O386"/>
  <c r="P386" s="1"/>
  <c r="O390"/>
  <c r="P390" s="1"/>
  <c r="O391"/>
  <c r="P391" s="1"/>
  <c r="O394"/>
  <c r="P394" s="1"/>
  <c r="O429"/>
  <c r="P429" s="1"/>
  <c r="O427"/>
  <c r="P427" s="1"/>
  <c r="O426"/>
  <c r="P426" s="1"/>
  <c r="O435"/>
  <c r="P435" s="1"/>
  <c r="O444"/>
  <c r="P444" s="1"/>
  <c r="O474"/>
  <c r="P474" s="1"/>
  <c r="O447"/>
  <c r="P447" s="1"/>
  <c r="O445"/>
  <c r="P445" s="1"/>
  <c r="O456"/>
  <c r="P456" s="1"/>
  <c r="O457"/>
  <c r="P457" s="1"/>
  <c r="I237"/>
  <c r="H230"/>
  <c r="G228"/>
  <c r="O228" s="1"/>
  <c r="P228" s="1"/>
  <c r="I227"/>
  <c r="I225"/>
  <c r="I223"/>
  <c r="H221"/>
  <c r="H219"/>
  <c r="H217"/>
  <c r="I214"/>
  <c r="H212"/>
  <c r="H210"/>
  <c r="H208"/>
  <c r="H206"/>
  <c r="H204"/>
  <c r="I202"/>
  <c r="I201"/>
  <c r="I199"/>
  <c r="H197"/>
  <c r="H190"/>
  <c r="H189"/>
  <c r="H187"/>
  <c r="H185"/>
  <c r="I183"/>
  <c r="H181"/>
  <c r="H179"/>
  <c r="I177"/>
  <c r="I175"/>
  <c r="H173"/>
  <c r="I171"/>
  <c r="I169"/>
  <c r="H167"/>
  <c r="H165"/>
  <c r="I163"/>
  <c r="I161"/>
  <c r="I157"/>
  <c r="I155"/>
  <c r="I153"/>
  <c r="I151"/>
  <c r="I149"/>
  <c r="I147"/>
  <c r="I139"/>
  <c r="H133"/>
  <c r="I131"/>
  <c r="I127"/>
  <c r="H125"/>
  <c r="I123"/>
  <c r="H121"/>
  <c r="H119"/>
  <c r="H117"/>
  <c r="I115"/>
  <c r="H113"/>
  <c r="H111"/>
  <c r="I109"/>
  <c r="I107"/>
  <c r="I105"/>
  <c r="I103"/>
  <c r="I101"/>
  <c r="I99"/>
  <c r="H97"/>
  <c r="I95"/>
  <c r="H93"/>
  <c r="I91"/>
  <c r="I89"/>
  <c r="H87"/>
  <c r="I86"/>
  <c r="F85"/>
  <c r="H84"/>
  <c r="I83"/>
  <c r="H82"/>
  <c r="J81"/>
  <c r="J80"/>
  <c r="G78"/>
  <c r="O78" s="1"/>
  <c r="P78" s="1"/>
  <c r="H77"/>
  <c r="H76"/>
  <c r="F75"/>
  <c r="I74"/>
  <c r="I73"/>
  <c r="H72"/>
  <c r="H71"/>
  <c r="F70"/>
  <c r="J69"/>
  <c r="I68"/>
  <c r="I66"/>
  <c r="H65"/>
  <c r="I64"/>
  <c r="H63"/>
  <c r="H62"/>
  <c r="H61"/>
  <c r="I59"/>
  <c r="I58"/>
  <c r="H56"/>
  <c r="G55"/>
  <c r="O55" s="1"/>
  <c r="P55" s="1"/>
  <c r="H54"/>
  <c r="H53"/>
  <c r="H52"/>
  <c r="I51"/>
  <c r="I50"/>
  <c r="H49"/>
  <c r="I48"/>
  <c r="H46"/>
  <c r="I44"/>
  <c r="H43"/>
  <c r="F42"/>
  <c r="H41"/>
  <c r="I235"/>
  <c r="I233"/>
  <c r="I231"/>
  <c r="I226"/>
  <c r="I222"/>
  <c r="H220"/>
  <c r="I216"/>
  <c r="H213"/>
  <c r="I211"/>
  <c r="I209"/>
  <c r="I207"/>
  <c r="I203"/>
  <c r="I200"/>
  <c r="I198"/>
  <c r="I196"/>
  <c r="H194"/>
  <c r="I192"/>
  <c r="I184"/>
  <c r="H182"/>
  <c r="I180"/>
  <c r="H178"/>
  <c r="H174"/>
  <c r="I172"/>
  <c r="H168"/>
  <c r="I166"/>
  <c r="H164"/>
  <c r="H162"/>
  <c r="I160"/>
  <c r="H158"/>
  <c r="I156"/>
  <c r="I154"/>
  <c r="I148"/>
  <c r="H146"/>
  <c r="H144"/>
  <c r="I142"/>
  <c r="H140"/>
  <c r="H138"/>
  <c r="H136"/>
  <c r="H132"/>
  <c r="I130"/>
  <c r="H128"/>
  <c r="I126"/>
  <c r="I124"/>
  <c r="H122"/>
  <c r="H120"/>
  <c r="H118"/>
  <c r="I116"/>
  <c r="I114"/>
  <c r="I110"/>
  <c r="I102"/>
  <c r="I100"/>
  <c r="I98"/>
  <c r="H96"/>
  <c r="I94"/>
  <c r="H92"/>
  <c r="I90"/>
  <c r="I88"/>
  <c r="I459"/>
  <c r="H471"/>
  <c r="H387"/>
  <c r="J60"/>
  <c r="F460"/>
  <c r="H5" i="1"/>
  <c r="H6"/>
  <c r="P6" s="1"/>
  <c r="J47" i="2"/>
  <c r="J45"/>
  <c r="F469"/>
  <c r="E388"/>
  <c r="F387"/>
  <c r="F238"/>
  <c r="F467"/>
  <c r="F468"/>
  <c r="H469"/>
  <c r="I346"/>
  <c r="H346"/>
  <c r="H459"/>
  <c r="H464"/>
  <c r="H461"/>
  <c r="F465"/>
  <c r="F466"/>
  <c r="F470"/>
  <c r="E9" i="6"/>
  <c r="H101" i="2"/>
  <c r="F67"/>
  <c r="H207"/>
  <c r="I122"/>
  <c r="F57"/>
  <c r="F50"/>
  <c r="H203"/>
  <c r="H227"/>
  <c r="F62"/>
  <c r="F228"/>
  <c r="F45"/>
  <c r="G224"/>
  <c r="O224" s="1"/>
  <c r="P224" s="1"/>
  <c r="F152"/>
  <c r="G108"/>
  <c r="O108" s="1"/>
  <c r="P108" s="1"/>
  <c r="H196"/>
  <c r="G49"/>
  <c r="O49" s="1"/>
  <c r="P49" s="1"/>
  <c r="I140"/>
  <c r="G85"/>
  <c r="O85" s="1"/>
  <c r="P85" s="1"/>
  <c r="H109"/>
  <c r="G150"/>
  <c r="O150" s="1"/>
  <c r="P150" s="1"/>
  <c r="G106"/>
  <c r="O106" s="1"/>
  <c r="P106" s="1"/>
  <c r="H152"/>
  <c r="H148"/>
  <c r="J42"/>
  <c r="H228"/>
  <c r="J68"/>
  <c r="H211"/>
  <c r="H223"/>
  <c r="I80"/>
  <c r="I75"/>
  <c r="I144"/>
  <c r="G144"/>
  <c r="O144" s="1"/>
  <c r="P144" s="1"/>
  <c r="I132"/>
  <c r="F144"/>
  <c r="F149"/>
  <c r="G145"/>
  <c r="O145" s="1"/>
  <c r="P145" s="1"/>
  <c r="G137"/>
  <c r="O137" s="1"/>
  <c r="P137" s="1"/>
  <c r="I152"/>
  <c r="G141"/>
  <c r="O141" s="1"/>
  <c r="P141" s="1"/>
  <c r="G148"/>
  <c r="O148" s="1"/>
  <c r="P148" s="1"/>
  <c r="I189"/>
  <c r="F194"/>
  <c r="I97"/>
  <c r="H106"/>
  <c r="G173"/>
  <c r="O173" s="1"/>
  <c r="P173" s="1"/>
  <c r="I27" i="1"/>
  <c r="G151" i="2"/>
  <c r="O151" s="1"/>
  <c r="P151" s="1"/>
  <c r="F147"/>
  <c r="H202"/>
  <c r="F145"/>
  <c r="H105"/>
  <c r="H183"/>
  <c r="F237"/>
  <c r="F226"/>
  <c r="I93"/>
  <c r="H150"/>
  <c r="H130"/>
  <c r="F179"/>
  <c r="F146"/>
  <c r="I146"/>
  <c r="G146"/>
  <c r="O146" s="1"/>
  <c r="P146" s="1"/>
  <c r="H216"/>
  <c r="H90"/>
  <c r="H89"/>
  <c r="F229"/>
  <c r="G152"/>
  <c r="O152" s="1"/>
  <c r="P152" s="1"/>
  <c r="G105"/>
  <c r="O105" s="1"/>
  <c r="P105" s="1"/>
  <c r="H142"/>
  <c r="I118"/>
  <c r="H209"/>
  <c r="I145"/>
  <c r="H126"/>
  <c r="G147"/>
  <c r="O147" s="1"/>
  <c r="P147" s="1"/>
  <c r="G159"/>
  <c r="O159" s="1"/>
  <c r="P159" s="1"/>
  <c r="F151"/>
  <c r="F143"/>
  <c r="G139"/>
  <c r="O139" s="1"/>
  <c r="P139" s="1"/>
  <c r="G135"/>
  <c r="O135" s="1"/>
  <c r="P135" s="1"/>
  <c r="F61"/>
  <c r="G149"/>
  <c r="O149" s="1"/>
  <c r="P149" s="1"/>
  <c r="F68"/>
  <c r="I213"/>
  <c r="H127"/>
  <c r="H156"/>
  <c r="F203"/>
  <c r="I111"/>
  <c r="H143"/>
  <c r="I182"/>
  <c r="J76"/>
  <c r="F150"/>
  <c r="I41"/>
  <c r="H147"/>
  <c r="I165"/>
  <c r="F148"/>
  <c r="G203"/>
  <c r="O203" s="1"/>
  <c r="P203" s="1"/>
  <c r="H172"/>
  <c r="H75"/>
  <c r="F82"/>
  <c r="J43"/>
  <c r="F136"/>
  <c r="G211"/>
  <c r="O211" s="1"/>
  <c r="P211" s="1"/>
  <c r="F225"/>
  <c r="G196"/>
  <c r="O196" s="1"/>
  <c r="P196" s="1"/>
  <c r="G192"/>
  <c r="O192" s="1"/>
  <c r="P192" s="1"/>
  <c r="F189"/>
  <c r="H151"/>
  <c r="I150"/>
  <c r="H149"/>
  <c r="H145"/>
  <c r="I143"/>
  <c r="G142"/>
  <c r="O142" s="1"/>
  <c r="P142" s="1"/>
  <c r="G130"/>
  <c r="O130" s="1"/>
  <c r="P130" s="1"/>
  <c r="G75"/>
  <c r="O75" s="1"/>
  <c r="P75" s="1"/>
  <c r="F131"/>
  <c r="H201"/>
  <c r="G202"/>
  <c r="O202" s="1"/>
  <c r="P202" s="1"/>
  <c r="J53"/>
  <c r="F53"/>
  <c r="H161"/>
  <c r="J41"/>
  <c r="H131"/>
  <c r="I173"/>
  <c r="I217"/>
  <c r="I185"/>
  <c r="H103"/>
  <c r="G201"/>
  <c r="O201" s="1"/>
  <c r="P201" s="1"/>
  <c r="G143"/>
  <c r="O143" s="1"/>
  <c r="P143" s="1"/>
  <c r="H91"/>
  <c r="G76"/>
  <c r="O76" s="1"/>
  <c r="P76" s="1"/>
  <c r="F183"/>
  <c r="H235"/>
  <c r="H192"/>
  <c r="I119"/>
  <c r="F217"/>
  <c r="F124"/>
  <c r="F60"/>
  <c r="G127"/>
  <c r="O127" s="1"/>
  <c r="P127" s="1"/>
  <c r="G94"/>
  <c r="O94" s="1"/>
  <c r="P94" s="1"/>
  <c r="F119"/>
  <c r="H115"/>
  <c r="J52"/>
  <c r="F116"/>
  <c r="F112"/>
  <c r="F108"/>
  <c r="H45"/>
  <c r="F104"/>
  <c r="J46"/>
  <c r="F48"/>
  <c r="H180"/>
  <c r="I53"/>
  <c r="G51"/>
  <c r="O51" s="1"/>
  <c r="P51" s="1"/>
  <c r="F73"/>
  <c r="F71"/>
  <c r="F87"/>
  <c r="H57"/>
  <c r="H112"/>
  <c r="H224"/>
  <c r="I224"/>
  <c r="J82"/>
  <c r="H154"/>
  <c r="J48"/>
  <c r="H69"/>
  <c r="H86"/>
  <c r="I179"/>
  <c r="J65"/>
  <c r="I158"/>
  <c r="F196"/>
  <c r="G96"/>
  <c r="O96" s="1"/>
  <c r="P96" s="1"/>
  <c r="I187"/>
  <c r="I46"/>
  <c r="H78"/>
  <c r="F43"/>
  <c r="F58"/>
  <c r="F88"/>
  <c r="H124"/>
  <c r="H163"/>
  <c r="I45"/>
  <c r="F133"/>
  <c r="G178"/>
  <c r="O178" s="1"/>
  <c r="P178" s="1"/>
  <c r="G99"/>
  <c r="O99" s="1"/>
  <c r="P99" s="1"/>
  <c r="H74"/>
  <c r="G116"/>
  <c r="O116" s="1"/>
  <c r="P116" s="1"/>
  <c r="G82"/>
  <c r="O82" s="1"/>
  <c r="P82" s="1"/>
  <c r="F101"/>
  <c r="F120"/>
  <c r="J70"/>
  <c r="I219"/>
  <c r="J75"/>
  <c r="F207"/>
  <c r="G193"/>
  <c r="O193" s="1"/>
  <c r="P193" s="1"/>
  <c r="G186"/>
  <c r="O186" s="1"/>
  <c r="P186" s="1"/>
  <c r="G115"/>
  <c r="O115" s="1"/>
  <c r="P115" s="1"/>
  <c r="F99"/>
  <c r="F51"/>
  <c r="F142"/>
  <c r="F49"/>
  <c r="J49"/>
  <c r="I49"/>
  <c r="J50"/>
  <c r="I52"/>
  <c r="G53"/>
  <c r="O53" s="1"/>
  <c r="P53" s="1"/>
  <c r="G86"/>
  <c r="O86" s="1"/>
  <c r="P86" s="1"/>
  <c r="F74"/>
  <c r="H159"/>
  <c r="G61"/>
  <c r="O61" s="1"/>
  <c r="P61" s="1"/>
  <c r="H48"/>
  <c r="F76"/>
  <c r="H85"/>
  <c r="G70"/>
  <c r="O70" s="1"/>
  <c r="P70" s="1"/>
  <c r="I228"/>
  <c r="G64"/>
  <c r="O64" s="1"/>
  <c r="P64" s="1"/>
  <c r="G87"/>
  <c r="O87" s="1"/>
  <c r="P87" s="1"/>
  <c r="H175"/>
  <c r="G179"/>
  <c r="O179" s="1"/>
  <c r="P179" s="1"/>
  <c r="I78"/>
  <c r="I42"/>
  <c r="H58"/>
  <c r="G46"/>
  <c r="O46" s="1"/>
  <c r="P46" s="1"/>
  <c r="G229"/>
  <c r="O229" s="1"/>
  <c r="P229" s="1"/>
  <c r="I162"/>
  <c r="I112"/>
  <c r="I167"/>
  <c r="I194"/>
  <c r="I47"/>
  <c r="G47"/>
  <c r="O47" s="1"/>
  <c r="P47" s="1"/>
  <c r="J63"/>
  <c r="F180"/>
  <c r="H116"/>
  <c r="G101"/>
  <c r="O101" s="1"/>
  <c r="P101" s="1"/>
  <c r="F153"/>
  <c r="H67"/>
  <c r="H171"/>
  <c r="H222"/>
  <c r="F72"/>
  <c r="G103"/>
  <c r="O103" s="1"/>
  <c r="P103" s="1"/>
  <c r="G170"/>
  <c r="O170" s="1"/>
  <c r="P170" s="1"/>
  <c r="F233"/>
  <c r="I106"/>
  <c r="H98"/>
  <c r="I55"/>
  <c r="I70"/>
  <c r="F95"/>
  <c r="F118"/>
  <c r="J64"/>
  <c r="I69"/>
  <c r="F175"/>
  <c r="G236"/>
  <c r="O236" s="1"/>
  <c r="P236" s="1"/>
  <c r="F98"/>
  <c r="F123"/>
  <c r="G120"/>
  <c r="O120" s="1"/>
  <c r="P120" s="1"/>
  <c r="I236"/>
  <c r="F236"/>
  <c r="G112"/>
  <c r="O112" s="1"/>
  <c r="P112" s="1"/>
  <c r="F177"/>
  <c r="G197"/>
  <c r="O197" s="1"/>
  <c r="P197" s="1"/>
  <c r="H186"/>
  <c r="G238"/>
  <c r="O238" s="1"/>
  <c r="P238" s="1"/>
  <c r="H108"/>
  <c r="G181"/>
  <c r="O181" s="1"/>
  <c r="P181" s="1"/>
  <c r="G117"/>
  <c r="O117" s="1"/>
  <c r="P117" s="1"/>
  <c r="H214"/>
  <c r="H236"/>
  <c r="F166"/>
  <c r="H153"/>
  <c r="J74"/>
  <c r="G235"/>
  <c r="O235" s="1"/>
  <c r="P235" s="1"/>
  <c r="F205"/>
  <c r="G176"/>
  <c r="O176" s="1"/>
  <c r="P176" s="1"/>
  <c r="H17" i="6"/>
  <c r="I125" i="2"/>
  <c r="H60"/>
  <c r="J73"/>
  <c r="H191"/>
  <c r="H129"/>
  <c r="F193"/>
  <c r="G162"/>
  <c r="O162" s="1"/>
  <c r="P162" s="1"/>
  <c r="G177"/>
  <c r="O177" s="1"/>
  <c r="P177" s="1"/>
  <c r="I159"/>
  <c r="G74"/>
  <c r="O74" s="1"/>
  <c r="P74" s="1"/>
  <c r="I206"/>
  <c r="H70"/>
  <c r="F90"/>
  <c r="F182"/>
  <c r="J66"/>
  <c r="I76"/>
  <c r="F202"/>
  <c r="H73"/>
  <c r="H233"/>
  <c r="F192"/>
  <c r="H169"/>
  <c r="H94"/>
  <c r="F187"/>
  <c r="H123"/>
  <c r="G172"/>
  <c r="O172" s="1"/>
  <c r="P172" s="1"/>
  <c r="G223"/>
  <c r="O223" s="1"/>
  <c r="P223" s="1"/>
  <c r="H177"/>
  <c r="G217"/>
  <c r="O217" s="1"/>
  <c r="P217" s="1"/>
  <c r="I65"/>
  <c r="F139"/>
  <c r="F173"/>
  <c r="G71"/>
  <c r="O71" s="1"/>
  <c r="P71" s="1"/>
  <c r="J56"/>
  <c r="F140"/>
  <c r="G194"/>
  <c r="O194" s="1"/>
  <c r="P194" s="1"/>
  <c r="F232"/>
  <c r="G187"/>
  <c r="O187" s="1"/>
  <c r="P187" s="1"/>
  <c r="G183"/>
  <c r="O183" s="1"/>
  <c r="P183" s="1"/>
  <c r="F170"/>
  <c r="F80"/>
  <c r="G206"/>
  <c r="O206" s="1"/>
  <c r="P206" s="1"/>
  <c r="F114"/>
  <c r="F190"/>
  <c r="F235"/>
  <c r="G57"/>
  <c r="O57" s="1"/>
  <c r="P57" s="1"/>
  <c r="I104"/>
  <c r="G110"/>
  <c r="O110" s="1"/>
  <c r="P110" s="1"/>
  <c r="G79"/>
  <c r="O79" s="1"/>
  <c r="P79" s="1"/>
  <c r="H137"/>
  <c r="H59"/>
  <c r="J59"/>
  <c r="F210"/>
  <c r="G210"/>
  <c r="O210" s="1"/>
  <c r="P210" s="1"/>
  <c r="I230"/>
  <c r="J58"/>
  <c r="G59"/>
  <c r="O59" s="1"/>
  <c r="P59" s="1"/>
  <c r="G165"/>
  <c r="O165" s="1"/>
  <c r="P165" s="1"/>
  <c r="G58"/>
  <c r="O58" s="1"/>
  <c r="P58" s="1"/>
  <c r="G60"/>
  <c r="O60" s="1"/>
  <c r="P60" s="1"/>
  <c r="F159"/>
  <c r="H199"/>
  <c r="I57"/>
  <c r="F113"/>
  <c r="F206"/>
  <c r="H64"/>
  <c r="I174"/>
  <c r="G195"/>
  <c r="O195" s="1"/>
  <c r="P195" s="1"/>
  <c r="F65"/>
  <c r="F126"/>
  <c r="F86"/>
  <c r="I129"/>
  <c r="H104"/>
  <c r="J62"/>
  <c r="F91"/>
  <c r="H95"/>
  <c r="G119"/>
  <c r="O119" s="1"/>
  <c r="P119" s="1"/>
  <c r="G182"/>
  <c r="O182" s="1"/>
  <c r="P182" s="1"/>
  <c r="G92"/>
  <c r="O92" s="1"/>
  <c r="P92" s="1"/>
  <c r="G175"/>
  <c r="O175" s="1"/>
  <c r="P175" s="1"/>
  <c r="J78"/>
  <c r="G174"/>
  <c r="O174" s="1"/>
  <c r="P174" s="1"/>
  <c r="G190"/>
  <c r="O190" s="1"/>
  <c r="P190" s="1"/>
  <c r="F176"/>
  <c r="I220"/>
  <c r="G83"/>
  <c r="O83" s="1"/>
  <c r="P83" s="1"/>
  <c r="H237"/>
  <c r="G65"/>
  <c r="O65" s="1"/>
  <c r="P65" s="1"/>
  <c r="F83"/>
  <c r="I121"/>
  <c r="F110"/>
  <c r="J83"/>
  <c r="G138"/>
  <c r="O138" s="1"/>
  <c r="P138" s="1"/>
  <c r="F174"/>
  <c r="G43"/>
  <c r="O43" s="1"/>
  <c r="P43" s="1"/>
  <c r="G104"/>
  <c r="O104" s="1"/>
  <c r="P104" s="1"/>
  <c r="F84"/>
  <c r="I205"/>
  <c r="F172"/>
  <c r="F56"/>
  <c r="G122"/>
  <c r="O122" s="1"/>
  <c r="P122" s="1"/>
  <c r="G128"/>
  <c r="O128" s="1"/>
  <c r="P128" s="1"/>
  <c r="H107"/>
  <c r="G160"/>
  <c r="O160" s="1"/>
  <c r="P160" s="1"/>
  <c r="I229"/>
  <c r="G237"/>
  <c r="O237" s="1"/>
  <c r="P237" s="1"/>
  <c r="G109"/>
  <c r="O109" s="1"/>
  <c r="P109" s="1"/>
  <c r="I43"/>
  <c r="G114"/>
  <c r="O114" s="1"/>
  <c r="P114" s="1"/>
  <c r="F109"/>
  <c r="G205"/>
  <c r="O205" s="1"/>
  <c r="P205" s="1"/>
  <c r="F41"/>
  <c r="F181"/>
  <c r="H160"/>
  <c r="J77"/>
  <c r="H225"/>
  <c r="G155"/>
  <c r="O155" s="1"/>
  <c r="P155" s="1"/>
  <c r="G41"/>
  <c r="O41" s="1"/>
  <c r="P41" s="1"/>
  <c r="I181"/>
  <c r="I178"/>
  <c r="H176"/>
  <c r="G158"/>
  <c r="O158" s="1"/>
  <c r="P158" s="1"/>
  <c r="G113"/>
  <c r="O113" s="1"/>
  <c r="P113" s="1"/>
  <c r="I108"/>
  <c r="F69"/>
  <c r="F44"/>
  <c r="G81"/>
  <c r="O81" s="1"/>
  <c r="P81" s="1"/>
  <c r="J57"/>
  <c r="H141"/>
  <c r="H80"/>
  <c r="I82"/>
  <c r="F111"/>
  <c r="F97"/>
  <c r="F164"/>
  <c r="G129"/>
  <c r="O129" s="1"/>
  <c r="P129" s="1"/>
  <c r="I54"/>
  <c r="H88"/>
  <c r="F134"/>
  <c r="H205"/>
  <c r="F195"/>
  <c r="F137"/>
  <c r="G100"/>
  <c r="O100" s="1"/>
  <c r="P100" s="1"/>
  <c r="F209"/>
  <c r="I56"/>
  <c r="G231"/>
  <c r="O231" s="1"/>
  <c r="P231" s="1"/>
  <c r="F59"/>
  <c r="H83"/>
  <c r="F230"/>
  <c r="I85"/>
  <c r="G185"/>
  <c r="O185" s="1"/>
  <c r="P185" s="1"/>
  <c r="F200"/>
  <c r="F221"/>
  <c r="I61"/>
  <c r="I113"/>
  <c r="F115"/>
  <c r="G184"/>
  <c r="O184" s="1"/>
  <c r="P184" s="1"/>
  <c r="F204"/>
  <c r="I128"/>
  <c r="G233"/>
  <c r="O233" s="1"/>
  <c r="P233" s="1"/>
  <c r="J55"/>
  <c r="G168"/>
  <c r="O168" s="1"/>
  <c r="P168" s="1"/>
  <c r="I188"/>
  <c r="F155"/>
  <c r="H195"/>
  <c r="F234"/>
  <c r="G42"/>
  <c r="O42" s="1"/>
  <c r="P42" s="1"/>
  <c r="I221"/>
  <c r="F161"/>
  <c r="I81"/>
  <c r="I60"/>
  <c r="H81"/>
  <c r="I120"/>
  <c r="G200"/>
  <c r="O200" s="1"/>
  <c r="P200" s="1"/>
  <c r="F188"/>
  <c r="G167"/>
  <c r="O167" s="1"/>
  <c r="P167" s="1"/>
  <c r="F178"/>
  <c r="F81"/>
  <c r="I176"/>
  <c r="G163"/>
  <c r="O163" s="1"/>
  <c r="P163" s="1"/>
  <c r="H42"/>
  <c r="I77"/>
  <c r="F165"/>
  <c r="G63"/>
  <c r="O63" s="1"/>
  <c r="P63" s="1"/>
  <c r="F167"/>
  <c r="F220"/>
  <c r="G226"/>
  <c r="O226" s="1"/>
  <c r="P226" s="1"/>
  <c r="G222"/>
  <c r="O222" s="1"/>
  <c r="P222" s="1"/>
  <c r="F96"/>
  <c r="I87"/>
  <c r="I79"/>
  <c r="F100"/>
  <c r="I208"/>
  <c r="F231"/>
  <c r="F227"/>
  <c r="G207"/>
  <c r="O207" s="1"/>
  <c r="P207" s="1"/>
  <c r="G134"/>
  <c r="O134" s="1"/>
  <c r="P134" s="1"/>
  <c r="J79"/>
  <c r="H229"/>
  <c r="F47"/>
  <c r="H166"/>
  <c r="G80"/>
  <c r="O80" s="1"/>
  <c r="P80" s="1"/>
  <c r="G171"/>
  <c r="O171" s="1"/>
  <c r="P171" s="1"/>
  <c r="F128"/>
  <c r="F52"/>
  <c r="J51"/>
  <c r="I67"/>
  <c r="J67"/>
  <c r="G73"/>
  <c r="O73" s="1"/>
  <c r="P73" s="1"/>
  <c r="H114"/>
  <c r="F186"/>
  <c r="I190"/>
  <c r="I191"/>
  <c r="G213"/>
  <c r="O213" s="1"/>
  <c r="P213" s="1"/>
  <c r="G221"/>
  <c r="O221" s="1"/>
  <c r="P221" s="1"/>
  <c r="G225"/>
  <c r="O225" s="1"/>
  <c r="P225" s="1"/>
  <c r="J71"/>
  <c r="F127"/>
  <c r="F130"/>
  <c r="I141"/>
  <c r="I170"/>
  <c r="H193"/>
  <c r="H232"/>
  <c r="H66"/>
  <c r="F105"/>
  <c r="G234"/>
  <c r="O234" s="1"/>
  <c r="P234" s="1"/>
  <c r="I96"/>
  <c r="F184"/>
  <c r="H157"/>
  <c r="G97"/>
  <c r="O97" s="1"/>
  <c r="P97" s="1"/>
  <c r="G156"/>
  <c r="O156" s="1"/>
  <c r="P156" s="1"/>
  <c r="F157"/>
  <c r="F156"/>
  <c r="G98"/>
  <c r="O98" s="1"/>
  <c r="P98" s="1"/>
  <c r="F55"/>
  <c r="G62"/>
  <c r="O62" s="1"/>
  <c r="P62" s="1"/>
  <c r="G95"/>
  <c r="O95" s="1"/>
  <c r="P95" s="1"/>
  <c r="G111"/>
  <c r="O111" s="1"/>
  <c r="P111" s="1"/>
  <c r="H139"/>
  <c r="G154"/>
  <c r="O154" s="1"/>
  <c r="P154" s="1"/>
  <c r="I168"/>
  <c r="H188"/>
  <c r="G50"/>
  <c r="O50" s="1"/>
  <c r="P50" s="1"/>
  <c r="F66"/>
  <c r="I92"/>
  <c r="G140"/>
  <c r="O140" s="1"/>
  <c r="P140" s="1"/>
  <c r="I195"/>
  <c r="I234"/>
  <c r="G45"/>
  <c r="O45" s="1"/>
  <c r="P45" s="1"/>
  <c r="G157"/>
  <c r="O157" s="1"/>
  <c r="P157" s="1"/>
  <c r="F191"/>
  <c r="F106"/>
  <c r="I197"/>
  <c r="F138"/>
  <c r="G161"/>
  <c r="O161" s="1"/>
  <c r="P161" s="1"/>
  <c r="H44"/>
  <c r="J72"/>
  <c r="F89"/>
  <c r="G44"/>
  <c r="O44" s="1"/>
  <c r="P44" s="1"/>
  <c r="I72"/>
  <c r="G84"/>
  <c r="O84" s="1"/>
  <c r="P84" s="1"/>
  <c r="I164"/>
  <c r="G209"/>
  <c r="O209" s="1"/>
  <c r="P209" s="1"/>
  <c r="F197"/>
  <c r="F102"/>
  <c r="F199"/>
  <c r="F63"/>
  <c r="H135"/>
  <c r="G164"/>
  <c r="O164" s="1"/>
  <c r="P164" s="1"/>
  <c r="G198"/>
  <c r="O198" s="1"/>
  <c r="P198" s="1"/>
  <c r="F135"/>
  <c r="F78"/>
  <c r="I133"/>
  <c r="G180"/>
  <c r="O180" s="1"/>
  <c r="P180" s="1"/>
  <c r="H198"/>
  <c r="F224"/>
  <c r="G89"/>
  <c r="O89" s="1"/>
  <c r="P89" s="1"/>
  <c r="H226"/>
  <c r="G121"/>
  <c r="O121" s="1"/>
  <c r="P121" s="1"/>
  <c r="G107"/>
  <c r="O107" s="1"/>
  <c r="P107" s="1"/>
  <c r="G227"/>
  <c r="O227" s="1"/>
  <c r="P227" s="1"/>
  <c r="F163"/>
  <c r="G133"/>
  <c r="O133" s="1"/>
  <c r="P133" s="1"/>
  <c r="H100"/>
  <c r="G189"/>
  <c r="O189" s="1"/>
  <c r="P189" s="1"/>
  <c r="F94"/>
  <c r="F169"/>
  <c r="G169"/>
  <c r="O169" s="1"/>
  <c r="P169" s="1"/>
  <c r="G230"/>
  <c r="O230" s="1"/>
  <c r="P230" s="1"/>
  <c r="G91"/>
  <c r="O91" s="1"/>
  <c r="P91" s="1"/>
  <c r="G118"/>
  <c r="O118" s="1"/>
  <c r="P118" s="1"/>
  <c r="F158"/>
  <c r="H102"/>
  <c r="F92"/>
  <c r="H99"/>
  <c r="H110"/>
  <c r="F214"/>
  <c r="F198"/>
  <c r="G90"/>
  <c r="O90" s="1"/>
  <c r="P90" s="1"/>
  <c r="F117"/>
  <c r="J61"/>
  <c r="I232"/>
  <c r="H231"/>
  <c r="I138"/>
  <c r="I137"/>
  <c r="I136"/>
  <c r="I135"/>
  <c r="H134"/>
  <c r="H79"/>
  <c r="G69"/>
  <c r="O69" s="1"/>
  <c r="P69" s="1"/>
  <c r="H68"/>
  <c r="G56"/>
  <c r="O56" s="1"/>
  <c r="P56" s="1"/>
  <c r="H55"/>
  <c r="H47"/>
  <c r="G166"/>
  <c r="O166" s="1"/>
  <c r="P166" s="1"/>
  <c r="G72"/>
  <c r="O72" s="1"/>
  <c r="P72" s="1"/>
  <c r="I186"/>
  <c r="G123"/>
  <c r="O123" s="1"/>
  <c r="P123" s="1"/>
  <c r="G124"/>
  <c r="O124" s="1"/>
  <c r="P124" s="1"/>
  <c r="G131"/>
  <c r="O131" s="1"/>
  <c r="P131" s="1"/>
  <c r="F141"/>
  <c r="H51"/>
  <c r="G67"/>
  <c r="O67" s="1"/>
  <c r="P67" s="1"/>
  <c r="F171"/>
  <c r="F185"/>
  <c r="G191"/>
  <c r="O191" s="1"/>
  <c r="P191" s="1"/>
  <c r="G199"/>
  <c r="O199" s="1"/>
  <c r="P199" s="1"/>
  <c r="F222"/>
  <c r="I71"/>
  <c r="F103"/>
  <c r="F129"/>
  <c r="H170"/>
  <c r="I193"/>
  <c r="G232"/>
  <c r="O232" s="1"/>
  <c r="P232" s="1"/>
  <c r="H50"/>
  <c r="G77"/>
  <c r="O77" s="1"/>
  <c r="P77" s="1"/>
  <c r="F201"/>
  <c r="F77"/>
  <c r="I204"/>
  <c r="F223"/>
  <c r="F46"/>
  <c r="I62"/>
  <c r="G48"/>
  <c r="O48" s="1"/>
  <c r="P48" s="1"/>
  <c r="F64"/>
  <c r="G66"/>
  <c r="O66" s="1"/>
  <c r="P66" s="1"/>
  <c r="G126"/>
  <c r="O126" s="1"/>
  <c r="P126" s="1"/>
  <c r="H155"/>
  <c r="H234"/>
  <c r="I63"/>
  <c r="F93"/>
  <c r="G220"/>
  <c r="O220" s="1"/>
  <c r="P220" s="1"/>
  <c r="F79"/>
  <c r="G214"/>
  <c r="O214" s="1"/>
  <c r="P214" s="1"/>
  <c r="G188"/>
  <c r="O188" s="1"/>
  <c r="P188" s="1"/>
  <c r="G88"/>
  <c r="O88" s="1"/>
  <c r="P88" s="1"/>
  <c r="F125"/>
  <c r="G212"/>
  <c r="O212" s="1"/>
  <c r="P212" s="1"/>
  <c r="G54"/>
  <c r="O54" s="1"/>
  <c r="P54" s="1"/>
  <c r="F107"/>
  <c r="J44"/>
  <c r="F122"/>
  <c r="G208"/>
  <c r="O208" s="1"/>
  <c r="P208" s="1"/>
  <c r="F212"/>
  <c r="F162"/>
  <c r="G93"/>
  <c r="O93" s="1"/>
  <c r="P93" s="1"/>
  <c r="F54"/>
  <c r="G204"/>
  <c r="O204" s="1"/>
  <c r="P204" s="1"/>
  <c r="F168"/>
  <c r="G102"/>
  <c r="O102" s="1"/>
  <c r="P102" s="1"/>
  <c r="F160"/>
  <c r="G125"/>
  <c r="O125" s="1"/>
  <c r="P125" s="1"/>
  <c r="G52"/>
  <c r="O52" s="1"/>
  <c r="P52" s="1"/>
  <c r="F154"/>
  <c r="F213"/>
  <c r="J54"/>
  <c r="H200"/>
  <c r="I134"/>
  <c r="G136"/>
  <c r="O136" s="1"/>
  <c r="P136" s="1"/>
  <c r="H184"/>
  <c r="F121"/>
  <c r="G153"/>
  <c r="O153" s="1"/>
  <c r="P153" s="1"/>
  <c r="F211"/>
  <c r="I117"/>
  <c r="I210"/>
  <c r="G132"/>
  <c r="O132" s="1"/>
  <c r="P132" s="1"/>
  <c r="I212"/>
  <c r="F132"/>
  <c r="F208"/>
  <c r="I84"/>
  <c r="G68"/>
  <c r="O68" s="1"/>
  <c r="P68" s="1"/>
  <c r="E15" i="6"/>
  <c r="E6"/>
  <c r="E33"/>
  <c r="E34"/>
  <c r="B11" i="2"/>
  <c r="B12" s="1"/>
  <c r="B13" s="1"/>
  <c r="B14" s="1"/>
  <c r="B15" s="1"/>
  <c r="B16" s="1"/>
  <c r="B17" s="1"/>
  <c r="B18" s="1"/>
  <c r="B19" s="1"/>
  <c r="B20" s="1"/>
  <c r="B21" s="1"/>
  <c r="B22" s="1"/>
  <c r="B23" s="1"/>
  <c r="B24" s="1"/>
  <c r="B25" s="1"/>
  <c r="B26" s="1"/>
  <c r="B27" s="1"/>
  <c r="B28" s="1"/>
  <c r="B29" s="1"/>
  <c r="B30" s="1"/>
  <c r="B31" s="1"/>
  <c r="B32" s="1"/>
  <c r="B33" s="1"/>
  <c r="B34" s="1"/>
  <c r="B35" s="1"/>
  <c r="B36" s="1"/>
  <c r="B37" s="1"/>
  <c r="B38" s="1"/>
  <c r="B39" s="1"/>
  <c r="B40" s="1"/>
  <c r="B41" s="1"/>
  <c r="B42" s="1"/>
  <c r="B43" s="1"/>
  <c r="B44" s="1"/>
  <c r="B45" s="1"/>
  <c r="B46" s="1"/>
  <c r="B47" s="1"/>
  <c r="B48" s="1"/>
  <c r="B49" s="1"/>
  <c r="B50" s="1"/>
  <c r="B51" s="1"/>
  <c r="B52" s="1"/>
  <c r="B53" s="1"/>
  <c r="B54" s="1"/>
  <c r="B55" s="1"/>
  <c r="B56" s="1"/>
  <c r="B57" s="1"/>
  <c r="B58" s="1"/>
  <c r="B59" s="1"/>
  <c r="B60" s="1"/>
  <c r="B61" s="1"/>
  <c r="B62" s="1"/>
  <c r="B63" s="1"/>
  <c r="B64" s="1"/>
  <c r="B65" s="1"/>
  <c r="B66" s="1"/>
  <c r="B67" s="1"/>
  <c r="B68" s="1"/>
  <c r="B69" s="1"/>
  <c r="B70" s="1"/>
  <c r="B71" s="1"/>
  <c r="B72" s="1"/>
  <c r="B73" s="1"/>
  <c r="B74" s="1"/>
  <c r="B75" s="1"/>
  <c r="B76" s="1"/>
  <c r="B77" s="1"/>
  <c r="B78" s="1"/>
  <c r="B79" s="1"/>
  <c r="B80" s="1"/>
  <c r="B81" s="1"/>
  <c r="B82" s="1"/>
  <c r="B83" s="1"/>
  <c r="B84" s="1"/>
  <c r="B85" s="1"/>
  <c r="B86" s="1"/>
  <c r="B87" s="1"/>
  <c r="B88" s="1"/>
  <c r="B89" s="1"/>
  <c r="B90" s="1"/>
  <c r="B91" s="1"/>
  <c r="B92" s="1"/>
  <c r="B93" s="1"/>
  <c r="B94" s="1"/>
  <c r="B95" s="1"/>
  <c r="B96" s="1"/>
  <c r="B97" s="1"/>
  <c r="B98" s="1"/>
  <c r="B99" s="1"/>
  <c r="B100" s="1"/>
  <c r="B101" s="1"/>
  <c r="B102" s="1"/>
  <c r="B103" s="1"/>
  <c r="B104" s="1"/>
  <c r="B105" s="1"/>
  <c r="B106" s="1"/>
  <c r="B107" s="1"/>
  <c r="B108" s="1"/>
  <c r="B109" s="1"/>
  <c r="B110" s="1"/>
  <c r="B111" s="1"/>
  <c r="B112" s="1"/>
  <c r="B113" s="1"/>
  <c r="B114" s="1"/>
  <c r="B115" s="1"/>
  <c r="B116" s="1"/>
  <c r="B117" s="1"/>
  <c r="B118" s="1"/>
  <c r="B119" s="1"/>
  <c r="B120" s="1"/>
  <c r="B121" s="1"/>
  <c r="B122" s="1"/>
  <c r="B123" s="1"/>
  <c r="B124" s="1"/>
  <c r="B125" s="1"/>
  <c r="B126" s="1"/>
  <c r="B127" s="1"/>
  <c r="B128" s="1"/>
  <c r="B129" s="1"/>
  <c r="B130" s="1"/>
  <c r="B131" s="1"/>
  <c r="B132" s="1"/>
  <c r="B133" s="1"/>
  <c r="B134" s="1"/>
  <c r="B135" s="1"/>
  <c r="B136" s="1"/>
  <c r="B137" s="1"/>
  <c r="B138" s="1"/>
  <c r="B139" s="1"/>
  <c r="B140" s="1"/>
  <c r="B141" s="1"/>
  <c r="B142" s="1"/>
  <c r="B143" s="1"/>
  <c r="B144" s="1"/>
  <c r="B145" s="1"/>
  <c r="B146" s="1"/>
  <c r="B147" s="1"/>
  <c r="B148" s="1"/>
  <c r="B149" s="1"/>
  <c r="B150" s="1"/>
  <c r="B151" s="1"/>
  <c r="B152" s="1"/>
  <c r="B153" s="1"/>
  <c r="B154" s="1"/>
  <c r="B155" s="1"/>
  <c r="B156" s="1"/>
  <c r="B157" s="1"/>
  <c r="B158" s="1"/>
  <c r="B159" s="1"/>
  <c r="B160" s="1"/>
  <c r="B161" s="1"/>
  <c r="B162" s="1"/>
  <c r="B163" s="1"/>
  <c r="B164" s="1"/>
  <c r="B165" s="1"/>
  <c r="B166" s="1"/>
  <c r="B167" s="1"/>
  <c r="B168" s="1"/>
  <c r="B169" s="1"/>
  <c r="B170" s="1"/>
  <c r="B171" s="1"/>
  <c r="B172" s="1"/>
  <c r="B173" s="1"/>
  <c r="B174" s="1"/>
  <c r="B175" s="1"/>
  <c r="B176" s="1"/>
  <c r="B177" s="1"/>
  <c r="B178" s="1"/>
  <c r="B179" s="1"/>
  <c r="B180" s="1"/>
  <c r="B181" s="1"/>
  <c r="B182" s="1"/>
  <c r="B183" s="1"/>
  <c r="B184" s="1"/>
  <c r="B185" s="1"/>
  <c r="B186" s="1"/>
  <c r="B187" s="1"/>
  <c r="B188" s="1"/>
  <c r="B189" s="1"/>
  <c r="B190" s="1"/>
  <c r="B191" s="1"/>
  <c r="B192" s="1"/>
  <c r="B193" s="1"/>
  <c r="B194" s="1"/>
  <c r="B195" s="1"/>
  <c r="B196" s="1"/>
  <c r="B197" s="1"/>
  <c r="B198" s="1"/>
  <c r="B199" s="1"/>
  <c r="B200" s="1"/>
  <c r="B201" s="1"/>
  <c r="B202" s="1"/>
  <c r="B203" s="1"/>
  <c r="B204" s="1"/>
  <c r="B205" s="1"/>
  <c r="B206" s="1"/>
  <c r="B207" s="1"/>
  <c r="B208" s="1"/>
  <c r="B209" s="1"/>
  <c r="B210" s="1"/>
  <c r="B211" s="1"/>
  <c r="B212" s="1"/>
  <c r="B213" s="1"/>
  <c r="B214" s="1"/>
  <c r="B215" s="1"/>
  <c r="B216" s="1"/>
  <c r="B217" s="1"/>
  <c r="B218" s="1"/>
  <c r="B219" s="1"/>
  <c r="B220" s="1"/>
  <c r="B221" s="1"/>
  <c r="B222" s="1"/>
  <c r="B223" s="1"/>
  <c r="B224" s="1"/>
  <c r="B225" s="1"/>
  <c r="B226" s="1"/>
  <c r="B227" s="1"/>
  <c r="B228" s="1"/>
  <c r="B229" s="1"/>
  <c r="B230" s="1"/>
  <c r="B231" s="1"/>
  <c r="B232" s="1"/>
  <c r="B233" s="1"/>
  <c r="B234" s="1"/>
  <c r="B235" s="1"/>
  <c r="B236" s="1"/>
  <c r="B237" s="1"/>
  <c r="B238" s="1"/>
  <c r="I215"/>
  <c r="G215"/>
  <c r="O215" s="1"/>
  <c r="P215" s="1"/>
  <c r="H215"/>
  <c r="F216"/>
  <c r="F215"/>
  <c r="G216"/>
  <c r="O216" s="1"/>
  <c r="P216" s="1"/>
  <c r="G241"/>
  <c r="O241" s="1"/>
  <c r="P241" s="1"/>
  <c r="H241"/>
  <c r="G242"/>
  <c r="O242" s="1"/>
  <c r="P242" s="1"/>
  <c r="F241"/>
  <c r="I241"/>
  <c r="F242"/>
  <c r="H218"/>
  <c r="F219"/>
  <c r="G219"/>
  <c r="O219" s="1"/>
  <c r="P219" s="1"/>
  <c r="I218"/>
  <c r="F218"/>
  <c r="G218"/>
  <c r="O218" s="1"/>
  <c r="P218" s="1"/>
  <c r="G463"/>
  <c r="O463" s="1"/>
  <c r="P463" s="1"/>
  <c r="G471"/>
  <c r="O471" s="1"/>
  <c r="P471" s="1"/>
  <c r="G470"/>
  <c r="O470" s="1"/>
  <c r="P470" s="1"/>
  <c r="G469"/>
  <c r="O469" s="1"/>
  <c r="P469" s="1"/>
  <c r="G468"/>
  <c r="O468" s="1"/>
  <c r="P468" s="1"/>
  <c r="G467"/>
  <c r="O467" s="1"/>
  <c r="P467" s="1"/>
  <c r="G466"/>
  <c r="O466" s="1"/>
  <c r="P466" s="1"/>
  <c r="G465"/>
  <c r="O465" s="1"/>
  <c r="P465" s="1"/>
  <c r="F472"/>
  <c r="G460"/>
  <c r="O460" s="1"/>
  <c r="P460" s="1"/>
  <c r="I460"/>
  <c r="G464"/>
  <c r="O464" s="1"/>
  <c r="P464" s="1"/>
  <c r="H463"/>
  <c r="F461"/>
  <c r="I463"/>
  <c r="H466"/>
  <c r="H468"/>
  <c r="H470"/>
  <c r="F471"/>
  <c r="Q518" l="1"/>
  <c r="Q517"/>
  <c r="Q6"/>
  <c r="O6" i="1"/>
  <c r="O5"/>
  <c r="V91" i="2"/>
  <c r="W91" s="1"/>
  <c r="V107"/>
  <c r="W107" s="1"/>
  <c r="V123"/>
  <c r="W123" s="1"/>
  <c r="V139"/>
  <c r="W139" s="1"/>
  <c r="V155"/>
  <c r="W155" s="1"/>
  <c r="V171"/>
  <c r="W171" s="1"/>
  <c r="V187"/>
  <c r="W187" s="1"/>
  <c r="V202"/>
  <c r="W202" s="1"/>
  <c r="V100"/>
  <c r="W100" s="1"/>
  <c r="V116"/>
  <c r="W116" s="1"/>
  <c r="V132"/>
  <c r="W132" s="1"/>
  <c r="V148"/>
  <c r="W148" s="1"/>
  <c r="V164"/>
  <c r="W164" s="1"/>
  <c r="V180"/>
  <c r="W180" s="1"/>
  <c r="V198"/>
  <c r="W198" s="1"/>
  <c r="V101"/>
  <c r="W101" s="1"/>
  <c r="V117"/>
  <c r="W117" s="1"/>
  <c r="V133"/>
  <c r="W133" s="1"/>
  <c r="V149"/>
  <c r="W149" s="1"/>
  <c r="V165"/>
  <c r="W165" s="1"/>
  <c r="V181"/>
  <c r="W181" s="1"/>
  <c r="V191"/>
  <c r="W191" s="1"/>
  <c r="V42"/>
  <c r="W42" s="1"/>
  <c r="V46"/>
  <c r="W46" s="1"/>
  <c r="V50"/>
  <c r="W50" s="1"/>
  <c r="V54"/>
  <c r="W54" s="1"/>
  <c r="V58"/>
  <c r="W58" s="1"/>
  <c r="V62"/>
  <c r="W62" s="1"/>
  <c r="V66"/>
  <c r="W66" s="1"/>
  <c r="V70"/>
  <c r="W70" s="1"/>
  <c r="V74"/>
  <c r="W74" s="1"/>
  <c r="V78"/>
  <c r="W78" s="1"/>
  <c r="V82"/>
  <c r="W82" s="1"/>
  <c r="V86"/>
  <c r="W86" s="1"/>
  <c r="V102"/>
  <c r="W102" s="1"/>
  <c r="V118"/>
  <c r="W118" s="1"/>
  <c r="V134"/>
  <c r="W134" s="1"/>
  <c r="V150"/>
  <c r="W150" s="1"/>
  <c r="V166"/>
  <c r="W166" s="1"/>
  <c r="V182"/>
  <c r="W182" s="1"/>
  <c r="V200"/>
  <c r="W200" s="1"/>
  <c r="V87"/>
  <c r="W87" s="1"/>
  <c r="V103"/>
  <c r="W103" s="1"/>
  <c r="V119"/>
  <c r="W119" s="1"/>
  <c r="V135"/>
  <c r="W135" s="1"/>
  <c r="V151"/>
  <c r="W151" s="1"/>
  <c r="V167"/>
  <c r="W167" s="1"/>
  <c r="V183"/>
  <c r="W183" s="1"/>
  <c r="V201"/>
  <c r="W201" s="1"/>
  <c r="V96"/>
  <c r="W96" s="1"/>
  <c r="V112"/>
  <c r="W112" s="1"/>
  <c r="V128"/>
  <c r="W128" s="1"/>
  <c r="V144"/>
  <c r="W144" s="1"/>
  <c r="V160"/>
  <c r="W160" s="1"/>
  <c r="V176"/>
  <c r="W176" s="1"/>
  <c r="V194"/>
  <c r="W194" s="1"/>
  <c r="V97"/>
  <c r="W97" s="1"/>
  <c r="V113"/>
  <c r="W113" s="1"/>
  <c r="V129"/>
  <c r="W129" s="1"/>
  <c r="V145"/>
  <c r="W145" s="1"/>
  <c r="V161"/>
  <c r="W161" s="1"/>
  <c r="V177"/>
  <c r="W177" s="1"/>
  <c r="V190"/>
  <c r="W190" s="1"/>
  <c r="V41"/>
  <c r="W41" s="1"/>
  <c r="V45"/>
  <c r="W45" s="1"/>
  <c r="V49"/>
  <c r="W49" s="1"/>
  <c r="V53"/>
  <c r="W53" s="1"/>
  <c r="V57"/>
  <c r="W57" s="1"/>
  <c r="V61"/>
  <c r="W61" s="1"/>
  <c r="V65"/>
  <c r="W65" s="1"/>
  <c r="V69"/>
  <c r="W69" s="1"/>
  <c r="V73"/>
  <c r="W73" s="1"/>
  <c r="V77"/>
  <c r="W77" s="1"/>
  <c r="V81"/>
  <c r="W81" s="1"/>
  <c r="V85"/>
  <c r="W85" s="1"/>
  <c r="V98"/>
  <c r="W98" s="1"/>
  <c r="V114"/>
  <c r="W114" s="1"/>
  <c r="V130"/>
  <c r="W130" s="1"/>
  <c r="V146"/>
  <c r="W146" s="1"/>
  <c r="V162"/>
  <c r="W162" s="1"/>
  <c r="V178"/>
  <c r="W178" s="1"/>
  <c r="V196"/>
  <c r="W196" s="1"/>
  <c r="V99"/>
  <c r="W99" s="1"/>
  <c r="V115"/>
  <c r="W115" s="1"/>
  <c r="V131"/>
  <c r="W131" s="1"/>
  <c r="V147"/>
  <c r="W147" s="1"/>
  <c r="V163"/>
  <c r="W163" s="1"/>
  <c r="V179"/>
  <c r="W179" s="1"/>
  <c r="V197"/>
  <c r="W197" s="1"/>
  <c r="V92"/>
  <c r="W92" s="1"/>
  <c r="V108"/>
  <c r="W108" s="1"/>
  <c r="V124"/>
  <c r="W124" s="1"/>
  <c r="V140"/>
  <c r="W140" s="1"/>
  <c r="V156"/>
  <c r="W156" s="1"/>
  <c r="V172"/>
  <c r="W172" s="1"/>
  <c r="V188"/>
  <c r="W188" s="1"/>
  <c r="V93"/>
  <c r="W93" s="1"/>
  <c r="V109"/>
  <c r="W109" s="1"/>
  <c r="V125"/>
  <c r="W125" s="1"/>
  <c r="V141"/>
  <c r="W141" s="1"/>
  <c r="V157"/>
  <c r="W157" s="1"/>
  <c r="V173"/>
  <c r="W173" s="1"/>
  <c r="V189"/>
  <c r="W189" s="1"/>
  <c r="V199"/>
  <c r="W199" s="1"/>
  <c r="V44"/>
  <c r="W44" s="1"/>
  <c r="V48"/>
  <c r="W48" s="1"/>
  <c r="V52"/>
  <c r="W52" s="1"/>
  <c r="V56"/>
  <c r="W56" s="1"/>
  <c r="V60"/>
  <c r="W60" s="1"/>
  <c r="V64"/>
  <c r="W64" s="1"/>
  <c r="V68"/>
  <c r="W68" s="1"/>
  <c r="V72"/>
  <c r="W72" s="1"/>
  <c r="V76"/>
  <c r="W76" s="1"/>
  <c r="V80"/>
  <c r="W80" s="1"/>
  <c r="V84"/>
  <c r="W84" s="1"/>
  <c r="V94"/>
  <c r="W94" s="1"/>
  <c r="V110"/>
  <c r="W110" s="1"/>
  <c r="V126"/>
  <c r="W126" s="1"/>
  <c r="V142"/>
  <c r="W142" s="1"/>
  <c r="V158"/>
  <c r="W158" s="1"/>
  <c r="V174"/>
  <c r="W174" s="1"/>
  <c r="V192"/>
  <c r="W192" s="1"/>
  <c r="V95"/>
  <c r="W95" s="1"/>
  <c r="V111"/>
  <c r="W111" s="1"/>
  <c r="V127"/>
  <c r="W127" s="1"/>
  <c r="V143"/>
  <c r="W143" s="1"/>
  <c r="V159"/>
  <c r="W159" s="1"/>
  <c r="V175"/>
  <c r="W175" s="1"/>
  <c r="V193"/>
  <c r="W193" s="1"/>
  <c r="V88"/>
  <c r="W88" s="1"/>
  <c r="V104"/>
  <c r="W104" s="1"/>
  <c r="V120"/>
  <c r="W120" s="1"/>
  <c r="V136"/>
  <c r="W136" s="1"/>
  <c r="V152"/>
  <c r="W152" s="1"/>
  <c r="V168"/>
  <c r="W168" s="1"/>
  <c r="V184"/>
  <c r="W184" s="1"/>
  <c r="V89"/>
  <c r="W89" s="1"/>
  <c r="V105"/>
  <c r="W105" s="1"/>
  <c r="V121"/>
  <c r="W121" s="1"/>
  <c r="V137"/>
  <c r="W137" s="1"/>
  <c r="V153"/>
  <c r="W153" s="1"/>
  <c r="V169"/>
  <c r="W169" s="1"/>
  <c r="V185"/>
  <c r="W185" s="1"/>
  <c r="V195"/>
  <c r="W195" s="1"/>
  <c r="V43"/>
  <c r="W43" s="1"/>
  <c r="V47"/>
  <c r="W47" s="1"/>
  <c r="V51"/>
  <c r="W51" s="1"/>
  <c r="V55"/>
  <c r="W55" s="1"/>
  <c r="V59"/>
  <c r="W59" s="1"/>
  <c r="V63"/>
  <c r="W63" s="1"/>
  <c r="V67"/>
  <c r="W67" s="1"/>
  <c r="V71"/>
  <c r="W71" s="1"/>
  <c r="V75"/>
  <c r="W75" s="1"/>
  <c r="V79"/>
  <c r="W79" s="1"/>
  <c r="V83"/>
  <c r="W83" s="1"/>
  <c r="V90"/>
  <c r="W90" s="1"/>
  <c r="V106"/>
  <c r="W106" s="1"/>
  <c r="V122"/>
  <c r="W122" s="1"/>
  <c r="V138"/>
  <c r="W138" s="1"/>
  <c r="V154"/>
  <c r="W154" s="1"/>
  <c r="V170"/>
  <c r="W170" s="1"/>
  <c r="V186"/>
  <c r="W186" s="1"/>
  <c r="P19" i="1"/>
  <c r="O19"/>
  <c r="N19"/>
  <c r="M19"/>
  <c r="P20"/>
  <c r="O20"/>
  <c r="N20"/>
  <c r="M20"/>
  <c r="M6"/>
  <c r="P10"/>
  <c r="M10"/>
  <c r="O10"/>
  <c r="N10"/>
  <c r="O13"/>
  <c r="N13"/>
  <c r="M13"/>
  <c r="P13"/>
  <c r="N16"/>
  <c r="M16"/>
  <c r="O16"/>
  <c r="P16"/>
  <c r="P11"/>
  <c r="O11"/>
  <c r="M11"/>
  <c r="N11"/>
  <c r="P14"/>
  <c r="M14"/>
  <c r="O14"/>
  <c r="N14"/>
  <c r="M9"/>
  <c r="O9"/>
  <c r="N9"/>
  <c r="P9"/>
  <c r="O15"/>
  <c r="M15"/>
  <c r="N15"/>
  <c r="P15"/>
  <c r="N12"/>
  <c r="M12"/>
  <c r="O12"/>
  <c r="P12"/>
  <c r="M7"/>
  <c r="N7"/>
  <c r="P7"/>
  <c r="O7"/>
  <c r="M5"/>
  <c r="N5"/>
  <c r="E11" i="6"/>
  <c r="E30"/>
  <c r="P5" i="1"/>
  <c r="E5" i="6"/>
  <c r="E14"/>
  <c r="E7"/>
  <c r="Q5" i="2"/>
  <c r="N6" i="1"/>
  <c r="E10" i="6"/>
  <c r="E32"/>
  <c r="E8"/>
  <c r="E12"/>
  <c r="I388" i="2"/>
  <c r="F389"/>
  <c r="G389"/>
  <c r="O389" s="1"/>
  <c r="P389" s="1"/>
  <c r="F388"/>
  <c r="G388"/>
  <c r="O388" s="1"/>
  <c r="P388" s="1"/>
  <c r="Q504" s="1"/>
  <c r="H388"/>
  <c r="E23" i="6"/>
  <c r="F21"/>
  <c r="F24"/>
  <c r="H27" i="1"/>
  <c r="E31" i="6"/>
  <c r="F25"/>
  <c r="E24"/>
  <c r="F22"/>
  <c r="F23"/>
  <c r="E26"/>
  <c r="E21"/>
  <c r="E22"/>
  <c r="F26"/>
  <c r="E25"/>
  <c r="Q509" i="2" l="1"/>
  <c r="Q513"/>
  <c r="Q510"/>
  <c r="Q514"/>
  <c r="Q511"/>
  <c r="Q515"/>
  <c r="Q512"/>
  <c r="Q516"/>
  <c r="Q505"/>
  <c r="Q508"/>
  <c r="Q506"/>
  <c r="Q507"/>
  <c r="Q502"/>
  <c r="Q480"/>
  <c r="Q503"/>
  <c r="Q498"/>
  <c r="Q500"/>
  <c r="Q499"/>
  <c r="Q501"/>
  <c r="Q497"/>
  <c r="Q494"/>
  <c r="Q495"/>
  <c r="Q493"/>
  <c r="Q496"/>
  <c r="Q492"/>
  <c r="Q491"/>
  <c r="Q489"/>
  <c r="Q490"/>
  <c r="Q488"/>
  <c r="U22" i="1"/>
  <c r="U25"/>
  <c r="U24"/>
  <c r="AC24" s="1"/>
  <c r="U21"/>
  <c r="U18"/>
  <c r="U23"/>
  <c r="U19"/>
  <c r="U20"/>
  <c r="Q487" i="2"/>
  <c r="Q486"/>
  <c r="U10" i="1"/>
  <c r="U7"/>
  <c r="AC7" s="1"/>
  <c r="U11"/>
  <c r="U16"/>
  <c r="U13"/>
  <c r="U8"/>
  <c r="U12"/>
  <c r="U15"/>
  <c r="U9"/>
  <c r="U14"/>
  <c r="U17"/>
  <c r="P27"/>
  <c r="E35" i="6"/>
  <c r="G33" s="1"/>
  <c r="Q481" i="2"/>
  <c r="Q483"/>
  <c r="Q478"/>
  <c r="Q485"/>
  <c r="Q484"/>
  <c r="Q479"/>
  <c r="Q482"/>
  <c r="E17" i="6"/>
  <c r="F6" s="1"/>
  <c r="G6" s="1"/>
  <c r="G23"/>
  <c r="G24"/>
  <c r="G21"/>
  <c r="O27" i="1"/>
  <c r="U6"/>
  <c r="AC6" s="1"/>
  <c r="M27"/>
  <c r="U5"/>
  <c r="AC5" s="1"/>
  <c r="N27"/>
  <c r="U4"/>
  <c r="G22" i="6"/>
  <c r="G25"/>
  <c r="G26"/>
  <c r="AC14" i="1" l="1"/>
  <c r="AC8"/>
  <c r="AC23"/>
  <c r="AC25"/>
  <c r="AC17"/>
  <c r="AC12"/>
  <c r="AC11"/>
  <c r="AC10"/>
  <c r="AC19"/>
  <c r="AC4"/>
  <c r="AC15"/>
  <c r="AC16"/>
  <c r="AC20"/>
  <c r="AC21"/>
  <c r="AC9"/>
  <c r="AC13"/>
  <c r="AC18"/>
  <c r="AC22"/>
  <c r="AA27"/>
  <c r="AA29"/>
  <c r="Z27"/>
  <c r="G34" i="6"/>
  <c r="F12"/>
  <c r="G12" s="1"/>
  <c r="G31"/>
  <c r="G32"/>
  <c r="G30"/>
  <c r="F8"/>
  <c r="G8" s="1"/>
  <c r="F7"/>
  <c r="G7" s="1"/>
  <c r="F11"/>
  <c r="G11" s="1"/>
  <c r="F13"/>
  <c r="G13" s="1"/>
  <c r="F9"/>
  <c r="G9" s="1"/>
  <c r="F5"/>
  <c r="G5" s="1"/>
  <c r="F14"/>
  <c r="G14" s="1"/>
  <c r="F16"/>
  <c r="G16" s="1"/>
  <c r="F15"/>
  <c r="G15" s="1"/>
  <c r="F10"/>
  <c r="G10" s="1"/>
  <c r="U27" i="1"/>
  <c r="AC27" l="1"/>
  <c r="G35" i="6"/>
  <c r="F17"/>
  <c r="Q27" i="1" l="1"/>
  <c r="N22" i="39"/>
  <c r="AH3" i="45"/>
  <c r="P22" i="39"/>
  <c r="U10"/>
  <c r="AC10" s="1"/>
  <c r="U12"/>
  <c r="AD12" s="1"/>
  <c r="U13"/>
  <c r="AC13" s="1"/>
  <c r="U11"/>
  <c r="AC11" s="1"/>
  <c r="U8"/>
  <c r="F65" i="45" s="1"/>
  <c r="U14" i="39"/>
  <c r="AC14" s="1"/>
  <c r="U16"/>
  <c r="U7"/>
  <c r="AC7" s="1"/>
  <c r="U18"/>
  <c r="U20"/>
  <c r="AA65" i="45" s="1"/>
  <c r="U19" i="39"/>
  <c r="AA51" i="45" s="1"/>
  <c r="U17" i="39"/>
  <c r="AA23" i="45" s="1"/>
  <c r="U9" i="39"/>
  <c r="M23" i="45" s="1"/>
  <c r="U5" i="39"/>
  <c r="AC5" s="1"/>
  <c r="U6"/>
  <c r="AD6" s="1"/>
  <c r="U21"/>
  <c r="AH23" i="45" s="1"/>
  <c r="O22" i="39"/>
  <c r="AH6" i="45" s="1"/>
  <c r="U15" i="39"/>
  <c r="Q22"/>
  <c r="M4" i="45" s="1"/>
  <c r="R22" i="39"/>
  <c r="T4" i="45" s="1"/>
  <c r="U4" i="39"/>
  <c r="AC18" l="1"/>
  <c r="AA37" i="45"/>
  <c r="AD15" i="39"/>
  <c r="T51" i="45"/>
  <c r="AC16" i="39"/>
  <c r="T65" i="45"/>
  <c r="U22" i="39"/>
  <c r="AC6"/>
  <c r="AD9"/>
  <c r="AD20"/>
  <c r="AD7"/>
  <c r="AD14"/>
  <c r="AD11"/>
  <c r="AC12"/>
  <c r="F37" i="45"/>
  <c r="AC9" i="39"/>
  <c r="AC20"/>
  <c r="F51" i="45"/>
  <c r="T37"/>
  <c r="M51"/>
  <c r="M65"/>
  <c r="AD21" i="39"/>
  <c r="F23" i="45"/>
  <c r="AD17" i="39"/>
  <c r="AC19"/>
  <c r="AD18"/>
  <c r="AD8"/>
  <c r="T23" i="45"/>
  <c r="M37"/>
  <c r="AC21" i="39"/>
  <c r="AD5"/>
  <c r="AC17"/>
  <c r="AD19"/>
  <c r="AD16"/>
  <c r="AC8"/>
  <c r="AD13"/>
  <c r="AD10"/>
  <c r="AD4"/>
  <c r="AC15"/>
  <c r="AC4"/>
  <c r="AH9" i="45"/>
  <c r="AC22" i="39" l="1"/>
  <c r="AD22"/>
  <c r="S22" s="1"/>
  <c r="AA4" i="45" s="1"/>
  <c r="AH4"/>
</calcChain>
</file>

<file path=xl/comments1.xml><?xml version="1.0" encoding="utf-8"?>
<comments xmlns="http://schemas.openxmlformats.org/spreadsheetml/2006/main">
  <authors>
    <author>Boomer</author>
  </authors>
  <commentList>
    <comment ref="D41" authorId="0">
      <text>
        <r>
          <rPr>
            <b/>
            <sz val="8"/>
            <color indexed="81"/>
            <rFont val="Tahoma"/>
            <family val="2"/>
          </rPr>
          <t>Notice:
$500.00 of cash withdrawn for Seidman I.P.O.'s scholarship</t>
        </r>
        <r>
          <rPr>
            <sz val="8"/>
            <color indexed="81"/>
            <rFont val="Tahoma"/>
            <family val="2"/>
          </rPr>
          <t xml:space="preserve">
</t>
        </r>
      </text>
    </comment>
  </commentList>
</comments>
</file>

<file path=xl/connections.xml><?xml version="1.0" encoding="utf-8"?>
<connections xmlns="http://schemas.openxmlformats.org/spreadsheetml/2006/main">
  <connection id="1" odcFile="C:\Program Files\Microsoft Office\Office12\QUERIES\MSN MoneyCentral Investor Stock Quotes.iqy" name="MSN MoneyCentral Investor Stock Quotes" type="4" refreshedVersion="3" background="1" saveData="1">
    <webPr parsePre="1" consecutive="1" xl2000="1" url="http://moneycentral.msn.com/investor/external/excel/quotes.asp?SYMBOL=[&quot;QUOTE&quot;,&quot;Enter stock, fund or other MSN MoneyCentral Investor symbols separated by commas.&quot;]" htmlFormat="all"/>
    <parameters count="1">
      <parameter name="QUOTE" parameterType="cell" cell="'Holdings Pull Sheet'!$D$5"/>
    </parameters>
  </connection>
</connections>
</file>

<file path=xl/sharedStrings.xml><?xml version="1.0" encoding="utf-8"?>
<sst xmlns="http://schemas.openxmlformats.org/spreadsheetml/2006/main" count="853" uniqueCount="325">
  <si>
    <t>Symbol Lookup</t>
  </si>
  <si>
    <t>S&amp;P 500 Index</t>
    <phoneticPr fontId="11" type="noConversion"/>
  </si>
  <si>
    <t>IPO Portfolio</t>
    <phoneticPr fontId="11" type="noConversion"/>
  </si>
  <si>
    <t>Financial</t>
  </si>
  <si>
    <t>Model Weight</t>
  </si>
  <si>
    <t>Totals</t>
  </si>
  <si>
    <t>Mkt Cap</t>
  </si>
  <si>
    <t>Large</t>
  </si>
  <si>
    <t>Discover MSN Money's tools, columns, and more!</t>
  </si>
  <si>
    <t>Get the latest from Microsoft Office</t>
  </si>
  <si>
    <t>Seidman I.P.O. Transaction History (starting 5/12/03)</t>
  </si>
  <si>
    <t>Total Value</t>
  </si>
  <si>
    <t>Commission</t>
  </si>
  <si>
    <t>Microsoft Office Tools on the Web</t>
  </si>
  <si>
    <t>Find stocks, mutual funds, options, indices, and currencies.</t>
  </si>
  <si>
    <t>BO</t>
  </si>
  <si>
    <t>BC</t>
  </si>
  <si>
    <t>SO</t>
  </si>
  <si>
    <t>Buy to Close your position, "covering a short sell."</t>
  </si>
  <si>
    <t>Materials</t>
  </si>
  <si>
    <t>Industrials</t>
  </si>
  <si>
    <t>CSCO</t>
  </si>
  <si>
    <t>ERTS</t>
  </si>
  <si>
    <t>WAG</t>
  </si>
  <si>
    <t>S&amp;P 500</t>
  </si>
  <si>
    <t>MSFT</t>
  </si>
  <si>
    <t xml:space="preserve">Petrochina ADR Representing 100 Ord Shs </t>
  </si>
  <si>
    <t>Holdings</t>
  </si>
  <si>
    <t>I.P.O.</t>
  </si>
  <si>
    <t>Comments</t>
  </si>
  <si>
    <t xml:space="preserve">1 Week </t>
  </si>
  <si>
    <t>1 Year</t>
  </si>
  <si>
    <t>2 Year</t>
  </si>
  <si>
    <t>SC</t>
    <phoneticPr fontId="11" type="noConversion"/>
  </si>
  <si>
    <t>CEDC</t>
    <phoneticPr fontId="11" type="noConversion"/>
  </si>
  <si>
    <t>CPL</t>
    <phoneticPr fontId="11" type="noConversion"/>
  </si>
  <si>
    <t>BO</t>
    <phoneticPr fontId="11" type="noConversion"/>
  </si>
  <si>
    <t>PGX</t>
    <phoneticPr fontId="11" type="noConversion"/>
  </si>
  <si>
    <t xml:space="preserve">PowerShares Preferred </t>
  </si>
  <si>
    <t>PGX</t>
    <phoneticPr fontId="11" type="noConversion"/>
  </si>
  <si>
    <t>Misc</t>
    <phoneticPr fontId="11" type="noConversion"/>
  </si>
  <si>
    <r>
      <t xml:space="preserve">Portfolio Performance &amp; Details </t>
    </r>
    <r>
      <rPr>
        <sz val="10"/>
        <rFont val="Arial"/>
        <family val="2"/>
      </rPr>
      <t>©</t>
    </r>
  </si>
  <si>
    <t>CPL</t>
  </si>
  <si>
    <t>MNT</t>
  </si>
  <si>
    <t>Mkt Cap (Billions)</t>
  </si>
  <si>
    <t>PBW</t>
  </si>
  <si>
    <t>Energy</t>
  </si>
  <si>
    <t>Telecommunications</t>
  </si>
  <si>
    <t>MMM</t>
  </si>
  <si>
    <t>QCOM</t>
  </si>
  <si>
    <t>UPS</t>
  </si>
  <si>
    <t>OPCHX</t>
  </si>
  <si>
    <t>Change</t>
  </si>
  <si>
    <t>BRK.B</t>
  </si>
  <si>
    <t xml:space="preserve">HCP Inc </t>
  </si>
  <si>
    <t>Buy Call</t>
  </si>
  <si>
    <t>Cash</t>
  </si>
  <si>
    <t>F</t>
  </si>
  <si>
    <t>HD</t>
  </si>
  <si>
    <t>INTC</t>
  </si>
  <si>
    <t>LUV</t>
  </si>
  <si>
    <t>MDT</t>
  </si>
  <si>
    <t>NVDA</t>
  </si>
  <si>
    <t>PFE</t>
  </si>
  <si>
    <t>PTR</t>
  </si>
  <si>
    <t>WFC</t>
  </si>
  <si>
    <t>Shares</t>
  </si>
  <si>
    <t>Paid</t>
  </si>
  <si>
    <t>Value</t>
  </si>
  <si>
    <t>52 Wk High</t>
  </si>
  <si>
    <t>52 Wk Low</t>
  </si>
  <si>
    <t>Market Cap</t>
  </si>
  <si>
    <t>EPS</t>
  </si>
  <si>
    <t>P/E Ratio</t>
  </si>
  <si>
    <t># Shares Out</t>
  </si>
  <si>
    <t>Chart</t>
  </si>
  <si>
    <t>News</t>
  </si>
  <si>
    <t>S&amp;P Inception % Change</t>
  </si>
  <si>
    <t>Dow Close</t>
  </si>
  <si>
    <t>Dow Weekly % Change</t>
  </si>
  <si>
    <t>Dow Inception % Change</t>
  </si>
  <si>
    <t>Nasdaq Close</t>
  </si>
  <si>
    <t>Nasdaq Weekly % Change</t>
  </si>
  <si>
    <t xml:space="preserve">Qualcomm Inc </t>
  </si>
  <si>
    <t xml:space="preserve">United Parcel Service Inc </t>
  </si>
  <si>
    <t>CEDC</t>
  </si>
  <si>
    <t>$ Value</t>
  </si>
  <si>
    <t>% Weight</t>
  </si>
  <si>
    <t>Mid</t>
  </si>
  <si>
    <t>ITRI</t>
  </si>
  <si>
    <t xml:space="preserve">Itron Inc </t>
  </si>
  <si>
    <t>SYK</t>
  </si>
  <si>
    <t xml:space="preserve">Stryker Corp </t>
  </si>
  <si>
    <t xml:space="preserve">3 Month </t>
  </si>
  <si>
    <t>6 Month</t>
  </si>
  <si>
    <t>Return Period</t>
  </si>
  <si>
    <t>Adjusted Portfolio Value</t>
  </si>
  <si>
    <t>SAHYX</t>
  </si>
  <si>
    <t>Sell to Open your position, "short selling" / options</t>
  </si>
  <si>
    <t>Sell Call</t>
  </si>
  <si>
    <t xml:space="preserve">Cisco Systems Inc </t>
  </si>
  <si>
    <t>Vote</t>
  </si>
  <si>
    <t>SC</t>
  </si>
  <si>
    <t>Types of Transactions</t>
  </si>
  <si>
    <t>Consumer Discretionary</t>
  </si>
  <si>
    <t>Consumer Staples</t>
  </si>
  <si>
    <t>Information Technology</t>
  </si>
  <si>
    <t>Sell to Close your position.</t>
  </si>
  <si>
    <t>Buy to Open your position.</t>
  </si>
  <si>
    <t>Week #</t>
  </si>
  <si>
    <t>C</t>
  </si>
  <si>
    <t xml:space="preserve">Dow Jones Industrial Average Index </t>
  </si>
  <si>
    <t xml:space="preserve">NASDAQ Composite Index </t>
  </si>
  <si>
    <t>616.902.0398</t>
  </si>
  <si>
    <t>gnar99@hotmail.com</t>
  </si>
  <si>
    <t>HNP</t>
  </si>
  <si>
    <t xml:space="preserve">1 Month </t>
  </si>
  <si>
    <t>DRI</t>
  </si>
  <si>
    <t xml:space="preserve">Tetra Tech Inc </t>
  </si>
  <si>
    <t>HCP</t>
  </si>
  <si>
    <t>TTEK</t>
  </si>
  <si>
    <t>Bond</t>
  </si>
  <si>
    <t>Created by Kristopher "Boomer" Hoppough</t>
  </si>
  <si>
    <t>hoppougk@student.gvsu.edu</t>
  </si>
  <si>
    <t>GNTX</t>
  </si>
  <si>
    <t>WMMVY</t>
  </si>
  <si>
    <t>Date</t>
  </si>
  <si>
    <t>Ticker</t>
  </si>
  <si>
    <t>Price</t>
  </si>
  <si>
    <t>Initial Cost</t>
  </si>
  <si>
    <t>Portfolio Value</t>
  </si>
  <si>
    <t>Weekly +/-</t>
  </si>
  <si>
    <t>Inception +/-</t>
  </si>
  <si>
    <t>Inception % Change</t>
  </si>
  <si>
    <t>S&amp;P Close</t>
  </si>
  <si>
    <t>S&amp;P Weekly % Change</t>
  </si>
  <si>
    <t>Stock Quotes Provided by MSN Money</t>
  </si>
  <si>
    <t>Click here to visit MSN Money</t>
  </si>
  <si>
    <t>Last</t>
  </si>
  <si>
    <t>Previous Close</t>
  </si>
  <si>
    <t>High</t>
  </si>
  <si>
    <t>Low</t>
  </si>
  <si>
    <t>Volume</t>
  </si>
  <si>
    <t>% Change</t>
  </si>
  <si>
    <t>Nasdaq Inception % Change</t>
  </si>
  <si>
    <t>-</t>
  </si>
  <si>
    <t>Weekly % Change</t>
  </si>
  <si>
    <t>Healthcare</t>
  </si>
  <si>
    <t>Utilities</t>
  </si>
  <si>
    <t>Portfolio % Weight</t>
  </si>
  <si>
    <t>Sector</t>
  </si>
  <si>
    <t xml:space="preserve">Gentex Corp </t>
  </si>
  <si>
    <t xml:space="preserve">Medtronic Inc </t>
  </si>
  <si>
    <t>Small</t>
  </si>
  <si>
    <t>Cap % Weight</t>
  </si>
  <si>
    <t>Cap $ Value</t>
  </si>
  <si>
    <t xml:space="preserve">Total </t>
  </si>
  <si>
    <t>Type</t>
  </si>
  <si>
    <t>MSN Money Home</t>
  </si>
  <si>
    <t>SINA</t>
  </si>
  <si>
    <t>Percent of S&amp;P 500 (by market capitalization %)</t>
  </si>
  <si>
    <t>Lower Range</t>
  </si>
  <si>
    <t>Upper Range</t>
  </si>
  <si>
    <t>Telecommunication Services</t>
  </si>
  <si>
    <t>Health Care</t>
  </si>
  <si>
    <t>GICS Sector</t>
  </si>
  <si>
    <t>Average Range</t>
  </si>
  <si>
    <t xml:space="preserve">Wells Fargo &amp; Co </t>
  </si>
  <si>
    <t xml:space="preserve">Xerox Corp </t>
  </si>
  <si>
    <t>XRX</t>
  </si>
  <si>
    <t xml:space="preserve">Home Depot Inc </t>
  </si>
  <si>
    <t>VALE</t>
  </si>
  <si>
    <t xml:space="preserve">Vale ADR Representing One Ord Shs </t>
  </si>
  <si>
    <t>Date of Reference</t>
  </si>
  <si>
    <t>Stock Quote Symbols</t>
  </si>
  <si>
    <t>Total</t>
  </si>
  <si>
    <t>Misc</t>
  </si>
  <si>
    <t xml:space="preserve">BlackRock Global Allocation Inv C </t>
  </si>
  <si>
    <t>GLD</t>
  </si>
  <si>
    <t>MCLOX</t>
  </si>
  <si>
    <t xml:space="preserve">.C\12A21\5.0 (Invalid symbol) </t>
  </si>
  <si>
    <t>???</t>
  </si>
  <si>
    <t xml:space="preserve">Ford Motor Co </t>
  </si>
  <si>
    <t xml:space="preserve">Berkshire Hathaway Ord Shs Class B </t>
  </si>
  <si>
    <t>QUE</t>
  </si>
  <si>
    <t>% Total Gain</t>
  </si>
  <si>
    <t>$ Total Gain</t>
  </si>
  <si>
    <t>Holding</t>
  </si>
  <si>
    <t>PGX</t>
  </si>
  <si>
    <t>PE</t>
  </si>
  <si>
    <t xml:space="preserve">Wal Mart ADR Rep Ser V 10 Ord Shs </t>
  </si>
  <si>
    <t>DATA PROVIDERS</t>
  </si>
  <si>
    <t>Quotes are real-time for NASDAQ, NYSE and AMEX. See delay times for other exchanges.</t>
  </si>
  <si>
    <t>Fundamental company data and historical chart data provided by Thomson Reuters (click for restrictions). Real-time quotes provided by BATS Exchange. Real-time index quotes and delayed quotes supplied by Interactive Data Real-Time Services. Fund summary, fund performance and dividend data provided by Morningstar Inc. Analyst recommendations provided by Zacks Investment Research. StockScouter data provided by Verus Analytics. IPO data provided by Hoover's Inc. Index membership data provided by SIX Telekurs.</t>
  </si>
  <si>
    <t>Japanese stock price data provided by Nomura Research Institute Ltd.; quotes delayed 20 minutes. Canadian fund data provided by CANNEX Financial Exchanges Ltd.</t>
  </si>
  <si>
    <t>Value on 9/6/12</t>
  </si>
  <si>
    <t xml:space="preserve">Value 1 week ago </t>
  </si>
  <si>
    <t>Semester</t>
  </si>
  <si>
    <t>Weekly</t>
  </si>
  <si>
    <t>Today</t>
  </si>
  <si>
    <t>invest@mail.gvsu.edu</t>
  </si>
  <si>
    <t>http://gvsu.edu/invest</t>
  </si>
  <si>
    <t>Berkshire Hathaway</t>
  </si>
  <si>
    <t>Ford</t>
  </si>
  <si>
    <t>Itron</t>
  </si>
  <si>
    <t>Vale</t>
  </si>
  <si>
    <t>1 Week</t>
  </si>
  <si>
    <t>Total Gain</t>
  </si>
  <si>
    <t>BlackRock Global</t>
  </si>
  <si>
    <t>Gentex</t>
  </si>
  <si>
    <t>Medtronic</t>
  </si>
  <si>
    <t>Stryker</t>
  </si>
  <si>
    <t>Cisco</t>
  </si>
  <si>
    <t>Tetra Tech</t>
  </si>
  <si>
    <t>Wells Fargo</t>
  </si>
  <si>
    <t>CPFL Energia</t>
  </si>
  <si>
    <t>Home Depot</t>
  </si>
  <si>
    <t>PowerShares</t>
  </si>
  <si>
    <t>Xerox</t>
  </si>
  <si>
    <t>http://www.marketwatch.com/investing/index/spx/historical</t>
  </si>
  <si>
    <t>Current Price</t>
  </si>
  <si>
    <t>Date Sold</t>
  </si>
  <si>
    <t>Commission Fees</t>
  </si>
  <si>
    <t>Tyson Foods</t>
  </si>
  <si>
    <t xml:space="preserve">Tyson Foods Inc </t>
  </si>
  <si>
    <t>Date Pitched</t>
  </si>
  <si>
    <t>EPS Excluding BRK.B</t>
  </si>
  <si>
    <t>% of Portfolio</t>
  </si>
  <si>
    <t>TSN</t>
  </si>
  <si>
    <t>Date Bought</t>
  </si>
  <si>
    <t>Buy Price</t>
  </si>
  <si>
    <t>Pitch Price</t>
  </si>
  <si>
    <t>Change*</t>
  </si>
  <si>
    <t>*Only incorporates change in price; Does not include commission</t>
  </si>
  <si>
    <t>Outperformed S&amp;P 500?</t>
  </si>
  <si>
    <t>Use this for historical S&amp;P closes</t>
  </si>
  <si>
    <t>% IPO Outperforemed S&amp;P 500</t>
  </si>
  <si>
    <t xml:space="preserve">Tutor Perini Corp </t>
  </si>
  <si>
    <t>TPC</t>
  </si>
  <si>
    <t>Tutor Perini</t>
  </si>
  <si>
    <t>Caterpillar</t>
  </si>
  <si>
    <t xml:space="preserve">Caterpillar Inc </t>
  </si>
  <si>
    <t>CAT</t>
  </si>
  <si>
    <t>Cash Availailable</t>
  </si>
  <si>
    <t>Outperformed Dow?</t>
  </si>
  <si>
    <t>1 = Yes, 0 = No</t>
  </si>
  <si>
    <t>http://www.marketwatch.com/investing/index/djia/historical</t>
  </si>
  <si>
    <t>Use for historical Dow closes</t>
  </si>
  <si>
    <t>% IPO Outperforemed Dow</t>
  </si>
  <si>
    <t>Cost</t>
  </si>
  <si>
    <t>Cost Basis</t>
  </si>
  <si>
    <t>Daily Return</t>
  </si>
  <si>
    <t>Disney</t>
  </si>
  <si>
    <t xml:space="preserve">Walt Disney Co </t>
  </si>
  <si>
    <t>DIS</t>
  </si>
  <si>
    <t xml:space="preserve">Natural Grocers by Vitamin Cottage Inc </t>
  </si>
  <si>
    <t>NGVC</t>
  </si>
  <si>
    <t>Natural Grocers</t>
  </si>
  <si>
    <t>Name</t>
  </si>
  <si>
    <t>PetroChina</t>
  </si>
  <si>
    <t>Sell Price</t>
  </si>
  <si>
    <t>Value 1 Week Ago</t>
  </si>
  <si>
    <t>Total Gain $</t>
  </si>
  <si>
    <t>Portfolio Weight</t>
  </si>
  <si>
    <t>Market Cap (Billions)</t>
  </si>
  <si>
    <t>% of Daily Portfolio Return</t>
  </si>
  <si>
    <t>Return since 5/02/03</t>
  </si>
  <si>
    <t>Terms of Use. © 2013 Microsoft Corporation and/or its suppliers. All rights reserved.</t>
  </si>
  <si>
    <t>Copyright © 2013 Microsoft. All rights reserved.</t>
  </si>
  <si>
    <t>Today's Value</t>
  </si>
  <si>
    <t>School Year</t>
  </si>
  <si>
    <t>IPO</t>
  </si>
  <si>
    <t>Dow Jones</t>
  </si>
  <si>
    <t>Bought This Year</t>
  </si>
  <si>
    <t>Sold This Year</t>
  </si>
  <si>
    <t>Phillips 66</t>
  </si>
  <si>
    <t>Bought this Year</t>
  </si>
  <si>
    <t>Sold this Year</t>
  </si>
  <si>
    <t>Proposed Buys This Year</t>
  </si>
  <si>
    <t>Proposed Sells this Year</t>
  </si>
  <si>
    <t>PSX</t>
  </si>
  <si>
    <t xml:space="preserve">Phillips 66 </t>
  </si>
  <si>
    <t>Proposed Sells This Year That Did Not Pass</t>
  </si>
  <si>
    <t>Proposed Buys This Year That Did Not Pass</t>
  </si>
  <si>
    <t xml:space="preserve">CPFL Energia SA </t>
  </si>
  <si>
    <t>YHOO</t>
  </si>
  <si>
    <t>Yahoo</t>
  </si>
  <si>
    <t xml:space="preserve">Yahoo! Inc </t>
  </si>
  <si>
    <t>YRCW</t>
  </si>
  <si>
    <t>YRC Worldwide</t>
  </si>
  <si>
    <t xml:space="preserve">YRC Worldwide Inc </t>
  </si>
  <si>
    <t>1 Week Ago</t>
  </si>
  <si>
    <t xml:space="preserve">Delta Air Lines Inc </t>
  </si>
  <si>
    <t>DAL</t>
  </si>
  <si>
    <t>Delta Airlines</t>
  </si>
  <si>
    <t>Summer</t>
  </si>
  <si>
    <t>Value on 4/25/13</t>
  </si>
  <si>
    <t>% of Weekly Portfolio Return</t>
  </si>
  <si>
    <t>Days Owned</t>
  </si>
  <si>
    <t>Gain</t>
  </si>
  <si>
    <t>Annualized</t>
  </si>
  <si>
    <t xml:space="preserve">S&amp;P 500 INDEX </t>
  </si>
  <si>
    <t>Wal Mart de Mexico</t>
  </si>
  <si>
    <t>Cemex</t>
  </si>
  <si>
    <t>CX</t>
  </si>
  <si>
    <t xml:space="preserve">Cemex ADR Representing 10 Par Shs </t>
  </si>
  <si>
    <t>Turner's Pitches</t>
  </si>
  <si>
    <t>IMMR</t>
  </si>
  <si>
    <t>Immersion</t>
  </si>
  <si>
    <t xml:space="preserve">Immersion Corp </t>
  </si>
  <si>
    <t>Intel</t>
  </si>
  <si>
    <t xml:space="preserve">Intel Corp </t>
  </si>
  <si>
    <t>Qualcom</t>
  </si>
  <si>
    <t>$INDU,$COMP,$INX,$COMPX,BRK.B,MCLOX,CAT,CX,CSCO,DAL,GNTX,HD,IMMR,INTC,MDT,NGVC,TPC,TSN,WFC,YHOO,YRCW,.C\12A21\5.0,VALE,CPL,SYK,PGX, PTR,UPS,F,TTEK,WMMVY,ITRI,HCP,QCOM,XRX,DIS,PSX</t>
  </si>
  <si>
    <t>Pitched By</t>
  </si>
  <si>
    <t>Turner Novak</t>
  </si>
  <si>
    <t>Mark Blazo</t>
  </si>
  <si>
    <t>Jeff Reinis</t>
  </si>
  <si>
    <t>Jake Freeland</t>
  </si>
  <si>
    <t>Caleb Pols, Chelsea Behrrens, Emir Ibrahimovic, Mark Blazo</t>
  </si>
  <si>
    <t>Eric Graverson, Turner Novak</t>
  </si>
  <si>
    <t>E-board</t>
  </si>
  <si>
    <t xml:space="preserve">Eric Graverson, Pat Scheffers, Sydney Braddock, Tyler Murray </t>
  </si>
  <si>
    <t>Will Hibler</t>
  </si>
  <si>
    <t>Hunter Lewis</t>
  </si>
</sst>
</file>

<file path=xl/styles.xml><?xml version="1.0" encoding="utf-8"?>
<styleSheet xmlns="http://schemas.openxmlformats.org/spreadsheetml/2006/main">
  <numFmts count="10">
    <numFmt numFmtId="7" formatCode="&quot;$&quot;#,##0.00_);\(&quot;$&quot;#,##0.00\)"/>
    <numFmt numFmtId="8" formatCode="&quot;$&quot;#,##0.00_);[Red]\(&quot;$&quot;#,##0.00\)"/>
    <numFmt numFmtId="44" formatCode="_(&quot;$&quot;* #,##0.00_);_(&quot;$&quot;* \(#,##0.00\);_(&quot;$&quot;* &quot;-&quot;??_);_(@_)"/>
    <numFmt numFmtId="43" formatCode="_(* #,##0.00_);_(* \(#,##0.00\);_(* &quot;-&quot;??_);_(@_)"/>
    <numFmt numFmtId="164" formatCode="0.0%"/>
    <numFmt numFmtId="165" formatCode="0.000%"/>
    <numFmt numFmtId="166" formatCode="0.00000"/>
    <numFmt numFmtId="167" formatCode="_(* #,##0_);_(* \(#,##0\);_(* &quot;-&quot;??_);_(@_)"/>
    <numFmt numFmtId="168" formatCode="#,##0.000"/>
    <numFmt numFmtId="169" formatCode="&quot;$&quot;#,##0.00"/>
  </numFmts>
  <fonts count="56">
    <font>
      <sz val="10"/>
      <name val="Arial"/>
    </font>
    <font>
      <sz val="10"/>
      <name val="Arial"/>
      <family val="2"/>
    </font>
    <font>
      <b/>
      <sz val="10"/>
      <name val="Arial"/>
      <family val="2"/>
    </font>
    <font>
      <b/>
      <u/>
      <sz val="10"/>
      <name val="Arial"/>
      <family val="2"/>
    </font>
    <font>
      <sz val="10"/>
      <name val="Arial"/>
      <family val="2"/>
    </font>
    <font>
      <i/>
      <sz val="8"/>
      <name val="Arial"/>
      <family val="2"/>
    </font>
    <font>
      <i/>
      <sz val="16"/>
      <name val="Arial"/>
      <family val="2"/>
    </font>
    <font>
      <i/>
      <sz val="10"/>
      <name val="Arial"/>
      <family val="2"/>
    </font>
    <font>
      <b/>
      <i/>
      <sz val="10"/>
      <name val="Arial"/>
      <family val="2"/>
    </font>
    <font>
      <b/>
      <sz val="14"/>
      <name val="Times New Roman"/>
      <family val="1"/>
    </font>
    <font>
      <u/>
      <sz val="10"/>
      <color indexed="12"/>
      <name val="Arial"/>
      <family val="2"/>
    </font>
    <font>
      <sz val="8"/>
      <name val="Arial"/>
      <family val="2"/>
    </font>
    <font>
      <b/>
      <i/>
      <u/>
      <sz val="10"/>
      <name val="Verdana"/>
      <family val="2"/>
    </font>
    <font>
      <i/>
      <sz val="10"/>
      <name val="Verdana"/>
      <family val="2"/>
    </font>
    <font>
      <i/>
      <u/>
      <sz val="10"/>
      <color indexed="12"/>
      <name val="Verdana"/>
      <family val="2"/>
    </font>
    <font>
      <sz val="8"/>
      <color indexed="81"/>
      <name val="Tahoma"/>
      <family val="2"/>
    </font>
    <font>
      <b/>
      <sz val="8"/>
      <color indexed="81"/>
      <name val="Tahoma"/>
      <family val="2"/>
    </font>
    <font>
      <sz val="10"/>
      <color indexed="10"/>
      <name val="Arial"/>
      <family val="2"/>
    </font>
    <font>
      <b/>
      <i/>
      <u/>
      <sz val="10"/>
      <name val="Arial"/>
      <family val="2"/>
    </font>
    <font>
      <i/>
      <u/>
      <sz val="10"/>
      <color indexed="12"/>
      <name val="Arial"/>
      <family val="2"/>
    </font>
    <font>
      <b/>
      <i/>
      <sz val="10"/>
      <color indexed="16"/>
      <name val="Arial"/>
      <family val="2"/>
    </font>
    <font>
      <i/>
      <u/>
      <sz val="10"/>
      <name val="Arial"/>
      <family val="2"/>
    </font>
    <font>
      <u/>
      <sz val="10"/>
      <color indexed="12"/>
      <name val="Arial"/>
      <family val="2"/>
    </font>
    <font>
      <b/>
      <i/>
      <u/>
      <sz val="7"/>
      <name val="Verdana"/>
      <family val="2"/>
    </font>
    <font>
      <b/>
      <i/>
      <sz val="10"/>
      <color indexed="16"/>
      <name val="Verdana"/>
      <family val="2"/>
    </font>
    <font>
      <b/>
      <u/>
      <sz val="11"/>
      <name val="Times New Roman"/>
      <family val="1"/>
    </font>
    <font>
      <sz val="10"/>
      <name val="Tahoma"/>
      <family val="2"/>
    </font>
    <font>
      <b/>
      <sz val="8"/>
      <name val="Arial"/>
      <family val="2"/>
    </font>
    <font>
      <sz val="10"/>
      <name val="MS Sans Serif"/>
      <family val="2"/>
    </font>
    <font>
      <i/>
      <sz val="10"/>
      <name val="Tahoma"/>
      <family val="2"/>
    </font>
    <font>
      <i/>
      <sz val="10"/>
      <color indexed="12"/>
      <name val="Tahoma"/>
      <family val="2"/>
    </font>
    <font>
      <b/>
      <i/>
      <sz val="10"/>
      <name val="Tahoma"/>
      <family val="2"/>
    </font>
    <font>
      <b/>
      <i/>
      <sz val="10"/>
      <color indexed="12"/>
      <name val="Tahoma"/>
      <family val="2"/>
    </font>
    <font>
      <b/>
      <sz val="10"/>
      <name val="Tahoma"/>
      <family val="2"/>
    </font>
    <font>
      <b/>
      <i/>
      <u/>
      <sz val="10"/>
      <name val="Tahoma"/>
      <family val="2"/>
    </font>
    <font>
      <b/>
      <i/>
      <sz val="10"/>
      <color indexed="17"/>
      <name val="Tahoma"/>
      <family val="2"/>
    </font>
    <font>
      <b/>
      <i/>
      <sz val="10"/>
      <color indexed="10"/>
      <name val="Tahoma"/>
      <family val="2"/>
    </font>
    <font>
      <b/>
      <i/>
      <sz val="10"/>
      <color indexed="30"/>
      <name val="Tahoma"/>
      <family val="2"/>
    </font>
    <font>
      <sz val="10"/>
      <color rgb="FFFFFFFF"/>
      <name val="Arial"/>
      <family val="2"/>
    </font>
    <font>
      <b/>
      <sz val="18"/>
      <color rgb="FFFFFFFF"/>
      <name val="Times Roman"/>
    </font>
    <font>
      <b/>
      <u/>
      <sz val="22"/>
      <name val="Arial"/>
      <family val="2"/>
    </font>
    <font>
      <u/>
      <sz val="10"/>
      <color theme="11"/>
      <name val="Arial"/>
      <family val="2"/>
    </font>
    <font>
      <sz val="12"/>
      <name val="Cambria"/>
      <family val="1"/>
    </font>
    <font>
      <b/>
      <sz val="12"/>
      <name val="Arial"/>
      <family val="2"/>
    </font>
    <font>
      <b/>
      <sz val="16"/>
      <name val="Arial"/>
      <family val="2"/>
    </font>
    <font>
      <sz val="10"/>
      <name val="Arial"/>
      <family val="2"/>
    </font>
    <font>
      <b/>
      <i/>
      <sz val="10"/>
      <name val="Verdana"/>
      <family val="2"/>
    </font>
    <font>
      <b/>
      <sz val="14"/>
      <name val="Tahoma"/>
      <family val="2"/>
    </font>
    <font>
      <sz val="10.5"/>
      <name val="Tahoma"/>
      <family val="2"/>
    </font>
    <font>
      <b/>
      <sz val="11.5"/>
      <name val="Tahoma"/>
      <family val="2"/>
    </font>
    <font>
      <b/>
      <sz val="12"/>
      <name val="Tahoma"/>
      <family val="2"/>
    </font>
    <font>
      <b/>
      <sz val="10.5"/>
      <name val="Tahoma"/>
      <family val="2"/>
    </font>
    <font>
      <u/>
      <sz val="10"/>
      <color indexed="12"/>
      <name val="Tahoma"/>
      <family val="2"/>
    </font>
    <font>
      <sz val="12"/>
      <name val="Helvetica"/>
    </font>
    <font>
      <b/>
      <sz val="12"/>
      <name val="Helvetica"/>
    </font>
    <font>
      <i/>
      <sz val="10"/>
      <name val="Arial"/>
    </font>
  </fonts>
  <fills count="13">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52"/>
        <bgColor indexed="64"/>
      </patternFill>
    </fill>
    <fill>
      <patternFill patternType="solid">
        <fgColor indexed="44"/>
        <bgColor indexed="64"/>
      </patternFill>
    </fill>
    <fill>
      <patternFill patternType="solid">
        <fgColor indexed="23"/>
        <bgColor indexed="64"/>
      </patternFill>
    </fill>
    <fill>
      <patternFill patternType="solid">
        <fgColor rgb="FFFFFFFF"/>
        <bgColor indexed="64"/>
      </patternFill>
    </fill>
    <fill>
      <patternFill patternType="solid">
        <fgColor rgb="FF000080"/>
        <bgColor indexed="64"/>
      </patternFill>
    </fill>
    <fill>
      <patternFill patternType="solid">
        <fgColor theme="0" tint="-0.14999847407452621"/>
        <bgColor indexed="64"/>
      </patternFill>
    </fill>
    <fill>
      <patternFill patternType="solid">
        <fgColor theme="0" tint="-0.24994659260841701"/>
        <bgColor indexed="64"/>
      </patternFill>
    </fill>
    <fill>
      <patternFill patternType="solid">
        <fgColor theme="1"/>
        <bgColor indexed="64"/>
      </patternFill>
    </fill>
    <fill>
      <patternFill patternType="solid">
        <fgColor theme="0"/>
        <bgColor indexed="64"/>
      </patternFill>
    </fill>
  </fills>
  <borders count="38">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bottom style="thick">
        <color auto="1"/>
      </bottom>
      <diagonal/>
    </border>
    <border>
      <left/>
      <right style="medium">
        <color auto="1"/>
      </right>
      <top/>
      <bottom style="thick">
        <color auto="1"/>
      </bottom>
      <diagonal/>
    </border>
    <border>
      <left/>
      <right/>
      <top style="medium">
        <color auto="1"/>
      </top>
      <bottom style="double">
        <color auto="1"/>
      </bottom>
      <diagonal/>
    </border>
    <border>
      <left/>
      <right style="medium">
        <color auto="1"/>
      </right>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top style="medium">
        <color auto="1"/>
      </top>
      <bottom style="double">
        <color auto="1"/>
      </bottom>
      <diagonal/>
    </border>
    <border>
      <left style="medium">
        <color auto="1"/>
      </left>
      <right/>
      <top style="medium">
        <color auto="1"/>
      </top>
      <bottom style="medium">
        <color auto="1"/>
      </bottom>
      <diagonal/>
    </border>
    <border>
      <left style="medium">
        <color auto="1"/>
      </left>
      <right/>
      <top/>
      <bottom style="double">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medium">
        <color auto="1"/>
      </right>
      <top style="medium">
        <color auto="1"/>
      </top>
      <bottom style="double">
        <color auto="1"/>
      </bottom>
      <diagonal/>
    </border>
    <border>
      <left style="thin">
        <color auto="1"/>
      </left>
      <right style="thin">
        <color auto="1"/>
      </right>
      <top/>
      <bottom/>
      <diagonal/>
    </border>
    <border>
      <left/>
      <right style="thin">
        <color auto="1"/>
      </right>
      <top/>
      <bottom/>
      <diagonal/>
    </border>
    <border>
      <left/>
      <right style="thin">
        <color auto="1"/>
      </right>
      <top style="thin">
        <color auto="1"/>
      </top>
      <bottom/>
      <diagonal/>
    </border>
    <border>
      <left style="thin">
        <color auto="1"/>
      </left>
      <right style="medium">
        <color auto="1"/>
      </right>
      <top style="medium">
        <color auto="1"/>
      </top>
      <bottom/>
      <diagonal/>
    </border>
    <border>
      <left/>
      <right/>
      <top style="thin">
        <color auto="1"/>
      </top>
      <bottom style="medium">
        <color auto="1"/>
      </bottom>
      <diagonal/>
    </border>
    <border>
      <left/>
      <right/>
      <top/>
      <bottom style="double">
        <color auto="1"/>
      </bottom>
      <diagonal/>
    </border>
    <border>
      <left/>
      <right style="medium">
        <color auto="1"/>
      </right>
      <top/>
      <bottom style="double">
        <color auto="1"/>
      </bottom>
      <diagonal/>
    </border>
    <border>
      <left style="thin">
        <color rgb="FFFFFFFF"/>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right/>
      <top style="thin">
        <color rgb="FFFFFFFF"/>
      </top>
      <bottom style="thin">
        <color rgb="FFFFFFFF"/>
      </bottom>
      <diagonal/>
    </border>
    <border>
      <left/>
      <right style="medium">
        <color rgb="FF000000"/>
      </right>
      <top/>
      <bottom style="medium">
        <color auto="1"/>
      </bottom>
      <diagonal/>
    </border>
    <border>
      <left/>
      <right style="medium">
        <color rgb="FF000000"/>
      </right>
      <top style="medium">
        <color auto="1"/>
      </top>
      <bottom/>
      <diagonal/>
    </border>
    <border>
      <left style="thin">
        <color rgb="FF000000"/>
      </left>
      <right style="thin">
        <color rgb="FF000000"/>
      </right>
      <top style="thin">
        <color rgb="FF000000"/>
      </top>
      <bottom style="thin">
        <color rgb="FF000000"/>
      </bottom>
      <diagonal/>
    </border>
    <border>
      <left/>
      <right/>
      <top style="thick">
        <color auto="1"/>
      </top>
      <bottom/>
      <diagonal/>
    </border>
    <border>
      <left/>
      <right/>
      <top/>
      <bottom style="thin">
        <color auto="1"/>
      </bottom>
      <diagonal/>
    </border>
    <border>
      <left/>
      <right/>
      <top style="thin">
        <color auto="1"/>
      </top>
      <bottom/>
      <diagonal/>
    </border>
  </borders>
  <cellStyleXfs count="109">
    <xf numFmtId="0" fontId="0" fillId="0" borderId="0"/>
    <xf numFmtId="43" fontId="1" fillId="0" borderId="0" applyFont="0" applyFill="0" applyBorder="0" applyAlignment="0" applyProtection="0"/>
    <xf numFmtId="44" fontId="1" fillId="0" borderId="0" applyFont="0" applyFill="0" applyBorder="0" applyAlignment="0" applyProtection="0"/>
    <xf numFmtId="0" fontId="10" fillId="0" borderId="0" applyNumberFormat="0" applyFill="0" applyBorder="0" applyAlignment="0" applyProtection="0">
      <alignment vertical="top"/>
      <protection locked="0"/>
    </xf>
    <xf numFmtId="9" fontId="1" fillId="0" borderId="0" applyFon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1" fillId="0" borderId="0"/>
  </cellStyleXfs>
  <cellXfs count="535">
    <xf numFmtId="0" fontId="0" fillId="0" borderId="0" xfId="0"/>
    <xf numFmtId="14" fontId="0" fillId="0" borderId="0" xfId="0" applyNumberFormat="1" applyFill="1"/>
    <xf numFmtId="40" fontId="0" fillId="0" borderId="0" xfId="0" applyNumberFormat="1" applyFill="1"/>
    <xf numFmtId="0" fontId="13" fillId="2" borderId="0" xfId="0" applyFont="1" applyFill="1" applyBorder="1"/>
    <xf numFmtId="0" fontId="13" fillId="0" borderId="1" xfId="0" applyFont="1" applyFill="1" applyBorder="1"/>
    <xf numFmtId="0" fontId="13" fillId="0" borderId="2" xfId="0" applyFont="1" applyFill="1" applyBorder="1"/>
    <xf numFmtId="0" fontId="13" fillId="0" borderId="3" xfId="0" applyFont="1" applyFill="1" applyBorder="1"/>
    <xf numFmtId="0" fontId="13" fillId="0" borderId="4" xfId="0" applyFont="1" applyFill="1" applyBorder="1"/>
    <xf numFmtId="0" fontId="13" fillId="0" borderId="5" xfId="0" applyFont="1" applyFill="1" applyBorder="1"/>
    <xf numFmtId="0" fontId="12" fillId="0" borderId="4" xfId="0" applyFont="1" applyFill="1" applyBorder="1" applyAlignment="1">
      <alignment shrinkToFit="1"/>
    </xf>
    <xf numFmtId="0" fontId="13" fillId="0" borderId="6" xfId="0" applyFont="1" applyFill="1" applyBorder="1"/>
    <xf numFmtId="0" fontId="13" fillId="0" borderId="2" xfId="0" applyFont="1" applyFill="1" applyBorder="1" applyAlignment="1">
      <alignment horizontal="center"/>
    </xf>
    <xf numFmtId="0" fontId="13" fillId="2" borderId="2" xfId="0" applyFont="1" applyFill="1" applyBorder="1"/>
    <xf numFmtId="0" fontId="13" fillId="2" borderId="7" xfId="0" applyFont="1" applyFill="1" applyBorder="1"/>
    <xf numFmtId="0" fontId="13" fillId="2" borderId="8" xfId="0" applyFont="1" applyFill="1" applyBorder="1"/>
    <xf numFmtId="0" fontId="13" fillId="2" borderId="1" xfId="0" applyFont="1" applyFill="1" applyBorder="1"/>
    <xf numFmtId="0" fontId="13" fillId="2" borderId="2" xfId="0" applyFont="1" applyFill="1" applyBorder="1" applyAlignment="1">
      <alignment horizontal="center"/>
    </xf>
    <xf numFmtId="0" fontId="13" fillId="2" borderId="3" xfId="0" applyFont="1" applyFill="1" applyBorder="1"/>
    <xf numFmtId="0" fontId="13" fillId="2" borderId="4" xfId="0" applyFont="1" applyFill="1" applyBorder="1"/>
    <xf numFmtId="0" fontId="13" fillId="2" borderId="5" xfId="0" applyFont="1" applyFill="1" applyBorder="1"/>
    <xf numFmtId="0" fontId="12" fillId="2" borderId="4" xfId="0" applyFont="1" applyFill="1" applyBorder="1" applyAlignment="1">
      <alignment shrinkToFit="1"/>
    </xf>
    <xf numFmtId="0" fontId="13" fillId="2" borderId="7" xfId="0" applyFont="1" applyFill="1" applyBorder="1" applyAlignment="1">
      <alignment horizontal="center"/>
    </xf>
    <xf numFmtId="0" fontId="0" fillId="0" borderId="4" xfId="0" applyBorder="1"/>
    <xf numFmtId="0" fontId="0" fillId="0" borderId="0" xfId="0" applyBorder="1"/>
    <xf numFmtId="0" fontId="0" fillId="0" borderId="5" xfId="0" applyBorder="1"/>
    <xf numFmtId="0" fontId="2" fillId="0" borderId="0" xfId="0" applyFont="1" applyBorder="1"/>
    <xf numFmtId="0" fontId="0" fillId="0" borderId="9" xfId="0" applyBorder="1"/>
    <xf numFmtId="0" fontId="0" fillId="0" borderId="0" xfId="0" applyFill="1" applyAlignment="1">
      <alignment horizontal="center" vertical="center" shrinkToFit="1"/>
    </xf>
    <xf numFmtId="14" fontId="4" fillId="0" borderId="0" xfId="0" applyNumberFormat="1" applyFont="1" applyFill="1" applyBorder="1" applyAlignment="1">
      <alignment vertical="center" shrinkToFit="1"/>
    </xf>
    <xf numFmtId="40" fontId="7" fillId="0" borderId="0" xfId="0" applyNumberFormat="1" applyFont="1" applyFill="1" applyBorder="1" applyAlignment="1">
      <alignment vertical="center" shrinkToFit="1"/>
    </xf>
    <xf numFmtId="40" fontId="7" fillId="0" borderId="0" xfId="0" applyNumberFormat="1" applyFont="1" applyFill="1" applyBorder="1" applyAlignment="1">
      <alignment horizontal="center" vertical="center" shrinkToFit="1"/>
    </xf>
    <xf numFmtId="10" fontId="7" fillId="0" borderId="0" xfId="0" applyNumberFormat="1" applyFont="1" applyFill="1" applyBorder="1" applyAlignment="1">
      <alignment horizontal="center" vertical="center" shrinkToFit="1"/>
    </xf>
    <xf numFmtId="10" fontId="7" fillId="0" borderId="0" xfId="0" applyNumberFormat="1" applyFont="1" applyFill="1" applyBorder="1" applyAlignment="1">
      <alignment horizontal="center" vertical="center"/>
    </xf>
    <xf numFmtId="0" fontId="0" fillId="0" borderId="0" xfId="0" applyBorder="1" applyAlignment="1">
      <alignment horizontal="center"/>
    </xf>
    <xf numFmtId="44" fontId="0" fillId="0" borderId="0" xfId="0" applyNumberFormat="1" applyBorder="1" applyAlignment="1">
      <alignment horizontal="center"/>
    </xf>
    <xf numFmtId="43" fontId="0" fillId="0" borderId="0" xfId="0" applyNumberFormat="1" applyBorder="1" applyAlignment="1">
      <alignment horizontal="center"/>
    </xf>
    <xf numFmtId="14" fontId="0" fillId="0" borderId="4" xfId="0" applyNumberFormat="1" applyBorder="1" applyAlignment="1">
      <alignment horizontal="left"/>
    </xf>
    <xf numFmtId="0" fontId="0" fillId="0" borderId="4" xfId="0" applyBorder="1" applyAlignment="1">
      <alignment horizontal="left"/>
    </xf>
    <xf numFmtId="9" fontId="0" fillId="0" borderId="0" xfId="0" applyNumberFormat="1" applyBorder="1" applyAlignment="1">
      <alignment horizontal="center" shrinkToFit="1"/>
    </xf>
    <xf numFmtId="0" fontId="0" fillId="0" borderId="5" xfId="0" applyBorder="1" applyAlignment="1">
      <alignment horizontal="center"/>
    </xf>
    <xf numFmtId="9" fontId="0" fillId="0" borderId="0" xfId="4" applyFont="1" applyBorder="1" applyAlignment="1">
      <alignment horizontal="center"/>
    </xf>
    <xf numFmtId="9" fontId="0" fillId="0" borderId="0" xfId="0" applyNumberFormat="1" applyBorder="1" applyAlignment="1">
      <alignment horizontal="center"/>
    </xf>
    <xf numFmtId="0" fontId="0" fillId="0" borderId="10" xfId="0" applyBorder="1"/>
    <xf numFmtId="0" fontId="0" fillId="0" borderId="11" xfId="0" applyBorder="1"/>
    <xf numFmtId="0" fontId="0" fillId="0" borderId="0" xfId="0" applyFill="1" applyBorder="1" applyAlignment="1">
      <alignment horizontal="center"/>
    </xf>
    <xf numFmtId="0" fontId="0" fillId="0" borderId="3" xfId="0" applyBorder="1"/>
    <xf numFmtId="0" fontId="29" fillId="0" borderId="12" xfId="0" applyFont="1" applyFill="1" applyBorder="1"/>
    <xf numFmtId="0" fontId="30" fillId="0" borderId="12" xfId="0" applyFont="1" applyFill="1" applyBorder="1"/>
    <xf numFmtId="0" fontId="29" fillId="0" borderId="0" xfId="0" applyFont="1" applyFill="1" applyBorder="1"/>
    <xf numFmtId="44" fontId="33" fillId="3" borderId="12" xfId="0" applyNumberFormat="1" applyFont="1" applyFill="1" applyBorder="1" applyAlignment="1">
      <alignment horizontal="center"/>
    </xf>
    <xf numFmtId="44" fontId="33" fillId="3" borderId="12" xfId="0" applyNumberFormat="1" applyFont="1" applyFill="1" applyBorder="1" applyAlignment="1">
      <alignment horizontal="left"/>
    </xf>
    <xf numFmtId="0" fontId="7" fillId="2" borderId="0" xfId="0" applyFont="1" applyFill="1" applyBorder="1"/>
    <xf numFmtId="0" fontId="7" fillId="2" borderId="0" xfId="0" applyFont="1" applyFill="1" applyBorder="1" applyAlignment="1">
      <alignment horizontal="center"/>
    </xf>
    <xf numFmtId="0" fontId="8" fillId="2" borderId="0" xfId="0" applyFont="1" applyFill="1" applyBorder="1" applyAlignment="1">
      <alignment horizontal="center"/>
    </xf>
    <xf numFmtId="0" fontId="7" fillId="2" borderId="0" xfId="0" applyFont="1" applyFill="1"/>
    <xf numFmtId="0" fontId="14" fillId="2" borderId="0" xfId="3" applyFont="1" applyFill="1" applyBorder="1" applyAlignment="1" applyProtection="1">
      <alignment horizontal="left"/>
    </xf>
    <xf numFmtId="0" fontId="13" fillId="2" borderId="0" xfId="0" applyFont="1" applyFill="1"/>
    <xf numFmtId="0" fontId="18" fillId="2" borderId="0" xfId="0" applyFont="1" applyFill="1" applyBorder="1" applyAlignment="1">
      <alignment horizontal="center"/>
    </xf>
    <xf numFmtId="0" fontId="18" fillId="2" borderId="0" xfId="0" applyFont="1" applyFill="1" applyBorder="1" applyAlignment="1">
      <alignment horizontal="center" shrinkToFit="1"/>
    </xf>
    <xf numFmtId="0" fontId="29" fillId="2" borderId="0" xfId="0" applyFont="1" applyFill="1" applyBorder="1" applyAlignment="1">
      <alignment horizontal="left"/>
    </xf>
    <xf numFmtId="0" fontId="29" fillId="2" borderId="0" xfId="0" applyFont="1" applyFill="1" applyBorder="1" applyAlignment="1">
      <alignment horizontal="center"/>
    </xf>
    <xf numFmtId="0" fontId="29" fillId="2" borderId="0" xfId="0" applyFont="1" applyFill="1" applyBorder="1"/>
    <xf numFmtId="0" fontId="29" fillId="2" borderId="0" xfId="0" applyFont="1" applyFill="1"/>
    <xf numFmtId="2" fontId="7" fillId="2" borderId="0" xfId="0" applyNumberFormat="1" applyFont="1" applyFill="1" applyBorder="1" applyAlignment="1">
      <alignment horizontal="center"/>
    </xf>
    <xf numFmtId="10" fontId="7" fillId="2" borderId="0" xfId="4" applyNumberFormat="1" applyFont="1" applyFill="1" applyBorder="1" applyAlignment="1">
      <alignment horizontal="center"/>
    </xf>
    <xf numFmtId="0" fontId="29" fillId="2" borderId="0" xfId="0" applyFont="1" applyFill="1" applyBorder="1" applyAlignment="1">
      <alignment horizontal="left" shrinkToFit="1"/>
    </xf>
    <xf numFmtId="0" fontId="29" fillId="2" borderId="0" xfId="0" applyFont="1" applyFill="1" applyBorder="1" applyAlignment="1">
      <alignment shrinkToFit="1"/>
    </xf>
    <xf numFmtId="2" fontId="20" fillId="2" borderId="0" xfId="0" applyNumberFormat="1" applyFont="1" applyFill="1" applyBorder="1" applyAlignment="1">
      <alignment horizontal="center"/>
    </xf>
    <xf numFmtId="10" fontId="20" fillId="2" borderId="0" xfId="4" applyNumberFormat="1" applyFont="1" applyFill="1" applyBorder="1" applyAlignment="1">
      <alignment horizontal="center"/>
    </xf>
    <xf numFmtId="0" fontId="20" fillId="2" borderId="0" xfId="0" applyFont="1" applyFill="1" applyBorder="1" applyAlignment="1">
      <alignment horizontal="left"/>
    </xf>
    <xf numFmtId="0" fontId="20" fillId="2" borderId="0" xfId="0" applyFont="1" applyFill="1" applyBorder="1"/>
    <xf numFmtId="0" fontId="20" fillId="2" borderId="0" xfId="0" applyFont="1" applyFill="1"/>
    <xf numFmtId="0" fontId="24" fillId="2" borderId="0" xfId="0" applyFont="1" applyFill="1" applyBorder="1"/>
    <xf numFmtId="0" fontId="7" fillId="2" borderId="0" xfId="0" applyFont="1" applyFill="1" applyAlignment="1">
      <alignment horizontal="center"/>
    </xf>
    <xf numFmtId="0" fontId="7" fillId="2" borderId="7" xfId="0" applyFont="1" applyFill="1" applyBorder="1"/>
    <xf numFmtId="0" fontId="7" fillId="2" borderId="7" xfId="0" applyFont="1" applyFill="1" applyBorder="1" applyAlignment="1">
      <alignment horizontal="center"/>
    </xf>
    <xf numFmtId="0" fontId="28" fillId="2" borderId="2" xfId="0" applyFont="1" applyFill="1" applyBorder="1" applyAlignment="1">
      <alignment horizontal="center"/>
    </xf>
    <xf numFmtId="43" fontId="26" fillId="2" borderId="2" xfId="1" applyFont="1" applyFill="1" applyBorder="1" applyAlignment="1">
      <alignment horizontal="center"/>
    </xf>
    <xf numFmtId="0" fontId="26" fillId="2" borderId="2" xfId="0" applyFont="1" applyFill="1" applyBorder="1" applyAlignment="1">
      <alignment horizontal="center"/>
    </xf>
    <xf numFmtId="44" fontId="26" fillId="2" borderId="2" xfId="2" applyNumberFormat="1" applyFont="1" applyFill="1" applyBorder="1" applyAlignment="1">
      <alignment horizontal="center"/>
    </xf>
    <xf numFmtId="43" fontId="26" fillId="2" borderId="2" xfId="1" applyNumberFormat="1" applyFont="1" applyFill="1" applyBorder="1" applyAlignment="1">
      <alignment horizontal="center"/>
    </xf>
    <xf numFmtId="44" fontId="26" fillId="2" borderId="2" xfId="0" applyNumberFormat="1" applyFont="1" applyFill="1" applyBorder="1" applyAlignment="1">
      <alignment horizontal="left"/>
    </xf>
    <xf numFmtId="10" fontId="33" fillId="2" borderId="2" xfId="4" applyNumberFormat="1" applyFont="1" applyFill="1" applyBorder="1" applyAlignment="1">
      <alignment horizontal="right"/>
    </xf>
    <xf numFmtId="8" fontId="33" fillId="2" borderId="2" xfId="0" applyNumberFormat="1" applyFont="1" applyFill="1" applyBorder="1" applyAlignment="1">
      <alignment horizontal="right"/>
    </xf>
    <xf numFmtId="0" fontId="29" fillId="2" borderId="2" xfId="0" applyFont="1" applyFill="1" applyBorder="1" applyAlignment="1">
      <alignment horizontal="center" shrinkToFit="1"/>
    </xf>
    <xf numFmtId="165" fontId="29" fillId="2" borderId="2" xfId="4" applyNumberFormat="1" applyFont="1" applyFill="1" applyBorder="1" applyAlignment="1">
      <alignment horizontal="center"/>
    </xf>
    <xf numFmtId="40" fontId="29" fillId="2" borderId="2" xfId="0" applyNumberFormat="1" applyFont="1" applyFill="1" applyBorder="1" applyAlignment="1">
      <alignment horizontal="left"/>
    </xf>
    <xf numFmtId="8" fontId="32" fillId="2" borderId="2" xfId="0" applyNumberFormat="1" applyFont="1" applyFill="1" applyBorder="1" applyAlignment="1">
      <alignment horizontal="left"/>
    </xf>
    <xf numFmtId="0" fontId="7" fillId="2" borderId="2" xfId="0" applyFont="1" applyFill="1" applyBorder="1"/>
    <xf numFmtId="0" fontId="7" fillId="2" borderId="2" xfId="0" applyFont="1" applyFill="1" applyBorder="1" applyAlignment="1">
      <alignment horizontal="center"/>
    </xf>
    <xf numFmtId="0" fontId="7" fillId="2" borderId="0" xfId="0" applyFont="1" applyFill="1" applyBorder="1" applyAlignment="1"/>
    <xf numFmtId="0" fontId="7" fillId="2" borderId="1" xfId="0" applyFont="1" applyFill="1" applyBorder="1"/>
    <xf numFmtId="0" fontId="7" fillId="2" borderId="3" xfId="0" applyFont="1" applyFill="1" applyBorder="1" applyAlignment="1">
      <alignment horizontal="center"/>
    </xf>
    <xf numFmtId="0" fontId="7" fillId="2" borderId="4" xfId="0" applyFont="1" applyFill="1" applyBorder="1"/>
    <xf numFmtId="0" fontId="7" fillId="2" borderId="5" xfId="0" applyFont="1" applyFill="1" applyBorder="1" applyAlignment="1">
      <alignment horizontal="center"/>
    </xf>
    <xf numFmtId="0" fontId="19" fillId="2" borderId="0" xfId="3" applyFont="1" applyFill="1" applyBorder="1" applyAlignment="1" applyProtection="1"/>
    <xf numFmtId="0" fontId="19" fillId="2" borderId="4" xfId="3" applyFont="1" applyFill="1" applyBorder="1" applyAlignment="1" applyProtection="1"/>
    <xf numFmtId="0" fontId="19" fillId="2" borderId="6" xfId="3" applyFont="1" applyFill="1" applyBorder="1" applyAlignment="1" applyProtection="1"/>
    <xf numFmtId="0" fontId="7" fillId="2" borderId="13" xfId="0" applyFont="1" applyFill="1" applyBorder="1" applyAlignment="1">
      <alignment horizontal="center"/>
    </xf>
    <xf numFmtId="0" fontId="4" fillId="2" borderId="0" xfId="0" applyFont="1" applyFill="1"/>
    <xf numFmtId="0" fontId="22" fillId="2" borderId="0" xfId="3" applyFont="1" applyFill="1" applyAlignment="1" applyProtection="1"/>
    <xf numFmtId="10" fontId="33" fillId="0" borderId="0" xfId="4" applyNumberFormat="1" applyFont="1" applyFill="1" applyBorder="1" applyAlignment="1">
      <alignment horizontal="right"/>
    </xf>
    <xf numFmtId="0" fontId="25" fillId="0" borderId="1" xfId="0" applyFont="1" applyFill="1" applyBorder="1" applyAlignment="1">
      <alignment horizontal="center"/>
    </xf>
    <xf numFmtId="0" fontId="25" fillId="0" borderId="2" xfId="0" applyFont="1" applyFill="1" applyBorder="1" applyAlignment="1">
      <alignment horizontal="center" shrinkToFit="1"/>
    </xf>
    <xf numFmtId="0" fontId="28" fillId="0" borderId="4" xfId="0" applyFont="1" applyFill="1" applyBorder="1" applyAlignment="1">
      <alignment horizontal="center"/>
    </xf>
    <xf numFmtId="0" fontId="23" fillId="0" borderId="14" xfId="0" applyFont="1" applyFill="1" applyBorder="1" applyAlignment="1">
      <alignment horizontal="center"/>
    </xf>
    <xf numFmtId="165" fontId="29" fillId="0" borderId="15" xfId="4" applyNumberFormat="1" applyFont="1" applyFill="1" applyBorder="1" applyAlignment="1">
      <alignment horizontal="center"/>
    </xf>
    <xf numFmtId="8" fontId="31" fillId="0" borderId="4" xfId="0" applyNumberFormat="1" applyFont="1" applyFill="1" applyBorder="1" applyAlignment="1">
      <alignment horizontal="left"/>
    </xf>
    <xf numFmtId="8" fontId="31" fillId="0" borderId="5" xfId="0" applyNumberFormat="1" applyFont="1" applyFill="1" applyBorder="1" applyAlignment="1">
      <alignment horizontal="left"/>
    </xf>
    <xf numFmtId="8" fontId="26" fillId="0" borderId="5" xfId="0" applyNumberFormat="1" applyFont="1" applyFill="1" applyBorder="1" applyAlignment="1">
      <alignment horizontal="center"/>
    </xf>
    <xf numFmtId="40" fontId="26" fillId="0" borderId="4" xfId="0" applyNumberFormat="1" applyFont="1" applyFill="1" applyBorder="1" applyAlignment="1">
      <alignment horizontal="center"/>
    </xf>
    <xf numFmtId="0" fontId="25" fillId="0" borderId="1" xfId="0" applyFont="1" applyFill="1" applyBorder="1" applyAlignment="1">
      <alignment horizontal="center" shrinkToFit="1"/>
    </xf>
    <xf numFmtId="0" fontId="25" fillId="0" borderId="3" xfId="0" applyFont="1" applyFill="1" applyBorder="1" applyAlignment="1">
      <alignment horizontal="center" shrinkToFit="1"/>
    </xf>
    <xf numFmtId="0" fontId="25" fillId="0" borderId="14" xfId="0" applyFont="1" applyFill="1" applyBorder="1" applyAlignment="1">
      <alignment horizontal="center" shrinkToFit="1"/>
    </xf>
    <xf numFmtId="0" fontId="13" fillId="0" borderId="16" xfId="0" applyFont="1" applyFill="1" applyBorder="1"/>
    <xf numFmtId="0" fontId="29" fillId="0" borderId="12" xfId="0" applyFont="1" applyFill="1" applyBorder="1" applyAlignment="1">
      <alignment horizontal="center"/>
    </xf>
    <xf numFmtId="0" fontId="33" fillId="0" borderId="12" xfId="0" applyFont="1" applyFill="1" applyBorder="1" applyAlignment="1">
      <alignment horizontal="center"/>
    </xf>
    <xf numFmtId="9" fontId="29" fillId="0" borderId="12" xfId="4" applyNumberFormat="1" applyFont="1" applyFill="1" applyBorder="1" applyAlignment="1">
      <alignment horizontal="center"/>
    </xf>
    <xf numFmtId="44" fontId="33" fillId="4" borderId="12" xfId="0" applyNumberFormat="1" applyFont="1" applyFill="1" applyBorder="1"/>
    <xf numFmtId="0" fontId="13" fillId="2" borderId="0" xfId="0" applyFont="1" applyFill="1" applyAlignment="1">
      <alignment horizontal="center"/>
    </xf>
    <xf numFmtId="0" fontId="13" fillId="2" borderId="0" xfId="0" applyFont="1" applyFill="1" applyBorder="1" applyAlignment="1">
      <alignment horizontal="center"/>
    </xf>
    <xf numFmtId="0" fontId="13" fillId="0" borderId="13" xfId="0" applyFont="1" applyFill="1" applyBorder="1"/>
    <xf numFmtId="0" fontId="13" fillId="0" borderId="7" xfId="0" applyFont="1" applyFill="1" applyBorder="1"/>
    <xf numFmtId="0" fontId="13" fillId="0" borderId="7" xfId="0" applyFont="1" applyFill="1" applyBorder="1" applyAlignment="1">
      <alignment horizontal="center"/>
    </xf>
    <xf numFmtId="0" fontId="26" fillId="0" borderId="4" xfId="0" applyFont="1" applyFill="1" applyBorder="1" applyAlignment="1">
      <alignment shrinkToFit="1"/>
    </xf>
    <xf numFmtId="9" fontId="29" fillId="0" borderId="0" xfId="4" applyNumberFormat="1" applyFont="1" applyFill="1" applyBorder="1" applyAlignment="1">
      <alignment horizontal="center"/>
    </xf>
    <xf numFmtId="164" fontId="29" fillId="0" borderId="0" xfId="4" applyNumberFormat="1" applyFont="1" applyFill="1" applyBorder="1" applyAlignment="1">
      <alignment horizontal="center"/>
    </xf>
    <xf numFmtId="0" fontId="26" fillId="2" borderId="4" xfId="0" applyFont="1" applyFill="1" applyBorder="1" applyAlignment="1">
      <alignment shrinkToFit="1"/>
    </xf>
    <xf numFmtId="9" fontId="29" fillId="2" borderId="0" xfId="4" applyNumberFormat="1" applyFont="1" applyFill="1" applyBorder="1" applyAlignment="1">
      <alignment horizontal="center"/>
    </xf>
    <xf numFmtId="164" fontId="29" fillId="2" borderId="0" xfId="4" applyNumberFormat="1" applyFont="1" applyFill="1" applyBorder="1" applyAlignment="1">
      <alignment horizontal="center"/>
    </xf>
    <xf numFmtId="0" fontId="31" fillId="0" borderId="17" xfId="0" applyFont="1" applyFill="1" applyBorder="1"/>
    <xf numFmtId="167" fontId="31" fillId="0" borderId="8" xfId="1" applyNumberFormat="1" applyFont="1" applyFill="1" applyBorder="1" applyAlignment="1">
      <alignment horizontal="center"/>
    </xf>
    <xf numFmtId="9" fontId="31" fillId="0" borderId="8" xfId="4" applyNumberFormat="1" applyFont="1" applyFill="1" applyBorder="1" applyAlignment="1">
      <alignment horizontal="center"/>
    </xf>
    <xf numFmtId="0" fontId="31" fillId="0" borderId="8" xfId="0" applyFont="1" applyFill="1" applyBorder="1"/>
    <xf numFmtId="1" fontId="31" fillId="0" borderId="9" xfId="0" applyNumberFormat="1" applyFont="1" applyFill="1" applyBorder="1" applyAlignment="1">
      <alignment horizontal="center"/>
    </xf>
    <xf numFmtId="0" fontId="34" fillId="0" borderId="1" xfId="0" applyFont="1" applyFill="1" applyBorder="1" applyAlignment="1">
      <alignment horizontal="center"/>
    </xf>
    <xf numFmtId="0" fontId="34" fillId="0" borderId="2" xfId="0" applyFont="1" applyFill="1" applyBorder="1" applyAlignment="1">
      <alignment horizontal="center"/>
    </xf>
    <xf numFmtId="2" fontId="0" fillId="0" borderId="0" xfId="0" applyNumberFormat="1" applyFill="1"/>
    <xf numFmtId="0" fontId="13" fillId="2" borderId="8" xfId="0" applyFont="1" applyFill="1" applyBorder="1" applyAlignment="1">
      <alignment horizontal="center"/>
    </xf>
    <xf numFmtId="0" fontId="4" fillId="0" borderId="4" xfId="0" applyFont="1" applyFill="1" applyBorder="1" applyAlignment="1">
      <alignment horizontal="center"/>
    </xf>
    <xf numFmtId="0" fontId="4" fillId="0" borderId="18" xfId="0" applyFont="1" applyFill="1" applyBorder="1" applyAlignment="1">
      <alignment horizontal="center"/>
    </xf>
    <xf numFmtId="0" fontId="8" fillId="0" borderId="6" xfId="0" applyFont="1" applyFill="1" applyBorder="1" applyAlignment="1">
      <alignment horizontal="center"/>
    </xf>
    <xf numFmtId="40" fontId="29" fillId="2" borderId="0" xfId="0" applyNumberFormat="1" applyFont="1" applyFill="1" applyBorder="1"/>
    <xf numFmtId="0" fontId="29" fillId="0" borderId="15" xfId="0" applyFont="1" applyBorder="1" applyAlignment="1">
      <alignment horizontal="center"/>
    </xf>
    <xf numFmtId="0" fontId="29" fillId="0" borderId="15" xfId="0" applyFont="1" applyBorder="1" applyAlignment="1">
      <alignment horizontal="center" shrinkToFit="1"/>
    </xf>
    <xf numFmtId="0" fontId="13" fillId="2" borderId="13" xfId="0" applyFont="1" applyFill="1" applyBorder="1"/>
    <xf numFmtId="0" fontId="13" fillId="2" borderId="6" xfId="0" applyFont="1" applyFill="1" applyBorder="1"/>
    <xf numFmtId="8" fontId="35" fillId="0" borderId="5" xfId="0" applyNumberFormat="1" applyFont="1" applyFill="1" applyBorder="1" applyAlignment="1">
      <alignment horizontal="left"/>
    </xf>
    <xf numFmtId="0" fontId="26" fillId="0" borderId="0" xfId="0" applyFont="1" applyFill="1" applyBorder="1" applyAlignment="1">
      <alignment shrinkToFit="1"/>
    </xf>
    <xf numFmtId="0" fontId="1" fillId="0" borderId="0" xfId="0" applyFont="1" applyBorder="1" applyAlignment="1">
      <alignment horizontal="center"/>
    </xf>
    <xf numFmtId="0" fontId="1" fillId="0" borderId="0" xfId="0" applyFont="1" applyBorder="1"/>
    <xf numFmtId="2" fontId="0" fillId="0" borderId="0" xfId="0" applyNumberFormat="1" applyBorder="1" applyAlignment="1">
      <alignment horizontal="center"/>
    </xf>
    <xf numFmtId="2" fontId="0" fillId="0" borderId="0" xfId="0" applyNumberFormat="1" applyFill="1" applyBorder="1" applyAlignment="1">
      <alignment horizontal="center"/>
    </xf>
    <xf numFmtId="14" fontId="0" fillId="5" borderId="4" xfId="0" applyNumberFormat="1" applyFill="1" applyBorder="1" applyAlignment="1">
      <alignment horizontal="left"/>
    </xf>
    <xf numFmtId="0" fontId="1" fillId="5" borderId="0" xfId="0" applyFont="1" applyFill="1" applyBorder="1" applyAlignment="1">
      <alignment horizontal="center"/>
    </xf>
    <xf numFmtId="2" fontId="0" fillId="5" borderId="0" xfId="0" applyNumberFormat="1" applyFill="1" applyBorder="1" applyAlignment="1">
      <alignment horizontal="center"/>
    </xf>
    <xf numFmtId="0" fontId="0" fillId="5" borderId="0" xfId="0" applyFill="1" applyBorder="1" applyAlignment="1">
      <alignment horizontal="center"/>
    </xf>
    <xf numFmtId="9" fontId="0" fillId="5" borderId="0" xfId="0" applyNumberFormat="1" applyFill="1" applyBorder="1" applyAlignment="1">
      <alignment horizontal="center"/>
    </xf>
    <xf numFmtId="0" fontId="1" fillId="5" borderId="5" xfId="0" applyFont="1" applyFill="1" applyBorder="1"/>
    <xf numFmtId="8" fontId="36" fillId="0" borderId="5" xfId="0" applyNumberFormat="1" applyFont="1" applyFill="1" applyBorder="1" applyAlignment="1">
      <alignment horizontal="left"/>
    </xf>
    <xf numFmtId="9" fontId="1" fillId="0" borderId="0" xfId="0" applyNumberFormat="1" applyFont="1" applyBorder="1" applyAlignment="1">
      <alignment horizontal="center"/>
    </xf>
    <xf numFmtId="0" fontId="29" fillId="0" borderId="4" xfId="0" applyFont="1" applyFill="1" applyBorder="1" applyAlignment="1">
      <alignment horizontal="center" vertical="center"/>
    </xf>
    <xf numFmtId="10" fontId="29" fillId="0" borderId="0" xfId="0" applyNumberFormat="1" applyFont="1" applyFill="1" applyBorder="1" applyAlignment="1">
      <alignment horizontal="center" vertical="center"/>
    </xf>
    <xf numFmtId="0" fontId="29" fillId="0" borderId="6" xfId="0" applyFont="1" applyFill="1" applyBorder="1" applyAlignment="1">
      <alignment horizontal="center" vertical="center"/>
    </xf>
    <xf numFmtId="1" fontId="7" fillId="2" borderId="0" xfId="0" applyNumberFormat="1" applyFont="1" applyFill="1" applyBorder="1" applyAlignment="1">
      <alignment horizontal="center"/>
    </xf>
    <xf numFmtId="8" fontId="37" fillId="0" borderId="5" xfId="0" applyNumberFormat="1" applyFont="1" applyFill="1" applyBorder="1" applyAlignment="1">
      <alignment horizontal="left"/>
    </xf>
    <xf numFmtId="0" fontId="1" fillId="0" borderId="5" xfId="0" applyFont="1" applyBorder="1"/>
    <xf numFmtId="8" fontId="31" fillId="0" borderId="4" xfId="0" applyNumberFormat="1" applyFont="1" applyFill="1" applyBorder="1" applyAlignment="1">
      <alignment horizontal="center"/>
    </xf>
    <xf numFmtId="2" fontId="33" fillId="0" borderId="12" xfId="0" applyNumberFormat="1" applyFont="1" applyFill="1" applyBorder="1" applyAlignment="1">
      <alignment horizontal="center"/>
    </xf>
    <xf numFmtId="2" fontId="33" fillId="0" borderId="21" xfId="0" applyNumberFormat="1" applyFont="1" applyFill="1" applyBorder="1" applyAlignment="1">
      <alignment horizontal="center"/>
    </xf>
    <xf numFmtId="0" fontId="7" fillId="6" borderId="0" xfId="0" applyFont="1" applyFill="1" applyBorder="1" applyAlignment="1">
      <alignment horizontal="center" textRotation="90" shrinkToFit="1"/>
    </xf>
    <xf numFmtId="10" fontId="7" fillId="6" borderId="7" xfId="0" applyNumberFormat="1" applyFont="1" applyFill="1" applyBorder="1" applyAlignment="1">
      <alignment horizontal="center" textRotation="90" shrinkToFit="1"/>
    </xf>
    <xf numFmtId="10" fontId="5" fillId="6" borderId="7" xfId="0" applyNumberFormat="1" applyFont="1" applyFill="1" applyBorder="1" applyAlignment="1">
      <alignment horizontal="center" textRotation="90"/>
    </xf>
    <xf numFmtId="0" fontId="0" fillId="6" borderId="0" xfId="0" applyFill="1" applyAlignment="1">
      <alignment textRotation="75" shrinkToFit="1"/>
    </xf>
    <xf numFmtId="0" fontId="0" fillId="6" borderId="22" xfId="0" applyFill="1" applyBorder="1"/>
    <xf numFmtId="10" fontId="7" fillId="6" borderId="0" xfId="0" applyNumberFormat="1" applyFont="1" applyFill="1" applyBorder="1" applyAlignment="1">
      <alignment horizontal="center" vertical="center" shrinkToFit="1"/>
    </xf>
    <xf numFmtId="10" fontId="7" fillId="6" borderId="0" xfId="0" applyNumberFormat="1" applyFont="1" applyFill="1" applyBorder="1" applyAlignment="1">
      <alignment horizontal="center" vertical="center"/>
    </xf>
    <xf numFmtId="0" fontId="0" fillId="6" borderId="0" xfId="0" applyFill="1" applyAlignment="1">
      <alignment vertical="center" shrinkToFit="1"/>
    </xf>
    <xf numFmtId="10" fontId="0" fillId="6" borderId="0" xfId="0" applyNumberFormat="1" applyFill="1"/>
    <xf numFmtId="0" fontId="0" fillId="6" borderId="0" xfId="0" applyFill="1"/>
    <xf numFmtId="40" fontId="0" fillId="6" borderId="22" xfId="0" applyNumberFormat="1" applyFill="1" applyBorder="1"/>
    <xf numFmtId="0" fontId="0" fillId="6" borderId="0" xfId="0" applyFill="1" applyBorder="1"/>
    <xf numFmtId="0" fontId="0" fillId="0" borderId="7" xfId="0" applyFill="1" applyBorder="1" applyAlignment="1">
      <alignment horizontal="center" textRotation="90" shrinkToFit="1"/>
    </xf>
    <xf numFmtId="0" fontId="7" fillId="0" borderId="7" xfId="0" applyFont="1" applyFill="1" applyBorder="1" applyAlignment="1">
      <alignment horizontal="center" textRotation="90" shrinkToFit="1"/>
    </xf>
    <xf numFmtId="0" fontId="0" fillId="0" borderId="0" xfId="0" applyFill="1" applyAlignment="1">
      <alignment horizontal="center"/>
    </xf>
    <xf numFmtId="0" fontId="0" fillId="0" borderId="0" xfId="0" applyFill="1"/>
    <xf numFmtId="40" fontId="7" fillId="0" borderId="7" xfId="0" applyNumberFormat="1" applyFont="1" applyFill="1" applyBorder="1" applyAlignment="1">
      <alignment horizontal="center" textRotation="90" shrinkToFit="1"/>
    </xf>
    <xf numFmtId="10" fontId="7" fillId="0" borderId="7" xfId="0" applyNumberFormat="1" applyFont="1" applyFill="1" applyBorder="1" applyAlignment="1">
      <alignment horizontal="center" textRotation="90" shrinkToFit="1"/>
    </xf>
    <xf numFmtId="10" fontId="0" fillId="0" borderId="0" xfId="0" applyNumberFormat="1" applyFill="1"/>
    <xf numFmtId="4" fontId="4" fillId="0" borderId="0" xfId="0" applyNumberFormat="1" applyFont="1" applyFill="1"/>
    <xf numFmtId="40" fontId="0" fillId="0" borderId="0" xfId="0" applyNumberFormat="1" applyFont="1" applyFill="1"/>
    <xf numFmtId="0" fontId="1" fillId="0" borderId="0" xfId="0" applyFont="1" applyFill="1" applyAlignment="1">
      <alignment horizontal="right"/>
    </xf>
    <xf numFmtId="4" fontId="1" fillId="0" borderId="0" xfId="0" applyNumberFormat="1" applyFont="1" applyFill="1"/>
    <xf numFmtId="43" fontId="0" fillId="0" borderId="0" xfId="1" applyFont="1" applyFill="1"/>
    <xf numFmtId="2" fontId="7" fillId="0" borderId="7" xfId="0" applyNumberFormat="1" applyFont="1" applyFill="1" applyBorder="1" applyAlignment="1">
      <alignment horizontal="center" textRotation="90" shrinkToFit="1"/>
    </xf>
    <xf numFmtId="10" fontId="6" fillId="0" borderId="7" xfId="0" applyNumberFormat="1" applyFont="1" applyFill="1" applyBorder="1" applyAlignment="1">
      <alignment horizontal="center" textRotation="90" shrinkToFit="1"/>
    </xf>
    <xf numFmtId="10" fontId="5" fillId="0" borderId="7" xfId="0" applyNumberFormat="1" applyFont="1" applyFill="1" applyBorder="1" applyAlignment="1">
      <alignment horizontal="center" textRotation="90"/>
    </xf>
    <xf numFmtId="10" fontId="17" fillId="0" borderId="0" xfId="0" applyNumberFormat="1" applyFont="1" applyFill="1"/>
    <xf numFmtId="44" fontId="29" fillId="2" borderId="0" xfId="0" applyNumberFormat="1" applyFont="1" applyFill="1"/>
    <xf numFmtId="4" fontId="7" fillId="2" borderId="0" xfId="0" applyNumberFormat="1" applyFont="1" applyFill="1" applyBorder="1"/>
    <xf numFmtId="44" fontId="7" fillId="2" borderId="0" xfId="0" applyNumberFormat="1" applyFont="1" applyFill="1"/>
    <xf numFmtId="44" fontId="31" fillId="2" borderId="0" xfId="0" applyNumberFormat="1" applyFont="1" applyFill="1"/>
    <xf numFmtId="43" fontId="7" fillId="2" borderId="0" xfId="0" applyNumberFormat="1" applyFont="1" applyFill="1" applyBorder="1"/>
    <xf numFmtId="0" fontId="27" fillId="7" borderId="24" xfId="0" applyFont="1" applyFill="1" applyBorder="1" applyAlignment="1">
      <alignment horizontal="right" wrapText="1"/>
    </xf>
    <xf numFmtId="0" fontId="0" fillId="0" borderId="0" xfId="0" applyFont="1" applyBorder="1" applyAlignment="1">
      <alignment horizontal="center"/>
    </xf>
    <xf numFmtId="2" fontId="26" fillId="2" borderId="4" xfId="0" applyNumberFormat="1" applyFont="1" applyFill="1" applyBorder="1" applyAlignment="1">
      <alignment shrinkToFit="1"/>
    </xf>
    <xf numFmtId="2" fontId="26" fillId="0" borderId="4" xfId="0" applyNumberFormat="1" applyFont="1" applyFill="1" applyBorder="1" applyAlignment="1">
      <alignment shrinkToFit="1"/>
    </xf>
    <xf numFmtId="0" fontId="31" fillId="0" borderId="17" xfId="0" applyFont="1" applyFill="1" applyBorder="1" applyAlignment="1">
      <alignment horizontal="center" shrinkToFit="1"/>
    </xf>
    <xf numFmtId="0" fontId="31" fillId="0" borderId="8" xfId="0" applyFont="1" applyFill="1" applyBorder="1" applyAlignment="1">
      <alignment horizontal="center" shrinkToFit="1"/>
    </xf>
    <xf numFmtId="0" fontId="31" fillId="0" borderId="8" xfId="0" applyFont="1" applyFill="1" applyBorder="1" applyAlignment="1">
      <alignment horizontal="center"/>
    </xf>
    <xf numFmtId="0" fontId="31" fillId="0" borderId="9" xfId="0" applyFont="1" applyFill="1" applyBorder="1" applyAlignment="1">
      <alignment horizontal="center"/>
    </xf>
    <xf numFmtId="14" fontId="13" fillId="2" borderId="2" xfId="0" applyNumberFormat="1" applyFont="1" applyFill="1" applyBorder="1" applyAlignment="1">
      <alignment horizontal="center"/>
    </xf>
    <xf numFmtId="0" fontId="7" fillId="2" borderId="0" xfId="0" applyFont="1" applyFill="1" applyBorder="1" applyAlignment="1">
      <alignment horizontal="left"/>
    </xf>
    <xf numFmtId="0" fontId="0" fillId="9" borderId="0" xfId="0" applyFill="1" applyBorder="1"/>
    <xf numFmtId="0" fontId="42" fillId="9" borderId="0" xfId="0" applyFont="1" applyFill="1" applyBorder="1" applyAlignment="1">
      <alignment vertical="center" wrapText="1"/>
    </xf>
    <xf numFmtId="10" fontId="0" fillId="9" borderId="0" xfId="0" applyNumberFormat="1" applyFill="1" applyBorder="1"/>
    <xf numFmtId="0" fontId="42" fillId="0" borderId="34" xfId="0" applyFont="1" applyFill="1" applyBorder="1" applyAlignment="1">
      <alignment vertical="center" wrapText="1"/>
    </xf>
    <xf numFmtId="10" fontId="0" fillId="0" borderId="34" xfId="0" applyNumberFormat="1" applyFill="1" applyBorder="1"/>
    <xf numFmtId="0" fontId="44" fillId="0" borderId="4" xfId="0" applyFont="1" applyBorder="1"/>
    <xf numFmtId="0" fontId="43" fillId="0" borderId="1" xfId="0" applyFont="1" applyBorder="1"/>
    <xf numFmtId="0" fontId="0" fillId="0" borderId="3" xfId="0" applyFont="1" applyBorder="1"/>
    <xf numFmtId="0" fontId="0" fillId="0" borderId="5" xfId="0" applyFont="1" applyBorder="1"/>
    <xf numFmtId="0" fontId="44" fillId="0" borderId="6" xfId="0" applyFont="1" applyBorder="1"/>
    <xf numFmtId="14" fontId="7" fillId="2" borderId="0" xfId="0" applyNumberFormat="1" applyFont="1" applyFill="1" applyBorder="1" applyAlignment="1">
      <alignment horizontal="center" shrinkToFit="1"/>
    </xf>
    <xf numFmtId="14" fontId="7" fillId="2" borderId="0" xfId="0" applyNumberFormat="1" applyFont="1" applyFill="1" applyBorder="1" applyAlignment="1">
      <alignment horizontal="right" shrinkToFit="1"/>
    </xf>
    <xf numFmtId="0" fontId="21" fillId="2" borderId="0" xfId="0" applyFont="1" applyFill="1" applyBorder="1" applyAlignment="1">
      <alignment horizontal="center"/>
    </xf>
    <xf numFmtId="0" fontId="19" fillId="2" borderId="7" xfId="3" applyFont="1" applyFill="1" applyBorder="1" applyAlignment="1" applyProtection="1"/>
    <xf numFmtId="0" fontId="7" fillId="2" borderId="4" xfId="0" applyFont="1" applyFill="1" applyBorder="1" applyAlignment="1">
      <alignment horizontal="center"/>
    </xf>
    <xf numFmtId="0" fontId="0" fillId="0" borderId="7" xfId="0" applyFont="1" applyBorder="1"/>
    <xf numFmtId="0" fontId="0" fillId="0" borderId="13" xfId="0" applyBorder="1"/>
    <xf numFmtId="0" fontId="0" fillId="0" borderId="35" xfId="0" applyBorder="1"/>
    <xf numFmtId="0" fontId="13" fillId="2" borderId="2" xfId="0" applyFont="1" applyFill="1" applyBorder="1" applyAlignment="1">
      <alignment horizontal="left"/>
    </xf>
    <xf numFmtId="0" fontId="26" fillId="0" borderId="0" xfId="0" applyFont="1" applyFill="1" applyBorder="1" applyAlignment="1">
      <alignment horizontal="center" shrinkToFit="1"/>
    </xf>
    <xf numFmtId="0" fontId="29" fillId="0" borderId="0" xfId="0" applyFont="1" applyFill="1" applyBorder="1" applyAlignment="1">
      <alignment horizontal="center"/>
    </xf>
    <xf numFmtId="0" fontId="46" fillId="0" borderId="16" xfId="0" applyFont="1" applyFill="1" applyBorder="1"/>
    <xf numFmtId="0" fontId="7" fillId="2" borderId="0" xfId="0" applyFont="1" applyFill="1" applyBorder="1" applyAlignment="1">
      <alignment horizontal="left"/>
    </xf>
    <xf numFmtId="0" fontId="45" fillId="0" borderId="0" xfId="0" applyFont="1" applyBorder="1" applyAlignment="1">
      <alignment horizontal="center"/>
    </xf>
    <xf numFmtId="0" fontId="1" fillId="7" borderId="0" xfId="0" applyFont="1" applyFill="1" applyAlignment="1">
      <alignment horizontal="left" wrapText="1"/>
    </xf>
    <xf numFmtId="0" fontId="1" fillId="7" borderId="0" xfId="0" applyFont="1" applyFill="1" applyAlignment="1">
      <alignment horizontal="center" wrapText="1"/>
    </xf>
    <xf numFmtId="0" fontId="1" fillId="7" borderId="23" xfId="0" applyFont="1" applyFill="1" applyBorder="1" applyAlignment="1">
      <alignment horizontal="center" wrapText="1"/>
    </xf>
    <xf numFmtId="0" fontId="1" fillId="7" borderId="0" xfId="0" applyFont="1" applyFill="1" applyAlignment="1">
      <alignment wrapText="1"/>
    </xf>
    <xf numFmtId="0" fontId="1" fillId="7" borderId="0" xfId="0" applyFont="1" applyFill="1"/>
    <xf numFmtId="0" fontId="1" fillId="0" borderId="5" xfId="0" applyFont="1" applyBorder="1" applyAlignment="1">
      <alignment horizontal="center"/>
    </xf>
    <xf numFmtId="0" fontId="1" fillId="7" borderId="5" xfId="0" applyFont="1" applyFill="1" applyBorder="1" applyAlignment="1">
      <alignment horizontal="center"/>
    </xf>
    <xf numFmtId="0" fontId="1" fillId="0" borderId="0" xfId="0" applyFont="1"/>
    <xf numFmtId="0" fontId="26" fillId="0" borderId="0" xfId="0" applyFont="1" applyFill="1" applyBorder="1" applyAlignment="1">
      <alignment horizontal="right"/>
    </xf>
    <xf numFmtId="168" fontId="26" fillId="0" borderId="0" xfId="0" applyNumberFormat="1" applyFont="1" applyFill="1" applyBorder="1" applyAlignment="1">
      <alignment horizontal="right"/>
    </xf>
    <xf numFmtId="44" fontId="26" fillId="0" borderId="0" xfId="2" applyNumberFormat="1" applyFont="1" applyFill="1" applyBorder="1" applyAlignment="1">
      <alignment horizontal="right"/>
    </xf>
    <xf numFmtId="43" fontId="26" fillId="0" borderId="0" xfId="1" applyNumberFormat="1" applyFont="1" applyFill="1" applyBorder="1" applyAlignment="1">
      <alignment horizontal="right"/>
    </xf>
    <xf numFmtId="44" fontId="26" fillId="0" borderId="0" xfId="0" applyNumberFormat="1" applyFont="1" applyFill="1" applyBorder="1" applyAlignment="1">
      <alignment horizontal="right"/>
    </xf>
    <xf numFmtId="10" fontId="29" fillId="0" borderId="0" xfId="4" applyNumberFormat="1" applyFont="1" applyFill="1" applyBorder="1" applyAlignment="1">
      <alignment horizontal="right"/>
    </xf>
    <xf numFmtId="0" fontId="29" fillId="2" borderId="15" xfId="0" applyFont="1" applyFill="1" applyBorder="1"/>
    <xf numFmtId="0" fontId="29" fillId="2" borderId="15" xfId="0" applyFont="1" applyFill="1" applyBorder="1" applyAlignment="1">
      <alignment shrinkToFit="1"/>
    </xf>
    <xf numFmtId="1" fontId="26" fillId="0" borderId="0" xfId="0" applyNumberFormat="1" applyFont="1" applyFill="1" applyBorder="1" applyAlignment="1">
      <alignment horizontal="right"/>
    </xf>
    <xf numFmtId="0" fontId="7" fillId="2" borderId="0" xfId="0" applyFont="1" applyFill="1" applyBorder="1" applyAlignment="1">
      <alignment horizontal="left"/>
    </xf>
    <xf numFmtId="14" fontId="7" fillId="2" borderId="0" xfId="0" applyNumberFormat="1" applyFont="1" applyFill="1" applyBorder="1" applyAlignment="1">
      <alignment horizontal="center" shrinkToFit="1"/>
    </xf>
    <xf numFmtId="14" fontId="7" fillId="2" borderId="0" xfId="0" applyNumberFormat="1" applyFont="1" applyFill="1" applyBorder="1" applyAlignment="1">
      <alignment horizontal="right" shrinkToFit="1"/>
    </xf>
    <xf numFmtId="0" fontId="25" fillId="0" borderId="3" xfId="0" applyFont="1" applyFill="1" applyBorder="1" applyAlignment="1">
      <alignment horizontal="center" shrinkToFit="1"/>
    </xf>
    <xf numFmtId="0" fontId="21" fillId="2" borderId="0" xfId="0" applyFont="1" applyFill="1" applyBorder="1" applyAlignment="1">
      <alignment horizontal="center"/>
    </xf>
    <xf numFmtId="0" fontId="29" fillId="2" borderId="0" xfId="0" applyFont="1" applyFill="1" applyBorder="1" applyAlignment="1">
      <alignment horizontal="right"/>
    </xf>
    <xf numFmtId="166" fontId="21" fillId="2" borderId="0" xfId="0" applyNumberFormat="1" applyFont="1" applyFill="1" applyBorder="1" applyAlignment="1">
      <alignment horizontal="center"/>
    </xf>
    <xf numFmtId="0" fontId="7" fillId="2" borderId="0" xfId="0" applyFont="1" applyFill="1" applyBorder="1" applyAlignment="1">
      <alignment horizontal="left" shrinkToFit="1"/>
    </xf>
    <xf numFmtId="0" fontId="46" fillId="0" borderId="12" xfId="0" applyFont="1" applyFill="1" applyBorder="1"/>
    <xf numFmtId="0" fontId="7" fillId="10" borderId="0" xfId="0" applyFont="1" applyFill="1" applyBorder="1"/>
    <xf numFmtId="0" fontId="28" fillId="10" borderId="0" xfId="0" applyFont="1" applyFill="1" applyBorder="1" applyAlignment="1">
      <alignment horizontal="center"/>
    </xf>
    <xf numFmtId="0" fontId="28" fillId="10" borderId="0" xfId="0" applyFont="1" applyFill="1" applyBorder="1" applyAlignment="1">
      <alignment horizontal="left"/>
    </xf>
    <xf numFmtId="0" fontId="25" fillId="10" borderId="0" xfId="0" applyFont="1" applyFill="1" applyBorder="1" applyAlignment="1">
      <alignment horizontal="center"/>
    </xf>
    <xf numFmtId="43" fontId="26" fillId="0" borderId="4" xfId="1" applyFont="1" applyFill="1" applyBorder="1" applyAlignment="1">
      <alignment horizontal="right"/>
    </xf>
    <xf numFmtId="0" fontId="25" fillId="0" borderId="14" xfId="0" applyFont="1" applyFill="1" applyBorder="1" applyAlignment="1">
      <alignment horizontal="center"/>
    </xf>
    <xf numFmtId="0" fontId="28" fillId="0" borderId="15" xfId="0" applyFont="1" applyFill="1" applyBorder="1" applyAlignment="1">
      <alignment horizontal="center"/>
    </xf>
    <xf numFmtId="0" fontId="28" fillId="0" borderId="15" xfId="0" applyFont="1" applyFill="1" applyBorder="1" applyAlignment="1">
      <alignment horizontal="left"/>
    </xf>
    <xf numFmtId="44" fontId="33" fillId="0" borderId="12" xfId="4" applyNumberFormat="1" applyFont="1" applyFill="1" applyBorder="1" applyAlignment="1">
      <alignment horizontal="center"/>
    </xf>
    <xf numFmtId="0" fontId="7" fillId="2" borderId="15" xfId="0" applyFont="1" applyFill="1" applyBorder="1"/>
    <xf numFmtId="0" fontId="14" fillId="2" borderId="15" xfId="3" applyFont="1" applyFill="1" applyBorder="1" applyAlignment="1" applyProtection="1">
      <alignment horizontal="left"/>
    </xf>
    <xf numFmtId="8" fontId="29" fillId="0" borderId="0" xfId="0" applyNumberFormat="1" applyFont="1" applyFill="1" applyBorder="1" applyAlignment="1">
      <alignment horizontal="right"/>
    </xf>
    <xf numFmtId="0" fontId="29" fillId="2" borderId="15" xfId="0" applyFont="1" applyFill="1" applyBorder="1" applyAlignment="1">
      <alignment horizontal="left"/>
    </xf>
    <xf numFmtId="8" fontId="33" fillId="0" borderId="0" xfId="0" applyNumberFormat="1" applyFont="1" applyFill="1" applyBorder="1" applyAlignment="1">
      <alignment horizontal="right"/>
    </xf>
    <xf numFmtId="0" fontId="29" fillId="2" borderId="15" xfId="0" applyFont="1" applyFill="1" applyBorder="1" applyAlignment="1">
      <alignment horizontal="left" shrinkToFit="1"/>
    </xf>
    <xf numFmtId="0" fontId="29" fillId="2" borderId="7" xfId="0" applyFont="1" applyFill="1" applyBorder="1" applyAlignment="1">
      <alignment shrinkToFit="1"/>
    </xf>
    <xf numFmtId="0" fontId="29" fillId="2" borderId="5" xfId="0" applyFont="1" applyFill="1" applyBorder="1" applyAlignment="1">
      <alignment shrinkToFit="1"/>
    </xf>
    <xf numFmtId="44" fontId="26" fillId="0" borderId="5" xfId="0" applyNumberFormat="1" applyFont="1" applyFill="1" applyBorder="1" applyAlignment="1">
      <alignment horizontal="right"/>
    </xf>
    <xf numFmtId="10" fontId="33" fillId="0" borderId="5" xfId="4" applyNumberFormat="1" applyFont="1" applyFill="1" applyBorder="1" applyAlignment="1">
      <alignment horizontal="right"/>
    </xf>
    <xf numFmtId="0" fontId="26" fillId="11" borderId="0" xfId="0" applyFont="1" applyFill="1"/>
    <xf numFmtId="10" fontId="49" fillId="12" borderId="0" xfId="4" applyNumberFormat="1" applyFont="1" applyFill="1" applyBorder="1" applyAlignment="1" applyProtection="1">
      <alignment horizontal="right"/>
    </xf>
    <xf numFmtId="10" fontId="50" fillId="12" borderId="0" xfId="4" applyNumberFormat="1" applyFont="1" applyFill="1" applyBorder="1" applyAlignment="1" applyProtection="1">
      <alignment horizontal="right"/>
    </xf>
    <xf numFmtId="10" fontId="33" fillId="12" borderId="0" xfId="4" applyNumberFormat="1" applyFont="1" applyFill="1" applyBorder="1" applyAlignment="1" applyProtection="1">
      <alignment horizontal="right"/>
    </xf>
    <xf numFmtId="10" fontId="33" fillId="11" borderId="0" xfId="4" applyNumberFormat="1" applyFont="1" applyFill="1" applyBorder="1" applyAlignment="1" applyProtection="1">
      <alignment horizontal="right"/>
    </xf>
    <xf numFmtId="40" fontId="1" fillId="0" borderId="0" xfId="0" applyNumberFormat="1" applyFont="1" applyFill="1"/>
    <xf numFmtId="0" fontId="26" fillId="12" borderId="0" xfId="0" applyFont="1" applyFill="1"/>
    <xf numFmtId="0" fontId="33" fillId="12" borderId="0" xfId="0" applyFont="1" applyFill="1"/>
    <xf numFmtId="0" fontId="0" fillId="12" borderId="0" xfId="0" applyFill="1"/>
    <xf numFmtId="0" fontId="33" fillId="12" borderId="0" xfId="0" applyFont="1" applyFill="1" applyAlignment="1">
      <alignment horizontal="center"/>
    </xf>
    <xf numFmtId="10" fontId="33" fillId="12" borderId="0" xfId="4" applyNumberFormat="1" applyFont="1" applyFill="1" applyBorder="1" applyAlignment="1" applyProtection="1">
      <alignment horizontal="center"/>
    </xf>
    <xf numFmtId="0" fontId="29" fillId="12" borderId="8" xfId="0" applyFont="1" applyFill="1" applyBorder="1" applyAlignment="1">
      <alignment horizontal="center"/>
    </xf>
    <xf numFmtId="0" fontId="29" fillId="12" borderId="8" xfId="0" applyFont="1" applyFill="1" applyBorder="1" applyAlignment="1">
      <alignment horizontal="right"/>
    </xf>
    <xf numFmtId="44" fontId="29" fillId="12" borderId="8" xfId="0" applyNumberFormat="1" applyFont="1" applyFill="1" applyBorder="1"/>
    <xf numFmtId="44" fontId="7" fillId="12" borderId="8" xfId="0" applyNumberFormat="1" applyFont="1" applyFill="1" applyBorder="1"/>
    <xf numFmtId="44" fontId="7" fillId="12" borderId="9" xfId="0" applyNumberFormat="1" applyFont="1" applyFill="1" applyBorder="1"/>
    <xf numFmtId="0" fontId="29" fillId="12" borderId="17" xfId="0" applyFont="1" applyFill="1" applyBorder="1" applyAlignment="1">
      <alignment horizontal="left"/>
    </xf>
    <xf numFmtId="0" fontId="28" fillId="0" borderId="0" xfId="0" applyFont="1" applyFill="1" applyBorder="1" applyAlignment="1">
      <alignment horizontal="center"/>
    </xf>
    <xf numFmtId="14" fontId="29" fillId="12" borderId="0" xfId="0" applyNumberFormat="1" applyFont="1" applyFill="1" applyAlignment="1">
      <alignment horizontal="right"/>
    </xf>
    <xf numFmtId="0" fontId="21" fillId="2" borderId="0" xfId="0" applyFont="1" applyFill="1" applyBorder="1" applyAlignment="1">
      <alignment horizontal="center"/>
    </xf>
    <xf numFmtId="10" fontId="33" fillId="0" borderId="9" xfId="4" applyNumberFormat="1" applyFont="1" applyFill="1" applyBorder="1" applyAlignment="1">
      <alignment horizontal="right"/>
    </xf>
    <xf numFmtId="165" fontId="29" fillId="12" borderId="0" xfId="4" applyNumberFormat="1" applyFont="1" applyFill="1" applyBorder="1" applyAlignment="1" applyProtection="1">
      <alignment horizontal="right"/>
    </xf>
    <xf numFmtId="1" fontId="0" fillId="0" borderId="0" xfId="0" applyNumberFormat="1" applyFill="1"/>
    <xf numFmtId="0" fontId="0" fillId="0" borderId="0" xfId="0" applyNumberFormat="1" applyFill="1" applyAlignment="1">
      <alignment horizontal="right"/>
    </xf>
    <xf numFmtId="8" fontId="35" fillId="0" borderId="5" xfId="0" applyNumberFormat="1" applyFont="1" applyFill="1" applyBorder="1" applyAlignment="1">
      <alignment horizontal="center"/>
    </xf>
    <xf numFmtId="8" fontId="37" fillId="0" borderId="5" xfId="0" applyNumberFormat="1" applyFont="1" applyFill="1" applyBorder="1" applyAlignment="1">
      <alignment horizontal="center"/>
    </xf>
    <xf numFmtId="0" fontId="0" fillId="6" borderId="23" xfId="0" applyFill="1" applyBorder="1"/>
    <xf numFmtId="40" fontId="0" fillId="12" borderId="19" xfId="0" applyNumberFormat="1" applyFill="1" applyBorder="1"/>
    <xf numFmtId="10" fontId="0" fillId="12" borderId="19" xfId="0" applyNumberFormat="1" applyFill="1" applyBorder="1"/>
    <xf numFmtId="40" fontId="7" fillId="12" borderId="19" xfId="0" applyNumberFormat="1" applyFont="1" applyFill="1" applyBorder="1" applyAlignment="1">
      <alignment horizontal="center" textRotation="90" shrinkToFit="1"/>
    </xf>
    <xf numFmtId="40" fontId="7" fillId="12" borderId="19" xfId="0" applyNumberFormat="1" applyFont="1" applyFill="1" applyBorder="1" applyAlignment="1">
      <alignment vertical="center" shrinkToFit="1"/>
    </xf>
    <xf numFmtId="10" fontId="7" fillId="12" borderId="19" xfId="0" applyNumberFormat="1" applyFont="1" applyFill="1" applyBorder="1" applyAlignment="1">
      <alignment horizontal="center" vertical="center" shrinkToFit="1"/>
    </xf>
    <xf numFmtId="4" fontId="0" fillId="12" borderId="19" xfId="0" applyNumberFormat="1" applyFill="1" applyBorder="1"/>
    <xf numFmtId="10" fontId="4" fillId="12" borderId="19" xfId="0" applyNumberFormat="1" applyFont="1" applyFill="1" applyBorder="1" applyAlignment="1">
      <alignment horizontal="center" textRotation="90" shrinkToFit="1"/>
    </xf>
    <xf numFmtId="0" fontId="0" fillId="12" borderId="19" xfId="0" applyFill="1" applyBorder="1"/>
    <xf numFmtId="0" fontId="0" fillId="0" borderId="0" xfId="0" applyAlignment="1">
      <alignment horizontal="center"/>
    </xf>
    <xf numFmtId="2" fontId="10" fillId="0" borderId="0" xfId="3" applyNumberFormat="1" applyFill="1" applyAlignment="1" applyProtection="1"/>
    <xf numFmtId="44" fontId="26" fillId="12" borderId="0" xfId="0" applyNumberFormat="1" applyFont="1" applyFill="1"/>
    <xf numFmtId="0" fontId="26" fillId="12" borderId="0" xfId="0" applyFont="1" applyFill="1" applyBorder="1" applyAlignment="1"/>
    <xf numFmtId="0" fontId="52" fillId="12" borderId="0" xfId="3" applyFont="1" applyFill="1" applyAlignment="1" applyProtection="1">
      <alignment horizontal="right"/>
    </xf>
    <xf numFmtId="10" fontId="7" fillId="2" borderId="0" xfId="0" applyNumberFormat="1" applyFont="1" applyFill="1" applyBorder="1" applyAlignment="1">
      <alignment horizontal="center"/>
    </xf>
    <xf numFmtId="10" fontId="33" fillId="0" borderId="12" xfId="4" applyNumberFormat="1" applyFont="1" applyFill="1" applyBorder="1" applyAlignment="1">
      <alignment horizontal="right"/>
    </xf>
    <xf numFmtId="44" fontId="7" fillId="2" borderId="0" xfId="0" applyNumberFormat="1" applyFont="1" applyFill="1" applyBorder="1" applyAlignment="1">
      <alignment horizontal="center" shrinkToFit="1"/>
    </xf>
    <xf numFmtId="2" fontId="7" fillId="2" borderId="0" xfId="0" applyNumberFormat="1" applyFont="1" applyFill="1" applyBorder="1" applyAlignment="1">
      <alignment horizontal="center" shrinkToFit="1"/>
    </xf>
    <xf numFmtId="4" fontId="0" fillId="0" borderId="0" xfId="0" applyNumberFormat="1"/>
    <xf numFmtId="40" fontId="26" fillId="12" borderId="0" xfId="0" applyNumberFormat="1" applyFont="1" applyFill="1" applyAlignment="1">
      <alignment horizontal="right"/>
    </xf>
    <xf numFmtId="2" fontId="26" fillId="12" borderId="0" xfId="0" applyNumberFormat="1" applyFont="1" applyFill="1"/>
    <xf numFmtId="43" fontId="26" fillId="12" borderId="0" xfId="0" applyNumberFormat="1" applyFont="1" applyFill="1" applyAlignment="1">
      <alignment horizontal="right"/>
    </xf>
    <xf numFmtId="44" fontId="33" fillId="12" borderId="0" xfId="4" applyNumberFormat="1" applyFont="1" applyFill="1" applyBorder="1" applyAlignment="1" applyProtection="1">
      <alignment horizontal="right"/>
    </xf>
    <xf numFmtId="2" fontId="26" fillId="12" borderId="0" xfId="4" applyNumberFormat="1" applyFont="1" applyFill="1" applyBorder="1" applyAlignment="1" applyProtection="1">
      <alignment horizontal="right"/>
    </xf>
    <xf numFmtId="8" fontId="35" fillId="12" borderId="0" xfId="0" applyNumberFormat="1" applyFont="1" applyFill="1" applyBorder="1" applyAlignment="1">
      <alignment horizontal="right"/>
    </xf>
    <xf numFmtId="169" fontId="26" fillId="12" borderId="0" xfId="4" applyNumberFormat="1" applyFont="1" applyFill="1" applyBorder="1" applyAlignment="1" applyProtection="1">
      <alignment horizontal="right"/>
    </xf>
    <xf numFmtId="0" fontId="33" fillId="12" borderId="36" xfId="0" applyFont="1" applyFill="1" applyBorder="1" applyAlignment="1">
      <alignment horizontal="center"/>
    </xf>
    <xf numFmtId="0" fontId="33" fillId="12" borderId="36" xfId="0" applyFont="1" applyFill="1" applyBorder="1" applyAlignment="1">
      <alignment horizontal="right"/>
    </xf>
    <xf numFmtId="10" fontId="31" fillId="12" borderId="0" xfId="4" applyNumberFormat="1" applyFont="1" applyFill="1" applyBorder="1" applyAlignment="1" applyProtection="1">
      <alignment horizontal="right"/>
    </xf>
    <xf numFmtId="165" fontId="29" fillId="11" borderId="0" xfId="4" applyNumberFormat="1" applyFont="1" applyFill="1" applyBorder="1" applyAlignment="1" applyProtection="1">
      <alignment horizontal="right"/>
    </xf>
    <xf numFmtId="0" fontId="33" fillId="12" borderId="0" xfId="0" applyFont="1" applyFill="1" applyBorder="1" applyAlignment="1">
      <alignment horizontal="center"/>
    </xf>
    <xf numFmtId="0" fontId="33" fillId="11" borderId="0" xfId="0" applyFont="1" applyFill="1" applyBorder="1" applyAlignment="1">
      <alignment horizontal="center"/>
    </xf>
    <xf numFmtId="43" fontId="26" fillId="11" borderId="0" xfId="0" applyNumberFormat="1" applyFont="1" applyFill="1" applyAlignment="1">
      <alignment horizontal="right"/>
    </xf>
    <xf numFmtId="169" fontId="26" fillId="11" borderId="0" xfId="4" applyNumberFormat="1" applyFont="1" applyFill="1" applyBorder="1" applyAlignment="1" applyProtection="1">
      <alignment horizontal="right"/>
    </xf>
    <xf numFmtId="0" fontId="33" fillId="12" borderId="36" xfId="0" applyFont="1" applyFill="1" applyBorder="1" applyAlignment="1"/>
    <xf numFmtId="0" fontId="33" fillId="11" borderId="36" xfId="0" applyFont="1" applyFill="1" applyBorder="1" applyAlignment="1">
      <alignment horizontal="center"/>
    </xf>
    <xf numFmtId="40" fontId="26" fillId="11" borderId="0" xfId="0" applyNumberFormat="1" applyFont="1" applyFill="1" applyAlignment="1">
      <alignment horizontal="right"/>
    </xf>
    <xf numFmtId="0" fontId="33" fillId="11" borderId="0" xfId="0" applyFont="1" applyFill="1" applyBorder="1" applyAlignment="1">
      <alignment horizontal="right"/>
    </xf>
    <xf numFmtId="0" fontId="33" fillId="12" borderId="36" xfId="0" applyFont="1" applyFill="1" applyBorder="1" applyAlignment="1">
      <alignment wrapText="1"/>
    </xf>
    <xf numFmtId="0" fontId="33" fillId="12" borderId="36" xfId="0" applyFont="1" applyFill="1" applyBorder="1" applyAlignment="1">
      <alignment horizontal="center" shrinkToFit="1"/>
    </xf>
    <xf numFmtId="43" fontId="26" fillId="12" borderId="36" xfId="0" applyNumberFormat="1" applyFont="1" applyFill="1" applyBorder="1" applyAlignment="1">
      <alignment horizontal="right"/>
    </xf>
    <xf numFmtId="8" fontId="35" fillId="12" borderId="36" xfId="0" applyNumberFormat="1" applyFont="1" applyFill="1" applyBorder="1" applyAlignment="1">
      <alignment horizontal="right"/>
    </xf>
    <xf numFmtId="0" fontId="3" fillId="0" borderId="4" xfId="0" applyFont="1" applyBorder="1" applyAlignment="1">
      <alignment horizontal="center"/>
    </xf>
    <xf numFmtId="0" fontId="3" fillId="0" borderId="0" xfId="0" applyFont="1" applyBorder="1" applyAlignment="1">
      <alignment horizontal="center"/>
    </xf>
    <xf numFmtId="0" fontId="3" fillId="0" borderId="0" xfId="0" applyFont="1" applyBorder="1" applyAlignment="1">
      <alignment horizontal="center" shrinkToFit="1"/>
    </xf>
    <xf numFmtId="0" fontId="53" fillId="12" borderId="0" xfId="108" applyFont="1" applyFill="1"/>
    <xf numFmtId="0" fontId="53" fillId="11" borderId="0" xfId="108" applyFont="1" applyFill="1"/>
    <xf numFmtId="0" fontId="54" fillId="12" borderId="36" xfId="108" applyFont="1" applyFill="1" applyBorder="1" applyAlignment="1">
      <alignment horizontal="center"/>
    </xf>
    <xf numFmtId="0" fontId="54" fillId="12" borderId="0" xfId="108" applyFont="1" applyFill="1" applyBorder="1" applyAlignment="1">
      <alignment horizontal="center"/>
    </xf>
    <xf numFmtId="0" fontId="54" fillId="12" borderId="0" xfId="108" applyFont="1" applyFill="1"/>
    <xf numFmtId="10" fontId="54" fillId="12" borderId="0" xfId="4" applyNumberFormat="1" applyFont="1" applyFill="1" applyBorder="1" applyAlignment="1" applyProtection="1">
      <alignment horizontal="right"/>
    </xf>
    <xf numFmtId="43" fontId="53" fillId="12" borderId="0" xfId="108" applyNumberFormat="1" applyFont="1" applyFill="1" applyAlignment="1">
      <alignment horizontal="right"/>
    </xf>
    <xf numFmtId="40" fontId="53" fillId="12" borderId="0" xfId="108" applyNumberFormat="1" applyFont="1" applyFill="1" applyAlignment="1">
      <alignment horizontal="right"/>
    </xf>
    <xf numFmtId="0" fontId="26" fillId="11" borderId="0" xfId="108" applyFont="1" applyFill="1"/>
    <xf numFmtId="0" fontId="26" fillId="12" borderId="0" xfId="108" applyFont="1" applyFill="1" applyProtection="1"/>
    <xf numFmtId="0" fontId="33" fillId="12" borderId="0" xfId="108" applyFont="1" applyFill="1" applyAlignment="1" applyProtection="1">
      <alignment horizontal="right"/>
    </xf>
    <xf numFmtId="0" fontId="26" fillId="12" borderId="0" xfId="108" applyFont="1" applyFill="1"/>
    <xf numFmtId="0" fontId="50" fillId="12" borderId="36" xfId="108" applyFont="1" applyFill="1" applyBorder="1" applyAlignment="1" applyProtection="1">
      <alignment horizontal="left" vertical="top"/>
    </xf>
    <xf numFmtId="0" fontId="47" fillId="12" borderId="0" xfId="108" applyFont="1" applyFill="1" applyProtection="1"/>
    <xf numFmtId="0" fontId="48" fillId="12" borderId="0" xfId="108" applyFont="1" applyFill="1" applyAlignment="1" applyProtection="1">
      <alignment vertical="center"/>
    </xf>
    <xf numFmtId="10" fontId="26" fillId="12" borderId="0" xfId="108" applyNumberFormat="1" applyFont="1" applyFill="1"/>
    <xf numFmtId="0" fontId="26" fillId="12" borderId="0" xfId="108" applyFont="1" applyFill="1" applyBorder="1" applyAlignment="1"/>
    <xf numFmtId="0" fontId="48" fillId="12" borderId="0" xfId="108" applyFont="1" applyFill="1" applyAlignment="1" applyProtection="1">
      <alignment horizontal="right"/>
    </xf>
    <xf numFmtId="0" fontId="26" fillId="12" borderId="0" xfId="108" applyFont="1" applyFill="1" applyAlignment="1"/>
    <xf numFmtId="169" fontId="2" fillId="12" borderId="0" xfId="108" applyNumberFormat="1" applyFont="1" applyFill="1" applyAlignment="1"/>
    <xf numFmtId="0" fontId="33" fillId="12" borderId="0" xfId="108" applyFont="1" applyFill="1" applyAlignment="1">
      <alignment horizontal="left"/>
    </xf>
    <xf numFmtId="0" fontId="48" fillId="12" borderId="0" xfId="108" applyFont="1" applyFill="1" applyProtection="1"/>
    <xf numFmtId="0" fontId="26" fillId="12" borderId="0" xfId="108" applyFont="1" applyFill="1" applyAlignment="1">
      <alignment horizontal="right"/>
    </xf>
    <xf numFmtId="169" fontId="26" fillId="12" borderId="0" xfId="108" applyNumberFormat="1" applyFont="1" applyFill="1"/>
    <xf numFmtId="0" fontId="26" fillId="12" borderId="0" xfId="108" applyFont="1" applyFill="1" applyAlignment="1" applyProtection="1"/>
    <xf numFmtId="0" fontId="48" fillId="12" borderId="0" xfId="108" applyFont="1" applyFill="1" applyAlignment="1" applyProtection="1"/>
    <xf numFmtId="10" fontId="26" fillId="12" borderId="0" xfId="108" applyNumberFormat="1" applyFont="1" applyFill="1" applyProtection="1"/>
    <xf numFmtId="0" fontId="29" fillId="12" borderId="0" xfId="108" applyFont="1" applyFill="1"/>
    <xf numFmtId="0" fontId="26" fillId="11" borderId="0" xfId="108" applyFont="1" applyFill="1" applyProtection="1"/>
    <xf numFmtId="0" fontId="33" fillId="11" borderId="0" xfId="108" applyFont="1" applyFill="1" applyAlignment="1" applyProtection="1">
      <alignment horizontal="right"/>
    </xf>
    <xf numFmtId="10" fontId="26" fillId="11" borderId="0" xfId="108" applyNumberFormat="1" applyFont="1" applyFill="1" applyProtection="1"/>
    <xf numFmtId="43" fontId="51" fillId="12" borderId="0" xfId="108" applyNumberFormat="1" applyFont="1" applyFill="1" applyProtection="1"/>
    <xf numFmtId="0" fontId="49" fillId="12" borderId="0" xfId="108" applyFont="1" applyFill="1" applyProtection="1"/>
    <xf numFmtId="0" fontId="50" fillId="12" borderId="0" xfId="108" applyFont="1" applyFill="1" applyProtection="1"/>
    <xf numFmtId="0" fontId="51" fillId="12" borderId="0" xfId="108" applyFont="1" applyFill="1" applyAlignment="1" applyProtection="1">
      <alignment horizontal="left"/>
    </xf>
    <xf numFmtId="0" fontId="33" fillId="12" borderId="0" xfId="108" applyNumberFormat="1" applyFont="1" applyFill="1" applyAlignment="1" applyProtection="1">
      <alignment horizontal="right"/>
    </xf>
    <xf numFmtId="8" fontId="31" fillId="0" borderId="0" xfId="108" applyNumberFormat="1" applyFont="1" applyFill="1" applyBorder="1" applyAlignment="1">
      <alignment horizontal="center"/>
    </xf>
    <xf numFmtId="44" fontId="26" fillId="12" borderId="0" xfId="108" applyNumberFormat="1" applyFont="1" applyFill="1"/>
    <xf numFmtId="40" fontId="29" fillId="12" borderId="0" xfId="108" applyNumberFormat="1" applyFont="1" applyFill="1" applyAlignment="1">
      <alignment horizontal="center"/>
    </xf>
    <xf numFmtId="40" fontId="29" fillId="12" borderId="0" xfId="108" applyNumberFormat="1" applyFont="1" applyFill="1"/>
    <xf numFmtId="2" fontId="33" fillId="12" borderId="0" xfId="108" applyNumberFormat="1" applyFont="1" applyFill="1" applyAlignment="1" applyProtection="1">
      <alignment horizontal="right"/>
    </xf>
    <xf numFmtId="0" fontId="33" fillId="12" borderId="0" xfId="108" applyFont="1" applyFill="1"/>
    <xf numFmtId="0" fontId="31" fillId="12" borderId="0" xfId="108" applyFont="1" applyFill="1" applyAlignment="1">
      <alignment horizontal="right"/>
    </xf>
    <xf numFmtId="0" fontId="33" fillId="12" borderId="0" xfId="108" applyFont="1" applyFill="1" applyAlignment="1">
      <alignment horizontal="center"/>
    </xf>
    <xf numFmtId="14" fontId="29" fillId="12" borderId="0" xfId="108" applyNumberFormat="1" applyFont="1" applyFill="1" applyAlignment="1">
      <alignment horizontal="right"/>
    </xf>
    <xf numFmtId="40" fontId="33" fillId="12" borderId="0" xfId="108" applyNumberFormat="1" applyFont="1" applyFill="1" applyAlignment="1">
      <alignment horizontal="right"/>
    </xf>
    <xf numFmtId="2" fontId="33" fillId="12" borderId="0" xfId="108" applyNumberFormat="1" applyFont="1" applyFill="1" applyAlignment="1">
      <alignment horizontal="right"/>
    </xf>
    <xf numFmtId="0" fontId="33" fillId="12" borderId="0" xfId="108" applyFont="1" applyFill="1" applyAlignment="1">
      <alignment horizontal="right"/>
    </xf>
    <xf numFmtId="0" fontId="33" fillId="12" borderId="0" xfId="108" applyFont="1" applyFill="1" applyAlignment="1">
      <alignment horizontal="left" vertical="center"/>
    </xf>
    <xf numFmtId="0" fontId="31" fillId="12" borderId="0" xfId="108" applyFont="1" applyFill="1" applyAlignment="1"/>
    <xf numFmtId="0" fontId="26" fillId="0" borderId="0" xfId="108" applyFont="1" applyAlignment="1"/>
    <xf numFmtId="0" fontId="26" fillId="12" borderId="0" xfId="108" applyFont="1" applyFill="1" applyAlignment="1"/>
    <xf numFmtId="0" fontId="26" fillId="12" borderId="0" xfId="0" applyFont="1" applyFill="1" applyBorder="1"/>
    <xf numFmtId="0" fontId="0" fillId="0" borderId="0" xfId="0" applyAlignment="1">
      <alignment horizontal="center"/>
    </xf>
    <xf numFmtId="43" fontId="26" fillId="12" borderId="0" xfId="0" applyNumberFormat="1" applyFont="1" applyFill="1"/>
    <xf numFmtId="0" fontId="0" fillId="0" borderId="0" xfId="0" applyAlignment="1">
      <alignment horizontal="center"/>
    </xf>
    <xf numFmtId="10" fontId="26" fillId="12" borderId="0" xfId="0" applyNumberFormat="1" applyFont="1" applyFill="1"/>
    <xf numFmtId="2" fontId="0" fillId="0" borderId="0" xfId="0" applyNumberFormat="1" applyAlignment="1">
      <alignment horizontal="center"/>
    </xf>
    <xf numFmtId="0" fontId="0" fillId="0" borderId="0" xfId="0" applyNumberFormat="1" applyAlignment="1">
      <alignment horizontal="left" vertical="top"/>
    </xf>
    <xf numFmtId="0" fontId="0" fillId="0" borderId="0" xfId="0" applyAlignment="1">
      <alignment horizontal="left" vertical="top"/>
    </xf>
    <xf numFmtId="0" fontId="1" fillId="0" borderId="0" xfId="0" applyFont="1" applyAlignment="1">
      <alignment horizontal="left" vertical="top"/>
    </xf>
    <xf numFmtId="0" fontId="1" fillId="0" borderId="0" xfId="0" applyFont="1" applyFill="1" applyBorder="1" applyAlignment="1">
      <alignment horizontal="left" vertical="top"/>
    </xf>
    <xf numFmtId="2" fontId="54" fillId="12" borderId="0" xfId="108" applyNumberFormat="1" applyFont="1" applyFill="1"/>
    <xf numFmtId="0" fontId="33" fillId="12" borderId="36" xfId="0" applyFont="1" applyFill="1" applyBorder="1" applyAlignment="1">
      <alignment horizontal="center"/>
    </xf>
    <xf numFmtId="0" fontId="33" fillId="12" borderId="0" xfId="0" applyFont="1" applyFill="1" applyBorder="1" applyAlignment="1">
      <alignment horizontal="right"/>
    </xf>
    <xf numFmtId="0" fontId="0" fillId="0" borderId="0" xfId="0" applyAlignment="1">
      <alignment horizontal="center"/>
    </xf>
    <xf numFmtId="0" fontId="2" fillId="12" borderId="0" xfId="0" applyFont="1" applyFill="1" applyAlignment="1">
      <alignment horizontal="center"/>
    </xf>
    <xf numFmtId="0" fontId="2" fillId="12" borderId="0" xfId="0" applyFont="1" applyFill="1"/>
    <xf numFmtId="14" fontId="0" fillId="12" borderId="0" xfId="0" applyNumberFormat="1" applyFill="1" applyAlignment="1">
      <alignment horizontal="right"/>
    </xf>
    <xf numFmtId="14" fontId="0" fillId="12" borderId="0" xfId="0" applyNumberFormat="1" applyFill="1"/>
    <xf numFmtId="2" fontId="0" fillId="12" borderId="0" xfId="0" applyNumberFormat="1" applyFill="1"/>
    <xf numFmtId="10" fontId="0" fillId="12" borderId="0" xfId="0" applyNumberFormat="1" applyFill="1"/>
    <xf numFmtId="14" fontId="1" fillId="12" borderId="0" xfId="0" applyNumberFormat="1" applyFont="1" applyFill="1" applyAlignment="1">
      <alignment horizontal="right"/>
    </xf>
    <xf numFmtId="1" fontId="0" fillId="12" borderId="0" xfId="0" applyNumberFormat="1" applyFill="1"/>
    <xf numFmtId="4" fontId="0" fillId="12" borderId="0" xfId="0" applyNumberFormat="1" applyFill="1"/>
    <xf numFmtId="0" fontId="0" fillId="0" borderId="0" xfId="0" applyAlignment="1">
      <alignment horizontal="center"/>
    </xf>
    <xf numFmtId="2" fontId="26" fillId="12" borderId="36" xfId="0" applyNumberFormat="1" applyFont="1" applyFill="1" applyBorder="1"/>
    <xf numFmtId="10" fontId="33" fillId="12" borderId="0" xfId="4" applyNumberFormat="1" applyFont="1" applyFill="1" applyBorder="1" applyAlignment="1" applyProtection="1">
      <alignment horizontal="right"/>
    </xf>
    <xf numFmtId="165" fontId="29" fillId="12" borderId="0" xfId="4" applyNumberFormat="1" applyFont="1" applyFill="1" applyBorder="1" applyAlignment="1" applyProtection="1">
      <alignment horizontal="right"/>
    </xf>
    <xf numFmtId="44" fontId="33" fillId="12" borderId="0" xfId="4" applyNumberFormat="1" applyFont="1" applyFill="1" applyBorder="1" applyAlignment="1" applyProtection="1">
      <alignment horizontal="right"/>
    </xf>
    <xf numFmtId="165" fontId="29" fillId="12" borderId="0" xfId="4" applyNumberFormat="1" applyFont="1" applyFill="1" applyBorder="1" applyAlignment="1"/>
    <xf numFmtId="2" fontId="26" fillId="12" borderId="0" xfId="4" applyNumberFormat="1" applyFont="1" applyFill="1" applyBorder="1" applyAlignment="1" applyProtection="1">
      <alignment horizontal="right"/>
    </xf>
    <xf numFmtId="169" fontId="26" fillId="12" borderId="0" xfId="4" applyNumberFormat="1" applyFont="1" applyFill="1" applyBorder="1" applyAlignment="1" applyProtection="1">
      <alignment horizontal="right"/>
    </xf>
    <xf numFmtId="10" fontId="31" fillId="12" borderId="0" xfId="4" applyNumberFormat="1" applyFont="1" applyFill="1" applyBorder="1" applyAlignment="1" applyProtection="1">
      <alignment horizontal="right"/>
    </xf>
    <xf numFmtId="43" fontId="26" fillId="12" borderId="36" xfId="108" applyNumberFormat="1" applyFont="1" applyFill="1" applyBorder="1" applyAlignment="1">
      <alignment horizontal="right"/>
    </xf>
    <xf numFmtId="44" fontId="33" fillId="12" borderId="36" xfId="4" applyNumberFormat="1" applyFont="1" applyFill="1" applyBorder="1" applyAlignment="1" applyProtection="1">
      <alignment horizontal="right"/>
    </xf>
    <xf numFmtId="10" fontId="33" fillId="12" borderId="36" xfId="4" applyNumberFormat="1" applyFont="1" applyFill="1" applyBorder="1" applyAlignment="1" applyProtection="1">
      <alignment horizontal="right"/>
    </xf>
    <xf numFmtId="165" fontId="29" fillId="12" borderId="36" xfId="4" applyNumberFormat="1" applyFont="1" applyFill="1" applyBorder="1" applyAlignment="1" applyProtection="1">
      <alignment horizontal="right"/>
    </xf>
    <xf numFmtId="165" fontId="29" fillId="12" borderId="36" xfId="4" applyNumberFormat="1" applyFont="1" applyFill="1" applyBorder="1" applyAlignment="1"/>
    <xf numFmtId="2" fontId="26" fillId="12" borderId="36" xfId="4" applyNumberFormat="1" applyFont="1" applyFill="1" applyBorder="1" applyAlignment="1" applyProtection="1">
      <alignment horizontal="right"/>
    </xf>
    <xf numFmtId="169" fontId="26" fillId="12" borderId="36" xfId="4" applyNumberFormat="1" applyFont="1" applyFill="1" applyBorder="1" applyAlignment="1" applyProtection="1">
      <alignment horizontal="right"/>
    </xf>
    <xf numFmtId="10" fontId="31" fillId="12" borderId="36" xfId="4" applyNumberFormat="1" applyFont="1" applyFill="1" applyBorder="1" applyAlignment="1" applyProtection="1">
      <alignment horizontal="right"/>
    </xf>
    <xf numFmtId="0" fontId="1" fillId="12" borderId="0" xfId="0" applyFont="1" applyFill="1"/>
    <xf numFmtId="43" fontId="26" fillId="12" borderId="0" xfId="108" applyNumberFormat="1" applyFont="1" applyFill="1" applyAlignment="1">
      <alignment horizontal="right"/>
    </xf>
    <xf numFmtId="0" fontId="10" fillId="0" borderId="29" xfId="3" applyBorder="1" applyAlignment="1" applyProtection="1">
      <alignment vertical="top" wrapText="1"/>
    </xf>
    <xf numFmtId="0" fontId="10" fillId="0" borderId="30" xfId="3" applyBorder="1" applyAlignment="1" applyProtection="1">
      <alignment vertical="top" wrapText="1"/>
    </xf>
    <xf numFmtId="0" fontId="10" fillId="0" borderId="31" xfId="3" applyBorder="1" applyAlignment="1" applyProtection="1">
      <alignment vertical="top" wrapText="1"/>
    </xf>
    <xf numFmtId="0" fontId="10" fillId="7" borderId="25" xfId="3" applyFill="1" applyBorder="1" applyAlignment="1" applyProtection="1">
      <alignment horizontal="center" wrapText="1"/>
    </xf>
    <xf numFmtId="43" fontId="26" fillId="12" borderId="0" xfId="108" applyNumberFormat="1" applyFont="1" applyFill="1" applyAlignment="1">
      <alignment horizontal="right"/>
    </xf>
    <xf numFmtId="0" fontId="26" fillId="12" borderId="0" xfId="108" applyFont="1" applyFill="1"/>
    <xf numFmtId="0" fontId="0" fillId="0" borderId="0" xfId="0" applyAlignment="1">
      <alignment horizontal="center"/>
    </xf>
    <xf numFmtId="43" fontId="26" fillId="12" borderId="0" xfId="108" applyNumberFormat="1" applyFont="1" applyFill="1" applyBorder="1" applyAlignment="1">
      <alignment horizontal="right"/>
    </xf>
    <xf numFmtId="4" fontId="26" fillId="12" borderId="0" xfId="0" applyNumberFormat="1" applyFont="1" applyFill="1"/>
    <xf numFmtId="0" fontId="0" fillId="0" borderId="0" xfId="0" applyFont="1" applyAlignment="1">
      <alignment horizontal="left" vertical="top"/>
    </xf>
    <xf numFmtId="0" fontId="0" fillId="0" borderId="0" xfId="0" applyAlignment="1">
      <alignment horizontal="center"/>
    </xf>
    <xf numFmtId="169" fontId="26" fillId="11" borderId="36" xfId="4" applyNumberFormat="1" applyFont="1" applyFill="1" applyBorder="1" applyAlignment="1" applyProtection="1">
      <alignment horizontal="right"/>
    </xf>
    <xf numFmtId="4" fontId="26" fillId="12" borderId="36" xfId="0" applyNumberFormat="1" applyFont="1" applyFill="1" applyBorder="1"/>
    <xf numFmtId="9" fontId="1" fillId="0" borderId="0" xfId="0" applyNumberFormat="1" applyFont="1" applyBorder="1" applyAlignment="1">
      <alignment horizontal="left"/>
    </xf>
    <xf numFmtId="0" fontId="0" fillId="0" borderId="0" xfId="0" applyAlignment="1">
      <alignment horizontal="left"/>
    </xf>
    <xf numFmtId="0" fontId="9" fillId="0" borderId="8" xfId="0" applyFont="1" applyBorder="1" applyAlignment="1">
      <alignment horizontal="left"/>
    </xf>
    <xf numFmtId="0" fontId="0" fillId="0" borderId="0" xfId="0" applyBorder="1" applyAlignment="1">
      <alignment horizontal="left"/>
    </xf>
    <xf numFmtId="9" fontId="0" fillId="0" borderId="0" xfId="0" applyNumberFormat="1" applyBorder="1" applyAlignment="1">
      <alignment horizontal="left" shrinkToFit="1"/>
    </xf>
    <xf numFmtId="9" fontId="0" fillId="0" borderId="0" xfId="4" applyFont="1" applyBorder="1" applyAlignment="1">
      <alignment horizontal="left"/>
    </xf>
    <xf numFmtId="9" fontId="0" fillId="0" borderId="0" xfId="0" applyNumberFormat="1" applyBorder="1" applyAlignment="1">
      <alignment horizontal="left"/>
    </xf>
    <xf numFmtId="9" fontId="0" fillId="5" borderId="0" xfId="0" applyNumberFormat="1" applyFill="1" applyBorder="1" applyAlignment="1">
      <alignment horizontal="left"/>
    </xf>
    <xf numFmtId="0" fontId="2" fillId="0" borderId="0" xfId="0" applyFont="1" applyBorder="1" applyAlignment="1">
      <alignment horizontal="left"/>
    </xf>
    <xf numFmtId="0" fontId="0" fillId="0" borderId="10" xfId="0" applyBorder="1" applyAlignment="1">
      <alignment horizontal="left"/>
    </xf>
    <xf numFmtId="0" fontId="38" fillId="8" borderId="6" xfId="0" applyFont="1" applyFill="1" applyBorder="1" applyAlignment="1">
      <alignment vertical="top" wrapText="1"/>
    </xf>
    <xf numFmtId="0" fontId="31" fillId="12" borderId="0" xfId="108" applyFont="1" applyFill="1" applyAlignment="1">
      <alignment horizontal="left"/>
    </xf>
    <xf numFmtId="0" fontId="26" fillId="0" borderId="0" xfId="108" applyFont="1" applyAlignment="1">
      <alignment horizontal="left"/>
    </xf>
    <xf numFmtId="0" fontId="31" fillId="12" borderId="0" xfId="108" applyFont="1" applyFill="1" applyAlignment="1"/>
    <xf numFmtId="0" fontId="26" fillId="12" borderId="0" xfId="108" applyFont="1" applyFill="1" applyAlignment="1"/>
    <xf numFmtId="0" fontId="26" fillId="0" borderId="0" xfId="108" applyFont="1" applyAlignment="1"/>
    <xf numFmtId="0" fontId="51" fillId="12" borderId="0" xfId="108" applyFont="1" applyFill="1" applyAlignment="1">
      <alignment horizontal="left"/>
    </xf>
    <xf numFmtId="0" fontId="50" fillId="12" borderId="0" xfId="108" applyFont="1" applyFill="1" applyAlignment="1" applyProtection="1">
      <alignment horizontal="left"/>
    </xf>
    <xf numFmtId="0" fontId="49" fillId="12" borderId="0" xfId="108" applyFont="1" applyFill="1" applyAlignment="1" applyProtection="1">
      <alignment horizontal="left"/>
    </xf>
    <xf numFmtId="0" fontId="1" fillId="0" borderId="0" xfId="108" applyAlignment="1"/>
    <xf numFmtId="0" fontId="33" fillId="12" borderId="36" xfId="0" applyFont="1" applyFill="1" applyBorder="1" applyAlignment="1"/>
    <xf numFmtId="14" fontId="29" fillId="12" borderId="37" xfId="0" applyNumberFormat="1" applyFont="1" applyFill="1" applyBorder="1" applyAlignment="1">
      <alignment horizontal="right"/>
    </xf>
    <xf numFmtId="14" fontId="29" fillId="12" borderId="0" xfId="0" applyNumberFormat="1" applyFont="1" applyFill="1" applyBorder="1" applyAlignment="1">
      <alignment horizontal="right"/>
    </xf>
    <xf numFmtId="0" fontId="33" fillId="12" borderId="36" xfId="0" applyFont="1" applyFill="1" applyBorder="1" applyAlignment="1">
      <alignment horizontal="center"/>
    </xf>
    <xf numFmtId="0" fontId="33" fillId="12" borderId="36" xfId="0" applyFont="1" applyFill="1" applyBorder="1" applyAlignment="1">
      <alignment horizontal="right"/>
    </xf>
    <xf numFmtId="0" fontId="0" fillId="0" borderId="36" xfId="0" applyBorder="1" applyAlignment="1"/>
    <xf numFmtId="0" fontId="0" fillId="0" borderId="0" xfId="0" applyAlignment="1">
      <alignment horizontal="left" wrapText="1"/>
    </xf>
    <xf numFmtId="0" fontId="39" fillId="8" borderId="26" xfId="0" applyFont="1" applyFill="1" applyBorder="1" applyAlignment="1">
      <alignment wrapText="1"/>
    </xf>
    <xf numFmtId="0" fontId="10" fillId="0" borderId="2" xfId="3" applyBorder="1" applyAlignment="1" applyProtection="1">
      <alignment wrapText="1"/>
    </xf>
    <xf numFmtId="0" fontId="10" fillId="7" borderId="0" xfId="3" applyFill="1" applyAlignment="1" applyProtection="1">
      <alignment wrapText="1"/>
    </xf>
    <xf numFmtId="0" fontId="10" fillId="7" borderId="1" xfId="3" applyFill="1" applyBorder="1" applyAlignment="1" applyProtection="1">
      <alignment horizontal="center" wrapText="1"/>
    </xf>
    <xf numFmtId="0" fontId="10" fillId="7" borderId="2" xfId="3" applyFill="1" applyBorder="1" applyAlignment="1" applyProtection="1">
      <alignment horizontal="center" wrapText="1"/>
    </xf>
    <xf numFmtId="0" fontId="10" fillId="7" borderId="33" xfId="3" applyFill="1" applyBorder="1" applyAlignment="1" applyProtection="1">
      <alignment horizontal="center" wrapText="1"/>
    </xf>
    <xf numFmtId="0" fontId="38" fillId="8" borderId="6" xfId="0" applyFont="1" applyFill="1" applyBorder="1" applyAlignment="1">
      <alignment vertical="top" wrapText="1"/>
    </xf>
    <xf numFmtId="0" fontId="38" fillId="8" borderId="7" xfId="0" applyFont="1" applyFill="1" applyBorder="1" applyAlignment="1">
      <alignment vertical="top" wrapText="1"/>
    </xf>
    <xf numFmtId="0" fontId="38" fillId="8" borderId="32" xfId="0" applyFont="1" applyFill="1" applyBorder="1" applyAlignment="1">
      <alignment vertical="top" wrapText="1"/>
    </xf>
    <xf numFmtId="40" fontId="40" fillId="0" borderId="0" xfId="0" applyNumberFormat="1" applyFont="1" applyFill="1" applyAlignment="1">
      <alignment horizontal="center"/>
    </xf>
    <xf numFmtId="0" fontId="0" fillId="0" borderId="0" xfId="0" applyAlignment="1">
      <alignment horizontal="center"/>
    </xf>
    <xf numFmtId="40" fontId="10" fillId="0" borderId="0" xfId="3" applyNumberFormat="1" applyFill="1" applyAlignment="1" applyProtection="1">
      <alignment horizontal="left"/>
    </xf>
    <xf numFmtId="2" fontId="10" fillId="0" borderId="0" xfId="3" applyNumberFormat="1" applyFill="1" applyAlignment="1" applyProtection="1">
      <alignment horizontal="left"/>
    </xf>
    <xf numFmtId="7" fontId="4" fillId="0" borderId="7" xfId="2" applyNumberFormat="1" applyFont="1" applyFill="1" applyBorder="1" applyAlignment="1">
      <alignment horizontal="center"/>
    </xf>
    <xf numFmtId="7" fontId="4" fillId="0" borderId="27" xfId="2" applyNumberFormat="1" applyFont="1" applyFill="1" applyBorder="1" applyAlignment="1">
      <alignment horizontal="center"/>
    </xf>
    <xf numFmtId="9" fontId="2" fillId="0" borderId="7" xfId="4" applyNumberFormat="1" applyFont="1" applyFill="1" applyBorder="1" applyAlignment="1">
      <alignment horizontal="center"/>
    </xf>
    <xf numFmtId="9" fontId="2" fillId="0" borderId="13" xfId="4" applyNumberFormat="1" applyFont="1" applyFill="1" applyBorder="1" applyAlignment="1">
      <alignment horizontal="center"/>
    </xf>
    <xf numFmtId="9" fontId="2" fillId="0" borderId="0" xfId="4" applyNumberFormat="1" applyFont="1" applyFill="1" applyBorder="1" applyAlignment="1">
      <alignment horizontal="center"/>
    </xf>
    <xf numFmtId="9" fontId="2" fillId="0" borderId="5" xfId="4" applyNumberFormat="1" applyFont="1" applyFill="1" applyBorder="1" applyAlignment="1">
      <alignment horizontal="center"/>
    </xf>
    <xf numFmtId="7" fontId="4" fillId="0" borderId="0" xfId="2" applyNumberFormat="1" applyFont="1" applyFill="1" applyBorder="1" applyAlignment="1">
      <alignment horizontal="center"/>
    </xf>
    <xf numFmtId="9" fontId="2" fillId="0" borderId="27" xfId="4" applyNumberFormat="1" applyFont="1" applyFill="1" applyBorder="1" applyAlignment="1">
      <alignment horizontal="center"/>
    </xf>
    <xf numFmtId="9" fontId="2" fillId="0" borderId="28" xfId="4" applyNumberFormat="1" applyFont="1" applyFill="1" applyBorder="1" applyAlignment="1">
      <alignment horizontal="center"/>
    </xf>
    <xf numFmtId="0" fontId="34" fillId="0" borderId="2" xfId="0" applyFont="1" applyFill="1" applyBorder="1" applyAlignment="1">
      <alignment horizontal="center"/>
    </xf>
    <xf numFmtId="0" fontId="34" fillId="0" borderId="3" xfId="0" applyFont="1" applyFill="1" applyBorder="1" applyAlignment="1">
      <alignment horizontal="center"/>
    </xf>
    <xf numFmtId="0" fontId="29" fillId="0" borderId="0" xfId="0" applyFont="1" applyFill="1" applyBorder="1" applyAlignment="1">
      <alignment horizontal="center" wrapText="1"/>
    </xf>
    <xf numFmtId="0" fontId="29" fillId="0" borderId="5" xfId="0" applyFont="1" applyFill="1" applyBorder="1" applyAlignment="1">
      <alignment horizontal="center" wrapText="1"/>
    </xf>
    <xf numFmtId="0" fontId="29" fillId="0" borderId="7" xfId="0" applyFont="1" applyFill="1" applyBorder="1" applyAlignment="1">
      <alignment horizontal="center" wrapText="1"/>
    </xf>
    <xf numFmtId="0" fontId="29" fillId="0" borderId="13" xfId="0" applyFont="1" applyFill="1" applyBorder="1" applyAlignment="1">
      <alignment horizontal="center" wrapText="1"/>
    </xf>
    <xf numFmtId="0" fontId="9" fillId="0" borderId="17" xfId="0" applyFont="1" applyBorder="1" applyAlignment="1">
      <alignment horizontal="center"/>
    </xf>
    <xf numFmtId="0" fontId="9" fillId="0" borderId="8" xfId="0" applyFont="1" applyBorder="1" applyAlignment="1">
      <alignment horizontal="center"/>
    </xf>
    <xf numFmtId="0" fontId="2" fillId="0" borderId="0" xfId="0" applyFont="1" applyBorder="1" applyAlignment="1">
      <alignment horizontal="center"/>
    </xf>
    <xf numFmtId="14" fontId="7" fillId="2" borderId="0" xfId="0" applyNumberFormat="1" applyFont="1" applyFill="1" applyBorder="1" applyAlignment="1">
      <alignment horizontal="right" shrinkToFit="1"/>
    </xf>
    <xf numFmtId="14" fontId="7" fillId="2" borderId="0" xfId="0" applyNumberFormat="1" applyFont="1" applyFill="1" applyBorder="1" applyAlignment="1">
      <alignment horizontal="center" shrinkToFit="1"/>
    </xf>
    <xf numFmtId="0" fontId="25" fillId="0" borderId="1" xfId="0" applyFont="1" applyFill="1" applyBorder="1" applyAlignment="1">
      <alignment horizontal="center" shrinkToFit="1"/>
    </xf>
    <xf numFmtId="0" fontId="25" fillId="0" borderId="3" xfId="0" applyFont="1" applyFill="1" applyBorder="1" applyAlignment="1">
      <alignment horizontal="center" shrinkToFit="1"/>
    </xf>
    <xf numFmtId="0" fontId="21" fillId="2" borderId="0" xfId="0" applyFont="1" applyFill="1" applyBorder="1" applyAlignment="1">
      <alignment horizontal="center"/>
    </xf>
    <xf numFmtId="2" fontId="33" fillId="0" borderId="16" xfId="0" applyNumberFormat="1" applyFont="1" applyFill="1" applyBorder="1" applyAlignment="1">
      <alignment horizontal="center"/>
    </xf>
    <xf numFmtId="0" fontId="0" fillId="0" borderId="12" xfId="0" applyBorder="1" applyAlignment="1">
      <alignment horizontal="center"/>
    </xf>
    <xf numFmtId="0" fontId="0" fillId="0" borderId="21" xfId="0" applyBorder="1" applyAlignment="1">
      <alignment horizontal="center"/>
    </xf>
    <xf numFmtId="0" fontId="0" fillId="0" borderId="19" xfId="0" applyBorder="1" applyAlignment="1">
      <alignment horizontal="right" vertical="top" wrapText="1"/>
    </xf>
    <xf numFmtId="0" fontId="0" fillId="0" borderId="20" xfId="0" applyBorder="1" applyAlignment="1">
      <alignment horizontal="right" vertical="top" wrapText="1"/>
    </xf>
    <xf numFmtId="3" fontId="0" fillId="0" borderId="20" xfId="0" applyNumberFormat="1" applyBorder="1" applyAlignment="1">
      <alignment horizontal="right" vertical="top" wrapText="1"/>
    </xf>
    <xf numFmtId="10" fontId="0" fillId="0" borderId="20" xfId="0" applyNumberFormat="1" applyBorder="1" applyAlignment="1">
      <alignment horizontal="right" vertical="top" wrapText="1"/>
    </xf>
    <xf numFmtId="0" fontId="55" fillId="0" borderId="0" xfId="0" applyFont="1" applyAlignment="1">
      <alignment wrapText="1"/>
    </xf>
    <xf numFmtId="0" fontId="55" fillId="0" borderId="19" xfId="0" applyFont="1" applyBorder="1" applyAlignment="1">
      <alignment horizontal="right" vertical="top" wrapText="1"/>
    </xf>
    <xf numFmtId="0" fontId="55" fillId="0" borderId="20" xfId="0" applyFont="1" applyBorder="1" applyAlignment="1">
      <alignment horizontal="right" vertical="top" wrapText="1"/>
    </xf>
    <xf numFmtId="3" fontId="55" fillId="0" borderId="20" xfId="0" applyNumberFormat="1" applyFont="1" applyBorder="1" applyAlignment="1">
      <alignment horizontal="right" vertical="top" wrapText="1"/>
    </xf>
    <xf numFmtId="10" fontId="55" fillId="0" borderId="20" xfId="0" applyNumberFormat="1" applyFont="1" applyBorder="1" applyAlignment="1">
      <alignment horizontal="right" vertical="top" wrapText="1"/>
    </xf>
  </cellXfs>
  <cellStyles count="109">
    <cellStyle name="Comma" xfId="1" builtinId="3"/>
    <cellStyle name="Currency" xfId="2" builtinId="4"/>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Followed Hyperlink" xfId="90" builtinId="9" hidden="1"/>
    <cellStyle name="Followed Hyperlink" xfId="91" builtinId="9" hidden="1"/>
    <cellStyle name="Followed Hyperlink" xfId="92" builtinId="9" hidden="1"/>
    <cellStyle name="Followed Hyperlink" xfId="93" builtinId="9" hidden="1"/>
    <cellStyle name="Followed Hyperlink" xfId="94" builtinId="9" hidden="1"/>
    <cellStyle name="Followed Hyperlink" xfId="95" builtinId="9" hidden="1"/>
    <cellStyle name="Followed Hyperlink" xfId="96" builtinId="9" hidden="1"/>
    <cellStyle name="Followed Hyperlink" xfId="97" builtinId="9" hidden="1"/>
    <cellStyle name="Followed Hyperlink" xfId="98" builtinId="9" hidden="1"/>
    <cellStyle name="Followed Hyperlink" xfId="99" builtinId="9" hidden="1"/>
    <cellStyle name="Followed Hyperlink" xfId="100" builtinId="9" hidden="1"/>
    <cellStyle name="Followed Hyperlink" xfId="101" builtinId="9" hidden="1"/>
    <cellStyle name="Followed Hyperlink" xfId="102" builtinId="9" hidden="1"/>
    <cellStyle name="Followed Hyperlink" xfId="103" builtinId="9" hidden="1"/>
    <cellStyle name="Followed Hyperlink" xfId="104" builtinId="9" hidden="1"/>
    <cellStyle name="Followed Hyperlink" xfId="105" builtinId="9" hidden="1"/>
    <cellStyle name="Followed Hyperlink" xfId="106" builtinId="9" hidden="1"/>
    <cellStyle name="Followed Hyperlink" xfId="107" builtinId="9" hidden="1"/>
    <cellStyle name="Hyperlink" xfId="3" builtinId="8"/>
    <cellStyle name="Normal" xfId="0" builtinId="0"/>
    <cellStyle name="Normal 2" xfId="108"/>
    <cellStyle name="Percent" xfId="4" builtinId="5"/>
  </cellStyles>
  <dxfs count="24">
    <dxf>
      <font>
        <color rgb="FFFF0000"/>
      </font>
    </dxf>
    <dxf>
      <font>
        <color rgb="FF008000"/>
      </font>
    </dxf>
    <dxf>
      <font>
        <color rgb="FF0000FF"/>
      </font>
    </dxf>
    <dxf>
      <font>
        <color rgb="FF556A2C"/>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8000"/>
      </font>
    </dxf>
    <dxf>
      <font>
        <color rgb="FF0000FF"/>
      </font>
    </dxf>
    <dxf>
      <font>
        <color rgb="FF9C0006"/>
      </font>
    </dxf>
    <dxf>
      <font>
        <color rgb="FFFF0000"/>
      </font>
    </dxf>
    <dxf>
      <font>
        <color rgb="FF556A2C"/>
      </font>
    </dxf>
    <dxf>
      <font>
        <color rgb="FFFF0000"/>
      </font>
    </dxf>
    <dxf>
      <font>
        <color rgb="FFFF0000"/>
      </font>
    </dxf>
    <dxf>
      <font>
        <color theme="0" tint="-0.24994659260841701"/>
      </font>
    </dxf>
    <dxf>
      <font>
        <color rgb="FFFF0000"/>
      </font>
    </dxf>
    <dxf>
      <font>
        <color rgb="FF627A32"/>
      </font>
    </dxf>
    <dxf>
      <font>
        <color rgb="FF556A2C"/>
      </font>
    </dxf>
    <dxf>
      <font>
        <color rgb="FFFF0000"/>
      </font>
    </dxf>
  </dxfs>
  <tableStyles count="0" defaultTableStyle="TableStyleMedium9" defaultPivotStyle="PivotStyleLight16"/>
  <colors>
    <indexedColors>
      <rgbColor rgb="00000000"/>
      <rgbColor rgb="00FFFFFF"/>
      <rgbColor rgb="00DD0806"/>
      <rgbColor rgb="001FB714"/>
      <rgbColor rgb="000000D4"/>
      <rgbColor rgb="00FCF305"/>
      <rgbColor rgb="00F20884"/>
      <rgbColor rgb="0000ABEA"/>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color rgb="FF008000"/>
      <color rgb="FF556A2C"/>
      <color rgb="FF627A32"/>
      <color rgb="FF647D33"/>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0.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hartsheet" Target="chartsheets/sheet1.xml"/><Relationship Id="rId12" Type="http://schemas.openxmlformats.org/officeDocument/2006/relationships/worksheet" Target="worksheets/sheet9.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hartsheet" Target="chartsheets/sheet3.xml"/><Relationship Id="rId5" Type="http://schemas.openxmlformats.org/officeDocument/2006/relationships/worksheet" Target="worksheets/sheet5.xml"/><Relationship Id="rId15" Type="http://schemas.openxmlformats.org/officeDocument/2006/relationships/worksheet" Target="worksheets/sheet12.xml"/><Relationship Id="rId10" Type="http://schemas.openxmlformats.org/officeDocument/2006/relationships/worksheet" Target="worksheets/sheet8.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chartsheet" Target="chartsheets/sheet2.xml"/><Relationship Id="rId14" Type="http://schemas.openxmlformats.org/officeDocument/2006/relationships/worksheet" Target="worksheets/sheet11.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8.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34"/>
  <c:chart>
    <c:title>
      <c:tx>
        <c:rich>
          <a:bodyPr/>
          <a:lstStyle/>
          <a:p>
            <a:pPr>
              <a:defRPr/>
            </a:pPr>
            <a:r>
              <a:rPr lang="en-US"/>
              <a:t>IPO vs S&amp;P 500 Returns Since September 2003</a:t>
            </a:r>
          </a:p>
        </c:rich>
      </c:tx>
      <c:spPr>
        <a:noFill/>
        <a:ln w="25400">
          <a:noFill/>
        </a:ln>
      </c:spPr>
    </c:title>
    <c:plotArea>
      <c:layout>
        <c:manualLayout>
          <c:layoutTarget val="inner"/>
          <c:xMode val="edge"/>
          <c:yMode val="edge"/>
          <c:x val="5.0656316767140495E-3"/>
          <c:y val="0.12900203527485687"/>
          <c:w val="0.95404282393163709"/>
          <c:h val="0.87005139740144166"/>
        </c:manualLayout>
      </c:layout>
      <c:lineChart>
        <c:grouping val="stacked"/>
        <c:ser>
          <c:idx val="0"/>
          <c:order val="0"/>
          <c:tx>
            <c:v>IPO</c:v>
          </c:tx>
          <c:spPr>
            <a:ln w="38100">
              <a:solidFill>
                <a:srgbClr val="666699"/>
              </a:solidFill>
              <a:prstDash val="solid"/>
            </a:ln>
          </c:spPr>
          <c:marker>
            <c:symbol val="none"/>
          </c:marker>
          <c:cat>
            <c:numRef>
              <c:f>Data!$B$3:$B$434</c:f>
              <c:numCache>
                <c:formatCode>m/d/yyyy</c:formatCode>
                <c:ptCount val="432"/>
                <c:pt idx="0">
                  <c:v>37743</c:v>
                </c:pt>
                <c:pt idx="1">
                  <c:v>37750</c:v>
                </c:pt>
                <c:pt idx="2">
                  <c:v>37757</c:v>
                </c:pt>
                <c:pt idx="3">
                  <c:v>37764</c:v>
                </c:pt>
                <c:pt idx="4">
                  <c:v>37771</c:v>
                </c:pt>
                <c:pt idx="5">
                  <c:v>37778</c:v>
                </c:pt>
                <c:pt idx="6">
                  <c:v>37785</c:v>
                </c:pt>
                <c:pt idx="7">
                  <c:v>37792</c:v>
                </c:pt>
                <c:pt idx="8">
                  <c:v>37799</c:v>
                </c:pt>
                <c:pt idx="9">
                  <c:v>37806</c:v>
                </c:pt>
                <c:pt idx="10">
                  <c:v>37813</c:v>
                </c:pt>
                <c:pt idx="11">
                  <c:v>37820</c:v>
                </c:pt>
                <c:pt idx="12">
                  <c:v>37827</c:v>
                </c:pt>
                <c:pt idx="13">
                  <c:v>37834</c:v>
                </c:pt>
                <c:pt idx="14">
                  <c:v>37841</c:v>
                </c:pt>
                <c:pt idx="15">
                  <c:v>37848</c:v>
                </c:pt>
                <c:pt idx="16">
                  <c:v>37855</c:v>
                </c:pt>
                <c:pt idx="17">
                  <c:v>37862</c:v>
                </c:pt>
                <c:pt idx="18">
                  <c:v>37869</c:v>
                </c:pt>
                <c:pt idx="19">
                  <c:v>37876</c:v>
                </c:pt>
                <c:pt idx="20">
                  <c:v>37883</c:v>
                </c:pt>
                <c:pt idx="21">
                  <c:v>37890</c:v>
                </c:pt>
                <c:pt idx="22">
                  <c:v>37897</c:v>
                </c:pt>
                <c:pt idx="23">
                  <c:v>37904</c:v>
                </c:pt>
                <c:pt idx="24">
                  <c:v>37911</c:v>
                </c:pt>
                <c:pt idx="25">
                  <c:v>37918</c:v>
                </c:pt>
                <c:pt idx="26">
                  <c:v>37925</c:v>
                </c:pt>
                <c:pt idx="27">
                  <c:v>37932</c:v>
                </c:pt>
                <c:pt idx="28">
                  <c:v>37939</c:v>
                </c:pt>
                <c:pt idx="29">
                  <c:v>37946</c:v>
                </c:pt>
                <c:pt idx="30">
                  <c:v>37953</c:v>
                </c:pt>
                <c:pt idx="31">
                  <c:v>37960</c:v>
                </c:pt>
                <c:pt idx="32">
                  <c:v>37967</c:v>
                </c:pt>
                <c:pt idx="33">
                  <c:v>37974</c:v>
                </c:pt>
                <c:pt idx="34">
                  <c:v>37981</c:v>
                </c:pt>
                <c:pt idx="35">
                  <c:v>37988</c:v>
                </c:pt>
                <c:pt idx="36">
                  <c:v>37995</c:v>
                </c:pt>
                <c:pt idx="37">
                  <c:v>38002</c:v>
                </c:pt>
                <c:pt idx="38">
                  <c:v>38009</c:v>
                </c:pt>
                <c:pt idx="39">
                  <c:v>38016</c:v>
                </c:pt>
                <c:pt idx="40">
                  <c:v>38023</c:v>
                </c:pt>
                <c:pt idx="41">
                  <c:v>38030</c:v>
                </c:pt>
                <c:pt idx="42">
                  <c:v>38037</c:v>
                </c:pt>
                <c:pt idx="43">
                  <c:v>38044</c:v>
                </c:pt>
                <c:pt idx="44">
                  <c:v>38051</c:v>
                </c:pt>
                <c:pt idx="45">
                  <c:v>38058</c:v>
                </c:pt>
                <c:pt idx="46">
                  <c:v>38065</c:v>
                </c:pt>
                <c:pt idx="47">
                  <c:v>38072</c:v>
                </c:pt>
                <c:pt idx="48">
                  <c:v>38079</c:v>
                </c:pt>
                <c:pt idx="49">
                  <c:v>38086</c:v>
                </c:pt>
                <c:pt idx="50">
                  <c:v>38093</c:v>
                </c:pt>
                <c:pt idx="51">
                  <c:v>38100</c:v>
                </c:pt>
                <c:pt idx="52">
                  <c:v>38107</c:v>
                </c:pt>
                <c:pt idx="53">
                  <c:v>38114</c:v>
                </c:pt>
                <c:pt idx="54">
                  <c:v>38121</c:v>
                </c:pt>
                <c:pt idx="55">
                  <c:v>38128</c:v>
                </c:pt>
                <c:pt idx="56">
                  <c:v>38135</c:v>
                </c:pt>
                <c:pt idx="57">
                  <c:v>38142</c:v>
                </c:pt>
                <c:pt idx="58">
                  <c:v>38149</c:v>
                </c:pt>
                <c:pt idx="59">
                  <c:v>38156</c:v>
                </c:pt>
                <c:pt idx="60">
                  <c:v>38163</c:v>
                </c:pt>
                <c:pt idx="61">
                  <c:v>38170</c:v>
                </c:pt>
                <c:pt idx="62">
                  <c:v>38177</c:v>
                </c:pt>
                <c:pt idx="63">
                  <c:v>38184</c:v>
                </c:pt>
                <c:pt idx="64">
                  <c:v>38191</c:v>
                </c:pt>
                <c:pt idx="65">
                  <c:v>38198</c:v>
                </c:pt>
                <c:pt idx="66">
                  <c:v>38205</c:v>
                </c:pt>
                <c:pt idx="67">
                  <c:v>38212</c:v>
                </c:pt>
                <c:pt idx="68">
                  <c:v>38219</c:v>
                </c:pt>
                <c:pt idx="69">
                  <c:v>38226</c:v>
                </c:pt>
                <c:pt idx="70">
                  <c:v>38233</c:v>
                </c:pt>
                <c:pt idx="71">
                  <c:v>38240</c:v>
                </c:pt>
                <c:pt idx="72">
                  <c:v>38247</c:v>
                </c:pt>
                <c:pt idx="73">
                  <c:v>38254</c:v>
                </c:pt>
                <c:pt idx="74">
                  <c:v>38261</c:v>
                </c:pt>
                <c:pt idx="75">
                  <c:v>38268</c:v>
                </c:pt>
                <c:pt idx="76">
                  <c:v>38275</c:v>
                </c:pt>
                <c:pt idx="77">
                  <c:v>38282</c:v>
                </c:pt>
                <c:pt idx="78">
                  <c:v>38289</c:v>
                </c:pt>
                <c:pt idx="79">
                  <c:v>38296</c:v>
                </c:pt>
                <c:pt idx="80">
                  <c:v>38303</c:v>
                </c:pt>
                <c:pt idx="81">
                  <c:v>38310</c:v>
                </c:pt>
                <c:pt idx="82">
                  <c:v>38317</c:v>
                </c:pt>
                <c:pt idx="83">
                  <c:v>38324</c:v>
                </c:pt>
                <c:pt idx="84">
                  <c:v>38331</c:v>
                </c:pt>
                <c:pt idx="85">
                  <c:v>38338</c:v>
                </c:pt>
                <c:pt idx="86">
                  <c:v>38345</c:v>
                </c:pt>
                <c:pt idx="87">
                  <c:v>38352</c:v>
                </c:pt>
                <c:pt idx="88">
                  <c:v>38359</c:v>
                </c:pt>
                <c:pt idx="89">
                  <c:v>38366</c:v>
                </c:pt>
                <c:pt idx="90">
                  <c:v>38373</c:v>
                </c:pt>
                <c:pt idx="91">
                  <c:v>38380</c:v>
                </c:pt>
                <c:pt idx="92">
                  <c:v>38387</c:v>
                </c:pt>
                <c:pt idx="93">
                  <c:v>38394</c:v>
                </c:pt>
                <c:pt idx="94">
                  <c:v>38401</c:v>
                </c:pt>
                <c:pt idx="95">
                  <c:v>38408</c:v>
                </c:pt>
                <c:pt idx="96">
                  <c:v>38415</c:v>
                </c:pt>
                <c:pt idx="97">
                  <c:v>38422</c:v>
                </c:pt>
                <c:pt idx="98">
                  <c:v>38429</c:v>
                </c:pt>
                <c:pt idx="99">
                  <c:v>38436</c:v>
                </c:pt>
                <c:pt idx="100">
                  <c:v>38443</c:v>
                </c:pt>
                <c:pt idx="101">
                  <c:v>38450</c:v>
                </c:pt>
                <c:pt idx="102">
                  <c:v>38457</c:v>
                </c:pt>
                <c:pt idx="103">
                  <c:v>38464</c:v>
                </c:pt>
                <c:pt idx="104">
                  <c:v>38471</c:v>
                </c:pt>
                <c:pt idx="105">
                  <c:v>38478</c:v>
                </c:pt>
                <c:pt idx="106">
                  <c:v>38485</c:v>
                </c:pt>
                <c:pt idx="107">
                  <c:v>38492</c:v>
                </c:pt>
                <c:pt idx="108">
                  <c:v>38499</c:v>
                </c:pt>
                <c:pt idx="109">
                  <c:v>38506</c:v>
                </c:pt>
                <c:pt idx="110">
                  <c:v>38513</c:v>
                </c:pt>
                <c:pt idx="111">
                  <c:v>38520</c:v>
                </c:pt>
                <c:pt idx="112">
                  <c:v>38527</c:v>
                </c:pt>
                <c:pt idx="113">
                  <c:v>38534</c:v>
                </c:pt>
                <c:pt idx="114">
                  <c:v>38541</c:v>
                </c:pt>
                <c:pt idx="115">
                  <c:v>38548</c:v>
                </c:pt>
                <c:pt idx="116">
                  <c:v>38555</c:v>
                </c:pt>
                <c:pt idx="117">
                  <c:v>38562</c:v>
                </c:pt>
                <c:pt idx="118">
                  <c:v>38569</c:v>
                </c:pt>
                <c:pt idx="119">
                  <c:v>38576</c:v>
                </c:pt>
                <c:pt idx="120">
                  <c:v>38583</c:v>
                </c:pt>
                <c:pt idx="121">
                  <c:v>38590</c:v>
                </c:pt>
                <c:pt idx="122">
                  <c:v>38597</c:v>
                </c:pt>
                <c:pt idx="123">
                  <c:v>38604</c:v>
                </c:pt>
                <c:pt idx="124">
                  <c:v>38611</c:v>
                </c:pt>
                <c:pt idx="125">
                  <c:v>38618</c:v>
                </c:pt>
                <c:pt idx="126">
                  <c:v>38625</c:v>
                </c:pt>
                <c:pt idx="127">
                  <c:v>38632</c:v>
                </c:pt>
                <c:pt idx="128">
                  <c:v>38639</c:v>
                </c:pt>
                <c:pt idx="129">
                  <c:v>38646</c:v>
                </c:pt>
                <c:pt idx="130">
                  <c:v>38653</c:v>
                </c:pt>
                <c:pt idx="131">
                  <c:v>38660</c:v>
                </c:pt>
                <c:pt idx="132">
                  <c:v>38667</c:v>
                </c:pt>
                <c:pt idx="133">
                  <c:v>38674</c:v>
                </c:pt>
                <c:pt idx="134">
                  <c:v>38681</c:v>
                </c:pt>
                <c:pt idx="135">
                  <c:v>38688</c:v>
                </c:pt>
                <c:pt idx="136">
                  <c:v>38695</c:v>
                </c:pt>
                <c:pt idx="137">
                  <c:v>38702</c:v>
                </c:pt>
                <c:pt idx="138">
                  <c:v>38709</c:v>
                </c:pt>
                <c:pt idx="139">
                  <c:v>38716</c:v>
                </c:pt>
                <c:pt idx="140">
                  <c:v>38723</c:v>
                </c:pt>
                <c:pt idx="141">
                  <c:v>38730</c:v>
                </c:pt>
                <c:pt idx="142">
                  <c:v>38737</c:v>
                </c:pt>
                <c:pt idx="143">
                  <c:v>38744</c:v>
                </c:pt>
                <c:pt idx="144">
                  <c:v>38751</c:v>
                </c:pt>
                <c:pt idx="145">
                  <c:v>38758</c:v>
                </c:pt>
                <c:pt idx="146">
                  <c:v>38765</c:v>
                </c:pt>
                <c:pt idx="147">
                  <c:v>38772</c:v>
                </c:pt>
                <c:pt idx="148">
                  <c:v>38779</c:v>
                </c:pt>
                <c:pt idx="149">
                  <c:v>38786</c:v>
                </c:pt>
                <c:pt idx="150">
                  <c:v>38793</c:v>
                </c:pt>
                <c:pt idx="151">
                  <c:v>38800</c:v>
                </c:pt>
                <c:pt idx="152">
                  <c:v>38807</c:v>
                </c:pt>
                <c:pt idx="153">
                  <c:v>38814</c:v>
                </c:pt>
                <c:pt idx="154">
                  <c:v>38821</c:v>
                </c:pt>
                <c:pt idx="155">
                  <c:v>38828</c:v>
                </c:pt>
                <c:pt idx="156">
                  <c:v>38835</c:v>
                </c:pt>
                <c:pt idx="157">
                  <c:v>38842</c:v>
                </c:pt>
                <c:pt idx="158">
                  <c:v>38849</c:v>
                </c:pt>
                <c:pt idx="159">
                  <c:v>38856</c:v>
                </c:pt>
                <c:pt idx="160">
                  <c:v>38863</c:v>
                </c:pt>
                <c:pt idx="161">
                  <c:v>38870</c:v>
                </c:pt>
                <c:pt idx="162">
                  <c:v>38877</c:v>
                </c:pt>
                <c:pt idx="163">
                  <c:v>38884</c:v>
                </c:pt>
                <c:pt idx="164">
                  <c:v>38891</c:v>
                </c:pt>
                <c:pt idx="165">
                  <c:v>38898</c:v>
                </c:pt>
                <c:pt idx="166">
                  <c:v>38905</c:v>
                </c:pt>
                <c:pt idx="167">
                  <c:v>38912</c:v>
                </c:pt>
                <c:pt idx="168">
                  <c:v>38919</c:v>
                </c:pt>
                <c:pt idx="169">
                  <c:v>38926</c:v>
                </c:pt>
                <c:pt idx="170">
                  <c:v>38933</c:v>
                </c:pt>
                <c:pt idx="171">
                  <c:v>38940</c:v>
                </c:pt>
                <c:pt idx="172">
                  <c:v>38947</c:v>
                </c:pt>
                <c:pt idx="173">
                  <c:v>38954</c:v>
                </c:pt>
                <c:pt idx="174">
                  <c:v>38961</c:v>
                </c:pt>
                <c:pt idx="175">
                  <c:v>38968</c:v>
                </c:pt>
                <c:pt idx="176">
                  <c:v>38975</c:v>
                </c:pt>
                <c:pt idx="177">
                  <c:v>38982</c:v>
                </c:pt>
                <c:pt idx="178">
                  <c:v>38989</c:v>
                </c:pt>
                <c:pt idx="179">
                  <c:v>38996</c:v>
                </c:pt>
                <c:pt idx="180">
                  <c:v>39003</c:v>
                </c:pt>
                <c:pt idx="181">
                  <c:v>39010</c:v>
                </c:pt>
                <c:pt idx="182">
                  <c:v>39017</c:v>
                </c:pt>
                <c:pt idx="183">
                  <c:v>39024</c:v>
                </c:pt>
                <c:pt idx="184">
                  <c:v>39031</c:v>
                </c:pt>
                <c:pt idx="185">
                  <c:v>39038</c:v>
                </c:pt>
                <c:pt idx="186">
                  <c:v>39045</c:v>
                </c:pt>
                <c:pt idx="187">
                  <c:v>39052</c:v>
                </c:pt>
                <c:pt idx="188">
                  <c:v>39059</c:v>
                </c:pt>
                <c:pt idx="189">
                  <c:v>39066</c:v>
                </c:pt>
                <c:pt idx="190">
                  <c:v>39073</c:v>
                </c:pt>
                <c:pt idx="191">
                  <c:v>39080</c:v>
                </c:pt>
                <c:pt idx="192">
                  <c:v>39087</c:v>
                </c:pt>
                <c:pt idx="193">
                  <c:v>39094</c:v>
                </c:pt>
                <c:pt idx="194">
                  <c:v>39101</c:v>
                </c:pt>
                <c:pt idx="195">
                  <c:v>39108</c:v>
                </c:pt>
                <c:pt idx="196">
                  <c:v>39115</c:v>
                </c:pt>
                <c:pt idx="197">
                  <c:v>39122</c:v>
                </c:pt>
                <c:pt idx="198">
                  <c:v>39129</c:v>
                </c:pt>
                <c:pt idx="199">
                  <c:v>39136</c:v>
                </c:pt>
                <c:pt idx="200">
                  <c:v>39143</c:v>
                </c:pt>
                <c:pt idx="201">
                  <c:v>39150</c:v>
                </c:pt>
                <c:pt idx="202">
                  <c:v>39157</c:v>
                </c:pt>
                <c:pt idx="203">
                  <c:v>39164</c:v>
                </c:pt>
                <c:pt idx="204">
                  <c:v>39171</c:v>
                </c:pt>
                <c:pt idx="205">
                  <c:v>39178</c:v>
                </c:pt>
                <c:pt idx="206">
                  <c:v>39185</c:v>
                </c:pt>
                <c:pt idx="207">
                  <c:v>39192</c:v>
                </c:pt>
                <c:pt idx="208">
                  <c:v>39199</c:v>
                </c:pt>
                <c:pt idx="209">
                  <c:v>39206</c:v>
                </c:pt>
                <c:pt idx="210">
                  <c:v>39213</c:v>
                </c:pt>
                <c:pt idx="211">
                  <c:v>39220</c:v>
                </c:pt>
                <c:pt idx="212">
                  <c:v>39227</c:v>
                </c:pt>
                <c:pt idx="213">
                  <c:v>39234</c:v>
                </c:pt>
                <c:pt idx="214">
                  <c:v>39241</c:v>
                </c:pt>
                <c:pt idx="215">
                  <c:v>39248</c:v>
                </c:pt>
                <c:pt idx="216">
                  <c:v>39255</c:v>
                </c:pt>
                <c:pt idx="217">
                  <c:v>39262</c:v>
                </c:pt>
                <c:pt idx="218">
                  <c:v>39269</c:v>
                </c:pt>
                <c:pt idx="219">
                  <c:v>39276</c:v>
                </c:pt>
                <c:pt idx="220">
                  <c:v>39283</c:v>
                </c:pt>
                <c:pt idx="221">
                  <c:v>39290</c:v>
                </c:pt>
                <c:pt idx="222">
                  <c:v>39297</c:v>
                </c:pt>
                <c:pt idx="223">
                  <c:v>39304</c:v>
                </c:pt>
                <c:pt idx="224">
                  <c:v>39311</c:v>
                </c:pt>
                <c:pt idx="225">
                  <c:v>39318</c:v>
                </c:pt>
                <c:pt idx="226">
                  <c:v>39325</c:v>
                </c:pt>
                <c:pt idx="227">
                  <c:v>39332</c:v>
                </c:pt>
                <c:pt idx="228">
                  <c:v>39339</c:v>
                </c:pt>
                <c:pt idx="229">
                  <c:v>39346</c:v>
                </c:pt>
                <c:pt idx="230">
                  <c:v>39353</c:v>
                </c:pt>
                <c:pt idx="231">
                  <c:v>39360</c:v>
                </c:pt>
                <c:pt idx="232">
                  <c:v>39367</c:v>
                </c:pt>
                <c:pt idx="233">
                  <c:v>39374</c:v>
                </c:pt>
                <c:pt idx="234">
                  <c:v>39381</c:v>
                </c:pt>
                <c:pt idx="235">
                  <c:v>39388</c:v>
                </c:pt>
                <c:pt idx="236">
                  <c:v>39405</c:v>
                </c:pt>
                <c:pt idx="237">
                  <c:v>39417</c:v>
                </c:pt>
                <c:pt idx="238">
                  <c:v>39438</c:v>
                </c:pt>
                <c:pt idx="239">
                  <c:v>39452</c:v>
                </c:pt>
                <c:pt idx="240">
                  <c:v>39459</c:v>
                </c:pt>
                <c:pt idx="241">
                  <c:v>39466</c:v>
                </c:pt>
                <c:pt idx="242">
                  <c:v>39480</c:v>
                </c:pt>
                <c:pt idx="243">
                  <c:v>39487</c:v>
                </c:pt>
                <c:pt idx="244">
                  <c:v>39496</c:v>
                </c:pt>
                <c:pt idx="245">
                  <c:v>39503</c:v>
                </c:pt>
                <c:pt idx="246">
                  <c:v>39510</c:v>
                </c:pt>
                <c:pt idx="247">
                  <c:v>39517</c:v>
                </c:pt>
                <c:pt idx="248">
                  <c:v>39531</c:v>
                </c:pt>
                <c:pt idx="249">
                  <c:v>39538</c:v>
                </c:pt>
                <c:pt idx="250">
                  <c:v>39549</c:v>
                </c:pt>
                <c:pt idx="251">
                  <c:v>39556</c:v>
                </c:pt>
                <c:pt idx="252">
                  <c:v>39571</c:v>
                </c:pt>
                <c:pt idx="253">
                  <c:v>39585</c:v>
                </c:pt>
                <c:pt idx="254">
                  <c:v>39592</c:v>
                </c:pt>
                <c:pt idx="255">
                  <c:v>39599</c:v>
                </c:pt>
                <c:pt idx="256">
                  <c:v>39606</c:v>
                </c:pt>
                <c:pt idx="257">
                  <c:v>39620</c:v>
                </c:pt>
                <c:pt idx="258">
                  <c:v>39639</c:v>
                </c:pt>
                <c:pt idx="259">
                  <c:v>39646</c:v>
                </c:pt>
                <c:pt idx="260">
                  <c:v>39653</c:v>
                </c:pt>
                <c:pt idx="261">
                  <c:v>39660</c:v>
                </c:pt>
                <c:pt idx="262">
                  <c:v>39667</c:v>
                </c:pt>
                <c:pt idx="263">
                  <c:v>39674</c:v>
                </c:pt>
                <c:pt idx="264">
                  <c:v>39681</c:v>
                </c:pt>
                <c:pt idx="265">
                  <c:v>39688</c:v>
                </c:pt>
                <c:pt idx="266">
                  <c:v>39695</c:v>
                </c:pt>
                <c:pt idx="267">
                  <c:v>39702</c:v>
                </c:pt>
                <c:pt idx="268">
                  <c:v>39709</c:v>
                </c:pt>
                <c:pt idx="269">
                  <c:v>39716</c:v>
                </c:pt>
                <c:pt idx="270">
                  <c:v>39723</c:v>
                </c:pt>
                <c:pt idx="271">
                  <c:v>39730</c:v>
                </c:pt>
                <c:pt idx="272">
                  <c:v>39737</c:v>
                </c:pt>
                <c:pt idx="273">
                  <c:v>39744</c:v>
                </c:pt>
                <c:pt idx="274">
                  <c:v>39751</c:v>
                </c:pt>
                <c:pt idx="275">
                  <c:v>39758</c:v>
                </c:pt>
                <c:pt idx="276">
                  <c:v>39765</c:v>
                </c:pt>
                <c:pt idx="277">
                  <c:v>39772</c:v>
                </c:pt>
                <c:pt idx="278">
                  <c:v>39779</c:v>
                </c:pt>
                <c:pt idx="279">
                  <c:v>39786</c:v>
                </c:pt>
                <c:pt idx="280">
                  <c:v>39793</c:v>
                </c:pt>
                <c:pt idx="281">
                  <c:v>39800</c:v>
                </c:pt>
                <c:pt idx="282">
                  <c:v>39807</c:v>
                </c:pt>
                <c:pt idx="283">
                  <c:v>39814</c:v>
                </c:pt>
                <c:pt idx="284">
                  <c:v>39821</c:v>
                </c:pt>
                <c:pt idx="285">
                  <c:v>39828</c:v>
                </c:pt>
                <c:pt idx="286">
                  <c:v>39835</c:v>
                </c:pt>
                <c:pt idx="287">
                  <c:v>39842</c:v>
                </c:pt>
                <c:pt idx="288">
                  <c:v>39849</c:v>
                </c:pt>
                <c:pt idx="289">
                  <c:v>39856</c:v>
                </c:pt>
                <c:pt idx="290">
                  <c:v>39863</c:v>
                </c:pt>
                <c:pt idx="291">
                  <c:v>39870</c:v>
                </c:pt>
                <c:pt idx="292">
                  <c:v>39877</c:v>
                </c:pt>
                <c:pt idx="293">
                  <c:v>39884</c:v>
                </c:pt>
                <c:pt idx="294">
                  <c:v>39891</c:v>
                </c:pt>
                <c:pt idx="295">
                  <c:v>39898</c:v>
                </c:pt>
                <c:pt idx="296">
                  <c:v>39905</c:v>
                </c:pt>
                <c:pt idx="297">
                  <c:v>39912</c:v>
                </c:pt>
                <c:pt idx="298">
                  <c:v>39919</c:v>
                </c:pt>
                <c:pt idx="299">
                  <c:v>39926</c:v>
                </c:pt>
                <c:pt idx="300">
                  <c:v>39933</c:v>
                </c:pt>
                <c:pt idx="301">
                  <c:v>39940</c:v>
                </c:pt>
                <c:pt idx="302">
                  <c:v>39947</c:v>
                </c:pt>
                <c:pt idx="303">
                  <c:v>39954</c:v>
                </c:pt>
                <c:pt idx="304">
                  <c:v>39961</c:v>
                </c:pt>
                <c:pt idx="305">
                  <c:v>39968</c:v>
                </c:pt>
                <c:pt idx="306">
                  <c:v>39975</c:v>
                </c:pt>
                <c:pt idx="307">
                  <c:v>39982</c:v>
                </c:pt>
                <c:pt idx="308">
                  <c:v>39989</c:v>
                </c:pt>
                <c:pt idx="309">
                  <c:v>39996</c:v>
                </c:pt>
                <c:pt idx="310">
                  <c:v>40003</c:v>
                </c:pt>
                <c:pt idx="311">
                  <c:v>40010</c:v>
                </c:pt>
                <c:pt idx="312">
                  <c:v>40017</c:v>
                </c:pt>
                <c:pt idx="313">
                  <c:v>40024</c:v>
                </c:pt>
                <c:pt idx="314">
                  <c:v>40031</c:v>
                </c:pt>
                <c:pt idx="315">
                  <c:v>40038</c:v>
                </c:pt>
                <c:pt idx="316">
                  <c:v>40045</c:v>
                </c:pt>
                <c:pt idx="317">
                  <c:v>40052</c:v>
                </c:pt>
                <c:pt idx="318">
                  <c:v>40059</c:v>
                </c:pt>
                <c:pt idx="319">
                  <c:v>40066</c:v>
                </c:pt>
                <c:pt idx="320">
                  <c:v>40073</c:v>
                </c:pt>
                <c:pt idx="321">
                  <c:v>40080</c:v>
                </c:pt>
                <c:pt idx="322">
                  <c:v>40087</c:v>
                </c:pt>
                <c:pt idx="323">
                  <c:v>40094</c:v>
                </c:pt>
                <c:pt idx="324">
                  <c:v>40101</c:v>
                </c:pt>
                <c:pt idx="325">
                  <c:v>40108</c:v>
                </c:pt>
                <c:pt idx="326">
                  <c:v>40115</c:v>
                </c:pt>
                <c:pt idx="327">
                  <c:v>40122</c:v>
                </c:pt>
                <c:pt idx="328">
                  <c:v>40129</c:v>
                </c:pt>
                <c:pt idx="329">
                  <c:v>40136</c:v>
                </c:pt>
                <c:pt idx="330">
                  <c:v>40143</c:v>
                </c:pt>
                <c:pt idx="331">
                  <c:v>40150</c:v>
                </c:pt>
                <c:pt idx="332">
                  <c:v>40157</c:v>
                </c:pt>
                <c:pt idx="333">
                  <c:v>40164</c:v>
                </c:pt>
                <c:pt idx="334">
                  <c:v>40171</c:v>
                </c:pt>
                <c:pt idx="335">
                  <c:v>40178</c:v>
                </c:pt>
                <c:pt idx="336">
                  <c:v>40185</c:v>
                </c:pt>
                <c:pt idx="337">
                  <c:v>40192</c:v>
                </c:pt>
                <c:pt idx="338">
                  <c:v>40199</c:v>
                </c:pt>
                <c:pt idx="339">
                  <c:v>40206</c:v>
                </c:pt>
                <c:pt idx="340">
                  <c:v>40213</c:v>
                </c:pt>
                <c:pt idx="341">
                  <c:v>40220</c:v>
                </c:pt>
                <c:pt idx="342">
                  <c:v>40227</c:v>
                </c:pt>
                <c:pt idx="343">
                  <c:v>40234</c:v>
                </c:pt>
                <c:pt idx="344">
                  <c:v>40241</c:v>
                </c:pt>
                <c:pt idx="345">
                  <c:v>40248</c:v>
                </c:pt>
                <c:pt idx="346">
                  <c:v>40255</c:v>
                </c:pt>
                <c:pt idx="347">
                  <c:v>40262</c:v>
                </c:pt>
                <c:pt idx="348">
                  <c:v>40269</c:v>
                </c:pt>
                <c:pt idx="349">
                  <c:v>40276</c:v>
                </c:pt>
                <c:pt idx="350">
                  <c:v>40283</c:v>
                </c:pt>
                <c:pt idx="351">
                  <c:v>40290</c:v>
                </c:pt>
                <c:pt idx="352">
                  <c:v>40297</c:v>
                </c:pt>
                <c:pt idx="353">
                  <c:v>40304</c:v>
                </c:pt>
                <c:pt idx="354">
                  <c:v>40311</c:v>
                </c:pt>
                <c:pt idx="355">
                  <c:v>40318</c:v>
                </c:pt>
                <c:pt idx="356">
                  <c:v>40325</c:v>
                </c:pt>
                <c:pt idx="357">
                  <c:v>40332</c:v>
                </c:pt>
                <c:pt idx="358">
                  <c:v>40339</c:v>
                </c:pt>
                <c:pt idx="359">
                  <c:v>40346</c:v>
                </c:pt>
                <c:pt idx="360">
                  <c:v>40353</c:v>
                </c:pt>
                <c:pt idx="361">
                  <c:v>40360</c:v>
                </c:pt>
                <c:pt idx="362">
                  <c:v>40367</c:v>
                </c:pt>
                <c:pt idx="363">
                  <c:v>40374</c:v>
                </c:pt>
                <c:pt idx="364">
                  <c:v>40381</c:v>
                </c:pt>
                <c:pt idx="365">
                  <c:v>40388</c:v>
                </c:pt>
                <c:pt idx="366">
                  <c:v>40395</c:v>
                </c:pt>
                <c:pt idx="367">
                  <c:v>40402</c:v>
                </c:pt>
                <c:pt idx="368">
                  <c:v>40409</c:v>
                </c:pt>
                <c:pt idx="369">
                  <c:v>40416</c:v>
                </c:pt>
                <c:pt idx="370">
                  <c:v>40423</c:v>
                </c:pt>
                <c:pt idx="371">
                  <c:v>40430</c:v>
                </c:pt>
                <c:pt idx="372">
                  <c:v>40437</c:v>
                </c:pt>
                <c:pt idx="373">
                  <c:v>40444</c:v>
                </c:pt>
                <c:pt idx="374">
                  <c:v>40451</c:v>
                </c:pt>
                <c:pt idx="375">
                  <c:v>40458</c:v>
                </c:pt>
                <c:pt idx="376">
                  <c:v>40465</c:v>
                </c:pt>
                <c:pt idx="377">
                  <c:v>40472</c:v>
                </c:pt>
                <c:pt idx="378">
                  <c:v>40479</c:v>
                </c:pt>
                <c:pt idx="379">
                  <c:v>40486</c:v>
                </c:pt>
                <c:pt idx="380">
                  <c:v>40493</c:v>
                </c:pt>
                <c:pt idx="381">
                  <c:v>40500</c:v>
                </c:pt>
                <c:pt idx="382">
                  <c:v>40507</c:v>
                </c:pt>
                <c:pt idx="383">
                  <c:v>40514</c:v>
                </c:pt>
                <c:pt idx="384">
                  <c:v>40521</c:v>
                </c:pt>
                <c:pt idx="385">
                  <c:v>40528</c:v>
                </c:pt>
                <c:pt idx="386">
                  <c:v>40535</c:v>
                </c:pt>
                <c:pt idx="387">
                  <c:v>40542</c:v>
                </c:pt>
                <c:pt idx="388">
                  <c:v>40549</c:v>
                </c:pt>
                <c:pt idx="389">
                  <c:v>40556</c:v>
                </c:pt>
                <c:pt idx="390">
                  <c:v>40563</c:v>
                </c:pt>
                <c:pt idx="391">
                  <c:v>40570</c:v>
                </c:pt>
                <c:pt idx="392">
                  <c:v>40577</c:v>
                </c:pt>
                <c:pt idx="393">
                  <c:v>40584</c:v>
                </c:pt>
                <c:pt idx="394">
                  <c:v>40591</c:v>
                </c:pt>
                <c:pt idx="395">
                  <c:v>40598</c:v>
                </c:pt>
                <c:pt idx="396">
                  <c:v>40605</c:v>
                </c:pt>
                <c:pt idx="397">
                  <c:v>40612</c:v>
                </c:pt>
                <c:pt idx="398">
                  <c:v>40619</c:v>
                </c:pt>
                <c:pt idx="399">
                  <c:v>40626</c:v>
                </c:pt>
                <c:pt idx="400">
                  <c:v>40633</c:v>
                </c:pt>
                <c:pt idx="401">
                  <c:v>40640</c:v>
                </c:pt>
                <c:pt idx="402">
                  <c:v>40647</c:v>
                </c:pt>
                <c:pt idx="403">
                  <c:v>40654</c:v>
                </c:pt>
                <c:pt idx="404">
                  <c:v>40661</c:v>
                </c:pt>
                <c:pt idx="405">
                  <c:v>40668</c:v>
                </c:pt>
                <c:pt idx="406">
                  <c:v>40675</c:v>
                </c:pt>
                <c:pt idx="407">
                  <c:v>40682</c:v>
                </c:pt>
                <c:pt idx="408">
                  <c:v>40689</c:v>
                </c:pt>
                <c:pt idx="409">
                  <c:v>40696</c:v>
                </c:pt>
                <c:pt idx="410">
                  <c:v>40703</c:v>
                </c:pt>
                <c:pt idx="411">
                  <c:v>40710</c:v>
                </c:pt>
                <c:pt idx="412">
                  <c:v>40717</c:v>
                </c:pt>
                <c:pt idx="413">
                  <c:v>40724</c:v>
                </c:pt>
                <c:pt idx="414">
                  <c:v>40731</c:v>
                </c:pt>
                <c:pt idx="415">
                  <c:v>40738</c:v>
                </c:pt>
                <c:pt idx="416">
                  <c:v>40745</c:v>
                </c:pt>
                <c:pt idx="417">
                  <c:v>40752</c:v>
                </c:pt>
                <c:pt idx="418">
                  <c:v>40759</c:v>
                </c:pt>
                <c:pt idx="419">
                  <c:v>40766</c:v>
                </c:pt>
                <c:pt idx="420">
                  <c:v>40773</c:v>
                </c:pt>
                <c:pt idx="421">
                  <c:v>40780</c:v>
                </c:pt>
                <c:pt idx="422">
                  <c:v>40787</c:v>
                </c:pt>
                <c:pt idx="423">
                  <c:v>40794</c:v>
                </c:pt>
                <c:pt idx="424">
                  <c:v>40801</c:v>
                </c:pt>
                <c:pt idx="425">
                  <c:v>40808</c:v>
                </c:pt>
                <c:pt idx="426">
                  <c:v>40815</c:v>
                </c:pt>
                <c:pt idx="427">
                  <c:v>40822</c:v>
                </c:pt>
                <c:pt idx="428">
                  <c:v>40829</c:v>
                </c:pt>
                <c:pt idx="429">
                  <c:v>40836</c:v>
                </c:pt>
                <c:pt idx="430">
                  <c:v>40843</c:v>
                </c:pt>
                <c:pt idx="431">
                  <c:v>40850</c:v>
                </c:pt>
              </c:numCache>
            </c:numRef>
          </c:cat>
          <c:val>
            <c:numRef>
              <c:f>Data!$I$3:$I$481</c:f>
              <c:numCache>
                <c:formatCode>0.00%</c:formatCode>
                <c:ptCount val="479"/>
                <c:pt idx="0">
                  <c:v>0</c:v>
                </c:pt>
                <c:pt idx="1">
                  <c:v>9.6106686034429512E-3</c:v>
                </c:pt>
                <c:pt idx="2">
                  <c:v>1.7672937125506216E-2</c:v>
                </c:pt>
                <c:pt idx="3">
                  <c:v>1.0749983045916789E-3</c:v>
                </c:pt>
                <c:pt idx="4">
                  <c:v>5.6298496883729898E-2</c:v>
                </c:pt>
                <c:pt idx="5">
                  <c:v>8.6956293465349166E-2</c:v>
                </c:pt>
                <c:pt idx="6">
                  <c:v>8.4069942706134437E-2</c:v>
                </c:pt>
                <c:pt idx="7">
                  <c:v>9.6990048499618231E-2</c:v>
                </c:pt>
                <c:pt idx="8">
                  <c:v>8.7560515141637651E-2</c:v>
                </c:pt>
                <c:pt idx="9">
                  <c:v>8.9759076997792731E-2</c:v>
                </c:pt>
                <c:pt idx="10">
                  <c:v>0.11911348735662863</c:v>
                </c:pt>
                <c:pt idx="11">
                  <c:v>0.10223159497459067</c:v>
                </c:pt>
                <c:pt idx="12">
                  <c:v>0.11226666258310236</c:v>
                </c:pt>
                <c:pt idx="13">
                  <c:v>0.10547496592776029</c:v>
                </c:pt>
                <c:pt idx="14">
                  <c:v>0.1038023088180926</c:v>
                </c:pt>
                <c:pt idx="15">
                  <c:v>9.1699061728178988E-2</c:v>
                </c:pt>
                <c:pt idx="16">
                  <c:v>0.11367724236902155</c:v>
                </c:pt>
                <c:pt idx="17">
                  <c:v>0.14624395942395507</c:v>
                </c:pt>
                <c:pt idx="18">
                  <c:v>0.1614378813301629</c:v>
                </c:pt>
                <c:pt idx="19">
                  <c:v>0.16564336920307055</c:v>
                </c:pt>
                <c:pt idx="20">
                  <c:v>0.1897019800182449</c:v>
                </c:pt>
                <c:pt idx="21">
                  <c:v>0.13998954315853496</c:v>
                </c:pt>
                <c:pt idx="22">
                  <c:v>0.17920182360314763</c:v>
                </c:pt>
                <c:pt idx="23">
                  <c:v>0.20999175265850978</c:v>
                </c:pt>
                <c:pt idx="24">
                  <c:v>0.20953672692111658</c:v>
                </c:pt>
                <c:pt idx="25">
                  <c:v>0.19452219016138117</c:v>
                </c:pt>
                <c:pt idx="26">
                  <c:v>0.23471365099088426</c:v>
                </c:pt>
                <c:pt idx="27">
                  <c:v>0.26540951222553533</c:v>
                </c:pt>
                <c:pt idx="28">
                  <c:v>0.2671071082458103</c:v>
                </c:pt>
                <c:pt idx="29">
                  <c:v>0.23280779319080236</c:v>
                </c:pt>
                <c:pt idx="30">
                  <c:v>0.26903965505548921</c:v>
                </c:pt>
                <c:pt idx="31">
                  <c:v>0.24474478087666851</c:v>
                </c:pt>
                <c:pt idx="32">
                  <c:v>0.26552895648160124</c:v>
                </c:pt>
                <c:pt idx="33">
                  <c:v>0.28317257944902519</c:v>
                </c:pt>
                <c:pt idx="34">
                  <c:v>0.29903241402091818</c:v>
                </c:pt>
                <c:pt idx="35">
                  <c:v>0.34099016225605272</c:v>
                </c:pt>
                <c:pt idx="36">
                  <c:v>0.34373081727435228</c:v>
                </c:pt>
                <c:pt idx="37">
                  <c:v>0.33447410619163165</c:v>
                </c:pt>
                <c:pt idx="38">
                  <c:v>0.32746145953880523</c:v>
                </c:pt>
                <c:pt idx="39">
                  <c:v>0.28592723525924435</c:v>
                </c:pt>
                <c:pt idx="40">
                  <c:v>0.29830306026684639</c:v>
                </c:pt>
                <c:pt idx="41">
                  <c:v>0.29424064298636909</c:v>
                </c:pt>
                <c:pt idx="42">
                  <c:v>0.28875714532603247</c:v>
                </c:pt>
                <c:pt idx="43">
                  <c:v>0.29084895114379927</c:v>
                </c:pt>
                <c:pt idx="44">
                  <c:v>0.29592423821472424</c:v>
                </c:pt>
                <c:pt idx="45">
                  <c:v>0.26954324603985436</c:v>
                </c:pt>
                <c:pt idx="46">
                  <c:v>0.26172555385163987</c:v>
                </c:pt>
                <c:pt idx="47">
                  <c:v>0.26649413607457184</c:v>
                </c:pt>
                <c:pt idx="48">
                  <c:v>0.29963269797447922</c:v>
                </c:pt>
                <c:pt idx="49">
                  <c:v>0.29549852663541287</c:v>
                </c:pt>
                <c:pt idx="50">
                  <c:v>0.27980407641807248</c:v>
                </c:pt>
                <c:pt idx="51">
                  <c:v>0.2910677135175459</c:v>
                </c:pt>
                <c:pt idx="52">
                  <c:v>0.25591478768017817</c:v>
                </c:pt>
                <c:pt idx="53">
                  <c:v>0.25613573767766251</c:v>
                </c:pt>
                <c:pt idx="54">
                  <c:v>0.23943891826381436</c:v>
                </c:pt>
                <c:pt idx="55">
                  <c:v>0.24400273890491952</c:v>
                </c:pt>
                <c:pt idx="56">
                  <c:v>0.27522231726232027</c:v>
                </c:pt>
                <c:pt idx="57">
                  <c:v>0.28040567294587593</c:v>
                </c:pt>
                <c:pt idx="58">
                  <c:v>0.29223809221709107</c:v>
                </c:pt>
                <c:pt idx="59">
                  <c:v>0.289806329670522</c:v>
                </c:pt>
                <c:pt idx="60">
                  <c:v>0.30762277491320611</c:v>
                </c:pt>
                <c:pt idx="61">
                  <c:v>0.29496474644347082</c:v>
                </c:pt>
                <c:pt idx="62">
                  <c:v>0.28206301668938161</c:v>
                </c:pt>
                <c:pt idx="63">
                  <c:v>0.25786221033127177</c:v>
                </c:pt>
                <c:pt idx="64">
                  <c:v>0.23870693936125775</c:v>
                </c:pt>
                <c:pt idx="65">
                  <c:v>0.25974444179498901</c:v>
                </c:pt>
                <c:pt idx="66">
                  <c:v>0.22338351012979185</c:v>
                </c:pt>
                <c:pt idx="67">
                  <c:v>0.19196048276480648</c:v>
                </c:pt>
                <c:pt idx="68">
                  <c:v>0.22532830763240042</c:v>
                </c:pt>
                <c:pt idx="69">
                  <c:v>0.23656175552429692</c:v>
                </c:pt>
                <c:pt idx="70">
                  <c:v>0.23263059566806743</c:v>
                </c:pt>
                <c:pt idx="71">
                  <c:v>0.24108051111641005</c:v>
                </c:pt>
                <c:pt idx="72">
                  <c:v>0.24823579083691927</c:v>
                </c:pt>
                <c:pt idx="73">
                  <c:v>0.21948428958012944</c:v>
                </c:pt>
                <c:pt idx="74">
                  <c:v>0.24445907721655513</c:v>
                </c:pt>
                <c:pt idx="75">
                  <c:v>0.23719397878442505</c:v>
                </c:pt>
                <c:pt idx="76">
                  <c:v>0.23985587934817576</c:v>
                </c:pt>
                <c:pt idx="77">
                  <c:v>0.23066392192808416</c:v>
                </c:pt>
                <c:pt idx="78">
                  <c:v>0.26212151374812143</c:v>
                </c:pt>
                <c:pt idx="79">
                  <c:v>0.29557553099097178</c:v>
                </c:pt>
                <c:pt idx="80">
                  <c:v>0.30573748077625651</c:v>
                </c:pt>
                <c:pt idx="81">
                  <c:v>0.26514437222855425</c:v>
                </c:pt>
                <c:pt idx="82">
                  <c:v>0.27057186672121158</c:v>
                </c:pt>
                <c:pt idx="83">
                  <c:v>0.29260167528225822</c:v>
                </c:pt>
                <c:pt idx="84">
                  <c:v>0.29057724827560572</c:v>
                </c:pt>
                <c:pt idx="85">
                  <c:v>0.300121850642177</c:v>
                </c:pt>
                <c:pt idx="86">
                  <c:v>0.31994740952535139</c:v>
                </c:pt>
                <c:pt idx="87">
                  <c:v>0.31866677458943782</c:v>
                </c:pt>
                <c:pt idx="88">
                  <c:v>0.29144398480039024</c:v>
                </c:pt>
                <c:pt idx="89">
                  <c:v>0.29597805375866582</c:v>
                </c:pt>
                <c:pt idx="90">
                  <c:v>0.27553164725879808</c:v>
                </c:pt>
                <c:pt idx="91">
                  <c:v>0.28929792591393455</c:v>
                </c:pt>
                <c:pt idx="92">
                  <c:v>0.32111253792792671</c:v>
                </c:pt>
                <c:pt idx="93">
                  <c:v>0.31332284732355187</c:v>
                </c:pt>
                <c:pt idx="94">
                  <c:v>0.31456104235895843</c:v>
                </c:pt>
                <c:pt idx="95">
                  <c:v>0.32705762419686857</c:v>
                </c:pt>
                <c:pt idx="96">
                  <c:v>0.33219941502941275</c:v>
                </c:pt>
                <c:pt idx="97">
                  <c:v>0.3307757095010686</c:v>
                </c:pt>
                <c:pt idx="98">
                  <c:v>0.31182782526136643</c:v>
                </c:pt>
                <c:pt idx="99">
                  <c:v>0.28256091985202914</c:v>
                </c:pt>
                <c:pt idx="100">
                  <c:v>0.27926723355289806</c:v>
                </c:pt>
                <c:pt idx="101">
                  <c:v>0.29996871698055427</c:v>
                </c:pt>
                <c:pt idx="102">
                  <c:v>0.27033910355554491</c:v>
                </c:pt>
                <c:pt idx="103">
                  <c:v>0.27599017319417141</c:v>
                </c:pt>
                <c:pt idx="104">
                  <c:v>0.28562709328246383</c:v>
                </c:pt>
                <c:pt idx="105">
                  <c:v>0.30528945543482311</c:v>
                </c:pt>
                <c:pt idx="106">
                  <c:v>0.29830481036583634</c:v>
                </c:pt>
                <c:pt idx="107">
                  <c:v>0.31678629322471052</c:v>
                </c:pt>
                <c:pt idx="108">
                  <c:v>0.30742326362834915</c:v>
                </c:pt>
                <c:pt idx="109">
                  <c:v>0.30145980132001227</c:v>
                </c:pt>
                <c:pt idx="110">
                  <c:v>0.31439609552915337</c:v>
                </c:pt>
                <c:pt idx="111">
                  <c:v>0.32420890056593832</c:v>
                </c:pt>
                <c:pt idx="112">
                  <c:v>0.31074451398657255</c:v>
                </c:pt>
                <c:pt idx="113">
                  <c:v>0.31534989947868919</c:v>
                </c:pt>
                <c:pt idx="114">
                  <c:v>0.34513002141683646</c:v>
                </c:pt>
                <c:pt idx="115">
                  <c:v>0.36013493263212704</c:v>
                </c:pt>
                <c:pt idx="116">
                  <c:v>0.36507283693233905</c:v>
                </c:pt>
                <c:pt idx="117">
                  <c:v>0.36791281006831955</c:v>
                </c:pt>
                <c:pt idx="118">
                  <c:v>0.36201453894735924</c:v>
                </c:pt>
                <c:pt idx="119">
                  <c:v>0.36348199695045258</c:v>
                </c:pt>
                <c:pt idx="120">
                  <c:v>0.34993754334229554</c:v>
                </c:pt>
                <c:pt idx="121">
                  <c:v>0.34141631136011141</c:v>
                </c:pt>
                <c:pt idx="122">
                  <c:v>0.34477168864863939</c:v>
                </c:pt>
                <c:pt idx="123">
                  <c:v>0.36241181141808343</c:v>
                </c:pt>
                <c:pt idx="124">
                  <c:v>0.36462087386817821</c:v>
                </c:pt>
                <c:pt idx="125">
                  <c:v>0.34225067105358153</c:v>
                </c:pt>
                <c:pt idx="126">
                  <c:v>0.34996598245088251</c:v>
                </c:pt>
                <c:pt idx="127">
                  <c:v>0.32451079264170879</c:v>
                </c:pt>
                <c:pt idx="128">
                  <c:v>0.31559797601051831</c:v>
                </c:pt>
                <c:pt idx="129">
                  <c:v>0.33228473235517386</c:v>
                </c:pt>
                <c:pt idx="130">
                  <c:v>0.32777516478275803</c:v>
                </c:pt>
                <c:pt idx="131">
                  <c:v>0.35892255155682262</c:v>
                </c:pt>
                <c:pt idx="132">
                  <c:v>0.3764861074954553</c:v>
                </c:pt>
                <c:pt idx="133">
                  <c:v>0.37900449994202812</c:v>
                </c:pt>
                <c:pt idx="134">
                  <c:v>0.39432267887652395</c:v>
                </c:pt>
                <c:pt idx="135">
                  <c:v>0.39337631284769548</c:v>
                </c:pt>
                <c:pt idx="136">
                  <c:v>0.38120568694666801</c:v>
                </c:pt>
                <c:pt idx="137">
                  <c:v>0.39444518580582222</c:v>
                </c:pt>
                <c:pt idx="138">
                  <c:v>0.38962760081117098</c:v>
                </c:pt>
                <c:pt idx="139">
                  <c:v>0.37042945241590242</c:v>
                </c:pt>
                <c:pt idx="140">
                  <c:v>0.40298041857992617</c:v>
                </c:pt>
                <c:pt idx="141">
                  <c:v>0.41180223006363792</c:v>
                </c:pt>
                <c:pt idx="142">
                  <c:v>0.38024532012591972</c:v>
                </c:pt>
                <c:pt idx="143">
                  <c:v>0.37954221785669762</c:v>
                </c:pt>
                <c:pt idx="144">
                  <c:v>0.36598595108035803</c:v>
                </c:pt>
                <c:pt idx="145">
                  <c:v>0.37754579243388453</c:v>
                </c:pt>
                <c:pt idx="146">
                  <c:v>0.39756955002767347</c:v>
                </c:pt>
                <c:pt idx="147">
                  <c:v>0.40300010719356316</c:v>
                </c:pt>
                <c:pt idx="148">
                  <c:v>0.40275553085971416</c:v>
                </c:pt>
                <c:pt idx="149">
                  <c:v>0.39602990044124375</c:v>
                </c:pt>
                <c:pt idx="150">
                  <c:v>0.41508279062034448</c:v>
                </c:pt>
                <c:pt idx="151">
                  <c:v>0.42562144921322131</c:v>
                </c:pt>
                <c:pt idx="152">
                  <c:v>0.42376196903637364</c:v>
                </c:pt>
                <c:pt idx="153">
                  <c:v>0.42378253269950594</c:v>
                </c:pt>
                <c:pt idx="154">
                  <c:v>0.41801201880481376</c:v>
                </c:pt>
                <c:pt idx="155">
                  <c:v>0.43413918099742532</c:v>
                </c:pt>
                <c:pt idx="156">
                  <c:v>0.42825797334161719</c:v>
                </c:pt>
                <c:pt idx="157">
                  <c:v>0.42264978112824503</c:v>
                </c:pt>
                <c:pt idx="158">
                  <c:v>0.39955197465856673</c:v>
                </c:pt>
                <c:pt idx="159">
                  <c:v>0.37373495188321604</c:v>
                </c:pt>
                <c:pt idx="160">
                  <c:v>0.37011137192447463</c:v>
                </c:pt>
                <c:pt idx="161">
                  <c:v>0.37228324477103247</c:v>
                </c:pt>
                <c:pt idx="162">
                  <c:v>0.34435560261377285</c:v>
                </c:pt>
                <c:pt idx="163">
                  <c:v>0.34213953976771827</c:v>
                </c:pt>
                <c:pt idx="164">
                  <c:v>0.33264306512337116</c:v>
                </c:pt>
                <c:pt idx="165">
                  <c:v>0.36115174014530194</c:v>
                </c:pt>
                <c:pt idx="166">
                  <c:v>0.34991960482764828</c:v>
                </c:pt>
                <c:pt idx="167">
                  <c:v>0.32883572477068235</c:v>
                </c:pt>
                <c:pt idx="168">
                  <c:v>0.32490631501344303</c:v>
                </c:pt>
                <c:pt idx="169">
                  <c:v>0.35470743813946992</c:v>
                </c:pt>
                <c:pt idx="170">
                  <c:v>0.33893992128929806</c:v>
                </c:pt>
                <c:pt idx="171">
                  <c:v>0.33197557299334735</c:v>
                </c:pt>
                <c:pt idx="172">
                  <c:v>0.36537377607920973</c:v>
                </c:pt>
                <c:pt idx="173">
                  <c:v>0.36132185939267214</c:v>
                </c:pt>
                <c:pt idx="174">
                  <c:v>0.3765350971414323</c:v>
                </c:pt>
                <c:pt idx="175">
                  <c:v>0.37110110365617555</c:v>
                </c:pt>
                <c:pt idx="176">
                  <c:v>0.39363593478256131</c:v>
                </c:pt>
                <c:pt idx="177">
                  <c:v>0.38248118621709559</c:v>
                </c:pt>
                <c:pt idx="178">
                  <c:v>0.38380662281210265</c:v>
                </c:pt>
                <c:pt idx="179">
                  <c:v>0.4020809744551177</c:v>
                </c:pt>
                <c:pt idx="180">
                  <c:v>0.42450746351590496</c:v>
                </c:pt>
                <c:pt idx="181">
                  <c:v>0.42669163474559046</c:v>
                </c:pt>
                <c:pt idx="182">
                  <c:v>0.42767912810068331</c:v>
                </c:pt>
                <c:pt idx="183">
                  <c:v>0.42724947879864472</c:v>
                </c:pt>
                <c:pt idx="184">
                  <c:v>0.4522780819790122</c:v>
                </c:pt>
                <c:pt idx="185">
                  <c:v>0.47525600666787748</c:v>
                </c:pt>
                <c:pt idx="186">
                  <c:v>0.48299013162932036</c:v>
                </c:pt>
                <c:pt idx="187">
                  <c:v>0.48303388410406978</c:v>
                </c:pt>
                <c:pt idx="188">
                  <c:v>0.48307763657881919</c:v>
                </c:pt>
                <c:pt idx="189">
                  <c:v>0.48312138905356838</c:v>
                </c:pt>
                <c:pt idx="190">
                  <c:v>0.4831651415283178</c:v>
                </c:pt>
                <c:pt idx="191">
                  <c:v>0.51440440849935576</c:v>
                </c:pt>
                <c:pt idx="192">
                  <c:v>0.51444816097410517</c:v>
                </c:pt>
                <c:pt idx="193">
                  <c:v>0.51449191344885459</c:v>
                </c:pt>
                <c:pt idx="194">
                  <c:v>0.514535665923604</c:v>
                </c:pt>
                <c:pt idx="195">
                  <c:v>0.48587779496277772</c:v>
                </c:pt>
                <c:pt idx="196">
                  <c:v>0.48592154743752713</c:v>
                </c:pt>
                <c:pt idx="197">
                  <c:v>0.48596529991227633</c:v>
                </c:pt>
                <c:pt idx="198">
                  <c:v>0.48600905238702574</c:v>
                </c:pt>
                <c:pt idx="199">
                  <c:v>0.44221282516292337</c:v>
                </c:pt>
                <c:pt idx="200">
                  <c:v>0.44225657763767279</c:v>
                </c:pt>
                <c:pt idx="201">
                  <c:v>0.44230033011242198</c:v>
                </c:pt>
                <c:pt idx="202">
                  <c:v>0.44234408258717139</c:v>
                </c:pt>
                <c:pt idx="203">
                  <c:v>0.44238783506192081</c:v>
                </c:pt>
                <c:pt idx="204">
                  <c:v>0.45625736955746565</c:v>
                </c:pt>
                <c:pt idx="205">
                  <c:v>0.45630112203221507</c:v>
                </c:pt>
                <c:pt idx="206">
                  <c:v>0.45634487450696448</c:v>
                </c:pt>
                <c:pt idx="207">
                  <c:v>0.45638862698171367</c:v>
                </c:pt>
                <c:pt idx="208">
                  <c:v>0.52731138855041504</c:v>
                </c:pt>
                <c:pt idx="209">
                  <c:v>0.52735514102516423</c:v>
                </c:pt>
                <c:pt idx="210">
                  <c:v>0.52739889349991365</c:v>
                </c:pt>
                <c:pt idx="211">
                  <c:v>0.52744264597466306</c:v>
                </c:pt>
                <c:pt idx="212">
                  <c:v>0.55995073471343226</c:v>
                </c:pt>
                <c:pt idx="213">
                  <c:v>0.55995073471343226</c:v>
                </c:pt>
                <c:pt idx="214">
                  <c:v>0.55995073471343226</c:v>
                </c:pt>
                <c:pt idx="215">
                  <c:v>0.55995073471343226</c:v>
                </c:pt>
                <c:pt idx="216">
                  <c:v>0.55995073471343226</c:v>
                </c:pt>
                <c:pt idx="217">
                  <c:v>0.59079622941172616</c:v>
                </c:pt>
                <c:pt idx="218">
                  <c:v>0.59083998188647557</c:v>
                </c:pt>
                <c:pt idx="219">
                  <c:v>0.59088373436122499</c:v>
                </c:pt>
                <c:pt idx="220">
                  <c:v>0.59092748683597418</c:v>
                </c:pt>
                <c:pt idx="221">
                  <c:v>0.60029051643233577</c:v>
                </c:pt>
                <c:pt idx="222">
                  <c:v>0.60033426890708519</c:v>
                </c:pt>
                <c:pt idx="223">
                  <c:v>0.6003780213818346</c:v>
                </c:pt>
                <c:pt idx="224">
                  <c:v>0.6004217738565838</c:v>
                </c:pt>
                <c:pt idx="225">
                  <c:v>0.60046552633133321</c:v>
                </c:pt>
                <c:pt idx="226">
                  <c:v>0.63555501108031431</c:v>
                </c:pt>
                <c:pt idx="227">
                  <c:v>0.63559876355506373</c:v>
                </c:pt>
                <c:pt idx="228">
                  <c:v>0.63564251602981314</c:v>
                </c:pt>
                <c:pt idx="229">
                  <c:v>0.63568626850456234</c:v>
                </c:pt>
                <c:pt idx="230">
                  <c:v>0.73111041593290138</c:v>
                </c:pt>
                <c:pt idx="231">
                  <c:v>0.73115416840765057</c:v>
                </c:pt>
                <c:pt idx="232">
                  <c:v>0.73119792088239999</c:v>
                </c:pt>
                <c:pt idx="233">
                  <c:v>0.72629764371047245</c:v>
                </c:pt>
                <c:pt idx="234">
                  <c:v>0.72629764371047245</c:v>
                </c:pt>
                <c:pt idx="235">
                  <c:v>0.70634651522476744</c:v>
                </c:pt>
                <c:pt idx="236">
                  <c:v>0.68447027785009107</c:v>
                </c:pt>
                <c:pt idx="237">
                  <c:v>0.64133033774722903</c:v>
                </c:pt>
                <c:pt idx="238">
                  <c:v>0.62437712883134955</c:v>
                </c:pt>
                <c:pt idx="239">
                  <c:v>0.70569022810352711</c:v>
                </c:pt>
                <c:pt idx="240">
                  <c:v>0.61468508062487293</c:v>
                </c:pt>
                <c:pt idx="241">
                  <c:v>0.52494875491394999</c:v>
                </c:pt>
                <c:pt idx="242">
                  <c:v>0.62680451613044363</c:v>
                </c:pt>
                <c:pt idx="243">
                  <c:v>0.55833189314770637</c:v>
                </c:pt>
                <c:pt idx="244">
                  <c:v>0.58138944734061537</c:v>
                </c:pt>
                <c:pt idx="245">
                  <c:v>0.61044109057418572</c:v>
                </c:pt>
                <c:pt idx="246">
                  <c:v>0.50276625021602794</c:v>
                </c:pt>
                <c:pt idx="247">
                  <c:v>0.52337366582297329</c:v>
                </c:pt>
                <c:pt idx="248">
                  <c:v>0.59543399173515765</c:v>
                </c:pt>
                <c:pt idx="249">
                  <c:v>0.56874498213805236</c:v>
                </c:pt>
                <c:pt idx="250">
                  <c:v>0.58764605122977276</c:v>
                </c:pt>
                <c:pt idx="251">
                  <c:v>0.63117976360537908</c:v>
                </c:pt>
                <c:pt idx="252">
                  <c:v>0.6919957035069797</c:v>
                </c:pt>
                <c:pt idx="253">
                  <c:v>0.68573909961782231</c:v>
                </c:pt>
                <c:pt idx="254">
                  <c:v>0.65467484254578157</c:v>
                </c:pt>
                <c:pt idx="255">
                  <c:v>0.69190819855748109</c:v>
                </c:pt>
                <c:pt idx="256">
                  <c:v>0.64837448618187477</c:v>
                </c:pt>
                <c:pt idx="257">
                  <c:v>0.60991606087719341</c:v>
                </c:pt>
                <c:pt idx="258">
                  <c:v>0.56905124946129781</c:v>
                </c:pt>
                <c:pt idx="259">
                  <c:v>0.57515253206509498</c:v>
                </c:pt>
                <c:pt idx="260">
                  <c:v>0.57706801540962194</c:v>
                </c:pt>
                <c:pt idx="261">
                  <c:v>0.63026446183362261</c:v>
                </c:pt>
                <c:pt idx="262">
                  <c:v>0.61902838879324107</c:v>
                </c:pt>
                <c:pt idx="263">
                  <c:v>0.6120135545166776</c:v>
                </c:pt>
                <c:pt idx="264">
                  <c:v>0.6184071036518004</c:v>
                </c:pt>
                <c:pt idx="265">
                  <c:v>0.58582419818120979</c:v>
                </c:pt>
                <c:pt idx="266">
                  <c:v>0.53593281369977519</c:v>
                </c:pt>
                <c:pt idx="267">
                  <c:v>0.5357136138012808</c:v>
                </c:pt>
                <c:pt idx="268">
                  <c:v>0.48988858432305071</c:v>
                </c:pt>
                <c:pt idx="269">
                  <c:v>0.51281663119070187</c:v>
                </c:pt>
                <c:pt idx="270">
                  <c:v>0.40752673823113139</c:v>
                </c:pt>
                <c:pt idx="271">
                  <c:v>0.14238499115106196</c:v>
                </c:pt>
                <c:pt idx="272">
                  <c:v>0.19444256065733723</c:v>
                </c:pt>
                <c:pt idx="273">
                  <c:v>0.14062176641866309</c:v>
                </c:pt>
                <c:pt idx="274">
                  <c:v>0.17663705353334058</c:v>
                </c:pt>
                <c:pt idx="275">
                  <c:v>0.16605464246571455</c:v>
                </c:pt>
                <c:pt idx="276">
                  <c:v>0.15253294014442687</c:v>
                </c:pt>
                <c:pt idx="277">
                  <c:v>0.14322328856725974</c:v>
                </c:pt>
                <c:pt idx="278">
                  <c:v>0.1218025144547239</c:v>
                </c:pt>
                <c:pt idx="279">
                  <c:v>0.12587499480439379</c:v>
                </c:pt>
                <c:pt idx="280">
                  <c:v>0.13324291155218471</c:v>
                </c:pt>
                <c:pt idx="281">
                  <c:v>0.14219466788590251</c:v>
                </c:pt>
                <c:pt idx="282">
                  <c:v>0.13749171437509444</c:v>
                </c:pt>
                <c:pt idx="283">
                  <c:v>0.14583049853757357</c:v>
                </c:pt>
                <c:pt idx="284">
                  <c:v>0.13495363331488441</c:v>
                </c:pt>
                <c:pt idx="285">
                  <c:v>9.3515664479772109E-2</c:v>
                </c:pt>
                <c:pt idx="286">
                  <c:v>2.2528586773189252E-2</c:v>
                </c:pt>
                <c:pt idx="287">
                  <c:v>3.7589938680906654E-2</c:v>
                </c:pt>
                <c:pt idx="288">
                  <c:v>5.9481051896997927E-2</c:v>
                </c:pt>
                <c:pt idx="289">
                  <c:v>2.7541745329970224E-2</c:v>
                </c:pt>
                <c:pt idx="290">
                  <c:v>2.6268110790016674E-2</c:v>
                </c:pt>
                <c:pt idx="291">
                  <c:v>-3.7017656311185143E-2</c:v>
                </c:pt>
                <c:pt idx="292">
                  <c:v>-6.6079362613947867E-2</c:v>
                </c:pt>
                <c:pt idx="293">
                  <c:v>-6.4894108072987899E-2</c:v>
                </c:pt>
                <c:pt idx="294">
                  <c:v>-2.3823660025770188E-2</c:v>
                </c:pt>
                <c:pt idx="295">
                  <c:v>4.6139172246930427E-2</c:v>
                </c:pt>
                <c:pt idx="296">
                  <c:v>5.1728550896161796E-3</c:v>
                </c:pt>
                <c:pt idx="297">
                  <c:v>0.11809142954648388</c:v>
                </c:pt>
                <c:pt idx="298">
                  <c:v>0.13955683118326401</c:v>
                </c:pt>
                <c:pt idx="299">
                  <c:v>0.12226060286534968</c:v>
                </c:pt>
                <c:pt idx="300">
                  <c:v>0.16809569541277192</c:v>
                </c:pt>
                <c:pt idx="301">
                  <c:v>0.19854610526407912</c:v>
                </c:pt>
                <c:pt idx="302">
                  <c:v>0.17697416635128449</c:v>
                </c:pt>
                <c:pt idx="303">
                  <c:v>0.19346425532194167</c:v>
                </c:pt>
                <c:pt idx="304">
                  <c:v>0.20693914249524736</c:v>
                </c:pt>
                <c:pt idx="305">
                  <c:v>0.23525793177676624</c:v>
                </c:pt>
                <c:pt idx="306">
                  <c:v>0.3134759809851746</c:v>
                </c:pt>
                <c:pt idx="307">
                  <c:v>0.23817272164456815</c:v>
                </c:pt>
                <c:pt idx="308">
                  <c:v>0.23416324485853734</c:v>
                </c:pt>
                <c:pt idx="309">
                  <c:v>0.23878700639004902</c:v>
                </c:pt>
                <c:pt idx="310">
                  <c:v>0.18114180833353388</c:v>
                </c:pt>
                <c:pt idx="311">
                  <c:v>0.25472953313921831</c:v>
                </c:pt>
                <c:pt idx="312">
                  <c:v>0.29956138144063793</c:v>
                </c:pt>
                <c:pt idx="313">
                  <c:v>0.30895853796730388</c:v>
                </c:pt>
                <c:pt idx="314">
                  <c:v>0.31480736879179738</c:v>
                </c:pt>
                <c:pt idx="315">
                  <c:v>0.34893998691801009</c:v>
                </c:pt>
                <c:pt idx="316">
                  <c:v>0.33205990151317955</c:v>
                </c:pt>
                <c:pt idx="317">
                  <c:v>0.34346086450514868</c:v>
                </c:pt>
                <c:pt idx="318">
                  <c:v>0.34302859005462505</c:v>
                </c:pt>
                <c:pt idx="319">
                  <c:v>0.3920943653375395</c:v>
                </c:pt>
                <c:pt idx="320">
                  <c:v>0.41578974179477024</c:v>
                </c:pt>
                <c:pt idx="321">
                  <c:v>0.38379408335283971</c:v>
                </c:pt>
                <c:pt idx="322">
                  <c:v>0.36203685270948149</c:v>
                </c:pt>
                <c:pt idx="323">
                  <c:v>0.41991306383267313</c:v>
                </c:pt>
                <c:pt idx="324">
                  <c:v>0.45357884305331031</c:v>
                </c:pt>
                <c:pt idx="325">
                  <c:v>0.44030652983809415</c:v>
                </c:pt>
                <c:pt idx="326">
                  <c:v>0.41744717435579948</c:v>
                </c:pt>
                <c:pt idx="327">
                  <c:v>0.42757062196330486</c:v>
                </c:pt>
                <c:pt idx="328">
                  <c:v>0.43659631997934878</c:v>
                </c:pt>
                <c:pt idx="329">
                  <c:v>0.441231894679043</c:v>
                </c:pt>
                <c:pt idx="330">
                  <c:v>0.45095806981582398</c:v>
                </c:pt>
                <c:pt idx="331">
                  <c:v>0.4622995237543126</c:v>
                </c:pt>
                <c:pt idx="332">
                  <c:v>0.46549832974927652</c:v>
                </c:pt>
                <c:pt idx="333">
                  <c:v>0.46124558920363956</c:v>
                </c:pt>
                <c:pt idx="334">
                  <c:v>0.49601580339387952</c:v>
                </c:pt>
                <c:pt idx="335">
                  <c:v>0.48098370964107651</c:v>
                </c:pt>
                <c:pt idx="336">
                  <c:v>0.53824670445422096</c:v>
                </c:pt>
                <c:pt idx="337">
                  <c:v>0.55126836849209315</c:v>
                </c:pt>
                <c:pt idx="338">
                  <c:v>0.51505658638816776</c:v>
                </c:pt>
                <c:pt idx="339">
                  <c:v>0.41998544923947256</c:v>
                </c:pt>
                <c:pt idx="340">
                  <c:v>0.4440342406867388</c:v>
                </c:pt>
                <c:pt idx="341">
                  <c:v>0.48644570208502436</c:v>
                </c:pt>
                <c:pt idx="342">
                  <c:v>0.47029122565995163</c:v>
                </c:pt>
                <c:pt idx="343">
                  <c:v>0.4992559628054527</c:v>
                </c:pt>
                <c:pt idx="344">
                  <c:v>0.51521073109006021</c:v>
                </c:pt>
                <c:pt idx="345">
                  <c:v>0.53028332463927175</c:v>
                </c:pt>
                <c:pt idx="346">
                  <c:v>0.54535591818848328</c:v>
                </c:pt>
                <c:pt idx="347">
                  <c:v>0.56042851173769526</c:v>
                </c:pt>
                <c:pt idx="348">
                  <c:v>0.57287609299150999</c:v>
                </c:pt>
                <c:pt idx="349">
                  <c:v>0.58244956980379237</c:v>
                </c:pt>
                <c:pt idx="350">
                  <c:v>0.6262834228873575</c:v>
                </c:pt>
                <c:pt idx="351">
                  <c:v>0.62968520444437637</c:v>
                </c:pt>
                <c:pt idx="352">
                  <c:v>0.58199549393262573</c:v>
                </c:pt>
                <c:pt idx="353">
                  <c:v>0.45944596766254597</c:v>
                </c:pt>
                <c:pt idx="354">
                  <c:v>0.50953257043601541</c:v>
                </c:pt>
                <c:pt idx="355">
                  <c:v>0.4730666328314197</c:v>
                </c:pt>
                <c:pt idx="356">
                  <c:v>0.43660025770207644</c:v>
                </c:pt>
                <c:pt idx="357">
                  <c:v>0.40283997138588168</c:v>
                </c:pt>
                <c:pt idx="358">
                  <c:v>0.43735192521827027</c:v>
                </c:pt>
                <c:pt idx="359">
                  <c:v>0.46883226832517733</c:v>
                </c:pt>
                <c:pt idx="360">
                  <c:v>0.40937712139342874</c:v>
                </c:pt>
                <c:pt idx="361">
                  <c:v>0.41644208944318417</c:v>
                </c:pt>
                <c:pt idx="362">
                  <c:v>0.43998864404517879</c:v>
                </c:pt>
                <c:pt idx="363">
                  <c:v>0.44485996801694094</c:v>
                </c:pt>
                <c:pt idx="364">
                  <c:v>0.45199098261495441</c:v>
                </c:pt>
                <c:pt idx="365">
                  <c:v>0.47708756489038917</c:v>
                </c:pt>
                <c:pt idx="366">
                  <c:v>0.44015295865172366</c:v>
                </c:pt>
                <c:pt idx="367">
                  <c:v>0.40321799451781515</c:v>
                </c:pt>
                <c:pt idx="368">
                  <c:v>0.36628341190548586</c:v>
                </c:pt>
                <c:pt idx="369">
                  <c:v>0.44609232253449349</c:v>
                </c:pt>
                <c:pt idx="370">
                  <c:v>0.43858502965323987</c:v>
                </c:pt>
                <c:pt idx="371">
                  <c:v>0.45095357206141973</c:v>
                </c:pt>
                <c:pt idx="372">
                  <c:v>0.43519674219073012</c:v>
                </c:pt>
                <c:pt idx="373">
                  <c:v>0.45816179402647483</c:v>
                </c:pt>
                <c:pt idx="374">
                  <c:v>0.46572542828203733</c:v>
                </c:pt>
                <c:pt idx="375">
                  <c:v>0.49394145087581531</c:v>
                </c:pt>
                <c:pt idx="376">
                  <c:v>0.5033612020554914</c:v>
                </c:pt>
                <c:pt idx="377">
                  <c:v>0.49195938895293767</c:v>
                </c:pt>
                <c:pt idx="378">
                  <c:v>0.48725871144586619</c:v>
                </c:pt>
                <c:pt idx="379">
                  <c:v>0.60381082086205473</c:v>
                </c:pt>
                <c:pt idx="380">
                  <c:v>0.61318332549434817</c:v>
                </c:pt>
                <c:pt idx="381">
                  <c:v>0.61184116976616498</c:v>
                </c:pt>
                <c:pt idx="382">
                  <c:v>0.61027657295615723</c:v>
                </c:pt>
                <c:pt idx="383">
                  <c:v>0.61492702349726613</c:v>
                </c:pt>
                <c:pt idx="384">
                  <c:v>0.61957747403837482</c:v>
                </c:pt>
                <c:pt idx="385">
                  <c:v>0.62422792457948351</c:v>
                </c:pt>
                <c:pt idx="386">
                  <c:v>0.62887871332722245</c:v>
                </c:pt>
                <c:pt idx="387">
                  <c:v>0.63314568655289571</c:v>
                </c:pt>
                <c:pt idx="388">
                  <c:v>0.65446699466438552</c:v>
                </c:pt>
                <c:pt idx="389">
                  <c:v>0.6836389808298533</c:v>
                </c:pt>
                <c:pt idx="390">
                  <c:v>0.67060759717971541</c:v>
                </c:pt>
                <c:pt idx="391">
                  <c:v>0.68414009017385058</c:v>
                </c:pt>
                <c:pt idx="392">
                  <c:v>0.71529035586075307</c:v>
                </c:pt>
                <c:pt idx="393">
                  <c:v>0.70616756760304278</c:v>
                </c:pt>
                <c:pt idx="394">
                  <c:v>0.69608254123123858</c:v>
                </c:pt>
                <c:pt idx="395">
                  <c:v>0.69719393503195026</c:v>
                </c:pt>
                <c:pt idx="396">
                  <c:v>0.70372592049737803</c:v>
                </c:pt>
                <c:pt idx="397">
                  <c:v>0.69194465661964011</c:v>
                </c:pt>
                <c:pt idx="398">
                  <c:v>0.65646830592605387</c:v>
                </c:pt>
                <c:pt idx="399">
                  <c:v>0.70660311080095495</c:v>
                </c:pt>
                <c:pt idx="400">
                  <c:v>0.74660482108519255</c:v>
                </c:pt>
                <c:pt idx="401">
                  <c:v>0.73642125801490654</c:v>
                </c:pt>
                <c:pt idx="402">
                  <c:v>0.72800399022569717</c:v>
                </c:pt>
                <c:pt idx="403">
                  <c:v>0.76121211856045612</c:v>
                </c:pt>
                <c:pt idx="404">
                  <c:v>0.77298153426803218</c:v>
                </c:pt>
                <c:pt idx="405">
                  <c:v>0.72721732072970369</c:v>
                </c:pt>
                <c:pt idx="406">
                  <c:v>0.75140937659286355</c:v>
                </c:pt>
                <c:pt idx="407">
                  <c:v>0.74491738438955468</c:v>
                </c:pt>
                <c:pt idx="408">
                  <c:v>0.67632837982398408</c:v>
                </c:pt>
                <c:pt idx="409">
                  <c:v>0.66540688707705042</c:v>
                </c:pt>
                <c:pt idx="410">
                  <c:v>0.62527274198946881</c:v>
                </c:pt>
                <c:pt idx="411">
                  <c:v>0.61068041661106465</c:v>
                </c:pt>
                <c:pt idx="412">
                  <c:v>0.637903206400112</c:v>
                </c:pt>
                <c:pt idx="413">
                  <c:v>0.66729349378824265</c:v>
                </c:pt>
                <c:pt idx="414">
                  <c:v>0.70030998628359931</c:v>
                </c:pt>
                <c:pt idx="415">
                  <c:v>0.65409337215636265</c:v>
                </c:pt>
                <c:pt idx="416">
                  <c:v>0.6773285613967539</c:v>
                </c:pt>
                <c:pt idx="417">
                  <c:v>0.61456826151729227</c:v>
                </c:pt>
                <c:pt idx="418">
                  <c:v>0.51306252009879327</c:v>
                </c:pt>
                <c:pt idx="419">
                  <c:v>0.47628637744822444</c:v>
                </c:pt>
                <c:pt idx="420">
                  <c:v>0.44645156491664051</c:v>
                </c:pt>
                <c:pt idx="421">
                  <c:v>0.47264442145008845</c:v>
                </c:pt>
                <c:pt idx="422">
                  <c:v>0.52162487940724156</c:v>
                </c:pt>
                <c:pt idx="423">
                  <c:v>0.50374674317516099</c:v>
                </c:pt>
                <c:pt idx="424">
                  <c:v>0.52656453380644352</c:v>
                </c:pt>
                <c:pt idx="425">
                  <c:v>0.43142083974124801</c:v>
                </c:pt>
                <c:pt idx="426">
                  <c:v>0.4495129255748529</c:v>
                </c:pt>
                <c:pt idx="427">
                  <c:v>0.49451978377526973</c:v>
                </c:pt>
                <c:pt idx="428">
                  <c:v>0.57901762568445281</c:v>
                </c:pt>
                <c:pt idx="429">
                  <c:v>0.57510921711509311</c:v>
                </c:pt>
                <c:pt idx="430">
                  <c:v>0.67692297595582751</c:v>
                </c:pt>
                <c:pt idx="431">
                  <c:v>0.66063961742836108</c:v>
                </c:pt>
                <c:pt idx="432">
                  <c:v>0.6297551830275403</c:v>
                </c:pt>
                <c:pt idx="433">
                  <c:v>0.61430268399556365</c:v>
                </c:pt>
                <c:pt idx="434">
                  <c:v>0.54937357394277631</c:v>
                </c:pt>
                <c:pt idx="435">
                  <c:v>0.65205888208051777</c:v>
                </c:pt>
                <c:pt idx="436">
                  <c:v>0.64008164211788232</c:v>
                </c:pt>
                <c:pt idx="437">
                  <c:v>0.6127468459934764</c:v>
                </c:pt>
                <c:pt idx="438">
                  <c:v>0.66614674142506192</c:v>
                </c:pt>
                <c:pt idx="439">
                  <c:v>0.67565721686132885</c:v>
                </c:pt>
                <c:pt idx="440">
                  <c:v>0.70255492576298839</c:v>
                </c:pt>
                <c:pt idx="441">
                  <c:v>0.7200401647718202</c:v>
                </c:pt>
                <c:pt idx="442">
                  <c:v>0.74532471992947102</c:v>
                </c:pt>
                <c:pt idx="443">
                  <c:v>0.75056057858272629</c:v>
                </c:pt>
                <c:pt idx="444">
                  <c:v>0.76001373827707153</c:v>
                </c:pt>
                <c:pt idx="445">
                  <c:v>0.79503803183867605</c:v>
                </c:pt>
                <c:pt idx="446">
                  <c:v>0.78674580643467662</c:v>
                </c:pt>
                <c:pt idx="447">
                  <c:v>0.78737128437577275</c:v>
                </c:pt>
                <c:pt idx="448">
                  <c:v>0.78393813881347651</c:v>
                </c:pt>
                <c:pt idx="449">
                  <c:v>0.78393813881347651</c:v>
                </c:pt>
                <c:pt idx="450">
                  <c:v>0.81105492991947403</c:v>
                </c:pt>
                <c:pt idx="451">
                  <c:v>0.79907411756727509</c:v>
                </c:pt>
                <c:pt idx="452">
                  <c:v>0.80105026546814062</c:v>
                </c:pt>
                <c:pt idx="453">
                  <c:v>0.80519254370325322</c:v>
                </c:pt>
                <c:pt idx="454">
                  <c:v>0.80561088167799544</c:v>
                </c:pt>
                <c:pt idx="455">
                  <c:v>0.77254637390427461</c:v>
                </c:pt>
                <c:pt idx="456">
                  <c:v>0.7764004020852433</c:v>
                </c:pt>
                <c:pt idx="457">
                  <c:v>0.77067052855177143</c:v>
                </c:pt>
                <c:pt idx="458">
                  <c:v>0.73248905641225348</c:v>
                </c:pt>
                <c:pt idx="459">
                  <c:v>0.66588816429929332</c:v>
                </c:pt>
                <c:pt idx="460">
                  <c:v>0.67273805174605195</c:v>
                </c:pt>
                <c:pt idx="461">
                  <c:v>0.66499648886390172</c:v>
                </c:pt>
                <c:pt idx="462">
                  <c:v>0.67099057790456307</c:v>
                </c:pt>
                <c:pt idx="463">
                  <c:v>0.68887002671088582</c:v>
                </c:pt>
                <c:pt idx="464">
                  <c:v>0.68431014379250832</c:v>
                </c:pt>
                <c:pt idx="465">
                  <c:v>0.68885777601795617</c:v>
                </c:pt>
                <c:pt idx="466">
                  <c:v>0.73783473377712938</c:v>
                </c:pt>
                <c:pt idx="467">
                  <c:v>0.69612681217281347</c:v>
                </c:pt>
                <c:pt idx="468">
                  <c:v>0.74921518998418368</c:v>
                </c:pt>
                <c:pt idx="469">
                  <c:v>0.671660865817723</c:v>
                </c:pt>
                <c:pt idx="470">
                  <c:v>0.67805003970537103</c:v>
                </c:pt>
                <c:pt idx="471">
                  <c:v>0.7245449195720135</c:v>
                </c:pt>
                <c:pt idx="472">
                  <c:v>0.74322810133948214</c:v>
                </c:pt>
                <c:pt idx="473">
                  <c:v>0.73210622225819666</c:v>
                </c:pt>
                <c:pt idx="474">
                  <c:v>0.73364630936937369</c:v>
                </c:pt>
                <c:pt idx="475">
                  <c:v>0.76680674750665601</c:v>
                </c:pt>
                <c:pt idx="476">
                  <c:v>0.79843759912670076</c:v>
                </c:pt>
                <c:pt idx="477">
                  <c:v>0.79440209302884646</c:v>
                </c:pt>
                <c:pt idx="478">
                  <c:v>0.77407140841403876</c:v>
                </c:pt>
              </c:numCache>
            </c:numRef>
          </c:val>
        </c:ser>
        <c:ser>
          <c:idx val="1"/>
          <c:order val="1"/>
          <c:tx>
            <c:v>S&amp;P 500</c:v>
          </c:tx>
          <c:spPr>
            <a:ln w="38100">
              <a:solidFill>
                <a:srgbClr val="000000"/>
              </a:solidFill>
              <a:prstDash val="solid"/>
            </a:ln>
          </c:spPr>
          <c:marker>
            <c:symbol val="none"/>
          </c:marker>
          <c:cat>
            <c:numRef>
              <c:f>Data!$B$3:$B$434</c:f>
              <c:numCache>
                <c:formatCode>m/d/yyyy</c:formatCode>
                <c:ptCount val="432"/>
                <c:pt idx="0">
                  <c:v>37743</c:v>
                </c:pt>
                <c:pt idx="1">
                  <c:v>37750</c:v>
                </c:pt>
                <c:pt idx="2">
                  <c:v>37757</c:v>
                </c:pt>
                <c:pt idx="3">
                  <c:v>37764</c:v>
                </c:pt>
                <c:pt idx="4">
                  <c:v>37771</c:v>
                </c:pt>
                <c:pt idx="5">
                  <c:v>37778</c:v>
                </c:pt>
                <c:pt idx="6">
                  <c:v>37785</c:v>
                </c:pt>
                <c:pt idx="7">
                  <c:v>37792</c:v>
                </c:pt>
                <c:pt idx="8">
                  <c:v>37799</c:v>
                </c:pt>
                <c:pt idx="9">
                  <c:v>37806</c:v>
                </c:pt>
                <c:pt idx="10">
                  <c:v>37813</c:v>
                </c:pt>
                <c:pt idx="11">
                  <c:v>37820</c:v>
                </c:pt>
                <c:pt idx="12">
                  <c:v>37827</c:v>
                </c:pt>
                <c:pt idx="13">
                  <c:v>37834</c:v>
                </c:pt>
                <c:pt idx="14">
                  <c:v>37841</c:v>
                </c:pt>
                <c:pt idx="15">
                  <c:v>37848</c:v>
                </c:pt>
                <c:pt idx="16">
                  <c:v>37855</c:v>
                </c:pt>
                <c:pt idx="17">
                  <c:v>37862</c:v>
                </c:pt>
                <c:pt idx="18">
                  <c:v>37869</c:v>
                </c:pt>
                <c:pt idx="19">
                  <c:v>37876</c:v>
                </c:pt>
                <c:pt idx="20">
                  <c:v>37883</c:v>
                </c:pt>
                <c:pt idx="21">
                  <c:v>37890</c:v>
                </c:pt>
                <c:pt idx="22">
                  <c:v>37897</c:v>
                </c:pt>
                <c:pt idx="23">
                  <c:v>37904</c:v>
                </c:pt>
                <c:pt idx="24">
                  <c:v>37911</c:v>
                </c:pt>
                <c:pt idx="25">
                  <c:v>37918</c:v>
                </c:pt>
                <c:pt idx="26">
                  <c:v>37925</c:v>
                </c:pt>
                <c:pt idx="27">
                  <c:v>37932</c:v>
                </c:pt>
                <c:pt idx="28">
                  <c:v>37939</c:v>
                </c:pt>
                <c:pt idx="29">
                  <c:v>37946</c:v>
                </c:pt>
                <c:pt idx="30">
                  <c:v>37953</c:v>
                </c:pt>
                <c:pt idx="31">
                  <c:v>37960</c:v>
                </c:pt>
                <c:pt idx="32">
                  <c:v>37967</c:v>
                </c:pt>
                <c:pt idx="33">
                  <c:v>37974</c:v>
                </c:pt>
                <c:pt idx="34">
                  <c:v>37981</c:v>
                </c:pt>
                <c:pt idx="35">
                  <c:v>37988</c:v>
                </c:pt>
                <c:pt idx="36">
                  <c:v>37995</c:v>
                </c:pt>
                <c:pt idx="37">
                  <c:v>38002</c:v>
                </c:pt>
                <c:pt idx="38">
                  <c:v>38009</c:v>
                </c:pt>
                <c:pt idx="39">
                  <c:v>38016</c:v>
                </c:pt>
                <c:pt idx="40">
                  <c:v>38023</c:v>
                </c:pt>
                <c:pt idx="41">
                  <c:v>38030</c:v>
                </c:pt>
                <c:pt idx="42">
                  <c:v>38037</c:v>
                </c:pt>
                <c:pt idx="43">
                  <c:v>38044</c:v>
                </c:pt>
                <c:pt idx="44">
                  <c:v>38051</c:v>
                </c:pt>
                <c:pt idx="45">
                  <c:v>38058</c:v>
                </c:pt>
                <c:pt idx="46">
                  <c:v>38065</c:v>
                </c:pt>
                <c:pt idx="47">
                  <c:v>38072</c:v>
                </c:pt>
                <c:pt idx="48">
                  <c:v>38079</c:v>
                </c:pt>
                <c:pt idx="49">
                  <c:v>38086</c:v>
                </c:pt>
                <c:pt idx="50">
                  <c:v>38093</c:v>
                </c:pt>
                <c:pt idx="51">
                  <c:v>38100</c:v>
                </c:pt>
                <c:pt idx="52">
                  <c:v>38107</c:v>
                </c:pt>
                <c:pt idx="53">
                  <c:v>38114</c:v>
                </c:pt>
                <c:pt idx="54">
                  <c:v>38121</c:v>
                </c:pt>
                <c:pt idx="55">
                  <c:v>38128</c:v>
                </c:pt>
                <c:pt idx="56">
                  <c:v>38135</c:v>
                </c:pt>
                <c:pt idx="57">
                  <c:v>38142</c:v>
                </c:pt>
                <c:pt idx="58">
                  <c:v>38149</c:v>
                </c:pt>
                <c:pt idx="59">
                  <c:v>38156</c:v>
                </c:pt>
                <c:pt idx="60">
                  <c:v>38163</c:v>
                </c:pt>
                <c:pt idx="61">
                  <c:v>38170</c:v>
                </c:pt>
                <c:pt idx="62">
                  <c:v>38177</c:v>
                </c:pt>
                <c:pt idx="63">
                  <c:v>38184</c:v>
                </c:pt>
                <c:pt idx="64">
                  <c:v>38191</c:v>
                </c:pt>
                <c:pt idx="65">
                  <c:v>38198</c:v>
                </c:pt>
                <c:pt idx="66">
                  <c:v>38205</c:v>
                </c:pt>
                <c:pt idx="67">
                  <c:v>38212</c:v>
                </c:pt>
                <c:pt idx="68">
                  <c:v>38219</c:v>
                </c:pt>
                <c:pt idx="69">
                  <c:v>38226</c:v>
                </c:pt>
                <c:pt idx="70">
                  <c:v>38233</c:v>
                </c:pt>
                <c:pt idx="71">
                  <c:v>38240</c:v>
                </c:pt>
                <c:pt idx="72">
                  <c:v>38247</c:v>
                </c:pt>
                <c:pt idx="73">
                  <c:v>38254</c:v>
                </c:pt>
                <c:pt idx="74">
                  <c:v>38261</c:v>
                </c:pt>
                <c:pt idx="75">
                  <c:v>38268</c:v>
                </c:pt>
                <c:pt idx="76">
                  <c:v>38275</c:v>
                </c:pt>
                <c:pt idx="77">
                  <c:v>38282</c:v>
                </c:pt>
                <c:pt idx="78">
                  <c:v>38289</c:v>
                </c:pt>
                <c:pt idx="79">
                  <c:v>38296</c:v>
                </c:pt>
                <c:pt idx="80">
                  <c:v>38303</c:v>
                </c:pt>
                <c:pt idx="81">
                  <c:v>38310</c:v>
                </c:pt>
                <c:pt idx="82">
                  <c:v>38317</c:v>
                </c:pt>
                <c:pt idx="83">
                  <c:v>38324</c:v>
                </c:pt>
                <c:pt idx="84">
                  <c:v>38331</c:v>
                </c:pt>
                <c:pt idx="85">
                  <c:v>38338</c:v>
                </c:pt>
                <c:pt idx="86">
                  <c:v>38345</c:v>
                </c:pt>
                <c:pt idx="87">
                  <c:v>38352</c:v>
                </c:pt>
                <c:pt idx="88">
                  <c:v>38359</c:v>
                </c:pt>
                <c:pt idx="89">
                  <c:v>38366</c:v>
                </c:pt>
                <c:pt idx="90">
                  <c:v>38373</c:v>
                </c:pt>
                <c:pt idx="91">
                  <c:v>38380</c:v>
                </c:pt>
                <c:pt idx="92">
                  <c:v>38387</c:v>
                </c:pt>
                <c:pt idx="93">
                  <c:v>38394</c:v>
                </c:pt>
                <c:pt idx="94">
                  <c:v>38401</c:v>
                </c:pt>
                <c:pt idx="95">
                  <c:v>38408</c:v>
                </c:pt>
                <c:pt idx="96">
                  <c:v>38415</c:v>
                </c:pt>
                <c:pt idx="97">
                  <c:v>38422</c:v>
                </c:pt>
                <c:pt idx="98">
                  <c:v>38429</c:v>
                </c:pt>
                <c:pt idx="99">
                  <c:v>38436</c:v>
                </c:pt>
                <c:pt idx="100">
                  <c:v>38443</c:v>
                </c:pt>
                <c:pt idx="101">
                  <c:v>38450</c:v>
                </c:pt>
                <c:pt idx="102">
                  <c:v>38457</c:v>
                </c:pt>
                <c:pt idx="103">
                  <c:v>38464</c:v>
                </c:pt>
                <c:pt idx="104">
                  <c:v>38471</c:v>
                </c:pt>
                <c:pt idx="105">
                  <c:v>38478</c:v>
                </c:pt>
                <c:pt idx="106">
                  <c:v>38485</c:v>
                </c:pt>
                <c:pt idx="107">
                  <c:v>38492</c:v>
                </c:pt>
                <c:pt idx="108">
                  <c:v>38499</c:v>
                </c:pt>
                <c:pt idx="109">
                  <c:v>38506</c:v>
                </c:pt>
                <c:pt idx="110">
                  <c:v>38513</c:v>
                </c:pt>
                <c:pt idx="111">
                  <c:v>38520</c:v>
                </c:pt>
                <c:pt idx="112">
                  <c:v>38527</c:v>
                </c:pt>
                <c:pt idx="113">
                  <c:v>38534</c:v>
                </c:pt>
                <c:pt idx="114">
                  <c:v>38541</c:v>
                </c:pt>
                <c:pt idx="115">
                  <c:v>38548</c:v>
                </c:pt>
                <c:pt idx="116">
                  <c:v>38555</c:v>
                </c:pt>
                <c:pt idx="117">
                  <c:v>38562</c:v>
                </c:pt>
                <c:pt idx="118">
                  <c:v>38569</c:v>
                </c:pt>
                <c:pt idx="119">
                  <c:v>38576</c:v>
                </c:pt>
                <c:pt idx="120">
                  <c:v>38583</c:v>
                </c:pt>
                <c:pt idx="121">
                  <c:v>38590</c:v>
                </c:pt>
                <c:pt idx="122">
                  <c:v>38597</c:v>
                </c:pt>
                <c:pt idx="123">
                  <c:v>38604</c:v>
                </c:pt>
                <c:pt idx="124">
                  <c:v>38611</c:v>
                </c:pt>
                <c:pt idx="125">
                  <c:v>38618</c:v>
                </c:pt>
                <c:pt idx="126">
                  <c:v>38625</c:v>
                </c:pt>
                <c:pt idx="127">
                  <c:v>38632</c:v>
                </c:pt>
                <c:pt idx="128">
                  <c:v>38639</c:v>
                </c:pt>
                <c:pt idx="129">
                  <c:v>38646</c:v>
                </c:pt>
                <c:pt idx="130">
                  <c:v>38653</c:v>
                </c:pt>
                <c:pt idx="131">
                  <c:v>38660</c:v>
                </c:pt>
                <c:pt idx="132">
                  <c:v>38667</c:v>
                </c:pt>
                <c:pt idx="133">
                  <c:v>38674</c:v>
                </c:pt>
                <c:pt idx="134">
                  <c:v>38681</c:v>
                </c:pt>
                <c:pt idx="135">
                  <c:v>38688</c:v>
                </c:pt>
                <c:pt idx="136">
                  <c:v>38695</c:v>
                </c:pt>
                <c:pt idx="137">
                  <c:v>38702</c:v>
                </c:pt>
                <c:pt idx="138">
                  <c:v>38709</c:v>
                </c:pt>
                <c:pt idx="139">
                  <c:v>38716</c:v>
                </c:pt>
                <c:pt idx="140">
                  <c:v>38723</c:v>
                </c:pt>
                <c:pt idx="141">
                  <c:v>38730</c:v>
                </c:pt>
                <c:pt idx="142">
                  <c:v>38737</c:v>
                </c:pt>
                <c:pt idx="143">
                  <c:v>38744</c:v>
                </c:pt>
                <c:pt idx="144">
                  <c:v>38751</c:v>
                </c:pt>
                <c:pt idx="145">
                  <c:v>38758</c:v>
                </c:pt>
                <c:pt idx="146">
                  <c:v>38765</c:v>
                </c:pt>
                <c:pt idx="147">
                  <c:v>38772</c:v>
                </c:pt>
                <c:pt idx="148">
                  <c:v>38779</c:v>
                </c:pt>
                <c:pt idx="149">
                  <c:v>38786</c:v>
                </c:pt>
                <c:pt idx="150">
                  <c:v>38793</c:v>
                </c:pt>
                <c:pt idx="151">
                  <c:v>38800</c:v>
                </c:pt>
                <c:pt idx="152">
                  <c:v>38807</c:v>
                </c:pt>
                <c:pt idx="153">
                  <c:v>38814</c:v>
                </c:pt>
                <c:pt idx="154">
                  <c:v>38821</c:v>
                </c:pt>
                <c:pt idx="155">
                  <c:v>38828</c:v>
                </c:pt>
                <c:pt idx="156">
                  <c:v>38835</c:v>
                </c:pt>
                <c:pt idx="157">
                  <c:v>38842</c:v>
                </c:pt>
                <c:pt idx="158">
                  <c:v>38849</c:v>
                </c:pt>
                <c:pt idx="159">
                  <c:v>38856</c:v>
                </c:pt>
                <c:pt idx="160">
                  <c:v>38863</c:v>
                </c:pt>
                <c:pt idx="161">
                  <c:v>38870</c:v>
                </c:pt>
                <c:pt idx="162">
                  <c:v>38877</c:v>
                </c:pt>
                <c:pt idx="163">
                  <c:v>38884</c:v>
                </c:pt>
                <c:pt idx="164">
                  <c:v>38891</c:v>
                </c:pt>
                <c:pt idx="165">
                  <c:v>38898</c:v>
                </c:pt>
                <c:pt idx="166">
                  <c:v>38905</c:v>
                </c:pt>
                <c:pt idx="167">
                  <c:v>38912</c:v>
                </c:pt>
                <c:pt idx="168">
                  <c:v>38919</c:v>
                </c:pt>
                <c:pt idx="169">
                  <c:v>38926</c:v>
                </c:pt>
                <c:pt idx="170">
                  <c:v>38933</c:v>
                </c:pt>
                <c:pt idx="171">
                  <c:v>38940</c:v>
                </c:pt>
                <c:pt idx="172">
                  <c:v>38947</c:v>
                </c:pt>
                <c:pt idx="173">
                  <c:v>38954</c:v>
                </c:pt>
                <c:pt idx="174">
                  <c:v>38961</c:v>
                </c:pt>
                <c:pt idx="175">
                  <c:v>38968</c:v>
                </c:pt>
                <c:pt idx="176">
                  <c:v>38975</c:v>
                </c:pt>
                <c:pt idx="177">
                  <c:v>38982</c:v>
                </c:pt>
                <c:pt idx="178">
                  <c:v>38989</c:v>
                </c:pt>
                <c:pt idx="179">
                  <c:v>38996</c:v>
                </c:pt>
                <c:pt idx="180">
                  <c:v>39003</c:v>
                </c:pt>
                <c:pt idx="181">
                  <c:v>39010</c:v>
                </c:pt>
                <c:pt idx="182">
                  <c:v>39017</c:v>
                </c:pt>
                <c:pt idx="183">
                  <c:v>39024</c:v>
                </c:pt>
                <c:pt idx="184">
                  <c:v>39031</c:v>
                </c:pt>
                <c:pt idx="185">
                  <c:v>39038</c:v>
                </c:pt>
                <c:pt idx="186">
                  <c:v>39045</c:v>
                </c:pt>
                <c:pt idx="187">
                  <c:v>39052</c:v>
                </c:pt>
                <c:pt idx="188">
                  <c:v>39059</c:v>
                </c:pt>
                <c:pt idx="189">
                  <c:v>39066</c:v>
                </c:pt>
                <c:pt idx="190">
                  <c:v>39073</c:v>
                </c:pt>
                <c:pt idx="191">
                  <c:v>39080</c:v>
                </c:pt>
                <c:pt idx="192">
                  <c:v>39087</c:v>
                </c:pt>
                <c:pt idx="193">
                  <c:v>39094</c:v>
                </c:pt>
                <c:pt idx="194">
                  <c:v>39101</c:v>
                </c:pt>
                <c:pt idx="195">
                  <c:v>39108</c:v>
                </c:pt>
                <c:pt idx="196">
                  <c:v>39115</c:v>
                </c:pt>
                <c:pt idx="197">
                  <c:v>39122</c:v>
                </c:pt>
                <c:pt idx="198">
                  <c:v>39129</c:v>
                </c:pt>
                <c:pt idx="199">
                  <c:v>39136</c:v>
                </c:pt>
                <c:pt idx="200">
                  <c:v>39143</c:v>
                </c:pt>
                <c:pt idx="201">
                  <c:v>39150</c:v>
                </c:pt>
                <c:pt idx="202">
                  <c:v>39157</c:v>
                </c:pt>
                <c:pt idx="203">
                  <c:v>39164</c:v>
                </c:pt>
                <c:pt idx="204">
                  <c:v>39171</c:v>
                </c:pt>
                <c:pt idx="205">
                  <c:v>39178</c:v>
                </c:pt>
                <c:pt idx="206">
                  <c:v>39185</c:v>
                </c:pt>
                <c:pt idx="207">
                  <c:v>39192</c:v>
                </c:pt>
                <c:pt idx="208">
                  <c:v>39199</c:v>
                </c:pt>
                <c:pt idx="209">
                  <c:v>39206</c:v>
                </c:pt>
                <c:pt idx="210">
                  <c:v>39213</c:v>
                </c:pt>
                <c:pt idx="211">
                  <c:v>39220</c:v>
                </c:pt>
                <c:pt idx="212">
                  <c:v>39227</c:v>
                </c:pt>
                <c:pt idx="213">
                  <c:v>39234</c:v>
                </c:pt>
                <c:pt idx="214">
                  <c:v>39241</c:v>
                </c:pt>
                <c:pt idx="215">
                  <c:v>39248</c:v>
                </c:pt>
                <c:pt idx="216">
                  <c:v>39255</c:v>
                </c:pt>
                <c:pt idx="217">
                  <c:v>39262</c:v>
                </c:pt>
                <c:pt idx="218">
                  <c:v>39269</c:v>
                </c:pt>
                <c:pt idx="219">
                  <c:v>39276</c:v>
                </c:pt>
                <c:pt idx="220">
                  <c:v>39283</c:v>
                </c:pt>
                <c:pt idx="221">
                  <c:v>39290</c:v>
                </c:pt>
                <c:pt idx="222">
                  <c:v>39297</c:v>
                </c:pt>
                <c:pt idx="223">
                  <c:v>39304</c:v>
                </c:pt>
                <c:pt idx="224">
                  <c:v>39311</c:v>
                </c:pt>
                <c:pt idx="225">
                  <c:v>39318</c:v>
                </c:pt>
                <c:pt idx="226">
                  <c:v>39325</c:v>
                </c:pt>
                <c:pt idx="227">
                  <c:v>39332</c:v>
                </c:pt>
                <c:pt idx="228">
                  <c:v>39339</c:v>
                </c:pt>
                <c:pt idx="229">
                  <c:v>39346</c:v>
                </c:pt>
                <c:pt idx="230">
                  <c:v>39353</c:v>
                </c:pt>
                <c:pt idx="231">
                  <c:v>39360</c:v>
                </c:pt>
                <c:pt idx="232">
                  <c:v>39367</c:v>
                </c:pt>
                <c:pt idx="233">
                  <c:v>39374</c:v>
                </c:pt>
                <c:pt idx="234">
                  <c:v>39381</c:v>
                </c:pt>
                <c:pt idx="235">
                  <c:v>39388</c:v>
                </c:pt>
                <c:pt idx="236">
                  <c:v>39405</c:v>
                </c:pt>
                <c:pt idx="237">
                  <c:v>39417</c:v>
                </c:pt>
                <c:pt idx="238">
                  <c:v>39438</c:v>
                </c:pt>
                <c:pt idx="239">
                  <c:v>39452</c:v>
                </c:pt>
                <c:pt idx="240">
                  <c:v>39459</c:v>
                </c:pt>
                <c:pt idx="241">
                  <c:v>39466</c:v>
                </c:pt>
                <c:pt idx="242">
                  <c:v>39480</c:v>
                </c:pt>
                <c:pt idx="243">
                  <c:v>39487</c:v>
                </c:pt>
                <c:pt idx="244">
                  <c:v>39496</c:v>
                </c:pt>
                <c:pt idx="245">
                  <c:v>39503</c:v>
                </c:pt>
                <c:pt idx="246">
                  <c:v>39510</c:v>
                </c:pt>
                <c:pt idx="247">
                  <c:v>39517</c:v>
                </c:pt>
                <c:pt idx="248">
                  <c:v>39531</c:v>
                </c:pt>
                <c:pt idx="249">
                  <c:v>39538</c:v>
                </c:pt>
                <c:pt idx="250">
                  <c:v>39549</c:v>
                </c:pt>
                <c:pt idx="251">
                  <c:v>39556</c:v>
                </c:pt>
                <c:pt idx="252">
                  <c:v>39571</c:v>
                </c:pt>
                <c:pt idx="253">
                  <c:v>39585</c:v>
                </c:pt>
                <c:pt idx="254">
                  <c:v>39592</c:v>
                </c:pt>
                <c:pt idx="255">
                  <c:v>39599</c:v>
                </c:pt>
                <c:pt idx="256">
                  <c:v>39606</c:v>
                </c:pt>
                <c:pt idx="257">
                  <c:v>39620</c:v>
                </c:pt>
                <c:pt idx="258">
                  <c:v>39639</c:v>
                </c:pt>
                <c:pt idx="259">
                  <c:v>39646</c:v>
                </c:pt>
                <c:pt idx="260">
                  <c:v>39653</c:v>
                </c:pt>
                <c:pt idx="261">
                  <c:v>39660</c:v>
                </c:pt>
                <c:pt idx="262">
                  <c:v>39667</c:v>
                </c:pt>
                <c:pt idx="263">
                  <c:v>39674</c:v>
                </c:pt>
                <c:pt idx="264">
                  <c:v>39681</c:v>
                </c:pt>
                <c:pt idx="265">
                  <c:v>39688</c:v>
                </c:pt>
                <c:pt idx="266">
                  <c:v>39695</c:v>
                </c:pt>
                <c:pt idx="267">
                  <c:v>39702</c:v>
                </c:pt>
                <c:pt idx="268">
                  <c:v>39709</c:v>
                </c:pt>
                <c:pt idx="269">
                  <c:v>39716</c:v>
                </c:pt>
                <c:pt idx="270">
                  <c:v>39723</c:v>
                </c:pt>
                <c:pt idx="271">
                  <c:v>39730</c:v>
                </c:pt>
                <c:pt idx="272">
                  <c:v>39737</c:v>
                </c:pt>
                <c:pt idx="273">
                  <c:v>39744</c:v>
                </c:pt>
                <c:pt idx="274">
                  <c:v>39751</c:v>
                </c:pt>
                <c:pt idx="275">
                  <c:v>39758</c:v>
                </c:pt>
                <c:pt idx="276">
                  <c:v>39765</c:v>
                </c:pt>
                <c:pt idx="277">
                  <c:v>39772</c:v>
                </c:pt>
                <c:pt idx="278">
                  <c:v>39779</c:v>
                </c:pt>
                <c:pt idx="279">
                  <c:v>39786</c:v>
                </c:pt>
                <c:pt idx="280">
                  <c:v>39793</c:v>
                </c:pt>
                <c:pt idx="281">
                  <c:v>39800</c:v>
                </c:pt>
                <c:pt idx="282">
                  <c:v>39807</c:v>
                </c:pt>
                <c:pt idx="283">
                  <c:v>39814</c:v>
                </c:pt>
                <c:pt idx="284">
                  <c:v>39821</c:v>
                </c:pt>
                <c:pt idx="285">
                  <c:v>39828</c:v>
                </c:pt>
                <c:pt idx="286">
                  <c:v>39835</c:v>
                </c:pt>
                <c:pt idx="287">
                  <c:v>39842</c:v>
                </c:pt>
                <c:pt idx="288">
                  <c:v>39849</c:v>
                </c:pt>
                <c:pt idx="289">
                  <c:v>39856</c:v>
                </c:pt>
                <c:pt idx="290">
                  <c:v>39863</c:v>
                </c:pt>
                <c:pt idx="291">
                  <c:v>39870</c:v>
                </c:pt>
                <c:pt idx="292">
                  <c:v>39877</c:v>
                </c:pt>
                <c:pt idx="293">
                  <c:v>39884</c:v>
                </c:pt>
                <c:pt idx="294">
                  <c:v>39891</c:v>
                </c:pt>
                <c:pt idx="295">
                  <c:v>39898</c:v>
                </c:pt>
                <c:pt idx="296">
                  <c:v>39905</c:v>
                </c:pt>
                <c:pt idx="297">
                  <c:v>39912</c:v>
                </c:pt>
                <c:pt idx="298">
                  <c:v>39919</c:v>
                </c:pt>
                <c:pt idx="299">
                  <c:v>39926</c:v>
                </c:pt>
                <c:pt idx="300">
                  <c:v>39933</c:v>
                </c:pt>
                <c:pt idx="301">
                  <c:v>39940</c:v>
                </c:pt>
                <c:pt idx="302">
                  <c:v>39947</c:v>
                </c:pt>
                <c:pt idx="303">
                  <c:v>39954</c:v>
                </c:pt>
                <c:pt idx="304">
                  <c:v>39961</c:v>
                </c:pt>
                <c:pt idx="305">
                  <c:v>39968</c:v>
                </c:pt>
                <c:pt idx="306">
                  <c:v>39975</c:v>
                </c:pt>
                <c:pt idx="307">
                  <c:v>39982</c:v>
                </c:pt>
                <c:pt idx="308">
                  <c:v>39989</c:v>
                </c:pt>
                <c:pt idx="309">
                  <c:v>39996</c:v>
                </c:pt>
                <c:pt idx="310">
                  <c:v>40003</c:v>
                </c:pt>
                <c:pt idx="311">
                  <c:v>40010</c:v>
                </c:pt>
                <c:pt idx="312">
                  <c:v>40017</c:v>
                </c:pt>
                <c:pt idx="313">
                  <c:v>40024</c:v>
                </c:pt>
                <c:pt idx="314">
                  <c:v>40031</c:v>
                </c:pt>
                <c:pt idx="315">
                  <c:v>40038</c:v>
                </c:pt>
                <c:pt idx="316">
                  <c:v>40045</c:v>
                </c:pt>
                <c:pt idx="317">
                  <c:v>40052</c:v>
                </c:pt>
                <c:pt idx="318">
                  <c:v>40059</c:v>
                </c:pt>
                <c:pt idx="319">
                  <c:v>40066</c:v>
                </c:pt>
                <c:pt idx="320">
                  <c:v>40073</c:v>
                </c:pt>
                <c:pt idx="321">
                  <c:v>40080</c:v>
                </c:pt>
                <c:pt idx="322">
                  <c:v>40087</c:v>
                </c:pt>
                <c:pt idx="323">
                  <c:v>40094</c:v>
                </c:pt>
                <c:pt idx="324">
                  <c:v>40101</c:v>
                </c:pt>
                <c:pt idx="325">
                  <c:v>40108</c:v>
                </c:pt>
                <c:pt idx="326">
                  <c:v>40115</c:v>
                </c:pt>
                <c:pt idx="327">
                  <c:v>40122</c:v>
                </c:pt>
                <c:pt idx="328">
                  <c:v>40129</c:v>
                </c:pt>
                <c:pt idx="329">
                  <c:v>40136</c:v>
                </c:pt>
                <c:pt idx="330">
                  <c:v>40143</c:v>
                </c:pt>
                <c:pt idx="331">
                  <c:v>40150</c:v>
                </c:pt>
                <c:pt idx="332">
                  <c:v>40157</c:v>
                </c:pt>
                <c:pt idx="333">
                  <c:v>40164</c:v>
                </c:pt>
                <c:pt idx="334">
                  <c:v>40171</c:v>
                </c:pt>
                <c:pt idx="335">
                  <c:v>40178</c:v>
                </c:pt>
                <c:pt idx="336">
                  <c:v>40185</c:v>
                </c:pt>
                <c:pt idx="337">
                  <c:v>40192</c:v>
                </c:pt>
                <c:pt idx="338">
                  <c:v>40199</c:v>
                </c:pt>
                <c:pt idx="339">
                  <c:v>40206</c:v>
                </c:pt>
                <c:pt idx="340">
                  <c:v>40213</c:v>
                </c:pt>
                <c:pt idx="341">
                  <c:v>40220</c:v>
                </c:pt>
                <c:pt idx="342">
                  <c:v>40227</c:v>
                </c:pt>
                <c:pt idx="343">
                  <c:v>40234</c:v>
                </c:pt>
                <c:pt idx="344">
                  <c:v>40241</c:v>
                </c:pt>
                <c:pt idx="345">
                  <c:v>40248</c:v>
                </c:pt>
                <c:pt idx="346">
                  <c:v>40255</c:v>
                </c:pt>
                <c:pt idx="347">
                  <c:v>40262</c:v>
                </c:pt>
                <c:pt idx="348">
                  <c:v>40269</c:v>
                </c:pt>
                <c:pt idx="349">
                  <c:v>40276</c:v>
                </c:pt>
                <c:pt idx="350">
                  <c:v>40283</c:v>
                </c:pt>
                <c:pt idx="351">
                  <c:v>40290</c:v>
                </c:pt>
                <c:pt idx="352">
                  <c:v>40297</c:v>
                </c:pt>
                <c:pt idx="353">
                  <c:v>40304</c:v>
                </c:pt>
                <c:pt idx="354">
                  <c:v>40311</c:v>
                </c:pt>
                <c:pt idx="355">
                  <c:v>40318</c:v>
                </c:pt>
                <c:pt idx="356">
                  <c:v>40325</c:v>
                </c:pt>
                <c:pt idx="357">
                  <c:v>40332</c:v>
                </c:pt>
                <c:pt idx="358">
                  <c:v>40339</c:v>
                </c:pt>
                <c:pt idx="359">
                  <c:v>40346</c:v>
                </c:pt>
                <c:pt idx="360">
                  <c:v>40353</c:v>
                </c:pt>
                <c:pt idx="361">
                  <c:v>40360</c:v>
                </c:pt>
                <c:pt idx="362">
                  <c:v>40367</c:v>
                </c:pt>
                <c:pt idx="363">
                  <c:v>40374</c:v>
                </c:pt>
                <c:pt idx="364">
                  <c:v>40381</c:v>
                </c:pt>
                <c:pt idx="365">
                  <c:v>40388</c:v>
                </c:pt>
                <c:pt idx="366">
                  <c:v>40395</c:v>
                </c:pt>
                <c:pt idx="367">
                  <c:v>40402</c:v>
                </c:pt>
                <c:pt idx="368">
                  <c:v>40409</c:v>
                </c:pt>
                <c:pt idx="369">
                  <c:v>40416</c:v>
                </c:pt>
                <c:pt idx="370">
                  <c:v>40423</c:v>
                </c:pt>
                <c:pt idx="371">
                  <c:v>40430</c:v>
                </c:pt>
                <c:pt idx="372">
                  <c:v>40437</c:v>
                </c:pt>
                <c:pt idx="373">
                  <c:v>40444</c:v>
                </c:pt>
                <c:pt idx="374">
                  <c:v>40451</c:v>
                </c:pt>
                <c:pt idx="375">
                  <c:v>40458</c:v>
                </c:pt>
                <c:pt idx="376">
                  <c:v>40465</c:v>
                </c:pt>
                <c:pt idx="377">
                  <c:v>40472</c:v>
                </c:pt>
                <c:pt idx="378">
                  <c:v>40479</c:v>
                </c:pt>
                <c:pt idx="379">
                  <c:v>40486</c:v>
                </c:pt>
                <c:pt idx="380">
                  <c:v>40493</c:v>
                </c:pt>
                <c:pt idx="381">
                  <c:v>40500</c:v>
                </c:pt>
                <c:pt idx="382">
                  <c:v>40507</c:v>
                </c:pt>
                <c:pt idx="383">
                  <c:v>40514</c:v>
                </c:pt>
                <c:pt idx="384">
                  <c:v>40521</c:v>
                </c:pt>
                <c:pt idx="385">
                  <c:v>40528</c:v>
                </c:pt>
                <c:pt idx="386">
                  <c:v>40535</c:v>
                </c:pt>
                <c:pt idx="387">
                  <c:v>40542</c:v>
                </c:pt>
                <c:pt idx="388">
                  <c:v>40549</c:v>
                </c:pt>
                <c:pt idx="389">
                  <c:v>40556</c:v>
                </c:pt>
                <c:pt idx="390">
                  <c:v>40563</c:v>
                </c:pt>
                <c:pt idx="391">
                  <c:v>40570</c:v>
                </c:pt>
                <c:pt idx="392">
                  <c:v>40577</c:v>
                </c:pt>
                <c:pt idx="393">
                  <c:v>40584</c:v>
                </c:pt>
                <c:pt idx="394">
                  <c:v>40591</c:v>
                </c:pt>
                <c:pt idx="395">
                  <c:v>40598</c:v>
                </c:pt>
                <c:pt idx="396">
                  <c:v>40605</c:v>
                </c:pt>
                <c:pt idx="397">
                  <c:v>40612</c:v>
                </c:pt>
                <c:pt idx="398">
                  <c:v>40619</c:v>
                </c:pt>
                <c:pt idx="399">
                  <c:v>40626</c:v>
                </c:pt>
                <c:pt idx="400">
                  <c:v>40633</c:v>
                </c:pt>
                <c:pt idx="401">
                  <c:v>40640</c:v>
                </c:pt>
                <c:pt idx="402">
                  <c:v>40647</c:v>
                </c:pt>
                <c:pt idx="403">
                  <c:v>40654</c:v>
                </c:pt>
                <c:pt idx="404">
                  <c:v>40661</c:v>
                </c:pt>
                <c:pt idx="405">
                  <c:v>40668</c:v>
                </c:pt>
                <c:pt idx="406">
                  <c:v>40675</c:v>
                </c:pt>
                <c:pt idx="407">
                  <c:v>40682</c:v>
                </c:pt>
                <c:pt idx="408">
                  <c:v>40689</c:v>
                </c:pt>
                <c:pt idx="409">
                  <c:v>40696</c:v>
                </c:pt>
                <c:pt idx="410">
                  <c:v>40703</c:v>
                </c:pt>
                <c:pt idx="411">
                  <c:v>40710</c:v>
                </c:pt>
                <c:pt idx="412">
                  <c:v>40717</c:v>
                </c:pt>
                <c:pt idx="413">
                  <c:v>40724</c:v>
                </c:pt>
                <c:pt idx="414">
                  <c:v>40731</c:v>
                </c:pt>
                <c:pt idx="415">
                  <c:v>40738</c:v>
                </c:pt>
                <c:pt idx="416">
                  <c:v>40745</c:v>
                </c:pt>
                <c:pt idx="417">
                  <c:v>40752</c:v>
                </c:pt>
                <c:pt idx="418">
                  <c:v>40759</c:v>
                </c:pt>
                <c:pt idx="419">
                  <c:v>40766</c:v>
                </c:pt>
                <c:pt idx="420">
                  <c:v>40773</c:v>
                </c:pt>
                <c:pt idx="421">
                  <c:v>40780</c:v>
                </c:pt>
                <c:pt idx="422">
                  <c:v>40787</c:v>
                </c:pt>
                <c:pt idx="423">
                  <c:v>40794</c:v>
                </c:pt>
                <c:pt idx="424">
                  <c:v>40801</c:v>
                </c:pt>
                <c:pt idx="425">
                  <c:v>40808</c:v>
                </c:pt>
                <c:pt idx="426">
                  <c:v>40815</c:v>
                </c:pt>
                <c:pt idx="427">
                  <c:v>40822</c:v>
                </c:pt>
                <c:pt idx="428">
                  <c:v>40829</c:v>
                </c:pt>
                <c:pt idx="429">
                  <c:v>40836</c:v>
                </c:pt>
                <c:pt idx="430">
                  <c:v>40843</c:v>
                </c:pt>
                <c:pt idx="431">
                  <c:v>40850</c:v>
                </c:pt>
              </c:numCache>
            </c:numRef>
          </c:cat>
          <c:val>
            <c:numRef>
              <c:f>Data!$N$4:$N$481</c:f>
              <c:numCache>
                <c:formatCode>0.00%</c:formatCode>
                <c:ptCount val="478"/>
                <c:pt idx="0">
                  <c:v>3.5803371752967106E-3</c:v>
                </c:pt>
                <c:pt idx="1">
                  <c:v>1.528900739721295E-2</c:v>
                </c:pt>
                <c:pt idx="2">
                  <c:v>-9.4507999311888025E-3</c:v>
                </c:pt>
                <c:pt idx="3">
                  <c:v>3.6029158782040271E-2</c:v>
                </c:pt>
                <c:pt idx="4">
                  <c:v>6.2016170651986835E-2</c:v>
                </c:pt>
                <c:pt idx="5">
                  <c:v>6.2930070531567184E-2</c:v>
                </c:pt>
                <c:pt idx="6">
                  <c:v>7.054231894030627E-2</c:v>
                </c:pt>
                <c:pt idx="7">
                  <c:v>4.9608635816273949E-2</c:v>
                </c:pt>
                <c:pt idx="8">
                  <c:v>6.620935833476671E-2</c:v>
                </c:pt>
                <c:pt idx="9">
                  <c:v>7.3176500946155132E-2</c:v>
                </c:pt>
                <c:pt idx="10">
                  <c:v>6.7994151040770667E-2</c:v>
                </c:pt>
                <c:pt idx="11">
                  <c:v>7.3757096163770797E-2</c:v>
                </c:pt>
                <c:pt idx="12">
                  <c:v>5.3834078788921325E-2</c:v>
                </c:pt>
                <c:pt idx="13">
                  <c:v>5.1081627386891482E-2</c:v>
                </c:pt>
                <c:pt idx="14">
                  <c:v>6.5144933769138103E-2</c:v>
                </c:pt>
                <c:pt idx="15">
                  <c:v>6.7714605195251965E-2</c:v>
                </c:pt>
                <c:pt idx="16">
                  <c:v>8.3788491312575264E-2</c:v>
                </c:pt>
                <c:pt idx="17">
                  <c:v>9.8174350593497328E-2</c:v>
                </c:pt>
                <c:pt idx="18">
                  <c:v>9.5206863925683782E-2</c:v>
                </c:pt>
                <c:pt idx="19">
                  <c:v>0.11420522965766366</c:v>
                </c:pt>
                <c:pt idx="20">
                  <c:v>7.1789523481851081E-2</c:v>
                </c:pt>
                <c:pt idx="21">
                  <c:v>0.10727034233614297</c:v>
                </c:pt>
                <c:pt idx="22">
                  <c:v>0.11609753999655936</c:v>
                </c:pt>
                <c:pt idx="23">
                  <c:v>0.11745226217099591</c:v>
                </c:pt>
                <c:pt idx="24">
                  <c:v>0.10625967658696034</c:v>
                </c:pt>
                <c:pt idx="25">
                  <c:v>0.1296985205573713</c:v>
                </c:pt>
                <c:pt idx="26">
                  <c:v>0.13238646137966636</c:v>
                </c:pt>
                <c:pt idx="27">
                  <c:v>0.12931145707896086</c:v>
                </c:pt>
                <c:pt idx="28">
                  <c:v>0.11310854980216756</c:v>
                </c:pt>
                <c:pt idx="29">
                  <c:v>0.13775159126096681</c:v>
                </c:pt>
                <c:pt idx="30">
                  <c:v>0.14129967314639602</c:v>
                </c:pt>
                <c:pt idx="31">
                  <c:v>0.15488990194391894</c:v>
                </c:pt>
                <c:pt idx="32">
                  <c:v>0.17050146223980733</c:v>
                </c:pt>
                <c:pt idx="33">
                  <c:v>0.17827498709788414</c:v>
                </c:pt>
                <c:pt idx="34">
                  <c:v>0.19181145707896086</c:v>
                </c:pt>
                <c:pt idx="35">
                  <c:v>0.20619731635988292</c:v>
                </c:pt>
                <c:pt idx="36">
                  <c:v>0.22551823499053825</c:v>
                </c:pt>
                <c:pt idx="37">
                  <c:v>0.2273675382762772</c:v>
                </c:pt>
                <c:pt idx="38">
                  <c:v>0.21616420092895239</c:v>
                </c:pt>
                <c:pt idx="39">
                  <c:v>0.228668501634268</c:v>
                </c:pt>
                <c:pt idx="40">
                  <c:v>0.23194778943746752</c:v>
                </c:pt>
                <c:pt idx="41">
                  <c:v>0.23011998967830705</c:v>
                </c:pt>
                <c:pt idx="42">
                  <c:v>0.23101238603130914</c:v>
                </c:pt>
                <c:pt idx="43">
                  <c:v>0.24382848787201095</c:v>
                </c:pt>
                <c:pt idx="44">
                  <c:v>0.20481033889557865</c:v>
                </c:pt>
                <c:pt idx="45">
                  <c:v>0.19316617925339741</c:v>
                </c:pt>
                <c:pt idx="46">
                  <c:v>0.19135988302081541</c:v>
                </c:pt>
                <c:pt idx="47">
                  <c:v>0.22767933941166341</c:v>
                </c:pt>
                <c:pt idx="48">
                  <c:v>0.22496989506279008</c:v>
                </c:pt>
                <c:pt idx="49">
                  <c:v>0.2199058145535866</c:v>
                </c:pt>
                <c:pt idx="50">
                  <c:v>0.22634612076380511</c:v>
                </c:pt>
                <c:pt idx="51">
                  <c:v>0.19054274901083779</c:v>
                </c:pt>
                <c:pt idx="52">
                  <c:v>0.18129623258214345</c:v>
                </c:pt>
                <c:pt idx="53">
                  <c:v>0.17807070359538968</c:v>
                </c:pt>
                <c:pt idx="54">
                  <c:v>0.17576982625150506</c:v>
                </c:pt>
                <c:pt idx="55">
                  <c:v>0.20492860829175985</c:v>
                </c:pt>
                <c:pt idx="56">
                  <c:v>0.20688542921039055</c:v>
                </c:pt>
                <c:pt idx="57">
                  <c:v>0.22190564252537404</c:v>
                </c:pt>
                <c:pt idx="58">
                  <c:v>0.22034663684844302</c:v>
                </c:pt>
                <c:pt idx="59">
                  <c:v>0.2197122828143816</c:v>
                </c:pt>
                <c:pt idx="60">
                  <c:v>0.20998193703767432</c:v>
                </c:pt>
                <c:pt idx="61">
                  <c:v>0.19646697058317564</c:v>
                </c:pt>
                <c:pt idx="62">
                  <c:v>0.18418845690693275</c:v>
                </c:pt>
                <c:pt idx="63">
                  <c:v>0.16785652847066923</c:v>
                </c:pt>
                <c:pt idx="64">
                  <c:v>0.18454326509547569</c:v>
                </c:pt>
                <c:pt idx="65">
                  <c:v>0.14395535867882336</c:v>
                </c:pt>
                <c:pt idx="66">
                  <c:v>0.14484775503182501</c:v>
                </c:pt>
                <c:pt idx="67">
                  <c:v>0.18091992086702202</c:v>
                </c:pt>
                <c:pt idx="68">
                  <c:v>0.19104808188542921</c:v>
                </c:pt>
                <c:pt idx="69">
                  <c:v>0.19734861517288849</c:v>
                </c:pt>
                <c:pt idx="70">
                  <c:v>0.20841217959745406</c:v>
                </c:pt>
                <c:pt idx="71">
                  <c:v>0.21339024600034406</c:v>
                </c:pt>
                <c:pt idx="72">
                  <c:v>0.19356399449509709</c:v>
                </c:pt>
                <c:pt idx="73">
                  <c:v>0.21656201617065185</c:v>
                </c:pt>
                <c:pt idx="74">
                  <c:v>0.2064983657319801</c:v>
                </c:pt>
                <c:pt idx="75">
                  <c:v>0.19151040770686389</c:v>
                </c:pt>
                <c:pt idx="76">
                  <c:v>0.17811371064854642</c:v>
                </c:pt>
                <c:pt idx="77">
                  <c:v>0.21516428694305856</c:v>
                </c:pt>
                <c:pt idx="78">
                  <c:v>0.25383837949423715</c:v>
                </c:pt>
                <c:pt idx="79">
                  <c:v>0.27319155341475998</c:v>
                </c:pt>
                <c:pt idx="80">
                  <c:v>0.25832186478582475</c:v>
                </c:pt>
                <c:pt idx="81">
                  <c:v>0.27155728539480473</c:v>
                </c:pt>
                <c:pt idx="82">
                  <c:v>0.28071778771718559</c:v>
                </c:pt>
                <c:pt idx="83">
                  <c:v>0.27730947875451561</c:v>
                </c:pt>
                <c:pt idx="84">
                  <c:v>0.28397557199380707</c:v>
                </c:pt>
                <c:pt idx="85">
                  <c:v>0.30110313091346996</c:v>
                </c:pt>
                <c:pt idx="86">
                  <c:v>0.30302769654223294</c:v>
                </c:pt>
                <c:pt idx="87">
                  <c:v>0.27536340959917416</c:v>
                </c:pt>
                <c:pt idx="88">
                  <c:v>0.27356786512988118</c:v>
                </c:pt>
                <c:pt idx="89">
                  <c:v>0.25566617925339741</c:v>
                </c:pt>
                <c:pt idx="90">
                  <c:v>0.25941854464132108</c:v>
                </c:pt>
                <c:pt idx="91">
                  <c:v>0.2934693789781524</c:v>
                </c:pt>
                <c:pt idx="92">
                  <c:v>0.29591002924479604</c:v>
                </c:pt>
                <c:pt idx="93">
                  <c:v>0.2919211250645104</c:v>
                </c:pt>
                <c:pt idx="94">
                  <c:v>0.30243634956132781</c:v>
                </c:pt>
                <c:pt idx="95">
                  <c:v>0.31399449509719579</c:v>
                </c:pt>
                <c:pt idx="96">
                  <c:v>0.29029760880784439</c:v>
                </c:pt>
                <c:pt idx="97">
                  <c:v>0.27908351969723033</c:v>
                </c:pt>
                <c:pt idx="98">
                  <c:v>0.2594830552210563</c:v>
                </c:pt>
                <c:pt idx="99">
                  <c:v>0.2610958197144333</c:v>
                </c:pt>
                <c:pt idx="100">
                  <c:v>0.26999827971787371</c:v>
                </c:pt>
                <c:pt idx="101">
                  <c:v>0.22851797694821929</c:v>
                </c:pt>
                <c:pt idx="102">
                  <c:v>0.23873215207293974</c:v>
                </c:pt>
                <c:pt idx="103">
                  <c:v>0.24381773610872171</c:v>
                </c:pt>
                <c:pt idx="104">
                  <c:v>0.25940779287803184</c:v>
                </c:pt>
                <c:pt idx="105">
                  <c:v>0.24080724238775142</c:v>
                </c:pt>
                <c:pt idx="106">
                  <c:v>0.27868570445553065</c:v>
                </c:pt>
                <c:pt idx="107">
                  <c:v>0.2888998795802511</c:v>
                </c:pt>
                <c:pt idx="108">
                  <c:v>0.28593239291243755</c:v>
                </c:pt>
                <c:pt idx="109">
                  <c:v>0.28817951143987597</c:v>
                </c:pt>
                <c:pt idx="110">
                  <c:v>0.30844658523997937</c:v>
                </c:pt>
                <c:pt idx="111">
                  <c:v>0.28114785824875277</c:v>
                </c:pt>
                <c:pt idx="112">
                  <c:v>0.2842336143127473</c:v>
                </c:pt>
                <c:pt idx="113">
                  <c:v>0.30296318596249772</c:v>
                </c:pt>
                <c:pt idx="114">
                  <c:v>0.32023051780492007</c:v>
                </c:pt>
                <c:pt idx="115">
                  <c:v>0.32642353345948738</c:v>
                </c:pt>
                <c:pt idx="116">
                  <c:v>0.3269611216239463</c:v>
                </c:pt>
                <c:pt idx="117">
                  <c:v>0.31861775331154307</c:v>
                </c:pt>
                <c:pt idx="118">
                  <c:v>0.32288620333734741</c:v>
                </c:pt>
                <c:pt idx="119">
                  <c:v>0.31140332014450367</c:v>
                </c:pt>
                <c:pt idx="120">
                  <c:v>0.29569499397901233</c:v>
                </c:pt>
                <c:pt idx="121">
                  <c:v>0.30958627214863221</c:v>
                </c:pt>
                <c:pt idx="122">
                  <c:v>0.33480990882504735</c:v>
                </c:pt>
                <c:pt idx="123">
                  <c:v>0.3309715293308102</c:v>
                </c:pt>
                <c:pt idx="124">
                  <c:v>0.30665104077068639</c:v>
                </c:pt>
                <c:pt idx="125">
                  <c:v>0.32118742473765693</c:v>
                </c:pt>
                <c:pt idx="126">
                  <c:v>0.28580337175296755</c:v>
                </c:pt>
                <c:pt idx="127">
                  <c:v>0.27577197660416286</c:v>
                </c:pt>
                <c:pt idx="128">
                  <c:v>0.26826724582831574</c:v>
                </c:pt>
                <c:pt idx="129">
                  <c:v>0.28850206433855163</c:v>
                </c:pt>
                <c:pt idx="130">
                  <c:v>0.31186564596593835</c:v>
                </c:pt>
                <c:pt idx="131">
                  <c:v>0.32754171684156197</c:v>
                </c:pt>
                <c:pt idx="132">
                  <c:v>0.34211035609840001</c:v>
                </c:pt>
                <c:pt idx="133">
                  <c:v>0.3635923791501805</c:v>
                </c:pt>
                <c:pt idx="134">
                  <c:v>0.36018407018751053</c:v>
                </c:pt>
                <c:pt idx="135">
                  <c:v>0.3540448133493892</c:v>
                </c:pt>
                <c:pt idx="136">
                  <c:v>0.36259246516428689</c:v>
                </c:pt>
                <c:pt idx="137">
                  <c:v>0.36403320144503692</c:v>
                </c:pt>
                <c:pt idx="138">
                  <c:v>0.3421318596249785</c:v>
                </c:pt>
                <c:pt idx="139">
                  <c:v>0.38208541200756918</c:v>
                </c:pt>
                <c:pt idx="140">
                  <c:v>0.38440779287803184</c:v>
                </c:pt>
                <c:pt idx="141">
                  <c:v>0.35632418716669534</c:v>
                </c:pt>
                <c:pt idx="142">
                  <c:v>0.38022535695854121</c:v>
                </c:pt>
                <c:pt idx="143">
                  <c:v>0.35905513504214692</c:v>
                </c:pt>
                <c:pt idx="144">
                  <c:v>0.36223765697574395</c:v>
                </c:pt>
                <c:pt idx="145">
                  <c:v>0.38400997763633238</c:v>
                </c:pt>
                <c:pt idx="146">
                  <c:v>0.38636461379666276</c:v>
                </c:pt>
                <c:pt idx="147">
                  <c:v>0.38399922587304314</c:v>
                </c:pt>
                <c:pt idx="148">
                  <c:v>0.37792447961465658</c:v>
                </c:pt>
                <c:pt idx="149">
                  <c:v>0.40552425597798036</c:v>
                </c:pt>
                <c:pt idx="150">
                  <c:v>0.4009009977636333</c:v>
                </c:pt>
                <c:pt idx="151">
                  <c:v>0.39217056597281941</c:v>
                </c:pt>
                <c:pt idx="152">
                  <c:v>0.39289093411319453</c:v>
                </c:pt>
                <c:pt idx="153">
                  <c:v>0.38603130913469785</c:v>
                </c:pt>
                <c:pt idx="154">
                  <c:v>0.4098572165835197</c:v>
                </c:pt>
                <c:pt idx="155">
                  <c:v>0.40913684844314457</c:v>
                </c:pt>
                <c:pt idx="156">
                  <c:v>0.40330939274040944</c:v>
                </c:pt>
                <c:pt idx="157">
                  <c:v>0.38831068295200399</c:v>
                </c:pt>
                <c:pt idx="158">
                  <c:v>0.36228066402890069</c:v>
                </c:pt>
                <c:pt idx="159">
                  <c:v>0.37639772922759329</c:v>
                </c:pt>
                <c:pt idx="160">
                  <c:v>0.38506365043867197</c:v>
                </c:pt>
                <c:pt idx="161">
                  <c:v>0.34644331670393935</c:v>
                </c:pt>
                <c:pt idx="162">
                  <c:v>0.34562618269396173</c:v>
                </c:pt>
                <c:pt idx="163">
                  <c:v>0.33805694133837938</c:v>
                </c:pt>
                <c:pt idx="164">
                  <c:v>0.36568897299157066</c:v>
                </c:pt>
                <c:pt idx="165">
                  <c:v>0.36061414071907794</c:v>
                </c:pt>
                <c:pt idx="166">
                  <c:v>0.32913297780836048</c:v>
                </c:pt>
                <c:pt idx="167">
                  <c:v>0.33353044899363482</c:v>
                </c:pt>
                <c:pt idx="168">
                  <c:v>0.37466669533803532</c:v>
                </c:pt>
                <c:pt idx="169">
                  <c:v>0.37548382934801294</c:v>
                </c:pt>
                <c:pt idx="170">
                  <c:v>0.36189360055049025</c:v>
                </c:pt>
                <c:pt idx="171">
                  <c:v>0.40020213314983644</c:v>
                </c:pt>
                <c:pt idx="172">
                  <c:v>0.39245011181833811</c:v>
                </c:pt>
                <c:pt idx="173">
                  <c:v>0.40949165663168752</c:v>
                </c:pt>
                <c:pt idx="174">
                  <c:v>0.39650352657835874</c:v>
                </c:pt>
                <c:pt idx="175">
                  <c:v>0.41907147772234632</c:v>
                </c:pt>
                <c:pt idx="176">
                  <c:v>0.41362033373473239</c:v>
                </c:pt>
                <c:pt idx="177">
                  <c:v>0.43624204369516595</c:v>
                </c:pt>
                <c:pt idx="178">
                  <c:v>0.45103646998107672</c:v>
                </c:pt>
                <c:pt idx="179">
                  <c:v>0.46827154653363134</c:v>
                </c:pt>
                <c:pt idx="180">
                  <c:v>0.47146482023051761</c:v>
                </c:pt>
                <c:pt idx="181">
                  <c:v>0.48084035781868217</c:v>
                </c:pt>
                <c:pt idx="182">
                  <c:v>0.46683081025288131</c:v>
                </c:pt>
                <c:pt idx="183">
                  <c:v>0.4843669361775329</c:v>
                </c:pt>
                <c:pt idx="184">
                  <c:v>0.50650481678995352</c:v>
                </c:pt>
                <c:pt idx="185">
                  <c:v>0.50626827799759155</c:v>
                </c:pt>
                <c:pt idx="186">
                  <c:v>0.50166652330982275</c:v>
                </c:pt>
                <c:pt idx="187">
                  <c:v>0.51579434027180437</c:v>
                </c:pt>
                <c:pt idx="188">
                  <c:v>0.5343626354722173</c:v>
                </c:pt>
                <c:pt idx="189">
                  <c:v>0.51680500602098745</c:v>
                </c:pt>
                <c:pt idx="190">
                  <c:v>0.52463228969551001</c:v>
                </c:pt>
                <c:pt idx="191">
                  <c:v>0.51520299329089969</c:v>
                </c:pt>
                <c:pt idx="192">
                  <c:v>0.53828702907276793</c:v>
                </c:pt>
                <c:pt idx="193">
                  <c:v>0.53800748322724923</c:v>
                </c:pt>
                <c:pt idx="194">
                  <c:v>0.52893299501118163</c:v>
                </c:pt>
                <c:pt idx="195">
                  <c:v>0.55721013246172357</c:v>
                </c:pt>
                <c:pt idx="196">
                  <c:v>0.54610356098400126</c:v>
                </c:pt>
                <c:pt idx="197">
                  <c:v>0.56495140202993288</c:v>
                </c:pt>
                <c:pt idx="198">
                  <c:v>0.56012386031309114</c:v>
                </c:pt>
                <c:pt idx="199">
                  <c:v>0.49138783760536708</c:v>
                </c:pt>
                <c:pt idx="200">
                  <c:v>0.50825735420608975</c:v>
                </c:pt>
                <c:pt idx="201">
                  <c:v>0.49121580939274034</c:v>
                </c:pt>
                <c:pt idx="202">
                  <c:v>0.54407147772234632</c:v>
                </c:pt>
                <c:pt idx="203">
                  <c:v>0.52764278341648008</c:v>
                </c:pt>
                <c:pt idx="204">
                  <c:v>0.55230732840185781</c:v>
                </c:pt>
                <c:pt idx="205">
                  <c:v>0.56205917770514358</c:v>
                </c:pt>
                <c:pt idx="206">
                  <c:v>0.59591648030276945</c:v>
                </c:pt>
                <c:pt idx="207">
                  <c:v>0.60638869774643034</c:v>
                </c:pt>
                <c:pt idx="208">
                  <c:v>0.61875322552898671</c:v>
                </c:pt>
                <c:pt idx="209">
                  <c:v>0.61895750903148117</c:v>
                </c:pt>
                <c:pt idx="210">
                  <c:v>0.6372247548597969</c:v>
                </c:pt>
                <c:pt idx="211">
                  <c:v>0.6294834852915876</c:v>
                </c:pt>
                <c:pt idx="212">
                  <c:v>0.65177189059005669</c:v>
                </c:pt>
                <c:pt idx="213">
                  <c:v>0.62097884052984686</c:v>
                </c:pt>
                <c:pt idx="214">
                  <c:v>0.64813779459831422</c:v>
                </c:pt>
                <c:pt idx="215">
                  <c:v>0.6155169447789437</c:v>
                </c:pt>
                <c:pt idx="216">
                  <c:v>0.61777481506967136</c:v>
                </c:pt>
                <c:pt idx="217">
                  <c:v>0.64548210906588688</c:v>
                </c:pt>
                <c:pt idx="218">
                  <c:v>0.66921125064510578</c:v>
                </c:pt>
                <c:pt idx="219">
                  <c:v>0.64938499913985881</c:v>
                </c:pt>
                <c:pt idx="220">
                  <c:v>0.56860700154825383</c:v>
                </c:pt>
                <c:pt idx="221">
                  <c:v>0.54077068639256831</c:v>
                </c:pt>
                <c:pt idx="222">
                  <c:v>0.56268277997591598</c:v>
                </c:pt>
                <c:pt idx="223">
                  <c:v>0.55464046103560993</c:v>
                </c:pt>
                <c:pt idx="224">
                  <c:v>0.59057285394804726</c:v>
                </c:pt>
                <c:pt idx="225">
                  <c:v>0.58476690177189061</c:v>
                </c:pt>
                <c:pt idx="226">
                  <c:v>0.56276879408222946</c:v>
                </c:pt>
                <c:pt idx="227">
                  <c:v>0.59581971443316695</c:v>
                </c:pt>
                <c:pt idx="228">
                  <c:v>0.64045028384655067</c:v>
                </c:pt>
                <c:pt idx="229">
                  <c:v>0.64210605539308441</c:v>
                </c:pt>
                <c:pt idx="230">
                  <c:v>0.67352270772406664</c:v>
                </c:pt>
                <c:pt idx="231">
                  <c:v>0.67969421985205569</c:v>
                </c:pt>
                <c:pt idx="232">
                  <c:v>0.61038835369000499</c:v>
                </c:pt>
                <c:pt idx="233">
                  <c:v>0.65246000344056432</c:v>
                </c:pt>
                <c:pt idx="234">
                  <c:v>0.61879623258214322</c:v>
                </c:pt>
                <c:pt idx="235">
                  <c:v>0.54101797694821951</c:v>
                </c:pt>
                <c:pt idx="236">
                  <c:v>0.59248666781352144</c:v>
                </c:pt>
                <c:pt idx="237">
                  <c:v>0.59605625322552891</c:v>
                </c:pt>
                <c:pt idx="238">
                  <c:v>0.51775116119043529</c:v>
                </c:pt>
                <c:pt idx="239">
                  <c:v>0.50634354034061579</c:v>
                </c:pt>
                <c:pt idx="240">
                  <c:v>0.4332100464476174</c:v>
                </c:pt>
                <c:pt idx="241">
                  <c:v>0.50032255289867544</c:v>
                </c:pt>
                <c:pt idx="242">
                  <c:v>0.43105969378978148</c:v>
                </c:pt>
                <c:pt idx="243">
                  <c:v>0.45148804403922238</c:v>
                </c:pt>
                <c:pt idx="244">
                  <c:v>0.47514192327541704</c:v>
                </c:pt>
                <c:pt idx="245">
                  <c:v>0.36869946671254072</c:v>
                </c:pt>
                <c:pt idx="246">
                  <c:v>0.37300017202821256</c:v>
                </c:pt>
                <c:pt idx="247">
                  <c:v>0.45148804403922238</c:v>
                </c:pt>
                <c:pt idx="248">
                  <c:v>0.42245828315843803</c:v>
                </c:pt>
                <c:pt idx="249">
                  <c:v>0.4332100464476174</c:v>
                </c:pt>
                <c:pt idx="250">
                  <c:v>0.49449509719594009</c:v>
                </c:pt>
                <c:pt idx="251">
                  <c:v>0.52029932908997067</c:v>
                </c:pt>
                <c:pt idx="252">
                  <c:v>0.53212626870806812</c:v>
                </c:pt>
                <c:pt idx="253">
                  <c:v>0.47944262859108888</c:v>
                </c:pt>
                <c:pt idx="254">
                  <c:v>0.50524686048511946</c:v>
                </c:pt>
                <c:pt idx="255">
                  <c:v>0.46223980732840175</c:v>
                </c:pt>
                <c:pt idx="256">
                  <c:v>0.41708240151384812</c:v>
                </c:pt>
                <c:pt idx="257">
                  <c:v>0.33214347152933077</c:v>
                </c:pt>
                <c:pt idx="258">
                  <c:v>0.35506623086186129</c:v>
                </c:pt>
                <c:pt idx="259">
                  <c:v>0.34670135902287957</c:v>
                </c:pt>
                <c:pt idx="260">
                  <c:v>0.36265697574402211</c:v>
                </c:pt>
                <c:pt idx="261">
                  <c:v>0.36124849475313936</c:v>
                </c:pt>
                <c:pt idx="262">
                  <c:v>0.39012773094787545</c:v>
                </c:pt>
                <c:pt idx="263">
                  <c:v>0.38934285222776532</c:v>
                </c:pt>
                <c:pt idx="264">
                  <c:v>0.37926845002580412</c:v>
                </c:pt>
                <c:pt idx="265">
                  <c:v>0.335702305178049</c:v>
                </c:pt>
                <c:pt idx="266">
                  <c:v>0.34579821090658869</c:v>
                </c:pt>
                <c:pt idx="267">
                  <c:v>0.34943230689833116</c:v>
                </c:pt>
                <c:pt idx="268">
                  <c:v>0.30447918458627199</c:v>
                </c:pt>
                <c:pt idx="269">
                  <c:v>0.18186607603646987</c:v>
                </c:pt>
                <c:pt idx="270">
                  <c:v>-3.3179941510407707E-2</c:v>
                </c:pt>
                <c:pt idx="271">
                  <c:v>1.1257096163770797E-2</c:v>
                </c:pt>
                <c:pt idx="272">
                  <c:v>-5.7317650094615535E-2</c:v>
                </c:pt>
                <c:pt idx="273">
                  <c:v>4.1577068639256698E-2</c:v>
                </c:pt>
                <c:pt idx="274">
                  <c:v>9.7841045931534865E-4</c:v>
                </c:pt>
                <c:pt idx="275">
                  <c:v>-6.1059263719250079E-2</c:v>
                </c:pt>
                <c:pt idx="276">
                  <c:v>-0.13982668157577849</c:v>
                </c:pt>
                <c:pt idx="277">
                  <c:v>-3.6383966970583215E-2</c:v>
                </c:pt>
                <c:pt idx="278">
                  <c:v>-5.8070273524858051E-2</c:v>
                </c:pt>
                <c:pt idx="279">
                  <c:v>-5.4135128161018398E-2</c:v>
                </c:pt>
                <c:pt idx="280">
                  <c:v>-4.5372441080337222E-2</c:v>
                </c:pt>
                <c:pt idx="281">
                  <c:v>-6.1586100120419873E-2</c:v>
                </c:pt>
                <c:pt idx="282">
                  <c:v>1.8493032857387348E-3</c:v>
                </c:pt>
                <c:pt idx="283">
                  <c:v>-4.2716755547909879E-2</c:v>
                </c:pt>
                <c:pt idx="284">
                  <c:v>-8.5971099260278683E-2</c:v>
                </c:pt>
                <c:pt idx="285">
                  <c:v>-0.10550705315671771</c:v>
                </c:pt>
                <c:pt idx="286">
                  <c:v>-0.11203337347324971</c:v>
                </c:pt>
                <c:pt idx="287">
                  <c:v>-6.6101840701875081E-2</c:v>
                </c:pt>
                <c:pt idx="288">
                  <c:v>-0.11100120419748838</c:v>
                </c:pt>
                <c:pt idx="289">
                  <c:v>-0.17206046791673846</c:v>
                </c:pt>
                <c:pt idx="290">
                  <c:v>-0.20964863237570963</c:v>
                </c:pt>
                <c:pt idx="291">
                  <c:v>-0.26524600034405643</c:v>
                </c:pt>
                <c:pt idx="292">
                  <c:v>-0.18657556339239634</c:v>
                </c:pt>
                <c:pt idx="293">
                  <c:v>-0.17368419920867029</c:v>
                </c:pt>
                <c:pt idx="294">
                  <c:v>-0.12272073370032688</c:v>
                </c:pt>
                <c:pt idx="295">
                  <c:v>-9.4163942886633434E-2</c:v>
                </c:pt>
                <c:pt idx="296">
                  <c:v>-7.9047178737312929E-2</c:v>
                </c:pt>
                <c:pt idx="297">
                  <c:v>-6.5026771890590029E-2</c:v>
                </c:pt>
                <c:pt idx="298">
                  <c:v>-6.8650008601410684E-2</c:v>
                </c:pt>
                <c:pt idx="299">
                  <c:v>-5.6511482883192854E-2</c:v>
                </c:pt>
                <c:pt idx="300">
                  <c:v>-9.1389987958023777E-4</c:v>
                </c:pt>
                <c:pt idx="301">
                  <c:v>-5.0748430242559817E-2</c:v>
                </c:pt>
                <c:pt idx="302">
                  <c:v>-4.631859624978496E-2</c:v>
                </c:pt>
                <c:pt idx="303">
                  <c:v>-1.176253655599524E-2</c:v>
                </c:pt>
                <c:pt idx="304">
                  <c:v>1.0762300017202797E-2</c:v>
                </c:pt>
                <c:pt idx="305">
                  <c:v>1.7342594185446369E-2</c:v>
                </c:pt>
                <c:pt idx="306">
                  <c:v>-9.5153105109238023E-3</c:v>
                </c:pt>
                <c:pt idx="307">
                  <c:v>-1.2020578874935572E-2</c:v>
                </c:pt>
                <c:pt idx="308">
                  <c:v>-3.6190542749010901E-2</c:v>
                </c:pt>
                <c:pt idx="309">
                  <c:v>-5.4780341476002081E-2</c:v>
                </c:pt>
                <c:pt idx="310">
                  <c:v>1.1074208670221797E-2</c:v>
                </c:pt>
                <c:pt idx="311">
                  <c:v>5.2876956820918641E-2</c:v>
                </c:pt>
                <c:pt idx="312">
                  <c:v>6.1715121279889873E-2</c:v>
                </c:pt>
                <c:pt idx="313">
                  <c:v>8.6444176845002607E-2</c:v>
                </c:pt>
                <c:pt idx="314">
                  <c:v>7.9573585067951091E-2</c:v>
                </c:pt>
                <c:pt idx="315">
                  <c:v>0.10327057887493529</c:v>
                </c:pt>
                <c:pt idx="316">
                  <c:v>0.1062810725959058</c:v>
                </c:pt>
                <c:pt idx="317">
                  <c:v>9.2809113194563864E-2</c:v>
                </c:pt>
                <c:pt idx="318">
                  <c:v>0.12111861345260611</c:v>
                </c:pt>
                <c:pt idx="319">
                  <c:v>0.14861065714777211</c:v>
                </c:pt>
                <c:pt idx="320">
                  <c:v>0.1228925468776878</c:v>
                </c:pt>
                <c:pt idx="321">
                  <c:v>0.10228152416996394</c:v>
                </c:pt>
                <c:pt idx="322">
                  <c:v>0.15204068467228615</c:v>
                </c:pt>
                <c:pt idx="323">
                  <c:v>0.16944768191983495</c:v>
                </c:pt>
                <c:pt idx="324">
                  <c:v>0.16076025718217779</c:v>
                </c:pt>
                <c:pt idx="325">
                  <c:v>0.11408685274385011</c:v>
                </c:pt>
                <c:pt idx="326">
                  <c:v>0.14968583347669018</c:v>
                </c:pt>
                <c:pt idx="327">
                  <c:v>0.1756838121451918</c:v>
                </c:pt>
                <c:pt idx="328">
                  <c:v>0.17342583433683112</c:v>
                </c:pt>
                <c:pt idx="329">
                  <c:v>0.17354421125064512</c:v>
                </c:pt>
                <c:pt idx="330">
                  <c:v>0.18912351625666601</c:v>
                </c:pt>
                <c:pt idx="331">
                  <c:v>0.1895857345604679</c:v>
                </c:pt>
                <c:pt idx="332">
                  <c:v>0.18534964734216408</c:v>
                </c:pt>
                <c:pt idx="333">
                  <c:v>0.2111646309994839</c:v>
                </c:pt>
                <c:pt idx="334">
                  <c:v>0.19892901685876474</c:v>
                </c:pt>
                <c:pt idx="335">
                  <c:v>0.23105539308446588</c:v>
                </c:pt>
                <c:pt idx="336">
                  <c:v>0.22143234990538452</c:v>
                </c:pt>
                <c:pt idx="337">
                  <c:v>0.17383429382418725</c:v>
                </c:pt>
                <c:pt idx="338">
                  <c:v>0.15459949681747798</c:v>
                </c:pt>
                <c:pt idx="339">
                  <c:v>0.14634214261138823</c:v>
                </c:pt>
                <c:pt idx="340">
                  <c:v>0.15636267847927066</c:v>
                </c:pt>
                <c:pt idx="341">
                  <c:v>0.19255322122828145</c:v>
                </c:pt>
                <c:pt idx="342">
                  <c:v>0.18752150352657826</c:v>
                </c:pt>
                <c:pt idx="343">
                  <c:v>0.22430328573886116</c:v>
                </c:pt>
                <c:pt idx="344">
                  <c:v>0.2364420264923448</c:v>
                </c:pt>
                <c:pt idx="345">
                  <c:v>0.24709702391192168</c:v>
                </c:pt>
                <c:pt idx="346">
                  <c:v>0.25428995355238238</c:v>
                </c:pt>
                <c:pt idx="347">
                  <c:v>0.26666523309822798</c:v>
                </c:pt>
                <c:pt idx="348">
                  <c:v>0.28415835196972283</c:v>
                </c:pt>
                <c:pt idx="349">
                  <c:v>0.28174995699294691</c:v>
                </c:pt>
                <c:pt idx="350">
                  <c:v>0.30879064166523307</c:v>
                </c:pt>
                <c:pt idx="351">
                  <c:v>0.2759009977636333</c:v>
                </c:pt>
                <c:pt idx="352">
                  <c:v>0.19439188026836418</c:v>
                </c:pt>
                <c:pt idx="353">
                  <c:v>0.22105625322552891</c:v>
                </c:pt>
                <c:pt idx="354">
                  <c:v>0.16945854120075698</c:v>
                </c:pt>
                <c:pt idx="355">
                  <c:v>0.17130784448649572</c:v>
                </c:pt>
                <c:pt idx="356">
                  <c:v>0.14493376913813871</c:v>
                </c:pt>
                <c:pt idx="357">
                  <c:v>0.17366248064682588</c:v>
                </c:pt>
                <c:pt idx="358">
                  <c:v>0.20152029932908988</c:v>
                </c:pt>
                <c:pt idx="359">
                  <c:v>0.15770686392568378</c:v>
                </c:pt>
                <c:pt idx="360">
                  <c:v>9.9453810424909639E-2</c:v>
                </c:pt>
                <c:pt idx="361">
                  <c:v>0.15899707552038533</c:v>
                </c:pt>
                <c:pt idx="362">
                  <c:v>0.14493376913813871</c:v>
                </c:pt>
                <c:pt idx="363">
                  <c:v>0.18555393084465854</c:v>
                </c:pt>
                <c:pt idx="364">
                  <c:v>0.18441424393600525</c:v>
                </c:pt>
                <c:pt idx="365">
                  <c:v>0.20596077756752118</c:v>
                </c:pt>
                <c:pt idx="366">
                  <c:v>0.16038405298468938</c:v>
                </c:pt>
                <c:pt idx="367">
                  <c:v>0.15225571993806986</c:v>
                </c:pt>
                <c:pt idx="368">
                  <c:v>0.14462196800275229</c:v>
                </c:pt>
                <c:pt idx="369">
                  <c:v>0.18754300705315674</c:v>
                </c:pt>
                <c:pt idx="370">
                  <c:v>0.19296189575090295</c:v>
                </c:pt>
                <c:pt idx="371">
                  <c:v>0.21020772406674681</c:v>
                </c:pt>
                <c:pt idx="372">
                  <c:v>0.23502279373817303</c:v>
                </c:pt>
                <c:pt idx="373">
                  <c:v>0.23241011525890243</c:v>
                </c:pt>
                <c:pt idx="374">
                  <c:v>0.25274169963874082</c:v>
                </c:pt>
                <c:pt idx="375">
                  <c:v>0.26461164630999479</c:v>
                </c:pt>
                <c:pt idx="376">
                  <c:v>0.27201961121623941</c:v>
                </c:pt>
                <c:pt idx="377">
                  <c:v>0.27221314295544463</c:v>
                </c:pt>
                <c:pt idx="378">
                  <c:v>0.31800490280405969</c:v>
                </c:pt>
                <c:pt idx="379">
                  <c:v>0.28936220540168578</c:v>
                </c:pt>
                <c:pt idx="380">
                  <c:v>0.28992129709272318</c:v>
                </c:pt>
                <c:pt idx="381">
                  <c:v>0.27881472561500087</c:v>
                </c:pt>
                <c:pt idx="382">
                  <c:v>0.31677920178909336</c:v>
                </c:pt>
                <c:pt idx="383">
                  <c:v>0.33364871838981602</c:v>
                </c:pt>
                <c:pt idx="384">
                  <c:v>0.33742258730431796</c:v>
                </c:pt>
                <c:pt idx="385">
                  <c:v>0.35124935489420261</c:v>
                </c:pt>
                <c:pt idx="386">
                  <c:v>0.35218475830036122</c:v>
                </c:pt>
                <c:pt idx="387">
                  <c:v>0.36708670221916395</c:v>
                </c:pt>
                <c:pt idx="388">
                  <c:v>0.39046103560983991</c:v>
                </c:pt>
                <c:pt idx="389">
                  <c:v>0.3798275417168413</c:v>
                </c:pt>
                <c:pt idx="390">
                  <c:v>0.37229055565112668</c:v>
                </c:pt>
                <c:pt idx="391">
                  <c:v>0.40941639428866305</c:v>
                </c:pt>
                <c:pt idx="392">
                  <c:v>0.42907061758128329</c:v>
                </c:pt>
                <c:pt idx="393">
                  <c:v>0.44397256150008602</c:v>
                </c:pt>
                <c:pt idx="394">
                  <c:v>0.41910373301221404</c:v>
                </c:pt>
                <c:pt idx="395">
                  <c:v>0.42046920694993983</c:v>
                </c:pt>
                <c:pt idx="396">
                  <c:v>0.4023309822810941</c:v>
                </c:pt>
                <c:pt idx="397">
                  <c:v>0.37268837089282636</c:v>
                </c:pt>
                <c:pt idx="398">
                  <c:v>0.40742731808016508</c:v>
                </c:pt>
                <c:pt idx="399">
                  <c:v>0.43257569241355576</c:v>
                </c:pt>
                <c:pt idx="400">
                  <c:v>0.4280169447789437</c:v>
                </c:pt>
                <c:pt idx="401">
                  <c:v>0.41334078788921369</c:v>
                </c:pt>
                <c:pt idx="402">
                  <c:v>0.43791931876827794</c:v>
                </c:pt>
                <c:pt idx="403">
                  <c:v>0.46275589196628242</c:v>
                </c:pt>
                <c:pt idx="404">
                  <c:v>0.43546791673834484</c:v>
                </c:pt>
                <c:pt idx="405">
                  <c:v>0.45003655599518333</c:v>
                </c:pt>
                <c:pt idx="406">
                  <c:v>0.44460691553414744</c:v>
                </c:pt>
                <c:pt idx="407">
                  <c:v>0.43116721142267322</c:v>
                </c:pt>
                <c:pt idx="408">
                  <c:v>0.39790125580595226</c:v>
                </c:pt>
                <c:pt idx="409">
                  <c:v>0.36652761052812655</c:v>
                </c:pt>
                <c:pt idx="410">
                  <c:v>0.36708670221916395</c:v>
                </c:pt>
                <c:pt idx="411">
                  <c:v>0.3638074144159642</c:v>
                </c:pt>
                <c:pt idx="412">
                  <c:v>0.44038147256150006</c:v>
                </c:pt>
                <c:pt idx="413">
                  <c:v>0.44482195079993114</c:v>
                </c:pt>
                <c:pt idx="414">
                  <c:v>0.41508257354206091</c:v>
                </c:pt>
                <c:pt idx="415">
                  <c:v>0.44613366592121095</c:v>
                </c:pt>
                <c:pt idx="416">
                  <c:v>0.3894288663340788</c:v>
                </c:pt>
                <c:pt idx="417">
                  <c:v>0.28954498537760198</c:v>
                </c:pt>
                <c:pt idx="418">
                  <c:v>0.26742860829175963</c:v>
                </c:pt>
                <c:pt idx="419">
                  <c:v>0.2079928608291759</c:v>
                </c:pt>
                <c:pt idx="420">
                  <c:v>0.24641966282470307</c:v>
                </c:pt>
                <c:pt idx="421">
                  <c:v>0.29496387407534841</c:v>
                </c:pt>
                <c:pt idx="422">
                  <c:v>0.24100077412695686</c:v>
                </c:pt>
                <c:pt idx="423">
                  <c:v>0.30742516772750728</c:v>
                </c:pt>
                <c:pt idx="424">
                  <c:v>0.22186263547221752</c:v>
                </c:pt>
                <c:pt idx="425">
                  <c:v>0.21647600206433859</c:v>
                </c:pt>
                <c:pt idx="426">
                  <c:v>0.2525481678995356</c:v>
                </c:pt>
                <c:pt idx="427">
                  <c:v>0.29414674006537078</c:v>
                </c:pt>
                <c:pt idx="428">
                  <c:v>0.30675855840357813</c:v>
                </c:pt>
                <c:pt idx="429">
                  <c:v>0.38116076036469959</c:v>
                </c:pt>
                <c:pt idx="430">
                  <c:v>0.35595862721486338</c:v>
                </c:pt>
                <c:pt idx="431">
                  <c:v>0.35886160330294148</c:v>
                </c:pt>
                <c:pt idx="432">
                  <c:v>0.30703810424909683</c:v>
                </c:pt>
                <c:pt idx="433">
                  <c:v>0.2457745570273524</c:v>
                </c:pt>
                <c:pt idx="434">
                  <c:v>0.33782040254601742</c:v>
                </c:pt>
                <c:pt idx="435">
                  <c:v>0.34955057629451236</c:v>
                </c:pt>
                <c:pt idx="436">
                  <c:v>0.31134956132805791</c:v>
                </c:pt>
                <c:pt idx="437">
                  <c:v>0.36045286426973999</c:v>
                </c:pt>
                <c:pt idx="438">
                  <c:v>0.35214175124720448</c:v>
                </c:pt>
                <c:pt idx="439">
                  <c:v>0.37387106485463595</c:v>
                </c:pt>
                <c:pt idx="440">
                  <c:v>0.39289093411319453</c:v>
                </c:pt>
                <c:pt idx="441">
                  <c:v>0.41331928436263543</c:v>
                </c:pt>
                <c:pt idx="442">
                  <c:v>0.41754472733528303</c:v>
                </c:pt>
                <c:pt idx="443">
                  <c:v>0.42518923103388939</c:v>
                </c:pt>
                <c:pt idx="444">
                  <c:v>0.45358463788061232</c:v>
                </c:pt>
                <c:pt idx="445">
                  <c:v>0.46013246172372257</c:v>
                </c:pt>
                <c:pt idx="446">
                  <c:v>0.46595991742645793</c:v>
                </c:pt>
                <c:pt idx="447">
                  <c:v>0.47404524341992071</c:v>
                </c:pt>
                <c:pt idx="448">
                  <c:v>0.47512041974883878</c:v>
                </c:pt>
                <c:pt idx="449">
                  <c:v>0.50909599174264564</c:v>
                </c:pt>
                <c:pt idx="450">
                  <c:v>0.49749483915362114</c:v>
                </c:pt>
                <c:pt idx="451">
                  <c:v>0.49980646826079478</c:v>
                </c:pt>
                <c:pt idx="452">
                  <c:v>0.50318252193359703</c:v>
                </c:pt>
                <c:pt idx="453">
                  <c:v>0.49173189403062101</c:v>
                </c:pt>
                <c:pt idx="454">
                  <c:v>0.48043179081369347</c:v>
                </c:pt>
                <c:pt idx="455">
                  <c:v>0.50522535695854121</c:v>
                </c:pt>
                <c:pt idx="456">
                  <c:v>0.49618312403234111</c:v>
                </c:pt>
                <c:pt idx="457">
                  <c:v>0.46012170996043333</c:v>
                </c:pt>
                <c:pt idx="458">
                  <c:v>0.40295458455186628</c:v>
                </c:pt>
                <c:pt idx="459">
                  <c:v>0.41996387407534841</c:v>
                </c:pt>
                <c:pt idx="460">
                  <c:v>0.40883579907104761</c:v>
                </c:pt>
                <c:pt idx="461">
                  <c:v>0.41384612076380511</c:v>
                </c:pt>
                <c:pt idx="462">
                  <c:v>0.42901685876483731</c:v>
                </c:pt>
                <c:pt idx="463">
                  <c:v>0.42515697574402189</c:v>
                </c:pt>
                <c:pt idx="464">
                  <c:v>0.42895234818510231</c:v>
                </c:pt>
                <c:pt idx="465">
                  <c:v>0.47038964390159976</c:v>
                </c:pt>
                <c:pt idx="466">
                  <c:v>0.43510235678651288</c:v>
                </c:pt>
                <c:pt idx="467">
                  <c:v>0.47999096851883705</c:v>
                </c:pt>
                <c:pt idx="468">
                  <c:v>0.46226131085498023</c:v>
                </c:pt>
                <c:pt idx="469">
                  <c:v>0.46761568897299144</c:v>
                </c:pt>
                <c:pt idx="470">
                  <c:v>0.50825735420608975</c:v>
                </c:pt>
                <c:pt idx="471">
                  <c:v>0.52227765353517963</c:v>
                </c:pt>
                <c:pt idx="472">
                  <c:v>0.50748322724926864</c:v>
                </c:pt>
                <c:pt idx="473">
                  <c:v>0.5053221228281437</c:v>
                </c:pt>
                <c:pt idx="474">
                  <c:v>0.53978152416996372</c:v>
                </c:pt>
                <c:pt idx="475">
                  <c:v>0.5697466884569069</c:v>
                </c:pt>
                <c:pt idx="476">
                  <c:v>0.57003698606571462</c:v>
                </c:pt>
                <c:pt idx="477">
                  <c:v>0.57003698606571462</c:v>
                </c:pt>
              </c:numCache>
            </c:numRef>
          </c:val>
        </c:ser>
        <c:marker val="1"/>
        <c:axId val="84690048"/>
        <c:axId val="84692352"/>
      </c:lineChart>
      <c:dateAx>
        <c:axId val="84690048"/>
        <c:scaling>
          <c:orientation val="minMax"/>
        </c:scaling>
        <c:axPos val="b"/>
        <c:title>
          <c:tx>
            <c:rich>
              <a:bodyPr/>
              <a:lstStyle/>
              <a:p>
                <a:pPr>
                  <a:defRPr sz="1400"/>
                </a:pPr>
                <a:r>
                  <a:rPr lang="en-US" sz="1400"/>
                  <a:t>Date</a:t>
                </a:r>
              </a:p>
            </c:rich>
          </c:tx>
          <c:spPr>
            <a:noFill/>
            <a:ln w="25400">
              <a:noFill/>
            </a:ln>
          </c:spPr>
        </c:title>
        <c:numFmt formatCode="m/d/yy" sourceLinked="0"/>
        <c:majorTickMark val="none"/>
        <c:tickLblPos val="nextTo"/>
        <c:spPr>
          <a:ln w="3175">
            <a:solidFill>
              <a:srgbClr val="808080"/>
            </a:solidFill>
            <a:prstDash val="solid"/>
          </a:ln>
        </c:spPr>
        <c:crossAx val="84692352"/>
        <c:crosses val="autoZero"/>
        <c:auto val="1"/>
        <c:lblOffset val="100"/>
        <c:baseTimeUnit val="days"/>
      </c:dateAx>
      <c:valAx>
        <c:axId val="84692352"/>
        <c:scaling>
          <c:orientation val="minMax"/>
        </c:scaling>
        <c:axPos val="l"/>
        <c:title>
          <c:tx>
            <c:rich>
              <a:bodyPr rot="-5400000" vert="horz"/>
              <a:lstStyle/>
              <a:p>
                <a:pPr>
                  <a:defRPr sz="1400"/>
                </a:pPr>
                <a:r>
                  <a:rPr lang="en-US" sz="1400"/>
                  <a:t>% Change</a:t>
                </a:r>
              </a:p>
            </c:rich>
          </c:tx>
          <c:spPr>
            <a:noFill/>
            <a:ln w="25400">
              <a:noFill/>
            </a:ln>
          </c:spPr>
        </c:title>
        <c:numFmt formatCode="0.00%" sourceLinked="1"/>
        <c:tickLblPos val="nextTo"/>
        <c:spPr>
          <a:ln w="3175">
            <a:solidFill>
              <a:srgbClr val="808080"/>
            </a:solidFill>
            <a:prstDash val="solid"/>
          </a:ln>
        </c:spPr>
        <c:crossAx val="84690048"/>
        <c:crosses val="autoZero"/>
        <c:crossBetween val="between"/>
      </c:valAx>
      <c:spPr>
        <a:solidFill>
          <a:srgbClr val="DCE6F2"/>
        </a:solidFill>
        <a:ln w="25400">
          <a:noFill/>
        </a:ln>
      </c:spPr>
    </c:plotArea>
    <c:legend>
      <c:legendPos val="r"/>
      <c:layout>
        <c:manualLayout>
          <c:xMode val="edge"/>
          <c:yMode val="edge"/>
          <c:x val="0.41071430444415502"/>
          <c:y val="6.9869071297967739E-2"/>
          <c:w val="0.18005950837472401"/>
          <c:h val="4.1484659221331432E-2"/>
        </c:manualLayout>
      </c:layout>
      <c:spPr>
        <a:noFill/>
        <a:ln w="25400">
          <a:noFill/>
        </a:ln>
      </c:spPr>
      <c:txPr>
        <a:bodyPr/>
        <a:lstStyle/>
        <a:p>
          <a:pPr>
            <a:defRPr sz="1100"/>
          </a:pPr>
          <a:endParaRPr lang="en-US"/>
        </a:p>
      </c:txPr>
    </c:legend>
    <c:plotVisOnly val="1"/>
    <c:dispBlanksAs val="zero"/>
  </c:chart>
  <c:spPr>
    <a:solidFill>
      <a:srgbClr val="FFFFFF"/>
    </a:solidFill>
    <a:ln w="3175">
      <a:solidFill>
        <a:srgbClr val="808080"/>
      </a:solidFill>
      <a:prstDash val="solid"/>
    </a:ln>
  </c:spPr>
  <c:printSettings>
    <c:headerFooter/>
    <c:pageMargins b="0.75000000000001044" l="0.70000000000000062" r="0.70000000000000062" t="0.75000000000001044"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style val="34"/>
  <c:chart>
    <c:title>
      <c:tx>
        <c:rich>
          <a:bodyPr/>
          <a:lstStyle/>
          <a:p>
            <a:pPr>
              <a:defRPr/>
            </a:pPr>
            <a:r>
              <a:rPr lang="en-US"/>
              <a:t>IPO vs S&amp;P 500 Returns Since January 2007</a:t>
            </a:r>
          </a:p>
        </c:rich>
      </c:tx>
      <c:spPr>
        <a:noFill/>
        <a:ln w="25400">
          <a:noFill/>
        </a:ln>
      </c:spPr>
    </c:title>
    <c:plotArea>
      <c:layout>
        <c:manualLayout>
          <c:layoutTarget val="inner"/>
          <c:xMode val="edge"/>
          <c:yMode val="edge"/>
          <c:x val="9.1263261528695128E-2"/>
          <c:y val="0.13100436681223149"/>
          <c:w val="0.90873673847130487"/>
          <c:h val="0.79475982532751765"/>
        </c:manualLayout>
      </c:layout>
      <c:lineChart>
        <c:grouping val="stacked"/>
        <c:ser>
          <c:idx val="0"/>
          <c:order val="0"/>
          <c:tx>
            <c:v>IPO</c:v>
          </c:tx>
          <c:spPr>
            <a:ln w="38100">
              <a:solidFill>
                <a:srgbClr val="666699"/>
              </a:solidFill>
              <a:prstDash val="solid"/>
            </a:ln>
          </c:spPr>
          <c:marker>
            <c:symbol val="none"/>
          </c:marker>
          <c:cat>
            <c:numRef>
              <c:f>Data!$B$195:$B$444</c:f>
              <c:numCache>
                <c:formatCode>m/d/yyyy</c:formatCode>
                <c:ptCount val="250"/>
                <c:pt idx="0">
                  <c:v>39087</c:v>
                </c:pt>
                <c:pt idx="1">
                  <c:v>39094</c:v>
                </c:pt>
                <c:pt idx="2">
                  <c:v>39101</c:v>
                </c:pt>
                <c:pt idx="3">
                  <c:v>39108</c:v>
                </c:pt>
                <c:pt idx="4">
                  <c:v>39115</c:v>
                </c:pt>
                <c:pt idx="5">
                  <c:v>39122</c:v>
                </c:pt>
                <c:pt idx="6">
                  <c:v>39129</c:v>
                </c:pt>
                <c:pt idx="7">
                  <c:v>39136</c:v>
                </c:pt>
                <c:pt idx="8">
                  <c:v>39143</c:v>
                </c:pt>
                <c:pt idx="9">
                  <c:v>39150</c:v>
                </c:pt>
                <c:pt idx="10">
                  <c:v>39157</c:v>
                </c:pt>
                <c:pt idx="11">
                  <c:v>39164</c:v>
                </c:pt>
                <c:pt idx="12">
                  <c:v>39171</c:v>
                </c:pt>
                <c:pt idx="13">
                  <c:v>39178</c:v>
                </c:pt>
                <c:pt idx="14">
                  <c:v>39185</c:v>
                </c:pt>
                <c:pt idx="15">
                  <c:v>39192</c:v>
                </c:pt>
                <c:pt idx="16">
                  <c:v>39199</c:v>
                </c:pt>
                <c:pt idx="17">
                  <c:v>39206</c:v>
                </c:pt>
                <c:pt idx="18">
                  <c:v>39213</c:v>
                </c:pt>
                <c:pt idx="19">
                  <c:v>39220</c:v>
                </c:pt>
                <c:pt idx="20">
                  <c:v>39227</c:v>
                </c:pt>
                <c:pt idx="21">
                  <c:v>39234</c:v>
                </c:pt>
                <c:pt idx="22">
                  <c:v>39241</c:v>
                </c:pt>
                <c:pt idx="23">
                  <c:v>39248</c:v>
                </c:pt>
                <c:pt idx="24">
                  <c:v>39255</c:v>
                </c:pt>
                <c:pt idx="25">
                  <c:v>39262</c:v>
                </c:pt>
                <c:pt idx="26">
                  <c:v>39269</c:v>
                </c:pt>
                <c:pt idx="27">
                  <c:v>39276</c:v>
                </c:pt>
                <c:pt idx="28">
                  <c:v>39283</c:v>
                </c:pt>
                <c:pt idx="29">
                  <c:v>39290</c:v>
                </c:pt>
                <c:pt idx="30">
                  <c:v>39297</c:v>
                </c:pt>
                <c:pt idx="31">
                  <c:v>39304</c:v>
                </c:pt>
                <c:pt idx="32">
                  <c:v>39311</c:v>
                </c:pt>
                <c:pt idx="33">
                  <c:v>39318</c:v>
                </c:pt>
                <c:pt idx="34">
                  <c:v>39325</c:v>
                </c:pt>
                <c:pt idx="35">
                  <c:v>39332</c:v>
                </c:pt>
                <c:pt idx="36">
                  <c:v>39339</c:v>
                </c:pt>
                <c:pt idx="37">
                  <c:v>39346</c:v>
                </c:pt>
                <c:pt idx="38">
                  <c:v>39353</c:v>
                </c:pt>
                <c:pt idx="39">
                  <c:v>39360</c:v>
                </c:pt>
                <c:pt idx="40">
                  <c:v>39367</c:v>
                </c:pt>
                <c:pt idx="41">
                  <c:v>39374</c:v>
                </c:pt>
                <c:pt idx="42">
                  <c:v>39381</c:v>
                </c:pt>
                <c:pt idx="43">
                  <c:v>39388</c:v>
                </c:pt>
                <c:pt idx="44">
                  <c:v>39405</c:v>
                </c:pt>
                <c:pt idx="45">
                  <c:v>39417</c:v>
                </c:pt>
                <c:pt idx="46">
                  <c:v>39438</c:v>
                </c:pt>
                <c:pt idx="47">
                  <c:v>39452</c:v>
                </c:pt>
                <c:pt idx="48">
                  <c:v>39459</c:v>
                </c:pt>
                <c:pt idx="49">
                  <c:v>39466</c:v>
                </c:pt>
                <c:pt idx="50">
                  <c:v>39480</c:v>
                </c:pt>
                <c:pt idx="51">
                  <c:v>39487</c:v>
                </c:pt>
                <c:pt idx="52">
                  <c:v>39496</c:v>
                </c:pt>
                <c:pt idx="53">
                  <c:v>39503</c:v>
                </c:pt>
                <c:pt idx="54">
                  <c:v>39510</c:v>
                </c:pt>
                <c:pt idx="55">
                  <c:v>39517</c:v>
                </c:pt>
                <c:pt idx="56">
                  <c:v>39531</c:v>
                </c:pt>
                <c:pt idx="57">
                  <c:v>39538</c:v>
                </c:pt>
                <c:pt idx="58">
                  <c:v>39549</c:v>
                </c:pt>
                <c:pt idx="59">
                  <c:v>39556</c:v>
                </c:pt>
                <c:pt idx="60">
                  <c:v>39571</c:v>
                </c:pt>
                <c:pt idx="61">
                  <c:v>39585</c:v>
                </c:pt>
                <c:pt idx="62">
                  <c:v>39592</c:v>
                </c:pt>
                <c:pt idx="63">
                  <c:v>39599</c:v>
                </c:pt>
                <c:pt idx="64">
                  <c:v>39606</c:v>
                </c:pt>
                <c:pt idx="65">
                  <c:v>39620</c:v>
                </c:pt>
                <c:pt idx="66">
                  <c:v>39639</c:v>
                </c:pt>
                <c:pt idx="67">
                  <c:v>39646</c:v>
                </c:pt>
                <c:pt idx="68">
                  <c:v>39653</c:v>
                </c:pt>
                <c:pt idx="69">
                  <c:v>39660</c:v>
                </c:pt>
                <c:pt idx="70">
                  <c:v>39667</c:v>
                </c:pt>
                <c:pt idx="71">
                  <c:v>39674</c:v>
                </c:pt>
                <c:pt idx="72">
                  <c:v>39681</c:v>
                </c:pt>
                <c:pt idx="73">
                  <c:v>39688</c:v>
                </c:pt>
                <c:pt idx="74">
                  <c:v>39695</c:v>
                </c:pt>
                <c:pt idx="75">
                  <c:v>39702</c:v>
                </c:pt>
                <c:pt idx="76">
                  <c:v>39709</c:v>
                </c:pt>
                <c:pt idx="77">
                  <c:v>39716</c:v>
                </c:pt>
                <c:pt idx="78">
                  <c:v>39723</c:v>
                </c:pt>
                <c:pt idx="79">
                  <c:v>39730</c:v>
                </c:pt>
                <c:pt idx="80">
                  <c:v>39737</c:v>
                </c:pt>
                <c:pt idx="81">
                  <c:v>39744</c:v>
                </c:pt>
                <c:pt idx="82">
                  <c:v>39751</c:v>
                </c:pt>
                <c:pt idx="83">
                  <c:v>39758</c:v>
                </c:pt>
                <c:pt idx="84">
                  <c:v>39765</c:v>
                </c:pt>
                <c:pt idx="85">
                  <c:v>39772</c:v>
                </c:pt>
                <c:pt idx="86">
                  <c:v>39779</c:v>
                </c:pt>
                <c:pt idx="87">
                  <c:v>39786</c:v>
                </c:pt>
                <c:pt idx="88">
                  <c:v>39793</c:v>
                </c:pt>
                <c:pt idx="89">
                  <c:v>39800</c:v>
                </c:pt>
                <c:pt idx="90">
                  <c:v>39807</c:v>
                </c:pt>
                <c:pt idx="91">
                  <c:v>39814</c:v>
                </c:pt>
                <c:pt idx="92">
                  <c:v>39821</c:v>
                </c:pt>
                <c:pt idx="93">
                  <c:v>39828</c:v>
                </c:pt>
                <c:pt idx="94">
                  <c:v>39835</c:v>
                </c:pt>
                <c:pt idx="95">
                  <c:v>39842</c:v>
                </c:pt>
                <c:pt idx="96">
                  <c:v>39849</c:v>
                </c:pt>
                <c:pt idx="97">
                  <c:v>39856</c:v>
                </c:pt>
                <c:pt idx="98">
                  <c:v>39863</c:v>
                </c:pt>
                <c:pt idx="99">
                  <c:v>39870</c:v>
                </c:pt>
                <c:pt idx="100">
                  <c:v>39877</c:v>
                </c:pt>
                <c:pt idx="101">
                  <c:v>39884</c:v>
                </c:pt>
                <c:pt idx="102">
                  <c:v>39891</c:v>
                </c:pt>
                <c:pt idx="103">
                  <c:v>39898</c:v>
                </c:pt>
                <c:pt idx="104">
                  <c:v>39905</c:v>
                </c:pt>
                <c:pt idx="105">
                  <c:v>39912</c:v>
                </c:pt>
                <c:pt idx="106">
                  <c:v>39919</c:v>
                </c:pt>
                <c:pt idx="107">
                  <c:v>39926</c:v>
                </c:pt>
                <c:pt idx="108">
                  <c:v>39933</c:v>
                </c:pt>
                <c:pt idx="109">
                  <c:v>39940</c:v>
                </c:pt>
                <c:pt idx="110">
                  <c:v>39947</c:v>
                </c:pt>
                <c:pt idx="111">
                  <c:v>39954</c:v>
                </c:pt>
                <c:pt idx="112">
                  <c:v>39961</c:v>
                </c:pt>
                <c:pt idx="113">
                  <c:v>39968</c:v>
                </c:pt>
                <c:pt idx="114">
                  <c:v>39975</c:v>
                </c:pt>
                <c:pt idx="115">
                  <c:v>39982</c:v>
                </c:pt>
                <c:pt idx="116">
                  <c:v>39989</c:v>
                </c:pt>
                <c:pt idx="117">
                  <c:v>39996</c:v>
                </c:pt>
                <c:pt idx="118">
                  <c:v>40003</c:v>
                </c:pt>
                <c:pt idx="119">
                  <c:v>40010</c:v>
                </c:pt>
                <c:pt idx="120">
                  <c:v>40017</c:v>
                </c:pt>
                <c:pt idx="121">
                  <c:v>40024</c:v>
                </c:pt>
                <c:pt idx="122">
                  <c:v>40031</c:v>
                </c:pt>
                <c:pt idx="123">
                  <c:v>40038</c:v>
                </c:pt>
                <c:pt idx="124">
                  <c:v>40045</c:v>
                </c:pt>
                <c:pt idx="125">
                  <c:v>40052</c:v>
                </c:pt>
                <c:pt idx="126">
                  <c:v>40059</c:v>
                </c:pt>
                <c:pt idx="127">
                  <c:v>40066</c:v>
                </c:pt>
                <c:pt idx="128">
                  <c:v>40073</c:v>
                </c:pt>
                <c:pt idx="129">
                  <c:v>40080</c:v>
                </c:pt>
                <c:pt idx="130">
                  <c:v>40087</c:v>
                </c:pt>
                <c:pt idx="131">
                  <c:v>40094</c:v>
                </c:pt>
                <c:pt idx="132">
                  <c:v>40101</c:v>
                </c:pt>
                <c:pt idx="133">
                  <c:v>40108</c:v>
                </c:pt>
                <c:pt idx="134">
                  <c:v>40115</c:v>
                </c:pt>
                <c:pt idx="135">
                  <c:v>40122</c:v>
                </c:pt>
                <c:pt idx="136">
                  <c:v>40129</c:v>
                </c:pt>
                <c:pt idx="137">
                  <c:v>40136</c:v>
                </c:pt>
                <c:pt idx="138">
                  <c:v>40143</c:v>
                </c:pt>
                <c:pt idx="139">
                  <c:v>40150</c:v>
                </c:pt>
                <c:pt idx="140">
                  <c:v>40157</c:v>
                </c:pt>
                <c:pt idx="141">
                  <c:v>40164</c:v>
                </c:pt>
                <c:pt idx="142">
                  <c:v>40171</c:v>
                </c:pt>
                <c:pt idx="143">
                  <c:v>40178</c:v>
                </c:pt>
                <c:pt idx="144">
                  <c:v>40185</c:v>
                </c:pt>
                <c:pt idx="145">
                  <c:v>40192</c:v>
                </c:pt>
                <c:pt idx="146">
                  <c:v>40199</c:v>
                </c:pt>
                <c:pt idx="147">
                  <c:v>40206</c:v>
                </c:pt>
                <c:pt idx="148">
                  <c:v>40213</c:v>
                </c:pt>
                <c:pt idx="149">
                  <c:v>40220</c:v>
                </c:pt>
                <c:pt idx="150">
                  <c:v>40227</c:v>
                </c:pt>
                <c:pt idx="151">
                  <c:v>40234</c:v>
                </c:pt>
                <c:pt idx="152">
                  <c:v>40241</c:v>
                </c:pt>
                <c:pt idx="153">
                  <c:v>40248</c:v>
                </c:pt>
                <c:pt idx="154">
                  <c:v>40255</c:v>
                </c:pt>
                <c:pt idx="155">
                  <c:v>40262</c:v>
                </c:pt>
                <c:pt idx="156">
                  <c:v>40269</c:v>
                </c:pt>
                <c:pt idx="157">
                  <c:v>40276</c:v>
                </c:pt>
                <c:pt idx="158">
                  <c:v>40283</c:v>
                </c:pt>
                <c:pt idx="159">
                  <c:v>40290</c:v>
                </c:pt>
                <c:pt idx="160">
                  <c:v>40297</c:v>
                </c:pt>
                <c:pt idx="161">
                  <c:v>40304</c:v>
                </c:pt>
                <c:pt idx="162">
                  <c:v>40311</c:v>
                </c:pt>
                <c:pt idx="163">
                  <c:v>40318</c:v>
                </c:pt>
                <c:pt idx="164">
                  <c:v>40325</c:v>
                </c:pt>
                <c:pt idx="165">
                  <c:v>40332</c:v>
                </c:pt>
                <c:pt idx="166">
                  <c:v>40339</c:v>
                </c:pt>
                <c:pt idx="167">
                  <c:v>40346</c:v>
                </c:pt>
                <c:pt idx="168">
                  <c:v>40353</c:v>
                </c:pt>
                <c:pt idx="169">
                  <c:v>40360</c:v>
                </c:pt>
                <c:pt idx="170">
                  <c:v>40367</c:v>
                </c:pt>
                <c:pt idx="171">
                  <c:v>40374</c:v>
                </c:pt>
                <c:pt idx="172">
                  <c:v>40381</c:v>
                </c:pt>
                <c:pt idx="173">
                  <c:v>40388</c:v>
                </c:pt>
                <c:pt idx="174">
                  <c:v>40395</c:v>
                </c:pt>
                <c:pt idx="175">
                  <c:v>40402</c:v>
                </c:pt>
                <c:pt idx="176">
                  <c:v>40409</c:v>
                </c:pt>
                <c:pt idx="177">
                  <c:v>40416</c:v>
                </c:pt>
                <c:pt idx="178">
                  <c:v>40423</c:v>
                </c:pt>
                <c:pt idx="179">
                  <c:v>40430</c:v>
                </c:pt>
                <c:pt idx="180">
                  <c:v>40437</c:v>
                </c:pt>
                <c:pt idx="181">
                  <c:v>40444</c:v>
                </c:pt>
                <c:pt idx="182">
                  <c:v>40451</c:v>
                </c:pt>
                <c:pt idx="183">
                  <c:v>40458</c:v>
                </c:pt>
                <c:pt idx="184">
                  <c:v>40465</c:v>
                </c:pt>
                <c:pt idx="185">
                  <c:v>40472</c:v>
                </c:pt>
                <c:pt idx="186">
                  <c:v>40479</c:v>
                </c:pt>
                <c:pt idx="187">
                  <c:v>40486</c:v>
                </c:pt>
                <c:pt idx="188">
                  <c:v>40493</c:v>
                </c:pt>
                <c:pt idx="189">
                  <c:v>40500</c:v>
                </c:pt>
                <c:pt idx="190">
                  <c:v>40507</c:v>
                </c:pt>
                <c:pt idx="191">
                  <c:v>40514</c:v>
                </c:pt>
                <c:pt idx="192">
                  <c:v>40521</c:v>
                </c:pt>
                <c:pt idx="193">
                  <c:v>40528</c:v>
                </c:pt>
                <c:pt idx="194">
                  <c:v>40535</c:v>
                </c:pt>
                <c:pt idx="195">
                  <c:v>40542</c:v>
                </c:pt>
                <c:pt idx="196">
                  <c:v>40549</c:v>
                </c:pt>
                <c:pt idx="197">
                  <c:v>40556</c:v>
                </c:pt>
                <c:pt idx="198">
                  <c:v>40563</c:v>
                </c:pt>
                <c:pt idx="199">
                  <c:v>40570</c:v>
                </c:pt>
                <c:pt idx="200">
                  <c:v>40577</c:v>
                </c:pt>
                <c:pt idx="201">
                  <c:v>40584</c:v>
                </c:pt>
                <c:pt idx="202">
                  <c:v>40591</c:v>
                </c:pt>
                <c:pt idx="203">
                  <c:v>40598</c:v>
                </c:pt>
                <c:pt idx="204">
                  <c:v>40605</c:v>
                </c:pt>
                <c:pt idx="205">
                  <c:v>40612</c:v>
                </c:pt>
                <c:pt idx="206">
                  <c:v>40619</c:v>
                </c:pt>
                <c:pt idx="207">
                  <c:v>40626</c:v>
                </c:pt>
                <c:pt idx="208">
                  <c:v>40633</c:v>
                </c:pt>
                <c:pt idx="209">
                  <c:v>40640</c:v>
                </c:pt>
                <c:pt idx="210">
                  <c:v>40647</c:v>
                </c:pt>
                <c:pt idx="211">
                  <c:v>40654</c:v>
                </c:pt>
                <c:pt idx="212">
                  <c:v>40661</c:v>
                </c:pt>
                <c:pt idx="213">
                  <c:v>40668</c:v>
                </c:pt>
                <c:pt idx="214">
                  <c:v>40675</c:v>
                </c:pt>
                <c:pt idx="215">
                  <c:v>40682</c:v>
                </c:pt>
                <c:pt idx="216">
                  <c:v>40689</c:v>
                </c:pt>
                <c:pt idx="217">
                  <c:v>40696</c:v>
                </c:pt>
                <c:pt idx="218">
                  <c:v>40703</c:v>
                </c:pt>
                <c:pt idx="219">
                  <c:v>40710</c:v>
                </c:pt>
                <c:pt idx="220">
                  <c:v>40717</c:v>
                </c:pt>
                <c:pt idx="221">
                  <c:v>40724</c:v>
                </c:pt>
                <c:pt idx="222">
                  <c:v>40731</c:v>
                </c:pt>
                <c:pt idx="223">
                  <c:v>40738</c:v>
                </c:pt>
                <c:pt idx="224">
                  <c:v>40745</c:v>
                </c:pt>
                <c:pt idx="225">
                  <c:v>40752</c:v>
                </c:pt>
                <c:pt idx="226">
                  <c:v>40759</c:v>
                </c:pt>
                <c:pt idx="227">
                  <c:v>40766</c:v>
                </c:pt>
                <c:pt idx="228">
                  <c:v>40773</c:v>
                </c:pt>
                <c:pt idx="229">
                  <c:v>40780</c:v>
                </c:pt>
                <c:pt idx="230">
                  <c:v>40787</c:v>
                </c:pt>
                <c:pt idx="231">
                  <c:v>40794</c:v>
                </c:pt>
                <c:pt idx="232">
                  <c:v>40801</c:v>
                </c:pt>
                <c:pt idx="233">
                  <c:v>40808</c:v>
                </c:pt>
                <c:pt idx="234">
                  <c:v>40815</c:v>
                </c:pt>
                <c:pt idx="235">
                  <c:v>40822</c:v>
                </c:pt>
                <c:pt idx="236">
                  <c:v>40829</c:v>
                </c:pt>
                <c:pt idx="237">
                  <c:v>40836</c:v>
                </c:pt>
                <c:pt idx="238">
                  <c:v>40843</c:v>
                </c:pt>
                <c:pt idx="239">
                  <c:v>40850</c:v>
                </c:pt>
                <c:pt idx="240">
                  <c:v>40857</c:v>
                </c:pt>
                <c:pt idx="241">
                  <c:v>40864</c:v>
                </c:pt>
                <c:pt idx="242">
                  <c:v>40871</c:v>
                </c:pt>
                <c:pt idx="243">
                  <c:v>40878</c:v>
                </c:pt>
                <c:pt idx="244">
                  <c:v>40885</c:v>
                </c:pt>
                <c:pt idx="245">
                  <c:v>40892</c:v>
                </c:pt>
                <c:pt idx="246">
                  <c:v>40899</c:v>
                </c:pt>
                <c:pt idx="247">
                  <c:v>40906</c:v>
                </c:pt>
                <c:pt idx="248">
                  <c:v>40913</c:v>
                </c:pt>
                <c:pt idx="249">
                  <c:v>40920</c:v>
                </c:pt>
              </c:numCache>
            </c:numRef>
          </c:cat>
          <c:val>
            <c:numRef>
              <c:f>Data!$I$195:$I$444</c:f>
              <c:numCache>
                <c:formatCode>0.00%</c:formatCode>
                <c:ptCount val="250"/>
                <c:pt idx="0">
                  <c:v>0.51444816097410517</c:v>
                </c:pt>
                <c:pt idx="1">
                  <c:v>0.51449191344885459</c:v>
                </c:pt>
                <c:pt idx="2">
                  <c:v>0.514535665923604</c:v>
                </c:pt>
                <c:pt idx="3">
                  <c:v>0.48587779496277772</c:v>
                </c:pt>
                <c:pt idx="4">
                  <c:v>0.48592154743752713</c:v>
                </c:pt>
                <c:pt idx="5">
                  <c:v>0.48596529991227633</c:v>
                </c:pt>
                <c:pt idx="6">
                  <c:v>0.48600905238702574</c:v>
                </c:pt>
                <c:pt idx="7">
                  <c:v>0.44221282516292337</c:v>
                </c:pt>
                <c:pt idx="8">
                  <c:v>0.44225657763767279</c:v>
                </c:pt>
                <c:pt idx="9">
                  <c:v>0.44230033011242198</c:v>
                </c:pt>
                <c:pt idx="10">
                  <c:v>0.44234408258717139</c:v>
                </c:pt>
                <c:pt idx="11">
                  <c:v>0.44238783506192081</c:v>
                </c:pt>
                <c:pt idx="12">
                  <c:v>0.45625736955746565</c:v>
                </c:pt>
                <c:pt idx="13">
                  <c:v>0.45630112203221507</c:v>
                </c:pt>
                <c:pt idx="14">
                  <c:v>0.45634487450696448</c:v>
                </c:pt>
                <c:pt idx="15">
                  <c:v>0.45638862698171367</c:v>
                </c:pt>
                <c:pt idx="16">
                  <c:v>0.52731138855041504</c:v>
                </c:pt>
                <c:pt idx="17">
                  <c:v>0.52735514102516423</c:v>
                </c:pt>
                <c:pt idx="18">
                  <c:v>0.52739889349991365</c:v>
                </c:pt>
                <c:pt idx="19">
                  <c:v>0.52744264597466306</c:v>
                </c:pt>
                <c:pt idx="20">
                  <c:v>0.55995073471343226</c:v>
                </c:pt>
                <c:pt idx="21">
                  <c:v>0.55995073471343226</c:v>
                </c:pt>
                <c:pt idx="22">
                  <c:v>0.55995073471343226</c:v>
                </c:pt>
                <c:pt idx="23">
                  <c:v>0.55995073471343226</c:v>
                </c:pt>
                <c:pt idx="24">
                  <c:v>0.55995073471343226</c:v>
                </c:pt>
                <c:pt idx="25">
                  <c:v>0.59079622941172616</c:v>
                </c:pt>
                <c:pt idx="26">
                  <c:v>0.59083998188647557</c:v>
                </c:pt>
                <c:pt idx="27">
                  <c:v>0.59088373436122499</c:v>
                </c:pt>
                <c:pt idx="28">
                  <c:v>0.59092748683597418</c:v>
                </c:pt>
                <c:pt idx="29">
                  <c:v>0.60029051643233577</c:v>
                </c:pt>
                <c:pt idx="30">
                  <c:v>0.60033426890708519</c:v>
                </c:pt>
                <c:pt idx="31">
                  <c:v>0.6003780213818346</c:v>
                </c:pt>
                <c:pt idx="32">
                  <c:v>0.6004217738565838</c:v>
                </c:pt>
                <c:pt idx="33">
                  <c:v>0.60046552633133321</c:v>
                </c:pt>
                <c:pt idx="34">
                  <c:v>0.63555501108031431</c:v>
                </c:pt>
                <c:pt idx="35">
                  <c:v>0.63559876355506373</c:v>
                </c:pt>
                <c:pt idx="36">
                  <c:v>0.63564251602981314</c:v>
                </c:pt>
                <c:pt idx="37">
                  <c:v>0.63568626850456234</c:v>
                </c:pt>
                <c:pt idx="38">
                  <c:v>0.73111041593290138</c:v>
                </c:pt>
                <c:pt idx="39">
                  <c:v>0.73115416840765057</c:v>
                </c:pt>
                <c:pt idx="40">
                  <c:v>0.73119792088239999</c:v>
                </c:pt>
                <c:pt idx="41">
                  <c:v>0.72629764371047245</c:v>
                </c:pt>
                <c:pt idx="42">
                  <c:v>0.72629764371047245</c:v>
                </c:pt>
                <c:pt idx="43">
                  <c:v>0.70634651522476744</c:v>
                </c:pt>
                <c:pt idx="44">
                  <c:v>0.68447027785009107</c:v>
                </c:pt>
                <c:pt idx="45">
                  <c:v>0.64133033774722903</c:v>
                </c:pt>
                <c:pt idx="46">
                  <c:v>0.62437712883134955</c:v>
                </c:pt>
                <c:pt idx="47">
                  <c:v>0.70569022810352711</c:v>
                </c:pt>
                <c:pt idx="48">
                  <c:v>0.61468508062487293</c:v>
                </c:pt>
                <c:pt idx="49">
                  <c:v>0.52494875491394999</c:v>
                </c:pt>
                <c:pt idx="50">
                  <c:v>0.62680451613044363</c:v>
                </c:pt>
                <c:pt idx="51">
                  <c:v>0.55833189314770637</c:v>
                </c:pt>
                <c:pt idx="52">
                  <c:v>0.58138944734061537</c:v>
                </c:pt>
                <c:pt idx="53">
                  <c:v>0.61044109057418572</c:v>
                </c:pt>
                <c:pt idx="54">
                  <c:v>0.50276625021602794</c:v>
                </c:pt>
                <c:pt idx="55">
                  <c:v>0.52337366582297329</c:v>
                </c:pt>
                <c:pt idx="56">
                  <c:v>0.59543399173515765</c:v>
                </c:pt>
                <c:pt idx="57">
                  <c:v>0.56874498213805236</c:v>
                </c:pt>
                <c:pt idx="58">
                  <c:v>0.58764605122977276</c:v>
                </c:pt>
                <c:pt idx="59">
                  <c:v>0.63117976360537908</c:v>
                </c:pt>
                <c:pt idx="60">
                  <c:v>0.6919957035069797</c:v>
                </c:pt>
                <c:pt idx="61">
                  <c:v>0.68573909961782231</c:v>
                </c:pt>
                <c:pt idx="62">
                  <c:v>0.65467484254578157</c:v>
                </c:pt>
                <c:pt idx="63">
                  <c:v>0.69190819855748109</c:v>
                </c:pt>
                <c:pt idx="64">
                  <c:v>0.64837448618187477</c:v>
                </c:pt>
                <c:pt idx="65">
                  <c:v>0.60991606087719341</c:v>
                </c:pt>
                <c:pt idx="66">
                  <c:v>0.56905124946129781</c:v>
                </c:pt>
                <c:pt idx="67">
                  <c:v>0.57515253206509498</c:v>
                </c:pt>
                <c:pt idx="68">
                  <c:v>0.57706801540962194</c:v>
                </c:pt>
                <c:pt idx="69">
                  <c:v>0.63026446183362261</c:v>
                </c:pt>
                <c:pt idx="70">
                  <c:v>0.61902838879324107</c:v>
                </c:pt>
                <c:pt idx="71">
                  <c:v>0.6120135545166776</c:v>
                </c:pt>
                <c:pt idx="72">
                  <c:v>0.6184071036518004</c:v>
                </c:pt>
                <c:pt idx="73">
                  <c:v>0.58582419818120979</c:v>
                </c:pt>
                <c:pt idx="74">
                  <c:v>0.53593281369977519</c:v>
                </c:pt>
                <c:pt idx="75">
                  <c:v>0.5357136138012808</c:v>
                </c:pt>
                <c:pt idx="76">
                  <c:v>0.48988858432305071</c:v>
                </c:pt>
                <c:pt idx="77">
                  <c:v>0.51281663119070187</c:v>
                </c:pt>
                <c:pt idx="78">
                  <c:v>0.40752673823113139</c:v>
                </c:pt>
                <c:pt idx="79">
                  <c:v>0.14238499115106196</c:v>
                </c:pt>
                <c:pt idx="80">
                  <c:v>0.19444256065733723</c:v>
                </c:pt>
                <c:pt idx="81">
                  <c:v>0.14062176641866309</c:v>
                </c:pt>
                <c:pt idx="82">
                  <c:v>0.17663705353334058</c:v>
                </c:pt>
                <c:pt idx="83">
                  <c:v>0.16605464246571455</c:v>
                </c:pt>
                <c:pt idx="84">
                  <c:v>0.15253294014442687</c:v>
                </c:pt>
                <c:pt idx="85">
                  <c:v>0.14322328856725974</c:v>
                </c:pt>
                <c:pt idx="86">
                  <c:v>0.1218025144547239</c:v>
                </c:pt>
                <c:pt idx="87">
                  <c:v>0.12587499480439379</c:v>
                </c:pt>
                <c:pt idx="88">
                  <c:v>0.13324291155218471</c:v>
                </c:pt>
                <c:pt idx="89">
                  <c:v>0.14219466788590251</c:v>
                </c:pt>
                <c:pt idx="90">
                  <c:v>0.13749171437509444</c:v>
                </c:pt>
                <c:pt idx="91">
                  <c:v>0.14583049853757357</c:v>
                </c:pt>
                <c:pt idx="92">
                  <c:v>0.13495363331488441</c:v>
                </c:pt>
                <c:pt idx="93">
                  <c:v>9.3515664479772109E-2</c:v>
                </c:pt>
                <c:pt idx="94">
                  <c:v>2.2528586773189252E-2</c:v>
                </c:pt>
                <c:pt idx="95">
                  <c:v>3.7589938680906654E-2</c:v>
                </c:pt>
                <c:pt idx="96">
                  <c:v>5.9481051896997927E-2</c:v>
                </c:pt>
                <c:pt idx="97">
                  <c:v>2.7541745329970224E-2</c:v>
                </c:pt>
                <c:pt idx="98">
                  <c:v>2.6268110790016674E-2</c:v>
                </c:pt>
                <c:pt idx="99">
                  <c:v>-3.7017656311185143E-2</c:v>
                </c:pt>
                <c:pt idx="100">
                  <c:v>-6.6079362613947867E-2</c:v>
                </c:pt>
                <c:pt idx="101">
                  <c:v>-6.4894108072987899E-2</c:v>
                </c:pt>
                <c:pt idx="102">
                  <c:v>-2.3823660025770188E-2</c:v>
                </c:pt>
                <c:pt idx="103">
                  <c:v>4.6139172246930427E-2</c:v>
                </c:pt>
                <c:pt idx="104">
                  <c:v>5.1728550896161796E-3</c:v>
                </c:pt>
                <c:pt idx="105">
                  <c:v>0.11809142954648388</c:v>
                </c:pt>
                <c:pt idx="106">
                  <c:v>0.13955683118326401</c:v>
                </c:pt>
                <c:pt idx="107">
                  <c:v>0.12226060286534968</c:v>
                </c:pt>
                <c:pt idx="108">
                  <c:v>0.16809569541277192</c:v>
                </c:pt>
                <c:pt idx="109">
                  <c:v>0.19854610526407912</c:v>
                </c:pt>
                <c:pt idx="110">
                  <c:v>0.17697416635128449</c:v>
                </c:pt>
                <c:pt idx="111">
                  <c:v>0.19346425532194167</c:v>
                </c:pt>
                <c:pt idx="112">
                  <c:v>0.20693914249524736</c:v>
                </c:pt>
                <c:pt idx="113">
                  <c:v>0.23525793177676624</c:v>
                </c:pt>
                <c:pt idx="114">
                  <c:v>0.3134759809851746</c:v>
                </c:pt>
                <c:pt idx="115">
                  <c:v>0.23817272164456815</c:v>
                </c:pt>
                <c:pt idx="116">
                  <c:v>0.23416324485853734</c:v>
                </c:pt>
                <c:pt idx="117">
                  <c:v>0.23878700639004902</c:v>
                </c:pt>
                <c:pt idx="118">
                  <c:v>0.18114180833353388</c:v>
                </c:pt>
                <c:pt idx="119">
                  <c:v>0.25472953313921831</c:v>
                </c:pt>
                <c:pt idx="120">
                  <c:v>0.29956138144063793</c:v>
                </c:pt>
                <c:pt idx="121">
                  <c:v>0.30895853796730388</c:v>
                </c:pt>
                <c:pt idx="122">
                  <c:v>0.31480736879179738</c:v>
                </c:pt>
                <c:pt idx="123">
                  <c:v>0.34893998691801009</c:v>
                </c:pt>
                <c:pt idx="124">
                  <c:v>0.33205990151317955</c:v>
                </c:pt>
                <c:pt idx="125">
                  <c:v>0.34346086450514868</c:v>
                </c:pt>
                <c:pt idx="126">
                  <c:v>0.34302859005462505</c:v>
                </c:pt>
                <c:pt idx="127">
                  <c:v>0.3920943653375395</c:v>
                </c:pt>
                <c:pt idx="128">
                  <c:v>0.41578974179477024</c:v>
                </c:pt>
                <c:pt idx="129">
                  <c:v>0.38379408335283971</c:v>
                </c:pt>
                <c:pt idx="130">
                  <c:v>0.36203685270948149</c:v>
                </c:pt>
                <c:pt idx="131">
                  <c:v>0.41991306383267313</c:v>
                </c:pt>
                <c:pt idx="132">
                  <c:v>0.45357884305331031</c:v>
                </c:pt>
                <c:pt idx="133">
                  <c:v>0.44030652983809415</c:v>
                </c:pt>
                <c:pt idx="134">
                  <c:v>0.41744717435579948</c:v>
                </c:pt>
                <c:pt idx="135">
                  <c:v>0.42757062196330486</c:v>
                </c:pt>
                <c:pt idx="136">
                  <c:v>0.43659631997934878</c:v>
                </c:pt>
                <c:pt idx="137">
                  <c:v>0.441231894679043</c:v>
                </c:pt>
                <c:pt idx="138">
                  <c:v>0.45095806981582398</c:v>
                </c:pt>
                <c:pt idx="139">
                  <c:v>0.4622995237543126</c:v>
                </c:pt>
                <c:pt idx="140">
                  <c:v>0.46549832974927652</c:v>
                </c:pt>
                <c:pt idx="141">
                  <c:v>0.46124558920363956</c:v>
                </c:pt>
                <c:pt idx="142">
                  <c:v>0.49601580339387952</c:v>
                </c:pt>
                <c:pt idx="143">
                  <c:v>0.48098370964107651</c:v>
                </c:pt>
                <c:pt idx="144">
                  <c:v>0.53824670445422096</c:v>
                </c:pt>
                <c:pt idx="145">
                  <c:v>0.55126836849209315</c:v>
                </c:pt>
                <c:pt idx="146">
                  <c:v>0.51505658638816776</c:v>
                </c:pt>
                <c:pt idx="147">
                  <c:v>0.41998544923947256</c:v>
                </c:pt>
                <c:pt idx="148">
                  <c:v>0.4440342406867388</c:v>
                </c:pt>
                <c:pt idx="149">
                  <c:v>0.48644570208502436</c:v>
                </c:pt>
                <c:pt idx="150">
                  <c:v>0.47029122565995163</c:v>
                </c:pt>
                <c:pt idx="151">
                  <c:v>0.4992559628054527</c:v>
                </c:pt>
                <c:pt idx="152">
                  <c:v>0.51521073109006021</c:v>
                </c:pt>
                <c:pt idx="153">
                  <c:v>0.53028332463927175</c:v>
                </c:pt>
                <c:pt idx="154">
                  <c:v>0.54535591818848328</c:v>
                </c:pt>
                <c:pt idx="155">
                  <c:v>0.56042851173769526</c:v>
                </c:pt>
                <c:pt idx="156">
                  <c:v>0.57287609299150999</c:v>
                </c:pt>
                <c:pt idx="157">
                  <c:v>0.58244956980379237</c:v>
                </c:pt>
                <c:pt idx="158">
                  <c:v>0.6262834228873575</c:v>
                </c:pt>
                <c:pt idx="159">
                  <c:v>0.62968520444437637</c:v>
                </c:pt>
                <c:pt idx="160">
                  <c:v>0.58199549393262573</c:v>
                </c:pt>
                <c:pt idx="161">
                  <c:v>0.45944596766254597</c:v>
                </c:pt>
                <c:pt idx="162">
                  <c:v>0.50953257043601541</c:v>
                </c:pt>
                <c:pt idx="163">
                  <c:v>0.4730666328314197</c:v>
                </c:pt>
                <c:pt idx="164">
                  <c:v>0.43660025770207644</c:v>
                </c:pt>
                <c:pt idx="165">
                  <c:v>0.40283997138588168</c:v>
                </c:pt>
                <c:pt idx="166">
                  <c:v>0.43735192521827027</c:v>
                </c:pt>
                <c:pt idx="167">
                  <c:v>0.46883226832517733</c:v>
                </c:pt>
                <c:pt idx="168">
                  <c:v>0.40937712139342874</c:v>
                </c:pt>
                <c:pt idx="169">
                  <c:v>0.41644208944318417</c:v>
                </c:pt>
                <c:pt idx="170">
                  <c:v>0.43998864404517879</c:v>
                </c:pt>
                <c:pt idx="171">
                  <c:v>0.44485996801694094</c:v>
                </c:pt>
                <c:pt idx="172">
                  <c:v>0.45199098261495441</c:v>
                </c:pt>
                <c:pt idx="173">
                  <c:v>0.47708756489038917</c:v>
                </c:pt>
                <c:pt idx="174">
                  <c:v>0.44015295865172366</c:v>
                </c:pt>
                <c:pt idx="175">
                  <c:v>0.40321799451781515</c:v>
                </c:pt>
                <c:pt idx="176">
                  <c:v>0.36628341190548586</c:v>
                </c:pt>
                <c:pt idx="177">
                  <c:v>0.44609232253449349</c:v>
                </c:pt>
                <c:pt idx="178">
                  <c:v>0.43858502965323987</c:v>
                </c:pt>
                <c:pt idx="179">
                  <c:v>0.45095357206141973</c:v>
                </c:pt>
                <c:pt idx="180">
                  <c:v>0.43519674219073012</c:v>
                </c:pt>
                <c:pt idx="181">
                  <c:v>0.45816179402647483</c:v>
                </c:pt>
                <c:pt idx="182">
                  <c:v>0.46572542828203733</c:v>
                </c:pt>
                <c:pt idx="183">
                  <c:v>0.49394145087581531</c:v>
                </c:pt>
                <c:pt idx="184">
                  <c:v>0.5033612020554914</c:v>
                </c:pt>
                <c:pt idx="185">
                  <c:v>0.49195938895293767</c:v>
                </c:pt>
                <c:pt idx="186">
                  <c:v>0.48725871144586619</c:v>
                </c:pt>
                <c:pt idx="187">
                  <c:v>0.60381082086205473</c:v>
                </c:pt>
                <c:pt idx="188">
                  <c:v>0.61318332549434817</c:v>
                </c:pt>
                <c:pt idx="189">
                  <c:v>0.61184116976616498</c:v>
                </c:pt>
                <c:pt idx="190">
                  <c:v>0.61027657295615723</c:v>
                </c:pt>
                <c:pt idx="191">
                  <c:v>0.61492702349726613</c:v>
                </c:pt>
                <c:pt idx="192">
                  <c:v>0.61957747403837482</c:v>
                </c:pt>
                <c:pt idx="193">
                  <c:v>0.62422792457948351</c:v>
                </c:pt>
                <c:pt idx="194">
                  <c:v>0.62887871332722245</c:v>
                </c:pt>
                <c:pt idx="195">
                  <c:v>0.63314568655289571</c:v>
                </c:pt>
                <c:pt idx="196">
                  <c:v>0.65446699466438552</c:v>
                </c:pt>
                <c:pt idx="197">
                  <c:v>0.6836389808298533</c:v>
                </c:pt>
                <c:pt idx="198">
                  <c:v>0.67060759717971541</c:v>
                </c:pt>
                <c:pt idx="199">
                  <c:v>0.68414009017385058</c:v>
                </c:pt>
                <c:pt idx="200">
                  <c:v>0.71529035586075307</c:v>
                </c:pt>
                <c:pt idx="201">
                  <c:v>0.70616756760304278</c:v>
                </c:pt>
                <c:pt idx="202">
                  <c:v>0.69608254123123858</c:v>
                </c:pt>
                <c:pt idx="203">
                  <c:v>0.69719393503195026</c:v>
                </c:pt>
                <c:pt idx="204">
                  <c:v>0.70372592049737803</c:v>
                </c:pt>
                <c:pt idx="205">
                  <c:v>0.69194465661964011</c:v>
                </c:pt>
                <c:pt idx="206">
                  <c:v>0.65646830592605387</c:v>
                </c:pt>
                <c:pt idx="207">
                  <c:v>0.70660311080095495</c:v>
                </c:pt>
                <c:pt idx="208">
                  <c:v>0.74660482108519255</c:v>
                </c:pt>
                <c:pt idx="209">
                  <c:v>0.73642125801490654</c:v>
                </c:pt>
                <c:pt idx="210">
                  <c:v>0.72800399022569717</c:v>
                </c:pt>
                <c:pt idx="211">
                  <c:v>0.76121211856045612</c:v>
                </c:pt>
                <c:pt idx="212">
                  <c:v>0.77298153426803218</c:v>
                </c:pt>
                <c:pt idx="213">
                  <c:v>0.72721732072970369</c:v>
                </c:pt>
                <c:pt idx="214">
                  <c:v>0.75140937659286355</c:v>
                </c:pt>
                <c:pt idx="215">
                  <c:v>0.74491738438955468</c:v>
                </c:pt>
                <c:pt idx="216">
                  <c:v>0.67632837982398408</c:v>
                </c:pt>
                <c:pt idx="217">
                  <c:v>0.66540688707705042</c:v>
                </c:pt>
                <c:pt idx="218">
                  <c:v>0.62527274198946881</c:v>
                </c:pt>
                <c:pt idx="219">
                  <c:v>0.61068041661106465</c:v>
                </c:pt>
                <c:pt idx="220">
                  <c:v>0.637903206400112</c:v>
                </c:pt>
                <c:pt idx="221">
                  <c:v>0.66729349378824265</c:v>
                </c:pt>
                <c:pt idx="222">
                  <c:v>0.70030998628359931</c:v>
                </c:pt>
                <c:pt idx="223">
                  <c:v>0.65409337215636265</c:v>
                </c:pt>
                <c:pt idx="224">
                  <c:v>0.6773285613967539</c:v>
                </c:pt>
                <c:pt idx="225">
                  <c:v>0.61456826151729227</c:v>
                </c:pt>
                <c:pt idx="226">
                  <c:v>0.51306252009879327</c:v>
                </c:pt>
                <c:pt idx="227">
                  <c:v>0.47628637744822444</c:v>
                </c:pt>
                <c:pt idx="228">
                  <c:v>0.44645156491664051</c:v>
                </c:pt>
                <c:pt idx="229">
                  <c:v>0.47264442145008845</c:v>
                </c:pt>
                <c:pt idx="230">
                  <c:v>0.52162487940724156</c:v>
                </c:pt>
                <c:pt idx="231">
                  <c:v>0.50374674317516099</c:v>
                </c:pt>
                <c:pt idx="232">
                  <c:v>0.52656453380644352</c:v>
                </c:pt>
                <c:pt idx="233">
                  <c:v>0.43142083974124801</c:v>
                </c:pt>
                <c:pt idx="234">
                  <c:v>0.4495129255748529</c:v>
                </c:pt>
                <c:pt idx="235">
                  <c:v>0.49451978377526973</c:v>
                </c:pt>
                <c:pt idx="236">
                  <c:v>0.57901762568445281</c:v>
                </c:pt>
                <c:pt idx="237">
                  <c:v>0.57510921711509311</c:v>
                </c:pt>
                <c:pt idx="238">
                  <c:v>0.67692297595582751</c:v>
                </c:pt>
                <c:pt idx="239">
                  <c:v>0.66063961742836108</c:v>
                </c:pt>
                <c:pt idx="240">
                  <c:v>0.6297551830275403</c:v>
                </c:pt>
                <c:pt idx="241">
                  <c:v>0.61430268399556365</c:v>
                </c:pt>
                <c:pt idx="242">
                  <c:v>0.54937357394277631</c:v>
                </c:pt>
                <c:pt idx="243">
                  <c:v>0.65205888208051777</c:v>
                </c:pt>
                <c:pt idx="244">
                  <c:v>0.64008164211788232</c:v>
                </c:pt>
                <c:pt idx="245">
                  <c:v>0.6127468459934764</c:v>
                </c:pt>
                <c:pt idx="246">
                  <c:v>0.66614674142506192</c:v>
                </c:pt>
                <c:pt idx="247">
                  <c:v>0.67565721686132885</c:v>
                </c:pt>
                <c:pt idx="248">
                  <c:v>0.70255492576298839</c:v>
                </c:pt>
                <c:pt idx="249">
                  <c:v>0.7200401647718202</c:v>
                </c:pt>
              </c:numCache>
            </c:numRef>
          </c:val>
        </c:ser>
        <c:ser>
          <c:idx val="1"/>
          <c:order val="1"/>
          <c:tx>
            <c:v>S&amp;P 500</c:v>
          </c:tx>
          <c:spPr>
            <a:ln w="38100">
              <a:solidFill>
                <a:srgbClr val="000000"/>
              </a:solidFill>
              <a:prstDash val="solid"/>
            </a:ln>
          </c:spPr>
          <c:marker>
            <c:symbol val="none"/>
          </c:marker>
          <c:cat>
            <c:numRef>
              <c:f>Data!$B$195:$B$444</c:f>
              <c:numCache>
                <c:formatCode>m/d/yyyy</c:formatCode>
                <c:ptCount val="250"/>
                <c:pt idx="0">
                  <c:v>39087</c:v>
                </c:pt>
                <c:pt idx="1">
                  <c:v>39094</c:v>
                </c:pt>
                <c:pt idx="2">
                  <c:v>39101</c:v>
                </c:pt>
                <c:pt idx="3">
                  <c:v>39108</c:v>
                </c:pt>
                <c:pt idx="4">
                  <c:v>39115</c:v>
                </c:pt>
                <c:pt idx="5">
                  <c:v>39122</c:v>
                </c:pt>
                <c:pt idx="6">
                  <c:v>39129</c:v>
                </c:pt>
                <c:pt idx="7">
                  <c:v>39136</c:v>
                </c:pt>
                <c:pt idx="8">
                  <c:v>39143</c:v>
                </c:pt>
                <c:pt idx="9">
                  <c:v>39150</c:v>
                </c:pt>
                <c:pt idx="10">
                  <c:v>39157</c:v>
                </c:pt>
                <c:pt idx="11">
                  <c:v>39164</c:v>
                </c:pt>
                <c:pt idx="12">
                  <c:v>39171</c:v>
                </c:pt>
                <c:pt idx="13">
                  <c:v>39178</c:v>
                </c:pt>
                <c:pt idx="14">
                  <c:v>39185</c:v>
                </c:pt>
                <c:pt idx="15">
                  <c:v>39192</c:v>
                </c:pt>
                <c:pt idx="16">
                  <c:v>39199</c:v>
                </c:pt>
                <c:pt idx="17">
                  <c:v>39206</c:v>
                </c:pt>
                <c:pt idx="18">
                  <c:v>39213</c:v>
                </c:pt>
                <c:pt idx="19">
                  <c:v>39220</c:v>
                </c:pt>
                <c:pt idx="20">
                  <c:v>39227</c:v>
                </c:pt>
                <c:pt idx="21">
                  <c:v>39234</c:v>
                </c:pt>
                <c:pt idx="22">
                  <c:v>39241</c:v>
                </c:pt>
                <c:pt idx="23">
                  <c:v>39248</c:v>
                </c:pt>
                <c:pt idx="24">
                  <c:v>39255</c:v>
                </c:pt>
                <c:pt idx="25">
                  <c:v>39262</c:v>
                </c:pt>
                <c:pt idx="26">
                  <c:v>39269</c:v>
                </c:pt>
                <c:pt idx="27">
                  <c:v>39276</c:v>
                </c:pt>
                <c:pt idx="28">
                  <c:v>39283</c:v>
                </c:pt>
                <c:pt idx="29">
                  <c:v>39290</c:v>
                </c:pt>
                <c:pt idx="30">
                  <c:v>39297</c:v>
                </c:pt>
                <c:pt idx="31">
                  <c:v>39304</c:v>
                </c:pt>
                <c:pt idx="32">
                  <c:v>39311</c:v>
                </c:pt>
                <c:pt idx="33">
                  <c:v>39318</c:v>
                </c:pt>
                <c:pt idx="34">
                  <c:v>39325</c:v>
                </c:pt>
                <c:pt idx="35">
                  <c:v>39332</c:v>
                </c:pt>
                <c:pt idx="36">
                  <c:v>39339</c:v>
                </c:pt>
                <c:pt idx="37">
                  <c:v>39346</c:v>
                </c:pt>
                <c:pt idx="38">
                  <c:v>39353</c:v>
                </c:pt>
                <c:pt idx="39">
                  <c:v>39360</c:v>
                </c:pt>
                <c:pt idx="40">
                  <c:v>39367</c:v>
                </c:pt>
                <c:pt idx="41">
                  <c:v>39374</c:v>
                </c:pt>
                <c:pt idx="42">
                  <c:v>39381</c:v>
                </c:pt>
                <c:pt idx="43">
                  <c:v>39388</c:v>
                </c:pt>
                <c:pt idx="44">
                  <c:v>39405</c:v>
                </c:pt>
                <c:pt idx="45">
                  <c:v>39417</c:v>
                </c:pt>
                <c:pt idx="46">
                  <c:v>39438</c:v>
                </c:pt>
                <c:pt idx="47">
                  <c:v>39452</c:v>
                </c:pt>
                <c:pt idx="48">
                  <c:v>39459</c:v>
                </c:pt>
                <c:pt idx="49">
                  <c:v>39466</c:v>
                </c:pt>
                <c:pt idx="50">
                  <c:v>39480</c:v>
                </c:pt>
                <c:pt idx="51">
                  <c:v>39487</c:v>
                </c:pt>
                <c:pt idx="52">
                  <c:v>39496</c:v>
                </c:pt>
                <c:pt idx="53">
                  <c:v>39503</c:v>
                </c:pt>
                <c:pt idx="54">
                  <c:v>39510</c:v>
                </c:pt>
                <c:pt idx="55">
                  <c:v>39517</c:v>
                </c:pt>
                <c:pt idx="56">
                  <c:v>39531</c:v>
                </c:pt>
                <c:pt idx="57">
                  <c:v>39538</c:v>
                </c:pt>
                <c:pt idx="58">
                  <c:v>39549</c:v>
                </c:pt>
                <c:pt idx="59">
                  <c:v>39556</c:v>
                </c:pt>
                <c:pt idx="60">
                  <c:v>39571</c:v>
                </c:pt>
                <c:pt idx="61">
                  <c:v>39585</c:v>
                </c:pt>
                <c:pt idx="62">
                  <c:v>39592</c:v>
                </c:pt>
                <c:pt idx="63">
                  <c:v>39599</c:v>
                </c:pt>
                <c:pt idx="64">
                  <c:v>39606</c:v>
                </c:pt>
                <c:pt idx="65">
                  <c:v>39620</c:v>
                </c:pt>
                <c:pt idx="66">
                  <c:v>39639</c:v>
                </c:pt>
                <c:pt idx="67">
                  <c:v>39646</c:v>
                </c:pt>
                <c:pt idx="68">
                  <c:v>39653</c:v>
                </c:pt>
                <c:pt idx="69">
                  <c:v>39660</c:v>
                </c:pt>
                <c:pt idx="70">
                  <c:v>39667</c:v>
                </c:pt>
                <c:pt idx="71">
                  <c:v>39674</c:v>
                </c:pt>
                <c:pt idx="72">
                  <c:v>39681</c:v>
                </c:pt>
                <c:pt idx="73">
                  <c:v>39688</c:v>
                </c:pt>
                <c:pt idx="74">
                  <c:v>39695</c:v>
                </c:pt>
                <c:pt idx="75">
                  <c:v>39702</c:v>
                </c:pt>
                <c:pt idx="76">
                  <c:v>39709</c:v>
                </c:pt>
                <c:pt idx="77">
                  <c:v>39716</c:v>
                </c:pt>
                <c:pt idx="78">
                  <c:v>39723</c:v>
                </c:pt>
                <c:pt idx="79">
                  <c:v>39730</c:v>
                </c:pt>
                <c:pt idx="80">
                  <c:v>39737</c:v>
                </c:pt>
                <c:pt idx="81">
                  <c:v>39744</c:v>
                </c:pt>
                <c:pt idx="82">
                  <c:v>39751</c:v>
                </c:pt>
                <c:pt idx="83">
                  <c:v>39758</c:v>
                </c:pt>
                <c:pt idx="84">
                  <c:v>39765</c:v>
                </c:pt>
                <c:pt idx="85">
                  <c:v>39772</c:v>
                </c:pt>
                <c:pt idx="86">
                  <c:v>39779</c:v>
                </c:pt>
                <c:pt idx="87">
                  <c:v>39786</c:v>
                </c:pt>
                <c:pt idx="88">
                  <c:v>39793</c:v>
                </c:pt>
                <c:pt idx="89">
                  <c:v>39800</c:v>
                </c:pt>
                <c:pt idx="90">
                  <c:v>39807</c:v>
                </c:pt>
                <c:pt idx="91">
                  <c:v>39814</c:v>
                </c:pt>
                <c:pt idx="92">
                  <c:v>39821</c:v>
                </c:pt>
                <c:pt idx="93">
                  <c:v>39828</c:v>
                </c:pt>
                <c:pt idx="94">
                  <c:v>39835</c:v>
                </c:pt>
                <c:pt idx="95">
                  <c:v>39842</c:v>
                </c:pt>
                <c:pt idx="96">
                  <c:v>39849</c:v>
                </c:pt>
                <c:pt idx="97">
                  <c:v>39856</c:v>
                </c:pt>
                <c:pt idx="98">
                  <c:v>39863</c:v>
                </c:pt>
                <c:pt idx="99">
                  <c:v>39870</c:v>
                </c:pt>
                <c:pt idx="100">
                  <c:v>39877</c:v>
                </c:pt>
                <c:pt idx="101">
                  <c:v>39884</c:v>
                </c:pt>
                <c:pt idx="102">
                  <c:v>39891</c:v>
                </c:pt>
                <c:pt idx="103">
                  <c:v>39898</c:v>
                </c:pt>
                <c:pt idx="104">
                  <c:v>39905</c:v>
                </c:pt>
                <c:pt idx="105">
                  <c:v>39912</c:v>
                </c:pt>
                <c:pt idx="106">
                  <c:v>39919</c:v>
                </c:pt>
                <c:pt idx="107">
                  <c:v>39926</c:v>
                </c:pt>
                <c:pt idx="108">
                  <c:v>39933</c:v>
                </c:pt>
                <c:pt idx="109">
                  <c:v>39940</c:v>
                </c:pt>
                <c:pt idx="110">
                  <c:v>39947</c:v>
                </c:pt>
                <c:pt idx="111">
                  <c:v>39954</c:v>
                </c:pt>
                <c:pt idx="112">
                  <c:v>39961</c:v>
                </c:pt>
                <c:pt idx="113">
                  <c:v>39968</c:v>
                </c:pt>
                <c:pt idx="114">
                  <c:v>39975</c:v>
                </c:pt>
                <c:pt idx="115">
                  <c:v>39982</c:v>
                </c:pt>
                <c:pt idx="116">
                  <c:v>39989</c:v>
                </c:pt>
                <c:pt idx="117">
                  <c:v>39996</c:v>
                </c:pt>
                <c:pt idx="118">
                  <c:v>40003</c:v>
                </c:pt>
                <c:pt idx="119">
                  <c:v>40010</c:v>
                </c:pt>
                <c:pt idx="120">
                  <c:v>40017</c:v>
                </c:pt>
                <c:pt idx="121">
                  <c:v>40024</c:v>
                </c:pt>
                <c:pt idx="122">
                  <c:v>40031</c:v>
                </c:pt>
                <c:pt idx="123">
                  <c:v>40038</c:v>
                </c:pt>
                <c:pt idx="124">
                  <c:v>40045</c:v>
                </c:pt>
                <c:pt idx="125">
                  <c:v>40052</c:v>
                </c:pt>
                <c:pt idx="126">
                  <c:v>40059</c:v>
                </c:pt>
                <c:pt idx="127">
                  <c:v>40066</c:v>
                </c:pt>
                <c:pt idx="128">
                  <c:v>40073</c:v>
                </c:pt>
                <c:pt idx="129">
                  <c:v>40080</c:v>
                </c:pt>
                <c:pt idx="130">
                  <c:v>40087</c:v>
                </c:pt>
                <c:pt idx="131">
                  <c:v>40094</c:v>
                </c:pt>
                <c:pt idx="132">
                  <c:v>40101</c:v>
                </c:pt>
                <c:pt idx="133">
                  <c:v>40108</c:v>
                </c:pt>
                <c:pt idx="134">
                  <c:v>40115</c:v>
                </c:pt>
                <c:pt idx="135">
                  <c:v>40122</c:v>
                </c:pt>
                <c:pt idx="136">
                  <c:v>40129</c:v>
                </c:pt>
                <c:pt idx="137">
                  <c:v>40136</c:v>
                </c:pt>
                <c:pt idx="138">
                  <c:v>40143</c:v>
                </c:pt>
                <c:pt idx="139">
                  <c:v>40150</c:v>
                </c:pt>
                <c:pt idx="140">
                  <c:v>40157</c:v>
                </c:pt>
                <c:pt idx="141">
                  <c:v>40164</c:v>
                </c:pt>
                <c:pt idx="142">
                  <c:v>40171</c:v>
                </c:pt>
                <c:pt idx="143">
                  <c:v>40178</c:v>
                </c:pt>
                <c:pt idx="144">
                  <c:v>40185</c:v>
                </c:pt>
                <c:pt idx="145">
                  <c:v>40192</c:v>
                </c:pt>
                <c:pt idx="146">
                  <c:v>40199</c:v>
                </c:pt>
                <c:pt idx="147">
                  <c:v>40206</c:v>
                </c:pt>
                <c:pt idx="148">
                  <c:v>40213</c:v>
                </c:pt>
                <c:pt idx="149">
                  <c:v>40220</c:v>
                </c:pt>
                <c:pt idx="150">
                  <c:v>40227</c:v>
                </c:pt>
                <c:pt idx="151">
                  <c:v>40234</c:v>
                </c:pt>
                <c:pt idx="152">
                  <c:v>40241</c:v>
                </c:pt>
                <c:pt idx="153">
                  <c:v>40248</c:v>
                </c:pt>
                <c:pt idx="154">
                  <c:v>40255</c:v>
                </c:pt>
                <c:pt idx="155">
                  <c:v>40262</c:v>
                </c:pt>
                <c:pt idx="156">
                  <c:v>40269</c:v>
                </c:pt>
                <c:pt idx="157">
                  <c:v>40276</c:v>
                </c:pt>
                <c:pt idx="158">
                  <c:v>40283</c:v>
                </c:pt>
                <c:pt idx="159">
                  <c:v>40290</c:v>
                </c:pt>
                <c:pt idx="160">
                  <c:v>40297</c:v>
                </c:pt>
                <c:pt idx="161">
                  <c:v>40304</c:v>
                </c:pt>
                <c:pt idx="162">
                  <c:v>40311</c:v>
                </c:pt>
                <c:pt idx="163">
                  <c:v>40318</c:v>
                </c:pt>
                <c:pt idx="164">
                  <c:v>40325</c:v>
                </c:pt>
                <c:pt idx="165">
                  <c:v>40332</c:v>
                </c:pt>
                <c:pt idx="166">
                  <c:v>40339</c:v>
                </c:pt>
                <c:pt idx="167">
                  <c:v>40346</c:v>
                </c:pt>
                <c:pt idx="168">
                  <c:v>40353</c:v>
                </c:pt>
                <c:pt idx="169">
                  <c:v>40360</c:v>
                </c:pt>
                <c:pt idx="170">
                  <c:v>40367</c:v>
                </c:pt>
                <c:pt idx="171">
                  <c:v>40374</c:v>
                </c:pt>
                <c:pt idx="172">
                  <c:v>40381</c:v>
                </c:pt>
                <c:pt idx="173">
                  <c:v>40388</c:v>
                </c:pt>
                <c:pt idx="174">
                  <c:v>40395</c:v>
                </c:pt>
                <c:pt idx="175">
                  <c:v>40402</c:v>
                </c:pt>
                <c:pt idx="176">
                  <c:v>40409</c:v>
                </c:pt>
                <c:pt idx="177">
                  <c:v>40416</c:v>
                </c:pt>
                <c:pt idx="178">
                  <c:v>40423</c:v>
                </c:pt>
                <c:pt idx="179">
                  <c:v>40430</c:v>
                </c:pt>
                <c:pt idx="180">
                  <c:v>40437</c:v>
                </c:pt>
                <c:pt idx="181">
                  <c:v>40444</c:v>
                </c:pt>
                <c:pt idx="182">
                  <c:v>40451</c:v>
                </c:pt>
                <c:pt idx="183">
                  <c:v>40458</c:v>
                </c:pt>
                <c:pt idx="184">
                  <c:v>40465</c:v>
                </c:pt>
                <c:pt idx="185">
                  <c:v>40472</c:v>
                </c:pt>
                <c:pt idx="186">
                  <c:v>40479</c:v>
                </c:pt>
                <c:pt idx="187">
                  <c:v>40486</c:v>
                </c:pt>
                <c:pt idx="188">
                  <c:v>40493</c:v>
                </c:pt>
                <c:pt idx="189">
                  <c:v>40500</c:v>
                </c:pt>
                <c:pt idx="190">
                  <c:v>40507</c:v>
                </c:pt>
                <c:pt idx="191">
                  <c:v>40514</c:v>
                </c:pt>
                <c:pt idx="192">
                  <c:v>40521</c:v>
                </c:pt>
                <c:pt idx="193">
                  <c:v>40528</c:v>
                </c:pt>
                <c:pt idx="194">
                  <c:v>40535</c:v>
                </c:pt>
                <c:pt idx="195">
                  <c:v>40542</c:v>
                </c:pt>
                <c:pt idx="196">
                  <c:v>40549</c:v>
                </c:pt>
                <c:pt idx="197">
                  <c:v>40556</c:v>
                </c:pt>
                <c:pt idx="198">
                  <c:v>40563</c:v>
                </c:pt>
                <c:pt idx="199">
                  <c:v>40570</c:v>
                </c:pt>
                <c:pt idx="200">
                  <c:v>40577</c:v>
                </c:pt>
                <c:pt idx="201">
                  <c:v>40584</c:v>
                </c:pt>
                <c:pt idx="202">
                  <c:v>40591</c:v>
                </c:pt>
                <c:pt idx="203">
                  <c:v>40598</c:v>
                </c:pt>
                <c:pt idx="204">
                  <c:v>40605</c:v>
                </c:pt>
                <c:pt idx="205">
                  <c:v>40612</c:v>
                </c:pt>
                <c:pt idx="206">
                  <c:v>40619</c:v>
                </c:pt>
                <c:pt idx="207">
                  <c:v>40626</c:v>
                </c:pt>
                <c:pt idx="208">
                  <c:v>40633</c:v>
                </c:pt>
                <c:pt idx="209">
                  <c:v>40640</c:v>
                </c:pt>
                <c:pt idx="210">
                  <c:v>40647</c:v>
                </c:pt>
                <c:pt idx="211">
                  <c:v>40654</c:v>
                </c:pt>
                <c:pt idx="212">
                  <c:v>40661</c:v>
                </c:pt>
                <c:pt idx="213">
                  <c:v>40668</c:v>
                </c:pt>
                <c:pt idx="214">
                  <c:v>40675</c:v>
                </c:pt>
                <c:pt idx="215">
                  <c:v>40682</c:v>
                </c:pt>
                <c:pt idx="216">
                  <c:v>40689</c:v>
                </c:pt>
                <c:pt idx="217">
                  <c:v>40696</c:v>
                </c:pt>
                <c:pt idx="218">
                  <c:v>40703</c:v>
                </c:pt>
                <c:pt idx="219">
                  <c:v>40710</c:v>
                </c:pt>
                <c:pt idx="220">
                  <c:v>40717</c:v>
                </c:pt>
                <c:pt idx="221">
                  <c:v>40724</c:v>
                </c:pt>
                <c:pt idx="222">
                  <c:v>40731</c:v>
                </c:pt>
                <c:pt idx="223">
                  <c:v>40738</c:v>
                </c:pt>
                <c:pt idx="224">
                  <c:v>40745</c:v>
                </c:pt>
                <c:pt idx="225">
                  <c:v>40752</c:v>
                </c:pt>
                <c:pt idx="226">
                  <c:v>40759</c:v>
                </c:pt>
                <c:pt idx="227">
                  <c:v>40766</c:v>
                </c:pt>
                <c:pt idx="228">
                  <c:v>40773</c:v>
                </c:pt>
                <c:pt idx="229">
                  <c:v>40780</c:v>
                </c:pt>
                <c:pt idx="230">
                  <c:v>40787</c:v>
                </c:pt>
                <c:pt idx="231">
                  <c:v>40794</c:v>
                </c:pt>
                <c:pt idx="232">
                  <c:v>40801</c:v>
                </c:pt>
                <c:pt idx="233">
                  <c:v>40808</c:v>
                </c:pt>
                <c:pt idx="234">
                  <c:v>40815</c:v>
                </c:pt>
                <c:pt idx="235">
                  <c:v>40822</c:v>
                </c:pt>
                <c:pt idx="236">
                  <c:v>40829</c:v>
                </c:pt>
                <c:pt idx="237">
                  <c:v>40836</c:v>
                </c:pt>
                <c:pt idx="238">
                  <c:v>40843</c:v>
                </c:pt>
                <c:pt idx="239">
                  <c:v>40850</c:v>
                </c:pt>
                <c:pt idx="240">
                  <c:v>40857</c:v>
                </c:pt>
                <c:pt idx="241">
                  <c:v>40864</c:v>
                </c:pt>
                <c:pt idx="242">
                  <c:v>40871</c:v>
                </c:pt>
                <c:pt idx="243">
                  <c:v>40878</c:v>
                </c:pt>
                <c:pt idx="244">
                  <c:v>40885</c:v>
                </c:pt>
                <c:pt idx="245">
                  <c:v>40892</c:v>
                </c:pt>
                <c:pt idx="246">
                  <c:v>40899</c:v>
                </c:pt>
                <c:pt idx="247">
                  <c:v>40906</c:v>
                </c:pt>
                <c:pt idx="248">
                  <c:v>40913</c:v>
                </c:pt>
                <c:pt idx="249">
                  <c:v>40920</c:v>
                </c:pt>
              </c:numCache>
            </c:numRef>
          </c:cat>
          <c:val>
            <c:numRef>
              <c:f>Data!$N$195:$N$444</c:f>
              <c:numCache>
                <c:formatCode>0.00%</c:formatCode>
                <c:ptCount val="250"/>
                <c:pt idx="0">
                  <c:v>0.51520299329089969</c:v>
                </c:pt>
                <c:pt idx="1">
                  <c:v>0.53828702907276793</c:v>
                </c:pt>
                <c:pt idx="2">
                  <c:v>0.53800748322724923</c:v>
                </c:pt>
                <c:pt idx="3">
                  <c:v>0.52893299501118163</c:v>
                </c:pt>
                <c:pt idx="4">
                  <c:v>0.55721013246172357</c:v>
                </c:pt>
                <c:pt idx="5">
                  <c:v>0.54610356098400126</c:v>
                </c:pt>
                <c:pt idx="6">
                  <c:v>0.56495140202993288</c:v>
                </c:pt>
                <c:pt idx="7">
                  <c:v>0.56012386031309114</c:v>
                </c:pt>
                <c:pt idx="8">
                  <c:v>0.49138783760536708</c:v>
                </c:pt>
                <c:pt idx="9">
                  <c:v>0.50825735420608975</c:v>
                </c:pt>
                <c:pt idx="10">
                  <c:v>0.49121580939274034</c:v>
                </c:pt>
                <c:pt idx="11">
                  <c:v>0.54407147772234632</c:v>
                </c:pt>
                <c:pt idx="12">
                  <c:v>0.52764278341648008</c:v>
                </c:pt>
                <c:pt idx="13">
                  <c:v>0.55230732840185781</c:v>
                </c:pt>
                <c:pt idx="14">
                  <c:v>0.56205917770514358</c:v>
                </c:pt>
                <c:pt idx="15">
                  <c:v>0.59591648030276945</c:v>
                </c:pt>
                <c:pt idx="16">
                  <c:v>0.60638869774643034</c:v>
                </c:pt>
                <c:pt idx="17">
                  <c:v>0.61875322552898671</c:v>
                </c:pt>
                <c:pt idx="18">
                  <c:v>0.61895750903148117</c:v>
                </c:pt>
                <c:pt idx="19">
                  <c:v>0.6372247548597969</c:v>
                </c:pt>
                <c:pt idx="20">
                  <c:v>0.6294834852915876</c:v>
                </c:pt>
                <c:pt idx="21">
                  <c:v>0.65177189059005669</c:v>
                </c:pt>
                <c:pt idx="22">
                  <c:v>0.62097884052984686</c:v>
                </c:pt>
                <c:pt idx="23">
                  <c:v>0.64813779459831422</c:v>
                </c:pt>
                <c:pt idx="24">
                  <c:v>0.6155169447789437</c:v>
                </c:pt>
                <c:pt idx="25">
                  <c:v>0.61777481506967136</c:v>
                </c:pt>
                <c:pt idx="26">
                  <c:v>0.64548210906588688</c:v>
                </c:pt>
                <c:pt idx="27">
                  <c:v>0.66921125064510578</c:v>
                </c:pt>
                <c:pt idx="28">
                  <c:v>0.64938499913985881</c:v>
                </c:pt>
                <c:pt idx="29">
                  <c:v>0.56860700154825383</c:v>
                </c:pt>
                <c:pt idx="30">
                  <c:v>0.54077068639256831</c:v>
                </c:pt>
                <c:pt idx="31">
                  <c:v>0.56268277997591598</c:v>
                </c:pt>
                <c:pt idx="32">
                  <c:v>0.55464046103560993</c:v>
                </c:pt>
                <c:pt idx="33">
                  <c:v>0.59057285394804726</c:v>
                </c:pt>
                <c:pt idx="34">
                  <c:v>0.58476690177189061</c:v>
                </c:pt>
                <c:pt idx="35">
                  <c:v>0.56276879408222946</c:v>
                </c:pt>
                <c:pt idx="36">
                  <c:v>0.59581971443316695</c:v>
                </c:pt>
                <c:pt idx="37">
                  <c:v>0.64045028384655067</c:v>
                </c:pt>
                <c:pt idx="38">
                  <c:v>0.64210605539308441</c:v>
                </c:pt>
                <c:pt idx="39">
                  <c:v>0.67352270772406664</c:v>
                </c:pt>
                <c:pt idx="40">
                  <c:v>0.67969421985205569</c:v>
                </c:pt>
                <c:pt idx="41">
                  <c:v>0.61038835369000499</c:v>
                </c:pt>
                <c:pt idx="42">
                  <c:v>0.65246000344056432</c:v>
                </c:pt>
                <c:pt idx="43">
                  <c:v>0.61879623258214322</c:v>
                </c:pt>
                <c:pt idx="44">
                  <c:v>0.54101797694821951</c:v>
                </c:pt>
                <c:pt idx="45">
                  <c:v>0.59248666781352144</c:v>
                </c:pt>
                <c:pt idx="46">
                  <c:v>0.59605625322552891</c:v>
                </c:pt>
                <c:pt idx="47">
                  <c:v>0.51775116119043529</c:v>
                </c:pt>
                <c:pt idx="48">
                  <c:v>0.50634354034061579</c:v>
                </c:pt>
                <c:pt idx="49">
                  <c:v>0.4332100464476174</c:v>
                </c:pt>
                <c:pt idx="50">
                  <c:v>0.50032255289867544</c:v>
                </c:pt>
                <c:pt idx="51">
                  <c:v>0.43105969378978148</c:v>
                </c:pt>
                <c:pt idx="52">
                  <c:v>0.45148804403922238</c:v>
                </c:pt>
                <c:pt idx="53">
                  <c:v>0.47514192327541704</c:v>
                </c:pt>
                <c:pt idx="54">
                  <c:v>0.36869946671254072</c:v>
                </c:pt>
                <c:pt idx="55">
                  <c:v>0.37300017202821256</c:v>
                </c:pt>
                <c:pt idx="56">
                  <c:v>0.45148804403922238</c:v>
                </c:pt>
                <c:pt idx="57">
                  <c:v>0.42245828315843803</c:v>
                </c:pt>
                <c:pt idx="58">
                  <c:v>0.4332100464476174</c:v>
                </c:pt>
                <c:pt idx="59">
                  <c:v>0.49449509719594009</c:v>
                </c:pt>
                <c:pt idx="60">
                  <c:v>0.52029932908997067</c:v>
                </c:pt>
                <c:pt idx="61">
                  <c:v>0.53212626870806812</c:v>
                </c:pt>
                <c:pt idx="62">
                  <c:v>0.47944262859108888</c:v>
                </c:pt>
                <c:pt idx="63">
                  <c:v>0.50524686048511946</c:v>
                </c:pt>
                <c:pt idx="64">
                  <c:v>0.46223980732840175</c:v>
                </c:pt>
                <c:pt idx="65">
                  <c:v>0.41708240151384812</c:v>
                </c:pt>
                <c:pt idx="66">
                  <c:v>0.33214347152933077</c:v>
                </c:pt>
                <c:pt idx="67">
                  <c:v>0.35506623086186129</c:v>
                </c:pt>
                <c:pt idx="68">
                  <c:v>0.34670135902287957</c:v>
                </c:pt>
                <c:pt idx="69">
                  <c:v>0.36265697574402211</c:v>
                </c:pt>
                <c:pt idx="70">
                  <c:v>0.36124849475313936</c:v>
                </c:pt>
                <c:pt idx="71">
                  <c:v>0.39012773094787545</c:v>
                </c:pt>
                <c:pt idx="72">
                  <c:v>0.38934285222776532</c:v>
                </c:pt>
                <c:pt idx="73">
                  <c:v>0.37926845002580412</c:v>
                </c:pt>
                <c:pt idx="74">
                  <c:v>0.335702305178049</c:v>
                </c:pt>
                <c:pt idx="75">
                  <c:v>0.34579821090658869</c:v>
                </c:pt>
                <c:pt idx="76">
                  <c:v>0.34943230689833116</c:v>
                </c:pt>
                <c:pt idx="77">
                  <c:v>0.30447918458627199</c:v>
                </c:pt>
                <c:pt idx="78">
                  <c:v>0.18186607603646987</c:v>
                </c:pt>
                <c:pt idx="79">
                  <c:v>-3.3179941510407707E-2</c:v>
                </c:pt>
                <c:pt idx="80">
                  <c:v>1.1257096163770797E-2</c:v>
                </c:pt>
                <c:pt idx="81">
                  <c:v>-5.7317650094615535E-2</c:v>
                </c:pt>
                <c:pt idx="82">
                  <c:v>4.1577068639256698E-2</c:v>
                </c:pt>
                <c:pt idx="83">
                  <c:v>9.7841045931534865E-4</c:v>
                </c:pt>
                <c:pt idx="84">
                  <c:v>-6.1059263719250079E-2</c:v>
                </c:pt>
                <c:pt idx="85">
                  <c:v>-0.13982668157577849</c:v>
                </c:pt>
                <c:pt idx="86">
                  <c:v>-3.6383966970583215E-2</c:v>
                </c:pt>
                <c:pt idx="87">
                  <c:v>-5.8070273524858051E-2</c:v>
                </c:pt>
                <c:pt idx="88">
                  <c:v>-5.4135128161018398E-2</c:v>
                </c:pt>
                <c:pt idx="89">
                  <c:v>-4.5372441080337222E-2</c:v>
                </c:pt>
                <c:pt idx="90">
                  <c:v>-6.1586100120419873E-2</c:v>
                </c:pt>
                <c:pt idx="91">
                  <c:v>1.8493032857387348E-3</c:v>
                </c:pt>
                <c:pt idx="92">
                  <c:v>-4.2716755547909879E-2</c:v>
                </c:pt>
                <c:pt idx="93">
                  <c:v>-8.5971099260278683E-2</c:v>
                </c:pt>
                <c:pt idx="94">
                  <c:v>-0.10550705315671771</c:v>
                </c:pt>
                <c:pt idx="95">
                  <c:v>-0.11203337347324971</c:v>
                </c:pt>
                <c:pt idx="96">
                  <c:v>-6.6101840701875081E-2</c:v>
                </c:pt>
                <c:pt idx="97">
                  <c:v>-0.11100120419748838</c:v>
                </c:pt>
                <c:pt idx="98">
                  <c:v>-0.17206046791673846</c:v>
                </c:pt>
                <c:pt idx="99">
                  <c:v>-0.20964863237570963</c:v>
                </c:pt>
                <c:pt idx="100">
                  <c:v>-0.26524600034405643</c:v>
                </c:pt>
                <c:pt idx="101">
                  <c:v>-0.18657556339239634</c:v>
                </c:pt>
                <c:pt idx="102">
                  <c:v>-0.17368419920867029</c:v>
                </c:pt>
                <c:pt idx="103">
                  <c:v>-0.12272073370032688</c:v>
                </c:pt>
                <c:pt idx="104">
                  <c:v>-9.4163942886633434E-2</c:v>
                </c:pt>
                <c:pt idx="105">
                  <c:v>-7.9047178737312929E-2</c:v>
                </c:pt>
                <c:pt idx="106">
                  <c:v>-6.5026771890590029E-2</c:v>
                </c:pt>
                <c:pt idx="107">
                  <c:v>-6.8650008601410684E-2</c:v>
                </c:pt>
                <c:pt idx="108">
                  <c:v>-5.6511482883192854E-2</c:v>
                </c:pt>
                <c:pt idx="109">
                  <c:v>-9.1389987958023777E-4</c:v>
                </c:pt>
                <c:pt idx="110">
                  <c:v>-5.0748430242559817E-2</c:v>
                </c:pt>
                <c:pt idx="111">
                  <c:v>-4.631859624978496E-2</c:v>
                </c:pt>
                <c:pt idx="112">
                  <c:v>-1.176253655599524E-2</c:v>
                </c:pt>
                <c:pt idx="113">
                  <c:v>1.0762300017202797E-2</c:v>
                </c:pt>
                <c:pt idx="114">
                  <c:v>1.7342594185446369E-2</c:v>
                </c:pt>
                <c:pt idx="115">
                  <c:v>-9.5153105109238023E-3</c:v>
                </c:pt>
                <c:pt idx="116">
                  <c:v>-1.2020578874935572E-2</c:v>
                </c:pt>
                <c:pt idx="117">
                  <c:v>-3.6190542749010901E-2</c:v>
                </c:pt>
                <c:pt idx="118">
                  <c:v>-5.4780341476002081E-2</c:v>
                </c:pt>
                <c:pt idx="119">
                  <c:v>1.1074208670221797E-2</c:v>
                </c:pt>
                <c:pt idx="120">
                  <c:v>5.2876956820918641E-2</c:v>
                </c:pt>
                <c:pt idx="121">
                  <c:v>6.1715121279889873E-2</c:v>
                </c:pt>
                <c:pt idx="122">
                  <c:v>8.6444176845002607E-2</c:v>
                </c:pt>
                <c:pt idx="123">
                  <c:v>7.9573585067951091E-2</c:v>
                </c:pt>
                <c:pt idx="124">
                  <c:v>0.10327057887493529</c:v>
                </c:pt>
                <c:pt idx="125">
                  <c:v>0.1062810725959058</c:v>
                </c:pt>
                <c:pt idx="126">
                  <c:v>9.2809113194563864E-2</c:v>
                </c:pt>
                <c:pt idx="127">
                  <c:v>0.12111861345260611</c:v>
                </c:pt>
                <c:pt idx="128">
                  <c:v>0.14861065714777211</c:v>
                </c:pt>
                <c:pt idx="129">
                  <c:v>0.1228925468776878</c:v>
                </c:pt>
                <c:pt idx="130">
                  <c:v>0.10228152416996394</c:v>
                </c:pt>
                <c:pt idx="131">
                  <c:v>0.15204068467228615</c:v>
                </c:pt>
                <c:pt idx="132">
                  <c:v>0.16944768191983495</c:v>
                </c:pt>
                <c:pt idx="133">
                  <c:v>0.16076025718217779</c:v>
                </c:pt>
                <c:pt idx="134">
                  <c:v>0.11408685274385011</c:v>
                </c:pt>
                <c:pt idx="135">
                  <c:v>0.14968583347669018</c:v>
                </c:pt>
                <c:pt idx="136">
                  <c:v>0.1756838121451918</c:v>
                </c:pt>
                <c:pt idx="137">
                  <c:v>0.17342583433683112</c:v>
                </c:pt>
                <c:pt idx="138">
                  <c:v>0.17354421125064512</c:v>
                </c:pt>
                <c:pt idx="139">
                  <c:v>0.18912351625666601</c:v>
                </c:pt>
                <c:pt idx="140">
                  <c:v>0.1895857345604679</c:v>
                </c:pt>
                <c:pt idx="141">
                  <c:v>0.18534964734216408</c:v>
                </c:pt>
                <c:pt idx="142">
                  <c:v>0.2111646309994839</c:v>
                </c:pt>
                <c:pt idx="143">
                  <c:v>0.19892901685876474</c:v>
                </c:pt>
                <c:pt idx="144">
                  <c:v>0.23105539308446588</c:v>
                </c:pt>
                <c:pt idx="145">
                  <c:v>0.22143234990538452</c:v>
                </c:pt>
                <c:pt idx="146">
                  <c:v>0.17383429382418725</c:v>
                </c:pt>
                <c:pt idx="147">
                  <c:v>0.15459949681747798</c:v>
                </c:pt>
                <c:pt idx="148">
                  <c:v>0.14634214261138823</c:v>
                </c:pt>
                <c:pt idx="149">
                  <c:v>0.15636267847927066</c:v>
                </c:pt>
                <c:pt idx="150">
                  <c:v>0.19255322122828145</c:v>
                </c:pt>
                <c:pt idx="151">
                  <c:v>0.18752150352657826</c:v>
                </c:pt>
                <c:pt idx="152">
                  <c:v>0.22430328573886116</c:v>
                </c:pt>
                <c:pt idx="153">
                  <c:v>0.2364420264923448</c:v>
                </c:pt>
                <c:pt idx="154">
                  <c:v>0.24709702391192168</c:v>
                </c:pt>
                <c:pt idx="155">
                  <c:v>0.25428995355238238</c:v>
                </c:pt>
                <c:pt idx="156">
                  <c:v>0.26666523309822798</c:v>
                </c:pt>
                <c:pt idx="157">
                  <c:v>0.28415835196972283</c:v>
                </c:pt>
                <c:pt idx="158">
                  <c:v>0.28174995699294691</c:v>
                </c:pt>
                <c:pt idx="159">
                  <c:v>0.30879064166523307</c:v>
                </c:pt>
                <c:pt idx="160">
                  <c:v>0.2759009977636333</c:v>
                </c:pt>
                <c:pt idx="161">
                  <c:v>0.19439188026836418</c:v>
                </c:pt>
                <c:pt idx="162">
                  <c:v>0.22105625322552891</c:v>
                </c:pt>
                <c:pt idx="163">
                  <c:v>0.16945854120075698</c:v>
                </c:pt>
                <c:pt idx="164">
                  <c:v>0.17130784448649572</c:v>
                </c:pt>
                <c:pt idx="165">
                  <c:v>0.14493376913813871</c:v>
                </c:pt>
                <c:pt idx="166">
                  <c:v>0.17366248064682588</c:v>
                </c:pt>
                <c:pt idx="167">
                  <c:v>0.20152029932908988</c:v>
                </c:pt>
                <c:pt idx="168">
                  <c:v>0.15770686392568378</c:v>
                </c:pt>
                <c:pt idx="169">
                  <c:v>9.9453810424909639E-2</c:v>
                </c:pt>
                <c:pt idx="170">
                  <c:v>0.15899707552038533</c:v>
                </c:pt>
                <c:pt idx="171">
                  <c:v>0.14493376913813871</c:v>
                </c:pt>
                <c:pt idx="172">
                  <c:v>0.18555393084465854</c:v>
                </c:pt>
                <c:pt idx="173">
                  <c:v>0.18441424393600525</c:v>
                </c:pt>
                <c:pt idx="174">
                  <c:v>0.20596077756752118</c:v>
                </c:pt>
                <c:pt idx="175">
                  <c:v>0.16038405298468938</c:v>
                </c:pt>
                <c:pt idx="176">
                  <c:v>0.15225571993806986</c:v>
                </c:pt>
                <c:pt idx="177">
                  <c:v>0.14462196800275229</c:v>
                </c:pt>
                <c:pt idx="178">
                  <c:v>0.18754300705315674</c:v>
                </c:pt>
                <c:pt idx="179">
                  <c:v>0.19296189575090295</c:v>
                </c:pt>
                <c:pt idx="180">
                  <c:v>0.21020772406674681</c:v>
                </c:pt>
                <c:pt idx="181">
                  <c:v>0.23502279373817303</c:v>
                </c:pt>
                <c:pt idx="182">
                  <c:v>0.23241011525890243</c:v>
                </c:pt>
                <c:pt idx="183">
                  <c:v>0.25274169963874082</c:v>
                </c:pt>
                <c:pt idx="184">
                  <c:v>0.26461164630999479</c:v>
                </c:pt>
                <c:pt idx="185">
                  <c:v>0.27201961121623941</c:v>
                </c:pt>
                <c:pt idx="186">
                  <c:v>0.27221314295544463</c:v>
                </c:pt>
                <c:pt idx="187">
                  <c:v>0.31800490280405969</c:v>
                </c:pt>
                <c:pt idx="188">
                  <c:v>0.28936220540168578</c:v>
                </c:pt>
                <c:pt idx="189">
                  <c:v>0.28992129709272318</c:v>
                </c:pt>
                <c:pt idx="190">
                  <c:v>0.27881472561500087</c:v>
                </c:pt>
                <c:pt idx="191">
                  <c:v>0.31677920178909336</c:v>
                </c:pt>
                <c:pt idx="192">
                  <c:v>0.33364871838981602</c:v>
                </c:pt>
                <c:pt idx="193">
                  <c:v>0.33742258730431796</c:v>
                </c:pt>
                <c:pt idx="194">
                  <c:v>0.35124935489420261</c:v>
                </c:pt>
                <c:pt idx="195">
                  <c:v>0.35218475830036122</c:v>
                </c:pt>
                <c:pt idx="196">
                  <c:v>0.36708670221916395</c:v>
                </c:pt>
                <c:pt idx="197">
                  <c:v>0.39046103560983991</c:v>
                </c:pt>
                <c:pt idx="198">
                  <c:v>0.3798275417168413</c:v>
                </c:pt>
                <c:pt idx="199">
                  <c:v>0.37229055565112668</c:v>
                </c:pt>
                <c:pt idx="200">
                  <c:v>0.40941639428866305</c:v>
                </c:pt>
                <c:pt idx="201">
                  <c:v>0.42907061758128329</c:v>
                </c:pt>
                <c:pt idx="202">
                  <c:v>0.44397256150008602</c:v>
                </c:pt>
                <c:pt idx="203">
                  <c:v>0.41910373301221404</c:v>
                </c:pt>
                <c:pt idx="204">
                  <c:v>0.42046920694993983</c:v>
                </c:pt>
                <c:pt idx="205">
                  <c:v>0.4023309822810941</c:v>
                </c:pt>
                <c:pt idx="206">
                  <c:v>0.37268837089282636</c:v>
                </c:pt>
                <c:pt idx="207">
                  <c:v>0.40742731808016508</c:v>
                </c:pt>
                <c:pt idx="208">
                  <c:v>0.43257569241355576</c:v>
                </c:pt>
                <c:pt idx="209">
                  <c:v>0.4280169447789437</c:v>
                </c:pt>
                <c:pt idx="210">
                  <c:v>0.41334078788921369</c:v>
                </c:pt>
                <c:pt idx="211">
                  <c:v>0.43791931876827794</c:v>
                </c:pt>
                <c:pt idx="212">
                  <c:v>0.46275589196628242</c:v>
                </c:pt>
                <c:pt idx="213">
                  <c:v>0.43546791673834484</c:v>
                </c:pt>
                <c:pt idx="214">
                  <c:v>0.45003655599518333</c:v>
                </c:pt>
                <c:pt idx="215">
                  <c:v>0.44460691553414744</c:v>
                </c:pt>
                <c:pt idx="216">
                  <c:v>0.43116721142267322</c:v>
                </c:pt>
                <c:pt idx="217">
                  <c:v>0.39790125580595226</c:v>
                </c:pt>
                <c:pt idx="218">
                  <c:v>0.36652761052812655</c:v>
                </c:pt>
                <c:pt idx="219">
                  <c:v>0.36708670221916395</c:v>
                </c:pt>
                <c:pt idx="220">
                  <c:v>0.3638074144159642</c:v>
                </c:pt>
                <c:pt idx="221">
                  <c:v>0.44038147256150006</c:v>
                </c:pt>
                <c:pt idx="222">
                  <c:v>0.44482195079993114</c:v>
                </c:pt>
                <c:pt idx="223">
                  <c:v>0.41508257354206091</c:v>
                </c:pt>
                <c:pt idx="224">
                  <c:v>0.44613366592121095</c:v>
                </c:pt>
                <c:pt idx="225">
                  <c:v>0.3894288663340788</c:v>
                </c:pt>
                <c:pt idx="226">
                  <c:v>0.28954498537760198</c:v>
                </c:pt>
                <c:pt idx="227">
                  <c:v>0.26742860829175963</c:v>
                </c:pt>
                <c:pt idx="228">
                  <c:v>0.2079928608291759</c:v>
                </c:pt>
                <c:pt idx="229">
                  <c:v>0.24641966282470307</c:v>
                </c:pt>
                <c:pt idx="230">
                  <c:v>0.29496387407534841</c:v>
                </c:pt>
                <c:pt idx="231">
                  <c:v>0.24100077412695686</c:v>
                </c:pt>
                <c:pt idx="232">
                  <c:v>0.30742516772750728</c:v>
                </c:pt>
                <c:pt idx="233">
                  <c:v>0.22186263547221752</c:v>
                </c:pt>
                <c:pt idx="234">
                  <c:v>0.21647600206433859</c:v>
                </c:pt>
                <c:pt idx="235">
                  <c:v>0.2525481678995356</c:v>
                </c:pt>
                <c:pt idx="236">
                  <c:v>0.29414674006537078</c:v>
                </c:pt>
                <c:pt idx="237">
                  <c:v>0.30675855840357813</c:v>
                </c:pt>
                <c:pt idx="238">
                  <c:v>0.38116076036469959</c:v>
                </c:pt>
                <c:pt idx="239">
                  <c:v>0.35595862721486338</c:v>
                </c:pt>
                <c:pt idx="240">
                  <c:v>0.35886160330294148</c:v>
                </c:pt>
                <c:pt idx="241">
                  <c:v>0.30703810424909683</c:v>
                </c:pt>
                <c:pt idx="242">
                  <c:v>0.2457745570273524</c:v>
                </c:pt>
                <c:pt idx="243">
                  <c:v>0.33782040254601742</c:v>
                </c:pt>
                <c:pt idx="244">
                  <c:v>0.34955057629451236</c:v>
                </c:pt>
                <c:pt idx="245">
                  <c:v>0.31134956132805791</c:v>
                </c:pt>
                <c:pt idx="246">
                  <c:v>0.36045286426973999</c:v>
                </c:pt>
                <c:pt idx="247">
                  <c:v>0.35214175124720448</c:v>
                </c:pt>
                <c:pt idx="248">
                  <c:v>0.37387106485463595</c:v>
                </c:pt>
                <c:pt idx="249">
                  <c:v>0.39289093411319453</c:v>
                </c:pt>
              </c:numCache>
            </c:numRef>
          </c:val>
        </c:ser>
        <c:marker val="1"/>
        <c:axId val="85570304"/>
        <c:axId val="85572224"/>
      </c:lineChart>
      <c:dateAx>
        <c:axId val="85570304"/>
        <c:scaling>
          <c:orientation val="minMax"/>
        </c:scaling>
        <c:axPos val="b"/>
        <c:title>
          <c:tx>
            <c:rich>
              <a:bodyPr/>
              <a:lstStyle/>
              <a:p>
                <a:pPr>
                  <a:defRPr sz="1400"/>
                </a:pPr>
                <a:r>
                  <a:rPr lang="en-US" sz="1400"/>
                  <a:t>Date</a:t>
                </a:r>
              </a:p>
            </c:rich>
          </c:tx>
          <c:spPr>
            <a:noFill/>
            <a:ln w="25400">
              <a:noFill/>
            </a:ln>
          </c:spPr>
        </c:title>
        <c:numFmt formatCode="m/d/yy" sourceLinked="0"/>
        <c:majorTickMark val="none"/>
        <c:tickLblPos val="nextTo"/>
        <c:spPr>
          <a:ln w="3175">
            <a:solidFill>
              <a:srgbClr val="808080"/>
            </a:solidFill>
            <a:prstDash val="solid"/>
          </a:ln>
        </c:spPr>
        <c:crossAx val="85572224"/>
        <c:crosses val="autoZero"/>
        <c:auto val="1"/>
        <c:lblOffset val="100"/>
        <c:baseTimeUnit val="days"/>
      </c:dateAx>
      <c:valAx>
        <c:axId val="85572224"/>
        <c:scaling>
          <c:orientation val="minMax"/>
        </c:scaling>
        <c:axPos val="l"/>
        <c:title>
          <c:tx>
            <c:rich>
              <a:bodyPr rot="-5400000" vert="horz"/>
              <a:lstStyle/>
              <a:p>
                <a:pPr>
                  <a:defRPr sz="1400"/>
                </a:pPr>
                <a:r>
                  <a:rPr lang="en-US" sz="1400"/>
                  <a:t>% Change</a:t>
                </a:r>
              </a:p>
            </c:rich>
          </c:tx>
          <c:spPr>
            <a:noFill/>
            <a:ln w="25400">
              <a:noFill/>
            </a:ln>
          </c:spPr>
        </c:title>
        <c:numFmt formatCode="0.00%" sourceLinked="1"/>
        <c:tickLblPos val="nextTo"/>
        <c:spPr>
          <a:ln w="3175">
            <a:solidFill>
              <a:srgbClr val="808080"/>
            </a:solidFill>
            <a:prstDash val="solid"/>
          </a:ln>
        </c:spPr>
        <c:crossAx val="85570304"/>
        <c:crosses val="autoZero"/>
        <c:crossBetween val="between"/>
      </c:valAx>
      <c:spPr>
        <a:solidFill>
          <a:srgbClr val="DCE6F2"/>
        </a:solidFill>
        <a:ln w="25400">
          <a:noFill/>
        </a:ln>
      </c:spPr>
    </c:plotArea>
    <c:legend>
      <c:legendPos val="r"/>
      <c:layout>
        <c:manualLayout>
          <c:xMode val="edge"/>
          <c:yMode val="edge"/>
          <c:x val="0.41071430444415502"/>
          <c:y val="6.9869071297967739E-2"/>
          <c:w val="0.18005950837472401"/>
          <c:h val="4.1484659221331432E-2"/>
        </c:manualLayout>
      </c:layout>
      <c:spPr>
        <a:noFill/>
        <a:ln w="25400">
          <a:noFill/>
        </a:ln>
      </c:spPr>
      <c:txPr>
        <a:bodyPr/>
        <a:lstStyle/>
        <a:p>
          <a:pPr>
            <a:defRPr sz="1100"/>
          </a:pPr>
          <a:endParaRPr lang="en-US"/>
        </a:p>
      </c:txPr>
    </c:legend>
    <c:plotVisOnly val="1"/>
    <c:dispBlanksAs val="zero"/>
  </c:chart>
  <c:spPr>
    <a:solidFill>
      <a:srgbClr val="FFFFFF"/>
    </a:solidFill>
    <a:ln w="3175">
      <a:solidFill>
        <a:srgbClr val="808080"/>
      </a:solidFill>
      <a:prstDash val="soli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chart>
    <c:view3D>
      <c:perspective val="0"/>
    </c:view3D>
    <c:plotArea>
      <c:layout>
        <c:manualLayout>
          <c:layoutTarget val="inner"/>
          <c:xMode val="edge"/>
          <c:yMode val="edge"/>
          <c:x val="0.16017797552836488"/>
          <c:y val="0.30932896890345402"/>
          <c:w val="0.68409343715240434"/>
          <c:h val="0.39934533551555462"/>
        </c:manualLayout>
      </c:layout>
      <c:pie3DChart>
        <c:varyColors val="1"/>
        <c:ser>
          <c:idx val="0"/>
          <c:order val="0"/>
          <c:spPr>
            <a:solidFill>
              <a:srgbClr val="4F81BD"/>
            </a:solidFill>
            <a:ln w="25400">
              <a:noFill/>
            </a:ln>
          </c:spPr>
          <c:explosion val="25"/>
          <c:dPt>
            <c:idx val="0"/>
            <c:spPr>
              <a:solidFill>
                <a:srgbClr val="4572A7"/>
              </a:solidFill>
              <a:ln w="25400">
                <a:noFill/>
              </a:ln>
            </c:spPr>
          </c:dPt>
          <c:dPt>
            <c:idx val="1"/>
            <c:spPr>
              <a:solidFill>
                <a:srgbClr val="AA4643"/>
              </a:solidFill>
              <a:ln w="25400">
                <a:noFill/>
              </a:ln>
            </c:spPr>
          </c:dPt>
          <c:dPt>
            <c:idx val="2"/>
            <c:spPr>
              <a:solidFill>
                <a:srgbClr val="89A54E"/>
              </a:solidFill>
              <a:ln w="25400">
                <a:noFill/>
              </a:ln>
            </c:spPr>
          </c:dPt>
          <c:dPt>
            <c:idx val="3"/>
            <c:spPr>
              <a:solidFill>
                <a:srgbClr val="71588F"/>
              </a:solidFill>
              <a:ln w="25400">
                <a:noFill/>
              </a:ln>
            </c:spPr>
          </c:dPt>
          <c:dPt>
            <c:idx val="4"/>
            <c:spPr>
              <a:solidFill>
                <a:srgbClr val="4198AF"/>
              </a:solidFill>
              <a:ln w="25400">
                <a:noFill/>
              </a:ln>
            </c:spPr>
          </c:dPt>
          <c:dPt>
            <c:idx val="5"/>
            <c:spPr>
              <a:solidFill>
                <a:srgbClr val="DB843D"/>
              </a:solidFill>
              <a:ln w="25400">
                <a:noFill/>
              </a:ln>
            </c:spPr>
          </c:dPt>
          <c:dPt>
            <c:idx val="6"/>
            <c:spPr>
              <a:solidFill>
                <a:srgbClr val="93A9CF"/>
              </a:solidFill>
              <a:ln w="25400">
                <a:noFill/>
              </a:ln>
            </c:spPr>
          </c:dPt>
          <c:dPt>
            <c:idx val="7"/>
            <c:spPr>
              <a:solidFill>
                <a:srgbClr val="D19392"/>
              </a:solidFill>
              <a:ln w="25400">
                <a:noFill/>
              </a:ln>
            </c:spPr>
          </c:dPt>
          <c:dPt>
            <c:idx val="8"/>
            <c:spPr>
              <a:solidFill>
                <a:srgbClr val="B9CD96"/>
              </a:solidFill>
              <a:ln w="25400">
                <a:noFill/>
              </a:ln>
            </c:spPr>
          </c:dPt>
          <c:dPt>
            <c:idx val="9"/>
            <c:spPr>
              <a:solidFill>
                <a:srgbClr val="A99BBD"/>
              </a:solidFill>
              <a:ln w="25400">
                <a:noFill/>
              </a:ln>
            </c:spPr>
          </c:dPt>
          <c:dPt>
            <c:idx val="10"/>
            <c:spPr>
              <a:solidFill>
                <a:srgbClr val="91C3D5"/>
              </a:solidFill>
              <a:ln w="25400">
                <a:noFill/>
              </a:ln>
            </c:spPr>
          </c:dPt>
          <c:dLbls>
            <c:dLbl>
              <c:idx val="1"/>
              <c:layout>
                <c:manualLayout>
                  <c:x val="-3.8503817673346485E-2"/>
                  <c:y val="-2.1797751536183712E-3"/>
                </c:manualLayout>
              </c:layout>
              <c:dLblPos val="bestFit"/>
              <c:showCatName val="1"/>
              <c:showPercent val="1"/>
            </c:dLbl>
            <c:dLbl>
              <c:idx val="3"/>
              <c:layout>
                <c:manualLayout>
                  <c:x val="3.2332220986281252E-3"/>
                  <c:y val="2.2995734371174812E-3"/>
                </c:manualLayout>
              </c:layout>
              <c:dLblPos val="bestFit"/>
              <c:showCatName val="1"/>
              <c:showPercent val="1"/>
            </c:dLbl>
            <c:dLbl>
              <c:idx val="6"/>
              <c:layout>
                <c:manualLayout>
                  <c:x val="4.0883078411707012E-2"/>
                  <c:y val="5.9864864238628711E-3"/>
                </c:manualLayout>
              </c:layout>
              <c:tx>
                <c:rich>
                  <a:bodyPr/>
                  <a:lstStyle/>
                  <a:p>
                    <a:pPr>
                      <a:defRPr sz="1050" b="1" i="0" u="none" strike="noStrike" baseline="0">
                        <a:solidFill>
                          <a:srgbClr val="000000"/>
                        </a:solidFill>
                        <a:latin typeface="Calibri"/>
                        <a:ea typeface="Calibri"/>
                        <a:cs typeface="Calibri"/>
                      </a:defRPr>
                    </a:pPr>
                    <a:r>
                      <a:rPr lang="en-US"/>
                      <a:t>Financial 17%</a:t>
                    </a:r>
                  </a:p>
                </c:rich>
              </c:tx>
              <c:numFmt formatCode="0%" sourceLinked="0"/>
              <c:spPr>
                <a:noFill/>
                <a:ln w="25400">
                  <a:noFill/>
                </a:ln>
              </c:spPr>
              <c:dLblPos val="bestFit"/>
            </c:dLbl>
            <c:dLbl>
              <c:idx val="7"/>
              <c:layout>
                <c:manualLayout>
                  <c:x val="2.2552602546732501E-2"/>
                  <c:y val="-1.5356258503483103E-3"/>
                </c:manualLayout>
              </c:layout>
              <c:dLblPos val="bestFit"/>
              <c:showCatName val="1"/>
              <c:showPercent val="1"/>
            </c:dLbl>
            <c:dLbl>
              <c:idx val="9"/>
              <c:layout>
                <c:manualLayout>
                  <c:x val="1.5266306394681704E-2"/>
                  <c:y val="-5.7759449463252385E-2"/>
                </c:manualLayout>
              </c:layout>
              <c:dLblPos val="bestFit"/>
              <c:showCatName val="1"/>
              <c:showPercent val="1"/>
            </c:dLbl>
            <c:numFmt formatCode="0%" sourceLinked="0"/>
            <c:spPr>
              <a:noFill/>
              <a:ln w="25400">
                <a:noFill/>
              </a:ln>
            </c:spPr>
            <c:txPr>
              <a:bodyPr/>
              <a:lstStyle/>
              <a:p>
                <a:pPr>
                  <a:defRPr sz="1050" b="1"/>
                </a:pPr>
                <a:endParaRPr lang="en-US"/>
              </a:p>
            </c:txPr>
            <c:showCatName val="1"/>
            <c:showPercent val="1"/>
            <c:showLeaderLines val="1"/>
          </c:dLbls>
          <c:cat>
            <c:strLit>
              <c:ptCount val="12"/>
              <c:pt idx="0">
                <c:v>_x0006_Energy</c:v>
              </c:pt>
              <c:pt idx="1">
                <c:v>	Materials</c:v>
              </c:pt>
              <c:pt idx="2">
                <c:v>_x000b_Industrials</c:v>
              </c:pt>
              <c:pt idx="3">
                <c:v>_x0016_Consumer Discretionary</c:v>
              </c:pt>
              <c:pt idx="4">
                <c:v>_x0010_Consumer Staples</c:v>
              </c:pt>
              <c:pt idx="5">
                <c:v>
Healthcare</c:v>
              </c:pt>
              <c:pt idx="6">
                <c:v>	Financial</c:v>
              </c:pt>
              <c:pt idx="7">
                <c:v>_x0016_Information Technology</c:v>
              </c:pt>
              <c:pt idx="8">
                <c:v>_x0012_Telecommunications</c:v>
              </c:pt>
              <c:pt idx="9">
                <c:v>_x0004_Misc</c:v>
              </c:pt>
              <c:pt idx="10">
                <c:v>	Utilities</c:v>
              </c:pt>
              <c:pt idx="11">
                <c:v>_x0004_Cash</c:v>
              </c:pt>
            </c:strLit>
          </c:cat>
          <c:val>
            <c:numRef>
              <c:f>'V.P. of PM'!$F$5:$F$16</c:f>
              <c:numCache>
                <c:formatCode>0%</c:formatCode>
                <c:ptCount val="12"/>
                <c:pt idx="0">
                  <c:v>0</c:v>
                </c:pt>
                <c:pt idx="1">
                  <c:v>0</c:v>
                </c:pt>
                <c:pt idx="2">
                  <c:v>0</c:v>
                </c:pt>
                <c:pt idx="3" formatCode="0.0%">
                  <c:v>0</c:v>
                </c:pt>
                <c:pt idx="4" formatCode="0.0%">
                  <c:v>0</c:v>
                </c:pt>
                <c:pt idx="5" formatCode="0.0%">
                  <c:v>0</c:v>
                </c:pt>
                <c:pt idx="6" formatCode="0.0%">
                  <c:v>0</c:v>
                </c:pt>
                <c:pt idx="7" formatCode="0.0%">
                  <c:v>0</c:v>
                </c:pt>
                <c:pt idx="8" formatCode="0.0%">
                  <c:v>0</c:v>
                </c:pt>
                <c:pt idx="9" formatCode="0.0%">
                  <c:v>0</c:v>
                </c:pt>
                <c:pt idx="10" formatCode="0.0%">
                  <c:v>0</c:v>
                </c:pt>
                <c:pt idx="11" formatCode="0.0%">
                  <c:v>0</c:v>
                </c:pt>
              </c:numCache>
            </c:numRef>
          </c:val>
        </c:ser>
      </c:pie3DChart>
      <c:spPr>
        <a:noFill/>
        <a:ln w="25400">
          <a:noFill/>
        </a:ln>
      </c:spPr>
    </c:plotArea>
    <c:plotVisOnly val="1"/>
    <c:dispBlanksAs val="zero"/>
  </c:chart>
  <c:spPr>
    <a:solidFill>
      <a:srgbClr val="DBEEF4"/>
    </a:solidFill>
    <a:ln w="3175">
      <a:solidFill>
        <a:srgbClr val="808080"/>
      </a:solidFill>
      <a:prstDash val="solid"/>
    </a:ln>
  </c:spPr>
  <c:userShapes r:id="rId1"/>
</c:chartSpace>
</file>

<file path=xl/charts/chart4.xml><?xml version="1.0" encoding="utf-8"?>
<c:chartSpace xmlns:c="http://schemas.openxmlformats.org/drawingml/2006/chart" xmlns:a="http://schemas.openxmlformats.org/drawingml/2006/main" xmlns:r="http://schemas.openxmlformats.org/officeDocument/2006/relationships">
  <c:lang val="en-US"/>
  <c:style val="18"/>
  <c:chart>
    <c:title>
      <c:tx>
        <c:rich>
          <a:bodyPr/>
          <a:lstStyle/>
          <a:p>
            <a:pPr>
              <a:defRPr/>
            </a:pPr>
            <a:r>
              <a:rPr lang="en-US"/>
              <a:t>Sector Allocation</a:t>
            </a:r>
          </a:p>
        </c:rich>
      </c:tx>
    </c:title>
    <c:plotArea>
      <c:layout/>
      <c:barChart>
        <c:barDir val="bar"/>
        <c:grouping val="clustered"/>
        <c:ser>
          <c:idx val="0"/>
          <c:order val="0"/>
          <c:tx>
            <c:v>Portfolio</c:v>
          </c:tx>
          <c:cat>
            <c:strRef>
              <c:f>('V.P. of PM'!$D$5:$D$13,'V.P. of PM'!$D$15)</c:f>
              <c:strCache>
                <c:ptCount val="10"/>
                <c:pt idx="0">
                  <c:v>Energy</c:v>
                </c:pt>
                <c:pt idx="1">
                  <c:v>Materials</c:v>
                </c:pt>
                <c:pt idx="2">
                  <c:v>Industrials</c:v>
                </c:pt>
                <c:pt idx="3">
                  <c:v>Consumer Discretionary</c:v>
                </c:pt>
                <c:pt idx="4">
                  <c:v>Consumer Staples</c:v>
                </c:pt>
                <c:pt idx="5">
                  <c:v>Healthcare</c:v>
                </c:pt>
                <c:pt idx="6">
                  <c:v>Financial</c:v>
                </c:pt>
                <c:pt idx="7">
                  <c:v>Information Technology</c:v>
                </c:pt>
                <c:pt idx="8">
                  <c:v>Telecommunications</c:v>
                </c:pt>
                <c:pt idx="9">
                  <c:v>Utilities</c:v>
                </c:pt>
              </c:strCache>
            </c:strRef>
          </c:cat>
          <c:val>
            <c:numRef>
              <c:f>('V.P. of PM'!$F$5:$F$13,'V.P. of PM'!$F$15)</c:f>
              <c:numCache>
                <c:formatCode>0%</c:formatCode>
                <c:ptCount val="10"/>
                <c:pt idx="0">
                  <c:v>0</c:v>
                </c:pt>
                <c:pt idx="1">
                  <c:v>0</c:v>
                </c:pt>
                <c:pt idx="2">
                  <c:v>0</c:v>
                </c:pt>
                <c:pt idx="3" formatCode="0.0%">
                  <c:v>0</c:v>
                </c:pt>
                <c:pt idx="4" formatCode="0.0%">
                  <c:v>0</c:v>
                </c:pt>
                <c:pt idx="5" formatCode="0.0%">
                  <c:v>0</c:v>
                </c:pt>
                <c:pt idx="6" formatCode="0.0%">
                  <c:v>0</c:v>
                </c:pt>
                <c:pt idx="7" formatCode="0.0%">
                  <c:v>0</c:v>
                </c:pt>
                <c:pt idx="8" formatCode="0.0%">
                  <c:v>0</c:v>
                </c:pt>
                <c:pt idx="9" formatCode="0.0%">
                  <c:v>0</c:v>
                </c:pt>
              </c:numCache>
            </c:numRef>
          </c:val>
        </c:ser>
        <c:ser>
          <c:idx val="1"/>
          <c:order val="1"/>
          <c:tx>
            <c:v>Target</c:v>
          </c:tx>
          <c:cat>
            <c:strRef>
              <c:f>('V.P. of PM'!$D$5:$D$13,'V.P. of PM'!$D$15)</c:f>
              <c:strCache>
                <c:ptCount val="10"/>
                <c:pt idx="0">
                  <c:v>Energy</c:v>
                </c:pt>
                <c:pt idx="1">
                  <c:v>Materials</c:v>
                </c:pt>
                <c:pt idx="2">
                  <c:v>Industrials</c:v>
                </c:pt>
                <c:pt idx="3">
                  <c:v>Consumer Discretionary</c:v>
                </c:pt>
                <c:pt idx="4">
                  <c:v>Consumer Staples</c:v>
                </c:pt>
                <c:pt idx="5">
                  <c:v>Healthcare</c:v>
                </c:pt>
                <c:pt idx="6">
                  <c:v>Financial</c:v>
                </c:pt>
                <c:pt idx="7">
                  <c:v>Information Technology</c:v>
                </c:pt>
                <c:pt idx="8">
                  <c:v>Telecommunications</c:v>
                </c:pt>
                <c:pt idx="9">
                  <c:v>Utilities</c:v>
                </c:pt>
              </c:strCache>
            </c:strRef>
          </c:cat>
          <c:val>
            <c:numRef>
              <c:f>'Sector Weights'!$E$10:$E$19</c:f>
              <c:numCache>
                <c:formatCode>0.00%</c:formatCode>
                <c:ptCount val="10"/>
                <c:pt idx="0">
                  <c:v>3.6999999999999998E-2</c:v>
                </c:pt>
                <c:pt idx="1">
                  <c:v>3.4000000000000002E-2</c:v>
                </c:pt>
                <c:pt idx="2">
                  <c:v>0.10299999999999999</c:v>
                </c:pt>
                <c:pt idx="3">
                  <c:v>0.10100000000000001</c:v>
                </c:pt>
                <c:pt idx="4">
                  <c:v>0.115</c:v>
                </c:pt>
                <c:pt idx="5">
                  <c:v>0.121</c:v>
                </c:pt>
                <c:pt idx="6">
                  <c:v>0.16300000000000001</c:v>
                </c:pt>
                <c:pt idx="7">
                  <c:v>0.188</c:v>
                </c:pt>
                <c:pt idx="8">
                  <c:v>0.03</c:v>
                </c:pt>
                <c:pt idx="9">
                  <c:v>3.6999999999999998E-2</c:v>
                </c:pt>
              </c:numCache>
            </c:numRef>
          </c:val>
        </c:ser>
        <c:gapWidth val="75"/>
        <c:overlap val="-25"/>
        <c:axId val="85940864"/>
        <c:axId val="85942656"/>
      </c:barChart>
      <c:catAx>
        <c:axId val="85940864"/>
        <c:scaling>
          <c:orientation val="minMax"/>
        </c:scaling>
        <c:axPos val="l"/>
        <c:majorTickMark val="none"/>
        <c:tickLblPos val="nextTo"/>
        <c:txPr>
          <a:bodyPr/>
          <a:lstStyle/>
          <a:p>
            <a:pPr>
              <a:defRPr sz="1400" b="1" i="0"/>
            </a:pPr>
            <a:endParaRPr lang="en-US"/>
          </a:p>
        </c:txPr>
        <c:crossAx val="85942656"/>
        <c:crosses val="autoZero"/>
        <c:auto val="1"/>
        <c:lblAlgn val="ctr"/>
        <c:lblOffset val="100"/>
      </c:catAx>
      <c:valAx>
        <c:axId val="85942656"/>
        <c:scaling>
          <c:orientation val="minMax"/>
        </c:scaling>
        <c:axPos val="b"/>
        <c:majorGridlines/>
        <c:numFmt formatCode="0%" sourceLinked="1"/>
        <c:majorTickMark val="none"/>
        <c:tickLblPos val="nextTo"/>
        <c:spPr>
          <a:ln w="9525">
            <a:noFill/>
          </a:ln>
        </c:spPr>
        <c:crossAx val="85940864"/>
        <c:crosses val="autoZero"/>
        <c:crossBetween val="between"/>
      </c:valAx>
      <c:spPr>
        <a:solidFill>
          <a:schemeClr val="tx2">
            <a:lumMod val="20000"/>
            <a:lumOff val="80000"/>
          </a:schemeClr>
        </a:solidFill>
      </c:spPr>
    </c:plotArea>
    <c:legend>
      <c:legendPos val="b"/>
      <c:txPr>
        <a:bodyPr/>
        <a:lstStyle/>
        <a:p>
          <a:pPr>
            <a:defRPr sz="1600" b="1" i="0"/>
          </a:pPr>
          <a:endParaRPr lang="en-US"/>
        </a:p>
      </c:txPr>
    </c:legend>
    <c:plotVisOnly val="1"/>
    <c:dispBlanksAs val="gap"/>
  </c:chart>
  <c:spPr>
    <a:solidFill>
      <a:schemeClr val="accent1">
        <a:lumMod val="60000"/>
        <a:lumOff val="40000"/>
      </a:schemeClr>
    </a:solidFill>
  </c:spPr>
  <c:printSettings>
    <c:headerFooter/>
    <c:pageMargins b="1" l="0.7500000000000111" r="0.7500000000000111"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style val="34"/>
  <c:chart>
    <c:view3D>
      <c:rotX val="20"/>
      <c:perspective val="0"/>
    </c:view3D>
    <c:plotArea>
      <c:layout>
        <c:manualLayout>
          <c:layoutTarget val="inner"/>
          <c:xMode val="edge"/>
          <c:yMode val="edge"/>
          <c:x val="0.130965593784684"/>
          <c:y val="0.25611745513866202"/>
          <c:w val="0.79800221975582697"/>
          <c:h val="0.55954323001631301"/>
        </c:manualLayout>
      </c:layout>
      <c:pie3DChart>
        <c:varyColors val="1"/>
        <c:ser>
          <c:idx val="0"/>
          <c:order val="0"/>
          <c:spPr>
            <a:solidFill>
              <a:srgbClr val="4F81BD"/>
            </a:solidFill>
            <a:ln w="3175">
              <a:solidFill>
                <a:srgbClr val="333399"/>
              </a:solidFill>
              <a:prstDash val="solid"/>
            </a:ln>
          </c:spPr>
          <c:explosion val="12"/>
          <c:dPt>
            <c:idx val="1"/>
            <c:spPr>
              <a:solidFill>
                <a:srgbClr val="C0504D"/>
              </a:solidFill>
              <a:ln w="3175">
                <a:solidFill>
                  <a:srgbClr val="000000"/>
                </a:solidFill>
                <a:prstDash val="solid"/>
              </a:ln>
            </c:spPr>
          </c:dPt>
          <c:dPt>
            <c:idx val="2"/>
            <c:spPr>
              <a:solidFill>
                <a:srgbClr val="9BBB59"/>
              </a:solidFill>
              <a:ln w="3175">
                <a:solidFill>
                  <a:srgbClr val="000000"/>
                </a:solidFill>
                <a:prstDash val="solid"/>
              </a:ln>
            </c:spPr>
          </c:dPt>
          <c:dPt>
            <c:idx val="3"/>
            <c:spPr>
              <a:solidFill>
                <a:srgbClr val="8064A2"/>
              </a:solidFill>
              <a:ln w="3175">
                <a:solidFill>
                  <a:srgbClr val="666699"/>
                </a:solidFill>
                <a:prstDash val="solid"/>
              </a:ln>
            </c:spPr>
          </c:dPt>
          <c:dPt>
            <c:idx val="4"/>
            <c:spPr>
              <a:solidFill>
                <a:srgbClr val="4BACC6"/>
              </a:solidFill>
              <a:ln w="3175">
                <a:solidFill>
                  <a:srgbClr val="339966"/>
                </a:solidFill>
                <a:prstDash val="solid"/>
              </a:ln>
            </c:spPr>
          </c:dPt>
          <c:dLbls>
            <c:dLbl>
              <c:idx val="0"/>
              <c:layout>
                <c:manualLayout>
                  <c:x val="-8.2693303736589743E-2"/>
                  <c:y val="-0.17977589669154301"/>
                </c:manualLayout>
              </c:layout>
              <c:dLblPos val="bestFit"/>
              <c:showVal val="1"/>
              <c:showCatName val="1"/>
            </c:dLbl>
            <c:numFmt formatCode="0%" sourceLinked="0"/>
            <c:spPr>
              <a:noFill/>
              <a:ln w="25400">
                <a:noFill/>
              </a:ln>
            </c:spPr>
            <c:txPr>
              <a:bodyPr/>
              <a:lstStyle/>
              <a:p>
                <a:pPr>
                  <a:defRPr sz="1100" b="1"/>
                </a:pPr>
                <a:endParaRPr lang="en-US"/>
              </a:p>
            </c:txPr>
            <c:showVal val="1"/>
            <c:showCatName val="1"/>
            <c:showLeaderLines val="1"/>
          </c:dLbls>
          <c:cat>
            <c:strRef>
              <c:f>'V.P. of PM'!$D$30:$D$34</c:f>
              <c:strCache>
                <c:ptCount val="5"/>
                <c:pt idx="0">
                  <c:v>Large</c:v>
                </c:pt>
                <c:pt idx="1">
                  <c:v>Mid</c:v>
                </c:pt>
                <c:pt idx="2">
                  <c:v>Small</c:v>
                </c:pt>
                <c:pt idx="3">
                  <c:v>Bond</c:v>
                </c:pt>
                <c:pt idx="4">
                  <c:v>Cash</c:v>
                </c:pt>
              </c:strCache>
            </c:strRef>
          </c:cat>
          <c:val>
            <c:numRef>
              <c:f>'V.P. of PM'!$G$30:$G$34</c:f>
              <c:numCache>
                <c:formatCode>0%</c:formatCode>
                <c:ptCount val="5"/>
                <c:pt idx="0">
                  <c:v>0</c:v>
                </c:pt>
                <c:pt idx="1">
                  <c:v>0</c:v>
                </c:pt>
                <c:pt idx="2">
                  <c:v>0</c:v>
                </c:pt>
                <c:pt idx="3">
                  <c:v>0</c:v>
                </c:pt>
                <c:pt idx="4">
                  <c:v>0</c:v>
                </c:pt>
              </c:numCache>
            </c:numRef>
          </c:val>
        </c:ser>
      </c:pie3DChart>
      <c:spPr>
        <a:noFill/>
        <a:ln w="25400">
          <a:noFill/>
        </a:ln>
      </c:spPr>
    </c:plotArea>
    <c:plotVisOnly val="1"/>
    <c:dispBlanksAs val="zero"/>
  </c:chart>
  <c:spPr>
    <a:solidFill>
      <a:srgbClr val="DCE6F2"/>
    </a:solidFill>
    <a:ln w="3175">
      <a:solidFill>
        <a:srgbClr val="808080"/>
      </a:solidFill>
      <a:prstDash val="solid"/>
    </a:ln>
  </c:spPr>
  <c:userShapes r:id="rId1"/>
</c:chartSpace>
</file>

<file path=xl/charts/chart6.xml><?xml version="1.0" encoding="utf-8"?>
<c:chartSpace xmlns:c="http://schemas.openxmlformats.org/drawingml/2006/chart" xmlns:a="http://schemas.openxmlformats.org/drawingml/2006/main" xmlns:r="http://schemas.openxmlformats.org/officeDocument/2006/relationships">
  <c:lang val="en-US"/>
  <c:style val="35"/>
  <c:chart>
    <c:title>
      <c:tx>
        <c:rich>
          <a:bodyPr/>
          <a:lstStyle/>
          <a:p>
            <a:pPr>
              <a:defRPr sz="1000" b="0" i="0" u="none" strike="noStrike" baseline="0">
                <a:solidFill>
                  <a:srgbClr val="000000"/>
                </a:solidFill>
                <a:latin typeface="Calibri"/>
                <a:ea typeface="Calibri"/>
                <a:cs typeface="Calibri"/>
              </a:defRPr>
            </a:pPr>
            <a:r>
              <a:rPr lang="en-US" sz="1800" b="1" i="0" u="none" strike="noStrike" baseline="0">
                <a:solidFill>
                  <a:srgbClr val="000000"/>
                </a:solidFill>
                <a:latin typeface="Calibri"/>
                <a:ea typeface="Calibri"/>
                <a:cs typeface="Calibri"/>
              </a:rPr>
              <a:t>Seidman Investment Portfolio Organization Performance</a:t>
            </a:r>
          </a:p>
          <a:p>
            <a:pPr>
              <a:defRPr sz="1000" b="0" i="0" u="none" strike="noStrike" baseline="0">
                <a:solidFill>
                  <a:srgbClr val="000000"/>
                </a:solidFill>
                <a:latin typeface="Calibri"/>
                <a:ea typeface="Calibri"/>
                <a:cs typeface="Calibri"/>
              </a:defRPr>
            </a:pPr>
            <a:r>
              <a:rPr lang="en-US" sz="1800" b="1" i="0" u="none" strike="noStrike" baseline="0">
                <a:solidFill>
                  <a:srgbClr val="000000"/>
                </a:solidFill>
                <a:latin typeface="Calibri"/>
                <a:ea typeface="Calibri"/>
                <a:cs typeface="Calibri"/>
              </a:rPr>
              <a:t>Nov 2007 - Present</a:t>
            </a:r>
          </a:p>
        </c:rich>
      </c:tx>
      <c:layout>
        <c:manualLayout>
          <c:xMode val="edge"/>
          <c:yMode val="edge"/>
          <c:x val="0.23865933945757131"/>
          <c:y val="2.5068435237541577E-2"/>
        </c:manualLayout>
      </c:layout>
      <c:spPr>
        <a:noFill/>
        <a:ln w="25400">
          <a:noFill/>
        </a:ln>
      </c:spPr>
    </c:title>
    <c:plotArea>
      <c:layout>
        <c:manualLayout>
          <c:layoutTarget val="inner"/>
          <c:xMode val="edge"/>
          <c:yMode val="edge"/>
          <c:x val="0.10619157911926112"/>
          <c:y val="0.22483258315951288"/>
          <c:w val="0.80403069261806115"/>
          <c:h val="0.56375931299699877"/>
        </c:manualLayout>
      </c:layout>
      <c:scatterChart>
        <c:scatterStyle val="lineMarker"/>
        <c:ser>
          <c:idx val="0"/>
          <c:order val="0"/>
          <c:tx>
            <c:v>Portfolio Value</c:v>
          </c:tx>
          <c:spPr>
            <a:ln w="38100">
              <a:solidFill>
                <a:schemeClr val="tx2"/>
              </a:solidFill>
              <a:prstDash val="solid"/>
            </a:ln>
          </c:spPr>
          <c:marker>
            <c:symbol val="none"/>
          </c:marker>
          <c:xVal>
            <c:numRef>
              <c:f>Data!$B$195:$B$481</c:f>
              <c:numCache>
                <c:formatCode>m/d/yyyy</c:formatCode>
                <c:ptCount val="287"/>
                <c:pt idx="0">
                  <c:v>39087</c:v>
                </c:pt>
                <c:pt idx="1">
                  <c:v>39094</c:v>
                </c:pt>
                <c:pt idx="2">
                  <c:v>39101</c:v>
                </c:pt>
                <c:pt idx="3">
                  <c:v>39108</c:v>
                </c:pt>
                <c:pt idx="4">
                  <c:v>39115</c:v>
                </c:pt>
                <c:pt idx="5">
                  <c:v>39122</c:v>
                </c:pt>
                <c:pt idx="6">
                  <c:v>39129</c:v>
                </c:pt>
                <c:pt idx="7">
                  <c:v>39136</c:v>
                </c:pt>
                <c:pt idx="8">
                  <c:v>39143</c:v>
                </c:pt>
                <c:pt idx="9">
                  <c:v>39150</c:v>
                </c:pt>
                <c:pt idx="10">
                  <c:v>39157</c:v>
                </c:pt>
                <c:pt idx="11">
                  <c:v>39164</c:v>
                </c:pt>
                <c:pt idx="12">
                  <c:v>39171</c:v>
                </c:pt>
                <c:pt idx="13">
                  <c:v>39178</c:v>
                </c:pt>
                <c:pt idx="14">
                  <c:v>39185</c:v>
                </c:pt>
                <c:pt idx="15">
                  <c:v>39192</c:v>
                </c:pt>
                <c:pt idx="16">
                  <c:v>39199</c:v>
                </c:pt>
                <c:pt idx="17">
                  <c:v>39206</c:v>
                </c:pt>
                <c:pt idx="18">
                  <c:v>39213</c:v>
                </c:pt>
                <c:pt idx="19">
                  <c:v>39220</c:v>
                </c:pt>
                <c:pt idx="20">
                  <c:v>39227</c:v>
                </c:pt>
                <c:pt idx="21">
                  <c:v>39234</c:v>
                </c:pt>
                <c:pt idx="22">
                  <c:v>39241</c:v>
                </c:pt>
                <c:pt idx="23">
                  <c:v>39248</c:v>
                </c:pt>
                <c:pt idx="24">
                  <c:v>39255</c:v>
                </c:pt>
                <c:pt idx="25">
                  <c:v>39262</c:v>
                </c:pt>
                <c:pt idx="26">
                  <c:v>39269</c:v>
                </c:pt>
                <c:pt idx="27">
                  <c:v>39276</c:v>
                </c:pt>
                <c:pt idx="28">
                  <c:v>39283</c:v>
                </c:pt>
                <c:pt idx="29">
                  <c:v>39290</c:v>
                </c:pt>
                <c:pt idx="30">
                  <c:v>39297</c:v>
                </c:pt>
                <c:pt idx="31">
                  <c:v>39304</c:v>
                </c:pt>
                <c:pt idx="32">
                  <c:v>39311</c:v>
                </c:pt>
                <c:pt idx="33">
                  <c:v>39318</c:v>
                </c:pt>
                <c:pt idx="34">
                  <c:v>39325</c:v>
                </c:pt>
                <c:pt idx="35">
                  <c:v>39332</c:v>
                </c:pt>
                <c:pt idx="36">
                  <c:v>39339</c:v>
                </c:pt>
                <c:pt idx="37">
                  <c:v>39346</c:v>
                </c:pt>
                <c:pt idx="38">
                  <c:v>39353</c:v>
                </c:pt>
                <c:pt idx="39">
                  <c:v>39360</c:v>
                </c:pt>
                <c:pt idx="40">
                  <c:v>39367</c:v>
                </c:pt>
                <c:pt idx="41">
                  <c:v>39374</c:v>
                </c:pt>
                <c:pt idx="42">
                  <c:v>39381</c:v>
                </c:pt>
                <c:pt idx="43">
                  <c:v>39388</c:v>
                </c:pt>
                <c:pt idx="44">
                  <c:v>39405</c:v>
                </c:pt>
                <c:pt idx="45">
                  <c:v>39417</c:v>
                </c:pt>
                <c:pt idx="46">
                  <c:v>39438</c:v>
                </c:pt>
                <c:pt idx="47">
                  <c:v>39452</c:v>
                </c:pt>
                <c:pt idx="48">
                  <c:v>39459</c:v>
                </c:pt>
                <c:pt idx="49">
                  <c:v>39466</c:v>
                </c:pt>
                <c:pt idx="50">
                  <c:v>39480</c:v>
                </c:pt>
                <c:pt idx="51">
                  <c:v>39487</c:v>
                </c:pt>
                <c:pt idx="52">
                  <c:v>39496</c:v>
                </c:pt>
                <c:pt idx="53">
                  <c:v>39503</c:v>
                </c:pt>
                <c:pt idx="54">
                  <c:v>39510</c:v>
                </c:pt>
                <c:pt idx="55">
                  <c:v>39517</c:v>
                </c:pt>
                <c:pt idx="56">
                  <c:v>39531</c:v>
                </c:pt>
                <c:pt idx="57">
                  <c:v>39538</c:v>
                </c:pt>
                <c:pt idx="58">
                  <c:v>39549</c:v>
                </c:pt>
                <c:pt idx="59">
                  <c:v>39556</c:v>
                </c:pt>
                <c:pt idx="60">
                  <c:v>39571</c:v>
                </c:pt>
                <c:pt idx="61">
                  <c:v>39585</c:v>
                </c:pt>
                <c:pt idx="62">
                  <c:v>39592</c:v>
                </c:pt>
                <c:pt idx="63">
                  <c:v>39599</c:v>
                </c:pt>
                <c:pt idx="64">
                  <c:v>39606</c:v>
                </c:pt>
                <c:pt idx="65">
                  <c:v>39620</c:v>
                </c:pt>
                <c:pt idx="66">
                  <c:v>39639</c:v>
                </c:pt>
                <c:pt idx="67">
                  <c:v>39646</c:v>
                </c:pt>
                <c:pt idx="68">
                  <c:v>39653</c:v>
                </c:pt>
                <c:pt idx="69">
                  <c:v>39660</c:v>
                </c:pt>
                <c:pt idx="70">
                  <c:v>39667</c:v>
                </c:pt>
                <c:pt idx="71">
                  <c:v>39674</c:v>
                </c:pt>
                <c:pt idx="72">
                  <c:v>39681</c:v>
                </c:pt>
                <c:pt idx="73">
                  <c:v>39688</c:v>
                </c:pt>
                <c:pt idx="74">
                  <c:v>39695</c:v>
                </c:pt>
                <c:pt idx="75">
                  <c:v>39702</c:v>
                </c:pt>
                <c:pt idx="76">
                  <c:v>39709</c:v>
                </c:pt>
                <c:pt idx="77">
                  <c:v>39716</c:v>
                </c:pt>
                <c:pt idx="78">
                  <c:v>39723</c:v>
                </c:pt>
                <c:pt idx="79">
                  <c:v>39730</c:v>
                </c:pt>
                <c:pt idx="80">
                  <c:v>39737</c:v>
                </c:pt>
                <c:pt idx="81">
                  <c:v>39744</c:v>
                </c:pt>
                <c:pt idx="82">
                  <c:v>39751</c:v>
                </c:pt>
                <c:pt idx="83">
                  <c:v>39758</c:v>
                </c:pt>
                <c:pt idx="84">
                  <c:v>39765</c:v>
                </c:pt>
                <c:pt idx="85">
                  <c:v>39772</c:v>
                </c:pt>
                <c:pt idx="86">
                  <c:v>39779</c:v>
                </c:pt>
                <c:pt idx="87">
                  <c:v>39786</c:v>
                </c:pt>
                <c:pt idx="88">
                  <c:v>39793</c:v>
                </c:pt>
                <c:pt idx="89">
                  <c:v>39800</c:v>
                </c:pt>
                <c:pt idx="90">
                  <c:v>39807</c:v>
                </c:pt>
                <c:pt idx="91">
                  <c:v>39814</c:v>
                </c:pt>
                <c:pt idx="92">
                  <c:v>39821</c:v>
                </c:pt>
                <c:pt idx="93">
                  <c:v>39828</c:v>
                </c:pt>
                <c:pt idx="94">
                  <c:v>39835</c:v>
                </c:pt>
                <c:pt idx="95">
                  <c:v>39842</c:v>
                </c:pt>
                <c:pt idx="96">
                  <c:v>39849</c:v>
                </c:pt>
                <c:pt idx="97">
                  <c:v>39856</c:v>
                </c:pt>
                <c:pt idx="98">
                  <c:v>39863</c:v>
                </c:pt>
                <c:pt idx="99">
                  <c:v>39870</c:v>
                </c:pt>
                <c:pt idx="100">
                  <c:v>39877</c:v>
                </c:pt>
                <c:pt idx="101">
                  <c:v>39884</c:v>
                </c:pt>
                <c:pt idx="102">
                  <c:v>39891</c:v>
                </c:pt>
                <c:pt idx="103">
                  <c:v>39898</c:v>
                </c:pt>
                <c:pt idx="104">
                  <c:v>39905</c:v>
                </c:pt>
                <c:pt idx="105">
                  <c:v>39912</c:v>
                </c:pt>
                <c:pt idx="106">
                  <c:v>39919</c:v>
                </c:pt>
                <c:pt idx="107">
                  <c:v>39926</c:v>
                </c:pt>
                <c:pt idx="108">
                  <c:v>39933</c:v>
                </c:pt>
                <c:pt idx="109">
                  <c:v>39940</c:v>
                </c:pt>
                <c:pt idx="110">
                  <c:v>39947</c:v>
                </c:pt>
                <c:pt idx="111">
                  <c:v>39954</c:v>
                </c:pt>
                <c:pt idx="112">
                  <c:v>39961</c:v>
                </c:pt>
                <c:pt idx="113">
                  <c:v>39968</c:v>
                </c:pt>
                <c:pt idx="114">
                  <c:v>39975</c:v>
                </c:pt>
                <c:pt idx="115">
                  <c:v>39982</c:v>
                </c:pt>
                <c:pt idx="116">
                  <c:v>39989</c:v>
                </c:pt>
                <c:pt idx="117">
                  <c:v>39996</c:v>
                </c:pt>
                <c:pt idx="118">
                  <c:v>40003</c:v>
                </c:pt>
                <c:pt idx="119">
                  <c:v>40010</c:v>
                </c:pt>
                <c:pt idx="120">
                  <c:v>40017</c:v>
                </c:pt>
                <c:pt idx="121">
                  <c:v>40024</c:v>
                </c:pt>
                <c:pt idx="122">
                  <c:v>40031</c:v>
                </c:pt>
                <c:pt idx="123">
                  <c:v>40038</c:v>
                </c:pt>
                <c:pt idx="124">
                  <c:v>40045</c:v>
                </c:pt>
                <c:pt idx="125">
                  <c:v>40052</c:v>
                </c:pt>
                <c:pt idx="126">
                  <c:v>40059</c:v>
                </c:pt>
                <c:pt idx="127">
                  <c:v>40066</c:v>
                </c:pt>
                <c:pt idx="128">
                  <c:v>40073</c:v>
                </c:pt>
                <c:pt idx="129">
                  <c:v>40080</c:v>
                </c:pt>
                <c:pt idx="130">
                  <c:v>40087</c:v>
                </c:pt>
                <c:pt idx="131">
                  <c:v>40094</c:v>
                </c:pt>
                <c:pt idx="132">
                  <c:v>40101</c:v>
                </c:pt>
                <c:pt idx="133">
                  <c:v>40108</c:v>
                </c:pt>
                <c:pt idx="134">
                  <c:v>40115</c:v>
                </c:pt>
                <c:pt idx="135">
                  <c:v>40122</c:v>
                </c:pt>
                <c:pt idx="136">
                  <c:v>40129</c:v>
                </c:pt>
                <c:pt idx="137">
                  <c:v>40136</c:v>
                </c:pt>
                <c:pt idx="138">
                  <c:v>40143</c:v>
                </c:pt>
                <c:pt idx="139">
                  <c:v>40150</c:v>
                </c:pt>
                <c:pt idx="140">
                  <c:v>40157</c:v>
                </c:pt>
                <c:pt idx="141">
                  <c:v>40164</c:v>
                </c:pt>
                <c:pt idx="142">
                  <c:v>40171</c:v>
                </c:pt>
                <c:pt idx="143">
                  <c:v>40178</c:v>
                </c:pt>
                <c:pt idx="144">
                  <c:v>40185</c:v>
                </c:pt>
                <c:pt idx="145">
                  <c:v>40192</c:v>
                </c:pt>
                <c:pt idx="146">
                  <c:v>40199</c:v>
                </c:pt>
                <c:pt idx="147">
                  <c:v>40206</c:v>
                </c:pt>
                <c:pt idx="148">
                  <c:v>40213</c:v>
                </c:pt>
                <c:pt idx="149">
                  <c:v>40220</c:v>
                </c:pt>
                <c:pt idx="150">
                  <c:v>40227</c:v>
                </c:pt>
                <c:pt idx="151">
                  <c:v>40234</c:v>
                </c:pt>
                <c:pt idx="152">
                  <c:v>40241</c:v>
                </c:pt>
                <c:pt idx="153">
                  <c:v>40248</c:v>
                </c:pt>
                <c:pt idx="154">
                  <c:v>40255</c:v>
                </c:pt>
                <c:pt idx="155">
                  <c:v>40262</c:v>
                </c:pt>
                <c:pt idx="156">
                  <c:v>40269</c:v>
                </c:pt>
                <c:pt idx="157">
                  <c:v>40276</c:v>
                </c:pt>
                <c:pt idx="158">
                  <c:v>40283</c:v>
                </c:pt>
                <c:pt idx="159">
                  <c:v>40290</c:v>
                </c:pt>
                <c:pt idx="160">
                  <c:v>40297</c:v>
                </c:pt>
                <c:pt idx="161">
                  <c:v>40304</c:v>
                </c:pt>
                <c:pt idx="162">
                  <c:v>40311</c:v>
                </c:pt>
                <c:pt idx="163">
                  <c:v>40318</c:v>
                </c:pt>
                <c:pt idx="164">
                  <c:v>40325</c:v>
                </c:pt>
                <c:pt idx="165">
                  <c:v>40332</c:v>
                </c:pt>
                <c:pt idx="166">
                  <c:v>40339</c:v>
                </c:pt>
                <c:pt idx="167">
                  <c:v>40346</c:v>
                </c:pt>
                <c:pt idx="168">
                  <c:v>40353</c:v>
                </c:pt>
                <c:pt idx="169">
                  <c:v>40360</c:v>
                </c:pt>
                <c:pt idx="170">
                  <c:v>40367</c:v>
                </c:pt>
                <c:pt idx="171">
                  <c:v>40374</c:v>
                </c:pt>
                <c:pt idx="172">
                  <c:v>40381</c:v>
                </c:pt>
                <c:pt idx="173">
                  <c:v>40388</c:v>
                </c:pt>
                <c:pt idx="174">
                  <c:v>40395</c:v>
                </c:pt>
                <c:pt idx="175">
                  <c:v>40402</c:v>
                </c:pt>
                <c:pt idx="176">
                  <c:v>40409</c:v>
                </c:pt>
                <c:pt idx="177">
                  <c:v>40416</c:v>
                </c:pt>
                <c:pt idx="178">
                  <c:v>40423</c:v>
                </c:pt>
                <c:pt idx="179">
                  <c:v>40430</c:v>
                </c:pt>
                <c:pt idx="180">
                  <c:v>40437</c:v>
                </c:pt>
                <c:pt idx="181">
                  <c:v>40444</c:v>
                </c:pt>
                <c:pt idx="182">
                  <c:v>40451</c:v>
                </c:pt>
                <c:pt idx="183">
                  <c:v>40458</c:v>
                </c:pt>
                <c:pt idx="184">
                  <c:v>40465</c:v>
                </c:pt>
                <c:pt idx="185">
                  <c:v>40472</c:v>
                </c:pt>
                <c:pt idx="186">
                  <c:v>40479</c:v>
                </c:pt>
                <c:pt idx="187">
                  <c:v>40486</c:v>
                </c:pt>
                <c:pt idx="188">
                  <c:v>40493</c:v>
                </c:pt>
                <c:pt idx="189">
                  <c:v>40500</c:v>
                </c:pt>
                <c:pt idx="190">
                  <c:v>40507</c:v>
                </c:pt>
                <c:pt idx="191">
                  <c:v>40514</c:v>
                </c:pt>
                <c:pt idx="192">
                  <c:v>40521</c:v>
                </c:pt>
                <c:pt idx="193">
                  <c:v>40528</c:v>
                </c:pt>
                <c:pt idx="194">
                  <c:v>40535</c:v>
                </c:pt>
                <c:pt idx="195">
                  <c:v>40542</c:v>
                </c:pt>
                <c:pt idx="196">
                  <c:v>40549</c:v>
                </c:pt>
                <c:pt idx="197">
                  <c:v>40556</c:v>
                </c:pt>
                <c:pt idx="198">
                  <c:v>40563</c:v>
                </c:pt>
                <c:pt idx="199">
                  <c:v>40570</c:v>
                </c:pt>
                <c:pt idx="200">
                  <c:v>40577</c:v>
                </c:pt>
                <c:pt idx="201">
                  <c:v>40584</c:v>
                </c:pt>
                <c:pt idx="202">
                  <c:v>40591</c:v>
                </c:pt>
                <c:pt idx="203">
                  <c:v>40598</c:v>
                </c:pt>
                <c:pt idx="204">
                  <c:v>40605</c:v>
                </c:pt>
                <c:pt idx="205">
                  <c:v>40612</c:v>
                </c:pt>
                <c:pt idx="206">
                  <c:v>40619</c:v>
                </c:pt>
                <c:pt idx="207">
                  <c:v>40626</c:v>
                </c:pt>
                <c:pt idx="208">
                  <c:v>40633</c:v>
                </c:pt>
                <c:pt idx="209">
                  <c:v>40640</c:v>
                </c:pt>
                <c:pt idx="210">
                  <c:v>40647</c:v>
                </c:pt>
                <c:pt idx="211">
                  <c:v>40654</c:v>
                </c:pt>
                <c:pt idx="212">
                  <c:v>40661</c:v>
                </c:pt>
                <c:pt idx="213">
                  <c:v>40668</c:v>
                </c:pt>
                <c:pt idx="214">
                  <c:v>40675</c:v>
                </c:pt>
                <c:pt idx="215">
                  <c:v>40682</c:v>
                </c:pt>
                <c:pt idx="216">
                  <c:v>40689</c:v>
                </c:pt>
                <c:pt idx="217">
                  <c:v>40696</c:v>
                </c:pt>
                <c:pt idx="218">
                  <c:v>40703</c:v>
                </c:pt>
                <c:pt idx="219">
                  <c:v>40710</c:v>
                </c:pt>
                <c:pt idx="220">
                  <c:v>40717</c:v>
                </c:pt>
                <c:pt idx="221">
                  <c:v>40724</c:v>
                </c:pt>
                <c:pt idx="222">
                  <c:v>40731</c:v>
                </c:pt>
                <c:pt idx="223">
                  <c:v>40738</c:v>
                </c:pt>
                <c:pt idx="224">
                  <c:v>40745</c:v>
                </c:pt>
                <c:pt idx="225">
                  <c:v>40752</c:v>
                </c:pt>
                <c:pt idx="226">
                  <c:v>40759</c:v>
                </c:pt>
                <c:pt idx="227">
                  <c:v>40766</c:v>
                </c:pt>
                <c:pt idx="228">
                  <c:v>40773</c:v>
                </c:pt>
                <c:pt idx="229">
                  <c:v>40780</c:v>
                </c:pt>
                <c:pt idx="230">
                  <c:v>40787</c:v>
                </c:pt>
                <c:pt idx="231">
                  <c:v>40794</c:v>
                </c:pt>
                <c:pt idx="232">
                  <c:v>40801</c:v>
                </c:pt>
                <c:pt idx="233">
                  <c:v>40808</c:v>
                </c:pt>
                <c:pt idx="234">
                  <c:v>40815</c:v>
                </c:pt>
                <c:pt idx="235">
                  <c:v>40822</c:v>
                </c:pt>
                <c:pt idx="236">
                  <c:v>40829</c:v>
                </c:pt>
                <c:pt idx="237">
                  <c:v>40836</c:v>
                </c:pt>
                <c:pt idx="238">
                  <c:v>40843</c:v>
                </c:pt>
                <c:pt idx="239">
                  <c:v>40850</c:v>
                </c:pt>
                <c:pt idx="240">
                  <c:v>40857</c:v>
                </c:pt>
                <c:pt idx="241">
                  <c:v>40864</c:v>
                </c:pt>
                <c:pt idx="242">
                  <c:v>40871</c:v>
                </c:pt>
                <c:pt idx="243">
                  <c:v>40878</c:v>
                </c:pt>
                <c:pt idx="244">
                  <c:v>40885</c:v>
                </c:pt>
                <c:pt idx="245">
                  <c:v>40892</c:v>
                </c:pt>
                <c:pt idx="246">
                  <c:v>40899</c:v>
                </c:pt>
                <c:pt idx="247">
                  <c:v>40906</c:v>
                </c:pt>
                <c:pt idx="248">
                  <c:v>40913</c:v>
                </c:pt>
                <c:pt idx="249">
                  <c:v>40920</c:v>
                </c:pt>
                <c:pt idx="250">
                  <c:v>40927</c:v>
                </c:pt>
                <c:pt idx="251">
                  <c:v>40934</c:v>
                </c:pt>
                <c:pt idx="252">
                  <c:v>40941</c:v>
                </c:pt>
                <c:pt idx="253">
                  <c:v>40948</c:v>
                </c:pt>
                <c:pt idx="254">
                  <c:v>40955</c:v>
                </c:pt>
                <c:pt idx="255">
                  <c:v>40962</c:v>
                </c:pt>
                <c:pt idx="256">
                  <c:v>40969</c:v>
                </c:pt>
                <c:pt idx="257">
                  <c:v>40976</c:v>
                </c:pt>
                <c:pt idx="258">
                  <c:v>40983</c:v>
                </c:pt>
                <c:pt idx="259">
                  <c:v>40990</c:v>
                </c:pt>
                <c:pt idx="260">
                  <c:v>40997</c:v>
                </c:pt>
                <c:pt idx="261">
                  <c:v>41004</c:v>
                </c:pt>
                <c:pt idx="262">
                  <c:v>41011</c:v>
                </c:pt>
                <c:pt idx="263">
                  <c:v>41018</c:v>
                </c:pt>
                <c:pt idx="264">
                  <c:v>41025</c:v>
                </c:pt>
                <c:pt idx="265">
                  <c:v>41032</c:v>
                </c:pt>
                <c:pt idx="266">
                  <c:v>41039</c:v>
                </c:pt>
                <c:pt idx="267">
                  <c:v>41046</c:v>
                </c:pt>
                <c:pt idx="268">
                  <c:v>41053</c:v>
                </c:pt>
                <c:pt idx="269">
                  <c:v>41060</c:v>
                </c:pt>
                <c:pt idx="270">
                  <c:v>41067</c:v>
                </c:pt>
                <c:pt idx="271">
                  <c:v>41074</c:v>
                </c:pt>
                <c:pt idx="272">
                  <c:v>41081</c:v>
                </c:pt>
                <c:pt idx="273">
                  <c:v>41088</c:v>
                </c:pt>
                <c:pt idx="274">
                  <c:v>41095</c:v>
                </c:pt>
                <c:pt idx="275">
                  <c:v>41102</c:v>
                </c:pt>
                <c:pt idx="276">
                  <c:v>41109</c:v>
                </c:pt>
                <c:pt idx="277">
                  <c:v>41116</c:v>
                </c:pt>
                <c:pt idx="278">
                  <c:v>41123</c:v>
                </c:pt>
                <c:pt idx="279">
                  <c:v>41130</c:v>
                </c:pt>
                <c:pt idx="280">
                  <c:v>41137</c:v>
                </c:pt>
                <c:pt idx="281">
                  <c:v>41144</c:v>
                </c:pt>
                <c:pt idx="282">
                  <c:v>41151</c:v>
                </c:pt>
                <c:pt idx="283">
                  <c:v>41158</c:v>
                </c:pt>
                <c:pt idx="284">
                  <c:v>41165</c:v>
                </c:pt>
                <c:pt idx="285">
                  <c:v>41172</c:v>
                </c:pt>
                <c:pt idx="286">
                  <c:v>41179</c:v>
                </c:pt>
              </c:numCache>
            </c:numRef>
          </c:xVal>
          <c:yVal>
            <c:numRef>
              <c:f>Data!$D$195:$D$481</c:f>
              <c:numCache>
                <c:formatCode>#,##0.00_);[Red]\(#,##0.00\)</c:formatCode>
                <c:ptCount val="287"/>
                <c:pt idx="0">
                  <c:v>34614</c:v>
                </c:pt>
                <c:pt idx="1">
                  <c:v>34615</c:v>
                </c:pt>
                <c:pt idx="2">
                  <c:v>34616</c:v>
                </c:pt>
                <c:pt idx="3">
                  <c:v>33961</c:v>
                </c:pt>
                <c:pt idx="4">
                  <c:v>33962</c:v>
                </c:pt>
                <c:pt idx="5">
                  <c:v>33963</c:v>
                </c:pt>
                <c:pt idx="6">
                  <c:v>33964</c:v>
                </c:pt>
                <c:pt idx="7">
                  <c:v>32963</c:v>
                </c:pt>
                <c:pt idx="8">
                  <c:v>32964</c:v>
                </c:pt>
                <c:pt idx="9">
                  <c:v>32965</c:v>
                </c:pt>
                <c:pt idx="10">
                  <c:v>32966</c:v>
                </c:pt>
                <c:pt idx="11">
                  <c:v>32967</c:v>
                </c:pt>
                <c:pt idx="12">
                  <c:v>33284</c:v>
                </c:pt>
                <c:pt idx="13">
                  <c:v>33285</c:v>
                </c:pt>
                <c:pt idx="14">
                  <c:v>33286</c:v>
                </c:pt>
                <c:pt idx="15">
                  <c:v>33287</c:v>
                </c:pt>
                <c:pt idx="16">
                  <c:v>34908</c:v>
                </c:pt>
                <c:pt idx="17">
                  <c:v>34909</c:v>
                </c:pt>
                <c:pt idx="18">
                  <c:v>34910</c:v>
                </c:pt>
                <c:pt idx="19">
                  <c:v>34911</c:v>
                </c:pt>
                <c:pt idx="20">
                  <c:v>35654</c:v>
                </c:pt>
                <c:pt idx="21">
                  <c:v>35654</c:v>
                </c:pt>
                <c:pt idx="22">
                  <c:v>35654</c:v>
                </c:pt>
                <c:pt idx="23">
                  <c:v>35654</c:v>
                </c:pt>
                <c:pt idx="24">
                  <c:v>35654</c:v>
                </c:pt>
                <c:pt idx="25">
                  <c:v>36359</c:v>
                </c:pt>
                <c:pt idx="26">
                  <c:v>36360</c:v>
                </c:pt>
                <c:pt idx="27">
                  <c:v>36361</c:v>
                </c:pt>
                <c:pt idx="28">
                  <c:v>36362</c:v>
                </c:pt>
                <c:pt idx="29">
                  <c:v>36576</c:v>
                </c:pt>
                <c:pt idx="30">
                  <c:v>36577</c:v>
                </c:pt>
                <c:pt idx="31">
                  <c:v>36578</c:v>
                </c:pt>
                <c:pt idx="32">
                  <c:v>36579</c:v>
                </c:pt>
                <c:pt idx="33">
                  <c:v>36580</c:v>
                </c:pt>
                <c:pt idx="34">
                  <c:v>37382</c:v>
                </c:pt>
                <c:pt idx="35">
                  <c:v>37383</c:v>
                </c:pt>
                <c:pt idx="36">
                  <c:v>37384</c:v>
                </c:pt>
                <c:pt idx="37">
                  <c:v>37385</c:v>
                </c:pt>
                <c:pt idx="38">
                  <c:v>39566</c:v>
                </c:pt>
                <c:pt idx="39">
                  <c:v>39567</c:v>
                </c:pt>
                <c:pt idx="40">
                  <c:v>39568</c:v>
                </c:pt>
                <c:pt idx="41">
                  <c:v>39456</c:v>
                </c:pt>
                <c:pt idx="42">
                  <c:v>39456</c:v>
                </c:pt>
                <c:pt idx="43">
                  <c:v>39000</c:v>
                </c:pt>
                <c:pt idx="44">
                  <c:v>38500</c:v>
                </c:pt>
                <c:pt idx="45">
                  <c:v>37514</c:v>
                </c:pt>
                <c:pt idx="46">
                  <c:v>37126.519999999997</c:v>
                </c:pt>
                <c:pt idx="47">
                  <c:v>38985</c:v>
                </c:pt>
                <c:pt idx="48">
                  <c:v>36905</c:v>
                </c:pt>
                <c:pt idx="49">
                  <c:v>34854</c:v>
                </c:pt>
                <c:pt idx="50">
                  <c:v>37182</c:v>
                </c:pt>
                <c:pt idx="51">
                  <c:v>35617</c:v>
                </c:pt>
                <c:pt idx="52">
                  <c:v>36144</c:v>
                </c:pt>
                <c:pt idx="53">
                  <c:v>36808</c:v>
                </c:pt>
                <c:pt idx="54">
                  <c:v>34347</c:v>
                </c:pt>
                <c:pt idx="55">
                  <c:v>34818</c:v>
                </c:pt>
                <c:pt idx="56">
                  <c:v>36465</c:v>
                </c:pt>
                <c:pt idx="57">
                  <c:v>35855</c:v>
                </c:pt>
                <c:pt idx="58">
                  <c:v>36287</c:v>
                </c:pt>
                <c:pt idx="59">
                  <c:v>37282</c:v>
                </c:pt>
                <c:pt idx="60">
                  <c:v>38672</c:v>
                </c:pt>
                <c:pt idx="61">
                  <c:v>38529</c:v>
                </c:pt>
                <c:pt idx="62">
                  <c:v>37819</c:v>
                </c:pt>
                <c:pt idx="63">
                  <c:v>38670</c:v>
                </c:pt>
                <c:pt idx="64">
                  <c:v>37675</c:v>
                </c:pt>
                <c:pt idx="65">
                  <c:v>36796</c:v>
                </c:pt>
                <c:pt idx="66">
                  <c:v>35862</c:v>
                </c:pt>
                <c:pt idx="67">
                  <c:v>36001.449999999997</c:v>
                </c:pt>
                <c:pt idx="68">
                  <c:v>36045.230000000003</c:v>
                </c:pt>
                <c:pt idx="69">
                  <c:v>37261.08</c:v>
                </c:pt>
                <c:pt idx="70">
                  <c:v>37004.269999999997</c:v>
                </c:pt>
                <c:pt idx="71">
                  <c:v>36843.94</c:v>
                </c:pt>
                <c:pt idx="72">
                  <c:v>36990.07</c:v>
                </c:pt>
                <c:pt idx="73">
                  <c:v>36245.360000000001</c:v>
                </c:pt>
                <c:pt idx="74">
                  <c:v>35105.050000000003</c:v>
                </c:pt>
                <c:pt idx="75">
                  <c:v>35100.04</c:v>
                </c:pt>
                <c:pt idx="76">
                  <c:v>34052.67</c:v>
                </c:pt>
                <c:pt idx="77">
                  <c:v>34576.71</c:v>
                </c:pt>
                <c:pt idx="78">
                  <c:v>32170.22</c:v>
                </c:pt>
                <c:pt idx="79">
                  <c:v>26110.18</c:v>
                </c:pt>
                <c:pt idx="80">
                  <c:v>27300</c:v>
                </c:pt>
                <c:pt idx="81">
                  <c:v>26069.88</c:v>
                </c:pt>
                <c:pt idx="82">
                  <c:v>26893.040000000001</c:v>
                </c:pt>
                <c:pt idx="83">
                  <c:v>26651.17</c:v>
                </c:pt>
                <c:pt idx="84">
                  <c:v>26342.12</c:v>
                </c:pt>
                <c:pt idx="85">
                  <c:v>26129.34</c:v>
                </c:pt>
                <c:pt idx="86">
                  <c:v>25639.75</c:v>
                </c:pt>
                <c:pt idx="87">
                  <c:v>25732.83</c:v>
                </c:pt>
                <c:pt idx="88">
                  <c:v>25901.23</c:v>
                </c:pt>
                <c:pt idx="89">
                  <c:v>26105.83</c:v>
                </c:pt>
                <c:pt idx="90">
                  <c:v>25998.34</c:v>
                </c:pt>
                <c:pt idx="91">
                  <c:v>26188.93</c:v>
                </c:pt>
                <c:pt idx="92">
                  <c:v>25940.33</c:v>
                </c:pt>
                <c:pt idx="93">
                  <c:v>24993.23</c:v>
                </c:pt>
                <c:pt idx="94">
                  <c:v>23370.76</c:v>
                </c:pt>
                <c:pt idx="95">
                  <c:v>23715</c:v>
                </c:pt>
                <c:pt idx="96">
                  <c:v>24215.34</c:v>
                </c:pt>
                <c:pt idx="97">
                  <c:v>23485.34</c:v>
                </c:pt>
                <c:pt idx="98">
                  <c:v>23456.23</c:v>
                </c:pt>
                <c:pt idx="99">
                  <c:v>22009.78</c:v>
                </c:pt>
                <c:pt idx="100">
                  <c:v>21345.55</c:v>
                </c:pt>
                <c:pt idx="101">
                  <c:v>21372.639999999999</c:v>
                </c:pt>
                <c:pt idx="102">
                  <c:v>22311.34</c:v>
                </c:pt>
                <c:pt idx="103">
                  <c:v>23910.400000000001</c:v>
                </c:pt>
                <c:pt idx="104">
                  <c:v>22974.080000000002</c:v>
                </c:pt>
                <c:pt idx="105">
                  <c:v>25554.93</c:v>
                </c:pt>
                <c:pt idx="106">
                  <c:v>26045.54</c:v>
                </c:pt>
                <c:pt idx="107">
                  <c:v>25650.22</c:v>
                </c:pt>
                <c:pt idx="108">
                  <c:v>26697.82</c:v>
                </c:pt>
                <c:pt idx="109">
                  <c:v>27393.79</c:v>
                </c:pt>
                <c:pt idx="110">
                  <c:v>26900.745000000003</c:v>
                </c:pt>
                <c:pt idx="111">
                  <c:v>27277.64</c:v>
                </c:pt>
                <c:pt idx="112">
                  <c:v>27585.62</c:v>
                </c:pt>
                <c:pt idx="113">
                  <c:v>28232.87</c:v>
                </c:pt>
                <c:pt idx="114">
                  <c:v>30020.61</c:v>
                </c:pt>
                <c:pt idx="115">
                  <c:v>28299.49</c:v>
                </c:pt>
                <c:pt idx="116">
                  <c:v>28207.85</c:v>
                </c:pt>
                <c:pt idx="117">
                  <c:v>28313.53</c:v>
                </c:pt>
                <c:pt idx="118">
                  <c:v>26996</c:v>
                </c:pt>
                <c:pt idx="119">
                  <c:v>28677.91</c:v>
                </c:pt>
                <c:pt idx="120">
                  <c:v>29702.58</c:v>
                </c:pt>
                <c:pt idx="121">
                  <c:v>29917.360000000001</c:v>
                </c:pt>
                <c:pt idx="122">
                  <c:v>30051.040000000001</c:v>
                </c:pt>
                <c:pt idx="123">
                  <c:v>30831.17</c:v>
                </c:pt>
                <c:pt idx="124">
                  <c:v>30445.3613</c:v>
                </c:pt>
                <c:pt idx="125">
                  <c:v>30705.94</c:v>
                </c:pt>
                <c:pt idx="126" formatCode="#,##0.00">
                  <c:v>30696.06</c:v>
                </c:pt>
                <c:pt idx="127">
                  <c:v>31817.5</c:v>
                </c:pt>
                <c:pt idx="128">
                  <c:v>32359.077969999998</c:v>
                </c:pt>
                <c:pt idx="129">
                  <c:v>31627.79</c:v>
                </c:pt>
                <c:pt idx="130" formatCode="General">
                  <c:v>31130.51</c:v>
                </c:pt>
                <c:pt idx="131">
                  <c:v>32453.32</c:v>
                </c:pt>
                <c:pt idx="132" formatCode="#,##0.00">
                  <c:v>33222.78</c:v>
                </c:pt>
                <c:pt idx="133">
                  <c:v>32919.43</c:v>
                </c:pt>
                <c:pt idx="134">
                  <c:v>32396.959999999999</c:v>
                </c:pt>
                <c:pt idx="135">
                  <c:v>32628.34</c:v>
                </c:pt>
                <c:pt idx="136">
                  <c:v>32834.629999999997</c:v>
                </c:pt>
                <c:pt idx="137">
                  <c:v>32940.58</c:v>
                </c:pt>
                <c:pt idx="138">
                  <c:v>33162.879999999997</c:v>
                </c:pt>
                <c:pt idx="139">
                  <c:v>33422.098570000002</c:v>
                </c:pt>
                <c:pt idx="140">
                  <c:v>33495.21</c:v>
                </c:pt>
                <c:pt idx="141">
                  <c:v>33398.01</c:v>
                </c:pt>
                <c:pt idx="142">
                  <c:v>34192.712800000001</c:v>
                </c:pt>
                <c:pt idx="143">
                  <c:v>33849.141519999997</c:v>
                </c:pt>
                <c:pt idx="144">
                  <c:v>35157.935940000003</c:v>
                </c:pt>
                <c:pt idx="145">
                  <c:v>35455.557140000004</c:v>
                </c:pt>
                <c:pt idx="146">
                  <c:v>34627.906080000001</c:v>
                </c:pt>
                <c:pt idx="147">
                  <c:v>32454.974429999998</c:v>
                </c:pt>
                <c:pt idx="148">
                  <c:v>33004.629999999997</c:v>
                </c:pt>
                <c:pt idx="149">
                  <c:v>33973.980000000003</c:v>
                </c:pt>
                <c:pt idx="150">
                  <c:v>33604.755710000005</c:v>
                </c:pt>
                <c:pt idx="151">
                  <c:v>34286.932250913007</c:v>
                </c:pt>
                <c:pt idx="152">
                  <c:v>34631.429188184753</c:v>
                </c:pt>
                <c:pt idx="153">
                  <c:v>34975.926125456499</c:v>
                </c:pt>
                <c:pt idx="154">
                  <c:v>35320.423062728245</c:v>
                </c:pt>
                <c:pt idx="155">
                  <c:v>35664.92</c:v>
                </c:pt>
                <c:pt idx="156" formatCode="_(* #,##0.00_);_(* \(#,##0.00\);_(* &quot;-&quot;??_);_(@_)">
                  <c:v>35949.420050000001</c:v>
                </c:pt>
                <c:pt idx="157">
                  <c:v>36168.230000000003</c:v>
                </c:pt>
                <c:pt idx="158">
                  <c:v>37170.089971000009</c:v>
                </c:pt>
                <c:pt idx="159">
                  <c:v>37247.840579999996</c:v>
                </c:pt>
                <c:pt idx="160" formatCode="_(* #,##0.00_);_(* \(#,##0.00\);_(* &quot;-&quot;??_);_(@_)">
                  <c:v>36157.851710000003</c:v>
                </c:pt>
                <c:pt idx="161" formatCode="_(* #,##0.00_);_(* \(#,##0.00\);_(* &quot;-&quot;??_);_(@_)">
                  <c:v>33356.878120000001</c:v>
                </c:pt>
                <c:pt idx="162">
                  <c:v>34501.65</c:v>
                </c:pt>
                <c:pt idx="163">
                  <c:v>33668.19</c:v>
                </c:pt>
                <c:pt idx="164">
                  <c:v>32834.720000000001</c:v>
                </c:pt>
                <c:pt idx="165">
                  <c:v>32063.099960000003</c:v>
                </c:pt>
                <c:pt idx="166">
                  <c:v>32851.9</c:v>
                </c:pt>
                <c:pt idx="167">
                  <c:v>33571.410000000003</c:v>
                </c:pt>
                <c:pt idx="168">
                  <c:v>32212.512079999997</c:v>
                </c:pt>
                <c:pt idx="169">
                  <c:v>32373.987929999999</c:v>
                </c:pt>
                <c:pt idx="170">
                  <c:v>32912.164449999997</c:v>
                </c:pt>
                <c:pt idx="171">
                  <c:v>33023.502699999997</c:v>
                </c:pt>
                <c:pt idx="172">
                  <c:v>33186.488100000002</c:v>
                </c:pt>
                <c:pt idx="173">
                  <c:v>33760.091820000001</c:v>
                </c:pt>
                <c:pt idx="174">
                  <c:v>32915.919999999998</c:v>
                </c:pt>
                <c:pt idx="175">
                  <c:v>32071.74</c:v>
                </c:pt>
                <c:pt idx="176">
                  <c:v>31227.568719999996</c:v>
                </c:pt>
                <c:pt idx="177">
                  <c:v>33051.66921</c:v>
                </c:pt>
                <c:pt idx="178">
                  <c:v>32880.08365</c:v>
                </c:pt>
                <c:pt idx="179">
                  <c:v>33162.777199999997</c:v>
                </c:pt>
                <c:pt idx="180">
                  <c:v>32802.641459999999</c:v>
                </c:pt>
                <c:pt idx="181">
                  <c:v>33327.527240000003</c:v>
                </c:pt>
                <c:pt idx="182">
                  <c:v>33500.400529999999</c:v>
                </c:pt>
                <c:pt idx="183">
                  <c:v>34145.30171</c:v>
                </c:pt>
                <c:pt idx="184">
                  <c:v>34360.598129999998</c:v>
                </c:pt>
                <c:pt idx="185">
                  <c:v>34100</c:v>
                </c:pt>
                <c:pt idx="186">
                  <c:v>33992.562019999998</c:v>
                </c:pt>
                <c:pt idx="187">
                  <c:v>36656.459549999992</c:v>
                </c:pt>
                <c:pt idx="188">
                  <c:v>36870.676109999993</c:v>
                </c:pt>
                <c:pt idx="189">
                  <c:v>36840</c:v>
                </c:pt>
                <c:pt idx="190">
                  <c:v>36804.239809999985</c:v>
                </c:pt>
                <c:pt idx="191">
                  <c:v>36910.529809999985</c:v>
                </c:pt>
                <c:pt idx="192">
                  <c:v>37016.819809999986</c:v>
                </c:pt>
                <c:pt idx="193">
                  <c:v>37123.109809999987</c:v>
                </c:pt>
                <c:pt idx="194">
                  <c:v>37229.407539999993</c:v>
                </c:pt>
                <c:pt idx="195">
                  <c:v>37326.932840000001</c:v>
                </c:pt>
                <c:pt idx="196">
                  <c:v>37814.249459999992</c:v>
                </c:pt>
                <c:pt idx="197">
                  <c:v>38481</c:v>
                </c:pt>
                <c:pt idx="198">
                  <c:v>38183.156649999997</c:v>
                </c:pt>
                <c:pt idx="199">
                  <c:v>38492.453280000002</c:v>
                </c:pt>
                <c:pt idx="200">
                  <c:v>39204.419079999992</c:v>
                </c:pt>
                <c:pt idx="201">
                  <c:v>38995.910000000003</c:v>
                </c:pt>
                <c:pt idx="202">
                  <c:v>38765.408150000003</c:v>
                </c:pt>
                <c:pt idx="203">
                  <c:v>38790.81</c:v>
                </c:pt>
                <c:pt idx="204">
                  <c:v>38940.104079999997</c:v>
                </c:pt>
                <c:pt idx="205">
                  <c:v>38670.833279999999</c:v>
                </c:pt>
                <c:pt idx="206">
                  <c:v>37859.991129999995</c:v>
                </c:pt>
                <c:pt idx="207">
                  <c:v>39005.864710000002</c:v>
                </c:pt>
                <c:pt idx="208">
                  <c:v>39920.137799999997</c:v>
                </c:pt>
                <c:pt idx="209">
                  <c:v>39687.383809999999</c:v>
                </c:pt>
                <c:pt idx="210">
                  <c:v>39495</c:v>
                </c:pt>
                <c:pt idx="211">
                  <c:v>40254</c:v>
                </c:pt>
                <c:pt idx="212">
                  <c:v>40523</c:v>
                </c:pt>
                <c:pt idx="213">
                  <c:v>39477.019999999997</c:v>
                </c:pt>
                <c:pt idx="214">
                  <c:v>40029.949999999997</c:v>
                </c:pt>
                <c:pt idx="215">
                  <c:v>39881.57</c:v>
                </c:pt>
                <c:pt idx="216">
                  <c:v>38313.910000000003</c:v>
                </c:pt>
                <c:pt idx="217">
                  <c:v>38064.29</c:v>
                </c:pt>
                <c:pt idx="218">
                  <c:v>37146.99</c:v>
                </c:pt>
                <c:pt idx="219">
                  <c:v>36813.47</c:v>
                </c:pt>
                <c:pt idx="220">
                  <c:v>37435.67</c:v>
                </c:pt>
                <c:pt idx="221">
                  <c:v>38107.410000000003</c:v>
                </c:pt>
                <c:pt idx="222">
                  <c:v>38862.03</c:v>
                </c:pt>
                <c:pt idx="223">
                  <c:v>37805.71</c:v>
                </c:pt>
                <c:pt idx="224">
                  <c:v>38336.769999999997</c:v>
                </c:pt>
                <c:pt idx="225">
                  <c:v>36902.33</c:v>
                </c:pt>
                <c:pt idx="226">
                  <c:v>34582.33</c:v>
                </c:pt>
                <c:pt idx="227">
                  <c:v>33741.78</c:v>
                </c:pt>
                <c:pt idx="228">
                  <c:v>33059.879999999997</c:v>
                </c:pt>
                <c:pt idx="229">
                  <c:v>33658.54</c:v>
                </c:pt>
                <c:pt idx="230">
                  <c:v>34778.03</c:v>
                </c:pt>
                <c:pt idx="231">
                  <c:v>34369.410000000003</c:v>
                </c:pt>
                <c:pt idx="232">
                  <c:v>34890.93</c:v>
                </c:pt>
                <c:pt idx="233">
                  <c:v>32716.34</c:v>
                </c:pt>
                <c:pt idx="234">
                  <c:v>33129.85</c:v>
                </c:pt>
                <c:pt idx="235">
                  <c:v>34158.519999999997</c:v>
                </c:pt>
                <c:pt idx="236">
                  <c:v>36089.79</c:v>
                </c:pt>
                <c:pt idx="237">
                  <c:v>36000.46</c:v>
                </c:pt>
                <c:pt idx="238">
                  <c:v>38327.5</c:v>
                </c:pt>
                <c:pt idx="239">
                  <c:v>37955.33</c:v>
                </c:pt>
                <c:pt idx="240">
                  <c:v>37249.440000000002</c:v>
                </c:pt>
                <c:pt idx="241">
                  <c:v>36896.26</c:v>
                </c:pt>
                <c:pt idx="242">
                  <c:v>35412.25</c:v>
                </c:pt>
                <c:pt idx="243">
                  <c:v>37759.21</c:v>
                </c:pt>
                <c:pt idx="244">
                  <c:v>37485.46</c:v>
                </c:pt>
                <c:pt idx="245">
                  <c:v>36860.699999999997</c:v>
                </c:pt>
                <c:pt idx="246">
                  <c:v>38081.199999999997</c:v>
                </c:pt>
                <c:pt idx="247">
                  <c:v>38298.57</c:v>
                </c:pt>
                <c:pt idx="248">
                  <c:v>38913.339999999997</c:v>
                </c:pt>
                <c:pt idx="249">
                  <c:v>39312.980000000003</c:v>
                </c:pt>
                <c:pt idx="250">
                  <c:v>39890.879999999997</c:v>
                </c:pt>
                <c:pt idx="251">
                  <c:v>40010.550000000003</c:v>
                </c:pt>
                <c:pt idx="252">
                  <c:v>40226.61</c:v>
                </c:pt>
                <c:pt idx="253">
                  <c:v>41027.120000000003</c:v>
                </c:pt>
                <c:pt idx="254">
                  <c:v>40837.594140000001</c:v>
                </c:pt>
                <c:pt idx="255">
                  <c:v>40851.889970000004</c:v>
                </c:pt>
                <c:pt idx="256">
                  <c:v>40773.422509999997</c:v>
                </c:pt>
                <c:pt idx="257">
                  <c:v>40773.422509999997</c:v>
                </c:pt>
                <c:pt idx="258">
                  <c:v>41393.199820000009</c:v>
                </c:pt>
                <c:pt idx="259">
                  <c:v>41119.368170000002</c:v>
                </c:pt>
                <c:pt idx="260">
                  <c:v>41164.53471</c:v>
                </c:pt>
                <c:pt idx="261">
                  <c:v>41259.21</c:v>
                </c:pt>
                <c:pt idx="262">
                  <c:v>41268.771470000007</c:v>
                </c:pt>
                <c:pt idx="263">
                  <c:v>40513.05404000001</c:v>
                </c:pt>
                <c:pt idx="264">
                  <c:v>40601.141130000004</c:v>
                </c:pt>
                <c:pt idx="265">
                  <c:v>40470.18</c:v>
                </c:pt>
                <c:pt idx="266">
                  <c:v>39597.51</c:v>
                </c:pt>
                <c:pt idx="267">
                  <c:v>38075.29</c:v>
                </c:pt>
                <c:pt idx="268">
                  <c:v>38231.85</c:v>
                </c:pt>
                <c:pt idx="269">
                  <c:v>38054.910000000003</c:v>
                </c:pt>
                <c:pt idx="270">
                  <c:v>38191.910000000003</c:v>
                </c:pt>
                <c:pt idx="271">
                  <c:v>38600.559999999998</c:v>
                </c:pt>
                <c:pt idx="272">
                  <c:v>38496.339999999997</c:v>
                </c:pt>
                <c:pt idx="273">
                  <c:v>38600.28</c:v>
                </c:pt>
                <c:pt idx="274">
                  <c:v>39719.69</c:v>
                </c:pt>
                <c:pt idx="275">
                  <c:v>38766.42</c:v>
                </c:pt>
                <c:pt idx="276">
                  <c:v>39979.800000000003</c:v>
                </c:pt>
                <c:pt idx="277">
                  <c:v>38207.230000000003</c:v>
                </c:pt>
                <c:pt idx="278">
                  <c:v>38353.26</c:v>
                </c:pt>
                <c:pt idx="279">
                  <c:v>39415.94</c:v>
                </c:pt>
                <c:pt idx="280">
                  <c:v>39842.959999999999</c:v>
                </c:pt>
                <c:pt idx="281">
                  <c:v>39588.76</c:v>
                </c:pt>
                <c:pt idx="282">
                  <c:v>39623.96</c:v>
                </c:pt>
                <c:pt idx="283">
                  <c:v>40381.870000000003</c:v>
                </c:pt>
                <c:pt idx="284">
                  <c:v>41104.82</c:v>
                </c:pt>
                <c:pt idx="285">
                  <c:v>41012.585077953358</c:v>
                </c:pt>
                <c:pt idx="286">
                  <c:v>40547.910000000003</c:v>
                </c:pt>
              </c:numCache>
            </c:numRef>
          </c:yVal>
        </c:ser>
        <c:axId val="86428288"/>
        <c:axId val="86434176"/>
      </c:scatterChart>
      <c:scatterChart>
        <c:scatterStyle val="lineMarker"/>
        <c:ser>
          <c:idx val="1"/>
          <c:order val="1"/>
          <c:tx>
            <c:v>S&amp;P 500</c:v>
          </c:tx>
          <c:spPr>
            <a:ln>
              <a:solidFill>
                <a:schemeClr val="accent3">
                  <a:lumMod val="50000"/>
                </a:schemeClr>
              </a:solidFill>
            </a:ln>
          </c:spPr>
          <c:marker>
            <c:symbol val="none"/>
          </c:marker>
          <c:xVal>
            <c:numRef>
              <c:f>Data!$B$195:$B$481</c:f>
              <c:numCache>
                <c:formatCode>m/d/yyyy</c:formatCode>
                <c:ptCount val="287"/>
                <c:pt idx="0">
                  <c:v>39087</c:v>
                </c:pt>
                <c:pt idx="1">
                  <c:v>39094</c:v>
                </c:pt>
                <c:pt idx="2">
                  <c:v>39101</c:v>
                </c:pt>
                <c:pt idx="3">
                  <c:v>39108</c:v>
                </c:pt>
                <c:pt idx="4">
                  <c:v>39115</c:v>
                </c:pt>
                <c:pt idx="5">
                  <c:v>39122</c:v>
                </c:pt>
                <c:pt idx="6">
                  <c:v>39129</c:v>
                </c:pt>
                <c:pt idx="7">
                  <c:v>39136</c:v>
                </c:pt>
                <c:pt idx="8">
                  <c:v>39143</c:v>
                </c:pt>
                <c:pt idx="9">
                  <c:v>39150</c:v>
                </c:pt>
                <c:pt idx="10">
                  <c:v>39157</c:v>
                </c:pt>
                <c:pt idx="11">
                  <c:v>39164</c:v>
                </c:pt>
                <c:pt idx="12">
                  <c:v>39171</c:v>
                </c:pt>
                <c:pt idx="13">
                  <c:v>39178</c:v>
                </c:pt>
                <c:pt idx="14">
                  <c:v>39185</c:v>
                </c:pt>
                <c:pt idx="15">
                  <c:v>39192</c:v>
                </c:pt>
                <c:pt idx="16">
                  <c:v>39199</c:v>
                </c:pt>
                <c:pt idx="17">
                  <c:v>39206</c:v>
                </c:pt>
                <c:pt idx="18">
                  <c:v>39213</c:v>
                </c:pt>
                <c:pt idx="19">
                  <c:v>39220</c:v>
                </c:pt>
                <c:pt idx="20">
                  <c:v>39227</c:v>
                </c:pt>
                <c:pt idx="21">
                  <c:v>39234</c:v>
                </c:pt>
                <c:pt idx="22">
                  <c:v>39241</c:v>
                </c:pt>
                <c:pt idx="23">
                  <c:v>39248</c:v>
                </c:pt>
                <c:pt idx="24">
                  <c:v>39255</c:v>
                </c:pt>
                <c:pt idx="25">
                  <c:v>39262</c:v>
                </c:pt>
                <c:pt idx="26">
                  <c:v>39269</c:v>
                </c:pt>
                <c:pt idx="27">
                  <c:v>39276</c:v>
                </c:pt>
                <c:pt idx="28">
                  <c:v>39283</c:v>
                </c:pt>
                <c:pt idx="29">
                  <c:v>39290</c:v>
                </c:pt>
                <c:pt idx="30">
                  <c:v>39297</c:v>
                </c:pt>
                <c:pt idx="31">
                  <c:v>39304</c:v>
                </c:pt>
                <c:pt idx="32">
                  <c:v>39311</c:v>
                </c:pt>
                <c:pt idx="33">
                  <c:v>39318</c:v>
                </c:pt>
                <c:pt idx="34">
                  <c:v>39325</c:v>
                </c:pt>
                <c:pt idx="35">
                  <c:v>39332</c:v>
                </c:pt>
                <c:pt idx="36">
                  <c:v>39339</c:v>
                </c:pt>
                <c:pt idx="37">
                  <c:v>39346</c:v>
                </c:pt>
                <c:pt idx="38">
                  <c:v>39353</c:v>
                </c:pt>
                <c:pt idx="39">
                  <c:v>39360</c:v>
                </c:pt>
                <c:pt idx="40">
                  <c:v>39367</c:v>
                </c:pt>
                <c:pt idx="41">
                  <c:v>39374</c:v>
                </c:pt>
                <c:pt idx="42">
                  <c:v>39381</c:v>
                </c:pt>
                <c:pt idx="43">
                  <c:v>39388</c:v>
                </c:pt>
                <c:pt idx="44">
                  <c:v>39405</c:v>
                </c:pt>
                <c:pt idx="45">
                  <c:v>39417</c:v>
                </c:pt>
                <c:pt idx="46">
                  <c:v>39438</c:v>
                </c:pt>
                <c:pt idx="47">
                  <c:v>39452</c:v>
                </c:pt>
                <c:pt idx="48">
                  <c:v>39459</c:v>
                </c:pt>
                <c:pt idx="49">
                  <c:v>39466</c:v>
                </c:pt>
                <c:pt idx="50">
                  <c:v>39480</c:v>
                </c:pt>
                <c:pt idx="51">
                  <c:v>39487</c:v>
                </c:pt>
                <c:pt idx="52">
                  <c:v>39496</c:v>
                </c:pt>
                <c:pt idx="53">
                  <c:v>39503</c:v>
                </c:pt>
                <c:pt idx="54">
                  <c:v>39510</c:v>
                </c:pt>
                <c:pt idx="55">
                  <c:v>39517</c:v>
                </c:pt>
                <c:pt idx="56">
                  <c:v>39531</c:v>
                </c:pt>
                <c:pt idx="57">
                  <c:v>39538</c:v>
                </c:pt>
                <c:pt idx="58">
                  <c:v>39549</c:v>
                </c:pt>
                <c:pt idx="59">
                  <c:v>39556</c:v>
                </c:pt>
                <c:pt idx="60">
                  <c:v>39571</c:v>
                </c:pt>
                <c:pt idx="61">
                  <c:v>39585</c:v>
                </c:pt>
                <c:pt idx="62">
                  <c:v>39592</c:v>
                </c:pt>
                <c:pt idx="63">
                  <c:v>39599</c:v>
                </c:pt>
                <c:pt idx="64">
                  <c:v>39606</c:v>
                </c:pt>
                <c:pt idx="65">
                  <c:v>39620</c:v>
                </c:pt>
                <c:pt idx="66">
                  <c:v>39639</c:v>
                </c:pt>
                <c:pt idx="67">
                  <c:v>39646</c:v>
                </c:pt>
                <c:pt idx="68">
                  <c:v>39653</c:v>
                </c:pt>
                <c:pt idx="69">
                  <c:v>39660</c:v>
                </c:pt>
                <c:pt idx="70">
                  <c:v>39667</c:v>
                </c:pt>
                <c:pt idx="71">
                  <c:v>39674</c:v>
                </c:pt>
                <c:pt idx="72">
                  <c:v>39681</c:v>
                </c:pt>
                <c:pt idx="73">
                  <c:v>39688</c:v>
                </c:pt>
                <c:pt idx="74">
                  <c:v>39695</c:v>
                </c:pt>
                <c:pt idx="75">
                  <c:v>39702</c:v>
                </c:pt>
                <c:pt idx="76">
                  <c:v>39709</c:v>
                </c:pt>
                <c:pt idx="77">
                  <c:v>39716</c:v>
                </c:pt>
                <c:pt idx="78">
                  <c:v>39723</c:v>
                </c:pt>
                <c:pt idx="79">
                  <c:v>39730</c:v>
                </c:pt>
                <c:pt idx="80">
                  <c:v>39737</c:v>
                </c:pt>
                <c:pt idx="81">
                  <c:v>39744</c:v>
                </c:pt>
                <c:pt idx="82">
                  <c:v>39751</c:v>
                </c:pt>
                <c:pt idx="83">
                  <c:v>39758</c:v>
                </c:pt>
                <c:pt idx="84">
                  <c:v>39765</c:v>
                </c:pt>
                <c:pt idx="85">
                  <c:v>39772</c:v>
                </c:pt>
                <c:pt idx="86">
                  <c:v>39779</c:v>
                </c:pt>
                <c:pt idx="87">
                  <c:v>39786</c:v>
                </c:pt>
                <c:pt idx="88">
                  <c:v>39793</c:v>
                </c:pt>
                <c:pt idx="89">
                  <c:v>39800</c:v>
                </c:pt>
                <c:pt idx="90">
                  <c:v>39807</c:v>
                </c:pt>
                <c:pt idx="91">
                  <c:v>39814</c:v>
                </c:pt>
                <c:pt idx="92">
                  <c:v>39821</c:v>
                </c:pt>
                <c:pt idx="93">
                  <c:v>39828</c:v>
                </c:pt>
                <c:pt idx="94">
                  <c:v>39835</c:v>
                </c:pt>
                <c:pt idx="95">
                  <c:v>39842</c:v>
                </c:pt>
                <c:pt idx="96">
                  <c:v>39849</c:v>
                </c:pt>
                <c:pt idx="97">
                  <c:v>39856</c:v>
                </c:pt>
                <c:pt idx="98">
                  <c:v>39863</c:v>
                </c:pt>
                <c:pt idx="99">
                  <c:v>39870</c:v>
                </c:pt>
                <c:pt idx="100">
                  <c:v>39877</c:v>
                </c:pt>
                <c:pt idx="101">
                  <c:v>39884</c:v>
                </c:pt>
                <c:pt idx="102">
                  <c:v>39891</c:v>
                </c:pt>
                <c:pt idx="103">
                  <c:v>39898</c:v>
                </c:pt>
                <c:pt idx="104">
                  <c:v>39905</c:v>
                </c:pt>
                <c:pt idx="105">
                  <c:v>39912</c:v>
                </c:pt>
                <c:pt idx="106">
                  <c:v>39919</c:v>
                </c:pt>
                <c:pt idx="107">
                  <c:v>39926</c:v>
                </c:pt>
                <c:pt idx="108">
                  <c:v>39933</c:v>
                </c:pt>
                <c:pt idx="109">
                  <c:v>39940</c:v>
                </c:pt>
                <c:pt idx="110">
                  <c:v>39947</c:v>
                </c:pt>
                <c:pt idx="111">
                  <c:v>39954</c:v>
                </c:pt>
                <c:pt idx="112">
                  <c:v>39961</c:v>
                </c:pt>
                <c:pt idx="113">
                  <c:v>39968</c:v>
                </c:pt>
                <c:pt idx="114">
                  <c:v>39975</c:v>
                </c:pt>
                <c:pt idx="115">
                  <c:v>39982</c:v>
                </c:pt>
                <c:pt idx="116">
                  <c:v>39989</c:v>
                </c:pt>
                <c:pt idx="117">
                  <c:v>39996</c:v>
                </c:pt>
                <c:pt idx="118">
                  <c:v>40003</c:v>
                </c:pt>
                <c:pt idx="119">
                  <c:v>40010</c:v>
                </c:pt>
                <c:pt idx="120">
                  <c:v>40017</c:v>
                </c:pt>
                <c:pt idx="121">
                  <c:v>40024</c:v>
                </c:pt>
                <c:pt idx="122">
                  <c:v>40031</c:v>
                </c:pt>
                <c:pt idx="123">
                  <c:v>40038</c:v>
                </c:pt>
                <c:pt idx="124">
                  <c:v>40045</c:v>
                </c:pt>
                <c:pt idx="125">
                  <c:v>40052</c:v>
                </c:pt>
                <c:pt idx="126">
                  <c:v>40059</c:v>
                </c:pt>
                <c:pt idx="127">
                  <c:v>40066</c:v>
                </c:pt>
                <c:pt idx="128">
                  <c:v>40073</c:v>
                </c:pt>
                <c:pt idx="129">
                  <c:v>40080</c:v>
                </c:pt>
                <c:pt idx="130">
                  <c:v>40087</c:v>
                </c:pt>
                <c:pt idx="131">
                  <c:v>40094</c:v>
                </c:pt>
                <c:pt idx="132">
                  <c:v>40101</c:v>
                </c:pt>
                <c:pt idx="133">
                  <c:v>40108</c:v>
                </c:pt>
                <c:pt idx="134">
                  <c:v>40115</c:v>
                </c:pt>
                <c:pt idx="135">
                  <c:v>40122</c:v>
                </c:pt>
                <c:pt idx="136">
                  <c:v>40129</c:v>
                </c:pt>
                <c:pt idx="137">
                  <c:v>40136</c:v>
                </c:pt>
                <c:pt idx="138">
                  <c:v>40143</c:v>
                </c:pt>
                <c:pt idx="139">
                  <c:v>40150</c:v>
                </c:pt>
                <c:pt idx="140">
                  <c:v>40157</c:v>
                </c:pt>
                <c:pt idx="141">
                  <c:v>40164</c:v>
                </c:pt>
                <c:pt idx="142">
                  <c:v>40171</c:v>
                </c:pt>
                <c:pt idx="143">
                  <c:v>40178</c:v>
                </c:pt>
                <c:pt idx="144">
                  <c:v>40185</c:v>
                </c:pt>
                <c:pt idx="145">
                  <c:v>40192</c:v>
                </c:pt>
                <c:pt idx="146">
                  <c:v>40199</c:v>
                </c:pt>
                <c:pt idx="147">
                  <c:v>40206</c:v>
                </c:pt>
                <c:pt idx="148">
                  <c:v>40213</c:v>
                </c:pt>
                <c:pt idx="149">
                  <c:v>40220</c:v>
                </c:pt>
                <c:pt idx="150">
                  <c:v>40227</c:v>
                </c:pt>
                <c:pt idx="151">
                  <c:v>40234</c:v>
                </c:pt>
                <c:pt idx="152">
                  <c:v>40241</c:v>
                </c:pt>
                <c:pt idx="153">
                  <c:v>40248</c:v>
                </c:pt>
                <c:pt idx="154">
                  <c:v>40255</c:v>
                </c:pt>
                <c:pt idx="155">
                  <c:v>40262</c:v>
                </c:pt>
                <c:pt idx="156">
                  <c:v>40269</c:v>
                </c:pt>
                <c:pt idx="157">
                  <c:v>40276</c:v>
                </c:pt>
                <c:pt idx="158">
                  <c:v>40283</c:v>
                </c:pt>
                <c:pt idx="159">
                  <c:v>40290</c:v>
                </c:pt>
                <c:pt idx="160">
                  <c:v>40297</c:v>
                </c:pt>
                <c:pt idx="161">
                  <c:v>40304</c:v>
                </c:pt>
                <c:pt idx="162">
                  <c:v>40311</c:v>
                </c:pt>
                <c:pt idx="163">
                  <c:v>40318</c:v>
                </c:pt>
                <c:pt idx="164">
                  <c:v>40325</c:v>
                </c:pt>
                <c:pt idx="165">
                  <c:v>40332</c:v>
                </c:pt>
                <c:pt idx="166">
                  <c:v>40339</c:v>
                </c:pt>
                <c:pt idx="167">
                  <c:v>40346</c:v>
                </c:pt>
                <c:pt idx="168">
                  <c:v>40353</c:v>
                </c:pt>
                <c:pt idx="169">
                  <c:v>40360</c:v>
                </c:pt>
                <c:pt idx="170">
                  <c:v>40367</c:v>
                </c:pt>
                <c:pt idx="171">
                  <c:v>40374</c:v>
                </c:pt>
                <c:pt idx="172">
                  <c:v>40381</c:v>
                </c:pt>
                <c:pt idx="173">
                  <c:v>40388</c:v>
                </c:pt>
                <c:pt idx="174">
                  <c:v>40395</c:v>
                </c:pt>
                <c:pt idx="175">
                  <c:v>40402</c:v>
                </c:pt>
                <c:pt idx="176">
                  <c:v>40409</c:v>
                </c:pt>
                <c:pt idx="177">
                  <c:v>40416</c:v>
                </c:pt>
                <c:pt idx="178">
                  <c:v>40423</c:v>
                </c:pt>
                <c:pt idx="179">
                  <c:v>40430</c:v>
                </c:pt>
                <c:pt idx="180">
                  <c:v>40437</c:v>
                </c:pt>
                <c:pt idx="181">
                  <c:v>40444</c:v>
                </c:pt>
                <c:pt idx="182">
                  <c:v>40451</c:v>
                </c:pt>
                <c:pt idx="183">
                  <c:v>40458</c:v>
                </c:pt>
                <c:pt idx="184">
                  <c:v>40465</c:v>
                </c:pt>
                <c:pt idx="185">
                  <c:v>40472</c:v>
                </c:pt>
                <c:pt idx="186">
                  <c:v>40479</c:v>
                </c:pt>
                <c:pt idx="187">
                  <c:v>40486</c:v>
                </c:pt>
                <c:pt idx="188">
                  <c:v>40493</c:v>
                </c:pt>
                <c:pt idx="189">
                  <c:v>40500</c:v>
                </c:pt>
                <c:pt idx="190">
                  <c:v>40507</c:v>
                </c:pt>
                <c:pt idx="191">
                  <c:v>40514</c:v>
                </c:pt>
                <c:pt idx="192">
                  <c:v>40521</c:v>
                </c:pt>
                <c:pt idx="193">
                  <c:v>40528</c:v>
                </c:pt>
                <c:pt idx="194">
                  <c:v>40535</c:v>
                </c:pt>
                <c:pt idx="195">
                  <c:v>40542</c:v>
                </c:pt>
                <c:pt idx="196">
                  <c:v>40549</c:v>
                </c:pt>
                <c:pt idx="197">
                  <c:v>40556</c:v>
                </c:pt>
                <c:pt idx="198">
                  <c:v>40563</c:v>
                </c:pt>
                <c:pt idx="199">
                  <c:v>40570</c:v>
                </c:pt>
                <c:pt idx="200">
                  <c:v>40577</c:v>
                </c:pt>
                <c:pt idx="201">
                  <c:v>40584</c:v>
                </c:pt>
                <c:pt idx="202">
                  <c:v>40591</c:v>
                </c:pt>
                <c:pt idx="203">
                  <c:v>40598</c:v>
                </c:pt>
                <c:pt idx="204">
                  <c:v>40605</c:v>
                </c:pt>
                <c:pt idx="205">
                  <c:v>40612</c:v>
                </c:pt>
                <c:pt idx="206">
                  <c:v>40619</c:v>
                </c:pt>
                <c:pt idx="207">
                  <c:v>40626</c:v>
                </c:pt>
                <c:pt idx="208">
                  <c:v>40633</c:v>
                </c:pt>
                <c:pt idx="209">
                  <c:v>40640</c:v>
                </c:pt>
                <c:pt idx="210">
                  <c:v>40647</c:v>
                </c:pt>
                <c:pt idx="211">
                  <c:v>40654</c:v>
                </c:pt>
                <c:pt idx="212">
                  <c:v>40661</c:v>
                </c:pt>
                <c:pt idx="213">
                  <c:v>40668</c:v>
                </c:pt>
                <c:pt idx="214">
                  <c:v>40675</c:v>
                </c:pt>
                <c:pt idx="215">
                  <c:v>40682</c:v>
                </c:pt>
                <c:pt idx="216">
                  <c:v>40689</c:v>
                </c:pt>
                <c:pt idx="217">
                  <c:v>40696</c:v>
                </c:pt>
                <c:pt idx="218">
                  <c:v>40703</c:v>
                </c:pt>
                <c:pt idx="219">
                  <c:v>40710</c:v>
                </c:pt>
                <c:pt idx="220">
                  <c:v>40717</c:v>
                </c:pt>
                <c:pt idx="221">
                  <c:v>40724</c:v>
                </c:pt>
                <c:pt idx="222">
                  <c:v>40731</c:v>
                </c:pt>
                <c:pt idx="223">
                  <c:v>40738</c:v>
                </c:pt>
                <c:pt idx="224">
                  <c:v>40745</c:v>
                </c:pt>
                <c:pt idx="225">
                  <c:v>40752</c:v>
                </c:pt>
                <c:pt idx="226">
                  <c:v>40759</c:v>
                </c:pt>
                <c:pt idx="227">
                  <c:v>40766</c:v>
                </c:pt>
                <c:pt idx="228">
                  <c:v>40773</c:v>
                </c:pt>
                <c:pt idx="229">
                  <c:v>40780</c:v>
                </c:pt>
                <c:pt idx="230">
                  <c:v>40787</c:v>
                </c:pt>
                <c:pt idx="231">
                  <c:v>40794</c:v>
                </c:pt>
                <c:pt idx="232">
                  <c:v>40801</c:v>
                </c:pt>
                <c:pt idx="233">
                  <c:v>40808</c:v>
                </c:pt>
                <c:pt idx="234">
                  <c:v>40815</c:v>
                </c:pt>
                <c:pt idx="235">
                  <c:v>40822</c:v>
                </c:pt>
                <c:pt idx="236">
                  <c:v>40829</c:v>
                </c:pt>
                <c:pt idx="237">
                  <c:v>40836</c:v>
                </c:pt>
                <c:pt idx="238">
                  <c:v>40843</c:v>
                </c:pt>
                <c:pt idx="239">
                  <c:v>40850</c:v>
                </c:pt>
                <c:pt idx="240">
                  <c:v>40857</c:v>
                </c:pt>
                <c:pt idx="241">
                  <c:v>40864</c:v>
                </c:pt>
                <c:pt idx="242">
                  <c:v>40871</c:v>
                </c:pt>
                <c:pt idx="243">
                  <c:v>40878</c:v>
                </c:pt>
                <c:pt idx="244">
                  <c:v>40885</c:v>
                </c:pt>
                <c:pt idx="245">
                  <c:v>40892</c:v>
                </c:pt>
                <c:pt idx="246">
                  <c:v>40899</c:v>
                </c:pt>
                <c:pt idx="247">
                  <c:v>40906</c:v>
                </c:pt>
                <c:pt idx="248">
                  <c:v>40913</c:v>
                </c:pt>
                <c:pt idx="249">
                  <c:v>40920</c:v>
                </c:pt>
                <c:pt idx="250">
                  <c:v>40927</c:v>
                </c:pt>
                <c:pt idx="251">
                  <c:v>40934</c:v>
                </c:pt>
                <c:pt idx="252">
                  <c:v>40941</c:v>
                </c:pt>
                <c:pt idx="253">
                  <c:v>40948</c:v>
                </c:pt>
                <c:pt idx="254">
                  <c:v>40955</c:v>
                </c:pt>
                <c:pt idx="255">
                  <c:v>40962</c:v>
                </c:pt>
                <c:pt idx="256">
                  <c:v>40969</c:v>
                </c:pt>
                <c:pt idx="257">
                  <c:v>40976</c:v>
                </c:pt>
                <c:pt idx="258">
                  <c:v>40983</c:v>
                </c:pt>
                <c:pt idx="259">
                  <c:v>40990</c:v>
                </c:pt>
                <c:pt idx="260">
                  <c:v>40997</c:v>
                </c:pt>
                <c:pt idx="261">
                  <c:v>41004</c:v>
                </c:pt>
                <c:pt idx="262">
                  <c:v>41011</c:v>
                </c:pt>
                <c:pt idx="263">
                  <c:v>41018</c:v>
                </c:pt>
                <c:pt idx="264">
                  <c:v>41025</c:v>
                </c:pt>
                <c:pt idx="265">
                  <c:v>41032</c:v>
                </c:pt>
                <c:pt idx="266">
                  <c:v>41039</c:v>
                </c:pt>
                <c:pt idx="267">
                  <c:v>41046</c:v>
                </c:pt>
                <c:pt idx="268">
                  <c:v>41053</c:v>
                </c:pt>
                <c:pt idx="269">
                  <c:v>41060</c:v>
                </c:pt>
                <c:pt idx="270">
                  <c:v>41067</c:v>
                </c:pt>
                <c:pt idx="271">
                  <c:v>41074</c:v>
                </c:pt>
                <c:pt idx="272">
                  <c:v>41081</c:v>
                </c:pt>
                <c:pt idx="273">
                  <c:v>41088</c:v>
                </c:pt>
                <c:pt idx="274">
                  <c:v>41095</c:v>
                </c:pt>
                <c:pt idx="275">
                  <c:v>41102</c:v>
                </c:pt>
                <c:pt idx="276">
                  <c:v>41109</c:v>
                </c:pt>
                <c:pt idx="277">
                  <c:v>41116</c:v>
                </c:pt>
                <c:pt idx="278">
                  <c:v>41123</c:v>
                </c:pt>
                <c:pt idx="279">
                  <c:v>41130</c:v>
                </c:pt>
                <c:pt idx="280">
                  <c:v>41137</c:v>
                </c:pt>
                <c:pt idx="281">
                  <c:v>41144</c:v>
                </c:pt>
                <c:pt idx="282">
                  <c:v>41151</c:v>
                </c:pt>
                <c:pt idx="283">
                  <c:v>41158</c:v>
                </c:pt>
                <c:pt idx="284">
                  <c:v>41165</c:v>
                </c:pt>
                <c:pt idx="285">
                  <c:v>41172</c:v>
                </c:pt>
                <c:pt idx="286">
                  <c:v>41179</c:v>
                </c:pt>
              </c:numCache>
            </c:numRef>
          </c:xVal>
          <c:yVal>
            <c:numRef>
              <c:f>Data!$L$195:$L$481</c:f>
              <c:numCache>
                <c:formatCode>#,##0.00_);[Red]\(#,##0.00\)</c:formatCode>
                <c:ptCount val="287"/>
                <c:pt idx="0">
                  <c:v>1409.26</c:v>
                </c:pt>
                <c:pt idx="1">
                  <c:v>1430.73</c:v>
                </c:pt>
                <c:pt idx="2">
                  <c:v>1430.47</c:v>
                </c:pt>
                <c:pt idx="3">
                  <c:v>1422.03</c:v>
                </c:pt>
                <c:pt idx="4">
                  <c:v>1448.33</c:v>
                </c:pt>
                <c:pt idx="5">
                  <c:v>1438</c:v>
                </c:pt>
                <c:pt idx="6">
                  <c:v>1455.53</c:v>
                </c:pt>
                <c:pt idx="7">
                  <c:v>1451.04</c:v>
                </c:pt>
                <c:pt idx="8">
                  <c:v>1387.11</c:v>
                </c:pt>
                <c:pt idx="9">
                  <c:v>1402.8</c:v>
                </c:pt>
                <c:pt idx="10">
                  <c:v>1386.95</c:v>
                </c:pt>
                <c:pt idx="11">
                  <c:v>1436.11</c:v>
                </c:pt>
                <c:pt idx="12">
                  <c:v>1420.83</c:v>
                </c:pt>
                <c:pt idx="13">
                  <c:v>1443.77</c:v>
                </c:pt>
                <c:pt idx="14">
                  <c:v>1452.84</c:v>
                </c:pt>
                <c:pt idx="15">
                  <c:v>1484.33</c:v>
                </c:pt>
                <c:pt idx="16">
                  <c:v>1494.07</c:v>
                </c:pt>
                <c:pt idx="17">
                  <c:v>1505.57</c:v>
                </c:pt>
                <c:pt idx="18">
                  <c:v>1505.76</c:v>
                </c:pt>
                <c:pt idx="19">
                  <c:v>1522.75</c:v>
                </c:pt>
                <c:pt idx="20">
                  <c:v>1515.55</c:v>
                </c:pt>
                <c:pt idx="21">
                  <c:v>1536.28</c:v>
                </c:pt>
                <c:pt idx="22">
                  <c:v>1507.64</c:v>
                </c:pt>
                <c:pt idx="23">
                  <c:v>1532.9</c:v>
                </c:pt>
                <c:pt idx="24">
                  <c:v>1502.56</c:v>
                </c:pt>
                <c:pt idx="25">
                  <c:v>1504.66</c:v>
                </c:pt>
                <c:pt idx="26">
                  <c:v>1530.43</c:v>
                </c:pt>
                <c:pt idx="27">
                  <c:v>1552.5</c:v>
                </c:pt>
                <c:pt idx="28">
                  <c:v>1534.06</c:v>
                </c:pt>
                <c:pt idx="29">
                  <c:v>1458.93</c:v>
                </c:pt>
                <c:pt idx="30">
                  <c:v>1433.04</c:v>
                </c:pt>
                <c:pt idx="31">
                  <c:v>1453.42</c:v>
                </c:pt>
                <c:pt idx="32">
                  <c:v>1445.94</c:v>
                </c:pt>
                <c:pt idx="33">
                  <c:v>1479.36</c:v>
                </c:pt>
                <c:pt idx="34">
                  <c:v>1473.96</c:v>
                </c:pt>
                <c:pt idx="35">
                  <c:v>1453.5</c:v>
                </c:pt>
                <c:pt idx="36">
                  <c:v>1484.24</c:v>
                </c:pt>
                <c:pt idx="37">
                  <c:v>1525.75</c:v>
                </c:pt>
                <c:pt idx="38">
                  <c:v>1527.29</c:v>
                </c:pt>
                <c:pt idx="39">
                  <c:v>1556.51</c:v>
                </c:pt>
                <c:pt idx="40">
                  <c:v>1562.25</c:v>
                </c:pt>
                <c:pt idx="41">
                  <c:v>1497.79</c:v>
                </c:pt>
                <c:pt idx="42">
                  <c:v>1536.92</c:v>
                </c:pt>
                <c:pt idx="43">
                  <c:v>1505.61</c:v>
                </c:pt>
                <c:pt idx="44">
                  <c:v>1433.27</c:v>
                </c:pt>
                <c:pt idx="45">
                  <c:v>1481.14</c:v>
                </c:pt>
                <c:pt idx="46">
                  <c:v>1484.46</c:v>
                </c:pt>
                <c:pt idx="47">
                  <c:v>1411.63</c:v>
                </c:pt>
                <c:pt idx="48">
                  <c:v>1401.02</c:v>
                </c:pt>
                <c:pt idx="49">
                  <c:v>1333</c:v>
                </c:pt>
                <c:pt idx="50">
                  <c:v>1395.42</c:v>
                </c:pt>
                <c:pt idx="51">
                  <c:v>1331</c:v>
                </c:pt>
                <c:pt idx="52">
                  <c:v>1350</c:v>
                </c:pt>
                <c:pt idx="53">
                  <c:v>1372</c:v>
                </c:pt>
                <c:pt idx="54">
                  <c:v>1273</c:v>
                </c:pt>
                <c:pt idx="55">
                  <c:v>1277</c:v>
                </c:pt>
                <c:pt idx="56">
                  <c:v>1350</c:v>
                </c:pt>
                <c:pt idx="57">
                  <c:v>1323</c:v>
                </c:pt>
                <c:pt idx="58">
                  <c:v>1333</c:v>
                </c:pt>
                <c:pt idx="59">
                  <c:v>1390</c:v>
                </c:pt>
                <c:pt idx="60">
                  <c:v>1414</c:v>
                </c:pt>
                <c:pt idx="61">
                  <c:v>1425</c:v>
                </c:pt>
                <c:pt idx="62">
                  <c:v>1376</c:v>
                </c:pt>
                <c:pt idx="63">
                  <c:v>1400</c:v>
                </c:pt>
                <c:pt idx="64">
                  <c:v>1360</c:v>
                </c:pt>
                <c:pt idx="65">
                  <c:v>1318</c:v>
                </c:pt>
                <c:pt idx="66">
                  <c:v>1239</c:v>
                </c:pt>
                <c:pt idx="67">
                  <c:v>1260.32</c:v>
                </c:pt>
                <c:pt idx="68">
                  <c:v>1252.54</c:v>
                </c:pt>
                <c:pt idx="69">
                  <c:v>1267.3800000000001</c:v>
                </c:pt>
                <c:pt idx="70">
                  <c:v>1266.07</c:v>
                </c:pt>
                <c:pt idx="71">
                  <c:v>1292.93</c:v>
                </c:pt>
                <c:pt idx="72">
                  <c:v>1292.2</c:v>
                </c:pt>
                <c:pt idx="73">
                  <c:v>1282.83</c:v>
                </c:pt>
                <c:pt idx="74">
                  <c:v>1242.31</c:v>
                </c:pt>
                <c:pt idx="75">
                  <c:v>1251.7</c:v>
                </c:pt>
                <c:pt idx="76">
                  <c:v>1255.08</c:v>
                </c:pt>
                <c:pt idx="77">
                  <c:v>1213.27</c:v>
                </c:pt>
                <c:pt idx="78">
                  <c:v>1099.23</c:v>
                </c:pt>
                <c:pt idx="79">
                  <c:v>899.22</c:v>
                </c:pt>
                <c:pt idx="80">
                  <c:v>940.55</c:v>
                </c:pt>
                <c:pt idx="81">
                  <c:v>876.77</c:v>
                </c:pt>
                <c:pt idx="82">
                  <c:v>968.75</c:v>
                </c:pt>
                <c:pt idx="83">
                  <c:v>930.99</c:v>
                </c:pt>
                <c:pt idx="84">
                  <c:v>873.29</c:v>
                </c:pt>
                <c:pt idx="85">
                  <c:v>800.03</c:v>
                </c:pt>
                <c:pt idx="86">
                  <c:v>896.24</c:v>
                </c:pt>
                <c:pt idx="87">
                  <c:v>876.07</c:v>
                </c:pt>
                <c:pt idx="88">
                  <c:v>879.73</c:v>
                </c:pt>
                <c:pt idx="89">
                  <c:v>887.88</c:v>
                </c:pt>
                <c:pt idx="90">
                  <c:v>872.8</c:v>
                </c:pt>
                <c:pt idx="91">
                  <c:v>931.8</c:v>
                </c:pt>
                <c:pt idx="92">
                  <c:v>890.35</c:v>
                </c:pt>
                <c:pt idx="93">
                  <c:v>850.12</c:v>
                </c:pt>
                <c:pt idx="94">
                  <c:v>831.95</c:v>
                </c:pt>
                <c:pt idx="95">
                  <c:v>825.88</c:v>
                </c:pt>
                <c:pt idx="96">
                  <c:v>868.6</c:v>
                </c:pt>
                <c:pt idx="97">
                  <c:v>826.84</c:v>
                </c:pt>
                <c:pt idx="98">
                  <c:v>770.05</c:v>
                </c:pt>
                <c:pt idx="99">
                  <c:v>735.09</c:v>
                </c:pt>
                <c:pt idx="100">
                  <c:v>683.38</c:v>
                </c:pt>
                <c:pt idx="101">
                  <c:v>756.5498</c:v>
                </c:pt>
                <c:pt idx="102">
                  <c:v>768.53980000000001</c:v>
                </c:pt>
                <c:pt idx="103">
                  <c:v>815.93989999999997</c:v>
                </c:pt>
                <c:pt idx="104">
                  <c:v>842.5</c:v>
                </c:pt>
                <c:pt idx="105">
                  <c:v>856.5598</c:v>
                </c:pt>
                <c:pt idx="106">
                  <c:v>869.59990000000005</c:v>
                </c:pt>
                <c:pt idx="107">
                  <c:v>866.23</c:v>
                </c:pt>
                <c:pt idx="108">
                  <c:v>877.51980000000003</c:v>
                </c:pt>
                <c:pt idx="109">
                  <c:v>929.23</c:v>
                </c:pt>
                <c:pt idx="110">
                  <c:v>882.87990000000002</c:v>
                </c:pt>
                <c:pt idx="111">
                  <c:v>887</c:v>
                </c:pt>
                <c:pt idx="112">
                  <c:v>919.13990000000001</c:v>
                </c:pt>
                <c:pt idx="113">
                  <c:v>940.08979999999997</c:v>
                </c:pt>
                <c:pt idx="114">
                  <c:v>946.21</c:v>
                </c:pt>
                <c:pt idx="115">
                  <c:v>921.23</c:v>
                </c:pt>
                <c:pt idx="116">
                  <c:v>918.8999</c:v>
                </c:pt>
                <c:pt idx="117">
                  <c:v>896.41989999999998</c:v>
                </c:pt>
                <c:pt idx="118">
                  <c:v>879.12990000000002</c:v>
                </c:pt>
                <c:pt idx="119">
                  <c:v>940.37990000000002</c:v>
                </c:pt>
                <c:pt idx="120">
                  <c:v>979.25980000000004</c:v>
                </c:pt>
                <c:pt idx="121">
                  <c:v>987.48</c:v>
                </c:pt>
                <c:pt idx="122">
                  <c:v>1010.48</c:v>
                </c:pt>
                <c:pt idx="123">
                  <c:v>1004.0898</c:v>
                </c:pt>
                <c:pt idx="124">
                  <c:v>1026.1298999999999</c:v>
                </c:pt>
                <c:pt idx="125">
                  <c:v>1028.9299000000001</c:v>
                </c:pt>
                <c:pt idx="126">
                  <c:v>1016.3999</c:v>
                </c:pt>
                <c:pt idx="127">
                  <c:v>1042.73</c:v>
                </c:pt>
                <c:pt idx="128">
                  <c:v>1068.2998</c:v>
                </c:pt>
                <c:pt idx="129">
                  <c:v>1044.3798999999999</c:v>
                </c:pt>
                <c:pt idx="130">
                  <c:v>1025.21</c:v>
                </c:pt>
                <c:pt idx="131">
                  <c:v>1071.49</c:v>
                </c:pt>
                <c:pt idx="132">
                  <c:v>1087.6799000000001</c:v>
                </c:pt>
                <c:pt idx="133">
                  <c:v>1079.5998999999999</c:v>
                </c:pt>
                <c:pt idx="134">
                  <c:v>1036.1899000000001</c:v>
                </c:pt>
                <c:pt idx="135">
                  <c:v>1069.2998</c:v>
                </c:pt>
                <c:pt idx="136">
                  <c:v>1093.48</c:v>
                </c:pt>
                <c:pt idx="137">
                  <c:v>1091.3798999999999</c:v>
                </c:pt>
                <c:pt idx="138">
                  <c:v>1091.49</c:v>
                </c:pt>
                <c:pt idx="139">
                  <c:v>1105.98</c:v>
                </c:pt>
                <c:pt idx="140">
                  <c:v>1106.4099000000001</c:v>
                </c:pt>
                <c:pt idx="141">
                  <c:v>1102.47</c:v>
                </c:pt>
                <c:pt idx="142">
                  <c:v>1126.48</c:v>
                </c:pt>
                <c:pt idx="143">
                  <c:v>1115.0998999999999</c:v>
                </c:pt>
                <c:pt idx="144">
                  <c:v>1144.98</c:v>
                </c:pt>
                <c:pt idx="145">
                  <c:v>1136.0298</c:v>
                </c:pt>
                <c:pt idx="146">
                  <c:v>1091.7598</c:v>
                </c:pt>
                <c:pt idx="147">
                  <c:v>1073.8698999999999</c:v>
                </c:pt>
                <c:pt idx="148">
                  <c:v>1066.1899000000001</c:v>
                </c:pt>
                <c:pt idx="149">
                  <c:v>1075.5098</c:v>
                </c:pt>
                <c:pt idx="150">
                  <c:v>1109.1699000000001</c:v>
                </c:pt>
                <c:pt idx="151">
                  <c:v>1104.49</c:v>
                </c:pt>
                <c:pt idx="152">
                  <c:v>1138.7</c:v>
                </c:pt>
                <c:pt idx="153">
                  <c:v>1149.99</c:v>
                </c:pt>
                <c:pt idx="154">
                  <c:v>1159.9000000000001</c:v>
                </c:pt>
                <c:pt idx="155">
                  <c:v>1166.5899999999999</c:v>
                </c:pt>
                <c:pt idx="156">
                  <c:v>1178.0999999999999</c:v>
                </c:pt>
                <c:pt idx="157">
                  <c:v>1194.3699999999999</c:v>
                </c:pt>
                <c:pt idx="158">
                  <c:v>1192.1300000000001</c:v>
                </c:pt>
                <c:pt idx="159">
                  <c:v>1217.28</c:v>
                </c:pt>
                <c:pt idx="160">
                  <c:v>1186.69</c:v>
                </c:pt>
                <c:pt idx="161">
                  <c:v>1110.8800000000001</c:v>
                </c:pt>
                <c:pt idx="162">
                  <c:v>1135.68</c:v>
                </c:pt>
                <c:pt idx="163">
                  <c:v>1087.69</c:v>
                </c:pt>
                <c:pt idx="164">
                  <c:v>1089.4100000000001</c:v>
                </c:pt>
                <c:pt idx="165">
                  <c:v>1064.8800000000001</c:v>
                </c:pt>
                <c:pt idx="166">
                  <c:v>1091.5999999999999</c:v>
                </c:pt>
                <c:pt idx="167">
                  <c:v>1117.51</c:v>
                </c:pt>
                <c:pt idx="168">
                  <c:v>1076.76</c:v>
                </c:pt>
                <c:pt idx="169">
                  <c:v>1022.58</c:v>
                </c:pt>
                <c:pt idx="170">
                  <c:v>1077.96</c:v>
                </c:pt>
                <c:pt idx="171">
                  <c:v>1064.8800000000001</c:v>
                </c:pt>
                <c:pt idx="172">
                  <c:v>1102.6600000000001</c:v>
                </c:pt>
                <c:pt idx="173">
                  <c:v>1101.5999999999999</c:v>
                </c:pt>
                <c:pt idx="174">
                  <c:v>1121.6400000000001</c:v>
                </c:pt>
                <c:pt idx="175">
                  <c:v>1079.25</c:v>
                </c:pt>
                <c:pt idx="176">
                  <c:v>1071.69</c:v>
                </c:pt>
                <c:pt idx="177">
                  <c:v>1064.5899999999999</c:v>
                </c:pt>
                <c:pt idx="178">
                  <c:v>1104.51</c:v>
                </c:pt>
                <c:pt idx="179">
                  <c:v>1109.55</c:v>
                </c:pt>
                <c:pt idx="180">
                  <c:v>1125.5899999999999</c:v>
                </c:pt>
                <c:pt idx="181">
                  <c:v>1148.67</c:v>
                </c:pt>
                <c:pt idx="182">
                  <c:v>1146.24</c:v>
                </c:pt>
                <c:pt idx="183">
                  <c:v>1165.1500000000001</c:v>
                </c:pt>
                <c:pt idx="184">
                  <c:v>1176.19</c:v>
                </c:pt>
                <c:pt idx="185">
                  <c:v>1183.08</c:v>
                </c:pt>
                <c:pt idx="186">
                  <c:v>1183.26</c:v>
                </c:pt>
                <c:pt idx="187">
                  <c:v>1225.8499999999999</c:v>
                </c:pt>
                <c:pt idx="188">
                  <c:v>1199.21</c:v>
                </c:pt>
                <c:pt idx="189">
                  <c:v>1199.73</c:v>
                </c:pt>
                <c:pt idx="190">
                  <c:v>1189.4000000000001</c:v>
                </c:pt>
                <c:pt idx="191">
                  <c:v>1224.71</c:v>
                </c:pt>
                <c:pt idx="192">
                  <c:v>1240.4000000000001</c:v>
                </c:pt>
                <c:pt idx="193">
                  <c:v>1243.9100000000001</c:v>
                </c:pt>
                <c:pt idx="194">
                  <c:v>1256.77</c:v>
                </c:pt>
                <c:pt idx="195">
                  <c:v>1257.6400000000001</c:v>
                </c:pt>
                <c:pt idx="196">
                  <c:v>1271.5</c:v>
                </c:pt>
                <c:pt idx="197">
                  <c:v>1293.24</c:v>
                </c:pt>
                <c:pt idx="198">
                  <c:v>1283.3499999999999</c:v>
                </c:pt>
                <c:pt idx="199">
                  <c:v>1276.3399999999999</c:v>
                </c:pt>
                <c:pt idx="200">
                  <c:v>1310.87</c:v>
                </c:pt>
                <c:pt idx="201">
                  <c:v>1329.15</c:v>
                </c:pt>
                <c:pt idx="202">
                  <c:v>1343.01</c:v>
                </c:pt>
                <c:pt idx="203">
                  <c:v>1319.88</c:v>
                </c:pt>
                <c:pt idx="204">
                  <c:v>1321.15</c:v>
                </c:pt>
                <c:pt idx="205">
                  <c:v>1304.28</c:v>
                </c:pt>
                <c:pt idx="206">
                  <c:v>1276.71</c:v>
                </c:pt>
                <c:pt idx="207">
                  <c:v>1309.02</c:v>
                </c:pt>
                <c:pt idx="208">
                  <c:v>1332.41</c:v>
                </c:pt>
                <c:pt idx="209">
                  <c:v>1328.17</c:v>
                </c:pt>
                <c:pt idx="210">
                  <c:v>1314.52</c:v>
                </c:pt>
                <c:pt idx="211">
                  <c:v>1337.38</c:v>
                </c:pt>
                <c:pt idx="212">
                  <c:v>1360.48</c:v>
                </c:pt>
                <c:pt idx="213">
                  <c:v>1335.1</c:v>
                </c:pt>
                <c:pt idx="214">
                  <c:v>1348.65</c:v>
                </c:pt>
                <c:pt idx="215">
                  <c:v>1343.6</c:v>
                </c:pt>
                <c:pt idx="216">
                  <c:v>1331.1</c:v>
                </c:pt>
                <c:pt idx="217">
                  <c:v>1300.1600000000001</c:v>
                </c:pt>
                <c:pt idx="218">
                  <c:v>1270.98</c:v>
                </c:pt>
                <c:pt idx="219">
                  <c:v>1271.5</c:v>
                </c:pt>
                <c:pt idx="220">
                  <c:v>1268.45</c:v>
                </c:pt>
                <c:pt idx="221">
                  <c:v>1339.67</c:v>
                </c:pt>
                <c:pt idx="222">
                  <c:v>1343.8</c:v>
                </c:pt>
                <c:pt idx="223">
                  <c:v>1316.14</c:v>
                </c:pt>
                <c:pt idx="224">
                  <c:v>1345.02</c:v>
                </c:pt>
                <c:pt idx="225">
                  <c:v>1292.28</c:v>
                </c:pt>
                <c:pt idx="226">
                  <c:v>1199.3800000000001</c:v>
                </c:pt>
                <c:pt idx="227">
                  <c:v>1178.81</c:v>
                </c:pt>
                <c:pt idx="228">
                  <c:v>1123.53</c:v>
                </c:pt>
                <c:pt idx="229">
                  <c:v>1159.27</c:v>
                </c:pt>
                <c:pt idx="230">
                  <c:v>1204.42</c:v>
                </c:pt>
                <c:pt idx="231">
                  <c:v>1154.23</c:v>
                </c:pt>
                <c:pt idx="232">
                  <c:v>1216.01</c:v>
                </c:pt>
                <c:pt idx="233">
                  <c:v>1136.43</c:v>
                </c:pt>
                <c:pt idx="234">
                  <c:v>1131.42</c:v>
                </c:pt>
                <c:pt idx="235">
                  <c:v>1164.97</c:v>
                </c:pt>
                <c:pt idx="236">
                  <c:v>1203.6600000000001</c:v>
                </c:pt>
                <c:pt idx="237">
                  <c:v>1215.3900000000001</c:v>
                </c:pt>
                <c:pt idx="238">
                  <c:v>1284.5899999999999</c:v>
                </c:pt>
                <c:pt idx="239">
                  <c:v>1261.1500000000001</c:v>
                </c:pt>
                <c:pt idx="240">
                  <c:v>1263.8499999999999</c:v>
                </c:pt>
                <c:pt idx="241">
                  <c:v>1215.6500000000001</c:v>
                </c:pt>
                <c:pt idx="242">
                  <c:v>1158.67</c:v>
                </c:pt>
                <c:pt idx="243">
                  <c:v>1244.28</c:v>
                </c:pt>
                <c:pt idx="244">
                  <c:v>1255.19</c:v>
                </c:pt>
                <c:pt idx="245">
                  <c:v>1219.6600000000001</c:v>
                </c:pt>
                <c:pt idx="246">
                  <c:v>1265.33</c:v>
                </c:pt>
                <c:pt idx="247">
                  <c:v>1257.5999999999999</c:v>
                </c:pt>
                <c:pt idx="248">
                  <c:v>1277.81</c:v>
                </c:pt>
                <c:pt idx="249">
                  <c:v>1295.5</c:v>
                </c:pt>
                <c:pt idx="250">
                  <c:v>1314.5</c:v>
                </c:pt>
                <c:pt idx="251">
                  <c:v>1318.43</c:v>
                </c:pt>
                <c:pt idx="252">
                  <c:v>1325.54</c:v>
                </c:pt>
                <c:pt idx="253">
                  <c:v>1351.95</c:v>
                </c:pt>
                <c:pt idx="254">
                  <c:v>1358.04</c:v>
                </c:pt>
                <c:pt idx="255">
                  <c:v>1363.46</c:v>
                </c:pt>
                <c:pt idx="256">
                  <c:v>1370.98</c:v>
                </c:pt>
                <c:pt idx="257">
                  <c:v>1371.98</c:v>
                </c:pt>
                <c:pt idx="258">
                  <c:v>1403.58</c:v>
                </c:pt>
                <c:pt idx="259">
                  <c:v>1392.79</c:v>
                </c:pt>
                <c:pt idx="260">
                  <c:v>1394.94</c:v>
                </c:pt>
                <c:pt idx="261">
                  <c:v>1398.08</c:v>
                </c:pt>
                <c:pt idx="262">
                  <c:v>1387.43</c:v>
                </c:pt>
                <c:pt idx="263">
                  <c:v>1376.92</c:v>
                </c:pt>
                <c:pt idx="264">
                  <c:v>1399.98</c:v>
                </c:pt>
                <c:pt idx="265">
                  <c:v>1391.57</c:v>
                </c:pt>
                <c:pt idx="266">
                  <c:v>1358.03</c:v>
                </c:pt>
                <c:pt idx="267">
                  <c:v>1304.8599999999999</c:v>
                </c:pt>
                <c:pt idx="268">
                  <c:v>1320.68</c:v>
                </c:pt>
                <c:pt idx="269">
                  <c:v>1310.33</c:v>
                </c:pt>
                <c:pt idx="270">
                  <c:v>1314.99</c:v>
                </c:pt>
                <c:pt idx="271">
                  <c:v>1329.1</c:v>
                </c:pt>
                <c:pt idx="272">
                  <c:v>1325.51</c:v>
                </c:pt>
                <c:pt idx="273">
                  <c:v>1329.04</c:v>
                </c:pt>
                <c:pt idx="274">
                  <c:v>1367.58</c:v>
                </c:pt>
                <c:pt idx="275">
                  <c:v>1334.76</c:v>
                </c:pt>
                <c:pt idx="276">
                  <c:v>1376.51</c:v>
                </c:pt>
                <c:pt idx="277">
                  <c:v>1360.02</c:v>
                </c:pt>
                <c:pt idx="278">
                  <c:v>1365</c:v>
                </c:pt>
                <c:pt idx="279">
                  <c:v>1402.8</c:v>
                </c:pt>
                <c:pt idx="280">
                  <c:v>1415.84</c:v>
                </c:pt>
                <c:pt idx="281">
                  <c:v>1402.08</c:v>
                </c:pt>
                <c:pt idx="282">
                  <c:v>1400.07</c:v>
                </c:pt>
                <c:pt idx="283">
                  <c:v>1432.12</c:v>
                </c:pt>
                <c:pt idx="284">
                  <c:v>1459.99</c:v>
                </c:pt>
                <c:pt idx="285">
                  <c:v>1460.26</c:v>
                </c:pt>
                <c:pt idx="286">
                  <c:v>1460.26</c:v>
                </c:pt>
              </c:numCache>
            </c:numRef>
          </c:yVal>
        </c:ser>
        <c:axId val="86436096"/>
        <c:axId val="86437888"/>
      </c:scatterChart>
      <c:valAx>
        <c:axId val="86428288"/>
        <c:scaling>
          <c:orientation val="minMax"/>
          <c:min val="39388"/>
        </c:scaling>
        <c:axPos val="b"/>
        <c:numFmt formatCode="m/d/yyyy" sourceLinked="1"/>
        <c:tickLblPos val="nextTo"/>
        <c:spPr>
          <a:ln w="3175">
            <a:solidFill>
              <a:srgbClr val="808080"/>
            </a:solidFill>
            <a:prstDash val="solid"/>
          </a:ln>
        </c:spPr>
        <c:txPr>
          <a:bodyPr rot="-2700000" vert="horz"/>
          <a:lstStyle/>
          <a:p>
            <a:pPr>
              <a:defRPr sz="1000" b="0" i="0" u="none" strike="noStrike" baseline="0">
                <a:solidFill>
                  <a:srgbClr val="000000"/>
                </a:solidFill>
                <a:latin typeface="Calibri"/>
                <a:ea typeface="Calibri"/>
                <a:cs typeface="Calibri"/>
              </a:defRPr>
            </a:pPr>
            <a:endParaRPr lang="en-US"/>
          </a:p>
        </c:txPr>
        <c:crossAx val="86434176"/>
        <c:crosses val="autoZero"/>
        <c:crossBetween val="midCat"/>
      </c:valAx>
      <c:valAx>
        <c:axId val="86434176"/>
        <c:scaling>
          <c:orientation val="minMax"/>
        </c:scaling>
        <c:axPos val="l"/>
        <c:majorGridlines>
          <c:spPr>
            <a:ln w="3175">
              <a:solidFill>
                <a:srgbClr val="808080"/>
              </a:solidFill>
              <a:prstDash val="solid"/>
            </a:ln>
          </c:spPr>
        </c:majorGridlines>
        <c:title>
          <c:tx>
            <c:rich>
              <a:bodyPr/>
              <a:lstStyle/>
              <a:p>
                <a:pPr>
                  <a:defRPr sz="1000" b="1" i="0" u="none" strike="noStrike" baseline="0">
                    <a:solidFill>
                      <a:srgbClr val="000000"/>
                    </a:solidFill>
                    <a:latin typeface="Calibri"/>
                    <a:ea typeface="Calibri"/>
                    <a:cs typeface="Calibri"/>
                  </a:defRPr>
                </a:pPr>
                <a:r>
                  <a:rPr lang="en-US"/>
                  <a:t>Portfolio Value ($'s)</a:t>
                </a:r>
              </a:p>
            </c:rich>
          </c:tx>
          <c:layout>
            <c:manualLayout>
              <c:xMode val="edge"/>
              <c:yMode val="edge"/>
              <c:x val="6.8587051618547914E-3"/>
              <c:y val="0.41842096919094585"/>
            </c:manualLayout>
          </c:layout>
          <c:spPr>
            <a:noFill/>
            <a:ln w="25400">
              <a:noFill/>
            </a:ln>
          </c:spPr>
        </c:title>
        <c:numFmt formatCode="#,##0.00_);[Red]\(#,##0.00\)" sourceLinked="1"/>
        <c:tickLblPos val="nextTo"/>
        <c:spPr>
          <a:ln w="3175">
            <a:solidFill>
              <a:srgbClr val="808080"/>
            </a:solidFill>
            <a:prstDash val="solid"/>
          </a:ln>
        </c:spPr>
        <c:txPr>
          <a:bodyPr rot="0" vert="horz"/>
          <a:lstStyle/>
          <a:p>
            <a:pPr>
              <a:defRPr/>
            </a:pPr>
            <a:endParaRPr lang="en-US"/>
          </a:p>
        </c:txPr>
        <c:crossAx val="86428288"/>
        <c:crosses val="autoZero"/>
        <c:crossBetween val="midCat"/>
      </c:valAx>
      <c:valAx>
        <c:axId val="86436096"/>
        <c:scaling>
          <c:orientation val="minMax"/>
        </c:scaling>
        <c:delete val="1"/>
        <c:axPos val="b"/>
        <c:numFmt formatCode="m/d/yyyy" sourceLinked="1"/>
        <c:tickLblPos val="none"/>
        <c:crossAx val="86437888"/>
        <c:crosses val="autoZero"/>
        <c:crossBetween val="midCat"/>
      </c:valAx>
      <c:valAx>
        <c:axId val="86437888"/>
        <c:scaling>
          <c:orientation val="minMax"/>
        </c:scaling>
        <c:axPos val="r"/>
        <c:title>
          <c:tx>
            <c:rich>
              <a:bodyPr/>
              <a:lstStyle/>
              <a:p>
                <a:pPr>
                  <a:defRPr sz="1000" b="1" i="0" u="none" strike="noStrike" baseline="0">
                    <a:solidFill>
                      <a:srgbClr val="000000"/>
                    </a:solidFill>
                    <a:latin typeface="Calibri"/>
                    <a:ea typeface="Calibri"/>
                    <a:cs typeface="Calibri"/>
                  </a:defRPr>
                </a:pPr>
                <a:r>
                  <a:rPr lang="en-US"/>
                  <a:t>S&amp;P 500 Index</a:t>
                </a:r>
              </a:p>
            </c:rich>
          </c:tx>
        </c:title>
        <c:numFmt formatCode="#,##0.00_);[Red]\(#,##0.00\)" sourceLinked="1"/>
        <c:tickLblPos val="nextTo"/>
        <c:crossAx val="86436096"/>
        <c:crosses val="max"/>
        <c:crossBetween val="midCat"/>
      </c:valAx>
      <c:spPr>
        <a:solidFill>
          <a:srgbClr val="E9EDF4"/>
        </a:solidFill>
        <a:ln w="25400">
          <a:noFill/>
        </a:ln>
      </c:spPr>
    </c:plotArea>
    <c:legend>
      <c:legendPos val="b"/>
      <c:txPr>
        <a:bodyPr/>
        <a:lstStyle/>
        <a:p>
          <a:pPr>
            <a:defRPr b="1"/>
          </a:pPr>
          <a:endParaRPr lang="en-US"/>
        </a:p>
      </c:txPr>
    </c:legend>
    <c:plotVisOnly val="1"/>
    <c:dispBlanksAs val="gap"/>
  </c:chart>
  <c:spPr>
    <a:solidFill>
      <a:srgbClr val="FFFFFF"/>
    </a:solidFill>
    <a:ln w="3175">
      <a:solidFill>
        <a:srgbClr val="808080"/>
      </a:solidFill>
      <a:prstDash val="solid"/>
    </a:ln>
  </c:spPr>
  <c:printSettings>
    <c:headerFooter/>
    <c:pageMargins b="1" l="0.7500000000000111" r="0.7500000000000111" t="1" header="0.5" footer="0.5"/>
    <c:pageSetup orientation="landscape" horizontalDpi="-3" verticalDpi="0"/>
  </c:printSettings>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4.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7.xml"/></Relationships>
</file>

<file path=xl/chartsheets/sheet1.xml><?xml version="1.0" encoding="utf-8"?>
<chartsheet xmlns="http://schemas.openxmlformats.org/spreadsheetml/2006/main" xmlns:r="http://schemas.openxmlformats.org/officeDocument/2006/relationships">
  <sheetPr codeName="Chart2">
    <tabColor rgb="FFFF6600"/>
  </sheetPr>
  <sheetViews>
    <sheetView zoomScale="78" workbookViewId="0"/>
  </sheetViews>
  <pageMargins left="0.7" right="0.7" top="0.75" bottom="0.75" header="0.3" footer="0.3"/>
  <pageSetup orientation="landscape" r:id="rId1"/>
  <drawing r:id="rId2"/>
</chartsheet>
</file>

<file path=xl/chartsheets/sheet2.xml><?xml version="1.0" encoding="utf-8"?>
<chartsheet xmlns="http://schemas.openxmlformats.org/spreadsheetml/2006/main" xmlns:r="http://schemas.openxmlformats.org/officeDocument/2006/relationships">
  <sheetPr codeName="Chart1">
    <tabColor rgb="FF000090"/>
  </sheetPr>
  <sheetViews>
    <sheetView zoomScale="97" workbookViewId="0"/>
  </sheetViews>
  <pageMargins left="0.75" right="0.75" top="1" bottom="1" header="0.5" footer="0.5"/>
  <drawing r:id="rId1"/>
</chartsheet>
</file>

<file path=xl/chartsheets/sheet3.xml><?xml version="1.0" encoding="utf-8"?>
<chartsheet xmlns="http://schemas.openxmlformats.org/spreadsheetml/2006/main" xmlns:r="http://schemas.openxmlformats.org/officeDocument/2006/relationships">
  <sheetPr codeName="Chart7">
    <tabColor theme="6"/>
  </sheetPr>
  <sheetViews>
    <sheetView workbookViewId="0"/>
  </sheetViews>
  <pageMargins left="0.75" right="0.75" top="1" bottom="1" header="0.5" footer="0.5"/>
  <drawing r:id="rId1"/>
</chartsheet>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xdr:row>
      <xdr:rowOff>66676</xdr:rowOff>
    </xdr:from>
    <xdr:to>
      <xdr:col>10</xdr:col>
      <xdr:colOff>56586</xdr:colOff>
      <xdr:row>7</xdr:row>
      <xdr:rowOff>152507</xdr:rowOff>
    </xdr:to>
    <xdr:pic>
      <xdr:nvPicPr>
        <xdr:cNvPr id="2" name="Picture 1" descr="logo.jpg"/>
        <xdr:cNvPicPr>
          <a:picLocks noChangeAspect="1"/>
        </xdr:cNvPicPr>
      </xdr:nvPicPr>
      <xdr:blipFill>
        <a:blip xmlns:r="http://schemas.openxmlformats.org/officeDocument/2006/relationships" r:embed="rId1"/>
        <a:stretch>
          <a:fillRect/>
        </a:stretch>
      </xdr:blipFill>
      <xdr:spPr>
        <a:xfrm>
          <a:off x="95250" y="114301"/>
          <a:ext cx="3037911" cy="800206"/>
        </a:xfrm>
        <a:prstGeom prst="rect">
          <a:avLst/>
        </a:prstGeom>
      </xdr:spPr>
    </xdr:pic>
    <xdr:clientData/>
  </xdr:twoCellAnchor>
  <xdr:twoCellAnchor editAs="oneCell">
    <xdr:from>
      <xdr:col>2</xdr:col>
      <xdr:colOff>0</xdr:colOff>
      <xdr:row>15</xdr:row>
      <xdr:rowOff>0</xdr:rowOff>
    </xdr:from>
    <xdr:to>
      <xdr:col>2</xdr:col>
      <xdr:colOff>610870</xdr:colOff>
      <xdr:row>18</xdr:row>
      <xdr:rowOff>88543</xdr:rowOff>
    </xdr:to>
    <xdr:pic>
      <xdr:nvPicPr>
        <xdr:cNvPr id="3" name="Picture 2"/>
        <xdr:cNvPicPr>
          <a:picLocks noChangeAspect="1"/>
        </xdr:cNvPicPr>
      </xdr:nvPicPr>
      <xdr:blipFill>
        <a:blip xmlns:r="http://schemas.openxmlformats.org/officeDocument/2006/relationships" r:embed="rId2"/>
        <a:stretch>
          <a:fillRect/>
        </a:stretch>
      </xdr:blipFill>
      <xdr:spPr>
        <a:xfrm>
          <a:off x="95250" y="1590675"/>
          <a:ext cx="610870" cy="574318"/>
        </a:xfrm>
        <a:prstGeom prst="rect">
          <a:avLst/>
        </a:prstGeom>
      </xdr:spPr>
    </xdr:pic>
    <xdr:clientData/>
  </xdr:twoCellAnchor>
  <xdr:twoCellAnchor editAs="oneCell">
    <xdr:from>
      <xdr:col>2</xdr:col>
      <xdr:colOff>0</xdr:colOff>
      <xdr:row>29</xdr:row>
      <xdr:rowOff>0</xdr:rowOff>
    </xdr:from>
    <xdr:to>
      <xdr:col>2</xdr:col>
      <xdr:colOff>609686</xdr:colOff>
      <xdr:row>32</xdr:row>
      <xdr:rowOff>84820</xdr:rowOff>
    </xdr:to>
    <xdr:pic>
      <xdr:nvPicPr>
        <xdr:cNvPr id="8" name="Picture 7" descr="default.png"/>
        <xdr:cNvPicPr>
          <a:picLocks noChangeAspect="1"/>
        </xdr:cNvPicPr>
      </xdr:nvPicPr>
      <xdr:blipFill>
        <a:blip xmlns:r="http://schemas.openxmlformats.org/officeDocument/2006/relationships" r:embed="rId3"/>
        <a:stretch>
          <a:fillRect/>
        </a:stretch>
      </xdr:blipFill>
      <xdr:spPr>
        <a:xfrm>
          <a:off x="95250" y="3171825"/>
          <a:ext cx="609686" cy="570595"/>
        </a:xfrm>
        <a:prstGeom prst="rect">
          <a:avLst/>
        </a:prstGeom>
      </xdr:spPr>
    </xdr:pic>
    <xdr:clientData/>
  </xdr:twoCellAnchor>
  <xdr:twoCellAnchor editAs="oneCell">
    <xdr:from>
      <xdr:col>9</xdr:col>
      <xdr:colOff>0</xdr:colOff>
      <xdr:row>43</xdr:row>
      <xdr:rowOff>0</xdr:rowOff>
    </xdr:from>
    <xdr:to>
      <xdr:col>9</xdr:col>
      <xdr:colOff>609687</xdr:colOff>
      <xdr:row>46</xdr:row>
      <xdr:rowOff>84820</xdr:rowOff>
    </xdr:to>
    <xdr:pic>
      <xdr:nvPicPr>
        <xdr:cNvPr id="9" name="Picture 8" descr="default.png"/>
        <xdr:cNvPicPr>
          <a:picLocks noChangeAspect="1"/>
        </xdr:cNvPicPr>
      </xdr:nvPicPr>
      <xdr:blipFill>
        <a:blip xmlns:r="http://schemas.openxmlformats.org/officeDocument/2006/relationships" r:embed="rId4"/>
        <a:stretch>
          <a:fillRect/>
        </a:stretch>
      </xdr:blipFill>
      <xdr:spPr>
        <a:xfrm>
          <a:off x="2457450" y="3171825"/>
          <a:ext cx="609687" cy="570595"/>
        </a:xfrm>
        <a:prstGeom prst="rect">
          <a:avLst/>
        </a:prstGeom>
      </xdr:spPr>
    </xdr:pic>
    <xdr:clientData/>
  </xdr:twoCellAnchor>
  <xdr:twoCellAnchor editAs="oneCell">
    <xdr:from>
      <xdr:col>16</xdr:col>
      <xdr:colOff>0</xdr:colOff>
      <xdr:row>43</xdr:row>
      <xdr:rowOff>0</xdr:rowOff>
    </xdr:from>
    <xdr:to>
      <xdr:col>16</xdr:col>
      <xdr:colOff>609687</xdr:colOff>
      <xdr:row>46</xdr:row>
      <xdr:rowOff>84820</xdr:rowOff>
    </xdr:to>
    <xdr:pic>
      <xdr:nvPicPr>
        <xdr:cNvPr id="10" name="Picture 9" descr="default.png"/>
        <xdr:cNvPicPr>
          <a:picLocks noChangeAspect="1"/>
        </xdr:cNvPicPr>
      </xdr:nvPicPr>
      <xdr:blipFill>
        <a:blip xmlns:r="http://schemas.openxmlformats.org/officeDocument/2006/relationships" r:embed="rId5"/>
        <a:stretch>
          <a:fillRect/>
        </a:stretch>
      </xdr:blipFill>
      <xdr:spPr>
        <a:xfrm>
          <a:off x="4819650" y="3171825"/>
          <a:ext cx="609687" cy="570595"/>
        </a:xfrm>
        <a:prstGeom prst="rect">
          <a:avLst/>
        </a:prstGeom>
      </xdr:spPr>
    </xdr:pic>
    <xdr:clientData/>
  </xdr:twoCellAnchor>
  <xdr:twoCellAnchor editAs="oneCell">
    <xdr:from>
      <xdr:col>2</xdr:col>
      <xdr:colOff>19546</xdr:colOff>
      <xdr:row>57</xdr:row>
      <xdr:rowOff>0</xdr:rowOff>
    </xdr:from>
    <xdr:to>
      <xdr:col>2</xdr:col>
      <xdr:colOff>590139</xdr:colOff>
      <xdr:row>60</xdr:row>
      <xdr:rowOff>84818</xdr:rowOff>
    </xdr:to>
    <xdr:pic>
      <xdr:nvPicPr>
        <xdr:cNvPr id="15" name="Picture 14" descr="default.png"/>
        <xdr:cNvPicPr>
          <a:picLocks noChangeAspect="1"/>
        </xdr:cNvPicPr>
      </xdr:nvPicPr>
      <xdr:blipFill>
        <a:blip xmlns:r="http://schemas.openxmlformats.org/officeDocument/2006/relationships" r:embed="rId6"/>
        <a:stretch>
          <a:fillRect/>
        </a:stretch>
      </xdr:blipFill>
      <xdr:spPr>
        <a:xfrm>
          <a:off x="2476996" y="1590675"/>
          <a:ext cx="570593" cy="570593"/>
        </a:xfrm>
        <a:prstGeom prst="rect">
          <a:avLst/>
        </a:prstGeom>
      </xdr:spPr>
    </xdr:pic>
    <xdr:clientData/>
  </xdr:twoCellAnchor>
  <xdr:twoCellAnchor editAs="oneCell">
    <xdr:from>
      <xdr:col>2</xdr:col>
      <xdr:colOff>1</xdr:colOff>
      <xdr:row>43</xdr:row>
      <xdr:rowOff>1</xdr:rowOff>
    </xdr:from>
    <xdr:to>
      <xdr:col>2</xdr:col>
      <xdr:colOff>581025</xdr:colOff>
      <xdr:row>47</xdr:row>
      <xdr:rowOff>0</xdr:rowOff>
    </xdr:to>
    <xdr:pic>
      <xdr:nvPicPr>
        <xdr:cNvPr id="19" name="Picture 18" descr="cat.png"/>
        <xdr:cNvPicPr>
          <a:picLocks noChangeAspect="1"/>
        </xdr:cNvPicPr>
      </xdr:nvPicPr>
      <xdr:blipFill>
        <a:blip xmlns:r="http://schemas.openxmlformats.org/officeDocument/2006/relationships" r:embed="rId7"/>
        <a:stretch>
          <a:fillRect/>
        </a:stretch>
      </xdr:blipFill>
      <xdr:spPr>
        <a:xfrm>
          <a:off x="95251" y="4752976"/>
          <a:ext cx="581024" cy="581024"/>
        </a:xfrm>
        <a:prstGeom prst="rect">
          <a:avLst/>
        </a:prstGeom>
      </xdr:spPr>
    </xdr:pic>
    <xdr:clientData/>
  </xdr:twoCellAnchor>
  <xdr:twoCellAnchor editAs="oneCell">
    <xdr:from>
      <xdr:col>16</xdr:col>
      <xdr:colOff>0</xdr:colOff>
      <xdr:row>57</xdr:row>
      <xdr:rowOff>0</xdr:rowOff>
    </xdr:from>
    <xdr:to>
      <xdr:col>16</xdr:col>
      <xdr:colOff>619048</xdr:colOff>
      <xdr:row>61</xdr:row>
      <xdr:rowOff>38023</xdr:rowOff>
    </xdr:to>
    <xdr:pic>
      <xdr:nvPicPr>
        <xdr:cNvPr id="23" name="Picture 22" descr="ngvc.png"/>
        <xdr:cNvPicPr>
          <a:picLocks noChangeAspect="1"/>
        </xdr:cNvPicPr>
      </xdr:nvPicPr>
      <xdr:blipFill>
        <a:blip xmlns:r="http://schemas.openxmlformats.org/officeDocument/2006/relationships" r:embed="rId8"/>
        <a:stretch>
          <a:fillRect/>
        </a:stretch>
      </xdr:blipFill>
      <xdr:spPr>
        <a:xfrm>
          <a:off x="4819650" y="4752975"/>
          <a:ext cx="619048" cy="619048"/>
        </a:xfrm>
        <a:prstGeom prst="rect">
          <a:avLst/>
        </a:prstGeom>
      </xdr:spPr>
    </xdr:pic>
    <xdr:clientData/>
  </xdr:twoCellAnchor>
  <xdr:twoCellAnchor editAs="oneCell">
    <xdr:from>
      <xdr:col>9</xdr:col>
      <xdr:colOff>19547</xdr:colOff>
      <xdr:row>15</xdr:row>
      <xdr:rowOff>0</xdr:rowOff>
    </xdr:from>
    <xdr:to>
      <xdr:col>9</xdr:col>
      <xdr:colOff>590140</xdr:colOff>
      <xdr:row>18</xdr:row>
      <xdr:rowOff>84818</xdr:rowOff>
    </xdr:to>
    <xdr:pic>
      <xdr:nvPicPr>
        <xdr:cNvPr id="41" name="Picture 40" descr="default.png"/>
        <xdr:cNvPicPr>
          <a:picLocks noChangeAspect="1"/>
        </xdr:cNvPicPr>
      </xdr:nvPicPr>
      <xdr:blipFill>
        <a:blip xmlns:r="http://schemas.openxmlformats.org/officeDocument/2006/relationships" r:embed="rId9"/>
        <a:stretch>
          <a:fillRect/>
        </a:stretch>
      </xdr:blipFill>
      <xdr:spPr>
        <a:xfrm>
          <a:off x="114797" y="6334125"/>
          <a:ext cx="570593" cy="570593"/>
        </a:xfrm>
        <a:prstGeom prst="rect">
          <a:avLst/>
        </a:prstGeom>
      </xdr:spPr>
    </xdr:pic>
    <xdr:clientData/>
  </xdr:twoCellAnchor>
  <xdr:twoCellAnchor editAs="oneCell">
    <xdr:from>
      <xdr:col>9</xdr:col>
      <xdr:colOff>0</xdr:colOff>
      <xdr:row>29</xdr:row>
      <xdr:rowOff>0</xdr:rowOff>
    </xdr:from>
    <xdr:to>
      <xdr:col>9</xdr:col>
      <xdr:colOff>619048</xdr:colOff>
      <xdr:row>33</xdr:row>
      <xdr:rowOff>38023</xdr:rowOff>
    </xdr:to>
    <xdr:pic>
      <xdr:nvPicPr>
        <xdr:cNvPr id="6" name="Picture 5"/>
        <xdr:cNvPicPr>
          <a:picLocks noChangeAspect="1"/>
        </xdr:cNvPicPr>
      </xdr:nvPicPr>
      <xdr:blipFill>
        <a:blip xmlns:r="http://schemas.openxmlformats.org/officeDocument/2006/relationships" r:embed="rId10">
          <a:extLst>
            <a:ext uri="{28A0092B-C50C-407E-A947-70E740481C1C}">
              <a14:useLocalDpi xmlns:a14="http://schemas.microsoft.com/office/drawing/2010/main" xmlns="" val="0"/>
            </a:ext>
          </a:extLst>
        </a:blip>
        <a:stretch>
          <a:fillRect/>
        </a:stretch>
      </xdr:blipFill>
      <xdr:spPr>
        <a:xfrm>
          <a:off x="2457450" y="1590675"/>
          <a:ext cx="619048" cy="619048"/>
        </a:xfrm>
        <a:prstGeom prst="rect">
          <a:avLst/>
        </a:prstGeom>
      </xdr:spPr>
    </xdr:pic>
    <xdr:clientData/>
  </xdr:twoCellAnchor>
  <xdr:twoCellAnchor editAs="oneCell">
    <xdr:from>
      <xdr:col>9</xdr:col>
      <xdr:colOff>0</xdr:colOff>
      <xdr:row>57</xdr:row>
      <xdr:rowOff>0</xdr:rowOff>
    </xdr:from>
    <xdr:to>
      <xdr:col>9</xdr:col>
      <xdr:colOff>609687</xdr:colOff>
      <xdr:row>60</xdr:row>
      <xdr:rowOff>84818</xdr:rowOff>
    </xdr:to>
    <xdr:pic>
      <xdr:nvPicPr>
        <xdr:cNvPr id="22" name="Picture 21" descr="default.png"/>
        <xdr:cNvPicPr>
          <a:picLocks noChangeAspect="1"/>
        </xdr:cNvPicPr>
      </xdr:nvPicPr>
      <xdr:blipFill>
        <a:blip xmlns:r="http://schemas.openxmlformats.org/officeDocument/2006/relationships" r:embed="rId11"/>
        <a:stretch>
          <a:fillRect/>
        </a:stretch>
      </xdr:blipFill>
      <xdr:spPr>
        <a:xfrm>
          <a:off x="2457450" y="6334125"/>
          <a:ext cx="609687" cy="570593"/>
        </a:xfrm>
        <a:prstGeom prst="rect">
          <a:avLst/>
        </a:prstGeom>
      </xdr:spPr>
    </xdr:pic>
    <xdr:clientData/>
  </xdr:twoCellAnchor>
  <xdr:twoCellAnchor editAs="oneCell">
    <xdr:from>
      <xdr:col>16</xdr:col>
      <xdr:colOff>0</xdr:colOff>
      <xdr:row>15</xdr:row>
      <xdr:rowOff>0</xdr:rowOff>
    </xdr:from>
    <xdr:to>
      <xdr:col>16</xdr:col>
      <xdr:colOff>570595</xdr:colOff>
      <xdr:row>18</xdr:row>
      <xdr:rowOff>84820</xdr:rowOff>
    </xdr:to>
    <xdr:pic>
      <xdr:nvPicPr>
        <xdr:cNvPr id="24" name="Picture 23" descr="default.png"/>
        <xdr:cNvPicPr>
          <a:picLocks noChangeAspect="1"/>
        </xdr:cNvPicPr>
      </xdr:nvPicPr>
      <xdr:blipFill>
        <a:blip xmlns:r="http://schemas.openxmlformats.org/officeDocument/2006/relationships" r:embed="rId12"/>
        <a:stretch>
          <a:fillRect/>
        </a:stretch>
      </xdr:blipFill>
      <xdr:spPr>
        <a:xfrm>
          <a:off x="4819650" y="1590675"/>
          <a:ext cx="570595" cy="570595"/>
        </a:xfrm>
        <a:prstGeom prst="rect">
          <a:avLst/>
        </a:prstGeom>
      </xdr:spPr>
    </xdr:pic>
    <xdr:clientData/>
  </xdr:twoCellAnchor>
  <xdr:twoCellAnchor editAs="oneCell">
    <xdr:from>
      <xdr:col>16</xdr:col>
      <xdr:colOff>0</xdr:colOff>
      <xdr:row>29</xdr:row>
      <xdr:rowOff>0</xdr:rowOff>
    </xdr:from>
    <xdr:to>
      <xdr:col>17</xdr:col>
      <xdr:colOff>86</xdr:colOff>
      <xdr:row>33</xdr:row>
      <xdr:rowOff>38186</xdr:rowOff>
    </xdr:to>
    <xdr:pic>
      <xdr:nvPicPr>
        <xdr:cNvPr id="25" name="Picture 24" descr="intc.png"/>
        <xdr:cNvPicPr>
          <a:picLocks noChangeAspect="1"/>
        </xdr:cNvPicPr>
      </xdr:nvPicPr>
      <xdr:blipFill>
        <a:blip xmlns:r="http://schemas.openxmlformats.org/officeDocument/2006/relationships" r:embed="rId13"/>
        <a:stretch>
          <a:fillRect/>
        </a:stretch>
      </xdr:blipFill>
      <xdr:spPr>
        <a:xfrm>
          <a:off x="4819650" y="3171825"/>
          <a:ext cx="619211" cy="619211"/>
        </a:xfrm>
        <a:prstGeom prst="rect">
          <a:avLst/>
        </a:prstGeom>
      </xdr:spPr>
    </xdr:pic>
    <xdr:clientData/>
  </xdr:twoCellAnchor>
  <xdr:twoCellAnchor editAs="oneCell">
    <xdr:from>
      <xdr:col>23</xdr:col>
      <xdr:colOff>0</xdr:colOff>
      <xdr:row>15</xdr:row>
      <xdr:rowOff>0</xdr:rowOff>
    </xdr:from>
    <xdr:to>
      <xdr:col>23</xdr:col>
      <xdr:colOff>619048</xdr:colOff>
      <xdr:row>19</xdr:row>
      <xdr:rowOff>38023</xdr:rowOff>
    </xdr:to>
    <xdr:pic>
      <xdr:nvPicPr>
        <xdr:cNvPr id="26" name="Picture 25" descr="tpc.png"/>
        <xdr:cNvPicPr>
          <a:picLocks noChangeAspect="1"/>
        </xdr:cNvPicPr>
      </xdr:nvPicPr>
      <xdr:blipFill>
        <a:blip xmlns:r="http://schemas.openxmlformats.org/officeDocument/2006/relationships" r:embed="rId14"/>
        <a:stretch>
          <a:fillRect/>
        </a:stretch>
      </xdr:blipFill>
      <xdr:spPr>
        <a:xfrm>
          <a:off x="7181850" y="1590675"/>
          <a:ext cx="619048" cy="619048"/>
        </a:xfrm>
        <a:prstGeom prst="rect">
          <a:avLst/>
        </a:prstGeom>
      </xdr:spPr>
    </xdr:pic>
    <xdr:clientData/>
  </xdr:twoCellAnchor>
  <xdr:twoCellAnchor editAs="oneCell">
    <xdr:from>
      <xdr:col>23</xdr:col>
      <xdr:colOff>0</xdr:colOff>
      <xdr:row>29</xdr:row>
      <xdr:rowOff>0</xdr:rowOff>
    </xdr:from>
    <xdr:to>
      <xdr:col>23</xdr:col>
      <xdr:colOff>590637</xdr:colOff>
      <xdr:row>32</xdr:row>
      <xdr:rowOff>84820</xdr:rowOff>
    </xdr:to>
    <xdr:pic>
      <xdr:nvPicPr>
        <xdr:cNvPr id="27" name="Picture 26" descr="default.png"/>
        <xdr:cNvPicPr>
          <a:picLocks noChangeAspect="1"/>
        </xdr:cNvPicPr>
      </xdr:nvPicPr>
      <xdr:blipFill>
        <a:blip xmlns:r="http://schemas.openxmlformats.org/officeDocument/2006/relationships" r:embed="rId15"/>
        <a:stretch>
          <a:fillRect/>
        </a:stretch>
      </xdr:blipFill>
      <xdr:spPr>
        <a:xfrm>
          <a:off x="7181850" y="3171825"/>
          <a:ext cx="590637" cy="570595"/>
        </a:xfrm>
        <a:prstGeom prst="rect">
          <a:avLst/>
        </a:prstGeom>
      </xdr:spPr>
    </xdr:pic>
    <xdr:clientData/>
  </xdr:twoCellAnchor>
  <xdr:twoCellAnchor editAs="oneCell">
    <xdr:from>
      <xdr:col>30</xdr:col>
      <xdr:colOff>0</xdr:colOff>
      <xdr:row>15</xdr:row>
      <xdr:rowOff>0</xdr:rowOff>
    </xdr:from>
    <xdr:to>
      <xdr:col>31</xdr:col>
      <xdr:colOff>250</xdr:colOff>
      <xdr:row>19</xdr:row>
      <xdr:rowOff>38350</xdr:rowOff>
    </xdr:to>
    <xdr:pic>
      <xdr:nvPicPr>
        <xdr:cNvPr id="29" name="Picture 28" descr="yrcw.png"/>
        <xdr:cNvPicPr>
          <a:picLocks noChangeAspect="1"/>
        </xdr:cNvPicPr>
      </xdr:nvPicPr>
      <xdr:blipFill>
        <a:blip xmlns:r="http://schemas.openxmlformats.org/officeDocument/2006/relationships" r:embed="rId16"/>
        <a:stretch>
          <a:fillRect/>
        </a:stretch>
      </xdr:blipFill>
      <xdr:spPr>
        <a:xfrm>
          <a:off x="9544050" y="1590675"/>
          <a:ext cx="619375" cy="619375"/>
        </a:xfrm>
        <a:prstGeom prst="rect">
          <a:avLst/>
        </a:prstGeom>
      </xdr:spPr>
    </xdr:pic>
    <xdr:clientData/>
  </xdr:twoCellAnchor>
  <xdr:twoCellAnchor editAs="oneCell">
    <xdr:from>
      <xdr:col>23</xdr:col>
      <xdr:colOff>0</xdr:colOff>
      <xdr:row>43</xdr:row>
      <xdr:rowOff>0</xdr:rowOff>
    </xdr:from>
    <xdr:to>
      <xdr:col>23</xdr:col>
      <xdr:colOff>609687</xdr:colOff>
      <xdr:row>46</xdr:row>
      <xdr:rowOff>84818</xdr:rowOff>
    </xdr:to>
    <xdr:pic>
      <xdr:nvPicPr>
        <xdr:cNvPr id="34" name="Picture 33" descr="default.png"/>
        <xdr:cNvPicPr>
          <a:picLocks noChangeAspect="1"/>
        </xdr:cNvPicPr>
      </xdr:nvPicPr>
      <xdr:blipFill>
        <a:blip xmlns:r="http://schemas.openxmlformats.org/officeDocument/2006/relationships" r:embed="rId17"/>
        <a:stretch>
          <a:fillRect/>
        </a:stretch>
      </xdr:blipFill>
      <xdr:spPr>
        <a:xfrm>
          <a:off x="7181850" y="4752975"/>
          <a:ext cx="609687" cy="570593"/>
        </a:xfrm>
        <a:prstGeom prst="rect">
          <a:avLst/>
        </a:prstGeom>
      </xdr:spPr>
    </xdr:pic>
    <xdr:clientData/>
  </xdr:twoCellAnchor>
  <xdr:twoCellAnchor editAs="oneCell">
    <xdr:from>
      <xdr:col>23</xdr:col>
      <xdr:colOff>0</xdr:colOff>
      <xdr:row>57</xdr:row>
      <xdr:rowOff>0</xdr:rowOff>
    </xdr:from>
    <xdr:to>
      <xdr:col>24</xdr:col>
      <xdr:colOff>0</xdr:colOff>
      <xdr:row>61</xdr:row>
      <xdr:rowOff>0</xdr:rowOff>
    </xdr:to>
    <xdr:pic>
      <xdr:nvPicPr>
        <xdr:cNvPr id="35" name="Picture 34" descr="yhoo.PNG"/>
        <xdr:cNvPicPr>
          <a:picLocks noChangeAspect="1"/>
        </xdr:cNvPicPr>
      </xdr:nvPicPr>
      <xdr:blipFill>
        <a:blip xmlns:r="http://schemas.openxmlformats.org/officeDocument/2006/relationships" r:embed="rId18"/>
        <a:stretch>
          <a:fillRect/>
        </a:stretch>
      </xdr:blipFill>
      <xdr:spPr>
        <a:xfrm>
          <a:off x="9544050" y="3171825"/>
          <a:ext cx="619125" cy="5810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absoluteAnchor>
    <xdr:pos x="0" y="0"/>
    <xdr:ext cx="16641536" cy="10341428"/>
    <xdr:graphicFrame macro="">
      <xdr:nvGraphicFramePr>
        <xdr:cNvPr id="7" name="Chart 6"/>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8670192" cy="6288942"/>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absoluteAnchor>
    <xdr:pos x="0" y="0"/>
    <xdr:ext cx="8575773" cy="5826289"/>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c:userShapes xmlns:c="http://schemas.openxmlformats.org/drawingml/2006/chart">
  <cdr:relSizeAnchor xmlns:cdr="http://schemas.openxmlformats.org/drawingml/2006/chartDrawing">
    <cdr:from>
      <cdr:x>0</cdr:x>
      <cdr:y>0.04075</cdr:y>
    </cdr:from>
    <cdr:to>
      <cdr:x>0.65548</cdr:x>
      <cdr:y>0.17303</cdr:y>
    </cdr:to>
    <cdr:sp macro="" textlink="">
      <cdr:nvSpPr>
        <cdr:cNvPr id="2" name="Rectangle 1"/>
        <cdr:cNvSpPr/>
      </cdr:nvSpPr>
      <cdr:spPr>
        <a:xfrm xmlns:a="http://schemas.openxmlformats.org/drawingml/2006/main">
          <a:off x="-373959" y="237026"/>
          <a:ext cx="5619071" cy="769441"/>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r>
            <a:rPr lang="en-US" sz="4400" b="1" cap="none" spc="300">
              <a:ln w="11430" cmpd="sng">
                <a:solidFill>
                  <a:schemeClr val="accent1">
                    <a:tint val="10000"/>
                  </a:schemeClr>
                </a:solidFill>
                <a:prstDash val="solid"/>
                <a:miter lim="800000"/>
              </a:ln>
              <a:gradFill>
                <a:gsLst>
                  <a:gs pos="10000">
                    <a:schemeClr val="accent1">
                      <a:tint val="83000"/>
                      <a:shade val="100000"/>
                      <a:satMod val="200000"/>
                    </a:schemeClr>
                  </a:gs>
                  <a:gs pos="75000">
                    <a:schemeClr val="accent1">
                      <a:tint val="100000"/>
                      <a:shade val="50000"/>
                      <a:satMod val="150000"/>
                    </a:schemeClr>
                  </a:gs>
                </a:gsLst>
                <a:lin ang="5400000"/>
              </a:gradFill>
              <a:effectLst>
                <a:glow rad="45500">
                  <a:schemeClr val="accent1">
                    <a:satMod val="220000"/>
                    <a:alpha val="35000"/>
                  </a:schemeClr>
                </a:glow>
              </a:effectLst>
            </a:rPr>
            <a:t>GICS Sector Weights</a:t>
          </a:r>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434975</xdr:colOff>
      <xdr:row>0</xdr:row>
      <xdr:rowOff>142875</xdr:rowOff>
    </xdr:from>
    <xdr:to>
      <xdr:col>13</xdr:col>
      <xdr:colOff>434975</xdr:colOff>
      <xdr:row>43</xdr:row>
      <xdr:rowOff>44450</xdr:rowOff>
    </xdr:to>
    <xdr:graphicFrame macro="">
      <xdr:nvGraphicFramePr>
        <xdr:cNvPr id="2"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c:userShapes xmlns:c="http://schemas.openxmlformats.org/drawingml/2006/chart">
  <cdr:relSizeAnchor xmlns:cdr="http://schemas.openxmlformats.org/drawingml/2006/chartDrawing">
    <cdr:from>
      <cdr:x>0</cdr:x>
      <cdr:y>0.02189</cdr:y>
    </cdr:from>
    <cdr:to>
      <cdr:x>0.69702</cdr:x>
      <cdr:y>0.15389</cdr:y>
    </cdr:to>
    <cdr:sp macro="" textlink="">
      <cdr:nvSpPr>
        <cdr:cNvPr id="2" name="Rectangle 1"/>
        <cdr:cNvSpPr/>
      </cdr:nvSpPr>
      <cdr:spPr>
        <a:xfrm xmlns:a="http://schemas.openxmlformats.org/drawingml/2006/main">
          <a:off x="-396482" y="127603"/>
          <a:ext cx="5975213" cy="769441"/>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r>
            <a:rPr lang="en-US" sz="4400" b="1" cap="none" spc="300">
              <a:ln w="11430" cmpd="sng">
                <a:solidFill>
                  <a:schemeClr val="accent1">
                    <a:tint val="10000"/>
                  </a:schemeClr>
                </a:solidFill>
                <a:prstDash val="solid"/>
                <a:miter lim="800000"/>
              </a:ln>
              <a:gradFill>
                <a:gsLst>
                  <a:gs pos="10000">
                    <a:schemeClr val="accent1">
                      <a:tint val="83000"/>
                      <a:shade val="100000"/>
                      <a:satMod val="200000"/>
                    </a:schemeClr>
                  </a:gs>
                  <a:gs pos="75000">
                    <a:schemeClr val="accent1">
                      <a:tint val="100000"/>
                      <a:shade val="50000"/>
                      <a:satMod val="150000"/>
                    </a:schemeClr>
                  </a:gs>
                </a:gsLst>
                <a:lin ang="5400000"/>
              </a:gradFill>
              <a:effectLst>
                <a:glow rad="45500">
                  <a:schemeClr val="accent1">
                    <a:satMod val="220000"/>
                    <a:alpha val="35000"/>
                  </a:schemeClr>
                </a:glow>
              </a:effectLst>
            </a:rPr>
            <a:t>Market Capitalization</a:t>
          </a:r>
        </a:p>
      </cdr:txBody>
    </cdr:sp>
  </cdr:relSizeAnchor>
</c:userShapes>
</file>

<file path=xl/drawings/drawing9.xml><?xml version="1.0" encoding="utf-8"?>
<xdr:wsDr xmlns:xdr="http://schemas.openxmlformats.org/drawingml/2006/spreadsheetDrawing" xmlns:a="http://schemas.openxmlformats.org/drawingml/2006/main">
  <xdr:twoCellAnchor>
    <xdr:from>
      <xdr:col>8</xdr:col>
      <xdr:colOff>0</xdr:colOff>
      <xdr:row>32</xdr:row>
      <xdr:rowOff>12700</xdr:rowOff>
    </xdr:from>
    <xdr:to>
      <xdr:col>25</xdr:col>
      <xdr:colOff>241300</xdr:colOff>
      <xdr:row>56</xdr:row>
      <xdr:rowOff>114300</xdr:rowOff>
    </xdr:to>
    <xdr:graphicFrame macro="">
      <xdr:nvGraphicFramePr>
        <xdr:cNvPr id="384188"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queryTables/queryTable1.xml><?xml version="1.0" encoding="utf-8"?>
<queryTable xmlns="http://schemas.openxmlformats.org/spreadsheetml/2006/main" name="MSN MoneyCentral Investor Stock Quotes" preserveFormatting="0" connectionId="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invest@mail.gvsu.edu" TargetMode="External"/><Relationship Id="rId1" Type="http://schemas.openxmlformats.org/officeDocument/2006/relationships/hyperlink" Target="http://gvsu.edu/invest"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investing.money.msn.com/investments/stock-price?symbol=CSCO" TargetMode="External"/><Relationship Id="rId21" Type="http://schemas.openxmlformats.org/officeDocument/2006/relationships/hyperlink" Target="http://investing.money.msn.com/investments/equity-charts?symbol=CAT" TargetMode="External"/><Relationship Id="rId42" Type="http://schemas.openxmlformats.org/officeDocument/2006/relationships/hyperlink" Target="http://investing.money.msn.com/investments/equity-charts?symbol=INTC" TargetMode="External"/><Relationship Id="rId47" Type="http://schemas.openxmlformats.org/officeDocument/2006/relationships/hyperlink" Target="http://investing.money.msn.com/investments/stock-price?symbol=NGVC" TargetMode="External"/><Relationship Id="rId63" Type="http://schemas.openxmlformats.org/officeDocument/2006/relationships/hyperlink" Target="http://investing.money.msn.com/investments/equity-charts?symbol=YRCW" TargetMode="External"/><Relationship Id="rId68" Type="http://schemas.openxmlformats.org/officeDocument/2006/relationships/hyperlink" Target="http://investing.money.msn.com/investments/stock-price?symbol=CPL" TargetMode="External"/><Relationship Id="rId84" Type="http://schemas.openxmlformats.org/officeDocument/2006/relationships/hyperlink" Target="http://investing.money.msn.com/investments/equity-charts?symbol=F" TargetMode="External"/><Relationship Id="rId89" Type="http://schemas.openxmlformats.org/officeDocument/2006/relationships/hyperlink" Target="http://investing.money.msn.com/investments/stock-price?symbol=WMMVY" TargetMode="External"/><Relationship Id="rId112" Type="http://schemas.openxmlformats.org/officeDocument/2006/relationships/hyperlink" Target="http://office.microsoft.com/" TargetMode="External"/><Relationship Id="rId2" Type="http://schemas.openxmlformats.org/officeDocument/2006/relationships/hyperlink" Target="http://investing.money.msn.com/investments/stock-price?symbol=%24INDU" TargetMode="External"/><Relationship Id="rId16" Type="http://schemas.openxmlformats.org/officeDocument/2006/relationships/hyperlink" Target="http://money.msn.com/business-news/default.aspx?symbol=BRK%2EB" TargetMode="External"/><Relationship Id="rId29" Type="http://schemas.openxmlformats.org/officeDocument/2006/relationships/hyperlink" Target="http://investing.money.msn.com/investments/stock-price?symbol=DAL" TargetMode="External"/><Relationship Id="rId107" Type="http://schemas.openxmlformats.org/officeDocument/2006/relationships/hyperlink" Target="http://investing.money.msn.com/investments/stock-price?symbol=PSX" TargetMode="External"/><Relationship Id="rId11" Type="http://schemas.openxmlformats.org/officeDocument/2006/relationships/hyperlink" Target="http://investing.money.msn.com/investments/stock-price?symbol=%24COMPX" TargetMode="External"/><Relationship Id="rId24" Type="http://schemas.openxmlformats.org/officeDocument/2006/relationships/hyperlink" Target="http://investing.money.msn.com/investments/equity-charts?symbol=CX" TargetMode="External"/><Relationship Id="rId32" Type="http://schemas.openxmlformats.org/officeDocument/2006/relationships/hyperlink" Target="http://investing.money.msn.com/investments/stock-price?symbol=GNTX" TargetMode="External"/><Relationship Id="rId37" Type="http://schemas.openxmlformats.org/officeDocument/2006/relationships/hyperlink" Target="http://money.msn.com/business-news/default.aspx?symbol=HD" TargetMode="External"/><Relationship Id="rId40" Type="http://schemas.openxmlformats.org/officeDocument/2006/relationships/hyperlink" Target="http://money.msn.com/business-news/default.aspx?symbol=IMMR" TargetMode="External"/><Relationship Id="rId45" Type="http://schemas.openxmlformats.org/officeDocument/2006/relationships/hyperlink" Target="http://investing.money.msn.com/investments/equity-charts?symbol=MDT" TargetMode="External"/><Relationship Id="rId53" Type="http://schemas.openxmlformats.org/officeDocument/2006/relationships/hyperlink" Target="http://investing.money.msn.com/investments/stock-price?symbol=TSN" TargetMode="External"/><Relationship Id="rId58" Type="http://schemas.openxmlformats.org/officeDocument/2006/relationships/hyperlink" Target="http://money.msn.com/business-news/default.aspx?symbol=WFC" TargetMode="External"/><Relationship Id="rId66" Type="http://schemas.openxmlformats.org/officeDocument/2006/relationships/hyperlink" Target="http://investing.money.msn.com/investments/equity-charts?symbol=VALE" TargetMode="External"/><Relationship Id="rId74" Type="http://schemas.openxmlformats.org/officeDocument/2006/relationships/hyperlink" Target="http://investing.money.msn.com/investments/stock-price?symbol=PGX" TargetMode="External"/><Relationship Id="rId79" Type="http://schemas.openxmlformats.org/officeDocument/2006/relationships/hyperlink" Target="http://money.msn.com/business-news/default.aspx?symbol=PTR" TargetMode="External"/><Relationship Id="rId87" Type="http://schemas.openxmlformats.org/officeDocument/2006/relationships/hyperlink" Target="http://investing.money.msn.com/investments/equity-charts?symbol=TTEK" TargetMode="External"/><Relationship Id="rId102" Type="http://schemas.openxmlformats.org/officeDocument/2006/relationships/hyperlink" Target="http://investing.money.msn.com/investments/equity-charts?symbol=XRX" TargetMode="External"/><Relationship Id="rId110" Type="http://schemas.openxmlformats.org/officeDocument/2006/relationships/hyperlink" Target="http://investing.money.msn.com/investments/find-symbol" TargetMode="External"/><Relationship Id="rId5" Type="http://schemas.openxmlformats.org/officeDocument/2006/relationships/hyperlink" Target="http://investing.money.msn.com/investments/stock-price?symbol=%24COMP" TargetMode="External"/><Relationship Id="rId61" Type="http://schemas.openxmlformats.org/officeDocument/2006/relationships/hyperlink" Target="http://money.msn.com/business-news/default.aspx?symbol=YHOO" TargetMode="External"/><Relationship Id="rId82" Type="http://schemas.openxmlformats.org/officeDocument/2006/relationships/hyperlink" Target="http://money.msn.com/business-news/default.aspx?symbol=UPS" TargetMode="External"/><Relationship Id="rId90" Type="http://schemas.openxmlformats.org/officeDocument/2006/relationships/hyperlink" Target="http://investing.money.msn.com/investments/equity-charts?symbol=WMMVY" TargetMode="External"/><Relationship Id="rId95" Type="http://schemas.openxmlformats.org/officeDocument/2006/relationships/hyperlink" Target="http://investing.money.msn.com/investments/stock-price?symbol=HCP" TargetMode="External"/><Relationship Id="rId19" Type="http://schemas.openxmlformats.org/officeDocument/2006/relationships/hyperlink" Target="http://money.msn.com/business-news/default.aspx?symbol=MCLOX" TargetMode="External"/><Relationship Id="rId14" Type="http://schemas.openxmlformats.org/officeDocument/2006/relationships/hyperlink" Target="http://investing.money.msn.com/investments/stock-price?symbol=BRK%2EB" TargetMode="External"/><Relationship Id="rId22" Type="http://schemas.openxmlformats.org/officeDocument/2006/relationships/hyperlink" Target="http://money.msn.com/business-news/default.aspx?symbol=CAT" TargetMode="External"/><Relationship Id="rId27" Type="http://schemas.openxmlformats.org/officeDocument/2006/relationships/hyperlink" Target="http://investing.money.msn.com/investments/equity-charts?symbol=CSCO" TargetMode="External"/><Relationship Id="rId30" Type="http://schemas.openxmlformats.org/officeDocument/2006/relationships/hyperlink" Target="http://investing.money.msn.com/investments/equity-charts?symbol=DAL" TargetMode="External"/><Relationship Id="rId35" Type="http://schemas.openxmlformats.org/officeDocument/2006/relationships/hyperlink" Target="http://investing.money.msn.com/investments/stock-price?symbol=HD" TargetMode="External"/><Relationship Id="rId43" Type="http://schemas.openxmlformats.org/officeDocument/2006/relationships/hyperlink" Target="http://money.msn.com/business-news/default.aspx?symbol=INTC" TargetMode="External"/><Relationship Id="rId48" Type="http://schemas.openxmlformats.org/officeDocument/2006/relationships/hyperlink" Target="http://investing.money.msn.com/investments/equity-charts?symbol=NGVC" TargetMode="External"/><Relationship Id="rId56" Type="http://schemas.openxmlformats.org/officeDocument/2006/relationships/hyperlink" Target="http://investing.money.msn.com/investments/stock-price?symbol=WFC" TargetMode="External"/><Relationship Id="rId64" Type="http://schemas.openxmlformats.org/officeDocument/2006/relationships/hyperlink" Target="http://money.msn.com/business-news/default.aspx?symbol=YRCW" TargetMode="External"/><Relationship Id="rId69" Type="http://schemas.openxmlformats.org/officeDocument/2006/relationships/hyperlink" Target="http://investing.money.msn.com/investments/equity-charts?symbol=CPL" TargetMode="External"/><Relationship Id="rId77" Type="http://schemas.openxmlformats.org/officeDocument/2006/relationships/hyperlink" Target="http://investing.money.msn.com/investments/stock-price?symbol=PTR" TargetMode="External"/><Relationship Id="rId100" Type="http://schemas.openxmlformats.org/officeDocument/2006/relationships/hyperlink" Target="http://money.msn.com/business-news/default.aspx?symbol=QCOM" TargetMode="External"/><Relationship Id="rId105" Type="http://schemas.openxmlformats.org/officeDocument/2006/relationships/hyperlink" Target="http://investing.money.msn.com/investments/equity-charts?symbol=DIS" TargetMode="External"/><Relationship Id="rId113" Type="http://schemas.openxmlformats.org/officeDocument/2006/relationships/hyperlink" Target="http://g.msn.com/0TO_/enus" TargetMode="External"/><Relationship Id="rId8" Type="http://schemas.openxmlformats.org/officeDocument/2006/relationships/hyperlink" Target="http://investing.money.msn.com/investments/stock-price?symbol=%24INX" TargetMode="External"/><Relationship Id="rId51" Type="http://schemas.openxmlformats.org/officeDocument/2006/relationships/hyperlink" Target="http://investing.money.msn.com/investments/equity-charts?symbol=TPC" TargetMode="External"/><Relationship Id="rId72" Type="http://schemas.openxmlformats.org/officeDocument/2006/relationships/hyperlink" Target="http://investing.money.msn.com/investments/equity-charts?symbol=SYK" TargetMode="External"/><Relationship Id="rId80" Type="http://schemas.openxmlformats.org/officeDocument/2006/relationships/hyperlink" Target="http://investing.money.msn.com/investments/stock-price?symbol=UPS" TargetMode="External"/><Relationship Id="rId85" Type="http://schemas.openxmlformats.org/officeDocument/2006/relationships/hyperlink" Target="http://money.msn.com/business-news/default.aspx?symbol=F" TargetMode="External"/><Relationship Id="rId93" Type="http://schemas.openxmlformats.org/officeDocument/2006/relationships/hyperlink" Target="http://investing.money.msn.com/investments/equity-charts?symbol=ITRI" TargetMode="External"/><Relationship Id="rId98" Type="http://schemas.openxmlformats.org/officeDocument/2006/relationships/hyperlink" Target="http://investing.money.msn.com/investments/stock-price?symbol=QCOM" TargetMode="External"/><Relationship Id="rId3" Type="http://schemas.openxmlformats.org/officeDocument/2006/relationships/hyperlink" Target="http://investing.money.msn.com/investments/equity-charts?symbol=%24INDU" TargetMode="External"/><Relationship Id="rId12" Type="http://schemas.openxmlformats.org/officeDocument/2006/relationships/hyperlink" Target="http://investing.money.msn.com/investments/equity-charts?symbol=%24COMPX" TargetMode="External"/><Relationship Id="rId17" Type="http://schemas.openxmlformats.org/officeDocument/2006/relationships/hyperlink" Target="http://investing.money.msn.com/investments/stock-price?symbol=MCLOX" TargetMode="External"/><Relationship Id="rId25" Type="http://schemas.openxmlformats.org/officeDocument/2006/relationships/hyperlink" Target="http://money.msn.com/business-news/default.aspx?symbol=CX" TargetMode="External"/><Relationship Id="rId33" Type="http://schemas.openxmlformats.org/officeDocument/2006/relationships/hyperlink" Target="http://investing.money.msn.com/investments/equity-charts?symbol=GNTX" TargetMode="External"/><Relationship Id="rId38" Type="http://schemas.openxmlformats.org/officeDocument/2006/relationships/hyperlink" Target="http://investing.money.msn.com/investments/stock-price?symbol=IMMR" TargetMode="External"/><Relationship Id="rId46" Type="http://schemas.openxmlformats.org/officeDocument/2006/relationships/hyperlink" Target="http://money.msn.com/business-news/default.aspx?symbol=MDT" TargetMode="External"/><Relationship Id="rId59" Type="http://schemas.openxmlformats.org/officeDocument/2006/relationships/hyperlink" Target="http://investing.money.msn.com/investments/stock-price?symbol=YHOO" TargetMode="External"/><Relationship Id="rId67" Type="http://schemas.openxmlformats.org/officeDocument/2006/relationships/hyperlink" Target="http://money.msn.com/business-news/default.aspx?symbol=VALE" TargetMode="External"/><Relationship Id="rId103" Type="http://schemas.openxmlformats.org/officeDocument/2006/relationships/hyperlink" Target="http://money.msn.com/business-news/default.aspx?symbol=XRX" TargetMode="External"/><Relationship Id="rId108" Type="http://schemas.openxmlformats.org/officeDocument/2006/relationships/hyperlink" Target="http://investing.money.msn.com/investments/equity-charts?symbol=PSX" TargetMode="External"/><Relationship Id="rId20" Type="http://schemas.openxmlformats.org/officeDocument/2006/relationships/hyperlink" Target="http://investing.money.msn.com/investments/stock-price?symbol=CAT" TargetMode="External"/><Relationship Id="rId41" Type="http://schemas.openxmlformats.org/officeDocument/2006/relationships/hyperlink" Target="http://investing.money.msn.com/investments/stock-price?symbol=INTC" TargetMode="External"/><Relationship Id="rId54" Type="http://schemas.openxmlformats.org/officeDocument/2006/relationships/hyperlink" Target="http://investing.money.msn.com/investments/equity-charts?symbol=TSN" TargetMode="External"/><Relationship Id="rId62" Type="http://schemas.openxmlformats.org/officeDocument/2006/relationships/hyperlink" Target="http://investing.money.msn.com/investments/stock-price?symbol=YRCW" TargetMode="External"/><Relationship Id="rId70" Type="http://schemas.openxmlformats.org/officeDocument/2006/relationships/hyperlink" Target="http://money.msn.com/business-news/default.aspx?symbol=CPL" TargetMode="External"/><Relationship Id="rId75" Type="http://schemas.openxmlformats.org/officeDocument/2006/relationships/hyperlink" Target="http://investing.money.msn.com/investments/equity-charts?symbol=PGX" TargetMode="External"/><Relationship Id="rId83" Type="http://schemas.openxmlformats.org/officeDocument/2006/relationships/hyperlink" Target="http://investing.money.msn.com/investments/stock-price?symbol=F" TargetMode="External"/><Relationship Id="rId88" Type="http://schemas.openxmlformats.org/officeDocument/2006/relationships/hyperlink" Target="http://money.msn.com/business-news/default.aspx?symbol=TTEK" TargetMode="External"/><Relationship Id="rId91" Type="http://schemas.openxmlformats.org/officeDocument/2006/relationships/hyperlink" Target="http://money.msn.com/business-news/default.aspx?symbol=WMMVY" TargetMode="External"/><Relationship Id="rId96" Type="http://schemas.openxmlformats.org/officeDocument/2006/relationships/hyperlink" Target="http://investing.money.msn.com/investments/equity-charts?symbol=HCP" TargetMode="External"/><Relationship Id="rId111" Type="http://schemas.openxmlformats.org/officeDocument/2006/relationships/hyperlink" Target="http://money.msn.com/" TargetMode="External"/><Relationship Id="rId1" Type="http://schemas.openxmlformats.org/officeDocument/2006/relationships/hyperlink" Target="http://money.msn.com/" TargetMode="External"/><Relationship Id="rId6" Type="http://schemas.openxmlformats.org/officeDocument/2006/relationships/hyperlink" Target="http://investing.money.msn.com/investments/equity-charts?symbol=%24COMP" TargetMode="External"/><Relationship Id="rId15" Type="http://schemas.openxmlformats.org/officeDocument/2006/relationships/hyperlink" Target="http://investing.money.msn.com/investments/equity-charts?symbol=BRK%2EB" TargetMode="External"/><Relationship Id="rId23" Type="http://schemas.openxmlformats.org/officeDocument/2006/relationships/hyperlink" Target="http://investing.money.msn.com/investments/stock-price?symbol=CX" TargetMode="External"/><Relationship Id="rId28" Type="http://schemas.openxmlformats.org/officeDocument/2006/relationships/hyperlink" Target="http://money.msn.com/business-news/default.aspx?symbol=CSCO" TargetMode="External"/><Relationship Id="rId36" Type="http://schemas.openxmlformats.org/officeDocument/2006/relationships/hyperlink" Target="http://investing.money.msn.com/investments/equity-charts?symbol=HD" TargetMode="External"/><Relationship Id="rId49" Type="http://schemas.openxmlformats.org/officeDocument/2006/relationships/hyperlink" Target="http://money.msn.com/business-news/default.aspx?symbol=NGVC" TargetMode="External"/><Relationship Id="rId57" Type="http://schemas.openxmlformats.org/officeDocument/2006/relationships/hyperlink" Target="http://investing.money.msn.com/investments/equity-charts?symbol=WFC" TargetMode="External"/><Relationship Id="rId106" Type="http://schemas.openxmlformats.org/officeDocument/2006/relationships/hyperlink" Target="http://money.msn.com/business-news/default.aspx?symbol=DIS" TargetMode="External"/><Relationship Id="rId114" Type="http://schemas.openxmlformats.org/officeDocument/2006/relationships/queryTable" Target="../queryTables/queryTable1.xml"/><Relationship Id="rId10" Type="http://schemas.openxmlformats.org/officeDocument/2006/relationships/hyperlink" Target="http://money.msn.com/business-news/default.aspx?symbol=%24INX" TargetMode="External"/><Relationship Id="rId31" Type="http://schemas.openxmlformats.org/officeDocument/2006/relationships/hyperlink" Target="http://money.msn.com/business-news/default.aspx?symbol=DAL" TargetMode="External"/><Relationship Id="rId44" Type="http://schemas.openxmlformats.org/officeDocument/2006/relationships/hyperlink" Target="http://investing.money.msn.com/investments/stock-price?symbol=MDT" TargetMode="External"/><Relationship Id="rId52" Type="http://schemas.openxmlformats.org/officeDocument/2006/relationships/hyperlink" Target="http://money.msn.com/business-news/default.aspx?symbol=TPC" TargetMode="External"/><Relationship Id="rId60" Type="http://schemas.openxmlformats.org/officeDocument/2006/relationships/hyperlink" Target="http://investing.money.msn.com/investments/equity-charts?symbol=YHOO" TargetMode="External"/><Relationship Id="rId65" Type="http://schemas.openxmlformats.org/officeDocument/2006/relationships/hyperlink" Target="http://investing.money.msn.com/investments/stock-price?symbol=VALE" TargetMode="External"/><Relationship Id="rId73" Type="http://schemas.openxmlformats.org/officeDocument/2006/relationships/hyperlink" Target="http://money.msn.com/business-news/default.aspx?symbol=SYK" TargetMode="External"/><Relationship Id="rId78" Type="http://schemas.openxmlformats.org/officeDocument/2006/relationships/hyperlink" Target="http://investing.money.msn.com/investments/equity-charts?symbol=PTR" TargetMode="External"/><Relationship Id="rId81" Type="http://schemas.openxmlformats.org/officeDocument/2006/relationships/hyperlink" Target="http://investing.money.msn.com/investments/equity-charts?symbol=UPS" TargetMode="External"/><Relationship Id="rId86" Type="http://schemas.openxmlformats.org/officeDocument/2006/relationships/hyperlink" Target="http://investing.money.msn.com/investments/stock-price?symbol=TTEK" TargetMode="External"/><Relationship Id="rId94" Type="http://schemas.openxmlformats.org/officeDocument/2006/relationships/hyperlink" Target="http://money.msn.com/business-news/default.aspx?symbol=ITRI" TargetMode="External"/><Relationship Id="rId99" Type="http://schemas.openxmlformats.org/officeDocument/2006/relationships/hyperlink" Target="http://investing.money.msn.com/investments/equity-charts?symbol=QCOM" TargetMode="External"/><Relationship Id="rId101" Type="http://schemas.openxmlformats.org/officeDocument/2006/relationships/hyperlink" Target="http://investing.money.msn.com/investments/stock-price?symbol=XRX" TargetMode="External"/><Relationship Id="rId4" Type="http://schemas.openxmlformats.org/officeDocument/2006/relationships/hyperlink" Target="http://money.msn.com/business-news/default.aspx?symbol=%24INDU" TargetMode="External"/><Relationship Id="rId9" Type="http://schemas.openxmlformats.org/officeDocument/2006/relationships/hyperlink" Target="http://investing.money.msn.com/investments/equity-charts?symbol=%24INX" TargetMode="External"/><Relationship Id="rId13" Type="http://schemas.openxmlformats.org/officeDocument/2006/relationships/hyperlink" Target="http://money.msn.com/business-news/default.aspx?symbol=%24COMPX" TargetMode="External"/><Relationship Id="rId18" Type="http://schemas.openxmlformats.org/officeDocument/2006/relationships/hyperlink" Target="http://investing.money.msn.com/investments/equity-charts?symbol=MCLOX" TargetMode="External"/><Relationship Id="rId39" Type="http://schemas.openxmlformats.org/officeDocument/2006/relationships/hyperlink" Target="http://investing.money.msn.com/investments/equity-charts?symbol=IMMR" TargetMode="External"/><Relationship Id="rId109" Type="http://schemas.openxmlformats.org/officeDocument/2006/relationships/hyperlink" Target="http://money.msn.com/business-news/default.aspx?symbol=PSX" TargetMode="External"/><Relationship Id="rId34" Type="http://schemas.openxmlformats.org/officeDocument/2006/relationships/hyperlink" Target="http://money.msn.com/business-news/default.aspx?symbol=GNTX" TargetMode="External"/><Relationship Id="rId50" Type="http://schemas.openxmlformats.org/officeDocument/2006/relationships/hyperlink" Target="http://investing.money.msn.com/investments/stock-price?symbol=TPC" TargetMode="External"/><Relationship Id="rId55" Type="http://schemas.openxmlformats.org/officeDocument/2006/relationships/hyperlink" Target="http://money.msn.com/business-news/default.aspx?symbol=TSN" TargetMode="External"/><Relationship Id="rId76" Type="http://schemas.openxmlformats.org/officeDocument/2006/relationships/hyperlink" Target="http://money.msn.com/business-news/default.aspx?symbol=PGX" TargetMode="External"/><Relationship Id="rId97" Type="http://schemas.openxmlformats.org/officeDocument/2006/relationships/hyperlink" Target="http://money.msn.com/business-news/default.aspx?symbol=HCP" TargetMode="External"/><Relationship Id="rId104" Type="http://schemas.openxmlformats.org/officeDocument/2006/relationships/hyperlink" Target="http://investing.money.msn.com/investments/stock-price?symbol=DIS" TargetMode="External"/><Relationship Id="rId7" Type="http://schemas.openxmlformats.org/officeDocument/2006/relationships/hyperlink" Target="http://money.msn.com/business-news/default.aspx?symbol=%24COMP" TargetMode="External"/><Relationship Id="rId71" Type="http://schemas.openxmlformats.org/officeDocument/2006/relationships/hyperlink" Target="http://investing.money.msn.com/investments/stock-price?symbol=SYK" TargetMode="External"/><Relationship Id="rId92" Type="http://schemas.openxmlformats.org/officeDocument/2006/relationships/hyperlink" Target="http://investing.money.msn.com/investments/stock-price?symbol=ITRI" TargetMode="Externa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www.marketwatch.com/investing/index/djia/historical" TargetMode="External"/><Relationship Id="rId1" Type="http://schemas.openxmlformats.org/officeDocument/2006/relationships/hyperlink" Target="http://www.marketwatch.com/investing/index/spx/historical" TargetMode="External"/><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hyperlink" Target="mailto:hoppougk@student.gvsu.edu" TargetMode="External"/><Relationship Id="rId1" Type="http://schemas.openxmlformats.org/officeDocument/2006/relationships/hyperlink" Target="mailto:gnar99@hotmail.com" TargetMode="External"/></Relationships>
</file>

<file path=xl/worksheets/sheet1.xml><?xml version="1.0" encoding="utf-8"?>
<worksheet xmlns="http://schemas.openxmlformats.org/spreadsheetml/2006/main" xmlns:r="http://schemas.openxmlformats.org/officeDocument/2006/relationships">
  <sheetPr codeName="Sheet2">
    <tabColor rgb="FFC00000"/>
  </sheetPr>
  <dimension ref="B1:AK93"/>
  <sheetViews>
    <sheetView tabSelected="1" zoomScaleNormal="100" workbookViewId="0">
      <selection activeCell="AA48" sqref="AA48"/>
    </sheetView>
  </sheetViews>
  <sheetFormatPr defaultRowHeight="12.75"/>
  <cols>
    <col min="1" max="2" width="0.7109375" style="361" customWidth="1"/>
    <col min="3" max="3" width="9.28515625" style="361" customWidth="1"/>
    <col min="4" max="4" width="0.85546875" style="361" customWidth="1"/>
    <col min="5" max="5" width="13.5703125" style="361" customWidth="1"/>
    <col min="6" max="6" width="10.42578125" style="361" customWidth="1"/>
    <col min="7" max="7" width="0.28515625" style="361" customWidth="1"/>
    <col min="8" max="8" width="0.7109375" style="361" customWidth="1"/>
    <col min="9" max="9" width="0.28515625" style="361" customWidth="1"/>
    <col min="10" max="10" width="9.28515625" style="361" customWidth="1"/>
    <col min="11" max="11" width="0.85546875" style="361" customWidth="1"/>
    <col min="12" max="12" width="13.5703125" style="361" customWidth="1"/>
    <col min="13" max="13" width="10.42578125" style="361" customWidth="1"/>
    <col min="14" max="14" width="0.28515625" style="361" customWidth="1"/>
    <col min="15" max="15" width="0.7109375" style="361" customWidth="1"/>
    <col min="16" max="16" width="0.28515625" style="361" customWidth="1"/>
    <col min="17" max="17" width="9.28515625" style="361" customWidth="1"/>
    <col min="18" max="18" width="0.85546875" style="361" customWidth="1"/>
    <col min="19" max="19" width="13.5703125" style="361" customWidth="1"/>
    <col min="20" max="20" width="10.42578125" style="361" customWidth="1"/>
    <col min="21" max="21" width="0.28515625" style="361" customWidth="1"/>
    <col min="22" max="22" width="0.7109375" style="361" customWidth="1"/>
    <col min="23" max="23" width="0.28515625" style="361" customWidth="1"/>
    <col min="24" max="24" width="9.28515625" style="361" customWidth="1"/>
    <col min="25" max="25" width="0.85546875" style="361" customWidth="1"/>
    <col min="26" max="26" width="13.5703125" style="361" customWidth="1"/>
    <col min="27" max="27" width="10.42578125" style="361" customWidth="1"/>
    <col min="28" max="28" width="0.28515625" style="361" customWidth="1"/>
    <col min="29" max="29" width="0.7109375" style="361" customWidth="1"/>
    <col min="30" max="30" width="0.28515625" style="361" customWidth="1"/>
    <col min="31" max="31" width="9.28515625" style="361" customWidth="1"/>
    <col min="32" max="32" width="0.85546875" style="361" customWidth="1"/>
    <col min="33" max="33" width="13.7109375" style="361" customWidth="1"/>
    <col min="34" max="34" width="10.42578125" style="361" customWidth="1"/>
    <col min="35" max="35" width="0.28515625" style="361" customWidth="1"/>
    <col min="36" max="36" width="0.7109375" style="361" customWidth="1"/>
    <col min="37" max="37" width="2.85546875" style="361" customWidth="1"/>
    <col min="38" max="16384" width="9.140625" style="361"/>
  </cols>
  <sheetData>
    <row r="1" spans="2:37" ht="3.75" customHeight="1"/>
    <row r="2" spans="2:37" ht="7.5" customHeight="1">
      <c r="B2" s="362"/>
      <c r="C2" s="362"/>
      <c r="D2" s="362"/>
      <c r="E2" s="362"/>
      <c r="F2" s="362"/>
      <c r="G2" s="362"/>
      <c r="H2" s="362"/>
      <c r="I2" s="362"/>
      <c r="J2" s="363"/>
      <c r="K2" s="362"/>
      <c r="L2" s="362"/>
      <c r="M2" s="362"/>
      <c r="N2" s="362"/>
      <c r="O2" s="362"/>
      <c r="P2" s="362"/>
      <c r="Q2" s="362"/>
      <c r="R2" s="362"/>
      <c r="S2" s="362"/>
      <c r="T2" s="362"/>
      <c r="U2" s="362"/>
      <c r="V2" s="362"/>
      <c r="W2" s="362"/>
      <c r="X2" s="362"/>
      <c r="Y2" s="362"/>
      <c r="Z2" s="362"/>
      <c r="AA2" s="362"/>
      <c r="AB2" s="362"/>
      <c r="AC2" s="362"/>
      <c r="AD2" s="362"/>
      <c r="AE2" s="362"/>
      <c r="AF2" s="362"/>
      <c r="AG2" s="362"/>
      <c r="AH2" s="362"/>
      <c r="AI2" s="362"/>
      <c r="AK2" s="364"/>
    </row>
    <row r="3" spans="2:37" ht="15" customHeight="1">
      <c r="B3" s="362"/>
      <c r="C3" s="362"/>
      <c r="D3" s="362"/>
      <c r="E3" s="362"/>
      <c r="F3" s="362"/>
      <c r="G3" s="362"/>
      <c r="H3" s="362"/>
      <c r="I3" s="362"/>
      <c r="J3" s="363"/>
      <c r="K3" s="362"/>
      <c r="L3" s="365" t="s">
        <v>295</v>
      </c>
      <c r="M3" s="362"/>
      <c r="N3" s="362"/>
      <c r="O3" s="362"/>
      <c r="P3" s="362"/>
      <c r="Q3" s="362"/>
      <c r="R3" s="362"/>
      <c r="S3" s="365" t="s">
        <v>206</v>
      </c>
      <c r="T3" s="362"/>
      <c r="U3" s="362"/>
      <c r="V3" s="362"/>
      <c r="W3" s="362"/>
      <c r="X3" s="362"/>
      <c r="Y3" s="362"/>
      <c r="Z3" s="365" t="s">
        <v>199</v>
      </c>
      <c r="AA3" s="362"/>
      <c r="AB3" s="362"/>
      <c r="AC3" s="362"/>
      <c r="AD3" s="362"/>
      <c r="AE3" s="404"/>
      <c r="AF3" s="364"/>
      <c r="AG3" s="370" t="s">
        <v>11</v>
      </c>
      <c r="AH3" s="372">
        <f>Holdings!$H$22</f>
        <v>51169.509570000002</v>
      </c>
      <c r="AI3" s="362"/>
      <c r="AK3" s="364"/>
    </row>
    <row r="4" spans="2:37" ht="13.5" customHeight="1">
      <c r="B4" s="362"/>
      <c r="C4" s="363"/>
      <c r="D4" s="362"/>
      <c r="E4" s="366"/>
      <c r="F4" s="362"/>
      <c r="G4" s="362"/>
      <c r="H4" s="362"/>
      <c r="I4" s="362"/>
      <c r="J4" s="363"/>
      <c r="K4" s="362"/>
      <c r="L4" s="367" t="s">
        <v>271</v>
      </c>
      <c r="M4" s="283">
        <f>Holdings!$Q$22</f>
        <v>9.9951339982120579E-2</v>
      </c>
      <c r="N4" s="362"/>
      <c r="O4" s="362"/>
      <c r="P4" s="362"/>
      <c r="Q4" s="368"/>
      <c r="R4" s="369"/>
      <c r="S4" s="367" t="s">
        <v>271</v>
      </c>
      <c r="T4" s="283">
        <f>Holdings!$R$22</f>
        <v>1.7372716645402964E-2</v>
      </c>
      <c r="U4" s="369"/>
      <c r="V4" s="369"/>
      <c r="W4" s="369"/>
      <c r="X4" s="370"/>
      <c r="Y4" s="371"/>
      <c r="Z4" s="367" t="s">
        <v>271</v>
      </c>
      <c r="AA4" s="283">
        <f>Holdings!$S$22</f>
        <v>1.7093026936754848E-2</v>
      </c>
      <c r="AB4" s="371"/>
      <c r="AC4" s="371"/>
      <c r="AD4" s="371"/>
      <c r="AE4" s="404"/>
      <c r="AF4" s="364"/>
      <c r="AG4" s="370" t="s">
        <v>250</v>
      </c>
      <c r="AH4" s="372">
        <f>Holdings!$I$22</f>
        <v>33209.83</v>
      </c>
      <c r="AI4" s="362"/>
      <c r="AK4" s="364"/>
    </row>
    <row r="5" spans="2:37" ht="3.75" customHeight="1">
      <c r="B5" s="362"/>
      <c r="C5" s="363"/>
      <c r="D5" s="362"/>
      <c r="E5" s="366"/>
      <c r="F5" s="362"/>
      <c r="G5" s="362"/>
      <c r="H5" s="362"/>
      <c r="I5" s="362"/>
      <c r="J5" s="363"/>
      <c r="K5" s="362"/>
      <c r="L5" s="364"/>
      <c r="M5" s="364"/>
      <c r="N5" s="364"/>
      <c r="O5" s="364"/>
      <c r="P5" s="364"/>
      <c r="Q5" s="364"/>
      <c r="R5" s="364"/>
      <c r="S5" s="364"/>
      <c r="T5" s="364"/>
      <c r="U5" s="364"/>
      <c r="V5" s="364"/>
      <c r="W5" s="364"/>
      <c r="X5" s="371"/>
      <c r="Y5" s="371"/>
      <c r="Z5" s="373"/>
      <c r="AA5" s="364"/>
      <c r="AB5" s="371"/>
      <c r="AC5" s="371"/>
      <c r="AD5" s="371"/>
      <c r="AE5" s="371"/>
      <c r="AF5" s="364"/>
      <c r="AG5" s="373"/>
      <c r="AH5" s="371"/>
      <c r="AI5" s="362"/>
      <c r="AK5" s="364"/>
    </row>
    <row r="6" spans="2:37" ht="12.75" customHeight="1">
      <c r="B6" s="362"/>
      <c r="C6" s="363"/>
      <c r="D6" s="362"/>
      <c r="E6" s="374"/>
      <c r="F6" s="283"/>
      <c r="G6" s="284"/>
      <c r="H6" s="284"/>
      <c r="I6" s="362"/>
      <c r="J6" s="363"/>
      <c r="K6" s="362"/>
      <c r="L6" s="374" t="s">
        <v>24</v>
      </c>
      <c r="M6" s="283">
        <f>('Holdings Pull Sheet'!$F$14/Data!$L$511)-1</f>
        <v>3.2299578591435507E-2</v>
      </c>
      <c r="N6" s="285"/>
      <c r="O6" s="362"/>
      <c r="P6" s="362"/>
      <c r="Q6" s="368"/>
      <c r="R6" s="362"/>
      <c r="S6" s="374" t="s">
        <v>24</v>
      </c>
      <c r="T6" s="283">
        <f>('Holdings Pull Sheet'!$F$14/Data!$L$517)-1</f>
        <v>8.5672374049281519E-3</v>
      </c>
      <c r="U6" s="362"/>
      <c r="V6" s="362"/>
      <c r="W6" s="362"/>
      <c r="X6" s="375"/>
      <c r="Y6" s="371"/>
      <c r="Z6" s="374" t="s">
        <v>24</v>
      </c>
      <c r="AA6" s="283">
        <f>('Holdings Pull Sheet'!$F$14/'Holdings Pull Sheet'!$G$14)-1</f>
        <v>1.4784312752710083E-2</v>
      </c>
      <c r="AB6" s="371"/>
      <c r="AC6" s="371"/>
      <c r="AD6" s="371"/>
      <c r="AE6" s="364"/>
      <c r="AF6" s="370"/>
      <c r="AG6" s="370" t="s">
        <v>266</v>
      </c>
      <c r="AH6" s="285">
        <f>Holdings!$O$22</f>
        <v>1.2387926753982024</v>
      </c>
      <c r="AI6" s="362"/>
      <c r="AK6" s="364"/>
    </row>
    <row r="7" spans="2:37" ht="3.75" customHeight="1">
      <c r="B7" s="362"/>
      <c r="C7" s="363"/>
      <c r="D7" s="362"/>
      <c r="E7" s="374"/>
      <c r="F7" s="283"/>
      <c r="G7" s="284"/>
      <c r="H7" s="284"/>
      <c r="I7" s="362"/>
      <c r="J7" s="363"/>
      <c r="K7" s="362"/>
      <c r="L7" s="362"/>
      <c r="M7" s="362"/>
      <c r="N7" s="285"/>
      <c r="O7" s="362"/>
      <c r="P7" s="362"/>
      <c r="Q7" s="362"/>
      <c r="R7" s="362"/>
      <c r="S7" s="362"/>
      <c r="T7" s="364"/>
      <c r="U7" s="362"/>
      <c r="V7" s="362"/>
      <c r="W7" s="362"/>
      <c r="X7" s="371"/>
      <c r="Y7" s="369"/>
      <c r="Z7" s="362"/>
      <c r="AA7" s="371"/>
      <c r="AB7" s="377"/>
      <c r="AC7" s="377"/>
      <c r="AD7" s="377"/>
      <c r="AE7" s="377"/>
      <c r="AF7" s="362"/>
      <c r="AG7" s="364"/>
      <c r="AH7" s="364"/>
      <c r="AI7" s="362"/>
      <c r="AK7" s="364"/>
    </row>
    <row r="8" spans="2:37" ht="12.75" customHeight="1">
      <c r="B8" s="362"/>
      <c r="C8" s="363"/>
      <c r="D8" s="362"/>
      <c r="E8" s="374"/>
      <c r="F8" s="283"/>
      <c r="G8" s="284"/>
      <c r="H8" s="284"/>
      <c r="I8" s="362"/>
      <c r="J8" s="363"/>
      <c r="K8" s="362"/>
      <c r="L8" s="374" t="s">
        <v>272</v>
      </c>
      <c r="M8" s="283">
        <f>('Holdings Pull Sheet'!$F$12/Data!$S$511)-1</f>
        <v>3.2330213321724033E-2</v>
      </c>
      <c r="N8" s="285"/>
      <c r="O8" s="362"/>
      <c r="P8" s="362"/>
      <c r="Q8" s="364"/>
      <c r="R8" s="362"/>
      <c r="S8" s="374" t="s">
        <v>272</v>
      </c>
      <c r="T8" s="283">
        <f>('Holdings Pull Sheet'!$F12/Data!$S517)-1</f>
        <v>9.0217075488070453E-3</v>
      </c>
      <c r="U8" s="364"/>
      <c r="V8" s="364"/>
      <c r="W8" s="364"/>
      <c r="X8" s="378"/>
      <c r="Y8" s="371"/>
      <c r="Z8" s="374" t="s">
        <v>272</v>
      </c>
      <c r="AA8" s="283">
        <f>('Holdings Pull Sheet'!$F$12/'Holdings Pull Sheet'!$G$12)-1</f>
        <v>1.2060501906272947E-2</v>
      </c>
      <c r="AB8" s="371"/>
      <c r="AC8" s="371"/>
      <c r="AD8" s="371"/>
      <c r="AE8" s="364" t="s">
        <v>243</v>
      </c>
      <c r="AF8" s="364"/>
      <c r="AG8" s="364"/>
      <c r="AH8" s="376">
        <f>Holdings!$H$4</f>
        <v>8114.57</v>
      </c>
      <c r="AI8" s="362"/>
      <c r="AK8" s="364"/>
    </row>
    <row r="9" spans="2:37" ht="12.75" customHeight="1">
      <c r="B9" s="362"/>
      <c r="C9" s="363"/>
      <c r="D9" s="362"/>
      <c r="E9" s="374"/>
      <c r="F9" s="283"/>
      <c r="G9" s="284"/>
      <c r="H9" s="284"/>
      <c r="I9" s="362"/>
      <c r="J9" s="363"/>
      <c r="K9" s="362"/>
      <c r="L9" s="364"/>
      <c r="M9" s="364"/>
      <c r="N9" s="364"/>
      <c r="O9" s="364"/>
      <c r="P9" s="364"/>
      <c r="Q9" s="364"/>
      <c r="R9" s="364"/>
      <c r="S9" s="364"/>
      <c r="T9" s="364"/>
      <c r="U9" s="364"/>
      <c r="V9" s="364"/>
      <c r="W9" s="364"/>
      <c r="X9" s="364"/>
      <c r="Y9" s="364"/>
      <c r="Z9" s="364"/>
      <c r="AA9" s="364"/>
      <c r="AB9" s="364"/>
      <c r="AC9" s="364"/>
      <c r="AD9" s="364"/>
      <c r="AE9" s="474" t="s">
        <v>227</v>
      </c>
      <c r="AF9" s="479"/>
      <c r="AG9" s="479"/>
      <c r="AH9" s="303">
        <f>Holdings!$U$4</f>
        <v>0.15858213354379036</v>
      </c>
      <c r="AI9" s="379"/>
      <c r="AK9" s="364"/>
    </row>
    <row r="10" spans="2:37" ht="3.75" customHeight="1">
      <c r="B10" s="362"/>
      <c r="C10" s="363"/>
      <c r="D10" s="362"/>
      <c r="E10" s="362"/>
      <c r="F10" s="362"/>
      <c r="G10" s="362"/>
      <c r="H10" s="362"/>
      <c r="I10" s="362"/>
      <c r="J10" s="362"/>
      <c r="K10" s="362"/>
      <c r="L10" s="362"/>
      <c r="M10" s="285"/>
      <c r="N10" s="285"/>
      <c r="O10" s="362"/>
      <c r="P10" s="362"/>
      <c r="Q10" s="362"/>
      <c r="R10" s="362"/>
      <c r="S10" s="362"/>
      <c r="T10" s="362"/>
      <c r="U10" s="362"/>
      <c r="V10" s="362"/>
      <c r="W10" s="362"/>
      <c r="X10" s="362"/>
      <c r="Y10" s="362"/>
      <c r="Z10" s="362"/>
      <c r="AA10" s="362"/>
      <c r="AB10" s="362"/>
      <c r="AC10" s="362"/>
      <c r="AD10" s="362"/>
      <c r="AE10" s="362"/>
      <c r="AF10" s="379"/>
      <c r="AG10" s="379"/>
      <c r="AH10" s="379"/>
      <c r="AI10" s="379"/>
      <c r="AK10" s="364"/>
    </row>
    <row r="11" spans="2:37" ht="3.75" customHeight="1">
      <c r="B11" s="381"/>
      <c r="C11" s="382"/>
      <c r="D11" s="381"/>
      <c r="E11" s="381"/>
      <c r="F11" s="286"/>
      <c r="G11" s="286"/>
      <c r="H11" s="286"/>
      <c r="I11" s="381"/>
      <c r="J11" s="382"/>
      <c r="K11" s="381"/>
      <c r="L11" s="381"/>
      <c r="M11" s="286"/>
      <c r="N11" s="286"/>
      <c r="O11" s="286"/>
      <c r="P11" s="381"/>
      <c r="Q11" s="382"/>
      <c r="R11" s="381"/>
      <c r="S11" s="381"/>
      <c r="T11" s="383"/>
      <c r="U11" s="383"/>
      <c r="V11" s="383"/>
      <c r="W11" s="383"/>
      <c r="X11" s="383"/>
      <c r="Y11" s="383"/>
      <c r="Z11" s="383"/>
      <c r="AA11" s="383"/>
      <c r="AB11" s="383"/>
      <c r="AC11" s="383"/>
      <c r="AD11" s="383"/>
      <c r="AE11" s="383"/>
      <c r="AF11" s="383"/>
      <c r="AG11" s="383"/>
      <c r="AH11" s="383"/>
      <c r="AI11" s="383"/>
      <c r="AK11" s="364"/>
    </row>
    <row r="12" spans="2:37" ht="1.5" customHeight="1">
      <c r="B12" s="362"/>
      <c r="C12" s="363"/>
      <c r="D12" s="362"/>
      <c r="E12" s="362"/>
      <c r="F12" s="362"/>
      <c r="G12" s="362"/>
      <c r="H12" s="381"/>
      <c r="I12" s="362"/>
      <c r="J12" s="363"/>
      <c r="K12" s="362"/>
      <c r="L12" s="362"/>
      <c r="M12" s="362"/>
      <c r="N12" s="362"/>
      <c r="O12" s="381"/>
      <c r="P12" s="362"/>
      <c r="Q12" s="363"/>
      <c r="R12" s="362"/>
      <c r="S12" s="362"/>
      <c r="T12" s="285"/>
      <c r="V12" s="381"/>
      <c r="W12" s="362"/>
      <c r="X12" s="363"/>
      <c r="Y12" s="362"/>
      <c r="Z12" s="362"/>
      <c r="AA12" s="362"/>
      <c r="AB12" s="362"/>
      <c r="AC12" s="381"/>
      <c r="AD12" s="362"/>
      <c r="AE12" s="363"/>
      <c r="AF12" s="362"/>
      <c r="AG12" s="362"/>
      <c r="AH12" s="285"/>
      <c r="AI12" s="362"/>
      <c r="AK12" s="364"/>
    </row>
    <row r="13" spans="2:37" ht="15">
      <c r="B13" s="362"/>
      <c r="C13" s="478" t="str">
        <f>Holdings!$C$5</f>
        <v>Berkshire Hathaway</v>
      </c>
      <c r="D13" s="478"/>
      <c r="E13" s="478"/>
      <c r="F13" s="384">
        <f>Holdings!$E$5</f>
        <v>114.99</v>
      </c>
      <c r="G13" s="362"/>
      <c r="H13" s="381"/>
      <c r="I13" s="362"/>
      <c r="J13" s="477" t="str">
        <f>Holdings!$C$9</f>
        <v>Cisco</v>
      </c>
      <c r="K13" s="477"/>
      <c r="L13" s="477"/>
      <c r="M13" s="384">
        <f>Holdings!$E$9</f>
        <v>24.35</v>
      </c>
      <c r="N13" s="362"/>
      <c r="O13" s="381"/>
      <c r="P13" s="362"/>
      <c r="Q13" s="477" t="str">
        <f>Holdings!$C$13</f>
        <v>Immersion</v>
      </c>
      <c r="R13" s="477"/>
      <c r="S13" s="477"/>
      <c r="T13" s="384">
        <f>Holdings!$E$13</f>
        <v>14.91</v>
      </c>
      <c r="V13" s="381"/>
      <c r="W13" s="362"/>
      <c r="X13" s="477" t="str">
        <f>Holdings!$C$17</f>
        <v>Tutor Perini</v>
      </c>
      <c r="Y13" s="477"/>
      <c r="Z13" s="477"/>
      <c r="AA13" s="384">
        <f>Holdings!$E$17</f>
        <v>17.43</v>
      </c>
      <c r="AB13" s="362"/>
      <c r="AC13" s="381"/>
      <c r="AD13" s="362"/>
      <c r="AE13" s="477" t="str">
        <f>Holdings!$C$21</f>
        <v>YRC Worldwide</v>
      </c>
      <c r="AF13" s="477"/>
      <c r="AG13" s="477"/>
      <c r="AH13" s="384">
        <f>Holdings!$E$21</f>
        <v>22.6</v>
      </c>
      <c r="AI13" s="362"/>
      <c r="AK13" s="364"/>
    </row>
    <row r="14" spans="2:37" ht="2.25" customHeight="1">
      <c r="B14" s="362"/>
      <c r="C14" s="385"/>
      <c r="D14" s="385"/>
      <c r="E14" s="364"/>
      <c r="F14" s="384"/>
      <c r="G14" s="362"/>
      <c r="H14" s="381"/>
      <c r="I14" s="362"/>
      <c r="J14" s="386"/>
      <c r="K14" s="362"/>
      <c r="L14" s="364"/>
      <c r="M14" s="384"/>
      <c r="N14" s="362"/>
      <c r="O14" s="381"/>
      <c r="P14" s="362"/>
      <c r="Q14" s="386"/>
      <c r="R14" s="362"/>
      <c r="S14" s="364"/>
      <c r="T14" s="384"/>
      <c r="V14" s="381"/>
      <c r="W14" s="362"/>
      <c r="X14" s="386"/>
      <c r="Y14" s="362"/>
      <c r="Z14" s="364"/>
      <c r="AA14" s="384"/>
      <c r="AB14" s="362"/>
      <c r="AC14" s="381"/>
      <c r="AD14" s="362"/>
      <c r="AE14" s="386"/>
      <c r="AF14" s="362"/>
      <c r="AG14" s="364"/>
      <c r="AH14" s="384"/>
      <c r="AI14" s="362"/>
      <c r="AK14" s="364"/>
    </row>
    <row r="15" spans="2:37" ht="13.5">
      <c r="B15" s="362"/>
      <c r="C15" s="387" t="str">
        <f>Holdings!$D$5</f>
        <v>BRK.B</v>
      </c>
      <c r="D15" s="362"/>
      <c r="E15" s="362" t="s">
        <v>199</v>
      </c>
      <c r="F15" s="285">
        <f>Holdings!$S$5</f>
        <v>1.8061088977423534E-2</v>
      </c>
      <c r="G15" s="285"/>
      <c r="H15" s="286"/>
      <c r="I15" s="362"/>
      <c r="J15" s="387" t="str">
        <f>Holdings!$D$9</f>
        <v>CSCO</v>
      </c>
      <c r="K15" s="379"/>
      <c r="L15" s="362" t="s">
        <v>199</v>
      </c>
      <c r="M15" s="285">
        <f>Holdings!$S$9</f>
        <v>1.5006252605252346E-2</v>
      </c>
      <c r="N15" s="285"/>
      <c r="O15" s="286"/>
      <c r="P15" s="362"/>
      <c r="Q15" s="387" t="str">
        <f>Holdings!$D$13</f>
        <v>IMMR</v>
      </c>
      <c r="R15" s="362"/>
      <c r="S15" s="362" t="s">
        <v>199</v>
      </c>
      <c r="T15" s="285">
        <f>Holdings!$S$13</f>
        <v>4.4849334267694552E-2</v>
      </c>
      <c r="V15" s="286"/>
      <c r="W15" s="379"/>
      <c r="X15" s="387" t="str">
        <f>Holdings!$D$17</f>
        <v>TPC</v>
      </c>
      <c r="Y15" s="379"/>
      <c r="Z15" s="362" t="s">
        <v>199</v>
      </c>
      <c r="AA15" s="285">
        <f>Holdings!$S$17</f>
        <v>1.391431709996338E-2</v>
      </c>
      <c r="AB15" s="285"/>
      <c r="AC15" s="286"/>
      <c r="AD15" s="379"/>
      <c r="AE15" s="387" t="str">
        <f>Holdings!$D$21</f>
        <v>YRCW</v>
      </c>
      <c r="AF15" s="379"/>
      <c r="AG15" s="362" t="s">
        <v>199</v>
      </c>
      <c r="AH15" s="430">
        <f>Holdings!$S$21</f>
        <v>1.8539976825028948E-2</v>
      </c>
      <c r="AI15" s="379"/>
      <c r="AK15" s="364"/>
    </row>
    <row r="16" spans="2:37">
      <c r="B16" s="362"/>
      <c r="C16" s="363"/>
      <c r="D16" s="362"/>
      <c r="E16" s="362" t="s">
        <v>206</v>
      </c>
      <c r="F16" s="285">
        <f>Holdings!$R$5</f>
        <v>1.6710875331565012E-2</v>
      </c>
      <c r="G16" s="285"/>
      <c r="H16" s="286"/>
      <c r="I16" s="362"/>
      <c r="J16" s="363"/>
      <c r="K16" s="379"/>
      <c r="L16" s="362" t="s">
        <v>206</v>
      </c>
      <c r="M16" s="285">
        <f>Holdings!$R$9</f>
        <v>-8.1466395112016476E-3</v>
      </c>
      <c r="N16" s="285"/>
      <c r="O16" s="286"/>
      <c r="P16" s="362"/>
      <c r="Q16" s="363"/>
      <c r="R16" s="362"/>
      <c r="S16" s="362" t="s">
        <v>206</v>
      </c>
      <c r="T16" s="285">
        <f>Holdings!$R$13</f>
        <v>2.685950413223126E-2</v>
      </c>
      <c r="V16" s="286"/>
      <c r="W16" s="379"/>
      <c r="X16" s="363"/>
      <c r="Y16" s="379"/>
      <c r="Z16" s="362" t="s">
        <v>206</v>
      </c>
      <c r="AA16" s="285">
        <f>Holdings!$R$17</f>
        <v>4.610951008645392E-3</v>
      </c>
      <c r="AB16" s="285"/>
      <c r="AC16" s="286"/>
      <c r="AD16" s="379"/>
      <c r="AE16" s="363"/>
      <c r="AF16" s="379"/>
      <c r="AG16" s="362" t="s">
        <v>206</v>
      </c>
      <c r="AH16" s="430">
        <f>Holdings!$R$21</f>
        <v>0.17219917012448138</v>
      </c>
      <c r="AI16" s="379"/>
      <c r="AK16" s="364"/>
    </row>
    <row r="17" spans="2:37">
      <c r="B17" s="362"/>
      <c r="C17" s="363"/>
      <c r="D17" s="362"/>
      <c r="E17" s="362" t="s">
        <v>295</v>
      </c>
      <c r="F17" s="285">
        <f>Holdings!$Q$5</f>
        <v>6.9973015725318666E-2</v>
      </c>
      <c r="G17" s="285"/>
      <c r="H17" s="286"/>
      <c r="I17" s="362"/>
      <c r="J17" s="363"/>
      <c r="K17" s="379"/>
      <c r="L17" s="362" t="str">
        <f>$E$17</f>
        <v>Summer</v>
      </c>
      <c r="M17" s="285">
        <f>Holdings!$Q$9</f>
        <v>0.18946540257549671</v>
      </c>
      <c r="N17" s="285"/>
      <c r="O17" s="286"/>
      <c r="P17" s="362"/>
      <c r="Q17" s="363"/>
      <c r="R17" s="362"/>
      <c r="S17" s="362" t="str">
        <f>$E$17</f>
        <v>Summer</v>
      </c>
      <c r="T17" s="285">
        <f>Holdings!$Q$13</f>
        <v>-9.0828533451484672E-3</v>
      </c>
      <c r="V17" s="286"/>
      <c r="W17" s="379"/>
      <c r="X17" s="363"/>
      <c r="Y17" s="379"/>
      <c r="Z17" s="362" t="str">
        <f>$E$17</f>
        <v>Summer</v>
      </c>
      <c r="AA17" s="285">
        <f>Holdings!$Q$17</f>
        <v>4.0590717299578083E-2</v>
      </c>
      <c r="AB17" s="285"/>
      <c r="AC17" s="286"/>
      <c r="AD17" s="379"/>
      <c r="AE17" s="363"/>
      <c r="AF17" s="379"/>
      <c r="AG17" s="362" t="str">
        <f>$E$17</f>
        <v>Summer</v>
      </c>
      <c r="AH17" s="430">
        <f>Holdings!$Q$21</f>
        <v>2.1875881523272214</v>
      </c>
      <c r="AI17" s="379"/>
      <c r="AK17" s="364"/>
    </row>
    <row r="18" spans="2:37">
      <c r="B18" s="362"/>
      <c r="C18" s="364"/>
      <c r="D18" s="362"/>
      <c r="E18" s="362" t="s">
        <v>207</v>
      </c>
      <c r="F18" s="285">
        <f>Holdings!$O$5</f>
        <v>0.46909473291107506</v>
      </c>
      <c r="G18" s="285"/>
      <c r="H18" s="286"/>
      <c r="I18" s="362"/>
      <c r="J18" s="363"/>
      <c r="K18" s="379"/>
      <c r="L18" s="362" t="s">
        <v>207</v>
      </c>
      <c r="M18" s="285">
        <f>Holdings!$O$9</f>
        <v>0.32777743948850668</v>
      </c>
      <c r="N18" s="285"/>
      <c r="O18" s="286"/>
      <c r="P18" s="362"/>
      <c r="Q18" s="388"/>
      <c r="R18" s="362"/>
      <c r="S18" s="362" t="s">
        <v>207</v>
      </c>
      <c r="T18" s="285">
        <f>Holdings!$O$13</f>
        <v>-9.0828533451484672E-3</v>
      </c>
      <c r="V18" s="286"/>
      <c r="W18" s="379"/>
      <c r="X18" s="363"/>
      <c r="Y18" s="379"/>
      <c r="Z18" s="362" t="s">
        <v>207</v>
      </c>
      <c r="AA18" s="285">
        <f>Holdings!$O$17</f>
        <v>0.26660465657064791</v>
      </c>
      <c r="AB18" s="285"/>
      <c r="AC18" s="286"/>
      <c r="AD18" s="379"/>
      <c r="AE18" s="363"/>
      <c r="AF18" s="379"/>
      <c r="AG18" s="362" t="s">
        <v>207</v>
      </c>
      <c r="AH18" s="430">
        <f>Holdings!$O$21</f>
        <v>1.6248548199767714</v>
      </c>
      <c r="AI18" s="379"/>
      <c r="AK18" s="364"/>
    </row>
    <row r="19" spans="2:37" ht="7.5" customHeight="1">
      <c r="B19" s="362"/>
      <c r="C19" s="363"/>
      <c r="D19" s="362"/>
      <c r="E19" s="362"/>
      <c r="F19" s="285"/>
      <c r="G19" s="285"/>
      <c r="H19" s="286"/>
      <c r="I19" s="362"/>
      <c r="J19" s="363"/>
      <c r="K19" s="379"/>
      <c r="L19" s="362"/>
      <c r="M19" s="285"/>
      <c r="N19" s="285"/>
      <c r="O19" s="286"/>
      <c r="P19" s="362"/>
      <c r="Q19" s="363"/>
      <c r="R19" s="362"/>
      <c r="S19" s="362"/>
      <c r="T19" s="285"/>
      <c r="V19" s="286"/>
      <c r="W19" s="379"/>
      <c r="X19" s="363"/>
      <c r="Y19" s="379"/>
      <c r="Z19" s="362"/>
      <c r="AA19" s="285"/>
      <c r="AB19" s="285"/>
      <c r="AC19" s="286"/>
      <c r="AD19" s="379"/>
      <c r="AE19" s="363"/>
      <c r="AF19" s="379"/>
      <c r="AG19" s="362"/>
      <c r="AH19" s="430"/>
      <c r="AI19" s="379"/>
      <c r="AK19" s="364"/>
    </row>
    <row r="20" spans="2:37" ht="12.75" customHeight="1">
      <c r="B20" s="362"/>
      <c r="C20" s="389" t="str">
        <f>IF(C21=0,"No Cap", IF(C21&lt;2,"Small Cap", IF(C21&lt;10, "Mid Cap", IF(C21&gt;10, "Large Cap"))))</f>
        <v>Large Cap</v>
      </c>
      <c r="D20" s="362"/>
      <c r="E20" s="364" t="s">
        <v>68</v>
      </c>
      <c r="F20" s="390">
        <f>Holdings!$H$5</f>
        <v>2989.74</v>
      </c>
      <c r="G20" s="285"/>
      <c r="H20" s="286"/>
      <c r="I20" s="362"/>
      <c r="J20" s="389" t="str">
        <f>IF(J21=0,"No Cap", IF(J21&lt;2,"Small Cap", IF(J21&lt;10, "Mid Cap", IF(J21&gt;10, "Large Cap"))))</f>
        <v>Large Cap</v>
      </c>
      <c r="K20" s="379"/>
      <c r="L20" s="364" t="s">
        <v>68</v>
      </c>
      <c r="M20" s="390">
        <f>Holdings!$H$9</f>
        <v>1657.2123000000004</v>
      </c>
      <c r="N20" s="285"/>
      <c r="O20" s="286"/>
      <c r="P20" s="362"/>
      <c r="Q20" s="389" t="str">
        <f>IF(Q21=0,"No Cap", IF(Q21&lt;2,"Small Cap", IF(Q21&lt;10, "Mid Cap", IF(Q21&gt;10, "Large Cap"))))</f>
        <v>Small Cap</v>
      </c>
      <c r="R20" s="362"/>
      <c r="S20" s="364" t="s">
        <v>68</v>
      </c>
      <c r="T20" s="390">
        <f>Holdings!$H$13</f>
        <v>2012.85</v>
      </c>
      <c r="V20" s="286"/>
      <c r="W20" s="379"/>
      <c r="X20" s="389" t="str">
        <f>IF(X21=0,"No Cap", IF(X21&lt;2,"Small Cap", IF(X21&lt;10, "Mid Cap", IF(X21&gt;10, "Large Cap"))))</f>
        <v>Small Cap</v>
      </c>
      <c r="Y20" s="379"/>
      <c r="Z20" s="364" t="s">
        <v>68</v>
      </c>
      <c r="AA20" s="390">
        <f>Holdings!$H$17</f>
        <v>3486</v>
      </c>
      <c r="AB20" s="285"/>
      <c r="AC20" s="286"/>
      <c r="AD20" s="379"/>
      <c r="AE20" s="389" t="str">
        <f>IF(AE21=0,"No Cap", IF(AE21&lt;2,"Small Cap", IF(AE21&lt;10, "Mid Cap", IF(AE21&gt;10, "Large Cap"))))</f>
        <v>Small Cap</v>
      </c>
      <c r="AF20" s="379"/>
      <c r="AG20" s="364" t="s">
        <v>68</v>
      </c>
      <c r="AH20" s="390">
        <f>Holdings!$H$21</f>
        <v>4520</v>
      </c>
      <c r="AI20" s="379"/>
      <c r="AK20" s="364"/>
    </row>
    <row r="21" spans="2:37" ht="12.75" customHeight="1">
      <c r="B21" s="362"/>
      <c r="C21" s="391">
        <f>Holdings!$V$5</f>
        <v>283.48254193399998</v>
      </c>
      <c r="D21" s="364"/>
      <c r="E21" s="364" t="s">
        <v>249</v>
      </c>
      <c r="F21" s="390">
        <f>Holdings!$I$5</f>
        <v>2035.09</v>
      </c>
      <c r="G21" s="285"/>
      <c r="H21" s="286"/>
      <c r="I21" s="362"/>
      <c r="J21" s="391">
        <f>Holdings!$V$9</f>
        <v>130.134583639</v>
      </c>
      <c r="K21" s="379"/>
      <c r="L21" s="364" t="s">
        <v>249</v>
      </c>
      <c r="M21" s="390">
        <f>Holdings!$I$9</f>
        <v>1248.1100000000001</v>
      </c>
      <c r="N21" s="285"/>
      <c r="O21" s="286"/>
      <c r="P21" s="362"/>
      <c r="Q21" s="391">
        <f>Holdings!$V$13</f>
        <v>0.41595395699999999</v>
      </c>
      <c r="R21" s="362"/>
      <c r="S21" s="364" t="s">
        <v>249</v>
      </c>
      <c r="T21" s="390">
        <f>Holdings!$I$13</f>
        <v>2031.3</v>
      </c>
      <c r="V21" s="286"/>
      <c r="W21" s="379"/>
      <c r="X21" s="391">
        <f>Holdings!$V$17</f>
        <v>0.82924429099999997</v>
      </c>
      <c r="Y21" s="379"/>
      <c r="Z21" s="364" t="s">
        <v>249</v>
      </c>
      <c r="AA21" s="390">
        <f>Holdings!$I$17</f>
        <v>2752.24</v>
      </c>
      <c r="AB21" s="285"/>
      <c r="AC21" s="286"/>
      <c r="AD21" s="379"/>
      <c r="AE21" s="391">
        <f>Holdings!$V$21</f>
        <v>0.21236904000000001</v>
      </c>
      <c r="AF21" s="379"/>
      <c r="AG21" s="364" t="s">
        <v>249</v>
      </c>
      <c r="AH21" s="390">
        <f>Holdings!$I$21</f>
        <v>1722</v>
      </c>
      <c r="AI21" s="379"/>
      <c r="AK21" s="364"/>
    </row>
    <row r="22" spans="2:37" ht="2.25" customHeight="1">
      <c r="B22" s="362"/>
      <c r="C22" s="392"/>
      <c r="D22" s="364"/>
      <c r="E22" s="364"/>
      <c r="F22" s="390"/>
      <c r="G22" s="285"/>
      <c r="H22" s="286"/>
      <c r="I22" s="362"/>
      <c r="J22" s="363"/>
      <c r="K22" s="379"/>
      <c r="L22" s="362"/>
      <c r="M22" s="285"/>
      <c r="N22" s="285"/>
      <c r="O22" s="286"/>
      <c r="P22" s="362"/>
      <c r="Q22" s="363"/>
      <c r="R22" s="362"/>
      <c r="S22" s="362"/>
      <c r="T22" s="285"/>
      <c r="V22" s="286"/>
      <c r="W22" s="379"/>
      <c r="X22" s="363"/>
      <c r="Y22" s="379"/>
      <c r="Z22" s="362"/>
      <c r="AA22" s="285"/>
      <c r="AB22" s="285"/>
      <c r="AC22" s="286"/>
      <c r="AD22" s="379"/>
      <c r="AE22" s="363"/>
      <c r="AF22" s="379"/>
      <c r="AG22" s="362"/>
      <c r="AH22" s="430"/>
      <c r="AI22" s="379"/>
      <c r="AK22" s="364"/>
    </row>
    <row r="23" spans="2:37">
      <c r="B23" s="362"/>
      <c r="C23" s="375"/>
      <c r="D23" s="364"/>
      <c r="E23" s="380" t="s">
        <v>227</v>
      </c>
      <c r="F23" s="303">
        <f>Holdings!$U$5</f>
        <v>5.8428154288053688E-2</v>
      </c>
      <c r="G23" s="285"/>
      <c r="H23" s="286"/>
      <c r="I23" s="362"/>
      <c r="J23" s="393"/>
      <c r="K23" s="364"/>
      <c r="L23" s="380" t="s">
        <v>227</v>
      </c>
      <c r="M23" s="303">
        <f>Holdings!$U$9</f>
        <v>3.2386714547907293E-2</v>
      </c>
      <c r="N23" s="364"/>
      <c r="O23" s="286"/>
      <c r="P23" s="364"/>
      <c r="Q23" s="364"/>
      <c r="R23" s="364"/>
      <c r="S23" s="380" t="s">
        <v>227</v>
      </c>
      <c r="T23" s="303">
        <f>Holdings!$U$13</f>
        <v>3.9336902325522907E-2</v>
      </c>
      <c r="V23" s="286"/>
      <c r="W23" s="379"/>
      <c r="X23" s="393"/>
      <c r="Y23" s="364"/>
      <c r="Z23" s="380" t="s">
        <v>227</v>
      </c>
      <c r="AA23" s="303">
        <f>Holdings!$U$17</f>
        <v>6.8126507939872752E-2</v>
      </c>
      <c r="AB23" s="285"/>
      <c r="AC23" s="286"/>
      <c r="AD23" s="379"/>
      <c r="AE23" s="393"/>
      <c r="AF23" s="364"/>
      <c r="AG23" s="380" t="s">
        <v>227</v>
      </c>
      <c r="AH23" s="431">
        <f>Holdings!$U$21</f>
        <v>8.8333854242175797E-2</v>
      </c>
      <c r="AI23" s="379"/>
      <c r="AK23" s="364"/>
    </row>
    <row r="24" spans="2:37" ht="2.25" customHeight="1">
      <c r="B24" s="362"/>
      <c r="C24" s="363"/>
      <c r="D24" s="362"/>
      <c r="E24" s="362"/>
      <c r="F24" s="362"/>
      <c r="G24" s="362"/>
      <c r="H24" s="381"/>
      <c r="I24" s="362"/>
      <c r="J24" s="362"/>
      <c r="K24" s="362"/>
      <c r="L24" s="362"/>
      <c r="M24" s="362"/>
      <c r="N24" s="362"/>
      <c r="O24" s="286"/>
      <c r="P24" s="362"/>
      <c r="Q24" s="362"/>
      <c r="R24" s="362"/>
      <c r="S24" s="362"/>
      <c r="T24" s="362"/>
      <c r="V24" s="286"/>
      <c r="W24" s="362"/>
      <c r="X24" s="363"/>
      <c r="Y24" s="362"/>
      <c r="Z24" s="362"/>
      <c r="AA24" s="285"/>
      <c r="AB24" s="285"/>
      <c r="AC24" s="286"/>
      <c r="AD24" s="362"/>
      <c r="AE24" s="363"/>
      <c r="AF24" s="362"/>
      <c r="AG24" s="362"/>
      <c r="AH24" s="285"/>
      <c r="AI24" s="362"/>
      <c r="AK24" s="364"/>
    </row>
    <row r="25" spans="2:37" ht="3.75" customHeight="1">
      <c r="B25" s="381"/>
      <c r="C25" s="382"/>
      <c r="D25" s="381"/>
      <c r="E25" s="381"/>
      <c r="F25" s="381"/>
      <c r="L25" s="381"/>
      <c r="M25" s="286"/>
      <c r="N25" s="286"/>
      <c r="O25" s="286"/>
      <c r="P25" s="381"/>
      <c r="Q25" s="382"/>
      <c r="R25" s="381"/>
      <c r="S25" s="381"/>
      <c r="T25" s="286"/>
      <c r="U25" s="286"/>
      <c r="V25" s="286"/>
      <c r="W25" s="381"/>
      <c r="X25" s="382"/>
      <c r="Y25" s="381"/>
      <c r="Z25" s="381"/>
      <c r="AA25" s="286"/>
      <c r="AB25" s="286"/>
      <c r="AC25" s="286"/>
      <c r="AD25" s="381"/>
      <c r="AE25" s="382"/>
      <c r="AF25" s="381"/>
      <c r="AG25" s="381"/>
      <c r="AH25" s="286"/>
      <c r="AI25" s="381"/>
      <c r="AK25" s="364"/>
    </row>
    <row r="26" spans="2:37" ht="1.5" customHeight="1">
      <c r="B26" s="362"/>
      <c r="C26" s="363"/>
      <c r="D26" s="362"/>
      <c r="E26" s="362"/>
      <c r="F26" s="362"/>
      <c r="G26" s="362"/>
      <c r="H26" s="381"/>
      <c r="I26" s="362"/>
      <c r="J26" s="363"/>
      <c r="K26" s="362"/>
      <c r="L26" s="362"/>
      <c r="M26" s="362"/>
      <c r="N26" s="362"/>
      <c r="O26" s="286"/>
      <c r="P26" s="362"/>
      <c r="Q26" s="363"/>
      <c r="R26" s="362"/>
      <c r="S26" s="362"/>
      <c r="T26" s="362"/>
      <c r="U26" s="362"/>
      <c r="V26" s="286"/>
      <c r="W26" s="362"/>
      <c r="X26" s="363"/>
      <c r="Y26" s="362"/>
      <c r="Z26" s="362"/>
      <c r="AA26" s="285"/>
      <c r="AB26" s="285"/>
      <c r="AC26" s="286"/>
      <c r="AD26" s="362"/>
      <c r="AE26" s="363"/>
      <c r="AF26" s="362"/>
      <c r="AG26" s="362"/>
      <c r="AH26" s="285"/>
      <c r="AI26" s="362"/>
      <c r="AK26" s="364"/>
    </row>
    <row r="27" spans="2:37" ht="15">
      <c r="B27" s="362"/>
      <c r="C27" s="478" t="str">
        <f>Holdings!$C$6</f>
        <v>BlackRock Global</v>
      </c>
      <c r="D27" s="478"/>
      <c r="E27" s="478"/>
      <c r="F27" s="384">
        <f>Holdings!$E$6</f>
        <v>19.39</v>
      </c>
      <c r="G27" s="362"/>
      <c r="H27" s="381"/>
      <c r="I27" s="362"/>
      <c r="J27" s="477" t="str">
        <f>Holdings!$C$10</f>
        <v>Delta Airlines</v>
      </c>
      <c r="K27" s="477"/>
      <c r="L27" s="477"/>
      <c r="M27" s="384">
        <f>Holdings!$E$10</f>
        <v>18.71</v>
      </c>
      <c r="N27" s="362"/>
      <c r="O27" s="286"/>
      <c r="P27" s="362"/>
      <c r="Q27" s="477" t="str">
        <f>Holdings!$C$14</f>
        <v>Intel</v>
      </c>
      <c r="R27" s="477"/>
      <c r="S27" s="477"/>
      <c r="T27" s="384">
        <f>Holdings!$E$14</f>
        <v>24.99</v>
      </c>
      <c r="U27" s="362"/>
      <c r="V27" s="286"/>
      <c r="W27" s="362"/>
      <c r="X27" s="477" t="str">
        <f>Holdings!$C$18</f>
        <v>Tyson Foods</v>
      </c>
      <c r="Y27" s="477"/>
      <c r="Z27" s="477"/>
      <c r="AA27" s="384">
        <f>Holdings!$E$18</f>
        <v>25.71</v>
      </c>
      <c r="AB27" s="285"/>
      <c r="AC27" s="286"/>
      <c r="AD27" s="362"/>
      <c r="AE27" s="477"/>
      <c r="AF27" s="477"/>
      <c r="AG27" s="477"/>
      <c r="AH27" s="384"/>
      <c r="AI27" s="362"/>
      <c r="AK27" s="364"/>
    </row>
    <row r="28" spans="2:37" ht="2.25" customHeight="1">
      <c r="B28" s="362"/>
      <c r="C28" s="385"/>
      <c r="D28" s="385"/>
      <c r="E28" s="364"/>
      <c r="F28" s="384"/>
      <c r="G28" s="362"/>
      <c r="H28" s="381"/>
      <c r="I28" s="362"/>
      <c r="J28" s="386"/>
      <c r="K28" s="362"/>
      <c r="L28" s="364"/>
      <c r="M28" s="384"/>
      <c r="N28" s="362"/>
      <c r="O28" s="286"/>
      <c r="P28" s="362"/>
      <c r="Q28" s="386"/>
      <c r="R28" s="362"/>
      <c r="S28" s="364"/>
      <c r="T28" s="384"/>
      <c r="U28" s="362"/>
      <c r="V28" s="286"/>
      <c r="W28" s="362"/>
      <c r="X28" s="386"/>
      <c r="Y28" s="362"/>
      <c r="Z28" s="364"/>
      <c r="AA28" s="384"/>
      <c r="AB28" s="285"/>
      <c r="AC28" s="286"/>
      <c r="AD28" s="362"/>
      <c r="AE28" s="386"/>
      <c r="AF28" s="362"/>
      <c r="AG28" s="452"/>
      <c r="AH28" s="384"/>
      <c r="AI28" s="362"/>
      <c r="AK28" s="364"/>
    </row>
    <row r="29" spans="2:37" ht="13.5">
      <c r="B29" s="362"/>
      <c r="C29" s="387" t="str">
        <f>Holdings!$D$6</f>
        <v>MCLOX</v>
      </c>
      <c r="D29" s="362"/>
      <c r="E29" s="362" t="s">
        <v>199</v>
      </c>
      <c r="F29" s="285">
        <f>Holdings!$S$6</f>
        <v>7.2727272727273196E-3</v>
      </c>
      <c r="G29" s="285"/>
      <c r="H29" s="286"/>
      <c r="I29" s="362"/>
      <c r="J29" s="387" t="str">
        <f>Holdings!$D$10</f>
        <v>DAL</v>
      </c>
      <c r="K29" s="362"/>
      <c r="L29" s="362" t="s">
        <v>199</v>
      </c>
      <c r="M29" s="285">
        <f>Holdings!$S$10</f>
        <v>3.5417819590481514E-2</v>
      </c>
      <c r="N29" s="285"/>
      <c r="O29" s="286"/>
      <c r="P29" s="362"/>
      <c r="Q29" s="387" t="str">
        <f>Holdings!$D$14</f>
        <v>INTC</v>
      </c>
      <c r="R29" s="362"/>
      <c r="S29" s="362" t="s">
        <v>199</v>
      </c>
      <c r="T29" s="285">
        <f>Holdings!$S$14</f>
        <v>2.1668029435813363E-2</v>
      </c>
      <c r="U29" s="285"/>
      <c r="V29" s="286"/>
      <c r="W29" s="379"/>
      <c r="X29" s="387" t="str">
        <f>Holdings!$D$18</f>
        <v>TSN</v>
      </c>
      <c r="Y29" s="379"/>
      <c r="Z29" s="362" t="s">
        <v>199</v>
      </c>
      <c r="AA29" s="285">
        <f>Holdings!$S$18</f>
        <v>3.4421364985163017E-2</v>
      </c>
      <c r="AB29" s="285"/>
      <c r="AC29" s="286"/>
      <c r="AD29" s="379"/>
      <c r="AE29" s="387"/>
      <c r="AF29" s="379"/>
      <c r="AG29" s="362"/>
      <c r="AH29" s="430"/>
      <c r="AI29" s="379"/>
      <c r="AK29" s="364"/>
    </row>
    <row r="30" spans="2:37">
      <c r="B30" s="362"/>
      <c r="C30" s="363"/>
      <c r="D30" s="362"/>
      <c r="E30" s="362" t="s">
        <v>206</v>
      </c>
      <c r="F30" s="285">
        <f>Holdings!$R$6</f>
        <v>4.1429311237701771E-3</v>
      </c>
      <c r="G30" s="285"/>
      <c r="H30" s="286"/>
      <c r="I30" s="362"/>
      <c r="J30" s="363"/>
      <c r="K30" s="362"/>
      <c r="L30" s="362" t="s">
        <v>206</v>
      </c>
      <c r="M30" s="285">
        <f>Holdings!$R$10</f>
        <v>6.9754145225843445E-2</v>
      </c>
      <c r="N30" s="285"/>
      <c r="O30" s="286"/>
      <c r="P30" s="362"/>
      <c r="Q30" s="363"/>
      <c r="R30" s="362"/>
      <c r="S30" s="362" t="s">
        <v>206</v>
      </c>
      <c r="T30" s="285">
        <f>Holdings!$R$14</f>
        <v>1.0951541595630943E-2</v>
      </c>
      <c r="U30" s="285"/>
      <c r="V30" s="286"/>
      <c r="W30" s="379"/>
      <c r="X30" s="363"/>
      <c r="Y30" s="379"/>
      <c r="Z30" s="362" t="s">
        <v>206</v>
      </c>
      <c r="AA30" s="285">
        <f>Holdings!$R$18</f>
        <v>3.6275695284159859E-2</v>
      </c>
      <c r="AB30" s="285"/>
      <c r="AC30" s="286"/>
      <c r="AD30" s="379"/>
      <c r="AE30" s="363"/>
      <c r="AF30" s="379"/>
      <c r="AG30" s="362"/>
      <c r="AH30" s="430"/>
      <c r="AI30" s="379"/>
      <c r="AK30" s="364"/>
    </row>
    <row r="31" spans="2:37">
      <c r="B31" s="362"/>
      <c r="C31" s="363"/>
      <c r="D31" s="362"/>
      <c r="E31" s="362" t="str">
        <f>$E$17</f>
        <v>Summer</v>
      </c>
      <c r="F31" s="285">
        <f>Holdings!$Q$6</f>
        <v>-2.5720164609054352E-3</v>
      </c>
      <c r="G31" s="285"/>
      <c r="H31" s="286"/>
      <c r="I31" s="362"/>
      <c r="J31" s="363"/>
      <c r="K31" s="362"/>
      <c r="L31" s="362" t="str">
        <f>$E$17</f>
        <v>Summer</v>
      </c>
      <c r="M31" s="285">
        <f>Holdings!$Q$10</f>
        <v>0.14855739717618177</v>
      </c>
      <c r="N31" s="285"/>
      <c r="O31" s="286"/>
      <c r="P31" s="362"/>
      <c r="Q31" s="363"/>
      <c r="R31" s="362"/>
      <c r="S31" s="362" t="str">
        <f>$E$17</f>
        <v>Summer</v>
      </c>
      <c r="T31" s="285">
        <f>Holdings!$Q$14</f>
        <v>1.0951541595630943E-2</v>
      </c>
      <c r="U31" s="285"/>
      <c r="V31" s="286"/>
      <c r="W31" s="379"/>
      <c r="X31" s="363"/>
      <c r="Y31" s="379"/>
      <c r="Z31" s="362" t="str">
        <f>$E$17</f>
        <v>Summer</v>
      </c>
      <c r="AA31" s="285">
        <f>Holdings!$Q$18</f>
        <v>3.3360128617363483E-2</v>
      </c>
      <c r="AB31" s="285"/>
      <c r="AC31" s="286"/>
      <c r="AD31" s="379"/>
      <c r="AE31" s="363"/>
      <c r="AF31" s="379"/>
      <c r="AG31" s="362"/>
      <c r="AH31" s="430"/>
      <c r="AI31" s="379"/>
      <c r="AK31" s="364"/>
    </row>
    <row r="32" spans="2:37">
      <c r="B32" s="362"/>
      <c r="C32" s="364"/>
      <c r="D32" s="362"/>
      <c r="E32" s="362" t="s">
        <v>207</v>
      </c>
      <c r="F32" s="285">
        <f>Holdings!$O$6</f>
        <v>0.12124859079187789</v>
      </c>
      <c r="G32" s="285"/>
      <c r="H32" s="286"/>
      <c r="I32" s="362"/>
      <c r="J32" s="388"/>
      <c r="K32" s="362"/>
      <c r="L32" s="362" t="s">
        <v>207</v>
      </c>
      <c r="M32" s="285">
        <f>Holdings!$O$10</f>
        <v>0.13074589341617027</v>
      </c>
      <c r="N32" s="285"/>
      <c r="O32" s="286"/>
      <c r="P32" s="362"/>
      <c r="Q32" s="363"/>
      <c r="R32" s="362"/>
      <c r="S32" s="362" t="s">
        <v>207</v>
      </c>
      <c r="T32" s="285">
        <f>Holdings!$O$14</f>
        <v>1.0951541595630943E-2</v>
      </c>
      <c r="U32" s="285"/>
      <c r="V32" s="286"/>
      <c r="W32" s="379"/>
      <c r="X32" s="363"/>
      <c r="Y32" s="379"/>
      <c r="Z32" s="362" t="s">
        <v>207</v>
      </c>
      <c r="AA32" s="285">
        <f>Holdings!$O$18</f>
        <v>0.54986041374369421</v>
      </c>
      <c r="AB32" s="285"/>
      <c r="AC32" s="286"/>
      <c r="AD32" s="379"/>
      <c r="AE32" s="363"/>
      <c r="AF32" s="379"/>
      <c r="AG32" s="362"/>
      <c r="AH32" s="430"/>
      <c r="AI32" s="379"/>
      <c r="AK32" s="364"/>
    </row>
    <row r="33" spans="2:37" ht="7.5" customHeight="1">
      <c r="B33" s="362"/>
      <c r="C33" s="363"/>
      <c r="D33" s="362"/>
      <c r="E33" s="362"/>
      <c r="F33" s="285"/>
      <c r="G33" s="285"/>
      <c r="H33" s="286"/>
      <c r="I33" s="362"/>
      <c r="J33" s="363"/>
      <c r="K33" s="362"/>
      <c r="L33" s="362"/>
      <c r="M33" s="285"/>
      <c r="N33" s="285"/>
      <c r="O33" s="286"/>
      <c r="P33" s="362"/>
      <c r="Q33" s="363"/>
      <c r="R33" s="362"/>
      <c r="S33" s="362"/>
      <c r="T33" s="285"/>
      <c r="U33" s="285"/>
      <c r="V33" s="286"/>
      <c r="W33" s="379"/>
      <c r="X33" s="363"/>
      <c r="Y33" s="379"/>
      <c r="Z33" s="362"/>
      <c r="AA33" s="285"/>
      <c r="AB33" s="285"/>
      <c r="AC33" s="286"/>
      <c r="AD33" s="379"/>
      <c r="AE33" s="363"/>
      <c r="AF33" s="379"/>
      <c r="AG33" s="362"/>
      <c r="AH33" s="430"/>
      <c r="AI33" s="379"/>
      <c r="AK33" s="364"/>
    </row>
    <row r="34" spans="2:37" ht="12.75" customHeight="1">
      <c r="B34" s="362"/>
      <c r="C34" s="389" t="str">
        <f>IF(C35=0,"No Cap", IF(C35&lt;2,"Small Cap", IF(C35&lt;10, "Mid Cap", IF(C35&gt;10, "Large Cap"))))</f>
        <v>No Cap</v>
      </c>
      <c r="D34" s="362"/>
      <c r="E34" s="364" t="s">
        <v>68</v>
      </c>
      <c r="F34" s="390">
        <f>Holdings!$H$6</f>
        <v>1730.5575000000001</v>
      </c>
      <c r="G34" s="285"/>
      <c r="H34" s="286"/>
      <c r="I34" s="362"/>
      <c r="J34" s="389" t="str">
        <f>IF(J35=0,"No Cap", IF(J35&lt;2,"Small Cap", IF(J35&lt;10, "Mid Cap", IF(J35&gt;10, "Large Cap"))))</f>
        <v>Large Cap</v>
      </c>
      <c r="K34" s="362"/>
      <c r="L34" s="364" t="s">
        <v>68</v>
      </c>
      <c r="M34" s="390">
        <f>Holdings!$H$10</f>
        <v>2806.5</v>
      </c>
      <c r="N34" s="285"/>
      <c r="O34" s="286"/>
      <c r="P34" s="362"/>
      <c r="Q34" s="389" t="str">
        <f>IF(Q35=0,"No Cap", IF(Q35&lt;2,"Small Cap", IF(Q35&lt;10, "Mid Cap", IF(Q35&gt;10, "Large Cap"))))</f>
        <v>Large Cap</v>
      </c>
      <c r="R34" s="362"/>
      <c r="S34" s="364" t="s">
        <v>68</v>
      </c>
      <c r="T34" s="390">
        <f>Holdings!$H$14</f>
        <v>2798.8799999999997</v>
      </c>
      <c r="U34" s="285"/>
      <c r="V34" s="286"/>
      <c r="W34" s="379"/>
      <c r="X34" s="389" t="str">
        <f>IF(X35=0,"No Cap", IF(X35&lt;2,"Small Cap", IF(X35&lt;10, "Mid Cap", IF(X35&gt;10, "Large Cap"))))</f>
        <v>Mid Cap</v>
      </c>
      <c r="Y34" s="379"/>
      <c r="Z34" s="364" t="s">
        <v>68</v>
      </c>
      <c r="AA34" s="390">
        <f>Holdings!$H$18</f>
        <v>2595.9387000000002</v>
      </c>
      <c r="AB34" s="285"/>
      <c r="AC34" s="286"/>
      <c r="AD34" s="379"/>
      <c r="AE34" s="389"/>
      <c r="AF34" s="379"/>
      <c r="AG34" s="452"/>
      <c r="AH34" s="390"/>
      <c r="AI34" s="379"/>
      <c r="AK34" s="364"/>
    </row>
    <row r="35" spans="2:37" ht="12.75" customHeight="1">
      <c r="B35" s="362"/>
      <c r="C35" s="391">
        <f>Holdings!$V$6</f>
        <v>0</v>
      </c>
      <c r="D35" s="364"/>
      <c r="E35" s="364" t="s">
        <v>249</v>
      </c>
      <c r="F35" s="390">
        <f>Holdings!$I$6</f>
        <v>1543.42</v>
      </c>
      <c r="G35" s="285"/>
      <c r="H35" s="286"/>
      <c r="I35" s="362"/>
      <c r="J35" s="391">
        <f>Holdings!$V$10</f>
        <v>16.025959908000001</v>
      </c>
      <c r="K35" s="362"/>
      <c r="L35" s="364" t="s">
        <v>249</v>
      </c>
      <c r="M35" s="390">
        <f>Holdings!$I$10</f>
        <v>2481.9899999999998</v>
      </c>
      <c r="N35" s="285"/>
      <c r="O35" s="286"/>
      <c r="P35" s="362"/>
      <c r="Q35" s="391">
        <f>Holdings!$V$14</f>
        <v>124.225288862</v>
      </c>
      <c r="R35" s="362"/>
      <c r="S35" s="364" t="s">
        <v>249</v>
      </c>
      <c r="T35" s="390">
        <f>Holdings!$I$14</f>
        <v>2768.56</v>
      </c>
      <c r="U35" s="285"/>
      <c r="V35" s="286"/>
      <c r="W35" s="379"/>
      <c r="X35" s="391">
        <f>Holdings!$V$18</f>
        <v>9.1229926369999994</v>
      </c>
      <c r="Y35" s="379"/>
      <c r="Z35" s="364" t="s">
        <v>249</v>
      </c>
      <c r="AA35" s="390">
        <f>Holdings!$I$18</f>
        <v>1674.9499999999998</v>
      </c>
      <c r="AB35" s="285"/>
      <c r="AC35" s="286"/>
      <c r="AD35" s="379"/>
      <c r="AE35" s="391"/>
      <c r="AF35" s="379"/>
      <c r="AG35" s="452"/>
      <c r="AH35" s="390"/>
      <c r="AI35" s="379"/>
      <c r="AK35" s="364"/>
    </row>
    <row r="36" spans="2:37" ht="2.25" customHeight="1">
      <c r="B36" s="362"/>
      <c r="C36" s="392"/>
      <c r="D36" s="364"/>
      <c r="E36" s="364"/>
      <c r="F36" s="390"/>
      <c r="G36" s="285"/>
      <c r="H36" s="286"/>
      <c r="I36" s="362"/>
      <c r="J36" s="363"/>
      <c r="K36" s="362"/>
      <c r="L36" s="362"/>
      <c r="M36" s="285"/>
      <c r="N36" s="285"/>
      <c r="O36" s="286"/>
      <c r="P36" s="362"/>
      <c r="Q36" s="363"/>
      <c r="R36" s="362"/>
      <c r="S36" s="362"/>
      <c r="T36" s="285"/>
      <c r="U36" s="285"/>
      <c r="V36" s="286"/>
      <c r="W36" s="379"/>
      <c r="X36" s="363"/>
      <c r="Y36" s="379"/>
      <c r="Z36" s="362"/>
      <c r="AA36" s="285"/>
      <c r="AB36" s="285"/>
      <c r="AC36" s="286"/>
      <c r="AD36" s="379"/>
      <c r="AE36" s="363"/>
      <c r="AF36" s="379"/>
      <c r="AG36" s="362"/>
      <c r="AH36" s="430"/>
      <c r="AI36" s="379"/>
      <c r="AK36" s="364"/>
    </row>
    <row r="37" spans="2:37">
      <c r="B37" s="362"/>
      <c r="C37" s="375"/>
      <c r="D37" s="364"/>
      <c r="E37" s="380" t="s">
        <v>227</v>
      </c>
      <c r="F37" s="303">
        <f>Holdings!$U$6</f>
        <v>3.382009158466906E-2</v>
      </c>
      <c r="G37" s="285"/>
      <c r="H37" s="286"/>
      <c r="I37" s="362"/>
      <c r="J37" s="364"/>
      <c r="K37" s="364"/>
      <c r="L37" s="380" t="s">
        <v>227</v>
      </c>
      <c r="M37" s="303">
        <f>Holdings!$U$10</f>
        <v>5.4847115471386369E-2</v>
      </c>
      <c r="N37" s="285"/>
      <c r="O37" s="286"/>
      <c r="P37" s="362"/>
      <c r="Q37" s="393"/>
      <c r="R37" s="364"/>
      <c r="S37" s="380" t="s">
        <v>227</v>
      </c>
      <c r="T37" s="303">
        <f>Holdings!$U$14</f>
        <v>5.4698198664013493E-2</v>
      </c>
      <c r="U37" s="285"/>
      <c r="V37" s="286"/>
      <c r="W37" s="379"/>
      <c r="X37" s="393"/>
      <c r="Y37" s="364"/>
      <c r="Z37" s="380" t="s">
        <v>227</v>
      </c>
      <c r="AA37" s="303">
        <f>Holdings!$U$18</f>
        <v>5.073213954589012E-2</v>
      </c>
      <c r="AB37" s="285"/>
      <c r="AC37" s="286"/>
      <c r="AD37" s="364"/>
      <c r="AE37" s="393"/>
      <c r="AF37" s="452"/>
      <c r="AG37" s="380"/>
      <c r="AH37" s="431"/>
      <c r="AI37" s="379"/>
      <c r="AK37" s="364"/>
    </row>
    <row r="38" spans="2:37" ht="2.25" customHeight="1">
      <c r="B38" s="362"/>
      <c r="C38" s="363"/>
      <c r="D38" s="362"/>
      <c r="E38" s="362"/>
      <c r="F38" s="362"/>
      <c r="G38" s="362"/>
      <c r="H38" s="381"/>
      <c r="I38" s="362"/>
      <c r="J38" s="363"/>
      <c r="K38" s="362"/>
      <c r="L38" s="362"/>
      <c r="M38" s="285"/>
      <c r="N38" s="285"/>
      <c r="O38" s="286"/>
      <c r="P38" s="362"/>
      <c r="Q38" s="363"/>
      <c r="R38" s="362"/>
      <c r="S38" s="362"/>
      <c r="T38" s="285"/>
      <c r="U38" s="285"/>
      <c r="V38" s="286"/>
      <c r="W38" s="362"/>
      <c r="X38" s="363"/>
      <c r="Y38" s="362"/>
      <c r="Z38" s="362"/>
      <c r="AA38" s="285"/>
      <c r="AB38" s="285"/>
      <c r="AC38" s="286"/>
      <c r="AD38" s="362"/>
      <c r="AE38" s="363"/>
      <c r="AF38" s="362"/>
      <c r="AG38" s="362"/>
      <c r="AH38" s="285"/>
      <c r="AI38" s="362"/>
      <c r="AK38" s="364"/>
    </row>
    <row r="39" spans="2:37" ht="3.75" customHeight="1">
      <c r="B39" s="381"/>
      <c r="C39" s="382"/>
      <c r="D39" s="381"/>
      <c r="E39" s="381"/>
      <c r="F39" s="381"/>
      <c r="L39" s="381"/>
      <c r="M39" s="286"/>
      <c r="N39" s="286"/>
      <c r="O39" s="286"/>
      <c r="P39" s="381"/>
      <c r="Q39" s="382"/>
      <c r="R39" s="381"/>
      <c r="S39" s="381"/>
      <c r="T39" s="286"/>
      <c r="U39" s="286"/>
      <c r="V39" s="286"/>
      <c r="W39" s="381"/>
      <c r="X39" s="382"/>
      <c r="Y39" s="381"/>
      <c r="Z39" s="381"/>
      <c r="AA39" s="286"/>
      <c r="AB39" s="286"/>
      <c r="AC39" s="286"/>
      <c r="AD39" s="381"/>
      <c r="AE39" s="382"/>
      <c r="AF39" s="381"/>
      <c r="AG39" s="381"/>
      <c r="AH39" s="286"/>
      <c r="AI39" s="381"/>
      <c r="AK39" s="364"/>
    </row>
    <row r="40" spans="2:37" ht="1.5" customHeight="1">
      <c r="B40" s="362"/>
      <c r="C40" s="363"/>
      <c r="D40" s="362"/>
      <c r="E40" s="362"/>
      <c r="F40" s="362"/>
      <c r="G40" s="362"/>
      <c r="H40" s="381"/>
      <c r="I40" s="362"/>
      <c r="J40" s="363"/>
      <c r="K40" s="362"/>
      <c r="L40" s="362"/>
      <c r="M40" s="285"/>
      <c r="N40" s="285"/>
      <c r="O40" s="286"/>
      <c r="P40" s="362"/>
      <c r="Q40" s="363"/>
      <c r="R40" s="362"/>
      <c r="S40" s="362"/>
      <c r="T40" s="285"/>
      <c r="U40" s="285"/>
      <c r="V40" s="286"/>
      <c r="W40" s="362"/>
      <c r="X40" s="363"/>
      <c r="Y40" s="362"/>
      <c r="Z40" s="362"/>
      <c r="AA40" s="285"/>
      <c r="AB40" s="285"/>
      <c r="AC40" s="286"/>
      <c r="AD40" s="362"/>
      <c r="AE40" s="363"/>
      <c r="AF40" s="362"/>
      <c r="AG40" s="362"/>
      <c r="AH40" s="285"/>
      <c r="AI40" s="362"/>
      <c r="AK40" s="364"/>
    </row>
    <row r="41" spans="2:37" ht="15">
      <c r="B41" s="362"/>
      <c r="C41" s="478" t="str">
        <f>Holdings!$C$7</f>
        <v>Caterpillar</v>
      </c>
      <c r="D41" s="478"/>
      <c r="E41" s="478"/>
      <c r="F41" s="384">
        <f>Holdings!$E$7</f>
        <v>85.14</v>
      </c>
      <c r="G41" s="362"/>
      <c r="H41" s="381"/>
      <c r="I41" s="362"/>
      <c r="J41" s="477" t="str">
        <f>Holdings!$C$11</f>
        <v>Gentex</v>
      </c>
      <c r="K41" s="477"/>
      <c r="L41" s="477"/>
      <c r="M41" s="384">
        <f>Holdings!$E$11</f>
        <v>23.27</v>
      </c>
      <c r="N41" s="285"/>
      <c r="O41" s="286"/>
      <c r="P41" s="362"/>
      <c r="Q41" s="477" t="str">
        <f>Holdings!$C$15</f>
        <v>Medtronic</v>
      </c>
      <c r="R41" s="477"/>
      <c r="S41" s="477"/>
      <c r="T41" s="384">
        <f>Holdings!$E$15</f>
        <v>52.78</v>
      </c>
      <c r="U41" s="285"/>
      <c r="V41" s="286"/>
      <c r="W41" s="362"/>
      <c r="X41" s="477" t="str">
        <f>Holdings!$C$19</f>
        <v>Wells Fargo</v>
      </c>
      <c r="Y41" s="477"/>
      <c r="Z41" s="477"/>
      <c r="AA41" s="384">
        <f>Holdings!$E$19</f>
        <v>40.94</v>
      </c>
      <c r="AB41" s="285"/>
      <c r="AC41" s="286"/>
      <c r="AD41" s="362"/>
      <c r="AE41" s="477"/>
      <c r="AF41" s="477"/>
      <c r="AG41" s="477"/>
      <c r="AH41" s="384"/>
      <c r="AI41" s="362"/>
      <c r="AK41" s="364"/>
    </row>
    <row r="42" spans="2:37" ht="2.25" customHeight="1">
      <c r="B42" s="362"/>
      <c r="C42" s="385"/>
      <c r="D42" s="385"/>
      <c r="E42" s="364"/>
      <c r="F42" s="384"/>
      <c r="G42" s="362"/>
      <c r="H42" s="381"/>
      <c r="I42" s="362"/>
      <c r="J42" s="386"/>
      <c r="K42" s="362"/>
      <c r="L42" s="364"/>
      <c r="M42" s="384"/>
      <c r="N42" s="285"/>
      <c r="O42" s="286"/>
      <c r="P42" s="362"/>
      <c r="Q42" s="386"/>
      <c r="R42" s="362"/>
      <c r="S42" s="364"/>
      <c r="T42" s="384"/>
      <c r="U42" s="285"/>
      <c r="V42" s="286"/>
      <c r="W42" s="362"/>
      <c r="X42" s="386"/>
      <c r="Y42" s="362"/>
      <c r="Z42" s="364"/>
      <c r="AA42" s="384"/>
      <c r="AB42" s="285"/>
      <c r="AC42" s="286"/>
      <c r="AD42" s="362"/>
      <c r="AE42" s="386"/>
      <c r="AF42" s="362"/>
      <c r="AG42" s="364"/>
      <c r="AH42" s="384"/>
      <c r="AI42" s="362"/>
      <c r="AK42" s="364"/>
    </row>
    <row r="43" spans="2:37" ht="13.5">
      <c r="B43" s="362"/>
      <c r="C43" s="387" t="str">
        <f>Holdings!$D$7</f>
        <v>CAT</v>
      </c>
      <c r="D43" s="362"/>
      <c r="E43" s="362" t="s">
        <v>199</v>
      </c>
      <c r="F43" s="285">
        <f>Holdings!$S$7</f>
        <v>2.3194327604855181E-2</v>
      </c>
      <c r="G43" s="285"/>
      <c r="H43" s="286"/>
      <c r="I43" s="362"/>
      <c r="J43" s="387" t="str">
        <f>Holdings!$D$11</f>
        <v>GNTX</v>
      </c>
      <c r="K43" s="362"/>
      <c r="L43" s="362" t="s">
        <v>199</v>
      </c>
      <c r="M43" s="285">
        <f>Holdings!$S$11</f>
        <v>2.8735632183908066E-2</v>
      </c>
      <c r="N43" s="285"/>
      <c r="O43" s="286"/>
      <c r="P43" s="362"/>
      <c r="Q43" s="387" t="str">
        <f>Holdings!$D$15</f>
        <v>MDT</v>
      </c>
      <c r="R43" s="362"/>
      <c r="S43" s="362" t="s">
        <v>199</v>
      </c>
      <c r="T43" s="285">
        <f>Holdings!$S$15</f>
        <v>2.267002518891692E-2</v>
      </c>
      <c r="U43" s="285"/>
      <c r="V43" s="286"/>
      <c r="W43" s="379"/>
      <c r="X43" s="387" t="str">
        <f>Holdings!$D$19</f>
        <v>WFC</v>
      </c>
      <c r="Y43" s="379"/>
      <c r="Z43" s="362" t="s">
        <v>199</v>
      </c>
      <c r="AA43" s="285">
        <f>Holdings!$S$19</f>
        <v>1.1408339889850572E-2</v>
      </c>
      <c r="AB43" s="285"/>
      <c r="AC43" s="286"/>
      <c r="AD43" s="379"/>
      <c r="AE43" s="387"/>
      <c r="AF43" s="379"/>
      <c r="AG43" s="362"/>
      <c r="AH43" s="285"/>
      <c r="AI43" s="379"/>
      <c r="AK43" s="364"/>
    </row>
    <row r="44" spans="2:37">
      <c r="B44" s="362"/>
      <c r="C44" s="363"/>
      <c r="D44" s="362"/>
      <c r="E44" s="362" t="s">
        <v>206</v>
      </c>
      <c r="F44" s="285">
        <f>Holdings!$R$7</f>
        <v>1.3571428571428568E-2</v>
      </c>
      <c r="G44" s="285"/>
      <c r="H44" s="286"/>
      <c r="I44" s="362"/>
      <c r="J44" s="363"/>
      <c r="K44" s="362"/>
      <c r="L44" s="362" t="s">
        <v>206</v>
      </c>
      <c r="M44" s="285">
        <f>Holdings!$R$11</f>
        <v>1.5713662156263686E-2</v>
      </c>
      <c r="N44" s="285"/>
      <c r="O44" s="286"/>
      <c r="P44" s="362"/>
      <c r="Q44" s="363"/>
      <c r="R44" s="362"/>
      <c r="S44" s="362" t="s">
        <v>206</v>
      </c>
      <c r="T44" s="285">
        <f>Holdings!$R$15</f>
        <v>2.5252525252525304E-2</v>
      </c>
      <c r="U44" s="285"/>
      <c r="V44" s="286"/>
      <c r="W44" s="379"/>
      <c r="X44" s="363"/>
      <c r="Y44" s="379"/>
      <c r="Z44" s="362" t="s">
        <v>206</v>
      </c>
      <c r="AA44" s="285">
        <f>Holdings!$R$19</f>
        <v>5.4027504911591251E-3</v>
      </c>
      <c r="AB44" s="285"/>
      <c r="AC44" s="286"/>
      <c r="AD44" s="379"/>
      <c r="AE44" s="363"/>
      <c r="AF44" s="379"/>
      <c r="AG44" s="362"/>
      <c r="AH44" s="285"/>
      <c r="AI44" s="379"/>
      <c r="AK44" s="364"/>
    </row>
    <row r="45" spans="2:37">
      <c r="B45" s="362"/>
      <c r="C45" s="363"/>
      <c r="D45" s="362"/>
      <c r="E45" s="362" t="str">
        <f>$E$17</f>
        <v>Summer</v>
      </c>
      <c r="F45" s="285">
        <f>Holdings!$Q$7</f>
        <v>1.3399410023500202E-2</v>
      </c>
      <c r="G45" s="285"/>
      <c r="H45" s="286"/>
      <c r="I45" s="362"/>
      <c r="J45" s="363"/>
      <c r="K45" s="362"/>
      <c r="L45" s="362" t="str">
        <f>$E$17</f>
        <v>Summer</v>
      </c>
      <c r="M45" s="285">
        <f>Holdings!$Q$11</f>
        <v>3.0704250440511727E-2</v>
      </c>
      <c r="N45" s="285"/>
      <c r="O45" s="286"/>
      <c r="P45" s="362"/>
      <c r="Q45" s="363"/>
      <c r="R45" s="362"/>
      <c r="S45" s="362" t="str">
        <f>$E$17</f>
        <v>Summer</v>
      </c>
      <c r="T45" s="285">
        <f>Holdings!$Q$15</f>
        <v>0.12850623540672523</v>
      </c>
      <c r="U45" s="285"/>
      <c r="V45" s="286"/>
      <c r="W45" s="379"/>
      <c r="X45" s="363"/>
      <c r="Y45" s="379"/>
      <c r="Z45" s="362" t="str">
        <f>$E$17</f>
        <v>Summer</v>
      </c>
      <c r="AA45" s="285">
        <f>Holdings!$Q$19</f>
        <v>8.6963141795652454E-2</v>
      </c>
      <c r="AB45" s="285"/>
      <c r="AC45" s="286"/>
      <c r="AD45" s="379"/>
      <c r="AE45" s="363"/>
      <c r="AF45" s="379"/>
      <c r="AG45" s="362"/>
      <c r="AH45" s="285"/>
      <c r="AI45" s="379"/>
      <c r="AK45" s="364"/>
    </row>
    <row r="46" spans="2:37">
      <c r="B46" s="362"/>
      <c r="C46" s="364"/>
      <c r="D46" s="362"/>
      <c r="E46" s="362" t="s">
        <v>207</v>
      </c>
      <c r="F46" s="285">
        <f>Holdings!$O$7</f>
        <v>2.9319160125901522E-2</v>
      </c>
      <c r="G46" s="285"/>
      <c r="H46" s="286"/>
      <c r="I46" s="362"/>
      <c r="J46" s="388"/>
      <c r="K46" s="362"/>
      <c r="L46" s="362" t="s">
        <v>207</v>
      </c>
      <c r="M46" s="285">
        <f>Holdings!$O$11</f>
        <v>0.44316285153259893</v>
      </c>
      <c r="N46" s="285"/>
      <c r="O46" s="286"/>
      <c r="P46" s="362"/>
      <c r="Q46" s="363"/>
      <c r="R46" s="362"/>
      <c r="S46" s="362" t="s">
        <v>207</v>
      </c>
      <c r="T46" s="285">
        <f>Holdings!$O$15</f>
        <v>0.12547833863125701</v>
      </c>
      <c r="U46" s="285"/>
      <c r="V46" s="286"/>
      <c r="W46" s="379"/>
      <c r="X46" s="363"/>
      <c r="Y46" s="379"/>
      <c r="Z46" s="362" t="s">
        <v>207</v>
      </c>
      <c r="AA46" s="285">
        <f>Holdings!$O$19</f>
        <v>0.77051894351403605</v>
      </c>
      <c r="AB46" s="285"/>
      <c r="AC46" s="286"/>
      <c r="AD46" s="379"/>
      <c r="AE46" s="363"/>
      <c r="AF46" s="379"/>
      <c r="AG46" s="362"/>
      <c r="AH46" s="285"/>
      <c r="AI46" s="379"/>
      <c r="AK46" s="364"/>
    </row>
    <row r="47" spans="2:37" ht="7.5" customHeight="1">
      <c r="B47" s="362"/>
      <c r="C47" s="363"/>
      <c r="D47" s="362"/>
      <c r="E47" s="362"/>
      <c r="F47" s="285"/>
      <c r="G47" s="285"/>
      <c r="H47" s="286"/>
      <c r="I47" s="362"/>
      <c r="J47" s="363"/>
      <c r="K47" s="362"/>
      <c r="L47" s="362"/>
      <c r="M47" s="285"/>
      <c r="N47" s="285"/>
      <c r="O47" s="286"/>
      <c r="P47" s="362"/>
      <c r="Q47" s="363"/>
      <c r="R47" s="362"/>
      <c r="S47" s="362"/>
      <c r="T47" s="285"/>
      <c r="U47" s="285"/>
      <c r="V47" s="286"/>
      <c r="W47" s="379"/>
      <c r="X47" s="363"/>
      <c r="Y47" s="379"/>
      <c r="Z47" s="362"/>
      <c r="AA47" s="285"/>
      <c r="AB47" s="285"/>
      <c r="AC47" s="286"/>
      <c r="AD47" s="379"/>
      <c r="AE47" s="363"/>
      <c r="AF47" s="379"/>
      <c r="AG47" s="362"/>
      <c r="AH47" s="285"/>
      <c r="AI47" s="379"/>
      <c r="AK47" s="364"/>
    </row>
    <row r="48" spans="2:37" ht="12.75" customHeight="1">
      <c r="B48" s="362"/>
      <c r="C48" s="389" t="str">
        <f>IF(C49=0,"No Cap", IF(C49&lt;2,"Small Cap", IF(C49&lt;10, "Mid Cap", IF(C49&gt;10, "Large Cap"))))</f>
        <v>Large Cap</v>
      </c>
      <c r="D48" s="362"/>
      <c r="E48" s="364" t="s">
        <v>68</v>
      </c>
      <c r="F48" s="390">
        <f>Holdings!$H$7</f>
        <v>1291.7440800000002</v>
      </c>
      <c r="G48" s="285"/>
      <c r="H48" s="286"/>
      <c r="I48" s="362"/>
      <c r="J48" s="389" t="str">
        <f>IF(J49=0,"No Cap", IF(J49&lt;2,"Small Cap", IF(J49&lt;10, "Mid Cap", IF(J49&gt;10, "Large Cap"))))</f>
        <v>Mid Cap</v>
      </c>
      <c r="K48" s="362"/>
      <c r="L48" s="364" t="s">
        <v>68</v>
      </c>
      <c r="M48" s="390">
        <f>Holdings!$H$11</f>
        <v>2168.13571</v>
      </c>
      <c r="N48" s="285"/>
      <c r="O48" s="286"/>
      <c r="P48" s="362"/>
      <c r="Q48" s="389" t="str">
        <f>IF(Q49=0,"No Cap", IF(Q49&lt;2,"Small Cap", IF(Q49&lt;10, "Mid Cap", IF(Q49&gt;10, "Large Cap"))))</f>
        <v>Large Cap</v>
      </c>
      <c r="R48" s="362"/>
      <c r="S48" s="364" t="s">
        <v>68</v>
      </c>
      <c r="T48" s="390">
        <f>Holdings!$H$15</f>
        <v>1497.6852800000001</v>
      </c>
      <c r="U48" s="285"/>
      <c r="V48" s="286"/>
      <c r="W48" s="379"/>
      <c r="X48" s="389" t="str">
        <f>IF(X49=0,"No Cap", IF(X49&lt;2,"Small Cap", IF(X49&lt;10, "Mid Cap", IF(X49&gt;10, "Large Cap"))))</f>
        <v>Large Cap</v>
      </c>
      <c r="Y48" s="379"/>
      <c r="Z48" s="364" t="s">
        <v>68</v>
      </c>
      <c r="AA48" s="390">
        <f>Holdings!$H$19</f>
        <v>2132.3598999999999</v>
      </c>
      <c r="AB48" s="285"/>
      <c r="AC48" s="286"/>
      <c r="AD48" s="379"/>
      <c r="AE48" s="389"/>
      <c r="AF48" s="379"/>
      <c r="AG48" s="364"/>
      <c r="AH48" s="390"/>
      <c r="AI48" s="379"/>
      <c r="AK48" s="364"/>
    </row>
    <row r="49" spans="2:37" ht="12.75" customHeight="1">
      <c r="B49" s="362"/>
      <c r="C49" s="391">
        <f>Holdings!$V$7</f>
        <v>55.978263984999998</v>
      </c>
      <c r="D49" s="364"/>
      <c r="E49" s="364" t="s">
        <v>249</v>
      </c>
      <c r="F49" s="390">
        <f>Holdings!$I$7</f>
        <v>1254.95</v>
      </c>
      <c r="G49" s="285"/>
      <c r="H49" s="286"/>
      <c r="I49" s="362"/>
      <c r="J49" s="391">
        <f>Holdings!$V$11</f>
        <v>3.341199746</v>
      </c>
      <c r="K49" s="362"/>
      <c r="L49" s="364" t="s">
        <v>249</v>
      </c>
      <c r="M49" s="390">
        <f>Holdings!$I$11</f>
        <v>1502.35</v>
      </c>
      <c r="N49" s="285"/>
      <c r="O49" s="286"/>
      <c r="P49" s="362"/>
      <c r="Q49" s="391">
        <f>Holdings!$V$15</f>
        <v>53.508679442000002</v>
      </c>
      <c r="R49" s="362"/>
      <c r="S49" s="364" t="s">
        <v>249</v>
      </c>
      <c r="T49" s="390">
        <f>Holdings!$I$15</f>
        <v>1330.71</v>
      </c>
      <c r="U49" s="285"/>
      <c r="V49" s="286"/>
      <c r="W49" s="379"/>
      <c r="X49" s="391">
        <f>Holdings!$V$19</f>
        <v>216.83407650699999</v>
      </c>
      <c r="Y49" s="379"/>
      <c r="Z49" s="364" t="s">
        <v>249</v>
      </c>
      <c r="AA49" s="390">
        <f>Holdings!$I$19</f>
        <v>1204.3700000000001</v>
      </c>
      <c r="AB49" s="285"/>
      <c r="AC49" s="286"/>
      <c r="AD49" s="379"/>
      <c r="AE49" s="391"/>
      <c r="AF49" s="379"/>
      <c r="AG49" s="364"/>
      <c r="AH49" s="390"/>
      <c r="AI49" s="379"/>
      <c r="AK49" s="364"/>
    </row>
    <row r="50" spans="2:37" ht="2.25" customHeight="1">
      <c r="B50" s="362"/>
      <c r="C50" s="392"/>
      <c r="D50" s="364"/>
      <c r="E50" s="364"/>
      <c r="F50" s="390"/>
      <c r="G50" s="285"/>
      <c r="H50" s="286"/>
      <c r="I50" s="362"/>
      <c r="J50" s="363"/>
      <c r="K50" s="362"/>
      <c r="L50" s="362"/>
      <c r="M50" s="285"/>
      <c r="N50" s="285"/>
      <c r="O50" s="286"/>
      <c r="P50" s="362"/>
      <c r="Q50" s="363"/>
      <c r="R50" s="362"/>
      <c r="S50" s="362"/>
      <c r="T50" s="285"/>
      <c r="U50" s="285"/>
      <c r="V50" s="286"/>
      <c r="W50" s="379"/>
      <c r="X50" s="363"/>
      <c r="Y50" s="379"/>
      <c r="Z50" s="362"/>
      <c r="AA50" s="285"/>
      <c r="AB50" s="285"/>
      <c r="AC50" s="286"/>
      <c r="AD50" s="379"/>
      <c r="AE50" s="363"/>
      <c r="AF50" s="379"/>
      <c r="AG50" s="362"/>
      <c r="AH50" s="285"/>
      <c r="AI50" s="379"/>
      <c r="AK50" s="364"/>
    </row>
    <row r="51" spans="2:37">
      <c r="B51" s="362"/>
      <c r="C51" s="375"/>
      <c r="D51" s="364"/>
      <c r="E51" s="380" t="s">
        <v>227</v>
      </c>
      <c r="F51" s="303">
        <f>Holdings!$U$7</f>
        <v>2.5244410017901217E-2</v>
      </c>
      <c r="G51" s="285"/>
      <c r="I51" s="362"/>
      <c r="J51" s="364"/>
      <c r="K51" s="364"/>
      <c r="L51" s="380" t="s">
        <v>227</v>
      </c>
      <c r="M51" s="303">
        <f>Holdings!$U$11</f>
        <v>4.2371633580618663E-2</v>
      </c>
      <c r="N51" s="285"/>
      <c r="P51" s="362"/>
      <c r="Q51" s="393"/>
      <c r="R51" s="364"/>
      <c r="S51" s="380" t="s">
        <v>227</v>
      </c>
      <c r="T51" s="303">
        <f>Holdings!$U$15</f>
        <v>2.9269095846055811E-2</v>
      </c>
      <c r="U51" s="285"/>
      <c r="W51" s="364"/>
      <c r="X51" s="393"/>
      <c r="Y51" s="364"/>
      <c r="Z51" s="380" t="s">
        <v>227</v>
      </c>
      <c r="AA51" s="303">
        <f>Holdings!$U$19</f>
        <v>4.1672470928862955E-2</v>
      </c>
      <c r="AB51" s="364"/>
      <c r="AD51" s="379"/>
      <c r="AE51" s="393"/>
      <c r="AF51" s="364"/>
      <c r="AG51" s="380"/>
      <c r="AH51" s="303"/>
      <c r="AI51" s="379"/>
      <c r="AK51" s="364"/>
    </row>
    <row r="52" spans="2:37" ht="2.25" customHeight="1">
      <c r="B52" s="362"/>
      <c r="C52" s="363"/>
      <c r="D52" s="362"/>
      <c r="E52" s="362"/>
      <c r="F52" s="362"/>
      <c r="G52" s="362"/>
      <c r="H52" s="381"/>
      <c r="I52" s="362"/>
      <c r="J52" s="363"/>
      <c r="K52" s="362"/>
      <c r="L52" s="362"/>
      <c r="M52" s="285"/>
      <c r="N52" s="285"/>
      <c r="O52" s="286"/>
      <c r="P52" s="362"/>
      <c r="Q52" s="363"/>
      <c r="R52" s="362"/>
      <c r="S52" s="362"/>
      <c r="T52" s="285"/>
      <c r="U52" s="285"/>
      <c r="V52" s="286"/>
      <c r="W52" s="362"/>
      <c r="X52" s="363"/>
      <c r="Y52" s="362"/>
      <c r="Z52" s="362"/>
      <c r="AA52" s="285"/>
      <c r="AB52" s="285"/>
      <c r="AC52" s="286"/>
      <c r="AD52" s="362"/>
      <c r="AE52" s="363"/>
      <c r="AF52" s="362"/>
      <c r="AG52" s="362"/>
      <c r="AH52" s="285"/>
      <c r="AI52" s="362"/>
      <c r="AK52" s="364"/>
    </row>
    <row r="53" spans="2:37" ht="3.75" customHeight="1">
      <c r="B53" s="381"/>
      <c r="C53" s="382"/>
      <c r="D53" s="381"/>
      <c r="E53" s="381"/>
      <c r="F53" s="381"/>
      <c r="L53" s="381"/>
      <c r="M53" s="286"/>
      <c r="N53" s="286"/>
      <c r="O53" s="286"/>
      <c r="P53" s="381"/>
      <c r="Q53" s="382"/>
      <c r="R53" s="381"/>
      <c r="S53" s="381"/>
      <c r="T53" s="286"/>
      <c r="U53" s="286"/>
      <c r="V53" s="286"/>
      <c r="W53" s="381"/>
      <c r="X53" s="382"/>
      <c r="Y53" s="381"/>
      <c r="Z53" s="381"/>
      <c r="AA53" s="286"/>
      <c r="AB53" s="286"/>
      <c r="AC53" s="286"/>
      <c r="AD53" s="381"/>
      <c r="AE53" s="382"/>
      <c r="AF53" s="381"/>
      <c r="AG53" s="381"/>
      <c r="AH53" s="286"/>
      <c r="AI53" s="381"/>
      <c r="AK53" s="364"/>
    </row>
    <row r="54" spans="2:37" ht="1.5" customHeight="1">
      <c r="B54" s="362"/>
      <c r="C54" s="363"/>
      <c r="D54" s="362"/>
      <c r="E54" s="362"/>
      <c r="F54" s="362"/>
      <c r="G54" s="362"/>
      <c r="H54" s="381"/>
      <c r="I54" s="362"/>
      <c r="J54" s="363"/>
      <c r="K54" s="362"/>
      <c r="L54" s="362"/>
      <c r="M54" s="285"/>
      <c r="N54" s="285"/>
      <c r="O54" s="286"/>
      <c r="P54" s="362"/>
      <c r="Q54" s="363"/>
      <c r="R54" s="362"/>
      <c r="S54" s="362"/>
      <c r="T54" s="285"/>
      <c r="U54" s="285"/>
      <c r="V54" s="286"/>
      <c r="W54" s="362"/>
      <c r="X54" s="363"/>
      <c r="Y54" s="362"/>
      <c r="Z54" s="362"/>
      <c r="AA54" s="362"/>
      <c r="AB54" s="362"/>
      <c r="AC54" s="286"/>
      <c r="AD54" s="362"/>
      <c r="AE54" s="363"/>
      <c r="AF54" s="362"/>
      <c r="AG54" s="362"/>
      <c r="AH54" s="285"/>
      <c r="AI54" s="362"/>
      <c r="AK54" s="364"/>
    </row>
    <row r="55" spans="2:37" ht="15">
      <c r="B55" s="362"/>
      <c r="C55" s="478" t="str">
        <f>Holdings!$C$8</f>
        <v>Cemex</v>
      </c>
      <c r="D55" s="478"/>
      <c r="E55" s="478"/>
      <c r="F55" s="384">
        <f>Holdings!$E$8</f>
        <v>10.55</v>
      </c>
      <c r="G55" s="362"/>
      <c r="H55" s="381"/>
      <c r="I55" s="362"/>
      <c r="J55" s="477" t="str">
        <f>Holdings!$C$12</f>
        <v>Home Depot</v>
      </c>
      <c r="K55" s="477"/>
      <c r="L55" s="477"/>
      <c r="M55" s="384">
        <f>Holdings!$E$12</f>
        <v>76.53</v>
      </c>
      <c r="N55" s="285"/>
      <c r="O55" s="286"/>
      <c r="P55" s="362"/>
      <c r="Q55" s="477" t="str">
        <f>Holdings!$C$16</f>
        <v>Natural Grocers</v>
      </c>
      <c r="R55" s="477"/>
      <c r="S55" s="477"/>
      <c r="T55" s="384">
        <f>Holdings!$E$16</f>
        <v>27.69</v>
      </c>
      <c r="U55" s="285"/>
      <c r="V55" s="286"/>
      <c r="W55" s="362"/>
      <c r="X55" s="477" t="str">
        <f>Holdings!$C$20</f>
        <v>Yahoo</v>
      </c>
      <c r="Y55" s="477"/>
      <c r="Z55" s="477"/>
      <c r="AA55" s="384">
        <f>Holdings!$E$20</f>
        <v>26.37</v>
      </c>
      <c r="AB55" s="362"/>
      <c r="AC55" s="286"/>
      <c r="AD55" s="362"/>
      <c r="AE55" s="452"/>
      <c r="AF55" s="452"/>
      <c r="AG55" s="452"/>
      <c r="AH55" s="452"/>
      <c r="AI55" s="362"/>
      <c r="AK55" s="364"/>
    </row>
    <row r="56" spans="2:37" ht="2.25" customHeight="1">
      <c r="B56" s="362"/>
      <c r="C56" s="385"/>
      <c r="D56" s="385"/>
      <c r="E56" s="364"/>
      <c r="F56" s="384"/>
      <c r="G56" s="362"/>
      <c r="H56" s="381"/>
      <c r="I56" s="362"/>
      <c r="J56" s="386"/>
      <c r="K56" s="362"/>
      <c r="L56" s="364"/>
      <c r="M56" s="384"/>
      <c r="N56" s="285"/>
      <c r="O56" s="286"/>
      <c r="P56" s="362"/>
      <c r="Q56" s="386"/>
      <c r="R56" s="362"/>
      <c r="S56" s="364"/>
      <c r="T56" s="384"/>
      <c r="U56" s="285"/>
      <c r="V56" s="286"/>
      <c r="W56" s="362"/>
      <c r="X56" s="386"/>
      <c r="Y56" s="362"/>
      <c r="Z56" s="452"/>
      <c r="AA56" s="384"/>
      <c r="AB56" s="362"/>
      <c r="AC56" s="286"/>
      <c r="AD56" s="362"/>
      <c r="AE56" s="452"/>
      <c r="AF56" s="452"/>
      <c r="AG56" s="452"/>
      <c r="AH56" s="452"/>
      <c r="AI56" s="362"/>
      <c r="AK56" s="364"/>
    </row>
    <row r="57" spans="2:37" ht="13.5">
      <c r="B57" s="362"/>
      <c r="C57" s="387" t="str">
        <f>Holdings!$D$8</f>
        <v>CX</v>
      </c>
      <c r="D57" s="362"/>
      <c r="E57" s="362" t="s">
        <v>199</v>
      </c>
      <c r="F57" s="285">
        <f>Holdings!$S$8</f>
        <v>2.9268292682926855E-2</v>
      </c>
      <c r="G57" s="285"/>
      <c r="H57" s="286"/>
      <c r="I57" s="362"/>
      <c r="J57" s="387" t="str">
        <f>Holdings!$D$12</f>
        <v>HD</v>
      </c>
      <c r="K57" s="362"/>
      <c r="L57" s="362" t="s">
        <v>199</v>
      </c>
      <c r="M57" s="285">
        <f>Holdings!$S$12</f>
        <v>1.7015706806282616E-3</v>
      </c>
      <c r="N57" s="285"/>
      <c r="O57" s="286"/>
      <c r="P57" s="362"/>
      <c r="Q57" s="387" t="str">
        <f>Holdings!$D$16</f>
        <v>NGVC</v>
      </c>
      <c r="R57" s="362"/>
      <c r="S57" s="362" t="s">
        <v>199</v>
      </c>
      <c r="T57" s="285">
        <f>Holdings!$S$16</f>
        <v>2.267002518891692E-2</v>
      </c>
      <c r="U57" s="285"/>
      <c r="V57" s="286"/>
      <c r="W57" s="379"/>
      <c r="X57" s="387" t="str">
        <f>Holdings!$D$20</f>
        <v>YHOO</v>
      </c>
      <c r="Y57" s="379"/>
      <c r="Z57" s="362" t="s">
        <v>199</v>
      </c>
      <c r="AA57" s="430">
        <f>Holdings!$S$20</f>
        <v>1.6637695555003607E-2</v>
      </c>
      <c r="AB57" s="379"/>
      <c r="AC57" s="286"/>
      <c r="AD57" s="379"/>
      <c r="AE57" s="452"/>
      <c r="AF57" s="452"/>
      <c r="AG57" s="452"/>
      <c r="AH57" s="452"/>
      <c r="AI57" s="379"/>
      <c r="AK57" s="364"/>
    </row>
    <row r="58" spans="2:37">
      <c r="B58" s="362"/>
      <c r="C58" s="363"/>
      <c r="D58" s="362"/>
      <c r="E58" s="362" t="s">
        <v>206</v>
      </c>
      <c r="F58" s="285">
        <f>Holdings!$R$8</f>
        <v>-2.6752767527675303E-2</v>
      </c>
      <c r="G58" s="285"/>
      <c r="H58" s="286"/>
      <c r="I58" s="362"/>
      <c r="J58" s="363"/>
      <c r="K58" s="362"/>
      <c r="L58" s="362" t="s">
        <v>206</v>
      </c>
      <c r="M58" s="285">
        <f>Holdings!$R$12</f>
        <v>-9.4486150660109125E-3</v>
      </c>
      <c r="N58" s="285"/>
      <c r="O58" s="286"/>
      <c r="P58" s="362"/>
      <c r="Q58" s="363"/>
      <c r="R58" s="362"/>
      <c r="S58" s="362" t="s">
        <v>206</v>
      </c>
      <c r="T58" s="285">
        <f>Holdings!$R$16</f>
        <v>3.5527299925205869E-2</v>
      </c>
      <c r="U58" s="285"/>
      <c r="V58" s="286"/>
      <c r="W58" s="379"/>
      <c r="X58" s="363"/>
      <c r="Y58" s="379"/>
      <c r="Z58" s="362" t="s">
        <v>206</v>
      </c>
      <c r="AA58" s="430">
        <f>Holdings!$R$20</f>
        <v>6.1045402518122849E-3</v>
      </c>
      <c r="AB58" s="379"/>
      <c r="AC58" s="286"/>
      <c r="AD58" s="379"/>
      <c r="AE58" s="452"/>
      <c r="AF58" s="452"/>
      <c r="AG58" s="452"/>
      <c r="AH58" s="452"/>
      <c r="AI58" s="379"/>
      <c r="AK58" s="364"/>
    </row>
    <row r="59" spans="2:37">
      <c r="B59" s="362"/>
      <c r="C59" s="363"/>
      <c r="D59" s="362"/>
      <c r="E59" s="362" t="str">
        <f>$E$17</f>
        <v>Summer</v>
      </c>
      <c r="F59" s="285">
        <f>Holdings!$Q$8</f>
        <v>-8.8403280020046493E-2</v>
      </c>
      <c r="G59" s="285"/>
      <c r="H59" s="286"/>
      <c r="I59" s="362"/>
      <c r="J59" s="363"/>
      <c r="K59" s="362"/>
      <c r="L59" s="362" t="str">
        <f>$E$17</f>
        <v>Summer</v>
      </c>
      <c r="M59" s="285">
        <f>Holdings!$Q$12</f>
        <v>4.8899538589906699E-2</v>
      </c>
      <c r="N59" s="285"/>
      <c r="O59" s="286"/>
      <c r="P59" s="362"/>
      <c r="Q59" s="363"/>
      <c r="R59" s="362"/>
      <c r="S59" s="362" t="str">
        <f>$E$17</f>
        <v>Summer</v>
      </c>
      <c r="T59" s="285">
        <f>Holdings!$Q$16</f>
        <v>0.11338962605548852</v>
      </c>
      <c r="U59" s="285"/>
      <c r="V59" s="286"/>
      <c r="W59" s="379"/>
      <c r="X59" s="363"/>
      <c r="Y59" s="379"/>
      <c r="Z59" s="362" t="str">
        <f>$E$17</f>
        <v>Summer</v>
      </c>
      <c r="AA59" s="430">
        <f>Holdings!$Q$20</f>
        <v>4.6428571428571486E-2</v>
      </c>
      <c r="AB59" s="379"/>
      <c r="AC59" s="286"/>
      <c r="AD59" s="379"/>
      <c r="AE59" s="452"/>
      <c r="AF59" s="452"/>
      <c r="AG59" s="452"/>
      <c r="AH59" s="452"/>
      <c r="AI59" s="379"/>
      <c r="AK59" s="364"/>
    </row>
    <row r="60" spans="2:37">
      <c r="B60" s="362"/>
      <c r="C60" s="364"/>
      <c r="D60" s="362"/>
      <c r="E60" s="362" t="s">
        <v>207</v>
      </c>
      <c r="F60" s="285">
        <f>Holdings!$O$8</f>
        <v>-8.8403280020046493E-2</v>
      </c>
      <c r="G60" s="285"/>
      <c r="H60" s="286"/>
      <c r="I60" s="362"/>
      <c r="J60" s="388"/>
      <c r="K60" s="362"/>
      <c r="L60" s="362" t="s">
        <v>207</v>
      </c>
      <c r="M60" s="285">
        <f>Holdings!$O$12</f>
        <v>1.7227482247191004</v>
      </c>
      <c r="N60" s="285"/>
      <c r="O60" s="286"/>
      <c r="P60" s="362"/>
      <c r="Q60" s="363"/>
      <c r="R60" s="362"/>
      <c r="S60" s="362" t="s">
        <v>207</v>
      </c>
      <c r="T60" s="285">
        <f>Holdings!$O$16</f>
        <v>0.41112319086770421</v>
      </c>
      <c r="U60" s="285"/>
      <c r="V60" s="286"/>
      <c r="W60" s="379"/>
      <c r="X60" s="363"/>
      <c r="Y60" s="379"/>
      <c r="Z60" s="362" t="s">
        <v>207</v>
      </c>
      <c r="AA60" s="430">
        <f>Holdings!$O$20</f>
        <v>0.2124193674453676</v>
      </c>
      <c r="AB60" s="379"/>
      <c r="AC60" s="286"/>
      <c r="AD60" s="379"/>
      <c r="AE60" s="452"/>
      <c r="AF60" s="452"/>
      <c r="AG60" s="452"/>
      <c r="AH60" s="452"/>
      <c r="AI60" s="379"/>
      <c r="AK60" s="364"/>
    </row>
    <row r="61" spans="2:37" ht="7.5" customHeight="1">
      <c r="B61" s="362"/>
      <c r="C61" s="363"/>
      <c r="D61" s="362"/>
      <c r="E61" s="362"/>
      <c r="F61" s="285"/>
      <c r="G61" s="285"/>
      <c r="H61" s="286"/>
      <c r="I61" s="362"/>
      <c r="J61" s="363"/>
      <c r="K61" s="362"/>
      <c r="L61" s="362"/>
      <c r="M61" s="285"/>
      <c r="N61" s="285"/>
      <c r="O61" s="286"/>
      <c r="P61" s="362"/>
      <c r="Q61" s="363"/>
      <c r="R61" s="362"/>
      <c r="S61" s="362"/>
      <c r="T61" s="285"/>
      <c r="U61" s="285"/>
      <c r="V61" s="286"/>
      <c r="W61" s="379"/>
      <c r="X61" s="363"/>
      <c r="Y61" s="379"/>
      <c r="Z61" s="362"/>
      <c r="AA61" s="430"/>
      <c r="AB61" s="379"/>
      <c r="AC61" s="286"/>
      <c r="AD61" s="379"/>
      <c r="AE61" s="452"/>
      <c r="AF61" s="452"/>
      <c r="AG61" s="452"/>
      <c r="AH61" s="452"/>
      <c r="AI61" s="379"/>
      <c r="AK61" s="364"/>
    </row>
    <row r="62" spans="2:37" ht="12.75" customHeight="1">
      <c r="B62" s="362"/>
      <c r="C62" s="389" t="str">
        <f>IF(C63=0,"No Cap", IF(C63&lt;2,"Small Cap", IF(C63&lt;10, "Mid Cap", IF(C63&gt;10, "Large Cap"))))</f>
        <v>Large Cap</v>
      </c>
      <c r="D62" s="362"/>
      <c r="E62" s="364" t="s">
        <v>68</v>
      </c>
      <c r="F62" s="390">
        <f>Holdings!$H$8</f>
        <v>2110</v>
      </c>
      <c r="G62" s="285"/>
      <c r="H62" s="286"/>
      <c r="I62" s="362"/>
      <c r="J62" s="389" t="str">
        <f>IF(J63=0,"No Cap", IF(J63&lt;2,"Small Cap", IF(J63&lt;10, "Mid Cap", IF(J63&gt;10, "Large Cap"))))</f>
        <v>Large Cap</v>
      </c>
      <c r="K62" s="362"/>
      <c r="L62" s="364" t="s">
        <v>68</v>
      </c>
      <c r="M62" s="390">
        <f>Holdings!$H$12</f>
        <v>4543.5860999999995</v>
      </c>
      <c r="N62" s="285"/>
      <c r="O62" s="286"/>
      <c r="P62" s="362"/>
      <c r="Q62" s="389" t="str">
        <f>IF(Q63=0,"No Cap", IF(Q63&lt;2,"Small Cap", IF(Q63&lt;10, "Mid Cap", IF(Q63&gt;10, "Large Cap"))))</f>
        <v>Small Cap</v>
      </c>
      <c r="R62" s="362"/>
      <c r="S62" s="364" t="s">
        <v>68</v>
      </c>
      <c r="T62" s="390">
        <f>Holdings!$H$16</f>
        <v>2076.75</v>
      </c>
      <c r="U62" s="285"/>
      <c r="V62" s="286"/>
      <c r="W62" s="379"/>
      <c r="X62" s="389" t="str">
        <f>IF(X63=0,"No Cap", IF(X63&lt;2,"Small Cap", IF(X63&lt;10, "Mid Cap", IF(X63&gt;10, "Large Cap"))))</f>
        <v>Large Cap</v>
      </c>
      <c r="Y62" s="379"/>
      <c r="Z62" s="452" t="s">
        <v>68</v>
      </c>
      <c r="AA62" s="390">
        <f>Holdings!$H$20</f>
        <v>2637</v>
      </c>
      <c r="AB62" s="379"/>
      <c r="AC62" s="286"/>
      <c r="AD62" s="379"/>
      <c r="AE62" s="452"/>
      <c r="AF62" s="452"/>
      <c r="AG62" s="452"/>
      <c r="AH62" s="452"/>
      <c r="AI62" s="379"/>
      <c r="AK62" s="364"/>
    </row>
    <row r="63" spans="2:37" ht="12.75" customHeight="1">
      <c r="B63" s="362"/>
      <c r="C63" s="391">
        <f>Holdings!$V$8</f>
        <v>11.867494765</v>
      </c>
      <c r="D63" s="364"/>
      <c r="E63" s="364" t="s">
        <v>249</v>
      </c>
      <c r="F63" s="390">
        <f>Holdings!$I$8</f>
        <v>2314.62</v>
      </c>
      <c r="G63" s="285"/>
      <c r="H63" s="286"/>
      <c r="I63" s="362"/>
      <c r="J63" s="391">
        <f>Holdings!$V$12</f>
        <v>111.79471609700001</v>
      </c>
      <c r="K63" s="362"/>
      <c r="L63" s="364" t="s">
        <v>249</v>
      </c>
      <c r="M63" s="390">
        <f>Holdings!$I$12</f>
        <v>1668.7500000000002</v>
      </c>
      <c r="N63" s="285"/>
      <c r="O63" s="286"/>
      <c r="P63" s="362"/>
      <c r="Q63" s="391">
        <f>Holdings!$V$16</f>
        <v>0.62030917699999999</v>
      </c>
      <c r="R63" s="362"/>
      <c r="S63" s="364" t="s">
        <v>249</v>
      </c>
      <c r="T63" s="390">
        <f>Holdings!$I$16</f>
        <v>1471.6999999999998</v>
      </c>
      <c r="U63" s="285"/>
      <c r="V63" s="286"/>
      <c r="W63" s="379"/>
      <c r="X63" s="391">
        <f>Holdings!$V$20</f>
        <v>28.549085859000002</v>
      </c>
      <c r="Y63" s="379"/>
      <c r="Z63" s="452" t="s">
        <v>249</v>
      </c>
      <c r="AA63" s="390">
        <f>Holdings!$I$20</f>
        <v>2174.9899999999998</v>
      </c>
      <c r="AB63" s="379"/>
      <c r="AC63" s="286"/>
      <c r="AD63" s="379"/>
      <c r="AE63" s="452"/>
      <c r="AF63" s="452"/>
      <c r="AG63" s="452"/>
      <c r="AH63" s="452"/>
      <c r="AI63" s="379"/>
      <c r="AK63" s="364"/>
    </row>
    <row r="64" spans="2:37" ht="2.25" customHeight="1">
      <c r="B64" s="362"/>
      <c r="C64" s="392"/>
      <c r="D64" s="364"/>
      <c r="E64" s="364"/>
      <c r="F64" s="390"/>
      <c r="G64" s="285"/>
      <c r="H64" s="286"/>
      <c r="I64" s="362"/>
      <c r="J64" s="363"/>
      <c r="K64" s="362"/>
      <c r="L64" s="362"/>
      <c r="M64" s="285"/>
      <c r="N64" s="285"/>
      <c r="O64" s="286"/>
      <c r="P64" s="362"/>
      <c r="Q64" s="363"/>
      <c r="R64" s="362"/>
      <c r="S64" s="362"/>
      <c r="T64" s="285"/>
      <c r="U64" s="285"/>
      <c r="V64" s="286"/>
      <c r="W64" s="379"/>
      <c r="X64" s="363"/>
      <c r="Y64" s="379"/>
      <c r="Z64" s="362"/>
      <c r="AA64" s="430"/>
      <c r="AB64" s="379"/>
      <c r="AC64" s="286"/>
      <c r="AD64" s="379"/>
      <c r="AE64" s="452"/>
      <c r="AF64" s="452"/>
      <c r="AG64" s="452"/>
      <c r="AH64" s="452"/>
      <c r="AI64" s="379"/>
      <c r="AK64" s="364"/>
    </row>
    <row r="65" spans="2:37">
      <c r="B65" s="362"/>
      <c r="C65" s="375"/>
      <c r="D65" s="364"/>
      <c r="E65" s="380" t="s">
        <v>227</v>
      </c>
      <c r="F65" s="303">
        <f>Holdings!$U$8</f>
        <v>4.123549390508649E-2</v>
      </c>
      <c r="G65" s="364"/>
      <c r="I65" s="364"/>
      <c r="J65" s="364"/>
      <c r="K65" s="364"/>
      <c r="L65" s="380" t="s">
        <v>227</v>
      </c>
      <c r="M65" s="303">
        <f>Holdings!$U$12</f>
        <v>8.8794794755348669E-2</v>
      </c>
      <c r="N65" s="364"/>
      <c r="P65" s="364"/>
      <c r="Q65" s="393"/>
      <c r="R65" s="364"/>
      <c r="S65" s="380" t="s">
        <v>227</v>
      </c>
      <c r="T65" s="303">
        <f>Holdings!$U$16</f>
        <v>4.0585692875539515E-2</v>
      </c>
      <c r="U65" s="364"/>
      <c r="W65" s="379"/>
      <c r="X65" s="393"/>
      <c r="Y65" s="452"/>
      <c r="Z65" s="380" t="s">
        <v>227</v>
      </c>
      <c r="AA65" s="431">
        <f>Holdings!$U$20</f>
        <v>5.1534595937304778E-2</v>
      </c>
      <c r="AB65" s="379"/>
      <c r="AD65" s="364"/>
      <c r="AE65" s="452"/>
      <c r="AF65" s="452"/>
      <c r="AG65" s="452"/>
      <c r="AH65" s="452"/>
      <c r="AI65" s="379"/>
      <c r="AK65" s="364"/>
    </row>
    <row r="66" spans="2:37" ht="2.25" customHeight="1">
      <c r="B66" s="362"/>
      <c r="C66" s="363"/>
      <c r="D66" s="362"/>
      <c r="E66" s="362"/>
      <c r="F66" s="362"/>
      <c r="G66" s="362"/>
      <c r="H66" s="381"/>
      <c r="I66" s="362"/>
      <c r="J66" s="363"/>
      <c r="K66" s="362"/>
      <c r="L66" s="362"/>
      <c r="M66" s="285"/>
      <c r="N66" s="285"/>
      <c r="O66" s="381"/>
      <c r="P66" s="362"/>
      <c r="Q66" s="362"/>
      <c r="R66" s="362"/>
      <c r="S66" s="362"/>
      <c r="T66" s="362"/>
      <c r="U66" s="362"/>
      <c r="V66" s="381"/>
      <c r="W66" s="362"/>
      <c r="X66" s="363"/>
      <c r="Y66" s="362"/>
      <c r="Z66" s="362"/>
      <c r="AA66" s="285"/>
      <c r="AB66" s="362"/>
      <c r="AC66" s="381"/>
      <c r="AD66" s="362"/>
      <c r="AE66" s="363"/>
      <c r="AF66" s="362"/>
      <c r="AG66" s="362"/>
      <c r="AH66" s="285"/>
      <c r="AI66" s="362"/>
      <c r="AK66" s="364"/>
    </row>
    <row r="67" spans="2:37" ht="6" customHeight="1">
      <c r="AK67" s="364"/>
    </row>
    <row r="68" spans="2:37" ht="6" customHeight="1">
      <c r="B68" s="364"/>
      <c r="C68" s="364"/>
      <c r="D68" s="364"/>
      <c r="E68" s="364"/>
      <c r="F68" s="364"/>
      <c r="G68" s="364"/>
      <c r="H68" s="364"/>
      <c r="I68" s="364"/>
      <c r="J68" s="364"/>
      <c r="K68" s="364"/>
      <c r="L68" s="364"/>
      <c r="M68" s="364"/>
      <c r="N68" s="364"/>
      <c r="P68" s="364"/>
      <c r="Q68" s="364"/>
      <c r="R68" s="364"/>
      <c r="S68" s="364"/>
      <c r="T68" s="364"/>
      <c r="U68" s="364"/>
      <c r="V68" s="364"/>
      <c r="W68" s="364"/>
      <c r="X68" s="364"/>
      <c r="Y68" s="364"/>
      <c r="Z68" s="364"/>
      <c r="AA68" s="364"/>
      <c r="AB68" s="364"/>
      <c r="AD68" s="362"/>
      <c r="AE68" s="363"/>
      <c r="AF68" s="362"/>
      <c r="AG68" s="362"/>
      <c r="AH68" s="285"/>
      <c r="AI68" s="362"/>
      <c r="AK68" s="364"/>
    </row>
    <row r="69" spans="2:37" ht="13.5" customHeight="1">
      <c r="B69" s="364"/>
      <c r="C69" s="476" t="s">
        <v>273</v>
      </c>
      <c r="D69" s="476"/>
      <c r="E69" s="476"/>
      <c r="F69" s="476"/>
      <c r="G69" s="476"/>
      <c r="H69" s="476"/>
      <c r="I69" s="476"/>
      <c r="J69" s="476"/>
      <c r="K69" s="364"/>
      <c r="L69" s="364"/>
      <c r="M69" s="375"/>
      <c r="N69" s="364"/>
      <c r="P69" s="364"/>
      <c r="Q69" s="476" t="s">
        <v>274</v>
      </c>
      <c r="R69" s="476"/>
      <c r="S69" s="476"/>
      <c r="T69" s="476"/>
      <c r="U69" s="476"/>
      <c r="V69" s="476"/>
      <c r="W69" s="476"/>
      <c r="X69" s="476"/>
      <c r="Y69" s="364"/>
      <c r="Z69" s="364"/>
      <c r="AA69" s="364"/>
      <c r="AB69" s="364"/>
      <c r="AD69" s="362"/>
      <c r="AE69" s="477"/>
      <c r="AF69" s="477"/>
      <c r="AG69" s="477"/>
      <c r="AH69" s="384"/>
      <c r="AI69" s="362"/>
      <c r="AK69" s="364"/>
    </row>
    <row r="70" spans="2:37" ht="3.75" customHeight="1">
      <c r="B70" s="364"/>
      <c r="C70" s="394"/>
      <c r="D70" s="364"/>
      <c r="E70" s="364"/>
      <c r="F70" s="364"/>
      <c r="G70" s="364"/>
      <c r="H70" s="364"/>
      <c r="I70" s="364"/>
      <c r="J70" s="364"/>
      <c r="K70" s="364"/>
      <c r="L70" s="364"/>
      <c r="M70" s="364"/>
      <c r="N70" s="364"/>
      <c r="P70" s="364"/>
      <c r="Q70" s="364"/>
      <c r="R70" s="364"/>
      <c r="S70" s="364"/>
      <c r="T70" s="364"/>
      <c r="U70" s="364"/>
      <c r="V70" s="364"/>
      <c r="W70" s="364"/>
      <c r="X70" s="364"/>
      <c r="Y70" s="364"/>
      <c r="Z70" s="364"/>
      <c r="AA70" s="364"/>
      <c r="AB70" s="364"/>
      <c r="AD70" s="362"/>
      <c r="AE70" s="386"/>
      <c r="AF70" s="362"/>
      <c r="AG70" s="364"/>
      <c r="AH70" s="384"/>
      <c r="AI70" s="362"/>
      <c r="AK70" s="364"/>
    </row>
    <row r="71" spans="2:37" ht="13.5">
      <c r="B71" s="364"/>
      <c r="C71" s="364"/>
      <c r="D71" s="364"/>
      <c r="E71" s="364"/>
      <c r="F71" s="395" t="s">
        <v>229</v>
      </c>
      <c r="G71" s="395"/>
      <c r="H71" s="395"/>
      <c r="I71" s="395"/>
      <c r="J71" s="395" t="s">
        <v>230</v>
      </c>
      <c r="K71" s="395"/>
      <c r="L71" s="395" t="s">
        <v>220</v>
      </c>
      <c r="M71" s="396" t="s">
        <v>232</v>
      </c>
      <c r="N71" s="364"/>
      <c r="P71" s="364"/>
      <c r="Q71" s="364"/>
      <c r="R71" s="395"/>
      <c r="S71" s="395"/>
      <c r="T71" s="395" t="s">
        <v>221</v>
      </c>
      <c r="U71" s="395"/>
      <c r="V71" s="395"/>
      <c r="W71" s="395"/>
      <c r="X71" s="395" t="s">
        <v>260</v>
      </c>
      <c r="Y71" s="396"/>
      <c r="Z71" s="395" t="s">
        <v>220</v>
      </c>
      <c r="AA71" s="396" t="s">
        <v>232</v>
      </c>
      <c r="AB71" s="364"/>
      <c r="AD71" s="379"/>
      <c r="AE71" s="387"/>
      <c r="AF71" s="379"/>
      <c r="AG71" s="362"/>
      <c r="AH71" s="285"/>
      <c r="AI71" s="379"/>
      <c r="AK71" s="364"/>
    </row>
    <row r="72" spans="2:37">
      <c r="B72" s="364"/>
      <c r="C72" s="394"/>
      <c r="D72" s="471" t="str">
        <f>Holdings!C26</f>
        <v>Tyson Foods</v>
      </c>
      <c r="E72" s="472"/>
      <c r="F72" s="397">
        <f>Holdings!E26</f>
        <v>41173</v>
      </c>
      <c r="G72" s="364"/>
      <c r="H72" s="364"/>
      <c r="I72" s="364"/>
      <c r="J72" s="398">
        <f>Holdings!H26</f>
        <v>16.649999999999999</v>
      </c>
      <c r="K72" s="394"/>
      <c r="L72" s="399">
        <f>Holdings!I26</f>
        <v>25.71</v>
      </c>
      <c r="M72" s="292">
        <f>L72/J72-1</f>
        <v>0.54414414414414436</v>
      </c>
      <c r="N72" s="364"/>
      <c r="P72" s="364"/>
      <c r="Q72" s="394"/>
      <c r="R72" s="473" t="str">
        <f>Holdings!C38</f>
        <v>Vale</v>
      </c>
      <c r="S72" s="474"/>
      <c r="T72" s="397">
        <f>Holdings!E38</f>
        <v>41166</v>
      </c>
      <c r="U72" s="364"/>
      <c r="V72" s="400"/>
      <c r="W72" s="394"/>
      <c r="X72" s="398">
        <f>Holdings!H38</f>
        <v>19.71</v>
      </c>
      <c r="Y72" s="400">
        <v>19.71</v>
      </c>
      <c r="Z72" s="399">
        <f>Holdings!I38</f>
        <v>14.47</v>
      </c>
      <c r="AA72" s="292">
        <f t="shared" ref="AA72:AA73" si="0">(Z72/X72)-1</f>
        <v>-0.26585489599188228</v>
      </c>
      <c r="AB72" s="364"/>
      <c r="AD72" s="379"/>
      <c r="AE72" s="363"/>
      <c r="AF72" s="379"/>
      <c r="AG72" s="362"/>
      <c r="AH72" s="285"/>
      <c r="AI72" s="379"/>
      <c r="AK72" s="364"/>
    </row>
    <row r="73" spans="2:37">
      <c r="B73" s="364"/>
      <c r="C73" s="394"/>
      <c r="D73" s="471" t="str">
        <f>Holdings!C27</f>
        <v>Tutor Perini</v>
      </c>
      <c r="E73" s="472"/>
      <c r="F73" s="397">
        <f>Holdings!E27</f>
        <v>41215</v>
      </c>
      <c r="G73" s="364"/>
      <c r="H73" s="364"/>
      <c r="I73" s="364"/>
      <c r="J73" s="398">
        <f>Holdings!H27</f>
        <v>12.43</v>
      </c>
      <c r="K73" s="394"/>
      <c r="L73" s="399">
        <f>Holdings!I27</f>
        <v>17.43</v>
      </c>
      <c r="M73" s="292">
        <f t="shared" ref="M73:M75" si="1">L73/J73-1</f>
        <v>0.40225261464199513</v>
      </c>
      <c r="N73" s="292"/>
      <c r="P73" s="364"/>
      <c r="Q73" s="394"/>
      <c r="R73" s="473" t="str">
        <f>Holdings!C39</f>
        <v>CPFL Energia</v>
      </c>
      <c r="S73" s="474"/>
      <c r="T73" s="397">
        <f>Holdings!E39</f>
        <v>41215</v>
      </c>
      <c r="U73" s="364"/>
      <c r="V73" s="400"/>
      <c r="W73" s="394"/>
      <c r="X73" s="398">
        <f>Holdings!H39</f>
        <v>23</v>
      </c>
      <c r="Y73" s="400">
        <v>20.71</v>
      </c>
      <c r="Z73" s="399">
        <f>Holdings!I39</f>
        <v>20.309999999999999</v>
      </c>
      <c r="AA73" s="292">
        <f t="shared" si="0"/>
        <v>-0.11695652173913051</v>
      </c>
      <c r="AB73" s="292"/>
      <c r="AD73" s="379"/>
      <c r="AE73" s="363"/>
      <c r="AF73" s="379"/>
      <c r="AG73" s="362"/>
      <c r="AH73" s="285"/>
      <c r="AI73" s="379"/>
      <c r="AK73" s="364"/>
    </row>
    <row r="74" spans="2:37" ht="12" customHeight="1">
      <c r="B74" s="364"/>
      <c r="C74" s="364"/>
      <c r="D74" s="471" t="str">
        <f>Holdings!C28</f>
        <v>Caterpillar</v>
      </c>
      <c r="E74" s="472"/>
      <c r="F74" s="397">
        <f>Holdings!E28</f>
        <v>41222</v>
      </c>
      <c r="G74" s="364"/>
      <c r="H74" s="364"/>
      <c r="I74" s="364"/>
      <c r="J74" s="398">
        <f>Holdings!H28</f>
        <v>83</v>
      </c>
      <c r="K74" s="394"/>
      <c r="L74" s="399">
        <f>Holdings!I28</f>
        <v>85.14</v>
      </c>
      <c r="M74" s="292">
        <f t="shared" si="1"/>
        <v>2.5783132530120545E-2</v>
      </c>
      <c r="N74" s="364"/>
      <c r="P74" s="364"/>
      <c r="Q74" s="364"/>
      <c r="R74" s="473" t="str">
        <f>Holdings!C40</f>
        <v>Stryker</v>
      </c>
      <c r="S74" s="474"/>
      <c r="T74" s="397">
        <f>Holdings!E40</f>
        <v>41243</v>
      </c>
      <c r="U74" s="364"/>
      <c r="V74" s="400"/>
      <c r="W74" s="394"/>
      <c r="X74" s="398">
        <f>Holdings!H40</f>
        <v>54.07</v>
      </c>
      <c r="Y74" s="400">
        <v>21.71</v>
      </c>
      <c r="Z74" s="399">
        <f>Holdings!I40</f>
        <v>67.72</v>
      </c>
      <c r="AA74" s="292">
        <f>(Z74/X74)-1</f>
        <v>0.25245052709450699</v>
      </c>
      <c r="AB74" s="364"/>
      <c r="AD74" s="379"/>
      <c r="AE74" s="363"/>
      <c r="AF74" s="379"/>
      <c r="AG74" s="362"/>
      <c r="AH74" s="285"/>
      <c r="AI74" s="379"/>
      <c r="AK74" s="364"/>
    </row>
    <row r="75" spans="2:37" ht="12" customHeight="1">
      <c r="B75" s="364"/>
      <c r="C75" s="364"/>
      <c r="D75" s="471" t="str">
        <f>Holdings!C29</f>
        <v>Natural Grocers</v>
      </c>
      <c r="E75" s="472"/>
      <c r="F75" s="397">
        <f>Holdings!E29</f>
        <v>41243</v>
      </c>
      <c r="G75" s="364"/>
      <c r="H75" s="364"/>
      <c r="I75" s="364"/>
      <c r="J75" s="398">
        <f>Holdings!H29</f>
        <v>19.489999999999998</v>
      </c>
      <c r="K75" s="394"/>
      <c r="L75" s="399">
        <f>Holdings!I29</f>
        <v>27.69</v>
      </c>
      <c r="M75" s="292">
        <f t="shared" si="1"/>
        <v>0.42072857875833769</v>
      </c>
      <c r="N75" s="364"/>
      <c r="P75" s="364"/>
      <c r="Q75" s="364"/>
      <c r="R75" s="473" t="str">
        <f>Holdings!C41</f>
        <v>PowerShares</v>
      </c>
      <c r="S75" s="474"/>
      <c r="T75" s="397">
        <f>Holdings!E41</f>
        <v>41299</v>
      </c>
      <c r="U75" s="364"/>
      <c r="V75" s="400"/>
      <c r="W75" s="394"/>
      <c r="X75" s="398">
        <f>Holdings!H41</f>
        <v>14.86</v>
      </c>
      <c r="Y75" s="400">
        <v>21.71</v>
      </c>
      <c r="Z75" s="399">
        <f>Holdings!I41</f>
        <v>14.29</v>
      </c>
      <c r="AA75" s="292">
        <f>(Z75/X75)-1</f>
        <v>-3.8358008075370154E-2</v>
      </c>
      <c r="AB75" s="364"/>
      <c r="AD75" s="379"/>
      <c r="AE75" s="363"/>
      <c r="AF75" s="379"/>
      <c r="AG75" s="362"/>
      <c r="AH75" s="285"/>
      <c r="AI75" s="379"/>
      <c r="AK75" s="364"/>
    </row>
    <row r="76" spans="2:37" ht="12" customHeight="1">
      <c r="B76" s="364"/>
      <c r="C76" s="364"/>
      <c r="D76" s="471" t="str">
        <f>Holdings!C30</f>
        <v>Yahoo</v>
      </c>
      <c r="E76" s="472"/>
      <c r="F76" s="397">
        <f>Holdings!E30</f>
        <v>41333</v>
      </c>
      <c r="G76" s="364"/>
      <c r="H76" s="364"/>
      <c r="I76" s="364"/>
      <c r="J76" s="398">
        <f>Holdings!H30</f>
        <v>21.75</v>
      </c>
      <c r="K76" s="394"/>
      <c r="L76" s="399">
        <f>Holdings!I30</f>
        <v>26.37</v>
      </c>
      <c r="M76" s="292">
        <f t="shared" ref="M76:M77" si="2">L76/J76-1</f>
        <v>0.21241379310344821</v>
      </c>
      <c r="N76" s="364"/>
      <c r="P76" s="364"/>
      <c r="Q76" s="364"/>
      <c r="R76" s="473" t="str">
        <f>Holdings!C42</f>
        <v>PetroChina</v>
      </c>
      <c r="S76" s="474"/>
      <c r="T76" s="397">
        <f>Holdings!E42</f>
        <v>41355</v>
      </c>
      <c r="U76" s="364"/>
      <c r="V76" s="400"/>
      <c r="W76" s="394"/>
      <c r="X76" s="398">
        <f>Holdings!H42</f>
        <v>131.71</v>
      </c>
      <c r="Y76" s="400">
        <v>21.71</v>
      </c>
      <c r="Z76" s="399">
        <f>Holdings!I42</f>
        <v>110.05</v>
      </c>
      <c r="AA76" s="292">
        <f>(Z76/X76)-1</f>
        <v>-0.16445220560321927</v>
      </c>
      <c r="AB76" s="364"/>
      <c r="AD76" s="379"/>
      <c r="AE76" s="363"/>
      <c r="AF76" s="379"/>
      <c r="AG76" s="362"/>
      <c r="AH76" s="285"/>
      <c r="AI76" s="379"/>
      <c r="AK76" s="364"/>
    </row>
    <row r="77" spans="2:37" ht="12" customHeight="1">
      <c r="B77" s="364"/>
      <c r="C77" s="364"/>
      <c r="D77" s="471" t="str">
        <f>Holdings!C31</f>
        <v>YRC Worldwide</v>
      </c>
      <c r="E77" s="472"/>
      <c r="F77" s="397">
        <f>Holdings!E31</f>
        <v>41355</v>
      </c>
      <c r="G77" s="364"/>
      <c r="H77" s="364"/>
      <c r="I77" s="364"/>
      <c r="J77" s="398">
        <f>Holdings!H31</f>
        <v>8.61</v>
      </c>
      <c r="K77" s="394"/>
      <c r="L77" s="399">
        <f>Holdings!I31</f>
        <v>22.6</v>
      </c>
      <c r="M77" s="292">
        <f t="shared" si="2"/>
        <v>1.6248548199767714</v>
      </c>
      <c r="N77" s="364"/>
      <c r="P77" s="364"/>
      <c r="Q77" s="364"/>
      <c r="R77" s="473" t="str">
        <f>Holdings!C43</f>
        <v>UPS</v>
      </c>
      <c r="S77" s="474"/>
      <c r="T77" s="397">
        <f>Holdings!E43</f>
        <v>41355</v>
      </c>
      <c r="U77" s="364"/>
      <c r="V77" s="400"/>
      <c r="W77" s="394"/>
      <c r="X77" s="398">
        <f>Holdings!H43</f>
        <v>83.3</v>
      </c>
      <c r="Y77" s="400"/>
      <c r="Z77" s="399">
        <f>Holdings!I43</f>
        <v>86.32</v>
      </c>
      <c r="AA77" s="292">
        <f>(Z77/X77)-1</f>
        <v>3.6254501800720318E-2</v>
      </c>
      <c r="AB77" s="364"/>
      <c r="AD77" s="379"/>
      <c r="AE77" s="363"/>
      <c r="AF77" s="379"/>
      <c r="AG77" s="362"/>
      <c r="AH77" s="285"/>
      <c r="AI77" s="379"/>
      <c r="AK77" s="364"/>
    </row>
    <row r="78" spans="2:37" ht="12" customHeight="1">
      <c r="B78" s="364"/>
      <c r="C78" s="364"/>
      <c r="D78" s="471" t="str">
        <f>Holdings!C32</f>
        <v>Delta Airlines</v>
      </c>
      <c r="E78" s="472"/>
      <c r="F78" s="397">
        <f>Holdings!E32</f>
        <v>41362</v>
      </c>
      <c r="G78" s="364"/>
      <c r="H78" s="364"/>
      <c r="I78" s="364"/>
      <c r="J78" s="398">
        <f>Holdings!H32</f>
        <v>16.48</v>
      </c>
      <c r="K78" s="394"/>
      <c r="L78" s="399">
        <f>Holdings!I32</f>
        <v>18.71</v>
      </c>
      <c r="M78" s="292">
        <f t="shared" ref="M78:M79" si="3">L78/J78-1</f>
        <v>0.13531553398058249</v>
      </c>
      <c r="N78" s="364"/>
      <c r="P78" s="364"/>
      <c r="Q78" s="364"/>
      <c r="R78" s="473" t="str">
        <f>Holdings!C44</f>
        <v>Ford</v>
      </c>
      <c r="S78" s="474"/>
      <c r="T78" s="397">
        <f>Holdings!E44</f>
        <v>41362</v>
      </c>
      <c r="U78" s="364"/>
      <c r="V78" s="400"/>
      <c r="W78" s="394"/>
      <c r="X78" s="398">
        <f>Holdings!H44</f>
        <v>13.01</v>
      </c>
      <c r="Y78" s="400"/>
      <c r="Z78" s="399">
        <f>Holdings!I44</f>
        <v>15.58</v>
      </c>
      <c r="AA78" s="292">
        <f>(Z78/X78)-1</f>
        <v>0.19754035357417377</v>
      </c>
      <c r="AB78" s="364"/>
      <c r="AD78" s="379"/>
      <c r="AE78" s="363"/>
      <c r="AF78" s="379"/>
      <c r="AG78" s="362"/>
      <c r="AH78" s="285"/>
      <c r="AI78" s="379"/>
      <c r="AK78" s="364"/>
    </row>
    <row r="79" spans="2:37" ht="12" customHeight="1">
      <c r="B79" s="452"/>
      <c r="C79" s="452"/>
      <c r="D79" s="471" t="str">
        <f>Holdings!C33</f>
        <v>Cemex</v>
      </c>
      <c r="E79" s="472"/>
      <c r="F79" s="397">
        <f>Holdings!E33</f>
        <v>41416</v>
      </c>
      <c r="G79" s="452"/>
      <c r="H79" s="452"/>
      <c r="I79" s="452"/>
      <c r="J79" s="398">
        <f>Holdings!H33</f>
        <v>11.57</v>
      </c>
      <c r="K79" s="394"/>
      <c r="L79" s="399">
        <f>Holdings!I33</f>
        <v>10.55</v>
      </c>
      <c r="M79" s="292">
        <f t="shared" si="3"/>
        <v>-8.8159031979256675E-2</v>
      </c>
      <c r="N79" s="452"/>
      <c r="P79" s="452"/>
      <c r="Q79" s="452"/>
      <c r="R79" s="473" t="str">
        <f>Holdings!C45</f>
        <v>Tetra Tech</v>
      </c>
      <c r="S79" s="474"/>
      <c r="T79" s="397">
        <f>Holdings!E45</f>
        <v>41416</v>
      </c>
      <c r="U79" s="452"/>
      <c r="V79" s="400"/>
      <c r="W79" s="394"/>
      <c r="X79" s="398">
        <f>Holdings!H45</f>
        <v>28.06</v>
      </c>
      <c r="Y79" s="400"/>
      <c r="Z79" s="399">
        <f>Holdings!I45</f>
        <v>26.68</v>
      </c>
      <c r="AA79" s="292">
        <f t="shared" ref="AA79:AA80" si="4">(Z79/X79)-1</f>
        <v>-4.9180327868852403E-2</v>
      </c>
      <c r="AB79" s="452"/>
      <c r="AD79" s="379"/>
      <c r="AE79" s="363"/>
      <c r="AF79" s="379"/>
      <c r="AG79" s="362"/>
      <c r="AH79" s="430"/>
      <c r="AI79" s="379"/>
      <c r="AK79" s="452"/>
    </row>
    <row r="80" spans="2:37" ht="12" customHeight="1">
      <c r="B80" s="452"/>
      <c r="C80" s="452"/>
      <c r="D80" s="471" t="str">
        <f>Holdings!C34</f>
        <v>Immersion</v>
      </c>
      <c r="E80" s="472"/>
      <c r="F80" s="397">
        <f>Holdings!E34</f>
        <v>41424</v>
      </c>
      <c r="G80" s="452"/>
      <c r="H80" s="452"/>
      <c r="I80" s="452"/>
      <c r="J80" s="398">
        <f>Holdings!H34</f>
        <v>15.04</v>
      </c>
      <c r="K80" s="394"/>
      <c r="L80" s="399">
        <f>Holdings!I34</f>
        <v>14.91</v>
      </c>
      <c r="M80" s="292">
        <f t="shared" ref="M80" si="5">L80/J80-1</f>
        <v>-8.6436170212765839E-3</v>
      </c>
      <c r="N80" s="452"/>
      <c r="P80" s="452"/>
      <c r="Q80" s="452"/>
      <c r="R80" s="473" t="str">
        <f>Holdings!C46</f>
        <v>Wal Mart de Mexico</v>
      </c>
      <c r="S80" s="474"/>
      <c r="T80" s="397">
        <f>Holdings!E46</f>
        <v>41416</v>
      </c>
      <c r="U80" s="452"/>
      <c r="V80" s="400"/>
      <c r="W80" s="394"/>
      <c r="X80" s="398">
        <f>Holdings!H46</f>
        <v>28.75</v>
      </c>
      <c r="Y80" s="400"/>
      <c r="Z80" s="399">
        <f>Holdings!I46</f>
        <v>28.65</v>
      </c>
      <c r="AA80" s="292">
        <f t="shared" si="4"/>
        <v>-3.4782608695652639E-3</v>
      </c>
      <c r="AB80" s="452"/>
      <c r="AD80" s="379"/>
      <c r="AE80" s="363"/>
      <c r="AF80" s="379"/>
      <c r="AG80" s="362"/>
      <c r="AH80" s="430"/>
      <c r="AI80" s="379"/>
      <c r="AK80" s="452"/>
    </row>
    <row r="81" spans="2:37" ht="12" customHeight="1">
      <c r="B81" s="452"/>
      <c r="C81" s="452"/>
      <c r="D81" s="471" t="str">
        <f>Holdings!C35</f>
        <v>Intel</v>
      </c>
      <c r="E81" s="472"/>
      <c r="F81" s="397">
        <f>Holdings!E35</f>
        <v>41438</v>
      </c>
      <c r="G81" s="452"/>
      <c r="H81" s="452"/>
      <c r="I81" s="452"/>
      <c r="J81" s="398">
        <f>Holdings!H35</f>
        <v>24.72</v>
      </c>
      <c r="K81" s="394"/>
      <c r="L81" s="399">
        <f>Holdings!I35</f>
        <v>24.99</v>
      </c>
      <c r="M81" s="292">
        <f t="shared" ref="M81" si="6">L81/J81-1</f>
        <v>1.0922330097087318E-2</v>
      </c>
      <c r="N81" s="452"/>
      <c r="P81" s="452"/>
      <c r="Q81" s="452"/>
      <c r="R81" s="473" t="str">
        <f>Holdings!C47</f>
        <v>Itron</v>
      </c>
      <c r="S81" s="474"/>
      <c r="T81" s="397">
        <f>Holdings!E47</f>
        <v>41424</v>
      </c>
      <c r="U81" s="452"/>
      <c r="V81" s="400"/>
      <c r="W81" s="394"/>
      <c r="X81" s="398">
        <f>Holdings!H47</f>
        <v>41.2</v>
      </c>
      <c r="Y81" s="400"/>
      <c r="Z81" s="399">
        <f>Holdings!I47</f>
        <v>42.52</v>
      </c>
      <c r="AA81" s="292">
        <f t="shared" ref="AA81" si="7">(Z81/X81)-1</f>
        <v>3.2038834951456208E-2</v>
      </c>
      <c r="AB81" s="452"/>
      <c r="AD81" s="379"/>
      <c r="AE81" s="363"/>
      <c r="AF81" s="379"/>
      <c r="AG81" s="362"/>
      <c r="AH81" s="430"/>
      <c r="AI81" s="379"/>
      <c r="AK81" s="452"/>
    </row>
    <row r="82" spans="2:37" ht="12" customHeight="1">
      <c r="B82" s="452"/>
      <c r="C82" s="452"/>
      <c r="D82" s="471"/>
      <c r="E82" s="472"/>
      <c r="F82" s="397"/>
      <c r="G82" s="452"/>
      <c r="H82" s="452"/>
      <c r="I82" s="452"/>
      <c r="J82" s="398"/>
      <c r="K82" s="394"/>
      <c r="L82" s="399"/>
      <c r="M82" s="292"/>
      <c r="N82" s="452"/>
      <c r="P82" s="452"/>
      <c r="Q82" s="452"/>
      <c r="R82" s="473" t="str">
        <f>Holdings!C48</f>
        <v>HCP</v>
      </c>
      <c r="S82" s="474"/>
      <c r="T82" s="397">
        <f>Holdings!E48</f>
        <v>41438</v>
      </c>
      <c r="U82" s="452"/>
      <c r="V82" s="400"/>
      <c r="W82" s="394"/>
      <c r="X82" s="398">
        <f>Holdings!H48</f>
        <v>45.66</v>
      </c>
      <c r="Y82" s="400"/>
      <c r="Z82" s="399">
        <f>Holdings!I48</f>
        <v>45.99</v>
      </c>
      <c r="AA82" s="292">
        <f t="shared" ref="AA82:AA84" si="8">(Z82/X82)-1</f>
        <v>7.227332457293123E-3</v>
      </c>
      <c r="AB82" s="452"/>
      <c r="AD82" s="379"/>
      <c r="AE82" s="363"/>
      <c r="AF82" s="379"/>
      <c r="AG82" s="362"/>
      <c r="AH82" s="430"/>
      <c r="AI82" s="379"/>
      <c r="AK82" s="452"/>
    </row>
    <row r="83" spans="2:37" ht="12" customHeight="1">
      <c r="B83" s="452"/>
      <c r="C83" s="452"/>
      <c r="D83" s="471"/>
      <c r="E83" s="472"/>
      <c r="F83" s="397"/>
      <c r="G83" s="452"/>
      <c r="H83" s="452"/>
      <c r="I83" s="452"/>
      <c r="J83" s="398"/>
      <c r="K83" s="394"/>
      <c r="L83" s="399"/>
      <c r="M83" s="292"/>
      <c r="N83" s="452"/>
      <c r="P83" s="452"/>
      <c r="Q83" s="452"/>
      <c r="R83" s="473" t="str">
        <f>Holdings!C49</f>
        <v>Qualcom</v>
      </c>
      <c r="S83" s="474"/>
      <c r="T83" s="397">
        <f>Holdings!E49</f>
        <v>41438</v>
      </c>
      <c r="U83" s="452"/>
      <c r="V83" s="400"/>
      <c r="W83" s="394"/>
      <c r="X83" s="398">
        <f>Holdings!H49</f>
        <v>61.03</v>
      </c>
      <c r="Y83" s="400"/>
      <c r="Z83" s="399">
        <f>Holdings!I49</f>
        <v>61.96</v>
      </c>
      <c r="AA83" s="292">
        <f t="shared" si="8"/>
        <v>1.5238407340652182E-2</v>
      </c>
      <c r="AB83" s="452"/>
      <c r="AD83" s="379"/>
      <c r="AE83" s="363"/>
      <c r="AF83" s="379"/>
      <c r="AG83" s="362"/>
      <c r="AH83" s="430"/>
      <c r="AI83" s="379"/>
      <c r="AK83" s="452"/>
    </row>
    <row r="84" spans="2:37" ht="12" customHeight="1">
      <c r="B84" s="452"/>
      <c r="C84" s="452"/>
      <c r="D84" s="471"/>
      <c r="E84" s="472"/>
      <c r="F84" s="397"/>
      <c r="G84" s="452"/>
      <c r="H84" s="452"/>
      <c r="I84" s="452"/>
      <c r="J84" s="398"/>
      <c r="K84" s="394"/>
      <c r="L84" s="399"/>
      <c r="M84" s="292"/>
      <c r="N84" s="452"/>
      <c r="P84" s="452"/>
      <c r="Q84" s="452"/>
      <c r="R84" s="473" t="str">
        <f>Holdings!C50</f>
        <v>Xerox</v>
      </c>
      <c r="S84" s="474"/>
      <c r="T84" s="397">
        <f>Holdings!E50</f>
        <v>41438</v>
      </c>
      <c r="U84" s="452"/>
      <c r="V84" s="400"/>
      <c r="W84" s="394"/>
      <c r="X84" s="398">
        <f>Holdings!H50</f>
        <v>8.86</v>
      </c>
      <c r="Y84" s="400"/>
      <c r="Z84" s="399">
        <f>Holdings!I50</f>
        <v>9.1</v>
      </c>
      <c r="AA84" s="292">
        <f t="shared" si="8"/>
        <v>2.7088036117381531E-2</v>
      </c>
      <c r="AB84" s="452"/>
      <c r="AD84" s="379"/>
      <c r="AE84" s="363"/>
      <c r="AF84" s="379"/>
      <c r="AG84" s="362"/>
      <c r="AH84" s="430"/>
      <c r="AI84" s="379"/>
      <c r="AK84" s="452"/>
    </row>
    <row r="85" spans="2:37" ht="11.25" customHeight="1">
      <c r="B85" s="364"/>
      <c r="C85" s="364"/>
      <c r="D85" s="364"/>
      <c r="E85" s="364"/>
      <c r="F85" s="364"/>
      <c r="G85" s="364"/>
      <c r="H85" s="364"/>
      <c r="I85" s="364"/>
      <c r="J85" s="364"/>
      <c r="K85" s="364"/>
      <c r="L85" s="364"/>
      <c r="M85" s="364"/>
      <c r="N85" s="364"/>
      <c r="P85" s="364"/>
      <c r="Q85" s="364"/>
      <c r="R85" s="364"/>
      <c r="S85" s="364"/>
      <c r="T85" s="364"/>
      <c r="U85" s="364"/>
      <c r="V85" s="364"/>
      <c r="W85" s="364"/>
      <c r="X85" s="364"/>
      <c r="Y85" s="364"/>
      <c r="Z85" s="364"/>
      <c r="AA85" s="364"/>
      <c r="AB85" s="364"/>
      <c r="AD85" s="379"/>
      <c r="AE85" s="389"/>
      <c r="AF85" s="379"/>
      <c r="AG85" s="364"/>
      <c r="AH85" s="390"/>
      <c r="AI85" s="379"/>
      <c r="AK85" s="364"/>
    </row>
    <row r="86" spans="2:37" ht="13.5">
      <c r="B86" s="364"/>
      <c r="C86" s="476" t="s">
        <v>283</v>
      </c>
      <c r="D86" s="476"/>
      <c r="E86" s="476"/>
      <c r="F86" s="476"/>
      <c r="G86" s="476"/>
      <c r="H86" s="476"/>
      <c r="I86" s="476"/>
      <c r="J86" s="476"/>
      <c r="K86" s="364"/>
      <c r="L86" s="364"/>
      <c r="M86" s="364"/>
      <c r="N86" s="364"/>
      <c r="P86" s="364"/>
      <c r="Q86" s="476" t="s">
        <v>282</v>
      </c>
      <c r="R86" s="476"/>
      <c r="S86" s="476"/>
      <c r="T86" s="476"/>
      <c r="U86" s="476"/>
      <c r="V86" s="476"/>
      <c r="W86" s="476"/>
      <c r="X86" s="476"/>
      <c r="Y86" s="364"/>
      <c r="Z86" s="364"/>
      <c r="AA86" s="364"/>
      <c r="AB86" s="364"/>
      <c r="AD86" s="379"/>
      <c r="AE86" s="391"/>
      <c r="AF86" s="379"/>
      <c r="AG86" s="364"/>
      <c r="AH86" s="390"/>
      <c r="AI86" s="379"/>
      <c r="AK86" s="364"/>
    </row>
    <row r="87" spans="2:37" ht="3.75" customHeight="1">
      <c r="B87" s="364"/>
      <c r="C87" s="394"/>
      <c r="D87" s="364"/>
      <c r="E87" s="364"/>
      <c r="F87" s="364"/>
      <c r="G87" s="364"/>
      <c r="H87" s="364"/>
      <c r="I87" s="364"/>
      <c r="J87" s="364"/>
      <c r="K87" s="364"/>
      <c r="L87" s="364"/>
      <c r="M87" s="364"/>
      <c r="N87" s="364"/>
      <c r="P87" s="364"/>
      <c r="Q87" s="394"/>
      <c r="R87" s="364"/>
      <c r="S87" s="364"/>
      <c r="T87" s="364"/>
      <c r="U87" s="364"/>
      <c r="V87" s="364"/>
      <c r="W87" s="364"/>
      <c r="X87" s="364"/>
      <c r="Y87" s="364"/>
      <c r="Z87" s="364"/>
      <c r="AA87" s="364"/>
      <c r="AB87" s="364"/>
      <c r="AD87" s="379"/>
      <c r="AE87" s="363"/>
      <c r="AF87" s="379"/>
      <c r="AG87" s="362"/>
      <c r="AH87" s="285"/>
      <c r="AI87" s="379"/>
      <c r="AK87" s="364"/>
    </row>
    <row r="88" spans="2:37">
      <c r="B88" s="364"/>
      <c r="C88" s="364"/>
      <c r="D88" s="364"/>
      <c r="E88" s="364"/>
      <c r="F88" s="395" t="s">
        <v>225</v>
      </c>
      <c r="G88" s="395"/>
      <c r="H88" s="395"/>
      <c r="I88" s="395"/>
      <c r="J88" s="395" t="s">
        <v>231</v>
      </c>
      <c r="K88" s="395"/>
      <c r="L88" s="395" t="s">
        <v>220</v>
      </c>
      <c r="M88" s="396" t="s">
        <v>232</v>
      </c>
      <c r="N88" s="364"/>
      <c r="P88" s="364"/>
      <c r="Q88" s="364"/>
      <c r="R88" s="364"/>
      <c r="S88" s="364"/>
      <c r="T88" s="395" t="s">
        <v>225</v>
      </c>
      <c r="U88" s="395"/>
      <c r="V88" s="395"/>
      <c r="W88" s="395"/>
      <c r="X88" s="395" t="s">
        <v>231</v>
      </c>
      <c r="Y88" s="395"/>
      <c r="Z88" s="395" t="s">
        <v>220</v>
      </c>
      <c r="AA88" s="396" t="s">
        <v>232</v>
      </c>
      <c r="AB88" s="364"/>
      <c r="AD88" s="364"/>
      <c r="AE88" s="393"/>
      <c r="AF88" s="364"/>
      <c r="AG88" s="380"/>
      <c r="AH88" s="303"/>
      <c r="AI88" s="379"/>
      <c r="AK88" s="364"/>
    </row>
    <row r="89" spans="2:37">
      <c r="B89" s="364"/>
      <c r="C89" s="394"/>
      <c r="D89" s="473" t="str">
        <f>Holdings!$C$53</f>
        <v>Disney</v>
      </c>
      <c r="E89" s="475"/>
      <c r="F89" s="397">
        <f>Holdings!$E$53</f>
        <v>41228</v>
      </c>
      <c r="G89" s="375"/>
      <c r="H89" s="375"/>
      <c r="I89" s="375"/>
      <c r="J89" s="398">
        <f>Holdings!$H$53</f>
        <v>47.47</v>
      </c>
      <c r="K89" s="400"/>
      <c r="L89" s="399">
        <f>Holdings!$I$53</f>
        <v>64.3</v>
      </c>
      <c r="M89" s="292">
        <f>(L89/J89)-1</f>
        <v>0.35453970929007794</v>
      </c>
      <c r="N89" s="364"/>
      <c r="P89" s="364"/>
      <c r="Q89" s="394"/>
      <c r="R89" s="473" t="str">
        <f>Holdings!C57</f>
        <v>Ford</v>
      </c>
      <c r="S89" s="475"/>
      <c r="T89" s="397">
        <f>Holdings!E57</f>
        <v>41354</v>
      </c>
      <c r="U89" s="375"/>
      <c r="V89" s="375"/>
      <c r="W89" s="375"/>
      <c r="X89" s="399">
        <f>Holdings!H57</f>
        <v>13.27</v>
      </c>
      <c r="Y89" s="400"/>
      <c r="Z89" s="399">
        <f>Holdings!I57</f>
        <v>15.58</v>
      </c>
      <c r="AA89" s="292">
        <f>(Z89/X89)-1</f>
        <v>0.17407686510926901</v>
      </c>
      <c r="AB89" s="364"/>
      <c r="AD89" s="362"/>
      <c r="AE89" s="363"/>
      <c r="AF89" s="362"/>
      <c r="AG89" s="362"/>
      <c r="AH89" s="285"/>
      <c r="AI89" s="362"/>
      <c r="AK89" s="364"/>
    </row>
    <row r="90" spans="2:37">
      <c r="B90" s="364"/>
      <c r="C90" s="394"/>
      <c r="D90" s="473" t="s">
        <v>275</v>
      </c>
      <c r="E90" s="475"/>
      <c r="F90" s="397">
        <f>Holdings!$E$54</f>
        <v>41299</v>
      </c>
      <c r="G90" s="375"/>
      <c r="H90" s="375"/>
      <c r="I90" s="375"/>
      <c r="J90" s="398">
        <f>Holdings!$H$54</f>
        <v>56.12</v>
      </c>
      <c r="K90" s="400"/>
      <c r="L90" s="399">
        <f>Holdings!$I$54</f>
        <v>64.510000000000005</v>
      </c>
      <c r="M90" s="292">
        <f>(L90/J90)-1</f>
        <v>0.14950106913756245</v>
      </c>
      <c r="N90" s="364"/>
      <c r="P90" s="364"/>
      <c r="Q90" s="394"/>
      <c r="R90" s="402"/>
      <c r="S90" s="403"/>
      <c r="T90" s="397"/>
      <c r="U90" s="375"/>
      <c r="V90" s="375"/>
      <c r="W90" s="375"/>
      <c r="X90" s="399"/>
      <c r="Y90" s="400"/>
      <c r="Z90" s="399"/>
      <c r="AA90" s="292"/>
      <c r="AB90" s="364"/>
      <c r="AD90" s="364"/>
      <c r="AE90" s="364"/>
      <c r="AF90" s="364"/>
      <c r="AG90" s="364"/>
      <c r="AH90" s="364"/>
      <c r="AI90" s="364"/>
      <c r="AK90" s="364"/>
    </row>
    <row r="91" spans="2:37" ht="6.75" customHeight="1">
      <c r="B91" s="364"/>
      <c r="C91" s="364"/>
      <c r="D91" s="364"/>
      <c r="E91" s="364"/>
      <c r="F91" s="364"/>
      <c r="G91" s="364"/>
      <c r="H91" s="364"/>
      <c r="I91" s="364"/>
      <c r="J91" s="364"/>
      <c r="K91" s="364"/>
      <c r="L91" s="364"/>
      <c r="M91" s="364"/>
      <c r="N91" s="364"/>
      <c r="P91" s="364"/>
      <c r="Q91" s="364"/>
      <c r="R91" s="364"/>
      <c r="S91" s="364"/>
      <c r="T91" s="364"/>
      <c r="U91" s="364"/>
      <c r="V91" s="364"/>
      <c r="W91" s="364"/>
      <c r="X91" s="364"/>
      <c r="Y91" s="364"/>
      <c r="Z91" s="364"/>
      <c r="AA91" s="364"/>
      <c r="AB91" s="364"/>
      <c r="AD91" s="364"/>
      <c r="AE91" s="364"/>
      <c r="AF91" s="364"/>
      <c r="AG91" s="364"/>
      <c r="AH91" s="364"/>
      <c r="AI91" s="364"/>
      <c r="AK91" s="364"/>
    </row>
    <row r="92" spans="2:37" ht="3.75" customHeight="1"/>
    <row r="93" spans="2:37" ht="15" customHeight="1">
      <c r="B93" s="364"/>
      <c r="C93" s="401" t="s">
        <v>233</v>
      </c>
      <c r="D93" s="364"/>
      <c r="E93" s="364"/>
      <c r="F93" s="364"/>
      <c r="G93" s="364"/>
      <c r="H93" s="364"/>
      <c r="I93" s="364"/>
      <c r="J93" s="364"/>
      <c r="K93" s="364"/>
      <c r="L93" s="364"/>
      <c r="M93" s="364"/>
      <c r="N93" s="364"/>
      <c r="O93" s="364"/>
      <c r="P93" s="364"/>
      <c r="Q93" s="364"/>
      <c r="R93" s="364"/>
      <c r="S93" s="364"/>
      <c r="T93" s="364"/>
      <c r="U93" s="364"/>
      <c r="V93" s="364"/>
      <c r="W93" s="364"/>
      <c r="X93" s="364"/>
      <c r="Y93" s="364"/>
      <c r="Z93" s="364"/>
      <c r="AA93" s="364"/>
      <c r="AB93" s="364"/>
      <c r="AC93" s="364"/>
      <c r="AD93" s="364"/>
      <c r="AE93" s="364"/>
      <c r="AF93" s="321" t="s">
        <v>200</v>
      </c>
      <c r="AG93" s="364"/>
      <c r="AH93" s="321" t="s">
        <v>201</v>
      </c>
      <c r="AI93" s="364"/>
      <c r="AK93" s="364"/>
    </row>
  </sheetData>
  <mergeCells count="54">
    <mergeCell ref="D84:E84"/>
    <mergeCell ref="R82:S82"/>
    <mergeCell ref="R83:S83"/>
    <mergeCell ref="R84:S84"/>
    <mergeCell ref="D81:E81"/>
    <mergeCell ref="D82:E82"/>
    <mergeCell ref="D83:E83"/>
    <mergeCell ref="C13:E13"/>
    <mergeCell ref="J27:L27"/>
    <mergeCell ref="Q27:S27"/>
    <mergeCell ref="J13:L13"/>
    <mergeCell ref="AE27:AG27"/>
    <mergeCell ref="C27:E27"/>
    <mergeCell ref="X27:Z27"/>
    <mergeCell ref="AE13:AG13"/>
    <mergeCell ref="Q13:S13"/>
    <mergeCell ref="X13:Z13"/>
    <mergeCell ref="Q55:S55"/>
    <mergeCell ref="X41:Z41"/>
    <mergeCell ref="J41:L41"/>
    <mergeCell ref="Q41:S41"/>
    <mergeCell ref="AE9:AG9"/>
    <mergeCell ref="R80:S80"/>
    <mergeCell ref="D79:E79"/>
    <mergeCell ref="D80:E80"/>
    <mergeCell ref="R81:S81"/>
    <mergeCell ref="AE41:AG41"/>
    <mergeCell ref="D72:E72"/>
    <mergeCell ref="R72:S72"/>
    <mergeCell ref="D73:E73"/>
    <mergeCell ref="R73:S73"/>
    <mergeCell ref="Q69:X69"/>
    <mergeCell ref="C69:J69"/>
    <mergeCell ref="C55:E55"/>
    <mergeCell ref="AE69:AG69"/>
    <mergeCell ref="X55:Z55"/>
    <mergeCell ref="C41:E41"/>
    <mergeCell ref="J55:L55"/>
    <mergeCell ref="D74:E74"/>
    <mergeCell ref="R74:S74"/>
    <mergeCell ref="D76:E76"/>
    <mergeCell ref="R75:S75"/>
    <mergeCell ref="D90:E90"/>
    <mergeCell ref="D75:E75"/>
    <mergeCell ref="D89:E89"/>
    <mergeCell ref="R89:S89"/>
    <mergeCell ref="Q86:X86"/>
    <mergeCell ref="C86:J86"/>
    <mergeCell ref="R76:S76"/>
    <mergeCell ref="D77:E77"/>
    <mergeCell ref="R77:S77"/>
    <mergeCell ref="R78:S78"/>
    <mergeCell ref="D78:E78"/>
    <mergeCell ref="R79:S79"/>
  </mergeCells>
  <conditionalFormatting sqref="F64 F57:F61 M22 M15:M19 AH50 AH43:AH47 AA50 AA43:AA47 AA36 AA29:AA33 AA22 AA15:AA19 M36 M29:M33 M50 M43:M47 M64 M57:M61 T22 T15:T19 T36 T29:T33 T50 T43:T47 T64 T57:T61 T6 M6 T4 M4 F11:H11 O11 F6:H9 M8:N8 N29:N37 U29:U37 F15:F19 M25:N25 T25:U25 T38:U40 M38:N40 T12 T66:U66 AA12:AB12 AH52:AH54 AH66 N41:N51 O15:O50 N55:N64 AB73 U41:U51 V15:V50 V52:V64 AC15:AC50 AB55:AB64 AC52:AC64 M10:N11 N6:N7 AA89:AA90 N73 O52:O64 M52:N54 M66:N66 G51 F36 T8 G15:H23 G29:H37 G43:H50 G57:H64 N15:N22 AI13:AI22 F29:F33 F50 F43:F47 AA6 AA8 AA4 AH6 M89:M90 T52:U54 U55:U64 AB13:AB23 AA24:AB26 AB27:AB37 AA38:AB40 AA52:AB54 AB41:AB51 AA66:AB66 AH12:AI12 AH24:AH26 AH68 AH89 AH87 AH71:AH84 AH38:AH40 AH36 AH29:AH33 AA64 AA57:AA61 AH22 AH15:AH19 M72:M84 AA72:AA84">
    <cfRule type="cellIs" dxfId="23" priority="35" operator="lessThan">
      <formula>0</formula>
    </cfRule>
  </conditionalFormatting>
  <conditionalFormatting sqref="F64 F57:F61 M22 M15:M19 AH50 AH43:AH47 AA50 AA43:AA47 AA36 AA29:AA33 AA22 AA15:AA19 M36 M29:M33 M50 M43:M47 M64 M57:M61 T22 T15:T19 T36 T29:T33 T50 T43:T47 T64 T57:T61 T6 M6 T4 M4 M8 F15:F19 AA89:AA90 N73 AB73 F36 T8 F29:F33 F50 F43:F47 AA6 AA8 AA4 AH6 M89:M90 AH87 AH71:AH84 AH36 AH29:AH33 AA64 AA57:AA61 AH22 AH15:AH19 M72:M84 AA72:AA84">
    <cfRule type="cellIs" dxfId="22" priority="34" operator="greaterThan">
      <formula>0</formula>
    </cfRule>
  </conditionalFormatting>
  <conditionalFormatting sqref="F64 F57:F61 M22 M15:M19 AH50 AH43:AH47 AA50 AA43:AA47 AA36 AA29:AA33 AA22 AA15:AA19 M36 M29:M33 M50 M43:M47 M64 M57:M61 T22 T15:T19 T36 T29:T33 T50 T43:T47 T64 T57:T61 T6 M6 M4 M8 AA89:AA90 N73 AB73 F36 T8 F29:F33 F50 F43:F47 AA6 AA8 AA4 AH6 M89:M90 T3:T4 AH87 AH71:AH84 AH36 AH29:AH33 AA64 AA57:AA61 AH22 AH15:AH19 M72:M84 AA72:AA84">
    <cfRule type="cellIs" dxfId="21" priority="33" operator="greaterThan">
      <formula>0</formula>
    </cfRule>
  </conditionalFormatting>
  <conditionalFormatting sqref="C63:C64 J21 AE49 AE21 X49 X35 X21 J35 J49 J63 Q21 Q35 Q49 Q63 C21:C22 C35:C36 C49:C50 AE86 AE35 X63">
    <cfRule type="cellIs" dxfId="20" priority="32" operator="equal">
      <formula>"""Large"""</formula>
    </cfRule>
  </conditionalFormatting>
  <conditionalFormatting sqref="C62 J20 AE48 AE20 X48 X34 X20 J34 J48 J62 Q20 Q34 Q48 Q62 C20 C34 C48 AE85 AE34 X62">
    <cfRule type="containsText" dxfId="19" priority="31" operator="containsText" text="No Cap">
      <formula>NOT(ISERROR(SEARCH("No Cap",C20)))</formula>
    </cfRule>
  </conditionalFormatting>
  <hyperlinks>
    <hyperlink ref="AH93" r:id="rId1"/>
    <hyperlink ref="AF93" r:id="rId2"/>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sheetPr codeName="Sheet4">
    <tabColor rgb="FFFFFF00"/>
  </sheetPr>
  <dimension ref="B2:AE59"/>
  <sheetViews>
    <sheetView workbookViewId="0">
      <pane xSplit="4" topLeftCell="E1" activePane="topRight" state="frozen"/>
      <selection pane="topRight" activeCell="P16" sqref="P16"/>
    </sheetView>
  </sheetViews>
  <sheetFormatPr defaultRowHeight="12.75"/>
  <cols>
    <col min="1" max="1" width="2.85546875" style="282" customWidth="1"/>
    <col min="2" max="2" width="0.7109375" style="282" customWidth="1"/>
    <col min="3" max="3" width="20" style="282" bestFit="1" customWidth="1"/>
    <col min="4" max="4" width="8.5703125" style="282" bestFit="1" customWidth="1"/>
    <col min="5" max="5" width="7" style="282" bestFit="1" customWidth="1"/>
    <col min="6" max="6" width="7" style="282" customWidth="1"/>
    <col min="7" max="7" width="8.140625" style="282" bestFit="1" customWidth="1"/>
    <col min="8" max="8" width="12.85546875" style="282" bestFit="1" customWidth="1"/>
    <col min="9" max="9" width="13.42578125" style="282" bestFit="1" customWidth="1"/>
    <col min="10" max="10" width="16.5703125" style="282" bestFit="1" customWidth="1"/>
    <col min="11" max="11" width="17.85546875" style="282" bestFit="1" customWidth="1"/>
    <col min="12" max="12" width="18.140625" style="282" customWidth="1"/>
    <col min="13" max="13" width="0.7109375" style="282" customWidth="1"/>
    <col min="14" max="14" width="14" style="282" customWidth="1"/>
    <col min="15" max="15" width="10" style="282" bestFit="1" customWidth="1"/>
    <col min="16" max="16" width="12" style="282" bestFit="1" customWidth="1"/>
    <col min="17" max="17" width="12" style="282" customWidth="1"/>
    <col min="18" max="19" width="9.140625" style="282"/>
    <col min="20" max="20" width="21.28515625" style="282" customWidth="1"/>
    <col min="21" max="21" width="16.140625" style="282" bestFit="1" customWidth="1"/>
    <col min="22" max="22" width="14" style="282" customWidth="1"/>
    <col min="23" max="24" width="7.140625" style="282" customWidth="1"/>
    <col min="25" max="25" width="10" style="282" customWidth="1"/>
    <col min="26" max="28" width="0.7109375" style="282" customWidth="1"/>
    <col min="29" max="30" width="20.7109375" style="282" customWidth="1"/>
    <col min="31" max="31" width="0.7109375" style="282" customWidth="1"/>
    <col min="32" max="65" width="9.140625" style="282"/>
    <col min="66" max="66" width="9.5703125" style="282" customWidth="1"/>
    <col min="67" max="16384" width="9.140625" style="282"/>
  </cols>
  <sheetData>
    <row r="2" spans="2:31" ht="3.75" customHeight="1">
      <c r="B2" s="288"/>
      <c r="C2" s="288"/>
      <c r="D2" s="288"/>
      <c r="E2" s="288"/>
      <c r="F2" s="288"/>
      <c r="G2" s="288"/>
      <c r="H2" s="288"/>
      <c r="I2" s="288"/>
      <c r="J2" s="288"/>
      <c r="K2" s="288"/>
      <c r="L2" s="288"/>
      <c r="N2" s="288"/>
      <c r="O2" s="288"/>
      <c r="P2" s="288"/>
      <c r="Q2" s="288"/>
      <c r="R2" s="288"/>
      <c r="S2" s="288"/>
      <c r="T2" s="288"/>
      <c r="U2" s="288"/>
      <c r="V2" s="288"/>
      <c r="W2" s="288"/>
      <c r="X2" s="288"/>
      <c r="Y2" s="288"/>
      <c r="Z2" s="288"/>
      <c r="AB2" s="288"/>
      <c r="AC2" s="288"/>
      <c r="AD2" s="288"/>
      <c r="AE2" s="288"/>
    </row>
    <row r="3" spans="2:31">
      <c r="B3" s="288"/>
      <c r="C3" s="334" t="s">
        <v>258</v>
      </c>
      <c r="D3" s="334" t="s">
        <v>127</v>
      </c>
      <c r="E3" s="334" t="s">
        <v>128</v>
      </c>
      <c r="F3" s="334" t="s">
        <v>67</v>
      </c>
      <c r="G3" s="334" t="s">
        <v>66</v>
      </c>
      <c r="H3" s="334" t="s">
        <v>68</v>
      </c>
      <c r="I3" s="334" t="s">
        <v>129</v>
      </c>
      <c r="J3" s="334" t="s">
        <v>195</v>
      </c>
      <c r="K3" s="416" t="s">
        <v>296</v>
      </c>
      <c r="L3" s="334" t="s">
        <v>261</v>
      </c>
      <c r="M3" s="343"/>
      <c r="N3" s="334" t="s">
        <v>262</v>
      </c>
      <c r="O3" s="334" t="s">
        <v>207</v>
      </c>
      <c r="P3" s="416" t="s">
        <v>270</v>
      </c>
      <c r="Q3" s="416" t="s">
        <v>295</v>
      </c>
      <c r="R3" s="334" t="s">
        <v>206</v>
      </c>
      <c r="S3" s="334" t="s">
        <v>199</v>
      </c>
      <c r="T3" s="334" t="s">
        <v>150</v>
      </c>
      <c r="U3" s="334" t="s">
        <v>263</v>
      </c>
      <c r="V3" s="483" t="s">
        <v>264</v>
      </c>
      <c r="W3" s="483"/>
      <c r="X3" s="334" t="s">
        <v>189</v>
      </c>
      <c r="Y3" s="334" t="s">
        <v>72</v>
      </c>
      <c r="Z3" s="338"/>
      <c r="AA3" s="339"/>
      <c r="AB3" s="291"/>
      <c r="AC3" s="347" t="s">
        <v>297</v>
      </c>
      <c r="AD3" s="347" t="s">
        <v>265</v>
      </c>
      <c r="AE3" s="288"/>
    </row>
    <row r="4" spans="2:31">
      <c r="B4" s="288"/>
      <c r="C4" s="289" t="s">
        <v>56</v>
      </c>
      <c r="D4" s="288"/>
      <c r="E4" s="328">
        <v>1</v>
      </c>
      <c r="F4" s="328">
        <v>1</v>
      </c>
      <c r="G4" s="455">
        <v>8114.57</v>
      </c>
      <c r="H4" s="329">
        <f>E4*G4</f>
        <v>8114.57</v>
      </c>
      <c r="I4" s="329">
        <v>2029.73</v>
      </c>
      <c r="J4" s="329">
        <v>4804</v>
      </c>
      <c r="K4" s="329">
        <v>4361.76</v>
      </c>
      <c r="L4" s="329">
        <v>4444.5729099999999</v>
      </c>
      <c r="M4" s="340"/>
      <c r="N4" s="319"/>
      <c r="O4" s="285"/>
      <c r="P4" s="285"/>
      <c r="Q4" s="285"/>
      <c r="R4" s="285"/>
      <c r="S4" s="285"/>
      <c r="T4" s="303" t="s">
        <v>56</v>
      </c>
      <c r="U4" s="433">
        <f t="shared" ref="U4:U21" si="0">H4/$H$22</f>
        <v>0.15858213354379036</v>
      </c>
      <c r="V4" s="329">
        <v>0</v>
      </c>
      <c r="W4" s="332"/>
      <c r="X4" s="329">
        <v>0</v>
      </c>
      <c r="Y4" s="329">
        <v>0</v>
      </c>
      <c r="Z4" s="329"/>
      <c r="AA4" s="340"/>
      <c r="AB4" s="291"/>
      <c r="AC4" s="336">
        <f>(0.01/365)*U4</f>
        <v>4.3447159875011061E-6</v>
      </c>
      <c r="AD4" s="336">
        <f>(0.01/365)*U4</f>
        <v>4.3447159875011061E-6</v>
      </c>
      <c r="AE4" s="288"/>
    </row>
    <row r="5" spans="2:31">
      <c r="B5" s="288"/>
      <c r="C5" s="289" t="s">
        <v>202</v>
      </c>
      <c r="D5" s="289" t="str">
        <f>'Holdings Pull Sheet'!B16</f>
        <v>BRK.B</v>
      </c>
      <c r="E5" s="328">
        <f>'Holdings Pull Sheet'!F16</f>
        <v>114.99</v>
      </c>
      <c r="F5" s="328">
        <v>77.89</v>
      </c>
      <c r="G5" s="455">
        <v>26</v>
      </c>
      <c r="H5" s="329">
        <f t="shared" ref="H5:H20" si="1">G5*E5</f>
        <v>2989.74</v>
      </c>
      <c r="I5" s="329">
        <v>2035.09</v>
      </c>
      <c r="J5" s="329">
        <v>2248.2200317382799</v>
      </c>
      <c r="K5" s="329">
        <v>2794.22</v>
      </c>
      <c r="L5" s="329">
        <v>2940.6</v>
      </c>
      <c r="M5" s="340"/>
      <c r="N5" s="330">
        <f t="shared" ref="N5:N11" si="2">H5-I5</f>
        <v>954.64999999999986</v>
      </c>
      <c r="O5" s="285">
        <f t="shared" ref="O5:O6" si="3">(H5/I5)-1</f>
        <v>0.46909473291107506</v>
      </c>
      <c r="P5" s="285">
        <f t="shared" ref="P5:P7" si="4">(H5/J5)-1</f>
        <v>0.32982535418848258</v>
      </c>
      <c r="Q5" s="285">
        <f>(H5/K5)-1</f>
        <v>6.9973015725318666E-2</v>
      </c>
      <c r="R5" s="285">
        <f t="shared" ref="R5:R7" si="5">(H5/L5)-1</f>
        <v>1.6710875331565012E-2</v>
      </c>
      <c r="S5" s="285">
        <f>('Holdings Pull Sheet'!F16/'Holdings Pull Sheet'!G16)-1</f>
        <v>1.8061088977423534E-2</v>
      </c>
      <c r="T5" s="303" t="s">
        <v>3</v>
      </c>
      <c r="U5" s="433">
        <f t="shared" si="0"/>
        <v>5.8428154288053688E-2</v>
      </c>
      <c r="V5" s="331">
        <f>'Holdings Pull Sheet'!O16/1000000000</f>
        <v>283.48254193399998</v>
      </c>
      <c r="W5" s="332" t="str">
        <f t="shared" ref="W5:W8" si="6">IF(V5&lt;2,"Small", IF(V5&lt;10, "Mid", IF(V5&gt;10, "Large")))</f>
        <v>Large</v>
      </c>
      <c r="X5" s="331">
        <f>'Holdings Pull Sheet'!Q16</f>
        <v>17</v>
      </c>
      <c r="Y5" s="333">
        <f>'Holdings Pull Sheet'!P16</f>
        <v>9988.9699999999993</v>
      </c>
      <c r="Z5" s="333"/>
      <c r="AA5" s="341"/>
      <c r="AB5" s="303"/>
      <c r="AC5" s="336">
        <f>U5*R5</f>
        <v>9.7638560216111087E-4</v>
      </c>
      <c r="AD5" s="336">
        <f t="shared" ref="AD5:AD21" si="7">U5*S5</f>
        <v>1.0552760933831681E-3</v>
      </c>
      <c r="AE5" s="288"/>
    </row>
    <row r="6" spans="2:31">
      <c r="B6" s="288"/>
      <c r="C6" s="289" t="s">
        <v>208</v>
      </c>
      <c r="D6" s="289" t="str">
        <f>'Holdings Pull Sheet'!B17</f>
        <v>MCLOX</v>
      </c>
      <c r="E6" s="328">
        <f>'Holdings Pull Sheet'!F17</f>
        <v>19.39</v>
      </c>
      <c r="F6" s="328">
        <v>17.23</v>
      </c>
      <c r="G6" s="455">
        <v>89.25</v>
      </c>
      <c r="H6" s="329">
        <f t="shared" si="1"/>
        <v>1730.5575000000001</v>
      </c>
      <c r="I6" s="329">
        <v>1543.42</v>
      </c>
      <c r="J6" s="329">
        <v>1602.045459617618</v>
      </c>
      <c r="K6" s="329">
        <v>1735.0200000000002</v>
      </c>
      <c r="L6" s="329">
        <v>1723.4174999999998</v>
      </c>
      <c r="M6" s="340"/>
      <c r="N6" s="330">
        <f t="shared" si="2"/>
        <v>187.13750000000005</v>
      </c>
      <c r="O6" s="285">
        <f t="shared" si="3"/>
        <v>0.12124859079187789</v>
      </c>
      <c r="P6" s="285">
        <f t="shared" si="4"/>
        <v>8.0217474236377706E-2</v>
      </c>
      <c r="Q6" s="285">
        <f t="shared" ref="Q6:Q7" si="8">(H6/K6)-1</f>
        <v>-2.5720164609054352E-3</v>
      </c>
      <c r="R6" s="285">
        <f t="shared" si="5"/>
        <v>4.1429311237701771E-3</v>
      </c>
      <c r="S6" s="285">
        <f>('Holdings Pull Sheet'!F17/'Holdings Pull Sheet'!G17)-1</f>
        <v>7.2727272727273196E-3</v>
      </c>
      <c r="T6" s="303" t="s">
        <v>176</v>
      </c>
      <c r="U6" s="433">
        <f t="shared" si="0"/>
        <v>3.382009158466906E-2</v>
      </c>
      <c r="V6" s="434">
        <f>'Holdings Pull Sheet'!O17/1000000000</f>
        <v>0</v>
      </c>
      <c r="W6" s="332" t="str">
        <f t="shared" si="6"/>
        <v>Small</v>
      </c>
      <c r="X6" s="434">
        <f>'Holdings Pull Sheet'!Q17</f>
        <v>0</v>
      </c>
      <c r="Y6" s="435">
        <f>'Holdings Pull Sheet'!P17</f>
        <v>0</v>
      </c>
      <c r="Z6" s="333"/>
      <c r="AA6" s="341"/>
      <c r="AB6" s="303"/>
      <c r="AC6" s="436">
        <f t="shared" ref="AC6:AC21" si="9">U6*R6</f>
        <v>1.4011431003488329E-4</v>
      </c>
      <c r="AD6" s="436">
        <f t="shared" si="7"/>
        <v>2.459643024339584E-4</v>
      </c>
      <c r="AE6" s="288"/>
    </row>
    <row r="7" spans="2:31">
      <c r="B7" s="288"/>
      <c r="C7" s="289" t="s">
        <v>240</v>
      </c>
      <c r="D7" s="289" t="str">
        <f>'Holdings Pull Sheet'!B18</f>
        <v>CAT</v>
      </c>
      <c r="E7" s="328">
        <f>'Holdings Pull Sheet'!F18</f>
        <v>85.14</v>
      </c>
      <c r="F7" s="328">
        <v>83</v>
      </c>
      <c r="G7" s="455">
        <v>15.172000000000001</v>
      </c>
      <c r="H7" s="329">
        <f t="shared" si="1"/>
        <v>1291.7440800000002</v>
      </c>
      <c r="I7" s="329">
        <v>1254.95</v>
      </c>
      <c r="J7" s="329">
        <v>1245</v>
      </c>
      <c r="K7" s="329">
        <v>1274.6643300000001</v>
      </c>
      <c r="L7" s="329">
        <v>1274.4480000000001</v>
      </c>
      <c r="M7" s="340"/>
      <c r="N7" s="432">
        <f t="shared" si="2"/>
        <v>36.794080000000122</v>
      </c>
      <c r="O7" s="285">
        <f>(H7/I7)-1</f>
        <v>2.9319160125901522E-2</v>
      </c>
      <c r="P7" s="285">
        <f t="shared" si="4"/>
        <v>3.7545445783132569E-2</v>
      </c>
      <c r="Q7" s="285">
        <f t="shared" si="8"/>
        <v>1.3399410023500202E-2</v>
      </c>
      <c r="R7" s="285">
        <f t="shared" si="5"/>
        <v>1.3571428571428568E-2</v>
      </c>
      <c r="S7" s="285">
        <f>('Holdings Pull Sheet'!F18/'Holdings Pull Sheet'!G18)-1</f>
        <v>2.3194327604855181E-2</v>
      </c>
      <c r="T7" s="303" t="s">
        <v>20</v>
      </c>
      <c r="U7" s="433">
        <f t="shared" si="0"/>
        <v>2.5244410017901217E-2</v>
      </c>
      <c r="V7" s="434">
        <f>'Holdings Pull Sheet'!O18/1000000000</f>
        <v>55.978263984999998</v>
      </c>
      <c r="W7" s="332" t="str">
        <f t="shared" si="6"/>
        <v>Large</v>
      </c>
      <c r="X7" s="434">
        <f>'Holdings Pull Sheet'!Q18</f>
        <v>11.2</v>
      </c>
      <c r="Y7" s="435">
        <f>'Holdings Pull Sheet'!P18</f>
        <v>7.43</v>
      </c>
      <c r="Z7" s="333"/>
      <c r="AA7" s="341"/>
      <c r="AB7" s="303"/>
      <c r="AC7" s="436">
        <f t="shared" si="9"/>
        <v>3.4260270738580213E-4</v>
      </c>
      <c r="AD7" s="436">
        <f t="shared" si="7"/>
        <v>5.8552711614648888E-4</v>
      </c>
      <c r="AE7" s="288"/>
    </row>
    <row r="8" spans="2:31">
      <c r="B8" s="288"/>
      <c r="C8" s="289" t="s">
        <v>303</v>
      </c>
      <c r="D8" s="289" t="str">
        <f>'Holdings Pull Sheet'!B19</f>
        <v>CX</v>
      </c>
      <c r="E8" s="328">
        <f>'Holdings Pull Sheet'!F19</f>
        <v>10.55</v>
      </c>
      <c r="F8" s="328">
        <v>11.57</v>
      </c>
      <c r="G8" s="455">
        <v>200</v>
      </c>
      <c r="H8" s="329">
        <f t="shared" si="1"/>
        <v>2110</v>
      </c>
      <c r="I8" s="329">
        <v>2314.62</v>
      </c>
      <c r="J8" s="329">
        <v>2314.62</v>
      </c>
      <c r="K8" s="329">
        <v>2314.62</v>
      </c>
      <c r="L8" s="329">
        <v>2168</v>
      </c>
      <c r="M8" s="340"/>
      <c r="N8" s="432">
        <f t="shared" si="2"/>
        <v>-204.61999999999989</v>
      </c>
      <c r="O8" s="430">
        <f t="shared" ref="O8:O10" si="10">(H8/I8)-1</f>
        <v>-8.8403280020046493E-2</v>
      </c>
      <c r="P8" s="430">
        <f t="shared" ref="P8:P10" si="11">(H8/J8)-1</f>
        <v>-8.8403280020046493E-2</v>
      </c>
      <c r="Q8" s="430">
        <f t="shared" ref="Q8:Q10" si="12">(H8/K8)-1</f>
        <v>-8.8403280020046493E-2</v>
      </c>
      <c r="R8" s="430">
        <f t="shared" ref="R8:R10" si="13">(H8/L8)-1</f>
        <v>-2.6752767527675303E-2</v>
      </c>
      <c r="S8" s="430">
        <f>('Holdings Pull Sheet'!F19/'Holdings Pull Sheet'!G19)-1</f>
        <v>2.9268292682926855E-2</v>
      </c>
      <c r="T8" s="431" t="s">
        <v>20</v>
      </c>
      <c r="U8" s="433">
        <f t="shared" si="0"/>
        <v>4.123549390508649E-2</v>
      </c>
      <c r="V8" s="434">
        <f>'Holdings Pull Sheet'!O19/1000000000</f>
        <v>11.867494765</v>
      </c>
      <c r="W8" s="332" t="str">
        <f t="shared" si="6"/>
        <v>Large</v>
      </c>
      <c r="X8" s="434">
        <f>'Holdings Pull Sheet'!Q19</f>
        <v>0</v>
      </c>
      <c r="Y8" s="435">
        <f>'Holdings Pull Sheet'!P19</f>
        <v>-1.03</v>
      </c>
      <c r="Z8" s="333"/>
      <c r="AA8" s="341"/>
      <c r="AB8" s="303"/>
      <c r="AC8" s="436">
        <f t="shared" si="9"/>
        <v>-1.1031635823316507E-3</v>
      </c>
      <c r="AD8" s="436">
        <f t="shared" si="7"/>
        <v>1.2068925045391179E-3</v>
      </c>
      <c r="AE8" s="288"/>
    </row>
    <row r="9" spans="2:31">
      <c r="B9" s="288"/>
      <c r="C9" s="289" t="s">
        <v>212</v>
      </c>
      <c r="D9" s="289" t="str">
        <f>'Holdings Pull Sheet'!B20</f>
        <v>CSCO</v>
      </c>
      <c r="E9" s="328">
        <f>'Holdings Pull Sheet'!F20</f>
        <v>24.35</v>
      </c>
      <c r="F9" s="328">
        <v>18.48</v>
      </c>
      <c r="G9" s="455">
        <v>68.058000000000007</v>
      </c>
      <c r="H9" s="329">
        <f t="shared" si="1"/>
        <v>1657.2123000000004</v>
      </c>
      <c r="I9" s="329">
        <v>1248.1100000000001</v>
      </c>
      <c r="J9" s="329">
        <v>1311.6533503665908</v>
      </c>
      <c r="K9" s="329">
        <v>1393.24128</v>
      </c>
      <c r="L9" s="329">
        <v>1670.8239000000003</v>
      </c>
      <c r="N9" s="432">
        <f t="shared" si="2"/>
        <v>409.10230000000024</v>
      </c>
      <c r="O9" s="430">
        <f t="shared" si="10"/>
        <v>0.32777743948850668</v>
      </c>
      <c r="P9" s="430">
        <f t="shared" si="11"/>
        <v>0.26345295388970746</v>
      </c>
      <c r="Q9" s="430">
        <f t="shared" si="12"/>
        <v>0.18946540257549671</v>
      </c>
      <c r="R9" s="430">
        <f t="shared" si="13"/>
        <v>-8.1466395112016476E-3</v>
      </c>
      <c r="S9" s="430">
        <f>('Holdings Pull Sheet'!F20/'Holdings Pull Sheet'!G20)-1</f>
        <v>1.5006252605252346E-2</v>
      </c>
      <c r="T9" s="303" t="s">
        <v>106</v>
      </c>
      <c r="U9" s="433">
        <f t="shared" si="0"/>
        <v>3.2386714547907293E-2</v>
      </c>
      <c r="V9" s="434">
        <f>'Holdings Pull Sheet'!O20/1000000000</f>
        <v>130.134583639</v>
      </c>
      <c r="W9" s="332" t="str">
        <f t="shared" ref="W9" si="14">IF(V9&lt;2,"Small", IF(V9&lt;10, "Mid", IF(V9&gt;10, "Large")))</f>
        <v>Large</v>
      </c>
      <c r="X9" s="434">
        <f>'Holdings Pull Sheet'!Q20</f>
        <v>13.4</v>
      </c>
      <c r="Y9" s="435">
        <f>'Holdings Pull Sheet'!P20</f>
        <v>1.8</v>
      </c>
      <c r="Z9" s="435"/>
      <c r="AB9" s="431"/>
      <c r="AC9" s="436">
        <f t="shared" si="9"/>
        <v>-2.6384288837399077E-4</v>
      </c>
      <c r="AD9" s="436">
        <f t="shared" si="7"/>
        <v>4.8600321956009785E-4</v>
      </c>
      <c r="AE9" s="288"/>
    </row>
    <row r="10" spans="2:31">
      <c r="B10" s="288"/>
      <c r="C10" s="289" t="s">
        <v>294</v>
      </c>
      <c r="D10" s="289" t="str">
        <f>'Holdings Pull Sheet'!B21</f>
        <v>DAL</v>
      </c>
      <c r="E10" s="328">
        <f>'Holdings Pull Sheet'!F21</f>
        <v>18.71</v>
      </c>
      <c r="F10" s="328">
        <v>16.579999999999998</v>
      </c>
      <c r="G10" s="455">
        <v>150</v>
      </c>
      <c r="H10" s="329">
        <f t="shared" si="1"/>
        <v>2806.5</v>
      </c>
      <c r="I10" s="329">
        <v>2481.9899999999998</v>
      </c>
      <c r="J10" s="329">
        <v>2481.9899999999998</v>
      </c>
      <c r="K10" s="329">
        <v>2443.5</v>
      </c>
      <c r="L10" s="329">
        <v>2623.4999999999995</v>
      </c>
      <c r="M10" s="340"/>
      <c r="N10" s="432">
        <f t="shared" si="2"/>
        <v>324.51000000000022</v>
      </c>
      <c r="O10" s="430">
        <f t="shared" si="10"/>
        <v>0.13074589341617027</v>
      </c>
      <c r="P10" s="430">
        <f t="shared" si="11"/>
        <v>0.13074589341617027</v>
      </c>
      <c r="Q10" s="430">
        <f t="shared" si="12"/>
        <v>0.14855739717618177</v>
      </c>
      <c r="R10" s="430">
        <f t="shared" si="13"/>
        <v>6.9754145225843445E-2</v>
      </c>
      <c r="S10" s="430">
        <f>('Holdings Pull Sheet'!F21/'Holdings Pull Sheet'!G21)-1</f>
        <v>3.5417819590481514E-2</v>
      </c>
      <c r="T10" s="303" t="s">
        <v>104</v>
      </c>
      <c r="U10" s="433">
        <f t="shared" si="0"/>
        <v>5.4847115471386369E-2</v>
      </c>
      <c r="V10" s="434">
        <f>'Holdings Pull Sheet'!O21/1000000000</f>
        <v>16.025959908000001</v>
      </c>
      <c r="W10" s="332" t="str">
        <f t="shared" ref="W10:W21" si="15">IF(V10&lt;2,"Small", IF(V10&lt;10, "Mid", IF(V10&gt;10, "Large")))</f>
        <v>Large</v>
      </c>
      <c r="X10" s="434">
        <f>'Holdings Pull Sheet'!Q21</f>
        <v>17.600000000000001</v>
      </c>
      <c r="Y10" s="435">
        <f>'Holdings Pull Sheet'!P21</f>
        <v>1.05</v>
      </c>
      <c r="Z10" s="333"/>
      <c r="AA10" s="341"/>
      <c r="AB10" s="303"/>
      <c r="AC10" s="436">
        <f t="shared" si="9"/>
        <v>3.8258136578096895E-3</v>
      </c>
      <c r="AD10" s="436">
        <f t="shared" si="7"/>
        <v>1.9425652408238698E-3</v>
      </c>
      <c r="AE10" s="288"/>
    </row>
    <row r="11" spans="2:31">
      <c r="B11" s="288"/>
      <c r="C11" s="289" t="s">
        <v>209</v>
      </c>
      <c r="D11" s="289" t="str">
        <f>'Holdings Pull Sheet'!B22</f>
        <v>GNTX</v>
      </c>
      <c r="E11" s="328">
        <f>'Holdings Pull Sheet'!F22</f>
        <v>23.27</v>
      </c>
      <c r="F11" s="328">
        <v>16.399999999999999</v>
      </c>
      <c r="G11" s="455">
        <v>93.173000000000002</v>
      </c>
      <c r="H11" s="329">
        <f t="shared" si="1"/>
        <v>2168.13571</v>
      </c>
      <c r="I11" s="329">
        <v>1502.35</v>
      </c>
      <c r="J11" s="329">
        <v>1669.6919303893999</v>
      </c>
      <c r="K11" s="329">
        <v>2103.5478499999999</v>
      </c>
      <c r="L11" s="329">
        <v>2134.5934299999999</v>
      </c>
      <c r="M11" s="340"/>
      <c r="N11" s="432">
        <f t="shared" si="2"/>
        <v>665.78571000000011</v>
      </c>
      <c r="O11" s="285">
        <f t="shared" ref="O11" si="16">(H11/I11)-1</f>
        <v>0.44316285153259893</v>
      </c>
      <c r="P11" s="285">
        <f t="shared" ref="P11" si="17">(H11/J11)-1</f>
        <v>0.29852439874603376</v>
      </c>
      <c r="Q11" s="285">
        <f t="shared" ref="Q11" si="18">(H11/K11)-1</f>
        <v>3.0704250440511727E-2</v>
      </c>
      <c r="R11" s="285">
        <f t="shared" ref="R11" si="19">(H11/L11)-1</f>
        <v>1.5713662156263686E-2</v>
      </c>
      <c r="S11" s="430">
        <f>('Holdings Pull Sheet'!F22/'Holdings Pull Sheet'!G22)-1</f>
        <v>2.8735632183908066E-2</v>
      </c>
      <c r="T11" s="303" t="s">
        <v>104</v>
      </c>
      <c r="U11" s="433">
        <f t="shared" si="0"/>
        <v>4.2371633580618663E-2</v>
      </c>
      <c r="V11" s="434">
        <f>'Holdings Pull Sheet'!O22/1000000000</f>
        <v>3.341199746</v>
      </c>
      <c r="W11" s="332" t="str">
        <f t="shared" si="15"/>
        <v>Mid</v>
      </c>
      <c r="X11" s="434">
        <f>'Holdings Pull Sheet'!Q22</f>
        <v>19.5</v>
      </c>
      <c r="Y11" s="435">
        <f>'Holdings Pull Sheet'!P22</f>
        <v>1.17</v>
      </c>
      <c r="Z11" s="333"/>
      <c r="AA11" s="341"/>
      <c r="AB11" s="303"/>
      <c r="AC11" s="436">
        <f t="shared" si="9"/>
        <v>6.6581353509483901E-4</v>
      </c>
      <c r="AD11" s="436">
        <f t="shared" si="7"/>
        <v>1.2175756776039853E-3</v>
      </c>
      <c r="AE11" s="288"/>
    </row>
    <row r="12" spans="2:31">
      <c r="B12" s="288"/>
      <c r="C12" s="289" t="s">
        <v>216</v>
      </c>
      <c r="D12" s="289" t="str">
        <f>'Holdings Pull Sheet'!B23</f>
        <v>HD</v>
      </c>
      <c r="E12" s="328">
        <f>'Holdings Pull Sheet'!F23</f>
        <v>76.53</v>
      </c>
      <c r="F12" s="328">
        <v>28.6</v>
      </c>
      <c r="G12" s="455">
        <v>59.37</v>
      </c>
      <c r="H12" s="329">
        <f t="shared" si="1"/>
        <v>4543.5860999999995</v>
      </c>
      <c r="I12" s="329">
        <v>1668.7500000000002</v>
      </c>
      <c r="J12" s="329">
        <v>3371.3144392318723</v>
      </c>
      <c r="K12" s="329">
        <v>4331.7647999999999</v>
      </c>
      <c r="L12" s="329">
        <v>4586.9261999999999</v>
      </c>
      <c r="M12" s="340"/>
      <c r="N12" s="432">
        <f t="shared" ref="N12" si="20">H12-I12</f>
        <v>2874.8360999999995</v>
      </c>
      <c r="O12" s="430">
        <f t="shared" ref="O12" si="21">(H12/I12)-1</f>
        <v>1.7227482247191004</v>
      </c>
      <c r="P12" s="430">
        <f t="shared" ref="P12" si="22">(H12/J12)-1</f>
        <v>0.34771946725776792</v>
      </c>
      <c r="Q12" s="430">
        <f t="shared" ref="Q12" si="23">(H12/K12)-1</f>
        <v>4.8899538589906699E-2</v>
      </c>
      <c r="R12" s="430">
        <f t="shared" ref="R12" si="24">(H12/L12)-1</f>
        <v>-9.4486150660109125E-3</v>
      </c>
      <c r="S12" s="430">
        <f>('Holdings Pull Sheet'!F23/'Holdings Pull Sheet'!G23)-1</f>
        <v>1.7015706806282616E-3</v>
      </c>
      <c r="T12" s="303" t="s">
        <v>104</v>
      </c>
      <c r="U12" s="433">
        <f t="shared" si="0"/>
        <v>8.8794794755348669E-2</v>
      </c>
      <c r="V12" s="434">
        <f>'Holdings Pull Sheet'!O23/1000000000</f>
        <v>111.79471609700001</v>
      </c>
      <c r="W12" s="332" t="str">
        <f t="shared" si="15"/>
        <v>Large</v>
      </c>
      <c r="X12" s="434">
        <f>'Holdings Pull Sheet'!Q23</f>
        <v>24.6</v>
      </c>
      <c r="Y12" s="435">
        <f>'Holdings Pull Sheet'!P23</f>
        <v>3.16</v>
      </c>
      <c r="Z12" s="333"/>
      <c r="AA12" s="341"/>
      <c r="AB12" s="303"/>
      <c r="AC12" s="436">
        <f t="shared" si="9"/>
        <v>-8.3898783550873416E-4</v>
      </c>
      <c r="AD12" s="436">
        <f t="shared" si="7"/>
        <v>1.5109061934810543E-4</v>
      </c>
      <c r="AE12" s="288"/>
    </row>
    <row r="13" spans="2:31">
      <c r="B13" s="288"/>
      <c r="C13" s="289" t="s">
        <v>308</v>
      </c>
      <c r="D13" s="289" t="str">
        <f>'Holdings Pull Sheet'!B24</f>
        <v>IMMR</v>
      </c>
      <c r="E13" s="328">
        <f>'Holdings Pull Sheet'!F24</f>
        <v>14.91</v>
      </c>
      <c r="F13" s="328">
        <v>15.04</v>
      </c>
      <c r="G13" s="455">
        <v>135</v>
      </c>
      <c r="H13" s="329">
        <f t="shared" si="1"/>
        <v>2012.85</v>
      </c>
      <c r="I13" s="329">
        <v>2031.3</v>
      </c>
      <c r="J13" s="329">
        <v>2031.3</v>
      </c>
      <c r="K13" s="329">
        <v>2031.3</v>
      </c>
      <c r="L13" s="329">
        <v>1960.2</v>
      </c>
      <c r="M13" s="340"/>
      <c r="N13" s="432">
        <f t="shared" ref="N13:N19" si="25">H13-I13</f>
        <v>-18.450000000000045</v>
      </c>
      <c r="O13" s="430">
        <f t="shared" ref="O13:O20" si="26">(H13/I13)-1</f>
        <v>-9.0828533451484672E-3</v>
      </c>
      <c r="P13" s="430">
        <f t="shared" ref="P13:P20" si="27">(H13/J13)-1</f>
        <v>-9.0828533451484672E-3</v>
      </c>
      <c r="Q13" s="430">
        <f t="shared" ref="Q13:Q20" si="28">(H13/K13)-1</f>
        <v>-9.0828533451484672E-3</v>
      </c>
      <c r="R13" s="430">
        <f t="shared" ref="R13:R20" si="29">(H13/L13)-1</f>
        <v>2.685950413223126E-2</v>
      </c>
      <c r="S13" s="430">
        <f>('Holdings Pull Sheet'!F24/'Holdings Pull Sheet'!G24)-1</f>
        <v>4.4849334267694552E-2</v>
      </c>
      <c r="T13" s="303" t="s">
        <v>106</v>
      </c>
      <c r="U13" s="433">
        <f t="shared" si="0"/>
        <v>3.9336902325522907E-2</v>
      </c>
      <c r="V13" s="434">
        <f>'Holdings Pull Sheet'!O24/1000000000</f>
        <v>0.41595395699999999</v>
      </c>
      <c r="W13" s="332" t="str">
        <f t="shared" si="15"/>
        <v>Small</v>
      </c>
      <c r="X13" s="434">
        <f>'Holdings Pull Sheet'!Q24</f>
        <v>0</v>
      </c>
      <c r="Y13" s="435">
        <f>'Holdings Pull Sheet'!P24</f>
        <v>-0.11</v>
      </c>
      <c r="Z13" s="333"/>
      <c r="AA13" s="341"/>
      <c r="AB13" s="303"/>
      <c r="AC13" s="436">
        <f t="shared" si="9"/>
        <v>1.05656969056156E-3</v>
      </c>
      <c r="AD13" s="436">
        <f t="shared" si="7"/>
        <v>1.764233881453028E-3</v>
      </c>
      <c r="AE13" s="288"/>
    </row>
    <row r="14" spans="2:31">
      <c r="B14" s="288"/>
      <c r="C14" s="289" t="s">
        <v>310</v>
      </c>
      <c r="D14" s="289" t="str">
        <f>'Holdings Pull Sheet'!B25</f>
        <v>INTC</v>
      </c>
      <c r="E14" s="328">
        <f>'Holdings Pull Sheet'!F25</f>
        <v>24.99</v>
      </c>
      <c r="F14" s="328">
        <v>24.72</v>
      </c>
      <c r="G14" s="455">
        <v>112</v>
      </c>
      <c r="H14" s="329">
        <f t="shared" si="1"/>
        <v>2798.8799999999997</v>
      </c>
      <c r="I14" s="329">
        <v>2768.56</v>
      </c>
      <c r="J14" s="329">
        <v>2768.56</v>
      </c>
      <c r="K14" s="329">
        <v>2768.56</v>
      </c>
      <c r="L14" s="329">
        <v>2768.56</v>
      </c>
      <c r="M14" s="340"/>
      <c r="N14" s="432">
        <f t="shared" si="25"/>
        <v>30.319999999999709</v>
      </c>
      <c r="O14" s="430">
        <f t="shared" si="26"/>
        <v>1.0951541595630943E-2</v>
      </c>
      <c r="P14" s="430">
        <f t="shared" si="27"/>
        <v>1.0951541595630943E-2</v>
      </c>
      <c r="Q14" s="430">
        <f t="shared" si="28"/>
        <v>1.0951541595630943E-2</v>
      </c>
      <c r="R14" s="430">
        <f t="shared" si="29"/>
        <v>1.0951541595630943E-2</v>
      </c>
      <c r="S14" s="430">
        <f>('Holdings Pull Sheet'!F25/'Holdings Pull Sheet'!G25)-1</f>
        <v>2.1668029435813363E-2</v>
      </c>
      <c r="T14" s="431" t="s">
        <v>106</v>
      </c>
      <c r="U14" s="433">
        <f t="shared" si="0"/>
        <v>5.4698198664013493E-2</v>
      </c>
      <c r="V14" s="434">
        <f>'Holdings Pull Sheet'!O25/1000000000</f>
        <v>124.225288862</v>
      </c>
      <c r="W14" s="332" t="str">
        <f t="shared" si="15"/>
        <v>Large</v>
      </c>
      <c r="X14" s="434">
        <f>'Holdings Pull Sheet'!Q25</f>
        <v>12.3</v>
      </c>
      <c r="Y14" s="435">
        <f>'Holdings Pull Sheet'!P25</f>
        <v>2</v>
      </c>
      <c r="Z14" s="333"/>
      <c r="AA14" s="341"/>
      <c r="AB14" s="303"/>
      <c r="AC14" s="436">
        <f t="shared" si="9"/>
        <v>5.9902959787502862E-4</v>
      </c>
      <c r="AD14" s="436">
        <f t="shared" si="7"/>
        <v>1.1852021787378114E-3</v>
      </c>
      <c r="AE14" s="288"/>
    </row>
    <row r="15" spans="2:31">
      <c r="B15" s="288"/>
      <c r="C15" s="289" t="s">
        <v>210</v>
      </c>
      <c r="D15" s="289" t="str">
        <f>'Holdings Pull Sheet'!B26</f>
        <v>MDT</v>
      </c>
      <c r="E15" s="328">
        <f>'Holdings Pull Sheet'!F26</f>
        <v>52.78</v>
      </c>
      <c r="F15" s="328">
        <v>47.17</v>
      </c>
      <c r="G15" s="455">
        <v>28.376000000000001</v>
      </c>
      <c r="H15" s="329">
        <f t="shared" si="1"/>
        <v>1497.6852800000001</v>
      </c>
      <c r="I15" s="329">
        <v>1330.71</v>
      </c>
      <c r="J15" s="329">
        <v>1158.543591018677</v>
      </c>
      <c r="K15" s="329">
        <v>1327.13957</v>
      </c>
      <c r="L15" s="329">
        <v>1460.79648</v>
      </c>
      <c r="M15" s="340"/>
      <c r="N15" s="432">
        <f t="shared" si="25"/>
        <v>166.97528000000011</v>
      </c>
      <c r="O15" s="430">
        <f t="shared" si="26"/>
        <v>0.12547833863125701</v>
      </c>
      <c r="P15" s="430">
        <f t="shared" si="27"/>
        <v>0.29273105613844419</v>
      </c>
      <c r="Q15" s="430">
        <f t="shared" si="28"/>
        <v>0.12850623540672523</v>
      </c>
      <c r="R15" s="430">
        <f t="shared" si="29"/>
        <v>2.5252525252525304E-2</v>
      </c>
      <c r="S15" s="430">
        <f>('Holdings Pull Sheet'!F26/'Holdings Pull Sheet'!G26)-1</f>
        <v>2.267002518891692E-2</v>
      </c>
      <c r="T15" s="303" t="s">
        <v>147</v>
      </c>
      <c r="U15" s="433">
        <f t="shared" si="0"/>
        <v>2.9269095846055811E-2</v>
      </c>
      <c r="V15" s="434">
        <f>'Holdings Pull Sheet'!O26/1000000000</f>
        <v>53.508679442000002</v>
      </c>
      <c r="W15" s="332" t="str">
        <f t="shared" si="15"/>
        <v>Large</v>
      </c>
      <c r="X15" s="434">
        <f>'Holdings Pull Sheet'!Q26</f>
        <v>15.4</v>
      </c>
      <c r="Y15" s="435">
        <f>'Holdings Pull Sheet'!P26</f>
        <v>3.38</v>
      </c>
      <c r="Z15" s="435"/>
      <c r="AA15" s="341"/>
      <c r="AB15" s="431"/>
      <c r="AC15" s="436">
        <f t="shared" si="9"/>
        <v>7.3911858197110779E-4</v>
      </c>
      <c r="AD15" s="436">
        <f t="shared" si="7"/>
        <v>6.6353114008690884E-4</v>
      </c>
      <c r="AE15" s="288"/>
    </row>
    <row r="16" spans="2:31">
      <c r="B16" s="288"/>
      <c r="C16" s="289" t="s">
        <v>257</v>
      </c>
      <c r="D16" s="289" t="str">
        <f>'Holdings Pull Sheet'!B27</f>
        <v>NGVC</v>
      </c>
      <c r="E16" s="328">
        <f>'Holdings Pull Sheet'!F27</f>
        <v>27.69</v>
      </c>
      <c r="F16" s="328">
        <v>19.489999999999998</v>
      </c>
      <c r="G16" s="455">
        <v>75</v>
      </c>
      <c r="H16" s="329">
        <f t="shared" si="1"/>
        <v>2076.75</v>
      </c>
      <c r="I16" s="329">
        <v>1471.6999999999998</v>
      </c>
      <c r="J16" s="329">
        <v>1471.6999999999998</v>
      </c>
      <c r="K16" s="329">
        <v>1865.25</v>
      </c>
      <c r="L16" s="329">
        <v>2005.4999999999998</v>
      </c>
      <c r="M16" s="340"/>
      <c r="N16" s="432">
        <f t="shared" si="25"/>
        <v>605.05000000000018</v>
      </c>
      <c r="O16" s="430">
        <f t="shared" si="26"/>
        <v>0.41112319086770421</v>
      </c>
      <c r="P16" s="430">
        <f t="shared" si="27"/>
        <v>0.41112319086770421</v>
      </c>
      <c r="Q16" s="430">
        <f t="shared" si="28"/>
        <v>0.11338962605548852</v>
      </c>
      <c r="R16" s="430">
        <f t="shared" si="29"/>
        <v>3.5527299925205869E-2</v>
      </c>
      <c r="S16" s="430">
        <f>('Holdings Pull Sheet'!F26/'Holdings Pull Sheet'!G26)-1</f>
        <v>2.267002518891692E-2</v>
      </c>
      <c r="T16" s="303" t="s">
        <v>105</v>
      </c>
      <c r="U16" s="433">
        <f t="shared" si="0"/>
        <v>4.0585692875539515E-2</v>
      </c>
      <c r="V16" s="434">
        <f>'Holdings Pull Sheet'!O27/1000000000</f>
        <v>0.62030917699999999</v>
      </c>
      <c r="W16" s="332" t="str">
        <f t="shared" si="15"/>
        <v>Small</v>
      </c>
      <c r="X16" s="434">
        <f>'Holdings Pull Sheet'!Q27</f>
        <v>5.2</v>
      </c>
      <c r="Y16" s="435">
        <f>'Holdings Pull Sheet'!P27</f>
        <v>5.31</v>
      </c>
      <c r="Z16" s="333"/>
      <c r="AA16" s="341"/>
      <c r="AB16" s="303"/>
      <c r="AC16" s="436">
        <f t="shared" si="9"/>
        <v>1.4419000834615834E-3</v>
      </c>
      <c r="AD16" s="436">
        <f t="shared" si="7"/>
        <v>9.2007867979812682E-4</v>
      </c>
      <c r="AE16" s="288"/>
    </row>
    <row r="17" spans="2:31">
      <c r="B17" s="288"/>
      <c r="C17" s="289" t="s">
        <v>239</v>
      </c>
      <c r="D17" s="289" t="str">
        <f>'Holdings Pull Sheet'!B28</f>
        <v>TPC</v>
      </c>
      <c r="E17" s="328">
        <f>'Holdings Pull Sheet'!F28</f>
        <v>17.43</v>
      </c>
      <c r="F17" s="328">
        <v>13.761200000000001</v>
      </c>
      <c r="G17" s="455">
        <v>200</v>
      </c>
      <c r="H17" s="329">
        <f t="shared" si="1"/>
        <v>3486</v>
      </c>
      <c r="I17" s="329">
        <v>2752.24</v>
      </c>
      <c r="J17" s="329">
        <v>1874.45</v>
      </c>
      <c r="K17" s="329">
        <v>2488.5</v>
      </c>
      <c r="L17" s="329">
        <v>3470.0000000000005</v>
      </c>
      <c r="M17" s="340"/>
      <c r="N17" s="432">
        <f t="shared" si="25"/>
        <v>733.76000000000022</v>
      </c>
      <c r="O17" s="430">
        <f t="shared" si="26"/>
        <v>0.26660465657064791</v>
      </c>
      <c r="P17" s="430">
        <f>((H17-896.49)/J17)-1</f>
        <v>0.38147723332177441</v>
      </c>
      <c r="Q17" s="430">
        <f>((H17-896.49)/K17)-1</f>
        <v>4.0590717299578083E-2</v>
      </c>
      <c r="R17" s="430">
        <f t="shared" si="29"/>
        <v>4.610951008645392E-3</v>
      </c>
      <c r="S17" s="430">
        <f>('Holdings Pull Sheet'!F27/'Holdings Pull Sheet'!G27)-1</f>
        <v>1.391431709996338E-2</v>
      </c>
      <c r="T17" s="431" t="s">
        <v>20</v>
      </c>
      <c r="U17" s="433">
        <f t="shared" si="0"/>
        <v>6.8126507939872752E-2</v>
      </c>
      <c r="V17" s="434">
        <f>'Holdings Pull Sheet'!O28/1000000000</f>
        <v>0.82924429099999997</v>
      </c>
      <c r="W17" s="332" t="str">
        <f t="shared" si="15"/>
        <v>Small</v>
      </c>
      <c r="X17" s="434">
        <f>'Holdings Pull Sheet'!Q28</f>
        <v>0</v>
      </c>
      <c r="Y17" s="435">
        <f>'Holdings Pull Sheet'!P28</f>
        <v>-5.3</v>
      </c>
      <c r="Z17" s="333"/>
      <c r="AA17" s="341"/>
      <c r="AB17" s="303"/>
      <c r="AC17" s="436">
        <f t="shared" si="9"/>
        <v>3.1412799050084458E-4</v>
      </c>
      <c r="AD17" s="436">
        <f t="shared" si="7"/>
        <v>9.4793383438856245E-4</v>
      </c>
      <c r="AE17" s="288"/>
    </row>
    <row r="18" spans="2:31">
      <c r="B18" s="288"/>
      <c r="C18" s="289" t="s">
        <v>223</v>
      </c>
      <c r="D18" s="289" t="str">
        <f>'Holdings Pull Sheet'!B29</f>
        <v>TSN</v>
      </c>
      <c r="E18" s="328">
        <f>'Holdings Pull Sheet'!F29</f>
        <v>25.71</v>
      </c>
      <c r="F18" s="328">
        <v>16.649999999999999</v>
      </c>
      <c r="G18" s="455">
        <v>100.97</v>
      </c>
      <c r="H18" s="329">
        <f t="shared" si="1"/>
        <v>2595.9387000000002</v>
      </c>
      <c r="I18" s="329">
        <v>1674.9499999999998</v>
      </c>
      <c r="J18" s="329">
        <v>1665</v>
      </c>
      <c r="K18" s="329">
        <v>2512.1335999999997</v>
      </c>
      <c r="L18" s="329">
        <v>2505.0656999999997</v>
      </c>
      <c r="M18" s="340"/>
      <c r="N18" s="432">
        <f t="shared" si="25"/>
        <v>920.98870000000034</v>
      </c>
      <c r="O18" s="430">
        <f t="shared" si="26"/>
        <v>0.54986041374369421</v>
      </c>
      <c r="P18" s="430">
        <f t="shared" si="27"/>
        <v>0.55912234234234237</v>
      </c>
      <c r="Q18" s="430">
        <f t="shared" si="28"/>
        <v>3.3360128617363483E-2</v>
      </c>
      <c r="R18" s="430">
        <f t="shared" si="29"/>
        <v>3.6275695284159859E-2</v>
      </c>
      <c r="S18" s="430">
        <f>('Holdings Pull Sheet'!F28/'Holdings Pull Sheet'!G28)-1</f>
        <v>3.4421364985163017E-2</v>
      </c>
      <c r="T18" s="431" t="s">
        <v>105</v>
      </c>
      <c r="U18" s="433">
        <f t="shared" si="0"/>
        <v>5.073213954589012E-2</v>
      </c>
      <c r="V18" s="434">
        <f>'Holdings Pull Sheet'!O29/1000000000</f>
        <v>9.1229926369999994</v>
      </c>
      <c r="W18" s="332" t="str">
        <f t="shared" si="15"/>
        <v>Mid</v>
      </c>
      <c r="X18" s="434">
        <f>'Holdings Pull Sheet'!Q29</f>
        <v>17.5</v>
      </c>
      <c r="Y18" s="435">
        <f>'Holdings Pull Sheet'!P29</f>
        <v>1.45</v>
      </c>
      <c r="Z18" s="333"/>
      <c r="AA18" s="341"/>
      <c r="AB18" s="303"/>
      <c r="AC18" s="436">
        <f t="shared" si="9"/>
        <v>1.840343635280186E-3</v>
      </c>
      <c r="AD18" s="436">
        <f t="shared" si="7"/>
        <v>1.7462694917873061E-3</v>
      </c>
      <c r="AE18" s="288"/>
    </row>
    <row r="19" spans="2:31">
      <c r="B19" s="288"/>
      <c r="C19" s="289" t="s">
        <v>214</v>
      </c>
      <c r="D19" s="289" t="str">
        <f>'Holdings Pull Sheet'!B30</f>
        <v>WFC</v>
      </c>
      <c r="E19" s="328">
        <f>'Holdings Pull Sheet'!F30</f>
        <v>40.94</v>
      </c>
      <c r="F19" s="328">
        <v>23.42</v>
      </c>
      <c r="G19" s="455">
        <v>52.085000000000001</v>
      </c>
      <c r="H19" s="329">
        <f t="shared" si="1"/>
        <v>2132.3598999999999</v>
      </c>
      <c r="I19" s="329">
        <v>1204.3700000000001</v>
      </c>
      <c r="J19" s="329">
        <v>1778.2684477882387</v>
      </c>
      <c r="K19" s="329">
        <v>1961.7591600000001</v>
      </c>
      <c r="L19" s="329">
        <v>2120.9011999999998</v>
      </c>
      <c r="M19" s="340"/>
      <c r="N19" s="432">
        <f t="shared" si="25"/>
        <v>927.98989999999981</v>
      </c>
      <c r="O19" s="430">
        <f t="shared" si="26"/>
        <v>0.77051894351403605</v>
      </c>
      <c r="P19" s="430">
        <f t="shared" si="27"/>
        <v>0.19912148396501683</v>
      </c>
      <c r="Q19" s="430">
        <f t="shared" si="28"/>
        <v>8.6963141795652454E-2</v>
      </c>
      <c r="R19" s="430">
        <f t="shared" si="29"/>
        <v>5.4027504911591251E-3</v>
      </c>
      <c r="S19" s="430">
        <f>('Holdings Pull Sheet'!F29/'Holdings Pull Sheet'!G29)-1</f>
        <v>1.1408339889850572E-2</v>
      </c>
      <c r="T19" s="431" t="s">
        <v>3</v>
      </c>
      <c r="U19" s="433">
        <f t="shared" si="0"/>
        <v>4.1672470928862955E-2</v>
      </c>
      <c r="V19" s="434">
        <f>'Holdings Pull Sheet'!O30/1000000000</f>
        <v>216.83407650699999</v>
      </c>
      <c r="W19" s="332" t="str">
        <f t="shared" si="15"/>
        <v>Large</v>
      </c>
      <c r="X19" s="434">
        <f>'Holdings Pull Sheet'!Q30</f>
        <v>11.5</v>
      </c>
      <c r="Y19" s="435">
        <f>'Holdings Pull Sheet'!P30</f>
        <v>3.53</v>
      </c>
      <c r="Z19" s="333"/>
      <c r="AA19" s="341"/>
      <c r="AB19" s="303"/>
      <c r="AC19" s="436">
        <f t="shared" si="9"/>
        <v>2.251459627787287E-4</v>
      </c>
      <c r="AD19" s="436">
        <f t="shared" si="7"/>
        <v>4.7541371240638556E-4</v>
      </c>
      <c r="AE19" s="288"/>
    </row>
    <row r="20" spans="2:31">
      <c r="B20" s="288"/>
      <c r="C20" s="289" t="s">
        <v>286</v>
      </c>
      <c r="D20" s="289" t="str">
        <f>'Holdings Pull Sheet'!B31</f>
        <v>YHOO</v>
      </c>
      <c r="E20" s="328">
        <f>'Holdings Pull Sheet'!F31</f>
        <v>26.37</v>
      </c>
      <c r="F20" s="328">
        <v>21.75</v>
      </c>
      <c r="G20" s="455">
        <v>100</v>
      </c>
      <c r="H20" s="329">
        <f t="shared" si="1"/>
        <v>2637</v>
      </c>
      <c r="I20" s="329">
        <v>2174.9899999999998</v>
      </c>
      <c r="J20" s="329">
        <v>2174.9899999999998</v>
      </c>
      <c r="K20" s="329">
        <v>2520</v>
      </c>
      <c r="L20" s="329">
        <v>2621</v>
      </c>
      <c r="M20" s="340"/>
      <c r="N20" s="432">
        <f>H20-I20</f>
        <v>462.01000000000022</v>
      </c>
      <c r="O20" s="430">
        <f t="shared" si="26"/>
        <v>0.2124193674453676</v>
      </c>
      <c r="P20" s="430">
        <f t="shared" si="27"/>
        <v>0.2124193674453676</v>
      </c>
      <c r="Q20" s="430">
        <f t="shared" si="28"/>
        <v>4.6428571428571486E-2</v>
      </c>
      <c r="R20" s="430">
        <f t="shared" si="29"/>
        <v>6.1045402518122849E-3</v>
      </c>
      <c r="S20" s="430">
        <f>('Holdings Pull Sheet'!F30/'Holdings Pull Sheet'!G30)-1</f>
        <v>1.6637695555003607E-2</v>
      </c>
      <c r="T20" s="431" t="s">
        <v>106</v>
      </c>
      <c r="U20" s="433">
        <f t="shared" si="0"/>
        <v>5.1534595937304778E-2</v>
      </c>
      <c r="V20" s="434">
        <f>'Holdings Pull Sheet'!O31/1000000000</f>
        <v>28.549085859000002</v>
      </c>
      <c r="W20" s="332" t="str">
        <f t="shared" si="15"/>
        <v>Large</v>
      </c>
      <c r="X20" s="434">
        <f>'Holdings Pull Sheet'!Q31</f>
        <v>7.7</v>
      </c>
      <c r="Y20" s="435">
        <f>'Holdings Pull Sheet'!P31</f>
        <v>3.41</v>
      </c>
      <c r="Z20" s="333"/>
      <c r="AA20" s="341"/>
      <c r="AB20" s="303"/>
      <c r="AC20" s="436">
        <f t="shared" si="9"/>
        <v>3.1459501526015884E-4</v>
      </c>
      <c r="AD20" s="436">
        <f t="shared" si="7"/>
        <v>8.5741691775500259E-4</v>
      </c>
      <c r="AE20" s="288"/>
    </row>
    <row r="21" spans="2:31">
      <c r="B21" s="288"/>
      <c r="C21" s="289" t="s">
        <v>289</v>
      </c>
      <c r="D21" s="289" t="str">
        <f>'Holdings Pull Sheet'!B32</f>
        <v>YRCW</v>
      </c>
      <c r="E21" s="429">
        <f>'Holdings Pull Sheet'!F32</f>
        <v>22.6</v>
      </c>
      <c r="F21" s="429">
        <v>8.51</v>
      </c>
      <c r="G21" s="459">
        <v>200</v>
      </c>
      <c r="H21" s="348">
        <f>G21*E21</f>
        <v>4520</v>
      </c>
      <c r="I21" s="348">
        <v>1722</v>
      </c>
      <c r="J21" s="437">
        <v>1722</v>
      </c>
      <c r="K21" s="437">
        <v>1418</v>
      </c>
      <c r="L21" s="437">
        <v>3856</v>
      </c>
      <c r="M21" s="340"/>
      <c r="N21" s="438">
        <f t="shared" ref="N21" si="30">H21-I21</f>
        <v>2798</v>
      </c>
      <c r="O21" s="439">
        <f t="shared" ref="O21" si="31">(H21/I21)-1</f>
        <v>1.6248548199767714</v>
      </c>
      <c r="P21" s="439">
        <f t="shared" ref="P21" si="32">(H21/J21)-1</f>
        <v>1.6248548199767714</v>
      </c>
      <c r="Q21" s="439">
        <f t="shared" ref="Q21" si="33">(H21/K21)-1</f>
        <v>2.1875881523272214</v>
      </c>
      <c r="R21" s="439">
        <f t="shared" ref="R21" si="34">(H21/L21)-1</f>
        <v>0.17219917012448138</v>
      </c>
      <c r="S21" s="439">
        <f>('Holdings Pull Sheet'!F31/'Holdings Pull Sheet'!G31)-1</f>
        <v>1.8539976825028948E-2</v>
      </c>
      <c r="T21" s="440" t="s">
        <v>20</v>
      </c>
      <c r="U21" s="441">
        <f t="shared" si="0"/>
        <v>8.8333854242175797E-2</v>
      </c>
      <c r="V21" s="442">
        <f>'Holdings Pull Sheet'!O32/1000000000</f>
        <v>0.21236904000000001</v>
      </c>
      <c r="W21" s="349" t="str">
        <f t="shared" si="15"/>
        <v>Small</v>
      </c>
      <c r="X21" s="442">
        <f>'Holdings Pull Sheet'!Q32</f>
        <v>0</v>
      </c>
      <c r="Y21" s="443">
        <f>'Holdings Pull Sheet'!P32</f>
        <v>-14.95</v>
      </c>
      <c r="Z21" s="443"/>
      <c r="AA21" s="458"/>
      <c r="AB21" s="440"/>
      <c r="AC21" s="444">
        <f t="shared" si="9"/>
        <v>1.5211016394399571E-2</v>
      </c>
      <c r="AD21" s="444">
        <f t="shared" si="7"/>
        <v>1.6377076105154242E-3</v>
      </c>
      <c r="AE21" s="288"/>
    </row>
    <row r="22" spans="2:31">
      <c r="B22" s="288"/>
      <c r="C22" s="289"/>
      <c r="D22" s="289"/>
      <c r="E22" s="288"/>
      <c r="F22" s="288"/>
      <c r="G22" s="288"/>
      <c r="H22" s="327">
        <f>SUM(H4:H21)</f>
        <v>51169.509570000002</v>
      </c>
      <c r="I22" s="327">
        <f>SUM(I4:I21)</f>
        <v>33209.83</v>
      </c>
      <c r="J22" s="327">
        <v>40381.870389354226</v>
      </c>
      <c r="K22" s="327">
        <v>46519.793840000006</v>
      </c>
      <c r="L22" s="327">
        <v>50295.736000000004</v>
      </c>
      <c r="M22" s="344"/>
      <c r="N22" s="330">
        <f>(H22-Data!D3)</f>
        <v>28313.659570000003</v>
      </c>
      <c r="O22" s="285">
        <f>(H22/Data!D3)-1</f>
        <v>1.2387926753982024</v>
      </c>
      <c r="P22" s="285">
        <f>(H22/J22)-1</f>
        <v>0.26714065189733494</v>
      </c>
      <c r="Q22" s="285">
        <f>(H22/K22)-1</f>
        <v>9.9951339982120579E-2</v>
      </c>
      <c r="R22" s="285">
        <f>(H22/L22)-1</f>
        <v>1.7372716645402964E-2</v>
      </c>
      <c r="S22" s="285">
        <f>AD22</f>
        <v>1.7093026936754848E-2</v>
      </c>
      <c r="T22" s="431"/>
      <c r="U22" s="303">
        <f>SUM(U4:U21)</f>
        <v>0.99999999999999989</v>
      </c>
      <c r="V22" s="431"/>
      <c r="W22" s="431"/>
      <c r="X22" s="431"/>
      <c r="Y22" s="431"/>
      <c r="Z22" s="431"/>
      <c r="AA22" s="337"/>
      <c r="AB22" s="431"/>
      <c r="AC22" s="336">
        <f>SUM(AC4:AC21)</f>
        <v>2.549092717434822E-2</v>
      </c>
      <c r="AD22" s="336">
        <f>SUM(AD4:AD21)</f>
        <v>1.7093026936754848E-2</v>
      </c>
      <c r="AE22" s="288"/>
    </row>
    <row r="23" spans="2:31">
      <c r="B23" s="288"/>
      <c r="C23" s="288"/>
      <c r="D23" s="288"/>
      <c r="E23" s="288"/>
      <c r="F23" s="288"/>
      <c r="G23" s="288"/>
      <c r="H23" s="288"/>
      <c r="I23" s="288"/>
      <c r="J23" s="288"/>
      <c r="K23" s="288"/>
      <c r="L23" s="288"/>
      <c r="M23" s="344"/>
      <c r="N23" s="330"/>
      <c r="O23" s="285"/>
      <c r="P23" s="285"/>
      <c r="Q23" s="285"/>
      <c r="R23" s="285"/>
      <c r="S23" s="285"/>
      <c r="T23" s="288"/>
      <c r="U23" s="303"/>
      <c r="V23" s="303"/>
      <c r="W23" s="303"/>
      <c r="X23" s="303"/>
      <c r="Y23" s="303"/>
      <c r="Z23" s="303"/>
      <c r="AA23" s="337"/>
      <c r="AB23" s="303"/>
      <c r="AC23" s="336"/>
      <c r="AD23" s="336"/>
      <c r="AE23" s="288"/>
    </row>
    <row r="24" spans="2:31">
      <c r="B24" s="288"/>
      <c r="C24" s="288"/>
      <c r="D24" s="288"/>
      <c r="E24" s="288"/>
      <c r="F24" s="288"/>
      <c r="G24" s="288"/>
      <c r="H24" s="288"/>
      <c r="I24" s="288"/>
      <c r="J24" s="288"/>
      <c r="K24" s="288"/>
      <c r="L24" s="329"/>
      <c r="N24" s="288"/>
      <c r="O24" s="288"/>
      <c r="P24" s="288"/>
      <c r="Q24" s="288"/>
      <c r="R24" s="288"/>
      <c r="S24" s="288"/>
      <c r="T24" s="288"/>
      <c r="U24" s="288"/>
      <c r="V24" s="288"/>
      <c r="W24" s="288"/>
      <c r="X24" s="288"/>
      <c r="Y24" s="288"/>
      <c r="Z24" s="288"/>
      <c r="AB24" s="288"/>
      <c r="AC24" s="288"/>
      <c r="AD24" s="288"/>
      <c r="AE24" s="288"/>
    </row>
    <row r="25" spans="2:31">
      <c r="B25" s="288"/>
      <c r="C25" s="480" t="s">
        <v>276</v>
      </c>
      <c r="D25" s="480"/>
      <c r="E25" s="484" t="s">
        <v>229</v>
      </c>
      <c r="F25" s="485"/>
      <c r="G25" s="342"/>
      <c r="H25" s="335" t="s">
        <v>230</v>
      </c>
      <c r="I25" s="335" t="s">
        <v>220</v>
      </c>
      <c r="J25" s="335" t="s">
        <v>143</v>
      </c>
      <c r="K25" s="417"/>
      <c r="L25" s="288"/>
      <c r="M25" s="345"/>
      <c r="N25" s="328"/>
      <c r="O25" s="288"/>
      <c r="P25" s="288"/>
      <c r="Q25" s="288"/>
      <c r="R25" s="288"/>
      <c r="S25" s="288"/>
      <c r="T25" s="288"/>
      <c r="U25" s="288"/>
      <c r="V25" s="288"/>
      <c r="W25" s="288"/>
      <c r="X25" s="288"/>
      <c r="Y25" s="288"/>
      <c r="Z25" s="288"/>
      <c r="AB25" s="288"/>
      <c r="AC25" s="288"/>
      <c r="AD25" s="288"/>
      <c r="AE25" s="288"/>
    </row>
    <row r="26" spans="2:31">
      <c r="B26" s="288"/>
      <c r="C26" s="289" t="s">
        <v>223</v>
      </c>
      <c r="D26" s="289" t="s">
        <v>228</v>
      </c>
      <c r="E26" s="481">
        <v>41173</v>
      </c>
      <c r="F26" s="481"/>
      <c r="G26" s="288"/>
      <c r="H26" s="327">
        <v>16.649999999999999</v>
      </c>
      <c r="I26" s="327">
        <f>'Holdings Pull Sheet'!F29</f>
        <v>25.71</v>
      </c>
      <c r="J26" s="285">
        <f t="shared" ref="J26:J35" si="35">(I26/H26)-1</f>
        <v>0.54414414414414436</v>
      </c>
      <c r="K26" s="285"/>
      <c r="L26" s="407"/>
      <c r="M26" s="286"/>
      <c r="N26" s="288"/>
      <c r="O26" s="407"/>
      <c r="P26" s="446"/>
      <c r="Q26" s="451"/>
      <c r="R26" s="288"/>
      <c r="S26" s="288"/>
      <c r="T26" s="288"/>
      <c r="U26" s="288"/>
      <c r="V26" s="288"/>
      <c r="W26" s="288"/>
      <c r="X26" s="288"/>
      <c r="Y26" s="288"/>
      <c r="Z26" s="288"/>
      <c r="AB26" s="288"/>
      <c r="AC26" s="288"/>
      <c r="AD26" s="288"/>
      <c r="AE26" s="288"/>
    </row>
    <row r="27" spans="2:31">
      <c r="B27" s="288"/>
      <c r="C27" s="289" t="s">
        <v>239</v>
      </c>
      <c r="D27" s="289" t="s">
        <v>238</v>
      </c>
      <c r="E27" s="482">
        <v>41215</v>
      </c>
      <c r="F27" s="482"/>
      <c r="G27" s="288"/>
      <c r="H27" s="327">
        <v>12.43</v>
      </c>
      <c r="I27" s="327">
        <f>'Holdings Pull Sheet'!F28</f>
        <v>17.43</v>
      </c>
      <c r="J27" s="285">
        <f t="shared" si="35"/>
        <v>0.40225261464199513</v>
      </c>
      <c r="K27" s="285"/>
      <c r="L27" s="288"/>
      <c r="M27" s="286"/>
      <c r="N27" s="288"/>
      <c r="O27" s="288"/>
      <c r="P27" s="446"/>
      <c r="Q27" s="451"/>
      <c r="R27" s="288"/>
      <c r="S27" s="288"/>
      <c r="T27" s="288"/>
      <c r="U27" s="288"/>
      <c r="V27" s="288"/>
      <c r="W27" s="288"/>
      <c r="X27" s="288"/>
      <c r="Y27" s="288"/>
      <c r="Z27" s="288"/>
      <c r="AB27" s="288"/>
      <c r="AC27" s="288"/>
      <c r="AD27" s="288"/>
      <c r="AE27" s="288"/>
    </row>
    <row r="28" spans="2:31">
      <c r="B28" s="288"/>
      <c r="C28" s="289" t="s">
        <v>240</v>
      </c>
      <c r="D28" s="289" t="s">
        <v>242</v>
      </c>
      <c r="E28" s="482">
        <v>41222</v>
      </c>
      <c r="F28" s="482"/>
      <c r="G28" s="288"/>
      <c r="H28" s="327">
        <v>83</v>
      </c>
      <c r="I28" s="327">
        <f>'Holdings Pull Sheet'!F18</f>
        <v>85.14</v>
      </c>
      <c r="J28" s="285">
        <f t="shared" si="35"/>
        <v>2.5783132530120545E-2</v>
      </c>
      <c r="K28" s="285"/>
      <c r="L28" s="407"/>
      <c r="M28" s="286"/>
      <c r="N28" s="288"/>
      <c r="O28" s="288"/>
      <c r="P28" s="454"/>
      <c r="Q28" s="454"/>
      <c r="R28" s="288"/>
      <c r="S28" s="288"/>
      <c r="T28" s="288"/>
      <c r="U28" s="288"/>
      <c r="V28" s="288"/>
      <c r="W28" s="288"/>
      <c r="X28" s="288"/>
      <c r="Y28" s="288"/>
      <c r="Z28" s="288"/>
      <c r="AB28" s="288"/>
      <c r="AC28" s="288"/>
      <c r="AD28" s="288"/>
      <c r="AE28" s="288"/>
    </row>
    <row r="29" spans="2:31">
      <c r="B29" s="288"/>
      <c r="C29" s="289" t="s">
        <v>257</v>
      </c>
      <c r="D29" s="289" t="s">
        <v>256</v>
      </c>
      <c r="E29" s="482">
        <v>41243</v>
      </c>
      <c r="F29" s="482"/>
      <c r="G29" s="288"/>
      <c r="H29" s="327">
        <v>19.489999999999998</v>
      </c>
      <c r="I29" s="327">
        <f>'Holdings Pull Sheet'!F27</f>
        <v>27.69</v>
      </c>
      <c r="J29" s="285">
        <f t="shared" si="35"/>
        <v>0.42072857875833769</v>
      </c>
      <c r="K29" s="285"/>
      <c r="L29" s="407"/>
      <c r="M29" s="286"/>
      <c r="N29" s="288"/>
      <c r="O29" s="288"/>
      <c r="P29" s="454"/>
      <c r="Q29" s="454"/>
      <c r="R29" s="288"/>
      <c r="S29" s="288"/>
      <c r="T29" s="288"/>
      <c r="U29" s="288"/>
      <c r="V29" s="288"/>
      <c r="W29" s="288"/>
      <c r="X29" s="288"/>
      <c r="Y29" s="288"/>
      <c r="Z29" s="288"/>
      <c r="AB29" s="288"/>
      <c r="AC29" s="288"/>
      <c r="AD29" s="288"/>
      <c r="AE29" s="288"/>
    </row>
    <row r="30" spans="2:31">
      <c r="B30" s="288"/>
      <c r="C30" s="289" t="s">
        <v>286</v>
      </c>
      <c r="D30" s="289" t="s">
        <v>285</v>
      </c>
      <c r="E30" s="482">
        <v>41333</v>
      </c>
      <c r="F30" s="482"/>
      <c r="G30" s="288"/>
      <c r="H30" s="327">
        <v>21.75</v>
      </c>
      <c r="I30" s="327">
        <f>'Holdings Pull Sheet'!F31</f>
        <v>26.37</v>
      </c>
      <c r="J30" s="430">
        <f t="shared" si="35"/>
        <v>0.21241379310344821</v>
      </c>
      <c r="K30" s="285"/>
      <c r="L30" s="407"/>
      <c r="M30" s="286"/>
      <c r="N30" s="288"/>
      <c r="O30" s="455"/>
      <c r="P30" s="454"/>
      <c r="Q30" s="405"/>
      <c r="R30" s="288"/>
      <c r="S30" s="288"/>
      <c r="T30" s="288"/>
      <c r="U30" s="288"/>
      <c r="V30" s="288"/>
      <c r="W30" s="288"/>
      <c r="X30" s="288"/>
      <c r="Y30" s="288"/>
      <c r="Z30" s="288"/>
      <c r="AB30" s="288"/>
      <c r="AC30" s="288"/>
      <c r="AD30" s="288"/>
      <c r="AE30" s="288"/>
    </row>
    <row r="31" spans="2:31">
      <c r="B31" s="288"/>
      <c r="C31" s="289" t="s">
        <v>289</v>
      </c>
      <c r="D31" s="289" t="s">
        <v>288</v>
      </c>
      <c r="E31" s="482">
        <v>41355</v>
      </c>
      <c r="F31" s="482"/>
      <c r="G31" s="288"/>
      <c r="H31" s="327">
        <v>8.61</v>
      </c>
      <c r="I31" s="327">
        <f>'Holdings Pull Sheet'!F32</f>
        <v>22.6</v>
      </c>
      <c r="J31" s="430">
        <f t="shared" si="35"/>
        <v>1.6248548199767714</v>
      </c>
      <c r="K31" s="285"/>
      <c r="L31" s="288"/>
      <c r="M31" s="286"/>
      <c r="N31" s="288"/>
      <c r="O31" s="288"/>
      <c r="P31" s="446"/>
      <c r="Q31" s="288"/>
      <c r="R31" s="288"/>
      <c r="S31" s="288"/>
      <c r="T31" s="288"/>
      <c r="U31" s="288"/>
      <c r="V31" s="288"/>
      <c r="W31" s="288"/>
      <c r="X31" s="288"/>
      <c r="Y31" s="288"/>
      <c r="Z31" s="288"/>
      <c r="AB31" s="288"/>
      <c r="AC31" s="288"/>
      <c r="AD31" s="288"/>
      <c r="AE31" s="288"/>
    </row>
    <row r="32" spans="2:31">
      <c r="B32" s="288"/>
      <c r="C32" s="289" t="s">
        <v>294</v>
      </c>
      <c r="D32" s="289" t="s">
        <v>293</v>
      </c>
      <c r="E32" s="482">
        <v>41362</v>
      </c>
      <c r="F32" s="482"/>
      <c r="G32" s="288"/>
      <c r="H32" s="327">
        <v>16.48</v>
      </c>
      <c r="I32" s="327">
        <f>'Holdings Pull Sheet'!F21</f>
        <v>18.71</v>
      </c>
      <c r="J32" s="430">
        <f t="shared" si="35"/>
        <v>0.13531553398058249</v>
      </c>
      <c r="K32" s="285"/>
      <c r="L32" s="288"/>
      <c r="M32" s="286"/>
      <c r="N32" s="288"/>
      <c r="O32" s="288"/>
      <c r="P32" s="446"/>
      <c r="Q32" s="288"/>
      <c r="R32" s="288"/>
      <c r="S32" s="288"/>
      <c r="T32" s="288"/>
      <c r="U32" s="288"/>
      <c r="V32" s="288"/>
      <c r="W32" s="288"/>
      <c r="X32" s="288"/>
      <c r="Y32" s="288"/>
      <c r="Z32" s="288"/>
      <c r="AB32" s="288"/>
      <c r="AC32" s="288"/>
      <c r="AD32" s="288"/>
      <c r="AE32" s="288"/>
    </row>
    <row r="33" spans="2:31">
      <c r="B33" s="288"/>
      <c r="C33" s="289" t="s">
        <v>303</v>
      </c>
      <c r="D33" s="289" t="s">
        <v>304</v>
      </c>
      <c r="E33" s="482">
        <v>41416</v>
      </c>
      <c r="F33" s="482"/>
      <c r="G33" s="288"/>
      <c r="H33" s="327">
        <v>11.57</v>
      </c>
      <c r="I33" s="327">
        <f>'Holdings Pull Sheet'!F19</f>
        <v>10.55</v>
      </c>
      <c r="J33" s="430">
        <f t="shared" si="35"/>
        <v>-8.8159031979256675E-2</v>
      </c>
      <c r="K33" s="285"/>
      <c r="L33" s="288"/>
      <c r="M33" s="286"/>
      <c r="N33" s="288"/>
      <c r="O33" s="288"/>
      <c r="P33" s="446"/>
      <c r="Q33" s="288"/>
      <c r="R33" s="288"/>
      <c r="S33" s="288"/>
      <c r="T33" s="288"/>
      <c r="U33" s="288"/>
      <c r="V33" s="288"/>
      <c r="W33" s="288"/>
      <c r="X33" s="288"/>
      <c r="Y33" s="288"/>
      <c r="Z33" s="288"/>
      <c r="AB33" s="288"/>
      <c r="AC33" s="288"/>
      <c r="AD33" s="288"/>
      <c r="AE33" s="288"/>
    </row>
    <row r="34" spans="2:31">
      <c r="B34" s="288"/>
      <c r="C34" s="289" t="s">
        <v>308</v>
      </c>
      <c r="D34" s="289" t="s">
        <v>307</v>
      </c>
      <c r="E34" s="482">
        <v>41424</v>
      </c>
      <c r="F34" s="482"/>
      <c r="G34" s="288"/>
      <c r="H34" s="327">
        <v>15.04</v>
      </c>
      <c r="I34" s="327">
        <f>'Holdings Pull Sheet'!F24</f>
        <v>14.91</v>
      </c>
      <c r="J34" s="430">
        <f t="shared" si="35"/>
        <v>-8.6436170212765839E-3</v>
      </c>
      <c r="K34" s="430"/>
      <c r="L34" s="407"/>
      <c r="M34" s="286"/>
      <c r="N34" s="288"/>
      <c r="O34" s="288"/>
      <c r="P34" s="451"/>
      <c r="Q34" s="288"/>
      <c r="R34" s="288"/>
      <c r="S34" s="288"/>
      <c r="T34" s="288"/>
      <c r="U34" s="288"/>
      <c r="V34" s="288"/>
      <c r="W34" s="288"/>
      <c r="X34" s="288"/>
      <c r="Y34" s="288"/>
      <c r="Z34" s="288"/>
      <c r="AB34" s="288"/>
      <c r="AC34" s="288"/>
      <c r="AD34" s="288"/>
      <c r="AE34" s="288"/>
    </row>
    <row r="35" spans="2:31">
      <c r="B35" s="288"/>
      <c r="C35" s="289" t="s">
        <v>310</v>
      </c>
      <c r="D35" s="289" t="s">
        <v>59</v>
      </c>
      <c r="E35" s="482">
        <v>41438</v>
      </c>
      <c r="F35" s="482"/>
      <c r="G35" s="288"/>
      <c r="H35" s="327">
        <v>24.72</v>
      </c>
      <c r="I35" s="327">
        <f>'Holdings Pull Sheet'!F25</f>
        <v>24.99</v>
      </c>
      <c r="J35" s="430">
        <f t="shared" si="35"/>
        <v>1.0922330097087318E-2</v>
      </c>
      <c r="K35" s="430"/>
      <c r="L35" s="407"/>
      <c r="M35" s="286"/>
      <c r="N35" s="288"/>
      <c r="O35" s="288"/>
      <c r="P35" s="451"/>
      <c r="Q35" s="288"/>
      <c r="R35" s="288"/>
      <c r="S35" s="288"/>
      <c r="T35" s="288"/>
      <c r="U35" s="288"/>
      <c r="V35" s="288"/>
      <c r="W35" s="288"/>
      <c r="X35" s="288"/>
      <c r="Y35" s="288"/>
      <c r="Z35" s="288"/>
      <c r="AB35" s="288"/>
      <c r="AC35" s="288"/>
      <c r="AD35" s="288"/>
      <c r="AE35" s="288"/>
    </row>
    <row r="36" spans="2:31">
      <c r="B36" s="288"/>
      <c r="C36" s="288"/>
      <c r="D36" s="288"/>
      <c r="E36" s="288"/>
      <c r="F36" s="288"/>
      <c r="G36" s="288"/>
      <c r="H36" s="288"/>
      <c r="I36" s="288"/>
      <c r="J36" s="288"/>
      <c r="K36" s="288"/>
      <c r="L36" s="288"/>
      <c r="N36" s="288"/>
      <c r="O36" s="409"/>
      <c r="P36" s="446"/>
      <c r="Q36" s="407"/>
      <c r="R36" s="288"/>
      <c r="S36" s="288"/>
      <c r="T36" s="288"/>
      <c r="U36" s="288"/>
      <c r="V36" s="288"/>
      <c r="W36" s="288"/>
      <c r="X36" s="288"/>
      <c r="Y36" s="288"/>
      <c r="Z36" s="288"/>
      <c r="AB36" s="288"/>
      <c r="AC36" s="288"/>
      <c r="AD36" s="288"/>
      <c r="AE36" s="288"/>
    </row>
    <row r="37" spans="2:31">
      <c r="B37" s="288"/>
      <c r="C37" s="480" t="s">
        <v>277</v>
      </c>
      <c r="D37" s="480"/>
      <c r="E37" s="484" t="s">
        <v>221</v>
      </c>
      <c r="F37" s="485"/>
      <c r="G37" s="342"/>
      <c r="H37" s="335" t="s">
        <v>260</v>
      </c>
      <c r="I37" s="335" t="s">
        <v>220</v>
      </c>
      <c r="J37" s="335" t="s">
        <v>143</v>
      </c>
      <c r="K37" s="417"/>
      <c r="L37" s="407"/>
      <c r="M37" s="345"/>
      <c r="N37" s="288"/>
      <c r="O37" s="288"/>
      <c r="P37" s="407"/>
      <c r="Q37" s="407"/>
      <c r="R37" s="288"/>
      <c r="S37" s="288"/>
      <c r="T37" s="288"/>
      <c r="U37" s="288"/>
      <c r="V37" s="288"/>
      <c r="W37" s="288"/>
      <c r="X37" s="288"/>
      <c r="Y37" s="288"/>
      <c r="Z37" s="288"/>
      <c r="AB37" s="288"/>
      <c r="AC37" s="288"/>
      <c r="AD37" s="288"/>
      <c r="AE37" s="288"/>
    </row>
    <row r="38" spans="2:31">
      <c r="B38" s="288"/>
      <c r="C38" s="289" t="s">
        <v>205</v>
      </c>
      <c r="D38" s="289" t="s">
        <v>171</v>
      </c>
      <c r="E38" s="481">
        <v>41166</v>
      </c>
      <c r="F38" s="481"/>
      <c r="G38" s="288"/>
      <c r="H38" s="327">
        <v>19.71</v>
      </c>
      <c r="I38" s="327">
        <f>'Holdings Pull Sheet'!F34</f>
        <v>14.47</v>
      </c>
      <c r="J38" s="285">
        <f t="shared" ref="J38:J50" si="36">(I38/H38)-1</f>
        <v>-0.26585489599188228</v>
      </c>
      <c r="K38" s="285"/>
      <c r="L38" s="288"/>
      <c r="M38" s="286"/>
      <c r="N38" s="288"/>
      <c r="O38" s="288"/>
      <c r="P38" s="288"/>
      <c r="Q38" s="288"/>
      <c r="R38" s="288"/>
      <c r="S38" s="288"/>
      <c r="T38" s="288"/>
      <c r="U38" s="288"/>
      <c r="V38" s="288"/>
      <c r="W38" s="288"/>
      <c r="X38" s="288"/>
      <c r="Y38" s="288"/>
      <c r="Z38" s="288"/>
      <c r="AB38" s="288"/>
      <c r="AC38" s="288"/>
      <c r="AD38" s="288"/>
      <c r="AE38" s="288"/>
    </row>
    <row r="39" spans="2:31">
      <c r="B39" s="288"/>
      <c r="C39" s="289" t="s">
        <v>215</v>
      </c>
      <c r="D39" s="289" t="s">
        <v>42</v>
      </c>
      <c r="E39" s="482">
        <v>41215</v>
      </c>
      <c r="F39" s="482"/>
      <c r="G39" s="288"/>
      <c r="H39" s="327">
        <v>23</v>
      </c>
      <c r="I39" s="327">
        <f>'Holdings Pull Sheet'!F35</f>
        <v>20.309999999999999</v>
      </c>
      <c r="J39" s="285">
        <f t="shared" si="36"/>
        <v>-0.11695652173913051</v>
      </c>
      <c r="K39" s="285"/>
      <c r="L39" s="288"/>
      <c r="M39" s="286"/>
      <c r="N39" s="288"/>
      <c r="O39" s="288"/>
      <c r="P39" s="288"/>
      <c r="Q39" s="288"/>
      <c r="R39" s="288"/>
      <c r="S39" s="288"/>
      <c r="T39" s="288"/>
      <c r="U39" s="288"/>
      <c r="V39" s="288"/>
      <c r="W39" s="288"/>
      <c r="X39" s="288"/>
      <c r="Y39" s="288"/>
      <c r="Z39" s="288"/>
      <c r="AB39" s="288"/>
      <c r="AC39" s="288"/>
      <c r="AD39" s="288"/>
      <c r="AE39" s="288"/>
    </row>
    <row r="40" spans="2:31">
      <c r="B40" s="288"/>
      <c r="C40" s="289" t="s">
        <v>211</v>
      </c>
      <c r="D40" s="289" t="s">
        <v>91</v>
      </c>
      <c r="E40" s="482">
        <v>41243</v>
      </c>
      <c r="F40" s="482"/>
      <c r="G40" s="288"/>
      <c r="H40" s="327">
        <v>54.07</v>
      </c>
      <c r="I40" s="327">
        <f>'Holdings Pull Sheet'!F36</f>
        <v>67.72</v>
      </c>
      <c r="J40" s="285">
        <f t="shared" si="36"/>
        <v>0.25245052709450699</v>
      </c>
      <c r="K40" s="285"/>
      <c r="L40" s="288"/>
      <c r="M40" s="286"/>
      <c r="N40" s="288"/>
      <c r="O40" s="288"/>
      <c r="P40" s="288"/>
      <c r="Q40" s="288"/>
      <c r="R40" s="288"/>
      <c r="S40" s="288"/>
      <c r="T40" s="288"/>
      <c r="U40" s="288"/>
      <c r="V40" s="288"/>
      <c r="W40" s="288"/>
      <c r="X40" s="288"/>
      <c r="Y40" s="288"/>
      <c r="Z40" s="288"/>
      <c r="AB40" s="288"/>
      <c r="AC40" s="288"/>
      <c r="AD40" s="288"/>
      <c r="AE40" s="288"/>
    </row>
    <row r="41" spans="2:31">
      <c r="B41" s="288"/>
      <c r="C41" s="289" t="s">
        <v>217</v>
      </c>
      <c r="D41" s="289" t="s">
        <v>188</v>
      </c>
      <c r="E41" s="482">
        <v>41299</v>
      </c>
      <c r="F41" s="482"/>
      <c r="G41" s="288"/>
      <c r="H41" s="327">
        <v>14.86</v>
      </c>
      <c r="I41" s="327">
        <f>'Holdings Pull Sheet'!F37</f>
        <v>14.29</v>
      </c>
      <c r="J41" s="285">
        <f t="shared" si="36"/>
        <v>-3.8358008075370154E-2</v>
      </c>
      <c r="K41" s="285"/>
      <c r="L41" s="288"/>
      <c r="M41" s="286"/>
      <c r="N41" s="288"/>
      <c r="O41" s="288"/>
      <c r="P41" s="288"/>
      <c r="Q41" s="288"/>
      <c r="R41" s="288"/>
      <c r="S41" s="288"/>
      <c r="T41" s="288"/>
      <c r="U41" s="288"/>
      <c r="V41" s="288"/>
      <c r="W41" s="288"/>
      <c r="X41" s="288"/>
      <c r="Y41" s="288"/>
      <c r="Z41" s="288"/>
      <c r="AB41" s="288"/>
      <c r="AC41" s="288"/>
      <c r="AD41" s="288"/>
      <c r="AE41" s="288"/>
    </row>
    <row r="42" spans="2:31">
      <c r="B42" s="288"/>
      <c r="C42" s="289" t="s">
        <v>259</v>
      </c>
      <c r="D42" s="289" t="s">
        <v>64</v>
      </c>
      <c r="E42" s="482">
        <v>41355</v>
      </c>
      <c r="F42" s="482"/>
      <c r="G42" s="288"/>
      <c r="H42" s="327">
        <v>131.71</v>
      </c>
      <c r="I42" s="327">
        <f>'Holdings Pull Sheet'!F38</f>
        <v>110.05</v>
      </c>
      <c r="J42" s="285">
        <f t="shared" si="36"/>
        <v>-0.16445220560321927</v>
      </c>
      <c r="K42" s="285"/>
      <c r="L42" s="288"/>
      <c r="M42" s="286"/>
      <c r="N42" s="288"/>
      <c r="O42" s="288"/>
      <c r="P42" s="288"/>
      <c r="Q42" s="288"/>
      <c r="R42" s="288"/>
      <c r="S42" s="288"/>
      <c r="T42" s="288"/>
      <c r="U42" s="288"/>
      <c r="V42" s="288"/>
      <c r="W42" s="288"/>
      <c r="X42" s="288"/>
      <c r="Y42" s="288"/>
      <c r="Z42" s="288"/>
      <c r="AB42" s="288"/>
      <c r="AC42" s="288"/>
      <c r="AD42" s="288"/>
      <c r="AE42" s="288"/>
    </row>
    <row r="43" spans="2:31">
      <c r="B43" s="288"/>
      <c r="C43" s="289" t="s">
        <v>50</v>
      </c>
      <c r="D43" s="289" t="s">
        <v>50</v>
      </c>
      <c r="E43" s="482">
        <v>41355</v>
      </c>
      <c r="F43" s="482"/>
      <c r="G43" s="288"/>
      <c r="H43" s="327">
        <v>83.3</v>
      </c>
      <c r="I43" s="327">
        <f>'Holdings Pull Sheet'!F39</f>
        <v>86.32</v>
      </c>
      <c r="J43" s="285">
        <f t="shared" si="36"/>
        <v>3.6254501800720318E-2</v>
      </c>
      <c r="K43" s="285"/>
      <c r="L43" s="288"/>
      <c r="M43" s="286"/>
      <c r="N43" s="288"/>
      <c r="O43" s="288"/>
      <c r="P43" s="288"/>
      <c r="Q43" s="288"/>
      <c r="R43" s="288"/>
      <c r="S43" s="288"/>
      <c r="T43" s="288"/>
      <c r="U43" s="288"/>
      <c r="V43" s="288"/>
      <c r="W43" s="288"/>
      <c r="X43" s="288"/>
      <c r="Y43" s="288"/>
      <c r="Z43" s="288"/>
      <c r="AB43" s="288"/>
      <c r="AC43" s="288"/>
      <c r="AD43" s="288"/>
      <c r="AE43" s="288"/>
    </row>
    <row r="44" spans="2:31">
      <c r="B44" s="288"/>
      <c r="C44" s="289" t="s">
        <v>203</v>
      </c>
      <c r="D44" s="289" t="s">
        <v>57</v>
      </c>
      <c r="E44" s="482">
        <v>41362</v>
      </c>
      <c r="F44" s="482"/>
      <c r="G44" s="288"/>
      <c r="H44" s="327">
        <v>13.01</v>
      </c>
      <c r="I44" s="327">
        <f>'Holdings Pull Sheet'!F40</f>
        <v>15.58</v>
      </c>
      <c r="J44" s="285">
        <f t="shared" si="36"/>
        <v>0.19754035357417377</v>
      </c>
      <c r="K44" s="285"/>
      <c r="L44" s="288"/>
      <c r="M44" s="286"/>
      <c r="N44" s="288"/>
      <c r="O44" s="288"/>
      <c r="P44" s="288"/>
      <c r="Q44" s="288"/>
      <c r="R44" s="288"/>
      <c r="S44" s="288"/>
      <c r="T44" s="288"/>
      <c r="U44" s="288"/>
      <c r="V44" s="288"/>
      <c r="W44" s="288"/>
      <c r="X44" s="288"/>
      <c r="Y44" s="288"/>
      <c r="Z44" s="288"/>
      <c r="AB44" s="288"/>
      <c r="AC44" s="288"/>
      <c r="AD44" s="288"/>
      <c r="AE44" s="288"/>
    </row>
    <row r="45" spans="2:31">
      <c r="B45" s="288"/>
      <c r="C45" s="289" t="s">
        <v>213</v>
      </c>
      <c r="D45" s="289" t="s">
        <v>120</v>
      </c>
      <c r="E45" s="482">
        <v>41416</v>
      </c>
      <c r="F45" s="482"/>
      <c r="G45" s="288"/>
      <c r="H45" s="327">
        <v>28.06</v>
      </c>
      <c r="I45" s="327">
        <f>'Holdings Pull Sheet'!F41</f>
        <v>26.68</v>
      </c>
      <c r="J45" s="285">
        <f t="shared" si="36"/>
        <v>-4.9180327868852403E-2</v>
      </c>
      <c r="K45" s="285"/>
      <c r="L45" s="288"/>
      <c r="M45" s="286"/>
      <c r="N45" s="288"/>
      <c r="O45" s="288"/>
      <c r="P45" s="288"/>
      <c r="Q45" s="288"/>
      <c r="R45" s="288"/>
      <c r="S45" s="288"/>
      <c r="T45" s="288"/>
      <c r="U45" s="288"/>
      <c r="V45" s="288"/>
      <c r="W45" s="288"/>
      <c r="X45" s="288"/>
      <c r="Y45" s="288"/>
      <c r="Z45" s="288"/>
      <c r="AB45" s="288"/>
      <c r="AC45" s="288"/>
      <c r="AD45" s="288"/>
      <c r="AE45" s="288"/>
    </row>
    <row r="46" spans="2:31">
      <c r="B46" s="288"/>
      <c r="C46" s="289" t="s">
        <v>302</v>
      </c>
      <c r="D46" s="289" t="s">
        <v>125</v>
      </c>
      <c r="E46" s="482">
        <v>41416</v>
      </c>
      <c r="F46" s="482"/>
      <c r="G46" s="288"/>
      <c r="H46" s="327">
        <v>28.75</v>
      </c>
      <c r="I46" s="327">
        <f>'Holdings Pull Sheet'!F42</f>
        <v>28.65</v>
      </c>
      <c r="J46" s="285">
        <f t="shared" si="36"/>
        <v>-3.4782608695652639E-3</v>
      </c>
      <c r="K46" s="285"/>
      <c r="L46" s="288"/>
      <c r="M46" s="286"/>
      <c r="N46" s="288"/>
      <c r="O46" s="288"/>
      <c r="P46" s="288"/>
      <c r="Q46" s="288"/>
      <c r="R46" s="288"/>
      <c r="S46" s="288"/>
      <c r="T46" s="288"/>
      <c r="U46" s="288"/>
      <c r="V46" s="288"/>
      <c r="W46" s="288"/>
      <c r="X46" s="288"/>
      <c r="Y46" s="288"/>
      <c r="Z46" s="288"/>
      <c r="AB46" s="288"/>
      <c r="AC46" s="288"/>
      <c r="AD46" s="288"/>
      <c r="AE46" s="288"/>
    </row>
    <row r="47" spans="2:31">
      <c r="B47" s="288"/>
      <c r="C47" s="289" t="s">
        <v>204</v>
      </c>
      <c r="D47" s="289" t="s">
        <v>89</v>
      </c>
      <c r="E47" s="482">
        <v>41424</v>
      </c>
      <c r="F47" s="482"/>
      <c r="G47" s="288"/>
      <c r="H47" s="327">
        <v>41.2</v>
      </c>
      <c r="I47" s="327">
        <f>'Holdings Pull Sheet'!F43</f>
        <v>42.52</v>
      </c>
      <c r="J47" s="430">
        <f t="shared" si="36"/>
        <v>3.2038834951456208E-2</v>
      </c>
      <c r="K47" s="430"/>
      <c r="L47" s="288"/>
      <c r="M47" s="286"/>
      <c r="N47" s="288"/>
      <c r="O47" s="288"/>
      <c r="P47" s="288"/>
      <c r="Q47" s="288"/>
      <c r="R47" s="288"/>
      <c r="S47" s="288"/>
      <c r="T47" s="288"/>
      <c r="U47" s="288"/>
      <c r="V47" s="288"/>
      <c r="W47" s="288"/>
      <c r="X47" s="288"/>
      <c r="Y47" s="288"/>
      <c r="Z47" s="288"/>
      <c r="AB47" s="288"/>
      <c r="AC47" s="288"/>
      <c r="AD47" s="288"/>
      <c r="AE47" s="288"/>
    </row>
    <row r="48" spans="2:31">
      <c r="B48" s="288"/>
      <c r="C48" s="289" t="s">
        <v>119</v>
      </c>
      <c r="D48" s="289" t="s">
        <v>119</v>
      </c>
      <c r="E48" s="482">
        <v>41438</v>
      </c>
      <c r="F48" s="482"/>
      <c r="G48" s="288"/>
      <c r="H48" s="327">
        <v>45.66</v>
      </c>
      <c r="I48" s="327">
        <f>'Holdings Pull Sheet'!F44</f>
        <v>45.99</v>
      </c>
      <c r="J48" s="430">
        <f t="shared" si="36"/>
        <v>7.227332457293123E-3</v>
      </c>
      <c r="K48" s="430"/>
      <c r="L48" s="288"/>
      <c r="M48" s="286"/>
      <c r="N48" s="288"/>
      <c r="O48" s="288"/>
      <c r="P48" s="288"/>
      <c r="Q48" s="288"/>
      <c r="R48" s="288"/>
      <c r="S48" s="288"/>
      <c r="T48" s="288"/>
      <c r="U48" s="288"/>
      <c r="V48" s="288"/>
      <c r="W48" s="288"/>
      <c r="X48" s="288"/>
      <c r="Y48" s="288"/>
      <c r="Z48" s="288"/>
      <c r="AB48" s="288"/>
      <c r="AC48" s="288"/>
      <c r="AD48" s="288"/>
      <c r="AE48" s="288"/>
    </row>
    <row r="49" spans="2:31">
      <c r="B49" s="288"/>
      <c r="C49" s="289" t="s">
        <v>312</v>
      </c>
      <c r="D49" s="289" t="s">
        <v>49</v>
      </c>
      <c r="E49" s="482">
        <v>41438</v>
      </c>
      <c r="F49" s="482"/>
      <c r="G49" s="288"/>
      <c r="H49" s="327">
        <v>61.03</v>
      </c>
      <c r="I49" s="327">
        <f>'Holdings Pull Sheet'!F45</f>
        <v>61.96</v>
      </c>
      <c r="J49" s="430">
        <f t="shared" si="36"/>
        <v>1.5238407340652182E-2</v>
      </c>
      <c r="K49" s="430"/>
      <c r="L49" s="288"/>
      <c r="M49" s="286"/>
      <c r="N49" s="288"/>
      <c r="O49" s="288"/>
      <c r="P49" s="288"/>
      <c r="Q49" s="288"/>
      <c r="R49" s="288"/>
      <c r="S49" s="288"/>
      <c r="T49" s="288"/>
      <c r="U49" s="288"/>
      <c r="V49" s="288"/>
      <c r="W49" s="288"/>
      <c r="X49" s="288"/>
      <c r="Y49" s="288"/>
      <c r="Z49" s="288"/>
      <c r="AB49" s="288"/>
      <c r="AC49" s="288"/>
      <c r="AD49" s="288"/>
      <c r="AE49" s="288"/>
    </row>
    <row r="50" spans="2:31">
      <c r="B50" s="288"/>
      <c r="C50" s="289" t="s">
        <v>218</v>
      </c>
      <c r="D50" s="289" t="s">
        <v>169</v>
      </c>
      <c r="E50" s="482">
        <v>41438</v>
      </c>
      <c r="F50" s="482"/>
      <c r="G50" s="288"/>
      <c r="H50" s="327">
        <v>8.86</v>
      </c>
      <c r="I50" s="327">
        <f>'Holdings Pull Sheet'!F46</f>
        <v>9.1</v>
      </c>
      <c r="J50" s="430">
        <f t="shared" si="36"/>
        <v>2.7088036117381531E-2</v>
      </c>
      <c r="K50" s="430"/>
      <c r="L50" s="288"/>
      <c r="M50" s="286"/>
      <c r="N50" s="288"/>
      <c r="O50" s="288"/>
      <c r="P50" s="288"/>
      <c r="Q50" s="288"/>
      <c r="R50" s="288"/>
      <c r="S50" s="288"/>
      <c r="T50" s="288"/>
      <c r="U50" s="288"/>
      <c r="V50" s="288"/>
      <c r="W50" s="288"/>
      <c r="X50" s="288"/>
      <c r="Y50" s="288"/>
      <c r="Z50" s="288"/>
      <c r="AB50" s="288"/>
      <c r="AC50" s="288"/>
      <c r="AD50" s="288"/>
      <c r="AE50" s="288"/>
    </row>
    <row r="51" spans="2:31">
      <c r="B51" s="288"/>
      <c r="C51" s="288"/>
      <c r="D51" s="288"/>
      <c r="E51" s="288"/>
      <c r="F51" s="288"/>
      <c r="G51" s="288"/>
      <c r="H51" s="288"/>
      <c r="I51" s="288"/>
      <c r="J51" s="288"/>
      <c r="K51" s="288"/>
      <c r="L51" s="288"/>
      <c r="N51" s="288"/>
      <c r="O51" s="288"/>
      <c r="P51" s="288"/>
      <c r="Q51" s="288"/>
      <c r="R51" s="288"/>
      <c r="S51" s="288"/>
      <c r="T51" s="288"/>
      <c r="U51" s="288"/>
      <c r="V51" s="288"/>
      <c r="W51" s="288"/>
      <c r="X51" s="288"/>
      <c r="Y51" s="288"/>
      <c r="Z51" s="288"/>
      <c r="AB51" s="288"/>
      <c r="AC51" s="288"/>
      <c r="AD51" s="288"/>
      <c r="AE51" s="288"/>
    </row>
    <row r="52" spans="2:31">
      <c r="B52" s="288"/>
      <c r="C52" s="480" t="s">
        <v>278</v>
      </c>
      <c r="D52" s="480"/>
      <c r="E52" s="484" t="s">
        <v>225</v>
      </c>
      <c r="F52" s="485"/>
      <c r="G52" s="346"/>
      <c r="H52" s="335" t="s">
        <v>231</v>
      </c>
      <c r="I52" s="335" t="s">
        <v>220</v>
      </c>
      <c r="J52" s="335" t="s">
        <v>143</v>
      </c>
      <c r="K52" s="417"/>
      <c r="L52" s="288"/>
      <c r="M52" s="345"/>
      <c r="N52" s="288"/>
      <c r="O52" s="288"/>
      <c r="P52" s="288"/>
      <c r="Q52" s="288"/>
      <c r="R52" s="288"/>
      <c r="S52" s="288"/>
      <c r="T52" s="288"/>
      <c r="U52" s="288"/>
      <c r="V52" s="288"/>
      <c r="W52" s="288"/>
      <c r="X52" s="288"/>
      <c r="Y52" s="288"/>
      <c r="Z52" s="288"/>
      <c r="AB52" s="288"/>
      <c r="AC52" s="288"/>
      <c r="AD52" s="288"/>
      <c r="AE52" s="288"/>
    </row>
    <row r="53" spans="2:31">
      <c r="B53" s="288"/>
      <c r="C53" s="289" t="s">
        <v>252</v>
      </c>
      <c r="D53" s="289" t="s">
        <v>254</v>
      </c>
      <c r="E53" s="481">
        <v>41228</v>
      </c>
      <c r="F53" s="481"/>
      <c r="G53" s="288"/>
      <c r="H53" s="327">
        <v>47.47</v>
      </c>
      <c r="I53" s="327">
        <f>'Holdings Pull Sheet'!F47</f>
        <v>64.3</v>
      </c>
      <c r="J53" s="285">
        <f>(I53/H53)-1</f>
        <v>0.35453970929007794</v>
      </c>
      <c r="K53" s="285"/>
      <c r="L53" s="288"/>
      <c r="M53" s="286"/>
      <c r="N53" s="288"/>
      <c r="O53" s="288"/>
      <c r="P53" s="288"/>
      <c r="Q53" s="288"/>
      <c r="R53" s="288"/>
      <c r="S53" s="288"/>
      <c r="T53" s="288"/>
      <c r="U53" s="288"/>
      <c r="V53" s="288"/>
      <c r="W53" s="288"/>
      <c r="X53" s="288"/>
      <c r="Y53" s="288"/>
      <c r="Z53" s="288"/>
      <c r="AB53" s="288"/>
      <c r="AC53" s="288"/>
      <c r="AD53" s="288"/>
      <c r="AE53" s="288"/>
    </row>
    <row r="54" spans="2:31">
      <c r="B54" s="288"/>
      <c r="C54" s="289" t="s">
        <v>275</v>
      </c>
      <c r="D54" s="289" t="s">
        <v>280</v>
      </c>
      <c r="E54" s="482">
        <v>41299</v>
      </c>
      <c r="F54" s="482"/>
      <c r="G54" s="288"/>
      <c r="H54" s="327">
        <v>56.12</v>
      </c>
      <c r="I54" s="327">
        <f>'Holdings Pull Sheet'!F48</f>
        <v>64.510000000000005</v>
      </c>
      <c r="J54" s="285">
        <f>(I54/H54)-1</f>
        <v>0.14950106913756245</v>
      </c>
      <c r="K54" s="285"/>
      <c r="L54" s="288"/>
      <c r="M54" s="286"/>
      <c r="N54" s="288"/>
      <c r="O54" s="288"/>
      <c r="P54" s="288"/>
      <c r="Q54" s="288"/>
      <c r="R54" s="288"/>
      <c r="S54" s="288"/>
      <c r="T54" s="288"/>
      <c r="U54" s="288"/>
      <c r="V54" s="288"/>
      <c r="W54" s="288"/>
      <c r="X54" s="288"/>
      <c r="Y54" s="288"/>
      <c r="Z54" s="288"/>
      <c r="AB54" s="288"/>
      <c r="AC54" s="288"/>
      <c r="AD54" s="288"/>
      <c r="AE54" s="288"/>
    </row>
    <row r="55" spans="2:31">
      <c r="B55" s="288"/>
      <c r="C55" s="288"/>
      <c r="D55" s="288"/>
      <c r="E55" s="405"/>
      <c r="F55" s="320"/>
      <c r="G55" s="320"/>
      <c r="H55" s="300"/>
      <c r="I55" s="327"/>
      <c r="J55" s="288"/>
      <c r="K55" s="288"/>
      <c r="L55" s="285"/>
      <c r="M55" s="286"/>
      <c r="N55" s="288"/>
      <c r="O55" s="288"/>
      <c r="P55" s="288"/>
      <c r="Q55" s="288"/>
      <c r="R55" s="288"/>
      <c r="S55" s="288"/>
      <c r="T55" s="288"/>
      <c r="U55" s="288"/>
      <c r="V55" s="288"/>
      <c r="W55" s="288"/>
      <c r="X55" s="288"/>
      <c r="Y55" s="288"/>
      <c r="Z55" s="288"/>
      <c r="AB55" s="288"/>
      <c r="AC55" s="288"/>
      <c r="AD55" s="288"/>
      <c r="AE55" s="288"/>
    </row>
    <row r="56" spans="2:31">
      <c r="B56" s="288"/>
      <c r="C56" s="480" t="s">
        <v>279</v>
      </c>
      <c r="D56" s="480"/>
      <c r="E56" s="484" t="s">
        <v>225</v>
      </c>
      <c r="F56" s="485"/>
      <c r="G56" s="346"/>
      <c r="H56" s="335" t="s">
        <v>231</v>
      </c>
      <c r="I56" s="335" t="s">
        <v>220</v>
      </c>
      <c r="J56" s="335" t="s">
        <v>143</v>
      </c>
      <c r="K56" s="417"/>
      <c r="L56" s="288"/>
      <c r="M56" s="345"/>
      <c r="N56" s="288"/>
      <c r="O56" s="288"/>
      <c r="P56" s="288"/>
      <c r="Q56" s="288"/>
      <c r="R56" s="288"/>
      <c r="S56" s="288"/>
      <c r="T56" s="288"/>
      <c r="U56" s="288"/>
      <c r="V56" s="288"/>
      <c r="W56" s="288"/>
      <c r="X56" s="288"/>
      <c r="Y56" s="288"/>
      <c r="Z56" s="288"/>
      <c r="AB56" s="288"/>
      <c r="AC56" s="288"/>
      <c r="AD56" s="288"/>
      <c r="AE56" s="288"/>
    </row>
    <row r="57" spans="2:31">
      <c r="B57" s="288"/>
      <c r="C57" s="289" t="s">
        <v>203</v>
      </c>
      <c r="D57" s="289" t="s">
        <v>57</v>
      </c>
      <c r="E57" s="481">
        <v>41354</v>
      </c>
      <c r="F57" s="481"/>
      <c r="G57" s="288"/>
      <c r="H57" s="327">
        <v>13.27</v>
      </c>
      <c r="I57" s="327">
        <f>'Holdings Pull Sheet'!F40</f>
        <v>15.58</v>
      </c>
      <c r="J57" s="285">
        <f>(I57/H57)-1</f>
        <v>0.17407686510926901</v>
      </c>
      <c r="K57" s="285"/>
      <c r="L57" s="288"/>
      <c r="M57" s="286"/>
      <c r="N57" s="288"/>
      <c r="O57" s="288"/>
      <c r="P57" s="288"/>
      <c r="Q57" s="288"/>
      <c r="R57" s="288"/>
      <c r="S57" s="288"/>
      <c r="T57" s="288"/>
      <c r="U57" s="288"/>
      <c r="V57" s="288"/>
      <c r="W57" s="288"/>
      <c r="X57" s="288"/>
      <c r="Y57" s="288"/>
      <c r="Z57" s="288"/>
      <c r="AB57" s="288"/>
      <c r="AC57" s="288"/>
      <c r="AD57" s="288"/>
      <c r="AE57" s="288"/>
    </row>
    <row r="58" spans="2:31">
      <c r="B58" s="288"/>
      <c r="C58" s="288"/>
      <c r="D58" s="288"/>
      <c r="E58" s="288"/>
      <c r="F58" s="288"/>
      <c r="G58" s="288"/>
      <c r="H58" s="288"/>
      <c r="I58" s="288"/>
      <c r="J58" s="288"/>
      <c r="K58" s="288"/>
      <c r="L58" s="288"/>
      <c r="N58" s="288"/>
      <c r="O58" s="288"/>
      <c r="P58" s="288"/>
      <c r="Q58" s="288"/>
      <c r="R58" s="288"/>
      <c r="S58" s="288"/>
      <c r="T58" s="288"/>
      <c r="U58" s="288"/>
      <c r="V58" s="288"/>
      <c r="W58" s="288"/>
      <c r="X58" s="288"/>
      <c r="Y58" s="288"/>
      <c r="Z58" s="288"/>
      <c r="AB58" s="288"/>
      <c r="AC58" s="288"/>
      <c r="AD58" s="288"/>
      <c r="AE58" s="288"/>
    </row>
    <row r="59" spans="2:31">
      <c r="B59" s="288"/>
      <c r="C59" s="288"/>
      <c r="D59" s="288"/>
      <c r="E59" s="288"/>
      <c r="F59" s="288"/>
      <c r="G59" s="288"/>
      <c r="H59" s="288"/>
      <c r="I59" s="288"/>
      <c r="J59" s="288"/>
      <c r="K59" s="288"/>
      <c r="L59" s="288"/>
      <c r="N59" s="288"/>
      <c r="O59" s="288"/>
      <c r="P59" s="288"/>
      <c r="Q59" s="288"/>
      <c r="R59" s="288"/>
      <c r="S59" s="288"/>
      <c r="T59" s="288"/>
      <c r="U59" s="288"/>
      <c r="V59" s="288"/>
      <c r="W59" s="288"/>
      <c r="X59" s="288"/>
      <c r="Y59" s="288"/>
      <c r="Z59" s="288"/>
      <c r="AB59" s="288"/>
      <c r="AC59" s="288"/>
      <c r="AD59" s="288"/>
      <c r="AE59" s="288"/>
    </row>
  </sheetData>
  <mergeCells count="35">
    <mergeCell ref="E50:F50"/>
    <mergeCell ref="V3:W3"/>
    <mergeCell ref="E57:F57"/>
    <mergeCell ref="E28:F28"/>
    <mergeCell ref="E29:F29"/>
    <mergeCell ref="E39:F39"/>
    <mergeCell ref="E40:F40"/>
    <mergeCell ref="E38:F38"/>
    <mergeCell ref="E53:F53"/>
    <mergeCell ref="E25:F25"/>
    <mergeCell ref="E37:F37"/>
    <mergeCell ref="E52:F52"/>
    <mergeCell ref="E56:F56"/>
    <mergeCell ref="E54:F54"/>
    <mergeCell ref="E43:F43"/>
    <mergeCell ref="C25:D25"/>
    <mergeCell ref="C37:D37"/>
    <mergeCell ref="E48:F48"/>
    <mergeCell ref="E49:F49"/>
    <mergeCell ref="C52:D52"/>
    <mergeCell ref="C56:D56"/>
    <mergeCell ref="E26:F26"/>
    <mergeCell ref="E27:F27"/>
    <mergeCell ref="E30:F30"/>
    <mergeCell ref="E31:F31"/>
    <mergeCell ref="E44:F44"/>
    <mergeCell ref="E32:F32"/>
    <mergeCell ref="E45:F45"/>
    <mergeCell ref="E46:F46"/>
    <mergeCell ref="E33:F33"/>
    <mergeCell ref="E47:F47"/>
    <mergeCell ref="E34:F34"/>
    <mergeCell ref="E35:F35"/>
    <mergeCell ref="E41:F41"/>
    <mergeCell ref="E42:F42"/>
  </mergeCells>
  <conditionalFormatting sqref="I57 I55 H56:H57 H53:I54 L24 V4 X4:AA4 I4:M8 M10:M23 H4:H22 I9:L22 H26:I35 H38:I50">
    <cfRule type="cellIs" dxfId="5" priority="75" operator="equal">
      <formula>"""Large"""</formula>
    </cfRule>
  </conditionalFormatting>
  <conditionalFormatting sqref="M53:M57 L55 M26:M35 M38:M50 J57:K57 J53:K54 N23:S23 O4:S22 N5:N22 AC4:AD23 J26:K35 J38:K50">
    <cfRule type="cellIs" dxfId="4" priority="74" operator="lessThan">
      <formula>0</formula>
    </cfRule>
  </conditionalFormatting>
  <conditionalFormatting sqref="M53:M57 L55 M26:M35 M38:M50 J57:K57 J53:K54 N23:S23 O4:S22 N5:N22 AC4:AD23 J26:K35 J38:K50">
    <cfRule type="cellIs" dxfId="3" priority="73" operator="greaterThan">
      <formula>0</formula>
    </cfRule>
  </conditionalFormatting>
  <conditionalFormatting sqref="W4:W22">
    <cfRule type="containsText" dxfId="2" priority="54" operator="containsText" text="Mid">
      <formula>NOT(ISERROR(SEARCH("Mid",W4)))</formula>
    </cfRule>
    <cfRule type="containsText" dxfId="1" priority="55" operator="containsText" text="Small">
      <formula>NOT(ISERROR(SEARCH("Small",W4)))</formula>
    </cfRule>
    <cfRule type="containsText" dxfId="0" priority="56" operator="containsText" text="Large">
      <formula>NOT(ISERROR(SEARCH("Large",W4)))</formula>
    </cfRule>
  </conditionalFormatting>
  <pageMargins left="0.7" right="0.7" top="0.75" bottom="0.75" header="0.3" footer="0.3"/>
  <ignoredErrors>
    <ignoredError sqref="P17:Q17" formula="1"/>
  </ignoredErrors>
</worksheet>
</file>

<file path=xl/worksheets/sheet3.xml><?xml version="1.0" encoding="utf-8"?>
<worksheet xmlns="http://schemas.openxmlformats.org/spreadsheetml/2006/main" xmlns:r="http://schemas.openxmlformats.org/officeDocument/2006/relationships">
  <sheetPr codeName="Sheet6">
    <tabColor rgb="FF00B0F0"/>
  </sheetPr>
  <dimension ref="B2:J26"/>
  <sheetViews>
    <sheetView workbookViewId="0">
      <selection activeCell="H4" sqref="H4"/>
    </sheetView>
  </sheetViews>
  <sheetFormatPr defaultRowHeight="15"/>
  <cols>
    <col min="1" max="1" width="2.85546875" style="354" customWidth="1"/>
    <col min="2" max="2" width="0.7109375" style="354" customWidth="1"/>
    <col min="3" max="3" width="23.7109375" style="354" bestFit="1" customWidth="1"/>
    <col min="4" max="4" width="12.5703125" style="354" bestFit="1" customWidth="1"/>
    <col min="5" max="5" width="17.28515625" style="354" bestFit="1" customWidth="1"/>
    <col min="6" max="6" width="20.42578125" style="354" bestFit="1" customWidth="1"/>
    <col min="7" max="7" width="13.5703125" style="354" bestFit="1" customWidth="1"/>
    <col min="8" max="8" width="18.85546875" style="354" bestFit="1" customWidth="1"/>
    <col min="9" max="9" width="17.7109375" style="354" customWidth="1"/>
    <col min="10" max="10" width="0.7109375" style="354" customWidth="1"/>
    <col min="11" max="16384" width="9.140625" style="354"/>
  </cols>
  <sheetData>
    <row r="2" spans="2:10" ht="3.75" customHeight="1">
      <c r="B2" s="353"/>
      <c r="C2" s="353"/>
      <c r="D2" s="353"/>
      <c r="E2" s="353"/>
      <c r="F2" s="353"/>
      <c r="G2" s="353"/>
      <c r="H2" s="353"/>
      <c r="I2" s="353"/>
      <c r="J2" s="353"/>
    </row>
    <row r="3" spans="2:10" ht="15.75">
      <c r="B3" s="353"/>
      <c r="C3" s="355" t="s">
        <v>258</v>
      </c>
      <c r="D3" s="355" t="s">
        <v>127</v>
      </c>
      <c r="E3" s="355" t="s">
        <v>143</v>
      </c>
      <c r="F3" s="355" t="s">
        <v>220</v>
      </c>
      <c r="G3" s="355" t="s">
        <v>66</v>
      </c>
      <c r="H3" s="355" t="s">
        <v>291</v>
      </c>
      <c r="I3" s="355" t="s">
        <v>269</v>
      </c>
      <c r="J3" s="356"/>
    </row>
    <row r="4" spans="2:10" ht="15.75">
      <c r="B4" s="353"/>
      <c r="C4" s="357" t="str">
        <f>Holdings!C16</f>
        <v>Natural Grocers</v>
      </c>
      <c r="D4" s="357" t="str">
        <f>'Holdings Pull Sheet'!B27</f>
        <v>NGVC</v>
      </c>
      <c r="E4" s="358">
        <f t="shared" ref="E4:E23" si="0">I4/H4-1</f>
        <v>3.5527299925205869E-2</v>
      </c>
      <c r="F4" s="415">
        <f>Holdings!E16</f>
        <v>27.69</v>
      </c>
      <c r="G4" s="353">
        <f>Holdings!G16</f>
        <v>75</v>
      </c>
      <c r="H4" s="359">
        <f>Holdings!L16</f>
        <v>2005.4999999999998</v>
      </c>
      <c r="I4" s="359">
        <f>Holdings!H16</f>
        <v>2076.75</v>
      </c>
      <c r="J4" s="356"/>
    </row>
    <row r="5" spans="2:10" ht="15.75">
      <c r="B5" s="353"/>
      <c r="C5" s="357" t="str">
        <f>Holdings!C19</f>
        <v>Wells Fargo</v>
      </c>
      <c r="D5" s="357" t="str">
        <f>'Holdings Pull Sheet'!B28</f>
        <v>TPC</v>
      </c>
      <c r="E5" s="358">
        <f t="shared" si="0"/>
        <v>4.610951008645392E-3</v>
      </c>
      <c r="F5" s="415">
        <f>Holdings!E19</f>
        <v>40.94</v>
      </c>
      <c r="G5" s="353">
        <f>Holdings!G17</f>
        <v>200</v>
      </c>
      <c r="H5" s="359">
        <f>Holdings!L17</f>
        <v>3470.0000000000005</v>
      </c>
      <c r="I5" s="359">
        <f>Holdings!H17</f>
        <v>3486</v>
      </c>
      <c r="J5" s="359"/>
    </row>
    <row r="6" spans="2:10" ht="15.75">
      <c r="B6" s="353"/>
      <c r="C6" s="357" t="e">
        <f>Holdings!#REF!</f>
        <v>#REF!</v>
      </c>
      <c r="D6" s="357" t="str">
        <f>'Holdings Pull Sheet'!B31</f>
        <v>YHOO</v>
      </c>
      <c r="E6" s="358">
        <f t="shared" si="0"/>
        <v>6.1045402518122849E-3</v>
      </c>
      <c r="F6" s="415" t="e">
        <f>Holdings!#REF!</f>
        <v>#REF!</v>
      </c>
      <c r="G6" s="353">
        <f>Holdings!G20</f>
        <v>100</v>
      </c>
      <c r="H6" s="359">
        <f>Holdings!L20</f>
        <v>2621</v>
      </c>
      <c r="I6" s="359">
        <f>Holdings!H20</f>
        <v>2637</v>
      </c>
      <c r="J6" s="359"/>
    </row>
    <row r="7" spans="2:10" ht="15.75">
      <c r="B7" s="353"/>
      <c r="C7" s="357" t="e">
        <f>Holdings!#REF!</f>
        <v>#REF!</v>
      </c>
      <c r="D7" s="357" t="str">
        <f>'Holdings Pull Sheet'!B42</f>
        <v>WMMVY</v>
      </c>
      <c r="E7" s="358" t="e">
        <f t="shared" si="0"/>
        <v>#REF!</v>
      </c>
      <c r="F7" s="415">
        <f>Holdings!E21</f>
        <v>22.6</v>
      </c>
      <c r="G7" s="353" t="e">
        <f>Holdings!#REF!</f>
        <v>#REF!</v>
      </c>
      <c r="H7" s="359" t="e">
        <f>Holdings!#REF!</f>
        <v>#REF!</v>
      </c>
      <c r="I7" s="359" t="e">
        <f>Holdings!#REF!</f>
        <v>#REF!</v>
      </c>
      <c r="J7" s="359"/>
    </row>
    <row r="8" spans="2:10" ht="15.75">
      <c r="B8" s="353"/>
      <c r="C8" s="357" t="e">
        <f>Holdings!#REF!</f>
        <v>#REF!</v>
      </c>
      <c r="D8" s="357" t="str">
        <f>'Holdings Pull Sheet'!B44</f>
        <v>HCP</v>
      </c>
      <c r="E8" s="358" t="e">
        <f t="shared" si="0"/>
        <v>#REF!</v>
      </c>
      <c r="F8" s="415">
        <f>Holdings!E11</f>
        <v>23.27</v>
      </c>
      <c r="G8" s="353" t="e">
        <f>Holdings!#REF!</f>
        <v>#REF!</v>
      </c>
      <c r="H8" s="359" t="e">
        <f>Holdings!#REF!</f>
        <v>#REF!</v>
      </c>
      <c r="I8" s="359" t="e">
        <f>Holdings!#REF!</f>
        <v>#REF!</v>
      </c>
      <c r="J8" s="359"/>
    </row>
    <row r="9" spans="2:10" ht="15.75">
      <c r="B9" s="353"/>
      <c r="C9" s="357" t="str">
        <f>Holdings!C15</f>
        <v>Medtronic</v>
      </c>
      <c r="D9" s="357" t="str">
        <f>'Holdings Pull Sheet'!B26</f>
        <v>MDT</v>
      </c>
      <c r="E9" s="358">
        <f t="shared" si="0"/>
        <v>2.5252525252525304E-2</v>
      </c>
      <c r="F9" s="415">
        <f>Holdings!E14</f>
        <v>24.99</v>
      </c>
      <c r="G9" s="353">
        <f>Holdings!G15</f>
        <v>28.376000000000001</v>
      </c>
      <c r="H9" s="359">
        <f>Holdings!L15</f>
        <v>1460.79648</v>
      </c>
      <c r="I9" s="359">
        <f>Holdings!H15</f>
        <v>1497.6852800000001</v>
      </c>
      <c r="J9" s="359"/>
    </row>
    <row r="10" spans="2:10" ht="15.75">
      <c r="B10" s="353"/>
      <c r="C10" s="357" t="str">
        <f>Holdings!C13</f>
        <v>Immersion</v>
      </c>
      <c r="D10" s="357" t="str">
        <f>'Holdings Pull Sheet'!B24</f>
        <v>IMMR</v>
      </c>
      <c r="E10" s="358">
        <f t="shared" si="0"/>
        <v>2.685950413223126E-2</v>
      </c>
      <c r="F10" s="415">
        <f>Holdings!E13</f>
        <v>14.91</v>
      </c>
      <c r="G10" s="353">
        <f>Holdings!G13</f>
        <v>135</v>
      </c>
      <c r="H10" s="359">
        <f>Holdings!L13</f>
        <v>1960.2</v>
      </c>
      <c r="I10" s="359">
        <f>Holdings!H13</f>
        <v>2012.85</v>
      </c>
      <c r="J10" s="359"/>
    </row>
    <row r="11" spans="2:10" ht="15.75">
      <c r="B11" s="353"/>
      <c r="C11" s="357" t="e">
        <f>Holdings!#REF!</f>
        <v>#REF!</v>
      </c>
      <c r="D11" s="357" t="str">
        <f>'Holdings Pull Sheet'!B41</f>
        <v>TTEK</v>
      </c>
      <c r="E11" s="358" t="e">
        <f t="shared" si="0"/>
        <v>#REF!</v>
      </c>
      <c r="F11" s="415">
        <f>Holdings!E18</f>
        <v>25.71</v>
      </c>
      <c r="G11" s="353" t="e">
        <f>Holdings!#REF!</f>
        <v>#REF!</v>
      </c>
      <c r="H11" s="359" t="e">
        <f>Holdings!#REF!</f>
        <v>#REF!</v>
      </c>
      <c r="I11" s="359" t="e">
        <f>Holdings!#REF!</f>
        <v>#REF!</v>
      </c>
      <c r="J11" s="359"/>
    </row>
    <row r="12" spans="2:10" ht="15.75">
      <c r="B12" s="353"/>
      <c r="C12" s="357" t="str">
        <f>Holdings!C21</f>
        <v>YRC Worldwide</v>
      </c>
      <c r="D12" s="357" t="str">
        <f>'Holdings Pull Sheet'!B30</f>
        <v>WFC</v>
      </c>
      <c r="E12" s="358">
        <f t="shared" si="0"/>
        <v>5.4027504911591251E-3</v>
      </c>
      <c r="F12" s="415">
        <f>Holdings!E22</f>
        <v>0</v>
      </c>
      <c r="G12" s="353">
        <f>Holdings!G19</f>
        <v>52.085000000000001</v>
      </c>
      <c r="H12" s="359">
        <f>Holdings!L19</f>
        <v>2120.9011999999998</v>
      </c>
      <c r="I12" s="359">
        <f>Holdings!H19</f>
        <v>2132.3598999999999</v>
      </c>
      <c r="J12" s="359"/>
    </row>
    <row r="13" spans="2:10" ht="15.75">
      <c r="B13" s="353"/>
      <c r="C13" s="357" t="str">
        <f>Holdings!C18</f>
        <v>Tyson Foods</v>
      </c>
      <c r="D13" s="357" t="str">
        <f>'Holdings Pull Sheet'!B45</f>
        <v>QCOM</v>
      </c>
      <c r="E13" s="358" t="e">
        <f t="shared" si="0"/>
        <v>#REF!</v>
      </c>
      <c r="F13" s="415">
        <f>Holdings!E17</f>
        <v>17.43</v>
      </c>
      <c r="G13" s="353" t="e">
        <f>Holdings!#REF!</f>
        <v>#REF!</v>
      </c>
      <c r="H13" s="359" t="e">
        <f>Holdings!#REF!</f>
        <v>#REF!</v>
      </c>
      <c r="I13" s="359" t="e">
        <f>Holdings!#REF!</f>
        <v>#REF!</v>
      </c>
      <c r="J13" s="359"/>
    </row>
    <row r="14" spans="2:10" ht="15.75">
      <c r="B14" s="353"/>
      <c r="C14" s="357" t="str">
        <f>Holdings!C20</f>
        <v>Yahoo</v>
      </c>
      <c r="D14" s="357" t="str">
        <f>'Holdings Pull Sheet'!B29</f>
        <v>TSN</v>
      </c>
      <c r="E14" s="358">
        <f t="shared" si="0"/>
        <v>3.6275695284159859E-2</v>
      </c>
      <c r="F14" s="415">
        <f>Holdings!E20</f>
        <v>26.37</v>
      </c>
      <c r="G14" s="353">
        <f>Holdings!G18</f>
        <v>100.97</v>
      </c>
      <c r="H14" s="359">
        <f>Holdings!L18</f>
        <v>2505.0656999999997</v>
      </c>
      <c r="I14" s="359">
        <f>Holdings!H18</f>
        <v>2595.9387000000002</v>
      </c>
      <c r="J14" s="359"/>
    </row>
    <row r="15" spans="2:10" ht="15.75">
      <c r="B15" s="353"/>
      <c r="C15" s="357" t="str">
        <f>Holdings!C11</f>
        <v>Gentex</v>
      </c>
      <c r="D15" s="357" t="str">
        <f>'Holdings Pull Sheet'!B22</f>
        <v>GNTX</v>
      </c>
      <c r="E15" s="358">
        <f t="shared" si="0"/>
        <v>1.5713662156263686E-2</v>
      </c>
      <c r="F15" s="415">
        <f>Holdings!E10</f>
        <v>18.71</v>
      </c>
      <c r="G15" s="353">
        <f>Holdings!G11</f>
        <v>93.173000000000002</v>
      </c>
      <c r="H15" s="359">
        <f>Holdings!L11</f>
        <v>2134.5934299999999</v>
      </c>
      <c r="I15" s="359">
        <f>Holdings!H11</f>
        <v>2168.13571</v>
      </c>
      <c r="J15" s="359"/>
    </row>
    <row r="16" spans="2:10" ht="15.75">
      <c r="B16" s="353"/>
      <c r="C16" s="357" t="str">
        <f>Holdings!C6</f>
        <v>BlackRock Global</v>
      </c>
      <c r="D16" s="357" t="str">
        <f>'Holdings Pull Sheet'!B17</f>
        <v>MCLOX</v>
      </c>
      <c r="E16" s="358">
        <f t="shared" si="0"/>
        <v>4.1429311237701771E-3</v>
      </c>
      <c r="F16" s="415">
        <f>Holdings!E6</f>
        <v>19.39</v>
      </c>
      <c r="G16" s="353">
        <f>Holdings!G6</f>
        <v>89.25</v>
      </c>
      <c r="H16" s="359">
        <f>Holdings!L6</f>
        <v>1723.4174999999998</v>
      </c>
      <c r="I16" s="359">
        <f>Holdings!H6</f>
        <v>1730.5575000000001</v>
      </c>
      <c r="J16" s="359"/>
    </row>
    <row r="17" spans="2:10" ht="15.75">
      <c r="B17" s="353"/>
      <c r="C17" s="357" t="str">
        <f>Holdings!C12</f>
        <v>Home Depot</v>
      </c>
      <c r="D17" s="357" t="str">
        <f>'Holdings Pull Sheet'!B23</f>
        <v>HD</v>
      </c>
      <c r="E17" s="358">
        <f t="shared" si="0"/>
        <v>-9.4486150660109125E-3</v>
      </c>
      <c r="F17" s="415">
        <f>Holdings!E12</f>
        <v>76.53</v>
      </c>
      <c r="G17" s="353">
        <f>Holdings!G12</f>
        <v>59.37</v>
      </c>
      <c r="H17" s="359">
        <f>Holdings!L12</f>
        <v>4586.9261999999999</v>
      </c>
      <c r="I17" s="359">
        <f>Holdings!H12</f>
        <v>4543.5860999999995</v>
      </c>
      <c r="J17" s="359"/>
    </row>
    <row r="18" spans="2:10" ht="15.75">
      <c r="B18" s="353"/>
      <c r="C18" s="357" t="str">
        <f>Holdings!C5</f>
        <v>Berkshire Hathaway</v>
      </c>
      <c r="D18" s="357" t="str">
        <f>'Holdings Pull Sheet'!B16</f>
        <v>BRK.B</v>
      </c>
      <c r="E18" s="358">
        <f t="shared" si="0"/>
        <v>1.6710875331565012E-2</v>
      </c>
      <c r="F18" s="415">
        <f>Holdings!E5</f>
        <v>114.99</v>
      </c>
      <c r="G18" s="353">
        <f>Holdings!G5</f>
        <v>26</v>
      </c>
      <c r="H18" s="359">
        <f>Holdings!L5</f>
        <v>2940.6</v>
      </c>
      <c r="I18" s="359">
        <f>Holdings!H5</f>
        <v>2989.74</v>
      </c>
      <c r="J18" s="359"/>
    </row>
    <row r="19" spans="2:10" ht="15.75">
      <c r="B19" s="353"/>
      <c r="C19" s="357" t="str">
        <f>Holdings!C10</f>
        <v>Delta Airlines</v>
      </c>
      <c r="D19" s="357" t="str">
        <f>'Holdings Pull Sheet'!B21</f>
        <v>DAL</v>
      </c>
      <c r="E19" s="358">
        <f t="shared" si="0"/>
        <v>6.9754145225843445E-2</v>
      </c>
      <c r="F19" s="415">
        <f>Holdings!E9</f>
        <v>24.35</v>
      </c>
      <c r="G19" s="353">
        <f>Holdings!G10</f>
        <v>150</v>
      </c>
      <c r="H19" s="359">
        <f>Holdings!L10</f>
        <v>2623.4999999999995</v>
      </c>
      <c r="I19" s="359">
        <f>Holdings!H10</f>
        <v>2806.5</v>
      </c>
      <c r="J19" s="359"/>
    </row>
    <row r="20" spans="2:10" ht="15.75">
      <c r="B20" s="353"/>
      <c r="C20" s="357" t="str">
        <f>Holdings!C7</f>
        <v>Caterpillar</v>
      </c>
      <c r="D20" s="357" t="str">
        <f>'Holdings Pull Sheet'!B18</f>
        <v>CAT</v>
      </c>
      <c r="E20" s="358">
        <f t="shared" si="0"/>
        <v>1.3571428571428568E-2</v>
      </c>
      <c r="F20" s="415">
        <f>Holdings!E7</f>
        <v>85.14</v>
      </c>
      <c r="G20" s="353">
        <f>Holdings!G7</f>
        <v>15.172000000000001</v>
      </c>
      <c r="H20" s="359">
        <f>Holdings!L7</f>
        <v>1274.4480000000001</v>
      </c>
      <c r="I20" s="359">
        <f>Holdings!H7</f>
        <v>1291.7440800000002</v>
      </c>
      <c r="J20" s="359"/>
    </row>
    <row r="21" spans="2:10" ht="15.75">
      <c r="B21" s="353"/>
      <c r="C21" s="357">
        <f>Holdings!C22</f>
        <v>0</v>
      </c>
      <c r="D21" s="357" t="str">
        <f>'Holdings Pull Sheet'!B46</f>
        <v>XRX</v>
      </c>
      <c r="E21" s="358" t="e">
        <f t="shared" si="0"/>
        <v>#REF!</v>
      </c>
      <c r="F21" s="415" t="e">
        <f>Holdings!#REF!</f>
        <v>#REF!</v>
      </c>
      <c r="G21" s="353">
        <f>Holdings!G22</f>
        <v>0</v>
      </c>
      <c r="H21" s="359" t="e">
        <f>Holdings!#REF!</f>
        <v>#REF!</v>
      </c>
      <c r="I21" s="359" t="e">
        <f>Holdings!#REF!</f>
        <v>#REF!</v>
      </c>
      <c r="J21" s="359"/>
    </row>
    <row r="22" spans="2:10" ht="15.75">
      <c r="B22" s="353"/>
      <c r="C22" s="357" t="str">
        <f>Holdings!C9</f>
        <v>Cisco</v>
      </c>
      <c r="D22" s="357" t="str">
        <f>'Holdings Pull Sheet'!B20</f>
        <v>CSCO</v>
      </c>
      <c r="E22" s="358">
        <f t="shared" si="0"/>
        <v>0.26285002267444191</v>
      </c>
      <c r="F22" s="415">
        <f>Holdings!E8</f>
        <v>10.55</v>
      </c>
      <c r="G22" s="353">
        <f>Holdings!G9</f>
        <v>68.058000000000007</v>
      </c>
      <c r="H22" s="359">
        <f>Holdings!L9</f>
        <v>1670.8239000000003</v>
      </c>
      <c r="I22" s="359">
        <f>Holdings!H8</f>
        <v>2110</v>
      </c>
      <c r="J22" s="359"/>
    </row>
    <row r="23" spans="2:10" ht="15.75">
      <c r="B23" s="353"/>
      <c r="C23" s="357" t="e">
        <f>Holdings!#REF!</f>
        <v>#REF!</v>
      </c>
      <c r="D23" s="357" t="str">
        <f>'Holdings Pull Sheet'!B32</f>
        <v>YRCW</v>
      </c>
      <c r="E23" s="358" t="e">
        <f t="shared" si="0"/>
        <v>#REF!</v>
      </c>
      <c r="F23" s="415" t="e">
        <f>Holdings!#REF!</f>
        <v>#REF!</v>
      </c>
      <c r="G23" s="353" t="e">
        <f>Holdings!#REF!</f>
        <v>#REF!</v>
      </c>
      <c r="H23" s="359" t="e">
        <f>Holdings!#REF!</f>
        <v>#REF!</v>
      </c>
      <c r="I23" s="359" t="e">
        <f>Holdings!#REF!</f>
        <v>#REF!</v>
      </c>
      <c r="J23" s="359"/>
    </row>
    <row r="24" spans="2:10" ht="15.75">
      <c r="B24" s="353"/>
      <c r="C24" s="357" t="str">
        <f>Holdings!C4</f>
        <v>Cash</v>
      </c>
      <c r="D24" s="356"/>
      <c r="E24" s="356"/>
      <c r="F24" s="415">
        <f>Holdings!E4</f>
        <v>1</v>
      </c>
      <c r="G24" s="353">
        <f>Holdings!G4</f>
        <v>8114.57</v>
      </c>
      <c r="H24" s="359">
        <f>Holdings!L4</f>
        <v>4444.5729099999999</v>
      </c>
      <c r="I24" s="359">
        <f>Holdings!H4</f>
        <v>8114.57</v>
      </c>
      <c r="J24" s="359"/>
    </row>
    <row r="25" spans="2:10">
      <c r="B25" s="353"/>
      <c r="C25" s="353"/>
      <c r="D25" s="353"/>
      <c r="E25" s="360"/>
      <c r="F25" s="353"/>
      <c r="G25" s="353"/>
      <c r="H25" s="360">
        <f>Holdings!L22</f>
        <v>50295.736000000004</v>
      </c>
      <c r="I25" s="360" t="e">
        <f>SUM(I4:J24)</f>
        <v>#REF!</v>
      </c>
      <c r="J25" s="360"/>
    </row>
    <row r="26" spans="2:10" ht="9" customHeight="1">
      <c r="B26" s="353"/>
      <c r="C26" s="353"/>
      <c r="D26" s="353"/>
      <c r="E26" s="353"/>
      <c r="F26" s="353"/>
      <c r="G26" s="353"/>
      <c r="H26" s="353"/>
      <c r="I26" s="353"/>
      <c r="J26" s="353"/>
    </row>
  </sheetData>
  <autoFilter ref="C3:I24">
    <sortState ref="C4:I25">
      <sortCondition descending="1" ref="E3:E24"/>
    </sortState>
  </autoFilter>
  <conditionalFormatting sqref="H4 H5:J25 E5:E25 I4:I24">
    <cfRule type="cellIs" dxfId="18" priority="4" operator="equal">
      <formula>"""Large"""</formula>
    </cfRule>
  </conditionalFormatting>
  <conditionalFormatting sqref="E5:E24">
    <cfRule type="cellIs" dxfId="17" priority="3" operator="lessThan">
      <formula>0</formula>
    </cfRule>
  </conditionalFormatting>
  <conditionalFormatting sqref="E5:E24">
    <cfRule type="cellIs" dxfId="16" priority="2" operator="greaterThan">
      <formula>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sheetPr codeName="Sheet7"/>
  <dimension ref="B5:R70"/>
  <sheetViews>
    <sheetView topLeftCell="A28" workbookViewId="0">
      <selection activeCell="B40" sqref="B40:B48"/>
    </sheetView>
  </sheetViews>
  <sheetFormatPr defaultRowHeight="12.75"/>
  <cols>
    <col min="3" max="3" width="31.42578125" customWidth="1"/>
    <col min="4" max="5" width="6.42578125" customWidth="1"/>
    <col min="6" max="9" width="10" customWidth="1"/>
    <col min="10" max="10" width="14.28515625" customWidth="1"/>
    <col min="11" max="12" width="8.5703125" customWidth="1"/>
    <col min="13" max="14" width="10" customWidth="1"/>
    <col min="15" max="15" width="15.7109375" customWidth="1"/>
    <col min="16" max="16" width="6.28515625" customWidth="1"/>
    <col min="17" max="17" width="8.5703125" customWidth="1"/>
    <col min="18" max="18" width="14.28515625" customWidth="1"/>
  </cols>
  <sheetData>
    <row r="5" spans="2:18">
      <c r="C5" s="244" t="s">
        <v>174</v>
      </c>
      <c r="D5" s="244" t="s">
        <v>313</v>
      </c>
    </row>
    <row r="9" spans="2:18" ht="23.25" customHeight="1" thickBot="1">
      <c r="C9" s="487" t="s">
        <v>136</v>
      </c>
      <c r="D9" s="487"/>
      <c r="E9" s="487"/>
      <c r="F9" s="487"/>
      <c r="G9" s="487"/>
      <c r="H9" s="487"/>
      <c r="I9" s="487"/>
      <c r="J9" s="487"/>
      <c r="K9" s="487"/>
      <c r="L9" s="487"/>
      <c r="M9" s="487"/>
      <c r="N9" s="487"/>
      <c r="O9" s="487"/>
      <c r="P9" s="487"/>
      <c r="Q9" s="487"/>
      <c r="R9" s="487"/>
    </row>
    <row r="10" spans="2:18" ht="12.75" customHeight="1">
      <c r="C10" s="488" t="s">
        <v>137</v>
      </c>
      <c r="D10" s="488"/>
      <c r="E10" s="488"/>
      <c r="F10" s="488"/>
      <c r="G10" s="488"/>
      <c r="H10" s="488"/>
      <c r="I10" s="488"/>
      <c r="J10" s="488"/>
      <c r="K10" s="488"/>
      <c r="L10" s="488"/>
      <c r="M10" s="488"/>
      <c r="N10" s="488"/>
      <c r="O10" s="488"/>
      <c r="P10" s="488"/>
      <c r="Q10" s="488"/>
      <c r="R10" s="488"/>
    </row>
    <row r="11" spans="2:18" ht="22.5">
      <c r="C11" s="237"/>
      <c r="D11" s="238"/>
      <c r="E11" s="239"/>
      <c r="F11" s="203" t="s">
        <v>138</v>
      </c>
      <c r="G11" s="203" t="s">
        <v>139</v>
      </c>
      <c r="H11" s="203" t="s">
        <v>140</v>
      </c>
      <c r="I11" s="203" t="s">
        <v>141</v>
      </c>
      <c r="J11" s="203" t="s">
        <v>142</v>
      </c>
      <c r="K11" s="203" t="s">
        <v>52</v>
      </c>
      <c r="L11" s="203" t="s">
        <v>143</v>
      </c>
      <c r="M11" s="203" t="s">
        <v>69</v>
      </c>
      <c r="N11" s="203" t="s">
        <v>70</v>
      </c>
      <c r="O11" s="203" t="s">
        <v>71</v>
      </c>
      <c r="P11" s="203" t="s">
        <v>72</v>
      </c>
      <c r="Q11" s="203" t="s">
        <v>73</v>
      </c>
      <c r="R11" s="203" t="s">
        <v>74</v>
      </c>
    </row>
    <row r="12" spans="2:18">
      <c r="C12" s="447" t="s">
        <v>111</v>
      </c>
      <c r="D12" s="448" t="s">
        <v>75</v>
      </c>
      <c r="E12" s="449" t="s">
        <v>76</v>
      </c>
      <c r="F12" s="526">
        <v>15176.08</v>
      </c>
      <c r="G12" s="527">
        <v>14995.23</v>
      </c>
      <c r="H12" s="527">
        <v>15202.27</v>
      </c>
      <c r="I12" s="527">
        <v>14953.45</v>
      </c>
      <c r="J12" s="528">
        <v>104486129</v>
      </c>
      <c r="K12" s="527">
        <v>180.85</v>
      </c>
      <c r="L12" s="529">
        <v>1.21E-2</v>
      </c>
      <c r="M12" s="527">
        <v>15542.4</v>
      </c>
      <c r="N12" s="527">
        <v>12450.17</v>
      </c>
      <c r="O12" s="528"/>
      <c r="P12" s="527"/>
      <c r="Q12" s="527"/>
      <c r="R12" s="528"/>
    </row>
    <row r="13" spans="2:18">
      <c r="C13" s="447" t="s">
        <v>112</v>
      </c>
      <c r="D13" s="448" t="s">
        <v>75</v>
      </c>
      <c r="E13" s="449" t="s">
        <v>76</v>
      </c>
      <c r="F13" s="526">
        <v>3445.37</v>
      </c>
      <c r="G13" s="527">
        <v>3400.43</v>
      </c>
      <c r="H13" s="527">
        <v>3451.03</v>
      </c>
      <c r="I13" s="527">
        <v>3387.61</v>
      </c>
      <c r="J13" s="528">
        <v>1583241074</v>
      </c>
      <c r="K13" s="527">
        <v>44.94</v>
      </c>
      <c r="L13" s="529">
        <v>1.32E-2</v>
      </c>
      <c r="M13" s="527">
        <v>3532.04</v>
      </c>
      <c r="N13" s="527">
        <v>2807.55</v>
      </c>
      <c r="O13" s="528"/>
      <c r="P13" s="527"/>
      <c r="Q13" s="527"/>
      <c r="R13" s="528"/>
    </row>
    <row r="14" spans="2:18">
      <c r="C14" s="447" t="s">
        <v>301</v>
      </c>
      <c r="D14" s="448" t="s">
        <v>75</v>
      </c>
      <c r="E14" s="449" t="s">
        <v>76</v>
      </c>
      <c r="F14" s="526">
        <v>1636.36</v>
      </c>
      <c r="G14" s="527">
        <v>1612.52</v>
      </c>
      <c r="H14" s="527">
        <v>1639.25</v>
      </c>
      <c r="I14" s="527">
        <v>1608.07</v>
      </c>
      <c r="J14" s="528">
        <v>0</v>
      </c>
      <c r="K14" s="527">
        <v>23.84</v>
      </c>
      <c r="L14" s="529">
        <v>1.4800000000000001E-2</v>
      </c>
      <c r="M14" s="527">
        <v>1687.18</v>
      </c>
      <c r="N14" s="527">
        <v>1309.27</v>
      </c>
      <c r="O14" s="528"/>
      <c r="P14" s="527"/>
      <c r="Q14" s="527"/>
      <c r="R14" s="528"/>
    </row>
    <row r="15" spans="2:18">
      <c r="C15" s="447" t="s">
        <v>112</v>
      </c>
      <c r="D15" s="448" t="s">
        <v>75</v>
      </c>
      <c r="E15" s="449" t="s">
        <v>76</v>
      </c>
      <c r="F15" s="526">
        <v>3445.37</v>
      </c>
      <c r="G15" s="527">
        <v>3400.43</v>
      </c>
      <c r="H15" s="527">
        <v>3451.03</v>
      </c>
      <c r="I15" s="527">
        <v>3387.61</v>
      </c>
      <c r="J15" s="528">
        <v>1583241074</v>
      </c>
      <c r="K15" s="527">
        <v>44.94</v>
      </c>
      <c r="L15" s="529">
        <v>1.32E-2</v>
      </c>
      <c r="M15" s="527">
        <v>3532.04</v>
      </c>
      <c r="N15" s="527">
        <v>2807.55</v>
      </c>
      <c r="O15" s="528"/>
      <c r="P15" s="527"/>
      <c r="Q15" s="527"/>
      <c r="R15" s="528"/>
    </row>
    <row r="16" spans="2:18" ht="25.5">
      <c r="B16" s="411" t="s">
        <v>53</v>
      </c>
      <c r="C16" s="447" t="s">
        <v>183</v>
      </c>
      <c r="D16" s="448" t="s">
        <v>75</v>
      </c>
      <c r="E16" s="449" t="s">
        <v>76</v>
      </c>
      <c r="F16" s="526">
        <v>114.99</v>
      </c>
      <c r="G16" s="527">
        <v>112.95</v>
      </c>
      <c r="H16" s="527">
        <v>115.14</v>
      </c>
      <c r="I16" s="527">
        <v>112.27</v>
      </c>
      <c r="J16" s="528">
        <v>4022135</v>
      </c>
      <c r="K16" s="527">
        <v>2.04</v>
      </c>
      <c r="L16" s="529">
        <v>1.8100000000000002E-2</v>
      </c>
      <c r="M16" s="527">
        <v>115.98</v>
      </c>
      <c r="N16" s="527">
        <v>80.239999999999995</v>
      </c>
      <c r="O16" s="528">
        <v>283482541934</v>
      </c>
      <c r="P16" s="527">
        <v>9988.9699999999993</v>
      </c>
      <c r="Q16" s="527">
        <v>17</v>
      </c>
      <c r="R16" s="528">
        <v>2465280000</v>
      </c>
    </row>
    <row r="17" spans="2:18">
      <c r="B17" s="412" t="s">
        <v>179</v>
      </c>
      <c r="C17" s="447" t="s">
        <v>177</v>
      </c>
      <c r="D17" s="448" t="s">
        <v>75</v>
      </c>
      <c r="E17" s="449" t="s">
        <v>76</v>
      </c>
      <c r="F17" s="526">
        <v>19.39</v>
      </c>
      <c r="G17" s="527">
        <v>19.25</v>
      </c>
      <c r="H17" s="527">
        <v>0</v>
      </c>
      <c r="I17" s="527">
        <v>0</v>
      </c>
      <c r="J17" s="528">
        <v>0</v>
      </c>
      <c r="K17" s="527">
        <v>0.14000000000000001</v>
      </c>
      <c r="L17" s="529">
        <v>7.3000000000000001E-3</v>
      </c>
      <c r="M17" s="527">
        <v>20.05</v>
      </c>
      <c r="N17" s="527">
        <v>17.04</v>
      </c>
      <c r="O17" s="528"/>
      <c r="P17" s="527"/>
      <c r="Q17" s="527"/>
      <c r="R17" s="528"/>
    </row>
    <row r="18" spans="2:18">
      <c r="B18" s="413" t="s">
        <v>242</v>
      </c>
      <c r="C18" s="447" t="s">
        <v>241</v>
      </c>
      <c r="D18" s="448" t="s">
        <v>75</v>
      </c>
      <c r="E18" s="449" t="s">
        <v>76</v>
      </c>
      <c r="F18" s="526">
        <v>85.14</v>
      </c>
      <c r="G18" s="527">
        <v>83.21</v>
      </c>
      <c r="H18" s="527">
        <v>85.28</v>
      </c>
      <c r="I18" s="527">
        <v>83.19</v>
      </c>
      <c r="J18" s="528">
        <v>6353695</v>
      </c>
      <c r="K18" s="527">
        <v>1.93</v>
      </c>
      <c r="L18" s="529">
        <v>2.3199999999999998E-2</v>
      </c>
      <c r="M18" s="527">
        <v>99.7</v>
      </c>
      <c r="N18" s="527">
        <v>78.25</v>
      </c>
      <c r="O18" s="528">
        <v>55978263985</v>
      </c>
      <c r="P18" s="527">
        <v>7.43</v>
      </c>
      <c r="Q18" s="527">
        <v>11.2</v>
      </c>
      <c r="R18" s="528">
        <v>657484900</v>
      </c>
    </row>
    <row r="19" spans="2:18" ht="25.5">
      <c r="B19" s="412" t="s">
        <v>304</v>
      </c>
      <c r="C19" s="447" t="s">
        <v>305</v>
      </c>
      <c r="D19" s="448" t="s">
        <v>75</v>
      </c>
      <c r="E19" s="449" t="s">
        <v>76</v>
      </c>
      <c r="F19" s="526">
        <v>10.55</v>
      </c>
      <c r="G19" s="527">
        <v>10.25</v>
      </c>
      <c r="H19" s="527">
        <v>10.61</v>
      </c>
      <c r="I19" s="527">
        <v>10.27</v>
      </c>
      <c r="J19" s="528">
        <v>14882948</v>
      </c>
      <c r="K19" s="527">
        <v>0.3</v>
      </c>
      <c r="L19" s="529">
        <v>2.93E-2</v>
      </c>
      <c r="M19" s="527">
        <v>12.57</v>
      </c>
      <c r="N19" s="527">
        <v>4.75</v>
      </c>
      <c r="O19" s="528">
        <v>11867494765</v>
      </c>
      <c r="P19" s="527">
        <v>-1.03</v>
      </c>
      <c r="Q19" s="527"/>
      <c r="R19" s="528">
        <v>1124881000</v>
      </c>
    </row>
    <row r="20" spans="2:18">
      <c r="B20" s="412" t="s">
        <v>21</v>
      </c>
      <c r="C20" s="447" t="s">
        <v>100</v>
      </c>
      <c r="D20" s="448" t="s">
        <v>75</v>
      </c>
      <c r="E20" s="449" t="s">
        <v>76</v>
      </c>
      <c r="F20" s="526">
        <v>24.35</v>
      </c>
      <c r="G20" s="527">
        <v>23.99</v>
      </c>
      <c r="H20" s="527">
        <v>24.4</v>
      </c>
      <c r="I20" s="527">
        <v>23.88</v>
      </c>
      <c r="J20" s="528">
        <v>27240075</v>
      </c>
      <c r="K20" s="527">
        <v>0.36</v>
      </c>
      <c r="L20" s="529">
        <v>1.4999999999999999E-2</v>
      </c>
      <c r="M20" s="527">
        <v>24.78</v>
      </c>
      <c r="N20" s="527">
        <v>14.96</v>
      </c>
      <c r="O20" s="528">
        <v>130134583639</v>
      </c>
      <c r="P20" s="527">
        <v>1.8</v>
      </c>
      <c r="Q20" s="527">
        <v>13.4</v>
      </c>
      <c r="R20" s="528">
        <v>5344336000</v>
      </c>
    </row>
    <row r="21" spans="2:18">
      <c r="B21" s="412" t="s">
        <v>293</v>
      </c>
      <c r="C21" s="447" t="s">
        <v>292</v>
      </c>
      <c r="D21" s="448" t="s">
        <v>75</v>
      </c>
      <c r="E21" s="449" t="s">
        <v>76</v>
      </c>
      <c r="F21" s="526">
        <v>18.71</v>
      </c>
      <c r="G21" s="527">
        <v>18.07</v>
      </c>
      <c r="H21" s="527">
        <v>18.8</v>
      </c>
      <c r="I21" s="527">
        <v>17.91</v>
      </c>
      <c r="J21" s="528">
        <v>12372788</v>
      </c>
      <c r="K21" s="527">
        <v>0.64</v>
      </c>
      <c r="L21" s="529">
        <v>3.5400000000000001E-2</v>
      </c>
      <c r="M21" s="527">
        <v>19.43</v>
      </c>
      <c r="N21" s="527">
        <v>8.42</v>
      </c>
      <c r="O21" s="528">
        <v>16025959908</v>
      </c>
      <c r="P21" s="527">
        <v>1.05</v>
      </c>
      <c r="Q21" s="527">
        <v>17.600000000000001</v>
      </c>
      <c r="R21" s="528">
        <v>856545200</v>
      </c>
    </row>
    <row r="22" spans="2:18">
      <c r="B22" s="412" t="s">
        <v>124</v>
      </c>
      <c r="C22" s="447" t="s">
        <v>151</v>
      </c>
      <c r="D22" s="448" t="s">
        <v>75</v>
      </c>
      <c r="E22" s="449" t="s">
        <v>76</v>
      </c>
      <c r="F22" s="526">
        <v>23.27</v>
      </c>
      <c r="G22" s="527">
        <v>22.62</v>
      </c>
      <c r="H22" s="527">
        <v>23.29</v>
      </c>
      <c r="I22" s="527">
        <v>22.37</v>
      </c>
      <c r="J22" s="528">
        <v>627199</v>
      </c>
      <c r="K22" s="527">
        <v>0.65</v>
      </c>
      <c r="L22" s="529">
        <v>2.87E-2</v>
      </c>
      <c r="M22" s="527">
        <v>25.4</v>
      </c>
      <c r="N22" s="527">
        <v>14.38</v>
      </c>
      <c r="O22" s="528">
        <v>3341199746</v>
      </c>
      <c r="P22" s="527">
        <v>1.17</v>
      </c>
      <c r="Q22" s="527">
        <v>19.5</v>
      </c>
      <c r="R22" s="528">
        <v>143584000</v>
      </c>
    </row>
    <row r="23" spans="2:18">
      <c r="B23" s="412" t="s">
        <v>58</v>
      </c>
      <c r="C23" s="447" t="s">
        <v>170</v>
      </c>
      <c r="D23" s="448" t="s">
        <v>75</v>
      </c>
      <c r="E23" s="449" t="s">
        <v>76</v>
      </c>
      <c r="F23" s="526">
        <v>76.53</v>
      </c>
      <c r="G23" s="527">
        <v>76.400000000000006</v>
      </c>
      <c r="H23" s="527">
        <v>76.83</v>
      </c>
      <c r="I23" s="527">
        <v>76.08</v>
      </c>
      <c r="J23" s="528">
        <v>9197359</v>
      </c>
      <c r="K23" s="527">
        <v>0.13</v>
      </c>
      <c r="L23" s="529">
        <v>1.6999999999999999E-3</v>
      </c>
      <c r="M23" s="527">
        <v>81.56</v>
      </c>
      <c r="N23" s="527">
        <v>49.77</v>
      </c>
      <c r="O23" s="528">
        <v>111794716097</v>
      </c>
      <c r="P23" s="527">
        <v>3.16</v>
      </c>
      <c r="Q23" s="527">
        <v>24.6</v>
      </c>
      <c r="R23" s="528">
        <v>1460796000</v>
      </c>
    </row>
    <row r="24" spans="2:18">
      <c r="B24" s="413" t="s">
        <v>307</v>
      </c>
      <c r="C24" s="447" t="s">
        <v>309</v>
      </c>
      <c r="D24" s="448" t="s">
        <v>75</v>
      </c>
      <c r="E24" s="449" t="s">
        <v>76</v>
      </c>
      <c r="F24" s="526">
        <v>14.91</v>
      </c>
      <c r="G24" s="527">
        <v>14.27</v>
      </c>
      <c r="H24" s="527">
        <v>15.04</v>
      </c>
      <c r="I24" s="527">
        <v>14.13</v>
      </c>
      <c r="J24" s="528">
        <v>479639</v>
      </c>
      <c r="K24" s="527">
        <v>0.64</v>
      </c>
      <c r="L24" s="529">
        <v>4.48E-2</v>
      </c>
      <c r="M24" s="527">
        <v>15.75</v>
      </c>
      <c r="N24" s="527">
        <v>4.1500000000000004</v>
      </c>
      <c r="O24" s="528">
        <v>415953957</v>
      </c>
      <c r="P24" s="527">
        <v>-0.11</v>
      </c>
      <c r="Q24" s="527"/>
      <c r="R24" s="528">
        <v>27897650</v>
      </c>
    </row>
    <row r="25" spans="2:18">
      <c r="B25" s="413" t="s">
        <v>59</v>
      </c>
      <c r="C25" s="447" t="s">
        <v>311</v>
      </c>
      <c r="D25" s="448" t="s">
        <v>75</v>
      </c>
      <c r="E25" s="449" t="s">
        <v>76</v>
      </c>
      <c r="F25" s="526">
        <v>24.99</v>
      </c>
      <c r="G25" s="527">
        <v>24.46</v>
      </c>
      <c r="H25" s="527">
        <v>25.01</v>
      </c>
      <c r="I25" s="527">
        <v>24.4</v>
      </c>
      <c r="J25" s="528">
        <v>27709957</v>
      </c>
      <c r="K25" s="527">
        <v>0.53</v>
      </c>
      <c r="L25" s="529">
        <v>2.1700000000000001E-2</v>
      </c>
      <c r="M25" s="527">
        <v>27.75</v>
      </c>
      <c r="N25" s="527">
        <v>19.23</v>
      </c>
      <c r="O25" s="528">
        <v>124225288862</v>
      </c>
      <c r="P25" s="527">
        <v>2</v>
      </c>
      <c r="Q25" s="527">
        <v>12.3</v>
      </c>
      <c r="R25" s="528">
        <v>4971000000</v>
      </c>
    </row>
    <row r="26" spans="2:18">
      <c r="B26" s="412" t="s">
        <v>61</v>
      </c>
      <c r="C26" s="447" t="s">
        <v>152</v>
      </c>
      <c r="D26" s="448" t="s">
        <v>75</v>
      </c>
      <c r="E26" s="449" t="s">
        <v>76</v>
      </c>
      <c r="F26" s="526">
        <v>52.78</v>
      </c>
      <c r="G26" s="527">
        <v>51.61</v>
      </c>
      <c r="H26" s="527">
        <v>52.85</v>
      </c>
      <c r="I26" s="527">
        <v>51.09</v>
      </c>
      <c r="J26" s="528">
        <v>5178134</v>
      </c>
      <c r="K26" s="527">
        <v>1.17</v>
      </c>
      <c r="L26" s="529">
        <v>2.2700000000000001E-2</v>
      </c>
      <c r="M26" s="527">
        <v>53.83</v>
      </c>
      <c r="N26" s="527">
        <v>36.909999999999997</v>
      </c>
      <c r="O26" s="528">
        <v>53508679442</v>
      </c>
      <c r="P26" s="527">
        <v>3.38</v>
      </c>
      <c r="Q26" s="527">
        <v>15.4</v>
      </c>
      <c r="R26" s="528">
        <v>1013806000</v>
      </c>
    </row>
    <row r="27" spans="2:18" ht="25.5">
      <c r="B27" s="412" t="s">
        <v>256</v>
      </c>
      <c r="C27" s="447" t="s">
        <v>255</v>
      </c>
      <c r="D27" s="448" t="s">
        <v>75</v>
      </c>
      <c r="E27" s="449" t="s">
        <v>76</v>
      </c>
      <c r="F27" s="526">
        <v>27.69</v>
      </c>
      <c r="G27" s="527">
        <v>27.31</v>
      </c>
      <c r="H27" s="527">
        <v>27.79</v>
      </c>
      <c r="I27" s="527">
        <v>27.18</v>
      </c>
      <c r="J27" s="528">
        <v>49850</v>
      </c>
      <c r="K27" s="527">
        <v>0.38</v>
      </c>
      <c r="L27" s="529">
        <v>1.3899999999999999E-2</v>
      </c>
      <c r="M27" s="527">
        <v>30.28</v>
      </c>
      <c r="N27" s="527">
        <v>17.2</v>
      </c>
      <c r="O27" s="528">
        <v>620309177</v>
      </c>
      <c r="P27" s="527">
        <v>5.31</v>
      </c>
      <c r="Q27" s="527">
        <v>5.2</v>
      </c>
      <c r="R27" s="528">
        <v>22401920</v>
      </c>
    </row>
    <row r="28" spans="2:18">
      <c r="B28" s="412" t="s">
        <v>238</v>
      </c>
      <c r="C28" s="447" t="s">
        <v>237</v>
      </c>
      <c r="D28" s="448" t="s">
        <v>75</v>
      </c>
      <c r="E28" s="449" t="s">
        <v>76</v>
      </c>
      <c r="F28" s="526">
        <v>17.43</v>
      </c>
      <c r="G28" s="527">
        <v>16.850000000000001</v>
      </c>
      <c r="H28" s="527">
        <v>17.48</v>
      </c>
      <c r="I28" s="527">
        <v>16.79</v>
      </c>
      <c r="J28" s="528">
        <v>77506</v>
      </c>
      <c r="K28" s="527">
        <v>0.57999999999999996</v>
      </c>
      <c r="L28" s="529">
        <v>3.44E-2</v>
      </c>
      <c r="M28" s="527">
        <v>19.38</v>
      </c>
      <c r="N28" s="527">
        <v>9.2100000000000009</v>
      </c>
      <c r="O28" s="528">
        <v>829244291</v>
      </c>
      <c r="P28" s="527">
        <v>-5.3</v>
      </c>
      <c r="Q28" s="527"/>
      <c r="R28" s="528">
        <v>47575690</v>
      </c>
    </row>
    <row r="29" spans="2:18">
      <c r="B29" s="412" t="s">
        <v>228</v>
      </c>
      <c r="C29" s="447" t="s">
        <v>224</v>
      </c>
      <c r="D29" s="448" t="s">
        <v>75</v>
      </c>
      <c r="E29" s="449" t="s">
        <v>76</v>
      </c>
      <c r="F29" s="526">
        <v>25.71</v>
      </c>
      <c r="G29" s="527">
        <v>25.42</v>
      </c>
      <c r="H29" s="527">
        <v>25.79</v>
      </c>
      <c r="I29" s="527">
        <v>25.37</v>
      </c>
      <c r="J29" s="528">
        <v>2340681</v>
      </c>
      <c r="K29" s="527">
        <v>0.28999999999999998</v>
      </c>
      <c r="L29" s="529">
        <v>1.14E-2</v>
      </c>
      <c r="M29" s="527">
        <v>25.86</v>
      </c>
      <c r="N29" s="527">
        <v>14.06</v>
      </c>
      <c r="O29" s="528">
        <v>9122992637</v>
      </c>
      <c r="P29" s="527">
        <v>1.45</v>
      </c>
      <c r="Q29" s="527">
        <v>17.5</v>
      </c>
      <c r="R29" s="528">
        <v>354842200</v>
      </c>
    </row>
    <row r="30" spans="2:18">
      <c r="B30" s="412" t="s">
        <v>65</v>
      </c>
      <c r="C30" s="447" t="s">
        <v>167</v>
      </c>
      <c r="D30" s="448" t="s">
        <v>75</v>
      </c>
      <c r="E30" s="449" t="s">
        <v>76</v>
      </c>
      <c r="F30" s="526">
        <v>40.94</v>
      </c>
      <c r="G30" s="527">
        <v>40.270000000000003</v>
      </c>
      <c r="H30" s="527">
        <v>40.99</v>
      </c>
      <c r="I30" s="527">
        <v>40.200000000000003</v>
      </c>
      <c r="J30" s="528">
        <v>17378892</v>
      </c>
      <c r="K30" s="527">
        <v>0.67</v>
      </c>
      <c r="L30" s="529">
        <v>1.66E-2</v>
      </c>
      <c r="M30" s="527">
        <v>41.69</v>
      </c>
      <c r="N30" s="527">
        <v>31.15</v>
      </c>
      <c r="O30" s="528">
        <v>216834076507</v>
      </c>
      <c r="P30" s="527">
        <v>3.53</v>
      </c>
      <c r="Q30" s="527">
        <v>11.5</v>
      </c>
      <c r="R30" s="528">
        <v>5296387000</v>
      </c>
    </row>
    <row r="31" spans="2:18">
      <c r="B31" s="412" t="s">
        <v>285</v>
      </c>
      <c r="C31" s="447" t="s">
        <v>287</v>
      </c>
      <c r="D31" s="448" t="s">
        <v>75</v>
      </c>
      <c r="E31" s="449" t="s">
        <v>76</v>
      </c>
      <c r="F31" s="526">
        <v>26.37</v>
      </c>
      <c r="G31" s="527">
        <v>25.89</v>
      </c>
      <c r="H31" s="527">
        <v>26.46</v>
      </c>
      <c r="I31" s="527">
        <v>25.71</v>
      </c>
      <c r="J31" s="528">
        <v>9764435</v>
      </c>
      <c r="K31" s="527">
        <v>0.48</v>
      </c>
      <c r="L31" s="529">
        <v>1.8499999999999999E-2</v>
      </c>
      <c r="M31" s="527">
        <v>27.68</v>
      </c>
      <c r="N31" s="527">
        <v>14.59</v>
      </c>
      <c r="O31" s="528">
        <v>28549085859</v>
      </c>
      <c r="P31" s="527">
        <v>3.41</v>
      </c>
      <c r="Q31" s="527">
        <v>7.7</v>
      </c>
      <c r="R31" s="528">
        <v>1082635000</v>
      </c>
    </row>
    <row r="32" spans="2:18">
      <c r="B32" s="413" t="s">
        <v>288</v>
      </c>
      <c r="C32" s="447" t="s">
        <v>290</v>
      </c>
      <c r="D32" s="448" t="s">
        <v>75</v>
      </c>
      <c r="E32" s="449" t="s">
        <v>76</v>
      </c>
      <c r="F32" s="526">
        <v>22.6</v>
      </c>
      <c r="G32" s="527">
        <v>21.89</v>
      </c>
      <c r="H32" s="527">
        <v>22.85</v>
      </c>
      <c r="I32" s="527">
        <v>21.63</v>
      </c>
      <c r="J32" s="528">
        <v>348230</v>
      </c>
      <c r="K32" s="527">
        <v>0.71</v>
      </c>
      <c r="L32" s="529">
        <v>3.2399999999999998E-2</v>
      </c>
      <c r="M32" s="527">
        <v>25</v>
      </c>
      <c r="N32" s="527">
        <v>5.01</v>
      </c>
      <c r="O32" s="528">
        <v>212369040</v>
      </c>
      <c r="P32" s="527">
        <v>-14.95</v>
      </c>
      <c r="Q32" s="527"/>
      <c r="R32" s="528">
        <v>9396860</v>
      </c>
    </row>
    <row r="33" spans="2:18">
      <c r="C33" s="530" t="s">
        <v>180</v>
      </c>
      <c r="D33" s="530" t="s">
        <v>181</v>
      </c>
      <c r="E33" s="530" t="s">
        <v>181</v>
      </c>
      <c r="F33" s="531" t="s">
        <v>181</v>
      </c>
      <c r="G33" s="532" t="s">
        <v>181</v>
      </c>
      <c r="H33" s="532" t="s">
        <v>181</v>
      </c>
      <c r="I33" s="532" t="s">
        <v>181</v>
      </c>
      <c r="J33" s="533" t="s">
        <v>181</v>
      </c>
      <c r="K33" s="532" t="s">
        <v>181</v>
      </c>
      <c r="L33" s="534" t="s">
        <v>181</v>
      </c>
      <c r="M33" s="532" t="s">
        <v>181</v>
      </c>
      <c r="N33" s="532" t="s">
        <v>181</v>
      </c>
      <c r="O33" s="533" t="s">
        <v>181</v>
      </c>
      <c r="P33" s="532" t="s">
        <v>181</v>
      </c>
      <c r="Q33" s="532" t="s">
        <v>181</v>
      </c>
      <c r="R33" s="533" t="s">
        <v>181</v>
      </c>
    </row>
    <row r="34" spans="2:18" ht="25.5">
      <c r="B34" s="414" t="s">
        <v>171</v>
      </c>
      <c r="C34" s="447" t="s">
        <v>172</v>
      </c>
      <c r="D34" s="448" t="s">
        <v>75</v>
      </c>
      <c r="E34" s="449" t="s">
        <v>76</v>
      </c>
      <c r="F34" s="526">
        <v>14.47</v>
      </c>
      <c r="G34" s="527">
        <v>13.71</v>
      </c>
      <c r="H34" s="527">
        <v>14.52</v>
      </c>
      <c r="I34" s="527">
        <v>13.83</v>
      </c>
      <c r="J34" s="528">
        <v>24769220</v>
      </c>
      <c r="K34" s="527">
        <v>0.76</v>
      </c>
      <c r="L34" s="529">
        <v>5.5399999999999998E-2</v>
      </c>
      <c r="M34" s="527">
        <v>21.88</v>
      </c>
      <c r="N34" s="527">
        <v>13.6</v>
      </c>
      <c r="O34" s="528">
        <v>77635950313</v>
      </c>
      <c r="P34" s="527">
        <v>0.92</v>
      </c>
      <c r="Q34" s="527">
        <v>11.2</v>
      </c>
      <c r="R34" s="528">
        <v>5365304000</v>
      </c>
    </row>
    <row r="35" spans="2:18">
      <c r="B35" s="414" t="s">
        <v>42</v>
      </c>
      <c r="C35" s="447" t="s">
        <v>284</v>
      </c>
      <c r="D35" s="448" t="s">
        <v>75</v>
      </c>
      <c r="E35" s="449" t="s">
        <v>76</v>
      </c>
      <c r="F35" s="526">
        <v>20.309999999999999</v>
      </c>
      <c r="G35" s="527">
        <v>19.850000000000001</v>
      </c>
      <c r="H35" s="527">
        <v>20.309999999999999</v>
      </c>
      <c r="I35" s="527">
        <v>19.93</v>
      </c>
      <c r="J35" s="528">
        <v>222130</v>
      </c>
      <c r="K35" s="527">
        <v>0.46</v>
      </c>
      <c r="L35" s="529">
        <v>2.3199999999999998E-2</v>
      </c>
      <c r="M35" s="527">
        <v>25.81</v>
      </c>
      <c r="N35" s="527">
        <v>19.3</v>
      </c>
      <c r="O35" s="528">
        <v>9771894244</v>
      </c>
      <c r="P35" s="527">
        <v>1.17</v>
      </c>
      <c r="Q35" s="527">
        <v>17.3</v>
      </c>
      <c r="R35" s="528">
        <v>481137100</v>
      </c>
    </row>
    <row r="36" spans="2:18">
      <c r="B36" s="414" t="s">
        <v>91</v>
      </c>
      <c r="C36" s="447" t="s">
        <v>92</v>
      </c>
      <c r="D36" s="448" t="s">
        <v>75</v>
      </c>
      <c r="E36" s="449" t="s">
        <v>76</v>
      </c>
      <c r="F36" s="526">
        <v>67.72</v>
      </c>
      <c r="G36" s="527">
        <v>66.37</v>
      </c>
      <c r="H36" s="527">
        <v>67.790000000000006</v>
      </c>
      <c r="I36" s="527">
        <v>65.81</v>
      </c>
      <c r="J36" s="528">
        <v>783003</v>
      </c>
      <c r="K36" s="527">
        <v>1.35</v>
      </c>
      <c r="L36" s="529">
        <v>2.0299999999999999E-2</v>
      </c>
      <c r="M36" s="527">
        <v>70</v>
      </c>
      <c r="N36" s="527">
        <v>50.04</v>
      </c>
      <c r="O36" s="528">
        <v>25602006957</v>
      </c>
      <c r="P36" s="527">
        <v>3.27</v>
      </c>
      <c r="Q36" s="527">
        <v>20.399999999999999</v>
      </c>
      <c r="R36" s="528">
        <v>378056800</v>
      </c>
    </row>
    <row r="37" spans="2:18" ht="12.75" customHeight="1">
      <c r="B37" s="414" t="s">
        <v>188</v>
      </c>
      <c r="C37" s="447" t="s">
        <v>38</v>
      </c>
      <c r="D37" s="448" t="s">
        <v>75</v>
      </c>
      <c r="E37" s="449" t="s">
        <v>76</v>
      </c>
      <c r="F37" s="526">
        <v>14.29</v>
      </c>
      <c r="G37" s="527">
        <v>14.11</v>
      </c>
      <c r="H37" s="527">
        <v>14.33</v>
      </c>
      <c r="I37" s="527">
        <v>13.92</v>
      </c>
      <c r="J37" s="528">
        <v>2410446</v>
      </c>
      <c r="K37" s="527">
        <v>0.18</v>
      </c>
      <c r="L37" s="529">
        <v>1.2800000000000001E-2</v>
      </c>
      <c r="M37" s="527">
        <v>15.12</v>
      </c>
      <c r="N37" s="527">
        <v>14.04</v>
      </c>
      <c r="O37" s="528"/>
      <c r="P37" s="527"/>
      <c r="Q37" s="527"/>
      <c r="R37" s="528"/>
    </row>
    <row r="38" spans="2:18" ht="25.5">
      <c r="B38" s="414" t="s">
        <v>64</v>
      </c>
      <c r="C38" s="447" t="s">
        <v>26</v>
      </c>
      <c r="D38" s="448" t="s">
        <v>75</v>
      </c>
      <c r="E38" s="449" t="s">
        <v>76</v>
      </c>
      <c r="F38" s="526">
        <v>110.05</v>
      </c>
      <c r="G38" s="527">
        <v>110.3</v>
      </c>
      <c r="H38" s="527">
        <v>110.36</v>
      </c>
      <c r="I38" s="527">
        <v>108.1</v>
      </c>
      <c r="J38" s="528">
        <v>153672</v>
      </c>
      <c r="K38" s="527">
        <v>-0.25</v>
      </c>
      <c r="L38" s="529">
        <v>-2.3E-3</v>
      </c>
      <c r="M38" s="527">
        <v>146.68</v>
      </c>
      <c r="N38" s="527">
        <v>109.96</v>
      </c>
      <c r="O38" s="528">
        <v>201414506035</v>
      </c>
      <c r="P38" s="527">
        <v>10.050000000000001</v>
      </c>
      <c r="Q38" s="527">
        <v>11.1</v>
      </c>
      <c r="R38" s="528">
        <v>1830209000</v>
      </c>
    </row>
    <row r="39" spans="2:18" ht="12.75" customHeight="1">
      <c r="B39" s="414" t="s">
        <v>50</v>
      </c>
      <c r="C39" s="447" t="s">
        <v>84</v>
      </c>
      <c r="D39" s="448" t="s">
        <v>75</v>
      </c>
      <c r="E39" s="449" t="s">
        <v>76</v>
      </c>
      <c r="F39" s="526">
        <v>86.32</v>
      </c>
      <c r="G39" s="527">
        <v>85.51</v>
      </c>
      <c r="H39" s="527">
        <v>86.48</v>
      </c>
      <c r="I39" s="527">
        <v>85.11</v>
      </c>
      <c r="J39" s="528">
        <v>2281928</v>
      </c>
      <c r="K39" s="527">
        <v>0.81</v>
      </c>
      <c r="L39" s="529">
        <v>9.4999999999999998E-3</v>
      </c>
      <c r="M39" s="527">
        <v>89.96</v>
      </c>
      <c r="N39" s="527">
        <v>69.56</v>
      </c>
      <c r="O39" s="528">
        <v>81515549360</v>
      </c>
      <c r="P39" s="527">
        <v>0.88</v>
      </c>
      <c r="Q39" s="527">
        <v>97</v>
      </c>
      <c r="R39" s="528">
        <v>944341400</v>
      </c>
    </row>
    <row r="40" spans="2:18" ht="25.5" customHeight="1">
      <c r="B40" s="414" t="s">
        <v>57</v>
      </c>
      <c r="C40" s="447" t="s">
        <v>182</v>
      </c>
      <c r="D40" s="448" t="s">
        <v>75</v>
      </c>
      <c r="E40" s="449" t="s">
        <v>76</v>
      </c>
      <c r="F40" s="526">
        <v>15.58</v>
      </c>
      <c r="G40" s="527">
        <v>15.37</v>
      </c>
      <c r="H40" s="527">
        <v>15.6</v>
      </c>
      <c r="I40" s="527">
        <v>15.18</v>
      </c>
      <c r="J40" s="528">
        <v>34327479</v>
      </c>
      <c r="K40" s="527">
        <v>0.21</v>
      </c>
      <c r="L40" s="529">
        <v>1.37E-2</v>
      </c>
      <c r="M40" s="527">
        <v>16.09</v>
      </c>
      <c r="N40" s="527">
        <v>8.82</v>
      </c>
      <c r="O40" s="528">
        <v>61248189180</v>
      </c>
      <c r="P40" s="527">
        <v>1.48</v>
      </c>
      <c r="Q40" s="527">
        <v>10.5</v>
      </c>
      <c r="R40" s="528">
        <v>3931206000</v>
      </c>
    </row>
    <row r="41" spans="2:18" ht="25.5" customHeight="1">
      <c r="B41" s="412" t="s">
        <v>120</v>
      </c>
      <c r="C41" s="447" t="s">
        <v>118</v>
      </c>
      <c r="D41" s="448" t="s">
        <v>75</v>
      </c>
      <c r="E41" s="449" t="s">
        <v>76</v>
      </c>
      <c r="F41" s="526">
        <v>26.68</v>
      </c>
      <c r="G41" s="527">
        <v>26.92</v>
      </c>
      <c r="H41" s="527">
        <v>27.15</v>
      </c>
      <c r="I41" s="527">
        <v>26.57</v>
      </c>
      <c r="J41" s="528">
        <v>425878</v>
      </c>
      <c r="K41" s="527">
        <v>-0.24</v>
      </c>
      <c r="L41" s="529">
        <v>-8.8999999999999999E-3</v>
      </c>
      <c r="M41" s="527">
        <v>31.49</v>
      </c>
      <c r="N41" s="527">
        <v>23.79</v>
      </c>
      <c r="O41" s="528">
        <v>1732278526</v>
      </c>
      <c r="P41" s="527">
        <v>1.71</v>
      </c>
      <c r="Q41" s="527">
        <v>15.8</v>
      </c>
      <c r="R41" s="528">
        <v>64927980</v>
      </c>
    </row>
    <row r="42" spans="2:18" ht="25.5" customHeight="1">
      <c r="B42" s="412" t="s">
        <v>125</v>
      </c>
      <c r="C42" s="447" t="s">
        <v>190</v>
      </c>
      <c r="D42" s="448" t="s">
        <v>75</v>
      </c>
      <c r="E42" s="449" t="s">
        <v>76</v>
      </c>
      <c r="F42" s="526">
        <v>28.65</v>
      </c>
      <c r="G42" s="527">
        <v>28</v>
      </c>
      <c r="H42" s="527">
        <v>28.65</v>
      </c>
      <c r="I42" s="527">
        <v>28.02</v>
      </c>
      <c r="J42" s="528">
        <v>21361</v>
      </c>
      <c r="K42" s="527">
        <v>0.65</v>
      </c>
      <c r="L42" s="529">
        <v>2.3199999999999998E-2</v>
      </c>
      <c r="M42" s="527">
        <v>33.85</v>
      </c>
      <c r="N42" s="527">
        <v>24.52</v>
      </c>
      <c r="O42" s="528">
        <v>50732989574</v>
      </c>
      <c r="P42" s="527">
        <v>1.02</v>
      </c>
      <c r="Q42" s="527">
        <v>27.1</v>
      </c>
      <c r="R42" s="528">
        <v>1770785000</v>
      </c>
    </row>
    <row r="43" spans="2:18" ht="25.5" customHeight="1">
      <c r="B43" s="456" t="s">
        <v>89</v>
      </c>
      <c r="C43" s="447" t="s">
        <v>90</v>
      </c>
      <c r="D43" s="448" t="s">
        <v>75</v>
      </c>
      <c r="E43" s="449" t="s">
        <v>76</v>
      </c>
      <c r="F43" s="526">
        <v>42.52</v>
      </c>
      <c r="G43" s="527">
        <v>42.25</v>
      </c>
      <c r="H43" s="527">
        <v>42.56</v>
      </c>
      <c r="I43" s="527">
        <v>41.91</v>
      </c>
      <c r="J43" s="528">
        <v>349182</v>
      </c>
      <c r="K43" s="527">
        <v>0.27</v>
      </c>
      <c r="L43" s="529">
        <v>6.4000000000000003E-3</v>
      </c>
      <c r="M43" s="527">
        <v>48.42</v>
      </c>
      <c r="N43" s="527">
        <v>35.53</v>
      </c>
      <c r="O43" s="528">
        <v>1680922343</v>
      </c>
      <c r="P43" s="527">
        <v>2.14</v>
      </c>
      <c r="Q43" s="527">
        <v>19.7</v>
      </c>
      <c r="R43" s="528">
        <v>39532510</v>
      </c>
    </row>
    <row r="44" spans="2:18" ht="25.5" customHeight="1">
      <c r="B44" s="412" t="s">
        <v>119</v>
      </c>
      <c r="C44" s="447" t="s">
        <v>54</v>
      </c>
      <c r="D44" s="448" t="s">
        <v>75</v>
      </c>
      <c r="E44" s="449" t="s">
        <v>76</v>
      </c>
      <c r="F44" s="526">
        <v>45.99</v>
      </c>
      <c r="G44" s="527">
        <v>45.36</v>
      </c>
      <c r="H44" s="527">
        <v>46.14</v>
      </c>
      <c r="I44" s="527">
        <v>45.2</v>
      </c>
      <c r="J44" s="528">
        <v>4439546</v>
      </c>
      <c r="K44" s="527">
        <v>0.63</v>
      </c>
      <c r="L44" s="529">
        <v>1.3899999999999999E-2</v>
      </c>
      <c r="M44" s="527">
        <v>56.06</v>
      </c>
      <c r="N44" s="527">
        <v>40.92</v>
      </c>
      <c r="O44" s="528">
        <v>20901821101</v>
      </c>
      <c r="P44" s="527">
        <v>2.02</v>
      </c>
      <c r="Q44" s="527">
        <v>23.6</v>
      </c>
      <c r="R44" s="528">
        <v>454486200</v>
      </c>
    </row>
    <row r="45" spans="2:18" ht="25.5" customHeight="1">
      <c r="B45" s="412" t="s">
        <v>49</v>
      </c>
      <c r="C45" s="447" t="s">
        <v>83</v>
      </c>
      <c r="D45" s="448" t="s">
        <v>75</v>
      </c>
      <c r="E45" s="449" t="s">
        <v>76</v>
      </c>
      <c r="F45" s="526">
        <v>61.96</v>
      </c>
      <c r="G45" s="527">
        <v>61.11</v>
      </c>
      <c r="H45" s="527">
        <v>62.12</v>
      </c>
      <c r="I45" s="527">
        <v>60.75</v>
      </c>
      <c r="J45" s="528">
        <v>11578784</v>
      </c>
      <c r="K45" s="527">
        <v>0.85</v>
      </c>
      <c r="L45" s="529">
        <v>1.3899999999999999E-2</v>
      </c>
      <c r="M45" s="527">
        <v>68.5</v>
      </c>
      <c r="N45" s="527">
        <v>53.09</v>
      </c>
      <c r="O45" s="528">
        <v>107056655018</v>
      </c>
      <c r="P45" s="527">
        <v>3.56</v>
      </c>
      <c r="Q45" s="527">
        <v>17.399999999999999</v>
      </c>
      <c r="R45" s="528">
        <v>1727835000</v>
      </c>
    </row>
    <row r="46" spans="2:18" ht="25.5" customHeight="1">
      <c r="B46" s="412" t="s">
        <v>169</v>
      </c>
      <c r="C46" s="447" t="s">
        <v>168</v>
      </c>
      <c r="D46" s="448" t="s">
        <v>75</v>
      </c>
      <c r="E46" s="449" t="s">
        <v>76</v>
      </c>
      <c r="F46" s="526">
        <v>9.1</v>
      </c>
      <c r="G46" s="527">
        <v>8.85</v>
      </c>
      <c r="H46" s="527">
        <v>9.1300000000000008</v>
      </c>
      <c r="I46" s="527">
        <v>8.77</v>
      </c>
      <c r="J46" s="528">
        <v>6511217</v>
      </c>
      <c r="K46" s="527">
        <v>0.25</v>
      </c>
      <c r="L46" s="529">
        <v>2.8199999999999999E-2</v>
      </c>
      <c r="M46" s="527">
        <v>9.3800000000000008</v>
      </c>
      <c r="N46" s="527">
        <v>6.1</v>
      </c>
      <c r="O46" s="528">
        <v>11173917768</v>
      </c>
      <c r="P46" s="527">
        <v>0.93</v>
      </c>
      <c r="Q46" s="527">
        <v>9.8000000000000007</v>
      </c>
      <c r="R46" s="528">
        <v>1227903000</v>
      </c>
    </row>
    <row r="47" spans="2:18" ht="25.5" customHeight="1">
      <c r="B47" s="414" t="s">
        <v>254</v>
      </c>
      <c r="C47" s="447" t="s">
        <v>253</v>
      </c>
      <c r="D47" s="448" t="s">
        <v>75</v>
      </c>
      <c r="E47" s="449" t="s">
        <v>76</v>
      </c>
      <c r="F47" s="526">
        <v>64.3</v>
      </c>
      <c r="G47" s="527">
        <v>62.99</v>
      </c>
      <c r="H47" s="527">
        <v>64.400000000000006</v>
      </c>
      <c r="I47" s="527">
        <v>62.52</v>
      </c>
      <c r="J47" s="528">
        <v>5584875</v>
      </c>
      <c r="K47" s="527">
        <v>1.31</v>
      </c>
      <c r="L47" s="529">
        <v>2.0799999999999999E-2</v>
      </c>
      <c r="M47" s="527">
        <v>67.89</v>
      </c>
      <c r="N47" s="527">
        <v>45.99</v>
      </c>
      <c r="O47" s="528">
        <v>115800576096</v>
      </c>
      <c r="P47" s="527">
        <v>3.29</v>
      </c>
      <c r="Q47" s="527">
        <v>19.399999999999999</v>
      </c>
      <c r="R47" s="528">
        <v>1800942000</v>
      </c>
    </row>
    <row r="48" spans="2:18" ht="25.5" customHeight="1">
      <c r="B48" s="414" t="s">
        <v>280</v>
      </c>
      <c r="C48" s="447" t="s">
        <v>281</v>
      </c>
      <c r="D48" s="448" t="s">
        <v>75</v>
      </c>
      <c r="E48" s="449" t="s">
        <v>76</v>
      </c>
      <c r="F48" s="526">
        <v>64.510000000000005</v>
      </c>
      <c r="G48" s="527">
        <v>63.31</v>
      </c>
      <c r="H48" s="527">
        <v>64.819999999999993</v>
      </c>
      <c r="I48" s="527">
        <v>62.37</v>
      </c>
      <c r="J48" s="528">
        <v>3336236</v>
      </c>
      <c r="K48" s="527">
        <v>1.2</v>
      </c>
      <c r="L48" s="529">
        <v>1.9E-2</v>
      </c>
      <c r="M48" s="527">
        <v>70.52</v>
      </c>
      <c r="N48" s="527">
        <v>31.29</v>
      </c>
      <c r="O48" s="528">
        <v>39946683447</v>
      </c>
      <c r="P48" s="527">
        <v>7.7</v>
      </c>
      <c r="Q48" s="527">
        <v>8.3000000000000007</v>
      </c>
      <c r="R48" s="528">
        <v>619232400</v>
      </c>
    </row>
    <row r="49" spans="3:18" ht="38.25" customHeight="1" thickBot="1">
      <c r="C49" s="240"/>
      <c r="D49" s="240"/>
      <c r="E49" s="241"/>
      <c r="F49" s="241"/>
      <c r="G49" s="241"/>
      <c r="H49" s="241"/>
      <c r="I49" s="241"/>
      <c r="J49" s="241"/>
      <c r="K49" s="241"/>
      <c r="L49" s="241"/>
      <c r="M49" s="241"/>
      <c r="N49" s="240"/>
      <c r="O49" s="240"/>
      <c r="P49" s="240"/>
      <c r="Q49" s="240"/>
      <c r="R49" s="240"/>
    </row>
    <row r="50" spans="3:18" ht="38.25" customHeight="1">
      <c r="C50" s="450" t="s">
        <v>0</v>
      </c>
      <c r="D50" s="241"/>
      <c r="E50" s="490" t="s">
        <v>158</v>
      </c>
      <c r="F50" s="491"/>
      <c r="G50" s="492"/>
      <c r="H50" s="241"/>
      <c r="I50" s="490" t="s">
        <v>13</v>
      </c>
      <c r="J50" s="491"/>
      <c r="K50" s="492"/>
      <c r="L50" s="241"/>
      <c r="M50" s="241"/>
      <c r="N50" s="241"/>
      <c r="O50" s="241"/>
      <c r="P50" s="241"/>
      <c r="Q50" s="241"/>
      <c r="R50" s="241"/>
    </row>
    <row r="51" spans="3:18" ht="38.25" customHeight="1" thickBot="1">
      <c r="C51" s="470" t="s">
        <v>14</v>
      </c>
      <c r="D51" s="242"/>
      <c r="E51" s="493" t="s">
        <v>8</v>
      </c>
      <c r="F51" s="494"/>
      <c r="G51" s="495"/>
      <c r="H51" s="243"/>
      <c r="I51" s="493" t="s">
        <v>9</v>
      </c>
      <c r="J51" s="494"/>
      <c r="K51" s="495"/>
      <c r="L51" s="241"/>
      <c r="M51" s="241"/>
      <c r="N51" s="241"/>
      <c r="O51" s="241"/>
      <c r="P51" s="241"/>
      <c r="Q51" s="241"/>
      <c r="R51" s="241"/>
    </row>
    <row r="52" spans="3:18" ht="38.25" customHeight="1">
      <c r="C52" s="240"/>
      <c r="D52" s="240"/>
      <c r="E52" s="240"/>
      <c r="F52" s="240"/>
      <c r="G52" s="240"/>
      <c r="H52" s="240"/>
      <c r="I52" s="240"/>
      <c r="J52" s="240"/>
      <c r="K52" s="240"/>
      <c r="L52" s="240"/>
      <c r="M52" s="240"/>
      <c r="N52" s="240"/>
      <c r="O52" s="240"/>
      <c r="P52" s="240"/>
      <c r="Q52" s="240"/>
      <c r="R52" s="240"/>
    </row>
    <row r="53" spans="3:18" ht="38.25" customHeight="1">
      <c r="C53" s="489" t="s">
        <v>267</v>
      </c>
      <c r="D53" s="489"/>
      <c r="E53" s="489"/>
      <c r="F53" s="489"/>
      <c r="G53" s="489"/>
      <c r="H53" s="489"/>
      <c r="I53" s="489"/>
      <c r="J53" s="489"/>
      <c r="K53" s="489"/>
      <c r="L53" s="489"/>
      <c r="M53" s="489"/>
      <c r="N53" s="489"/>
      <c r="O53" s="489"/>
      <c r="P53" s="489"/>
      <c r="Q53" s="489"/>
      <c r="R53" s="489"/>
    </row>
    <row r="54" spans="3:18" ht="38.25" customHeight="1">
      <c r="C54" s="486" t="s">
        <v>191</v>
      </c>
      <c r="D54" s="486"/>
      <c r="E54" s="486"/>
      <c r="F54" s="486"/>
      <c r="G54" s="486"/>
      <c r="H54" s="486"/>
      <c r="I54" s="486"/>
      <c r="J54" s="486"/>
      <c r="K54" s="486"/>
      <c r="L54" s="486"/>
      <c r="M54" s="486"/>
      <c r="N54" s="486"/>
      <c r="O54" s="486"/>
      <c r="P54" s="486"/>
      <c r="Q54" s="486"/>
      <c r="R54" s="486"/>
    </row>
    <row r="55" spans="3:18" ht="38.25" customHeight="1">
      <c r="C55" s="486"/>
      <c r="D55" s="486"/>
      <c r="E55" s="486"/>
      <c r="F55" s="486"/>
      <c r="G55" s="486"/>
      <c r="H55" s="486"/>
      <c r="I55" s="486"/>
      <c r="J55" s="486"/>
      <c r="K55" s="486"/>
      <c r="L55" s="486"/>
      <c r="M55" s="486"/>
      <c r="N55" s="486"/>
      <c r="O55" s="486"/>
      <c r="P55" s="486"/>
      <c r="Q55" s="486"/>
      <c r="R55" s="486"/>
    </row>
    <row r="56" spans="3:18" ht="38.25" customHeight="1">
      <c r="C56" s="486" t="s">
        <v>268</v>
      </c>
      <c r="D56" s="486"/>
      <c r="E56" s="486"/>
      <c r="F56" s="486"/>
      <c r="G56" s="486"/>
      <c r="H56" s="486"/>
      <c r="I56" s="486"/>
      <c r="J56" s="486"/>
      <c r="K56" s="486"/>
      <c r="L56" s="486"/>
      <c r="M56" s="486"/>
      <c r="N56" s="486"/>
      <c r="O56" s="486"/>
      <c r="P56" s="486"/>
      <c r="Q56" s="486"/>
      <c r="R56" s="486"/>
    </row>
    <row r="57" spans="3:18" ht="38.25" customHeight="1">
      <c r="C57" s="486"/>
      <c r="D57" s="486"/>
      <c r="E57" s="486"/>
      <c r="F57" s="486"/>
      <c r="G57" s="486"/>
      <c r="H57" s="486"/>
      <c r="I57" s="486"/>
      <c r="J57" s="486"/>
      <c r="K57" s="486"/>
      <c r="L57" s="486"/>
      <c r="M57" s="486"/>
      <c r="N57" s="486"/>
      <c r="O57" s="486"/>
      <c r="P57" s="486"/>
      <c r="Q57" s="486"/>
      <c r="R57" s="486"/>
    </row>
    <row r="58" spans="3:18" ht="38.25" customHeight="1">
      <c r="C58" s="486" t="s">
        <v>192</v>
      </c>
      <c r="D58" s="486"/>
      <c r="E58" s="486"/>
      <c r="F58" s="486"/>
      <c r="G58" s="486"/>
      <c r="H58" s="486"/>
      <c r="I58" s="486"/>
      <c r="J58" s="486"/>
      <c r="K58" s="486"/>
      <c r="L58" s="486"/>
      <c r="M58" s="486"/>
      <c r="N58" s="486"/>
      <c r="O58" s="486"/>
      <c r="P58" s="486"/>
      <c r="Q58" s="486"/>
      <c r="R58" s="486"/>
    </row>
    <row r="59" spans="3:18" ht="38.25" customHeight="1">
      <c r="C59" s="486"/>
      <c r="D59" s="486"/>
      <c r="E59" s="486"/>
      <c r="F59" s="486"/>
      <c r="G59" s="486"/>
      <c r="H59" s="486"/>
      <c r="I59" s="486"/>
      <c r="J59" s="486"/>
      <c r="K59" s="486"/>
      <c r="L59" s="486"/>
      <c r="M59" s="486"/>
      <c r="N59" s="486"/>
      <c r="O59" s="486"/>
      <c r="P59" s="486"/>
      <c r="Q59" s="486"/>
      <c r="R59" s="486"/>
    </row>
    <row r="60" spans="3:18" ht="38.25" customHeight="1">
      <c r="C60" s="486" t="s">
        <v>193</v>
      </c>
      <c r="D60" s="486"/>
      <c r="E60" s="486"/>
      <c r="F60" s="486"/>
      <c r="G60" s="486"/>
      <c r="H60" s="486"/>
      <c r="I60" s="486"/>
      <c r="J60" s="486"/>
      <c r="K60" s="486"/>
      <c r="L60" s="486"/>
      <c r="M60" s="486"/>
      <c r="N60" s="486"/>
      <c r="O60" s="486"/>
      <c r="P60" s="486"/>
      <c r="Q60" s="486"/>
      <c r="R60" s="486"/>
    </row>
    <row r="61" spans="3:18" ht="12.75" customHeight="1">
      <c r="C61" s="486"/>
      <c r="D61" s="486"/>
      <c r="E61" s="486"/>
      <c r="F61" s="486"/>
      <c r="G61" s="486"/>
      <c r="H61" s="486"/>
      <c r="I61" s="486"/>
      <c r="J61" s="486"/>
      <c r="K61" s="486"/>
      <c r="L61" s="486"/>
      <c r="M61" s="486"/>
      <c r="N61" s="486"/>
      <c r="O61" s="486"/>
      <c r="P61" s="486"/>
      <c r="Q61" s="486"/>
      <c r="R61" s="486"/>
    </row>
    <row r="62" spans="3:18" ht="12.75" customHeight="1">
      <c r="C62" s="486" t="s">
        <v>194</v>
      </c>
      <c r="D62" s="486"/>
      <c r="E62" s="486"/>
      <c r="F62" s="486"/>
      <c r="G62" s="486"/>
      <c r="H62" s="486"/>
      <c r="I62" s="486"/>
      <c r="J62" s="486"/>
      <c r="K62" s="486"/>
      <c r="L62" s="486"/>
      <c r="M62" s="486"/>
      <c r="N62" s="486"/>
      <c r="O62" s="486"/>
      <c r="P62" s="486"/>
      <c r="Q62" s="486"/>
      <c r="R62" s="486"/>
    </row>
    <row r="63" spans="3:18">
      <c r="C63" s="486"/>
      <c r="D63" s="486"/>
      <c r="E63" s="486"/>
      <c r="F63" s="486"/>
      <c r="G63" s="486"/>
      <c r="H63" s="486"/>
      <c r="I63" s="486"/>
      <c r="J63" s="486"/>
      <c r="K63" s="486"/>
      <c r="L63" s="486"/>
      <c r="M63" s="486"/>
      <c r="N63" s="486"/>
      <c r="O63" s="486"/>
      <c r="P63" s="486"/>
      <c r="Q63" s="486"/>
      <c r="R63" s="486"/>
    </row>
    <row r="70" spans="4:4">
      <c r="D70" s="244"/>
    </row>
  </sheetData>
  <mergeCells count="17">
    <mergeCell ref="C60:R60"/>
    <mergeCell ref="C59:R59"/>
    <mergeCell ref="C63:R63"/>
    <mergeCell ref="C9:R9"/>
    <mergeCell ref="C10:R10"/>
    <mergeCell ref="C56:R56"/>
    <mergeCell ref="C54:R54"/>
    <mergeCell ref="C55:R55"/>
    <mergeCell ref="C53:R53"/>
    <mergeCell ref="E50:G50"/>
    <mergeCell ref="I50:K50"/>
    <mergeCell ref="E51:G51"/>
    <mergeCell ref="I51:K51"/>
    <mergeCell ref="C58:R58"/>
    <mergeCell ref="C57:R57"/>
    <mergeCell ref="C62:R62"/>
    <mergeCell ref="C61:R61"/>
  </mergeCells>
  <hyperlinks>
    <hyperlink ref="C10" r:id="rId1" display="http://money.msn.com/"/>
    <hyperlink ref="C12" r:id="rId2" display="http://investing.money.msn.com/investments/stock-price?symbol=%24INDU"/>
    <hyperlink ref="D12" r:id="rId3" display="http://investing.money.msn.com/investments/equity-charts?symbol=%24INDU"/>
    <hyperlink ref="E12" r:id="rId4" display="http://money.msn.com/business-news/default.aspx?symbol=%24INDU"/>
    <hyperlink ref="C13" r:id="rId5" display="http://investing.money.msn.com/investments/stock-price?symbol=%24COMP"/>
    <hyperlink ref="D13" r:id="rId6" display="http://investing.money.msn.com/investments/equity-charts?symbol=%24COMP"/>
    <hyperlink ref="E13" r:id="rId7" display="http://money.msn.com/business-news/default.aspx?symbol=%24COMP"/>
    <hyperlink ref="C14" r:id="rId8" display="http://investing.money.msn.com/investments/stock-price?symbol=%24INX"/>
    <hyperlink ref="D14" r:id="rId9" display="http://investing.money.msn.com/investments/equity-charts?symbol=%24INX"/>
    <hyperlink ref="E14" r:id="rId10" display="http://money.msn.com/business-news/default.aspx?symbol=%24INX"/>
    <hyperlink ref="C15" r:id="rId11" display="http://investing.money.msn.com/investments/stock-price?symbol=%24COMPX"/>
    <hyperlink ref="D15" r:id="rId12" display="http://investing.money.msn.com/investments/equity-charts?symbol=%24COMPX"/>
    <hyperlink ref="E15" r:id="rId13" display="http://money.msn.com/business-news/default.aspx?symbol=%24COMPX"/>
    <hyperlink ref="C16" r:id="rId14" display="http://investing.money.msn.com/investments/stock-price?symbol=BRK%2EB"/>
    <hyperlink ref="D16" r:id="rId15" display="http://investing.money.msn.com/investments/equity-charts?symbol=BRK%2EB"/>
    <hyperlink ref="E16" r:id="rId16" display="http://money.msn.com/business-news/default.aspx?symbol=BRK%2EB"/>
    <hyperlink ref="C17" r:id="rId17" display="http://investing.money.msn.com/investments/stock-price?symbol=MCLOX"/>
    <hyperlink ref="D17" r:id="rId18" display="http://investing.money.msn.com/investments/equity-charts?symbol=MCLOX"/>
    <hyperlink ref="E17" r:id="rId19" display="http://money.msn.com/business-news/default.aspx?symbol=MCLOX"/>
    <hyperlink ref="C18" r:id="rId20" display="http://investing.money.msn.com/investments/stock-price?symbol=CAT"/>
    <hyperlink ref="D18" r:id="rId21" display="http://investing.money.msn.com/investments/equity-charts?symbol=CAT"/>
    <hyperlink ref="E18" r:id="rId22" display="http://money.msn.com/business-news/default.aspx?symbol=CAT"/>
    <hyperlink ref="C19" r:id="rId23" display="http://investing.money.msn.com/investments/stock-price?symbol=CX"/>
    <hyperlink ref="D19" r:id="rId24" display="http://investing.money.msn.com/investments/equity-charts?symbol=CX"/>
    <hyperlink ref="E19" r:id="rId25" display="http://money.msn.com/business-news/default.aspx?symbol=CX"/>
    <hyperlink ref="C20" r:id="rId26" display="http://investing.money.msn.com/investments/stock-price?symbol=CSCO"/>
    <hyperlink ref="D20" r:id="rId27" display="http://investing.money.msn.com/investments/equity-charts?symbol=CSCO"/>
    <hyperlink ref="E20" r:id="rId28" display="http://money.msn.com/business-news/default.aspx?symbol=CSCO"/>
    <hyperlink ref="C21" r:id="rId29" display="http://investing.money.msn.com/investments/stock-price?symbol=DAL"/>
    <hyperlink ref="D21" r:id="rId30" display="http://investing.money.msn.com/investments/equity-charts?symbol=DAL"/>
    <hyperlink ref="E21" r:id="rId31" display="http://money.msn.com/business-news/default.aspx?symbol=DAL"/>
    <hyperlink ref="C22" r:id="rId32" display="http://investing.money.msn.com/investments/stock-price?symbol=GNTX"/>
    <hyperlink ref="D22" r:id="rId33" display="http://investing.money.msn.com/investments/equity-charts?symbol=GNTX"/>
    <hyperlink ref="E22" r:id="rId34" display="http://money.msn.com/business-news/default.aspx?symbol=GNTX"/>
    <hyperlink ref="C23" r:id="rId35" display="http://investing.money.msn.com/investments/stock-price?symbol=HD"/>
    <hyperlink ref="D23" r:id="rId36" display="http://investing.money.msn.com/investments/equity-charts?symbol=HD"/>
    <hyperlink ref="E23" r:id="rId37" display="http://money.msn.com/business-news/default.aspx?symbol=HD"/>
    <hyperlink ref="C24" r:id="rId38" display="http://investing.money.msn.com/investments/stock-price?symbol=IMMR"/>
    <hyperlink ref="D24" r:id="rId39" display="http://investing.money.msn.com/investments/equity-charts?symbol=IMMR"/>
    <hyperlink ref="E24" r:id="rId40" display="http://money.msn.com/business-news/default.aspx?symbol=IMMR"/>
    <hyperlink ref="C25" r:id="rId41" display="http://investing.money.msn.com/investments/stock-price?symbol=INTC"/>
    <hyperlink ref="D25" r:id="rId42" display="http://investing.money.msn.com/investments/equity-charts?symbol=INTC"/>
    <hyperlink ref="E25" r:id="rId43" display="http://money.msn.com/business-news/default.aspx?symbol=INTC"/>
    <hyperlink ref="C26" r:id="rId44" display="http://investing.money.msn.com/investments/stock-price?symbol=MDT"/>
    <hyperlink ref="D26" r:id="rId45" display="http://investing.money.msn.com/investments/equity-charts?symbol=MDT"/>
    <hyperlink ref="E26" r:id="rId46" display="http://money.msn.com/business-news/default.aspx?symbol=MDT"/>
    <hyperlink ref="C27" r:id="rId47" display="http://investing.money.msn.com/investments/stock-price?symbol=NGVC"/>
    <hyperlink ref="D27" r:id="rId48" display="http://investing.money.msn.com/investments/equity-charts?symbol=NGVC"/>
    <hyperlink ref="E27" r:id="rId49" display="http://money.msn.com/business-news/default.aspx?symbol=NGVC"/>
    <hyperlink ref="C28" r:id="rId50" display="http://investing.money.msn.com/investments/stock-price?symbol=TPC"/>
    <hyperlink ref="D28" r:id="rId51" display="http://investing.money.msn.com/investments/equity-charts?symbol=TPC"/>
    <hyperlink ref="E28" r:id="rId52" display="http://money.msn.com/business-news/default.aspx?symbol=TPC"/>
    <hyperlink ref="C29" r:id="rId53" display="http://investing.money.msn.com/investments/stock-price?symbol=TSN"/>
    <hyperlink ref="D29" r:id="rId54" display="http://investing.money.msn.com/investments/equity-charts?symbol=TSN"/>
    <hyperlink ref="E29" r:id="rId55" display="http://money.msn.com/business-news/default.aspx?symbol=TSN"/>
    <hyperlink ref="C30" r:id="rId56" display="http://investing.money.msn.com/investments/stock-price?symbol=WFC"/>
    <hyperlink ref="D30" r:id="rId57" display="http://investing.money.msn.com/investments/equity-charts?symbol=WFC"/>
    <hyperlink ref="E30" r:id="rId58" display="http://money.msn.com/business-news/default.aspx?symbol=WFC"/>
    <hyperlink ref="C31" r:id="rId59" display="http://investing.money.msn.com/investments/stock-price?symbol=YHOO"/>
    <hyperlink ref="D31" r:id="rId60" display="http://investing.money.msn.com/investments/equity-charts?symbol=YHOO"/>
    <hyperlink ref="E31" r:id="rId61" display="http://money.msn.com/business-news/default.aspx?symbol=YHOO"/>
    <hyperlink ref="C32" r:id="rId62" display="http://investing.money.msn.com/investments/stock-price?symbol=YRCW"/>
    <hyperlink ref="D32" r:id="rId63" display="http://investing.money.msn.com/investments/equity-charts?symbol=YRCW"/>
    <hyperlink ref="E32" r:id="rId64" display="http://money.msn.com/business-news/default.aspx?symbol=YRCW"/>
    <hyperlink ref="C34" r:id="rId65" display="http://investing.money.msn.com/investments/stock-price?symbol=VALE"/>
    <hyperlink ref="D34" r:id="rId66" display="http://investing.money.msn.com/investments/equity-charts?symbol=VALE"/>
    <hyperlink ref="E34" r:id="rId67" display="http://money.msn.com/business-news/default.aspx?symbol=VALE"/>
    <hyperlink ref="C35" r:id="rId68" display="http://investing.money.msn.com/investments/stock-price?symbol=CPL"/>
    <hyperlink ref="D35" r:id="rId69" display="http://investing.money.msn.com/investments/equity-charts?symbol=CPL"/>
    <hyperlink ref="E35" r:id="rId70" display="http://money.msn.com/business-news/default.aspx?symbol=CPL"/>
    <hyperlink ref="C36" r:id="rId71" display="http://investing.money.msn.com/investments/stock-price?symbol=SYK"/>
    <hyperlink ref="D36" r:id="rId72" display="http://investing.money.msn.com/investments/equity-charts?symbol=SYK"/>
    <hyperlink ref="E36" r:id="rId73" display="http://money.msn.com/business-news/default.aspx?symbol=SYK"/>
    <hyperlink ref="C37" r:id="rId74" display="http://investing.money.msn.com/investments/stock-price?symbol=PGX"/>
    <hyperlink ref="D37" r:id="rId75" display="http://investing.money.msn.com/investments/equity-charts?symbol=PGX"/>
    <hyperlink ref="E37" r:id="rId76" display="http://money.msn.com/business-news/default.aspx?symbol=PGX"/>
    <hyperlink ref="C38" r:id="rId77" display="http://investing.money.msn.com/investments/stock-price?symbol=PTR"/>
    <hyperlink ref="D38" r:id="rId78" display="http://investing.money.msn.com/investments/equity-charts?symbol=PTR"/>
    <hyperlink ref="E38" r:id="rId79" display="http://money.msn.com/business-news/default.aspx?symbol=PTR"/>
    <hyperlink ref="C39" r:id="rId80" display="http://investing.money.msn.com/investments/stock-price?symbol=UPS"/>
    <hyperlink ref="D39" r:id="rId81" display="http://investing.money.msn.com/investments/equity-charts?symbol=UPS"/>
    <hyperlink ref="E39" r:id="rId82" display="http://money.msn.com/business-news/default.aspx?symbol=UPS"/>
    <hyperlink ref="C40" r:id="rId83" display="http://investing.money.msn.com/investments/stock-price?symbol=F"/>
    <hyperlink ref="D40" r:id="rId84" display="http://investing.money.msn.com/investments/equity-charts?symbol=F"/>
    <hyperlink ref="E40" r:id="rId85" display="http://money.msn.com/business-news/default.aspx?symbol=F"/>
    <hyperlink ref="C41" r:id="rId86" display="http://investing.money.msn.com/investments/stock-price?symbol=TTEK"/>
    <hyperlink ref="D41" r:id="rId87" display="http://investing.money.msn.com/investments/equity-charts?symbol=TTEK"/>
    <hyperlink ref="E41" r:id="rId88" display="http://money.msn.com/business-news/default.aspx?symbol=TTEK"/>
    <hyperlink ref="C42" r:id="rId89" display="http://investing.money.msn.com/investments/stock-price?symbol=WMMVY"/>
    <hyperlink ref="D42" r:id="rId90" display="http://investing.money.msn.com/investments/equity-charts?symbol=WMMVY"/>
    <hyperlink ref="E42" r:id="rId91" display="http://money.msn.com/business-news/default.aspx?symbol=WMMVY"/>
    <hyperlink ref="C43" r:id="rId92" display="http://investing.money.msn.com/investments/stock-price?symbol=ITRI"/>
    <hyperlink ref="D43" r:id="rId93" display="http://investing.money.msn.com/investments/equity-charts?symbol=ITRI"/>
    <hyperlink ref="E43" r:id="rId94" display="http://money.msn.com/business-news/default.aspx?symbol=ITRI"/>
    <hyperlink ref="C44" r:id="rId95" display="http://investing.money.msn.com/investments/stock-price?symbol=HCP"/>
    <hyperlink ref="D44" r:id="rId96" display="http://investing.money.msn.com/investments/equity-charts?symbol=HCP"/>
    <hyperlink ref="E44" r:id="rId97" display="http://money.msn.com/business-news/default.aspx?symbol=HCP"/>
    <hyperlink ref="C45" r:id="rId98" display="http://investing.money.msn.com/investments/stock-price?symbol=QCOM"/>
    <hyperlink ref="D45" r:id="rId99" display="http://investing.money.msn.com/investments/equity-charts?symbol=QCOM"/>
    <hyperlink ref="E45" r:id="rId100" display="http://money.msn.com/business-news/default.aspx?symbol=QCOM"/>
    <hyperlink ref="C46" r:id="rId101" display="http://investing.money.msn.com/investments/stock-price?symbol=XRX"/>
    <hyperlink ref="D46" r:id="rId102" display="http://investing.money.msn.com/investments/equity-charts?symbol=XRX"/>
    <hyperlink ref="E46" r:id="rId103" display="http://money.msn.com/business-news/default.aspx?symbol=XRX"/>
    <hyperlink ref="C47" r:id="rId104" display="http://investing.money.msn.com/investments/stock-price?symbol=DIS"/>
    <hyperlink ref="D47" r:id="rId105" display="http://investing.money.msn.com/investments/equity-charts?symbol=DIS"/>
    <hyperlink ref="E47" r:id="rId106" display="http://money.msn.com/business-news/default.aspx?symbol=DIS"/>
    <hyperlink ref="C48" r:id="rId107" display="http://investing.money.msn.com/investments/stock-price?symbol=PSX"/>
    <hyperlink ref="D48" r:id="rId108" display="http://investing.money.msn.com/investments/equity-charts?symbol=PSX"/>
    <hyperlink ref="E48" r:id="rId109" display="http://money.msn.com/business-news/default.aspx?symbol=PSX"/>
    <hyperlink ref="C50" r:id="rId110" display="http://investing.money.msn.com/investments/find-symbol"/>
    <hyperlink ref="E50" r:id="rId111" display="http://money.msn.com/"/>
    <hyperlink ref="I50" r:id="rId112" display="http://office.microsoft.com/"/>
    <hyperlink ref="C53" r:id="rId113" display="http://g.msn.com/0TO_/enus"/>
  </hyperlinks>
  <pageMargins left="0.7" right="0.7" top="0.75" bottom="0.75" header="0.3" footer="0.3"/>
</worksheet>
</file>

<file path=xl/worksheets/sheet5.xml><?xml version="1.0" encoding="utf-8"?>
<worksheet xmlns="http://schemas.openxmlformats.org/spreadsheetml/2006/main" xmlns:r="http://schemas.openxmlformats.org/officeDocument/2006/relationships">
  <sheetPr codeName="Sheet3" enableFormatConditionsCalculation="0">
    <tabColor indexed="11"/>
    <pageSetUpPr fitToPage="1"/>
  </sheetPr>
  <dimension ref="A1:AC538"/>
  <sheetViews>
    <sheetView workbookViewId="0">
      <pane xSplit="2" ySplit="2" topLeftCell="C504" activePane="bottomRight" state="frozen"/>
      <selection pane="topRight" activeCell="C1" sqref="C1"/>
      <selection pane="bottomLeft" activeCell="A3" sqref="A3"/>
      <selection pane="bottomRight" activeCell="L522" sqref="L522"/>
    </sheetView>
  </sheetViews>
  <sheetFormatPr defaultColWidth="8.85546875" defaultRowHeight="12.75"/>
  <cols>
    <col min="1" max="1" width="5" style="185" customWidth="1"/>
    <col min="2" max="2" width="10.42578125" style="185" customWidth="1"/>
    <col min="3" max="3" width="3.5703125" style="181" customWidth="1"/>
    <col min="4" max="4" width="12.28515625" style="2" bestFit="1" customWidth="1"/>
    <col min="5" max="5" width="11.42578125" style="2" bestFit="1" customWidth="1"/>
    <col min="6" max="6" width="10.42578125" style="2" bestFit="1" customWidth="1"/>
    <col min="7" max="7" width="9.28515625" style="188" customWidth="1"/>
    <col min="8" max="8" width="10.28515625" style="2" bestFit="1" customWidth="1"/>
    <col min="9" max="9" width="8.28515625" style="188" bestFit="1" customWidth="1"/>
    <col min="10" max="10" width="7.28515625" style="178" hidden="1" customWidth="1"/>
    <col min="11" max="11" width="2.85546875" style="181" customWidth="1"/>
    <col min="12" max="12" width="8.7109375" style="137" bestFit="1" customWidth="1"/>
    <col min="13" max="13" width="9.85546875" style="188" bestFit="1" customWidth="1"/>
    <col min="14" max="14" width="9.140625" style="188" customWidth="1"/>
    <col min="15" max="15" width="6.42578125" style="188" customWidth="1"/>
    <col min="16" max="17" width="9.140625" style="188" customWidth="1"/>
    <col min="18" max="18" width="2.85546875" style="178" customWidth="1"/>
    <col min="19" max="19" width="9.7109375" style="137" bestFit="1" customWidth="1"/>
    <col min="20" max="20" width="9.85546875" style="188" bestFit="1" customWidth="1"/>
    <col min="21" max="21" width="9.140625" style="188" customWidth="1"/>
    <col min="22" max="22" width="6.42578125" style="188" customWidth="1"/>
    <col min="23" max="24" width="9.140625" style="188" hidden="1" customWidth="1"/>
    <col min="25" max="25" width="4.28515625" style="181" customWidth="1"/>
    <col min="26" max="26" width="8.42578125" style="309" hidden="1" customWidth="1"/>
    <col min="27" max="27" width="7" style="310" hidden="1" customWidth="1"/>
    <col min="28" max="28" width="7.7109375" style="310" hidden="1" customWidth="1"/>
    <col min="29" max="29" width="4.28515625" style="181" customWidth="1"/>
    <col min="30" max="31" width="8.85546875" style="179" customWidth="1"/>
    <col min="32" max="16384" width="8.85546875" style="179"/>
  </cols>
  <sheetData>
    <row r="1" spans="1:29" ht="27.75">
      <c r="D1" s="496" t="s">
        <v>2</v>
      </c>
      <c r="E1" s="496"/>
      <c r="F1" s="496"/>
      <c r="G1" s="496"/>
      <c r="H1" s="496"/>
      <c r="I1" s="496"/>
      <c r="L1" s="496" t="s">
        <v>1</v>
      </c>
      <c r="M1" s="496"/>
      <c r="N1" s="496"/>
      <c r="O1" s="497"/>
      <c r="P1" s="497"/>
      <c r="Q1" s="497"/>
      <c r="S1" s="496"/>
      <c r="T1" s="496"/>
      <c r="U1" s="496"/>
      <c r="V1" s="497"/>
      <c r="W1" s="317"/>
      <c r="X1" s="317"/>
    </row>
    <row r="2" spans="1:29" s="173" customFormat="1" ht="98.25" customHeight="1" thickBot="1">
      <c r="A2" s="182" t="s">
        <v>109</v>
      </c>
      <c r="B2" s="183" t="s">
        <v>126</v>
      </c>
      <c r="C2" s="170"/>
      <c r="D2" s="186" t="s">
        <v>130</v>
      </c>
      <c r="E2" s="186" t="s">
        <v>96</v>
      </c>
      <c r="F2" s="186" t="s">
        <v>131</v>
      </c>
      <c r="G2" s="187" t="s">
        <v>146</v>
      </c>
      <c r="H2" s="186" t="s">
        <v>132</v>
      </c>
      <c r="I2" s="187" t="s">
        <v>133</v>
      </c>
      <c r="J2" s="171"/>
      <c r="K2" s="170"/>
      <c r="L2" s="194" t="s">
        <v>134</v>
      </c>
      <c r="M2" s="195" t="s">
        <v>135</v>
      </c>
      <c r="N2" s="196" t="s">
        <v>77</v>
      </c>
      <c r="O2" s="196" t="s">
        <v>234</v>
      </c>
      <c r="P2" s="196" t="s">
        <v>245</v>
      </c>
      <c r="Q2" s="195" t="s">
        <v>236</v>
      </c>
      <c r="R2" s="172"/>
      <c r="S2" s="194" t="s">
        <v>78</v>
      </c>
      <c r="T2" s="195" t="s">
        <v>79</v>
      </c>
      <c r="U2" s="196" t="s">
        <v>80</v>
      </c>
      <c r="V2" s="196" t="s">
        <v>244</v>
      </c>
      <c r="W2" s="196" t="s">
        <v>245</v>
      </c>
      <c r="X2" s="195" t="s">
        <v>248</v>
      </c>
      <c r="Y2" s="170"/>
      <c r="Z2" s="311" t="s">
        <v>81</v>
      </c>
      <c r="AA2" s="315" t="s">
        <v>82</v>
      </c>
      <c r="AB2" s="315" t="s">
        <v>144</v>
      </c>
      <c r="AC2" s="170"/>
    </row>
    <row r="3" spans="1:29" s="177" customFormat="1" ht="12.75" customHeight="1">
      <c r="A3" s="27">
        <v>1</v>
      </c>
      <c r="B3" s="28">
        <v>37743</v>
      </c>
      <c r="C3" s="174"/>
      <c r="D3" s="29">
        <v>22855.85</v>
      </c>
      <c r="E3" s="29">
        <f>D3</f>
        <v>22855.85</v>
      </c>
      <c r="F3" s="30" t="s">
        <v>145</v>
      </c>
      <c r="G3" s="31" t="s">
        <v>145</v>
      </c>
      <c r="H3" s="30" t="s">
        <v>145</v>
      </c>
      <c r="I3" s="31" t="s">
        <v>145</v>
      </c>
      <c r="J3" s="175"/>
      <c r="K3" s="174"/>
      <c r="L3" s="287">
        <v>930.08</v>
      </c>
      <c r="M3" s="31" t="s">
        <v>145</v>
      </c>
      <c r="N3" s="32" t="s">
        <v>145</v>
      </c>
      <c r="O3" s="32"/>
      <c r="P3" s="32"/>
      <c r="Q3" s="32"/>
      <c r="R3" s="176"/>
      <c r="S3" s="287">
        <v>8582.68</v>
      </c>
      <c r="T3" s="31" t="s">
        <v>145</v>
      </c>
      <c r="U3" s="32" t="s">
        <v>145</v>
      </c>
      <c r="V3" s="32"/>
      <c r="W3" s="32"/>
      <c r="X3" s="32"/>
      <c r="Y3" s="181"/>
      <c r="Z3" s="312">
        <v>1502.88</v>
      </c>
      <c r="AA3" s="313" t="s">
        <v>145</v>
      </c>
      <c r="AB3" s="313" t="s">
        <v>145</v>
      </c>
      <c r="AC3" s="308"/>
    </row>
    <row r="4" spans="1:29">
      <c r="A4" s="184">
        <v>2</v>
      </c>
      <c r="B4" s="1">
        <v>37750</v>
      </c>
      <c r="C4" s="174"/>
      <c r="D4" s="2">
        <v>23075.51</v>
      </c>
      <c r="E4" s="2">
        <f>D4</f>
        <v>23075.51</v>
      </c>
      <c r="F4" s="2">
        <f>D4-D3</f>
        <v>219.65999999999985</v>
      </c>
      <c r="G4" s="188">
        <f>(D4/D3)-1</f>
        <v>9.6106686034429512E-3</v>
      </c>
      <c r="H4" s="2">
        <f>D4-$D$3</f>
        <v>219.65999999999985</v>
      </c>
      <c r="I4" s="188">
        <f>(D4/$D$3)-1</f>
        <v>9.6106686034429512E-3</v>
      </c>
      <c r="K4" s="174"/>
      <c r="L4" s="287">
        <v>933.41</v>
      </c>
      <c r="M4" s="188">
        <f>(L4/L3)-1</f>
        <v>3.5803371752967106E-3</v>
      </c>
      <c r="N4" s="188">
        <f t="shared" ref="N4:N67" si="0">(L4/$L$3)-1</f>
        <v>3.5803371752967106E-3</v>
      </c>
      <c r="O4" s="305" t="str">
        <f t="shared" ref="O4:O67" si="1">IF(G4&gt;M4,"Yes","No")</f>
        <v>Yes</v>
      </c>
      <c r="P4" s="304">
        <f>IF(O4="Yes",1,0)</f>
        <v>1</v>
      </c>
      <c r="Q4" s="188">
        <f>SUM(P4)/COUNT(P4)</f>
        <v>1</v>
      </c>
      <c r="S4" s="287">
        <v>8604.6</v>
      </c>
      <c r="T4" s="188">
        <f>(S4/S3)-1</f>
        <v>2.5539808078596238E-3</v>
      </c>
      <c r="U4" s="188">
        <f t="shared" ref="U4:U35" si="2">(S4/$S$3)-1</f>
        <v>2.5539808078596238E-3</v>
      </c>
      <c r="V4" s="305" t="str">
        <f t="shared" ref="V4:V35" si="3">IF(G4&gt;T4,"Yes","No")</f>
        <v>Yes</v>
      </c>
      <c r="W4" s="304">
        <f>IF(V4="Yes",1,0)</f>
        <v>1</v>
      </c>
      <c r="Z4" s="309">
        <v>1520.15</v>
      </c>
      <c r="AA4" s="310">
        <f>(Z4/Z3)-1</f>
        <v>1.1491270094751371E-2</v>
      </c>
      <c r="AB4" s="310">
        <f>(Z4/$Z$3)-1</f>
        <v>1.1491270094751371E-2</v>
      </c>
      <c r="AC4" s="308"/>
    </row>
    <row r="5" spans="1:29">
      <c r="A5" s="184">
        <v>3</v>
      </c>
      <c r="B5" s="1">
        <f>B4+7</f>
        <v>37757</v>
      </c>
      <c r="C5" s="174"/>
      <c r="D5" s="2">
        <v>23259.78</v>
      </c>
      <c r="E5" s="2">
        <f t="shared" ref="E5:E40" si="4">D5</f>
        <v>23259.78</v>
      </c>
      <c r="F5" s="2">
        <f t="shared" ref="F5:F40" si="5">D5-D4</f>
        <v>184.27000000000044</v>
      </c>
      <c r="G5" s="188">
        <f t="shared" ref="G5:G40" si="6">(D5/D4)-1</f>
        <v>7.98552231348304E-3</v>
      </c>
      <c r="H5" s="2">
        <f t="shared" ref="H5:H40" si="7">D5-$D$3</f>
        <v>403.93000000000029</v>
      </c>
      <c r="I5" s="188">
        <f t="shared" ref="I5:I40" si="8">(D5/$D$3)-1</f>
        <v>1.7672937125506216E-2</v>
      </c>
      <c r="K5" s="174"/>
      <c r="L5" s="287">
        <v>944.3</v>
      </c>
      <c r="M5" s="188">
        <f t="shared" ref="M5:M41" si="9">(L5/L4)-1</f>
        <v>1.1666898790456459E-2</v>
      </c>
      <c r="N5" s="188">
        <f t="shared" si="0"/>
        <v>1.528900739721295E-2</v>
      </c>
      <c r="O5" s="305" t="str">
        <f t="shared" si="1"/>
        <v>No</v>
      </c>
      <c r="P5" s="304">
        <f>IF(O5="Yes",1,0)</f>
        <v>0</v>
      </c>
      <c r="Q5" s="188">
        <f>SUM(P4:P5)/COUNT(P4:P5)</f>
        <v>0.5</v>
      </c>
      <c r="S5" s="287">
        <v>8678.9699999999993</v>
      </c>
      <c r="T5" s="188">
        <f t="shared" ref="T5:T41" si="10">(S5/S4)-1</f>
        <v>8.6430513911162077E-3</v>
      </c>
      <c r="U5" s="188">
        <f t="shared" si="2"/>
        <v>1.1219106386350042E-2</v>
      </c>
      <c r="V5" s="305" t="str">
        <f t="shared" si="3"/>
        <v>No</v>
      </c>
      <c r="W5" s="304">
        <f>IF(V5="Yes",1,0)</f>
        <v>0</v>
      </c>
      <c r="Z5" s="309">
        <v>1538.53</v>
      </c>
      <c r="AA5" s="310">
        <f t="shared" ref="AA5:AA41" si="11">(Z5/Z4)-1</f>
        <v>1.2090912081044625E-2</v>
      </c>
      <c r="AB5" s="310">
        <f t="shared" ref="AB5:AB41" si="12">(Z5/$Z$3)-1</f>
        <v>2.3721122112211113E-2</v>
      </c>
      <c r="AC5" s="308"/>
    </row>
    <row r="6" spans="1:29">
      <c r="A6" s="184">
        <v>4</v>
      </c>
      <c r="B6" s="1">
        <f t="shared" ref="B6:B41" si="13">B5+7</f>
        <v>37764</v>
      </c>
      <c r="C6" s="174"/>
      <c r="D6" s="2">
        <v>22880.42</v>
      </c>
      <c r="E6" s="2">
        <f t="shared" si="4"/>
        <v>22880.42</v>
      </c>
      <c r="F6" s="2">
        <f t="shared" si="5"/>
        <v>-379.36000000000058</v>
      </c>
      <c r="G6" s="188">
        <f t="shared" si="6"/>
        <v>-1.630969854401032E-2</v>
      </c>
      <c r="H6" s="2">
        <f t="shared" si="7"/>
        <v>24.569999999999709</v>
      </c>
      <c r="I6" s="188">
        <f t="shared" si="8"/>
        <v>1.0749983045916789E-3</v>
      </c>
      <c r="K6" s="174"/>
      <c r="L6" s="287">
        <v>921.29</v>
      </c>
      <c r="M6" s="197">
        <f t="shared" si="9"/>
        <v>-2.4367256168590479E-2</v>
      </c>
      <c r="N6" s="188">
        <f t="shared" si="0"/>
        <v>-9.4507999311888025E-3</v>
      </c>
      <c r="O6" s="305" t="str">
        <f t="shared" si="1"/>
        <v>Yes</v>
      </c>
      <c r="P6" s="304">
        <f t="shared" ref="P6:P69" si="14">IF(O6="Yes",1,0)</f>
        <v>1</v>
      </c>
      <c r="Q6" s="188">
        <f>SUM(P4:P6)/COUNT(P4:P6)</f>
        <v>0.66666666666666663</v>
      </c>
      <c r="S6" s="287">
        <v>8497.59</v>
      </c>
      <c r="T6" s="197">
        <f t="shared" si="10"/>
        <v>-2.0898793289987116E-2</v>
      </c>
      <c r="U6" s="188">
        <f t="shared" si="2"/>
        <v>-9.9141526889037213E-3</v>
      </c>
      <c r="V6" s="305" t="str">
        <f t="shared" si="3"/>
        <v>Yes</v>
      </c>
      <c r="W6" s="304">
        <f t="shared" ref="W6:W69" si="15">IF(V6="Yes",1,0)</f>
        <v>1</v>
      </c>
      <c r="Z6" s="309">
        <v>1483.2</v>
      </c>
      <c r="AA6" s="310">
        <f t="shared" si="11"/>
        <v>-3.5962899650965441E-2</v>
      </c>
      <c r="AB6" s="310">
        <f t="shared" si="12"/>
        <v>-1.3094857872884114E-2</v>
      </c>
      <c r="AC6" s="308"/>
    </row>
    <row r="7" spans="1:29">
      <c r="A7" s="184">
        <v>5</v>
      </c>
      <c r="B7" s="1">
        <f t="shared" si="13"/>
        <v>37771</v>
      </c>
      <c r="C7" s="174"/>
      <c r="D7" s="2">
        <v>24142.6</v>
      </c>
      <c r="E7" s="2">
        <f t="shared" si="4"/>
        <v>24142.6</v>
      </c>
      <c r="F7" s="2">
        <f t="shared" si="5"/>
        <v>1262.1800000000003</v>
      </c>
      <c r="G7" s="188">
        <f t="shared" si="6"/>
        <v>5.5164197160716411E-2</v>
      </c>
      <c r="H7" s="2">
        <f t="shared" si="7"/>
        <v>1286.75</v>
      </c>
      <c r="I7" s="188">
        <f t="shared" si="8"/>
        <v>5.6298496883729898E-2</v>
      </c>
      <c r="K7" s="174"/>
      <c r="L7" s="287">
        <v>963.59</v>
      </c>
      <c r="M7" s="188">
        <f t="shared" si="9"/>
        <v>4.5913881622507757E-2</v>
      </c>
      <c r="N7" s="188">
        <f t="shared" si="0"/>
        <v>3.6029158782040271E-2</v>
      </c>
      <c r="O7" s="305" t="str">
        <f t="shared" si="1"/>
        <v>Yes</v>
      </c>
      <c r="P7" s="304">
        <f t="shared" si="14"/>
        <v>1</v>
      </c>
      <c r="S7" s="287">
        <v>8850.26</v>
      </c>
      <c r="T7" s="188">
        <f t="shared" si="10"/>
        <v>4.1502355373700173E-2</v>
      </c>
      <c r="U7" s="188">
        <f t="shared" si="2"/>
        <v>3.1176741996672419E-2</v>
      </c>
      <c r="V7" s="305" t="str">
        <f t="shared" si="3"/>
        <v>Yes</v>
      </c>
      <c r="W7" s="304">
        <f t="shared" si="15"/>
        <v>1</v>
      </c>
      <c r="Z7" s="309">
        <v>1595.91</v>
      </c>
      <c r="AA7" s="310">
        <f t="shared" si="11"/>
        <v>7.5991100323624661E-2</v>
      </c>
      <c r="AB7" s="310">
        <f t="shared" si="12"/>
        <v>6.1901149792398469E-2</v>
      </c>
      <c r="AC7" s="308"/>
    </row>
    <row r="8" spans="1:29">
      <c r="A8" s="184">
        <v>6</v>
      </c>
      <c r="B8" s="1">
        <f t="shared" si="13"/>
        <v>37778</v>
      </c>
      <c r="C8" s="174"/>
      <c r="D8" s="2">
        <v>24843.31</v>
      </c>
      <c r="E8" s="2">
        <f t="shared" si="4"/>
        <v>24843.31</v>
      </c>
      <c r="F8" s="2">
        <f t="shared" si="5"/>
        <v>700.71000000000276</v>
      </c>
      <c r="G8" s="188">
        <f t="shared" si="6"/>
        <v>2.9023800253493937E-2</v>
      </c>
      <c r="H8" s="2">
        <f t="shared" si="7"/>
        <v>1987.4600000000028</v>
      </c>
      <c r="I8" s="188">
        <f t="shared" si="8"/>
        <v>8.6956293465349166E-2</v>
      </c>
      <c r="K8" s="174"/>
      <c r="L8" s="287">
        <v>987.76</v>
      </c>
      <c r="M8" s="188">
        <f t="shared" si="9"/>
        <v>2.5083282308865806E-2</v>
      </c>
      <c r="N8" s="188">
        <f t="shared" si="0"/>
        <v>6.2016170651986835E-2</v>
      </c>
      <c r="O8" s="305" t="str">
        <f t="shared" si="1"/>
        <v>Yes</v>
      </c>
      <c r="P8" s="304">
        <f t="shared" si="14"/>
        <v>1</v>
      </c>
      <c r="S8" s="287">
        <v>9062.7900000000009</v>
      </c>
      <c r="T8" s="188">
        <f t="shared" si="10"/>
        <v>2.4013983769968439E-2</v>
      </c>
      <c r="U8" s="188">
        <f t="shared" si="2"/>
        <v>5.5939403542949462E-2</v>
      </c>
      <c r="V8" s="305" t="str">
        <f t="shared" si="3"/>
        <v>Yes</v>
      </c>
      <c r="W8" s="304">
        <f t="shared" si="15"/>
        <v>1</v>
      </c>
      <c r="Z8" s="309">
        <v>1627.42</v>
      </c>
      <c r="AA8" s="310">
        <f t="shared" si="11"/>
        <v>1.9744221165354015E-2</v>
      </c>
      <c r="AB8" s="310">
        <f t="shared" si="12"/>
        <v>8.2867560949643426E-2</v>
      </c>
      <c r="AC8" s="308"/>
    </row>
    <row r="9" spans="1:29">
      <c r="A9" s="184">
        <v>7</v>
      </c>
      <c r="B9" s="1">
        <f t="shared" si="13"/>
        <v>37785</v>
      </c>
      <c r="C9" s="174"/>
      <c r="D9" s="2">
        <v>24777.34</v>
      </c>
      <c r="E9" s="2">
        <f t="shared" si="4"/>
        <v>24777.34</v>
      </c>
      <c r="F9" s="2">
        <f t="shared" si="5"/>
        <v>-65.970000000001164</v>
      </c>
      <c r="G9" s="188">
        <f t="shared" si="6"/>
        <v>-2.6554432561523011E-3</v>
      </c>
      <c r="H9" s="2">
        <f t="shared" si="7"/>
        <v>1921.4900000000016</v>
      </c>
      <c r="I9" s="188">
        <f t="shared" si="8"/>
        <v>8.4069942706134437E-2</v>
      </c>
      <c r="K9" s="174"/>
      <c r="L9" s="287">
        <f>995.16-6.55</f>
        <v>988.61</v>
      </c>
      <c r="M9" s="188">
        <f t="shared" si="9"/>
        <v>8.6053292297716411E-4</v>
      </c>
      <c r="N9" s="188">
        <f t="shared" si="0"/>
        <v>6.2930070531567184E-2</v>
      </c>
      <c r="O9" s="305" t="str">
        <f t="shared" si="1"/>
        <v>No</v>
      </c>
      <c r="P9" s="304">
        <f t="shared" si="14"/>
        <v>0</v>
      </c>
      <c r="S9" s="287">
        <f>9176.41-59.29</f>
        <v>9117.119999999999</v>
      </c>
      <c r="T9" s="188">
        <f t="shared" si="10"/>
        <v>5.9948426477935968E-3</v>
      </c>
      <c r="U9" s="188">
        <f t="shared" si="2"/>
        <v>6.2269594112794424E-2</v>
      </c>
      <c r="V9" s="305" t="str">
        <f t="shared" si="3"/>
        <v>No</v>
      </c>
      <c r="W9" s="304">
        <f t="shared" si="15"/>
        <v>0</v>
      </c>
      <c r="Z9" s="309">
        <f>1637.82-11.33</f>
        <v>1626.49</v>
      </c>
      <c r="AA9" s="310">
        <f t="shared" si="11"/>
        <v>-5.7145666146418694E-4</v>
      </c>
      <c r="AB9" s="310">
        <f t="shared" si="12"/>
        <v>8.224874906845514E-2</v>
      </c>
      <c r="AC9" s="308"/>
    </row>
    <row r="10" spans="1:29">
      <c r="A10" s="184">
        <v>8</v>
      </c>
      <c r="B10" s="1">
        <f t="shared" si="13"/>
        <v>37792</v>
      </c>
      <c r="C10" s="174"/>
      <c r="D10" s="2">
        <v>25072.639999999999</v>
      </c>
      <c r="E10" s="2">
        <f t="shared" si="4"/>
        <v>25072.639999999999</v>
      </c>
      <c r="F10" s="2">
        <f>D10-D9</f>
        <v>295.29999999999927</v>
      </c>
      <c r="G10" s="188">
        <f t="shared" si="6"/>
        <v>1.191814779149003E-2</v>
      </c>
      <c r="H10" s="2">
        <f t="shared" si="7"/>
        <v>2216.7900000000009</v>
      </c>
      <c r="I10" s="188">
        <f t="shared" si="8"/>
        <v>9.6990048499618231E-2</v>
      </c>
      <c r="K10" s="174"/>
      <c r="L10" s="287">
        <v>995.69</v>
      </c>
      <c r="M10" s="188">
        <f t="shared" si="9"/>
        <v>7.1615702855525321E-3</v>
      </c>
      <c r="N10" s="188">
        <f t="shared" si="0"/>
        <v>7.054231894030627E-2</v>
      </c>
      <c r="O10" s="305" t="str">
        <f t="shared" si="1"/>
        <v>Yes</v>
      </c>
      <c r="P10" s="304">
        <f t="shared" si="14"/>
        <v>1</v>
      </c>
      <c r="S10" s="287">
        <v>9200.75</v>
      </c>
      <c r="T10" s="188">
        <f t="shared" si="10"/>
        <v>9.1728528307186696E-3</v>
      </c>
      <c r="U10" s="188">
        <f t="shared" si="2"/>
        <v>7.2013636766138367E-2</v>
      </c>
      <c r="V10" s="305" t="str">
        <f t="shared" si="3"/>
        <v>Yes</v>
      </c>
      <c r="W10" s="304">
        <f t="shared" si="15"/>
        <v>1</v>
      </c>
      <c r="Z10" s="309">
        <v>1644.72</v>
      </c>
      <c r="AA10" s="310">
        <f t="shared" si="11"/>
        <v>1.1208184495447249E-2</v>
      </c>
      <c r="AB10" s="310">
        <f t="shared" si="12"/>
        <v>9.437879271798133E-2</v>
      </c>
      <c r="AC10" s="308"/>
    </row>
    <row r="11" spans="1:29">
      <c r="A11" s="184">
        <v>9</v>
      </c>
      <c r="B11" s="1">
        <f t="shared" si="13"/>
        <v>37799</v>
      </c>
      <c r="C11" s="174"/>
      <c r="D11" s="2">
        <v>24857.119999999999</v>
      </c>
      <c r="E11" s="2">
        <f t="shared" si="4"/>
        <v>24857.119999999999</v>
      </c>
      <c r="F11" s="2">
        <f t="shared" si="5"/>
        <v>-215.52000000000044</v>
      </c>
      <c r="G11" s="188">
        <f t="shared" si="6"/>
        <v>-8.5958239738616049E-3</v>
      </c>
      <c r="H11" s="2">
        <f t="shared" si="7"/>
        <v>2001.2700000000004</v>
      </c>
      <c r="I11" s="188">
        <f t="shared" si="8"/>
        <v>8.7560515141637651E-2</v>
      </c>
      <c r="K11" s="174"/>
      <c r="L11" s="287">
        <v>976.22</v>
      </c>
      <c r="M11" s="197">
        <f t="shared" si="9"/>
        <v>-1.9554278942241043E-2</v>
      </c>
      <c r="N11" s="188">
        <f t="shared" si="0"/>
        <v>4.9608635816273949E-2</v>
      </c>
      <c r="O11" s="305" t="str">
        <f t="shared" si="1"/>
        <v>Yes</v>
      </c>
      <c r="P11" s="304">
        <f t="shared" si="14"/>
        <v>1</v>
      </c>
      <c r="S11" s="287">
        <v>8989.0499999999993</v>
      </c>
      <c r="T11" s="197">
        <f t="shared" si="10"/>
        <v>-2.3008993832024593E-2</v>
      </c>
      <c r="U11" s="188">
        <f t="shared" si="2"/>
        <v>4.7347681609939851E-2</v>
      </c>
      <c r="V11" s="305" t="str">
        <f t="shared" si="3"/>
        <v>Yes</v>
      </c>
      <c r="W11" s="304">
        <f t="shared" si="15"/>
        <v>1</v>
      </c>
      <c r="Z11" s="309">
        <v>1625.26</v>
      </c>
      <c r="AA11" s="310">
        <f t="shared" si="11"/>
        <v>-1.1831801157643929E-2</v>
      </c>
      <c r="AB11" s="310">
        <f t="shared" si="12"/>
        <v>8.1430320451399973E-2</v>
      </c>
      <c r="AC11" s="308"/>
    </row>
    <row r="12" spans="1:29">
      <c r="A12" s="184">
        <v>10</v>
      </c>
      <c r="B12" s="1">
        <f t="shared" si="13"/>
        <v>37806</v>
      </c>
      <c r="C12" s="174"/>
      <c r="D12" s="2">
        <v>24907.37</v>
      </c>
      <c r="E12" s="2">
        <f t="shared" si="4"/>
        <v>24907.37</v>
      </c>
      <c r="F12" s="2">
        <f t="shared" si="5"/>
        <v>50.25</v>
      </c>
      <c r="G12" s="188">
        <f t="shared" si="6"/>
        <v>2.021553583037683E-3</v>
      </c>
      <c r="H12" s="2">
        <f t="shared" si="7"/>
        <v>2051.5200000000004</v>
      </c>
      <c r="I12" s="188">
        <f t="shared" si="8"/>
        <v>8.9759076997792731E-2</v>
      </c>
      <c r="K12" s="174"/>
      <c r="L12" s="287">
        <v>991.66</v>
      </c>
      <c r="M12" s="188">
        <f t="shared" si="9"/>
        <v>1.5816107025055759E-2</v>
      </c>
      <c r="N12" s="188">
        <f t="shared" si="0"/>
        <v>6.620935833476671E-2</v>
      </c>
      <c r="O12" s="305" t="str">
        <f t="shared" si="1"/>
        <v>No</v>
      </c>
      <c r="P12" s="304">
        <f t="shared" si="14"/>
        <v>0</v>
      </c>
      <c r="S12" s="287">
        <v>9070.2099999999991</v>
      </c>
      <c r="T12" s="188">
        <f t="shared" si="10"/>
        <v>9.0287627724843222E-3</v>
      </c>
      <c r="U12" s="188">
        <f t="shared" si="2"/>
        <v>5.6803935367507385E-2</v>
      </c>
      <c r="V12" s="305" t="str">
        <f t="shared" si="3"/>
        <v>No</v>
      </c>
      <c r="W12" s="304">
        <f t="shared" si="15"/>
        <v>0</v>
      </c>
      <c r="Z12" s="309">
        <v>1663.46</v>
      </c>
      <c r="AA12" s="310">
        <f t="shared" si="11"/>
        <v>2.3503931678623857E-2</v>
      </c>
      <c r="AB12" s="310">
        <f t="shared" si="12"/>
        <v>0.10684818481848168</v>
      </c>
      <c r="AC12" s="308"/>
    </row>
    <row r="13" spans="1:29">
      <c r="A13" s="184">
        <v>11</v>
      </c>
      <c r="B13" s="1">
        <f t="shared" si="13"/>
        <v>37813</v>
      </c>
      <c r="C13" s="174"/>
      <c r="D13" s="2">
        <v>25578.29</v>
      </c>
      <c r="E13" s="2">
        <f t="shared" si="4"/>
        <v>25578.29</v>
      </c>
      <c r="F13" s="2">
        <f t="shared" si="5"/>
        <v>670.92000000000189</v>
      </c>
      <c r="G13" s="188">
        <f t="shared" si="6"/>
        <v>2.6936605510738509E-2</v>
      </c>
      <c r="H13" s="2">
        <f t="shared" si="7"/>
        <v>2722.4400000000023</v>
      </c>
      <c r="I13" s="188">
        <f t="shared" si="8"/>
        <v>0.11911348735662863</v>
      </c>
      <c r="K13" s="174"/>
      <c r="L13" s="287">
        <v>998.14</v>
      </c>
      <c r="M13" s="188">
        <f t="shared" si="9"/>
        <v>6.5344977109089708E-3</v>
      </c>
      <c r="N13" s="188">
        <f t="shared" si="0"/>
        <v>7.3176500946155132E-2</v>
      </c>
      <c r="O13" s="305" t="str">
        <f t="shared" si="1"/>
        <v>Yes</v>
      </c>
      <c r="P13" s="304">
        <f t="shared" si="14"/>
        <v>1</v>
      </c>
      <c r="S13" s="287">
        <v>9119.59</v>
      </c>
      <c r="T13" s="188">
        <f t="shared" si="10"/>
        <v>5.4441958896211951E-3</v>
      </c>
      <c r="U13" s="188">
        <f t="shared" si="2"/>
        <v>6.2557383008570833E-2</v>
      </c>
      <c r="V13" s="305" t="str">
        <f t="shared" si="3"/>
        <v>Yes</v>
      </c>
      <c r="W13" s="304">
        <f t="shared" si="15"/>
        <v>1</v>
      </c>
      <c r="Z13" s="309">
        <v>1733.93</v>
      </c>
      <c r="AA13" s="310">
        <f t="shared" si="11"/>
        <v>4.2363507388214927E-2</v>
      </c>
      <c r="AB13" s="310">
        <f t="shared" si="12"/>
        <v>0.15373815607367192</v>
      </c>
      <c r="AC13" s="308"/>
    </row>
    <row r="14" spans="1:29">
      <c r="A14" s="184">
        <v>12</v>
      </c>
      <c r="B14" s="1">
        <f t="shared" si="13"/>
        <v>37820</v>
      </c>
      <c r="C14" s="174"/>
      <c r="D14" s="2">
        <v>25192.44</v>
      </c>
      <c r="E14" s="2">
        <f t="shared" si="4"/>
        <v>25192.44</v>
      </c>
      <c r="F14" s="2">
        <f t="shared" si="5"/>
        <v>-385.85000000000218</v>
      </c>
      <c r="G14" s="188">
        <f t="shared" si="6"/>
        <v>-1.5085058461687728E-2</v>
      </c>
      <c r="H14" s="2">
        <f t="shared" si="7"/>
        <v>2336.59</v>
      </c>
      <c r="I14" s="188">
        <f t="shared" si="8"/>
        <v>0.10223159497459067</v>
      </c>
      <c r="K14" s="174"/>
      <c r="L14" s="287">
        <v>993.32</v>
      </c>
      <c r="M14" s="197">
        <f t="shared" si="9"/>
        <v>-4.8289819063457307E-3</v>
      </c>
      <c r="N14" s="188">
        <f t="shared" si="0"/>
        <v>6.7994151040770667E-2</v>
      </c>
      <c r="O14" s="305" t="str">
        <f t="shared" si="1"/>
        <v>No</v>
      </c>
      <c r="P14" s="304">
        <f t="shared" si="14"/>
        <v>0</v>
      </c>
      <c r="S14" s="287">
        <v>9188.15</v>
      </c>
      <c r="T14" s="197">
        <f t="shared" si="10"/>
        <v>7.5178818346000043E-3</v>
      </c>
      <c r="U14" s="188">
        <f t="shared" si="2"/>
        <v>7.0545563856510896E-2</v>
      </c>
      <c r="V14" s="305" t="str">
        <f t="shared" si="3"/>
        <v>No</v>
      </c>
      <c r="W14" s="304">
        <f t="shared" si="15"/>
        <v>0</v>
      </c>
      <c r="Z14" s="309">
        <v>1708.5</v>
      </c>
      <c r="AA14" s="310">
        <f t="shared" si="11"/>
        <v>-1.4666105321437417E-2</v>
      </c>
      <c r="AB14" s="310">
        <f t="shared" si="12"/>
        <v>0.13681731076333437</v>
      </c>
      <c r="AC14" s="308"/>
    </row>
    <row r="15" spans="1:29">
      <c r="A15" s="184">
        <v>13</v>
      </c>
      <c r="B15" s="1">
        <f t="shared" si="13"/>
        <v>37827</v>
      </c>
      <c r="C15" s="174"/>
      <c r="D15" s="2">
        <v>25421.8</v>
      </c>
      <c r="E15" s="2">
        <f t="shared" si="4"/>
        <v>25421.8</v>
      </c>
      <c r="F15" s="2">
        <f t="shared" si="5"/>
        <v>229.36000000000058</v>
      </c>
      <c r="G15" s="188">
        <f t="shared" si="6"/>
        <v>9.1043185971664276E-3</v>
      </c>
      <c r="H15" s="2">
        <f t="shared" si="7"/>
        <v>2565.9500000000007</v>
      </c>
      <c r="I15" s="188">
        <f t="shared" si="8"/>
        <v>0.11226666258310236</v>
      </c>
      <c r="K15" s="174"/>
      <c r="L15" s="287">
        <v>998.68</v>
      </c>
      <c r="M15" s="188">
        <f t="shared" si="9"/>
        <v>5.3960455845043498E-3</v>
      </c>
      <c r="N15" s="188">
        <f t="shared" si="0"/>
        <v>7.3757096163770797E-2</v>
      </c>
      <c r="O15" s="305" t="str">
        <f t="shared" si="1"/>
        <v>Yes</v>
      </c>
      <c r="P15" s="304">
        <f t="shared" si="14"/>
        <v>1</v>
      </c>
      <c r="S15" s="287">
        <v>9284.57</v>
      </c>
      <c r="T15" s="188">
        <f t="shared" si="10"/>
        <v>1.0493951448332872E-2</v>
      </c>
      <c r="U15" s="188">
        <f t="shared" si="2"/>
        <v>8.1779817026849333E-2</v>
      </c>
      <c r="V15" s="305" t="str">
        <f t="shared" si="3"/>
        <v>No</v>
      </c>
      <c r="W15" s="304">
        <f t="shared" si="15"/>
        <v>0</v>
      </c>
      <c r="Z15" s="309">
        <v>1730.7</v>
      </c>
      <c r="AA15" s="310">
        <f t="shared" si="11"/>
        <v>1.2993854258121162E-2</v>
      </c>
      <c r="AB15" s="310">
        <f t="shared" si="12"/>
        <v>0.15158894921750243</v>
      </c>
      <c r="AC15" s="308"/>
    </row>
    <row r="16" spans="1:29">
      <c r="A16" s="184">
        <v>14</v>
      </c>
      <c r="B16" s="1">
        <f t="shared" si="13"/>
        <v>37834</v>
      </c>
      <c r="C16" s="174"/>
      <c r="D16" s="2">
        <v>25266.57</v>
      </c>
      <c r="E16" s="2">
        <f t="shared" si="4"/>
        <v>25266.57</v>
      </c>
      <c r="F16" s="2">
        <f t="shared" si="5"/>
        <v>-155.22999999999956</v>
      </c>
      <c r="G16" s="188">
        <f t="shared" si="6"/>
        <v>-6.1061765885971342E-3</v>
      </c>
      <c r="H16" s="2">
        <f t="shared" si="7"/>
        <v>2410.7200000000012</v>
      </c>
      <c r="I16" s="188">
        <f t="shared" si="8"/>
        <v>0.10547496592776029</v>
      </c>
      <c r="K16" s="174"/>
      <c r="L16" s="287">
        <v>980.15</v>
      </c>
      <c r="M16" s="197">
        <f t="shared" si="9"/>
        <v>-1.8554491929346661E-2</v>
      </c>
      <c r="N16" s="188">
        <f t="shared" si="0"/>
        <v>5.3834078788921325E-2</v>
      </c>
      <c r="O16" s="305" t="str">
        <f t="shared" si="1"/>
        <v>Yes</v>
      </c>
      <c r="P16" s="304">
        <f t="shared" si="14"/>
        <v>1</v>
      </c>
      <c r="S16" s="287">
        <v>9153.9699999999993</v>
      </c>
      <c r="T16" s="197">
        <f t="shared" si="10"/>
        <v>-1.4066348791597294E-2</v>
      </c>
      <c r="U16" s="188">
        <f t="shared" si="2"/>
        <v>6.6563124804839502E-2</v>
      </c>
      <c r="V16" s="305" t="str">
        <f t="shared" si="3"/>
        <v>Yes</v>
      </c>
      <c r="W16" s="304">
        <f t="shared" si="15"/>
        <v>1</v>
      </c>
      <c r="Z16" s="309">
        <v>1715.62</v>
      </c>
      <c r="AA16" s="310">
        <f t="shared" si="11"/>
        <v>-8.7132374183856998E-3</v>
      </c>
      <c r="AB16" s="310">
        <f t="shared" si="12"/>
        <v>0.14155488129458083</v>
      </c>
      <c r="AC16" s="308"/>
    </row>
    <row r="17" spans="1:29">
      <c r="A17" s="184">
        <v>15</v>
      </c>
      <c r="B17" s="1">
        <f t="shared" si="13"/>
        <v>37841</v>
      </c>
      <c r="C17" s="174"/>
      <c r="D17" s="2">
        <v>25228.34</v>
      </c>
      <c r="E17" s="2">
        <f t="shared" si="4"/>
        <v>25228.34</v>
      </c>
      <c r="F17" s="2">
        <f t="shared" si="5"/>
        <v>-38.229999999999563</v>
      </c>
      <c r="G17" s="188">
        <f t="shared" si="6"/>
        <v>-1.513066474792546E-3</v>
      </c>
      <c r="H17" s="2">
        <f t="shared" si="7"/>
        <v>2372.4900000000016</v>
      </c>
      <c r="I17" s="188">
        <f t="shared" si="8"/>
        <v>0.1038023088180926</v>
      </c>
      <c r="K17" s="174"/>
      <c r="L17" s="287">
        <v>977.59</v>
      </c>
      <c r="M17" s="197">
        <f t="shared" si="9"/>
        <v>-2.6118451257459707E-3</v>
      </c>
      <c r="N17" s="188">
        <f t="shared" si="0"/>
        <v>5.1081627386891482E-2</v>
      </c>
      <c r="O17" s="305" t="str">
        <f t="shared" si="1"/>
        <v>Yes</v>
      </c>
      <c r="P17" s="304">
        <f t="shared" si="14"/>
        <v>1</v>
      </c>
      <c r="S17" s="287">
        <v>9191.09</v>
      </c>
      <c r="T17" s="197">
        <f t="shared" si="10"/>
        <v>4.0550711876923273E-3</v>
      </c>
      <c r="U17" s="188">
        <f t="shared" si="2"/>
        <v>7.0888114202090735E-2</v>
      </c>
      <c r="V17" s="305" t="str">
        <f t="shared" si="3"/>
        <v>No</v>
      </c>
      <c r="W17" s="304">
        <f t="shared" si="15"/>
        <v>0</v>
      </c>
      <c r="Z17" s="309">
        <v>1644.03</v>
      </c>
      <c r="AA17" s="310">
        <f t="shared" si="11"/>
        <v>-4.1728354763875375E-2</v>
      </c>
      <c r="AB17" s="310">
        <f t="shared" si="12"/>
        <v>9.391967422548686E-2</v>
      </c>
      <c r="AC17" s="308"/>
    </row>
    <row r="18" spans="1:29">
      <c r="A18" s="184">
        <v>16</v>
      </c>
      <c r="B18" s="1">
        <f t="shared" si="13"/>
        <v>37848</v>
      </c>
      <c r="C18" s="174"/>
      <c r="D18" s="2">
        <v>24951.71</v>
      </c>
      <c r="E18" s="2">
        <f t="shared" si="4"/>
        <v>24951.71</v>
      </c>
      <c r="F18" s="2">
        <f t="shared" si="5"/>
        <v>-276.63000000000102</v>
      </c>
      <c r="G18" s="188">
        <f t="shared" si="6"/>
        <v>-1.0965049622765566E-2</v>
      </c>
      <c r="H18" s="2">
        <f t="shared" si="7"/>
        <v>2095.8600000000006</v>
      </c>
      <c r="I18" s="188">
        <f t="shared" si="8"/>
        <v>9.1699061728178988E-2</v>
      </c>
      <c r="K18" s="174"/>
      <c r="L18" s="287">
        <v>990.67</v>
      </c>
      <c r="M18" s="188">
        <f t="shared" si="9"/>
        <v>1.3379842265162312E-2</v>
      </c>
      <c r="N18" s="188">
        <f t="shared" si="0"/>
        <v>6.5144933769138103E-2</v>
      </c>
      <c r="O18" s="305" t="str">
        <f t="shared" si="1"/>
        <v>No</v>
      </c>
      <c r="P18" s="304">
        <f t="shared" si="14"/>
        <v>0</v>
      </c>
      <c r="S18" s="287">
        <v>9321.69</v>
      </c>
      <c r="T18" s="188">
        <f t="shared" si="10"/>
        <v>1.4209413682163996E-2</v>
      </c>
      <c r="U18" s="188">
        <f t="shared" si="2"/>
        <v>8.6104806424100566E-2</v>
      </c>
      <c r="V18" s="305" t="str">
        <f t="shared" si="3"/>
        <v>No</v>
      </c>
      <c r="W18" s="304">
        <f t="shared" si="15"/>
        <v>0</v>
      </c>
      <c r="Z18" s="309">
        <v>1702.01</v>
      </c>
      <c r="AA18" s="310">
        <f t="shared" si="11"/>
        <v>3.5266996344349044E-2</v>
      </c>
      <c r="AB18" s="310">
        <f t="shared" si="12"/>
        <v>0.13249893537740864</v>
      </c>
      <c r="AC18" s="308"/>
    </row>
    <row r="19" spans="1:29">
      <c r="A19" s="184">
        <v>17</v>
      </c>
      <c r="B19" s="1">
        <f t="shared" si="13"/>
        <v>37855</v>
      </c>
      <c r="C19" s="174"/>
      <c r="D19" s="2">
        <v>25454.04</v>
      </c>
      <c r="E19" s="2">
        <f t="shared" si="4"/>
        <v>25454.04</v>
      </c>
      <c r="F19" s="2">
        <f t="shared" si="5"/>
        <v>502.33000000000175</v>
      </c>
      <c r="G19" s="188">
        <f t="shared" si="6"/>
        <v>2.0132087139518751E-2</v>
      </c>
      <c r="H19" s="2">
        <f t="shared" si="7"/>
        <v>2598.1900000000023</v>
      </c>
      <c r="I19" s="188">
        <f t="shared" si="8"/>
        <v>0.11367724236902155</v>
      </c>
      <c r="K19" s="174"/>
      <c r="L19" s="287">
        <v>993.06</v>
      </c>
      <c r="M19" s="188">
        <f t="shared" si="9"/>
        <v>2.4125087062289996E-3</v>
      </c>
      <c r="N19" s="188">
        <f t="shared" si="0"/>
        <v>6.7714605195251965E-2</v>
      </c>
      <c r="O19" s="305" t="str">
        <f t="shared" si="1"/>
        <v>Yes</v>
      </c>
      <c r="P19" s="304">
        <f t="shared" si="14"/>
        <v>1</v>
      </c>
      <c r="S19" s="287">
        <v>9348.8700000000008</v>
      </c>
      <c r="T19" s="188">
        <f t="shared" si="10"/>
        <v>2.9157802930583898E-3</v>
      </c>
      <c r="U19" s="188">
        <f t="shared" si="2"/>
        <v>8.9271649414868204E-2</v>
      </c>
      <c r="V19" s="305" t="str">
        <f t="shared" si="3"/>
        <v>Yes</v>
      </c>
      <c r="W19" s="304">
        <f t="shared" si="15"/>
        <v>1</v>
      </c>
      <c r="Z19" s="309">
        <v>1765.32</v>
      </c>
      <c r="AA19" s="310">
        <f t="shared" si="11"/>
        <v>3.7197196256191223E-2</v>
      </c>
      <c r="AB19" s="310">
        <f t="shared" si="12"/>
        <v>0.17462472053656963</v>
      </c>
      <c r="AC19" s="308"/>
    </row>
    <row r="20" spans="1:29">
      <c r="A20" s="184">
        <v>18</v>
      </c>
      <c r="B20" s="1">
        <f t="shared" si="13"/>
        <v>37862</v>
      </c>
      <c r="C20" s="174"/>
      <c r="D20" s="2">
        <v>26198.38</v>
      </c>
      <c r="E20" s="2">
        <f t="shared" si="4"/>
        <v>26198.38</v>
      </c>
      <c r="F20" s="2">
        <f t="shared" si="5"/>
        <v>744.34000000000015</v>
      </c>
      <c r="G20" s="188">
        <f t="shared" si="6"/>
        <v>2.9242509244112203E-2</v>
      </c>
      <c r="H20" s="2">
        <f t="shared" si="7"/>
        <v>3342.5300000000025</v>
      </c>
      <c r="I20" s="188">
        <f t="shared" si="8"/>
        <v>0.14624395942395507</v>
      </c>
      <c r="K20" s="174"/>
      <c r="L20" s="287">
        <v>1008.01</v>
      </c>
      <c r="M20" s="188">
        <f t="shared" si="9"/>
        <v>1.5054478077860312E-2</v>
      </c>
      <c r="N20" s="188">
        <f t="shared" si="0"/>
        <v>8.3788491312575264E-2</v>
      </c>
      <c r="O20" s="305" t="str">
        <f t="shared" si="1"/>
        <v>Yes</v>
      </c>
      <c r="P20" s="304">
        <f t="shared" si="14"/>
        <v>1</v>
      </c>
      <c r="S20" s="287">
        <v>9415.82</v>
      </c>
      <c r="T20" s="188">
        <f t="shared" si="10"/>
        <v>7.1612932899911552E-3</v>
      </c>
      <c r="U20" s="188">
        <f t="shared" si="2"/>
        <v>9.7072243168800254E-2</v>
      </c>
      <c r="V20" s="305" t="str">
        <f t="shared" si="3"/>
        <v>Yes</v>
      </c>
      <c r="W20" s="304">
        <f t="shared" si="15"/>
        <v>1</v>
      </c>
      <c r="Z20" s="309">
        <v>1810.45</v>
      </c>
      <c r="AA20" s="310">
        <f t="shared" si="11"/>
        <v>2.5564770126662584E-2</v>
      </c>
      <c r="AB20" s="310">
        <f t="shared" si="12"/>
        <v>0.20465373150218236</v>
      </c>
      <c r="AC20" s="308"/>
    </row>
    <row r="21" spans="1:29">
      <c r="A21" s="184">
        <v>19</v>
      </c>
      <c r="B21" s="1">
        <f t="shared" si="13"/>
        <v>37869</v>
      </c>
      <c r="C21" s="174"/>
      <c r="D21" s="2">
        <v>26545.65</v>
      </c>
      <c r="E21" s="2">
        <f t="shared" si="4"/>
        <v>26545.65</v>
      </c>
      <c r="F21" s="2">
        <f t="shared" si="5"/>
        <v>347.27000000000044</v>
      </c>
      <c r="G21" s="188">
        <f t="shared" si="6"/>
        <v>1.3255399761359365E-2</v>
      </c>
      <c r="H21" s="2">
        <f t="shared" si="7"/>
        <v>3689.8000000000029</v>
      </c>
      <c r="I21" s="188">
        <f t="shared" si="8"/>
        <v>0.1614378813301629</v>
      </c>
      <c r="K21" s="174"/>
      <c r="L21" s="287">
        <v>1021.39</v>
      </c>
      <c r="M21" s="188">
        <f t="shared" si="9"/>
        <v>1.32736778404976E-2</v>
      </c>
      <c r="N21" s="188">
        <f t="shared" si="0"/>
        <v>9.8174350593497328E-2</v>
      </c>
      <c r="O21" s="305" t="str">
        <f t="shared" si="1"/>
        <v>No</v>
      </c>
      <c r="P21" s="304">
        <f t="shared" si="14"/>
        <v>0</v>
      </c>
      <c r="S21" s="287">
        <v>9503.34</v>
      </c>
      <c r="T21" s="188">
        <f t="shared" si="10"/>
        <v>9.2949950190213126E-3</v>
      </c>
      <c r="U21" s="188">
        <f t="shared" si="2"/>
        <v>0.10726952420456071</v>
      </c>
      <c r="V21" s="305" t="str">
        <f t="shared" si="3"/>
        <v>Yes</v>
      </c>
      <c r="W21" s="304">
        <f t="shared" si="15"/>
        <v>1</v>
      </c>
      <c r="Z21" s="309">
        <v>1858.24</v>
      </c>
      <c r="AA21" s="310">
        <f t="shared" si="11"/>
        <v>2.6396752188682315E-2</v>
      </c>
      <c r="AB21" s="310">
        <f t="shared" si="12"/>
        <v>0.23645267752581711</v>
      </c>
      <c r="AC21" s="308"/>
    </row>
    <row r="22" spans="1:29">
      <c r="A22" s="184">
        <v>20</v>
      </c>
      <c r="B22" s="1">
        <f t="shared" si="13"/>
        <v>37876</v>
      </c>
      <c r="C22" s="174"/>
      <c r="D22" s="2">
        <v>26641.77</v>
      </c>
      <c r="E22" s="2">
        <f t="shared" si="4"/>
        <v>26641.77</v>
      </c>
      <c r="F22" s="2">
        <f t="shared" si="5"/>
        <v>96.119999999998981</v>
      </c>
      <c r="G22" s="188">
        <f t="shared" si="6"/>
        <v>3.6209322431357549E-3</v>
      </c>
      <c r="H22" s="2">
        <f t="shared" si="7"/>
        <v>3785.9200000000019</v>
      </c>
      <c r="I22" s="188">
        <f t="shared" si="8"/>
        <v>0.16564336920307055</v>
      </c>
      <c r="K22" s="174"/>
      <c r="L22" s="287">
        <v>1018.63</v>
      </c>
      <c r="M22" s="197">
        <f t="shared" si="9"/>
        <v>-2.7021999432146337E-3</v>
      </c>
      <c r="N22" s="188">
        <f t="shared" si="0"/>
        <v>9.5206863925683782E-2</v>
      </c>
      <c r="O22" s="305" t="str">
        <f t="shared" si="1"/>
        <v>Yes</v>
      </c>
      <c r="P22" s="304">
        <f t="shared" si="14"/>
        <v>1</v>
      </c>
      <c r="S22" s="287">
        <v>9471.5499999999993</v>
      </c>
      <c r="T22" s="197">
        <f t="shared" si="10"/>
        <v>-3.3451397087761459E-3</v>
      </c>
      <c r="U22" s="188">
        <f t="shared" si="2"/>
        <v>0.10356555295082637</v>
      </c>
      <c r="V22" s="305" t="str">
        <f t="shared" si="3"/>
        <v>Yes</v>
      </c>
      <c r="W22" s="304">
        <f t="shared" si="15"/>
        <v>1</v>
      </c>
      <c r="Z22" s="309">
        <v>1855.03</v>
      </c>
      <c r="AA22" s="310">
        <f t="shared" si="11"/>
        <v>-1.7274410194593193E-3</v>
      </c>
      <c r="AB22" s="310">
        <f t="shared" si="12"/>
        <v>0.23431677845203858</v>
      </c>
      <c r="AC22" s="308"/>
    </row>
    <row r="23" spans="1:29">
      <c r="A23" s="184">
        <v>21</v>
      </c>
      <c r="B23" s="1">
        <f t="shared" si="13"/>
        <v>37883</v>
      </c>
      <c r="C23" s="174"/>
      <c r="D23" s="2">
        <v>27191.65</v>
      </c>
      <c r="E23" s="2">
        <f t="shared" si="4"/>
        <v>27191.65</v>
      </c>
      <c r="F23" s="2">
        <f t="shared" si="5"/>
        <v>549.88000000000102</v>
      </c>
      <c r="G23" s="188">
        <f t="shared" si="6"/>
        <v>2.0639769805084418E-2</v>
      </c>
      <c r="H23" s="2">
        <f t="shared" si="7"/>
        <v>4335.8000000000029</v>
      </c>
      <c r="I23" s="188">
        <f t="shared" si="8"/>
        <v>0.1897019800182449</v>
      </c>
      <c r="K23" s="174"/>
      <c r="L23" s="287">
        <v>1036.3</v>
      </c>
      <c r="M23" s="188">
        <f t="shared" si="9"/>
        <v>1.734682858348946E-2</v>
      </c>
      <c r="N23" s="188">
        <f t="shared" si="0"/>
        <v>0.11420522965766366</v>
      </c>
      <c r="O23" s="305" t="str">
        <f t="shared" si="1"/>
        <v>Yes</v>
      </c>
      <c r="P23" s="304">
        <f t="shared" si="14"/>
        <v>1</v>
      </c>
      <c r="S23" s="287">
        <v>9644.82</v>
      </c>
      <c r="T23" s="188">
        <f t="shared" si="10"/>
        <v>1.8293732282467001E-2</v>
      </c>
      <c r="U23" s="188">
        <f t="shared" si="2"/>
        <v>0.12375388573266144</v>
      </c>
      <c r="V23" s="305" t="str">
        <f t="shared" si="3"/>
        <v>Yes</v>
      </c>
      <c r="W23" s="304">
        <f t="shared" si="15"/>
        <v>1</v>
      </c>
      <c r="Z23" s="309">
        <v>1905.7</v>
      </c>
      <c r="AA23" s="310">
        <f t="shared" si="11"/>
        <v>2.7314922130639463E-2</v>
      </c>
      <c r="AB23" s="310">
        <f t="shared" si="12"/>
        <v>0.26803204513999779</v>
      </c>
      <c r="AC23" s="308"/>
    </row>
    <row r="24" spans="1:29">
      <c r="A24" s="184">
        <v>22</v>
      </c>
      <c r="B24" s="1">
        <f t="shared" si="13"/>
        <v>37890</v>
      </c>
      <c r="C24" s="174"/>
      <c r="D24" s="2">
        <v>26055.43</v>
      </c>
      <c r="E24" s="2">
        <f t="shared" si="4"/>
        <v>26055.43</v>
      </c>
      <c r="F24" s="2">
        <f t="shared" si="5"/>
        <v>-1136.2200000000012</v>
      </c>
      <c r="G24" s="188">
        <f t="shared" si="6"/>
        <v>-4.1785621689011232E-2</v>
      </c>
      <c r="H24" s="2">
        <f t="shared" si="7"/>
        <v>3199.5800000000017</v>
      </c>
      <c r="I24" s="188">
        <f t="shared" si="8"/>
        <v>0.13998954315853496</v>
      </c>
      <c r="K24" s="174"/>
      <c r="L24" s="287">
        <v>996.85</v>
      </c>
      <c r="M24" s="197">
        <f t="shared" si="9"/>
        <v>-3.8068126990253748E-2</v>
      </c>
      <c r="N24" s="188">
        <f t="shared" si="0"/>
        <v>7.1789523481851081E-2</v>
      </c>
      <c r="O24" s="305" t="str">
        <f t="shared" si="1"/>
        <v>No</v>
      </c>
      <c r="P24" s="304">
        <f t="shared" si="14"/>
        <v>0</v>
      </c>
      <c r="S24" s="287">
        <v>9313.08</v>
      </c>
      <c r="T24" s="197">
        <f t="shared" si="10"/>
        <v>-3.4395665237920481E-2</v>
      </c>
      <c r="U24" s="188">
        <f t="shared" si="2"/>
        <v>8.5101623269188575E-2</v>
      </c>
      <c r="V24" s="305" t="str">
        <f t="shared" si="3"/>
        <v>No</v>
      </c>
      <c r="W24" s="304">
        <f t="shared" si="15"/>
        <v>0</v>
      </c>
      <c r="Z24" s="309">
        <v>1792.07</v>
      </c>
      <c r="AA24" s="310">
        <f t="shared" si="11"/>
        <v>-5.9626384005877164E-2</v>
      </c>
      <c r="AB24" s="310">
        <f t="shared" si="12"/>
        <v>0.19242387948472262</v>
      </c>
      <c r="AC24" s="308"/>
    </row>
    <row r="25" spans="1:29">
      <c r="A25" s="184">
        <v>23</v>
      </c>
      <c r="B25" s="1">
        <f t="shared" si="13"/>
        <v>37897</v>
      </c>
      <c r="C25" s="174"/>
      <c r="D25" s="2">
        <v>26951.66</v>
      </c>
      <c r="E25" s="2">
        <f t="shared" si="4"/>
        <v>26951.66</v>
      </c>
      <c r="F25" s="2">
        <f t="shared" si="5"/>
        <v>896.22999999999956</v>
      </c>
      <c r="G25" s="188">
        <f t="shared" si="6"/>
        <v>3.4397052744859602E-2</v>
      </c>
      <c r="H25" s="2">
        <f t="shared" si="7"/>
        <v>4095.8100000000013</v>
      </c>
      <c r="I25" s="188">
        <f t="shared" si="8"/>
        <v>0.17920182360314763</v>
      </c>
      <c r="K25" s="174"/>
      <c r="L25" s="287">
        <v>1029.8499999999999</v>
      </c>
      <c r="M25" s="188">
        <f t="shared" si="9"/>
        <v>3.3104278477203097E-2</v>
      </c>
      <c r="N25" s="188">
        <f t="shared" si="0"/>
        <v>0.10727034233614297</v>
      </c>
      <c r="O25" s="305" t="str">
        <f t="shared" si="1"/>
        <v>Yes</v>
      </c>
      <c r="P25" s="304">
        <f t="shared" si="14"/>
        <v>1</v>
      </c>
      <c r="S25" s="287">
        <v>9572.31</v>
      </c>
      <c r="T25" s="188">
        <f t="shared" si="10"/>
        <v>2.783504490458566E-2</v>
      </c>
      <c r="U25" s="188">
        <f t="shared" si="2"/>
        <v>0.11530547567892535</v>
      </c>
      <c r="V25" s="305" t="str">
        <f t="shared" si="3"/>
        <v>Yes</v>
      </c>
      <c r="W25" s="304">
        <f t="shared" si="15"/>
        <v>1</v>
      </c>
      <c r="Z25" s="309">
        <v>1880.57</v>
      </c>
      <c r="AA25" s="310">
        <f t="shared" si="11"/>
        <v>4.9384231642737086E-2</v>
      </c>
      <c r="AB25" s="310">
        <f t="shared" si="12"/>
        <v>0.25131081656552734</v>
      </c>
      <c r="AC25" s="308"/>
    </row>
    <row r="26" spans="1:29">
      <c r="A26" s="184">
        <v>24</v>
      </c>
      <c r="B26" s="1">
        <f t="shared" si="13"/>
        <v>37904</v>
      </c>
      <c r="C26" s="174"/>
      <c r="D26" s="2">
        <v>27655.39</v>
      </c>
      <c r="E26" s="2">
        <f t="shared" si="4"/>
        <v>27655.39</v>
      </c>
      <c r="F26" s="2">
        <f t="shared" si="5"/>
        <v>703.72999999999956</v>
      </c>
      <c r="G26" s="188">
        <f t="shared" si="6"/>
        <v>2.6110822116337085E-2</v>
      </c>
      <c r="H26" s="2">
        <f t="shared" si="7"/>
        <v>4799.5400000000009</v>
      </c>
      <c r="I26" s="188">
        <f t="shared" si="8"/>
        <v>0.20999175265850978</v>
      </c>
      <c r="K26" s="174"/>
      <c r="L26" s="287">
        <v>1038.06</v>
      </c>
      <c r="M26" s="188">
        <f t="shared" si="9"/>
        <v>7.9720347623439825E-3</v>
      </c>
      <c r="N26" s="188">
        <f t="shared" si="0"/>
        <v>0.11609753999655936</v>
      </c>
      <c r="O26" s="305" t="str">
        <f t="shared" si="1"/>
        <v>Yes</v>
      </c>
      <c r="P26" s="304">
        <f t="shared" si="14"/>
        <v>1</v>
      </c>
      <c r="S26" s="287">
        <v>9674.68</v>
      </c>
      <c r="T26" s="188">
        <f t="shared" si="10"/>
        <v>1.0694388292899148E-2</v>
      </c>
      <c r="U26" s="188">
        <f t="shared" si="2"/>
        <v>0.12723298550103235</v>
      </c>
      <c r="V26" s="305" t="str">
        <f t="shared" si="3"/>
        <v>Yes</v>
      </c>
      <c r="W26" s="304">
        <f t="shared" si="15"/>
        <v>1</v>
      </c>
      <c r="Z26" s="309">
        <v>1915.31</v>
      </c>
      <c r="AA26" s="310">
        <f t="shared" si="11"/>
        <v>1.847312251072819E-2</v>
      </c>
      <c r="AB26" s="310">
        <f t="shared" si="12"/>
        <v>0.27442643457894156</v>
      </c>
      <c r="AC26" s="308"/>
    </row>
    <row r="27" spans="1:29">
      <c r="A27" s="184">
        <v>25</v>
      </c>
      <c r="B27" s="1">
        <f t="shared" si="13"/>
        <v>37911</v>
      </c>
      <c r="C27" s="174"/>
      <c r="D27" s="2">
        <v>27644.99</v>
      </c>
      <c r="E27" s="2">
        <f t="shared" si="4"/>
        <v>27644.99</v>
      </c>
      <c r="F27" s="2">
        <f t="shared" si="5"/>
        <v>-10.399999999997817</v>
      </c>
      <c r="G27" s="188">
        <f t="shared" si="6"/>
        <v>-3.7605689162212297E-4</v>
      </c>
      <c r="H27" s="2">
        <f t="shared" si="7"/>
        <v>4789.1400000000031</v>
      </c>
      <c r="I27" s="188">
        <f t="shared" si="8"/>
        <v>0.20953672692111658</v>
      </c>
      <c r="K27" s="174"/>
      <c r="L27" s="287">
        <v>1039.32</v>
      </c>
      <c r="M27" s="188">
        <f t="shared" si="9"/>
        <v>1.21380267036586E-3</v>
      </c>
      <c r="N27" s="188">
        <f t="shared" si="0"/>
        <v>0.11745226217099591</v>
      </c>
      <c r="O27" s="305" t="str">
        <f t="shared" si="1"/>
        <v>No</v>
      </c>
      <c r="P27" s="304">
        <f t="shared" si="14"/>
        <v>0</v>
      </c>
      <c r="S27" s="287">
        <v>9721.7900000000009</v>
      </c>
      <c r="T27" s="188">
        <f t="shared" si="10"/>
        <v>4.8694117014722593E-3</v>
      </c>
      <c r="U27" s="188">
        <f t="shared" si="2"/>
        <v>0.13272194699091666</v>
      </c>
      <c r="V27" s="305" t="str">
        <f t="shared" si="3"/>
        <v>No</v>
      </c>
      <c r="W27" s="304">
        <f t="shared" si="15"/>
        <v>0</v>
      </c>
      <c r="Z27" s="309">
        <v>1912.36</v>
      </c>
      <c r="AA27" s="310">
        <f t="shared" si="11"/>
        <v>-1.5402206431335275E-3</v>
      </c>
      <c r="AB27" s="310">
        <f t="shared" si="12"/>
        <v>0.27246353667624801</v>
      </c>
      <c r="AC27" s="308"/>
    </row>
    <row r="28" spans="1:29">
      <c r="A28" s="184">
        <v>26</v>
      </c>
      <c r="B28" s="1">
        <f t="shared" si="13"/>
        <v>37918</v>
      </c>
      <c r="C28" s="174"/>
      <c r="D28" s="2">
        <v>27301.82</v>
      </c>
      <c r="E28" s="2">
        <f t="shared" si="4"/>
        <v>27301.82</v>
      </c>
      <c r="F28" s="2">
        <f t="shared" si="5"/>
        <v>-343.17000000000189</v>
      </c>
      <c r="G28" s="188">
        <f t="shared" si="6"/>
        <v>-1.2413460811525057E-2</v>
      </c>
      <c r="H28" s="2">
        <f t="shared" si="7"/>
        <v>4445.9700000000012</v>
      </c>
      <c r="I28" s="188">
        <f t="shared" si="8"/>
        <v>0.19452219016138117</v>
      </c>
      <c r="K28" s="174"/>
      <c r="L28" s="287">
        <v>1028.9100000000001</v>
      </c>
      <c r="M28" s="197">
        <f t="shared" si="9"/>
        <v>-1.0016164415194373E-2</v>
      </c>
      <c r="N28" s="188">
        <f t="shared" si="0"/>
        <v>0.10625967658696034</v>
      </c>
      <c r="O28" s="305" t="str">
        <f t="shared" si="1"/>
        <v>No</v>
      </c>
      <c r="P28" s="304">
        <f t="shared" si="14"/>
        <v>0</v>
      </c>
      <c r="S28" s="287">
        <v>9582.4599999999991</v>
      </c>
      <c r="T28" s="197">
        <f t="shared" si="10"/>
        <v>-1.4331722861736562E-2</v>
      </c>
      <c r="U28" s="188">
        <f t="shared" si="2"/>
        <v>0.11648808996723625</v>
      </c>
      <c r="V28" s="305" t="str">
        <f t="shared" si="3"/>
        <v>Yes</v>
      </c>
      <c r="W28" s="304">
        <f t="shared" si="15"/>
        <v>1</v>
      </c>
      <c r="Z28" s="309">
        <v>1865.59</v>
      </c>
      <c r="AA28" s="310">
        <f t="shared" si="11"/>
        <v>-2.4456692254596457E-2</v>
      </c>
      <c r="AB28" s="310">
        <f t="shared" si="12"/>
        <v>0.2413432875545618</v>
      </c>
      <c r="AC28" s="308"/>
    </row>
    <row r="29" spans="1:29">
      <c r="A29" s="184">
        <v>27</v>
      </c>
      <c r="B29" s="1">
        <f t="shared" si="13"/>
        <v>37925</v>
      </c>
      <c r="C29" s="174"/>
      <c r="D29" s="2">
        <v>28220.43</v>
      </c>
      <c r="E29" s="2">
        <f t="shared" si="4"/>
        <v>28220.43</v>
      </c>
      <c r="F29" s="2">
        <f t="shared" si="5"/>
        <v>918.61000000000058</v>
      </c>
      <c r="G29" s="188">
        <f t="shared" si="6"/>
        <v>3.3646474850394625E-2</v>
      </c>
      <c r="H29" s="2">
        <f t="shared" si="7"/>
        <v>5364.5800000000017</v>
      </c>
      <c r="I29" s="188">
        <f t="shared" si="8"/>
        <v>0.23471365099088426</v>
      </c>
      <c r="K29" s="174"/>
      <c r="L29" s="287">
        <v>1050.71</v>
      </c>
      <c r="M29" s="188">
        <f t="shared" si="9"/>
        <v>2.1187470235491945E-2</v>
      </c>
      <c r="N29" s="188">
        <f t="shared" si="0"/>
        <v>0.1296985205573713</v>
      </c>
      <c r="O29" s="305" t="str">
        <f t="shared" si="1"/>
        <v>Yes</v>
      </c>
      <c r="P29" s="304">
        <f t="shared" si="14"/>
        <v>1</v>
      </c>
      <c r="S29" s="287">
        <v>9801.1200000000008</v>
      </c>
      <c r="T29" s="188">
        <f t="shared" si="10"/>
        <v>2.2818775137073644E-2</v>
      </c>
      <c r="U29" s="188">
        <f t="shared" si="2"/>
        <v>0.14196498063541929</v>
      </c>
      <c r="V29" s="305" t="str">
        <f t="shared" si="3"/>
        <v>Yes</v>
      </c>
      <c r="W29" s="304">
        <f t="shared" si="15"/>
        <v>1</v>
      </c>
      <c r="Z29" s="309">
        <v>1932.21</v>
      </c>
      <c r="AA29" s="310">
        <f t="shared" si="11"/>
        <v>3.5709882664465509E-2</v>
      </c>
      <c r="AB29" s="310">
        <f t="shared" si="12"/>
        <v>0.28567151069945695</v>
      </c>
      <c r="AC29" s="308"/>
    </row>
    <row r="30" spans="1:29">
      <c r="A30" s="184">
        <v>28</v>
      </c>
      <c r="B30" s="1">
        <f t="shared" si="13"/>
        <v>37932</v>
      </c>
      <c r="C30" s="174"/>
      <c r="D30" s="2">
        <v>28922.01</v>
      </c>
      <c r="E30" s="2">
        <f t="shared" si="4"/>
        <v>28922.01</v>
      </c>
      <c r="F30" s="2">
        <f t="shared" si="5"/>
        <v>701.57999999999811</v>
      </c>
      <c r="G30" s="188">
        <f t="shared" si="6"/>
        <v>2.486071261139533E-2</v>
      </c>
      <c r="H30" s="2">
        <f t="shared" si="7"/>
        <v>6066.16</v>
      </c>
      <c r="I30" s="188">
        <f t="shared" si="8"/>
        <v>0.26540951222553533</v>
      </c>
      <c r="K30" s="174"/>
      <c r="L30" s="287">
        <v>1053.21</v>
      </c>
      <c r="M30" s="188">
        <f t="shared" si="9"/>
        <v>2.3793434915437839E-3</v>
      </c>
      <c r="N30" s="188">
        <f t="shared" si="0"/>
        <v>0.13238646137966636</v>
      </c>
      <c r="O30" s="305" t="str">
        <f t="shared" si="1"/>
        <v>Yes</v>
      </c>
      <c r="P30" s="304">
        <f t="shared" si="14"/>
        <v>1</v>
      </c>
      <c r="S30" s="287">
        <v>9809.7900000000009</v>
      </c>
      <c r="T30" s="188">
        <f t="shared" si="10"/>
        <v>8.8459278123309559E-4</v>
      </c>
      <c r="U30" s="188">
        <f t="shared" si="2"/>
        <v>0.14297515461371058</v>
      </c>
      <c r="V30" s="305" t="str">
        <f t="shared" si="3"/>
        <v>Yes</v>
      </c>
      <c r="W30" s="304">
        <f t="shared" si="15"/>
        <v>1</v>
      </c>
      <c r="Z30" s="309">
        <v>1970.74</v>
      </c>
      <c r="AA30" s="310">
        <f t="shared" si="11"/>
        <v>1.9940896693423582E-2</v>
      </c>
      <c r="AB30" s="310">
        <f t="shared" si="12"/>
        <v>0.31130895347599274</v>
      </c>
      <c r="AC30" s="308"/>
    </row>
    <row r="31" spans="1:29">
      <c r="A31" s="184">
        <v>29</v>
      </c>
      <c r="B31" s="1">
        <f t="shared" si="13"/>
        <v>37939</v>
      </c>
      <c r="C31" s="174"/>
      <c r="D31" s="2">
        <v>28960.81</v>
      </c>
      <c r="E31" s="2">
        <f t="shared" si="4"/>
        <v>28960.81</v>
      </c>
      <c r="F31" s="2">
        <f t="shared" si="5"/>
        <v>38.80000000000291</v>
      </c>
      <c r="G31" s="188">
        <f t="shared" si="6"/>
        <v>1.3415388487869606E-3</v>
      </c>
      <c r="H31" s="2">
        <f t="shared" si="7"/>
        <v>6104.9600000000028</v>
      </c>
      <c r="I31" s="188">
        <f t="shared" si="8"/>
        <v>0.2671071082458103</v>
      </c>
      <c r="K31" s="174"/>
      <c r="L31" s="287">
        <v>1050.3499999999999</v>
      </c>
      <c r="M31" s="197">
        <f t="shared" si="9"/>
        <v>-2.7155078284484269E-3</v>
      </c>
      <c r="N31" s="188">
        <f t="shared" si="0"/>
        <v>0.12931145707896086</v>
      </c>
      <c r="O31" s="305" t="str">
        <f t="shared" si="1"/>
        <v>Yes</v>
      </c>
      <c r="P31" s="304">
        <f t="shared" si="14"/>
        <v>1</v>
      </c>
      <c r="S31" s="287">
        <v>9768.68</v>
      </c>
      <c r="T31" s="197">
        <f t="shared" si="10"/>
        <v>-4.1907115238960513E-3</v>
      </c>
      <c r="U31" s="188">
        <f t="shared" si="2"/>
        <v>0.13818527546174386</v>
      </c>
      <c r="V31" s="305" t="str">
        <f t="shared" si="3"/>
        <v>Yes</v>
      </c>
      <c r="W31" s="304">
        <f t="shared" si="15"/>
        <v>1</v>
      </c>
      <c r="Z31" s="309">
        <v>1930.26</v>
      </c>
      <c r="AA31" s="310">
        <f t="shared" si="11"/>
        <v>-2.0540507626576776E-2</v>
      </c>
      <c r="AB31" s="310">
        <f t="shared" si="12"/>
        <v>0.28437400191632056</v>
      </c>
      <c r="AC31" s="308"/>
    </row>
    <row r="32" spans="1:29">
      <c r="A32" s="184">
        <v>30</v>
      </c>
      <c r="B32" s="1">
        <f t="shared" si="13"/>
        <v>37946</v>
      </c>
      <c r="C32" s="174"/>
      <c r="D32" s="2">
        <v>28176.87</v>
      </c>
      <c r="E32" s="2">
        <f t="shared" si="4"/>
        <v>28176.87</v>
      </c>
      <c r="F32" s="2">
        <f t="shared" si="5"/>
        <v>-783.94000000000233</v>
      </c>
      <c r="G32" s="188">
        <f t="shared" si="6"/>
        <v>-2.7068994271914448E-2</v>
      </c>
      <c r="H32" s="2">
        <f t="shared" si="7"/>
        <v>5321.02</v>
      </c>
      <c r="I32" s="188">
        <f t="shared" si="8"/>
        <v>0.23280779319080236</v>
      </c>
      <c r="K32" s="174"/>
      <c r="L32" s="287">
        <v>1035.28</v>
      </c>
      <c r="M32" s="197">
        <f t="shared" si="9"/>
        <v>-1.4347598419574337E-2</v>
      </c>
      <c r="N32" s="188">
        <f t="shared" si="0"/>
        <v>0.11310854980216756</v>
      </c>
      <c r="O32" s="305" t="str">
        <f t="shared" si="1"/>
        <v>No</v>
      </c>
      <c r="P32" s="304">
        <f t="shared" si="14"/>
        <v>0</v>
      </c>
      <c r="S32" s="287">
        <v>9628.5300000000007</v>
      </c>
      <c r="T32" s="197">
        <f t="shared" si="10"/>
        <v>-1.4346871839388653E-2</v>
      </c>
      <c r="U32" s="188">
        <f t="shared" si="2"/>
        <v>0.12185587718521496</v>
      </c>
      <c r="V32" s="305" t="str">
        <f t="shared" si="3"/>
        <v>No</v>
      </c>
      <c r="W32" s="304">
        <f t="shared" si="15"/>
        <v>0</v>
      </c>
      <c r="Z32" s="309">
        <v>1893.88</v>
      </c>
      <c r="AA32" s="310">
        <f t="shared" si="11"/>
        <v>-1.8847201931345925E-2</v>
      </c>
      <c r="AB32" s="310">
        <f t="shared" si="12"/>
        <v>0.26016714574683264</v>
      </c>
      <c r="AC32" s="308"/>
    </row>
    <row r="33" spans="1:29">
      <c r="A33" s="184">
        <v>31</v>
      </c>
      <c r="B33" s="1">
        <f t="shared" si="13"/>
        <v>37953</v>
      </c>
      <c r="C33" s="174"/>
      <c r="D33" s="2">
        <v>29004.98</v>
      </c>
      <c r="E33" s="2">
        <f t="shared" si="4"/>
        <v>29004.98</v>
      </c>
      <c r="F33" s="2">
        <f t="shared" si="5"/>
        <v>828.11000000000058</v>
      </c>
      <c r="G33" s="188">
        <f t="shared" si="6"/>
        <v>2.9389708651102797E-2</v>
      </c>
      <c r="H33" s="2">
        <f t="shared" si="7"/>
        <v>6149.130000000001</v>
      </c>
      <c r="I33" s="188">
        <f t="shared" si="8"/>
        <v>0.26903965505548921</v>
      </c>
      <c r="K33" s="174"/>
      <c r="L33" s="287">
        <v>1058.2</v>
      </c>
      <c r="M33" s="188">
        <f t="shared" si="9"/>
        <v>2.2138938258249086E-2</v>
      </c>
      <c r="N33" s="188">
        <f t="shared" si="0"/>
        <v>0.13775159126096681</v>
      </c>
      <c r="O33" s="305" t="str">
        <f t="shared" si="1"/>
        <v>Yes</v>
      </c>
      <c r="P33" s="304">
        <f t="shared" si="14"/>
        <v>1</v>
      </c>
      <c r="S33" s="287">
        <v>9782.4599999999991</v>
      </c>
      <c r="T33" s="188">
        <f t="shared" si="10"/>
        <v>1.5986864038435522E-2</v>
      </c>
      <c r="U33" s="188">
        <f t="shared" si="2"/>
        <v>0.13979083456449493</v>
      </c>
      <c r="V33" s="305" t="str">
        <f t="shared" si="3"/>
        <v>Yes</v>
      </c>
      <c r="W33" s="304">
        <f t="shared" si="15"/>
        <v>1</v>
      </c>
      <c r="Z33" s="309">
        <v>1960.26</v>
      </c>
      <c r="AA33" s="310">
        <f t="shared" si="11"/>
        <v>3.5049739159819904E-2</v>
      </c>
      <c r="AB33" s="310">
        <f t="shared" si="12"/>
        <v>0.30433567550303398</v>
      </c>
      <c r="AC33" s="308"/>
    </row>
    <row r="34" spans="1:29">
      <c r="A34" s="184">
        <v>32</v>
      </c>
      <c r="B34" s="1">
        <f t="shared" si="13"/>
        <v>37960</v>
      </c>
      <c r="C34" s="174"/>
      <c r="D34" s="2">
        <v>28449.7</v>
      </c>
      <c r="E34" s="2">
        <f t="shared" si="4"/>
        <v>28449.7</v>
      </c>
      <c r="F34" s="2">
        <f t="shared" si="5"/>
        <v>-555.27999999999884</v>
      </c>
      <c r="G34" s="188">
        <f t="shared" si="6"/>
        <v>-1.9144298668711368E-2</v>
      </c>
      <c r="H34" s="2">
        <f t="shared" si="7"/>
        <v>5593.8500000000022</v>
      </c>
      <c r="I34" s="188">
        <f t="shared" si="8"/>
        <v>0.24474478087666851</v>
      </c>
      <c r="K34" s="174"/>
      <c r="L34" s="287">
        <v>1061.5</v>
      </c>
      <c r="M34" s="188">
        <f t="shared" si="9"/>
        <v>3.1185031185030354E-3</v>
      </c>
      <c r="N34" s="188">
        <f t="shared" si="0"/>
        <v>0.14129967314639602</v>
      </c>
      <c r="O34" s="305" t="str">
        <f t="shared" si="1"/>
        <v>No</v>
      </c>
      <c r="P34" s="304">
        <f t="shared" si="14"/>
        <v>0</v>
      </c>
      <c r="S34" s="287">
        <v>9862.68</v>
      </c>
      <c r="T34" s="188">
        <f t="shared" si="10"/>
        <v>8.200391312614741E-3</v>
      </c>
      <c r="U34" s="188">
        <f t="shared" si="2"/>
        <v>0.14913756542245538</v>
      </c>
      <c r="V34" s="305" t="str">
        <f t="shared" si="3"/>
        <v>No</v>
      </c>
      <c r="W34" s="304">
        <f t="shared" si="15"/>
        <v>0</v>
      </c>
      <c r="Z34" s="309">
        <v>1937.82</v>
      </c>
      <c r="AA34" s="310">
        <f t="shared" si="11"/>
        <v>-1.1447461051085073E-2</v>
      </c>
      <c r="AB34" s="310">
        <f t="shared" si="12"/>
        <v>0.28940434366017231</v>
      </c>
      <c r="AC34" s="308"/>
    </row>
    <row r="35" spans="1:29">
      <c r="A35" s="184">
        <v>33</v>
      </c>
      <c r="B35" s="1">
        <f t="shared" si="13"/>
        <v>37967</v>
      </c>
      <c r="C35" s="174"/>
      <c r="D35" s="2">
        <v>28924.74</v>
      </c>
      <c r="E35" s="2">
        <f t="shared" si="4"/>
        <v>28924.74</v>
      </c>
      <c r="F35" s="2">
        <f t="shared" si="5"/>
        <v>475.04000000000087</v>
      </c>
      <c r="G35" s="188">
        <f t="shared" si="6"/>
        <v>1.6697539868610223E-2</v>
      </c>
      <c r="H35" s="2">
        <f t="shared" si="7"/>
        <v>6068.8900000000031</v>
      </c>
      <c r="I35" s="188">
        <f t="shared" si="8"/>
        <v>0.26552895648160124</v>
      </c>
      <c r="K35" s="174"/>
      <c r="L35" s="287">
        <v>1074.1400000000001</v>
      </c>
      <c r="M35" s="188">
        <f t="shared" si="9"/>
        <v>1.1907677814413598E-2</v>
      </c>
      <c r="N35" s="188">
        <f t="shared" si="0"/>
        <v>0.15488990194391894</v>
      </c>
      <c r="O35" s="305" t="str">
        <f t="shared" si="1"/>
        <v>Yes</v>
      </c>
      <c r="P35" s="304">
        <f t="shared" si="14"/>
        <v>1</v>
      </c>
      <c r="S35" s="287">
        <v>10042.16</v>
      </c>
      <c r="T35" s="188">
        <f t="shared" si="10"/>
        <v>1.8197893473173465E-2</v>
      </c>
      <c r="U35" s="188">
        <f t="shared" si="2"/>
        <v>0.17004944842403535</v>
      </c>
      <c r="V35" s="305" t="str">
        <f t="shared" si="3"/>
        <v>No</v>
      </c>
      <c r="W35" s="304">
        <f t="shared" si="15"/>
        <v>0</v>
      </c>
      <c r="Z35" s="309">
        <v>1949</v>
      </c>
      <c r="AA35" s="310">
        <f t="shared" si="11"/>
        <v>5.7693697041005798E-3</v>
      </c>
      <c r="AB35" s="310">
        <f t="shared" si="12"/>
        <v>0.29684339401682092</v>
      </c>
      <c r="AC35" s="308"/>
    </row>
    <row r="36" spans="1:29">
      <c r="A36" s="184">
        <v>34</v>
      </c>
      <c r="B36" s="1">
        <f t="shared" si="13"/>
        <v>37974</v>
      </c>
      <c r="C36" s="174"/>
      <c r="D36" s="2">
        <v>29328</v>
      </c>
      <c r="E36" s="2">
        <f t="shared" si="4"/>
        <v>29328</v>
      </c>
      <c r="F36" s="2">
        <f t="shared" si="5"/>
        <v>403.2599999999984</v>
      </c>
      <c r="G36" s="188">
        <f t="shared" si="6"/>
        <v>1.39416983523446E-2</v>
      </c>
      <c r="H36" s="2">
        <f t="shared" si="7"/>
        <v>6472.1500000000015</v>
      </c>
      <c r="I36" s="188">
        <f t="shared" si="8"/>
        <v>0.28317257944902519</v>
      </c>
      <c r="K36" s="174"/>
      <c r="L36" s="287">
        <v>1088.6600000000001</v>
      </c>
      <c r="M36" s="188">
        <f t="shared" si="9"/>
        <v>1.3517790976967703E-2</v>
      </c>
      <c r="N36" s="188">
        <f t="shared" si="0"/>
        <v>0.17050146223980733</v>
      </c>
      <c r="O36" s="305" t="str">
        <f t="shared" si="1"/>
        <v>Yes</v>
      </c>
      <c r="P36" s="304">
        <f t="shared" si="14"/>
        <v>1</v>
      </c>
      <c r="S36" s="287">
        <v>10278.219999999999</v>
      </c>
      <c r="T36" s="188">
        <f t="shared" si="10"/>
        <v>2.3506894930970912E-2</v>
      </c>
      <c r="U36" s="188">
        <f t="shared" ref="U36:U67" si="16">(S36/$S$3)-1</f>
        <v>0.19755367787217959</v>
      </c>
      <c r="V36" s="305" t="str">
        <f t="shared" ref="V36:V67" si="17">IF(G36&gt;T36,"Yes","No")</f>
        <v>No</v>
      </c>
      <c r="W36" s="304">
        <f t="shared" si="15"/>
        <v>0</v>
      </c>
      <c r="Z36" s="309">
        <v>1957.02</v>
      </c>
      <c r="AA36" s="310">
        <f t="shared" si="11"/>
        <v>4.1149307337096097E-3</v>
      </c>
      <c r="AB36" s="310">
        <f t="shared" si="12"/>
        <v>0.30217981475566891</v>
      </c>
      <c r="AC36" s="308"/>
    </row>
    <row r="37" spans="1:29">
      <c r="A37" s="184">
        <v>35</v>
      </c>
      <c r="B37" s="1">
        <f t="shared" si="13"/>
        <v>37981</v>
      </c>
      <c r="C37" s="174"/>
      <c r="D37" s="2">
        <v>29690.49</v>
      </c>
      <c r="E37" s="2">
        <f t="shared" si="4"/>
        <v>29690.49</v>
      </c>
      <c r="F37" s="2">
        <f t="shared" si="5"/>
        <v>362.4900000000016</v>
      </c>
      <c r="G37" s="188">
        <f t="shared" si="6"/>
        <v>1.2359860883797147E-2</v>
      </c>
      <c r="H37" s="2">
        <f t="shared" si="7"/>
        <v>6834.6400000000031</v>
      </c>
      <c r="I37" s="188">
        <f t="shared" si="8"/>
        <v>0.29903241402091818</v>
      </c>
      <c r="K37" s="174"/>
      <c r="L37" s="287">
        <v>1095.8900000000001</v>
      </c>
      <c r="M37" s="188">
        <f t="shared" si="9"/>
        <v>6.6411919240167983E-3</v>
      </c>
      <c r="N37" s="188">
        <f t="shared" si="0"/>
        <v>0.17827498709788414</v>
      </c>
      <c r="O37" s="305" t="str">
        <f t="shared" si="1"/>
        <v>Yes</v>
      </c>
      <c r="P37" s="304">
        <f t="shared" si="14"/>
        <v>1</v>
      </c>
      <c r="S37" s="287">
        <v>10324.67</v>
      </c>
      <c r="T37" s="188">
        <f t="shared" si="10"/>
        <v>4.5192650089218578E-3</v>
      </c>
      <c r="U37" s="188">
        <f t="shared" si="16"/>
        <v>0.20296574030489301</v>
      </c>
      <c r="V37" s="305" t="str">
        <f t="shared" si="17"/>
        <v>Yes</v>
      </c>
      <c r="W37" s="304">
        <f t="shared" si="15"/>
        <v>1</v>
      </c>
      <c r="Z37" s="309">
        <v>1973.14</v>
      </c>
      <c r="AA37" s="310">
        <f t="shared" si="11"/>
        <v>8.2370134183606947E-3</v>
      </c>
      <c r="AB37" s="310">
        <f t="shared" si="12"/>
        <v>0.31290588736292979</v>
      </c>
      <c r="AC37" s="308"/>
    </row>
    <row r="38" spans="1:29">
      <c r="A38" s="184">
        <v>36</v>
      </c>
      <c r="B38" s="1">
        <f t="shared" si="13"/>
        <v>37988</v>
      </c>
      <c r="C38" s="174"/>
      <c r="D38" s="2">
        <v>30649.47</v>
      </c>
      <c r="E38" s="2">
        <f t="shared" si="4"/>
        <v>30649.47</v>
      </c>
      <c r="F38" s="2">
        <f t="shared" si="5"/>
        <v>958.97999999999956</v>
      </c>
      <c r="G38" s="188">
        <f t="shared" si="6"/>
        <v>3.2299231167959741E-2</v>
      </c>
      <c r="H38" s="2">
        <f t="shared" si="7"/>
        <v>7793.6200000000026</v>
      </c>
      <c r="I38" s="188">
        <f t="shared" si="8"/>
        <v>0.34099016225605272</v>
      </c>
      <c r="J38" s="178">
        <v>0</v>
      </c>
      <c r="K38" s="174"/>
      <c r="L38" s="287">
        <v>1108.48</v>
      </c>
      <c r="M38" s="188">
        <f t="shared" si="9"/>
        <v>1.1488379308142171E-2</v>
      </c>
      <c r="N38" s="188">
        <f t="shared" si="0"/>
        <v>0.19181145707896086</v>
      </c>
      <c r="O38" s="305" t="str">
        <f t="shared" si="1"/>
        <v>Yes</v>
      </c>
      <c r="P38" s="304">
        <f t="shared" si="14"/>
        <v>1</v>
      </c>
      <c r="R38" s="178">
        <v>0</v>
      </c>
      <c r="S38" s="287">
        <v>10409.85</v>
      </c>
      <c r="T38" s="188">
        <f t="shared" si="10"/>
        <v>8.2501426195704664E-3</v>
      </c>
      <c r="U38" s="188">
        <f t="shared" si="16"/>
        <v>0.21289037922886567</v>
      </c>
      <c r="V38" s="305" t="str">
        <f t="shared" si="17"/>
        <v>Yes</v>
      </c>
      <c r="W38" s="304">
        <f t="shared" si="15"/>
        <v>1</v>
      </c>
      <c r="Z38" s="309">
        <v>2006.68</v>
      </c>
      <c r="AA38" s="310">
        <f t="shared" si="11"/>
        <v>1.6998286994333922E-2</v>
      </c>
      <c r="AB38" s="310">
        <f t="shared" si="12"/>
        <v>0.3352230384328756</v>
      </c>
      <c r="AC38" s="308"/>
    </row>
    <row r="39" spans="1:29">
      <c r="A39" s="184">
        <v>37</v>
      </c>
      <c r="B39" s="1">
        <f t="shared" si="13"/>
        <v>37995</v>
      </c>
      <c r="C39" s="174"/>
      <c r="D39" s="2">
        <v>30712.11</v>
      </c>
      <c r="E39" s="2">
        <f t="shared" si="4"/>
        <v>30712.11</v>
      </c>
      <c r="F39" s="2">
        <f t="shared" si="5"/>
        <v>62.639999999999418</v>
      </c>
      <c r="G39" s="188">
        <f t="shared" si="6"/>
        <v>2.0437547533447287E-3</v>
      </c>
      <c r="H39" s="2">
        <f t="shared" si="7"/>
        <v>7856.260000000002</v>
      </c>
      <c r="I39" s="188">
        <f t="shared" si="8"/>
        <v>0.34373081727435228</v>
      </c>
      <c r="J39" s="178">
        <f>(E39/$E$38)-1</f>
        <v>2.0437547533447287E-3</v>
      </c>
      <c r="K39" s="174"/>
      <c r="L39" s="287">
        <v>1121.8599999999999</v>
      </c>
      <c r="M39" s="188">
        <f t="shared" si="9"/>
        <v>1.2070583140877389E-2</v>
      </c>
      <c r="N39" s="188">
        <f t="shared" si="0"/>
        <v>0.20619731635988292</v>
      </c>
      <c r="O39" s="305" t="str">
        <f t="shared" si="1"/>
        <v>No</v>
      </c>
      <c r="P39" s="304">
        <f t="shared" si="14"/>
        <v>0</v>
      </c>
      <c r="R39" s="178">
        <f t="shared" ref="R39:R86" si="18">(L39/$L$38)-1</f>
        <v>1.2070583140877389E-2</v>
      </c>
      <c r="S39" s="287">
        <v>10458.89</v>
      </c>
      <c r="T39" s="188">
        <f t="shared" si="10"/>
        <v>4.7109228278985338E-3</v>
      </c>
      <c r="U39" s="188">
        <f t="shared" si="16"/>
        <v>0.21860421220411319</v>
      </c>
      <c r="V39" s="305" t="str">
        <f t="shared" si="17"/>
        <v>No</v>
      </c>
      <c r="W39" s="304">
        <f t="shared" si="15"/>
        <v>0</v>
      </c>
      <c r="Z39" s="309">
        <v>2086.92</v>
      </c>
      <c r="AA39" s="310">
        <f t="shared" si="11"/>
        <v>3.998644527278894E-2</v>
      </c>
      <c r="AB39" s="310">
        <f t="shared" si="12"/>
        <v>0.38861386138613851</v>
      </c>
      <c r="AC39" s="308"/>
    </row>
    <row r="40" spans="1:29">
      <c r="A40" s="184">
        <v>38</v>
      </c>
      <c r="B40" s="1">
        <f t="shared" si="13"/>
        <v>38002</v>
      </c>
      <c r="C40" s="174"/>
      <c r="D40" s="2">
        <v>30500.54</v>
      </c>
      <c r="E40" s="2">
        <f t="shared" si="4"/>
        <v>30500.54</v>
      </c>
      <c r="F40" s="2">
        <f t="shared" si="5"/>
        <v>-211.56999999999971</v>
      </c>
      <c r="G40" s="188">
        <f t="shared" si="6"/>
        <v>-6.8888135657236838E-3</v>
      </c>
      <c r="H40" s="2">
        <f t="shared" si="7"/>
        <v>7644.6900000000023</v>
      </c>
      <c r="I40" s="188">
        <f t="shared" si="8"/>
        <v>0.33447410619163165</v>
      </c>
      <c r="J40" s="178">
        <f t="shared" ref="J40:J83" si="19">(E40/$E$38)-1</f>
        <v>-4.8591378578487499E-3</v>
      </c>
      <c r="K40" s="174"/>
      <c r="L40" s="287">
        <v>1139.83</v>
      </c>
      <c r="M40" s="188">
        <f t="shared" si="9"/>
        <v>1.6018041466849819E-2</v>
      </c>
      <c r="N40" s="188">
        <f t="shared" si="0"/>
        <v>0.22551823499053825</v>
      </c>
      <c r="O40" s="305" t="str">
        <f t="shared" si="1"/>
        <v>No</v>
      </c>
      <c r="P40" s="304">
        <f t="shared" si="14"/>
        <v>0</v>
      </c>
      <c r="R40" s="178">
        <f t="shared" si="18"/>
        <v>2.8281971709006815E-2</v>
      </c>
      <c r="S40" s="287">
        <v>10600.51</v>
      </c>
      <c r="T40" s="188">
        <f t="shared" si="10"/>
        <v>1.3540633853114548E-2</v>
      </c>
      <c r="U40" s="188">
        <f t="shared" si="16"/>
        <v>0.23510488565343235</v>
      </c>
      <c r="V40" s="305" t="str">
        <f t="shared" si="17"/>
        <v>No</v>
      </c>
      <c r="W40" s="304">
        <f t="shared" si="15"/>
        <v>0</v>
      </c>
      <c r="Z40" s="309">
        <v>2140.46</v>
      </c>
      <c r="AA40" s="310">
        <f t="shared" si="11"/>
        <v>2.5655032296398428E-2</v>
      </c>
      <c r="AB40" s="310">
        <f t="shared" si="12"/>
        <v>0.4242387948472266</v>
      </c>
      <c r="AC40" s="308"/>
    </row>
    <row r="41" spans="1:29">
      <c r="A41" s="184">
        <v>39</v>
      </c>
      <c r="B41" s="1">
        <f t="shared" si="13"/>
        <v>38009</v>
      </c>
      <c r="C41" s="174"/>
      <c r="D41" s="2">
        <v>30340.26</v>
      </c>
      <c r="E41" s="2">
        <f>D41+Holdings_Old!$E$32</f>
        <v>30340.26</v>
      </c>
      <c r="F41" s="2">
        <f>E41-D40</f>
        <v>-160.28000000000247</v>
      </c>
      <c r="G41" s="188">
        <f>(E41/E40)-1</f>
        <v>-5.2549889280649742E-3</v>
      </c>
      <c r="H41" s="2">
        <f>E41-$D$3</f>
        <v>7484.41</v>
      </c>
      <c r="I41" s="188">
        <f>(E41/$D$3)-1</f>
        <v>0.32746145953880523</v>
      </c>
      <c r="J41" s="178">
        <f t="shared" si="19"/>
        <v>-1.0088592070270797E-2</v>
      </c>
      <c r="K41" s="174"/>
      <c r="L41" s="287">
        <v>1141.55</v>
      </c>
      <c r="M41" s="188">
        <f t="shared" si="9"/>
        <v>1.5089969556862926E-3</v>
      </c>
      <c r="N41" s="188">
        <f t="shared" si="0"/>
        <v>0.2273675382762772</v>
      </c>
      <c r="O41" s="305" t="str">
        <f t="shared" si="1"/>
        <v>No</v>
      </c>
      <c r="P41" s="304">
        <f t="shared" si="14"/>
        <v>0</v>
      </c>
      <c r="R41" s="178">
        <f t="shared" si="18"/>
        <v>2.9833646073903042E-2</v>
      </c>
      <c r="S41" s="287">
        <v>10568.29</v>
      </c>
      <c r="T41" s="188">
        <f t="shared" si="10"/>
        <v>-3.0394764025504228E-3</v>
      </c>
      <c r="U41" s="188">
        <f t="shared" si="16"/>
        <v>0.23135081349881403</v>
      </c>
      <c r="V41" s="305" t="str">
        <f t="shared" si="17"/>
        <v>No</v>
      </c>
      <c r="W41" s="304">
        <f t="shared" si="15"/>
        <v>0</v>
      </c>
      <c r="Z41" s="309">
        <v>2123.87</v>
      </c>
      <c r="AA41" s="310">
        <f t="shared" si="11"/>
        <v>-7.7506704166394602E-3</v>
      </c>
      <c r="AB41" s="310">
        <f t="shared" si="12"/>
        <v>0.41319998935377389</v>
      </c>
      <c r="AC41" s="308"/>
    </row>
    <row r="42" spans="1:29">
      <c r="A42" s="184">
        <v>40</v>
      </c>
      <c r="B42" s="1">
        <f t="shared" ref="B42:B105" si="20">B41+7</f>
        <v>38016</v>
      </c>
      <c r="C42" s="174"/>
      <c r="D42" s="2">
        <v>29390.959999999999</v>
      </c>
      <c r="E42" s="2">
        <f>D42+Holdings_Old!$E$32</f>
        <v>29390.959999999999</v>
      </c>
      <c r="F42" s="2">
        <f>E42-E41</f>
        <v>-949.29999999999927</v>
      </c>
      <c r="G42" s="188">
        <f>(E42/E41)-1</f>
        <v>-3.1288459624274734E-2</v>
      </c>
      <c r="H42" s="2">
        <f>E42-$D$3</f>
        <v>6535.1100000000006</v>
      </c>
      <c r="I42" s="188">
        <f>(E42/$D$3)-1</f>
        <v>0.28592723525924435</v>
      </c>
      <c r="J42" s="178">
        <f t="shared" si="19"/>
        <v>-4.1061395188889183E-2</v>
      </c>
      <c r="K42" s="174"/>
      <c r="L42" s="287">
        <v>1131.1300000000001</v>
      </c>
      <c r="M42" s="197">
        <f t="shared" ref="M42:M79" si="21">(L42/L41)-1</f>
        <v>-9.1279400814680001E-3</v>
      </c>
      <c r="N42" s="188">
        <f t="shared" si="0"/>
        <v>0.21616420092895239</v>
      </c>
      <c r="O42" s="305" t="str">
        <f t="shared" si="1"/>
        <v>No</v>
      </c>
      <c r="P42" s="304">
        <f t="shared" si="14"/>
        <v>0</v>
      </c>
      <c r="R42" s="178">
        <f t="shared" si="18"/>
        <v>2.0433386258660535E-2</v>
      </c>
      <c r="S42" s="287">
        <v>10488.07</v>
      </c>
      <c r="T42" s="197">
        <f t="shared" ref="T42:T79" si="22">(S42/S41)-1</f>
        <v>-7.5906319754663887E-3</v>
      </c>
      <c r="U42" s="188">
        <f t="shared" si="16"/>
        <v>0.22200408264085336</v>
      </c>
      <c r="V42" s="305" t="str">
        <f t="shared" si="17"/>
        <v>No</v>
      </c>
      <c r="W42" s="304">
        <f t="shared" si="15"/>
        <v>0</v>
      </c>
      <c r="Z42" s="309">
        <v>2066.15</v>
      </c>
      <c r="AA42" s="310">
        <f t="shared" ref="AA42:AA79" si="23">(Z42/Z41)-1</f>
        <v>-2.7176804606684923E-2</v>
      </c>
      <c r="AB42" s="310">
        <f t="shared" ref="AB42:AB79" si="24">(Z42/$Z$3)-1</f>
        <v>0.37479372937293731</v>
      </c>
      <c r="AC42" s="308"/>
    </row>
    <row r="43" spans="1:29">
      <c r="A43" s="184">
        <v>41</v>
      </c>
      <c r="B43" s="1">
        <f t="shared" si="20"/>
        <v>38023</v>
      </c>
      <c r="C43" s="174"/>
      <c r="D43" s="2">
        <v>29673.82</v>
      </c>
      <c r="E43" s="2">
        <f>D43+Holdings_Old!$E$32</f>
        <v>29673.82</v>
      </c>
      <c r="F43" s="2">
        <f t="shared" ref="F43:F106" si="25">E43-E42</f>
        <v>282.86000000000058</v>
      </c>
      <c r="G43" s="188">
        <f t="shared" ref="G43:G106" si="26">(E43/E42)-1</f>
        <v>9.6240476663573826E-3</v>
      </c>
      <c r="H43" s="2">
        <f t="shared" ref="H43:H106" si="27">E43-$D$3</f>
        <v>6817.9700000000012</v>
      </c>
      <c r="I43" s="188">
        <f t="shared" ref="I43:I106" si="28">(E43/$D$3)-1</f>
        <v>0.29830306026684639</v>
      </c>
      <c r="J43" s="178">
        <f t="shared" si="19"/>
        <v>-3.183252434707684E-2</v>
      </c>
      <c r="K43" s="174"/>
      <c r="L43" s="287">
        <v>1142.76</v>
      </c>
      <c r="M43" s="188">
        <f t="shared" si="21"/>
        <v>1.028175364458539E-2</v>
      </c>
      <c r="N43" s="188">
        <f t="shared" si="0"/>
        <v>0.228668501634268</v>
      </c>
      <c r="O43" s="305" t="str">
        <f t="shared" si="1"/>
        <v>No</v>
      </c>
      <c r="P43" s="304">
        <f t="shared" si="14"/>
        <v>0</v>
      </c>
      <c r="R43" s="178">
        <f t="shared" si="18"/>
        <v>3.0925230946882154E-2</v>
      </c>
      <c r="S43" s="287">
        <v>10593.03</v>
      </c>
      <c r="T43" s="188">
        <f t="shared" si="22"/>
        <v>1.0007560971656559E-2</v>
      </c>
      <c r="U43" s="188">
        <f t="shared" si="16"/>
        <v>0.23423336300549491</v>
      </c>
      <c r="V43" s="305" t="str">
        <f t="shared" si="17"/>
        <v>No</v>
      </c>
      <c r="W43" s="304">
        <f t="shared" si="15"/>
        <v>0</v>
      </c>
      <c r="Z43" s="309">
        <v>2064.0100000000002</v>
      </c>
      <c r="AA43" s="310">
        <f t="shared" si="23"/>
        <v>-1.0357428066692931E-3</v>
      </c>
      <c r="AB43" s="310">
        <f t="shared" si="24"/>
        <v>0.37336979665708503</v>
      </c>
      <c r="AC43" s="308"/>
    </row>
    <row r="44" spans="1:29">
      <c r="A44" s="184">
        <v>42</v>
      </c>
      <c r="B44" s="1">
        <f t="shared" si="20"/>
        <v>38030</v>
      </c>
      <c r="C44" s="174"/>
      <c r="D44" s="2">
        <v>29580.97</v>
      </c>
      <c r="E44" s="2">
        <f>D44+Holdings_Old!$E$32</f>
        <v>29580.97</v>
      </c>
      <c r="F44" s="2">
        <f t="shared" si="25"/>
        <v>-92.849999999998545</v>
      </c>
      <c r="G44" s="188">
        <f t="shared" si="26"/>
        <v>-3.1290208001530928E-3</v>
      </c>
      <c r="H44" s="2">
        <f t="shared" si="27"/>
        <v>6725.1200000000026</v>
      </c>
      <c r="I44" s="188">
        <f t="shared" si="28"/>
        <v>0.29424064298636909</v>
      </c>
      <c r="J44" s="178">
        <f t="shared" si="19"/>
        <v>-3.4861940516426548E-2</v>
      </c>
      <c r="K44" s="174"/>
      <c r="L44" s="287">
        <v>1145.81</v>
      </c>
      <c r="M44" s="188">
        <f t="shared" si="21"/>
        <v>2.6689768630332456E-3</v>
      </c>
      <c r="N44" s="188">
        <f t="shared" si="0"/>
        <v>0.23194778943746752</v>
      </c>
      <c r="O44" s="305" t="str">
        <f t="shared" si="1"/>
        <v>No</v>
      </c>
      <c r="P44" s="304">
        <f t="shared" si="14"/>
        <v>0</v>
      </c>
      <c r="R44" s="178">
        <f t="shared" si="18"/>
        <v>3.3676746535796775E-2</v>
      </c>
      <c r="S44" s="287">
        <v>10628.85</v>
      </c>
      <c r="T44" s="188">
        <f t="shared" si="22"/>
        <v>3.3814687582305325E-3</v>
      </c>
      <c r="U44" s="188">
        <f t="shared" si="16"/>
        <v>0.23840688456286374</v>
      </c>
      <c r="V44" s="305" t="str">
        <f t="shared" si="17"/>
        <v>No</v>
      </c>
      <c r="W44" s="304">
        <f t="shared" si="15"/>
        <v>0</v>
      </c>
      <c r="Z44" s="309">
        <v>2053.56</v>
      </c>
      <c r="AA44" s="310">
        <f t="shared" si="23"/>
        <v>-5.0629599662793678E-3</v>
      </c>
      <c r="AB44" s="310">
        <f t="shared" si="24"/>
        <v>0.36641648035771301</v>
      </c>
      <c r="AC44" s="308"/>
    </row>
    <row r="45" spans="1:29">
      <c r="A45" s="184">
        <v>43</v>
      </c>
      <c r="B45" s="1">
        <f t="shared" si="20"/>
        <v>38037</v>
      </c>
      <c r="C45" s="174"/>
      <c r="D45" s="2">
        <v>29455.64</v>
      </c>
      <c r="E45" s="2">
        <f>D45+Holdings_Old!$E$32</f>
        <v>29455.64</v>
      </c>
      <c r="F45" s="2">
        <f t="shared" si="25"/>
        <v>-125.33000000000175</v>
      </c>
      <c r="G45" s="188">
        <f t="shared" si="26"/>
        <v>-4.2368455125035842E-3</v>
      </c>
      <c r="H45" s="2">
        <f t="shared" si="27"/>
        <v>6599.7900000000009</v>
      </c>
      <c r="I45" s="188">
        <f t="shared" si="28"/>
        <v>0.28875714532603247</v>
      </c>
      <c r="J45" s="178">
        <f t="shared" si="19"/>
        <v>-3.8951081372695873E-2</v>
      </c>
      <c r="K45" s="174"/>
      <c r="L45" s="287">
        <v>1144.1099999999999</v>
      </c>
      <c r="M45" s="197">
        <f t="shared" si="21"/>
        <v>-1.4836665764830226E-3</v>
      </c>
      <c r="N45" s="188">
        <f t="shared" si="0"/>
        <v>0.23011998967830705</v>
      </c>
      <c r="O45" s="305" t="str">
        <f t="shared" si="1"/>
        <v>No</v>
      </c>
      <c r="P45" s="304">
        <f t="shared" si="14"/>
        <v>0</v>
      </c>
      <c r="R45" s="178">
        <f t="shared" si="18"/>
        <v>3.2143114896073799E-2</v>
      </c>
      <c r="S45" s="287">
        <v>10619.03</v>
      </c>
      <c r="T45" s="197">
        <f t="shared" si="22"/>
        <v>-9.2390051604829271E-4</v>
      </c>
      <c r="U45" s="188">
        <f t="shared" si="16"/>
        <v>0.23726271980313851</v>
      </c>
      <c r="V45" s="305" t="str">
        <f t="shared" si="17"/>
        <v>No</v>
      </c>
      <c r="W45" s="304">
        <f t="shared" si="15"/>
        <v>0</v>
      </c>
      <c r="Z45" s="309">
        <v>2037.93</v>
      </c>
      <c r="AA45" s="310">
        <f t="shared" si="23"/>
        <v>-7.6111727926136963E-3</v>
      </c>
      <c r="AB45" s="310">
        <f t="shared" si="24"/>
        <v>0.35601644841903535</v>
      </c>
      <c r="AC45" s="308"/>
    </row>
    <row r="46" spans="1:29">
      <c r="A46" s="184">
        <v>44</v>
      </c>
      <c r="B46" s="1">
        <f t="shared" si="20"/>
        <v>38044</v>
      </c>
      <c r="C46" s="174"/>
      <c r="D46" s="2">
        <v>29503.45</v>
      </c>
      <c r="E46" s="2">
        <f>D46+Holdings_Old!$E$32</f>
        <v>29503.45</v>
      </c>
      <c r="F46" s="2">
        <f t="shared" si="25"/>
        <v>47.81000000000131</v>
      </c>
      <c r="G46" s="188">
        <f t="shared" si="26"/>
        <v>1.6231186964534849E-3</v>
      </c>
      <c r="H46" s="2">
        <f t="shared" si="27"/>
        <v>6647.6000000000022</v>
      </c>
      <c r="I46" s="188">
        <f t="shared" si="28"/>
        <v>0.29084895114379927</v>
      </c>
      <c r="J46" s="178">
        <f t="shared" si="19"/>
        <v>-3.7391184904665531E-2</v>
      </c>
      <c r="K46" s="174"/>
      <c r="L46" s="287">
        <v>1144.94</v>
      </c>
      <c r="M46" s="188">
        <f t="shared" si="21"/>
        <v>7.2545472026308566E-4</v>
      </c>
      <c r="N46" s="188">
        <f t="shared" si="0"/>
        <v>0.23101238603130914</v>
      </c>
      <c r="O46" s="305" t="str">
        <f t="shared" si="1"/>
        <v>Yes</v>
      </c>
      <c r="P46" s="304">
        <f t="shared" si="14"/>
        <v>1</v>
      </c>
      <c r="R46" s="178">
        <f t="shared" si="18"/>
        <v>3.2891887990762259E-2</v>
      </c>
      <c r="S46" s="287">
        <v>10583.92</v>
      </c>
      <c r="T46" s="188">
        <f t="shared" si="22"/>
        <v>-3.3063283557914769E-3</v>
      </c>
      <c r="U46" s="188">
        <f t="shared" si="16"/>
        <v>0.23317192298908962</v>
      </c>
      <c r="V46" s="305" t="str">
        <f t="shared" si="17"/>
        <v>Yes</v>
      </c>
      <c r="W46" s="304">
        <f t="shared" si="15"/>
        <v>1</v>
      </c>
      <c r="Z46" s="309">
        <v>2029.82</v>
      </c>
      <c r="AA46" s="310">
        <f t="shared" si="23"/>
        <v>-3.9795282467994797E-3</v>
      </c>
      <c r="AB46" s="310">
        <f t="shared" si="24"/>
        <v>0.35062014265942709</v>
      </c>
      <c r="AC46" s="308"/>
    </row>
    <row r="47" spans="1:29">
      <c r="A47" s="184">
        <v>45</v>
      </c>
      <c r="B47" s="1">
        <f t="shared" si="20"/>
        <v>38051</v>
      </c>
      <c r="C47" s="174"/>
      <c r="D47" s="2">
        <v>29619.45</v>
      </c>
      <c r="E47" s="2">
        <f>D47+Holdings_Old!$E$32</f>
        <v>29619.45</v>
      </c>
      <c r="F47" s="2">
        <f t="shared" si="25"/>
        <v>116</v>
      </c>
      <c r="G47" s="188">
        <f t="shared" si="26"/>
        <v>3.931743575751323E-3</v>
      </c>
      <c r="H47" s="2">
        <f t="shared" si="27"/>
        <v>6763.6000000000022</v>
      </c>
      <c r="I47" s="188">
        <f t="shared" si="28"/>
        <v>0.29592423821472424</v>
      </c>
      <c r="J47" s="178">
        <f t="shared" si="19"/>
        <v>-3.3606453879952869E-2</v>
      </c>
      <c r="K47" s="174"/>
      <c r="L47" s="287">
        <v>1156.8599999999999</v>
      </c>
      <c r="M47" s="188">
        <f t="shared" si="21"/>
        <v>1.0411025905287419E-2</v>
      </c>
      <c r="N47" s="188">
        <f t="shared" si="0"/>
        <v>0.24382848787201095</v>
      </c>
      <c r="O47" s="305" t="str">
        <f t="shared" si="1"/>
        <v>No</v>
      </c>
      <c r="P47" s="304">
        <f t="shared" si="14"/>
        <v>0</v>
      </c>
      <c r="R47" s="178">
        <f t="shared" si="18"/>
        <v>4.3645352193995235E-2</v>
      </c>
      <c r="S47" s="287">
        <v>10595.55</v>
      </c>
      <c r="T47" s="188">
        <f t="shared" si="22"/>
        <v>1.0988367259010534E-3</v>
      </c>
      <c r="U47" s="188">
        <f t="shared" si="16"/>
        <v>0.23452697758742014</v>
      </c>
      <c r="V47" s="305" t="str">
        <f t="shared" si="17"/>
        <v>Yes</v>
      </c>
      <c r="W47" s="304">
        <f t="shared" si="15"/>
        <v>1</v>
      </c>
      <c r="Z47" s="309">
        <v>2047.63</v>
      </c>
      <c r="AA47" s="310">
        <f t="shared" si="23"/>
        <v>8.7741770206226644E-3</v>
      </c>
      <c r="AB47" s="310">
        <f t="shared" si="24"/>
        <v>0.36247072287873938</v>
      </c>
      <c r="AC47" s="308"/>
    </row>
    <row r="48" spans="1:29">
      <c r="A48" s="184">
        <v>46</v>
      </c>
      <c r="B48" s="1">
        <f t="shared" si="20"/>
        <v>38058</v>
      </c>
      <c r="C48" s="174"/>
      <c r="D48" s="2">
        <v>29016.49</v>
      </c>
      <c r="E48" s="2">
        <f>D48+Holdings_Old!$E$32</f>
        <v>29016.49</v>
      </c>
      <c r="F48" s="2">
        <f t="shared" si="25"/>
        <v>-602.95999999999913</v>
      </c>
      <c r="G48" s="188">
        <f t="shared" si="26"/>
        <v>-2.0356893865348558E-2</v>
      </c>
      <c r="H48" s="2">
        <f t="shared" si="27"/>
        <v>6160.6400000000031</v>
      </c>
      <c r="I48" s="188">
        <f t="shared" si="28"/>
        <v>0.26954324603985436</v>
      </c>
      <c r="J48" s="178">
        <f t="shared" si="19"/>
        <v>-5.3279224730476527E-2</v>
      </c>
      <c r="K48" s="174"/>
      <c r="L48" s="287">
        <v>1120.57</v>
      </c>
      <c r="M48" s="197">
        <f t="shared" si="21"/>
        <v>-3.136939646975434E-2</v>
      </c>
      <c r="N48" s="188">
        <f t="shared" si="0"/>
        <v>0.20481033889557865</v>
      </c>
      <c r="O48" s="305" t="str">
        <f t="shared" si="1"/>
        <v>Yes</v>
      </c>
      <c r="P48" s="304">
        <f t="shared" si="14"/>
        <v>1</v>
      </c>
      <c r="R48" s="178">
        <f t="shared" si="18"/>
        <v>1.0906827367205496E-2</v>
      </c>
      <c r="S48" s="287">
        <v>10240.08</v>
      </c>
      <c r="T48" s="197">
        <f t="shared" si="22"/>
        <v>-3.3548989906139748E-2</v>
      </c>
      <c r="U48" s="188">
        <f t="shared" si="16"/>
        <v>0.19310984447748258</v>
      </c>
      <c r="V48" s="305" t="str">
        <f t="shared" si="17"/>
        <v>Yes</v>
      </c>
      <c r="W48" s="304">
        <f t="shared" si="15"/>
        <v>1</v>
      </c>
      <c r="Z48" s="309">
        <v>1984.73</v>
      </c>
      <c r="AA48" s="310">
        <f t="shared" si="23"/>
        <v>-3.0718440343226128E-2</v>
      </c>
      <c r="AB48" s="310">
        <f t="shared" si="24"/>
        <v>0.32061774725859671</v>
      </c>
      <c r="AC48" s="308"/>
    </row>
    <row r="49" spans="1:29">
      <c r="A49" s="184">
        <v>47</v>
      </c>
      <c r="B49" s="1">
        <f t="shared" si="20"/>
        <v>38065</v>
      </c>
      <c r="C49" s="174"/>
      <c r="D49" s="2">
        <v>28837.81</v>
      </c>
      <c r="E49" s="2">
        <f>D49+Holdings_Old!$E$32</f>
        <v>28837.81</v>
      </c>
      <c r="F49" s="2">
        <f t="shared" si="25"/>
        <v>-178.68000000000029</v>
      </c>
      <c r="G49" s="188">
        <f t="shared" si="26"/>
        <v>-6.1578778136156531E-3</v>
      </c>
      <c r="H49" s="2">
        <f t="shared" si="27"/>
        <v>5981.9600000000028</v>
      </c>
      <c r="I49" s="188">
        <f t="shared" si="28"/>
        <v>0.26172555385163987</v>
      </c>
      <c r="J49" s="178">
        <f t="shared" si="19"/>
        <v>-5.9109015588197811E-2</v>
      </c>
      <c r="K49" s="174"/>
      <c r="L49" s="287">
        <v>1109.74</v>
      </c>
      <c r="M49" s="197">
        <f t="shared" si="21"/>
        <v>-9.6647242028610192E-3</v>
      </c>
      <c r="N49" s="188">
        <f t="shared" si="0"/>
        <v>0.19316617925339741</v>
      </c>
      <c r="O49" s="305" t="str">
        <f t="shared" si="1"/>
        <v>Yes</v>
      </c>
      <c r="P49" s="304">
        <f t="shared" si="14"/>
        <v>1</v>
      </c>
      <c r="R49" s="178">
        <f t="shared" si="18"/>
        <v>1.1366916859121279E-3</v>
      </c>
      <c r="S49" s="287">
        <v>10186.6</v>
      </c>
      <c r="T49" s="197">
        <f t="shared" si="22"/>
        <v>-5.2226154483168141E-3</v>
      </c>
      <c r="U49" s="188">
        <f t="shared" si="16"/>
        <v>0.18687869057217554</v>
      </c>
      <c r="V49" s="305" t="str">
        <f t="shared" si="17"/>
        <v>No</v>
      </c>
      <c r="W49" s="304">
        <f t="shared" si="15"/>
        <v>0</v>
      </c>
      <c r="Z49" s="309">
        <v>1940.47</v>
      </c>
      <c r="AA49" s="310">
        <f t="shared" si="23"/>
        <v>-2.2300262504219681E-2</v>
      </c>
      <c r="AB49" s="310">
        <f t="shared" si="24"/>
        <v>0.29116762482699876</v>
      </c>
      <c r="AC49" s="308"/>
    </row>
    <row r="50" spans="1:29">
      <c r="A50" s="184">
        <v>48</v>
      </c>
      <c r="B50" s="1">
        <f t="shared" si="20"/>
        <v>38072</v>
      </c>
      <c r="C50" s="174"/>
      <c r="D50" s="2">
        <v>28946.799999999999</v>
      </c>
      <c r="E50" s="2">
        <f>D50+Holdings_Old!$E$32</f>
        <v>28946.799999999999</v>
      </c>
      <c r="F50" s="2">
        <f t="shared" si="25"/>
        <v>108.98999999999796</v>
      </c>
      <c r="G50" s="188">
        <f t="shared" si="26"/>
        <v>3.7794132078683429E-3</v>
      </c>
      <c r="H50" s="2">
        <f t="shared" si="27"/>
        <v>6090.9500000000007</v>
      </c>
      <c r="I50" s="188">
        <f t="shared" si="28"/>
        <v>0.26649413607457184</v>
      </c>
      <c r="J50" s="178">
        <f t="shared" si="19"/>
        <v>-5.5552999774547529E-2</v>
      </c>
      <c r="K50" s="174"/>
      <c r="L50" s="287">
        <v>1108.06</v>
      </c>
      <c r="M50" s="197">
        <f t="shared" si="21"/>
        <v>-1.5138681132518261E-3</v>
      </c>
      <c r="N50" s="188">
        <f t="shared" si="0"/>
        <v>0.19135988302081541</v>
      </c>
      <c r="O50" s="305" t="str">
        <f t="shared" si="1"/>
        <v>Yes</v>
      </c>
      <c r="P50" s="304">
        <f t="shared" si="14"/>
        <v>1</v>
      </c>
      <c r="R50" s="178">
        <f t="shared" si="18"/>
        <v>-3.7889722863748698E-4</v>
      </c>
      <c r="S50" s="287">
        <v>10212.969999999999</v>
      </c>
      <c r="T50" s="197">
        <f t="shared" si="22"/>
        <v>2.5886949521920499E-3</v>
      </c>
      <c r="U50" s="188">
        <f t="shared" si="16"/>
        <v>0.18995115744732405</v>
      </c>
      <c r="V50" s="305" t="str">
        <f t="shared" si="17"/>
        <v>Yes</v>
      </c>
      <c r="W50" s="304">
        <f t="shared" si="15"/>
        <v>1</v>
      </c>
      <c r="Z50" s="309">
        <v>1960.02</v>
      </c>
      <c r="AA50" s="310">
        <f t="shared" si="23"/>
        <v>1.0074878766484385E-2</v>
      </c>
      <c r="AB50" s="310">
        <f t="shared" si="24"/>
        <v>0.30417598211434038</v>
      </c>
      <c r="AC50" s="308"/>
    </row>
    <row r="51" spans="1:29">
      <c r="A51" s="184">
        <v>49</v>
      </c>
      <c r="B51" s="1">
        <f t="shared" si="20"/>
        <v>38079</v>
      </c>
      <c r="C51" s="174"/>
      <c r="D51" s="2">
        <v>29704.21</v>
      </c>
      <c r="E51" s="2">
        <f>D51+Holdings_Old!$E$32</f>
        <v>29704.21</v>
      </c>
      <c r="F51" s="2">
        <f t="shared" si="25"/>
        <v>757.40999999999985</v>
      </c>
      <c r="G51" s="188">
        <f t="shared" si="26"/>
        <v>2.61655865242445E-2</v>
      </c>
      <c r="H51" s="2">
        <f t="shared" si="27"/>
        <v>6848.3600000000006</v>
      </c>
      <c r="I51" s="188">
        <f t="shared" si="28"/>
        <v>0.29963269797447922</v>
      </c>
      <c r="J51" s="178">
        <f t="shared" si="19"/>
        <v>-3.0840990072585339E-2</v>
      </c>
      <c r="K51" s="174"/>
      <c r="L51" s="287">
        <v>1141.8399999999999</v>
      </c>
      <c r="M51" s="188">
        <f t="shared" si="21"/>
        <v>3.0485713770012524E-2</v>
      </c>
      <c r="N51" s="188">
        <f t="shared" si="0"/>
        <v>0.22767933941166341</v>
      </c>
      <c r="O51" s="305" t="str">
        <f t="shared" si="1"/>
        <v>No</v>
      </c>
      <c r="P51" s="304">
        <f t="shared" si="14"/>
        <v>0</v>
      </c>
      <c r="R51" s="178">
        <f t="shared" si="18"/>
        <v>3.0095265588914399E-2</v>
      </c>
      <c r="S51" s="287">
        <v>10470.59</v>
      </c>
      <c r="T51" s="188">
        <f t="shared" si="22"/>
        <v>2.5224787696429329E-2</v>
      </c>
      <c r="U51" s="188">
        <f t="shared" si="16"/>
        <v>0.21996742276305303</v>
      </c>
      <c r="V51" s="305" t="str">
        <f t="shared" si="17"/>
        <v>Yes</v>
      </c>
      <c r="W51" s="304">
        <f t="shared" si="15"/>
        <v>1</v>
      </c>
      <c r="Z51" s="309">
        <v>2057.17</v>
      </c>
      <c r="AA51" s="310">
        <f t="shared" si="23"/>
        <v>4.9565820756931167E-2</v>
      </c>
      <c r="AB51" s="310">
        <f t="shared" si="24"/>
        <v>0.36881853507931428</v>
      </c>
      <c r="AC51" s="308"/>
    </row>
    <row r="52" spans="1:29">
      <c r="A52" s="184">
        <v>50</v>
      </c>
      <c r="B52" s="1">
        <f t="shared" si="20"/>
        <v>38086</v>
      </c>
      <c r="C52" s="174"/>
      <c r="D52" s="2">
        <v>29609.72</v>
      </c>
      <c r="E52" s="2">
        <f>D52+Holdings_Old!$E$32</f>
        <v>29609.72</v>
      </c>
      <c r="F52" s="2">
        <f t="shared" si="25"/>
        <v>-94.489999999997963</v>
      </c>
      <c r="G52" s="188">
        <f t="shared" si="26"/>
        <v>-3.1810305677207884E-3</v>
      </c>
      <c r="H52" s="2">
        <f t="shared" si="27"/>
        <v>6753.8700000000026</v>
      </c>
      <c r="I52" s="188">
        <f t="shared" si="28"/>
        <v>0.29549852663541287</v>
      </c>
      <c r="J52" s="178">
        <f t="shared" si="19"/>
        <v>-3.3923914508146469E-2</v>
      </c>
      <c r="K52" s="174"/>
      <c r="L52" s="287">
        <v>1139.32</v>
      </c>
      <c r="M52" s="188">
        <f t="shared" si="21"/>
        <v>-2.2069641981363741E-3</v>
      </c>
      <c r="N52" s="188">
        <f t="shared" si="0"/>
        <v>0.22496989506279008</v>
      </c>
      <c r="O52" s="305" t="str">
        <f t="shared" si="1"/>
        <v>No</v>
      </c>
      <c r="P52" s="304">
        <f t="shared" si="14"/>
        <v>0</v>
      </c>
      <c r="R52" s="178">
        <f t="shared" si="18"/>
        <v>2.7821882217089922E-2</v>
      </c>
      <c r="S52" s="287">
        <v>10442.030000000001</v>
      </c>
      <c r="T52" s="188">
        <f t="shared" si="22"/>
        <v>-2.7276399897235848E-3</v>
      </c>
      <c r="U52" s="188">
        <f t="shared" si="16"/>
        <v>0.21663979083456453</v>
      </c>
      <c r="V52" s="305" t="str">
        <f t="shared" si="17"/>
        <v>No</v>
      </c>
      <c r="W52" s="304">
        <f t="shared" si="15"/>
        <v>0</v>
      </c>
      <c r="Z52" s="309">
        <v>2052.88</v>
      </c>
      <c r="AA52" s="310">
        <f t="shared" si="23"/>
        <v>-2.0853891511153355E-3</v>
      </c>
      <c r="AB52" s="310">
        <f t="shared" si="24"/>
        <v>0.36596401575641435</v>
      </c>
      <c r="AC52" s="308"/>
    </row>
    <row r="53" spans="1:29">
      <c r="A53" s="184">
        <v>51</v>
      </c>
      <c r="B53" s="1">
        <f t="shared" si="20"/>
        <v>38093</v>
      </c>
      <c r="C53" s="174"/>
      <c r="D53" s="2">
        <v>29251.01</v>
      </c>
      <c r="E53" s="2">
        <f>D53+Holdings_Old!$E$32</f>
        <v>29251.01</v>
      </c>
      <c r="F53" s="2">
        <f t="shared" si="25"/>
        <v>-358.71000000000276</v>
      </c>
      <c r="G53" s="188">
        <f t="shared" si="26"/>
        <v>-1.2114602907423722E-2</v>
      </c>
      <c r="H53" s="2">
        <f t="shared" si="27"/>
        <v>6395.16</v>
      </c>
      <c r="I53" s="188">
        <f t="shared" si="28"/>
        <v>0.27980407641807248</v>
      </c>
      <c r="J53" s="178">
        <f t="shared" si="19"/>
        <v>-4.5627542662238674E-2</v>
      </c>
      <c r="K53" s="174"/>
      <c r="L53" s="287">
        <v>1134.6099999999999</v>
      </c>
      <c r="M53" s="188">
        <f t="shared" si="21"/>
        <v>-4.1340448688691467E-3</v>
      </c>
      <c r="N53" s="188">
        <f t="shared" si="0"/>
        <v>0.2199058145535866</v>
      </c>
      <c r="O53" s="305" t="str">
        <f t="shared" si="1"/>
        <v>No</v>
      </c>
      <c r="P53" s="304">
        <f t="shared" si="14"/>
        <v>0</v>
      </c>
      <c r="R53" s="178">
        <f t="shared" si="18"/>
        <v>2.3572820438799047E-2</v>
      </c>
      <c r="S53" s="287">
        <v>10451.969999999999</v>
      </c>
      <c r="T53" s="188">
        <f t="shared" si="22"/>
        <v>9.5192218371309423E-4</v>
      </c>
      <c r="U53" s="188">
        <f t="shared" si="16"/>
        <v>0.21779793724104812</v>
      </c>
      <c r="V53" s="305" t="str">
        <f t="shared" si="17"/>
        <v>No</v>
      </c>
      <c r="W53" s="304">
        <f t="shared" si="15"/>
        <v>0</v>
      </c>
      <c r="Z53" s="309">
        <v>1995.74</v>
      </c>
      <c r="AA53" s="310">
        <f t="shared" si="23"/>
        <v>-2.7834067261603312E-2</v>
      </c>
      <c r="AB53" s="310">
        <f t="shared" si="24"/>
        <v>0.32794368146492059</v>
      </c>
      <c r="AC53" s="308"/>
    </row>
    <row r="54" spans="1:29">
      <c r="A54" s="184">
        <v>52</v>
      </c>
      <c r="B54" s="1">
        <f t="shared" si="20"/>
        <v>38100</v>
      </c>
      <c r="C54" s="174"/>
      <c r="D54" s="2">
        <v>29508.45</v>
      </c>
      <c r="E54" s="2">
        <f>D54+Holdings_Old!$E$32</f>
        <v>29508.45</v>
      </c>
      <c r="F54" s="2">
        <f t="shared" si="25"/>
        <v>257.44000000000233</v>
      </c>
      <c r="G54" s="188">
        <f t="shared" si="26"/>
        <v>8.8010636213928795E-3</v>
      </c>
      <c r="H54" s="2">
        <f t="shared" si="27"/>
        <v>6652.6000000000022</v>
      </c>
      <c r="I54" s="188">
        <f t="shared" si="28"/>
        <v>0.2910677135175459</v>
      </c>
      <c r="J54" s="178">
        <f t="shared" si="19"/>
        <v>-3.7228049946703812E-2</v>
      </c>
      <c r="K54" s="174"/>
      <c r="L54" s="287">
        <v>1140.5999999999999</v>
      </c>
      <c r="M54" s="188">
        <f t="shared" si="21"/>
        <v>5.2793470884269222E-3</v>
      </c>
      <c r="N54" s="188">
        <f t="shared" si="0"/>
        <v>0.22634612076380511</v>
      </c>
      <c r="O54" s="305" t="str">
        <f t="shared" si="1"/>
        <v>Yes</v>
      </c>
      <c r="P54" s="304">
        <f t="shared" si="14"/>
        <v>1</v>
      </c>
      <c r="R54" s="178">
        <f t="shared" si="18"/>
        <v>2.8976616628175522E-2</v>
      </c>
      <c r="S54" s="287">
        <v>10472.84</v>
      </c>
      <c r="T54" s="188">
        <f t="shared" si="22"/>
        <v>1.9967527652682282E-3</v>
      </c>
      <c r="U54" s="188">
        <f t="shared" si="16"/>
        <v>0.22022957863977211</v>
      </c>
      <c r="V54" s="305" t="str">
        <f t="shared" si="17"/>
        <v>Yes</v>
      </c>
      <c r="W54" s="304">
        <f t="shared" si="15"/>
        <v>1</v>
      </c>
      <c r="Z54" s="309">
        <v>2049.77</v>
      </c>
      <c r="AA54" s="310">
        <f t="shared" si="23"/>
        <v>2.7072664775972699E-2</v>
      </c>
      <c r="AB54" s="310">
        <f t="shared" si="24"/>
        <v>0.36389465559459166</v>
      </c>
      <c r="AC54" s="308"/>
    </row>
    <row r="55" spans="1:29">
      <c r="A55" s="184">
        <v>53</v>
      </c>
      <c r="B55" s="1">
        <f t="shared" si="20"/>
        <v>38107</v>
      </c>
      <c r="C55" s="174"/>
      <c r="D55" s="2">
        <v>28705</v>
      </c>
      <c r="E55" s="2">
        <f>D55+Holdings_Old!$E$32</f>
        <v>28705</v>
      </c>
      <c r="F55" s="2">
        <f t="shared" si="25"/>
        <v>-803.45000000000073</v>
      </c>
      <c r="G55" s="188">
        <f t="shared" si="26"/>
        <v>-2.7227794072545386E-2</v>
      </c>
      <c r="H55" s="2">
        <f t="shared" si="27"/>
        <v>5849.1500000000015</v>
      </c>
      <c r="I55" s="188">
        <f t="shared" si="28"/>
        <v>0.25591478768017817</v>
      </c>
      <c r="J55" s="178">
        <f t="shared" si="19"/>
        <v>-6.3442206341577934E-2</v>
      </c>
      <c r="K55" s="174"/>
      <c r="L55" s="287">
        <v>1107.3</v>
      </c>
      <c r="M55" s="188">
        <f t="shared" si="21"/>
        <v>-2.9195160441872647E-2</v>
      </c>
      <c r="N55" s="188">
        <f t="shared" si="0"/>
        <v>0.19054274901083779</v>
      </c>
      <c r="O55" s="305" t="str">
        <f t="shared" si="1"/>
        <v>Yes</v>
      </c>
      <c r="P55" s="304">
        <f t="shared" si="14"/>
        <v>1</v>
      </c>
      <c r="R55" s="178">
        <f t="shared" si="18"/>
        <v>-1.0645207852194583E-3</v>
      </c>
      <c r="S55" s="287">
        <v>10225.57</v>
      </c>
      <c r="T55" s="188">
        <f t="shared" si="22"/>
        <v>-2.3610596552606555E-2</v>
      </c>
      <c r="U55" s="188">
        <f t="shared" si="16"/>
        <v>0.1914192303569513</v>
      </c>
      <c r="V55" s="305" t="str">
        <f t="shared" si="17"/>
        <v>No</v>
      </c>
      <c r="W55" s="304">
        <f t="shared" si="15"/>
        <v>0</v>
      </c>
      <c r="Z55" s="309">
        <v>1920.15</v>
      </c>
      <c r="AA55" s="310">
        <f t="shared" si="23"/>
        <v>-6.3236363104153148E-2</v>
      </c>
      <c r="AB55" s="310">
        <f t="shared" si="24"/>
        <v>0.27764691791759821</v>
      </c>
      <c r="AC55" s="308"/>
    </row>
    <row r="56" spans="1:29">
      <c r="A56" s="184">
        <v>54</v>
      </c>
      <c r="B56" s="1">
        <f t="shared" si="20"/>
        <v>38114</v>
      </c>
      <c r="C56" s="174"/>
      <c r="D56" s="2">
        <v>28710.05</v>
      </c>
      <c r="E56" s="2">
        <f>D56+Holdings_Old!$E$32</f>
        <v>28710.05</v>
      </c>
      <c r="F56" s="2">
        <f t="shared" si="25"/>
        <v>5.0499999999992724</v>
      </c>
      <c r="G56" s="188">
        <f t="shared" si="26"/>
        <v>1.7592753875628198E-4</v>
      </c>
      <c r="H56" s="2">
        <f t="shared" si="27"/>
        <v>5854.2000000000007</v>
      </c>
      <c r="I56" s="188">
        <f t="shared" si="28"/>
        <v>0.25613573767766251</v>
      </c>
      <c r="J56" s="178">
        <f t="shared" si="19"/>
        <v>-6.3277440034036569E-2</v>
      </c>
      <c r="K56" s="174"/>
      <c r="L56" s="287">
        <v>1098.7</v>
      </c>
      <c r="M56" s="188">
        <f t="shared" si="21"/>
        <v>-7.7666395737377991E-3</v>
      </c>
      <c r="N56" s="188">
        <f t="shared" si="0"/>
        <v>0.18129623258214345</v>
      </c>
      <c r="O56" s="305" t="str">
        <f t="shared" si="1"/>
        <v>Yes</v>
      </c>
      <c r="P56" s="304">
        <f t="shared" si="14"/>
        <v>1</v>
      </c>
      <c r="R56" s="178">
        <f t="shared" si="18"/>
        <v>-8.8228926096997062E-3</v>
      </c>
      <c r="S56" s="287">
        <v>10117.34</v>
      </c>
      <c r="T56" s="188">
        <f t="shared" si="22"/>
        <v>-1.058425104908578E-2</v>
      </c>
      <c r="U56" s="188">
        <f t="shared" si="16"/>
        <v>0.1788089501181449</v>
      </c>
      <c r="V56" s="305" t="str">
        <f t="shared" si="17"/>
        <v>Yes</v>
      </c>
      <c r="W56" s="304">
        <f t="shared" si="15"/>
        <v>1</v>
      </c>
      <c r="Z56" s="309">
        <v>1917.96</v>
      </c>
      <c r="AA56" s="310">
        <f t="shared" si="23"/>
        <v>-1.1405358956332323E-3</v>
      </c>
      <c r="AB56" s="310">
        <f t="shared" si="24"/>
        <v>0.27618971574576801</v>
      </c>
      <c r="AC56" s="308"/>
    </row>
    <row r="57" spans="1:29">
      <c r="A57" s="184">
        <v>55</v>
      </c>
      <c r="B57" s="1">
        <f t="shared" si="20"/>
        <v>38121</v>
      </c>
      <c r="C57" s="174"/>
      <c r="D57" s="2">
        <v>28328.43</v>
      </c>
      <c r="E57" s="2">
        <f>D57+Holdings_Old!$E$32</f>
        <v>28328.43</v>
      </c>
      <c r="F57" s="2">
        <f t="shared" si="25"/>
        <v>-381.61999999999898</v>
      </c>
      <c r="G57" s="188">
        <f t="shared" si="26"/>
        <v>-1.3292209522449472E-2</v>
      </c>
      <c r="H57" s="2">
        <f t="shared" si="27"/>
        <v>5472.5800000000017</v>
      </c>
      <c r="I57" s="188">
        <f t="shared" si="28"/>
        <v>0.23943891826381436</v>
      </c>
      <c r="J57" s="178">
        <f t="shared" si="19"/>
        <v>-7.5728552565509366E-2</v>
      </c>
      <c r="K57" s="174"/>
      <c r="L57" s="287">
        <v>1095.7</v>
      </c>
      <c r="M57" s="188">
        <f t="shared" si="21"/>
        <v>-2.7304996814416782E-3</v>
      </c>
      <c r="N57" s="188">
        <f t="shared" si="0"/>
        <v>0.17807070359538968</v>
      </c>
      <c r="O57" s="305" t="str">
        <f t="shared" si="1"/>
        <v>No</v>
      </c>
      <c r="P57" s="304">
        <f t="shared" si="14"/>
        <v>0</v>
      </c>
      <c r="R57" s="178">
        <f t="shared" si="18"/>
        <v>-1.1529301385681312E-2</v>
      </c>
      <c r="S57" s="287">
        <v>10012.870000000001</v>
      </c>
      <c r="T57" s="188">
        <f t="shared" si="22"/>
        <v>-1.0325836632948948E-2</v>
      </c>
      <c r="U57" s="188">
        <f t="shared" si="16"/>
        <v>0.16663676147776685</v>
      </c>
      <c r="V57" s="305" t="str">
        <f t="shared" si="17"/>
        <v>No</v>
      </c>
      <c r="W57" s="304">
        <f t="shared" si="15"/>
        <v>0</v>
      </c>
      <c r="Z57" s="309">
        <v>1904.25</v>
      </c>
      <c r="AA57" s="310">
        <f t="shared" si="23"/>
        <v>-7.1482199837327176E-3</v>
      </c>
      <c r="AB57" s="310">
        <f t="shared" si="24"/>
        <v>0.26706723091663997</v>
      </c>
      <c r="AC57" s="308"/>
    </row>
    <row r="58" spans="1:29">
      <c r="A58" s="184">
        <v>56</v>
      </c>
      <c r="B58" s="1">
        <f t="shared" si="20"/>
        <v>38128</v>
      </c>
      <c r="C58" s="174"/>
      <c r="D58" s="2">
        <v>28432.74</v>
      </c>
      <c r="E58" s="2">
        <f>D58+Holdings_Old!$E$32</f>
        <v>28432.74</v>
      </c>
      <c r="F58" s="2">
        <f t="shared" si="25"/>
        <v>104.31000000000131</v>
      </c>
      <c r="G58" s="188">
        <f t="shared" si="26"/>
        <v>3.6821666431920974E-3</v>
      </c>
      <c r="H58" s="2">
        <f t="shared" si="27"/>
        <v>5576.8900000000031</v>
      </c>
      <c r="I58" s="188">
        <f t="shared" si="28"/>
        <v>0.24400273890491952</v>
      </c>
      <c r="J58" s="178">
        <f t="shared" si="19"/>
        <v>-7.2325231072511209E-2</v>
      </c>
      <c r="K58" s="174"/>
      <c r="L58" s="287">
        <v>1093.56</v>
      </c>
      <c r="M58" s="188">
        <f t="shared" si="21"/>
        <v>-1.9530893492745172E-3</v>
      </c>
      <c r="N58" s="188">
        <f t="shared" si="0"/>
        <v>0.17576982625150506</v>
      </c>
      <c r="O58" s="305" t="str">
        <f t="shared" si="1"/>
        <v>Yes</v>
      </c>
      <c r="P58" s="304">
        <f t="shared" si="14"/>
        <v>1</v>
      </c>
      <c r="R58" s="178">
        <f t="shared" si="18"/>
        <v>-1.3459872979214804E-2</v>
      </c>
      <c r="S58" s="287">
        <v>9966.74</v>
      </c>
      <c r="T58" s="188">
        <f t="shared" si="22"/>
        <v>-4.6070707000092082E-3</v>
      </c>
      <c r="U58" s="188">
        <f t="shared" si="16"/>
        <v>0.16126198343640907</v>
      </c>
      <c r="V58" s="305" t="str">
        <f t="shared" si="17"/>
        <v>Yes</v>
      </c>
      <c r="W58" s="304">
        <f t="shared" si="15"/>
        <v>1</v>
      </c>
      <c r="Z58" s="309">
        <v>1912.09</v>
      </c>
      <c r="AA58" s="310">
        <f t="shared" si="23"/>
        <v>4.1171064723644069E-3</v>
      </c>
      <c r="AB58" s="310">
        <f t="shared" si="24"/>
        <v>0.27228388161396766</v>
      </c>
      <c r="AC58" s="308"/>
    </row>
    <row r="59" spans="1:29">
      <c r="A59" s="184">
        <v>57</v>
      </c>
      <c r="B59" s="1">
        <f t="shared" si="20"/>
        <v>38135</v>
      </c>
      <c r="C59" s="174"/>
      <c r="D59" s="2">
        <v>29146.29</v>
      </c>
      <c r="E59" s="2">
        <f>D59+Holdings_Old!$E$32</f>
        <v>29146.29</v>
      </c>
      <c r="F59" s="2">
        <f t="shared" si="25"/>
        <v>713.54999999999927</v>
      </c>
      <c r="G59" s="188">
        <f t="shared" si="26"/>
        <v>2.5096068827696438E-2</v>
      </c>
      <c r="H59" s="2">
        <f t="shared" si="27"/>
        <v>6290.4400000000023</v>
      </c>
      <c r="I59" s="188">
        <f t="shared" si="28"/>
        <v>0.27522231726232027</v>
      </c>
      <c r="J59" s="178">
        <f t="shared" si="19"/>
        <v>-4.904424122178952E-2</v>
      </c>
      <c r="K59" s="174"/>
      <c r="L59" s="287">
        <v>1120.68</v>
      </c>
      <c r="M59" s="188">
        <f t="shared" si="21"/>
        <v>2.4799736639965042E-2</v>
      </c>
      <c r="N59" s="188">
        <f t="shared" si="0"/>
        <v>0.20492860829175985</v>
      </c>
      <c r="O59" s="305" t="str">
        <f t="shared" si="1"/>
        <v>Yes</v>
      </c>
      <c r="P59" s="304">
        <f t="shared" si="14"/>
        <v>1</v>
      </c>
      <c r="R59" s="178">
        <f t="shared" si="18"/>
        <v>1.1006062355658264E-2</v>
      </c>
      <c r="S59" s="287">
        <v>10188.450000000001</v>
      </c>
      <c r="T59" s="188">
        <f t="shared" si="22"/>
        <v>2.2244986826184032E-2</v>
      </c>
      <c r="U59" s="188">
        <f t="shared" si="16"/>
        <v>0.18709424095970029</v>
      </c>
      <c r="V59" s="305" t="str">
        <f t="shared" si="17"/>
        <v>Yes</v>
      </c>
      <c r="W59" s="304">
        <f t="shared" si="15"/>
        <v>1</v>
      </c>
      <c r="Z59" s="309">
        <v>1986.74</v>
      </c>
      <c r="AA59" s="310">
        <f t="shared" si="23"/>
        <v>3.9041049322992238E-2</v>
      </c>
      <c r="AB59" s="310">
        <f t="shared" si="24"/>
        <v>0.32195517938890661</v>
      </c>
      <c r="AC59" s="308"/>
    </row>
    <row r="60" spans="1:29">
      <c r="A60" s="184">
        <v>58</v>
      </c>
      <c r="B60" s="1">
        <f t="shared" si="20"/>
        <v>38142</v>
      </c>
      <c r="C60" s="174"/>
      <c r="D60" s="2">
        <v>29264.76</v>
      </c>
      <c r="E60" s="2">
        <f>D60+Holdings_Old!$E$32</f>
        <v>29264.76</v>
      </c>
      <c r="F60" s="2">
        <f t="shared" si="25"/>
        <v>118.46999999999753</v>
      </c>
      <c r="G60" s="188">
        <f t="shared" si="26"/>
        <v>4.0646682648115551E-3</v>
      </c>
      <c r="H60" s="2">
        <f t="shared" si="27"/>
        <v>6408.91</v>
      </c>
      <c r="I60" s="188">
        <f t="shared" si="28"/>
        <v>0.28040567294587593</v>
      </c>
      <c r="J60" s="178">
        <f t="shared" si="19"/>
        <v>-4.5178921527843752E-2</v>
      </c>
      <c r="K60" s="174"/>
      <c r="L60" s="287">
        <v>1122.5</v>
      </c>
      <c r="M60" s="188">
        <f t="shared" si="21"/>
        <v>1.6240139915051355E-3</v>
      </c>
      <c r="N60" s="188">
        <f t="shared" si="0"/>
        <v>0.20688542921039055</v>
      </c>
      <c r="O60" s="305" t="str">
        <f t="shared" si="1"/>
        <v>Yes</v>
      </c>
      <c r="P60" s="304">
        <f t="shared" si="14"/>
        <v>1</v>
      </c>
      <c r="R60" s="178">
        <f t="shared" si="18"/>
        <v>1.26479503464203E-2</v>
      </c>
      <c r="S60" s="287">
        <v>10242.82</v>
      </c>
      <c r="T60" s="188">
        <f t="shared" si="22"/>
        <v>5.3364348845996723E-3</v>
      </c>
      <c r="U60" s="188">
        <f t="shared" si="16"/>
        <v>0.19342909207846493</v>
      </c>
      <c r="V60" s="305" t="str">
        <f t="shared" si="17"/>
        <v>No</v>
      </c>
      <c r="W60" s="304">
        <f t="shared" si="15"/>
        <v>0</v>
      </c>
      <c r="Z60" s="309">
        <v>1978.62</v>
      </c>
      <c r="AA60" s="310">
        <f t="shared" si="23"/>
        <v>-4.0870974561342255E-3</v>
      </c>
      <c r="AB60" s="310">
        <f t="shared" si="24"/>
        <v>0.31655221973810277</v>
      </c>
      <c r="AC60" s="308"/>
    </row>
    <row r="61" spans="1:29">
      <c r="A61" s="184">
        <v>59</v>
      </c>
      <c r="B61" s="1">
        <f t="shared" si="20"/>
        <v>38149</v>
      </c>
      <c r="C61" s="174"/>
      <c r="D61" s="2">
        <v>29535.200000000001</v>
      </c>
      <c r="E61" s="2">
        <f>D61+Holdings_Old!$E$32</f>
        <v>29535.200000000001</v>
      </c>
      <c r="F61" s="2">
        <f t="shared" si="25"/>
        <v>270.44000000000233</v>
      </c>
      <c r="G61" s="188">
        <f t="shared" si="26"/>
        <v>9.2411487399863823E-3</v>
      </c>
      <c r="H61" s="2">
        <f t="shared" si="27"/>
        <v>6679.3500000000022</v>
      </c>
      <c r="I61" s="188">
        <f t="shared" si="28"/>
        <v>0.29223809221709107</v>
      </c>
      <c r="J61" s="178">
        <f t="shared" si="19"/>
        <v>-3.635527792160842E-2</v>
      </c>
      <c r="K61" s="174"/>
      <c r="L61" s="287">
        <v>1136.47</v>
      </c>
      <c r="M61" s="188">
        <f t="shared" si="21"/>
        <v>1.2445434298441027E-2</v>
      </c>
      <c r="N61" s="188">
        <f t="shared" si="0"/>
        <v>0.22190564252537404</v>
      </c>
      <c r="O61" s="305" t="str">
        <f t="shared" si="1"/>
        <v>No</v>
      </c>
      <c r="P61" s="304">
        <f t="shared" si="14"/>
        <v>0</v>
      </c>
      <c r="R61" s="178">
        <f t="shared" si="18"/>
        <v>2.5250793879907585E-2</v>
      </c>
      <c r="S61" s="287">
        <v>10410.1</v>
      </c>
      <c r="T61" s="188">
        <f t="shared" si="22"/>
        <v>1.6331439974538231E-2</v>
      </c>
      <c r="U61" s="188">
        <f t="shared" si="16"/>
        <v>0.21291950765961221</v>
      </c>
      <c r="V61" s="305" t="str">
        <f t="shared" si="17"/>
        <v>No</v>
      </c>
      <c r="W61" s="304">
        <f t="shared" si="15"/>
        <v>0</v>
      </c>
      <c r="Z61" s="309">
        <v>1999.87</v>
      </c>
      <c r="AA61" s="310">
        <f t="shared" si="23"/>
        <v>1.0739808553436259E-2</v>
      </c>
      <c r="AB61" s="310">
        <f t="shared" si="24"/>
        <v>0.33069173852869138</v>
      </c>
      <c r="AC61" s="308"/>
    </row>
    <row r="62" spans="1:29">
      <c r="A62" s="184">
        <v>60</v>
      </c>
      <c r="B62" s="1">
        <f t="shared" si="20"/>
        <v>38156</v>
      </c>
      <c r="C62" s="174"/>
      <c r="D62" s="2">
        <v>29479.62</v>
      </c>
      <c r="E62" s="2">
        <f>D62+Holdings_Old!$E$32</f>
        <v>29479.62</v>
      </c>
      <c r="F62" s="2">
        <f t="shared" si="25"/>
        <v>-55.580000000001746</v>
      </c>
      <c r="G62" s="188">
        <f t="shared" si="26"/>
        <v>-1.8818223678864765E-3</v>
      </c>
      <c r="H62" s="2">
        <f t="shared" si="27"/>
        <v>6623.77</v>
      </c>
      <c r="I62" s="188">
        <f t="shared" si="28"/>
        <v>0.289806329670522</v>
      </c>
      <c r="J62" s="178">
        <f t="shared" si="19"/>
        <v>-3.8168686114311345E-2</v>
      </c>
      <c r="K62" s="174"/>
      <c r="L62" s="287">
        <v>1135.02</v>
      </c>
      <c r="M62" s="188">
        <f t="shared" si="21"/>
        <v>-1.2758805775779924E-3</v>
      </c>
      <c r="N62" s="188">
        <f t="shared" si="0"/>
        <v>0.22034663684844302</v>
      </c>
      <c r="O62" s="305" t="str">
        <f t="shared" si="1"/>
        <v>No</v>
      </c>
      <c r="P62" s="304">
        <f t="shared" si="14"/>
        <v>0</v>
      </c>
      <c r="R62" s="178">
        <f t="shared" si="18"/>
        <v>2.3942696304849909E-2</v>
      </c>
      <c r="S62" s="287">
        <v>10416.41</v>
      </c>
      <c r="T62" s="188">
        <f t="shared" si="22"/>
        <v>6.0614211198739554E-4</v>
      </c>
      <c r="U62" s="188">
        <f t="shared" si="16"/>
        <v>0.21365470925165564</v>
      </c>
      <c r="V62" s="305" t="str">
        <f t="shared" si="17"/>
        <v>No</v>
      </c>
      <c r="W62" s="304">
        <f t="shared" si="15"/>
        <v>0</v>
      </c>
      <c r="Z62" s="309">
        <v>1986.73</v>
      </c>
      <c r="AA62" s="310">
        <f t="shared" si="23"/>
        <v>-6.5704270777600104E-3</v>
      </c>
      <c r="AB62" s="310">
        <f t="shared" si="24"/>
        <v>0.32194852549771102</v>
      </c>
      <c r="AC62" s="308"/>
    </row>
    <row r="63" spans="1:29">
      <c r="A63" s="184">
        <v>61</v>
      </c>
      <c r="B63" s="1">
        <f t="shared" si="20"/>
        <v>38163</v>
      </c>
      <c r="C63" s="174"/>
      <c r="D63" s="2">
        <v>29886.83</v>
      </c>
      <c r="E63" s="2">
        <f>D63+Holdings_Old!$E$32</f>
        <v>29886.83</v>
      </c>
      <c r="F63" s="2">
        <f t="shared" si="25"/>
        <v>407.21000000000276</v>
      </c>
      <c r="G63" s="188">
        <f t="shared" si="26"/>
        <v>1.3813271677179051E-2</v>
      </c>
      <c r="H63" s="2">
        <f t="shared" si="27"/>
        <v>7030.9800000000032</v>
      </c>
      <c r="I63" s="188">
        <f t="shared" si="28"/>
        <v>0.30762277491320611</v>
      </c>
      <c r="J63" s="178">
        <f t="shared" si="19"/>
        <v>-2.4882648867990187E-2</v>
      </c>
      <c r="K63" s="174"/>
      <c r="L63" s="287">
        <v>1134.43</v>
      </c>
      <c r="M63" s="188">
        <f t="shared" si="21"/>
        <v>-5.198146288170058E-4</v>
      </c>
      <c r="N63" s="188">
        <f t="shared" si="0"/>
        <v>0.2197122828143816</v>
      </c>
      <c r="O63" s="305" t="str">
        <f t="shared" si="1"/>
        <v>Yes</v>
      </c>
      <c r="P63" s="304">
        <f t="shared" si="14"/>
        <v>1</v>
      </c>
      <c r="R63" s="178">
        <f t="shared" si="18"/>
        <v>2.3410435912240235E-2</v>
      </c>
      <c r="S63" s="287">
        <v>10371.84</v>
      </c>
      <c r="T63" s="188">
        <f t="shared" si="22"/>
        <v>-4.2788254302585926E-3</v>
      </c>
      <c r="U63" s="188">
        <f t="shared" si="16"/>
        <v>0.20846169261815661</v>
      </c>
      <c r="V63" s="305" t="str">
        <f t="shared" si="17"/>
        <v>Yes</v>
      </c>
      <c r="W63" s="304">
        <f t="shared" si="15"/>
        <v>1</v>
      </c>
      <c r="Z63" s="309">
        <v>2025.47</v>
      </c>
      <c r="AA63" s="310">
        <f t="shared" si="23"/>
        <v>1.9499378375521514E-2</v>
      </c>
      <c r="AB63" s="310">
        <f t="shared" si="24"/>
        <v>0.34772569998935365</v>
      </c>
      <c r="AC63" s="308"/>
    </row>
    <row r="64" spans="1:29">
      <c r="A64" s="184">
        <v>62</v>
      </c>
      <c r="B64" s="1">
        <f t="shared" si="20"/>
        <v>38170</v>
      </c>
      <c r="C64" s="174"/>
      <c r="D64" s="2">
        <v>29597.52</v>
      </c>
      <c r="E64" s="2">
        <f>D64+Holdings_Old!$E$32</f>
        <v>29597.52</v>
      </c>
      <c r="F64" s="2">
        <f t="shared" si="25"/>
        <v>-289.31000000000131</v>
      </c>
      <c r="G64" s="188">
        <f t="shared" si="26"/>
        <v>-9.6801835457290819E-3</v>
      </c>
      <c r="H64" s="2">
        <f t="shared" si="27"/>
        <v>6741.6700000000019</v>
      </c>
      <c r="I64" s="188">
        <f t="shared" si="28"/>
        <v>0.29496474644347082</v>
      </c>
      <c r="J64" s="178">
        <f t="shared" si="19"/>
        <v>-3.4321963805573175E-2</v>
      </c>
      <c r="K64" s="174"/>
      <c r="L64" s="287">
        <v>1125.3800000000001</v>
      </c>
      <c r="M64" s="188">
        <f t="shared" si="21"/>
        <v>-7.9775746410091219E-3</v>
      </c>
      <c r="N64" s="188">
        <f t="shared" si="0"/>
        <v>0.20998193703767432</v>
      </c>
      <c r="O64" s="305" t="str">
        <f t="shared" si="1"/>
        <v>No</v>
      </c>
      <c r="P64" s="304">
        <f t="shared" si="14"/>
        <v>0</v>
      </c>
      <c r="R64" s="178">
        <f t="shared" si="18"/>
        <v>1.5246102771362624E-2</v>
      </c>
      <c r="S64" s="287">
        <v>10282.83</v>
      </c>
      <c r="T64" s="188">
        <f t="shared" si="22"/>
        <v>-8.5818909663087917E-3</v>
      </c>
      <c r="U64" s="188">
        <f t="shared" si="16"/>
        <v>0.19809080613514651</v>
      </c>
      <c r="V64" s="305" t="str">
        <f t="shared" si="17"/>
        <v>No</v>
      </c>
      <c r="W64" s="304">
        <f t="shared" si="15"/>
        <v>0</v>
      </c>
      <c r="Z64" s="309">
        <v>2006.66</v>
      </c>
      <c r="AA64" s="310">
        <f t="shared" si="23"/>
        <v>-9.2867334495203568E-3</v>
      </c>
      <c r="AB64" s="310">
        <f t="shared" si="24"/>
        <v>0.33520973065048443</v>
      </c>
      <c r="AC64" s="308"/>
    </row>
    <row r="65" spans="1:29">
      <c r="A65" s="184">
        <v>63</v>
      </c>
      <c r="B65" s="1">
        <f t="shared" si="20"/>
        <v>38177</v>
      </c>
      <c r="C65" s="174"/>
      <c r="D65" s="2">
        <v>29302.639999999999</v>
      </c>
      <c r="E65" s="2">
        <f>D65+Holdings_Old!$E$32</f>
        <v>29302.639999999999</v>
      </c>
      <c r="F65" s="2">
        <f t="shared" si="25"/>
        <v>-294.88000000000102</v>
      </c>
      <c r="G65" s="188">
        <f t="shared" si="26"/>
        <v>-9.9629968997402285E-3</v>
      </c>
      <c r="H65" s="2">
        <f t="shared" si="27"/>
        <v>6446.7900000000009</v>
      </c>
      <c r="I65" s="188">
        <f t="shared" si="28"/>
        <v>0.28206301668938161</v>
      </c>
      <c r="J65" s="178">
        <f t="shared" si="19"/>
        <v>-4.3943011086325479E-2</v>
      </c>
      <c r="K65" s="174"/>
      <c r="L65" s="287">
        <v>1112.81</v>
      </c>
      <c r="M65" s="188">
        <f t="shared" si="21"/>
        <v>-1.1169560504007636E-2</v>
      </c>
      <c r="N65" s="188">
        <f t="shared" si="0"/>
        <v>0.19646697058317564</v>
      </c>
      <c r="O65" s="305" t="str">
        <f t="shared" si="1"/>
        <v>Yes</v>
      </c>
      <c r="P65" s="304">
        <f t="shared" si="14"/>
        <v>1</v>
      </c>
      <c r="R65" s="178">
        <f t="shared" si="18"/>
        <v>3.90625E-3</v>
      </c>
      <c r="S65" s="287">
        <v>10213.219999999999</v>
      </c>
      <c r="T65" s="188">
        <f t="shared" si="22"/>
        <v>-6.7695371799397774E-3</v>
      </c>
      <c r="U65" s="188">
        <f t="shared" si="16"/>
        <v>0.18998028587807059</v>
      </c>
      <c r="V65" s="305" t="str">
        <f t="shared" si="17"/>
        <v>No</v>
      </c>
      <c r="W65" s="304">
        <f t="shared" si="15"/>
        <v>0</v>
      </c>
      <c r="Z65" s="309">
        <v>1946.33</v>
      </c>
      <c r="AA65" s="310">
        <f t="shared" si="23"/>
        <v>-3.0064883936491538E-2</v>
      </c>
      <c r="AB65" s="310">
        <f t="shared" si="24"/>
        <v>0.2950668050676033</v>
      </c>
      <c r="AC65" s="308"/>
    </row>
    <row r="66" spans="1:29">
      <c r="A66" s="184">
        <v>64</v>
      </c>
      <c r="B66" s="1">
        <f t="shared" si="20"/>
        <v>38184</v>
      </c>
      <c r="C66" s="174"/>
      <c r="D66" s="2">
        <v>28749.51</v>
      </c>
      <c r="E66" s="2">
        <f>D66+Holdings_Old!$E$32</f>
        <v>28749.51</v>
      </c>
      <c r="F66" s="2">
        <f t="shared" si="25"/>
        <v>-553.13000000000102</v>
      </c>
      <c r="G66" s="188">
        <f t="shared" si="26"/>
        <v>-1.887645618278766E-2</v>
      </c>
      <c r="H66" s="2">
        <f t="shared" si="27"/>
        <v>5893.66</v>
      </c>
      <c r="I66" s="188">
        <f t="shared" si="28"/>
        <v>0.25786221033127177</v>
      </c>
      <c r="J66" s="178">
        <f t="shared" si="19"/>
        <v>-6.1989978945802382E-2</v>
      </c>
      <c r="K66" s="174"/>
      <c r="L66" s="287">
        <v>1101.3900000000001</v>
      </c>
      <c r="M66" s="188">
        <f t="shared" si="21"/>
        <v>-1.0262308929646413E-2</v>
      </c>
      <c r="N66" s="188">
        <f t="shared" si="0"/>
        <v>0.18418845690693275</v>
      </c>
      <c r="O66" s="305" t="str">
        <f t="shared" si="1"/>
        <v>No</v>
      </c>
      <c r="P66" s="304">
        <f t="shared" si="14"/>
        <v>0</v>
      </c>
      <c r="R66" s="178">
        <f t="shared" si="18"/>
        <v>-6.3961460739029308E-3</v>
      </c>
      <c r="S66" s="287">
        <v>10139.780000000001</v>
      </c>
      <c r="T66" s="188">
        <f t="shared" si="22"/>
        <v>-7.1906803143375608E-3</v>
      </c>
      <c r="U66" s="188">
        <f t="shared" si="16"/>
        <v>0.18142351806195745</v>
      </c>
      <c r="V66" s="305" t="str">
        <f t="shared" si="17"/>
        <v>No</v>
      </c>
      <c r="W66" s="304">
        <f t="shared" si="15"/>
        <v>0</v>
      </c>
      <c r="Z66" s="309">
        <v>1883.15</v>
      </c>
      <c r="AA66" s="310">
        <f t="shared" si="23"/>
        <v>-3.2461093442530231E-2</v>
      </c>
      <c r="AB66" s="310">
        <f t="shared" si="24"/>
        <v>0.25302752049398491</v>
      </c>
      <c r="AC66" s="308"/>
    </row>
    <row r="67" spans="1:29">
      <c r="A67" s="184">
        <v>65</v>
      </c>
      <c r="B67" s="1">
        <f t="shared" si="20"/>
        <v>38191</v>
      </c>
      <c r="C67" s="174"/>
      <c r="D67" s="2">
        <v>28311.7</v>
      </c>
      <c r="E67" s="2">
        <f>D67+Holdings_Old!$E$32</f>
        <v>28311.7</v>
      </c>
      <c r="F67" s="2">
        <f t="shared" si="25"/>
        <v>-437.80999999999767</v>
      </c>
      <c r="G67" s="188">
        <f t="shared" si="26"/>
        <v>-1.5228433458517987E-2</v>
      </c>
      <c r="H67" s="2">
        <f t="shared" si="27"/>
        <v>5455.8500000000022</v>
      </c>
      <c r="I67" s="188">
        <f t="shared" si="28"/>
        <v>0.23870693936125775</v>
      </c>
      <c r="J67" s="178">
        <f t="shared" si="19"/>
        <v>-7.6274402134849373E-2</v>
      </c>
      <c r="K67" s="174"/>
      <c r="L67" s="287">
        <v>1086.2</v>
      </c>
      <c r="M67" s="188">
        <f t="shared" si="21"/>
        <v>-1.3791663261878195E-2</v>
      </c>
      <c r="N67" s="188">
        <f t="shared" si="0"/>
        <v>0.16785652847066923</v>
      </c>
      <c r="O67" s="305" t="str">
        <f t="shared" si="1"/>
        <v>No</v>
      </c>
      <c r="P67" s="304">
        <f t="shared" si="14"/>
        <v>0</v>
      </c>
      <c r="R67" s="178">
        <f t="shared" si="18"/>
        <v>-2.0099595842956064E-2</v>
      </c>
      <c r="S67" s="287">
        <v>9962.2199999999993</v>
      </c>
      <c r="T67" s="188">
        <f t="shared" si="22"/>
        <v>-1.7511228054257755E-2</v>
      </c>
      <c r="U67" s="188">
        <f t="shared" si="16"/>
        <v>0.16073534140851087</v>
      </c>
      <c r="V67" s="305" t="str">
        <f t="shared" si="17"/>
        <v>Yes</v>
      </c>
      <c r="W67" s="304">
        <f t="shared" si="15"/>
        <v>1</v>
      </c>
      <c r="Z67" s="309">
        <v>1849.09</v>
      </c>
      <c r="AA67" s="310">
        <f t="shared" si="23"/>
        <v>-1.8086716406021885E-2</v>
      </c>
      <c r="AB67" s="310">
        <f t="shared" si="24"/>
        <v>0.23036436708186936</v>
      </c>
      <c r="AC67" s="308"/>
    </row>
    <row r="68" spans="1:29">
      <c r="A68" s="184">
        <v>66</v>
      </c>
      <c r="B68" s="1">
        <f t="shared" si="20"/>
        <v>38198</v>
      </c>
      <c r="C68" s="174"/>
      <c r="D68" s="2">
        <v>28792.53</v>
      </c>
      <c r="E68" s="2">
        <f>D68+Holdings_Old!$E$32</f>
        <v>28792.53</v>
      </c>
      <c r="F68" s="2">
        <f t="shared" si="25"/>
        <v>480.82999999999811</v>
      </c>
      <c r="G68" s="188">
        <f t="shared" si="26"/>
        <v>1.6983437942617252E-2</v>
      </c>
      <c r="H68" s="2">
        <f t="shared" si="27"/>
        <v>5936.68</v>
      </c>
      <c r="I68" s="188">
        <f t="shared" si="28"/>
        <v>0.25974444179498901</v>
      </c>
      <c r="J68" s="178">
        <f t="shared" si="19"/>
        <v>-6.0586365767499428E-2</v>
      </c>
      <c r="K68" s="174"/>
      <c r="L68" s="287">
        <v>1101.72</v>
      </c>
      <c r="M68" s="188">
        <f t="shared" si="21"/>
        <v>1.4288344687902743E-2</v>
      </c>
      <c r="N68" s="188">
        <f t="shared" ref="N68:N131" si="29">(L68/$L$3)-1</f>
        <v>0.18454326509547569</v>
      </c>
      <c r="O68" s="305" t="str">
        <f t="shared" ref="O68:O131" si="30">IF(G68&gt;M68,"Yes","No")</f>
        <v>Yes</v>
      </c>
      <c r="P68" s="304">
        <f t="shared" si="14"/>
        <v>1</v>
      </c>
      <c r="R68" s="178">
        <f t="shared" si="18"/>
        <v>-6.0984411085450718E-3</v>
      </c>
      <c r="S68" s="287">
        <v>10139.709999999999</v>
      </c>
      <c r="T68" s="188">
        <f t="shared" si="22"/>
        <v>1.7816310019252768E-2</v>
      </c>
      <c r="U68" s="188">
        <f t="shared" ref="U68:U99" si="31">(S68/$S$3)-1</f>
        <v>0.18141536210134812</v>
      </c>
      <c r="V68" s="305" t="str">
        <f t="shared" ref="V68:V99" si="32">IF(G68&gt;T68,"Yes","No")</f>
        <v>No</v>
      </c>
      <c r="W68" s="304">
        <f t="shared" si="15"/>
        <v>0</v>
      </c>
      <c r="Z68" s="309">
        <v>1887.36</v>
      </c>
      <c r="AA68" s="310">
        <f t="shared" si="23"/>
        <v>2.0696667009177494E-2</v>
      </c>
      <c r="AB68" s="310">
        <f t="shared" si="24"/>
        <v>0.25582880868732016</v>
      </c>
      <c r="AC68" s="308"/>
    </row>
    <row r="69" spans="1:29">
      <c r="A69" s="184">
        <v>67</v>
      </c>
      <c r="B69" s="1">
        <f t="shared" si="20"/>
        <v>38205</v>
      </c>
      <c r="C69" s="174"/>
      <c r="D69" s="2">
        <v>27961.47</v>
      </c>
      <c r="E69" s="2">
        <f>D69+Holdings_Old!$E$32</f>
        <v>27961.47</v>
      </c>
      <c r="F69" s="2">
        <f t="shared" si="25"/>
        <v>-831.05999999999767</v>
      </c>
      <c r="G69" s="188">
        <f t="shared" si="26"/>
        <v>-2.8863736531662854E-2</v>
      </c>
      <c r="H69" s="2">
        <f t="shared" si="27"/>
        <v>5105.6200000000026</v>
      </c>
      <c r="I69" s="188">
        <f t="shared" si="28"/>
        <v>0.22338351012979185</v>
      </c>
      <c r="J69" s="178">
        <f t="shared" si="19"/>
        <v>-8.7701353400238213E-2</v>
      </c>
      <c r="K69" s="174"/>
      <c r="L69" s="287">
        <v>1063.97</v>
      </c>
      <c r="M69" s="188">
        <f t="shared" si="21"/>
        <v>-3.4264604436698987E-2</v>
      </c>
      <c r="N69" s="188">
        <f t="shared" si="29"/>
        <v>0.14395535867882336</v>
      </c>
      <c r="O69" s="305" t="str">
        <f t="shared" si="30"/>
        <v>Yes</v>
      </c>
      <c r="P69" s="304">
        <f t="shared" si="14"/>
        <v>1</v>
      </c>
      <c r="R69" s="178">
        <f t="shared" si="18"/>
        <v>-4.0154084872979223E-2</v>
      </c>
      <c r="S69" s="287">
        <v>9815.33</v>
      </c>
      <c r="T69" s="188">
        <f t="shared" si="22"/>
        <v>-3.199105299855709E-2</v>
      </c>
      <c r="U69" s="188">
        <f t="shared" si="31"/>
        <v>0.14362064063905433</v>
      </c>
      <c r="V69" s="305" t="str">
        <f t="shared" si="32"/>
        <v>Yes</v>
      </c>
      <c r="W69" s="304">
        <f t="shared" si="15"/>
        <v>1</v>
      </c>
      <c r="Z69" s="309">
        <v>1776.89</v>
      </c>
      <c r="AA69" s="310">
        <f t="shared" si="23"/>
        <v>-5.8531493726686867E-2</v>
      </c>
      <c r="AB69" s="310">
        <f t="shared" si="24"/>
        <v>0.1823232726498456</v>
      </c>
      <c r="AC69" s="308"/>
    </row>
    <row r="70" spans="1:29">
      <c r="A70" s="184">
        <v>68</v>
      </c>
      <c r="B70" s="1">
        <f t="shared" si="20"/>
        <v>38212</v>
      </c>
      <c r="C70" s="174"/>
      <c r="D70" s="2">
        <v>27243.27</v>
      </c>
      <c r="E70" s="2">
        <f>D70+SUM(Holdings_Old!$E$32:$E$33)</f>
        <v>27243.27</v>
      </c>
      <c r="F70" s="2">
        <f t="shared" si="25"/>
        <v>-718.20000000000073</v>
      </c>
      <c r="G70" s="188">
        <f t="shared" si="26"/>
        <v>-2.5685344869207594E-2</v>
      </c>
      <c r="H70" s="2">
        <f t="shared" si="27"/>
        <v>4387.4200000000019</v>
      </c>
      <c r="I70" s="188">
        <f t="shared" si="28"/>
        <v>0.19196048276480648</v>
      </c>
      <c r="J70" s="178">
        <f t="shared" si="19"/>
        <v>-0.11113405876186444</v>
      </c>
      <c r="K70" s="174"/>
      <c r="L70" s="287">
        <v>1064.8</v>
      </c>
      <c r="M70" s="188">
        <f t="shared" si="21"/>
        <v>7.8009718319127508E-4</v>
      </c>
      <c r="N70" s="188">
        <f t="shared" si="29"/>
        <v>0.14484775503182501</v>
      </c>
      <c r="O70" s="305" t="str">
        <f t="shared" si="30"/>
        <v>No</v>
      </c>
      <c r="P70" s="304">
        <f t="shared" ref="P70:P133" si="33">IF(O70="Yes",1,0)</f>
        <v>0</v>
      </c>
      <c r="R70" s="178">
        <f t="shared" si="18"/>
        <v>-3.9405311778291097E-2</v>
      </c>
      <c r="S70" s="287">
        <v>9825.35</v>
      </c>
      <c r="T70" s="188">
        <f t="shared" si="22"/>
        <v>1.0208520752741368E-3</v>
      </c>
      <c r="U70" s="188">
        <f t="shared" si="31"/>
        <v>0.14478810814337706</v>
      </c>
      <c r="V70" s="305" t="str">
        <f t="shared" si="32"/>
        <v>No</v>
      </c>
      <c r="W70" s="304">
        <f t="shared" ref="W70:W133" si="34">IF(V70="Yes",1,0)</f>
        <v>0</v>
      </c>
      <c r="Z70" s="309">
        <v>1757.22</v>
      </c>
      <c r="AA70" s="310">
        <f t="shared" si="23"/>
        <v>-1.1069903032827066E-2</v>
      </c>
      <c r="AB70" s="310">
        <f t="shared" si="24"/>
        <v>0.16923506866815696</v>
      </c>
      <c r="AC70" s="308"/>
    </row>
    <row r="71" spans="1:29">
      <c r="A71" s="184">
        <v>69</v>
      </c>
      <c r="B71" s="1">
        <f t="shared" si="20"/>
        <v>38219</v>
      </c>
      <c r="C71" s="174"/>
      <c r="D71" s="2">
        <v>28005.919999999998</v>
      </c>
      <c r="E71" s="2">
        <f>D71+SUM(Holdings_Old!$E$32:$E$33)</f>
        <v>28005.919999999998</v>
      </c>
      <c r="F71" s="2">
        <f t="shared" si="25"/>
        <v>762.64999999999782</v>
      </c>
      <c r="G71" s="188">
        <f t="shared" si="26"/>
        <v>2.7994069728046522E-2</v>
      </c>
      <c r="H71" s="2">
        <f t="shared" si="27"/>
        <v>5150.07</v>
      </c>
      <c r="I71" s="188">
        <f t="shared" si="28"/>
        <v>0.22532830763240042</v>
      </c>
      <c r="J71" s="178">
        <f t="shared" si="19"/>
        <v>-8.6251083623958391E-2</v>
      </c>
      <c r="K71" s="174"/>
      <c r="L71" s="287">
        <v>1098.3499999999999</v>
      </c>
      <c r="M71" s="188">
        <f t="shared" si="21"/>
        <v>3.1508264462809965E-2</v>
      </c>
      <c r="N71" s="188">
        <f t="shared" si="29"/>
        <v>0.18091992086702202</v>
      </c>
      <c r="O71" s="305" t="str">
        <f t="shared" si="30"/>
        <v>No</v>
      </c>
      <c r="P71" s="304">
        <f t="shared" si="33"/>
        <v>0</v>
      </c>
      <c r="R71" s="178">
        <f t="shared" si="18"/>
        <v>-9.1386403002310379E-3</v>
      </c>
      <c r="S71" s="287">
        <v>10110.14</v>
      </c>
      <c r="T71" s="188">
        <f t="shared" si="22"/>
        <v>2.8985226989369339E-2</v>
      </c>
      <c r="U71" s="188">
        <f t="shared" si="31"/>
        <v>0.17797005131264343</v>
      </c>
      <c r="V71" s="305" t="str">
        <f t="shared" si="32"/>
        <v>No</v>
      </c>
      <c r="W71" s="304">
        <f t="shared" si="34"/>
        <v>0</v>
      </c>
      <c r="Z71" s="309">
        <v>1838.02</v>
      </c>
      <c r="AA71" s="310">
        <f t="shared" si="23"/>
        <v>4.5981721127690278E-2</v>
      </c>
      <c r="AB71" s="310">
        <f t="shared" si="24"/>
        <v>0.22299850952837219</v>
      </c>
      <c r="AC71" s="308"/>
    </row>
    <row r="72" spans="1:29">
      <c r="A72" s="184">
        <v>70</v>
      </c>
      <c r="B72" s="1">
        <f t="shared" si="20"/>
        <v>38226</v>
      </c>
      <c r="C72" s="174"/>
      <c r="D72" s="2">
        <v>28262.67</v>
      </c>
      <c r="E72" s="2">
        <f>D72+SUM(Holdings_Old!$E$32:$E$33)</f>
        <v>28262.67</v>
      </c>
      <c r="F72" s="2">
        <f t="shared" si="25"/>
        <v>256.75</v>
      </c>
      <c r="G72" s="188">
        <f t="shared" si="26"/>
        <v>9.1677045424680692E-3</v>
      </c>
      <c r="H72" s="2">
        <f t="shared" si="27"/>
        <v>5406.82</v>
      </c>
      <c r="I72" s="188">
        <f t="shared" si="28"/>
        <v>0.23656175552429692</v>
      </c>
      <c r="J72" s="178">
        <f t="shared" si="19"/>
        <v>-7.7874103532622363E-2</v>
      </c>
      <c r="K72" s="174"/>
      <c r="L72" s="287">
        <v>1107.77</v>
      </c>
      <c r="M72" s="188">
        <f t="shared" si="21"/>
        <v>8.5765011153093873E-3</v>
      </c>
      <c r="N72" s="188">
        <f t="shared" si="29"/>
        <v>0.19104808188542921</v>
      </c>
      <c r="O72" s="305" t="str">
        <f t="shared" si="30"/>
        <v>Yes</v>
      </c>
      <c r="P72" s="304">
        <f t="shared" si="33"/>
        <v>1</v>
      </c>
      <c r="R72" s="178">
        <f t="shared" si="18"/>
        <v>-6.4051674364895561E-4</v>
      </c>
      <c r="S72" s="287">
        <v>10195.01</v>
      </c>
      <c r="T72" s="188">
        <f t="shared" si="22"/>
        <v>8.3945425088081116E-3</v>
      </c>
      <c r="U72" s="188">
        <f t="shared" si="31"/>
        <v>0.18785857098249026</v>
      </c>
      <c r="V72" s="305" t="str">
        <f t="shared" si="32"/>
        <v>Yes</v>
      </c>
      <c r="W72" s="304">
        <f t="shared" si="34"/>
        <v>1</v>
      </c>
      <c r="Z72" s="309">
        <v>1862.09</v>
      </c>
      <c r="AA72" s="310">
        <f t="shared" si="23"/>
        <v>1.3095613758283386E-2</v>
      </c>
      <c r="AB72" s="310">
        <f t="shared" si="24"/>
        <v>0.23901442563611175</v>
      </c>
      <c r="AC72" s="308"/>
    </row>
    <row r="73" spans="1:29">
      <c r="A73" s="184">
        <v>71</v>
      </c>
      <c r="B73" s="1">
        <f t="shared" si="20"/>
        <v>38233</v>
      </c>
      <c r="C73" s="174"/>
      <c r="D73" s="2">
        <v>28172.82</v>
      </c>
      <c r="E73" s="2">
        <f>D73+SUM(Holdings_Old!$E$32:$E$33)</f>
        <v>28172.82</v>
      </c>
      <c r="F73" s="2">
        <f t="shared" si="25"/>
        <v>-89.849999999998545</v>
      </c>
      <c r="G73" s="188">
        <f t="shared" si="26"/>
        <v>-3.179105158854334E-3</v>
      </c>
      <c r="H73" s="2">
        <f t="shared" si="27"/>
        <v>5316.9700000000012</v>
      </c>
      <c r="I73" s="188">
        <f t="shared" si="28"/>
        <v>0.23263059566806743</v>
      </c>
      <c r="J73" s="178">
        <f t="shared" si="19"/>
        <v>-8.0805638727195039E-2</v>
      </c>
      <c r="K73" s="174"/>
      <c r="L73" s="287">
        <v>1113.6300000000001</v>
      </c>
      <c r="M73" s="188">
        <f t="shared" si="21"/>
        <v>5.2899067495961738E-3</v>
      </c>
      <c r="N73" s="188">
        <f t="shared" si="29"/>
        <v>0.19734861517288849</v>
      </c>
      <c r="O73" s="305" t="str">
        <f t="shared" si="30"/>
        <v>No</v>
      </c>
      <c r="P73" s="304">
        <f t="shared" si="33"/>
        <v>0</v>
      </c>
      <c r="R73" s="178">
        <f t="shared" si="18"/>
        <v>4.6460017321017233E-3</v>
      </c>
      <c r="S73" s="287">
        <v>10260.200000000001</v>
      </c>
      <c r="T73" s="188">
        <f t="shared" si="22"/>
        <v>6.3943046647330082E-3</v>
      </c>
      <c r="U73" s="188">
        <f t="shared" si="31"/>
        <v>0.19545410058396673</v>
      </c>
      <c r="V73" s="305" t="str">
        <f t="shared" si="32"/>
        <v>No</v>
      </c>
      <c r="W73" s="304">
        <f t="shared" si="34"/>
        <v>0</v>
      </c>
      <c r="Z73" s="309">
        <v>1844.48</v>
      </c>
      <c r="AA73" s="310">
        <f t="shared" si="23"/>
        <v>-9.4571153918445727E-3</v>
      </c>
      <c r="AB73" s="310">
        <f t="shared" si="24"/>
        <v>0.22729692324071116</v>
      </c>
      <c r="AC73" s="308"/>
    </row>
    <row r="74" spans="1:29">
      <c r="A74" s="184">
        <v>72</v>
      </c>
      <c r="B74" s="1">
        <f t="shared" si="20"/>
        <v>38240</v>
      </c>
      <c r="C74" s="174"/>
      <c r="D74" s="2">
        <v>28365.95</v>
      </c>
      <c r="E74" s="2">
        <f>D74+SUM(Holdings_Old!$E$32:$E$33)</f>
        <v>28365.95</v>
      </c>
      <c r="F74" s="2">
        <f t="shared" si="25"/>
        <v>193.13000000000102</v>
      </c>
      <c r="G74" s="188">
        <f t="shared" si="26"/>
        <v>6.8551887954417801E-3</v>
      </c>
      <c r="H74" s="2">
        <f t="shared" si="27"/>
        <v>5510.1000000000022</v>
      </c>
      <c r="I74" s="188">
        <f t="shared" si="28"/>
        <v>0.24108051111641005</v>
      </c>
      <c r="J74" s="178">
        <f t="shared" si="19"/>
        <v>-7.4504387840964359E-2</v>
      </c>
      <c r="K74" s="174"/>
      <c r="L74" s="287">
        <v>1123.92</v>
      </c>
      <c r="M74" s="188">
        <f t="shared" si="21"/>
        <v>9.2400528003016014E-3</v>
      </c>
      <c r="N74" s="188">
        <f t="shared" si="29"/>
        <v>0.20841217959745406</v>
      </c>
      <c r="O74" s="305" t="str">
        <f t="shared" si="30"/>
        <v>No</v>
      </c>
      <c r="P74" s="304">
        <f t="shared" si="33"/>
        <v>0</v>
      </c>
      <c r="R74" s="178">
        <f t="shared" si="18"/>
        <v>1.3928983833718211E-2</v>
      </c>
      <c r="S74" s="287">
        <v>10313.07</v>
      </c>
      <c r="T74" s="188">
        <f t="shared" si="22"/>
        <v>5.1529209956919786E-3</v>
      </c>
      <c r="U74" s="188">
        <f t="shared" si="31"/>
        <v>0.20161418111825213</v>
      </c>
      <c r="V74" s="305" t="str">
        <f t="shared" si="32"/>
        <v>Yes</v>
      </c>
      <c r="W74" s="304">
        <f t="shared" si="34"/>
        <v>1</v>
      </c>
      <c r="Z74" s="309">
        <v>1894.31</v>
      </c>
      <c r="AA74" s="310">
        <f t="shared" si="23"/>
        <v>2.7015744274809128E-2</v>
      </c>
      <c r="AB74" s="310">
        <f t="shared" si="24"/>
        <v>0.26045326306824212</v>
      </c>
      <c r="AC74" s="308"/>
    </row>
    <row r="75" spans="1:29">
      <c r="A75" s="184">
        <v>73</v>
      </c>
      <c r="B75" s="1">
        <f t="shared" si="20"/>
        <v>38247</v>
      </c>
      <c r="C75" s="174"/>
      <c r="D75" s="2">
        <v>28529.49</v>
      </c>
      <c r="E75" s="2">
        <f>D75+SUM(Holdings_Old!$E$32:$E$33)</f>
        <v>28529.49</v>
      </c>
      <c r="F75" s="2">
        <f t="shared" si="25"/>
        <v>163.54000000000087</v>
      </c>
      <c r="G75" s="188">
        <f t="shared" si="26"/>
        <v>5.7653630497127573E-3</v>
      </c>
      <c r="H75" s="2">
        <f t="shared" si="27"/>
        <v>5673.6400000000031</v>
      </c>
      <c r="I75" s="188">
        <f t="shared" si="28"/>
        <v>0.24823579083691927</v>
      </c>
      <c r="J75" s="178">
        <f t="shared" si="19"/>
        <v>-6.9168569635951305E-2</v>
      </c>
      <c r="K75" s="174"/>
      <c r="L75" s="287">
        <v>1128.55</v>
      </c>
      <c r="M75" s="188">
        <f t="shared" si="21"/>
        <v>4.1195102854294507E-3</v>
      </c>
      <c r="N75" s="188">
        <f t="shared" si="29"/>
        <v>0.21339024600034406</v>
      </c>
      <c r="O75" s="305" t="str">
        <f t="shared" si="30"/>
        <v>Yes</v>
      </c>
      <c r="P75" s="304">
        <f t="shared" si="33"/>
        <v>1</v>
      </c>
      <c r="R75" s="178">
        <f t="shared" si="18"/>
        <v>1.8105874711316305E-2</v>
      </c>
      <c r="S75" s="287">
        <v>10284.459999999999</v>
      </c>
      <c r="T75" s="188">
        <f t="shared" si="22"/>
        <v>-2.7741496954835076E-3</v>
      </c>
      <c r="U75" s="188">
        <f t="shared" si="31"/>
        <v>0.19828072350361414</v>
      </c>
      <c r="V75" s="305" t="str">
        <f t="shared" si="32"/>
        <v>Yes</v>
      </c>
      <c r="W75" s="304">
        <f t="shared" si="34"/>
        <v>1</v>
      </c>
      <c r="Z75" s="309">
        <v>1910.09</v>
      </c>
      <c r="AA75" s="310">
        <f t="shared" si="23"/>
        <v>8.3302099445179412E-3</v>
      </c>
      <c r="AB75" s="310">
        <f t="shared" si="24"/>
        <v>0.27095310337485357</v>
      </c>
      <c r="AC75" s="308"/>
    </row>
    <row r="76" spans="1:29">
      <c r="A76" s="184">
        <v>74</v>
      </c>
      <c r="B76" s="1">
        <f t="shared" si="20"/>
        <v>38254</v>
      </c>
      <c r="C76" s="174"/>
      <c r="D76" s="2">
        <v>27872.35</v>
      </c>
      <c r="E76" s="2">
        <f>D76+SUM(Holdings_Old!$E$32:$E$34)</f>
        <v>27872.35</v>
      </c>
      <c r="F76" s="2">
        <f t="shared" si="25"/>
        <v>-657.14000000000306</v>
      </c>
      <c r="G76" s="188">
        <f t="shared" si="26"/>
        <v>-2.3033710031269528E-2</v>
      </c>
      <c r="H76" s="2">
        <f t="shared" si="27"/>
        <v>5016.5</v>
      </c>
      <c r="I76" s="188">
        <f t="shared" si="28"/>
        <v>0.21948428958012944</v>
      </c>
      <c r="J76" s="178">
        <f t="shared" si="19"/>
        <v>-9.0609070890948606E-2</v>
      </c>
      <c r="K76" s="174"/>
      <c r="L76" s="287">
        <v>1110.1099999999999</v>
      </c>
      <c r="M76" s="188">
        <f t="shared" si="21"/>
        <v>-1.6339550750963716E-2</v>
      </c>
      <c r="N76" s="188">
        <f t="shared" si="29"/>
        <v>0.19356399449509709</v>
      </c>
      <c r="O76" s="305" t="str">
        <f t="shared" si="30"/>
        <v>No</v>
      </c>
      <c r="P76" s="304">
        <f t="shared" si="33"/>
        <v>0</v>
      </c>
      <c r="R76" s="178">
        <f t="shared" si="18"/>
        <v>1.4704821016164882E-3</v>
      </c>
      <c r="S76" s="287">
        <v>10047.24</v>
      </c>
      <c r="T76" s="188">
        <f t="shared" si="22"/>
        <v>-2.3065868310052196E-2</v>
      </c>
      <c r="U76" s="188">
        <f t="shared" si="31"/>
        <v>0.17064133813680571</v>
      </c>
      <c r="V76" s="305" t="str">
        <f t="shared" si="32"/>
        <v>Yes</v>
      </c>
      <c r="W76" s="304">
        <f t="shared" si="34"/>
        <v>1</v>
      </c>
      <c r="Z76" s="309">
        <v>1879.48</v>
      </c>
      <c r="AA76" s="310">
        <f t="shared" si="23"/>
        <v>-1.602542288583253E-2</v>
      </c>
      <c r="AB76" s="310">
        <f t="shared" si="24"/>
        <v>0.25058554242521014</v>
      </c>
      <c r="AC76" s="308"/>
    </row>
    <row r="77" spans="1:29">
      <c r="A77" s="184">
        <v>75</v>
      </c>
      <c r="B77" s="1">
        <f t="shared" si="20"/>
        <v>38261</v>
      </c>
      <c r="C77" s="174"/>
      <c r="D77" s="2">
        <v>28443.17</v>
      </c>
      <c r="E77" s="2">
        <f>D77+SUM(Holdings_Old!$E$32:$E$34)</f>
        <v>28443.17</v>
      </c>
      <c r="F77" s="2">
        <f t="shared" si="25"/>
        <v>570.81999999999971</v>
      </c>
      <c r="G77" s="188">
        <f t="shared" si="26"/>
        <v>2.0479794491673697E-2</v>
      </c>
      <c r="H77" s="2">
        <f t="shared" si="27"/>
        <v>5587.32</v>
      </c>
      <c r="I77" s="188">
        <f t="shared" si="28"/>
        <v>0.24445907721655513</v>
      </c>
      <c r="J77" s="178">
        <f t="shared" si="19"/>
        <v>-7.1984931550203135E-2</v>
      </c>
      <c r="K77" s="174"/>
      <c r="L77" s="287">
        <v>1131.5</v>
      </c>
      <c r="M77" s="188">
        <f t="shared" si="21"/>
        <v>1.926836079307459E-2</v>
      </c>
      <c r="N77" s="188">
        <f t="shared" si="29"/>
        <v>0.21656201617065185</v>
      </c>
      <c r="O77" s="305" t="str">
        <f t="shared" si="30"/>
        <v>Yes</v>
      </c>
      <c r="P77" s="304">
        <f t="shared" si="33"/>
        <v>1</v>
      </c>
      <c r="R77" s="178">
        <f t="shared" si="18"/>
        <v>2.0767176674364896E-2</v>
      </c>
      <c r="S77" s="287">
        <v>10192.65</v>
      </c>
      <c r="T77" s="188">
        <f t="shared" si="22"/>
        <v>1.447263128978693E-2</v>
      </c>
      <c r="U77" s="188">
        <f t="shared" si="31"/>
        <v>0.18758359859624263</v>
      </c>
      <c r="V77" s="305" t="str">
        <f t="shared" si="32"/>
        <v>Yes</v>
      </c>
      <c r="W77" s="304">
        <f t="shared" si="34"/>
        <v>1</v>
      </c>
      <c r="Z77" s="309">
        <v>1942.2</v>
      </c>
      <c r="AA77" s="310">
        <f t="shared" si="23"/>
        <v>3.3370932385553553E-2</v>
      </c>
      <c r="AB77" s="310">
        <f t="shared" si="24"/>
        <v>0.29231874800383251</v>
      </c>
      <c r="AC77" s="308"/>
    </row>
    <row r="78" spans="1:29">
      <c r="A78" s="184">
        <v>76</v>
      </c>
      <c r="B78" s="1">
        <f t="shared" si="20"/>
        <v>38268</v>
      </c>
      <c r="C78" s="174"/>
      <c r="D78" s="2">
        <v>28277.119999999999</v>
      </c>
      <c r="E78" s="2">
        <f>D78+SUM(Holdings_Old!$E$32:$E$34)</f>
        <v>28277.119999999999</v>
      </c>
      <c r="F78" s="2">
        <f t="shared" si="25"/>
        <v>-166.04999999999927</v>
      </c>
      <c r="G78" s="188">
        <f t="shared" si="26"/>
        <v>-5.8379568803336168E-3</v>
      </c>
      <c r="H78" s="2">
        <f t="shared" si="27"/>
        <v>5421.27</v>
      </c>
      <c r="I78" s="188">
        <f t="shared" si="28"/>
        <v>0.23719397878442505</v>
      </c>
      <c r="J78" s="178">
        <f t="shared" si="19"/>
        <v>-7.7402643504112856E-2</v>
      </c>
      <c r="K78" s="174"/>
      <c r="L78" s="287">
        <v>1122.1400000000001</v>
      </c>
      <c r="M78" s="188">
        <f t="shared" si="21"/>
        <v>-8.2722050375606537E-3</v>
      </c>
      <c r="N78" s="188">
        <f t="shared" si="29"/>
        <v>0.2064983657319801</v>
      </c>
      <c r="O78" s="305" t="str">
        <f t="shared" si="30"/>
        <v>Yes</v>
      </c>
      <c r="P78" s="304">
        <f t="shared" si="33"/>
        <v>1</v>
      </c>
      <c r="R78" s="178">
        <f t="shared" si="18"/>
        <v>1.2323181293302676E-2</v>
      </c>
      <c r="S78" s="287">
        <v>10055.200000000001</v>
      </c>
      <c r="T78" s="188">
        <f t="shared" si="22"/>
        <v>-1.3485207477937466E-2</v>
      </c>
      <c r="U78" s="188">
        <f t="shared" si="31"/>
        <v>0.17156878737177661</v>
      </c>
      <c r="V78" s="305" t="str">
        <f t="shared" si="32"/>
        <v>Yes</v>
      </c>
      <c r="W78" s="304">
        <f t="shared" si="34"/>
        <v>1</v>
      </c>
      <c r="Z78" s="309">
        <v>1919.97</v>
      </c>
      <c r="AA78" s="310">
        <f t="shared" si="23"/>
        <v>-1.1445783132530085E-2</v>
      </c>
      <c r="AB78" s="310">
        <f t="shared" si="24"/>
        <v>0.27752714787607791</v>
      </c>
      <c r="AC78" s="308"/>
    </row>
    <row r="79" spans="1:29">
      <c r="A79" s="184">
        <v>77</v>
      </c>
      <c r="B79" s="1">
        <f t="shared" si="20"/>
        <v>38275</v>
      </c>
      <c r="C79" s="174"/>
      <c r="D79" s="2">
        <v>28337.96</v>
      </c>
      <c r="E79" s="2">
        <f>D79+SUM(Holdings_Old!$E$32:$E$34)</f>
        <v>28337.96</v>
      </c>
      <c r="F79" s="2">
        <f t="shared" si="25"/>
        <v>60.840000000000146</v>
      </c>
      <c r="G79" s="188">
        <f t="shared" si="26"/>
        <v>2.1515628182784408E-3</v>
      </c>
      <c r="H79" s="2">
        <f t="shared" si="27"/>
        <v>5482.1100000000006</v>
      </c>
      <c r="I79" s="188">
        <f t="shared" si="28"/>
        <v>0.23985587934817576</v>
      </c>
      <c r="J79" s="178">
        <f t="shared" si="19"/>
        <v>-7.5417617335634235E-2</v>
      </c>
      <c r="K79" s="174"/>
      <c r="L79" s="287">
        <v>1108.2</v>
      </c>
      <c r="M79" s="188">
        <f t="shared" si="21"/>
        <v>-1.2422692355677611E-2</v>
      </c>
      <c r="N79" s="188">
        <f t="shared" si="29"/>
        <v>0.19151040770686389</v>
      </c>
      <c r="O79" s="305" t="str">
        <f t="shared" si="30"/>
        <v>Yes</v>
      </c>
      <c r="P79" s="304">
        <f t="shared" si="33"/>
        <v>1</v>
      </c>
      <c r="R79" s="178">
        <f t="shared" si="18"/>
        <v>-2.5259815242495431E-4</v>
      </c>
      <c r="S79" s="287">
        <v>9933.3799999999992</v>
      </c>
      <c r="T79" s="188">
        <f t="shared" si="22"/>
        <v>-1.2115124512690145E-2</v>
      </c>
      <c r="U79" s="188">
        <f t="shared" si="31"/>
        <v>0.15737508563758618</v>
      </c>
      <c r="V79" s="305" t="str">
        <f t="shared" si="32"/>
        <v>Yes</v>
      </c>
      <c r="W79" s="304">
        <f t="shared" si="34"/>
        <v>1</v>
      </c>
      <c r="Z79" s="309">
        <v>1911.5</v>
      </c>
      <c r="AA79" s="310">
        <f t="shared" si="23"/>
        <v>-4.4115272634468461E-3</v>
      </c>
      <c r="AB79" s="310">
        <f t="shared" si="24"/>
        <v>0.27189130203342904</v>
      </c>
      <c r="AC79" s="308"/>
    </row>
    <row r="80" spans="1:29">
      <c r="A80" s="184">
        <v>78</v>
      </c>
      <c r="B80" s="1">
        <f t="shared" si="20"/>
        <v>38282</v>
      </c>
      <c r="C80" s="174"/>
      <c r="D80" s="2">
        <v>28127.87</v>
      </c>
      <c r="E80" s="2">
        <f>D80+SUM(Holdings_Old!$E$32:$E$34)</f>
        <v>28127.87</v>
      </c>
      <c r="F80" s="2">
        <f t="shared" si="25"/>
        <v>-210.09000000000015</v>
      </c>
      <c r="G80" s="188">
        <f t="shared" si="26"/>
        <v>-7.4137305578806378E-3</v>
      </c>
      <c r="H80" s="2">
        <f t="shared" si="27"/>
        <v>5272.02</v>
      </c>
      <c r="I80" s="188">
        <f t="shared" si="28"/>
        <v>0.23066392192808416</v>
      </c>
      <c r="J80" s="178">
        <f t="shared" si="19"/>
        <v>-8.22722219992712E-2</v>
      </c>
      <c r="K80" s="174"/>
      <c r="L80" s="287">
        <v>1095.74</v>
      </c>
      <c r="M80" s="188">
        <f t="shared" ref="M80:M143" si="35">(L80/L79)-1</f>
        <v>-1.1243457859592132E-2</v>
      </c>
      <c r="N80" s="188">
        <f t="shared" si="29"/>
        <v>0.17811371064854642</v>
      </c>
      <c r="O80" s="305" t="str">
        <f t="shared" si="30"/>
        <v>Yes</v>
      </c>
      <c r="P80" s="304">
        <f t="shared" si="33"/>
        <v>1</v>
      </c>
      <c r="R80" s="178">
        <f t="shared" si="18"/>
        <v>-1.1493215935334922E-2</v>
      </c>
      <c r="S80" s="287">
        <v>9757.81</v>
      </c>
      <c r="T80" s="188">
        <f t="shared" ref="T80:T143" si="36">(S80/S79)-1</f>
        <v>-1.7674749179030669E-2</v>
      </c>
      <c r="U80" s="188">
        <f t="shared" si="31"/>
        <v>0.13691877129288277</v>
      </c>
      <c r="V80" s="305" t="str">
        <f t="shared" si="32"/>
        <v>Yes</v>
      </c>
      <c r="W80" s="304">
        <f t="shared" si="34"/>
        <v>1</v>
      </c>
      <c r="Z80" s="309">
        <v>1915.14</v>
      </c>
      <c r="AA80" s="310">
        <f t="shared" ref="AA80:AA143" si="37">(Z80/Z79)-1</f>
        <v>1.9042636672770286E-3</v>
      </c>
      <c r="AB80" s="310">
        <f t="shared" ref="AB80:AB143" si="38">(Z80/$Z$3)-1</f>
        <v>0.27431331842861706</v>
      </c>
      <c r="AC80" s="308"/>
    </row>
    <row r="81" spans="1:29">
      <c r="A81" s="184">
        <v>79</v>
      </c>
      <c r="B81" s="1">
        <f t="shared" si="20"/>
        <v>38289</v>
      </c>
      <c r="C81" s="174"/>
      <c r="D81" s="2">
        <v>28846.86</v>
      </c>
      <c r="E81" s="2">
        <f>D81+SUM(Holdings_Old!$E$32:$E$34)</f>
        <v>28846.86</v>
      </c>
      <c r="F81" s="2">
        <f t="shared" si="25"/>
        <v>718.9900000000016</v>
      </c>
      <c r="G81" s="188">
        <f t="shared" si="26"/>
        <v>2.5561480481814058E-2</v>
      </c>
      <c r="H81" s="2">
        <f t="shared" si="27"/>
        <v>5991.010000000002</v>
      </c>
      <c r="I81" s="188">
        <f t="shared" si="28"/>
        <v>0.26212151374812143</v>
      </c>
      <c r="J81" s="178">
        <f t="shared" si="19"/>
        <v>-5.8813741314287071E-2</v>
      </c>
      <c r="K81" s="174"/>
      <c r="L81" s="287">
        <v>1130.2</v>
      </c>
      <c r="M81" s="188">
        <f t="shared" si="35"/>
        <v>3.144906638436118E-2</v>
      </c>
      <c r="N81" s="188">
        <f t="shared" si="29"/>
        <v>0.21516428694305856</v>
      </c>
      <c r="O81" s="305" t="str">
        <f t="shared" si="30"/>
        <v>No</v>
      </c>
      <c r="P81" s="304">
        <f t="shared" si="33"/>
        <v>0</v>
      </c>
      <c r="R81" s="178">
        <f t="shared" si="18"/>
        <v>1.9594399538106266E-2</v>
      </c>
      <c r="S81" s="287">
        <v>10027.469999999999</v>
      </c>
      <c r="T81" s="188">
        <f t="shared" si="36"/>
        <v>2.7635299314087813E-2</v>
      </c>
      <c r="U81" s="188">
        <f t="shared" si="31"/>
        <v>0.16833786183336663</v>
      </c>
      <c r="V81" s="305" t="str">
        <f t="shared" si="32"/>
        <v>No</v>
      </c>
      <c r="W81" s="304">
        <f t="shared" si="34"/>
        <v>0</v>
      </c>
      <c r="Z81" s="309">
        <v>1974.99</v>
      </c>
      <c r="AA81" s="310">
        <f t="shared" si="37"/>
        <v>3.1250979040696736E-2</v>
      </c>
      <c r="AB81" s="310">
        <f t="shared" si="38"/>
        <v>0.31413685723411033</v>
      </c>
      <c r="AC81" s="308"/>
    </row>
    <row r="82" spans="1:29">
      <c r="A82" s="184">
        <v>80</v>
      </c>
      <c r="B82" s="1">
        <f t="shared" si="20"/>
        <v>38296</v>
      </c>
      <c r="C82" s="174"/>
      <c r="D82" s="2">
        <v>29611.48</v>
      </c>
      <c r="E82" s="2">
        <f>D82+SUM(Holdings_Old!$E$32:$E$34)</f>
        <v>29611.48</v>
      </c>
      <c r="F82" s="2">
        <f t="shared" si="25"/>
        <v>764.61999999999898</v>
      </c>
      <c r="G82" s="188">
        <f t="shared" si="26"/>
        <v>2.6506177795434294E-2</v>
      </c>
      <c r="H82" s="2">
        <f t="shared" si="27"/>
        <v>6755.630000000001</v>
      </c>
      <c r="I82" s="188">
        <f t="shared" si="28"/>
        <v>0.29557553099097178</v>
      </c>
      <c r="J82" s="178">
        <f t="shared" si="19"/>
        <v>-3.3866491002944032E-2</v>
      </c>
      <c r="K82" s="174"/>
      <c r="L82" s="287">
        <v>1166.17</v>
      </c>
      <c r="M82" s="188">
        <f t="shared" si="35"/>
        <v>3.1826225446823564E-2</v>
      </c>
      <c r="N82" s="188">
        <f t="shared" si="29"/>
        <v>0.25383837949423715</v>
      </c>
      <c r="O82" s="305" t="str">
        <f t="shared" si="30"/>
        <v>No</v>
      </c>
      <c r="P82" s="304">
        <f t="shared" si="33"/>
        <v>0</v>
      </c>
      <c r="R82" s="178">
        <f t="shared" si="18"/>
        <v>5.2044240762124661E-2</v>
      </c>
      <c r="S82" s="287">
        <v>10387.540000000001</v>
      </c>
      <c r="T82" s="188">
        <f t="shared" si="36"/>
        <v>3.5908359735805861E-2</v>
      </c>
      <c r="U82" s="188">
        <f t="shared" si="31"/>
        <v>0.21029095806904152</v>
      </c>
      <c r="V82" s="305" t="str">
        <f t="shared" si="32"/>
        <v>No</v>
      </c>
      <c r="W82" s="304">
        <f t="shared" si="34"/>
        <v>0</v>
      </c>
      <c r="Z82" s="309">
        <v>2038.94</v>
      </c>
      <c r="AA82" s="310">
        <f t="shared" si="37"/>
        <v>3.2379910784358534E-2</v>
      </c>
      <c r="AB82" s="310">
        <f t="shared" si="38"/>
        <v>0.35668849142978809</v>
      </c>
      <c r="AC82" s="308"/>
    </row>
    <row r="83" spans="1:29">
      <c r="A83" s="184">
        <v>81</v>
      </c>
      <c r="B83" s="1">
        <f t="shared" si="20"/>
        <v>38303</v>
      </c>
      <c r="C83" s="174"/>
      <c r="D83" s="2">
        <v>29843.74</v>
      </c>
      <c r="E83" s="2">
        <f>D83+SUM(Holdings_Old!$E$32:$E$34)</f>
        <v>29843.74</v>
      </c>
      <c r="F83" s="2">
        <f t="shared" si="25"/>
        <v>232.26000000000204</v>
      </c>
      <c r="G83" s="188">
        <f t="shared" si="26"/>
        <v>7.8435795846747425E-3</v>
      </c>
      <c r="H83" s="2">
        <f t="shared" si="27"/>
        <v>6987.8900000000031</v>
      </c>
      <c r="I83" s="188">
        <f t="shared" si="28"/>
        <v>0.30573748077625651</v>
      </c>
      <c r="J83" s="178">
        <f t="shared" si="19"/>
        <v>-2.6288545935704621E-2</v>
      </c>
      <c r="K83" s="174"/>
      <c r="L83" s="287">
        <v>1184.17</v>
      </c>
      <c r="M83" s="188">
        <f t="shared" si="35"/>
        <v>1.5435142389188528E-2</v>
      </c>
      <c r="N83" s="188">
        <f t="shared" si="29"/>
        <v>0.27319155341475998</v>
      </c>
      <c r="O83" s="305" t="str">
        <f t="shared" si="30"/>
        <v>No</v>
      </c>
      <c r="P83" s="304">
        <f t="shared" si="33"/>
        <v>0</v>
      </c>
      <c r="R83" s="178">
        <f t="shared" si="18"/>
        <v>6.8282693418013851E-2</v>
      </c>
      <c r="S83" s="287">
        <v>10539.01</v>
      </c>
      <c r="T83" s="188">
        <f t="shared" si="36"/>
        <v>1.4581893306788718E-2</v>
      </c>
      <c r="U83" s="188">
        <f t="shared" si="31"/>
        <v>0.22793929168977511</v>
      </c>
      <c r="V83" s="305" t="str">
        <f t="shared" si="32"/>
        <v>No</v>
      </c>
      <c r="W83" s="304">
        <f t="shared" si="34"/>
        <v>0</v>
      </c>
      <c r="Z83" s="309">
        <v>2085.34</v>
      </c>
      <c r="AA83" s="310">
        <f t="shared" si="37"/>
        <v>2.2756922714743943E-2</v>
      </c>
      <c r="AB83" s="310">
        <f t="shared" si="38"/>
        <v>0.38756254657723832</v>
      </c>
      <c r="AC83" s="308"/>
    </row>
    <row r="84" spans="1:29">
      <c r="A84" s="184">
        <v>82</v>
      </c>
      <c r="B84" s="1">
        <f t="shared" si="20"/>
        <v>38310</v>
      </c>
      <c r="C84" s="174"/>
      <c r="D84" s="2">
        <v>28915.95</v>
      </c>
      <c r="E84" s="2">
        <f>D84+SUM(Holdings_Old!$E$32:$E$34)</f>
        <v>28915.95</v>
      </c>
      <c r="F84" s="2">
        <f t="shared" si="25"/>
        <v>-927.79000000000087</v>
      </c>
      <c r="G84" s="188">
        <f t="shared" si="26"/>
        <v>-3.1088261725909727E-2</v>
      </c>
      <c r="H84" s="2">
        <f t="shared" si="27"/>
        <v>6060.1000000000022</v>
      </c>
      <c r="I84" s="188">
        <f t="shared" si="28"/>
        <v>0.26514437222855425</v>
      </c>
      <c r="K84" s="174"/>
      <c r="L84" s="287">
        <v>1170.3399999999999</v>
      </c>
      <c r="M84" s="188">
        <f t="shared" si="35"/>
        <v>-1.1679066350270828E-2</v>
      </c>
      <c r="N84" s="188">
        <f t="shared" si="29"/>
        <v>0.25832186478582475</v>
      </c>
      <c r="O84" s="305" t="str">
        <f t="shared" si="30"/>
        <v>No</v>
      </c>
      <c r="P84" s="304">
        <f t="shared" si="33"/>
        <v>0</v>
      </c>
      <c r="R84" s="178">
        <f t="shared" si="18"/>
        <v>5.5806148960738877E-2</v>
      </c>
      <c r="S84" s="287">
        <v>10456.91</v>
      </c>
      <c r="T84" s="188">
        <f t="shared" si="36"/>
        <v>-7.7901055222454607E-3</v>
      </c>
      <c r="U84" s="188">
        <f t="shared" si="31"/>
        <v>0.2183735150326005</v>
      </c>
      <c r="V84" s="305" t="str">
        <f t="shared" si="32"/>
        <v>No</v>
      </c>
      <c r="W84" s="304">
        <f t="shared" si="34"/>
        <v>0</v>
      </c>
      <c r="Z84" s="309">
        <v>2070.63</v>
      </c>
      <c r="AA84" s="310">
        <f t="shared" si="37"/>
        <v>-7.0540055818235636E-3</v>
      </c>
      <c r="AB84" s="310">
        <f t="shared" si="38"/>
        <v>0.37777467262855313</v>
      </c>
      <c r="AC84" s="308"/>
    </row>
    <row r="85" spans="1:29">
      <c r="A85" s="184">
        <v>83</v>
      </c>
      <c r="B85" s="1">
        <f t="shared" si="20"/>
        <v>38317</v>
      </c>
      <c r="C85" s="174"/>
      <c r="D85" s="2">
        <v>29040</v>
      </c>
      <c r="E85" s="2">
        <f>D85+SUM(Holdings_Old!$E$32:$E$34)</f>
        <v>29040</v>
      </c>
      <c r="F85" s="2">
        <f t="shared" si="25"/>
        <v>124.04999999999927</v>
      </c>
      <c r="G85" s="188">
        <f t="shared" si="26"/>
        <v>4.2900198679274304E-3</v>
      </c>
      <c r="H85" s="2">
        <f t="shared" si="27"/>
        <v>6184.1500000000015</v>
      </c>
      <c r="I85" s="188">
        <f t="shared" si="28"/>
        <v>0.27057186672121158</v>
      </c>
      <c r="K85" s="174"/>
      <c r="L85" s="287">
        <v>1182.6500000000001</v>
      </c>
      <c r="M85" s="188">
        <f t="shared" si="35"/>
        <v>1.0518310918194773E-2</v>
      </c>
      <c r="N85" s="188">
        <f t="shared" si="29"/>
        <v>0.27155728539480473</v>
      </c>
      <c r="O85" s="305" t="str">
        <f t="shared" si="30"/>
        <v>No</v>
      </c>
      <c r="P85" s="304">
        <f t="shared" si="33"/>
        <v>0</v>
      </c>
      <c r="R85" s="178">
        <f t="shared" si="18"/>
        <v>6.6911446304849909E-2</v>
      </c>
      <c r="S85" s="287">
        <v>10522.23</v>
      </c>
      <c r="T85" s="188">
        <f t="shared" si="36"/>
        <v>6.2465871849330945E-3</v>
      </c>
      <c r="U85" s="188">
        <f t="shared" si="31"/>
        <v>0.22598419141806514</v>
      </c>
      <c r="V85" s="305" t="str">
        <f t="shared" si="32"/>
        <v>No</v>
      </c>
      <c r="W85" s="304">
        <f t="shared" si="34"/>
        <v>0</v>
      </c>
      <c r="Z85" s="309">
        <v>2101.9699999999998</v>
      </c>
      <c r="AA85" s="310">
        <f t="shared" si="37"/>
        <v>1.5135490164828846E-2</v>
      </c>
      <c r="AB85" s="310">
        <f t="shared" si="38"/>
        <v>0.39862796763547292</v>
      </c>
      <c r="AC85" s="308"/>
    </row>
    <row r="86" spans="1:29">
      <c r="A86" s="184">
        <v>84</v>
      </c>
      <c r="B86" s="1">
        <f t="shared" si="20"/>
        <v>38324</v>
      </c>
      <c r="C86" s="174"/>
      <c r="D86" s="2">
        <v>29543.51</v>
      </c>
      <c r="E86" s="2">
        <f>D86+SUM(Holdings_Old!$E$32:$E$34)</f>
        <v>29543.51</v>
      </c>
      <c r="F86" s="2">
        <f t="shared" si="25"/>
        <v>503.5099999999984</v>
      </c>
      <c r="G86" s="188">
        <f t="shared" si="26"/>
        <v>1.7338498622589515E-2</v>
      </c>
      <c r="H86" s="2">
        <f t="shared" si="27"/>
        <v>6687.66</v>
      </c>
      <c r="I86" s="188">
        <f t="shared" si="28"/>
        <v>0.29260167528225822</v>
      </c>
      <c r="K86" s="174"/>
      <c r="L86" s="287">
        <v>1191.17</v>
      </c>
      <c r="M86" s="188">
        <f t="shared" si="35"/>
        <v>7.204160148818417E-3</v>
      </c>
      <c r="N86" s="188">
        <f t="shared" si="29"/>
        <v>0.28071778771718559</v>
      </c>
      <c r="O86" s="305" t="str">
        <f t="shared" si="30"/>
        <v>Yes</v>
      </c>
      <c r="P86" s="304">
        <f t="shared" si="33"/>
        <v>1</v>
      </c>
      <c r="R86" s="178">
        <f t="shared" si="18"/>
        <v>7.4597647228637376E-2</v>
      </c>
      <c r="S86" s="287">
        <v>10592.21</v>
      </c>
      <c r="T86" s="188">
        <f>(S86/S85)-1</f>
        <v>6.6506814620095334E-3</v>
      </c>
      <c r="U86" s="188">
        <f t="shared" si="31"/>
        <v>0.23413782175264597</v>
      </c>
      <c r="V86" s="305" t="str">
        <f t="shared" si="32"/>
        <v>Yes</v>
      </c>
      <c r="W86" s="304">
        <f t="shared" si="34"/>
        <v>1</v>
      </c>
      <c r="Z86" s="309">
        <v>2147.96</v>
      </c>
      <c r="AA86" s="310">
        <f t="shared" si="37"/>
        <v>2.1879474968719892E-2</v>
      </c>
      <c r="AB86" s="310">
        <f t="shared" si="38"/>
        <v>0.42922921324390506</v>
      </c>
      <c r="AC86" s="308"/>
    </row>
    <row r="87" spans="1:29">
      <c r="A87" s="184">
        <v>85</v>
      </c>
      <c r="B87" s="1">
        <f t="shared" si="20"/>
        <v>38331</v>
      </c>
      <c r="C87" s="174"/>
      <c r="D87" s="2">
        <v>29497.24</v>
      </c>
      <c r="E87" s="2">
        <f>D87+SUM(Holdings_Old!$E$32:$E$34)</f>
        <v>29497.24</v>
      </c>
      <c r="F87" s="2">
        <f t="shared" si="25"/>
        <v>-46.269999999996799</v>
      </c>
      <c r="G87" s="188">
        <f t="shared" si="26"/>
        <v>-1.5661646161879705E-3</v>
      </c>
      <c r="H87" s="2">
        <f t="shared" si="27"/>
        <v>6641.3900000000031</v>
      </c>
      <c r="I87" s="188">
        <f t="shared" si="28"/>
        <v>0.29057724827560572</v>
      </c>
      <c r="K87" s="174"/>
      <c r="L87" s="287">
        <v>1188</v>
      </c>
      <c r="M87" s="188">
        <f t="shared" si="35"/>
        <v>-2.6612490240688347E-3</v>
      </c>
      <c r="N87" s="188">
        <f t="shared" si="29"/>
        <v>0.27730947875451561</v>
      </c>
      <c r="O87" s="305" t="str">
        <f t="shared" si="30"/>
        <v>Yes</v>
      </c>
      <c r="P87" s="304">
        <f t="shared" si="33"/>
        <v>1</v>
      </c>
      <c r="S87" s="287">
        <v>10543.22</v>
      </c>
      <c r="T87" s="188">
        <f>(S87/S86)-1</f>
        <v>-4.6250971232631999E-3</v>
      </c>
      <c r="U87" s="188">
        <f t="shared" si="31"/>
        <v>0.22842981446354749</v>
      </c>
      <c r="V87" s="305" t="str">
        <f t="shared" si="32"/>
        <v>Yes</v>
      </c>
      <c r="W87" s="304">
        <f t="shared" si="34"/>
        <v>1</v>
      </c>
      <c r="Z87" s="309">
        <v>2128.0700000000002</v>
      </c>
      <c r="AA87" s="310">
        <f t="shared" si="37"/>
        <v>-9.2599489748411701E-3</v>
      </c>
      <c r="AB87" s="310">
        <f t="shared" si="38"/>
        <v>0.415994623655914</v>
      </c>
      <c r="AC87" s="308"/>
    </row>
    <row r="88" spans="1:29">
      <c r="A88" s="184">
        <v>86</v>
      </c>
      <c r="B88" s="1">
        <f t="shared" si="20"/>
        <v>38338</v>
      </c>
      <c r="C88" s="174"/>
      <c r="D88" s="2">
        <v>29715.39</v>
      </c>
      <c r="E88" s="2">
        <f>D88+SUM(Holdings_Old!$E$32:$E$34)</f>
        <v>29715.39</v>
      </c>
      <c r="F88" s="2">
        <f t="shared" si="25"/>
        <v>218.14999999999782</v>
      </c>
      <c r="G88" s="188">
        <f t="shared" si="26"/>
        <v>7.3956071822312008E-3</v>
      </c>
      <c r="H88" s="2">
        <f t="shared" si="27"/>
        <v>6859.5400000000009</v>
      </c>
      <c r="I88" s="188">
        <f t="shared" si="28"/>
        <v>0.300121850642177</v>
      </c>
      <c r="K88" s="174"/>
      <c r="L88" s="287">
        <v>1194.2</v>
      </c>
      <c r="M88" s="188">
        <f t="shared" si="35"/>
        <v>5.218855218855234E-3</v>
      </c>
      <c r="N88" s="188">
        <f t="shared" si="29"/>
        <v>0.28397557199380707</v>
      </c>
      <c r="O88" s="305" t="str">
        <f t="shared" si="30"/>
        <v>Yes</v>
      </c>
      <c r="P88" s="304">
        <f t="shared" si="33"/>
        <v>1</v>
      </c>
      <c r="S88" s="287">
        <v>10649.92</v>
      </c>
      <c r="T88" s="188">
        <f>(S88/S87)-1</f>
        <v>1.0120247893907308E-2</v>
      </c>
      <c r="U88" s="188">
        <f t="shared" si="31"/>
        <v>0.240861828706185</v>
      </c>
      <c r="V88" s="305" t="str">
        <f t="shared" si="32"/>
        <v>No</v>
      </c>
      <c r="W88" s="304">
        <f t="shared" si="34"/>
        <v>0</v>
      </c>
      <c r="Z88" s="309">
        <v>2135.1999999999998</v>
      </c>
      <c r="AA88" s="310">
        <f t="shared" si="37"/>
        <v>3.350453697481548E-3</v>
      </c>
      <c r="AB88" s="310">
        <f t="shared" si="38"/>
        <v>0.42073884807835604</v>
      </c>
      <c r="AC88" s="308"/>
    </row>
    <row r="89" spans="1:29">
      <c r="A89" s="184">
        <v>87</v>
      </c>
      <c r="B89" s="1">
        <f t="shared" si="20"/>
        <v>38345</v>
      </c>
      <c r="C89" s="174"/>
      <c r="D89" s="2">
        <v>30168.52</v>
      </c>
      <c r="E89" s="2">
        <f>D89+SUM(Holdings_Old!$E$32:$E$34)</f>
        <v>30168.52</v>
      </c>
      <c r="F89" s="2">
        <f t="shared" si="25"/>
        <v>453.13000000000102</v>
      </c>
      <c r="G89" s="188">
        <f t="shared" si="26"/>
        <v>1.5249000602044926E-2</v>
      </c>
      <c r="H89" s="2">
        <f t="shared" si="27"/>
        <v>7312.6700000000019</v>
      </c>
      <c r="I89" s="188">
        <f t="shared" si="28"/>
        <v>0.31994740952535139</v>
      </c>
      <c r="K89" s="174"/>
      <c r="L89" s="287">
        <v>1210.1300000000001</v>
      </c>
      <c r="M89" s="188">
        <f t="shared" si="35"/>
        <v>1.3339474124937301E-2</v>
      </c>
      <c r="N89" s="188">
        <f t="shared" si="29"/>
        <v>0.30110313091346996</v>
      </c>
      <c r="O89" s="305" t="str">
        <f t="shared" si="30"/>
        <v>Yes</v>
      </c>
      <c r="P89" s="304">
        <f t="shared" si="33"/>
        <v>1</v>
      </c>
      <c r="S89" s="287">
        <v>10827.12</v>
      </c>
      <c r="T89" s="188">
        <f>(S89/S88)-1</f>
        <v>1.6638622637541012E-2</v>
      </c>
      <c r="U89" s="188">
        <f t="shared" si="31"/>
        <v>0.26150806041935626</v>
      </c>
      <c r="V89" s="305" t="str">
        <f t="shared" si="32"/>
        <v>No</v>
      </c>
      <c r="W89" s="304">
        <f t="shared" si="34"/>
        <v>0</v>
      </c>
      <c r="Z89" s="309">
        <v>2160.62</v>
      </c>
      <c r="AA89" s="310">
        <f t="shared" si="37"/>
        <v>1.1905207943049945E-2</v>
      </c>
      <c r="AB89" s="310">
        <f t="shared" si="38"/>
        <v>0.43765303949749801</v>
      </c>
      <c r="AC89" s="308"/>
    </row>
    <row r="90" spans="1:29">
      <c r="A90" s="184">
        <v>88</v>
      </c>
      <c r="B90" s="1">
        <f t="shared" si="20"/>
        <v>38352</v>
      </c>
      <c r="C90" s="174"/>
      <c r="D90" s="2">
        <v>30139.25</v>
      </c>
      <c r="E90" s="2">
        <f>D90+SUM(Holdings_Old!$E$32:$E$34)</f>
        <v>30139.25</v>
      </c>
      <c r="F90" s="2">
        <f t="shared" si="25"/>
        <v>-29.270000000000437</v>
      </c>
      <c r="G90" s="188">
        <f t="shared" si="26"/>
        <v>-9.7021663641438938E-4</v>
      </c>
      <c r="H90" s="2">
        <f t="shared" si="27"/>
        <v>7283.4000000000015</v>
      </c>
      <c r="I90" s="188">
        <f t="shared" si="28"/>
        <v>0.31866677458943782</v>
      </c>
      <c r="K90" s="174"/>
      <c r="L90" s="287">
        <v>1211.92</v>
      </c>
      <c r="M90" s="188">
        <f t="shared" si="35"/>
        <v>1.4791799228182079E-3</v>
      </c>
      <c r="N90" s="188">
        <f t="shared" si="29"/>
        <v>0.30302769654223294</v>
      </c>
      <c r="O90" s="305" t="str">
        <f t="shared" si="30"/>
        <v>No</v>
      </c>
      <c r="P90" s="304">
        <f t="shared" si="33"/>
        <v>0</v>
      </c>
      <c r="S90" s="287">
        <v>10783.01</v>
      </c>
      <c r="T90" s="188">
        <f t="shared" si="36"/>
        <v>-4.0740289199714397E-3</v>
      </c>
      <c r="U90" s="188">
        <f t="shared" si="31"/>
        <v>0.25636864009843086</v>
      </c>
      <c r="V90" s="305" t="str">
        <f t="shared" si="32"/>
        <v>Yes</v>
      </c>
      <c r="W90" s="304">
        <f t="shared" si="34"/>
        <v>1</v>
      </c>
      <c r="Z90" s="309">
        <v>2175.44</v>
      </c>
      <c r="AA90" s="310">
        <f t="shared" si="37"/>
        <v>6.859142283233588E-3</v>
      </c>
      <c r="AB90" s="310">
        <f t="shared" si="38"/>
        <v>0.44751410624933463</v>
      </c>
      <c r="AC90" s="308"/>
    </row>
    <row r="91" spans="1:29">
      <c r="A91" s="184">
        <v>89</v>
      </c>
      <c r="B91" s="1">
        <f t="shared" si="20"/>
        <v>38359</v>
      </c>
      <c r="C91" s="174"/>
      <c r="D91" s="2">
        <v>29517.05</v>
      </c>
      <c r="E91" s="2">
        <f>D91+SUM(Holdings_Old!$E$32:$E$34)</f>
        <v>29517.05</v>
      </c>
      <c r="F91" s="2">
        <f t="shared" si="25"/>
        <v>-622.20000000000073</v>
      </c>
      <c r="G91" s="188">
        <f t="shared" si="26"/>
        <v>-2.0644176613552112E-2</v>
      </c>
      <c r="H91" s="2">
        <f t="shared" si="27"/>
        <v>6661.2000000000007</v>
      </c>
      <c r="I91" s="188">
        <f t="shared" si="28"/>
        <v>0.29144398480039024</v>
      </c>
      <c r="K91" s="174"/>
      <c r="L91" s="287">
        <v>1186.19</v>
      </c>
      <c r="M91" s="188">
        <f t="shared" si="35"/>
        <v>-2.1230774308535261E-2</v>
      </c>
      <c r="N91" s="188">
        <f t="shared" si="29"/>
        <v>0.27536340959917416</v>
      </c>
      <c r="O91" s="305" t="str">
        <f t="shared" si="30"/>
        <v>Yes</v>
      </c>
      <c r="P91" s="304">
        <f t="shared" si="33"/>
        <v>1</v>
      </c>
      <c r="S91" s="287">
        <v>10603.96</v>
      </c>
      <c r="T91" s="188">
        <f t="shared" si="36"/>
        <v>-1.6604825554274782E-2</v>
      </c>
      <c r="U91" s="188">
        <f t="shared" si="31"/>
        <v>0.23550685799773485</v>
      </c>
      <c r="V91" s="305" t="str">
        <f t="shared" si="32"/>
        <v>No</v>
      </c>
      <c r="W91" s="304">
        <f t="shared" si="34"/>
        <v>0</v>
      </c>
      <c r="Z91" s="309">
        <v>2088.61</v>
      </c>
      <c r="AA91" s="310">
        <f t="shared" si="37"/>
        <v>-3.9913764571764765E-2</v>
      </c>
      <c r="AB91" s="310">
        <f t="shared" si="38"/>
        <v>0.38973836899819014</v>
      </c>
      <c r="AC91" s="308"/>
    </row>
    <row r="92" spans="1:29">
      <c r="A92" s="184">
        <v>90</v>
      </c>
      <c r="B92" s="1">
        <f t="shared" si="20"/>
        <v>38366</v>
      </c>
      <c r="C92" s="174"/>
      <c r="D92" s="2">
        <v>29620.68</v>
      </c>
      <c r="E92" s="2">
        <f>D92+SUM(Holdings_Old!$E$32:$E$34)</f>
        <v>29620.68</v>
      </c>
      <c r="F92" s="2">
        <f t="shared" si="25"/>
        <v>103.63000000000102</v>
      </c>
      <c r="G92" s="188">
        <f t="shared" si="26"/>
        <v>3.5108522023712396E-3</v>
      </c>
      <c r="H92" s="2">
        <f t="shared" si="27"/>
        <v>6764.8300000000017</v>
      </c>
      <c r="I92" s="188">
        <f t="shared" si="28"/>
        <v>0.29597805375866582</v>
      </c>
      <c r="K92" s="174"/>
      <c r="L92" s="287">
        <v>1184.52</v>
      </c>
      <c r="M92" s="188">
        <f t="shared" si="35"/>
        <v>-1.4078688911557391E-3</v>
      </c>
      <c r="N92" s="188">
        <f t="shared" si="29"/>
        <v>0.27356786512988118</v>
      </c>
      <c r="O92" s="305" t="str">
        <f t="shared" si="30"/>
        <v>Yes</v>
      </c>
      <c r="P92" s="304">
        <f t="shared" si="33"/>
        <v>1</v>
      </c>
      <c r="S92" s="287">
        <v>10558</v>
      </c>
      <c r="T92" s="188">
        <f t="shared" si="36"/>
        <v>-4.3342298537526469E-3</v>
      </c>
      <c r="U92" s="188">
        <f t="shared" si="31"/>
        <v>0.23015188728928493</v>
      </c>
      <c r="V92" s="305" t="str">
        <f t="shared" si="32"/>
        <v>Yes</v>
      </c>
      <c r="W92" s="304">
        <f t="shared" si="34"/>
        <v>1</v>
      </c>
      <c r="Z92" s="309">
        <v>2087.91</v>
      </c>
      <c r="AA92" s="310">
        <f t="shared" si="37"/>
        <v>-3.3515112922000156E-4</v>
      </c>
      <c r="AB92" s="310">
        <f t="shared" si="38"/>
        <v>0.38927259661449987</v>
      </c>
      <c r="AC92" s="308"/>
    </row>
    <row r="93" spans="1:29">
      <c r="A93" s="184">
        <v>91</v>
      </c>
      <c r="B93" s="1">
        <f t="shared" si="20"/>
        <v>38373</v>
      </c>
      <c r="C93" s="174"/>
      <c r="D93" s="2">
        <v>29153.360000000001</v>
      </c>
      <c r="E93" s="2">
        <f>D93+SUM(Holdings_Old!$E$32:$E$34)</f>
        <v>29153.360000000001</v>
      </c>
      <c r="F93" s="2">
        <f t="shared" si="25"/>
        <v>-467.31999999999971</v>
      </c>
      <c r="G93" s="188">
        <f t="shared" si="26"/>
        <v>-1.5776815387087639E-2</v>
      </c>
      <c r="H93" s="2">
        <f t="shared" si="27"/>
        <v>6297.510000000002</v>
      </c>
      <c r="I93" s="188">
        <f t="shared" si="28"/>
        <v>0.27553164725879808</v>
      </c>
      <c r="K93" s="174"/>
      <c r="L93" s="287">
        <v>1167.8699999999999</v>
      </c>
      <c r="M93" s="188">
        <f t="shared" si="35"/>
        <v>-1.4056326613311798E-2</v>
      </c>
      <c r="N93" s="188">
        <f t="shared" si="29"/>
        <v>0.25566617925339741</v>
      </c>
      <c r="O93" s="305" t="str">
        <f t="shared" si="30"/>
        <v>No</v>
      </c>
      <c r="P93" s="304">
        <f t="shared" si="33"/>
        <v>0</v>
      </c>
      <c r="S93" s="287">
        <v>10392.99</v>
      </c>
      <c r="T93" s="188">
        <f t="shared" si="36"/>
        <v>-1.5628906989960223E-2</v>
      </c>
      <c r="U93" s="188">
        <f t="shared" si="31"/>
        <v>0.21092595785931656</v>
      </c>
      <c r="V93" s="305" t="str">
        <f t="shared" si="32"/>
        <v>No</v>
      </c>
      <c r="W93" s="304">
        <f t="shared" si="34"/>
        <v>0</v>
      </c>
      <c r="Z93" s="309">
        <v>2034.27</v>
      </c>
      <c r="AA93" s="310">
        <f t="shared" si="37"/>
        <v>-2.5690762532867728E-2</v>
      </c>
      <c r="AB93" s="310">
        <f t="shared" si="38"/>
        <v>0.35358112424145638</v>
      </c>
      <c r="AC93" s="308"/>
    </row>
    <row r="94" spans="1:29">
      <c r="A94" s="184">
        <v>92</v>
      </c>
      <c r="B94" s="1">
        <f t="shared" si="20"/>
        <v>38380</v>
      </c>
      <c r="C94" s="174"/>
      <c r="D94" s="2">
        <v>29468</v>
      </c>
      <c r="E94" s="2">
        <f>D94+SUM(Holdings_Old!$E$32:$E$34)</f>
        <v>29468</v>
      </c>
      <c r="F94" s="2">
        <f t="shared" si="25"/>
        <v>314.63999999999942</v>
      </c>
      <c r="G94" s="188">
        <f t="shared" si="26"/>
        <v>1.0792581026680903E-2</v>
      </c>
      <c r="H94" s="2">
        <f t="shared" si="27"/>
        <v>6612.1500000000015</v>
      </c>
      <c r="I94" s="188">
        <f t="shared" si="28"/>
        <v>0.28929792591393455</v>
      </c>
      <c r="K94" s="174"/>
      <c r="L94" s="287">
        <v>1171.3599999999999</v>
      </c>
      <c r="M94" s="188">
        <f t="shared" si="35"/>
        <v>2.9883463056676884E-3</v>
      </c>
      <c r="N94" s="188">
        <f t="shared" si="29"/>
        <v>0.25941854464132108</v>
      </c>
      <c r="O94" s="305" t="str">
        <f t="shared" si="30"/>
        <v>Yes</v>
      </c>
      <c r="P94" s="304">
        <f t="shared" si="33"/>
        <v>1</v>
      </c>
      <c r="S94" s="287">
        <v>10427.200000000001</v>
      </c>
      <c r="T94" s="188">
        <f t="shared" si="36"/>
        <v>3.2916417700779022E-3</v>
      </c>
      <c r="U94" s="188">
        <f t="shared" si="31"/>
        <v>0.21491189232267782</v>
      </c>
      <c r="V94" s="305" t="str">
        <f t="shared" si="32"/>
        <v>Yes</v>
      </c>
      <c r="W94" s="304">
        <f t="shared" si="34"/>
        <v>1</v>
      </c>
      <c r="Z94" s="309">
        <v>2035.83</v>
      </c>
      <c r="AA94" s="310">
        <f t="shared" si="37"/>
        <v>7.668598563612683E-4</v>
      </c>
      <c r="AB94" s="310">
        <f t="shared" si="38"/>
        <v>0.3546191312679654</v>
      </c>
      <c r="AC94" s="308"/>
    </row>
    <row r="95" spans="1:29">
      <c r="A95" s="184">
        <v>93</v>
      </c>
      <c r="B95" s="1">
        <f t="shared" si="20"/>
        <v>38387</v>
      </c>
      <c r="C95" s="174"/>
      <c r="D95" s="2">
        <v>30195.15</v>
      </c>
      <c r="E95" s="2">
        <f>D95+SUM(Holdings_Old!$E$32:$E$34)</f>
        <v>30195.15</v>
      </c>
      <c r="F95" s="2">
        <f t="shared" si="25"/>
        <v>727.15000000000146</v>
      </c>
      <c r="G95" s="188">
        <f t="shared" si="26"/>
        <v>2.4675919641645283E-2</v>
      </c>
      <c r="H95" s="2">
        <f t="shared" si="27"/>
        <v>7339.3000000000029</v>
      </c>
      <c r="I95" s="188">
        <f t="shared" si="28"/>
        <v>0.32111253792792671</v>
      </c>
      <c r="K95" s="174"/>
      <c r="L95" s="287">
        <v>1203.03</v>
      </c>
      <c r="M95" s="188">
        <f t="shared" si="35"/>
        <v>2.7036948504302716E-2</v>
      </c>
      <c r="N95" s="188">
        <f t="shared" si="29"/>
        <v>0.2934693789781524</v>
      </c>
      <c r="O95" s="305" t="str">
        <f t="shared" si="30"/>
        <v>No</v>
      </c>
      <c r="P95" s="304">
        <f t="shared" si="33"/>
        <v>0</v>
      </c>
      <c r="S95" s="287">
        <v>10716.13</v>
      </c>
      <c r="T95" s="188">
        <f t="shared" si="36"/>
        <v>2.7709260395887503E-2</v>
      </c>
      <c r="U95" s="188">
        <f t="shared" si="31"/>
        <v>0.24857620230510746</v>
      </c>
      <c r="V95" s="305" t="str">
        <f t="shared" si="32"/>
        <v>No</v>
      </c>
      <c r="W95" s="304">
        <f t="shared" si="34"/>
        <v>0</v>
      </c>
      <c r="Z95" s="309">
        <v>2086.66</v>
      </c>
      <c r="AA95" s="310">
        <f t="shared" si="37"/>
        <v>2.4967703590181856E-2</v>
      </c>
      <c r="AB95" s="310">
        <f t="shared" si="38"/>
        <v>0.38844086021505353</v>
      </c>
      <c r="AC95" s="308"/>
    </row>
    <row r="96" spans="1:29">
      <c r="A96" s="184">
        <v>94</v>
      </c>
      <c r="B96" s="1">
        <f t="shared" si="20"/>
        <v>38394</v>
      </c>
      <c r="C96" s="174"/>
      <c r="D96" s="2">
        <v>30017.11</v>
      </c>
      <c r="E96" s="2">
        <f>D96+SUM(Holdings_Old!$E$32:$E$34)</f>
        <v>30017.11</v>
      </c>
      <c r="F96" s="2">
        <f t="shared" si="25"/>
        <v>-178.04000000000087</v>
      </c>
      <c r="G96" s="188">
        <f t="shared" si="26"/>
        <v>-5.8963111625542908E-3</v>
      </c>
      <c r="H96" s="2">
        <f t="shared" si="27"/>
        <v>7161.260000000002</v>
      </c>
      <c r="I96" s="188">
        <f t="shared" si="28"/>
        <v>0.31332284732355187</v>
      </c>
      <c r="K96" s="174"/>
      <c r="L96" s="287">
        <v>1205.3</v>
      </c>
      <c r="M96" s="188">
        <f t="shared" si="35"/>
        <v>1.8869022385143985E-3</v>
      </c>
      <c r="N96" s="188">
        <f t="shared" si="29"/>
        <v>0.29591002924479604</v>
      </c>
      <c r="O96" s="305" t="str">
        <f t="shared" si="30"/>
        <v>No</v>
      </c>
      <c r="P96" s="304">
        <f t="shared" si="33"/>
        <v>0</v>
      </c>
      <c r="S96" s="287">
        <v>10796.01</v>
      </c>
      <c r="T96" s="188">
        <f t="shared" si="36"/>
        <v>7.4541835532044853E-3</v>
      </c>
      <c r="U96" s="188">
        <f t="shared" si="31"/>
        <v>0.25788331849725266</v>
      </c>
      <c r="V96" s="305" t="str">
        <f t="shared" si="32"/>
        <v>No</v>
      </c>
      <c r="W96" s="304">
        <f t="shared" si="34"/>
        <v>0</v>
      </c>
      <c r="Z96" s="309">
        <v>2076.66</v>
      </c>
      <c r="AA96" s="310">
        <f t="shared" si="37"/>
        <v>-4.7923475793852921E-3</v>
      </c>
      <c r="AB96" s="310">
        <f t="shared" si="38"/>
        <v>0.38178696901948239</v>
      </c>
      <c r="AC96" s="308"/>
    </row>
    <row r="97" spans="1:29">
      <c r="A97" s="184">
        <v>95</v>
      </c>
      <c r="B97" s="1">
        <f t="shared" si="20"/>
        <v>38401</v>
      </c>
      <c r="C97" s="174"/>
      <c r="D97" s="2">
        <v>30045.41</v>
      </c>
      <c r="E97" s="2">
        <f>D97+SUM(Holdings_Old!$E$32:$E$34)</f>
        <v>30045.41</v>
      </c>
      <c r="F97" s="2">
        <f t="shared" si="25"/>
        <v>28.299999999999272</v>
      </c>
      <c r="G97" s="188">
        <f t="shared" si="26"/>
        <v>9.4279562556143226E-4</v>
      </c>
      <c r="H97" s="2">
        <f t="shared" si="27"/>
        <v>7189.5600000000013</v>
      </c>
      <c r="I97" s="188">
        <f t="shared" si="28"/>
        <v>0.31456104235895843</v>
      </c>
      <c r="K97" s="174"/>
      <c r="L97" s="287">
        <v>1201.5899999999999</v>
      </c>
      <c r="M97" s="188">
        <f t="shared" si="35"/>
        <v>-3.0780718493321757E-3</v>
      </c>
      <c r="N97" s="188">
        <f t="shared" si="29"/>
        <v>0.2919211250645104</v>
      </c>
      <c r="O97" s="305" t="str">
        <f t="shared" si="30"/>
        <v>Yes</v>
      </c>
      <c r="P97" s="304">
        <f t="shared" si="33"/>
        <v>1</v>
      </c>
      <c r="S97" s="287">
        <v>10785.22</v>
      </c>
      <c r="T97" s="188">
        <f t="shared" si="36"/>
        <v>-9.9944331285362065E-4</v>
      </c>
      <c r="U97" s="188">
        <f t="shared" si="31"/>
        <v>0.25662613542623047</v>
      </c>
      <c r="V97" s="305" t="str">
        <f t="shared" si="32"/>
        <v>Yes</v>
      </c>
      <c r="W97" s="304">
        <f t="shared" si="34"/>
        <v>1</v>
      </c>
      <c r="Z97" s="309">
        <v>2058.62</v>
      </c>
      <c r="AA97" s="310">
        <f t="shared" si="37"/>
        <v>-8.6870262825883282E-3</v>
      </c>
      <c r="AB97" s="310">
        <f t="shared" si="38"/>
        <v>0.36978334930267209</v>
      </c>
      <c r="AC97" s="308"/>
    </row>
    <row r="98" spans="1:29">
      <c r="A98" s="184">
        <v>96</v>
      </c>
      <c r="B98" s="1">
        <f t="shared" si="20"/>
        <v>38408</v>
      </c>
      <c r="C98" s="174"/>
      <c r="D98" s="2">
        <v>30331.03</v>
      </c>
      <c r="E98" s="2">
        <f>D98+SUM(Holdings_Old!$E$32:$E$34)</f>
        <v>30331.03</v>
      </c>
      <c r="F98" s="2">
        <f t="shared" si="25"/>
        <v>285.61999999999898</v>
      </c>
      <c r="G98" s="188">
        <f t="shared" si="26"/>
        <v>9.5062773315457427E-3</v>
      </c>
      <c r="H98" s="2">
        <f t="shared" si="27"/>
        <v>7475.18</v>
      </c>
      <c r="I98" s="188">
        <f t="shared" si="28"/>
        <v>0.32705762419686857</v>
      </c>
      <c r="K98" s="174"/>
      <c r="L98" s="287">
        <v>1211.3699999999999</v>
      </c>
      <c r="M98" s="188">
        <f t="shared" si="35"/>
        <v>8.1392155394102161E-3</v>
      </c>
      <c r="N98" s="188">
        <f t="shared" si="29"/>
        <v>0.30243634956132781</v>
      </c>
      <c r="O98" s="305" t="str">
        <f t="shared" si="30"/>
        <v>Yes</v>
      </c>
      <c r="P98" s="304">
        <f t="shared" si="33"/>
        <v>1</v>
      </c>
      <c r="S98" s="287">
        <v>10841.6</v>
      </c>
      <c r="T98" s="188">
        <f t="shared" si="36"/>
        <v>5.2275243342279065E-3</v>
      </c>
      <c r="U98" s="188">
        <f t="shared" si="31"/>
        <v>0.26319517912819768</v>
      </c>
      <c r="V98" s="305" t="str">
        <f t="shared" si="32"/>
        <v>Yes</v>
      </c>
      <c r="W98" s="304">
        <f t="shared" si="34"/>
        <v>1</v>
      </c>
      <c r="Z98" s="309">
        <v>2065.4</v>
      </c>
      <c r="AA98" s="310">
        <f t="shared" si="37"/>
        <v>3.2934684400229841E-3</v>
      </c>
      <c r="AB98" s="310">
        <f t="shared" si="38"/>
        <v>0.37429468753326933</v>
      </c>
      <c r="AC98" s="308"/>
    </row>
    <row r="99" spans="1:29">
      <c r="A99" s="184">
        <v>97</v>
      </c>
      <c r="B99" s="1">
        <f t="shared" si="20"/>
        <v>38415</v>
      </c>
      <c r="C99" s="174"/>
      <c r="D99" s="2">
        <v>30448.55</v>
      </c>
      <c r="E99" s="2">
        <f>D99+SUM(Holdings_Old!$E$32:$E$34)</f>
        <v>30448.55</v>
      </c>
      <c r="F99" s="2">
        <f t="shared" si="25"/>
        <v>117.52000000000044</v>
      </c>
      <c r="G99" s="188">
        <f t="shared" si="26"/>
        <v>3.874579926893329E-3</v>
      </c>
      <c r="H99" s="2">
        <f t="shared" si="27"/>
        <v>7592.7000000000007</v>
      </c>
      <c r="I99" s="188">
        <f t="shared" si="28"/>
        <v>0.33219941502941275</v>
      </c>
      <c r="K99" s="174"/>
      <c r="L99" s="287">
        <v>1222.1199999999999</v>
      </c>
      <c r="M99" s="188">
        <f t="shared" si="35"/>
        <v>8.874249816323676E-3</v>
      </c>
      <c r="N99" s="188">
        <f t="shared" si="29"/>
        <v>0.31399449509719579</v>
      </c>
      <c r="O99" s="305" t="str">
        <f t="shared" si="30"/>
        <v>No</v>
      </c>
      <c r="P99" s="304">
        <f t="shared" si="33"/>
        <v>0</v>
      </c>
      <c r="S99" s="287">
        <v>10940.55</v>
      </c>
      <c r="T99" s="188">
        <f t="shared" si="36"/>
        <v>9.1268816410861042E-3</v>
      </c>
      <c r="U99" s="188">
        <f t="shared" si="31"/>
        <v>0.27472421201769137</v>
      </c>
      <c r="V99" s="305" t="str">
        <f t="shared" si="32"/>
        <v>No</v>
      </c>
      <c r="W99" s="304">
        <f t="shared" si="34"/>
        <v>0</v>
      </c>
      <c r="Z99" s="309">
        <v>2070.61</v>
      </c>
      <c r="AA99" s="310">
        <f t="shared" si="37"/>
        <v>2.5225137987798796E-3</v>
      </c>
      <c r="AB99" s="310">
        <f t="shared" si="38"/>
        <v>0.37776136484616196</v>
      </c>
      <c r="AC99" s="308"/>
    </row>
    <row r="100" spans="1:29">
      <c r="A100" s="184">
        <v>98</v>
      </c>
      <c r="B100" s="1">
        <f t="shared" si="20"/>
        <v>38422</v>
      </c>
      <c r="C100" s="174"/>
      <c r="D100" s="2">
        <v>30416.01</v>
      </c>
      <c r="E100" s="2">
        <f>D100+SUM(Holdings_Old!$E$32:$E$34)</f>
        <v>30416.01</v>
      </c>
      <c r="F100" s="2">
        <f t="shared" si="25"/>
        <v>-32.540000000000873</v>
      </c>
      <c r="G100" s="188">
        <f t="shared" si="26"/>
        <v>-1.068687999921214E-3</v>
      </c>
      <c r="H100" s="2">
        <f t="shared" si="27"/>
        <v>7560.16</v>
      </c>
      <c r="I100" s="188">
        <f t="shared" si="28"/>
        <v>0.3307757095010686</v>
      </c>
      <c r="K100" s="174"/>
      <c r="L100" s="287">
        <v>1200.08</v>
      </c>
      <c r="M100" s="188">
        <f t="shared" si="35"/>
        <v>-1.8034235590613013E-2</v>
      </c>
      <c r="N100" s="188">
        <f t="shared" si="29"/>
        <v>0.29029760880784439</v>
      </c>
      <c r="O100" s="305" t="str">
        <f t="shared" si="30"/>
        <v>Yes</v>
      </c>
      <c r="P100" s="304">
        <f t="shared" si="33"/>
        <v>1</v>
      </c>
      <c r="S100" s="287">
        <v>10774.36</v>
      </c>
      <c r="T100" s="188">
        <f t="shared" si="36"/>
        <v>-1.5190278368089283E-2</v>
      </c>
      <c r="U100" s="188">
        <f t="shared" ref="U100:U131" si="39">(S100/$S$3)-1</f>
        <v>0.25536079639459941</v>
      </c>
      <c r="V100" s="305" t="str">
        <f t="shared" ref="V100:V131" si="40">IF(G100&gt;T100,"Yes","No")</f>
        <v>Yes</v>
      </c>
      <c r="W100" s="304">
        <f t="shared" si="34"/>
        <v>1</v>
      </c>
      <c r="Z100" s="309">
        <v>2041.6</v>
      </c>
      <c r="AA100" s="310">
        <f t="shared" si="37"/>
        <v>-1.4010364095604744E-2</v>
      </c>
      <c r="AB100" s="310">
        <f t="shared" si="38"/>
        <v>0.3584584264878099</v>
      </c>
      <c r="AC100" s="308"/>
    </row>
    <row r="101" spans="1:29">
      <c r="A101" s="184">
        <v>99</v>
      </c>
      <c r="B101" s="1">
        <f t="shared" si="20"/>
        <v>38429</v>
      </c>
      <c r="C101" s="174"/>
      <c r="D101" s="2">
        <v>29982.94</v>
      </c>
      <c r="E101" s="2">
        <f>D101+SUM(Holdings_Old!$E$32:$E$34)</f>
        <v>29982.94</v>
      </c>
      <c r="F101" s="2">
        <f t="shared" si="25"/>
        <v>-433.06999999999971</v>
      </c>
      <c r="G101" s="188">
        <f t="shared" si="26"/>
        <v>-1.423822519784812E-2</v>
      </c>
      <c r="H101" s="2">
        <f t="shared" si="27"/>
        <v>7127.09</v>
      </c>
      <c r="I101" s="188">
        <f t="shared" si="28"/>
        <v>0.31182782526136643</v>
      </c>
      <c r="K101" s="174"/>
      <c r="L101" s="287">
        <v>1189.6500000000001</v>
      </c>
      <c r="M101" s="188">
        <f t="shared" si="35"/>
        <v>-8.6910872608491063E-3</v>
      </c>
      <c r="N101" s="188">
        <f t="shared" si="29"/>
        <v>0.27908351969723033</v>
      </c>
      <c r="O101" s="305" t="str">
        <f t="shared" si="30"/>
        <v>No</v>
      </c>
      <c r="P101" s="304">
        <f t="shared" si="33"/>
        <v>0</v>
      </c>
      <c r="S101" s="287">
        <v>10629.67</v>
      </c>
      <c r="T101" s="188">
        <f t="shared" si="36"/>
        <v>-1.342910390965224E-2</v>
      </c>
      <c r="U101" s="188">
        <f t="shared" si="39"/>
        <v>0.23850242581571246</v>
      </c>
      <c r="V101" s="305" t="str">
        <f t="shared" si="40"/>
        <v>No</v>
      </c>
      <c r="W101" s="304">
        <f t="shared" si="34"/>
        <v>0</v>
      </c>
      <c r="Z101" s="309">
        <v>2007.79</v>
      </c>
      <c r="AA101" s="310">
        <f t="shared" si="37"/>
        <v>-1.6560540752351027E-2</v>
      </c>
      <c r="AB101" s="310">
        <f t="shared" si="38"/>
        <v>0.33596162035558375</v>
      </c>
      <c r="AC101" s="308"/>
    </row>
    <row r="102" spans="1:29">
      <c r="A102" s="184">
        <v>100</v>
      </c>
      <c r="B102" s="1">
        <f t="shared" si="20"/>
        <v>38436</v>
      </c>
      <c r="C102" s="174"/>
      <c r="D102" s="2">
        <v>29314.02</v>
      </c>
      <c r="E102" s="2">
        <f>D102+SUM(Holdings_Old!$E$32:$E$34)</f>
        <v>29314.02</v>
      </c>
      <c r="F102" s="2">
        <f t="shared" si="25"/>
        <v>-668.91999999999825</v>
      </c>
      <c r="G102" s="188">
        <f t="shared" si="26"/>
        <v>-2.2310020298209499E-2</v>
      </c>
      <c r="H102" s="2">
        <f t="shared" si="27"/>
        <v>6458.1700000000019</v>
      </c>
      <c r="I102" s="188">
        <f t="shared" si="28"/>
        <v>0.28256091985202914</v>
      </c>
      <c r="K102" s="174"/>
      <c r="L102" s="287">
        <v>1171.42</v>
      </c>
      <c r="M102" s="188">
        <f t="shared" si="35"/>
        <v>-1.5323834741310494E-2</v>
      </c>
      <c r="N102" s="188">
        <f t="shared" si="29"/>
        <v>0.2594830552210563</v>
      </c>
      <c r="O102" s="305" t="str">
        <f t="shared" si="30"/>
        <v>No</v>
      </c>
      <c r="P102" s="304">
        <f t="shared" si="33"/>
        <v>0</v>
      </c>
      <c r="S102" s="287">
        <v>10442.870000000001</v>
      </c>
      <c r="T102" s="188">
        <f t="shared" si="36"/>
        <v>-1.7573452421382751E-2</v>
      </c>
      <c r="U102" s="188">
        <f t="shared" si="39"/>
        <v>0.21673766236187308</v>
      </c>
      <c r="V102" s="305" t="str">
        <f t="shared" si="40"/>
        <v>No</v>
      </c>
      <c r="W102" s="304">
        <f t="shared" si="34"/>
        <v>0</v>
      </c>
      <c r="Z102" s="309">
        <v>1991.06</v>
      </c>
      <c r="AA102" s="310">
        <f t="shared" si="37"/>
        <v>-8.3325447382445184E-3</v>
      </c>
      <c r="AB102" s="310">
        <f t="shared" si="38"/>
        <v>0.32482966038539329</v>
      </c>
      <c r="AC102" s="308"/>
    </row>
    <row r="103" spans="1:29">
      <c r="A103" s="184">
        <v>101</v>
      </c>
      <c r="B103" s="1">
        <f t="shared" si="20"/>
        <v>38443</v>
      </c>
      <c r="C103" s="174"/>
      <c r="D103" s="2">
        <v>29238.74</v>
      </c>
      <c r="E103" s="2">
        <f>D103+SUM(Holdings_Old!$E$32:$E$34)</f>
        <v>29238.74</v>
      </c>
      <c r="F103" s="2">
        <f t="shared" si="25"/>
        <v>-75.279999999998836</v>
      </c>
      <c r="G103" s="188">
        <f t="shared" si="26"/>
        <v>-2.5680544667704419E-3</v>
      </c>
      <c r="H103" s="2">
        <f t="shared" si="27"/>
        <v>6382.8900000000031</v>
      </c>
      <c r="I103" s="188">
        <f t="shared" si="28"/>
        <v>0.27926723355289806</v>
      </c>
      <c r="K103" s="174"/>
      <c r="L103" s="287">
        <v>1172.92</v>
      </c>
      <c r="M103" s="188">
        <f t="shared" si="35"/>
        <v>1.2804971743696214E-3</v>
      </c>
      <c r="N103" s="188">
        <f t="shared" si="29"/>
        <v>0.2610958197144333</v>
      </c>
      <c r="O103" s="305" t="str">
        <f t="shared" si="30"/>
        <v>No</v>
      </c>
      <c r="P103" s="304">
        <f t="shared" si="33"/>
        <v>0</v>
      </c>
      <c r="S103" s="287">
        <v>10404.299999999999</v>
      </c>
      <c r="T103" s="188">
        <f t="shared" si="36"/>
        <v>-3.6934291052174162E-3</v>
      </c>
      <c r="U103" s="188">
        <f t="shared" si="39"/>
        <v>0.21224372806629144</v>
      </c>
      <c r="V103" s="305" t="str">
        <f t="shared" si="40"/>
        <v>Yes</v>
      </c>
      <c r="W103" s="304">
        <f t="shared" si="34"/>
        <v>1</v>
      </c>
      <c r="Z103" s="309">
        <v>1984.81</v>
      </c>
      <c r="AA103" s="310">
        <f t="shared" si="37"/>
        <v>-3.1390314706739586E-3</v>
      </c>
      <c r="AB103" s="310">
        <f t="shared" si="38"/>
        <v>0.32067097838816117</v>
      </c>
      <c r="AC103" s="308"/>
    </row>
    <row r="104" spans="1:29">
      <c r="A104" s="184">
        <v>102</v>
      </c>
      <c r="B104" s="1">
        <f t="shared" si="20"/>
        <v>38450</v>
      </c>
      <c r="C104" s="174"/>
      <c r="D104" s="2">
        <v>29711.89</v>
      </c>
      <c r="E104" s="2">
        <f>D104+SUM(Holdings_Old!$E$32:$E$34)</f>
        <v>29711.89</v>
      </c>
      <c r="F104" s="2">
        <f t="shared" si="25"/>
        <v>473.14999999999782</v>
      </c>
      <c r="G104" s="188">
        <f t="shared" si="26"/>
        <v>1.6182297869196782E-2</v>
      </c>
      <c r="H104" s="2">
        <f t="shared" si="27"/>
        <v>6856.0400000000009</v>
      </c>
      <c r="I104" s="188">
        <f t="shared" si="28"/>
        <v>0.29996871698055427</v>
      </c>
      <c r="K104" s="174"/>
      <c r="L104" s="287">
        <v>1181.2</v>
      </c>
      <c r="M104" s="188">
        <f t="shared" si="35"/>
        <v>7.0593049824370091E-3</v>
      </c>
      <c r="N104" s="188">
        <f t="shared" si="29"/>
        <v>0.26999827971787371</v>
      </c>
      <c r="O104" s="305" t="str">
        <f t="shared" si="30"/>
        <v>Yes</v>
      </c>
      <c r="P104" s="304">
        <f t="shared" si="33"/>
        <v>1</v>
      </c>
      <c r="S104" s="287">
        <v>10461.34</v>
      </c>
      <c r="T104" s="188">
        <f t="shared" si="36"/>
        <v>5.4823486443105196E-3</v>
      </c>
      <c r="U104" s="188">
        <f t="shared" si="39"/>
        <v>0.21888967082542976</v>
      </c>
      <c r="V104" s="305" t="str">
        <f t="shared" si="40"/>
        <v>Yes</v>
      </c>
      <c r="W104" s="304">
        <f t="shared" si="34"/>
        <v>1</v>
      </c>
      <c r="Z104" s="309">
        <v>1999.35</v>
      </c>
      <c r="AA104" s="310">
        <f t="shared" si="37"/>
        <v>7.3256382222983696E-3</v>
      </c>
      <c r="AB104" s="310">
        <f t="shared" si="38"/>
        <v>0.33034573618652163</v>
      </c>
      <c r="AC104" s="308"/>
    </row>
    <row r="105" spans="1:29">
      <c r="A105" s="184">
        <v>103</v>
      </c>
      <c r="B105" s="1">
        <f t="shared" si="20"/>
        <v>38457</v>
      </c>
      <c r="C105" s="174"/>
      <c r="D105" s="2">
        <v>29034.68</v>
      </c>
      <c r="E105" s="2">
        <f>D105+SUM(Holdings_Old!$E$32:$E$34)</f>
        <v>29034.68</v>
      </c>
      <c r="F105" s="2">
        <f t="shared" si="25"/>
        <v>-677.20999999999913</v>
      </c>
      <c r="G105" s="188">
        <f t="shared" si="26"/>
        <v>-2.2792558803899743E-2</v>
      </c>
      <c r="H105" s="2">
        <f t="shared" si="27"/>
        <v>6178.8300000000017</v>
      </c>
      <c r="I105" s="188">
        <f t="shared" si="28"/>
        <v>0.27033910355554491</v>
      </c>
      <c r="K105" s="174"/>
      <c r="L105" s="287">
        <v>1142.6199999999999</v>
      </c>
      <c r="M105" s="188">
        <f t="shared" si="35"/>
        <v>-3.2661699966136215E-2</v>
      </c>
      <c r="N105" s="188">
        <f t="shared" si="29"/>
        <v>0.22851797694821929</v>
      </c>
      <c r="O105" s="305" t="str">
        <f t="shared" si="30"/>
        <v>Yes</v>
      </c>
      <c r="P105" s="304">
        <f t="shared" si="33"/>
        <v>1</v>
      </c>
      <c r="S105" s="287">
        <v>10087.51</v>
      </c>
      <c r="T105" s="188">
        <f t="shared" si="36"/>
        <v>-3.5734427903117538E-2</v>
      </c>
      <c r="U105" s="188">
        <f t="shared" si="39"/>
        <v>0.17533334576146387</v>
      </c>
      <c r="V105" s="305" t="str">
        <f t="shared" si="40"/>
        <v>Yes</v>
      </c>
      <c r="W105" s="304">
        <f t="shared" si="34"/>
        <v>1</v>
      </c>
      <c r="Z105" s="309">
        <v>1908.15</v>
      </c>
      <c r="AA105" s="310">
        <f t="shared" si="37"/>
        <v>-4.561482481806578E-2</v>
      </c>
      <c r="AB105" s="310">
        <f t="shared" si="38"/>
        <v>0.26966224848291276</v>
      </c>
      <c r="AC105" s="308"/>
    </row>
    <row r="106" spans="1:29">
      <c r="A106" s="184">
        <v>104</v>
      </c>
      <c r="B106" s="1">
        <f t="shared" ref="B106:B169" si="41">B105+7</f>
        <v>38464</v>
      </c>
      <c r="C106" s="174"/>
      <c r="D106" s="2">
        <v>29163.84</v>
      </c>
      <c r="E106" s="2">
        <f>D106+SUM(Holdings_Old!$E$32:$E$34)</f>
        <v>29163.84</v>
      </c>
      <c r="F106" s="2">
        <f t="shared" si="25"/>
        <v>129.15999999999985</v>
      </c>
      <c r="G106" s="188">
        <f t="shared" si="26"/>
        <v>4.4484733429126511E-3</v>
      </c>
      <c r="H106" s="2">
        <f t="shared" si="27"/>
        <v>6307.9900000000016</v>
      </c>
      <c r="I106" s="188">
        <f t="shared" si="28"/>
        <v>0.27599017319417141</v>
      </c>
      <c r="K106" s="174"/>
      <c r="L106" s="287">
        <v>1152.1199999999999</v>
      </c>
      <c r="M106" s="188">
        <f t="shared" si="35"/>
        <v>8.3142252017294194E-3</v>
      </c>
      <c r="N106" s="188">
        <f t="shared" si="29"/>
        <v>0.23873215207293974</v>
      </c>
      <c r="O106" s="305" t="str">
        <f t="shared" si="30"/>
        <v>No</v>
      </c>
      <c r="P106" s="304">
        <f t="shared" si="33"/>
        <v>0</v>
      </c>
      <c r="S106" s="287">
        <v>10157.709999999999</v>
      </c>
      <c r="T106" s="188">
        <f t="shared" si="36"/>
        <v>6.9591009079543742E-3</v>
      </c>
      <c r="U106" s="188">
        <f t="shared" si="39"/>
        <v>0.18351260911510137</v>
      </c>
      <c r="V106" s="305" t="str">
        <f t="shared" si="40"/>
        <v>No</v>
      </c>
      <c r="W106" s="304">
        <f t="shared" si="34"/>
        <v>0</v>
      </c>
      <c r="Z106" s="309">
        <v>1932.19</v>
      </c>
      <c r="AA106" s="310">
        <f t="shared" si="37"/>
        <v>1.2598590257579367E-2</v>
      </c>
      <c r="AB106" s="310">
        <f t="shared" si="38"/>
        <v>0.28565820291706578</v>
      </c>
      <c r="AC106" s="308"/>
    </row>
    <row r="107" spans="1:29">
      <c r="A107" s="184">
        <v>105</v>
      </c>
      <c r="B107" s="1">
        <f t="shared" si="41"/>
        <v>38471</v>
      </c>
      <c r="C107" s="174"/>
      <c r="D107" s="2">
        <v>29384.1</v>
      </c>
      <c r="E107" s="2">
        <f>D107+SUM(Holdings_Old!$E$32:$E$34)</f>
        <v>29384.1</v>
      </c>
      <c r="F107" s="2">
        <f t="shared" ref="F107:F170" si="42">E107-E106</f>
        <v>220.2599999999984</v>
      </c>
      <c r="G107" s="188">
        <f t="shared" ref="G107:G170" si="43">(E107/E106)-1</f>
        <v>7.5525033740411196E-3</v>
      </c>
      <c r="H107" s="2">
        <f t="shared" ref="H107:H170" si="44">E107-$D$3</f>
        <v>6528.25</v>
      </c>
      <c r="I107" s="188">
        <f t="shared" ref="I107:I170" si="45">(E107/$D$3)-1</f>
        <v>0.28562709328246383</v>
      </c>
      <c r="K107" s="174"/>
      <c r="L107" s="287">
        <v>1156.8499999999999</v>
      </c>
      <c r="M107" s="188">
        <f t="shared" si="35"/>
        <v>4.1054751241189624E-3</v>
      </c>
      <c r="N107" s="188">
        <f t="shared" si="29"/>
        <v>0.24381773610872171</v>
      </c>
      <c r="O107" s="305" t="str">
        <f t="shared" si="30"/>
        <v>Yes</v>
      </c>
      <c r="P107" s="304">
        <f t="shared" si="33"/>
        <v>1</v>
      </c>
      <c r="S107" s="287">
        <v>10192.51</v>
      </c>
      <c r="T107" s="188">
        <f t="shared" si="36"/>
        <v>3.4259690422349109E-3</v>
      </c>
      <c r="U107" s="188">
        <f t="shared" si="39"/>
        <v>0.18756728667502465</v>
      </c>
      <c r="V107" s="305" t="str">
        <f t="shared" si="40"/>
        <v>Yes</v>
      </c>
      <c r="W107" s="304">
        <f t="shared" si="34"/>
        <v>1</v>
      </c>
      <c r="Z107" s="309">
        <v>1921.65</v>
      </c>
      <c r="AA107" s="310">
        <f t="shared" si="37"/>
        <v>-5.4549500825488151E-3</v>
      </c>
      <c r="AB107" s="310">
        <f t="shared" si="38"/>
        <v>0.27864500159693395</v>
      </c>
      <c r="AC107" s="308"/>
    </row>
    <row r="108" spans="1:29">
      <c r="A108" s="184">
        <v>106</v>
      </c>
      <c r="B108" s="1">
        <f t="shared" si="41"/>
        <v>38478</v>
      </c>
      <c r="C108" s="174"/>
      <c r="D108" s="2">
        <v>29833.5</v>
      </c>
      <c r="E108" s="2">
        <f>D108+SUM(Holdings_Old!$E$32:$E$34)</f>
        <v>29833.5</v>
      </c>
      <c r="F108" s="2">
        <f t="shared" si="42"/>
        <v>449.40000000000146</v>
      </c>
      <c r="G108" s="188">
        <f t="shared" si="43"/>
        <v>1.5293985522782716E-2</v>
      </c>
      <c r="H108" s="2">
        <f t="shared" si="44"/>
        <v>6977.6500000000015</v>
      </c>
      <c r="I108" s="188">
        <f t="shared" si="45"/>
        <v>0.30528945543482311</v>
      </c>
      <c r="K108" s="174"/>
      <c r="L108" s="287">
        <v>1171.3499999999999</v>
      </c>
      <c r="M108" s="188">
        <f t="shared" si="35"/>
        <v>1.2534036391926406E-2</v>
      </c>
      <c r="N108" s="188">
        <f t="shared" si="29"/>
        <v>0.25940779287803184</v>
      </c>
      <c r="O108" s="305" t="str">
        <f t="shared" si="30"/>
        <v>Yes</v>
      </c>
      <c r="P108" s="304">
        <f t="shared" si="33"/>
        <v>1</v>
      </c>
      <c r="S108" s="287">
        <v>10345.4</v>
      </c>
      <c r="T108" s="188">
        <f t="shared" si="36"/>
        <v>1.5000230561461159E-2</v>
      </c>
      <c r="U108" s="188">
        <f t="shared" si="39"/>
        <v>0.20538106978239878</v>
      </c>
      <c r="V108" s="305" t="str">
        <f t="shared" si="40"/>
        <v>Yes</v>
      </c>
      <c r="W108" s="304">
        <f t="shared" si="34"/>
        <v>1</v>
      </c>
      <c r="Z108" s="309">
        <v>1967.35</v>
      </c>
      <c r="AA108" s="310">
        <f t="shared" si="37"/>
        <v>2.3781645981318045E-2</v>
      </c>
      <c r="AB108" s="310">
        <f t="shared" si="38"/>
        <v>0.3090532843606939</v>
      </c>
      <c r="AC108" s="308"/>
    </row>
    <row r="109" spans="1:29">
      <c r="A109" s="184">
        <v>107</v>
      </c>
      <c r="B109" s="1">
        <f t="shared" si="41"/>
        <v>38485</v>
      </c>
      <c r="C109" s="174"/>
      <c r="D109" s="2">
        <v>29673.86</v>
      </c>
      <c r="E109" s="2">
        <f>D109+SUM(Holdings_Old!$E$32:$E$34)</f>
        <v>29673.86</v>
      </c>
      <c r="F109" s="2">
        <f t="shared" si="42"/>
        <v>-159.63999999999942</v>
      </c>
      <c r="G109" s="188">
        <f t="shared" si="43"/>
        <v>-5.3510315584829327E-3</v>
      </c>
      <c r="H109" s="2">
        <f t="shared" si="44"/>
        <v>6818.010000000002</v>
      </c>
      <c r="I109" s="188">
        <f t="shared" si="45"/>
        <v>0.29830481036583634</v>
      </c>
      <c r="K109" s="174"/>
      <c r="L109" s="287">
        <v>1154.05</v>
      </c>
      <c r="M109" s="188">
        <f t="shared" si="35"/>
        <v>-1.4769283305587577E-2</v>
      </c>
      <c r="N109" s="188">
        <f t="shared" si="29"/>
        <v>0.24080724238775142</v>
      </c>
      <c r="O109" s="305" t="str">
        <f t="shared" si="30"/>
        <v>Yes</v>
      </c>
      <c r="P109" s="304">
        <f t="shared" si="33"/>
        <v>1</v>
      </c>
      <c r="S109" s="287">
        <v>10140.120000000001</v>
      </c>
      <c r="T109" s="188">
        <f t="shared" si="36"/>
        <v>-1.9842635374175854E-2</v>
      </c>
      <c r="U109" s="188">
        <f t="shared" si="39"/>
        <v>0.1814631327277727</v>
      </c>
      <c r="V109" s="305" t="str">
        <f t="shared" si="40"/>
        <v>Yes</v>
      </c>
      <c r="W109" s="304">
        <f t="shared" si="34"/>
        <v>1</v>
      </c>
      <c r="Z109" s="309">
        <v>1976.78</v>
      </c>
      <c r="AA109" s="310">
        <f t="shared" si="37"/>
        <v>4.7932498030345272E-3</v>
      </c>
      <c r="AB109" s="310">
        <f t="shared" si="38"/>
        <v>0.31532790375811759</v>
      </c>
      <c r="AC109" s="308"/>
    </row>
    <row r="110" spans="1:29">
      <c r="A110" s="184">
        <v>108</v>
      </c>
      <c r="B110" s="1">
        <f t="shared" si="41"/>
        <v>38492</v>
      </c>
      <c r="C110" s="174"/>
      <c r="D110" s="2">
        <v>30096.27</v>
      </c>
      <c r="E110" s="2">
        <f>D110+SUM(Holdings_Old!$E$32:$E$35)</f>
        <v>30096.27</v>
      </c>
      <c r="F110" s="2">
        <f t="shared" si="42"/>
        <v>422.40999999999985</v>
      </c>
      <c r="G110" s="188">
        <f t="shared" si="43"/>
        <v>1.423508771693327E-2</v>
      </c>
      <c r="H110" s="2">
        <f t="shared" si="44"/>
        <v>7240.4200000000019</v>
      </c>
      <c r="I110" s="188">
        <f t="shared" si="45"/>
        <v>0.31678629322471052</v>
      </c>
      <c r="K110" s="174"/>
      <c r="L110" s="287">
        <v>1189.28</v>
      </c>
      <c r="M110" s="188">
        <f t="shared" si="35"/>
        <v>3.0527273515012388E-2</v>
      </c>
      <c r="N110" s="188">
        <f t="shared" si="29"/>
        <v>0.27868570445553065</v>
      </c>
      <c r="O110" s="305" t="str">
        <f t="shared" si="30"/>
        <v>No</v>
      </c>
      <c r="P110" s="304">
        <f t="shared" si="33"/>
        <v>0</v>
      </c>
      <c r="S110" s="287">
        <v>10471.91</v>
      </c>
      <c r="T110" s="188">
        <f t="shared" si="36"/>
        <v>3.2720520072740733E-2</v>
      </c>
      <c r="U110" s="188">
        <f t="shared" si="39"/>
        <v>0.22012122087739483</v>
      </c>
      <c r="V110" s="305" t="str">
        <f t="shared" si="40"/>
        <v>No</v>
      </c>
      <c r="W110" s="304">
        <f t="shared" si="34"/>
        <v>0</v>
      </c>
      <c r="Z110" s="309">
        <v>2046.42</v>
      </c>
      <c r="AA110" s="310">
        <f t="shared" si="37"/>
        <v>3.5229008792076133E-2</v>
      </c>
      <c r="AB110" s="310">
        <f t="shared" si="38"/>
        <v>0.36166560204407538</v>
      </c>
      <c r="AC110" s="308"/>
    </row>
    <row r="111" spans="1:29">
      <c r="A111" s="184">
        <v>109</v>
      </c>
      <c r="B111" s="1">
        <f t="shared" si="41"/>
        <v>38499</v>
      </c>
      <c r="C111" s="174"/>
      <c r="D111" s="2">
        <v>29882.27</v>
      </c>
      <c r="E111" s="2">
        <f>D111+SUM(Holdings_Old!$E$32:$E$35)</f>
        <v>29882.27</v>
      </c>
      <c r="F111" s="2">
        <f t="shared" si="42"/>
        <v>-214</v>
      </c>
      <c r="G111" s="188">
        <f t="shared" si="43"/>
        <v>-7.110515688488972E-3</v>
      </c>
      <c r="H111" s="2">
        <f t="shared" si="44"/>
        <v>7026.4200000000019</v>
      </c>
      <c r="I111" s="188">
        <f t="shared" si="45"/>
        <v>0.30742326362834915</v>
      </c>
      <c r="K111" s="174"/>
      <c r="L111" s="287">
        <v>1198.78</v>
      </c>
      <c r="M111" s="188">
        <f t="shared" si="35"/>
        <v>7.9880263688953956E-3</v>
      </c>
      <c r="N111" s="188">
        <f t="shared" si="29"/>
        <v>0.2888998795802511</v>
      </c>
      <c r="O111" s="305" t="str">
        <f t="shared" si="30"/>
        <v>No</v>
      </c>
      <c r="P111" s="304">
        <f t="shared" si="33"/>
        <v>0</v>
      </c>
      <c r="S111" s="287">
        <v>10542.55</v>
      </c>
      <c r="T111" s="188">
        <f t="shared" si="36"/>
        <v>6.7456653084299045E-3</v>
      </c>
      <c r="U111" s="188">
        <f t="shared" si="39"/>
        <v>0.22835175026914656</v>
      </c>
      <c r="V111" s="305" t="str">
        <f t="shared" si="40"/>
        <v>No</v>
      </c>
      <c r="W111" s="304">
        <f t="shared" si="34"/>
        <v>0</v>
      </c>
      <c r="Z111" s="309">
        <v>2075.73</v>
      </c>
      <c r="AA111" s="310">
        <f t="shared" si="37"/>
        <v>1.4322573078840106E-2</v>
      </c>
      <c r="AB111" s="310">
        <f t="shared" si="38"/>
        <v>0.38116815713829433</v>
      </c>
      <c r="AC111" s="308"/>
    </row>
    <row r="112" spans="1:29">
      <c r="A112" s="184">
        <v>110</v>
      </c>
      <c r="B112" s="1">
        <f t="shared" si="41"/>
        <v>38506</v>
      </c>
      <c r="C112" s="174"/>
      <c r="D112" s="2">
        <v>29745.97</v>
      </c>
      <c r="E112" s="2">
        <f>D112+SUM(Holdings_Old!$E$32:$E$35)</f>
        <v>29745.97</v>
      </c>
      <c r="F112" s="2">
        <f t="shared" si="42"/>
        <v>-136.29999999999927</v>
      </c>
      <c r="G112" s="188">
        <f t="shared" si="43"/>
        <v>-4.5612331325565192E-3</v>
      </c>
      <c r="H112" s="2">
        <f t="shared" si="44"/>
        <v>6890.1200000000026</v>
      </c>
      <c r="I112" s="188">
        <f t="shared" si="45"/>
        <v>0.30145980132001227</v>
      </c>
      <c r="K112" s="174"/>
      <c r="L112" s="287">
        <v>1196.02</v>
      </c>
      <c r="M112" s="188">
        <f t="shared" si="35"/>
        <v>-2.3023407130582374E-3</v>
      </c>
      <c r="N112" s="188">
        <f t="shared" si="29"/>
        <v>0.28593239291243755</v>
      </c>
      <c r="O112" s="305" t="str">
        <f t="shared" si="30"/>
        <v>No</v>
      </c>
      <c r="P112" s="304">
        <f t="shared" si="33"/>
        <v>0</v>
      </c>
      <c r="S112" s="287">
        <v>10460.969999999999</v>
      </c>
      <c r="T112" s="188">
        <f t="shared" si="36"/>
        <v>-7.7381658137737341E-3</v>
      </c>
      <c r="U112" s="188">
        <f t="shared" si="39"/>
        <v>0.21884656074792486</v>
      </c>
      <c r="V112" s="305" t="str">
        <f t="shared" si="40"/>
        <v>Yes</v>
      </c>
      <c r="W112" s="304">
        <f t="shared" si="34"/>
        <v>1</v>
      </c>
      <c r="Z112" s="309">
        <v>2071.77</v>
      </c>
      <c r="AA112" s="310">
        <f t="shared" si="37"/>
        <v>-1.9077625702764722E-3</v>
      </c>
      <c r="AB112" s="310">
        <f t="shared" si="38"/>
        <v>0.37853321622484826</v>
      </c>
      <c r="AC112" s="308"/>
    </row>
    <row r="113" spans="1:29">
      <c r="A113" s="184">
        <v>111</v>
      </c>
      <c r="B113" s="1">
        <f t="shared" si="41"/>
        <v>38513</v>
      </c>
      <c r="C113" s="174"/>
      <c r="D113" s="2">
        <v>30041.64</v>
      </c>
      <c r="E113" s="2">
        <f>D113+SUM(Holdings_Old!$E$32:$E$35)</f>
        <v>30041.64</v>
      </c>
      <c r="F113" s="2">
        <f t="shared" si="42"/>
        <v>295.66999999999825</v>
      </c>
      <c r="G113" s="188">
        <f t="shared" si="43"/>
        <v>9.9398338665708241E-3</v>
      </c>
      <c r="H113" s="2">
        <f t="shared" si="44"/>
        <v>7185.7900000000009</v>
      </c>
      <c r="I113" s="188">
        <f t="shared" si="45"/>
        <v>0.31439609552915337</v>
      </c>
      <c r="K113" s="174"/>
      <c r="L113" s="287">
        <v>1198.1099999999999</v>
      </c>
      <c r="M113" s="188">
        <f t="shared" si="35"/>
        <v>1.7474624170163988E-3</v>
      </c>
      <c r="N113" s="188">
        <f t="shared" si="29"/>
        <v>0.28817951143987597</v>
      </c>
      <c r="O113" s="305" t="str">
        <f t="shared" si="30"/>
        <v>Yes</v>
      </c>
      <c r="P113" s="304">
        <f t="shared" si="33"/>
        <v>1</v>
      </c>
      <c r="S113" s="287">
        <v>10512.63</v>
      </c>
      <c r="T113" s="188">
        <f t="shared" si="36"/>
        <v>4.938356576875691E-3</v>
      </c>
      <c r="U113" s="188">
        <f t="shared" si="39"/>
        <v>0.22486565967739658</v>
      </c>
      <c r="V113" s="305" t="str">
        <f t="shared" si="40"/>
        <v>Yes</v>
      </c>
      <c r="W113" s="304">
        <f t="shared" si="34"/>
        <v>1</v>
      </c>
      <c r="Z113" s="309">
        <v>2063</v>
      </c>
      <c r="AA113" s="310">
        <f t="shared" si="37"/>
        <v>-4.2330953725557841E-3</v>
      </c>
      <c r="AB113" s="310">
        <f t="shared" si="38"/>
        <v>0.37269775364633229</v>
      </c>
      <c r="AC113" s="308"/>
    </row>
    <row r="114" spans="1:29">
      <c r="A114" s="184">
        <v>112</v>
      </c>
      <c r="B114" s="1">
        <f t="shared" si="41"/>
        <v>38520</v>
      </c>
      <c r="C114" s="174"/>
      <c r="D114" s="2">
        <v>30265.919999999998</v>
      </c>
      <c r="E114" s="2">
        <f>D114+SUM(Holdings_Old!$E$32:$E$35)</f>
        <v>30265.919999999998</v>
      </c>
      <c r="F114" s="2">
        <f t="shared" si="42"/>
        <v>224.27999999999884</v>
      </c>
      <c r="G114" s="188">
        <f t="shared" si="43"/>
        <v>7.4656376948794012E-3</v>
      </c>
      <c r="H114" s="2">
        <f t="shared" si="44"/>
        <v>7410.07</v>
      </c>
      <c r="I114" s="188">
        <f t="shared" si="45"/>
        <v>0.32420890056593832</v>
      </c>
      <c r="K114" s="174"/>
      <c r="L114" s="287">
        <v>1216.96</v>
      </c>
      <c r="M114" s="188">
        <f t="shared" si="35"/>
        <v>1.5733112986286768E-2</v>
      </c>
      <c r="N114" s="188">
        <f t="shared" si="29"/>
        <v>0.30844658523997937</v>
      </c>
      <c r="O114" s="305" t="str">
        <f t="shared" si="30"/>
        <v>No</v>
      </c>
      <c r="P114" s="304">
        <f t="shared" si="33"/>
        <v>0</v>
      </c>
      <c r="S114" s="287">
        <v>10623.07</v>
      </c>
      <c r="T114" s="188">
        <f t="shared" si="36"/>
        <v>1.0505458672092516E-2</v>
      </c>
      <c r="U114" s="188">
        <f t="shared" si="39"/>
        <v>0.23773343524400303</v>
      </c>
      <c r="V114" s="305" t="str">
        <f t="shared" si="40"/>
        <v>No</v>
      </c>
      <c r="W114" s="304">
        <f t="shared" si="34"/>
        <v>0</v>
      </c>
      <c r="Z114" s="309">
        <v>2090.11</v>
      </c>
      <c r="AA114" s="310">
        <f t="shared" si="37"/>
        <v>1.3141056713523946E-2</v>
      </c>
      <c r="AB114" s="310">
        <f t="shared" si="38"/>
        <v>0.39073645267752588</v>
      </c>
      <c r="AC114" s="308"/>
    </row>
    <row r="115" spans="1:29">
      <c r="A115" s="184">
        <v>113</v>
      </c>
      <c r="B115" s="1">
        <f t="shared" si="41"/>
        <v>38527</v>
      </c>
      <c r="C115" s="174"/>
      <c r="D115" s="2">
        <v>29958.18</v>
      </c>
      <c r="E115" s="2">
        <f>D115+SUM(Holdings_Old!$E$32:$E$35)</f>
        <v>29958.18</v>
      </c>
      <c r="F115" s="2">
        <f t="shared" si="42"/>
        <v>-307.73999999999796</v>
      </c>
      <c r="G115" s="188">
        <f t="shared" si="43"/>
        <v>-1.0167871982744936E-2</v>
      </c>
      <c r="H115" s="2">
        <f t="shared" si="44"/>
        <v>7102.3300000000017</v>
      </c>
      <c r="I115" s="188">
        <f t="shared" si="45"/>
        <v>0.31074451398657255</v>
      </c>
      <c r="K115" s="174"/>
      <c r="L115" s="287">
        <v>1191.57</v>
      </c>
      <c r="M115" s="188">
        <f t="shared" si="35"/>
        <v>-2.086346305548259E-2</v>
      </c>
      <c r="N115" s="188">
        <f t="shared" si="29"/>
        <v>0.28114785824875277</v>
      </c>
      <c r="O115" s="305" t="str">
        <f t="shared" si="30"/>
        <v>Yes</v>
      </c>
      <c r="P115" s="304">
        <f t="shared" si="33"/>
        <v>1</v>
      </c>
      <c r="S115" s="287">
        <v>10297.84</v>
      </c>
      <c r="T115" s="188">
        <f t="shared" si="36"/>
        <v>-3.0615443558218103E-2</v>
      </c>
      <c r="U115" s="188">
        <f t="shared" si="39"/>
        <v>0.19983967711717088</v>
      </c>
      <c r="V115" s="305" t="str">
        <f t="shared" si="40"/>
        <v>Yes</v>
      </c>
      <c r="W115" s="304">
        <f t="shared" si="34"/>
        <v>1</v>
      </c>
      <c r="Z115" s="309">
        <v>2053.27</v>
      </c>
      <c r="AA115" s="310">
        <f t="shared" si="37"/>
        <v>-1.7625866581184813E-2</v>
      </c>
      <c r="AB115" s="310">
        <f t="shared" si="38"/>
        <v>0.3662235175130415</v>
      </c>
      <c r="AC115" s="308"/>
    </row>
    <row r="116" spans="1:29">
      <c r="A116" s="184">
        <v>114</v>
      </c>
      <c r="B116" s="1">
        <f t="shared" si="41"/>
        <v>38534</v>
      </c>
      <c r="C116" s="174"/>
      <c r="D116" s="2">
        <v>30063.439999999999</v>
      </c>
      <c r="E116" s="2">
        <f>D116+SUM(Holdings_Old!$E$32:$E$35)</f>
        <v>30063.439999999999</v>
      </c>
      <c r="F116" s="2">
        <f t="shared" si="42"/>
        <v>105.2599999999984</v>
      </c>
      <c r="G116" s="188">
        <f t="shared" si="43"/>
        <v>3.5135645756851908E-3</v>
      </c>
      <c r="H116" s="2">
        <f t="shared" si="44"/>
        <v>7207.59</v>
      </c>
      <c r="I116" s="188">
        <f t="shared" si="45"/>
        <v>0.31534989947868919</v>
      </c>
      <c r="K116" s="174"/>
      <c r="L116" s="287">
        <v>1194.44</v>
      </c>
      <c r="M116" s="188">
        <f t="shared" si="35"/>
        <v>2.4085869902734647E-3</v>
      </c>
      <c r="N116" s="188">
        <f t="shared" si="29"/>
        <v>0.2842336143127473</v>
      </c>
      <c r="O116" s="305" t="str">
        <f t="shared" si="30"/>
        <v>Yes</v>
      </c>
      <c r="P116" s="304">
        <f t="shared" si="33"/>
        <v>1</v>
      </c>
      <c r="S116" s="287">
        <v>10303.44</v>
      </c>
      <c r="T116" s="188">
        <f t="shared" si="36"/>
        <v>5.4380336070480872E-4</v>
      </c>
      <c r="U116" s="188">
        <f t="shared" si="39"/>
        <v>0.20049215396589415</v>
      </c>
      <c r="V116" s="305" t="str">
        <f t="shared" si="40"/>
        <v>Yes</v>
      </c>
      <c r="W116" s="304">
        <f t="shared" si="34"/>
        <v>1</v>
      </c>
      <c r="Z116" s="309">
        <v>2057.37</v>
      </c>
      <c r="AA116" s="310">
        <f t="shared" si="37"/>
        <v>1.9968148368212368E-3</v>
      </c>
      <c r="AB116" s="310">
        <f t="shared" si="38"/>
        <v>0.36895161290322553</v>
      </c>
      <c r="AC116" s="308"/>
    </row>
    <row r="117" spans="1:29">
      <c r="A117" s="184">
        <v>115</v>
      </c>
      <c r="B117" s="1">
        <f t="shared" si="41"/>
        <v>38541</v>
      </c>
      <c r="C117" s="174"/>
      <c r="D117" s="2">
        <v>30744.09</v>
      </c>
      <c r="E117" s="2">
        <f>D117+SUM(Holdings_Old!$E$32:$E$35)</f>
        <v>30744.09</v>
      </c>
      <c r="F117" s="2">
        <f t="shared" si="42"/>
        <v>680.65000000000146</v>
      </c>
      <c r="G117" s="188">
        <f t="shared" si="43"/>
        <v>2.2640456315045743E-2</v>
      </c>
      <c r="H117" s="2">
        <f t="shared" si="44"/>
        <v>7888.2400000000016</v>
      </c>
      <c r="I117" s="188">
        <f t="shared" si="45"/>
        <v>0.34513002141683646</v>
      </c>
      <c r="K117" s="174"/>
      <c r="L117" s="287">
        <v>1211.8599999999999</v>
      </c>
      <c r="M117" s="188">
        <f t="shared" si="35"/>
        <v>1.4584240313452179E-2</v>
      </c>
      <c r="N117" s="188">
        <f t="shared" si="29"/>
        <v>0.30296318596249772</v>
      </c>
      <c r="O117" s="305" t="str">
        <f t="shared" si="30"/>
        <v>Yes</v>
      </c>
      <c r="P117" s="304">
        <f t="shared" si="33"/>
        <v>1</v>
      </c>
      <c r="S117" s="287">
        <v>10449.14</v>
      </c>
      <c r="T117" s="188">
        <f t="shared" si="36"/>
        <v>1.4140908279176578E-2</v>
      </c>
      <c r="U117" s="188">
        <f t="shared" si="39"/>
        <v>0.21746820340499684</v>
      </c>
      <c r="V117" s="305" t="str">
        <f t="shared" si="40"/>
        <v>Yes</v>
      </c>
      <c r="W117" s="304">
        <f t="shared" si="34"/>
        <v>1</v>
      </c>
      <c r="Z117" s="309">
        <v>2112.88</v>
      </c>
      <c r="AA117" s="310">
        <f t="shared" si="37"/>
        <v>2.6981048620326131E-2</v>
      </c>
      <c r="AB117" s="310">
        <f t="shared" si="38"/>
        <v>0.4058873629298414</v>
      </c>
      <c r="AC117" s="308"/>
    </row>
    <row r="118" spans="1:29">
      <c r="A118" s="184">
        <v>116</v>
      </c>
      <c r="B118" s="1">
        <f t="shared" si="41"/>
        <v>38548</v>
      </c>
      <c r="C118" s="174"/>
      <c r="D118" s="2">
        <v>31087.040000000001</v>
      </c>
      <c r="E118" s="2">
        <f>D118+SUM(Holdings_Old!$E$32:$E$35)</f>
        <v>31087.040000000001</v>
      </c>
      <c r="F118" s="2">
        <f t="shared" si="42"/>
        <v>342.95000000000073</v>
      </c>
      <c r="G118" s="188">
        <f t="shared" si="43"/>
        <v>1.1154989463015408E-2</v>
      </c>
      <c r="H118" s="2">
        <f t="shared" si="44"/>
        <v>8231.1900000000023</v>
      </c>
      <c r="I118" s="188">
        <f t="shared" si="45"/>
        <v>0.36013493263212704</v>
      </c>
      <c r="K118" s="174"/>
      <c r="L118" s="287">
        <v>1227.92</v>
      </c>
      <c r="M118" s="188">
        <f t="shared" si="35"/>
        <v>1.3252355882692912E-2</v>
      </c>
      <c r="N118" s="188">
        <f t="shared" si="29"/>
        <v>0.32023051780492007</v>
      </c>
      <c r="O118" s="305" t="str">
        <f t="shared" si="30"/>
        <v>No</v>
      </c>
      <c r="P118" s="304">
        <f t="shared" si="33"/>
        <v>0</v>
      </c>
      <c r="S118" s="287">
        <v>10640.83</v>
      </c>
      <c r="T118" s="188">
        <f t="shared" si="36"/>
        <v>1.8345050406062269E-2</v>
      </c>
      <c r="U118" s="188">
        <f t="shared" si="39"/>
        <v>0.23980271896423955</v>
      </c>
      <c r="V118" s="305" t="str">
        <f t="shared" si="40"/>
        <v>No</v>
      </c>
      <c r="W118" s="304">
        <f t="shared" si="34"/>
        <v>0</v>
      </c>
      <c r="Z118" s="309">
        <v>2156.7800000000002</v>
      </c>
      <c r="AA118" s="310">
        <f t="shared" si="37"/>
        <v>2.0777327628639597E-2</v>
      </c>
      <c r="AB118" s="310">
        <f t="shared" si="38"/>
        <v>0.43509794527839873</v>
      </c>
      <c r="AC118" s="308"/>
    </row>
    <row r="119" spans="1:29">
      <c r="A119" s="184">
        <v>117</v>
      </c>
      <c r="B119" s="1">
        <f t="shared" si="41"/>
        <v>38555</v>
      </c>
      <c r="C119" s="174"/>
      <c r="D119" s="2">
        <v>31199.9</v>
      </c>
      <c r="E119" s="2">
        <f>D119+SUM(Holdings_Old!$E$32:$E$35)</f>
        <v>31199.9</v>
      </c>
      <c r="F119" s="2">
        <f t="shared" si="42"/>
        <v>112.86000000000058</v>
      </c>
      <c r="G119" s="188">
        <f t="shared" si="43"/>
        <v>3.6304517895560107E-3</v>
      </c>
      <c r="H119" s="2">
        <f t="shared" si="44"/>
        <v>8344.0500000000029</v>
      </c>
      <c r="I119" s="188">
        <f t="shared" si="45"/>
        <v>0.36507283693233905</v>
      </c>
      <c r="K119" s="174"/>
      <c r="L119" s="287">
        <v>1233.68</v>
      </c>
      <c r="M119" s="188">
        <f t="shared" si="35"/>
        <v>4.6908593393706344E-3</v>
      </c>
      <c r="N119" s="188">
        <f t="shared" si="29"/>
        <v>0.32642353345948738</v>
      </c>
      <c r="O119" s="305" t="str">
        <f t="shared" si="30"/>
        <v>No</v>
      </c>
      <c r="P119" s="304">
        <f t="shared" si="33"/>
        <v>0</v>
      </c>
      <c r="S119" s="287">
        <v>10651.18</v>
      </c>
      <c r="T119" s="188">
        <f t="shared" si="36"/>
        <v>9.7266848544719231E-4</v>
      </c>
      <c r="U119" s="188">
        <f t="shared" si="39"/>
        <v>0.24100863599714772</v>
      </c>
      <c r="V119" s="305" t="str">
        <f t="shared" si="40"/>
        <v>Yes</v>
      </c>
      <c r="W119" s="304">
        <f t="shared" si="34"/>
        <v>1</v>
      </c>
      <c r="Z119" s="309">
        <v>2179.7399999999998</v>
      </c>
      <c r="AA119" s="310">
        <f t="shared" si="37"/>
        <v>1.0645499309155149E-2</v>
      </c>
      <c r="AB119" s="310">
        <f t="shared" si="38"/>
        <v>0.45037527946342992</v>
      </c>
      <c r="AC119" s="308"/>
    </row>
    <row r="120" spans="1:29">
      <c r="A120" s="184">
        <v>118</v>
      </c>
      <c r="B120" s="1">
        <f t="shared" si="41"/>
        <v>38562</v>
      </c>
      <c r="C120" s="174"/>
      <c r="D120" s="2">
        <v>31264.81</v>
      </c>
      <c r="E120" s="2">
        <f>D120+SUM(Holdings_Old!$E$32:$E$35)</f>
        <v>31264.81</v>
      </c>
      <c r="F120" s="2">
        <f t="shared" si="42"/>
        <v>64.909999999999854</v>
      </c>
      <c r="G120" s="188">
        <f t="shared" si="43"/>
        <v>2.0804553860749309E-3</v>
      </c>
      <c r="H120" s="2">
        <f t="shared" si="44"/>
        <v>8408.9600000000028</v>
      </c>
      <c r="I120" s="188">
        <f t="shared" si="45"/>
        <v>0.36791281006831955</v>
      </c>
      <c r="K120" s="174"/>
      <c r="L120" s="287">
        <v>1234.18</v>
      </c>
      <c r="M120" s="188">
        <f t="shared" si="35"/>
        <v>4.052914856365053E-4</v>
      </c>
      <c r="N120" s="188">
        <f t="shared" si="29"/>
        <v>0.3269611216239463</v>
      </c>
      <c r="O120" s="305" t="str">
        <f t="shared" si="30"/>
        <v>Yes</v>
      </c>
      <c r="P120" s="304">
        <f t="shared" si="33"/>
        <v>1</v>
      </c>
      <c r="S120" s="287">
        <v>10640.91</v>
      </c>
      <c r="T120" s="188">
        <f t="shared" si="36"/>
        <v>-9.6421241590138873E-4</v>
      </c>
      <c r="U120" s="188">
        <f t="shared" si="39"/>
        <v>0.23981204006207846</v>
      </c>
      <c r="V120" s="305" t="str">
        <f t="shared" si="40"/>
        <v>Yes</v>
      </c>
      <c r="W120" s="304">
        <f t="shared" si="34"/>
        <v>1</v>
      </c>
      <c r="Z120" s="309">
        <v>2184.83</v>
      </c>
      <c r="AA120" s="310">
        <f t="shared" si="37"/>
        <v>2.3351408883629521E-3</v>
      </c>
      <c r="AB120" s="310">
        <f t="shared" si="38"/>
        <v>0.45376211008197576</v>
      </c>
      <c r="AC120" s="308"/>
    </row>
    <row r="121" spans="1:29">
      <c r="A121" s="184">
        <v>119</v>
      </c>
      <c r="B121" s="1">
        <f t="shared" si="41"/>
        <v>38569</v>
      </c>
      <c r="C121" s="174"/>
      <c r="D121" s="2">
        <v>31130</v>
      </c>
      <c r="E121" s="2">
        <f>D121+SUM(Holdings_Old!$E$32:$E$35)</f>
        <v>31130</v>
      </c>
      <c r="F121" s="2">
        <f t="shared" si="42"/>
        <v>-134.81000000000131</v>
      </c>
      <c r="G121" s="188">
        <f t="shared" si="43"/>
        <v>-4.3118765154818162E-3</v>
      </c>
      <c r="H121" s="2">
        <f t="shared" si="44"/>
        <v>8274.1500000000015</v>
      </c>
      <c r="I121" s="188">
        <f t="shared" si="45"/>
        <v>0.36201453894735924</v>
      </c>
      <c r="K121" s="174"/>
      <c r="L121" s="287">
        <v>1226.42</v>
      </c>
      <c r="M121" s="188">
        <f t="shared" si="35"/>
        <v>-6.2875755562397107E-3</v>
      </c>
      <c r="N121" s="188">
        <f t="shared" si="29"/>
        <v>0.31861775331154307</v>
      </c>
      <c r="O121" s="305" t="str">
        <f t="shared" si="30"/>
        <v>Yes</v>
      </c>
      <c r="P121" s="304">
        <f t="shared" si="33"/>
        <v>1</v>
      </c>
      <c r="S121" s="287">
        <v>10558.03</v>
      </c>
      <c r="T121" s="188">
        <f t="shared" si="36"/>
        <v>-7.788807536197484E-3</v>
      </c>
      <c r="U121" s="188">
        <f t="shared" si="39"/>
        <v>0.23015538270097458</v>
      </c>
      <c r="V121" s="305" t="str">
        <f t="shared" si="40"/>
        <v>Yes</v>
      </c>
      <c r="W121" s="304">
        <f t="shared" si="34"/>
        <v>1</v>
      </c>
      <c r="Z121" s="309">
        <v>2177.91</v>
      </c>
      <c r="AA121" s="310">
        <f t="shared" si="37"/>
        <v>-3.1672944805775094E-3</v>
      </c>
      <c r="AB121" s="310">
        <f t="shared" si="38"/>
        <v>0.44915761737464055</v>
      </c>
      <c r="AC121" s="308"/>
    </row>
    <row r="122" spans="1:29">
      <c r="A122" s="184">
        <v>120</v>
      </c>
      <c r="B122" s="1">
        <f t="shared" si="41"/>
        <v>38576</v>
      </c>
      <c r="C122" s="174"/>
      <c r="D122" s="2">
        <v>31163.54</v>
      </c>
      <c r="E122" s="2">
        <f>D122+SUM(Holdings_Old!$E$32:$E$35)</f>
        <v>31163.54</v>
      </c>
      <c r="F122" s="2">
        <f t="shared" si="42"/>
        <v>33.540000000000873</v>
      </c>
      <c r="G122" s="188">
        <f t="shared" si="43"/>
        <v>1.0774172823642125E-3</v>
      </c>
      <c r="H122" s="2">
        <f t="shared" si="44"/>
        <v>8307.6900000000023</v>
      </c>
      <c r="I122" s="188">
        <f t="shared" si="45"/>
        <v>0.36348199695045258</v>
      </c>
      <c r="K122" s="174"/>
      <c r="L122" s="287">
        <v>1230.3900000000001</v>
      </c>
      <c r="M122" s="188">
        <f t="shared" si="35"/>
        <v>3.2370639748211527E-3</v>
      </c>
      <c r="N122" s="188">
        <f t="shared" si="29"/>
        <v>0.32288620333734741</v>
      </c>
      <c r="O122" s="305" t="str">
        <f t="shared" si="30"/>
        <v>No</v>
      </c>
      <c r="P122" s="304">
        <f t="shared" si="33"/>
        <v>0</v>
      </c>
      <c r="S122" s="287">
        <v>10600.31</v>
      </c>
      <c r="T122" s="188">
        <f t="shared" si="36"/>
        <v>4.0045349369151051E-3</v>
      </c>
      <c r="U122" s="188">
        <f t="shared" si="39"/>
        <v>0.23508158290883485</v>
      </c>
      <c r="V122" s="305" t="str">
        <f t="shared" si="40"/>
        <v>No</v>
      </c>
      <c r="W122" s="304">
        <f t="shared" si="34"/>
        <v>0</v>
      </c>
      <c r="Z122" s="309">
        <v>2156.9</v>
      </c>
      <c r="AA122" s="310">
        <f t="shared" si="37"/>
        <v>-9.6468632771784524E-3</v>
      </c>
      <c r="AB122" s="310">
        <f t="shared" si="38"/>
        <v>0.43517779197274553</v>
      </c>
      <c r="AC122" s="308"/>
    </row>
    <row r="123" spans="1:29">
      <c r="A123" s="184">
        <v>121</v>
      </c>
      <c r="B123" s="1">
        <f t="shared" si="41"/>
        <v>38583</v>
      </c>
      <c r="C123" s="174"/>
      <c r="D123" s="2">
        <v>30853.97</v>
      </c>
      <c r="E123" s="2">
        <f>D123+SUM(Holdings_Old!$E$32:$E$35)</f>
        <v>30853.97</v>
      </c>
      <c r="F123" s="2">
        <f t="shared" si="42"/>
        <v>-309.56999999999971</v>
      </c>
      <c r="G123" s="188">
        <f t="shared" si="43"/>
        <v>-9.933723832401542E-3</v>
      </c>
      <c r="H123" s="2">
        <f t="shared" si="44"/>
        <v>7998.1200000000026</v>
      </c>
      <c r="I123" s="188">
        <f t="shared" si="45"/>
        <v>0.34993754334229554</v>
      </c>
      <c r="K123" s="174"/>
      <c r="L123" s="287">
        <v>1219.71</v>
      </c>
      <c r="M123" s="188">
        <f t="shared" si="35"/>
        <v>-8.6801745787921103E-3</v>
      </c>
      <c r="N123" s="188">
        <f t="shared" si="29"/>
        <v>0.31140332014450367</v>
      </c>
      <c r="O123" s="305" t="str">
        <f t="shared" si="30"/>
        <v>No</v>
      </c>
      <c r="P123" s="304">
        <f t="shared" si="33"/>
        <v>0</v>
      </c>
      <c r="S123" s="287">
        <v>10559.23</v>
      </c>
      <c r="T123" s="188">
        <f t="shared" si="36"/>
        <v>-3.8753583621611298E-3</v>
      </c>
      <c r="U123" s="188">
        <f t="shared" si="39"/>
        <v>0.23029519916855801</v>
      </c>
      <c r="V123" s="305" t="str">
        <f t="shared" si="40"/>
        <v>No</v>
      </c>
      <c r="W123" s="304">
        <f t="shared" si="34"/>
        <v>0</v>
      </c>
      <c r="Z123" s="309">
        <v>2135.56</v>
      </c>
      <c r="AA123" s="310">
        <f t="shared" si="37"/>
        <v>-9.8938291065882034E-3</v>
      </c>
      <c r="AB123" s="310">
        <f t="shared" si="38"/>
        <v>0.42097838816139665</v>
      </c>
      <c r="AC123" s="308"/>
    </row>
    <row r="124" spans="1:29">
      <c r="A124" s="184">
        <v>122</v>
      </c>
      <c r="B124" s="1">
        <f t="shared" si="41"/>
        <v>38590</v>
      </c>
      <c r="C124" s="174"/>
      <c r="D124" s="2">
        <v>30659.21</v>
      </c>
      <c r="E124" s="2">
        <f>D124+SUM(Holdings_Old!$E$32:$E$35)</f>
        <v>30659.21</v>
      </c>
      <c r="F124" s="2">
        <f t="shared" si="42"/>
        <v>-194.76000000000204</v>
      </c>
      <c r="G124" s="188">
        <f t="shared" si="43"/>
        <v>-6.3123157246863792E-3</v>
      </c>
      <c r="H124" s="2">
        <f t="shared" si="44"/>
        <v>7803.3600000000006</v>
      </c>
      <c r="I124" s="188">
        <f t="shared" si="45"/>
        <v>0.34141631136011141</v>
      </c>
      <c r="K124" s="174"/>
      <c r="L124" s="287">
        <v>1205.0999999999999</v>
      </c>
      <c r="M124" s="188">
        <f t="shared" si="35"/>
        <v>-1.1978257126694203E-2</v>
      </c>
      <c r="N124" s="188">
        <f t="shared" si="29"/>
        <v>0.29569499397901233</v>
      </c>
      <c r="O124" s="305" t="str">
        <f t="shared" si="30"/>
        <v>Yes</v>
      </c>
      <c r="P124" s="304">
        <f t="shared" si="33"/>
        <v>1</v>
      </c>
      <c r="S124" s="287">
        <v>10397.290000000001</v>
      </c>
      <c r="T124" s="188">
        <f t="shared" si="36"/>
        <v>-1.5336345547923402E-2</v>
      </c>
      <c r="U124" s="188">
        <f t="shared" si="39"/>
        <v>0.21142696686815787</v>
      </c>
      <c r="V124" s="305" t="str">
        <f t="shared" si="40"/>
        <v>Yes</v>
      </c>
      <c r="W124" s="304">
        <f t="shared" si="34"/>
        <v>1</v>
      </c>
      <c r="Z124" s="309">
        <v>2120.77</v>
      </c>
      <c r="AA124" s="310">
        <f t="shared" si="37"/>
        <v>-6.9255839217816639E-3</v>
      </c>
      <c r="AB124" s="310">
        <f t="shared" si="38"/>
        <v>0.41113728308314701</v>
      </c>
      <c r="AC124" s="308"/>
    </row>
    <row r="125" spans="1:29">
      <c r="A125" s="184">
        <v>123</v>
      </c>
      <c r="B125" s="1">
        <f t="shared" si="41"/>
        <v>38597</v>
      </c>
      <c r="C125" s="174"/>
      <c r="D125" s="2">
        <v>30735.9</v>
      </c>
      <c r="E125" s="2">
        <f>D125+SUM(Holdings_Old!$E$32:$E$35)</f>
        <v>30735.9</v>
      </c>
      <c r="F125" s="2">
        <f t="shared" si="42"/>
        <v>76.690000000002328</v>
      </c>
      <c r="G125" s="188">
        <f t="shared" si="43"/>
        <v>2.5013690828956658E-3</v>
      </c>
      <c r="H125" s="2">
        <f t="shared" si="44"/>
        <v>7880.0500000000029</v>
      </c>
      <c r="I125" s="188">
        <f t="shared" si="45"/>
        <v>0.34477168864863939</v>
      </c>
      <c r="K125" s="174"/>
      <c r="L125" s="287">
        <v>1218.02</v>
      </c>
      <c r="M125" s="188">
        <f t="shared" si="35"/>
        <v>1.0721101983238057E-2</v>
      </c>
      <c r="N125" s="188">
        <f t="shared" si="29"/>
        <v>0.30958627214863221</v>
      </c>
      <c r="O125" s="305" t="str">
        <f t="shared" si="30"/>
        <v>No</v>
      </c>
      <c r="P125" s="304">
        <f t="shared" si="33"/>
        <v>0</v>
      </c>
      <c r="S125" s="287">
        <v>10447.370000000001</v>
      </c>
      <c r="T125" s="188">
        <f t="shared" si="36"/>
        <v>4.8166397205424705E-3</v>
      </c>
      <c r="U125" s="188">
        <f t="shared" si="39"/>
        <v>0.21726197411531145</v>
      </c>
      <c r="V125" s="305" t="str">
        <f t="shared" si="40"/>
        <v>No</v>
      </c>
      <c r="W125" s="304">
        <f t="shared" si="34"/>
        <v>0</v>
      </c>
      <c r="Z125" s="309">
        <v>2141.0700000000002</v>
      </c>
      <c r="AA125" s="310">
        <f t="shared" si="37"/>
        <v>9.5719950772596984E-3</v>
      </c>
      <c r="AB125" s="310">
        <f t="shared" si="38"/>
        <v>0.42464468221015661</v>
      </c>
      <c r="AC125" s="308"/>
    </row>
    <row r="126" spans="1:29">
      <c r="A126" s="184">
        <v>124</v>
      </c>
      <c r="B126" s="1">
        <f t="shared" si="41"/>
        <v>38604</v>
      </c>
      <c r="C126" s="174"/>
      <c r="D126" s="2">
        <v>31139.08</v>
      </c>
      <c r="E126" s="2">
        <f>D126+SUM(Holdings_Old!$E$32:$E$35)</f>
        <v>31139.08</v>
      </c>
      <c r="F126" s="2">
        <f t="shared" si="42"/>
        <v>403.18000000000029</v>
      </c>
      <c r="G126" s="188">
        <f t="shared" si="43"/>
        <v>1.3117559596432793E-2</v>
      </c>
      <c r="H126" s="2">
        <f t="shared" si="44"/>
        <v>8283.2300000000032</v>
      </c>
      <c r="I126" s="188">
        <f t="shared" si="45"/>
        <v>0.36241181141808343</v>
      </c>
      <c r="K126" s="174"/>
      <c r="L126" s="287">
        <v>1241.48</v>
      </c>
      <c r="M126" s="188">
        <f t="shared" si="35"/>
        <v>1.9260767475082652E-2</v>
      </c>
      <c r="N126" s="188">
        <f t="shared" si="29"/>
        <v>0.33480990882504735</v>
      </c>
      <c r="O126" s="305" t="str">
        <f t="shared" si="30"/>
        <v>No</v>
      </c>
      <c r="P126" s="304">
        <f t="shared" si="33"/>
        <v>0</v>
      </c>
      <c r="S126" s="287">
        <v>10678.56</v>
      </c>
      <c r="T126" s="188">
        <f t="shared" si="36"/>
        <v>2.2129014287806337E-2</v>
      </c>
      <c r="U126" s="188">
        <f t="shared" si="39"/>
        <v>0.24419878173251242</v>
      </c>
      <c r="V126" s="305" t="str">
        <f t="shared" si="40"/>
        <v>No</v>
      </c>
      <c r="W126" s="304">
        <f t="shared" si="34"/>
        <v>0</v>
      </c>
      <c r="Z126" s="309">
        <v>2175.5100000000002</v>
      </c>
      <c r="AA126" s="310">
        <f t="shared" si="37"/>
        <v>1.6085415236307021E-2</v>
      </c>
      <c r="AB126" s="310">
        <f t="shared" si="38"/>
        <v>0.44756068348770373</v>
      </c>
      <c r="AC126" s="308"/>
    </row>
    <row r="127" spans="1:29">
      <c r="A127" s="184">
        <v>125</v>
      </c>
      <c r="B127" s="1">
        <f t="shared" si="41"/>
        <v>38611</v>
      </c>
      <c r="C127" s="174"/>
      <c r="D127" s="2">
        <v>31189.57</v>
      </c>
      <c r="E127" s="2">
        <f>D127+SUM(Holdings_Old!$E$32:$E$35)</f>
        <v>31189.57</v>
      </c>
      <c r="F127" s="2">
        <f t="shared" si="42"/>
        <v>50.489999999997963</v>
      </c>
      <c r="G127" s="188">
        <f t="shared" si="43"/>
        <v>1.6214351869097143E-3</v>
      </c>
      <c r="H127" s="2">
        <f t="shared" si="44"/>
        <v>8333.7200000000012</v>
      </c>
      <c r="I127" s="188">
        <f t="shared" si="45"/>
        <v>0.36462087386817821</v>
      </c>
      <c r="K127" s="174"/>
      <c r="L127" s="287">
        <v>1237.9100000000001</v>
      </c>
      <c r="M127" s="188">
        <f t="shared" si="35"/>
        <v>-2.8756000902148138E-3</v>
      </c>
      <c r="N127" s="188">
        <f t="shared" si="29"/>
        <v>0.3309715293308102</v>
      </c>
      <c r="O127" s="305" t="str">
        <f t="shared" si="30"/>
        <v>Yes</v>
      </c>
      <c r="P127" s="304">
        <f t="shared" si="33"/>
        <v>1</v>
      </c>
      <c r="S127" s="287">
        <v>10641.94</v>
      </c>
      <c r="T127" s="188">
        <f t="shared" si="36"/>
        <v>-3.4293013290180863E-3</v>
      </c>
      <c r="U127" s="188">
        <f t="shared" si="39"/>
        <v>0.23993204919675448</v>
      </c>
      <c r="V127" s="305" t="str">
        <f t="shared" si="40"/>
        <v>Yes</v>
      </c>
      <c r="W127" s="304">
        <f t="shared" si="34"/>
        <v>1</v>
      </c>
      <c r="Z127" s="309">
        <v>2160.35</v>
      </c>
      <c r="AA127" s="310">
        <f t="shared" si="37"/>
        <v>-6.9684809538914649E-3</v>
      </c>
      <c r="AB127" s="310">
        <f t="shared" si="38"/>
        <v>0.43747338443521766</v>
      </c>
      <c r="AC127" s="308"/>
    </row>
    <row r="128" spans="1:29">
      <c r="A128" s="184">
        <v>126</v>
      </c>
      <c r="B128" s="1">
        <f t="shared" si="41"/>
        <v>38618</v>
      </c>
      <c r="C128" s="174"/>
      <c r="D128" s="2">
        <v>30678.28</v>
      </c>
      <c r="E128" s="2">
        <f>D128+SUM(Holdings_Old!$E$32:$E$35)</f>
        <v>30678.28</v>
      </c>
      <c r="F128" s="2">
        <f t="shared" si="42"/>
        <v>-511.29000000000087</v>
      </c>
      <c r="G128" s="188">
        <f t="shared" si="43"/>
        <v>-1.6392980089177223E-2</v>
      </c>
      <c r="H128" s="2">
        <f t="shared" si="44"/>
        <v>7822.43</v>
      </c>
      <c r="I128" s="188">
        <f t="shared" si="45"/>
        <v>0.34225067105358153</v>
      </c>
      <c r="K128" s="174"/>
      <c r="L128" s="287">
        <v>1215.29</v>
      </c>
      <c r="M128" s="188">
        <f t="shared" si="35"/>
        <v>-1.8272733882107817E-2</v>
      </c>
      <c r="N128" s="188">
        <f t="shared" si="29"/>
        <v>0.30665104077068639</v>
      </c>
      <c r="O128" s="305" t="str">
        <f t="shared" si="30"/>
        <v>Yes</v>
      </c>
      <c r="P128" s="304">
        <f t="shared" si="33"/>
        <v>1</v>
      </c>
      <c r="S128" s="287">
        <v>10419.59</v>
      </c>
      <c r="T128" s="188">
        <f t="shared" si="36"/>
        <v>-2.0893746816839864E-2</v>
      </c>
      <c r="U128" s="188">
        <f t="shared" si="39"/>
        <v>0.21402522289075199</v>
      </c>
      <c r="V128" s="305" t="str">
        <f t="shared" si="40"/>
        <v>Yes</v>
      </c>
      <c r="W128" s="304">
        <f t="shared" si="34"/>
        <v>1</v>
      </c>
      <c r="Z128" s="309">
        <v>2116.84</v>
      </c>
      <c r="AA128" s="310">
        <f t="shared" si="37"/>
        <v>-2.014025505126471E-2</v>
      </c>
      <c r="AB128" s="310">
        <f t="shared" si="38"/>
        <v>0.40852230384328747</v>
      </c>
      <c r="AC128" s="308"/>
    </row>
    <row r="129" spans="1:29">
      <c r="A129" s="184">
        <v>127</v>
      </c>
      <c r="B129" s="1">
        <f t="shared" si="41"/>
        <v>38625</v>
      </c>
      <c r="C129" s="174"/>
      <c r="D129" s="2">
        <v>30854.62</v>
      </c>
      <c r="E129" s="2">
        <f>D129+SUM(Holdings_Old!$E$32:$E$35)</f>
        <v>30854.62</v>
      </c>
      <c r="F129" s="2">
        <f t="shared" si="42"/>
        <v>176.34000000000015</v>
      </c>
      <c r="G129" s="188">
        <f t="shared" si="43"/>
        <v>5.7480406333079159E-3</v>
      </c>
      <c r="H129" s="2">
        <f t="shared" si="44"/>
        <v>7998.77</v>
      </c>
      <c r="I129" s="188">
        <f t="shared" si="45"/>
        <v>0.34996598245088251</v>
      </c>
      <c r="K129" s="174"/>
      <c r="L129" s="287">
        <v>1228.81</v>
      </c>
      <c r="M129" s="188">
        <f t="shared" si="35"/>
        <v>1.1124916686552133E-2</v>
      </c>
      <c r="N129" s="188">
        <f t="shared" si="29"/>
        <v>0.32118742473765693</v>
      </c>
      <c r="O129" s="305" t="str">
        <f t="shared" si="30"/>
        <v>No</v>
      </c>
      <c r="P129" s="304">
        <f t="shared" si="33"/>
        <v>0</v>
      </c>
      <c r="S129" s="287">
        <v>10568.7</v>
      </c>
      <c r="T129" s="188">
        <f t="shared" si="36"/>
        <v>1.4310543888963023E-2</v>
      </c>
      <c r="U129" s="188">
        <f t="shared" si="39"/>
        <v>0.23139858412523839</v>
      </c>
      <c r="V129" s="305" t="str">
        <f t="shared" si="40"/>
        <v>No</v>
      </c>
      <c r="W129" s="304">
        <f t="shared" si="34"/>
        <v>0</v>
      </c>
      <c r="Z129" s="309">
        <v>2151.69</v>
      </c>
      <c r="AA129" s="310">
        <f t="shared" si="37"/>
        <v>1.6463218760038423E-2</v>
      </c>
      <c r="AB129" s="310">
        <f t="shared" si="38"/>
        <v>0.43171111465985312</v>
      </c>
      <c r="AC129" s="308"/>
    </row>
    <row r="130" spans="1:29">
      <c r="A130" s="184">
        <v>128</v>
      </c>
      <c r="B130" s="1">
        <f t="shared" si="41"/>
        <v>38632</v>
      </c>
      <c r="C130" s="174"/>
      <c r="D130" s="2">
        <v>30272.82</v>
      </c>
      <c r="E130" s="2">
        <f>D130+SUM(Holdings_Old!$E$32:$E$35)</f>
        <v>30272.82</v>
      </c>
      <c r="F130" s="2">
        <f t="shared" si="42"/>
        <v>-581.79999999999927</v>
      </c>
      <c r="G130" s="188">
        <f t="shared" si="43"/>
        <v>-1.8856171296227298E-2</v>
      </c>
      <c r="H130" s="2">
        <f t="shared" si="44"/>
        <v>7416.9700000000012</v>
      </c>
      <c r="I130" s="188">
        <f t="shared" si="45"/>
        <v>0.32451079264170879</v>
      </c>
      <c r="K130" s="174"/>
      <c r="L130" s="287">
        <v>1195.9000000000001</v>
      </c>
      <c r="M130" s="188">
        <f t="shared" si="35"/>
        <v>-2.6782008609955832E-2</v>
      </c>
      <c r="N130" s="188">
        <f t="shared" si="29"/>
        <v>0.28580337175296755</v>
      </c>
      <c r="O130" s="305" t="str">
        <f t="shared" si="30"/>
        <v>Yes</v>
      </c>
      <c r="P130" s="304">
        <f t="shared" si="33"/>
        <v>1</v>
      </c>
      <c r="S130" s="287">
        <v>10292.31</v>
      </c>
      <c r="T130" s="188">
        <f t="shared" si="36"/>
        <v>-2.6151749978710837E-2</v>
      </c>
      <c r="U130" s="188">
        <f t="shared" si="39"/>
        <v>0.19919535622905649</v>
      </c>
      <c r="V130" s="305" t="str">
        <f t="shared" si="40"/>
        <v>Yes</v>
      </c>
      <c r="W130" s="304">
        <f t="shared" si="34"/>
        <v>1</v>
      </c>
      <c r="Z130" s="309">
        <v>2090.35</v>
      </c>
      <c r="AA130" s="310">
        <f t="shared" si="37"/>
        <v>-2.8507824082465438E-2</v>
      </c>
      <c r="AB130" s="310">
        <f t="shared" si="38"/>
        <v>0.39089614606621947</v>
      </c>
      <c r="AC130" s="308"/>
    </row>
    <row r="131" spans="1:29">
      <c r="A131" s="184">
        <v>129</v>
      </c>
      <c r="B131" s="1">
        <f t="shared" si="41"/>
        <v>38639</v>
      </c>
      <c r="C131" s="174"/>
      <c r="D131" s="2">
        <v>30069.11</v>
      </c>
      <c r="E131" s="2">
        <f>D131+SUM(Holdings_Old!$E$32:$E$35)</f>
        <v>30069.11</v>
      </c>
      <c r="F131" s="2">
        <f t="shared" si="42"/>
        <v>-203.70999999999913</v>
      </c>
      <c r="G131" s="188">
        <f t="shared" si="43"/>
        <v>-6.7291385473834398E-3</v>
      </c>
      <c r="H131" s="2">
        <f t="shared" si="44"/>
        <v>7213.260000000002</v>
      </c>
      <c r="I131" s="188">
        <f t="shared" si="45"/>
        <v>0.31559797601051831</v>
      </c>
      <c r="K131" s="174"/>
      <c r="L131" s="287">
        <v>1186.57</v>
      </c>
      <c r="M131" s="188">
        <f t="shared" si="35"/>
        <v>-7.8016556568276663E-3</v>
      </c>
      <c r="N131" s="188">
        <f t="shared" si="29"/>
        <v>0.27577197660416286</v>
      </c>
      <c r="O131" s="305" t="str">
        <f t="shared" si="30"/>
        <v>Yes</v>
      </c>
      <c r="P131" s="304">
        <f t="shared" si="33"/>
        <v>1</v>
      </c>
      <c r="S131" s="287">
        <v>10287.34</v>
      </c>
      <c r="T131" s="188">
        <f t="shared" si="36"/>
        <v>-4.8288479456981559E-4</v>
      </c>
      <c r="U131" s="188">
        <f t="shared" si="39"/>
        <v>0.19861628302581469</v>
      </c>
      <c r="V131" s="305" t="str">
        <f t="shared" si="40"/>
        <v>No</v>
      </c>
      <c r="W131" s="304">
        <f t="shared" si="34"/>
        <v>0</v>
      </c>
      <c r="Z131" s="309">
        <v>2064.83</v>
      </c>
      <c r="AA131" s="310">
        <f t="shared" si="37"/>
        <v>-1.2208481833185791E-2</v>
      </c>
      <c r="AB131" s="310">
        <f t="shared" si="38"/>
        <v>0.37391541573512166</v>
      </c>
      <c r="AC131" s="308"/>
    </row>
    <row r="132" spans="1:29">
      <c r="A132" s="184">
        <v>130</v>
      </c>
      <c r="B132" s="1">
        <f t="shared" si="41"/>
        <v>38646</v>
      </c>
      <c r="C132" s="174"/>
      <c r="D132" s="2">
        <v>30450.5</v>
      </c>
      <c r="E132" s="2">
        <f>D132+SUM(Holdings_Old!$E$32:$E$35)</f>
        <v>30450.5</v>
      </c>
      <c r="F132" s="2">
        <f t="shared" si="42"/>
        <v>381.38999999999942</v>
      </c>
      <c r="G132" s="188">
        <f t="shared" si="43"/>
        <v>1.2683780796970634E-2</v>
      </c>
      <c r="H132" s="2">
        <f t="shared" si="44"/>
        <v>7594.6500000000015</v>
      </c>
      <c r="I132" s="188">
        <f t="shared" si="45"/>
        <v>0.33228473235517386</v>
      </c>
      <c r="K132" s="174"/>
      <c r="L132" s="287">
        <v>1179.5899999999999</v>
      </c>
      <c r="M132" s="188">
        <f t="shared" si="35"/>
        <v>-5.8825016644614703E-3</v>
      </c>
      <c r="N132" s="188">
        <f t="shared" ref="N132:N195" si="46">(L132/$L$3)-1</f>
        <v>0.26826724582831574</v>
      </c>
      <c r="O132" s="305" t="str">
        <f t="shared" ref="O132:O195" si="47">IF(G132&gt;M132,"Yes","No")</f>
        <v>Yes</v>
      </c>
      <c r="P132" s="304">
        <f t="shared" si="33"/>
        <v>1</v>
      </c>
      <c r="S132" s="287">
        <v>10215.219999999999</v>
      </c>
      <c r="T132" s="188">
        <f t="shared" si="36"/>
        <v>-7.0105586089310723E-3</v>
      </c>
      <c r="U132" s="188">
        <f t="shared" ref="U132:U163" si="48">(S132/$S$3)-1</f>
        <v>0.19021331332404312</v>
      </c>
      <c r="V132" s="305" t="str">
        <f t="shared" ref="V132:V163" si="49">IF(G132&gt;T132,"Yes","No")</f>
        <v>Yes</v>
      </c>
      <c r="W132" s="304">
        <f t="shared" si="34"/>
        <v>1</v>
      </c>
      <c r="Z132" s="309">
        <v>2082.21</v>
      </c>
      <c r="AA132" s="310">
        <f t="shared" si="37"/>
        <v>8.4171578289737869E-3</v>
      </c>
      <c r="AB132" s="310">
        <f t="shared" si="38"/>
        <v>0.38547987863302446</v>
      </c>
      <c r="AC132" s="308"/>
    </row>
    <row r="133" spans="1:29">
      <c r="A133" s="184">
        <v>131</v>
      </c>
      <c r="B133" s="1">
        <f t="shared" si="41"/>
        <v>38653</v>
      </c>
      <c r="C133" s="174"/>
      <c r="D133" s="2">
        <v>30347.43</v>
      </c>
      <c r="E133" s="2">
        <f>D133+SUM(Holdings_Old!$E$32:$E$35)</f>
        <v>30347.43</v>
      </c>
      <c r="F133" s="2">
        <f t="shared" si="42"/>
        <v>-103.06999999999971</v>
      </c>
      <c r="G133" s="188">
        <f t="shared" si="43"/>
        <v>-3.384837687394282E-3</v>
      </c>
      <c r="H133" s="2">
        <f t="shared" si="44"/>
        <v>7491.5800000000017</v>
      </c>
      <c r="I133" s="188">
        <f t="shared" si="45"/>
        <v>0.32777516478275803</v>
      </c>
      <c r="K133" s="174"/>
      <c r="L133" s="287">
        <v>1198.4100000000001</v>
      </c>
      <c r="M133" s="188">
        <f t="shared" si="35"/>
        <v>1.5954696123229306E-2</v>
      </c>
      <c r="N133" s="188">
        <f t="shared" si="46"/>
        <v>0.28850206433855163</v>
      </c>
      <c r="O133" s="305" t="str">
        <f t="shared" si="47"/>
        <v>No</v>
      </c>
      <c r="P133" s="304">
        <f t="shared" si="33"/>
        <v>0</v>
      </c>
      <c r="S133" s="287">
        <v>10402.77</v>
      </c>
      <c r="T133" s="188">
        <f t="shared" si="36"/>
        <v>1.8359859112187626E-2</v>
      </c>
      <c r="U133" s="188">
        <f t="shared" si="48"/>
        <v>0.21206546207012256</v>
      </c>
      <c r="V133" s="305" t="str">
        <f t="shared" si="49"/>
        <v>No</v>
      </c>
      <c r="W133" s="304">
        <f t="shared" si="34"/>
        <v>0</v>
      </c>
      <c r="Z133" s="309">
        <v>2089.88</v>
      </c>
      <c r="AA133" s="310">
        <f t="shared" si="37"/>
        <v>3.6835861896735711E-3</v>
      </c>
      <c r="AB133" s="310">
        <f t="shared" si="38"/>
        <v>0.39058341318002765</v>
      </c>
      <c r="AC133" s="308"/>
    </row>
    <row r="134" spans="1:29">
      <c r="A134" s="184">
        <v>132</v>
      </c>
      <c r="B134" s="1">
        <f t="shared" si="41"/>
        <v>38660</v>
      </c>
      <c r="C134" s="174"/>
      <c r="D134" s="2">
        <v>31059.33</v>
      </c>
      <c r="E134" s="2">
        <f>D134+SUM(Holdings_Old!$E$32:$E$35)</f>
        <v>31059.33</v>
      </c>
      <c r="F134" s="2">
        <f t="shared" si="42"/>
        <v>711.90000000000146</v>
      </c>
      <c r="G134" s="188">
        <f t="shared" si="43"/>
        <v>2.3458329090799479E-2</v>
      </c>
      <c r="H134" s="2">
        <f t="shared" si="44"/>
        <v>8203.4800000000032</v>
      </c>
      <c r="I134" s="188">
        <f t="shared" si="45"/>
        <v>0.35892255155682262</v>
      </c>
      <c r="K134" s="174"/>
      <c r="L134" s="287">
        <v>1220.1400000000001</v>
      </c>
      <c r="M134" s="188">
        <f t="shared" si="35"/>
        <v>1.8132358708622176E-2</v>
      </c>
      <c r="N134" s="188">
        <f t="shared" si="46"/>
        <v>0.31186564596593835</v>
      </c>
      <c r="O134" s="305" t="str">
        <f t="shared" si="47"/>
        <v>Yes</v>
      </c>
      <c r="P134" s="304">
        <f t="shared" ref="P134:P197" si="50">IF(O134="Yes",1,0)</f>
        <v>1</v>
      </c>
      <c r="S134" s="287">
        <v>10530.76</v>
      </c>
      <c r="T134" s="188">
        <f t="shared" si="36"/>
        <v>1.2303453791634222E-2</v>
      </c>
      <c r="U134" s="188">
        <f t="shared" si="48"/>
        <v>0.22697805347513822</v>
      </c>
      <c r="V134" s="305" t="str">
        <f t="shared" si="49"/>
        <v>Yes</v>
      </c>
      <c r="W134" s="304">
        <f t="shared" ref="W134:W197" si="51">IF(V134="Yes",1,0)</f>
        <v>1</v>
      </c>
      <c r="Z134" s="309">
        <v>2169.4299999999998</v>
      </c>
      <c r="AA134" s="310">
        <f t="shared" si="37"/>
        <v>3.8064386471950318E-2</v>
      </c>
      <c r="AB134" s="310">
        <f t="shared" si="38"/>
        <v>0.4435151176407961</v>
      </c>
      <c r="AC134" s="308"/>
    </row>
    <row r="135" spans="1:29">
      <c r="A135" s="184">
        <v>133</v>
      </c>
      <c r="B135" s="1">
        <f t="shared" si="41"/>
        <v>38667</v>
      </c>
      <c r="C135" s="174"/>
      <c r="D135" s="2">
        <v>31460.76</v>
      </c>
      <c r="E135" s="2">
        <f>D135+SUM(Holdings_Old!$E$32:$E$35)</f>
        <v>31460.76</v>
      </c>
      <c r="F135" s="2">
        <f t="shared" si="42"/>
        <v>401.42999999999665</v>
      </c>
      <c r="G135" s="188">
        <f t="shared" si="43"/>
        <v>1.2924618786045894E-2</v>
      </c>
      <c r="H135" s="2">
        <f t="shared" si="44"/>
        <v>8604.91</v>
      </c>
      <c r="I135" s="188">
        <f t="shared" si="45"/>
        <v>0.3764861074954553</v>
      </c>
      <c r="K135" s="174"/>
      <c r="L135" s="287">
        <v>1234.72</v>
      </c>
      <c r="M135" s="188">
        <f t="shared" si="35"/>
        <v>1.1949448423951292E-2</v>
      </c>
      <c r="N135" s="188">
        <f t="shared" si="46"/>
        <v>0.32754171684156197</v>
      </c>
      <c r="O135" s="305" t="str">
        <f t="shared" si="47"/>
        <v>Yes</v>
      </c>
      <c r="P135" s="304">
        <f t="shared" si="50"/>
        <v>1</v>
      </c>
      <c r="S135" s="287">
        <v>10686.04</v>
      </c>
      <c r="T135" s="188">
        <f t="shared" si="36"/>
        <v>1.4745374502884934E-2</v>
      </c>
      <c r="U135" s="188">
        <f t="shared" si="48"/>
        <v>0.24507030438045008</v>
      </c>
      <c r="V135" s="305" t="str">
        <f t="shared" si="49"/>
        <v>No</v>
      </c>
      <c r="W135" s="304">
        <f t="shared" si="51"/>
        <v>0</v>
      </c>
      <c r="Z135" s="309">
        <v>2202.4699999999998</v>
      </c>
      <c r="AA135" s="310">
        <f t="shared" si="37"/>
        <v>1.5229806907805177E-2</v>
      </c>
      <c r="AB135" s="310">
        <f t="shared" si="38"/>
        <v>0.46549957415096332</v>
      </c>
      <c r="AC135" s="308"/>
    </row>
    <row r="136" spans="1:29">
      <c r="A136" s="184">
        <v>134</v>
      </c>
      <c r="B136" s="1">
        <f t="shared" si="41"/>
        <v>38674</v>
      </c>
      <c r="C136" s="174"/>
      <c r="D136" s="2">
        <v>31518.32</v>
      </c>
      <c r="E136" s="2">
        <f>D136+SUM(Holdings_Old!$E$32:$E$35)</f>
        <v>31518.32</v>
      </c>
      <c r="F136" s="2">
        <f t="shared" si="42"/>
        <v>57.56000000000131</v>
      </c>
      <c r="G136" s="188">
        <f t="shared" si="43"/>
        <v>1.8295807221440086E-3</v>
      </c>
      <c r="H136" s="2">
        <f t="shared" si="44"/>
        <v>8662.4700000000012</v>
      </c>
      <c r="I136" s="188">
        <f t="shared" si="45"/>
        <v>0.37900449994202812</v>
      </c>
      <c r="K136" s="174"/>
      <c r="L136" s="287">
        <v>1248.27</v>
      </c>
      <c r="M136" s="188">
        <f t="shared" si="35"/>
        <v>1.0974147984968319E-2</v>
      </c>
      <c r="N136" s="188">
        <f t="shared" si="46"/>
        <v>0.34211035609840001</v>
      </c>
      <c r="O136" s="305" t="str">
        <f t="shared" si="47"/>
        <v>No</v>
      </c>
      <c r="P136" s="304">
        <f t="shared" si="50"/>
        <v>0</v>
      </c>
      <c r="S136" s="287">
        <v>10766.33</v>
      </c>
      <c r="T136" s="188">
        <f t="shared" si="36"/>
        <v>7.5135410311022444E-3</v>
      </c>
      <c r="U136" s="188">
        <f t="shared" si="48"/>
        <v>0.25442519119901941</v>
      </c>
      <c r="V136" s="305" t="str">
        <f t="shared" si="49"/>
        <v>No</v>
      </c>
      <c r="W136" s="304">
        <f t="shared" si="51"/>
        <v>0</v>
      </c>
      <c r="Z136" s="309">
        <v>2227.0700000000002</v>
      </c>
      <c r="AA136" s="310">
        <f t="shared" si="37"/>
        <v>1.1169278128646543E-2</v>
      </c>
      <c r="AB136" s="310">
        <f t="shared" si="38"/>
        <v>0.48186814649206866</v>
      </c>
      <c r="AC136" s="308"/>
    </row>
    <row r="137" spans="1:29">
      <c r="A137" s="184">
        <v>135</v>
      </c>
      <c r="B137" s="1">
        <f t="shared" si="41"/>
        <v>38681</v>
      </c>
      <c r="C137" s="174"/>
      <c r="D137" s="2">
        <v>31868.43</v>
      </c>
      <c r="E137" s="2">
        <f>D137+SUM(Holdings_Old!$E$32:$E$35)</f>
        <v>31868.43</v>
      </c>
      <c r="F137" s="2">
        <f t="shared" si="42"/>
        <v>350.11000000000058</v>
      </c>
      <c r="G137" s="188">
        <f t="shared" si="43"/>
        <v>1.1108142819794997E-2</v>
      </c>
      <c r="H137" s="2">
        <f t="shared" si="44"/>
        <v>9012.5800000000017</v>
      </c>
      <c r="I137" s="188">
        <f t="shared" si="45"/>
        <v>0.39432267887652395</v>
      </c>
      <c r="K137" s="174"/>
      <c r="L137" s="287">
        <v>1268.25</v>
      </c>
      <c r="M137" s="188">
        <f t="shared" si="35"/>
        <v>1.6006152515080974E-2</v>
      </c>
      <c r="N137" s="188">
        <f t="shared" si="46"/>
        <v>0.3635923791501805</v>
      </c>
      <c r="O137" s="305" t="str">
        <f t="shared" si="47"/>
        <v>No</v>
      </c>
      <c r="P137" s="304">
        <f t="shared" si="50"/>
        <v>0</v>
      </c>
      <c r="S137" s="287">
        <v>10931.62</v>
      </c>
      <c r="T137" s="188">
        <f t="shared" si="36"/>
        <v>1.535249244635839E-2</v>
      </c>
      <c r="U137" s="188">
        <f t="shared" si="48"/>
        <v>0.27368374447142396</v>
      </c>
      <c r="V137" s="305" t="str">
        <f t="shared" si="49"/>
        <v>No</v>
      </c>
      <c r="W137" s="304">
        <f t="shared" si="51"/>
        <v>0</v>
      </c>
      <c r="Z137" s="309">
        <v>2263.0100000000002</v>
      </c>
      <c r="AA137" s="310">
        <f t="shared" si="37"/>
        <v>1.6137795399336463E-2</v>
      </c>
      <c r="AB137" s="310">
        <f t="shared" si="38"/>
        <v>0.50578223144895129</v>
      </c>
      <c r="AC137" s="308"/>
    </row>
    <row r="138" spans="1:29">
      <c r="A138" s="184">
        <v>136</v>
      </c>
      <c r="B138" s="1">
        <f t="shared" si="41"/>
        <v>38688</v>
      </c>
      <c r="C138" s="174"/>
      <c r="D138" s="2">
        <v>31846.799999999999</v>
      </c>
      <c r="E138" s="2">
        <f>D138+SUM(Holdings_Old!$E$32:$E$35)</f>
        <v>31846.799999999999</v>
      </c>
      <c r="F138" s="2">
        <f t="shared" si="42"/>
        <v>-21.630000000001019</v>
      </c>
      <c r="G138" s="188">
        <f t="shared" si="43"/>
        <v>-6.7872813313996083E-4</v>
      </c>
      <c r="H138" s="2">
        <f t="shared" si="44"/>
        <v>8990.9500000000007</v>
      </c>
      <c r="I138" s="188">
        <f t="shared" si="45"/>
        <v>0.39337631284769548</v>
      </c>
      <c r="K138" s="174"/>
      <c r="L138" s="287">
        <v>1265.08</v>
      </c>
      <c r="M138" s="188">
        <f t="shared" si="35"/>
        <v>-2.4995071949537317E-3</v>
      </c>
      <c r="N138" s="188">
        <f t="shared" si="46"/>
        <v>0.36018407018751053</v>
      </c>
      <c r="O138" s="305" t="str">
        <f t="shared" si="47"/>
        <v>Yes</v>
      </c>
      <c r="P138" s="304">
        <f t="shared" si="50"/>
        <v>1</v>
      </c>
      <c r="S138" s="287">
        <v>10877.51</v>
      </c>
      <c r="T138" s="188">
        <f t="shared" si="36"/>
        <v>-4.9498610452980429E-3</v>
      </c>
      <c r="U138" s="188">
        <f t="shared" si="48"/>
        <v>0.26737918692063545</v>
      </c>
      <c r="V138" s="305" t="str">
        <f t="shared" si="49"/>
        <v>Yes</v>
      </c>
      <c r="W138" s="304">
        <f t="shared" si="51"/>
        <v>1</v>
      </c>
      <c r="Z138" s="309">
        <v>2273.37</v>
      </c>
      <c r="AA138" s="310">
        <f t="shared" si="37"/>
        <v>4.5779735838549218E-3</v>
      </c>
      <c r="AB138" s="310">
        <f t="shared" si="38"/>
        <v>0.51267566272756282</v>
      </c>
      <c r="AC138" s="308"/>
    </row>
    <row r="139" spans="1:29">
      <c r="A139" s="184">
        <v>137</v>
      </c>
      <c r="B139" s="1">
        <f t="shared" si="41"/>
        <v>38695</v>
      </c>
      <c r="C139" s="174"/>
      <c r="D139" s="2">
        <v>31568.63</v>
      </c>
      <c r="E139" s="2">
        <f>D139+SUM(Holdings_Old!$E$32:$E$35)</f>
        <v>31568.63</v>
      </c>
      <c r="F139" s="2">
        <f t="shared" si="42"/>
        <v>-278.16999999999825</v>
      </c>
      <c r="G139" s="188">
        <f t="shared" si="43"/>
        <v>-8.73462953891746E-3</v>
      </c>
      <c r="H139" s="2">
        <f t="shared" si="44"/>
        <v>8712.7800000000025</v>
      </c>
      <c r="I139" s="188">
        <f t="shared" si="45"/>
        <v>0.38120568694666801</v>
      </c>
      <c r="K139" s="174"/>
      <c r="L139" s="287">
        <v>1259.3699999999999</v>
      </c>
      <c r="M139" s="188">
        <f t="shared" si="35"/>
        <v>-4.5135485502892925E-3</v>
      </c>
      <c r="N139" s="188">
        <f t="shared" si="46"/>
        <v>0.3540448133493892</v>
      </c>
      <c r="O139" s="305" t="str">
        <f t="shared" si="47"/>
        <v>No</v>
      </c>
      <c r="P139" s="304">
        <f t="shared" si="50"/>
        <v>0</v>
      </c>
      <c r="S139" s="287">
        <v>10778.58</v>
      </c>
      <c r="T139" s="188">
        <f t="shared" si="36"/>
        <v>-9.0949123466675941E-3</v>
      </c>
      <c r="U139" s="188">
        <f t="shared" si="48"/>
        <v>0.25585248430560137</v>
      </c>
      <c r="V139" s="305" t="str">
        <f t="shared" si="49"/>
        <v>Yes</v>
      </c>
      <c r="W139" s="304">
        <f t="shared" si="51"/>
        <v>1</v>
      </c>
      <c r="Z139" s="309">
        <v>2256.73</v>
      </c>
      <c r="AA139" s="310">
        <f t="shared" si="37"/>
        <v>-7.3195300369055527E-3</v>
      </c>
      <c r="AB139" s="310">
        <f t="shared" si="38"/>
        <v>0.50160358777813263</v>
      </c>
      <c r="AC139" s="308"/>
    </row>
    <row r="140" spans="1:29">
      <c r="A140" s="184">
        <v>138</v>
      </c>
      <c r="B140" s="1">
        <f t="shared" si="41"/>
        <v>38702</v>
      </c>
      <c r="C140" s="174"/>
      <c r="D140" s="2">
        <v>31871.23</v>
      </c>
      <c r="E140" s="2">
        <f>D140+SUM(Holdings_Old!$E$32:$E$35)</f>
        <v>31871.23</v>
      </c>
      <c r="F140" s="2">
        <f t="shared" si="42"/>
        <v>302.59999999999854</v>
      </c>
      <c r="G140" s="188">
        <f t="shared" si="43"/>
        <v>9.5854650645275097E-3</v>
      </c>
      <c r="H140" s="2">
        <f t="shared" si="44"/>
        <v>9015.380000000001</v>
      </c>
      <c r="I140" s="188">
        <f t="shared" si="45"/>
        <v>0.39444518580582222</v>
      </c>
      <c r="K140" s="174"/>
      <c r="L140" s="287">
        <v>1267.32</v>
      </c>
      <c r="M140" s="188">
        <f t="shared" si="35"/>
        <v>6.3126801495987372E-3</v>
      </c>
      <c r="N140" s="188">
        <f t="shared" si="46"/>
        <v>0.36259246516428689</v>
      </c>
      <c r="O140" s="305" t="str">
        <f t="shared" si="47"/>
        <v>Yes</v>
      </c>
      <c r="P140" s="304">
        <f t="shared" si="50"/>
        <v>1</v>
      </c>
      <c r="S140" s="287">
        <v>10875.59</v>
      </c>
      <c r="T140" s="188">
        <f t="shared" si="36"/>
        <v>9.0002579189467635E-3</v>
      </c>
      <c r="U140" s="188">
        <f t="shared" si="48"/>
        <v>0.26715548057250182</v>
      </c>
      <c r="V140" s="305" t="str">
        <f t="shared" si="49"/>
        <v>Yes</v>
      </c>
      <c r="W140" s="304">
        <f t="shared" si="51"/>
        <v>1</v>
      </c>
      <c r="Z140" s="309">
        <v>2252.48</v>
      </c>
      <c r="AA140" s="310">
        <f t="shared" si="37"/>
        <v>-1.8832558613569583E-3</v>
      </c>
      <c r="AB140" s="310">
        <f t="shared" si="38"/>
        <v>0.49877568402001482</v>
      </c>
      <c r="AC140" s="308"/>
    </row>
    <row r="141" spans="1:29">
      <c r="A141" s="184">
        <v>139</v>
      </c>
      <c r="B141" s="1">
        <f t="shared" si="41"/>
        <v>38709</v>
      </c>
      <c r="C141" s="174"/>
      <c r="D141" s="2">
        <v>31761.119999999999</v>
      </c>
      <c r="E141" s="2">
        <f>D141+SUM(Holdings_Old!$E$32:$E$35)</f>
        <v>31761.119999999999</v>
      </c>
      <c r="F141" s="2">
        <f t="shared" si="42"/>
        <v>-110.11000000000058</v>
      </c>
      <c r="G141" s="188">
        <f t="shared" si="43"/>
        <v>-3.4548399920555362E-3</v>
      </c>
      <c r="H141" s="2">
        <f t="shared" si="44"/>
        <v>8905.27</v>
      </c>
      <c r="I141" s="188">
        <f t="shared" si="45"/>
        <v>0.38962760081117098</v>
      </c>
      <c r="K141" s="174"/>
      <c r="L141" s="287">
        <v>1268.6600000000001</v>
      </c>
      <c r="M141" s="188">
        <f t="shared" si="35"/>
        <v>1.0573493671686141E-3</v>
      </c>
      <c r="N141" s="188">
        <f t="shared" si="46"/>
        <v>0.36403320144503692</v>
      </c>
      <c r="O141" s="305" t="str">
        <f t="shared" si="47"/>
        <v>No</v>
      </c>
      <c r="P141" s="304">
        <f t="shared" si="50"/>
        <v>0</v>
      </c>
      <c r="S141" s="287">
        <v>10883.27</v>
      </c>
      <c r="T141" s="188">
        <f t="shared" si="36"/>
        <v>7.0616858487682066E-4</v>
      </c>
      <c r="U141" s="188">
        <f t="shared" si="48"/>
        <v>0.26805030596503654</v>
      </c>
      <c r="V141" s="305" t="str">
        <f t="shared" si="49"/>
        <v>No</v>
      </c>
      <c r="W141" s="304">
        <f t="shared" si="51"/>
        <v>0</v>
      </c>
      <c r="Z141" s="309">
        <v>2249.42</v>
      </c>
      <c r="AA141" s="310">
        <f t="shared" si="37"/>
        <v>-1.3585026282142421E-3</v>
      </c>
      <c r="AB141" s="310">
        <f t="shared" si="38"/>
        <v>0.49673959331417006</v>
      </c>
      <c r="AC141" s="308"/>
    </row>
    <row r="142" spans="1:29">
      <c r="A142" s="184">
        <v>140</v>
      </c>
      <c r="B142" s="1">
        <f t="shared" si="41"/>
        <v>38716</v>
      </c>
      <c r="C142" s="174"/>
      <c r="D142" s="2">
        <v>31322.33</v>
      </c>
      <c r="E142" s="2">
        <f>D142+SUM(Holdings_Old!$E$32:$E$35)</f>
        <v>31322.33</v>
      </c>
      <c r="F142" s="2">
        <f t="shared" si="42"/>
        <v>-438.78999999999724</v>
      </c>
      <c r="G142" s="188">
        <f t="shared" si="43"/>
        <v>-1.3815318855254333E-2</v>
      </c>
      <c r="H142" s="2">
        <f t="shared" si="44"/>
        <v>8466.4800000000032</v>
      </c>
      <c r="I142" s="188">
        <f t="shared" si="45"/>
        <v>0.37042945241590242</v>
      </c>
      <c r="K142" s="174"/>
      <c r="L142" s="287">
        <v>1248.29</v>
      </c>
      <c r="M142" s="188">
        <f t="shared" si="35"/>
        <v>-1.6056311383664701E-2</v>
      </c>
      <c r="N142" s="188">
        <f t="shared" si="46"/>
        <v>0.3421318596249785</v>
      </c>
      <c r="O142" s="305" t="str">
        <f t="shared" si="47"/>
        <v>Yes</v>
      </c>
      <c r="P142" s="304">
        <f t="shared" si="50"/>
        <v>1</v>
      </c>
      <c r="S142" s="287">
        <v>10717.5</v>
      </c>
      <c r="T142" s="188">
        <f t="shared" si="36"/>
        <v>-1.5231635344891803E-2</v>
      </c>
      <c r="U142" s="188">
        <f t="shared" si="48"/>
        <v>0.24873582610559875</v>
      </c>
      <c r="V142" s="305" t="str">
        <f t="shared" si="49"/>
        <v>Yes</v>
      </c>
      <c r="W142" s="304">
        <f t="shared" si="51"/>
        <v>1</v>
      </c>
      <c r="Z142" s="309">
        <v>2205.3200000000002</v>
      </c>
      <c r="AA142" s="310">
        <f t="shared" si="37"/>
        <v>-1.9605053747188128E-2</v>
      </c>
      <c r="AB142" s="310">
        <f t="shared" si="38"/>
        <v>0.46739593314170125</v>
      </c>
      <c r="AC142" s="308"/>
    </row>
    <row r="143" spans="1:29">
      <c r="A143" s="184">
        <v>141</v>
      </c>
      <c r="B143" s="1">
        <f t="shared" si="41"/>
        <v>38723</v>
      </c>
      <c r="C143" s="174"/>
      <c r="D143" s="2">
        <v>32066.31</v>
      </c>
      <c r="E143" s="2">
        <f>D143+SUM(Holdings_Old!$E$32:$E$35)</f>
        <v>32066.31</v>
      </c>
      <c r="F143" s="2">
        <f t="shared" si="42"/>
        <v>743.97999999999956</v>
      </c>
      <c r="G143" s="188">
        <f t="shared" si="43"/>
        <v>2.3752383682823064E-2</v>
      </c>
      <c r="H143" s="2">
        <f t="shared" si="44"/>
        <v>9210.4600000000028</v>
      </c>
      <c r="I143" s="188">
        <f t="shared" si="45"/>
        <v>0.40298041857992617</v>
      </c>
      <c r="K143" s="174"/>
      <c r="L143" s="287">
        <v>1285.45</v>
      </c>
      <c r="M143" s="188">
        <f t="shared" si="35"/>
        <v>2.9768723613903925E-2</v>
      </c>
      <c r="N143" s="188">
        <f t="shared" si="46"/>
        <v>0.38208541200756918</v>
      </c>
      <c r="O143" s="305" t="str">
        <f t="shared" si="47"/>
        <v>No</v>
      </c>
      <c r="P143" s="304">
        <f t="shared" si="50"/>
        <v>0</v>
      </c>
      <c r="S143" s="287">
        <v>10959.31</v>
      </c>
      <c r="T143" s="188">
        <f t="shared" si="36"/>
        <v>2.2562164683928021E-2</v>
      </c>
      <c r="U143" s="188">
        <f t="shared" si="48"/>
        <v>0.27691000946091426</v>
      </c>
      <c r="V143" s="305" t="str">
        <f t="shared" si="49"/>
        <v>Yes</v>
      </c>
      <c r="W143" s="304">
        <f t="shared" si="51"/>
        <v>1</v>
      </c>
      <c r="Z143" s="309">
        <v>2305.62</v>
      </c>
      <c r="AA143" s="310">
        <f t="shared" si="37"/>
        <v>4.5480927937895599E-2</v>
      </c>
      <c r="AB143" s="310">
        <f t="shared" si="38"/>
        <v>0.53413446183327995</v>
      </c>
      <c r="AC143" s="308"/>
    </row>
    <row r="144" spans="1:29">
      <c r="A144" s="184">
        <v>142</v>
      </c>
      <c r="B144" s="1">
        <f t="shared" si="41"/>
        <v>38730</v>
      </c>
      <c r="C144" s="174"/>
      <c r="D144" s="2">
        <v>32267.94</v>
      </c>
      <c r="E144" s="2">
        <f>D144+SUM(Holdings_Old!$E$32:$E$35)</f>
        <v>32267.94</v>
      </c>
      <c r="F144" s="2">
        <f t="shared" si="42"/>
        <v>201.62999999999738</v>
      </c>
      <c r="G144" s="188">
        <f t="shared" si="43"/>
        <v>6.2879077761051061E-3</v>
      </c>
      <c r="H144" s="2">
        <f t="shared" si="44"/>
        <v>9412.09</v>
      </c>
      <c r="I144" s="188">
        <f t="shared" si="45"/>
        <v>0.41180223006363792</v>
      </c>
      <c r="K144" s="174"/>
      <c r="L144" s="287">
        <v>1287.6099999999999</v>
      </c>
      <c r="M144" s="188">
        <f t="shared" ref="M144:M202" si="52">(L144/L143)-1</f>
        <v>1.680345404333039E-3</v>
      </c>
      <c r="N144" s="188">
        <f t="shared" si="46"/>
        <v>0.38440779287803184</v>
      </c>
      <c r="O144" s="305" t="str">
        <f t="shared" si="47"/>
        <v>Yes</v>
      </c>
      <c r="P144" s="304">
        <f t="shared" si="50"/>
        <v>1</v>
      </c>
      <c r="S144" s="287">
        <v>10959.87</v>
      </c>
      <c r="T144" s="188">
        <f t="shared" ref="T144:T202" si="53">(S144/S143)-1</f>
        <v>5.1098107453961816E-5</v>
      </c>
      <c r="U144" s="188">
        <f t="shared" si="48"/>
        <v>0.27697525714578664</v>
      </c>
      <c r="V144" s="305" t="str">
        <f t="shared" si="49"/>
        <v>Yes</v>
      </c>
      <c r="W144" s="304">
        <f t="shared" si="51"/>
        <v>1</v>
      </c>
      <c r="Z144" s="309">
        <v>2317.04</v>
      </c>
      <c r="AA144" s="310">
        <f t="shared" ref="AA144:AA202" si="54">(Z144/Z143)-1</f>
        <v>4.9531145635448581E-3</v>
      </c>
      <c r="AB144" s="310">
        <f t="shared" ref="AB144:AB202" si="55">(Z144/$Z$3)-1</f>
        <v>0.54173320557862215</v>
      </c>
      <c r="AC144" s="308"/>
    </row>
    <row r="145" spans="1:29">
      <c r="A145" s="184">
        <v>143</v>
      </c>
      <c r="B145" s="1">
        <f t="shared" si="41"/>
        <v>38737</v>
      </c>
      <c r="C145" s="174"/>
      <c r="D145" s="2">
        <v>31546.68</v>
      </c>
      <c r="E145" s="2">
        <f>D145+SUM(Holdings_Old!$E$32:$E$35)</f>
        <v>31546.68</v>
      </c>
      <c r="F145" s="2">
        <f t="shared" si="42"/>
        <v>-721.2599999999984</v>
      </c>
      <c r="G145" s="188">
        <f t="shared" si="43"/>
        <v>-2.2352217092259319E-2</v>
      </c>
      <c r="H145" s="2">
        <f t="shared" si="44"/>
        <v>8690.8300000000017</v>
      </c>
      <c r="I145" s="188">
        <f t="shared" si="45"/>
        <v>0.38024532012591972</v>
      </c>
      <c r="K145" s="174"/>
      <c r="L145" s="287">
        <v>1261.49</v>
      </c>
      <c r="M145" s="188">
        <f t="shared" si="52"/>
        <v>-2.0285645498248628E-2</v>
      </c>
      <c r="N145" s="188">
        <f t="shared" si="46"/>
        <v>0.35632418716669534</v>
      </c>
      <c r="O145" s="305" t="str">
        <f t="shared" si="47"/>
        <v>No</v>
      </c>
      <c r="P145" s="304">
        <f t="shared" si="50"/>
        <v>0</v>
      </c>
      <c r="S145" s="287">
        <v>10667.39</v>
      </c>
      <c r="T145" s="188">
        <f t="shared" si="53"/>
        <v>-2.6686447923196299E-2</v>
      </c>
      <c r="U145" s="188">
        <f t="shared" si="48"/>
        <v>0.24289732344675552</v>
      </c>
      <c r="V145" s="305" t="str">
        <f t="shared" si="49"/>
        <v>Yes</v>
      </c>
      <c r="W145" s="304">
        <f t="shared" si="51"/>
        <v>1</v>
      </c>
      <c r="Z145" s="309">
        <v>2247.6999999999998</v>
      </c>
      <c r="AA145" s="310">
        <f t="shared" si="54"/>
        <v>-2.9926112626454504E-2</v>
      </c>
      <c r="AB145" s="310">
        <f t="shared" si="55"/>
        <v>0.49559512402853168</v>
      </c>
      <c r="AC145" s="308"/>
    </row>
    <row r="146" spans="1:29">
      <c r="A146" s="184">
        <v>144</v>
      </c>
      <c r="B146" s="1">
        <f t="shared" si="41"/>
        <v>38744</v>
      </c>
      <c r="C146" s="174"/>
      <c r="D146" s="2">
        <v>31530.61</v>
      </c>
      <c r="E146" s="2">
        <f>D146+SUM(Holdings_Old!$E$32:$E$35)</f>
        <v>31530.61</v>
      </c>
      <c r="F146" s="2">
        <f t="shared" si="42"/>
        <v>-16.069999999999709</v>
      </c>
      <c r="G146" s="188">
        <f t="shared" si="43"/>
        <v>-5.0940384217923462E-4</v>
      </c>
      <c r="H146" s="2">
        <f t="shared" si="44"/>
        <v>8674.760000000002</v>
      </c>
      <c r="I146" s="188">
        <f t="shared" si="45"/>
        <v>0.37954221785669762</v>
      </c>
      <c r="K146" s="174"/>
      <c r="L146" s="287">
        <v>1283.72</v>
      </c>
      <c r="M146" s="188">
        <f t="shared" si="52"/>
        <v>1.7622018406804774E-2</v>
      </c>
      <c r="N146" s="188">
        <f t="shared" si="46"/>
        <v>0.38022535695854121</v>
      </c>
      <c r="O146" s="305" t="str">
        <f t="shared" si="47"/>
        <v>No</v>
      </c>
      <c r="P146" s="304">
        <f t="shared" si="50"/>
        <v>0</v>
      </c>
      <c r="S146" s="287">
        <v>10907.21</v>
      </c>
      <c r="T146" s="188">
        <f t="shared" si="53"/>
        <v>2.2481600466468299E-2</v>
      </c>
      <c r="U146" s="188">
        <f t="shared" si="48"/>
        <v>0.27083964449332831</v>
      </c>
      <c r="V146" s="305" t="str">
        <f t="shared" si="49"/>
        <v>No</v>
      </c>
      <c r="W146" s="304">
        <f t="shared" si="51"/>
        <v>0</v>
      </c>
      <c r="Z146" s="309">
        <v>2304.23</v>
      </c>
      <c r="AA146" s="310">
        <f t="shared" si="54"/>
        <v>2.5150153490234528E-2</v>
      </c>
      <c r="AB146" s="310">
        <f t="shared" si="55"/>
        <v>0.53320957095709565</v>
      </c>
      <c r="AC146" s="308"/>
    </row>
    <row r="147" spans="1:29">
      <c r="A147" s="184">
        <v>145</v>
      </c>
      <c r="B147" s="1">
        <f t="shared" si="41"/>
        <v>38751</v>
      </c>
      <c r="C147" s="174"/>
      <c r="D147" s="2">
        <v>31220.77</v>
      </c>
      <c r="E147" s="2">
        <f>D147+SUM(Holdings_Old!$E$32:$E$35)</f>
        <v>31220.77</v>
      </c>
      <c r="F147" s="2">
        <f t="shared" si="42"/>
        <v>-309.84000000000015</v>
      </c>
      <c r="G147" s="188">
        <f t="shared" si="43"/>
        <v>-9.8266414763304999E-3</v>
      </c>
      <c r="H147" s="2">
        <f t="shared" si="44"/>
        <v>8364.9200000000019</v>
      </c>
      <c r="I147" s="188">
        <f t="shared" si="45"/>
        <v>0.36598595108035803</v>
      </c>
      <c r="K147" s="174"/>
      <c r="L147" s="287">
        <v>1264.03</v>
      </c>
      <c r="M147" s="188">
        <f t="shared" si="52"/>
        <v>-1.5338235752344831E-2</v>
      </c>
      <c r="N147" s="188">
        <f t="shared" si="46"/>
        <v>0.35905513504214692</v>
      </c>
      <c r="O147" s="305" t="str">
        <f t="shared" si="47"/>
        <v>Yes</v>
      </c>
      <c r="P147" s="304">
        <f t="shared" si="50"/>
        <v>1</v>
      </c>
      <c r="S147" s="287">
        <v>10793.62</v>
      </c>
      <c r="T147" s="188">
        <f t="shared" si="53"/>
        <v>-1.0414212250428712E-2</v>
      </c>
      <c r="U147" s="188">
        <f t="shared" si="48"/>
        <v>0.25760485069931538</v>
      </c>
      <c r="V147" s="305" t="str">
        <f t="shared" si="49"/>
        <v>Yes</v>
      </c>
      <c r="W147" s="304">
        <f t="shared" si="51"/>
        <v>1</v>
      </c>
      <c r="Z147" s="309">
        <v>2262.58</v>
      </c>
      <c r="AA147" s="310">
        <f t="shared" si="54"/>
        <v>-1.8075452537290149E-2</v>
      </c>
      <c r="AB147" s="310">
        <f t="shared" si="55"/>
        <v>0.50549611412754158</v>
      </c>
      <c r="AC147" s="308"/>
    </row>
    <row r="148" spans="1:29">
      <c r="A148" s="184">
        <v>146</v>
      </c>
      <c r="B148" s="1">
        <f t="shared" si="41"/>
        <v>38758</v>
      </c>
      <c r="C148" s="174"/>
      <c r="D148" s="2">
        <v>31484.98</v>
      </c>
      <c r="E148" s="2">
        <f>D148+SUM(Holdings_Old!$E$32:$E$35)</f>
        <v>31484.98</v>
      </c>
      <c r="F148" s="2">
        <f t="shared" si="42"/>
        <v>264.20999999999913</v>
      </c>
      <c r="G148" s="188">
        <f t="shared" si="43"/>
        <v>8.4626356108450373E-3</v>
      </c>
      <c r="H148" s="2">
        <f t="shared" si="44"/>
        <v>8629.130000000001</v>
      </c>
      <c r="I148" s="188">
        <f t="shared" si="45"/>
        <v>0.37754579243388453</v>
      </c>
      <c r="K148" s="174"/>
      <c r="L148" s="287">
        <v>1266.99</v>
      </c>
      <c r="M148" s="188">
        <f t="shared" si="52"/>
        <v>2.3417165731827172E-3</v>
      </c>
      <c r="N148" s="188">
        <f t="shared" si="46"/>
        <v>0.36223765697574395</v>
      </c>
      <c r="O148" s="305" t="str">
        <f t="shared" si="47"/>
        <v>Yes</v>
      </c>
      <c r="P148" s="304">
        <f t="shared" si="50"/>
        <v>1</v>
      </c>
      <c r="S148" s="287">
        <v>10919.05</v>
      </c>
      <c r="T148" s="188">
        <f t="shared" si="53"/>
        <v>1.1620753741562018E-2</v>
      </c>
      <c r="U148" s="188">
        <f t="shared" si="48"/>
        <v>0.27221916697348592</v>
      </c>
      <c r="V148" s="305" t="str">
        <f t="shared" si="49"/>
        <v>No</v>
      </c>
      <c r="W148" s="304">
        <f t="shared" si="51"/>
        <v>0</v>
      </c>
      <c r="Z148" s="309">
        <v>2261.88</v>
      </c>
      <c r="AA148" s="310">
        <f t="shared" si="54"/>
        <v>-3.0938132574309662E-4</v>
      </c>
      <c r="AB148" s="310">
        <f t="shared" si="55"/>
        <v>0.50503034174385175</v>
      </c>
      <c r="AC148" s="308"/>
    </row>
    <row r="149" spans="1:29">
      <c r="A149" s="184">
        <v>147</v>
      </c>
      <c r="B149" s="1">
        <f t="shared" si="41"/>
        <v>38765</v>
      </c>
      <c r="C149" s="174"/>
      <c r="D149" s="2">
        <v>31942.639999999999</v>
      </c>
      <c r="E149" s="2">
        <f>D149+SUM(Holdings_Old!$E$32:$E$35)</f>
        <v>31942.639999999999</v>
      </c>
      <c r="F149" s="2">
        <f t="shared" si="42"/>
        <v>457.65999999999985</v>
      </c>
      <c r="G149" s="188">
        <f t="shared" si="43"/>
        <v>1.4535819936998484E-2</v>
      </c>
      <c r="H149" s="2">
        <f t="shared" si="44"/>
        <v>9086.7900000000009</v>
      </c>
      <c r="I149" s="188">
        <f t="shared" si="45"/>
        <v>0.39756955002767347</v>
      </c>
      <c r="K149" s="174"/>
      <c r="L149" s="287">
        <v>1287.24</v>
      </c>
      <c r="M149" s="188">
        <f t="shared" si="52"/>
        <v>1.598276229488782E-2</v>
      </c>
      <c r="N149" s="188">
        <f t="shared" si="46"/>
        <v>0.38400997763633238</v>
      </c>
      <c r="O149" s="305" t="str">
        <f t="shared" si="47"/>
        <v>No</v>
      </c>
      <c r="P149" s="304">
        <f t="shared" si="50"/>
        <v>0</v>
      </c>
      <c r="S149" s="287">
        <v>11115.32</v>
      </c>
      <c r="T149" s="188">
        <f t="shared" si="53"/>
        <v>1.7975006983208308E-2</v>
      </c>
      <c r="U149" s="188">
        <f t="shared" si="48"/>
        <v>0.2950873153840059</v>
      </c>
      <c r="V149" s="305" t="str">
        <f t="shared" si="49"/>
        <v>No</v>
      </c>
      <c r="W149" s="304">
        <f t="shared" si="51"/>
        <v>0</v>
      </c>
      <c r="Z149" s="309">
        <v>2282.36</v>
      </c>
      <c r="AA149" s="310">
        <f t="shared" si="54"/>
        <v>9.0544149114895056E-3</v>
      </c>
      <c r="AB149" s="310">
        <f t="shared" si="55"/>
        <v>0.51865751091238144</v>
      </c>
      <c r="AC149" s="308"/>
    </row>
    <row r="150" spans="1:29">
      <c r="A150" s="184">
        <v>148</v>
      </c>
      <c r="B150" s="1">
        <f t="shared" si="41"/>
        <v>38772</v>
      </c>
      <c r="C150" s="174"/>
      <c r="D150" s="2">
        <v>32066.76</v>
      </c>
      <c r="E150" s="2">
        <f>D150+SUM(Holdings_Old!$E$32:$E$35)</f>
        <v>32066.76</v>
      </c>
      <c r="F150" s="2">
        <f t="shared" si="42"/>
        <v>124.11999999999898</v>
      </c>
      <c r="G150" s="188">
        <f t="shared" si="43"/>
        <v>3.8857151443962845E-3</v>
      </c>
      <c r="H150" s="2">
        <f t="shared" si="44"/>
        <v>9210.91</v>
      </c>
      <c r="I150" s="188">
        <f t="shared" si="45"/>
        <v>0.40300010719356316</v>
      </c>
      <c r="K150" s="174"/>
      <c r="L150" s="287">
        <v>1289.43</v>
      </c>
      <c r="M150" s="188">
        <f t="shared" si="52"/>
        <v>1.7013144401976099E-3</v>
      </c>
      <c r="N150" s="188">
        <f t="shared" si="46"/>
        <v>0.38636461379666276</v>
      </c>
      <c r="O150" s="305" t="str">
        <f t="shared" si="47"/>
        <v>Yes</v>
      </c>
      <c r="P150" s="304">
        <f t="shared" si="50"/>
        <v>1</v>
      </c>
      <c r="S150" s="287">
        <v>11061.85</v>
      </c>
      <c r="T150" s="188">
        <f t="shared" si="53"/>
        <v>-4.810477791012735E-3</v>
      </c>
      <c r="U150" s="188">
        <f t="shared" si="48"/>
        <v>0.28885732661592889</v>
      </c>
      <c r="V150" s="305" t="str">
        <f t="shared" si="49"/>
        <v>Yes</v>
      </c>
      <c r="W150" s="304">
        <f t="shared" si="51"/>
        <v>1</v>
      </c>
      <c r="Z150" s="309">
        <v>2287.04</v>
      </c>
      <c r="AA150" s="310">
        <f t="shared" si="54"/>
        <v>2.0505091221365568E-3</v>
      </c>
      <c r="AB150" s="310">
        <f t="shared" si="55"/>
        <v>0.52177153199190873</v>
      </c>
      <c r="AC150" s="308"/>
    </row>
    <row r="151" spans="1:29">
      <c r="A151" s="184">
        <v>149</v>
      </c>
      <c r="B151" s="1">
        <f t="shared" si="41"/>
        <v>38779</v>
      </c>
      <c r="C151" s="174"/>
      <c r="D151" s="2">
        <v>32061.17</v>
      </c>
      <c r="E151" s="2">
        <f>D151+SUM(Holdings_Old!$E$32:$E$35)</f>
        <v>32061.17</v>
      </c>
      <c r="F151" s="2">
        <f t="shared" si="42"/>
        <v>-5.5900000000001455</v>
      </c>
      <c r="G151" s="188">
        <f t="shared" si="43"/>
        <v>-1.7432381693693877E-4</v>
      </c>
      <c r="H151" s="2">
        <f t="shared" si="44"/>
        <v>9205.32</v>
      </c>
      <c r="I151" s="188">
        <f t="shared" si="45"/>
        <v>0.40275553085971416</v>
      </c>
      <c r="K151" s="174"/>
      <c r="L151" s="287">
        <v>1287.23</v>
      </c>
      <c r="M151" s="188">
        <f t="shared" si="52"/>
        <v>-1.706180250188094E-3</v>
      </c>
      <c r="N151" s="188">
        <f t="shared" si="46"/>
        <v>0.38399922587304314</v>
      </c>
      <c r="O151" s="305" t="str">
        <f t="shared" si="47"/>
        <v>Yes</v>
      </c>
      <c r="P151" s="304">
        <f t="shared" si="50"/>
        <v>1</v>
      </c>
      <c r="S151" s="287">
        <v>11021.59</v>
      </c>
      <c r="T151" s="188">
        <f t="shared" si="53"/>
        <v>-3.6395358823343438E-3</v>
      </c>
      <c r="U151" s="188">
        <f t="shared" si="48"/>
        <v>0.28416648412850054</v>
      </c>
      <c r="V151" s="305" t="str">
        <f t="shared" si="49"/>
        <v>Yes</v>
      </c>
      <c r="W151" s="304">
        <f t="shared" si="51"/>
        <v>1</v>
      </c>
      <c r="Z151" s="309">
        <v>2302.6</v>
      </c>
      <c r="AA151" s="310">
        <f t="shared" si="54"/>
        <v>6.8035539387154564E-3</v>
      </c>
      <c r="AB151" s="310">
        <f t="shared" si="55"/>
        <v>0.53212498669221753</v>
      </c>
      <c r="AC151" s="308"/>
    </row>
    <row r="152" spans="1:29">
      <c r="A152" s="184">
        <v>150</v>
      </c>
      <c r="B152" s="1">
        <f t="shared" si="41"/>
        <v>38786</v>
      </c>
      <c r="C152" s="174"/>
      <c r="D152" s="2">
        <v>31907.45</v>
      </c>
      <c r="E152" s="2">
        <f>D152+SUM(Holdings_Old!$E$32:$E$35)</f>
        <v>31907.45</v>
      </c>
      <c r="F152" s="2">
        <f t="shared" si="42"/>
        <v>-153.71999999999753</v>
      </c>
      <c r="G152" s="188">
        <f t="shared" si="43"/>
        <v>-4.7945848513949452E-3</v>
      </c>
      <c r="H152" s="2">
        <f t="shared" si="44"/>
        <v>9051.6000000000022</v>
      </c>
      <c r="I152" s="188">
        <f t="shared" si="45"/>
        <v>0.39602990044124375</v>
      </c>
      <c r="K152" s="174"/>
      <c r="L152" s="287">
        <v>1281.58</v>
      </c>
      <c r="M152" s="188">
        <f t="shared" si="52"/>
        <v>-4.3892699828314008E-3</v>
      </c>
      <c r="N152" s="188">
        <f t="shared" si="46"/>
        <v>0.37792447961465658</v>
      </c>
      <c r="O152" s="305" t="str">
        <f t="shared" si="47"/>
        <v>No</v>
      </c>
      <c r="P152" s="304">
        <f t="shared" si="50"/>
        <v>0</v>
      </c>
      <c r="S152" s="287">
        <v>11076.34</v>
      </c>
      <c r="T152" s="188">
        <f t="shared" si="53"/>
        <v>4.9675228347270117E-3</v>
      </c>
      <c r="U152" s="188">
        <f t="shared" si="48"/>
        <v>0.29054561046200011</v>
      </c>
      <c r="V152" s="305" t="str">
        <f t="shared" si="49"/>
        <v>No</v>
      </c>
      <c r="W152" s="304">
        <f t="shared" si="51"/>
        <v>0</v>
      </c>
      <c r="Z152" s="309">
        <v>2262.04</v>
      </c>
      <c r="AA152" s="310">
        <f t="shared" si="54"/>
        <v>-1.7614870146790529E-2</v>
      </c>
      <c r="AB152" s="310">
        <f t="shared" si="55"/>
        <v>0.50513680400298089</v>
      </c>
      <c r="AC152" s="308"/>
    </row>
    <row r="153" spans="1:29">
      <c r="A153" s="184">
        <v>151</v>
      </c>
      <c r="B153" s="1">
        <f t="shared" si="41"/>
        <v>38793</v>
      </c>
      <c r="C153" s="174"/>
      <c r="D153" s="2">
        <v>32342.92</v>
      </c>
      <c r="E153" s="2">
        <f>D153+SUM(Holdings_Old!$E$32:$E$35)</f>
        <v>32342.92</v>
      </c>
      <c r="F153" s="2">
        <f t="shared" si="42"/>
        <v>435.46999999999753</v>
      </c>
      <c r="G153" s="188">
        <f t="shared" si="43"/>
        <v>1.3647909814165526E-2</v>
      </c>
      <c r="H153" s="2">
        <f t="shared" si="44"/>
        <v>9487.07</v>
      </c>
      <c r="I153" s="188">
        <f t="shared" si="45"/>
        <v>0.41508279062034448</v>
      </c>
      <c r="K153" s="174"/>
      <c r="L153" s="287">
        <v>1307.25</v>
      </c>
      <c r="M153" s="188">
        <f t="shared" si="52"/>
        <v>2.0029963014404073E-2</v>
      </c>
      <c r="N153" s="188">
        <f t="shared" si="46"/>
        <v>0.40552425597798036</v>
      </c>
      <c r="O153" s="305" t="str">
        <f t="shared" si="47"/>
        <v>No</v>
      </c>
      <c r="P153" s="304">
        <f t="shared" si="50"/>
        <v>0</v>
      </c>
      <c r="S153" s="287">
        <v>11279.65</v>
      </c>
      <c r="T153" s="188">
        <f t="shared" si="53"/>
        <v>1.8355341204766118E-2</v>
      </c>
      <c r="U153" s="188">
        <f t="shared" si="48"/>
        <v>0.31423401548234353</v>
      </c>
      <c r="V153" s="305" t="str">
        <f t="shared" si="49"/>
        <v>No</v>
      </c>
      <c r="W153" s="304">
        <f t="shared" si="51"/>
        <v>0</v>
      </c>
      <c r="Z153" s="309">
        <v>2306.48</v>
      </c>
      <c r="AA153" s="310">
        <f t="shared" si="54"/>
        <v>1.9645983271737055E-2</v>
      </c>
      <c r="AB153" s="310">
        <f t="shared" si="55"/>
        <v>0.53470669647609914</v>
      </c>
      <c r="AC153" s="308"/>
    </row>
    <row r="154" spans="1:29">
      <c r="A154" s="184">
        <v>152</v>
      </c>
      <c r="B154" s="1">
        <f t="shared" si="41"/>
        <v>38800</v>
      </c>
      <c r="C154" s="174"/>
      <c r="D154" s="2">
        <v>32583.79</v>
      </c>
      <c r="E154" s="2">
        <f>D154+SUM(Holdings_Old!$E$32:$E$35)</f>
        <v>32583.79</v>
      </c>
      <c r="F154" s="2">
        <f t="shared" si="42"/>
        <v>240.87000000000262</v>
      </c>
      <c r="G154" s="188">
        <f t="shared" si="43"/>
        <v>7.4473795192271375E-3</v>
      </c>
      <c r="H154" s="2">
        <f t="shared" si="44"/>
        <v>9727.9400000000023</v>
      </c>
      <c r="I154" s="188">
        <f t="shared" si="45"/>
        <v>0.42562144921322131</v>
      </c>
      <c r="K154" s="174"/>
      <c r="L154" s="287">
        <v>1302.95</v>
      </c>
      <c r="M154" s="188">
        <f t="shared" si="52"/>
        <v>-3.2893478676611076E-3</v>
      </c>
      <c r="N154" s="188">
        <f t="shared" si="46"/>
        <v>0.4009009977636333</v>
      </c>
      <c r="O154" s="305" t="str">
        <f t="shared" si="47"/>
        <v>Yes</v>
      </c>
      <c r="P154" s="304">
        <f t="shared" si="50"/>
        <v>1</v>
      </c>
      <c r="S154" s="287">
        <v>11279.97</v>
      </c>
      <c r="T154" s="188">
        <f t="shared" si="53"/>
        <v>2.8369674590855709E-5</v>
      </c>
      <c r="U154" s="188">
        <f t="shared" si="48"/>
        <v>0.31427129987369895</v>
      </c>
      <c r="V154" s="305" t="str">
        <f t="shared" si="49"/>
        <v>Yes</v>
      </c>
      <c r="W154" s="304">
        <f t="shared" si="51"/>
        <v>1</v>
      </c>
      <c r="Z154" s="309">
        <v>2312.8200000000002</v>
      </c>
      <c r="AA154" s="310">
        <f t="shared" si="54"/>
        <v>2.7487773577052899E-3</v>
      </c>
      <c r="AB154" s="310">
        <f t="shared" si="55"/>
        <v>0.53892526349409131</v>
      </c>
      <c r="AC154" s="308"/>
    </row>
    <row r="155" spans="1:29">
      <c r="A155" s="184">
        <v>153</v>
      </c>
      <c r="B155" s="1">
        <f t="shared" si="41"/>
        <v>38807</v>
      </c>
      <c r="C155" s="174"/>
      <c r="D155" s="2">
        <v>32541.29</v>
      </c>
      <c r="E155" s="2">
        <f>D155+SUM(Holdings_Old!$E$32:$E$35)</f>
        <v>32541.29</v>
      </c>
      <c r="F155" s="2">
        <f t="shared" si="42"/>
        <v>-42.5</v>
      </c>
      <c r="G155" s="188">
        <f t="shared" si="43"/>
        <v>-1.3043295454580051E-3</v>
      </c>
      <c r="H155" s="2">
        <f t="shared" si="44"/>
        <v>9685.4400000000023</v>
      </c>
      <c r="I155" s="188">
        <f t="shared" si="45"/>
        <v>0.42376196903637364</v>
      </c>
      <c r="K155" s="174"/>
      <c r="L155" s="287">
        <v>1294.83</v>
      </c>
      <c r="M155" s="188">
        <f t="shared" si="52"/>
        <v>-6.2320119728309642E-3</v>
      </c>
      <c r="N155" s="188">
        <f t="shared" si="46"/>
        <v>0.39217056597281941</v>
      </c>
      <c r="O155" s="305" t="str">
        <f t="shared" si="47"/>
        <v>Yes</v>
      </c>
      <c r="P155" s="304">
        <f t="shared" si="50"/>
        <v>1</v>
      </c>
      <c r="S155" s="287">
        <v>11109.32</v>
      </c>
      <c r="T155" s="188">
        <f t="shared" si="53"/>
        <v>-1.5128586334892669E-2</v>
      </c>
      <c r="U155" s="188">
        <f t="shared" si="48"/>
        <v>0.29438823304608808</v>
      </c>
      <c r="V155" s="305" t="str">
        <f t="shared" si="49"/>
        <v>Yes</v>
      </c>
      <c r="W155" s="304">
        <f t="shared" si="51"/>
        <v>1</v>
      </c>
      <c r="Z155" s="309">
        <v>2339.79</v>
      </c>
      <c r="AA155" s="310">
        <f t="shared" si="54"/>
        <v>1.1661089060108321E-2</v>
      </c>
      <c r="AB155" s="310">
        <f t="shared" si="55"/>
        <v>0.55687080804854672</v>
      </c>
      <c r="AC155" s="308"/>
    </row>
    <row r="156" spans="1:29">
      <c r="A156" s="184">
        <v>154</v>
      </c>
      <c r="B156" s="1">
        <f t="shared" si="41"/>
        <v>38814</v>
      </c>
      <c r="C156" s="174"/>
      <c r="D156" s="2">
        <v>32541.759999999998</v>
      </c>
      <c r="E156" s="2">
        <f>D156+SUM(Holdings_Old!$E$32:$E$35)</f>
        <v>32541.759999999998</v>
      </c>
      <c r="F156" s="2">
        <f t="shared" si="42"/>
        <v>0.46999999999752617</v>
      </c>
      <c r="G156" s="188">
        <f t="shared" si="43"/>
        <v>1.4443188945501007E-5</v>
      </c>
      <c r="H156" s="2">
        <f t="shared" si="44"/>
        <v>9685.91</v>
      </c>
      <c r="I156" s="188">
        <f t="shared" si="45"/>
        <v>0.42378253269950594</v>
      </c>
      <c r="K156" s="174"/>
      <c r="L156" s="287">
        <v>1295.5</v>
      </c>
      <c r="M156" s="188">
        <f t="shared" si="52"/>
        <v>5.1744244418183705E-4</v>
      </c>
      <c r="N156" s="188">
        <f t="shared" si="46"/>
        <v>0.39289093411319453</v>
      </c>
      <c r="O156" s="305" t="str">
        <f t="shared" si="47"/>
        <v>No</v>
      </c>
      <c r="P156" s="304">
        <f t="shared" si="50"/>
        <v>0</v>
      </c>
      <c r="S156" s="287">
        <v>11120.04</v>
      </c>
      <c r="T156" s="188">
        <f t="shared" si="53"/>
        <v>9.6495555083486728E-4</v>
      </c>
      <c r="U156" s="188">
        <f t="shared" si="48"/>
        <v>0.29563726015650138</v>
      </c>
      <c r="V156" s="305" t="str">
        <f t="shared" si="49"/>
        <v>No</v>
      </c>
      <c r="W156" s="304">
        <f t="shared" si="51"/>
        <v>0</v>
      </c>
      <c r="Z156" s="309">
        <v>2339.02</v>
      </c>
      <c r="AA156" s="310">
        <f t="shared" si="54"/>
        <v>-3.2908936272058043E-4</v>
      </c>
      <c r="AB156" s="310">
        <f t="shared" si="55"/>
        <v>0.55635845842648779</v>
      </c>
      <c r="AC156" s="308"/>
    </row>
    <row r="157" spans="1:29">
      <c r="A157" s="184">
        <v>155</v>
      </c>
      <c r="B157" s="1">
        <f t="shared" si="41"/>
        <v>38821</v>
      </c>
      <c r="C157" s="174"/>
      <c r="D157" s="2">
        <v>32409.87</v>
      </c>
      <c r="E157" s="2">
        <f>D157+SUM(Holdings_Old!$E$32:$E$35)</f>
        <v>32409.87</v>
      </c>
      <c r="F157" s="2">
        <f t="shared" si="42"/>
        <v>-131.88999999999942</v>
      </c>
      <c r="G157" s="188">
        <f t="shared" si="43"/>
        <v>-4.0529461221519014E-3</v>
      </c>
      <c r="H157" s="2">
        <f t="shared" si="44"/>
        <v>9554.02</v>
      </c>
      <c r="I157" s="188">
        <f t="shared" si="45"/>
        <v>0.41801201880481376</v>
      </c>
      <c r="K157" s="174"/>
      <c r="L157" s="287">
        <v>1289.1199999999999</v>
      </c>
      <c r="M157" s="188">
        <f t="shared" si="52"/>
        <v>-4.9247394828252355E-3</v>
      </c>
      <c r="N157" s="188">
        <f t="shared" si="46"/>
        <v>0.38603130913469785</v>
      </c>
      <c r="O157" s="305" t="str">
        <f t="shared" si="47"/>
        <v>Yes</v>
      </c>
      <c r="P157" s="304">
        <f t="shared" si="50"/>
        <v>1</v>
      </c>
      <c r="S157" s="287">
        <v>11137.65</v>
      </c>
      <c r="T157" s="188">
        <f t="shared" si="53"/>
        <v>1.583627397023557E-3</v>
      </c>
      <c r="U157" s="188">
        <f t="shared" si="48"/>
        <v>0.29768906681828988</v>
      </c>
      <c r="V157" s="305" t="str">
        <f t="shared" si="49"/>
        <v>No</v>
      </c>
      <c r="W157" s="304">
        <f t="shared" si="51"/>
        <v>0</v>
      </c>
      <c r="Z157" s="309">
        <v>2326.11</v>
      </c>
      <c r="AA157" s="310">
        <f t="shared" si="54"/>
        <v>-5.5194055630135574E-3</v>
      </c>
      <c r="AB157" s="310">
        <f t="shared" si="55"/>
        <v>0.54776828489300544</v>
      </c>
      <c r="AC157" s="308"/>
    </row>
    <row r="158" spans="1:29">
      <c r="A158" s="184">
        <v>156</v>
      </c>
      <c r="B158" s="1">
        <f t="shared" si="41"/>
        <v>38828</v>
      </c>
      <c r="C158" s="174"/>
      <c r="D158" s="2">
        <v>32778.47</v>
      </c>
      <c r="E158" s="2">
        <f>D158+SUM(Holdings_Old!$E$32:$E$35)</f>
        <v>32778.47</v>
      </c>
      <c r="F158" s="2">
        <f t="shared" si="42"/>
        <v>368.60000000000218</v>
      </c>
      <c r="G158" s="188">
        <f t="shared" si="43"/>
        <v>1.137307863314474E-2</v>
      </c>
      <c r="H158" s="2">
        <f t="shared" si="44"/>
        <v>9922.6200000000026</v>
      </c>
      <c r="I158" s="188">
        <f t="shared" si="45"/>
        <v>0.43413918099742532</v>
      </c>
      <c r="K158" s="174"/>
      <c r="L158" s="287">
        <v>1311.28</v>
      </c>
      <c r="M158" s="188">
        <f t="shared" si="52"/>
        <v>1.7190021099664943E-2</v>
      </c>
      <c r="N158" s="188">
        <f t="shared" si="46"/>
        <v>0.4098572165835197</v>
      </c>
      <c r="O158" s="305" t="str">
        <f t="shared" si="47"/>
        <v>No</v>
      </c>
      <c r="P158" s="304">
        <f t="shared" si="50"/>
        <v>0</v>
      </c>
      <c r="S158" s="287">
        <v>11347.45</v>
      </c>
      <c r="T158" s="188">
        <f t="shared" si="53"/>
        <v>1.8837007806853379E-2</v>
      </c>
      <c r="U158" s="188">
        <f t="shared" si="48"/>
        <v>0.32213364590081417</v>
      </c>
      <c r="V158" s="305" t="str">
        <f t="shared" si="49"/>
        <v>No</v>
      </c>
      <c r="W158" s="304">
        <f t="shared" si="51"/>
        <v>0</v>
      </c>
      <c r="Z158" s="309">
        <v>2342.86</v>
      </c>
      <c r="AA158" s="310">
        <f t="shared" si="54"/>
        <v>7.2008632437847719E-3</v>
      </c>
      <c r="AB158" s="310">
        <f t="shared" si="55"/>
        <v>0.55891355264558706</v>
      </c>
      <c r="AC158" s="308"/>
    </row>
    <row r="159" spans="1:29">
      <c r="A159" s="184">
        <v>157</v>
      </c>
      <c r="B159" s="1">
        <f t="shared" si="41"/>
        <v>38835</v>
      </c>
      <c r="C159" s="174"/>
      <c r="D159" s="2">
        <v>32644.05</v>
      </c>
      <c r="E159" s="2">
        <f>D159+SUM(Holdings_Old!$E$32:$E$35)</f>
        <v>32644.05</v>
      </c>
      <c r="F159" s="2">
        <f t="shared" si="42"/>
        <v>-134.42000000000189</v>
      </c>
      <c r="G159" s="188">
        <f t="shared" si="43"/>
        <v>-4.1008625478858862E-3</v>
      </c>
      <c r="H159" s="2">
        <f t="shared" si="44"/>
        <v>9788.2000000000007</v>
      </c>
      <c r="I159" s="188">
        <f t="shared" si="45"/>
        <v>0.42825797334161719</v>
      </c>
      <c r="K159" s="174"/>
      <c r="L159" s="287">
        <v>1310.6099999999999</v>
      </c>
      <c r="M159" s="188">
        <f t="shared" si="52"/>
        <v>-5.1095113171872875E-4</v>
      </c>
      <c r="N159" s="188">
        <f t="shared" si="46"/>
        <v>0.40913684844314457</v>
      </c>
      <c r="O159" s="305" t="str">
        <f t="shared" si="47"/>
        <v>No</v>
      </c>
      <c r="P159" s="304">
        <f t="shared" si="50"/>
        <v>0</v>
      </c>
      <c r="S159" s="287">
        <v>11367.14</v>
      </c>
      <c r="T159" s="188">
        <f t="shared" si="53"/>
        <v>1.735191606924813E-3</v>
      </c>
      <c r="U159" s="188">
        <f t="shared" si="48"/>
        <v>0.32442780110641412</v>
      </c>
      <c r="V159" s="305" t="str">
        <f t="shared" si="49"/>
        <v>No</v>
      </c>
      <c r="W159" s="304">
        <f t="shared" si="51"/>
        <v>0</v>
      </c>
      <c r="Z159" s="309">
        <v>2322.5700000000002</v>
      </c>
      <c r="AA159" s="310">
        <f t="shared" si="54"/>
        <v>-8.6603552922496219E-3</v>
      </c>
      <c r="AB159" s="310">
        <f t="shared" si="55"/>
        <v>0.54541280740977327</v>
      </c>
      <c r="AC159" s="308"/>
    </row>
    <row r="160" spans="1:29">
      <c r="A160" s="184">
        <v>158</v>
      </c>
      <c r="B160" s="1">
        <f t="shared" si="41"/>
        <v>38842</v>
      </c>
      <c r="C160" s="174"/>
      <c r="D160" s="2">
        <v>32515.87</v>
      </c>
      <c r="E160" s="2">
        <f>D160+SUM(Holdings_Old!$E$32:$E$35)</f>
        <v>32515.87</v>
      </c>
      <c r="F160" s="2">
        <f t="shared" si="42"/>
        <v>-128.18000000000029</v>
      </c>
      <c r="G160" s="188">
        <f t="shared" si="43"/>
        <v>-3.9265961178224229E-3</v>
      </c>
      <c r="H160" s="2">
        <f t="shared" si="44"/>
        <v>9660.02</v>
      </c>
      <c r="I160" s="188">
        <f t="shared" si="45"/>
        <v>0.42264978112824503</v>
      </c>
      <c r="K160" s="174"/>
      <c r="L160" s="287">
        <v>1305.19</v>
      </c>
      <c r="M160" s="188">
        <f t="shared" si="52"/>
        <v>-4.1354788991384561E-3</v>
      </c>
      <c r="N160" s="188">
        <f t="shared" si="46"/>
        <v>0.40330939274040944</v>
      </c>
      <c r="O160" s="305" t="str">
        <f t="shared" si="47"/>
        <v>Yes</v>
      </c>
      <c r="P160" s="304">
        <f t="shared" si="50"/>
        <v>1</v>
      </c>
      <c r="S160" s="287">
        <v>11577.74</v>
      </c>
      <c r="T160" s="188">
        <f t="shared" si="53"/>
        <v>1.8527087728311686E-2</v>
      </c>
      <c r="U160" s="188">
        <f t="shared" si="48"/>
        <v>0.34896559116732773</v>
      </c>
      <c r="V160" s="305" t="str">
        <f t="shared" si="49"/>
        <v>No</v>
      </c>
      <c r="W160" s="304">
        <f t="shared" si="51"/>
        <v>0</v>
      </c>
      <c r="Z160" s="309">
        <v>2342.5700000000002</v>
      </c>
      <c r="AA160" s="310">
        <f t="shared" si="54"/>
        <v>8.6111505788846188E-3</v>
      </c>
      <c r="AB160" s="310">
        <f t="shared" si="55"/>
        <v>0.55872058980091555</v>
      </c>
      <c r="AC160" s="308"/>
    </row>
    <row r="161" spans="1:29">
      <c r="A161" s="184">
        <v>159</v>
      </c>
      <c r="B161" s="1">
        <f t="shared" si="41"/>
        <v>38849</v>
      </c>
      <c r="C161" s="174"/>
      <c r="D161" s="2">
        <v>31987.95</v>
      </c>
      <c r="E161" s="2">
        <f>D161+SUM(Holdings_Old!$E$32:$E$35)</f>
        <v>31987.95</v>
      </c>
      <c r="F161" s="2">
        <f t="shared" si="42"/>
        <v>-527.91999999999825</v>
      </c>
      <c r="G161" s="188">
        <f t="shared" si="43"/>
        <v>-1.6235764259113994E-2</v>
      </c>
      <c r="H161" s="2">
        <f t="shared" si="44"/>
        <v>9132.1000000000022</v>
      </c>
      <c r="I161" s="188">
        <f t="shared" si="45"/>
        <v>0.39955197465856673</v>
      </c>
      <c r="K161" s="174"/>
      <c r="L161" s="287">
        <v>1291.24</v>
      </c>
      <c r="M161" s="188">
        <f t="shared" si="52"/>
        <v>-1.0688099050712996E-2</v>
      </c>
      <c r="N161" s="188">
        <f t="shared" si="46"/>
        <v>0.38831068295200399</v>
      </c>
      <c r="O161" s="305" t="str">
        <f t="shared" si="47"/>
        <v>No</v>
      </c>
      <c r="P161" s="304">
        <f t="shared" si="50"/>
        <v>0</v>
      </c>
      <c r="S161" s="287">
        <v>11380.99</v>
      </c>
      <c r="T161" s="188">
        <f t="shared" si="53"/>
        <v>-1.6993817446237403E-2</v>
      </c>
      <c r="U161" s="188">
        <f t="shared" si="48"/>
        <v>0.3260415161697745</v>
      </c>
      <c r="V161" s="305" t="str">
        <f t="shared" si="49"/>
        <v>Yes</v>
      </c>
      <c r="W161" s="304">
        <f t="shared" si="51"/>
        <v>1</v>
      </c>
      <c r="Z161" s="309">
        <v>2243.7800000000002</v>
      </c>
      <c r="AA161" s="310">
        <f t="shared" si="54"/>
        <v>-4.2171632010996496E-2</v>
      </c>
      <c r="AB161" s="310">
        <f t="shared" si="55"/>
        <v>0.49298679867986794</v>
      </c>
      <c r="AC161" s="308"/>
    </row>
    <row r="162" spans="1:29">
      <c r="A162" s="184">
        <v>160</v>
      </c>
      <c r="B162" s="1">
        <f t="shared" si="41"/>
        <v>38856</v>
      </c>
      <c r="C162" s="174"/>
      <c r="D162" s="2">
        <v>31397.88</v>
      </c>
      <c r="E162" s="2">
        <f>D162+SUM(Holdings_Old!$E$32:$E$35)</f>
        <v>31397.88</v>
      </c>
      <c r="F162" s="2">
        <f t="shared" si="42"/>
        <v>-590.06999999999971</v>
      </c>
      <c r="G162" s="188">
        <f t="shared" si="43"/>
        <v>-1.8446633810544233E-2</v>
      </c>
      <c r="H162" s="2">
        <f t="shared" si="44"/>
        <v>8542.0300000000025</v>
      </c>
      <c r="I162" s="188">
        <f t="shared" si="45"/>
        <v>0.37373495188321604</v>
      </c>
      <c r="K162" s="174"/>
      <c r="L162" s="287">
        <v>1267.03</v>
      </c>
      <c r="M162" s="188">
        <f t="shared" si="52"/>
        <v>-1.8749419162975123E-2</v>
      </c>
      <c r="N162" s="188">
        <f t="shared" si="46"/>
        <v>0.36228066402890069</v>
      </c>
      <c r="O162" s="305" t="str">
        <f t="shared" si="47"/>
        <v>Yes</v>
      </c>
      <c r="P162" s="304">
        <f t="shared" si="50"/>
        <v>1</v>
      </c>
      <c r="S162" s="287">
        <v>11144.06</v>
      </c>
      <c r="T162" s="188">
        <f t="shared" si="53"/>
        <v>-2.0818048342015949E-2</v>
      </c>
      <c r="U162" s="188">
        <f t="shared" si="48"/>
        <v>0.29843591978263184</v>
      </c>
      <c r="V162" s="305" t="str">
        <f t="shared" si="49"/>
        <v>Yes</v>
      </c>
      <c r="W162" s="304">
        <f t="shared" si="51"/>
        <v>1</v>
      </c>
      <c r="Z162" s="309">
        <v>2193.88</v>
      </c>
      <c r="AA162" s="310">
        <f t="shared" si="54"/>
        <v>-2.2239256968151988E-2</v>
      </c>
      <c r="AB162" s="310">
        <f t="shared" si="55"/>
        <v>0.45978388161396788</v>
      </c>
      <c r="AC162" s="308"/>
    </row>
    <row r="163" spans="1:29">
      <c r="A163" s="184">
        <v>161</v>
      </c>
      <c r="B163" s="1">
        <f t="shared" si="41"/>
        <v>38863</v>
      </c>
      <c r="C163" s="174"/>
      <c r="D163" s="2">
        <v>31315.06</v>
      </c>
      <c r="E163" s="2">
        <f>D163+SUM(Holdings_Old!$E$32:$E$35)</f>
        <v>31315.06</v>
      </c>
      <c r="F163" s="2">
        <f t="shared" si="42"/>
        <v>-82.819999999999709</v>
      </c>
      <c r="G163" s="188">
        <f t="shared" si="43"/>
        <v>-2.6377577084821802E-3</v>
      </c>
      <c r="H163" s="2">
        <f t="shared" si="44"/>
        <v>8459.2100000000028</v>
      </c>
      <c r="I163" s="188">
        <f t="shared" si="45"/>
        <v>0.37011137192447463</v>
      </c>
      <c r="K163" s="174"/>
      <c r="L163" s="287">
        <v>1280.1600000000001</v>
      </c>
      <c r="M163" s="188">
        <f t="shared" si="52"/>
        <v>1.0362816981444922E-2</v>
      </c>
      <c r="N163" s="188">
        <f t="shared" si="46"/>
        <v>0.37639772922759329</v>
      </c>
      <c r="O163" s="305" t="str">
        <f t="shared" si="47"/>
        <v>No</v>
      </c>
      <c r="P163" s="304">
        <f t="shared" si="50"/>
        <v>0</v>
      </c>
      <c r="S163" s="287">
        <v>11278.61</v>
      </c>
      <c r="T163" s="188">
        <f t="shared" si="53"/>
        <v>1.207369665992486E-2</v>
      </c>
      <c r="U163" s="188">
        <f t="shared" si="48"/>
        <v>0.3141128412104377</v>
      </c>
      <c r="V163" s="305" t="str">
        <f t="shared" si="49"/>
        <v>No</v>
      </c>
      <c r="W163" s="304">
        <f t="shared" si="51"/>
        <v>0</v>
      </c>
      <c r="Z163" s="309">
        <v>2210.37</v>
      </c>
      <c r="AA163" s="310">
        <f t="shared" si="54"/>
        <v>7.5163637026636199E-3</v>
      </c>
      <c r="AB163" s="310">
        <f t="shared" si="55"/>
        <v>0.47075614819546452</v>
      </c>
      <c r="AC163" s="308"/>
    </row>
    <row r="164" spans="1:29">
      <c r="A164" s="184">
        <v>162</v>
      </c>
      <c r="B164" s="1">
        <f t="shared" si="41"/>
        <v>38870</v>
      </c>
      <c r="C164" s="174"/>
      <c r="D164" s="2">
        <v>31364.7</v>
      </c>
      <c r="E164" s="2">
        <f>D164+SUM(Holdings_Old!$E$32:$E$35)</f>
        <v>31364.7</v>
      </c>
      <c r="F164" s="2">
        <f t="shared" si="42"/>
        <v>49.639999999999418</v>
      </c>
      <c r="G164" s="188">
        <f t="shared" si="43"/>
        <v>1.5851797825072733E-3</v>
      </c>
      <c r="H164" s="2">
        <f t="shared" si="44"/>
        <v>8508.8500000000022</v>
      </c>
      <c r="I164" s="188">
        <f t="shared" si="45"/>
        <v>0.37228324477103247</v>
      </c>
      <c r="K164" s="174"/>
      <c r="L164" s="287">
        <v>1288.22</v>
      </c>
      <c r="M164" s="188">
        <f t="shared" si="52"/>
        <v>6.2960879890012755E-3</v>
      </c>
      <c r="N164" s="188">
        <f t="shared" si="46"/>
        <v>0.38506365043867197</v>
      </c>
      <c r="O164" s="305" t="str">
        <f t="shared" si="47"/>
        <v>No</v>
      </c>
      <c r="P164" s="304">
        <f t="shared" si="50"/>
        <v>0</v>
      </c>
      <c r="S164" s="287">
        <v>11247.87</v>
      </c>
      <c r="T164" s="188">
        <f t="shared" si="53"/>
        <v>-2.7255131616396033E-3</v>
      </c>
      <c r="U164" s="188">
        <f t="shared" ref="U164:U195" si="56">(S164/$S$3)-1</f>
        <v>0.31053120936583922</v>
      </c>
      <c r="V164" s="305" t="str">
        <f t="shared" ref="V164:V195" si="57">IF(G164&gt;T164,"Yes","No")</f>
        <v>Yes</v>
      </c>
      <c r="W164" s="304">
        <f t="shared" si="51"/>
        <v>1</v>
      </c>
      <c r="Z164" s="309">
        <v>2219.41</v>
      </c>
      <c r="AA164" s="310">
        <f t="shared" si="54"/>
        <v>4.0898130177300374E-3</v>
      </c>
      <c r="AB164" s="310">
        <f t="shared" si="55"/>
        <v>0.47677126583626084</v>
      </c>
      <c r="AC164" s="308"/>
    </row>
    <row r="165" spans="1:29">
      <c r="A165" s="184">
        <v>163</v>
      </c>
      <c r="B165" s="1">
        <f t="shared" si="41"/>
        <v>38877</v>
      </c>
      <c r="C165" s="174"/>
      <c r="D165" s="2">
        <v>30726.39</v>
      </c>
      <c r="E165" s="2">
        <f>D165+SUM(Holdings_Old!$E$32:$E$35)</f>
        <v>30726.39</v>
      </c>
      <c r="F165" s="2">
        <f t="shared" si="42"/>
        <v>-638.31000000000131</v>
      </c>
      <c r="G165" s="188">
        <f t="shared" si="43"/>
        <v>-2.0351222871572205E-2</v>
      </c>
      <c r="H165" s="2">
        <f t="shared" si="44"/>
        <v>7870.5400000000009</v>
      </c>
      <c r="I165" s="188">
        <f t="shared" si="45"/>
        <v>0.34435560261377285</v>
      </c>
      <c r="K165" s="174"/>
      <c r="L165" s="287">
        <v>1252.3</v>
      </c>
      <c r="M165" s="188">
        <f t="shared" si="52"/>
        <v>-2.7883436059058297E-2</v>
      </c>
      <c r="N165" s="188">
        <f t="shared" si="46"/>
        <v>0.34644331670393935</v>
      </c>
      <c r="O165" s="305" t="str">
        <f t="shared" si="47"/>
        <v>Yes</v>
      </c>
      <c r="P165" s="304">
        <f t="shared" si="50"/>
        <v>1</v>
      </c>
      <c r="S165" s="287">
        <v>10891.92</v>
      </c>
      <c r="T165" s="188">
        <f t="shared" si="53"/>
        <v>-3.1645991641084059E-2</v>
      </c>
      <c r="U165" s="188">
        <f t="shared" si="56"/>
        <v>0.26905814966886799</v>
      </c>
      <c r="V165" s="305" t="str">
        <f t="shared" si="57"/>
        <v>Yes</v>
      </c>
      <c r="W165" s="304">
        <f t="shared" si="51"/>
        <v>1</v>
      </c>
      <c r="Z165" s="309">
        <v>2135.06</v>
      </c>
      <c r="AA165" s="310">
        <f t="shared" si="54"/>
        <v>-3.8005596081841508E-2</v>
      </c>
      <c r="AB165" s="310">
        <f t="shared" si="55"/>
        <v>0.42064569360161808</v>
      </c>
      <c r="AC165" s="308"/>
    </row>
    <row r="166" spans="1:29">
      <c r="A166" s="184">
        <v>164</v>
      </c>
      <c r="B166" s="1">
        <f t="shared" si="41"/>
        <v>38884</v>
      </c>
      <c r="C166" s="174"/>
      <c r="D166" s="2">
        <v>30675.74</v>
      </c>
      <c r="E166" s="2">
        <f>D166+SUM(Holdings_Old!$E$32:$E$35)</f>
        <v>30675.74</v>
      </c>
      <c r="F166" s="2">
        <f t="shared" si="42"/>
        <v>-50.649999999997817</v>
      </c>
      <c r="G166" s="188">
        <f t="shared" si="43"/>
        <v>-1.6484201365665196E-3</v>
      </c>
      <c r="H166" s="2">
        <f t="shared" si="44"/>
        <v>7819.8900000000031</v>
      </c>
      <c r="I166" s="188">
        <f t="shared" si="45"/>
        <v>0.34213953976771827</v>
      </c>
      <c r="K166" s="174"/>
      <c r="L166" s="287">
        <v>1251.54</v>
      </c>
      <c r="M166" s="188">
        <f t="shared" si="52"/>
        <v>-6.0688333466418776E-4</v>
      </c>
      <c r="N166" s="188">
        <f t="shared" si="46"/>
        <v>0.34562618269396173</v>
      </c>
      <c r="O166" s="305" t="str">
        <f t="shared" si="47"/>
        <v>No</v>
      </c>
      <c r="P166" s="304">
        <f t="shared" si="50"/>
        <v>0</v>
      </c>
      <c r="S166" s="287">
        <v>11014.54</v>
      </c>
      <c r="T166" s="188">
        <f t="shared" si="53"/>
        <v>1.1257886580143817E-2</v>
      </c>
      <c r="U166" s="188">
        <f t="shared" si="56"/>
        <v>0.2833450623814473</v>
      </c>
      <c r="V166" s="305" t="str">
        <f t="shared" si="57"/>
        <v>No</v>
      </c>
      <c r="W166" s="304">
        <f t="shared" si="51"/>
        <v>0</v>
      </c>
      <c r="Z166" s="309">
        <v>2129.9499999999998</v>
      </c>
      <c r="AA166" s="310">
        <f t="shared" si="54"/>
        <v>-2.3933753618166076E-3</v>
      </c>
      <c r="AB166" s="310">
        <f t="shared" si="55"/>
        <v>0.41724555520068107</v>
      </c>
      <c r="AC166" s="308"/>
    </row>
    <row r="167" spans="1:29">
      <c r="A167" s="184">
        <v>165</v>
      </c>
      <c r="B167" s="1">
        <f t="shared" si="41"/>
        <v>38891</v>
      </c>
      <c r="C167" s="174"/>
      <c r="D167" s="2">
        <v>30458.69</v>
      </c>
      <c r="E167" s="2">
        <f>D167+SUM(Holdings_Old!$E$32:$E$35)</f>
        <v>30458.69</v>
      </c>
      <c r="F167" s="2">
        <f t="shared" si="42"/>
        <v>-217.05000000000291</v>
      </c>
      <c r="G167" s="188">
        <f t="shared" si="43"/>
        <v>-7.0756239295287626E-3</v>
      </c>
      <c r="H167" s="2">
        <f t="shared" si="44"/>
        <v>7602.84</v>
      </c>
      <c r="I167" s="188">
        <f t="shared" si="45"/>
        <v>0.33264306512337116</v>
      </c>
      <c r="K167" s="174"/>
      <c r="L167" s="287">
        <v>1244.5</v>
      </c>
      <c r="M167" s="188">
        <f t="shared" si="52"/>
        <v>-5.625069913866132E-3</v>
      </c>
      <c r="N167" s="188">
        <f t="shared" si="46"/>
        <v>0.33805694133837938</v>
      </c>
      <c r="O167" s="305" t="str">
        <f t="shared" si="47"/>
        <v>No</v>
      </c>
      <c r="P167" s="304">
        <f t="shared" si="50"/>
        <v>0</v>
      </c>
      <c r="S167" s="287">
        <v>10989.09</v>
      </c>
      <c r="T167" s="188">
        <f t="shared" si="53"/>
        <v>-2.3105821940817561E-3</v>
      </c>
      <c r="U167" s="188">
        <f t="shared" si="56"/>
        <v>0.28037978813144604</v>
      </c>
      <c r="V167" s="305" t="str">
        <f t="shared" si="57"/>
        <v>No</v>
      </c>
      <c r="W167" s="304">
        <f t="shared" si="51"/>
        <v>0</v>
      </c>
      <c r="Z167" s="309">
        <v>2121.4699999999998</v>
      </c>
      <c r="AA167" s="310">
        <f t="shared" si="54"/>
        <v>-3.9813141153548504E-3</v>
      </c>
      <c r="AB167" s="310">
        <f t="shared" si="55"/>
        <v>0.41160305546683684</v>
      </c>
      <c r="AC167" s="308"/>
    </row>
    <row r="168" spans="1:29">
      <c r="A168" s="184">
        <v>166</v>
      </c>
      <c r="B168" s="1">
        <f t="shared" si="41"/>
        <v>38898</v>
      </c>
      <c r="C168" s="174"/>
      <c r="D168" s="2">
        <v>31110.28</v>
      </c>
      <c r="E168" s="2">
        <f>D168+SUM(Holdings_Old!$E$32:$E$35)</f>
        <v>31110.28</v>
      </c>
      <c r="F168" s="2">
        <f t="shared" si="42"/>
        <v>651.59000000000015</v>
      </c>
      <c r="G168" s="188">
        <f t="shared" si="43"/>
        <v>2.1392581230512464E-2</v>
      </c>
      <c r="H168" s="2">
        <f t="shared" si="44"/>
        <v>8254.43</v>
      </c>
      <c r="I168" s="188">
        <f t="shared" si="45"/>
        <v>0.36115174014530194</v>
      </c>
      <c r="K168" s="174"/>
      <c r="L168" s="287">
        <v>1270.2</v>
      </c>
      <c r="M168" s="188">
        <f t="shared" si="52"/>
        <v>2.0650863800723229E-2</v>
      </c>
      <c r="N168" s="188">
        <f t="shared" si="46"/>
        <v>0.36568897299157066</v>
      </c>
      <c r="O168" s="305" t="str">
        <f t="shared" si="47"/>
        <v>Yes</v>
      </c>
      <c r="P168" s="304">
        <f t="shared" si="50"/>
        <v>1</v>
      </c>
      <c r="S168" s="287">
        <v>11150.22</v>
      </c>
      <c r="T168" s="188">
        <f t="shared" si="53"/>
        <v>1.4662724575010166E-2</v>
      </c>
      <c r="U168" s="188">
        <f t="shared" si="56"/>
        <v>0.29915364431622748</v>
      </c>
      <c r="V168" s="305" t="str">
        <f t="shared" si="57"/>
        <v>Yes</v>
      </c>
      <c r="W168" s="304">
        <f t="shared" si="51"/>
        <v>1</v>
      </c>
      <c r="Z168" s="309">
        <v>2172.09</v>
      </c>
      <c r="AA168" s="310">
        <f t="shared" si="54"/>
        <v>2.386081349253133E-2</v>
      </c>
      <c r="AB168" s="310">
        <f t="shared" si="55"/>
        <v>0.44528505269881835</v>
      </c>
      <c r="AC168" s="308"/>
    </row>
    <row r="169" spans="1:29">
      <c r="A169" s="184">
        <v>167</v>
      </c>
      <c r="B169" s="1">
        <f t="shared" si="41"/>
        <v>38905</v>
      </c>
      <c r="C169" s="174"/>
      <c r="D169" s="2">
        <v>30853.56</v>
      </c>
      <c r="E169" s="2">
        <f>D169+SUM(Holdings_Old!$E$32:$E$35)</f>
        <v>30853.56</v>
      </c>
      <c r="F169" s="2">
        <f t="shared" si="42"/>
        <v>-256.71999999999753</v>
      </c>
      <c r="G169" s="188">
        <f t="shared" si="43"/>
        <v>-8.2519347302563162E-3</v>
      </c>
      <c r="H169" s="2">
        <f t="shared" si="44"/>
        <v>7997.7100000000028</v>
      </c>
      <c r="I169" s="188">
        <f t="shared" si="45"/>
        <v>0.34991960482764828</v>
      </c>
      <c r="K169" s="174"/>
      <c r="L169" s="287">
        <v>1265.48</v>
      </c>
      <c r="M169" s="188">
        <f t="shared" si="52"/>
        <v>-3.715950244056021E-3</v>
      </c>
      <c r="N169" s="188">
        <f t="shared" si="46"/>
        <v>0.36061414071907794</v>
      </c>
      <c r="O169" s="305" t="str">
        <f t="shared" si="47"/>
        <v>No</v>
      </c>
      <c r="P169" s="304">
        <f t="shared" si="50"/>
        <v>0</v>
      </c>
      <c r="S169" s="287">
        <v>11090.67</v>
      </c>
      <c r="T169" s="188">
        <f t="shared" si="53"/>
        <v>-5.3407017978119864E-3</v>
      </c>
      <c r="U169" s="188">
        <f t="shared" si="56"/>
        <v>0.29221525211239374</v>
      </c>
      <c r="V169" s="305" t="str">
        <f t="shared" si="57"/>
        <v>No</v>
      </c>
      <c r="W169" s="304">
        <f t="shared" si="51"/>
        <v>0</v>
      </c>
      <c r="Z169" s="309">
        <v>2130.06</v>
      </c>
      <c r="AA169" s="310">
        <f t="shared" si="54"/>
        <v>-1.9350026932585807E-2</v>
      </c>
      <c r="AB169" s="310">
        <f t="shared" si="55"/>
        <v>0.41731874800383251</v>
      </c>
      <c r="AC169" s="308"/>
    </row>
    <row r="170" spans="1:29">
      <c r="A170" s="184">
        <v>168</v>
      </c>
      <c r="B170" s="1">
        <f t="shared" ref="B170:B201" si="58">B169+7</f>
        <v>38912</v>
      </c>
      <c r="C170" s="174"/>
      <c r="D170" s="2">
        <v>30371.67</v>
      </c>
      <c r="E170" s="2">
        <f>D170+SUM(Holdings_Old!$E$32:$E$35)</f>
        <v>30371.67</v>
      </c>
      <c r="F170" s="2">
        <f t="shared" si="42"/>
        <v>-481.89000000000306</v>
      </c>
      <c r="G170" s="188">
        <f t="shared" si="43"/>
        <v>-1.5618619050767668E-2</v>
      </c>
      <c r="H170" s="2">
        <f t="shared" si="44"/>
        <v>7515.82</v>
      </c>
      <c r="I170" s="188">
        <f t="shared" si="45"/>
        <v>0.32883572477068235</v>
      </c>
      <c r="K170" s="174"/>
      <c r="L170" s="287">
        <v>1236.2</v>
      </c>
      <c r="M170" s="188">
        <f t="shared" si="52"/>
        <v>-2.3137465625691411E-2</v>
      </c>
      <c r="N170" s="188">
        <f t="shared" si="46"/>
        <v>0.32913297780836048</v>
      </c>
      <c r="O170" s="305" t="str">
        <f t="shared" si="47"/>
        <v>Yes</v>
      </c>
      <c r="P170" s="304">
        <f t="shared" si="50"/>
        <v>1</v>
      </c>
      <c r="S170" s="287">
        <v>10739.35</v>
      </c>
      <c r="T170" s="188">
        <f t="shared" si="53"/>
        <v>-3.1677076317300878E-2</v>
      </c>
      <c r="U170" s="188">
        <f t="shared" si="56"/>
        <v>0.25128165095284927</v>
      </c>
      <c r="V170" s="305" t="str">
        <f t="shared" si="57"/>
        <v>Yes</v>
      </c>
      <c r="W170" s="304">
        <f t="shared" si="51"/>
        <v>1</v>
      </c>
      <c r="Z170" s="309">
        <v>2037.35</v>
      </c>
      <c r="AA170" s="310">
        <f t="shared" si="54"/>
        <v>-4.3524595551299061E-2</v>
      </c>
      <c r="AB170" s="310">
        <f t="shared" si="55"/>
        <v>0.35563052272969209</v>
      </c>
      <c r="AC170" s="308"/>
    </row>
    <row r="171" spans="1:29">
      <c r="A171" s="184">
        <v>169</v>
      </c>
      <c r="B171" s="1">
        <f t="shared" si="58"/>
        <v>38919</v>
      </c>
      <c r="C171" s="174"/>
      <c r="D171" s="2">
        <v>30281.86</v>
      </c>
      <c r="E171" s="2">
        <f>D171+SUM(Holdings_Old!$E$32:$E$35)</f>
        <v>30281.86</v>
      </c>
      <c r="F171" s="2">
        <f t="shared" ref="F171:F201" si="59">E171-E170</f>
        <v>-89.809999999997672</v>
      </c>
      <c r="G171" s="188">
        <f t="shared" ref="G171:G201" si="60">(E171/E170)-1</f>
        <v>-2.9570319972526127E-3</v>
      </c>
      <c r="H171" s="2">
        <f t="shared" ref="H171:H201" si="61">E171-$D$3</f>
        <v>7426.010000000002</v>
      </c>
      <c r="I171" s="188">
        <f t="shared" ref="I171:I201" si="62">(E171/$D$3)-1</f>
        <v>0.32490631501344303</v>
      </c>
      <c r="K171" s="174"/>
      <c r="L171" s="287">
        <v>1240.29</v>
      </c>
      <c r="M171" s="188">
        <f t="shared" si="52"/>
        <v>3.3085261284582224E-3</v>
      </c>
      <c r="N171" s="188">
        <f t="shared" si="46"/>
        <v>0.33353044899363482</v>
      </c>
      <c r="O171" s="305" t="str">
        <f t="shared" si="47"/>
        <v>No</v>
      </c>
      <c r="P171" s="304">
        <f t="shared" si="50"/>
        <v>0</v>
      </c>
      <c r="S171" s="287">
        <v>10868.38</v>
      </c>
      <c r="T171" s="188">
        <f t="shared" si="53"/>
        <v>1.201469362670915E-2</v>
      </c>
      <c r="U171" s="188">
        <f t="shared" si="56"/>
        <v>0.26631541662977054</v>
      </c>
      <c r="V171" s="305" t="str">
        <f t="shared" si="57"/>
        <v>No</v>
      </c>
      <c r="W171" s="304">
        <f t="shared" si="51"/>
        <v>0</v>
      </c>
      <c r="Z171" s="309">
        <v>2020.39</v>
      </c>
      <c r="AA171" s="310">
        <f t="shared" si="54"/>
        <v>-8.3245392298818555E-3</v>
      </c>
      <c r="AB171" s="310">
        <f t="shared" si="55"/>
        <v>0.34434552326200363</v>
      </c>
      <c r="AC171" s="308"/>
    </row>
    <row r="172" spans="1:29">
      <c r="A172" s="184">
        <v>170</v>
      </c>
      <c r="B172" s="1">
        <f t="shared" si="58"/>
        <v>38926</v>
      </c>
      <c r="C172" s="174"/>
      <c r="D172" s="2">
        <v>30962.99</v>
      </c>
      <c r="E172" s="2">
        <f>D172+SUM(Holdings_Old!$E$32:$E$35)</f>
        <v>30962.99</v>
      </c>
      <c r="F172" s="2">
        <f t="shared" si="59"/>
        <v>681.13000000000102</v>
      </c>
      <c r="G172" s="188">
        <f t="shared" si="60"/>
        <v>2.2493004062498212E-2</v>
      </c>
      <c r="H172" s="2">
        <f t="shared" si="61"/>
        <v>8107.1400000000031</v>
      </c>
      <c r="I172" s="188">
        <f t="shared" si="62"/>
        <v>0.35470743813946992</v>
      </c>
      <c r="K172" s="174"/>
      <c r="L172" s="287">
        <v>1278.55</v>
      </c>
      <c r="M172" s="188">
        <f t="shared" si="52"/>
        <v>3.0847624345919034E-2</v>
      </c>
      <c r="N172" s="188">
        <f t="shared" si="46"/>
        <v>0.37466669533803532</v>
      </c>
      <c r="O172" s="305" t="str">
        <f t="shared" si="47"/>
        <v>No</v>
      </c>
      <c r="P172" s="304">
        <f t="shared" si="50"/>
        <v>0</v>
      </c>
      <c r="S172" s="287">
        <v>11219.7</v>
      </c>
      <c r="T172" s="188">
        <f t="shared" si="53"/>
        <v>3.2324964714152582E-2</v>
      </c>
      <c r="U172" s="188">
        <f t="shared" si="56"/>
        <v>0.30724901778931524</v>
      </c>
      <c r="V172" s="305" t="str">
        <f t="shared" si="57"/>
        <v>No</v>
      </c>
      <c r="W172" s="304">
        <f t="shared" si="51"/>
        <v>0</v>
      </c>
      <c r="Z172" s="309">
        <v>2094.14</v>
      </c>
      <c r="AA172" s="310">
        <f t="shared" si="54"/>
        <v>3.6502853409490221E-2</v>
      </c>
      <c r="AB172" s="310">
        <f t="shared" si="55"/>
        <v>0.39341797082934082</v>
      </c>
      <c r="AC172" s="308"/>
    </row>
    <row r="173" spans="1:29">
      <c r="A173" s="184">
        <v>171</v>
      </c>
      <c r="B173" s="1">
        <f t="shared" si="58"/>
        <v>38933</v>
      </c>
      <c r="C173" s="174"/>
      <c r="D173" s="2">
        <v>30602.61</v>
      </c>
      <c r="E173" s="2">
        <f>D173+SUM(Holdings_Old!$E$32:$E$35)</f>
        <v>30602.61</v>
      </c>
      <c r="F173" s="2">
        <f t="shared" si="59"/>
        <v>-360.38000000000102</v>
      </c>
      <c r="G173" s="188">
        <f t="shared" si="60"/>
        <v>-1.1639056822354776E-2</v>
      </c>
      <c r="H173" s="2">
        <f t="shared" si="61"/>
        <v>7746.760000000002</v>
      </c>
      <c r="I173" s="188">
        <f t="shared" si="62"/>
        <v>0.33893992128929806</v>
      </c>
      <c r="K173" s="174"/>
      <c r="L173" s="287">
        <v>1279.31</v>
      </c>
      <c r="M173" s="188">
        <f t="shared" si="52"/>
        <v>5.9442337022397318E-4</v>
      </c>
      <c r="N173" s="188">
        <f t="shared" si="46"/>
        <v>0.37548382934801294</v>
      </c>
      <c r="O173" s="305" t="str">
        <f t="shared" si="47"/>
        <v>No</v>
      </c>
      <c r="P173" s="304">
        <f t="shared" si="50"/>
        <v>0</v>
      </c>
      <c r="S173" s="287">
        <v>11240.35</v>
      </c>
      <c r="T173" s="188">
        <f t="shared" si="53"/>
        <v>1.8405126696792173E-3</v>
      </c>
      <c r="U173" s="188">
        <f t="shared" si="56"/>
        <v>0.30965502616898211</v>
      </c>
      <c r="V173" s="305" t="str">
        <f t="shared" si="57"/>
        <v>No</v>
      </c>
      <c r="W173" s="304">
        <f t="shared" si="51"/>
        <v>0</v>
      </c>
      <c r="Z173" s="309">
        <v>2085.0500000000002</v>
      </c>
      <c r="AA173" s="310">
        <f t="shared" si="54"/>
        <v>-4.340684003934614E-3</v>
      </c>
      <c r="AB173" s="310">
        <f t="shared" si="55"/>
        <v>0.3873695837325668</v>
      </c>
      <c r="AC173" s="308"/>
    </row>
    <row r="174" spans="1:29">
      <c r="A174" s="184">
        <v>172</v>
      </c>
      <c r="B174" s="1">
        <f t="shared" si="58"/>
        <v>38940</v>
      </c>
      <c r="C174" s="174"/>
      <c r="D174" s="2">
        <v>30443.433899999996</v>
      </c>
      <c r="E174" s="2">
        <f>D174+SUM(Holdings_Old!$E$32:$E$35)</f>
        <v>30443.433899999996</v>
      </c>
      <c r="F174" s="2">
        <f t="shared" si="59"/>
        <v>-159.17610000000423</v>
      </c>
      <c r="G174" s="188">
        <f t="shared" si="60"/>
        <v>-5.2013896853897457E-3</v>
      </c>
      <c r="H174" s="2">
        <f t="shared" si="61"/>
        <v>7587.5838999999978</v>
      </c>
      <c r="I174" s="188">
        <f t="shared" si="62"/>
        <v>0.33197557299334735</v>
      </c>
      <c r="K174" s="174"/>
      <c r="L174" s="287">
        <v>1266.67</v>
      </c>
      <c r="M174" s="188">
        <f t="shared" si="52"/>
        <v>-9.8803261132953679E-3</v>
      </c>
      <c r="N174" s="188">
        <f t="shared" si="46"/>
        <v>0.36189360055049025</v>
      </c>
      <c r="O174" s="305" t="str">
        <f t="shared" si="47"/>
        <v>Yes</v>
      </c>
      <c r="P174" s="304">
        <f t="shared" si="50"/>
        <v>1</v>
      </c>
      <c r="S174" s="287">
        <v>11088.02</v>
      </c>
      <c r="T174" s="188">
        <f t="shared" si="53"/>
        <v>-1.3552069108168308E-2</v>
      </c>
      <c r="U174" s="188">
        <f t="shared" si="56"/>
        <v>0.29190649074648012</v>
      </c>
      <c r="V174" s="305" t="str">
        <f t="shared" si="57"/>
        <v>Yes</v>
      </c>
      <c r="W174" s="304">
        <f t="shared" si="51"/>
        <v>1</v>
      </c>
      <c r="Z174" s="314">
        <v>2057.71</v>
      </c>
      <c r="AA174" s="310">
        <f t="shared" si="54"/>
        <v>-1.3112395386201792E-2</v>
      </c>
      <c r="AB174" s="310">
        <f t="shared" si="55"/>
        <v>0.3691778452038752</v>
      </c>
      <c r="AC174" s="308"/>
    </row>
    <row r="175" spans="1:29">
      <c r="A175" s="184">
        <v>173</v>
      </c>
      <c r="B175" s="1">
        <f t="shared" si="58"/>
        <v>38947</v>
      </c>
      <c r="C175" s="174"/>
      <c r="D175" s="2">
        <v>31206.778220000004</v>
      </c>
      <c r="E175" s="2">
        <f>D175+SUM(Holdings_Old!$E$32:$E$35)</f>
        <v>31206.778220000004</v>
      </c>
      <c r="F175" s="2">
        <f t="shared" si="59"/>
        <v>763.34432000000743</v>
      </c>
      <c r="G175" s="188">
        <f t="shared" si="60"/>
        <v>2.5074185865741283E-2</v>
      </c>
      <c r="H175" s="2">
        <f t="shared" si="61"/>
        <v>8350.9282200000052</v>
      </c>
      <c r="I175" s="188">
        <f t="shared" si="62"/>
        <v>0.36537377607920973</v>
      </c>
      <c r="K175" s="174"/>
      <c r="L175" s="287">
        <v>1302.3</v>
      </c>
      <c r="M175" s="188">
        <f t="shared" si="52"/>
        <v>2.8128873345069971E-2</v>
      </c>
      <c r="N175" s="188">
        <f t="shared" si="46"/>
        <v>0.40020213314983644</v>
      </c>
      <c r="O175" s="305" t="str">
        <f t="shared" si="47"/>
        <v>No</v>
      </c>
      <c r="P175" s="304">
        <f t="shared" si="50"/>
        <v>0</v>
      </c>
      <c r="S175" s="287">
        <v>11381.47</v>
      </c>
      <c r="T175" s="188">
        <f t="shared" si="53"/>
        <v>2.6465500603353842E-2</v>
      </c>
      <c r="U175" s="188">
        <f t="shared" si="56"/>
        <v>0.32609744275680774</v>
      </c>
      <c r="V175" s="305" t="str">
        <f t="shared" si="57"/>
        <v>No</v>
      </c>
      <c r="W175" s="304">
        <f t="shared" si="51"/>
        <v>0</v>
      </c>
      <c r="Z175" s="314">
        <v>2163.9499999999998</v>
      </c>
      <c r="AA175" s="310">
        <f t="shared" si="54"/>
        <v>5.1630210282304079E-2</v>
      </c>
      <c r="AB175" s="310">
        <f t="shared" si="55"/>
        <v>0.43986878526562312</v>
      </c>
      <c r="AC175" s="308"/>
    </row>
    <row r="176" spans="1:29">
      <c r="A176" s="184">
        <v>174</v>
      </c>
      <c r="B176" s="1">
        <f t="shared" si="58"/>
        <v>38954</v>
      </c>
      <c r="C176" s="174"/>
      <c r="D176" s="2">
        <v>31114.168220000003</v>
      </c>
      <c r="E176" s="2">
        <f>D176+SUM(Holdings_Old!$E$32:$E$35)</f>
        <v>31114.168220000003</v>
      </c>
      <c r="F176" s="2">
        <f t="shared" si="59"/>
        <v>-92.610000000000582</v>
      </c>
      <c r="G176" s="188">
        <f t="shared" si="60"/>
        <v>-2.9676245124415912E-3</v>
      </c>
      <c r="H176" s="2">
        <f t="shared" si="61"/>
        <v>8258.3182200000047</v>
      </c>
      <c r="I176" s="188">
        <f t="shared" si="62"/>
        <v>0.36132185939267214</v>
      </c>
      <c r="K176" s="174"/>
      <c r="L176" s="287">
        <v>1295.0899999999999</v>
      </c>
      <c r="M176" s="188">
        <f t="shared" si="52"/>
        <v>-5.5363587499039912E-3</v>
      </c>
      <c r="N176" s="188">
        <f t="shared" si="46"/>
        <v>0.39245011181833811</v>
      </c>
      <c r="O176" s="305" t="str">
        <f t="shared" si="47"/>
        <v>Yes</v>
      </c>
      <c r="P176" s="304">
        <f t="shared" si="50"/>
        <v>1</v>
      </c>
      <c r="S176" s="287">
        <v>11284.05</v>
      </c>
      <c r="T176" s="188">
        <f t="shared" si="53"/>
        <v>-8.5595270206748619E-3</v>
      </c>
      <c r="U176" s="188">
        <f t="shared" si="56"/>
        <v>0.31474667586348315</v>
      </c>
      <c r="V176" s="305" t="str">
        <f t="shared" si="57"/>
        <v>Yes</v>
      </c>
      <c r="W176" s="304">
        <f t="shared" si="51"/>
        <v>1</v>
      </c>
      <c r="Z176" s="314">
        <v>2140.29</v>
      </c>
      <c r="AA176" s="310">
        <f t="shared" si="54"/>
        <v>-1.0933709189214103E-2</v>
      </c>
      <c r="AB176" s="310">
        <f t="shared" si="55"/>
        <v>0.42412567869690188</v>
      </c>
      <c r="AC176" s="308"/>
    </row>
    <row r="177" spans="1:29">
      <c r="A177" s="184">
        <v>175</v>
      </c>
      <c r="B177" s="1">
        <f t="shared" si="58"/>
        <v>38961</v>
      </c>
      <c r="C177" s="174"/>
      <c r="D177" s="2">
        <v>31461.879700000005</v>
      </c>
      <c r="E177" s="2">
        <f>D177+SUM(Holdings_Old!$E$32:$E$35)</f>
        <v>31461.879700000005</v>
      </c>
      <c r="F177" s="2">
        <f t="shared" si="59"/>
        <v>347.71148000000176</v>
      </c>
      <c r="G177" s="188">
        <f t="shared" si="60"/>
        <v>1.1175342292341739E-2</v>
      </c>
      <c r="H177" s="2">
        <f t="shared" si="61"/>
        <v>8606.0297000000064</v>
      </c>
      <c r="I177" s="188">
        <f t="shared" si="62"/>
        <v>0.3765350971414323</v>
      </c>
      <c r="K177" s="174"/>
      <c r="L177" s="287">
        <v>1310.94</v>
      </c>
      <c r="M177" s="188">
        <f t="shared" si="52"/>
        <v>1.2238531685056842E-2</v>
      </c>
      <c r="N177" s="188">
        <f t="shared" si="46"/>
        <v>0.40949165663168752</v>
      </c>
      <c r="O177" s="305" t="str">
        <f t="shared" si="47"/>
        <v>No</v>
      </c>
      <c r="P177" s="304">
        <f t="shared" si="50"/>
        <v>0</v>
      </c>
      <c r="S177" s="287">
        <v>11464.15</v>
      </c>
      <c r="T177" s="188">
        <f t="shared" si="53"/>
        <v>1.5960581528795093E-2</v>
      </c>
      <c r="U177" s="188">
        <f t="shared" si="56"/>
        <v>0.33573079737331457</v>
      </c>
      <c r="V177" s="305" t="str">
        <f t="shared" si="57"/>
        <v>No</v>
      </c>
      <c r="W177" s="304">
        <f t="shared" si="51"/>
        <v>0</v>
      </c>
      <c r="Z177" s="314">
        <v>2193.16</v>
      </c>
      <c r="AA177" s="310">
        <f t="shared" si="54"/>
        <v>2.470225997411557E-2</v>
      </c>
      <c r="AB177" s="310">
        <f t="shared" si="55"/>
        <v>0.45930480144788643</v>
      </c>
      <c r="AC177" s="308"/>
    </row>
    <row r="178" spans="1:29">
      <c r="A178" s="184">
        <v>176</v>
      </c>
      <c r="B178" s="1">
        <f t="shared" si="58"/>
        <v>38968</v>
      </c>
      <c r="C178" s="174"/>
      <c r="D178" s="2">
        <v>31337.68116</v>
      </c>
      <c r="E178" s="2">
        <f>D178+SUM(Holdings_Old!$E$32:$E$35)</f>
        <v>31337.68116</v>
      </c>
      <c r="F178" s="2">
        <f t="shared" si="59"/>
        <v>-124.19854000000487</v>
      </c>
      <c r="G178" s="188">
        <f t="shared" si="60"/>
        <v>-3.9475880393758933E-3</v>
      </c>
      <c r="H178" s="2">
        <f t="shared" si="61"/>
        <v>8481.8311600000015</v>
      </c>
      <c r="I178" s="188">
        <f t="shared" si="62"/>
        <v>0.37110110365617555</v>
      </c>
      <c r="K178" s="174"/>
      <c r="L178" s="287">
        <v>1298.8599999999999</v>
      </c>
      <c r="M178" s="188">
        <f t="shared" si="52"/>
        <v>-9.2147619265566805E-3</v>
      </c>
      <c r="N178" s="188">
        <f t="shared" si="46"/>
        <v>0.39650352657835874</v>
      </c>
      <c r="O178" s="305" t="str">
        <f t="shared" si="47"/>
        <v>Yes</v>
      </c>
      <c r="P178" s="304">
        <f t="shared" si="50"/>
        <v>1</v>
      </c>
      <c r="S178" s="287">
        <v>11392.11</v>
      </c>
      <c r="T178" s="188">
        <f t="shared" si="53"/>
        <v>-6.2839373176379887E-3</v>
      </c>
      <c r="U178" s="188">
        <f t="shared" si="56"/>
        <v>0.32733714876938214</v>
      </c>
      <c r="V178" s="305" t="str">
        <f t="shared" si="57"/>
        <v>Yes</v>
      </c>
      <c r="W178" s="304">
        <f t="shared" si="51"/>
        <v>1</v>
      </c>
      <c r="Z178" s="314">
        <v>2165.79</v>
      </c>
      <c r="AA178" s="310">
        <f t="shared" si="54"/>
        <v>-1.2479709642707282E-2</v>
      </c>
      <c r="AB178" s="310">
        <f t="shared" si="55"/>
        <v>0.4410931012456083</v>
      </c>
      <c r="AC178" s="308"/>
    </row>
    <row r="179" spans="1:29">
      <c r="A179" s="184">
        <v>177</v>
      </c>
      <c r="B179" s="1">
        <f t="shared" si="58"/>
        <v>38975</v>
      </c>
      <c r="C179" s="174"/>
      <c r="D179" s="2">
        <f>31836.62388+3.49+9.2+3.42</f>
        <v>31852.73388</v>
      </c>
      <c r="E179" s="2">
        <f>D179+SUM(Holdings_Old!$E$32:$E$35)</f>
        <v>31852.73388</v>
      </c>
      <c r="F179" s="2">
        <f t="shared" si="59"/>
        <v>515.05271999999968</v>
      </c>
      <c r="G179" s="188">
        <f t="shared" si="60"/>
        <v>1.6435572158970846E-2</v>
      </c>
      <c r="H179" s="2">
        <f t="shared" si="61"/>
        <v>8996.8838800000012</v>
      </c>
      <c r="I179" s="188">
        <f t="shared" si="62"/>
        <v>0.39363593478256131</v>
      </c>
      <c r="K179" s="174"/>
      <c r="L179" s="287">
        <v>1319.85</v>
      </c>
      <c r="M179" s="188">
        <f t="shared" si="52"/>
        <v>1.6160325208259607E-2</v>
      </c>
      <c r="N179" s="188">
        <f t="shared" si="46"/>
        <v>0.41907147772234632</v>
      </c>
      <c r="O179" s="305" t="str">
        <f t="shared" si="47"/>
        <v>Yes</v>
      </c>
      <c r="P179" s="304">
        <f t="shared" si="50"/>
        <v>1</v>
      </c>
      <c r="S179" s="287">
        <v>11560.77</v>
      </c>
      <c r="T179" s="188">
        <f t="shared" si="53"/>
        <v>1.4804983449071329E-2</v>
      </c>
      <c r="U179" s="188">
        <f t="shared" si="56"/>
        <v>0.34698835328825028</v>
      </c>
      <c r="V179" s="305" t="str">
        <f t="shared" si="57"/>
        <v>Yes</v>
      </c>
      <c r="W179" s="304">
        <f t="shared" si="51"/>
        <v>1</v>
      </c>
      <c r="Z179" s="314">
        <v>2235.59</v>
      </c>
      <c r="AA179" s="310">
        <f t="shared" si="54"/>
        <v>3.2228424731853167E-2</v>
      </c>
      <c r="AB179" s="310">
        <f t="shared" si="55"/>
        <v>0.48753726179069523</v>
      </c>
      <c r="AC179" s="308"/>
    </row>
    <row r="180" spans="1:29">
      <c r="A180" s="184">
        <v>178</v>
      </c>
      <c r="B180" s="1">
        <f t="shared" si="58"/>
        <v>38982</v>
      </c>
      <c r="C180" s="174"/>
      <c r="D180" s="2">
        <v>31597.782620000002</v>
      </c>
      <c r="E180" s="2">
        <f>D180+SUM(Holdings_Old!$E$32:$E$35)</f>
        <v>31597.782620000002</v>
      </c>
      <c r="F180" s="2">
        <f t="shared" si="59"/>
        <v>-254.951259999998</v>
      </c>
      <c r="G180" s="188">
        <f t="shared" si="60"/>
        <v>-8.0040620990489142E-3</v>
      </c>
      <c r="H180" s="2">
        <f t="shared" si="61"/>
        <v>8741.9326200000032</v>
      </c>
      <c r="I180" s="188">
        <f t="shared" si="62"/>
        <v>0.38248118621709559</v>
      </c>
      <c r="K180" s="174"/>
      <c r="L180" s="287">
        <v>1314.78</v>
      </c>
      <c r="M180" s="188">
        <f t="shared" si="52"/>
        <v>-3.8413456074553043E-3</v>
      </c>
      <c r="N180" s="188">
        <f t="shared" si="46"/>
        <v>0.41362033373473239</v>
      </c>
      <c r="O180" s="305" t="str">
        <f t="shared" si="47"/>
        <v>No</v>
      </c>
      <c r="P180" s="304">
        <f t="shared" si="50"/>
        <v>0</v>
      </c>
      <c r="S180" s="287">
        <v>11508.1</v>
      </c>
      <c r="T180" s="188">
        <f t="shared" si="53"/>
        <v>-4.5559249081159603E-3</v>
      </c>
      <c r="U180" s="188">
        <f t="shared" si="56"/>
        <v>0.34085157549856215</v>
      </c>
      <c r="V180" s="305" t="str">
        <f t="shared" si="57"/>
        <v>No</v>
      </c>
      <c r="W180" s="304">
        <f t="shared" si="51"/>
        <v>0</v>
      </c>
      <c r="Z180" s="314">
        <v>2218.9299999999998</v>
      </c>
      <c r="AA180" s="310">
        <f t="shared" si="54"/>
        <v>-7.4521714625670477E-3</v>
      </c>
      <c r="AB180" s="310">
        <f t="shared" si="55"/>
        <v>0.47645187905887343</v>
      </c>
      <c r="AC180" s="308"/>
    </row>
    <row r="181" spans="1:29">
      <c r="A181" s="184">
        <v>179</v>
      </c>
      <c r="B181" s="1">
        <f t="shared" si="58"/>
        <v>38989</v>
      </c>
      <c r="C181" s="174"/>
      <c r="D181" s="2">
        <v>31628.076599999993</v>
      </c>
      <c r="E181" s="2">
        <f>D181+SUM(Holdings_Old!$E$32:$E$35)</f>
        <v>31628.076599999993</v>
      </c>
      <c r="F181" s="2">
        <f t="shared" si="59"/>
        <v>30.293979999991279</v>
      </c>
      <c r="G181" s="188">
        <f t="shared" si="60"/>
        <v>9.5873752801933776E-4</v>
      </c>
      <c r="H181" s="2">
        <f t="shared" si="61"/>
        <v>8772.2265999999945</v>
      </c>
      <c r="I181" s="188">
        <f t="shared" si="62"/>
        <v>0.38380662281210265</v>
      </c>
      <c r="K181" s="174"/>
      <c r="L181" s="287">
        <v>1335.82</v>
      </c>
      <c r="M181" s="188">
        <f t="shared" si="52"/>
        <v>1.6002677253989184E-2</v>
      </c>
      <c r="N181" s="188">
        <f t="shared" si="46"/>
        <v>0.43624204369516595</v>
      </c>
      <c r="O181" s="305" t="str">
        <f t="shared" si="47"/>
        <v>No</v>
      </c>
      <c r="P181" s="304">
        <f t="shared" si="50"/>
        <v>0</v>
      </c>
      <c r="S181" s="287">
        <v>11679.07</v>
      </c>
      <c r="T181" s="188">
        <f t="shared" si="53"/>
        <v>1.4856492383625408E-2</v>
      </c>
      <c r="U181" s="188">
        <f t="shared" si="56"/>
        <v>0.36077192671752867</v>
      </c>
      <c r="V181" s="305" t="str">
        <f t="shared" si="57"/>
        <v>No</v>
      </c>
      <c r="W181" s="304">
        <f t="shared" si="51"/>
        <v>0</v>
      </c>
      <c r="Z181" s="314">
        <v>2258.4299999999998</v>
      </c>
      <c r="AA181" s="310">
        <f t="shared" si="54"/>
        <v>1.7801372733704968E-2</v>
      </c>
      <c r="AB181" s="310">
        <f t="shared" si="55"/>
        <v>0.50273474928137962</v>
      </c>
      <c r="AC181" s="308"/>
    </row>
    <row r="182" spans="1:29">
      <c r="A182" s="184">
        <v>180</v>
      </c>
      <c r="B182" s="1">
        <f t="shared" si="58"/>
        <v>38996</v>
      </c>
      <c r="C182" s="174"/>
      <c r="D182" s="2">
        <v>32045.75244</v>
      </c>
      <c r="E182" s="2">
        <f>D182+SUM(Holdings_Old!$E$32:$E$35)</f>
        <v>32045.75244</v>
      </c>
      <c r="F182" s="2">
        <f t="shared" si="59"/>
        <v>417.67584000000716</v>
      </c>
      <c r="G182" s="188">
        <f t="shared" si="60"/>
        <v>1.3205856469944433E-2</v>
      </c>
      <c r="H182" s="2">
        <f t="shared" si="61"/>
        <v>9189.9024400000017</v>
      </c>
      <c r="I182" s="188">
        <f t="shared" si="62"/>
        <v>0.4020809744551177</v>
      </c>
      <c r="K182" s="174"/>
      <c r="L182" s="287">
        <v>1349.58</v>
      </c>
      <c r="M182" s="188">
        <f t="shared" si="52"/>
        <v>1.0300789028461876E-2</v>
      </c>
      <c r="N182" s="188">
        <f t="shared" si="46"/>
        <v>0.45103646998107672</v>
      </c>
      <c r="O182" s="305" t="str">
        <f t="shared" si="47"/>
        <v>Yes</v>
      </c>
      <c r="P182" s="304">
        <f t="shared" si="50"/>
        <v>1</v>
      </c>
      <c r="S182" s="287">
        <v>11850.21</v>
      </c>
      <c r="T182" s="188">
        <f t="shared" si="53"/>
        <v>1.4653564025217669E-2</v>
      </c>
      <c r="U182" s="188">
        <f t="shared" si="56"/>
        <v>0.38071208526940281</v>
      </c>
      <c r="V182" s="305" t="str">
        <f t="shared" si="57"/>
        <v>No</v>
      </c>
      <c r="W182" s="304">
        <f t="shared" si="51"/>
        <v>0</v>
      </c>
      <c r="Z182" s="314">
        <v>2299.9899999999998</v>
      </c>
      <c r="AA182" s="310">
        <f t="shared" si="54"/>
        <v>1.8402164335401094E-2</v>
      </c>
      <c r="AB182" s="310">
        <f t="shared" si="55"/>
        <v>0.5303883210901732</v>
      </c>
      <c r="AC182" s="308"/>
    </row>
    <row r="183" spans="1:29">
      <c r="A183" s="184">
        <v>181</v>
      </c>
      <c r="B183" s="1">
        <f t="shared" si="58"/>
        <v>39003</v>
      </c>
      <c r="C183" s="174"/>
      <c r="D183" s="2">
        <v>32558.328909999997</v>
      </c>
      <c r="E183" s="2">
        <f>D183+SUM(Holdings_Old!$E$32:$E$35)</f>
        <v>32558.328909999997</v>
      </c>
      <c r="F183" s="2">
        <f t="shared" si="59"/>
        <v>512.57646999999633</v>
      </c>
      <c r="G183" s="188">
        <f t="shared" si="60"/>
        <v>1.5995145408418843E-2</v>
      </c>
      <c r="H183" s="2">
        <f t="shared" si="61"/>
        <v>9702.478909999998</v>
      </c>
      <c r="I183" s="188">
        <f t="shared" si="62"/>
        <v>0.42450746351590496</v>
      </c>
      <c r="K183" s="174"/>
      <c r="L183" s="287">
        <v>1365.61</v>
      </c>
      <c r="M183" s="188">
        <f t="shared" si="52"/>
        <v>1.187776938010332E-2</v>
      </c>
      <c r="N183" s="188">
        <f t="shared" si="46"/>
        <v>0.46827154653363134</v>
      </c>
      <c r="O183" s="305" t="str">
        <f t="shared" si="47"/>
        <v>Yes</v>
      </c>
      <c r="P183" s="304">
        <f t="shared" si="50"/>
        <v>1</v>
      </c>
      <c r="S183" s="287">
        <v>11960.51</v>
      </c>
      <c r="T183" s="188">
        <f t="shared" si="53"/>
        <v>9.3078519283624761E-3</v>
      </c>
      <c r="U183" s="188">
        <f t="shared" si="56"/>
        <v>0.39356354891479106</v>
      </c>
      <c r="V183" s="305" t="str">
        <f t="shared" si="57"/>
        <v>Yes</v>
      </c>
      <c r="W183" s="304">
        <f t="shared" si="51"/>
        <v>1</v>
      </c>
      <c r="Z183" s="314">
        <v>2357.29</v>
      </c>
      <c r="AA183" s="310">
        <f t="shared" si="54"/>
        <v>2.491315179631215E-2</v>
      </c>
      <c r="AB183" s="310">
        <f t="shared" si="55"/>
        <v>0.5685151176407961</v>
      </c>
      <c r="AC183" s="308"/>
    </row>
    <row r="184" spans="1:29">
      <c r="A184" s="184">
        <v>182</v>
      </c>
      <c r="B184" s="1">
        <f t="shared" si="58"/>
        <v>39010</v>
      </c>
      <c r="C184" s="174"/>
      <c r="D184" s="2">
        <v>32608.25</v>
      </c>
      <c r="E184" s="2">
        <f>D184+SUM(Holdings_Old!$E$32:$E$35)</f>
        <v>32608.25</v>
      </c>
      <c r="F184" s="2">
        <f t="shared" si="59"/>
        <v>49.92109000000346</v>
      </c>
      <c r="G184" s="188">
        <f t="shared" si="60"/>
        <v>1.5332817030628831E-3</v>
      </c>
      <c r="H184" s="2">
        <f t="shared" si="61"/>
        <v>9752.4000000000015</v>
      </c>
      <c r="I184" s="188">
        <f t="shared" si="62"/>
        <v>0.42669163474559046</v>
      </c>
      <c r="K184" s="174"/>
      <c r="L184" s="287">
        <v>1368.58</v>
      </c>
      <c r="M184" s="188">
        <f t="shared" si="52"/>
        <v>2.1748522638234125E-3</v>
      </c>
      <c r="N184" s="188">
        <f t="shared" si="46"/>
        <v>0.47146482023051761</v>
      </c>
      <c r="O184" s="305" t="str">
        <f t="shared" si="47"/>
        <v>No</v>
      </c>
      <c r="P184" s="304">
        <f t="shared" si="50"/>
        <v>0</v>
      </c>
      <c r="S184" s="287">
        <v>12002.37</v>
      </c>
      <c r="T184" s="188">
        <f t="shared" si="53"/>
        <v>3.4998507588723804E-3</v>
      </c>
      <c r="U184" s="188">
        <f t="shared" si="56"/>
        <v>0.39844081335899739</v>
      </c>
      <c r="V184" s="305" t="str">
        <f t="shared" si="57"/>
        <v>No</v>
      </c>
      <c r="W184" s="304">
        <f t="shared" si="51"/>
        <v>0</v>
      </c>
      <c r="Z184" s="314">
        <v>2342.3000000000002</v>
      </c>
      <c r="AA184" s="310">
        <f t="shared" si="54"/>
        <v>-6.358996983824583E-3</v>
      </c>
      <c r="AB184" s="310">
        <f t="shared" si="55"/>
        <v>0.5585409347386352</v>
      </c>
      <c r="AC184" s="308"/>
    </row>
    <row r="185" spans="1:29">
      <c r="A185" s="184">
        <v>183</v>
      </c>
      <c r="B185" s="1">
        <f t="shared" si="58"/>
        <v>39017</v>
      </c>
      <c r="C185" s="174"/>
      <c r="D185" s="2">
        <v>32630.82</v>
      </c>
      <c r="E185" s="2">
        <f>D185+SUM(Holdings_Old!$E$32:$E$35)</f>
        <v>32630.82</v>
      </c>
      <c r="F185" s="2">
        <f t="shared" si="59"/>
        <v>22.569999999999709</v>
      </c>
      <c r="G185" s="188">
        <f t="shared" si="60"/>
        <v>6.9215612613371391E-4</v>
      </c>
      <c r="H185" s="2">
        <f t="shared" si="61"/>
        <v>9774.9700000000012</v>
      </c>
      <c r="I185" s="188">
        <f t="shared" si="62"/>
        <v>0.42767912810068331</v>
      </c>
      <c r="K185" s="174"/>
      <c r="L185" s="287">
        <v>1377.3</v>
      </c>
      <c r="M185" s="188">
        <f t="shared" si="52"/>
        <v>6.3715676102238383E-3</v>
      </c>
      <c r="N185" s="188">
        <f t="shared" si="46"/>
        <v>0.48084035781868217</v>
      </c>
      <c r="O185" s="305" t="str">
        <f t="shared" si="47"/>
        <v>No</v>
      </c>
      <c r="P185" s="304">
        <f t="shared" si="50"/>
        <v>0</v>
      </c>
      <c r="S185" s="287">
        <v>12090.26</v>
      </c>
      <c r="T185" s="188">
        <f t="shared" si="53"/>
        <v>7.3227204293817572E-3</v>
      </c>
      <c r="U185" s="188">
        <f t="shared" si="56"/>
        <v>0.40868120447226275</v>
      </c>
      <c r="V185" s="305" t="str">
        <f t="shared" si="57"/>
        <v>No</v>
      </c>
      <c r="W185" s="304">
        <f t="shared" si="51"/>
        <v>0</v>
      </c>
      <c r="Z185" s="314">
        <v>2350.62</v>
      </c>
      <c r="AA185" s="310">
        <f t="shared" si="54"/>
        <v>3.5520642103914479E-3</v>
      </c>
      <c r="AB185" s="310">
        <f t="shared" si="55"/>
        <v>0.56407697221335029</v>
      </c>
      <c r="AC185" s="308"/>
    </row>
    <row r="186" spans="1:29">
      <c r="A186" s="184">
        <v>184</v>
      </c>
      <c r="B186" s="1">
        <f t="shared" si="58"/>
        <v>39024</v>
      </c>
      <c r="C186" s="174"/>
      <c r="D186" s="2">
        <v>32621</v>
      </c>
      <c r="E186" s="2">
        <f>D186+SUM(Holdings_Old!$E$32:$E$35)</f>
        <v>32621</v>
      </c>
      <c r="F186" s="2">
        <f t="shared" si="59"/>
        <v>-9.819999999999709</v>
      </c>
      <c r="G186" s="188">
        <f t="shared" si="60"/>
        <v>-3.0094248321066441E-4</v>
      </c>
      <c r="H186" s="2">
        <f t="shared" si="61"/>
        <v>9765.1500000000015</v>
      </c>
      <c r="I186" s="188">
        <f t="shared" si="62"/>
        <v>0.42724947879864472</v>
      </c>
      <c r="K186" s="174"/>
      <c r="L186" s="287">
        <v>1364.27</v>
      </c>
      <c r="M186" s="188">
        <f t="shared" si="52"/>
        <v>-9.4605387352065806E-3</v>
      </c>
      <c r="N186" s="188">
        <f t="shared" si="46"/>
        <v>0.46683081025288131</v>
      </c>
      <c r="O186" s="305" t="str">
        <f t="shared" si="47"/>
        <v>Yes</v>
      </c>
      <c r="P186" s="304">
        <f t="shared" si="50"/>
        <v>1</v>
      </c>
      <c r="S186" s="287">
        <v>11986.04</v>
      </c>
      <c r="T186" s="188">
        <f t="shared" si="53"/>
        <v>-8.6201620147126068E-3</v>
      </c>
      <c r="U186" s="188">
        <f t="shared" si="56"/>
        <v>0.39653814426263123</v>
      </c>
      <c r="V186" s="305" t="str">
        <f t="shared" si="57"/>
        <v>Yes</v>
      </c>
      <c r="W186" s="304">
        <f t="shared" si="51"/>
        <v>1</v>
      </c>
      <c r="Z186" s="314">
        <v>2330.79</v>
      </c>
      <c r="AA186" s="310">
        <f t="shared" si="54"/>
        <v>-8.4360721852106968E-3</v>
      </c>
      <c r="AB186" s="310">
        <f t="shared" si="55"/>
        <v>0.55088230597253252</v>
      </c>
      <c r="AC186" s="308"/>
    </row>
    <row r="187" spans="1:29">
      <c r="A187" s="184">
        <v>185</v>
      </c>
      <c r="B187" s="1">
        <f t="shared" si="58"/>
        <v>39031</v>
      </c>
      <c r="C187" s="174"/>
      <c r="D187" s="2">
        <v>33193.050000000003</v>
      </c>
      <c r="E187" s="2">
        <f>D187+SUM(Holdings_Old!$E$32:$E$35)</f>
        <v>33193.050000000003</v>
      </c>
      <c r="F187" s="2">
        <f t="shared" si="59"/>
        <v>572.05000000000291</v>
      </c>
      <c r="G187" s="188">
        <f t="shared" si="60"/>
        <v>1.7536249655130121E-2</v>
      </c>
      <c r="H187" s="2">
        <f t="shared" si="61"/>
        <v>10337.200000000004</v>
      </c>
      <c r="I187" s="188">
        <f t="shared" si="62"/>
        <v>0.4522780819790122</v>
      </c>
      <c r="K187" s="174"/>
      <c r="L187" s="287">
        <v>1380.58</v>
      </c>
      <c r="M187" s="188">
        <f t="shared" si="52"/>
        <v>1.1955111524844853E-2</v>
      </c>
      <c r="N187" s="188">
        <f t="shared" si="46"/>
        <v>0.4843669361775329</v>
      </c>
      <c r="O187" s="305" t="str">
        <f t="shared" si="47"/>
        <v>Yes</v>
      </c>
      <c r="P187" s="304">
        <f t="shared" si="50"/>
        <v>1</v>
      </c>
      <c r="S187" s="287">
        <v>12108.43</v>
      </c>
      <c r="T187" s="188">
        <f t="shared" si="53"/>
        <v>1.0211045516283823E-2</v>
      </c>
      <c r="U187" s="188">
        <f t="shared" si="56"/>
        <v>0.41079825881892362</v>
      </c>
      <c r="V187" s="305" t="str">
        <f t="shared" si="57"/>
        <v>Yes</v>
      </c>
      <c r="W187" s="304">
        <f t="shared" si="51"/>
        <v>1</v>
      </c>
      <c r="Z187" s="314">
        <v>2389.7199999999998</v>
      </c>
      <c r="AA187" s="310">
        <f t="shared" si="54"/>
        <v>2.5283273053342326E-2</v>
      </c>
      <c r="AB187" s="310">
        <f t="shared" si="55"/>
        <v>0.59009368678803331</v>
      </c>
      <c r="AC187" s="308"/>
    </row>
    <row r="188" spans="1:29">
      <c r="A188" s="184">
        <v>186</v>
      </c>
      <c r="B188" s="1">
        <f t="shared" si="58"/>
        <v>39038</v>
      </c>
      <c r="C188" s="174"/>
      <c r="D188" s="2">
        <v>33718.230000000003</v>
      </c>
      <c r="E188" s="2">
        <f>D188+SUM(Holdings_Old!$E$32:$E$35)</f>
        <v>33718.230000000003</v>
      </c>
      <c r="F188" s="2">
        <f t="shared" si="59"/>
        <v>525.18000000000029</v>
      </c>
      <c r="G188" s="188">
        <f t="shared" si="60"/>
        <v>1.5821986831580759E-2</v>
      </c>
      <c r="H188" s="2">
        <f t="shared" si="61"/>
        <v>10862.380000000005</v>
      </c>
      <c r="I188" s="188">
        <f t="shared" si="62"/>
        <v>0.47525600666787748</v>
      </c>
      <c r="K188" s="174"/>
      <c r="L188" s="287">
        <v>1401.17</v>
      </c>
      <c r="M188" s="188">
        <f t="shared" si="52"/>
        <v>1.4914021643077646E-2</v>
      </c>
      <c r="N188" s="188">
        <f t="shared" si="46"/>
        <v>0.50650481678995352</v>
      </c>
      <c r="O188" s="305" t="str">
        <f t="shared" si="47"/>
        <v>Yes</v>
      </c>
      <c r="P188" s="304">
        <f t="shared" si="50"/>
        <v>1</v>
      </c>
      <c r="S188" s="287">
        <v>12342.56</v>
      </c>
      <c r="T188" s="188">
        <f t="shared" si="53"/>
        <v>1.9336115417110111E-2</v>
      </c>
      <c r="U188" s="188">
        <f t="shared" si="56"/>
        <v>0.43807761678170443</v>
      </c>
      <c r="V188" s="305" t="str">
        <f t="shared" si="57"/>
        <v>No</v>
      </c>
      <c r="W188" s="304">
        <f t="shared" si="51"/>
        <v>0</v>
      </c>
      <c r="Z188" s="314">
        <v>2445.86</v>
      </c>
      <c r="AA188" s="310">
        <f t="shared" si="54"/>
        <v>2.3492291983998159E-2</v>
      </c>
      <c r="AB188" s="310">
        <f t="shared" si="55"/>
        <v>0.62744863195997014</v>
      </c>
      <c r="AC188" s="308"/>
    </row>
    <row r="189" spans="1:29">
      <c r="A189" s="184">
        <v>187</v>
      </c>
      <c r="B189" s="1">
        <f t="shared" si="58"/>
        <v>39045</v>
      </c>
      <c r="C189" s="174"/>
      <c r="D189" s="2">
        <v>33895</v>
      </c>
      <c r="E189" s="2">
        <f>D189+SUM(Holdings_Old!$E$32:$E$35)</f>
        <v>33895</v>
      </c>
      <c r="F189" s="2">
        <f t="shared" si="59"/>
        <v>176.7699999999968</v>
      </c>
      <c r="G189" s="188">
        <f t="shared" si="60"/>
        <v>5.2425646304683493E-3</v>
      </c>
      <c r="H189" s="2">
        <f t="shared" si="61"/>
        <v>11039.150000000001</v>
      </c>
      <c r="I189" s="188">
        <f t="shared" si="62"/>
        <v>0.48299013162932036</v>
      </c>
      <c r="K189" s="174"/>
      <c r="L189" s="287">
        <v>1400.95</v>
      </c>
      <c r="M189" s="188">
        <f t="shared" si="52"/>
        <v>-1.5701164027204229E-4</v>
      </c>
      <c r="N189" s="188">
        <f t="shared" si="46"/>
        <v>0.50626827799759155</v>
      </c>
      <c r="O189" s="305" t="str">
        <f t="shared" si="47"/>
        <v>Yes</v>
      </c>
      <c r="P189" s="304">
        <f t="shared" si="50"/>
        <v>1</v>
      </c>
      <c r="S189" s="287"/>
      <c r="T189" s="188">
        <f t="shared" si="53"/>
        <v>-1</v>
      </c>
      <c r="U189" s="188">
        <f t="shared" si="56"/>
        <v>-1</v>
      </c>
      <c r="V189" s="305" t="str">
        <f t="shared" si="57"/>
        <v>Yes</v>
      </c>
      <c r="W189" s="304">
        <f t="shared" si="51"/>
        <v>1</v>
      </c>
      <c r="Z189" s="316">
        <v>2460.2600000000002</v>
      </c>
      <c r="AA189" s="310">
        <f t="shared" si="54"/>
        <v>5.8874996933593327E-3</v>
      </c>
      <c r="AB189" s="310">
        <f t="shared" si="55"/>
        <v>0.63703023528159264</v>
      </c>
      <c r="AC189" s="308"/>
    </row>
    <row r="190" spans="1:29">
      <c r="A190" s="184">
        <v>188</v>
      </c>
      <c r="B190" s="1">
        <f t="shared" si="58"/>
        <v>39052</v>
      </c>
      <c r="C190" s="180">
        <f>D194-D189</f>
        <v>718</v>
      </c>
      <c r="D190" s="2">
        <v>33896</v>
      </c>
      <c r="E190" s="2">
        <f>D190+SUM(Holdings_Old!$E$32:$E$35)</f>
        <v>33896</v>
      </c>
      <c r="F190" s="2">
        <f t="shared" si="59"/>
        <v>1</v>
      </c>
      <c r="G190" s="188">
        <f t="shared" si="60"/>
        <v>2.9502876530473898E-5</v>
      </c>
      <c r="H190" s="2">
        <f t="shared" si="61"/>
        <v>11040.150000000001</v>
      </c>
      <c r="I190" s="188">
        <f t="shared" si="62"/>
        <v>0.48303388410406978</v>
      </c>
      <c r="K190" s="174"/>
      <c r="L190" s="287">
        <v>1396.67</v>
      </c>
      <c r="M190" s="188">
        <f t="shared" si="52"/>
        <v>-3.0550697740818755E-3</v>
      </c>
      <c r="N190" s="188">
        <f t="shared" si="46"/>
        <v>0.50166652330982275</v>
      </c>
      <c r="O190" s="305" t="str">
        <f t="shared" si="47"/>
        <v>Yes</v>
      </c>
      <c r="P190" s="304">
        <f t="shared" si="50"/>
        <v>1</v>
      </c>
      <c r="S190" s="287"/>
      <c r="T190" s="188" t="e">
        <f t="shared" si="53"/>
        <v>#DIV/0!</v>
      </c>
      <c r="U190" s="188">
        <f t="shared" si="56"/>
        <v>-1</v>
      </c>
      <c r="V190" s="305" t="e">
        <f t="shared" si="57"/>
        <v>#DIV/0!</v>
      </c>
      <c r="W190" s="304" t="e">
        <f t="shared" si="51"/>
        <v>#DIV/0!</v>
      </c>
      <c r="Z190" s="316">
        <v>2413.21</v>
      </c>
      <c r="AA190" s="310">
        <f t="shared" si="54"/>
        <v>-1.9123995024916129E-2</v>
      </c>
      <c r="AB190" s="310">
        <f t="shared" si="55"/>
        <v>0.60572367720643028</v>
      </c>
      <c r="AC190" s="308"/>
    </row>
    <row r="191" spans="1:29">
      <c r="A191" s="184">
        <v>189</v>
      </c>
      <c r="B191" s="1">
        <f t="shared" si="58"/>
        <v>39059</v>
      </c>
      <c r="C191" s="174">
        <f>C190/4</f>
        <v>179.5</v>
      </c>
      <c r="D191" s="2">
        <v>33897</v>
      </c>
      <c r="E191" s="2">
        <f>D191+SUM(Holdings_Old!$E$32:$E$35)</f>
        <v>33897</v>
      </c>
      <c r="F191" s="2">
        <f t="shared" si="59"/>
        <v>1</v>
      </c>
      <c r="G191" s="188">
        <f t="shared" si="60"/>
        <v>2.9502006136494785E-5</v>
      </c>
      <c r="H191" s="2">
        <f t="shared" si="61"/>
        <v>11041.150000000001</v>
      </c>
      <c r="I191" s="188">
        <f t="shared" si="62"/>
        <v>0.48307763657881919</v>
      </c>
      <c r="K191" s="174"/>
      <c r="L191" s="287">
        <v>1409.81</v>
      </c>
      <c r="M191" s="188">
        <f t="shared" si="52"/>
        <v>9.4080921047920985E-3</v>
      </c>
      <c r="N191" s="188">
        <f t="shared" si="46"/>
        <v>0.51579434027180437</v>
      </c>
      <c r="O191" s="305" t="str">
        <f t="shared" si="47"/>
        <v>No</v>
      </c>
      <c r="P191" s="304">
        <f t="shared" si="50"/>
        <v>0</v>
      </c>
      <c r="S191" s="287"/>
      <c r="T191" s="188" t="e">
        <f t="shared" si="53"/>
        <v>#DIV/0!</v>
      </c>
      <c r="U191" s="188">
        <f t="shared" si="56"/>
        <v>-1</v>
      </c>
      <c r="V191" s="305" t="e">
        <f t="shared" si="57"/>
        <v>#DIV/0!</v>
      </c>
      <c r="W191" s="304" t="e">
        <f t="shared" si="51"/>
        <v>#DIV/0!</v>
      </c>
      <c r="Z191" s="316">
        <v>2437.36</v>
      </c>
      <c r="AA191" s="310">
        <f t="shared" si="54"/>
        <v>1.0007417506143312E-2</v>
      </c>
      <c r="AB191" s="310">
        <f t="shared" si="55"/>
        <v>0.62179282444373474</v>
      </c>
      <c r="AC191" s="308"/>
    </row>
    <row r="192" spans="1:29">
      <c r="A192" s="184">
        <v>190</v>
      </c>
      <c r="B192" s="1">
        <f t="shared" si="58"/>
        <v>39066</v>
      </c>
      <c r="C192" s="174"/>
      <c r="D192" s="2">
        <v>33898</v>
      </c>
      <c r="E192" s="2">
        <f>D192+SUM(Holdings_Old!$E$32:$E$35)</f>
        <v>33898</v>
      </c>
      <c r="F192" s="2">
        <f t="shared" si="59"/>
        <v>1</v>
      </c>
      <c r="G192" s="188">
        <f t="shared" si="60"/>
        <v>2.9501135793807975E-5</v>
      </c>
      <c r="H192" s="2">
        <f t="shared" si="61"/>
        <v>11042.150000000001</v>
      </c>
      <c r="I192" s="188">
        <f t="shared" si="62"/>
        <v>0.48312138905356838</v>
      </c>
      <c r="K192" s="174"/>
      <c r="L192" s="287">
        <v>1427.08</v>
      </c>
      <c r="M192" s="188">
        <f t="shared" si="52"/>
        <v>1.2249877643086604E-2</v>
      </c>
      <c r="N192" s="188">
        <f t="shared" si="46"/>
        <v>0.5343626354722173</v>
      </c>
      <c r="O192" s="305" t="str">
        <f t="shared" si="47"/>
        <v>No</v>
      </c>
      <c r="P192" s="304">
        <f t="shared" si="50"/>
        <v>0</v>
      </c>
      <c r="S192" s="287"/>
      <c r="T192" s="188" t="e">
        <f t="shared" si="53"/>
        <v>#DIV/0!</v>
      </c>
      <c r="U192" s="188">
        <f t="shared" si="56"/>
        <v>-1</v>
      </c>
      <c r="V192" s="305" t="e">
        <f t="shared" si="57"/>
        <v>#DIV/0!</v>
      </c>
      <c r="W192" s="304" t="e">
        <f t="shared" si="51"/>
        <v>#DIV/0!</v>
      </c>
      <c r="Z192" s="316">
        <v>2457.1999999999998</v>
      </c>
      <c r="AA192" s="310">
        <f t="shared" si="54"/>
        <v>8.1399547050906573E-3</v>
      </c>
      <c r="AB192" s="310">
        <f t="shared" si="55"/>
        <v>0.63499414457574765</v>
      </c>
      <c r="AC192" s="308"/>
    </row>
    <row r="193" spans="1:29">
      <c r="A193" s="184">
        <v>191</v>
      </c>
      <c r="B193" s="1">
        <f t="shared" si="58"/>
        <v>39073</v>
      </c>
      <c r="C193" s="174"/>
      <c r="D193" s="2">
        <v>33899</v>
      </c>
      <c r="E193" s="2">
        <f>D193+SUM(Holdings_Old!$E$32:$E$35)</f>
        <v>33899</v>
      </c>
      <c r="F193" s="2">
        <f t="shared" si="59"/>
        <v>1</v>
      </c>
      <c r="G193" s="188">
        <f t="shared" si="60"/>
        <v>2.950026550241347E-5</v>
      </c>
      <c r="H193" s="2">
        <f t="shared" si="61"/>
        <v>11043.150000000001</v>
      </c>
      <c r="I193" s="188">
        <f t="shared" si="62"/>
        <v>0.4831651415283178</v>
      </c>
      <c r="K193" s="174"/>
      <c r="L193" s="287">
        <v>1410.75</v>
      </c>
      <c r="M193" s="188">
        <f t="shared" si="52"/>
        <v>-1.1442946436079238E-2</v>
      </c>
      <c r="N193" s="188">
        <f t="shared" si="46"/>
        <v>0.51680500602098745</v>
      </c>
      <c r="O193" s="305" t="str">
        <f t="shared" si="47"/>
        <v>Yes</v>
      </c>
      <c r="P193" s="304">
        <f t="shared" si="50"/>
        <v>1</v>
      </c>
      <c r="S193" s="287"/>
      <c r="T193" s="188" t="e">
        <f t="shared" si="53"/>
        <v>#DIV/0!</v>
      </c>
      <c r="U193" s="188">
        <f t="shared" si="56"/>
        <v>-1</v>
      </c>
      <c r="V193" s="305" t="e">
        <f t="shared" si="57"/>
        <v>#DIV/0!</v>
      </c>
      <c r="W193" s="304" t="e">
        <f t="shared" si="51"/>
        <v>#DIV/0!</v>
      </c>
      <c r="Z193" s="316">
        <v>2401.1799999999998</v>
      </c>
      <c r="AA193" s="310">
        <f t="shared" si="54"/>
        <v>-2.2798307016115849E-2</v>
      </c>
      <c r="AB193" s="310">
        <f t="shared" si="55"/>
        <v>0.59771904609815807</v>
      </c>
      <c r="AC193" s="308"/>
    </row>
    <row r="194" spans="1:29">
      <c r="A194" s="184">
        <v>192</v>
      </c>
      <c r="B194" s="1">
        <f t="shared" si="58"/>
        <v>39080</v>
      </c>
      <c r="C194" s="174"/>
      <c r="D194" s="2">
        <v>34613</v>
      </c>
      <c r="E194" s="2">
        <f>D194+SUM(Holdings_Old!$E$32:$E$35)</f>
        <v>34613</v>
      </c>
      <c r="F194" s="2">
        <f t="shared" si="59"/>
        <v>714</v>
      </c>
      <c r="G194" s="188">
        <f t="shared" si="60"/>
        <v>2.1062568217351529E-2</v>
      </c>
      <c r="H194" s="2">
        <f t="shared" si="61"/>
        <v>11757.150000000001</v>
      </c>
      <c r="I194" s="188">
        <f t="shared" si="62"/>
        <v>0.51440440849935576</v>
      </c>
      <c r="K194" s="174"/>
      <c r="L194" s="287">
        <v>1418.03</v>
      </c>
      <c r="M194" s="188">
        <f t="shared" si="52"/>
        <v>5.1603756866913653E-3</v>
      </c>
      <c r="N194" s="188">
        <f t="shared" si="46"/>
        <v>0.52463228969551001</v>
      </c>
      <c r="O194" s="305" t="str">
        <f t="shared" si="47"/>
        <v>Yes</v>
      </c>
      <c r="P194" s="304">
        <f t="shared" si="50"/>
        <v>1</v>
      </c>
      <c r="S194" s="287"/>
      <c r="T194" s="188" t="e">
        <f t="shared" si="53"/>
        <v>#DIV/0!</v>
      </c>
      <c r="U194" s="188">
        <f t="shared" si="56"/>
        <v>-1</v>
      </c>
      <c r="V194" s="305" t="e">
        <f t="shared" si="57"/>
        <v>#DIV/0!</v>
      </c>
      <c r="W194" s="304" t="e">
        <f t="shared" si="51"/>
        <v>#DIV/0!</v>
      </c>
      <c r="Z194" s="316">
        <v>2415.29</v>
      </c>
      <c r="AA194" s="310">
        <f t="shared" si="54"/>
        <v>5.8762774968974529E-3</v>
      </c>
      <c r="AB194" s="310">
        <f t="shared" si="55"/>
        <v>0.60710768657510905</v>
      </c>
      <c r="AC194" s="308"/>
    </row>
    <row r="195" spans="1:29">
      <c r="A195" s="184">
        <v>193</v>
      </c>
      <c r="B195" s="1">
        <f t="shared" si="58"/>
        <v>39087</v>
      </c>
      <c r="C195" s="174"/>
      <c r="D195" s="2">
        <v>34614</v>
      </c>
      <c r="E195" s="2">
        <f>D195+SUM(Holdings_Old!$E$32:$E$35)</f>
        <v>34614</v>
      </c>
      <c r="F195" s="2">
        <f t="shared" si="59"/>
        <v>1</v>
      </c>
      <c r="G195" s="188">
        <f t="shared" si="60"/>
        <v>2.8890879149479076E-5</v>
      </c>
      <c r="H195" s="2">
        <f t="shared" si="61"/>
        <v>11758.150000000001</v>
      </c>
      <c r="I195" s="188">
        <f t="shared" si="62"/>
        <v>0.51444816097410517</v>
      </c>
      <c r="K195" s="174"/>
      <c r="L195" s="287">
        <v>1409.26</v>
      </c>
      <c r="M195" s="188">
        <f t="shared" si="52"/>
        <v>-6.1846364322334368E-3</v>
      </c>
      <c r="N195" s="188">
        <f t="shared" si="46"/>
        <v>0.51520299329089969</v>
      </c>
      <c r="O195" s="305" t="str">
        <f t="shared" si="47"/>
        <v>Yes</v>
      </c>
      <c r="P195" s="304">
        <f t="shared" si="50"/>
        <v>1</v>
      </c>
      <c r="S195" s="287"/>
      <c r="T195" s="188" t="e">
        <f t="shared" si="53"/>
        <v>#DIV/0!</v>
      </c>
      <c r="U195" s="188">
        <f t="shared" si="56"/>
        <v>-1</v>
      </c>
      <c r="V195" s="305" t="e">
        <f t="shared" si="57"/>
        <v>#DIV/0!</v>
      </c>
      <c r="W195" s="304" t="e">
        <f t="shared" si="51"/>
        <v>#DIV/0!</v>
      </c>
      <c r="Z195" s="316">
        <v>2434.25</v>
      </c>
      <c r="AA195" s="310">
        <f t="shared" si="54"/>
        <v>7.8499890282326401E-3</v>
      </c>
      <c r="AB195" s="310">
        <f t="shared" si="55"/>
        <v>0.61972346428191205</v>
      </c>
      <c r="AC195" s="308"/>
    </row>
    <row r="196" spans="1:29">
      <c r="A196" s="184">
        <v>194</v>
      </c>
      <c r="B196" s="1">
        <f t="shared" si="58"/>
        <v>39094</v>
      </c>
      <c r="C196" s="174"/>
      <c r="D196" s="2">
        <v>34615</v>
      </c>
      <c r="E196" s="2">
        <f>D196+SUM(Holdings_Old!$E$32:$E$35)</f>
        <v>34615</v>
      </c>
      <c r="F196" s="2">
        <f t="shared" si="59"/>
        <v>1</v>
      </c>
      <c r="G196" s="188">
        <f t="shared" si="60"/>
        <v>2.8890044490692546E-5</v>
      </c>
      <c r="H196" s="2">
        <f t="shared" si="61"/>
        <v>11759.150000000001</v>
      </c>
      <c r="I196" s="188">
        <f t="shared" si="62"/>
        <v>0.51449191344885459</v>
      </c>
      <c r="K196" s="174"/>
      <c r="L196" s="287">
        <v>1430.73</v>
      </c>
      <c r="M196" s="188">
        <f t="shared" si="52"/>
        <v>1.5234946000028504E-2</v>
      </c>
      <c r="N196" s="188">
        <f t="shared" ref="N196:N259" si="63">(L196/$L$3)-1</f>
        <v>0.53828702907276793</v>
      </c>
      <c r="O196" s="305" t="str">
        <f t="shared" ref="O196:O259" si="64">IF(G196&gt;M196,"Yes","No")</f>
        <v>No</v>
      </c>
      <c r="P196" s="304">
        <f t="shared" si="50"/>
        <v>0</v>
      </c>
      <c r="S196" s="287"/>
      <c r="T196" s="188" t="e">
        <f t="shared" si="53"/>
        <v>#DIV/0!</v>
      </c>
      <c r="U196" s="188">
        <f t="shared" ref="U196:U202" si="65">(S196/$S$3)-1</f>
        <v>-1</v>
      </c>
      <c r="V196" s="305" t="e">
        <f t="shared" ref="V196:V202" si="66">IF(G196&gt;T196,"Yes","No")</f>
        <v>#DIV/0!</v>
      </c>
      <c r="W196" s="304" t="e">
        <f t="shared" si="51"/>
        <v>#DIV/0!</v>
      </c>
      <c r="Z196" s="316">
        <v>2502.8200000000002</v>
      </c>
      <c r="AA196" s="310">
        <f t="shared" si="54"/>
        <v>2.8168840505289117E-2</v>
      </c>
      <c r="AB196" s="310">
        <f t="shared" si="55"/>
        <v>0.66534919620994359</v>
      </c>
      <c r="AC196" s="308"/>
    </row>
    <row r="197" spans="1:29">
      <c r="A197" s="184">
        <v>195</v>
      </c>
      <c r="B197" s="1">
        <f t="shared" si="58"/>
        <v>39101</v>
      </c>
      <c r="C197" s="174"/>
      <c r="D197" s="2">
        <v>34616</v>
      </c>
      <c r="E197" s="2">
        <f>D197+SUM(Holdings_Old!$E$32:$E$35)</f>
        <v>34616</v>
      </c>
      <c r="F197" s="2">
        <f t="shared" si="59"/>
        <v>1</v>
      </c>
      <c r="G197" s="188">
        <f t="shared" si="60"/>
        <v>2.8889209880089695E-5</v>
      </c>
      <c r="H197" s="2">
        <f t="shared" si="61"/>
        <v>11760.150000000001</v>
      </c>
      <c r="I197" s="188">
        <f t="shared" si="62"/>
        <v>0.514535665923604</v>
      </c>
      <c r="K197" s="174"/>
      <c r="L197" s="287">
        <v>1430.47</v>
      </c>
      <c r="M197" s="188">
        <f t="shared" si="52"/>
        <v>-1.8172541290106814E-4</v>
      </c>
      <c r="N197" s="188">
        <f t="shared" si="63"/>
        <v>0.53800748322724923</v>
      </c>
      <c r="O197" s="305" t="str">
        <f t="shared" si="64"/>
        <v>Yes</v>
      </c>
      <c r="P197" s="304">
        <f t="shared" si="50"/>
        <v>1</v>
      </c>
      <c r="S197" s="287"/>
      <c r="T197" s="188" t="e">
        <f t="shared" si="53"/>
        <v>#DIV/0!</v>
      </c>
      <c r="U197" s="188">
        <f t="shared" si="65"/>
        <v>-1</v>
      </c>
      <c r="V197" s="305" t="e">
        <f t="shared" si="66"/>
        <v>#DIV/0!</v>
      </c>
      <c r="W197" s="304" t="e">
        <f t="shared" si="51"/>
        <v>#DIV/0!</v>
      </c>
      <c r="Z197" s="316">
        <v>2451.31</v>
      </c>
      <c r="AA197" s="310">
        <f t="shared" si="54"/>
        <v>-2.0580784874661417E-2</v>
      </c>
      <c r="AB197" s="310">
        <f t="shared" si="55"/>
        <v>0.63107500266155636</v>
      </c>
      <c r="AC197" s="308"/>
    </row>
    <row r="198" spans="1:29">
      <c r="A198" s="184">
        <v>196</v>
      </c>
      <c r="B198" s="1">
        <f t="shared" si="58"/>
        <v>39108</v>
      </c>
      <c r="C198" s="174"/>
      <c r="D198" s="2">
        <v>33961</v>
      </c>
      <c r="E198" s="2">
        <f>D198+SUM(Holdings_Old!$E$32:$E$35)</f>
        <v>33961</v>
      </c>
      <c r="F198" s="2">
        <f t="shared" si="59"/>
        <v>-655</v>
      </c>
      <c r="G198" s="188">
        <f t="shared" si="60"/>
        <v>-1.8921885833140695E-2</v>
      </c>
      <c r="H198" s="2">
        <f t="shared" si="61"/>
        <v>11105.150000000001</v>
      </c>
      <c r="I198" s="188">
        <f t="shared" si="62"/>
        <v>0.48587779496277772</v>
      </c>
      <c r="K198" s="174"/>
      <c r="L198" s="287">
        <v>1422.03</v>
      </c>
      <c r="M198" s="188">
        <f t="shared" si="52"/>
        <v>-5.9001586891022084E-3</v>
      </c>
      <c r="N198" s="188">
        <f t="shared" si="63"/>
        <v>0.52893299501118163</v>
      </c>
      <c r="O198" s="305" t="str">
        <f t="shared" si="64"/>
        <v>No</v>
      </c>
      <c r="P198" s="304">
        <f t="shared" ref="P198:P261" si="67">IF(O198="Yes",1,0)</f>
        <v>0</v>
      </c>
      <c r="S198" s="287"/>
      <c r="T198" s="188" t="e">
        <f t="shared" si="53"/>
        <v>#DIV/0!</v>
      </c>
      <c r="U198" s="188">
        <f t="shared" si="65"/>
        <v>-1</v>
      </c>
      <c r="V198" s="305" t="e">
        <f t="shared" si="66"/>
        <v>#DIV/0!</v>
      </c>
      <c r="W198" s="304" t="e">
        <f t="shared" ref="W198:W261" si="68">IF(V198="Yes",1,0)</f>
        <v>#DIV/0!</v>
      </c>
      <c r="Z198" s="316">
        <v>2435.4899999999998</v>
      </c>
      <c r="AA198" s="310">
        <f t="shared" si="54"/>
        <v>-6.4536921074854758E-3</v>
      </c>
      <c r="AB198" s="310">
        <f t="shared" si="55"/>
        <v>0.62054854679016258</v>
      </c>
      <c r="AC198" s="308"/>
    </row>
    <row r="199" spans="1:29">
      <c r="A199" s="184">
        <v>197</v>
      </c>
      <c r="B199" s="1">
        <f t="shared" si="58"/>
        <v>39115</v>
      </c>
      <c r="C199" s="174"/>
      <c r="D199" s="2">
        <v>33962</v>
      </c>
      <c r="E199" s="2">
        <f>D199+SUM(Holdings_Old!$E$32:$E$35)</f>
        <v>33962</v>
      </c>
      <c r="F199" s="2">
        <f t="shared" si="59"/>
        <v>1</v>
      </c>
      <c r="G199" s="188">
        <f t="shared" si="60"/>
        <v>2.9445540472794463E-5</v>
      </c>
      <c r="H199" s="2">
        <f t="shared" si="61"/>
        <v>11106.150000000001</v>
      </c>
      <c r="I199" s="188">
        <f t="shared" si="62"/>
        <v>0.48592154743752713</v>
      </c>
      <c r="K199" s="174"/>
      <c r="L199" s="287">
        <v>1448.33</v>
      </c>
      <c r="M199" s="188">
        <f t="shared" si="52"/>
        <v>1.8494687172563085E-2</v>
      </c>
      <c r="N199" s="188">
        <f t="shared" si="63"/>
        <v>0.55721013246172357</v>
      </c>
      <c r="O199" s="305" t="str">
        <f t="shared" si="64"/>
        <v>No</v>
      </c>
      <c r="P199" s="304">
        <f t="shared" si="67"/>
        <v>0</v>
      </c>
      <c r="S199" s="287"/>
      <c r="T199" s="188" t="e">
        <f t="shared" si="53"/>
        <v>#DIV/0!</v>
      </c>
      <c r="U199" s="188">
        <f t="shared" si="65"/>
        <v>-1</v>
      </c>
      <c r="V199" s="305" t="e">
        <f t="shared" si="66"/>
        <v>#DIV/0!</v>
      </c>
      <c r="W199" s="304" t="e">
        <f t="shared" si="68"/>
        <v>#DIV/0!</v>
      </c>
      <c r="Z199" s="316">
        <v>2475.88</v>
      </c>
      <c r="AA199" s="310">
        <f t="shared" si="54"/>
        <v>1.6583931775536076E-2</v>
      </c>
      <c r="AB199" s="310">
        <f t="shared" si="55"/>
        <v>0.64742361332907472</v>
      </c>
      <c r="AC199" s="308"/>
    </row>
    <row r="200" spans="1:29">
      <c r="A200" s="184">
        <v>198</v>
      </c>
      <c r="B200" s="1">
        <f t="shared" si="58"/>
        <v>39122</v>
      </c>
      <c r="C200" s="174"/>
      <c r="D200" s="2">
        <v>33963</v>
      </c>
      <c r="E200" s="2">
        <f>D200+SUM(Holdings_Old!$E$32:$E$35)</f>
        <v>33963</v>
      </c>
      <c r="F200" s="2">
        <f t="shared" si="59"/>
        <v>1</v>
      </c>
      <c r="G200" s="188">
        <f t="shared" si="60"/>
        <v>2.9444673458556281E-5</v>
      </c>
      <c r="H200" s="2">
        <f t="shared" si="61"/>
        <v>11107.150000000001</v>
      </c>
      <c r="I200" s="188">
        <f t="shared" si="62"/>
        <v>0.48596529991227633</v>
      </c>
      <c r="K200" s="174"/>
      <c r="L200" s="287">
        <v>1438</v>
      </c>
      <c r="M200" s="188">
        <f t="shared" si="52"/>
        <v>-7.1323524334923061E-3</v>
      </c>
      <c r="N200" s="188">
        <f t="shared" si="63"/>
        <v>0.54610356098400126</v>
      </c>
      <c r="O200" s="305" t="str">
        <f t="shared" si="64"/>
        <v>Yes</v>
      </c>
      <c r="P200" s="304">
        <f t="shared" si="67"/>
        <v>1</v>
      </c>
      <c r="S200" s="287"/>
      <c r="T200" s="188" t="e">
        <f t="shared" si="53"/>
        <v>#DIV/0!</v>
      </c>
      <c r="U200" s="188">
        <f t="shared" si="65"/>
        <v>-1</v>
      </c>
      <c r="V200" s="305" t="e">
        <f t="shared" si="66"/>
        <v>#DIV/0!</v>
      </c>
      <c r="W200" s="304" t="e">
        <f t="shared" si="68"/>
        <v>#DIV/0!</v>
      </c>
      <c r="Z200" s="316">
        <v>2459.8200000000002</v>
      </c>
      <c r="AA200" s="310">
        <f t="shared" si="54"/>
        <v>-6.4865825484271555E-3</v>
      </c>
      <c r="AB200" s="310">
        <f t="shared" si="55"/>
        <v>0.63673746406898757</v>
      </c>
      <c r="AC200" s="308"/>
    </row>
    <row r="201" spans="1:29">
      <c r="A201" s="184">
        <v>199</v>
      </c>
      <c r="B201" s="1">
        <f t="shared" si="58"/>
        <v>39129</v>
      </c>
      <c r="C201" s="174"/>
      <c r="D201" s="2">
        <v>33964</v>
      </c>
      <c r="E201" s="2">
        <f>D201+SUM(Holdings_Old!$E$32:$E$35)</f>
        <v>33964</v>
      </c>
      <c r="F201" s="2">
        <f t="shared" si="59"/>
        <v>1</v>
      </c>
      <c r="G201" s="188">
        <f t="shared" si="60"/>
        <v>2.9443806495388358E-5</v>
      </c>
      <c r="H201" s="2">
        <f t="shared" si="61"/>
        <v>11108.150000000001</v>
      </c>
      <c r="I201" s="188">
        <f t="shared" si="62"/>
        <v>0.48600905238702574</v>
      </c>
      <c r="K201" s="174"/>
      <c r="L201" s="287">
        <v>1455.53</v>
      </c>
      <c r="M201" s="188">
        <f t="shared" si="52"/>
        <v>1.2190542420027706E-2</v>
      </c>
      <c r="N201" s="188">
        <f t="shared" si="63"/>
        <v>0.56495140202993288</v>
      </c>
      <c r="O201" s="305" t="str">
        <f t="shared" si="64"/>
        <v>No</v>
      </c>
      <c r="P201" s="304">
        <f t="shared" si="67"/>
        <v>0</v>
      </c>
      <c r="S201" s="287">
        <v>12767.57</v>
      </c>
      <c r="T201" s="188" t="e">
        <f t="shared" si="53"/>
        <v>#DIV/0!</v>
      </c>
      <c r="U201" s="188">
        <f t="shared" si="65"/>
        <v>0.48759711418810903</v>
      </c>
      <c r="V201" s="305" t="e">
        <f t="shared" si="66"/>
        <v>#DIV/0!</v>
      </c>
      <c r="W201" s="304" t="e">
        <f t="shared" si="68"/>
        <v>#DIV/0!</v>
      </c>
      <c r="Z201" s="316">
        <v>2496.31</v>
      </c>
      <c r="AA201" s="310">
        <f t="shared" si="54"/>
        <v>1.4834418778609804E-2</v>
      </c>
      <c r="AB201" s="310">
        <f t="shared" si="55"/>
        <v>0.66101751304162648</v>
      </c>
      <c r="AC201" s="308"/>
    </row>
    <row r="202" spans="1:29">
      <c r="A202" s="185">
        <f>A201+1</f>
        <v>200</v>
      </c>
      <c r="B202" s="1">
        <f>B201+7</f>
        <v>39136</v>
      </c>
      <c r="D202" s="2">
        <v>32963</v>
      </c>
      <c r="E202" s="2">
        <f>D202+SUM(Holdings_Old!$E$32:$E$35)</f>
        <v>32963</v>
      </c>
      <c r="F202" s="2">
        <f t="shared" ref="F202:F236" si="69">E202-E201</f>
        <v>-1001</v>
      </c>
      <c r="G202" s="188">
        <f t="shared" ref="G202:G236" si="70">(E202/E201)-1</f>
        <v>-2.9472382522671037E-2</v>
      </c>
      <c r="H202" s="2">
        <f t="shared" ref="H202:H236" si="71">E202-$D$3</f>
        <v>10107.150000000001</v>
      </c>
      <c r="I202" s="188">
        <f t="shared" ref="I202:I236" si="72">(E202/$D$3)-1</f>
        <v>0.44221282516292337</v>
      </c>
      <c r="L202" s="287">
        <v>1451.04</v>
      </c>
      <c r="M202" s="188">
        <f t="shared" si="52"/>
        <v>-3.0847869848096288E-3</v>
      </c>
      <c r="N202" s="188">
        <f t="shared" si="63"/>
        <v>0.56012386031309114</v>
      </c>
      <c r="O202" s="305" t="str">
        <f t="shared" si="64"/>
        <v>No</v>
      </c>
      <c r="P202" s="304">
        <f t="shared" si="67"/>
        <v>0</v>
      </c>
      <c r="S202" s="287">
        <v>12767.57</v>
      </c>
      <c r="T202" s="188">
        <f t="shared" si="53"/>
        <v>0</v>
      </c>
      <c r="U202" s="188">
        <f t="shared" si="65"/>
        <v>0.48759711418810903</v>
      </c>
      <c r="V202" s="305" t="str">
        <f t="shared" si="66"/>
        <v>No</v>
      </c>
      <c r="W202" s="304">
        <f t="shared" si="68"/>
        <v>0</v>
      </c>
      <c r="Z202" s="316">
        <v>2515.1</v>
      </c>
      <c r="AA202" s="310">
        <f t="shared" si="54"/>
        <v>7.527110014381222E-3</v>
      </c>
      <c r="AB202" s="310">
        <f t="shared" si="55"/>
        <v>0.67352017459810476</v>
      </c>
      <c r="AC202" s="308"/>
    </row>
    <row r="203" spans="1:29">
      <c r="A203" s="184">
        <v>200</v>
      </c>
      <c r="B203" s="1">
        <f t="shared" ref="B203:B266" si="73">B202+7</f>
        <v>39143</v>
      </c>
      <c r="D203" s="2">
        <v>32964</v>
      </c>
      <c r="E203" s="2">
        <f>D203+SUM(Holdings_Old!$E$32:$E$35)</f>
        <v>32964</v>
      </c>
      <c r="F203" s="2">
        <f t="shared" si="69"/>
        <v>1</v>
      </c>
      <c r="G203" s="188">
        <f t="shared" si="70"/>
        <v>3.0337044565120763E-5</v>
      </c>
      <c r="H203" s="2">
        <f t="shared" si="71"/>
        <v>10108.150000000001</v>
      </c>
      <c r="I203" s="188">
        <f t="shared" si="72"/>
        <v>0.44225657763767279</v>
      </c>
      <c r="L203" s="287">
        <v>1387.11</v>
      </c>
      <c r="M203" s="188">
        <f t="shared" ref="M203:M266" si="74">(L203/L202)-1</f>
        <v>-4.4058054912338829E-2</v>
      </c>
      <c r="N203" s="188">
        <f t="shared" si="63"/>
        <v>0.49138783760536708</v>
      </c>
      <c r="O203" s="305" t="str">
        <f t="shared" si="64"/>
        <v>Yes</v>
      </c>
      <c r="P203" s="304">
        <f t="shared" si="67"/>
        <v>1</v>
      </c>
      <c r="S203" s="287"/>
      <c r="V203" s="305"/>
      <c r="W203" s="304">
        <f t="shared" si="68"/>
        <v>0</v>
      </c>
      <c r="Z203" s="316"/>
      <c r="AC203" s="308"/>
    </row>
    <row r="204" spans="1:29">
      <c r="A204" s="184">
        <v>201</v>
      </c>
      <c r="B204" s="1">
        <f t="shared" si="73"/>
        <v>39150</v>
      </c>
      <c r="D204" s="2">
        <v>32965</v>
      </c>
      <c r="E204" s="2">
        <f>D204+SUM(Holdings_Old!$E$32:$E$35)</f>
        <v>32965</v>
      </c>
      <c r="F204" s="2">
        <f t="shared" si="69"/>
        <v>1</v>
      </c>
      <c r="G204" s="188">
        <f t="shared" si="70"/>
        <v>3.033612425684673E-5</v>
      </c>
      <c r="H204" s="2">
        <f t="shared" si="71"/>
        <v>10109.150000000001</v>
      </c>
      <c r="I204" s="188">
        <f t="shared" si="72"/>
        <v>0.44230033011242198</v>
      </c>
      <c r="L204" s="287">
        <v>1402.8</v>
      </c>
      <c r="M204" s="188">
        <f t="shared" si="74"/>
        <v>1.1311287497026257E-2</v>
      </c>
      <c r="N204" s="188">
        <f t="shared" si="63"/>
        <v>0.50825735420608975</v>
      </c>
      <c r="O204" s="305" t="str">
        <f t="shared" si="64"/>
        <v>No</v>
      </c>
      <c r="P204" s="304">
        <f t="shared" si="67"/>
        <v>0</v>
      </c>
      <c r="S204" s="287"/>
      <c r="V204" s="305"/>
      <c r="W204" s="304">
        <f t="shared" si="68"/>
        <v>0</v>
      </c>
      <c r="Z204" s="316"/>
      <c r="AC204" s="308"/>
    </row>
    <row r="205" spans="1:29">
      <c r="A205" s="184">
        <v>202</v>
      </c>
      <c r="B205" s="1">
        <f t="shared" si="73"/>
        <v>39157</v>
      </c>
      <c r="D205" s="2">
        <v>32966</v>
      </c>
      <c r="E205" s="2">
        <f>D205+SUM(Holdings_Old!$E$32:$E$35)</f>
        <v>32966</v>
      </c>
      <c r="F205" s="2">
        <f t="shared" si="69"/>
        <v>1</v>
      </c>
      <c r="G205" s="188">
        <f t="shared" si="70"/>
        <v>3.0335204004305893E-5</v>
      </c>
      <c r="H205" s="2">
        <f t="shared" si="71"/>
        <v>10110.150000000001</v>
      </c>
      <c r="I205" s="188">
        <f t="shared" si="72"/>
        <v>0.44234408258717139</v>
      </c>
      <c r="L205" s="287">
        <v>1386.95</v>
      </c>
      <c r="M205" s="188">
        <f t="shared" si="74"/>
        <v>-1.1298830909609259E-2</v>
      </c>
      <c r="N205" s="188">
        <f t="shared" si="63"/>
        <v>0.49121580939274034</v>
      </c>
      <c r="O205" s="305" t="str">
        <f t="shared" si="64"/>
        <v>Yes</v>
      </c>
      <c r="P205" s="304">
        <f t="shared" si="67"/>
        <v>1</v>
      </c>
      <c r="S205" s="287"/>
      <c r="V205" s="305"/>
      <c r="W205" s="304">
        <f t="shared" si="68"/>
        <v>0</v>
      </c>
      <c r="Z205" s="316"/>
      <c r="AC205" s="308"/>
    </row>
    <row r="206" spans="1:29">
      <c r="A206" s="184">
        <v>203</v>
      </c>
      <c r="B206" s="1">
        <f t="shared" si="73"/>
        <v>39164</v>
      </c>
      <c r="D206" s="2">
        <v>32967</v>
      </c>
      <c r="E206" s="2">
        <f>D206+SUM(Holdings_Old!$E$32:$E$35)</f>
        <v>32967</v>
      </c>
      <c r="F206" s="2">
        <f t="shared" si="69"/>
        <v>1</v>
      </c>
      <c r="G206" s="188">
        <f t="shared" si="70"/>
        <v>3.0334283807498252E-5</v>
      </c>
      <c r="H206" s="2">
        <f t="shared" si="71"/>
        <v>10111.150000000001</v>
      </c>
      <c r="I206" s="188">
        <f t="shared" si="72"/>
        <v>0.44238783506192081</v>
      </c>
      <c r="L206" s="287">
        <v>1436.11</v>
      </c>
      <c r="M206" s="188">
        <f t="shared" si="74"/>
        <v>3.5444680774360915E-2</v>
      </c>
      <c r="N206" s="188">
        <f t="shared" si="63"/>
        <v>0.54407147772234632</v>
      </c>
      <c r="O206" s="305" t="str">
        <f t="shared" si="64"/>
        <v>No</v>
      </c>
      <c r="P206" s="304">
        <f t="shared" si="67"/>
        <v>0</v>
      </c>
      <c r="S206" s="287"/>
      <c r="V206" s="305"/>
      <c r="W206" s="304">
        <f t="shared" si="68"/>
        <v>0</v>
      </c>
      <c r="Z206" s="316"/>
      <c r="AC206" s="308"/>
    </row>
    <row r="207" spans="1:29">
      <c r="A207" s="184">
        <v>204</v>
      </c>
      <c r="B207" s="1">
        <f t="shared" si="73"/>
        <v>39171</v>
      </c>
      <c r="D207" s="2">
        <v>33284</v>
      </c>
      <c r="E207" s="2">
        <f>D207+SUM(Holdings_Old!$E$32:$E$35)</f>
        <v>33284</v>
      </c>
      <c r="F207" s="2">
        <f t="shared" si="69"/>
        <v>317</v>
      </c>
      <c r="G207" s="188">
        <f t="shared" si="70"/>
        <v>9.6156762823429442E-3</v>
      </c>
      <c r="H207" s="2">
        <f t="shared" si="71"/>
        <v>10428.150000000001</v>
      </c>
      <c r="I207" s="188">
        <f t="shared" si="72"/>
        <v>0.45625736955746565</v>
      </c>
      <c r="L207" s="287">
        <v>1420.83</v>
      </c>
      <c r="M207" s="188">
        <f t="shared" si="74"/>
        <v>-1.0639853493116802E-2</v>
      </c>
      <c r="N207" s="188">
        <f t="shared" si="63"/>
        <v>0.52764278341648008</v>
      </c>
      <c r="O207" s="305" t="str">
        <f t="shared" si="64"/>
        <v>Yes</v>
      </c>
      <c r="P207" s="304">
        <f t="shared" si="67"/>
        <v>1</v>
      </c>
      <c r="S207" s="287"/>
      <c r="V207" s="305"/>
      <c r="W207" s="304">
        <f t="shared" si="68"/>
        <v>0</v>
      </c>
      <c r="Z207" s="316"/>
      <c r="AC207" s="308"/>
    </row>
    <row r="208" spans="1:29">
      <c r="A208" s="184">
        <v>205</v>
      </c>
      <c r="B208" s="1">
        <f t="shared" si="73"/>
        <v>39178</v>
      </c>
      <c r="D208" s="2">
        <v>33285</v>
      </c>
      <c r="E208" s="2">
        <f>D208+SUM(Holdings_Old!$E$32:$E$35)</f>
        <v>33285</v>
      </c>
      <c r="F208" s="2">
        <f t="shared" si="69"/>
        <v>1</v>
      </c>
      <c r="G208" s="188">
        <f t="shared" si="70"/>
        <v>3.0044465809453413E-5</v>
      </c>
      <c r="H208" s="2">
        <f t="shared" si="71"/>
        <v>10429.150000000001</v>
      </c>
      <c r="I208" s="188">
        <f t="shared" si="72"/>
        <v>0.45630112203221507</v>
      </c>
      <c r="L208" s="287">
        <v>1443.77</v>
      </c>
      <c r="M208" s="188">
        <f t="shared" si="74"/>
        <v>1.6145492423442764E-2</v>
      </c>
      <c r="N208" s="188">
        <f t="shared" si="63"/>
        <v>0.55230732840185781</v>
      </c>
      <c r="O208" s="305" t="str">
        <f t="shared" si="64"/>
        <v>No</v>
      </c>
      <c r="P208" s="304">
        <f t="shared" si="67"/>
        <v>0</v>
      </c>
      <c r="S208" s="287"/>
      <c r="V208" s="305"/>
      <c r="W208" s="304">
        <f t="shared" si="68"/>
        <v>0</v>
      </c>
      <c r="Z208" s="316"/>
      <c r="AC208" s="308"/>
    </row>
    <row r="209" spans="1:29">
      <c r="A209" s="184">
        <v>206</v>
      </c>
      <c r="B209" s="1">
        <f t="shared" si="73"/>
        <v>39185</v>
      </c>
      <c r="D209" s="2">
        <v>33286</v>
      </c>
      <c r="E209" s="2">
        <f>D209+SUM(Holdings_Old!$E$32:$E$35)</f>
        <v>33286</v>
      </c>
      <c r="F209" s="2">
        <f t="shared" si="69"/>
        <v>1</v>
      </c>
      <c r="G209" s="188">
        <f t="shared" si="70"/>
        <v>3.0043563166604059E-5</v>
      </c>
      <c r="H209" s="2">
        <f t="shared" si="71"/>
        <v>10430.150000000001</v>
      </c>
      <c r="I209" s="188">
        <f t="shared" si="72"/>
        <v>0.45634487450696448</v>
      </c>
      <c r="L209" s="287">
        <v>1452.84</v>
      </c>
      <c r="M209" s="188">
        <f t="shared" si="74"/>
        <v>6.2821640566017578E-3</v>
      </c>
      <c r="N209" s="188">
        <f t="shared" si="63"/>
        <v>0.56205917770514358</v>
      </c>
      <c r="O209" s="305" t="str">
        <f t="shared" si="64"/>
        <v>No</v>
      </c>
      <c r="P209" s="304">
        <f t="shared" si="67"/>
        <v>0</v>
      </c>
      <c r="S209" s="287"/>
      <c r="V209" s="305"/>
      <c r="W209" s="304">
        <f t="shared" si="68"/>
        <v>0</v>
      </c>
      <c r="Z209" s="316"/>
      <c r="AC209" s="308"/>
    </row>
    <row r="210" spans="1:29">
      <c r="A210" s="184">
        <v>207</v>
      </c>
      <c r="B210" s="1">
        <f t="shared" si="73"/>
        <v>39192</v>
      </c>
      <c r="D210" s="2">
        <v>33287</v>
      </c>
      <c r="E210" s="2">
        <f>D210+SUM(Holdings_Old!$E$32:$E$35)</f>
        <v>33287</v>
      </c>
      <c r="F210" s="2">
        <f t="shared" si="69"/>
        <v>1</v>
      </c>
      <c r="G210" s="188">
        <f t="shared" si="70"/>
        <v>3.0042660577933589E-5</v>
      </c>
      <c r="H210" s="2">
        <f t="shared" si="71"/>
        <v>10431.150000000001</v>
      </c>
      <c r="I210" s="188">
        <f t="shared" si="72"/>
        <v>0.45638862698171367</v>
      </c>
      <c r="L210" s="287">
        <v>1484.33</v>
      </c>
      <c r="M210" s="188">
        <f t="shared" si="74"/>
        <v>2.1674788689738822E-2</v>
      </c>
      <c r="N210" s="188">
        <f t="shared" si="63"/>
        <v>0.59591648030276945</v>
      </c>
      <c r="O210" s="305" t="str">
        <f t="shared" si="64"/>
        <v>No</v>
      </c>
      <c r="P210" s="304">
        <f t="shared" si="67"/>
        <v>0</v>
      </c>
      <c r="S210" s="287"/>
      <c r="V210" s="305"/>
      <c r="W210" s="304">
        <f t="shared" si="68"/>
        <v>0</v>
      </c>
      <c r="Z210" s="316"/>
    </row>
    <row r="211" spans="1:29">
      <c r="A211" s="184">
        <v>208</v>
      </c>
      <c r="B211" s="1">
        <f t="shared" si="73"/>
        <v>39199</v>
      </c>
      <c r="D211" s="2">
        <v>34908</v>
      </c>
      <c r="E211" s="2">
        <f>D211+SUM(Holdings_Old!$E$32:$E$35)</f>
        <v>34908</v>
      </c>
      <c r="F211" s="2">
        <f t="shared" si="69"/>
        <v>1621</v>
      </c>
      <c r="G211" s="188">
        <f t="shared" si="70"/>
        <v>4.8697689788806509E-2</v>
      </c>
      <c r="H211" s="2">
        <f t="shared" si="71"/>
        <v>12052.150000000001</v>
      </c>
      <c r="I211" s="188">
        <f t="shared" si="72"/>
        <v>0.52731138855041504</v>
      </c>
      <c r="L211" s="287">
        <v>1494.07</v>
      </c>
      <c r="M211" s="188">
        <f t="shared" si="74"/>
        <v>6.5618831391940358E-3</v>
      </c>
      <c r="N211" s="188">
        <f t="shared" si="63"/>
        <v>0.60638869774643034</v>
      </c>
      <c r="O211" s="305" t="str">
        <f t="shared" si="64"/>
        <v>Yes</v>
      </c>
      <c r="P211" s="304">
        <f t="shared" si="67"/>
        <v>1</v>
      </c>
      <c r="S211" s="287"/>
      <c r="V211" s="305"/>
      <c r="W211" s="304">
        <f t="shared" si="68"/>
        <v>0</v>
      </c>
      <c r="Z211" s="316"/>
    </row>
    <row r="212" spans="1:29">
      <c r="A212" s="184">
        <v>209</v>
      </c>
      <c r="B212" s="1">
        <f t="shared" si="73"/>
        <v>39206</v>
      </c>
      <c r="D212" s="2">
        <v>34909</v>
      </c>
      <c r="E212" s="2">
        <f>D212+SUM(Holdings_Old!$E$32:$E$35)</f>
        <v>34909</v>
      </c>
      <c r="F212" s="2">
        <f t="shared" si="69"/>
        <v>1</v>
      </c>
      <c r="G212" s="188">
        <f t="shared" si="70"/>
        <v>2.8646728543524347E-5</v>
      </c>
      <c r="H212" s="2">
        <f t="shared" si="71"/>
        <v>12053.150000000001</v>
      </c>
      <c r="I212" s="188">
        <f t="shared" si="72"/>
        <v>0.52735514102516423</v>
      </c>
      <c r="L212" s="287">
        <v>1505.57</v>
      </c>
      <c r="M212" s="188">
        <f t="shared" si="74"/>
        <v>7.6970958522692978E-3</v>
      </c>
      <c r="N212" s="188">
        <f t="shared" si="63"/>
        <v>0.61875322552898671</v>
      </c>
      <c r="O212" s="305" t="str">
        <f t="shared" si="64"/>
        <v>No</v>
      </c>
      <c r="P212" s="304">
        <f t="shared" si="67"/>
        <v>0</v>
      </c>
      <c r="S212" s="287"/>
      <c r="V212" s="305"/>
      <c r="W212" s="304">
        <f t="shared" si="68"/>
        <v>0</v>
      </c>
      <c r="Z212" s="316"/>
    </row>
    <row r="213" spans="1:29">
      <c r="A213" s="184">
        <v>210</v>
      </c>
      <c r="B213" s="1">
        <f t="shared" si="73"/>
        <v>39213</v>
      </c>
      <c r="D213" s="2">
        <v>34910</v>
      </c>
      <c r="E213" s="2">
        <f>D213+SUM(Holdings_Old!$E$32:$E$35)</f>
        <v>34910</v>
      </c>
      <c r="F213" s="2">
        <f t="shared" si="69"/>
        <v>1</v>
      </c>
      <c r="G213" s="188">
        <f t="shared" si="70"/>
        <v>2.8645907931945658E-5</v>
      </c>
      <c r="H213" s="2">
        <f t="shared" si="71"/>
        <v>12054.150000000001</v>
      </c>
      <c r="I213" s="188">
        <f t="shared" si="72"/>
        <v>0.52739889349991365</v>
      </c>
      <c r="L213" s="287">
        <v>1505.76</v>
      </c>
      <c r="M213" s="188">
        <f t="shared" si="74"/>
        <v>1.2619805123637029E-4</v>
      </c>
      <c r="N213" s="188">
        <f t="shared" si="63"/>
        <v>0.61895750903148117</v>
      </c>
      <c r="O213" s="305" t="str">
        <f t="shared" si="64"/>
        <v>No</v>
      </c>
      <c r="P213" s="304">
        <f t="shared" si="67"/>
        <v>0</v>
      </c>
      <c r="S213" s="287"/>
      <c r="V213" s="305"/>
      <c r="W213" s="304">
        <f t="shared" si="68"/>
        <v>0</v>
      </c>
      <c r="Z213" s="316"/>
    </row>
    <row r="214" spans="1:29">
      <c r="A214" s="184">
        <v>211</v>
      </c>
      <c r="B214" s="1">
        <f t="shared" si="73"/>
        <v>39220</v>
      </c>
      <c r="D214" s="2">
        <v>34911</v>
      </c>
      <c r="E214" s="2">
        <f>D214+SUM(Holdings_Old!$E$32:$E$35)</f>
        <v>34911</v>
      </c>
      <c r="F214" s="2">
        <f t="shared" si="69"/>
        <v>1</v>
      </c>
      <c r="G214" s="188">
        <f t="shared" si="70"/>
        <v>2.8645087367440425E-5</v>
      </c>
      <c r="H214" s="2">
        <f t="shared" si="71"/>
        <v>12055.150000000001</v>
      </c>
      <c r="I214" s="188">
        <f t="shared" si="72"/>
        <v>0.52744264597466306</v>
      </c>
      <c r="L214" s="287">
        <v>1522.75</v>
      </c>
      <c r="M214" s="188">
        <f t="shared" si="74"/>
        <v>1.1283338646264962E-2</v>
      </c>
      <c r="N214" s="188">
        <f t="shared" si="63"/>
        <v>0.6372247548597969</v>
      </c>
      <c r="O214" s="305" t="str">
        <f t="shared" si="64"/>
        <v>No</v>
      </c>
      <c r="P214" s="304">
        <f t="shared" si="67"/>
        <v>0</v>
      </c>
      <c r="S214" s="287"/>
      <c r="V214" s="305"/>
      <c r="W214" s="304">
        <f t="shared" si="68"/>
        <v>0</v>
      </c>
      <c r="Z214" s="316"/>
    </row>
    <row r="215" spans="1:29">
      <c r="A215" s="185">
        <f>A214+1</f>
        <v>212</v>
      </c>
      <c r="B215" s="1">
        <f t="shared" si="73"/>
        <v>39227</v>
      </c>
      <c r="D215" s="2">
        <f>36654-1000</f>
        <v>35654</v>
      </c>
      <c r="E215" s="2">
        <f>D215+SUM(Holdings_Old!$E$32:$E$35)</f>
        <v>35654</v>
      </c>
      <c r="F215" s="2">
        <f t="shared" si="69"/>
        <v>743</v>
      </c>
      <c r="G215" s="188">
        <f t="shared" si="70"/>
        <v>2.1282690269542659E-2</v>
      </c>
      <c r="H215" s="2">
        <f t="shared" si="71"/>
        <v>12798.150000000001</v>
      </c>
      <c r="I215" s="188">
        <f t="shared" si="72"/>
        <v>0.55995073471343226</v>
      </c>
      <c r="L215" s="287">
        <v>1515.55</v>
      </c>
      <c r="M215" s="188">
        <f t="shared" si="74"/>
        <v>-4.7282876374979965E-3</v>
      </c>
      <c r="N215" s="188">
        <f t="shared" si="63"/>
        <v>0.6294834852915876</v>
      </c>
      <c r="O215" s="305" t="str">
        <f t="shared" si="64"/>
        <v>Yes</v>
      </c>
      <c r="P215" s="304">
        <f t="shared" si="67"/>
        <v>1</v>
      </c>
      <c r="S215" s="287"/>
      <c r="V215" s="305"/>
      <c r="W215" s="304">
        <f t="shared" si="68"/>
        <v>0</v>
      </c>
      <c r="Z215" s="316"/>
    </row>
    <row r="216" spans="1:29">
      <c r="A216" s="184">
        <v>212</v>
      </c>
      <c r="B216" s="1">
        <f t="shared" si="73"/>
        <v>39234</v>
      </c>
      <c r="D216" s="2">
        <f>36654-1000</f>
        <v>35654</v>
      </c>
      <c r="E216" s="2">
        <f>D216+SUM(Holdings_Old!$E$32:$E$35)</f>
        <v>35654</v>
      </c>
      <c r="F216" s="2">
        <f t="shared" si="69"/>
        <v>0</v>
      </c>
      <c r="G216" s="188">
        <f t="shared" si="70"/>
        <v>0</v>
      </c>
      <c r="H216" s="2">
        <f t="shared" si="71"/>
        <v>12798.150000000001</v>
      </c>
      <c r="I216" s="188">
        <f t="shared" si="72"/>
        <v>0.55995073471343226</v>
      </c>
      <c r="L216" s="287">
        <v>1536.28</v>
      </c>
      <c r="M216" s="188">
        <f t="shared" si="74"/>
        <v>1.3678202632707581E-2</v>
      </c>
      <c r="N216" s="188">
        <f t="shared" si="63"/>
        <v>0.65177189059005669</v>
      </c>
      <c r="O216" s="305" t="str">
        <f t="shared" si="64"/>
        <v>No</v>
      </c>
      <c r="P216" s="304">
        <f t="shared" si="67"/>
        <v>0</v>
      </c>
      <c r="S216" s="287"/>
      <c r="V216" s="305"/>
      <c r="W216" s="304">
        <f t="shared" si="68"/>
        <v>0</v>
      </c>
      <c r="Z216" s="316"/>
    </row>
    <row r="217" spans="1:29">
      <c r="A217" s="184">
        <v>213</v>
      </c>
      <c r="B217" s="1">
        <f t="shared" si="73"/>
        <v>39241</v>
      </c>
      <c r="D217" s="2">
        <f>36654-1000</f>
        <v>35654</v>
      </c>
      <c r="E217" s="2">
        <f>D217+SUM(Holdings_Old!$E$32:$E$35)</f>
        <v>35654</v>
      </c>
      <c r="F217" s="2">
        <f t="shared" si="69"/>
        <v>0</v>
      </c>
      <c r="G217" s="188">
        <f t="shared" si="70"/>
        <v>0</v>
      </c>
      <c r="H217" s="2">
        <f t="shared" si="71"/>
        <v>12798.150000000001</v>
      </c>
      <c r="I217" s="188">
        <f t="shared" si="72"/>
        <v>0.55995073471343226</v>
      </c>
      <c r="L217" s="287">
        <v>1507.64</v>
      </c>
      <c r="M217" s="188">
        <f t="shared" si="74"/>
        <v>-1.8642434972791389E-2</v>
      </c>
      <c r="N217" s="188">
        <f t="shared" si="63"/>
        <v>0.62097884052984686</v>
      </c>
      <c r="O217" s="305" t="str">
        <f t="shared" si="64"/>
        <v>Yes</v>
      </c>
      <c r="P217" s="304">
        <f t="shared" si="67"/>
        <v>1</v>
      </c>
      <c r="S217" s="287"/>
      <c r="V217" s="305"/>
      <c r="W217" s="304">
        <f t="shared" si="68"/>
        <v>0</v>
      </c>
      <c r="Z217" s="316"/>
    </row>
    <row r="218" spans="1:29">
      <c r="A218" s="184">
        <v>214</v>
      </c>
      <c r="B218" s="1">
        <f t="shared" si="73"/>
        <v>39248</v>
      </c>
      <c r="D218" s="2">
        <f>36654-1000</f>
        <v>35654</v>
      </c>
      <c r="E218" s="2">
        <f>D218+SUM(Holdings_Old!$E$32:$E$35)</f>
        <v>35654</v>
      </c>
      <c r="F218" s="2">
        <f t="shared" si="69"/>
        <v>0</v>
      </c>
      <c r="G218" s="188">
        <f t="shared" si="70"/>
        <v>0</v>
      </c>
      <c r="H218" s="2">
        <f t="shared" si="71"/>
        <v>12798.150000000001</v>
      </c>
      <c r="I218" s="188">
        <f t="shared" si="72"/>
        <v>0.55995073471343226</v>
      </c>
      <c r="L218" s="287">
        <v>1532.9</v>
      </c>
      <c r="M218" s="188">
        <f t="shared" si="74"/>
        <v>1.6754662916876661E-2</v>
      </c>
      <c r="N218" s="188">
        <f t="shared" si="63"/>
        <v>0.64813779459831422</v>
      </c>
      <c r="O218" s="305" t="str">
        <f t="shared" si="64"/>
        <v>No</v>
      </c>
      <c r="P218" s="304">
        <f t="shared" si="67"/>
        <v>0</v>
      </c>
      <c r="S218" s="287"/>
      <c r="V218" s="305"/>
      <c r="W218" s="304">
        <f t="shared" si="68"/>
        <v>0</v>
      </c>
      <c r="Z218" s="316"/>
    </row>
    <row r="219" spans="1:29">
      <c r="A219" s="184">
        <v>215</v>
      </c>
      <c r="B219" s="1">
        <f t="shared" si="73"/>
        <v>39255</v>
      </c>
      <c r="D219" s="2">
        <f>36654-1000</f>
        <v>35654</v>
      </c>
      <c r="E219" s="2">
        <f>D219+SUM(Holdings_Old!$E$32:$E$35)</f>
        <v>35654</v>
      </c>
      <c r="F219" s="2">
        <f t="shared" si="69"/>
        <v>0</v>
      </c>
      <c r="G219" s="188">
        <f t="shared" si="70"/>
        <v>0</v>
      </c>
      <c r="H219" s="2">
        <f t="shared" si="71"/>
        <v>12798.150000000001</v>
      </c>
      <c r="I219" s="188">
        <f t="shared" si="72"/>
        <v>0.55995073471343226</v>
      </c>
      <c r="L219" s="287">
        <v>1502.56</v>
      </c>
      <c r="M219" s="188">
        <f t="shared" si="74"/>
        <v>-1.9792550068497672E-2</v>
      </c>
      <c r="N219" s="188">
        <f t="shared" si="63"/>
        <v>0.6155169447789437</v>
      </c>
      <c r="O219" s="305" t="str">
        <f t="shared" si="64"/>
        <v>Yes</v>
      </c>
      <c r="P219" s="304">
        <f t="shared" si="67"/>
        <v>1</v>
      </c>
      <c r="S219" s="287"/>
      <c r="V219" s="305"/>
      <c r="W219" s="304">
        <f t="shared" si="68"/>
        <v>0</v>
      </c>
      <c r="Z219" s="316"/>
    </row>
    <row r="220" spans="1:29">
      <c r="A220" s="184">
        <v>216</v>
      </c>
      <c r="B220" s="1">
        <f t="shared" si="73"/>
        <v>39262</v>
      </c>
      <c r="D220" s="2">
        <v>36359</v>
      </c>
      <c r="E220" s="2">
        <f>D220+SUM(Holdings_Old!$E$32:$E$35)</f>
        <v>36359</v>
      </c>
      <c r="F220" s="2">
        <f>E220-E219</f>
        <v>705</v>
      </c>
      <c r="G220" s="188">
        <f t="shared" si="70"/>
        <v>1.9773377461154373E-2</v>
      </c>
      <c r="H220" s="2">
        <f t="shared" si="71"/>
        <v>13503.150000000001</v>
      </c>
      <c r="I220" s="188">
        <f t="shared" si="72"/>
        <v>0.59079622941172616</v>
      </c>
      <c r="L220" s="287">
        <v>1504.66</v>
      </c>
      <c r="M220" s="188">
        <f t="shared" si="74"/>
        <v>1.397614737514763E-3</v>
      </c>
      <c r="N220" s="188">
        <f t="shared" si="63"/>
        <v>0.61777481506967136</v>
      </c>
      <c r="O220" s="305" t="str">
        <f t="shared" si="64"/>
        <v>Yes</v>
      </c>
      <c r="P220" s="304">
        <f t="shared" si="67"/>
        <v>1</v>
      </c>
      <c r="S220" s="287"/>
      <c r="V220" s="305"/>
      <c r="W220" s="304">
        <f t="shared" si="68"/>
        <v>0</v>
      </c>
      <c r="Z220" s="316"/>
    </row>
    <row r="221" spans="1:29">
      <c r="A221" s="184">
        <v>217</v>
      </c>
      <c r="B221" s="1">
        <f t="shared" si="73"/>
        <v>39269</v>
      </c>
      <c r="D221" s="2">
        <v>36360</v>
      </c>
      <c r="E221" s="2">
        <f>D221+SUM(Holdings_Old!$E$32:$E$35)</f>
        <v>36360</v>
      </c>
      <c r="F221" s="2">
        <f t="shared" si="69"/>
        <v>1</v>
      </c>
      <c r="G221" s="188">
        <f t="shared" si="70"/>
        <v>2.7503506697001967E-5</v>
      </c>
      <c r="H221" s="2">
        <f t="shared" si="71"/>
        <v>13504.150000000001</v>
      </c>
      <c r="I221" s="188">
        <f t="shared" si="72"/>
        <v>0.59083998188647557</v>
      </c>
      <c r="L221" s="287">
        <v>1530.43</v>
      </c>
      <c r="M221" s="188">
        <f t="shared" si="74"/>
        <v>1.7126792763813681E-2</v>
      </c>
      <c r="N221" s="188">
        <f t="shared" si="63"/>
        <v>0.64548210906588688</v>
      </c>
      <c r="O221" s="305" t="str">
        <f t="shared" si="64"/>
        <v>No</v>
      </c>
      <c r="P221" s="304">
        <f t="shared" si="67"/>
        <v>0</v>
      </c>
      <c r="S221" s="287"/>
      <c r="V221" s="305"/>
      <c r="W221" s="304">
        <f t="shared" si="68"/>
        <v>0</v>
      </c>
      <c r="Z221" s="316"/>
    </row>
    <row r="222" spans="1:29">
      <c r="A222" s="184">
        <v>218</v>
      </c>
      <c r="B222" s="1">
        <f t="shared" si="73"/>
        <v>39276</v>
      </c>
      <c r="D222" s="2">
        <v>36361</v>
      </c>
      <c r="E222" s="2">
        <f>D222+SUM(Holdings_Old!$E$32:$E$35)</f>
        <v>36361</v>
      </c>
      <c r="F222" s="2">
        <f t="shared" si="69"/>
        <v>1</v>
      </c>
      <c r="G222" s="188">
        <f t="shared" si="70"/>
        <v>2.7502750274965848E-5</v>
      </c>
      <c r="H222" s="2">
        <f t="shared" si="71"/>
        <v>13505.150000000001</v>
      </c>
      <c r="I222" s="188">
        <f t="shared" si="72"/>
        <v>0.59088373436122499</v>
      </c>
      <c r="L222" s="287">
        <v>1552.5</v>
      </c>
      <c r="M222" s="188">
        <f t="shared" si="74"/>
        <v>1.4420783701312612E-2</v>
      </c>
      <c r="N222" s="188">
        <f t="shared" si="63"/>
        <v>0.66921125064510578</v>
      </c>
      <c r="O222" s="305" t="str">
        <f t="shared" si="64"/>
        <v>No</v>
      </c>
      <c r="P222" s="304">
        <f t="shared" si="67"/>
        <v>0</v>
      </c>
      <c r="S222" s="287"/>
      <c r="V222" s="305"/>
      <c r="W222" s="304">
        <f t="shared" si="68"/>
        <v>0</v>
      </c>
      <c r="Z222" s="316"/>
    </row>
    <row r="223" spans="1:29">
      <c r="A223" s="184">
        <v>219</v>
      </c>
      <c r="B223" s="1">
        <f t="shared" si="73"/>
        <v>39283</v>
      </c>
      <c r="D223" s="2">
        <v>36362</v>
      </c>
      <c r="E223" s="2">
        <f>D223+SUM(Holdings_Old!$E$32:$E$35)</f>
        <v>36362</v>
      </c>
      <c r="F223" s="2">
        <f t="shared" si="69"/>
        <v>1</v>
      </c>
      <c r="G223" s="188">
        <f t="shared" si="70"/>
        <v>2.750199389445207E-5</v>
      </c>
      <c r="H223" s="2">
        <f t="shared" si="71"/>
        <v>13506.150000000001</v>
      </c>
      <c r="I223" s="188">
        <f t="shared" si="72"/>
        <v>0.59092748683597418</v>
      </c>
      <c r="L223" s="287">
        <v>1534.06</v>
      </c>
      <c r="M223" s="188">
        <f t="shared" si="74"/>
        <v>-1.1877616747182018E-2</v>
      </c>
      <c r="N223" s="188">
        <f t="shared" si="63"/>
        <v>0.64938499913985881</v>
      </c>
      <c r="O223" s="305" t="str">
        <f t="shared" si="64"/>
        <v>Yes</v>
      </c>
      <c r="P223" s="304">
        <f t="shared" si="67"/>
        <v>1</v>
      </c>
      <c r="S223" s="287"/>
      <c r="V223" s="305"/>
      <c r="W223" s="304">
        <f t="shared" si="68"/>
        <v>0</v>
      </c>
      <c r="Z223" s="316"/>
    </row>
    <row r="224" spans="1:29">
      <c r="A224" s="184">
        <v>220</v>
      </c>
      <c r="B224" s="1">
        <f t="shared" si="73"/>
        <v>39290</v>
      </c>
      <c r="D224" s="2">
        <v>36576</v>
      </c>
      <c r="E224" s="2">
        <f>D224+SUM(Holdings_Old!$E$32:$E$35)</f>
        <v>36576</v>
      </c>
      <c r="F224" s="2">
        <f t="shared" si="69"/>
        <v>214</v>
      </c>
      <c r="G224" s="188">
        <f t="shared" si="70"/>
        <v>5.8852648369176475E-3</v>
      </c>
      <c r="H224" s="2">
        <f t="shared" si="71"/>
        <v>13720.150000000001</v>
      </c>
      <c r="I224" s="188">
        <f t="shared" si="72"/>
        <v>0.60029051643233577</v>
      </c>
      <c r="L224" s="287">
        <v>1458.93</v>
      </c>
      <c r="M224" s="188">
        <f t="shared" si="74"/>
        <v>-4.8974616377455815E-2</v>
      </c>
      <c r="N224" s="188">
        <f t="shared" si="63"/>
        <v>0.56860700154825383</v>
      </c>
      <c r="O224" s="305" t="str">
        <f t="shared" si="64"/>
        <v>Yes</v>
      </c>
      <c r="P224" s="304">
        <f t="shared" si="67"/>
        <v>1</v>
      </c>
      <c r="S224" s="287"/>
      <c r="V224" s="305"/>
      <c r="W224" s="304">
        <f t="shared" si="68"/>
        <v>0</v>
      </c>
      <c r="Z224" s="316"/>
    </row>
    <row r="225" spans="1:26">
      <c r="A225" s="184">
        <v>221</v>
      </c>
      <c r="B225" s="1">
        <f t="shared" si="73"/>
        <v>39297</v>
      </c>
      <c r="D225" s="2">
        <v>36577</v>
      </c>
      <c r="E225" s="2">
        <f>D225+SUM(Holdings_Old!$E$32:$E$35)</f>
        <v>36577</v>
      </c>
      <c r="F225" s="2">
        <f t="shared" si="69"/>
        <v>1</v>
      </c>
      <c r="G225" s="188">
        <f t="shared" si="70"/>
        <v>2.7340332458436478E-5</v>
      </c>
      <c r="H225" s="2">
        <f t="shared" si="71"/>
        <v>13721.150000000001</v>
      </c>
      <c r="I225" s="188">
        <f t="shared" si="72"/>
        <v>0.60033426890708519</v>
      </c>
      <c r="L225" s="287">
        <v>1433.04</v>
      </c>
      <c r="M225" s="188">
        <f t="shared" si="74"/>
        <v>-1.7745882256174128E-2</v>
      </c>
      <c r="N225" s="188">
        <f t="shared" si="63"/>
        <v>0.54077068639256831</v>
      </c>
      <c r="O225" s="305" t="str">
        <f t="shared" si="64"/>
        <v>Yes</v>
      </c>
      <c r="P225" s="304">
        <f t="shared" si="67"/>
        <v>1</v>
      </c>
      <c r="S225" s="287"/>
      <c r="V225" s="305"/>
      <c r="W225" s="304">
        <f t="shared" si="68"/>
        <v>0</v>
      </c>
      <c r="Z225" s="316"/>
    </row>
    <row r="226" spans="1:26">
      <c r="A226" s="184">
        <v>222</v>
      </c>
      <c r="B226" s="1">
        <f t="shared" si="73"/>
        <v>39304</v>
      </c>
      <c r="D226" s="2">
        <v>36578</v>
      </c>
      <c r="E226" s="2">
        <f>D226+SUM(Holdings_Old!$E$32:$E$35)</f>
        <v>36578</v>
      </c>
      <c r="F226" s="2">
        <f t="shared" si="69"/>
        <v>1</v>
      </c>
      <c r="G226" s="188">
        <f t="shared" si="70"/>
        <v>2.7339584985019982E-5</v>
      </c>
      <c r="H226" s="2">
        <f t="shared" si="71"/>
        <v>13722.150000000001</v>
      </c>
      <c r="I226" s="188">
        <f t="shared" si="72"/>
        <v>0.6003780213818346</v>
      </c>
      <c r="L226" s="287">
        <v>1453.42</v>
      </c>
      <c r="M226" s="188">
        <f t="shared" si="74"/>
        <v>1.422151510076497E-2</v>
      </c>
      <c r="N226" s="188">
        <f t="shared" si="63"/>
        <v>0.56268277997591598</v>
      </c>
      <c r="O226" s="305" t="str">
        <f t="shared" si="64"/>
        <v>No</v>
      </c>
      <c r="P226" s="304">
        <f t="shared" si="67"/>
        <v>0</v>
      </c>
      <c r="S226" s="287"/>
      <c r="V226" s="305"/>
      <c r="W226" s="304">
        <f t="shared" si="68"/>
        <v>0</v>
      </c>
      <c r="Z226" s="316"/>
    </row>
    <row r="227" spans="1:26">
      <c r="A227" s="184">
        <v>223</v>
      </c>
      <c r="B227" s="1">
        <f t="shared" si="73"/>
        <v>39311</v>
      </c>
      <c r="D227" s="2">
        <v>36579</v>
      </c>
      <c r="E227" s="2">
        <f>D227+SUM(Holdings_Old!$E$32:$E$35)</f>
        <v>36579</v>
      </c>
      <c r="F227" s="2">
        <f t="shared" si="69"/>
        <v>1</v>
      </c>
      <c r="G227" s="188">
        <f t="shared" si="70"/>
        <v>2.7338837552681738E-5</v>
      </c>
      <c r="H227" s="2">
        <f t="shared" si="71"/>
        <v>13723.150000000001</v>
      </c>
      <c r="I227" s="188">
        <f t="shared" si="72"/>
        <v>0.6004217738565838</v>
      </c>
      <c r="L227" s="287">
        <v>1445.94</v>
      </c>
      <c r="M227" s="188">
        <f t="shared" si="74"/>
        <v>-5.1464820905176012E-3</v>
      </c>
      <c r="N227" s="188">
        <f t="shared" si="63"/>
        <v>0.55464046103560993</v>
      </c>
      <c r="O227" s="305" t="str">
        <f t="shared" si="64"/>
        <v>Yes</v>
      </c>
      <c r="P227" s="304">
        <f t="shared" si="67"/>
        <v>1</v>
      </c>
      <c r="S227" s="287"/>
      <c r="V227" s="305"/>
      <c r="W227" s="304">
        <f t="shared" si="68"/>
        <v>0</v>
      </c>
      <c r="Z227" s="316"/>
    </row>
    <row r="228" spans="1:26">
      <c r="A228" s="185">
        <f>A227+1</f>
        <v>224</v>
      </c>
      <c r="B228" s="1">
        <f t="shared" si="73"/>
        <v>39318</v>
      </c>
      <c r="D228" s="2">
        <v>36580</v>
      </c>
      <c r="E228" s="2">
        <f>D228+SUM(Holdings_Old!$E$32:$E$35)</f>
        <v>36580</v>
      </c>
      <c r="F228" s="2">
        <f t="shared" si="69"/>
        <v>1</v>
      </c>
      <c r="G228" s="188">
        <f t="shared" si="70"/>
        <v>2.7338090160977657E-5</v>
      </c>
      <c r="H228" s="2">
        <f t="shared" si="71"/>
        <v>13724.150000000001</v>
      </c>
      <c r="I228" s="188">
        <f t="shared" si="72"/>
        <v>0.60046552633133321</v>
      </c>
      <c r="L228" s="287">
        <v>1479.36</v>
      </c>
      <c r="M228" s="188">
        <f t="shared" si="74"/>
        <v>2.3112992240341912E-2</v>
      </c>
      <c r="N228" s="188">
        <f t="shared" si="63"/>
        <v>0.59057285394804726</v>
      </c>
      <c r="O228" s="305" t="str">
        <f t="shared" si="64"/>
        <v>No</v>
      </c>
      <c r="P228" s="304">
        <f t="shared" si="67"/>
        <v>0</v>
      </c>
      <c r="S228" s="287"/>
      <c r="V228" s="305"/>
      <c r="W228" s="304">
        <f t="shared" si="68"/>
        <v>0</v>
      </c>
      <c r="Z228" s="316"/>
    </row>
    <row r="229" spans="1:26">
      <c r="A229" s="184">
        <v>224</v>
      </c>
      <c r="B229" s="1">
        <f t="shared" si="73"/>
        <v>39325</v>
      </c>
      <c r="D229" s="2">
        <v>37382</v>
      </c>
      <c r="E229" s="2">
        <f>D229+SUM(Holdings_Old!$E$32:$E$35)</f>
        <v>37382</v>
      </c>
      <c r="F229" s="2">
        <f t="shared" si="69"/>
        <v>802</v>
      </c>
      <c r="G229" s="188">
        <f t="shared" si="70"/>
        <v>2.1924548933843546E-2</v>
      </c>
      <c r="H229" s="2">
        <f t="shared" si="71"/>
        <v>14526.150000000001</v>
      </c>
      <c r="I229" s="188">
        <f t="shared" si="72"/>
        <v>0.63555501108031431</v>
      </c>
      <c r="L229" s="287">
        <v>1473.96</v>
      </c>
      <c r="M229" s="188">
        <f t="shared" si="74"/>
        <v>-3.6502271252432106E-3</v>
      </c>
      <c r="N229" s="188">
        <f t="shared" si="63"/>
        <v>0.58476690177189061</v>
      </c>
      <c r="O229" s="305" t="str">
        <f t="shared" si="64"/>
        <v>Yes</v>
      </c>
      <c r="P229" s="304">
        <f t="shared" si="67"/>
        <v>1</v>
      </c>
      <c r="S229" s="287"/>
      <c r="V229" s="305"/>
      <c r="W229" s="304">
        <f t="shared" si="68"/>
        <v>0</v>
      </c>
      <c r="Z229" s="316"/>
    </row>
    <row r="230" spans="1:26">
      <c r="A230" s="184">
        <v>225</v>
      </c>
      <c r="B230" s="1">
        <f t="shared" si="73"/>
        <v>39332</v>
      </c>
      <c r="D230" s="2">
        <v>37383</v>
      </c>
      <c r="E230" s="2">
        <f>D230+SUM(Holdings_Old!$E$32:$E$35)</f>
        <v>37383</v>
      </c>
      <c r="F230" s="2">
        <f t="shared" si="69"/>
        <v>1</v>
      </c>
      <c r="G230" s="188">
        <f t="shared" si="70"/>
        <v>2.6750842651468432E-5</v>
      </c>
      <c r="H230" s="2">
        <f t="shared" si="71"/>
        <v>14527.150000000001</v>
      </c>
      <c r="I230" s="188">
        <f t="shared" si="72"/>
        <v>0.63559876355506373</v>
      </c>
      <c r="L230" s="287">
        <v>1453.5</v>
      </c>
      <c r="M230" s="188">
        <f t="shared" si="74"/>
        <v>-1.3880973703492616E-2</v>
      </c>
      <c r="N230" s="188">
        <f t="shared" si="63"/>
        <v>0.56276879408222946</v>
      </c>
      <c r="O230" s="305" t="str">
        <f t="shared" si="64"/>
        <v>Yes</v>
      </c>
      <c r="P230" s="304">
        <f t="shared" si="67"/>
        <v>1</v>
      </c>
      <c r="S230" s="287"/>
      <c r="V230" s="305"/>
      <c r="W230" s="304">
        <f t="shared" si="68"/>
        <v>0</v>
      </c>
      <c r="Z230" s="316"/>
    </row>
    <row r="231" spans="1:26">
      <c r="A231" s="184">
        <v>226</v>
      </c>
      <c r="B231" s="1">
        <f t="shared" si="73"/>
        <v>39339</v>
      </c>
      <c r="D231" s="2">
        <v>37384</v>
      </c>
      <c r="E231" s="2">
        <f>D231+SUM(Holdings_Old!$E$32:$E$35)</f>
        <v>37384</v>
      </c>
      <c r="F231" s="2">
        <f t="shared" si="69"/>
        <v>1</v>
      </c>
      <c r="G231" s="188">
        <f t="shared" si="70"/>
        <v>2.6750127063213114E-5</v>
      </c>
      <c r="H231" s="2">
        <f t="shared" si="71"/>
        <v>14528.150000000001</v>
      </c>
      <c r="I231" s="188">
        <f t="shared" si="72"/>
        <v>0.63564251602981314</v>
      </c>
      <c r="L231" s="287">
        <v>1484.24</v>
      </c>
      <c r="M231" s="188">
        <f t="shared" si="74"/>
        <v>2.1148950808393518E-2</v>
      </c>
      <c r="N231" s="188">
        <f t="shared" si="63"/>
        <v>0.59581971443316695</v>
      </c>
      <c r="O231" s="305" t="str">
        <f t="shared" si="64"/>
        <v>No</v>
      </c>
      <c r="P231" s="304">
        <f t="shared" si="67"/>
        <v>0</v>
      </c>
      <c r="S231" s="287"/>
      <c r="V231" s="305"/>
      <c r="W231" s="304">
        <f t="shared" si="68"/>
        <v>0</v>
      </c>
      <c r="Z231" s="316"/>
    </row>
    <row r="232" spans="1:26">
      <c r="A232" s="184">
        <v>227</v>
      </c>
      <c r="B232" s="1">
        <f t="shared" si="73"/>
        <v>39346</v>
      </c>
      <c r="D232" s="2">
        <v>37385</v>
      </c>
      <c r="E232" s="2">
        <f>D232+SUM(Holdings_Old!$E$32:$E$35)</f>
        <v>37385</v>
      </c>
      <c r="F232" s="2">
        <f t="shared" si="69"/>
        <v>1</v>
      </c>
      <c r="G232" s="188">
        <f t="shared" si="70"/>
        <v>2.6749411512927423E-5</v>
      </c>
      <c r="H232" s="2">
        <f t="shared" si="71"/>
        <v>14529.150000000001</v>
      </c>
      <c r="I232" s="188">
        <f t="shared" si="72"/>
        <v>0.63568626850456234</v>
      </c>
      <c r="L232" s="287">
        <v>1525.75</v>
      </c>
      <c r="M232" s="188">
        <f t="shared" si="74"/>
        <v>2.7967175119926635E-2</v>
      </c>
      <c r="N232" s="188">
        <f t="shared" si="63"/>
        <v>0.64045028384655067</v>
      </c>
      <c r="O232" s="305" t="str">
        <f t="shared" si="64"/>
        <v>No</v>
      </c>
      <c r="P232" s="304">
        <f t="shared" si="67"/>
        <v>0</v>
      </c>
      <c r="S232" s="287"/>
      <c r="V232" s="305"/>
      <c r="W232" s="304">
        <f t="shared" si="68"/>
        <v>0</v>
      </c>
      <c r="Z232" s="316"/>
    </row>
    <row r="233" spans="1:26">
      <c r="A233" s="184">
        <v>228</v>
      </c>
      <c r="B233" s="1">
        <f t="shared" si="73"/>
        <v>39353</v>
      </c>
      <c r="D233" s="2">
        <v>39566</v>
      </c>
      <c r="E233" s="2">
        <f>D233+SUM(Holdings_Old!$E$32:$E$35)</f>
        <v>39566</v>
      </c>
      <c r="F233" s="2">
        <f t="shared" si="69"/>
        <v>2181</v>
      </c>
      <c r="G233" s="188">
        <f t="shared" si="70"/>
        <v>5.8338905978333466E-2</v>
      </c>
      <c r="H233" s="2">
        <f t="shared" si="71"/>
        <v>16710.150000000001</v>
      </c>
      <c r="I233" s="188">
        <f t="shared" si="72"/>
        <v>0.73111041593290138</v>
      </c>
      <c r="L233" s="287">
        <v>1527.29</v>
      </c>
      <c r="M233" s="188">
        <f t="shared" si="74"/>
        <v>1.0093396690151746E-3</v>
      </c>
      <c r="N233" s="188">
        <f t="shared" si="63"/>
        <v>0.64210605539308441</v>
      </c>
      <c r="O233" s="305" t="str">
        <f t="shared" si="64"/>
        <v>Yes</v>
      </c>
      <c r="P233" s="304">
        <f t="shared" si="67"/>
        <v>1</v>
      </c>
      <c r="S233" s="287"/>
      <c r="V233" s="305"/>
      <c r="W233" s="304">
        <f t="shared" si="68"/>
        <v>0</v>
      </c>
      <c r="Z233" s="316"/>
    </row>
    <row r="234" spans="1:26">
      <c r="A234" s="184">
        <v>229</v>
      </c>
      <c r="B234" s="1">
        <f t="shared" si="73"/>
        <v>39360</v>
      </c>
      <c r="D234" s="2">
        <v>39567</v>
      </c>
      <c r="E234" s="2">
        <f>D234+SUM(Holdings_Old!$E$32:$E$35)</f>
        <v>39567</v>
      </c>
      <c r="F234" s="2">
        <f t="shared" si="69"/>
        <v>1</v>
      </c>
      <c r="G234" s="188">
        <f t="shared" si="70"/>
        <v>2.527422534503998E-5</v>
      </c>
      <c r="H234" s="2">
        <f t="shared" si="71"/>
        <v>16711.150000000001</v>
      </c>
      <c r="I234" s="188">
        <f t="shared" si="72"/>
        <v>0.73115416840765057</v>
      </c>
      <c r="L234" s="287">
        <v>1556.51</v>
      </c>
      <c r="M234" s="188">
        <f t="shared" si="74"/>
        <v>1.913192648416473E-2</v>
      </c>
      <c r="N234" s="188">
        <f t="shared" si="63"/>
        <v>0.67352270772406664</v>
      </c>
      <c r="O234" s="305" t="str">
        <f t="shared" si="64"/>
        <v>No</v>
      </c>
      <c r="P234" s="304">
        <f t="shared" si="67"/>
        <v>0</v>
      </c>
      <c r="S234" s="287"/>
      <c r="V234" s="305"/>
      <c r="W234" s="304">
        <f t="shared" si="68"/>
        <v>0</v>
      </c>
      <c r="Z234" s="316"/>
    </row>
    <row r="235" spans="1:26">
      <c r="A235" s="184">
        <v>230</v>
      </c>
      <c r="B235" s="1">
        <f t="shared" si="73"/>
        <v>39367</v>
      </c>
      <c r="D235" s="2">
        <v>39568</v>
      </c>
      <c r="E235" s="2">
        <f>D235+SUM(Holdings_Old!$E$32:$E$35)</f>
        <v>39568</v>
      </c>
      <c r="F235" s="2">
        <f t="shared" si="69"/>
        <v>1</v>
      </c>
      <c r="G235" s="188">
        <f t="shared" si="70"/>
        <v>2.5273586574670048E-5</v>
      </c>
      <c r="H235" s="2">
        <f t="shared" si="71"/>
        <v>16712.150000000001</v>
      </c>
      <c r="I235" s="188">
        <f t="shared" si="72"/>
        <v>0.73119792088239999</v>
      </c>
      <c r="L235" s="287">
        <v>1562.25</v>
      </c>
      <c r="M235" s="188">
        <f t="shared" si="74"/>
        <v>3.6877373097505828E-3</v>
      </c>
      <c r="N235" s="188">
        <f t="shared" si="63"/>
        <v>0.67969421985205569</v>
      </c>
      <c r="O235" s="305" t="str">
        <f t="shared" si="64"/>
        <v>No</v>
      </c>
      <c r="P235" s="304">
        <f t="shared" si="67"/>
        <v>0</v>
      </c>
      <c r="S235" s="287"/>
      <c r="V235" s="305"/>
      <c r="W235" s="304">
        <f t="shared" si="68"/>
        <v>0</v>
      </c>
      <c r="Z235" s="316"/>
    </row>
    <row r="236" spans="1:26">
      <c r="A236" s="184">
        <v>231</v>
      </c>
      <c r="B236" s="1">
        <f t="shared" si="73"/>
        <v>39374</v>
      </c>
      <c r="D236" s="2">
        <f>40456-1000</f>
        <v>39456</v>
      </c>
      <c r="E236" s="2">
        <f>D236+SUM(Holdings_Old!$E$32:$E$35)</f>
        <v>39456</v>
      </c>
      <c r="F236" s="2">
        <f t="shared" si="69"/>
        <v>-112</v>
      </c>
      <c r="G236" s="188">
        <f t="shared" si="70"/>
        <v>-2.8305701577031606E-3</v>
      </c>
      <c r="H236" s="2">
        <f t="shared" si="71"/>
        <v>16600.150000000001</v>
      </c>
      <c r="I236" s="188">
        <f t="shared" si="72"/>
        <v>0.72629764371047245</v>
      </c>
      <c r="L236" s="287">
        <v>1497.79</v>
      </c>
      <c r="M236" s="188">
        <f t="shared" si="74"/>
        <v>-4.126100176028169E-2</v>
      </c>
      <c r="N236" s="188">
        <f t="shared" si="63"/>
        <v>0.61038835369000499</v>
      </c>
      <c r="O236" s="305" t="str">
        <f t="shared" si="64"/>
        <v>Yes</v>
      </c>
      <c r="P236" s="304">
        <f t="shared" si="67"/>
        <v>1</v>
      </c>
      <c r="S236" s="287"/>
      <c r="V236" s="305"/>
      <c r="W236" s="304">
        <f t="shared" si="68"/>
        <v>0</v>
      </c>
      <c r="Z236" s="316"/>
    </row>
    <row r="237" spans="1:26">
      <c r="A237" s="184">
        <v>232</v>
      </c>
      <c r="B237" s="1">
        <f t="shared" si="73"/>
        <v>39381</v>
      </c>
      <c r="D237" s="2">
        <f>40456-1000</f>
        <v>39456</v>
      </c>
      <c r="E237" s="2">
        <f>D237+SUM(Holdings_Old!$E$32:$E$35)</f>
        <v>39456</v>
      </c>
      <c r="F237" s="2">
        <f>E237-E236</f>
        <v>0</v>
      </c>
      <c r="G237" s="188">
        <f>(E237/E236)-1</f>
        <v>0</v>
      </c>
      <c r="H237" s="2">
        <f>E237-$D$3</f>
        <v>16600.150000000001</v>
      </c>
      <c r="I237" s="188">
        <f>(E237/$D$3)-1</f>
        <v>0.72629764371047245</v>
      </c>
      <c r="L237" s="287">
        <v>1536.92</v>
      </c>
      <c r="M237" s="188">
        <f t="shared" si="74"/>
        <v>2.6125157732392434E-2</v>
      </c>
      <c r="N237" s="188">
        <f t="shared" si="63"/>
        <v>0.65246000344056432</v>
      </c>
      <c r="O237" s="305" t="str">
        <f t="shared" si="64"/>
        <v>No</v>
      </c>
      <c r="P237" s="304">
        <f t="shared" si="67"/>
        <v>0</v>
      </c>
      <c r="S237" s="287"/>
      <c r="V237" s="305"/>
      <c r="W237" s="304">
        <f t="shared" si="68"/>
        <v>0</v>
      </c>
      <c r="Z237" s="316"/>
    </row>
    <row r="238" spans="1:26">
      <c r="A238" s="184">
        <v>233</v>
      </c>
      <c r="B238" s="1">
        <f>B237+7</f>
        <v>39388</v>
      </c>
      <c r="D238" s="2">
        <v>39000</v>
      </c>
      <c r="E238" s="2">
        <f>D238</f>
        <v>39000</v>
      </c>
      <c r="F238" s="2">
        <f>E238-E236</f>
        <v>-456</v>
      </c>
      <c r="G238" s="188">
        <f>(E238/E236)-1</f>
        <v>-1.1557177615571734E-2</v>
      </c>
      <c r="H238" s="2">
        <f>E238-$D$3</f>
        <v>16144.150000000001</v>
      </c>
      <c r="I238" s="188">
        <f>(E238/$D$3)-1</f>
        <v>0.70634651522476744</v>
      </c>
      <c r="L238" s="287">
        <v>1505.61</v>
      </c>
      <c r="M238" s="188">
        <f t="shared" si="74"/>
        <v>-2.0371912656481861E-2</v>
      </c>
      <c r="N238" s="188">
        <f t="shared" si="63"/>
        <v>0.61879623258214322</v>
      </c>
      <c r="O238" s="305" t="str">
        <f t="shared" si="64"/>
        <v>Yes</v>
      </c>
      <c r="P238" s="304">
        <f t="shared" si="67"/>
        <v>1</v>
      </c>
      <c r="S238" s="287"/>
      <c r="V238" s="305"/>
      <c r="W238" s="304">
        <f t="shared" si="68"/>
        <v>0</v>
      </c>
      <c r="Z238" s="316"/>
    </row>
    <row r="239" spans="1:26">
      <c r="A239" s="184">
        <v>234</v>
      </c>
      <c r="B239" s="1">
        <v>39405</v>
      </c>
      <c r="D239" s="2">
        <v>38500</v>
      </c>
      <c r="E239" s="2">
        <f>D239</f>
        <v>38500</v>
      </c>
      <c r="F239" s="2">
        <f t="shared" ref="F239:F246" si="75">E239-E238</f>
        <v>-500</v>
      </c>
      <c r="G239" s="188">
        <f t="shared" ref="G239:G244" si="76">(E239/E238)-1</f>
        <v>-1.2820512820512775E-2</v>
      </c>
      <c r="H239" s="2">
        <f t="shared" ref="H239:H244" si="77">E239-$D$3</f>
        <v>15644.150000000001</v>
      </c>
      <c r="I239" s="188">
        <f t="shared" ref="I239:I244" si="78">(E239/$D$3)-1</f>
        <v>0.68447027785009107</v>
      </c>
      <c r="L239" s="287">
        <v>1433.27</v>
      </c>
      <c r="M239" s="188">
        <f t="shared" si="74"/>
        <v>-4.8046970995144767E-2</v>
      </c>
      <c r="N239" s="188">
        <f t="shared" si="63"/>
        <v>0.54101797694821951</v>
      </c>
      <c r="O239" s="305" t="str">
        <f t="shared" si="64"/>
        <v>Yes</v>
      </c>
      <c r="P239" s="304">
        <f t="shared" si="67"/>
        <v>1</v>
      </c>
      <c r="S239" s="287"/>
      <c r="V239" s="305"/>
      <c r="W239" s="304">
        <f t="shared" si="68"/>
        <v>0</v>
      </c>
      <c r="Z239" s="316"/>
    </row>
    <row r="240" spans="1:26">
      <c r="A240" s="184">
        <v>235</v>
      </c>
      <c r="B240" s="1">
        <v>39417</v>
      </c>
      <c r="D240" s="2">
        <f>38514-1000</f>
        <v>37514</v>
      </c>
      <c r="E240" s="2">
        <f>D240</f>
        <v>37514</v>
      </c>
      <c r="F240" s="2">
        <f t="shared" si="75"/>
        <v>-986</v>
      </c>
      <c r="G240" s="188">
        <f t="shared" si="76"/>
        <v>-2.5610389610389639E-2</v>
      </c>
      <c r="H240" s="2">
        <f t="shared" si="77"/>
        <v>14658.150000000001</v>
      </c>
      <c r="I240" s="188">
        <f t="shared" si="78"/>
        <v>0.64133033774722903</v>
      </c>
      <c r="L240" s="287">
        <v>1481.14</v>
      </c>
      <c r="M240" s="188">
        <f t="shared" si="74"/>
        <v>3.3399150195008609E-2</v>
      </c>
      <c r="N240" s="188">
        <f t="shared" si="63"/>
        <v>0.59248666781352144</v>
      </c>
      <c r="O240" s="305" t="str">
        <f t="shared" si="64"/>
        <v>No</v>
      </c>
      <c r="P240" s="304">
        <f t="shared" si="67"/>
        <v>0</v>
      </c>
      <c r="S240" s="287"/>
      <c r="V240" s="305"/>
      <c r="W240" s="304">
        <f t="shared" si="68"/>
        <v>0</v>
      </c>
      <c r="Z240" s="316"/>
    </row>
    <row r="241" spans="1:26">
      <c r="A241" s="185">
        <f>A240+1</f>
        <v>236</v>
      </c>
      <c r="B241" s="1">
        <v>39438</v>
      </c>
      <c r="D241" s="2">
        <f>38126.52-1000</f>
        <v>37126.519999999997</v>
      </c>
      <c r="E241" s="2">
        <f>D241</f>
        <v>37126.519999999997</v>
      </c>
      <c r="F241" s="2">
        <f t="shared" si="75"/>
        <v>-387.4800000000032</v>
      </c>
      <c r="G241" s="188">
        <f t="shared" si="76"/>
        <v>-1.0328943860958617E-2</v>
      </c>
      <c r="H241" s="2">
        <f t="shared" si="77"/>
        <v>14270.669999999998</v>
      </c>
      <c r="I241" s="188">
        <f t="shared" si="78"/>
        <v>0.62437712883134955</v>
      </c>
      <c r="L241" s="287">
        <v>1484.46</v>
      </c>
      <c r="M241" s="188">
        <f t="shared" si="74"/>
        <v>2.2415166695923805E-3</v>
      </c>
      <c r="N241" s="188">
        <f t="shared" si="63"/>
        <v>0.59605625322552891</v>
      </c>
      <c r="O241" s="305" t="str">
        <f t="shared" si="64"/>
        <v>No</v>
      </c>
      <c r="P241" s="304">
        <f t="shared" si="67"/>
        <v>0</v>
      </c>
      <c r="S241" s="287"/>
      <c r="V241" s="305"/>
      <c r="W241" s="304">
        <f t="shared" si="68"/>
        <v>0</v>
      </c>
      <c r="Z241" s="316"/>
    </row>
    <row r="242" spans="1:26">
      <c r="A242" s="184">
        <v>236</v>
      </c>
      <c r="B242" s="1">
        <v>39452</v>
      </c>
      <c r="D242" s="2">
        <f>39985-1000</f>
        <v>38985</v>
      </c>
      <c r="E242" s="2">
        <f>39985-1000</f>
        <v>38985</v>
      </c>
      <c r="F242" s="2">
        <f t="shared" si="75"/>
        <v>1858.4800000000032</v>
      </c>
      <c r="G242" s="188">
        <f t="shared" si="76"/>
        <v>5.0058017826610346E-2</v>
      </c>
      <c r="H242" s="2">
        <f t="shared" si="77"/>
        <v>16129.150000000001</v>
      </c>
      <c r="I242" s="188">
        <f t="shared" si="78"/>
        <v>0.70569022810352711</v>
      </c>
      <c r="L242" s="287">
        <v>1411.63</v>
      </c>
      <c r="M242" s="188">
        <f t="shared" si="74"/>
        <v>-4.9061611629818147E-2</v>
      </c>
      <c r="N242" s="188">
        <f t="shared" si="63"/>
        <v>0.51775116119043529</v>
      </c>
      <c r="O242" s="305" t="str">
        <f t="shared" si="64"/>
        <v>Yes</v>
      </c>
      <c r="P242" s="304">
        <f t="shared" si="67"/>
        <v>1</v>
      </c>
      <c r="S242" s="287"/>
      <c r="V242" s="305"/>
      <c r="W242" s="304">
        <f t="shared" si="68"/>
        <v>0</v>
      </c>
      <c r="Z242" s="316"/>
    </row>
    <row r="243" spans="1:26">
      <c r="A243" s="184">
        <v>237</v>
      </c>
      <c r="B243" s="1">
        <f>B242+7</f>
        <v>39459</v>
      </c>
      <c r="D243" s="2">
        <f>37905-1000</f>
        <v>36905</v>
      </c>
      <c r="E243" s="2">
        <f>37905-1000</f>
        <v>36905</v>
      </c>
      <c r="F243" s="2">
        <f t="shared" si="75"/>
        <v>-2080</v>
      </c>
      <c r="G243" s="188">
        <f t="shared" si="76"/>
        <v>-5.3353854046428117E-2</v>
      </c>
      <c r="H243" s="2">
        <f t="shared" si="77"/>
        <v>14049.150000000001</v>
      </c>
      <c r="I243" s="188">
        <f t="shared" si="78"/>
        <v>0.61468508062487293</v>
      </c>
      <c r="L243" s="287">
        <v>1401.02</v>
      </c>
      <c r="M243" s="188">
        <f t="shared" si="74"/>
        <v>-7.5161338311031667E-3</v>
      </c>
      <c r="N243" s="188">
        <f t="shared" si="63"/>
        <v>0.50634354034061579</v>
      </c>
      <c r="O243" s="305" t="str">
        <f t="shared" si="64"/>
        <v>No</v>
      </c>
      <c r="P243" s="304">
        <f t="shared" si="67"/>
        <v>0</v>
      </c>
      <c r="S243" s="287"/>
      <c r="V243" s="305"/>
      <c r="W243" s="304">
        <f t="shared" si="68"/>
        <v>0</v>
      </c>
      <c r="Z243" s="316"/>
    </row>
    <row r="244" spans="1:26">
      <c r="A244" s="184">
        <v>238</v>
      </c>
      <c r="B244" s="1">
        <f>B243+7</f>
        <v>39466</v>
      </c>
      <c r="D244" s="2">
        <f>35854-1000</f>
        <v>34854</v>
      </c>
      <c r="E244" s="2">
        <f>35854-1000</f>
        <v>34854</v>
      </c>
      <c r="F244" s="2">
        <f t="shared" si="75"/>
        <v>-2051</v>
      </c>
      <c r="G244" s="188">
        <f t="shared" si="76"/>
        <v>-5.5575125321772112E-2</v>
      </c>
      <c r="H244" s="2">
        <f t="shared" si="77"/>
        <v>11998.150000000001</v>
      </c>
      <c r="I244" s="188">
        <f t="shared" si="78"/>
        <v>0.52494875491394999</v>
      </c>
      <c r="L244" s="287">
        <v>1333</v>
      </c>
      <c r="M244" s="188">
        <f t="shared" si="74"/>
        <v>-4.855034189376306E-2</v>
      </c>
      <c r="N244" s="188">
        <f t="shared" si="63"/>
        <v>0.4332100464476174</v>
      </c>
      <c r="O244" s="305" t="str">
        <f t="shared" si="64"/>
        <v>No</v>
      </c>
      <c r="P244" s="304">
        <f t="shared" si="67"/>
        <v>0</v>
      </c>
      <c r="S244" s="287"/>
      <c r="V244" s="305"/>
      <c r="W244" s="304">
        <f t="shared" si="68"/>
        <v>0</v>
      </c>
      <c r="Z244" s="316"/>
    </row>
    <row r="245" spans="1:26">
      <c r="A245" s="184">
        <v>239</v>
      </c>
      <c r="B245" s="1">
        <v>39480</v>
      </c>
      <c r="D245" s="2">
        <v>37182</v>
      </c>
      <c r="E245" s="2">
        <v>37182</v>
      </c>
      <c r="F245" s="2">
        <f t="shared" si="75"/>
        <v>2328</v>
      </c>
      <c r="G245" s="188">
        <f t="shared" ref="G245:G250" si="79">(E245/E244)-1</f>
        <v>6.6792907557238657E-2</v>
      </c>
      <c r="H245" s="2">
        <f t="shared" ref="H245:H250" si="80">E245-$D$3</f>
        <v>14326.150000000001</v>
      </c>
      <c r="I245" s="188">
        <f t="shared" ref="I245:I250" si="81">(E245/$D$3)-1</f>
        <v>0.62680451613044363</v>
      </c>
      <c r="L245" s="287">
        <v>1395.42</v>
      </c>
      <c r="M245" s="188">
        <f t="shared" si="74"/>
        <v>4.6826706676669216E-2</v>
      </c>
      <c r="N245" s="188">
        <f t="shared" si="63"/>
        <v>0.50032255289867544</v>
      </c>
      <c r="O245" s="305" t="str">
        <f t="shared" si="64"/>
        <v>Yes</v>
      </c>
      <c r="P245" s="304">
        <f t="shared" si="67"/>
        <v>1</v>
      </c>
      <c r="S245" s="287"/>
      <c r="V245" s="305"/>
      <c r="W245" s="304">
        <f t="shared" si="68"/>
        <v>0</v>
      </c>
      <c r="Z245" s="316"/>
    </row>
    <row r="246" spans="1:26">
      <c r="A246" s="184">
        <v>240</v>
      </c>
      <c r="B246" s="1">
        <f t="shared" si="73"/>
        <v>39487</v>
      </c>
      <c r="D246" s="2">
        <v>35617</v>
      </c>
      <c r="E246" s="2">
        <v>35617</v>
      </c>
      <c r="F246" s="2">
        <f t="shared" si="75"/>
        <v>-1565</v>
      </c>
      <c r="G246" s="188">
        <f t="shared" si="79"/>
        <v>-4.2090258727341179E-2</v>
      </c>
      <c r="H246" s="2">
        <f t="shared" si="80"/>
        <v>12761.150000000001</v>
      </c>
      <c r="I246" s="188">
        <f t="shared" si="81"/>
        <v>0.55833189314770637</v>
      </c>
      <c r="L246" s="287">
        <v>1331</v>
      </c>
      <c r="M246" s="188">
        <f t="shared" si="74"/>
        <v>-4.6165312235742717E-2</v>
      </c>
      <c r="N246" s="188">
        <f t="shared" si="63"/>
        <v>0.43105969378978148</v>
      </c>
      <c r="O246" s="305" t="str">
        <f t="shared" si="64"/>
        <v>Yes</v>
      </c>
      <c r="P246" s="304">
        <f t="shared" si="67"/>
        <v>1</v>
      </c>
      <c r="S246" s="287"/>
      <c r="V246" s="305"/>
      <c r="W246" s="304">
        <f t="shared" si="68"/>
        <v>0</v>
      </c>
      <c r="Z246" s="316"/>
    </row>
    <row r="247" spans="1:26">
      <c r="A247" s="184">
        <v>241</v>
      </c>
      <c r="B247" s="1">
        <v>39496</v>
      </c>
      <c r="D247" s="2">
        <v>36144</v>
      </c>
      <c r="E247" s="2">
        <v>36144</v>
      </c>
      <c r="F247" s="2">
        <f t="shared" ref="F247:F252" si="82">E247-E246</f>
        <v>527</v>
      </c>
      <c r="G247" s="188">
        <f t="shared" si="79"/>
        <v>1.4796305135188259E-2</v>
      </c>
      <c r="H247" s="2">
        <f t="shared" si="80"/>
        <v>13288.150000000001</v>
      </c>
      <c r="I247" s="188">
        <f t="shared" si="81"/>
        <v>0.58138944734061537</v>
      </c>
      <c r="L247" s="287">
        <v>1350</v>
      </c>
      <c r="M247" s="188">
        <f t="shared" si="74"/>
        <v>1.427498121712989E-2</v>
      </c>
      <c r="N247" s="188">
        <f t="shared" si="63"/>
        <v>0.45148804403922238</v>
      </c>
      <c r="O247" s="305" t="str">
        <f t="shared" si="64"/>
        <v>Yes</v>
      </c>
      <c r="P247" s="304">
        <f t="shared" si="67"/>
        <v>1</v>
      </c>
      <c r="S247" s="287"/>
      <c r="V247" s="305"/>
      <c r="W247" s="304">
        <f t="shared" si="68"/>
        <v>0</v>
      </c>
      <c r="Z247" s="316"/>
    </row>
    <row r="248" spans="1:26">
      <c r="A248" s="184">
        <v>242</v>
      </c>
      <c r="B248" s="1">
        <f t="shared" si="73"/>
        <v>39503</v>
      </c>
      <c r="D248" s="2">
        <v>36808</v>
      </c>
      <c r="E248" s="2">
        <v>36808</v>
      </c>
      <c r="F248" s="2">
        <f t="shared" si="82"/>
        <v>664</v>
      </c>
      <c r="G248" s="188">
        <f t="shared" si="79"/>
        <v>1.8370960602036357E-2</v>
      </c>
      <c r="H248" s="2">
        <f t="shared" si="80"/>
        <v>13952.150000000001</v>
      </c>
      <c r="I248" s="188">
        <f t="shared" si="81"/>
        <v>0.61044109057418572</v>
      </c>
      <c r="L248" s="287">
        <v>1372</v>
      </c>
      <c r="M248" s="188">
        <f t="shared" si="74"/>
        <v>1.6296296296296253E-2</v>
      </c>
      <c r="N248" s="188">
        <f t="shared" si="63"/>
        <v>0.47514192327541704</v>
      </c>
      <c r="O248" s="305" t="str">
        <f t="shared" si="64"/>
        <v>Yes</v>
      </c>
      <c r="P248" s="304">
        <f t="shared" si="67"/>
        <v>1</v>
      </c>
      <c r="S248" s="287"/>
      <c r="V248" s="305"/>
      <c r="W248" s="304">
        <f t="shared" si="68"/>
        <v>0</v>
      </c>
      <c r="Z248" s="316"/>
    </row>
    <row r="249" spans="1:26">
      <c r="A249" s="184">
        <v>243</v>
      </c>
      <c r="B249" s="1">
        <f t="shared" si="73"/>
        <v>39510</v>
      </c>
      <c r="D249" s="2">
        <v>34347</v>
      </c>
      <c r="E249" s="2">
        <v>34347</v>
      </c>
      <c r="F249" s="2">
        <f t="shared" si="82"/>
        <v>-2461</v>
      </c>
      <c r="G249" s="188">
        <f t="shared" si="79"/>
        <v>-6.6860465116279078E-2</v>
      </c>
      <c r="H249" s="2">
        <f t="shared" si="80"/>
        <v>11491.150000000001</v>
      </c>
      <c r="I249" s="188">
        <f t="shared" si="81"/>
        <v>0.50276625021602794</v>
      </c>
      <c r="L249" s="287">
        <v>1273</v>
      </c>
      <c r="M249" s="188">
        <f t="shared" si="74"/>
        <v>-7.2157434402332354E-2</v>
      </c>
      <c r="N249" s="188">
        <f t="shared" si="63"/>
        <v>0.36869946671254072</v>
      </c>
      <c r="O249" s="305" t="str">
        <f t="shared" si="64"/>
        <v>Yes</v>
      </c>
      <c r="P249" s="304">
        <f t="shared" si="67"/>
        <v>1</v>
      </c>
      <c r="S249" s="287"/>
      <c r="V249" s="305"/>
      <c r="W249" s="304">
        <f t="shared" si="68"/>
        <v>0</v>
      </c>
      <c r="Z249" s="316"/>
    </row>
    <row r="250" spans="1:26">
      <c r="A250" s="184">
        <v>244</v>
      </c>
      <c r="B250" s="1">
        <f t="shared" si="73"/>
        <v>39517</v>
      </c>
      <c r="D250" s="2">
        <v>34818</v>
      </c>
      <c r="E250" s="2">
        <v>34818</v>
      </c>
      <c r="F250" s="2">
        <f t="shared" si="82"/>
        <v>471</v>
      </c>
      <c r="G250" s="188">
        <f t="shared" si="79"/>
        <v>1.3712988033889317E-2</v>
      </c>
      <c r="H250" s="2">
        <f t="shared" si="80"/>
        <v>11962.150000000001</v>
      </c>
      <c r="I250" s="188">
        <f t="shared" si="81"/>
        <v>0.52337366582297329</v>
      </c>
      <c r="L250" s="287">
        <v>1277</v>
      </c>
      <c r="M250" s="188">
        <f t="shared" si="74"/>
        <v>3.1421838177534411E-3</v>
      </c>
      <c r="N250" s="188">
        <f t="shared" si="63"/>
        <v>0.37300017202821256</v>
      </c>
      <c r="O250" s="305" t="str">
        <f t="shared" si="64"/>
        <v>Yes</v>
      </c>
      <c r="P250" s="304">
        <f t="shared" si="67"/>
        <v>1</v>
      </c>
      <c r="S250" s="287"/>
      <c r="V250" s="305"/>
      <c r="W250" s="304">
        <f t="shared" si="68"/>
        <v>0</v>
      </c>
      <c r="Z250" s="316"/>
    </row>
    <row r="251" spans="1:26">
      <c r="A251" s="184">
        <v>245</v>
      </c>
      <c r="B251" s="1">
        <v>39531</v>
      </c>
      <c r="D251" s="2">
        <v>36465</v>
      </c>
      <c r="E251" s="2">
        <v>36465</v>
      </c>
      <c r="F251" s="2">
        <f t="shared" si="82"/>
        <v>1647</v>
      </c>
      <c r="G251" s="188">
        <f t="shared" ref="G251:G256" si="83">(E251/E250)-1</f>
        <v>4.7303119076339772E-2</v>
      </c>
      <c r="H251" s="2">
        <f t="shared" ref="H251:H257" si="84">E251-$D$3</f>
        <v>13609.150000000001</v>
      </c>
      <c r="I251" s="188">
        <f t="shared" ref="I251:I257" si="85">(E251/$D$3)-1</f>
        <v>0.59543399173515765</v>
      </c>
      <c r="L251" s="287">
        <v>1350</v>
      </c>
      <c r="M251" s="188">
        <f t="shared" si="74"/>
        <v>5.7165231010180007E-2</v>
      </c>
      <c r="N251" s="188">
        <f t="shared" si="63"/>
        <v>0.45148804403922238</v>
      </c>
      <c r="O251" s="305" t="str">
        <f t="shared" si="64"/>
        <v>No</v>
      </c>
      <c r="P251" s="304">
        <f t="shared" si="67"/>
        <v>0</v>
      </c>
      <c r="S251" s="287"/>
      <c r="V251" s="305"/>
      <c r="W251" s="304">
        <f t="shared" si="68"/>
        <v>0</v>
      </c>
      <c r="Z251" s="316"/>
    </row>
    <row r="252" spans="1:26">
      <c r="A252" s="184">
        <v>246</v>
      </c>
      <c r="B252" s="1">
        <f t="shared" si="73"/>
        <v>39538</v>
      </c>
      <c r="D252" s="2">
        <v>35855</v>
      </c>
      <c r="E252" s="2">
        <v>35855</v>
      </c>
      <c r="F252" s="2">
        <f t="shared" si="82"/>
        <v>-610</v>
      </c>
      <c r="G252" s="188">
        <f t="shared" si="83"/>
        <v>-1.6728369669546161E-2</v>
      </c>
      <c r="H252" s="2">
        <f t="shared" si="84"/>
        <v>12999.150000000001</v>
      </c>
      <c r="I252" s="188">
        <f t="shared" si="85"/>
        <v>0.56874498213805236</v>
      </c>
      <c r="L252" s="287">
        <v>1323</v>
      </c>
      <c r="M252" s="188">
        <f t="shared" si="74"/>
        <v>-2.0000000000000018E-2</v>
      </c>
      <c r="N252" s="188">
        <f t="shared" si="63"/>
        <v>0.42245828315843803</v>
      </c>
      <c r="O252" s="305" t="str">
        <f t="shared" si="64"/>
        <v>Yes</v>
      </c>
      <c r="P252" s="304">
        <f t="shared" si="67"/>
        <v>1</v>
      </c>
      <c r="S252" s="287"/>
      <c r="V252" s="305"/>
      <c r="W252" s="304">
        <f t="shared" si="68"/>
        <v>0</v>
      </c>
      <c r="Z252" s="316"/>
    </row>
    <row r="253" spans="1:26">
      <c r="A253" s="184">
        <v>247</v>
      </c>
      <c r="B253" s="1">
        <v>39549</v>
      </c>
      <c r="D253" s="2">
        <v>36287</v>
      </c>
      <c r="E253" s="2">
        <v>36287</v>
      </c>
      <c r="F253" s="2">
        <f t="shared" ref="F253:F259" si="86">E253-E252</f>
        <v>432</v>
      </c>
      <c r="G253" s="188">
        <f t="shared" si="83"/>
        <v>1.2048528796541724E-2</v>
      </c>
      <c r="H253" s="2">
        <f t="shared" si="84"/>
        <v>13431.150000000001</v>
      </c>
      <c r="I253" s="188">
        <f t="shared" si="85"/>
        <v>0.58764605122977276</v>
      </c>
      <c r="L253" s="287">
        <v>1333</v>
      </c>
      <c r="M253" s="188">
        <f t="shared" si="74"/>
        <v>7.5585789871503994E-3</v>
      </c>
      <c r="N253" s="188">
        <f t="shared" si="63"/>
        <v>0.4332100464476174</v>
      </c>
      <c r="O253" s="305" t="str">
        <f t="shared" si="64"/>
        <v>Yes</v>
      </c>
      <c r="P253" s="304">
        <f t="shared" si="67"/>
        <v>1</v>
      </c>
      <c r="S253" s="287"/>
      <c r="V253" s="305"/>
      <c r="W253" s="304">
        <f t="shared" si="68"/>
        <v>0</v>
      </c>
      <c r="Z253" s="316"/>
    </row>
    <row r="254" spans="1:26">
      <c r="A254" s="185">
        <f>A253+1</f>
        <v>248</v>
      </c>
      <c r="B254" s="1">
        <f t="shared" si="73"/>
        <v>39556</v>
      </c>
      <c r="D254" s="2">
        <v>37282</v>
      </c>
      <c r="E254" s="2">
        <v>37282</v>
      </c>
      <c r="F254" s="2">
        <f t="shared" si="86"/>
        <v>995</v>
      </c>
      <c r="G254" s="188">
        <f t="shared" si="83"/>
        <v>2.7420288257502756E-2</v>
      </c>
      <c r="H254" s="2">
        <f t="shared" si="84"/>
        <v>14426.150000000001</v>
      </c>
      <c r="I254" s="188">
        <f t="shared" si="85"/>
        <v>0.63117976360537908</v>
      </c>
      <c r="L254" s="287">
        <v>1390</v>
      </c>
      <c r="M254" s="188">
        <f t="shared" si="74"/>
        <v>4.2760690172543026E-2</v>
      </c>
      <c r="N254" s="188">
        <f t="shared" si="63"/>
        <v>0.49449509719594009</v>
      </c>
      <c r="O254" s="305" t="str">
        <f t="shared" si="64"/>
        <v>No</v>
      </c>
      <c r="P254" s="304">
        <f t="shared" si="67"/>
        <v>0</v>
      </c>
      <c r="S254" s="287"/>
      <c r="V254" s="305"/>
      <c r="W254" s="304">
        <f t="shared" si="68"/>
        <v>0</v>
      </c>
      <c r="Z254" s="316"/>
    </row>
    <row r="255" spans="1:26">
      <c r="A255" s="184">
        <v>248</v>
      </c>
      <c r="B255" s="1">
        <v>39571</v>
      </c>
      <c r="D255" s="2">
        <v>38672</v>
      </c>
      <c r="E255" s="2">
        <v>38672</v>
      </c>
      <c r="F255" s="2">
        <f t="shared" si="86"/>
        <v>1390</v>
      </c>
      <c r="G255" s="188">
        <f t="shared" si="83"/>
        <v>3.7283407542513913E-2</v>
      </c>
      <c r="H255" s="2">
        <f t="shared" si="84"/>
        <v>15816.150000000001</v>
      </c>
      <c r="I255" s="188">
        <f t="shared" si="85"/>
        <v>0.6919957035069797</v>
      </c>
      <c r="L255" s="287">
        <v>1414</v>
      </c>
      <c r="M255" s="188">
        <f t="shared" si="74"/>
        <v>1.7266187050359649E-2</v>
      </c>
      <c r="N255" s="188">
        <f t="shared" si="63"/>
        <v>0.52029932908997067</v>
      </c>
      <c r="O255" s="305" t="str">
        <f t="shared" si="64"/>
        <v>Yes</v>
      </c>
      <c r="P255" s="304">
        <f t="shared" si="67"/>
        <v>1</v>
      </c>
      <c r="S255" s="287"/>
      <c r="V255" s="305"/>
      <c r="W255" s="304">
        <f t="shared" si="68"/>
        <v>0</v>
      </c>
      <c r="Z255" s="316"/>
    </row>
    <row r="256" spans="1:26">
      <c r="A256" s="184">
        <v>249</v>
      </c>
      <c r="B256" s="1">
        <v>39585</v>
      </c>
      <c r="D256" s="2">
        <v>38529</v>
      </c>
      <c r="E256" s="2">
        <v>38529</v>
      </c>
      <c r="F256" s="2">
        <f t="shared" si="86"/>
        <v>-143</v>
      </c>
      <c r="G256" s="188">
        <f t="shared" si="83"/>
        <v>-3.6977658254033763E-3</v>
      </c>
      <c r="H256" s="2">
        <f t="shared" si="84"/>
        <v>15673.150000000001</v>
      </c>
      <c r="I256" s="188">
        <f t="shared" si="85"/>
        <v>0.68573909961782231</v>
      </c>
      <c r="L256" s="287">
        <v>1425</v>
      </c>
      <c r="M256" s="188">
        <f t="shared" si="74"/>
        <v>7.7793493635078814E-3</v>
      </c>
      <c r="N256" s="188">
        <f t="shared" si="63"/>
        <v>0.53212626870806812</v>
      </c>
      <c r="O256" s="305" t="str">
        <f t="shared" si="64"/>
        <v>No</v>
      </c>
      <c r="P256" s="304">
        <f t="shared" si="67"/>
        <v>0</v>
      </c>
      <c r="S256" s="287"/>
      <c r="V256" s="305"/>
      <c r="W256" s="304">
        <f t="shared" si="68"/>
        <v>0</v>
      </c>
      <c r="Z256" s="316"/>
    </row>
    <row r="257" spans="1:26">
      <c r="A257" s="184">
        <v>250</v>
      </c>
      <c r="B257" s="1">
        <f t="shared" si="73"/>
        <v>39592</v>
      </c>
      <c r="D257" s="2">
        <v>37819</v>
      </c>
      <c r="E257" s="2">
        <v>37819</v>
      </c>
      <c r="F257" s="2">
        <f t="shared" si="86"/>
        <v>-710</v>
      </c>
      <c r="G257" s="188">
        <f>(E257/E256)-1</f>
        <v>-1.8427677853045776E-2</v>
      </c>
      <c r="H257" s="2">
        <f t="shared" si="84"/>
        <v>14963.150000000001</v>
      </c>
      <c r="I257" s="188">
        <f t="shared" si="85"/>
        <v>0.65467484254578157</v>
      </c>
      <c r="L257" s="287">
        <v>1376</v>
      </c>
      <c r="M257" s="188">
        <f t="shared" si="74"/>
        <v>-3.4385964912280742E-2</v>
      </c>
      <c r="N257" s="188">
        <f t="shared" si="63"/>
        <v>0.47944262859108888</v>
      </c>
      <c r="O257" s="305" t="str">
        <f t="shared" si="64"/>
        <v>Yes</v>
      </c>
      <c r="P257" s="304">
        <f t="shared" si="67"/>
        <v>1</v>
      </c>
      <c r="S257" s="287"/>
      <c r="V257" s="305"/>
      <c r="W257" s="304">
        <f t="shared" si="68"/>
        <v>0</v>
      </c>
      <c r="Z257" s="316"/>
    </row>
    <row r="258" spans="1:26">
      <c r="A258" s="184">
        <v>251</v>
      </c>
      <c r="B258" s="1">
        <f t="shared" si="73"/>
        <v>39599</v>
      </c>
      <c r="D258" s="2">
        <v>38670</v>
      </c>
      <c r="E258" s="2">
        <v>38670</v>
      </c>
      <c r="F258" s="2">
        <f t="shared" si="86"/>
        <v>851</v>
      </c>
      <c r="G258" s="188">
        <f>(E258/E257)-1</f>
        <v>2.2501917025833595E-2</v>
      </c>
      <c r="H258" s="2">
        <f>E258-$D$3</f>
        <v>15814.150000000001</v>
      </c>
      <c r="I258" s="188">
        <f>(E258/$D$3)-1</f>
        <v>0.69190819855748109</v>
      </c>
      <c r="L258" s="287">
        <v>1400</v>
      </c>
      <c r="M258" s="188">
        <f t="shared" si="74"/>
        <v>1.744186046511631E-2</v>
      </c>
      <c r="N258" s="188">
        <f t="shared" si="63"/>
        <v>0.50524686048511946</v>
      </c>
      <c r="O258" s="305" t="str">
        <f t="shared" si="64"/>
        <v>Yes</v>
      </c>
      <c r="P258" s="304">
        <f t="shared" si="67"/>
        <v>1</v>
      </c>
      <c r="S258" s="287"/>
      <c r="V258" s="305"/>
      <c r="W258" s="304">
        <f t="shared" si="68"/>
        <v>0</v>
      </c>
      <c r="Z258" s="316"/>
    </row>
    <row r="259" spans="1:26">
      <c r="A259" s="184">
        <v>252</v>
      </c>
      <c r="B259" s="1">
        <f t="shared" si="73"/>
        <v>39606</v>
      </c>
      <c r="D259" s="2">
        <v>37675</v>
      </c>
      <c r="E259" s="2">
        <v>37675</v>
      </c>
      <c r="F259" s="2">
        <f t="shared" si="86"/>
        <v>-995</v>
      </c>
      <c r="G259" s="188">
        <f>(E259/E258)-1</f>
        <v>-2.5730540470649044E-2</v>
      </c>
      <c r="H259" s="2">
        <f>E259-$D$3</f>
        <v>14819.150000000001</v>
      </c>
      <c r="I259" s="188">
        <f>(E259/$D$3)-1</f>
        <v>0.64837448618187477</v>
      </c>
      <c r="L259" s="287">
        <v>1360</v>
      </c>
      <c r="M259" s="188">
        <f t="shared" si="74"/>
        <v>-2.8571428571428581E-2</v>
      </c>
      <c r="N259" s="188">
        <f t="shared" si="63"/>
        <v>0.46223980732840175</v>
      </c>
      <c r="O259" s="305" t="str">
        <f t="shared" si="64"/>
        <v>Yes</v>
      </c>
      <c r="P259" s="304">
        <f t="shared" si="67"/>
        <v>1</v>
      </c>
      <c r="S259" s="287"/>
      <c r="V259" s="305"/>
      <c r="W259" s="304">
        <f t="shared" si="68"/>
        <v>0</v>
      </c>
      <c r="Z259" s="316"/>
    </row>
    <row r="260" spans="1:26">
      <c r="A260" s="184">
        <v>253</v>
      </c>
      <c r="B260" s="1">
        <v>39620</v>
      </c>
      <c r="D260" s="2">
        <v>36796</v>
      </c>
      <c r="E260" s="2">
        <v>36796</v>
      </c>
      <c r="F260" s="2">
        <f>E260-E259</f>
        <v>-879</v>
      </c>
      <c r="G260" s="188">
        <f>(E260/E259)-1</f>
        <v>-2.3331121433311175E-2</v>
      </c>
      <c r="H260" s="2">
        <f>E260-$D$3</f>
        <v>13940.150000000001</v>
      </c>
      <c r="I260" s="188">
        <f>(E260/$D$3)-1</f>
        <v>0.60991606087719341</v>
      </c>
      <c r="L260" s="287">
        <v>1318</v>
      </c>
      <c r="M260" s="188">
        <f t="shared" si="74"/>
        <v>-3.0882352941176472E-2</v>
      </c>
      <c r="N260" s="188">
        <f t="shared" ref="N260:N323" si="87">(L260/$L$3)-1</f>
        <v>0.41708240151384812</v>
      </c>
      <c r="O260" s="305" t="str">
        <f t="shared" ref="O260:O323" si="88">IF(G260&gt;M260,"Yes","No")</f>
        <v>Yes</v>
      </c>
      <c r="P260" s="304">
        <f t="shared" si="67"/>
        <v>1</v>
      </c>
      <c r="S260" s="287"/>
      <c r="V260" s="305"/>
      <c r="W260" s="304">
        <f t="shared" si="68"/>
        <v>0</v>
      </c>
      <c r="Z260" s="316"/>
    </row>
    <row r="261" spans="1:26">
      <c r="A261" s="184">
        <v>254</v>
      </c>
      <c r="B261" s="1">
        <v>39639</v>
      </c>
      <c r="D261" s="2">
        <v>35862</v>
      </c>
      <c r="E261" s="2">
        <v>35862</v>
      </c>
      <c r="F261" s="2">
        <f>E261-E260</f>
        <v>-934</v>
      </c>
      <c r="G261" s="188">
        <f>(E261/E260)-1</f>
        <v>-2.5383193825415762E-2</v>
      </c>
      <c r="H261" s="2">
        <f>E261-$D$3</f>
        <v>13006.150000000001</v>
      </c>
      <c r="I261" s="188">
        <f>(E261/$D$3)-1</f>
        <v>0.56905124946129781</v>
      </c>
      <c r="L261" s="287">
        <v>1239</v>
      </c>
      <c r="M261" s="188">
        <f t="shared" si="74"/>
        <v>-5.9939301972685932E-2</v>
      </c>
      <c r="N261" s="188">
        <f t="shared" si="87"/>
        <v>0.33214347152933077</v>
      </c>
      <c r="O261" s="305" t="str">
        <f t="shared" si="88"/>
        <v>Yes</v>
      </c>
      <c r="P261" s="304">
        <f t="shared" si="67"/>
        <v>1</v>
      </c>
      <c r="S261" s="287"/>
      <c r="V261" s="305"/>
      <c r="W261" s="304">
        <f t="shared" si="68"/>
        <v>0</v>
      </c>
      <c r="Z261" s="316"/>
    </row>
    <row r="262" spans="1:26">
      <c r="A262" s="184">
        <v>255</v>
      </c>
      <c r="B262" s="1">
        <f t="shared" si="73"/>
        <v>39646</v>
      </c>
      <c r="D262" s="2">
        <v>36001.449999999997</v>
      </c>
      <c r="E262" s="2">
        <v>36001.449999999997</v>
      </c>
      <c r="F262" s="2">
        <f t="shared" ref="F262:F289" si="89">E262-E261</f>
        <v>139.44999999999709</v>
      </c>
      <c r="G262" s="188">
        <f t="shared" ref="G262:G323" si="90">(E262/E261)-1</f>
        <v>3.8885170933020685E-3</v>
      </c>
      <c r="H262" s="2">
        <f t="shared" ref="H262:H282" si="91">E262-$D$3</f>
        <v>13145.599999999999</v>
      </c>
      <c r="I262" s="188">
        <f t="shared" ref="I262:I323" si="92">(E262/$D$3)-1</f>
        <v>0.57515253206509498</v>
      </c>
      <c r="L262" s="287">
        <v>1260.32</v>
      </c>
      <c r="M262" s="188">
        <f t="shared" si="74"/>
        <v>1.7207425343018556E-2</v>
      </c>
      <c r="N262" s="188">
        <f t="shared" si="87"/>
        <v>0.35506623086186129</v>
      </c>
      <c r="O262" s="305" t="str">
        <f t="shared" si="88"/>
        <v>No</v>
      </c>
      <c r="P262" s="304">
        <f t="shared" ref="P262:P325" si="93">IF(O262="Yes",1,0)</f>
        <v>0</v>
      </c>
      <c r="S262" s="287"/>
      <c r="V262" s="305"/>
      <c r="W262" s="304">
        <f t="shared" ref="W262:W325" si="94">IF(V262="Yes",1,0)</f>
        <v>0</v>
      </c>
      <c r="Z262" s="316"/>
    </row>
    <row r="263" spans="1:26">
      <c r="A263" s="184">
        <v>256</v>
      </c>
      <c r="B263" s="1">
        <f t="shared" si="73"/>
        <v>39653</v>
      </c>
      <c r="D263" s="2">
        <v>36045.230000000003</v>
      </c>
      <c r="E263" s="2">
        <v>36045.230000000003</v>
      </c>
      <c r="F263" s="2">
        <f t="shared" si="89"/>
        <v>43.780000000006112</v>
      </c>
      <c r="G263" s="188">
        <f t="shared" si="90"/>
        <v>1.2160621308310304E-3</v>
      </c>
      <c r="H263" s="2">
        <f t="shared" si="91"/>
        <v>13189.380000000005</v>
      </c>
      <c r="I263" s="188">
        <f t="shared" si="92"/>
        <v>0.57706801540962194</v>
      </c>
      <c r="L263" s="287">
        <v>1252.54</v>
      </c>
      <c r="M263" s="188">
        <f t="shared" si="74"/>
        <v>-6.1730354195759229E-3</v>
      </c>
      <c r="N263" s="188">
        <f t="shared" si="87"/>
        <v>0.34670135902287957</v>
      </c>
      <c r="O263" s="305" t="str">
        <f t="shared" si="88"/>
        <v>Yes</v>
      </c>
      <c r="P263" s="304">
        <f t="shared" si="93"/>
        <v>1</v>
      </c>
      <c r="S263" s="287"/>
      <c r="V263" s="305"/>
      <c r="W263" s="304">
        <f t="shared" si="94"/>
        <v>0</v>
      </c>
      <c r="Z263" s="316"/>
    </row>
    <row r="264" spans="1:26">
      <c r="A264" s="184">
        <v>257</v>
      </c>
      <c r="B264" s="1">
        <f t="shared" si="73"/>
        <v>39660</v>
      </c>
      <c r="D264" s="2">
        <v>37261.08</v>
      </c>
      <c r="E264" s="2">
        <v>37261.08</v>
      </c>
      <c r="F264" s="2">
        <f t="shared" si="89"/>
        <v>1215.8499999999985</v>
      </c>
      <c r="G264" s="188">
        <f t="shared" si="90"/>
        <v>3.3731231566562325E-2</v>
      </c>
      <c r="H264" s="2">
        <f t="shared" si="91"/>
        <v>14405.230000000003</v>
      </c>
      <c r="I264" s="188">
        <f t="shared" si="92"/>
        <v>0.63026446183362261</v>
      </c>
      <c r="L264" s="287">
        <v>1267.3800000000001</v>
      </c>
      <c r="M264" s="188">
        <f t="shared" si="74"/>
        <v>1.1847925016366778E-2</v>
      </c>
      <c r="N264" s="188">
        <f t="shared" si="87"/>
        <v>0.36265697574402211</v>
      </c>
      <c r="O264" s="305" t="str">
        <f t="shared" si="88"/>
        <v>Yes</v>
      </c>
      <c r="P264" s="304">
        <f t="shared" si="93"/>
        <v>1</v>
      </c>
      <c r="S264" s="287"/>
      <c r="V264" s="305"/>
      <c r="W264" s="304">
        <f t="shared" si="94"/>
        <v>0</v>
      </c>
      <c r="Z264" s="316"/>
    </row>
    <row r="265" spans="1:26">
      <c r="A265" s="184">
        <v>258</v>
      </c>
      <c r="B265" s="1">
        <f t="shared" si="73"/>
        <v>39667</v>
      </c>
      <c r="D265" s="2">
        <v>37004.269999999997</v>
      </c>
      <c r="E265" s="2">
        <v>37004.269999999997</v>
      </c>
      <c r="F265" s="2">
        <f t="shared" si="89"/>
        <v>-256.81000000000495</v>
      </c>
      <c r="G265" s="188">
        <f t="shared" si="90"/>
        <v>-6.8921781118530534E-3</v>
      </c>
      <c r="H265" s="2">
        <f t="shared" si="91"/>
        <v>14148.419999999998</v>
      </c>
      <c r="I265" s="188">
        <f t="shared" si="92"/>
        <v>0.61902838879324107</v>
      </c>
      <c r="L265" s="287">
        <v>1266.07</v>
      </c>
      <c r="M265" s="188">
        <f t="shared" si="74"/>
        <v>-1.033628430305189E-3</v>
      </c>
      <c r="N265" s="188">
        <f t="shared" si="87"/>
        <v>0.36124849475313936</v>
      </c>
      <c r="O265" s="305" t="str">
        <f t="shared" si="88"/>
        <v>No</v>
      </c>
      <c r="P265" s="304">
        <f t="shared" si="93"/>
        <v>0</v>
      </c>
      <c r="S265" s="287"/>
      <c r="V265" s="305"/>
      <c r="W265" s="304">
        <f t="shared" si="94"/>
        <v>0</v>
      </c>
      <c r="Z265" s="316"/>
    </row>
    <row r="266" spans="1:26">
      <c r="A266" s="184">
        <v>259</v>
      </c>
      <c r="B266" s="1">
        <f t="shared" si="73"/>
        <v>39674</v>
      </c>
      <c r="D266" s="2">
        <v>36843.94</v>
      </c>
      <c r="E266" s="2">
        <v>36843.94</v>
      </c>
      <c r="F266" s="2">
        <f t="shared" si="89"/>
        <v>-160.32999999999447</v>
      </c>
      <c r="G266" s="188">
        <f t="shared" si="90"/>
        <v>-4.3327432212550976E-3</v>
      </c>
      <c r="H266" s="2">
        <f t="shared" si="91"/>
        <v>13988.090000000004</v>
      </c>
      <c r="I266" s="188">
        <f t="shared" si="92"/>
        <v>0.6120135545166776</v>
      </c>
      <c r="L266" s="287">
        <v>1292.93</v>
      </c>
      <c r="M266" s="188">
        <f t="shared" si="74"/>
        <v>2.1215256660374271E-2</v>
      </c>
      <c r="N266" s="188">
        <f t="shared" si="87"/>
        <v>0.39012773094787545</v>
      </c>
      <c r="O266" s="305" t="str">
        <f t="shared" si="88"/>
        <v>No</v>
      </c>
      <c r="P266" s="304">
        <f t="shared" si="93"/>
        <v>0</v>
      </c>
      <c r="S266" s="287"/>
      <c r="V266" s="305"/>
      <c r="W266" s="304">
        <f t="shared" si="94"/>
        <v>0</v>
      </c>
      <c r="Z266" s="316"/>
    </row>
    <row r="267" spans="1:26">
      <c r="A267" s="185">
        <f>A266+1</f>
        <v>260</v>
      </c>
      <c r="B267" s="1">
        <f t="shared" ref="B267:B330" si="95">B266+7</f>
        <v>39681</v>
      </c>
      <c r="D267" s="2">
        <v>36990.07</v>
      </c>
      <c r="E267" s="2">
        <v>36990.07</v>
      </c>
      <c r="F267" s="2">
        <f t="shared" si="89"/>
        <v>146.12999999999738</v>
      </c>
      <c r="G267" s="188">
        <f t="shared" si="90"/>
        <v>3.9661881981134517E-3</v>
      </c>
      <c r="H267" s="2">
        <f t="shared" si="91"/>
        <v>14134.220000000001</v>
      </c>
      <c r="I267" s="188">
        <f t="shared" si="92"/>
        <v>0.6184071036518004</v>
      </c>
      <c r="L267" s="287">
        <v>1292.2</v>
      </c>
      <c r="M267" s="188">
        <f t="shared" ref="M267:M323" si="96">(L267/L266)-1</f>
        <v>-5.6460906622946005E-4</v>
      </c>
      <c r="N267" s="188">
        <f t="shared" si="87"/>
        <v>0.38934285222776532</v>
      </c>
      <c r="O267" s="305" t="str">
        <f t="shared" si="88"/>
        <v>Yes</v>
      </c>
      <c r="P267" s="304">
        <f t="shared" si="93"/>
        <v>1</v>
      </c>
      <c r="S267" s="287"/>
      <c r="V267" s="305"/>
      <c r="W267" s="304">
        <f t="shared" si="94"/>
        <v>0</v>
      </c>
      <c r="Z267" s="316"/>
    </row>
    <row r="268" spans="1:26">
      <c r="A268" s="184">
        <v>260</v>
      </c>
      <c r="B268" s="1">
        <f t="shared" si="95"/>
        <v>39688</v>
      </c>
      <c r="D268" s="2">
        <v>36245.360000000001</v>
      </c>
      <c r="E268" s="2">
        <v>36245.360000000001</v>
      </c>
      <c r="F268" s="2">
        <f t="shared" si="89"/>
        <v>-744.70999999999913</v>
      </c>
      <c r="G268" s="188">
        <f t="shared" si="90"/>
        <v>-2.0132700478804111E-2</v>
      </c>
      <c r="H268" s="2">
        <f t="shared" si="91"/>
        <v>13389.510000000002</v>
      </c>
      <c r="I268" s="188">
        <f t="shared" si="92"/>
        <v>0.58582419818120979</v>
      </c>
      <c r="L268" s="287">
        <v>1282.83</v>
      </c>
      <c r="M268" s="188">
        <f t="shared" si="96"/>
        <v>-7.2511995047207511E-3</v>
      </c>
      <c r="N268" s="188">
        <f t="shared" si="87"/>
        <v>0.37926845002580412</v>
      </c>
      <c r="O268" s="305" t="str">
        <f t="shared" si="88"/>
        <v>No</v>
      </c>
      <c r="P268" s="304">
        <f t="shared" si="93"/>
        <v>0</v>
      </c>
      <c r="S268" s="287"/>
      <c r="V268" s="305"/>
      <c r="W268" s="304">
        <f t="shared" si="94"/>
        <v>0</v>
      </c>
      <c r="Z268" s="316"/>
    </row>
    <row r="269" spans="1:26">
      <c r="A269" s="184">
        <v>261</v>
      </c>
      <c r="B269" s="1">
        <f t="shared" si="95"/>
        <v>39695</v>
      </c>
      <c r="D269" s="2">
        <v>35105.050000000003</v>
      </c>
      <c r="E269" s="2">
        <v>35105.050000000003</v>
      </c>
      <c r="F269" s="2">
        <f t="shared" si="89"/>
        <v>-1140.3099999999977</v>
      </c>
      <c r="G269" s="188">
        <f t="shared" si="90"/>
        <v>-3.1460854575592556E-2</v>
      </c>
      <c r="H269" s="2">
        <f t="shared" si="91"/>
        <v>12249.200000000004</v>
      </c>
      <c r="I269" s="188">
        <f t="shared" si="92"/>
        <v>0.53593281369977519</v>
      </c>
      <c r="L269" s="287">
        <v>1242.31</v>
      </c>
      <c r="M269" s="188">
        <f t="shared" si="96"/>
        <v>-3.1586414411886254E-2</v>
      </c>
      <c r="N269" s="188">
        <f t="shared" si="87"/>
        <v>0.335702305178049</v>
      </c>
      <c r="O269" s="305" t="str">
        <f t="shared" si="88"/>
        <v>Yes</v>
      </c>
      <c r="P269" s="304">
        <f t="shared" si="93"/>
        <v>1</v>
      </c>
      <c r="S269" s="287"/>
      <c r="V269" s="305"/>
      <c r="W269" s="304">
        <f t="shared" si="94"/>
        <v>0</v>
      </c>
      <c r="Z269" s="316"/>
    </row>
    <row r="270" spans="1:26">
      <c r="A270" s="184">
        <v>262</v>
      </c>
      <c r="B270" s="1">
        <f t="shared" si="95"/>
        <v>39702</v>
      </c>
      <c r="D270" s="2">
        <v>35100.04</v>
      </c>
      <c r="E270" s="2">
        <v>35100.04</v>
      </c>
      <c r="F270" s="2">
        <f t="shared" si="89"/>
        <v>-5.0100000000020373</v>
      </c>
      <c r="G270" s="188">
        <f t="shared" si="90"/>
        <v>-1.4271450973579736E-4</v>
      </c>
      <c r="H270" s="2">
        <f t="shared" si="91"/>
        <v>12244.190000000002</v>
      </c>
      <c r="I270" s="188">
        <f t="shared" si="92"/>
        <v>0.5357136138012808</v>
      </c>
      <c r="L270" s="287">
        <v>1251.7</v>
      </c>
      <c r="M270" s="188">
        <f t="shared" si="96"/>
        <v>7.5584998913316159E-3</v>
      </c>
      <c r="N270" s="188">
        <f t="shared" si="87"/>
        <v>0.34579821090658869</v>
      </c>
      <c r="O270" s="305" t="str">
        <f t="shared" si="88"/>
        <v>No</v>
      </c>
      <c r="P270" s="304">
        <f t="shared" si="93"/>
        <v>0</v>
      </c>
      <c r="S270" s="287"/>
      <c r="V270" s="305"/>
      <c r="W270" s="304">
        <f t="shared" si="94"/>
        <v>0</v>
      </c>
      <c r="Z270" s="316"/>
    </row>
    <row r="271" spans="1:26">
      <c r="A271" s="184">
        <v>263</v>
      </c>
      <c r="B271" s="1">
        <f t="shared" si="95"/>
        <v>39709</v>
      </c>
      <c r="D271" s="2">
        <v>34052.67</v>
      </c>
      <c r="E271" s="2">
        <v>34052.67</v>
      </c>
      <c r="F271" s="2">
        <f t="shared" si="89"/>
        <v>-1047.3700000000026</v>
      </c>
      <c r="G271" s="188">
        <f t="shared" si="90"/>
        <v>-2.9839567134396505E-2</v>
      </c>
      <c r="H271" s="2">
        <f t="shared" si="91"/>
        <v>11196.82</v>
      </c>
      <c r="I271" s="188">
        <f t="shared" si="92"/>
        <v>0.48988858432305071</v>
      </c>
      <c r="L271" s="287">
        <v>1255.08</v>
      </c>
      <c r="M271" s="188">
        <f t="shared" si="96"/>
        <v>2.70032755452565E-3</v>
      </c>
      <c r="N271" s="188">
        <f t="shared" si="87"/>
        <v>0.34943230689833116</v>
      </c>
      <c r="O271" s="305" t="str">
        <f t="shared" si="88"/>
        <v>No</v>
      </c>
      <c r="P271" s="304">
        <f t="shared" si="93"/>
        <v>0</v>
      </c>
      <c r="S271" s="287"/>
      <c r="V271" s="305"/>
      <c r="W271" s="304">
        <f t="shared" si="94"/>
        <v>0</v>
      </c>
      <c r="Z271" s="316"/>
    </row>
    <row r="272" spans="1:26">
      <c r="A272" s="184">
        <v>264</v>
      </c>
      <c r="B272" s="1">
        <f t="shared" si="95"/>
        <v>39716</v>
      </c>
      <c r="D272" s="2">
        <v>34576.71</v>
      </c>
      <c r="E272" s="2">
        <v>34576.71</v>
      </c>
      <c r="F272" s="2">
        <f t="shared" si="89"/>
        <v>524.04000000000087</v>
      </c>
      <c r="G272" s="188">
        <f t="shared" si="90"/>
        <v>1.5389101647536041E-2</v>
      </c>
      <c r="H272" s="2">
        <f t="shared" si="91"/>
        <v>11720.86</v>
      </c>
      <c r="I272" s="188">
        <f t="shared" si="92"/>
        <v>0.51281663119070187</v>
      </c>
      <c r="L272" s="287">
        <v>1213.27</v>
      </c>
      <c r="M272" s="188">
        <f t="shared" si="96"/>
        <v>-3.331261752238901E-2</v>
      </c>
      <c r="N272" s="188">
        <f t="shared" si="87"/>
        <v>0.30447918458627199</v>
      </c>
      <c r="O272" s="305" t="str">
        <f t="shared" si="88"/>
        <v>Yes</v>
      </c>
      <c r="P272" s="304">
        <f t="shared" si="93"/>
        <v>1</v>
      </c>
      <c r="S272" s="287"/>
      <c r="V272" s="305"/>
      <c r="W272" s="304">
        <f t="shared" si="94"/>
        <v>0</v>
      </c>
      <c r="Z272" s="316"/>
    </row>
    <row r="273" spans="1:26">
      <c r="A273" s="184">
        <v>265</v>
      </c>
      <c r="B273" s="1">
        <f t="shared" si="95"/>
        <v>39723</v>
      </c>
      <c r="D273" s="2">
        <v>32170.22</v>
      </c>
      <c r="E273" s="2">
        <v>32170.22</v>
      </c>
      <c r="F273" s="2">
        <f t="shared" si="89"/>
        <v>-2406.489999999998</v>
      </c>
      <c r="G273" s="188">
        <f t="shared" si="90"/>
        <v>-6.9598582398383124E-2</v>
      </c>
      <c r="H273" s="2">
        <f t="shared" si="91"/>
        <v>9314.3700000000026</v>
      </c>
      <c r="I273" s="188">
        <f t="shared" si="92"/>
        <v>0.40752673823113139</v>
      </c>
      <c r="L273" s="287">
        <v>1099.23</v>
      </c>
      <c r="M273" s="188">
        <f t="shared" si="96"/>
        <v>-9.399391726491213E-2</v>
      </c>
      <c r="N273" s="188">
        <f t="shared" si="87"/>
        <v>0.18186607603646987</v>
      </c>
      <c r="O273" s="305" t="str">
        <f t="shared" si="88"/>
        <v>Yes</v>
      </c>
      <c r="P273" s="304">
        <f t="shared" si="93"/>
        <v>1</v>
      </c>
      <c r="S273" s="287"/>
      <c r="V273" s="305"/>
      <c r="W273" s="304">
        <f t="shared" si="94"/>
        <v>0</v>
      </c>
      <c r="Z273" s="316"/>
    </row>
    <row r="274" spans="1:26">
      <c r="A274" s="184">
        <v>266</v>
      </c>
      <c r="B274" s="1">
        <f t="shared" si="95"/>
        <v>39730</v>
      </c>
      <c r="D274" s="2">
        <v>26110.18</v>
      </c>
      <c r="E274" s="2">
        <v>26110.18</v>
      </c>
      <c r="F274" s="2">
        <f t="shared" si="89"/>
        <v>-6060.0400000000009</v>
      </c>
      <c r="G274" s="188">
        <f t="shared" si="90"/>
        <v>-0.18837421689997769</v>
      </c>
      <c r="H274" s="2">
        <f t="shared" si="91"/>
        <v>3254.3300000000017</v>
      </c>
      <c r="I274" s="188">
        <f t="shared" si="92"/>
        <v>0.14238499115106196</v>
      </c>
      <c r="L274" s="287">
        <v>899.22</v>
      </c>
      <c r="M274" s="188">
        <f t="shared" si="96"/>
        <v>-0.18195464097595593</v>
      </c>
      <c r="N274" s="188">
        <f t="shared" si="87"/>
        <v>-3.3179941510407707E-2</v>
      </c>
      <c r="O274" s="305" t="str">
        <f t="shared" si="88"/>
        <v>No</v>
      </c>
      <c r="P274" s="304">
        <f t="shared" si="93"/>
        <v>0</v>
      </c>
      <c r="S274" s="287"/>
      <c r="V274" s="305"/>
      <c r="W274" s="304">
        <f t="shared" si="94"/>
        <v>0</v>
      </c>
      <c r="Z274" s="316"/>
    </row>
    <row r="275" spans="1:26">
      <c r="A275" s="184">
        <v>267</v>
      </c>
      <c r="B275" s="1">
        <f t="shared" si="95"/>
        <v>39737</v>
      </c>
      <c r="D275" s="2">
        <v>27300</v>
      </c>
      <c r="E275" s="2">
        <v>27300</v>
      </c>
      <c r="F275" s="2">
        <f t="shared" si="89"/>
        <v>1189.8199999999997</v>
      </c>
      <c r="G275" s="188">
        <f t="shared" si="90"/>
        <v>4.5569199446346298E-2</v>
      </c>
      <c r="H275" s="2">
        <f t="shared" si="91"/>
        <v>4444.1500000000015</v>
      </c>
      <c r="I275" s="188">
        <f t="shared" si="92"/>
        <v>0.19444256065733723</v>
      </c>
      <c r="L275" s="287">
        <v>940.55</v>
      </c>
      <c r="M275" s="188">
        <f t="shared" si="96"/>
        <v>4.5962056004092311E-2</v>
      </c>
      <c r="N275" s="188">
        <f t="shared" si="87"/>
        <v>1.1257096163770797E-2</v>
      </c>
      <c r="O275" s="305" t="str">
        <f t="shared" si="88"/>
        <v>No</v>
      </c>
      <c r="P275" s="304">
        <f t="shared" si="93"/>
        <v>0</v>
      </c>
      <c r="S275" s="287"/>
      <c r="V275" s="305"/>
      <c r="W275" s="304">
        <f t="shared" si="94"/>
        <v>0</v>
      </c>
      <c r="Z275" s="316"/>
    </row>
    <row r="276" spans="1:26">
      <c r="A276" s="184">
        <v>268</v>
      </c>
      <c r="B276" s="1">
        <f t="shared" si="95"/>
        <v>39744</v>
      </c>
      <c r="D276" s="2">
        <v>26069.88</v>
      </c>
      <c r="E276" s="2">
        <v>26069.88</v>
      </c>
      <c r="F276" s="2">
        <f t="shared" si="89"/>
        <v>-1230.119999999999</v>
      </c>
      <c r="G276" s="188">
        <f t="shared" si="90"/>
        <v>-4.5059340659340585E-2</v>
      </c>
      <c r="H276" s="2">
        <f t="shared" si="91"/>
        <v>3214.0300000000025</v>
      </c>
      <c r="I276" s="188">
        <f t="shared" si="92"/>
        <v>0.14062176641866309</v>
      </c>
      <c r="L276" s="287">
        <v>876.77</v>
      </c>
      <c r="M276" s="188">
        <f t="shared" si="96"/>
        <v>-6.7811386954441555E-2</v>
      </c>
      <c r="N276" s="188">
        <f t="shared" si="87"/>
        <v>-5.7317650094615535E-2</v>
      </c>
      <c r="O276" s="305" t="str">
        <f t="shared" si="88"/>
        <v>Yes</v>
      </c>
      <c r="P276" s="304">
        <f t="shared" si="93"/>
        <v>1</v>
      </c>
      <c r="S276" s="287"/>
      <c r="V276" s="305"/>
      <c r="W276" s="304">
        <f t="shared" si="94"/>
        <v>0</v>
      </c>
      <c r="Z276" s="316"/>
    </row>
    <row r="277" spans="1:26">
      <c r="A277" s="184">
        <v>269</v>
      </c>
      <c r="B277" s="1">
        <f t="shared" si="95"/>
        <v>39751</v>
      </c>
      <c r="D277" s="2">
        <v>26893.040000000001</v>
      </c>
      <c r="E277" s="2">
        <v>26893.040000000001</v>
      </c>
      <c r="F277" s="2">
        <f t="shared" si="89"/>
        <v>823.15999999999985</v>
      </c>
      <c r="G277" s="188">
        <f t="shared" si="90"/>
        <v>3.1575135750528949E-2</v>
      </c>
      <c r="H277" s="2">
        <f t="shared" si="91"/>
        <v>4037.1900000000023</v>
      </c>
      <c r="I277" s="188">
        <f t="shared" si="92"/>
        <v>0.17663705353334058</v>
      </c>
      <c r="L277" s="287">
        <v>968.75</v>
      </c>
      <c r="M277" s="188">
        <f t="shared" si="96"/>
        <v>0.10490778653466704</v>
      </c>
      <c r="N277" s="188">
        <f t="shared" si="87"/>
        <v>4.1577068639256698E-2</v>
      </c>
      <c r="O277" s="305" t="str">
        <f t="shared" si="88"/>
        <v>No</v>
      </c>
      <c r="P277" s="304">
        <f t="shared" si="93"/>
        <v>0</v>
      </c>
      <c r="S277" s="287"/>
      <c r="V277" s="305"/>
      <c r="W277" s="304">
        <f t="shared" si="94"/>
        <v>0</v>
      </c>
      <c r="Z277" s="316"/>
    </row>
    <row r="278" spans="1:26">
      <c r="A278" s="184">
        <v>270</v>
      </c>
      <c r="B278" s="1">
        <f t="shared" si="95"/>
        <v>39758</v>
      </c>
      <c r="D278" s="2">
        <v>26651.17</v>
      </c>
      <c r="E278" s="2">
        <v>26651.17</v>
      </c>
      <c r="F278" s="2">
        <f t="shared" si="89"/>
        <v>-241.87000000000262</v>
      </c>
      <c r="G278" s="188">
        <f t="shared" si="90"/>
        <v>-8.9937768285028863E-3</v>
      </c>
      <c r="H278" s="2">
        <f t="shared" si="91"/>
        <v>3795.3199999999997</v>
      </c>
      <c r="I278" s="188">
        <f t="shared" si="92"/>
        <v>0.16605464246571455</v>
      </c>
      <c r="L278" s="287">
        <v>930.99</v>
      </c>
      <c r="M278" s="188">
        <f t="shared" si="96"/>
        <v>-3.8978064516129063E-2</v>
      </c>
      <c r="N278" s="188">
        <f t="shared" si="87"/>
        <v>9.7841045931534865E-4</v>
      </c>
      <c r="O278" s="305" t="str">
        <f t="shared" si="88"/>
        <v>Yes</v>
      </c>
      <c r="P278" s="304">
        <f t="shared" si="93"/>
        <v>1</v>
      </c>
      <c r="S278" s="287"/>
      <c r="V278" s="305"/>
      <c r="W278" s="304">
        <f t="shared" si="94"/>
        <v>0</v>
      </c>
      <c r="Z278" s="316"/>
    </row>
    <row r="279" spans="1:26">
      <c r="A279" s="184">
        <v>271</v>
      </c>
      <c r="B279" s="1">
        <f t="shared" si="95"/>
        <v>39765</v>
      </c>
      <c r="D279" s="2">
        <v>26342.12</v>
      </c>
      <c r="E279" s="2">
        <v>26342.12</v>
      </c>
      <c r="F279" s="2">
        <f t="shared" si="89"/>
        <v>-309.04999999999927</v>
      </c>
      <c r="G279" s="188">
        <f t="shared" si="90"/>
        <v>-1.1596113791627172E-2</v>
      </c>
      <c r="H279" s="2">
        <f t="shared" si="91"/>
        <v>3486.2700000000004</v>
      </c>
      <c r="I279" s="188">
        <f t="shared" si="92"/>
        <v>0.15253294014442687</v>
      </c>
      <c r="L279" s="287">
        <v>873.29</v>
      </c>
      <c r="M279" s="188">
        <f t="shared" si="96"/>
        <v>-6.1977035199089148E-2</v>
      </c>
      <c r="N279" s="188">
        <f t="shared" si="87"/>
        <v>-6.1059263719250079E-2</v>
      </c>
      <c r="O279" s="305" t="str">
        <f t="shared" si="88"/>
        <v>Yes</v>
      </c>
      <c r="P279" s="304">
        <f t="shared" si="93"/>
        <v>1</v>
      </c>
      <c r="S279" s="287"/>
      <c r="V279" s="305"/>
      <c r="W279" s="304">
        <f t="shared" si="94"/>
        <v>0</v>
      </c>
      <c r="Z279" s="316"/>
    </row>
    <row r="280" spans="1:26">
      <c r="A280" s="185">
        <f>A279+1</f>
        <v>272</v>
      </c>
      <c r="B280" s="1">
        <f t="shared" si="95"/>
        <v>39772</v>
      </c>
      <c r="D280" s="2">
        <v>26129.34</v>
      </c>
      <c r="E280" s="2">
        <v>26129.34</v>
      </c>
      <c r="F280" s="2">
        <f t="shared" si="89"/>
        <v>-212.77999999999884</v>
      </c>
      <c r="G280" s="188">
        <f t="shared" si="90"/>
        <v>-8.0775579186488367E-3</v>
      </c>
      <c r="H280" s="2">
        <f t="shared" si="91"/>
        <v>3273.4900000000016</v>
      </c>
      <c r="I280" s="188">
        <f t="shared" si="92"/>
        <v>0.14322328856725974</v>
      </c>
      <c r="L280" s="287">
        <v>800.03</v>
      </c>
      <c r="M280" s="188">
        <f t="shared" si="96"/>
        <v>-8.3889658647184784E-2</v>
      </c>
      <c r="N280" s="188">
        <f t="shared" si="87"/>
        <v>-0.13982668157577849</v>
      </c>
      <c r="O280" s="305" t="str">
        <f t="shared" si="88"/>
        <v>Yes</v>
      </c>
      <c r="P280" s="304">
        <f t="shared" si="93"/>
        <v>1</v>
      </c>
      <c r="S280" s="287"/>
      <c r="V280" s="305"/>
      <c r="W280" s="304">
        <f t="shared" si="94"/>
        <v>0</v>
      </c>
      <c r="Z280" s="316"/>
    </row>
    <row r="281" spans="1:26">
      <c r="A281" s="184">
        <v>272</v>
      </c>
      <c r="B281" s="1">
        <f t="shared" si="95"/>
        <v>39779</v>
      </c>
      <c r="D281" s="2">
        <v>25639.75</v>
      </c>
      <c r="E281" s="2">
        <v>25639.75</v>
      </c>
      <c r="F281" s="2">
        <f t="shared" si="89"/>
        <v>-489.59000000000015</v>
      </c>
      <c r="G281" s="188">
        <f t="shared" si="90"/>
        <v>-1.8737174379452326E-2</v>
      </c>
      <c r="H281" s="2">
        <f t="shared" si="91"/>
        <v>2783.9000000000015</v>
      </c>
      <c r="I281" s="188">
        <f t="shared" si="92"/>
        <v>0.1218025144547239</v>
      </c>
      <c r="L281" s="287">
        <v>896.24</v>
      </c>
      <c r="M281" s="188">
        <f t="shared" si="96"/>
        <v>0.12025799032536288</v>
      </c>
      <c r="N281" s="188">
        <f t="shared" si="87"/>
        <v>-3.6383966970583215E-2</v>
      </c>
      <c r="O281" s="305" t="str">
        <f t="shared" si="88"/>
        <v>No</v>
      </c>
      <c r="P281" s="304">
        <f t="shared" si="93"/>
        <v>0</v>
      </c>
      <c r="S281" s="287"/>
      <c r="V281" s="305"/>
      <c r="W281" s="304">
        <f t="shared" si="94"/>
        <v>0</v>
      </c>
      <c r="Z281" s="316"/>
    </row>
    <row r="282" spans="1:26">
      <c r="A282" s="184">
        <v>273</v>
      </c>
      <c r="B282" s="1">
        <f t="shared" si="95"/>
        <v>39786</v>
      </c>
      <c r="D282" s="2">
        <v>25732.83</v>
      </c>
      <c r="E282" s="2">
        <v>25732.83</v>
      </c>
      <c r="F282" s="2">
        <f t="shared" si="89"/>
        <v>93.080000000001746</v>
      </c>
      <c r="G282" s="188">
        <f t="shared" si="90"/>
        <v>3.6303006074553945E-3</v>
      </c>
      <c r="H282" s="2">
        <f t="shared" si="91"/>
        <v>2876.9800000000032</v>
      </c>
      <c r="I282" s="188">
        <f t="shared" si="92"/>
        <v>0.12587499480439379</v>
      </c>
      <c r="L282" s="287">
        <v>876.07</v>
      </c>
      <c r="M282" s="188">
        <f t="shared" si="96"/>
        <v>-2.2505132553780172E-2</v>
      </c>
      <c r="N282" s="188">
        <f t="shared" si="87"/>
        <v>-5.8070273524858051E-2</v>
      </c>
      <c r="O282" s="305" t="str">
        <f t="shared" si="88"/>
        <v>Yes</v>
      </c>
      <c r="P282" s="304">
        <f t="shared" si="93"/>
        <v>1</v>
      </c>
      <c r="S282" s="287"/>
      <c r="V282" s="305"/>
      <c r="W282" s="304">
        <f t="shared" si="94"/>
        <v>0</v>
      </c>
      <c r="Z282" s="316"/>
    </row>
    <row r="283" spans="1:26">
      <c r="A283" s="184">
        <v>274</v>
      </c>
      <c r="B283" s="1">
        <f t="shared" si="95"/>
        <v>39793</v>
      </c>
      <c r="D283" s="2">
        <v>25901.23</v>
      </c>
      <c r="E283" s="2">
        <v>25901.23</v>
      </c>
      <c r="F283" s="2">
        <f t="shared" si="89"/>
        <v>168.39999999999782</v>
      </c>
      <c r="G283" s="188">
        <f t="shared" si="90"/>
        <v>6.5441694520189664E-3</v>
      </c>
      <c r="H283" s="2">
        <f t="shared" ref="H283:H323" si="97">E283-$D$3</f>
        <v>3045.380000000001</v>
      </c>
      <c r="I283" s="188">
        <f t="shared" si="92"/>
        <v>0.13324291155218471</v>
      </c>
      <c r="L283" s="287">
        <v>879.73</v>
      </c>
      <c r="M283" s="188">
        <f t="shared" si="96"/>
        <v>4.177748353441979E-3</v>
      </c>
      <c r="N283" s="188">
        <f t="shared" si="87"/>
        <v>-5.4135128161018398E-2</v>
      </c>
      <c r="O283" s="305" t="str">
        <f t="shared" si="88"/>
        <v>Yes</v>
      </c>
      <c r="P283" s="304">
        <f t="shared" si="93"/>
        <v>1</v>
      </c>
      <c r="S283" s="287"/>
      <c r="V283" s="305"/>
      <c r="W283" s="304">
        <f t="shared" si="94"/>
        <v>0</v>
      </c>
      <c r="Z283" s="316"/>
    </row>
    <row r="284" spans="1:26">
      <c r="A284" s="184">
        <v>275</v>
      </c>
      <c r="B284" s="1">
        <f t="shared" si="95"/>
        <v>39800</v>
      </c>
      <c r="D284" s="2">
        <v>26105.83</v>
      </c>
      <c r="E284" s="2">
        <v>26105.83</v>
      </c>
      <c r="F284" s="2">
        <f t="shared" si="89"/>
        <v>204.60000000000218</v>
      </c>
      <c r="G284" s="188">
        <f t="shared" si="90"/>
        <v>7.8992387620202553E-3</v>
      </c>
      <c r="H284" s="2">
        <f t="shared" si="97"/>
        <v>3249.9800000000032</v>
      </c>
      <c r="I284" s="188">
        <f t="shared" si="92"/>
        <v>0.14219466788590251</v>
      </c>
      <c r="L284" s="287">
        <v>887.88</v>
      </c>
      <c r="M284" s="188">
        <f t="shared" si="96"/>
        <v>9.2642060632239787E-3</v>
      </c>
      <c r="N284" s="188">
        <f t="shared" si="87"/>
        <v>-4.5372441080337222E-2</v>
      </c>
      <c r="O284" s="305" t="str">
        <f t="shared" si="88"/>
        <v>No</v>
      </c>
      <c r="P284" s="304">
        <f t="shared" si="93"/>
        <v>0</v>
      </c>
      <c r="S284" s="287"/>
      <c r="V284" s="305"/>
      <c r="W284" s="304">
        <f t="shared" si="94"/>
        <v>0</v>
      </c>
      <c r="Z284" s="316"/>
    </row>
    <row r="285" spans="1:26">
      <c r="A285" s="184">
        <v>276</v>
      </c>
      <c r="B285" s="1">
        <f t="shared" si="95"/>
        <v>39807</v>
      </c>
      <c r="D285" s="2">
        <v>25998.34</v>
      </c>
      <c r="E285" s="2">
        <v>25998.34</v>
      </c>
      <c r="F285" s="2">
        <f t="shared" si="89"/>
        <v>-107.4900000000016</v>
      </c>
      <c r="G285" s="188">
        <f t="shared" si="90"/>
        <v>-4.1174710782994062E-3</v>
      </c>
      <c r="H285" s="2">
        <f t="shared" si="97"/>
        <v>3142.4900000000016</v>
      </c>
      <c r="I285" s="188">
        <f t="shared" si="92"/>
        <v>0.13749171437509444</v>
      </c>
      <c r="L285" s="287">
        <v>872.8</v>
      </c>
      <c r="M285" s="188">
        <f t="shared" si="96"/>
        <v>-1.6984277154570515E-2</v>
      </c>
      <c r="N285" s="188">
        <f t="shared" si="87"/>
        <v>-6.1586100120419873E-2</v>
      </c>
      <c r="O285" s="305" t="str">
        <f t="shared" si="88"/>
        <v>Yes</v>
      </c>
      <c r="P285" s="304">
        <f t="shared" si="93"/>
        <v>1</v>
      </c>
      <c r="S285" s="287"/>
      <c r="V285" s="305"/>
      <c r="W285" s="304">
        <f t="shared" si="94"/>
        <v>0</v>
      </c>
      <c r="Z285" s="316"/>
    </row>
    <row r="286" spans="1:26">
      <c r="A286" s="184">
        <v>277</v>
      </c>
      <c r="B286" s="1">
        <f t="shared" si="95"/>
        <v>39814</v>
      </c>
      <c r="D286" s="2">
        <v>26188.93</v>
      </c>
      <c r="E286" s="2">
        <v>26188.93</v>
      </c>
      <c r="F286" s="2">
        <f t="shared" si="89"/>
        <v>190.59000000000015</v>
      </c>
      <c r="G286" s="188">
        <f t="shared" si="90"/>
        <v>7.3308526621314041E-3</v>
      </c>
      <c r="H286" s="2">
        <f t="shared" si="97"/>
        <v>3333.0800000000017</v>
      </c>
      <c r="I286" s="188">
        <f t="shared" si="92"/>
        <v>0.14583049853757357</v>
      </c>
      <c r="L286" s="287">
        <v>931.8</v>
      </c>
      <c r="M286" s="188">
        <f t="shared" si="96"/>
        <v>6.759853345554534E-2</v>
      </c>
      <c r="N286" s="188">
        <f t="shared" si="87"/>
        <v>1.8493032857387348E-3</v>
      </c>
      <c r="O286" s="305" t="str">
        <f t="shared" si="88"/>
        <v>No</v>
      </c>
      <c r="P286" s="304">
        <f t="shared" si="93"/>
        <v>0</v>
      </c>
      <c r="S286" s="287"/>
      <c r="V286" s="305"/>
      <c r="W286" s="304">
        <f t="shared" si="94"/>
        <v>0</v>
      </c>
      <c r="Z286" s="316"/>
    </row>
    <row r="287" spans="1:26">
      <c r="A287" s="184">
        <v>278</v>
      </c>
      <c r="B287" s="1">
        <f t="shared" si="95"/>
        <v>39821</v>
      </c>
      <c r="D287" s="2">
        <v>25940.33</v>
      </c>
      <c r="E287" s="2">
        <v>25940.33</v>
      </c>
      <c r="F287" s="2">
        <f t="shared" si="89"/>
        <v>-248.59999999999854</v>
      </c>
      <c r="G287" s="188">
        <f t="shared" si="90"/>
        <v>-9.4925604062479074E-3</v>
      </c>
      <c r="H287" s="2">
        <f t="shared" si="97"/>
        <v>3084.4800000000032</v>
      </c>
      <c r="I287" s="188">
        <f t="shared" si="92"/>
        <v>0.13495363331488441</v>
      </c>
      <c r="L287" s="287">
        <v>890.35</v>
      </c>
      <c r="M287" s="188">
        <f t="shared" si="96"/>
        <v>-4.4483794805752264E-2</v>
      </c>
      <c r="N287" s="188">
        <f t="shared" si="87"/>
        <v>-4.2716755547909879E-2</v>
      </c>
      <c r="O287" s="305" t="str">
        <f t="shared" si="88"/>
        <v>Yes</v>
      </c>
      <c r="P287" s="304">
        <f t="shared" si="93"/>
        <v>1</v>
      </c>
      <c r="S287" s="287"/>
      <c r="V287" s="305"/>
      <c r="W287" s="304">
        <f t="shared" si="94"/>
        <v>0</v>
      </c>
      <c r="Z287" s="316"/>
    </row>
    <row r="288" spans="1:26">
      <c r="A288" s="184">
        <v>279</v>
      </c>
      <c r="B288" s="1">
        <f t="shared" si="95"/>
        <v>39828</v>
      </c>
      <c r="D288" s="2">
        <v>24993.23</v>
      </c>
      <c r="E288" s="2">
        <v>24993.23</v>
      </c>
      <c r="F288" s="2">
        <f t="shared" si="89"/>
        <v>-947.10000000000218</v>
      </c>
      <c r="G288" s="188">
        <f t="shared" si="90"/>
        <v>-3.6510715168234231E-2</v>
      </c>
      <c r="H288" s="2">
        <f t="shared" si="97"/>
        <v>2137.380000000001</v>
      </c>
      <c r="I288" s="188">
        <f t="shared" si="92"/>
        <v>9.3515664479772109E-2</v>
      </c>
      <c r="L288" s="287">
        <v>850.12</v>
      </c>
      <c r="M288" s="188">
        <f t="shared" si="96"/>
        <v>-4.5184478014264062E-2</v>
      </c>
      <c r="N288" s="188">
        <f t="shared" si="87"/>
        <v>-8.5971099260278683E-2</v>
      </c>
      <c r="O288" s="305" t="str">
        <f t="shared" si="88"/>
        <v>Yes</v>
      </c>
      <c r="P288" s="304">
        <f t="shared" si="93"/>
        <v>1</v>
      </c>
      <c r="S288" s="287"/>
      <c r="V288" s="305"/>
      <c r="W288" s="304">
        <f t="shared" si="94"/>
        <v>0</v>
      </c>
      <c r="Z288" s="316"/>
    </row>
    <row r="289" spans="1:26">
      <c r="A289" s="184">
        <v>280</v>
      </c>
      <c r="B289" s="1">
        <f t="shared" si="95"/>
        <v>39835</v>
      </c>
      <c r="D289" s="2">
        <v>23370.76</v>
      </c>
      <c r="E289" s="2">
        <v>23370.76</v>
      </c>
      <c r="F289" s="2">
        <f t="shared" si="89"/>
        <v>-1622.4700000000012</v>
      </c>
      <c r="G289" s="188">
        <f t="shared" si="90"/>
        <v>-6.4916379355529519E-2</v>
      </c>
      <c r="H289" s="2">
        <f t="shared" si="97"/>
        <v>514.90999999999985</v>
      </c>
      <c r="I289" s="188">
        <f t="shared" si="92"/>
        <v>2.2528586773189252E-2</v>
      </c>
      <c r="L289" s="287">
        <v>831.95</v>
      </c>
      <c r="M289" s="188">
        <f t="shared" si="96"/>
        <v>-2.1373453159553857E-2</v>
      </c>
      <c r="N289" s="188">
        <f t="shared" si="87"/>
        <v>-0.10550705315671771</v>
      </c>
      <c r="O289" s="305" t="str">
        <f t="shared" si="88"/>
        <v>No</v>
      </c>
      <c r="P289" s="304">
        <f t="shared" si="93"/>
        <v>0</v>
      </c>
      <c r="S289" s="287"/>
      <c r="V289" s="305"/>
      <c r="W289" s="304">
        <f t="shared" si="94"/>
        <v>0</v>
      </c>
      <c r="Z289" s="316"/>
    </row>
    <row r="290" spans="1:26">
      <c r="A290" s="184">
        <v>281</v>
      </c>
      <c r="B290" s="1">
        <f t="shared" si="95"/>
        <v>39842</v>
      </c>
      <c r="D290" s="2">
        <v>23715</v>
      </c>
      <c r="E290" s="2">
        <v>23715</v>
      </c>
      <c r="F290" s="2">
        <f t="shared" ref="F290:F323" si="98">E290-E289</f>
        <v>344.2400000000016</v>
      </c>
      <c r="G290" s="188">
        <f t="shared" si="90"/>
        <v>1.4729516712336244E-2</v>
      </c>
      <c r="H290" s="2">
        <f t="shared" si="97"/>
        <v>859.15000000000146</v>
      </c>
      <c r="I290" s="188">
        <f t="shared" si="92"/>
        <v>3.7589938680906654E-2</v>
      </c>
      <c r="L290" s="287">
        <v>825.88</v>
      </c>
      <c r="M290" s="188">
        <f t="shared" si="96"/>
        <v>-7.2961115451650738E-3</v>
      </c>
      <c r="N290" s="188">
        <f t="shared" si="87"/>
        <v>-0.11203337347324971</v>
      </c>
      <c r="O290" s="305" t="str">
        <f t="shared" si="88"/>
        <v>Yes</v>
      </c>
      <c r="P290" s="304">
        <f t="shared" si="93"/>
        <v>1</v>
      </c>
      <c r="S290" s="287"/>
      <c r="V290" s="305"/>
      <c r="W290" s="304">
        <f t="shared" si="94"/>
        <v>0</v>
      </c>
      <c r="Z290" s="316"/>
    </row>
    <row r="291" spans="1:26">
      <c r="A291" s="184">
        <v>282</v>
      </c>
      <c r="B291" s="1">
        <f t="shared" si="95"/>
        <v>39849</v>
      </c>
      <c r="D291" s="2">
        <v>24215.34</v>
      </c>
      <c r="E291" s="2">
        <v>24215.34</v>
      </c>
      <c r="F291" s="2">
        <f t="shared" si="98"/>
        <v>500.34000000000015</v>
      </c>
      <c r="G291" s="188">
        <f t="shared" si="90"/>
        <v>2.1098039215686315E-2</v>
      </c>
      <c r="H291" s="2">
        <f t="shared" si="97"/>
        <v>1359.4900000000016</v>
      </c>
      <c r="I291" s="188">
        <f t="shared" si="92"/>
        <v>5.9481051896997927E-2</v>
      </c>
      <c r="L291" s="287">
        <v>868.6</v>
      </c>
      <c r="M291" s="188">
        <f t="shared" si="96"/>
        <v>5.1726643095849401E-2</v>
      </c>
      <c r="N291" s="188">
        <f t="shared" si="87"/>
        <v>-6.6101840701875081E-2</v>
      </c>
      <c r="O291" s="305" t="str">
        <f t="shared" si="88"/>
        <v>No</v>
      </c>
      <c r="P291" s="304">
        <f t="shared" si="93"/>
        <v>0</v>
      </c>
      <c r="S291" s="287"/>
      <c r="V291" s="305"/>
      <c r="W291" s="304">
        <f t="shared" si="94"/>
        <v>0</v>
      </c>
      <c r="Z291" s="316"/>
    </row>
    <row r="292" spans="1:26">
      <c r="A292" s="184">
        <v>283</v>
      </c>
      <c r="B292" s="1">
        <f t="shared" si="95"/>
        <v>39856</v>
      </c>
      <c r="D292" s="2">
        <v>23485.34</v>
      </c>
      <c r="E292" s="2">
        <v>23485.34</v>
      </c>
      <c r="F292" s="2">
        <f t="shared" si="98"/>
        <v>-730</v>
      </c>
      <c r="G292" s="188">
        <f t="shared" si="90"/>
        <v>-3.0146180066024209E-2</v>
      </c>
      <c r="H292" s="2">
        <f t="shared" si="97"/>
        <v>629.4900000000016</v>
      </c>
      <c r="I292" s="188">
        <f t="shared" si="92"/>
        <v>2.7541745329970224E-2</v>
      </c>
      <c r="L292" s="287">
        <v>826.84</v>
      </c>
      <c r="M292" s="188">
        <f t="shared" si="96"/>
        <v>-4.8077365876122435E-2</v>
      </c>
      <c r="N292" s="188">
        <f t="shared" si="87"/>
        <v>-0.11100120419748838</v>
      </c>
      <c r="O292" s="305" t="str">
        <f t="shared" si="88"/>
        <v>Yes</v>
      </c>
      <c r="P292" s="304">
        <f t="shared" si="93"/>
        <v>1</v>
      </c>
      <c r="S292" s="287"/>
      <c r="V292" s="305"/>
      <c r="W292" s="304">
        <f t="shared" si="94"/>
        <v>0</v>
      </c>
      <c r="Z292" s="316"/>
    </row>
    <row r="293" spans="1:26">
      <c r="A293" s="185">
        <f>A292+1</f>
        <v>284</v>
      </c>
      <c r="B293" s="1">
        <f t="shared" si="95"/>
        <v>39863</v>
      </c>
      <c r="D293" s="2">
        <v>23456.23</v>
      </c>
      <c r="E293" s="2">
        <v>23456.23</v>
      </c>
      <c r="F293" s="2">
        <f t="shared" si="98"/>
        <v>-29.110000000000582</v>
      </c>
      <c r="G293" s="188">
        <f t="shared" si="90"/>
        <v>-1.2394966391799933E-3</v>
      </c>
      <c r="H293" s="2">
        <f t="shared" si="97"/>
        <v>600.38000000000102</v>
      </c>
      <c r="I293" s="188">
        <f t="shared" si="92"/>
        <v>2.6268110790016674E-2</v>
      </c>
      <c r="L293" s="287">
        <v>770.05</v>
      </c>
      <c r="M293" s="188">
        <f t="shared" si="96"/>
        <v>-6.8683179333365652E-2</v>
      </c>
      <c r="N293" s="188">
        <f t="shared" si="87"/>
        <v>-0.17206046791673846</v>
      </c>
      <c r="O293" s="305" t="str">
        <f t="shared" si="88"/>
        <v>Yes</v>
      </c>
      <c r="P293" s="304">
        <f t="shared" si="93"/>
        <v>1</v>
      </c>
      <c r="S293" s="287"/>
      <c r="V293" s="305"/>
      <c r="W293" s="304">
        <f t="shared" si="94"/>
        <v>0</v>
      </c>
      <c r="Z293" s="316"/>
    </row>
    <row r="294" spans="1:26">
      <c r="A294" s="184">
        <v>284</v>
      </c>
      <c r="B294" s="1">
        <f t="shared" si="95"/>
        <v>39870</v>
      </c>
      <c r="D294" s="2">
        <v>22009.78</v>
      </c>
      <c r="E294" s="2">
        <v>22009.78</v>
      </c>
      <c r="F294" s="2">
        <f t="shared" si="98"/>
        <v>-1446.4500000000007</v>
      </c>
      <c r="G294" s="188">
        <f t="shared" si="90"/>
        <v>-6.166591988567649E-2</v>
      </c>
      <c r="H294" s="2">
        <f t="shared" si="97"/>
        <v>-846.06999999999971</v>
      </c>
      <c r="I294" s="188">
        <f t="shared" si="92"/>
        <v>-3.7017656311185143E-2</v>
      </c>
      <c r="L294" s="287">
        <v>735.09</v>
      </c>
      <c r="M294" s="188">
        <f t="shared" si="96"/>
        <v>-4.5399649373417228E-2</v>
      </c>
      <c r="N294" s="188">
        <f t="shared" si="87"/>
        <v>-0.20964863237570963</v>
      </c>
      <c r="O294" s="305" t="str">
        <f t="shared" si="88"/>
        <v>No</v>
      </c>
      <c r="P294" s="304">
        <f t="shared" si="93"/>
        <v>0</v>
      </c>
      <c r="S294" s="287"/>
      <c r="V294" s="305"/>
      <c r="W294" s="304">
        <f t="shared" si="94"/>
        <v>0</v>
      </c>
      <c r="Z294" s="316"/>
    </row>
    <row r="295" spans="1:26">
      <c r="A295" s="184">
        <v>285</v>
      </c>
      <c r="B295" s="1">
        <f t="shared" si="95"/>
        <v>39877</v>
      </c>
      <c r="D295" s="2">
        <v>21345.55</v>
      </c>
      <c r="E295" s="2">
        <v>21345.55</v>
      </c>
      <c r="F295" s="2">
        <f t="shared" si="98"/>
        <v>-664.22999999999956</v>
      </c>
      <c r="G295" s="188">
        <f t="shared" si="90"/>
        <v>-3.0178856853635083E-2</v>
      </c>
      <c r="H295" s="2">
        <f t="shared" si="97"/>
        <v>-1510.2999999999993</v>
      </c>
      <c r="I295" s="188">
        <f t="shared" si="92"/>
        <v>-6.6079362613947867E-2</v>
      </c>
      <c r="L295" s="287">
        <v>683.38</v>
      </c>
      <c r="M295" s="188">
        <f t="shared" si="96"/>
        <v>-7.0345127807479368E-2</v>
      </c>
      <c r="N295" s="188">
        <f t="shared" si="87"/>
        <v>-0.26524600034405643</v>
      </c>
      <c r="O295" s="305" t="str">
        <f t="shared" si="88"/>
        <v>Yes</v>
      </c>
      <c r="P295" s="304">
        <f t="shared" si="93"/>
        <v>1</v>
      </c>
      <c r="S295" s="287"/>
      <c r="V295" s="305"/>
      <c r="W295" s="304">
        <f t="shared" si="94"/>
        <v>0</v>
      </c>
      <c r="Z295" s="316"/>
    </row>
    <row r="296" spans="1:26">
      <c r="A296" s="184">
        <v>286</v>
      </c>
      <c r="B296" s="1">
        <f t="shared" si="95"/>
        <v>39884</v>
      </c>
      <c r="D296" s="2">
        <v>21372.639999999999</v>
      </c>
      <c r="E296" s="2">
        <v>21372.639999999999</v>
      </c>
      <c r="F296" s="2">
        <f t="shared" si="98"/>
        <v>27.090000000000146</v>
      </c>
      <c r="G296" s="188">
        <f t="shared" si="90"/>
        <v>1.2691169822280912E-3</v>
      </c>
      <c r="H296" s="2">
        <f t="shared" si="97"/>
        <v>-1483.2099999999991</v>
      </c>
      <c r="I296" s="188">
        <f t="shared" si="92"/>
        <v>-6.4894108072987899E-2</v>
      </c>
      <c r="L296" s="287">
        <v>756.5498</v>
      </c>
      <c r="M296" s="188">
        <f t="shared" si="96"/>
        <v>0.10707044396968013</v>
      </c>
      <c r="N296" s="188">
        <f t="shared" si="87"/>
        <v>-0.18657556339239634</v>
      </c>
      <c r="O296" s="305" t="str">
        <f t="shared" si="88"/>
        <v>No</v>
      </c>
      <c r="P296" s="304">
        <f t="shared" si="93"/>
        <v>0</v>
      </c>
      <c r="S296" s="287"/>
      <c r="V296" s="305"/>
      <c r="W296" s="304">
        <f t="shared" si="94"/>
        <v>0</v>
      </c>
      <c r="Z296" s="316"/>
    </row>
    <row r="297" spans="1:26">
      <c r="A297" s="184">
        <v>287</v>
      </c>
      <c r="B297" s="1">
        <f t="shared" si="95"/>
        <v>39891</v>
      </c>
      <c r="D297" s="2">
        <v>22311.34</v>
      </c>
      <c r="E297" s="2">
        <v>22311.34</v>
      </c>
      <c r="F297" s="2">
        <f t="shared" si="98"/>
        <v>938.70000000000073</v>
      </c>
      <c r="G297" s="188">
        <f t="shared" si="90"/>
        <v>4.392063872315255E-2</v>
      </c>
      <c r="H297" s="2">
        <f t="shared" si="97"/>
        <v>-544.5099999999984</v>
      </c>
      <c r="I297" s="188">
        <f t="shared" si="92"/>
        <v>-2.3823660025770188E-2</v>
      </c>
      <c r="L297" s="287">
        <v>768.53980000000001</v>
      </c>
      <c r="M297" s="188">
        <f t="shared" si="96"/>
        <v>1.5848262731680052E-2</v>
      </c>
      <c r="N297" s="188">
        <f t="shared" si="87"/>
        <v>-0.17368419920867029</v>
      </c>
      <c r="O297" s="305" t="str">
        <f t="shared" si="88"/>
        <v>Yes</v>
      </c>
      <c r="P297" s="304">
        <f t="shared" si="93"/>
        <v>1</v>
      </c>
      <c r="S297" s="287"/>
      <c r="V297" s="305"/>
      <c r="W297" s="304">
        <f t="shared" si="94"/>
        <v>0</v>
      </c>
      <c r="Z297" s="316"/>
    </row>
    <row r="298" spans="1:26">
      <c r="A298" s="184">
        <v>288</v>
      </c>
      <c r="B298" s="1">
        <f t="shared" si="95"/>
        <v>39898</v>
      </c>
      <c r="D298" s="2">
        <v>23910.400000000001</v>
      </c>
      <c r="E298" s="2">
        <v>23910.400000000001</v>
      </c>
      <c r="F298" s="2">
        <f t="shared" si="98"/>
        <v>1599.0600000000013</v>
      </c>
      <c r="G298" s="188">
        <f t="shared" si="90"/>
        <v>7.1670280673415521E-2</v>
      </c>
      <c r="H298" s="2">
        <f t="shared" si="97"/>
        <v>1054.5500000000029</v>
      </c>
      <c r="I298" s="188">
        <f t="shared" si="92"/>
        <v>4.6139172246930427E-2</v>
      </c>
      <c r="L298" s="287">
        <v>815.93989999999997</v>
      </c>
      <c r="M298" s="188">
        <f t="shared" si="96"/>
        <v>6.1675530662172573E-2</v>
      </c>
      <c r="N298" s="188">
        <f t="shared" si="87"/>
        <v>-0.12272073370032688</v>
      </c>
      <c r="O298" s="305" t="str">
        <f t="shared" si="88"/>
        <v>Yes</v>
      </c>
      <c r="P298" s="304">
        <f t="shared" si="93"/>
        <v>1</v>
      </c>
      <c r="S298" s="287"/>
      <c r="V298" s="305"/>
      <c r="W298" s="304">
        <f t="shared" si="94"/>
        <v>0</v>
      </c>
      <c r="Z298" s="316"/>
    </row>
    <row r="299" spans="1:26">
      <c r="A299" s="184">
        <v>289</v>
      </c>
      <c r="B299" s="1">
        <f t="shared" si="95"/>
        <v>39905</v>
      </c>
      <c r="D299" s="2">
        <v>22974.080000000002</v>
      </c>
      <c r="E299" s="2">
        <v>22974.080000000002</v>
      </c>
      <c r="F299" s="2">
        <f t="shared" si="98"/>
        <v>-936.31999999999971</v>
      </c>
      <c r="G299" s="188">
        <f t="shared" si="90"/>
        <v>-3.9159528907922847E-2</v>
      </c>
      <c r="H299" s="2">
        <f t="shared" si="97"/>
        <v>118.2300000000032</v>
      </c>
      <c r="I299" s="188">
        <f t="shared" si="92"/>
        <v>5.1728550896161796E-3</v>
      </c>
      <c r="L299" s="287">
        <v>842.5</v>
      </c>
      <c r="M299" s="188">
        <f t="shared" si="96"/>
        <v>3.255153964158386E-2</v>
      </c>
      <c r="N299" s="188">
        <f t="shared" si="87"/>
        <v>-9.4163942886633434E-2</v>
      </c>
      <c r="O299" s="305" t="str">
        <f t="shared" si="88"/>
        <v>No</v>
      </c>
      <c r="P299" s="304">
        <f t="shared" si="93"/>
        <v>0</v>
      </c>
      <c r="S299" s="287"/>
      <c r="V299" s="305"/>
      <c r="W299" s="304">
        <f t="shared" si="94"/>
        <v>0</v>
      </c>
      <c r="Z299" s="316"/>
    </row>
    <row r="300" spans="1:26">
      <c r="A300" s="184">
        <v>290</v>
      </c>
      <c r="B300" s="1">
        <f t="shared" si="95"/>
        <v>39912</v>
      </c>
      <c r="D300" s="2">
        <v>25554.93</v>
      </c>
      <c r="E300" s="2">
        <v>25554.93</v>
      </c>
      <c r="F300" s="2">
        <f t="shared" si="98"/>
        <v>2580.8499999999985</v>
      </c>
      <c r="G300" s="188">
        <f t="shared" si="90"/>
        <v>0.11233746900855213</v>
      </c>
      <c r="H300" s="2">
        <f t="shared" si="97"/>
        <v>2699.0800000000017</v>
      </c>
      <c r="I300" s="188">
        <f t="shared" si="92"/>
        <v>0.11809142954648388</v>
      </c>
      <c r="L300" s="287">
        <v>856.5598</v>
      </c>
      <c r="M300" s="188">
        <f t="shared" si="96"/>
        <v>1.6688189910979201E-2</v>
      </c>
      <c r="N300" s="188">
        <f t="shared" si="87"/>
        <v>-7.9047178737312929E-2</v>
      </c>
      <c r="O300" s="305" t="str">
        <f t="shared" si="88"/>
        <v>Yes</v>
      </c>
      <c r="P300" s="304">
        <f t="shared" si="93"/>
        <v>1</v>
      </c>
      <c r="S300" s="287"/>
      <c r="V300" s="305"/>
      <c r="W300" s="304">
        <f t="shared" si="94"/>
        <v>0</v>
      </c>
      <c r="Z300" s="316"/>
    </row>
    <row r="301" spans="1:26">
      <c r="A301" s="184">
        <v>291</v>
      </c>
      <c r="B301" s="1">
        <f t="shared" si="95"/>
        <v>39919</v>
      </c>
      <c r="D301" s="2">
        <v>26045.54</v>
      </c>
      <c r="E301" s="2">
        <v>26045.54</v>
      </c>
      <c r="F301" s="2">
        <f t="shared" si="98"/>
        <v>490.61000000000058</v>
      </c>
      <c r="G301" s="188">
        <f t="shared" si="90"/>
        <v>1.9198252548529693E-2</v>
      </c>
      <c r="H301" s="2">
        <f t="shared" si="97"/>
        <v>3189.6900000000023</v>
      </c>
      <c r="I301" s="188">
        <f t="shared" si="92"/>
        <v>0.13955683118326401</v>
      </c>
      <c r="L301" s="287">
        <v>869.59990000000005</v>
      </c>
      <c r="M301" s="188">
        <f t="shared" si="96"/>
        <v>1.5223805740124607E-2</v>
      </c>
      <c r="N301" s="188">
        <f t="shared" si="87"/>
        <v>-6.5026771890590029E-2</v>
      </c>
      <c r="O301" s="305" t="str">
        <f t="shared" si="88"/>
        <v>Yes</v>
      </c>
      <c r="P301" s="304">
        <f t="shared" si="93"/>
        <v>1</v>
      </c>
      <c r="S301" s="287"/>
      <c r="V301" s="305"/>
      <c r="W301" s="304">
        <f t="shared" si="94"/>
        <v>0</v>
      </c>
      <c r="Z301" s="316"/>
    </row>
    <row r="302" spans="1:26">
      <c r="A302" s="184">
        <v>292</v>
      </c>
      <c r="B302" s="1">
        <f t="shared" si="95"/>
        <v>39926</v>
      </c>
      <c r="D302" s="2">
        <v>25650.22</v>
      </c>
      <c r="E302" s="2">
        <v>25650.22</v>
      </c>
      <c r="F302" s="2">
        <f t="shared" si="98"/>
        <v>-395.31999999999971</v>
      </c>
      <c r="G302" s="188">
        <f t="shared" si="90"/>
        <v>-1.5178030480458404E-2</v>
      </c>
      <c r="H302" s="2">
        <f t="shared" si="97"/>
        <v>2794.3700000000026</v>
      </c>
      <c r="I302" s="188">
        <f t="shared" si="92"/>
        <v>0.12226060286534968</v>
      </c>
      <c r="L302" s="287">
        <v>866.23</v>
      </c>
      <c r="M302" s="188">
        <f t="shared" si="96"/>
        <v>-3.8752304364341184E-3</v>
      </c>
      <c r="N302" s="188">
        <f t="shared" si="87"/>
        <v>-6.8650008601410684E-2</v>
      </c>
      <c r="O302" s="305" t="str">
        <f t="shared" si="88"/>
        <v>No</v>
      </c>
      <c r="P302" s="304">
        <f t="shared" si="93"/>
        <v>0</v>
      </c>
      <c r="S302" s="287"/>
      <c r="V302" s="305"/>
      <c r="W302" s="304">
        <f t="shared" si="94"/>
        <v>0</v>
      </c>
      <c r="Z302" s="316"/>
    </row>
    <row r="303" spans="1:26">
      <c r="A303" s="184">
        <v>293</v>
      </c>
      <c r="B303" s="1">
        <f t="shared" si="95"/>
        <v>39933</v>
      </c>
      <c r="D303" s="2">
        <v>26697.82</v>
      </c>
      <c r="E303" s="2">
        <v>26697.82</v>
      </c>
      <c r="F303" s="2">
        <f t="shared" si="98"/>
        <v>1047.5999999999985</v>
      </c>
      <c r="G303" s="188">
        <f t="shared" si="90"/>
        <v>4.0841754963505172E-2</v>
      </c>
      <c r="H303" s="2">
        <f t="shared" si="97"/>
        <v>3841.9700000000012</v>
      </c>
      <c r="I303" s="188">
        <f t="shared" si="92"/>
        <v>0.16809569541277192</v>
      </c>
      <c r="L303" s="287">
        <v>877.51980000000003</v>
      </c>
      <c r="M303" s="188">
        <f t="shared" si="96"/>
        <v>1.3033259065144298E-2</v>
      </c>
      <c r="N303" s="188">
        <f t="shared" si="87"/>
        <v>-5.6511482883192854E-2</v>
      </c>
      <c r="O303" s="305" t="str">
        <f t="shared" si="88"/>
        <v>Yes</v>
      </c>
      <c r="P303" s="304">
        <f t="shared" si="93"/>
        <v>1</v>
      </c>
      <c r="S303" s="287"/>
      <c r="V303" s="305"/>
      <c r="W303" s="304">
        <f t="shared" si="94"/>
        <v>0</v>
      </c>
      <c r="Z303" s="316"/>
    </row>
    <row r="304" spans="1:26">
      <c r="A304" s="184">
        <v>294</v>
      </c>
      <c r="B304" s="1">
        <f t="shared" si="95"/>
        <v>39940</v>
      </c>
      <c r="D304" s="2">
        <v>27393.79</v>
      </c>
      <c r="E304" s="2">
        <v>27393.79</v>
      </c>
      <c r="F304" s="2">
        <f t="shared" si="98"/>
        <v>695.97000000000116</v>
      </c>
      <c r="G304" s="188">
        <f t="shared" si="90"/>
        <v>2.606842056767178E-2</v>
      </c>
      <c r="H304" s="2">
        <f t="shared" si="97"/>
        <v>4537.9400000000023</v>
      </c>
      <c r="I304" s="188">
        <f t="shared" si="92"/>
        <v>0.19854610526407912</v>
      </c>
      <c r="L304" s="287">
        <v>929.23</v>
      </c>
      <c r="M304" s="188">
        <f t="shared" si="96"/>
        <v>5.8927673198940989E-2</v>
      </c>
      <c r="N304" s="188">
        <f t="shared" si="87"/>
        <v>-9.1389987958023777E-4</v>
      </c>
      <c r="O304" s="305" t="str">
        <f t="shared" si="88"/>
        <v>No</v>
      </c>
      <c r="P304" s="304">
        <f t="shared" si="93"/>
        <v>0</v>
      </c>
      <c r="S304" s="287"/>
      <c r="V304" s="305"/>
      <c r="W304" s="304">
        <f t="shared" si="94"/>
        <v>0</v>
      </c>
      <c r="Z304" s="316"/>
    </row>
    <row r="305" spans="1:26">
      <c r="A305" s="184">
        <v>295</v>
      </c>
      <c r="B305" s="1">
        <f t="shared" si="95"/>
        <v>39947</v>
      </c>
      <c r="D305" s="2">
        <v>26900.745000000003</v>
      </c>
      <c r="E305" s="2">
        <v>26900.745000000003</v>
      </c>
      <c r="F305" s="2">
        <f t="shared" si="98"/>
        <v>-493.04499999999825</v>
      </c>
      <c r="G305" s="188">
        <f t="shared" si="90"/>
        <v>-1.79984222701568E-2</v>
      </c>
      <c r="H305" s="2">
        <f t="shared" si="97"/>
        <v>4044.8950000000041</v>
      </c>
      <c r="I305" s="188">
        <f t="shared" si="92"/>
        <v>0.17697416635128449</v>
      </c>
      <c r="L305" s="287">
        <v>882.87990000000002</v>
      </c>
      <c r="M305" s="188">
        <f t="shared" si="96"/>
        <v>-4.9880115794797786E-2</v>
      </c>
      <c r="N305" s="188">
        <f t="shared" si="87"/>
        <v>-5.0748430242559817E-2</v>
      </c>
      <c r="O305" s="305" t="str">
        <f t="shared" si="88"/>
        <v>Yes</v>
      </c>
      <c r="P305" s="304">
        <f t="shared" si="93"/>
        <v>1</v>
      </c>
      <c r="S305" s="287"/>
      <c r="V305" s="305"/>
      <c r="W305" s="304">
        <f t="shared" si="94"/>
        <v>0</v>
      </c>
      <c r="Z305" s="316"/>
    </row>
    <row r="306" spans="1:26">
      <c r="A306" s="185">
        <f>A305+1</f>
        <v>296</v>
      </c>
      <c r="B306" s="1">
        <f t="shared" si="95"/>
        <v>39954</v>
      </c>
      <c r="D306" s="2">
        <v>27277.64</v>
      </c>
      <c r="E306" s="2">
        <v>27277.64</v>
      </c>
      <c r="F306" s="2">
        <f t="shared" si="98"/>
        <v>376.8949999999968</v>
      </c>
      <c r="G306" s="188">
        <f t="shared" si="90"/>
        <v>1.4010578517434924E-2</v>
      </c>
      <c r="H306" s="2">
        <f t="shared" si="97"/>
        <v>4421.7900000000009</v>
      </c>
      <c r="I306" s="188">
        <f t="shared" si="92"/>
        <v>0.19346425532194167</v>
      </c>
      <c r="L306" s="287">
        <v>887</v>
      </c>
      <c r="M306" s="188">
        <f t="shared" si="96"/>
        <v>4.6666596441939934E-3</v>
      </c>
      <c r="N306" s="188">
        <f t="shared" si="87"/>
        <v>-4.631859624978496E-2</v>
      </c>
      <c r="O306" s="305" t="str">
        <f t="shared" si="88"/>
        <v>Yes</v>
      </c>
      <c r="P306" s="304">
        <f t="shared" si="93"/>
        <v>1</v>
      </c>
      <c r="S306" s="287"/>
      <c r="V306" s="305"/>
      <c r="W306" s="304">
        <f t="shared" si="94"/>
        <v>0</v>
      </c>
      <c r="Z306" s="316"/>
    </row>
    <row r="307" spans="1:26">
      <c r="A307" s="184">
        <v>296</v>
      </c>
      <c r="B307" s="1">
        <f t="shared" si="95"/>
        <v>39961</v>
      </c>
      <c r="D307" s="2">
        <v>27585.62</v>
      </c>
      <c r="E307" s="2">
        <v>27585.62</v>
      </c>
      <c r="F307" s="2">
        <f t="shared" si="98"/>
        <v>307.97999999999956</v>
      </c>
      <c r="G307" s="188">
        <f t="shared" si="90"/>
        <v>1.1290566192676543E-2</v>
      </c>
      <c r="H307" s="2">
        <f t="shared" si="97"/>
        <v>4729.7700000000004</v>
      </c>
      <c r="I307" s="188">
        <f t="shared" si="92"/>
        <v>0.20693914249524736</v>
      </c>
      <c r="L307" s="287">
        <v>919.13990000000001</v>
      </c>
      <c r="M307" s="188">
        <f t="shared" si="96"/>
        <v>3.6234385569334782E-2</v>
      </c>
      <c r="N307" s="188">
        <f t="shared" si="87"/>
        <v>-1.176253655599524E-2</v>
      </c>
      <c r="O307" s="305" t="str">
        <f t="shared" si="88"/>
        <v>No</v>
      </c>
      <c r="P307" s="304">
        <f t="shared" si="93"/>
        <v>0</v>
      </c>
      <c r="S307" s="287"/>
      <c r="V307" s="305"/>
      <c r="W307" s="304">
        <f t="shared" si="94"/>
        <v>0</v>
      </c>
      <c r="Z307" s="316"/>
    </row>
    <row r="308" spans="1:26">
      <c r="A308" s="184">
        <v>297</v>
      </c>
      <c r="B308" s="1">
        <f t="shared" si="95"/>
        <v>39968</v>
      </c>
      <c r="D308" s="2">
        <v>28232.87</v>
      </c>
      <c r="E308" s="2">
        <v>28232.87</v>
      </c>
      <c r="F308" s="2">
        <f t="shared" si="98"/>
        <v>647.25</v>
      </c>
      <c r="G308" s="188">
        <f t="shared" si="90"/>
        <v>2.3463311681956034E-2</v>
      </c>
      <c r="H308" s="2">
        <f t="shared" si="97"/>
        <v>5377.02</v>
      </c>
      <c r="I308" s="188">
        <f t="shared" si="92"/>
        <v>0.23525793177676624</v>
      </c>
      <c r="L308" s="287">
        <v>940.08979999999997</v>
      </c>
      <c r="M308" s="188">
        <f t="shared" si="96"/>
        <v>2.2792939355586572E-2</v>
      </c>
      <c r="N308" s="188">
        <f t="shared" si="87"/>
        <v>1.0762300017202797E-2</v>
      </c>
      <c r="O308" s="305" t="str">
        <f t="shared" si="88"/>
        <v>Yes</v>
      </c>
      <c r="P308" s="304">
        <f t="shared" si="93"/>
        <v>1</v>
      </c>
      <c r="S308" s="287"/>
      <c r="V308" s="305"/>
      <c r="W308" s="304">
        <f t="shared" si="94"/>
        <v>0</v>
      </c>
      <c r="Z308" s="316"/>
    </row>
    <row r="309" spans="1:26">
      <c r="A309" s="184">
        <v>298</v>
      </c>
      <c r="B309" s="1">
        <f t="shared" si="95"/>
        <v>39975</v>
      </c>
      <c r="D309" s="2">
        <v>30020.61</v>
      </c>
      <c r="E309" s="2">
        <v>30020.61</v>
      </c>
      <c r="F309" s="2">
        <f t="shared" si="98"/>
        <v>1787.7400000000016</v>
      </c>
      <c r="G309" s="188">
        <f t="shared" si="90"/>
        <v>6.3321228057934054E-2</v>
      </c>
      <c r="H309" s="2">
        <f t="shared" si="97"/>
        <v>7164.760000000002</v>
      </c>
      <c r="I309" s="188">
        <f t="shared" si="92"/>
        <v>0.3134759809851746</v>
      </c>
      <c r="L309" s="287">
        <v>946.21</v>
      </c>
      <c r="M309" s="188">
        <f t="shared" si="96"/>
        <v>6.5102291291747605E-3</v>
      </c>
      <c r="N309" s="188">
        <f t="shared" si="87"/>
        <v>1.7342594185446369E-2</v>
      </c>
      <c r="O309" s="305" t="str">
        <f t="shared" si="88"/>
        <v>Yes</v>
      </c>
      <c r="P309" s="304">
        <f t="shared" si="93"/>
        <v>1</v>
      </c>
      <c r="S309" s="287"/>
      <c r="V309" s="305"/>
      <c r="W309" s="304">
        <f t="shared" si="94"/>
        <v>0</v>
      </c>
      <c r="Z309" s="316"/>
    </row>
    <row r="310" spans="1:26">
      <c r="A310" s="184">
        <v>299</v>
      </c>
      <c r="B310" s="1">
        <f t="shared" si="95"/>
        <v>39982</v>
      </c>
      <c r="D310" s="2">
        <v>28299.49</v>
      </c>
      <c r="E310" s="2">
        <v>28299.49</v>
      </c>
      <c r="F310" s="2">
        <f t="shared" si="98"/>
        <v>-1721.119999999999</v>
      </c>
      <c r="G310" s="188">
        <f t="shared" si="90"/>
        <v>-5.7331280077253521E-2</v>
      </c>
      <c r="H310" s="2">
        <f t="shared" si="97"/>
        <v>5443.6400000000031</v>
      </c>
      <c r="I310" s="188">
        <f t="shared" si="92"/>
        <v>0.23817272164456815</v>
      </c>
      <c r="L310" s="287">
        <v>921.23</v>
      </c>
      <c r="M310" s="188">
        <f t="shared" si="96"/>
        <v>-2.6400059183479319E-2</v>
      </c>
      <c r="N310" s="188">
        <f t="shared" si="87"/>
        <v>-9.5153105109238023E-3</v>
      </c>
      <c r="O310" s="305" t="str">
        <f t="shared" si="88"/>
        <v>No</v>
      </c>
      <c r="P310" s="304">
        <f t="shared" si="93"/>
        <v>0</v>
      </c>
      <c r="S310" s="287"/>
      <c r="V310" s="305"/>
      <c r="W310" s="304">
        <f t="shared" si="94"/>
        <v>0</v>
      </c>
      <c r="Z310" s="316"/>
    </row>
    <row r="311" spans="1:26">
      <c r="A311" s="184">
        <v>300</v>
      </c>
      <c r="B311" s="1">
        <f t="shared" si="95"/>
        <v>39989</v>
      </c>
      <c r="D311" s="2">
        <v>28207.85</v>
      </c>
      <c r="E311" s="2">
        <v>28207.85</v>
      </c>
      <c r="F311" s="2">
        <f t="shared" si="98"/>
        <v>-91.640000000003056</v>
      </c>
      <c r="G311" s="188">
        <f t="shared" si="90"/>
        <v>-3.2382209008008367E-3</v>
      </c>
      <c r="H311" s="2">
        <f t="shared" si="97"/>
        <v>5352</v>
      </c>
      <c r="I311" s="188">
        <f t="shared" si="92"/>
        <v>0.23416324485853734</v>
      </c>
      <c r="L311" s="287">
        <v>918.8999</v>
      </c>
      <c r="M311" s="188">
        <f t="shared" si="96"/>
        <v>-2.5293357793385596E-3</v>
      </c>
      <c r="N311" s="188">
        <f t="shared" si="87"/>
        <v>-1.2020578874935572E-2</v>
      </c>
      <c r="O311" s="305" t="str">
        <f t="shared" si="88"/>
        <v>No</v>
      </c>
      <c r="P311" s="304">
        <f t="shared" si="93"/>
        <v>0</v>
      </c>
      <c r="S311" s="287"/>
      <c r="V311" s="305"/>
      <c r="W311" s="304">
        <f t="shared" si="94"/>
        <v>0</v>
      </c>
      <c r="Z311" s="316"/>
    </row>
    <row r="312" spans="1:26">
      <c r="A312" s="184">
        <v>301</v>
      </c>
      <c r="B312" s="1">
        <f t="shared" si="95"/>
        <v>39996</v>
      </c>
      <c r="D312" s="2">
        <v>28313.53</v>
      </c>
      <c r="E312" s="2">
        <v>28313.53</v>
      </c>
      <c r="F312" s="2">
        <f t="shared" si="98"/>
        <v>105.68000000000029</v>
      </c>
      <c r="G312" s="188">
        <f t="shared" si="90"/>
        <v>3.7464748288154048E-3</v>
      </c>
      <c r="H312" s="2">
        <f t="shared" si="97"/>
        <v>5457.68</v>
      </c>
      <c r="I312" s="188">
        <f t="shared" si="92"/>
        <v>0.23878700639004902</v>
      </c>
      <c r="L312" s="287">
        <v>896.41989999999998</v>
      </c>
      <c r="M312" s="188">
        <f t="shared" si="96"/>
        <v>-2.4464035745351609E-2</v>
      </c>
      <c r="N312" s="188">
        <f t="shared" si="87"/>
        <v>-3.6190542749010901E-2</v>
      </c>
      <c r="O312" s="305" t="str">
        <f t="shared" si="88"/>
        <v>Yes</v>
      </c>
      <c r="P312" s="304">
        <f t="shared" si="93"/>
        <v>1</v>
      </c>
      <c r="S312" s="287"/>
      <c r="V312" s="305"/>
      <c r="W312" s="304">
        <f t="shared" si="94"/>
        <v>0</v>
      </c>
      <c r="Z312" s="316"/>
    </row>
    <row r="313" spans="1:26">
      <c r="A313" s="184">
        <v>302</v>
      </c>
      <c r="B313" s="1">
        <f t="shared" si="95"/>
        <v>40003</v>
      </c>
      <c r="D313" s="2">
        <v>26996</v>
      </c>
      <c r="E313" s="2">
        <v>26996</v>
      </c>
      <c r="F313" s="2">
        <f t="shared" si="98"/>
        <v>-1317.5299999999988</v>
      </c>
      <c r="G313" s="188">
        <f t="shared" si="90"/>
        <v>-4.6533583060819339E-2</v>
      </c>
      <c r="H313" s="2">
        <f t="shared" si="97"/>
        <v>4140.1500000000015</v>
      </c>
      <c r="I313" s="188">
        <f t="shared" si="92"/>
        <v>0.18114180833353388</v>
      </c>
      <c r="L313" s="287">
        <v>879.12990000000002</v>
      </c>
      <c r="M313" s="188">
        <f t="shared" si="96"/>
        <v>-1.9287835979544865E-2</v>
      </c>
      <c r="N313" s="188">
        <f t="shared" si="87"/>
        <v>-5.4780341476002081E-2</v>
      </c>
      <c r="O313" s="305" t="str">
        <f t="shared" si="88"/>
        <v>No</v>
      </c>
      <c r="P313" s="304">
        <f t="shared" si="93"/>
        <v>0</v>
      </c>
      <c r="S313" s="287"/>
      <c r="V313" s="305"/>
      <c r="W313" s="304">
        <f t="shared" si="94"/>
        <v>0</v>
      </c>
      <c r="Z313" s="316"/>
    </row>
    <row r="314" spans="1:26">
      <c r="A314" s="184">
        <v>303</v>
      </c>
      <c r="B314" s="1">
        <f t="shared" si="95"/>
        <v>40010</v>
      </c>
      <c r="D314" s="2">
        <v>28677.91</v>
      </c>
      <c r="E314" s="2">
        <v>28677.91</v>
      </c>
      <c r="F314" s="2">
        <f t="shared" si="98"/>
        <v>1681.9099999999999</v>
      </c>
      <c r="G314" s="188">
        <f t="shared" si="90"/>
        <v>6.230219291746919E-2</v>
      </c>
      <c r="H314" s="2">
        <f t="shared" si="97"/>
        <v>5822.0600000000013</v>
      </c>
      <c r="I314" s="188">
        <f t="shared" si="92"/>
        <v>0.25472953313921831</v>
      </c>
      <c r="L314" s="287">
        <v>940.37990000000002</v>
      </c>
      <c r="M314" s="188">
        <f t="shared" si="96"/>
        <v>6.9671160086808515E-2</v>
      </c>
      <c r="N314" s="188">
        <f t="shared" si="87"/>
        <v>1.1074208670221797E-2</v>
      </c>
      <c r="O314" s="305" t="str">
        <f t="shared" si="88"/>
        <v>No</v>
      </c>
      <c r="P314" s="304">
        <f t="shared" si="93"/>
        <v>0</v>
      </c>
      <c r="S314" s="287"/>
      <c r="V314" s="305"/>
      <c r="W314" s="304">
        <f t="shared" si="94"/>
        <v>0</v>
      </c>
      <c r="Z314" s="316"/>
    </row>
    <row r="315" spans="1:26">
      <c r="A315" s="184">
        <v>304</v>
      </c>
      <c r="B315" s="1">
        <f t="shared" si="95"/>
        <v>40017</v>
      </c>
      <c r="D315" s="2">
        <v>29702.58</v>
      </c>
      <c r="E315" s="2">
        <v>29702.58</v>
      </c>
      <c r="F315" s="2">
        <f t="shared" si="98"/>
        <v>1024.6700000000019</v>
      </c>
      <c r="G315" s="188">
        <f t="shared" si="90"/>
        <v>3.5730288574028046E-2</v>
      </c>
      <c r="H315" s="2">
        <f t="shared" si="97"/>
        <v>6846.7300000000032</v>
      </c>
      <c r="I315" s="188">
        <f t="shared" si="92"/>
        <v>0.29956138144063793</v>
      </c>
      <c r="L315" s="287">
        <v>979.25980000000004</v>
      </c>
      <c r="M315" s="188">
        <f t="shared" si="96"/>
        <v>4.1344886252885793E-2</v>
      </c>
      <c r="N315" s="188">
        <f t="shared" si="87"/>
        <v>5.2876956820918641E-2</v>
      </c>
      <c r="O315" s="305" t="str">
        <f t="shared" si="88"/>
        <v>No</v>
      </c>
      <c r="P315" s="304">
        <f t="shared" si="93"/>
        <v>0</v>
      </c>
      <c r="S315" s="287"/>
      <c r="V315" s="305"/>
      <c r="W315" s="304">
        <f t="shared" si="94"/>
        <v>0</v>
      </c>
      <c r="Z315" s="316"/>
    </row>
    <row r="316" spans="1:26">
      <c r="A316" s="184">
        <v>305</v>
      </c>
      <c r="B316" s="1">
        <f t="shared" si="95"/>
        <v>40024</v>
      </c>
      <c r="D316" s="2">
        <v>29917.360000000001</v>
      </c>
      <c r="E316" s="2">
        <v>29917.360000000001</v>
      </c>
      <c r="F316" s="2">
        <f t="shared" si="98"/>
        <v>214.77999999999884</v>
      </c>
      <c r="G316" s="188">
        <f t="shared" si="90"/>
        <v>7.2310216822915052E-3</v>
      </c>
      <c r="H316" s="2">
        <f t="shared" si="97"/>
        <v>7061.510000000002</v>
      </c>
      <c r="I316" s="188">
        <f t="shared" si="92"/>
        <v>0.30895853796730388</v>
      </c>
      <c r="L316" s="287">
        <v>987.48</v>
      </c>
      <c r="M316" s="188">
        <f t="shared" si="96"/>
        <v>8.3942994494412559E-3</v>
      </c>
      <c r="N316" s="188">
        <f t="shared" si="87"/>
        <v>6.1715121279889873E-2</v>
      </c>
      <c r="O316" s="305" t="str">
        <f t="shared" si="88"/>
        <v>No</v>
      </c>
      <c r="P316" s="304">
        <f t="shared" si="93"/>
        <v>0</v>
      </c>
      <c r="S316" s="287"/>
      <c r="V316" s="305"/>
      <c r="W316" s="304">
        <f t="shared" si="94"/>
        <v>0</v>
      </c>
      <c r="Z316" s="316"/>
    </row>
    <row r="317" spans="1:26">
      <c r="A317" s="184">
        <v>306</v>
      </c>
      <c r="B317" s="1">
        <f t="shared" si="95"/>
        <v>40031</v>
      </c>
      <c r="D317" s="2">
        <v>30051.040000000001</v>
      </c>
      <c r="E317" s="2">
        <v>30051.040000000001</v>
      </c>
      <c r="F317" s="2">
        <f t="shared" si="98"/>
        <v>133.68000000000029</v>
      </c>
      <c r="G317" s="188">
        <f t="shared" si="90"/>
        <v>4.4683087010350953E-3</v>
      </c>
      <c r="H317" s="2">
        <f t="shared" si="97"/>
        <v>7195.1900000000023</v>
      </c>
      <c r="I317" s="188">
        <f t="shared" si="92"/>
        <v>0.31480736879179738</v>
      </c>
      <c r="L317" s="287">
        <v>1010.48</v>
      </c>
      <c r="M317" s="188">
        <f t="shared" si="96"/>
        <v>2.3291610969336185E-2</v>
      </c>
      <c r="N317" s="188">
        <f t="shared" si="87"/>
        <v>8.6444176845002607E-2</v>
      </c>
      <c r="O317" s="305" t="str">
        <f t="shared" si="88"/>
        <v>No</v>
      </c>
      <c r="P317" s="304">
        <f t="shared" si="93"/>
        <v>0</v>
      </c>
      <c r="S317" s="287"/>
      <c r="V317" s="305"/>
      <c r="W317" s="304">
        <f t="shared" si="94"/>
        <v>0</v>
      </c>
      <c r="Z317" s="316"/>
    </row>
    <row r="318" spans="1:26">
      <c r="A318" s="184">
        <v>307</v>
      </c>
      <c r="B318" s="1">
        <f t="shared" si="95"/>
        <v>40038</v>
      </c>
      <c r="D318" s="2">
        <v>30831.17</v>
      </c>
      <c r="E318" s="2">
        <v>30831.17</v>
      </c>
      <c r="F318" s="2">
        <f t="shared" si="98"/>
        <v>780.12999999999738</v>
      </c>
      <c r="G318" s="188">
        <f t="shared" si="90"/>
        <v>2.5960166436835408E-2</v>
      </c>
      <c r="H318" s="2">
        <f t="shared" si="97"/>
        <v>7975.32</v>
      </c>
      <c r="I318" s="188">
        <f t="shared" si="92"/>
        <v>0.34893998691801009</v>
      </c>
      <c r="L318" s="287">
        <v>1004.0898</v>
      </c>
      <c r="M318" s="188">
        <f t="shared" si="96"/>
        <v>-6.3239252632413256E-3</v>
      </c>
      <c r="N318" s="188">
        <f t="shared" si="87"/>
        <v>7.9573585067951091E-2</v>
      </c>
      <c r="O318" s="305" t="str">
        <f t="shared" si="88"/>
        <v>Yes</v>
      </c>
      <c r="P318" s="304">
        <f t="shared" si="93"/>
        <v>1</v>
      </c>
      <c r="S318" s="287"/>
      <c r="V318" s="305"/>
      <c r="W318" s="304">
        <f t="shared" si="94"/>
        <v>0</v>
      </c>
      <c r="Z318" s="316"/>
    </row>
    <row r="319" spans="1:26">
      <c r="A319" s="185">
        <f>A318+1</f>
        <v>308</v>
      </c>
      <c r="B319" s="1">
        <f t="shared" si="95"/>
        <v>40045</v>
      </c>
      <c r="D319" s="2">
        <v>30445.3613</v>
      </c>
      <c r="E319" s="2">
        <v>30445.3613</v>
      </c>
      <c r="F319" s="2">
        <f t="shared" si="98"/>
        <v>-385.80869999999777</v>
      </c>
      <c r="G319" s="188">
        <f t="shared" si="90"/>
        <v>-1.2513592575306043E-2</v>
      </c>
      <c r="H319" s="2">
        <f t="shared" si="97"/>
        <v>7589.5113000000019</v>
      </c>
      <c r="I319" s="188">
        <f t="shared" si="92"/>
        <v>0.33205990151317955</v>
      </c>
      <c r="L319" s="287">
        <v>1026.1298999999999</v>
      </c>
      <c r="M319" s="188">
        <f t="shared" si="96"/>
        <v>2.1950327550384285E-2</v>
      </c>
      <c r="N319" s="188">
        <f t="shared" si="87"/>
        <v>0.10327057887493529</v>
      </c>
      <c r="O319" s="305" t="str">
        <f t="shared" si="88"/>
        <v>No</v>
      </c>
      <c r="P319" s="304">
        <f t="shared" si="93"/>
        <v>0</v>
      </c>
      <c r="S319" s="287"/>
      <c r="V319" s="305"/>
      <c r="W319" s="304">
        <f t="shared" si="94"/>
        <v>0</v>
      </c>
      <c r="Z319" s="316"/>
    </row>
    <row r="320" spans="1:26">
      <c r="A320" s="184">
        <v>308</v>
      </c>
      <c r="B320" s="1">
        <f t="shared" si="95"/>
        <v>40052</v>
      </c>
      <c r="D320" s="2">
        <v>30705.94</v>
      </c>
      <c r="E320" s="2">
        <v>30705.94</v>
      </c>
      <c r="F320" s="2">
        <f t="shared" si="98"/>
        <v>260.57869999999821</v>
      </c>
      <c r="G320" s="188">
        <f t="shared" si="90"/>
        <v>8.5588966224552365E-3</v>
      </c>
      <c r="H320" s="2">
        <f t="shared" si="97"/>
        <v>7850.09</v>
      </c>
      <c r="I320" s="188">
        <f t="shared" si="92"/>
        <v>0.34346086450514868</v>
      </c>
      <c r="L320" s="287">
        <v>1028.9299000000001</v>
      </c>
      <c r="M320" s="188">
        <f t="shared" si="96"/>
        <v>2.728699358629072E-3</v>
      </c>
      <c r="N320" s="188">
        <f t="shared" si="87"/>
        <v>0.1062810725959058</v>
      </c>
      <c r="O320" s="305" t="str">
        <f t="shared" si="88"/>
        <v>Yes</v>
      </c>
      <c r="P320" s="304">
        <f t="shared" si="93"/>
        <v>1</v>
      </c>
      <c r="S320" s="287"/>
      <c r="V320" s="305"/>
      <c r="W320" s="304">
        <f t="shared" si="94"/>
        <v>0</v>
      </c>
      <c r="Z320" s="316"/>
    </row>
    <row r="321" spans="1:26">
      <c r="A321" s="184">
        <v>309</v>
      </c>
      <c r="B321" s="1">
        <f t="shared" si="95"/>
        <v>40059</v>
      </c>
      <c r="D321" s="189">
        <v>30696.06</v>
      </c>
      <c r="E321" s="2">
        <v>30696.06</v>
      </c>
      <c r="F321" s="2">
        <f t="shared" si="98"/>
        <v>-9.8799999999973807</v>
      </c>
      <c r="G321" s="188">
        <f t="shared" si="90"/>
        <v>-3.2176184803323071E-4</v>
      </c>
      <c r="H321" s="2">
        <f t="shared" si="97"/>
        <v>7840.2100000000028</v>
      </c>
      <c r="I321" s="188">
        <f t="shared" si="92"/>
        <v>0.34302859005462505</v>
      </c>
      <c r="L321" s="287">
        <v>1016.3999</v>
      </c>
      <c r="M321" s="188">
        <f t="shared" si="96"/>
        <v>-1.2177700346738929E-2</v>
      </c>
      <c r="N321" s="188">
        <f t="shared" si="87"/>
        <v>9.2809113194563864E-2</v>
      </c>
      <c r="O321" s="305" t="str">
        <f t="shared" si="88"/>
        <v>Yes</v>
      </c>
      <c r="P321" s="304">
        <f t="shared" si="93"/>
        <v>1</v>
      </c>
      <c r="S321" s="287"/>
      <c r="V321" s="305"/>
      <c r="W321" s="304">
        <f t="shared" si="94"/>
        <v>0</v>
      </c>
      <c r="Z321" s="316"/>
    </row>
    <row r="322" spans="1:26">
      <c r="A322" s="184">
        <v>310</v>
      </c>
      <c r="B322" s="1">
        <f t="shared" si="95"/>
        <v>40066</v>
      </c>
      <c r="D322" s="190">
        <v>31817.5</v>
      </c>
      <c r="E322" s="190">
        <v>31817.5</v>
      </c>
      <c r="F322" s="2">
        <f t="shared" si="98"/>
        <v>1121.4399999999987</v>
      </c>
      <c r="G322" s="188">
        <f t="shared" si="90"/>
        <v>3.653367891514403E-2</v>
      </c>
      <c r="H322" s="2">
        <f t="shared" si="97"/>
        <v>8961.6500000000015</v>
      </c>
      <c r="I322" s="188">
        <f t="shared" si="92"/>
        <v>0.3920943653375395</v>
      </c>
      <c r="L322" s="287">
        <v>1042.73</v>
      </c>
      <c r="M322" s="188">
        <f t="shared" si="96"/>
        <v>2.5905256385798658E-2</v>
      </c>
      <c r="N322" s="188">
        <f t="shared" si="87"/>
        <v>0.12111861345260611</v>
      </c>
      <c r="O322" s="305" t="str">
        <f t="shared" si="88"/>
        <v>Yes</v>
      </c>
      <c r="P322" s="304">
        <f t="shared" si="93"/>
        <v>1</v>
      </c>
      <c r="S322" s="287"/>
      <c r="V322" s="305"/>
      <c r="W322" s="304">
        <f t="shared" si="94"/>
        <v>0</v>
      </c>
      <c r="Z322" s="316"/>
    </row>
    <row r="323" spans="1:26">
      <c r="A323" s="184">
        <v>311</v>
      </c>
      <c r="B323" s="1">
        <f t="shared" si="95"/>
        <v>40073</v>
      </c>
      <c r="D323" s="2">
        <v>32359.077969999998</v>
      </c>
      <c r="E323" s="2">
        <v>32359.077969999998</v>
      </c>
      <c r="F323" s="2">
        <f t="shared" si="98"/>
        <v>541.57796999999846</v>
      </c>
      <c r="G323" s="188">
        <f t="shared" si="90"/>
        <v>1.7021386658285564E-2</v>
      </c>
      <c r="H323" s="2">
        <f t="shared" si="97"/>
        <v>9503.2279699999999</v>
      </c>
      <c r="I323" s="188">
        <f t="shared" si="92"/>
        <v>0.41578974179477024</v>
      </c>
      <c r="L323" s="287">
        <v>1068.2998</v>
      </c>
      <c r="M323" s="188">
        <f t="shared" si="96"/>
        <v>2.4521975966932841E-2</v>
      </c>
      <c r="N323" s="188">
        <f t="shared" si="87"/>
        <v>0.14861065714777211</v>
      </c>
      <c r="O323" s="305" t="str">
        <f t="shared" si="88"/>
        <v>No</v>
      </c>
      <c r="P323" s="304">
        <f t="shared" si="93"/>
        <v>0</v>
      </c>
      <c r="S323" s="287"/>
      <c r="V323" s="305"/>
      <c r="W323" s="304">
        <f t="shared" si="94"/>
        <v>0</v>
      </c>
      <c r="Z323" s="316"/>
    </row>
    <row r="324" spans="1:26">
      <c r="A324" s="184">
        <v>312</v>
      </c>
      <c r="B324" s="1">
        <f t="shared" si="95"/>
        <v>40080</v>
      </c>
      <c r="D324" s="2">
        <v>31627.79</v>
      </c>
      <c r="E324" s="2">
        <v>31627.79</v>
      </c>
      <c r="F324" s="2">
        <f t="shared" ref="F324:F329" si="99">E324-E323</f>
        <v>-731.28796999999759</v>
      </c>
      <c r="G324" s="188">
        <f t="shared" ref="G324:G329" si="100">(E324/E323)-1</f>
        <v>-2.2599159675623981E-2</v>
      </c>
      <c r="H324" s="2">
        <f t="shared" ref="H324:H329" si="101">E324-$D$3</f>
        <v>8771.9400000000023</v>
      </c>
      <c r="I324" s="188">
        <f t="shared" ref="I324:I329" si="102">(E324/$D$3)-1</f>
        <v>0.38379408335283971</v>
      </c>
      <c r="L324" s="287">
        <v>1044.3798999999999</v>
      </c>
      <c r="M324" s="188">
        <f t="shared" ref="M324:M330" si="103">(L324/L323)-1</f>
        <v>-2.2390624804011106E-2</v>
      </c>
      <c r="N324" s="188">
        <f t="shared" ref="N324:N387" si="104">(L324/$L$3)-1</f>
        <v>0.1228925468776878</v>
      </c>
      <c r="O324" s="305" t="str">
        <f t="shared" ref="O324:O387" si="105">IF(G324&gt;M324,"Yes","No")</f>
        <v>No</v>
      </c>
      <c r="P324" s="304">
        <f t="shared" si="93"/>
        <v>0</v>
      </c>
      <c r="S324" s="287"/>
      <c r="V324" s="305"/>
      <c r="W324" s="304">
        <f t="shared" si="94"/>
        <v>0</v>
      </c>
      <c r="Z324" s="316"/>
    </row>
    <row r="325" spans="1:26">
      <c r="A325" s="184">
        <v>313</v>
      </c>
      <c r="B325" s="1">
        <f t="shared" si="95"/>
        <v>40087</v>
      </c>
      <c r="D325" s="191">
        <v>31130.51</v>
      </c>
      <c r="E325" s="190">
        <v>31130.51</v>
      </c>
      <c r="F325" s="2">
        <f t="shared" si="99"/>
        <v>-497.28000000000247</v>
      </c>
      <c r="G325" s="188">
        <f t="shared" si="100"/>
        <v>-1.572288168095215E-2</v>
      </c>
      <c r="H325" s="2">
        <f t="shared" si="101"/>
        <v>8274.66</v>
      </c>
      <c r="I325" s="188">
        <f t="shared" si="102"/>
        <v>0.36203685270948149</v>
      </c>
      <c r="L325" s="287">
        <v>1025.21</v>
      </c>
      <c r="M325" s="188">
        <f t="shared" si="103"/>
        <v>-1.8355293892576729E-2</v>
      </c>
      <c r="N325" s="188">
        <f t="shared" si="104"/>
        <v>0.10228152416996394</v>
      </c>
      <c r="O325" s="305" t="str">
        <f t="shared" si="105"/>
        <v>Yes</v>
      </c>
      <c r="P325" s="304">
        <f t="shared" si="93"/>
        <v>1</v>
      </c>
      <c r="S325" s="287"/>
      <c r="V325" s="305"/>
      <c r="W325" s="304">
        <f t="shared" si="94"/>
        <v>0</v>
      </c>
      <c r="Z325" s="316"/>
    </row>
    <row r="326" spans="1:26">
      <c r="A326" s="184">
        <v>314</v>
      </c>
      <c r="B326" s="1">
        <f t="shared" si="95"/>
        <v>40094</v>
      </c>
      <c r="D326" s="2">
        <v>32453.32</v>
      </c>
      <c r="E326" s="2">
        <v>32453.32</v>
      </c>
      <c r="F326" s="2">
        <f t="shared" si="99"/>
        <v>1322.8100000000013</v>
      </c>
      <c r="G326" s="188">
        <f t="shared" si="100"/>
        <v>4.2492397329822129E-2</v>
      </c>
      <c r="H326" s="2">
        <f t="shared" si="101"/>
        <v>9597.4700000000012</v>
      </c>
      <c r="I326" s="188">
        <f t="shared" si="102"/>
        <v>0.41991306383267313</v>
      </c>
      <c r="L326" s="287">
        <v>1071.49</v>
      </c>
      <c r="M326" s="188">
        <f t="shared" si="103"/>
        <v>4.5141970913276319E-2</v>
      </c>
      <c r="N326" s="188">
        <f t="shared" si="104"/>
        <v>0.15204068467228615</v>
      </c>
      <c r="O326" s="305" t="str">
        <f t="shared" si="105"/>
        <v>No</v>
      </c>
      <c r="P326" s="304">
        <f t="shared" ref="P326:P389" si="106">IF(O326="Yes",1,0)</f>
        <v>0</v>
      </c>
      <c r="S326" s="287"/>
      <c r="V326" s="305"/>
      <c r="W326" s="304">
        <f t="shared" ref="W326:W389" si="107">IF(V326="Yes",1,0)</f>
        <v>0</v>
      </c>
      <c r="Z326" s="316"/>
    </row>
    <row r="327" spans="1:26">
      <c r="A327" s="184">
        <v>315</v>
      </c>
      <c r="B327" s="1">
        <f t="shared" si="95"/>
        <v>40101</v>
      </c>
      <c r="D327" s="192">
        <v>33222.78</v>
      </c>
      <c r="E327" s="192">
        <v>33222.78</v>
      </c>
      <c r="F327" s="2">
        <f t="shared" si="99"/>
        <v>769.45999999999913</v>
      </c>
      <c r="G327" s="188">
        <f t="shared" si="100"/>
        <v>2.3709746799402964E-2</v>
      </c>
      <c r="H327" s="2">
        <f t="shared" si="101"/>
        <v>10366.93</v>
      </c>
      <c r="I327" s="188">
        <f t="shared" si="102"/>
        <v>0.45357884305331031</v>
      </c>
      <c r="L327" s="287">
        <v>1087.6799000000001</v>
      </c>
      <c r="M327" s="188">
        <f t="shared" si="103"/>
        <v>1.5109707043462928E-2</v>
      </c>
      <c r="N327" s="188">
        <f t="shared" si="104"/>
        <v>0.16944768191983495</v>
      </c>
      <c r="O327" s="305" t="str">
        <f t="shared" si="105"/>
        <v>Yes</v>
      </c>
      <c r="P327" s="304">
        <f t="shared" si="106"/>
        <v>1</v>
      </c>
      <c r="S327" s="287"/>
      <c r="V327" s="305"/>
      <c r="W327" s="304">
        <f t="shared" si="107"/>
        <v>0</v>
      </c>
      <c r="Z327" s="316"/>
    </row>
    <row r="328" spans="1:26">
      <c r="A328" s="184">
        <v>316</v>
      </c>
      <c r="B328" s="1">
        <f t="shared" si="95"/>
        <v>40108</v>
      </c>
      <c r="D328" s="2">
        <v>32919.43</v>
      </c>
      <c r="E328" s="2">
        <v>32919.43</v>
      </c>
      <c r="F328" s="2">
        <f t="shared" si="99"/>
        <v>-303.34999999999854</v>
      </c>
      <c r="G328" s="188">
        <f t="shared" si="100"/>
        <v>-9.130783155413158E-3</v>
      </c>
      <c r="H328" s="2">
        <f t="shared" si="101"/>
        <v>10063.580000000002</v>
      </c>
      <c r="I328" s="188">
        <f t="shared" si="102"/>
        <v>0.44030652983809415</v>
      </c>
      <c r="L328" s="287">
        <v>1079.5998999999999</v>
      </c>
      <c r="M328" s="188">
        <f t="shared" si="103"/>
        <v>-7.4286561698898579E-3</v>
      </c>
      <c r="N328" s="188">
        <f t="shared" si="104"/>
        <v>0.16076025718217779</v>
      </c>
      <c r="O328" s="305" t="str">
        <f t="shared" si="105"/>
        <v>No</v>
      </c>
      <c r="P328" s="304">
        <f t="shared" si="106"/>
        <v>0</v>
      </c>
      <c r="S328" s="287"/>
      <c r="V328" s="305"/>
      <c r="W328" s="304">
        <f t="shared" si="107"/>
        <v>0</v>
      </c>
      <c r="Z328" s="316"/>
    </row>
    <row r="329" spans="1:26">
      <c r="A329" s="184">
        <v>317</v>
      </c>
      <c r="B329" s="1">
        <f t="shared" si="95"/>
        <v>40115</v>
      </c>
      <c r="D329" s="2">
        <v>32396.959999999999</v>
      </c>
      <c r="E329" s="2">
        <v>32396.959999999999</v>
      </c>
      <c r="F329" s="2">
        <f t="shared" si="99"/>
        <v>-522.47000000000116</v>
      </c>
      <c r="G329" s="188">
        <f t="shared" si="100"/>
        <v>-1.5871173954105533E-2</v>
      </c>
      <c r="H329" s="2">
        <f t="shared" si="101"/>
        <v>9541.11</v>
      </c>
      <c r="I329" s="188">
        <f t="shared" si="102"/>
        <v>0.41744717435579948</v>
      </c>
      <c r="L329" s="287">
        <v>1036.1899000000001</v>
      </c>
      <c r="M329" s="188">
        <f t="shared" si="103"/>
        <v>-4.0209340515870662E-2</v>
      </c>
      <c r="N329" s="188">
        <f t="shared" si="104"/>
        <v>0.11408685274385011</v>
      </c>
      <c r="O329" s="305" t="str">
        <f t="shared" si="105"/>
        <v>Yes</v>
      </c>
      <c r="P329" s="304">
        <f t="shared" si="106"/>
        <v>1</v>
      </c>
      <c r="S329" s="287"/>
      <c r="V329" s="305"/>
      <c r="W329" s="304">
        <f t="shared" si="107"/>
        <v>0</v>
      </c>
      <c r="Z329" s="316"/>
    </row>
    <row r="330" spans="1:26">
      <c r="A330" s="184">
        <v>318</v>
      </c>
      <c r="B330" s="1">
        <f t="shared" si="95"/>
        <v>40122</v>
      </c>
      <c r="D330" s="2">
        <v>32628.34</v>
      </c>
      <c r="E330" s="2">
        <v>32628.34</v>
      </c>
      <c r="F330" s="2">
        <f t="shared" ref="F330:F335" si="108">E330-E329</f>
        <v>231.38000000000102</v>
      </c>
      <c r="G330" s="188">
        <f t="shared" ref="G330:G335" si="109">(E330/E329)-1</f>
        <v>7.1420281409120268E-3</v>
      </c>
      <c r="H330" s="2">
        <f t="shared" ref="H330:H335" si="110">E330-$D$3</f>
        <v>9772.4900000000016</v>
      </c>
      <c r="I330" s="188">
        <f t="shared" ref="I330:I335" si="111">(E330/$D$3)-1</f>
        <v>0.42757062196330486</v>
      </c>
      <c r="L330" s="287">
        <v>1069.2998</v>
      </c>
      <c r="M330" s="188">
        <f t="shared" si="103"/>
        <v>3.1953505819734218E-2</v>
      </c>
      <c r="N330" s="188">
        <f t="shared" si="104"/>
        <v>0.14968583347669018</v>
      </c>
      <c r="O330" s="305" t="str">
        <f t="shared" si="105"/>
        <v>No</v>
      </c>
      <c r="P330" s="304">
        <f t="shared" si="106"/>
        <v>0</v>
      </c>
      <c r="S330" s="287"/>
      <c r="V330" s="305"/>
      <c r="W330" s="304">
        <f t="shared" si="107"/>
        <v>0</v>
      </c>
      <c r="Z330" s="316"/>
    </row>
    <row r="331" spans="1:26">
      <c r="A331" s="184">
        <v>319</v>
      </c>
      <c r="B331" s="1">
        <f t="shared" ref="B331:B394" si="112">B330+7</f>
        <v>40129</v>
      </c>
      <c r="D331" s="2">
        <v>32834.629999999997</v>
      </c>
      <c r="E331" s="2">
        <v>32834.629999999997</v>
      </c>
      <c r="F331" s="2">
        <f t="shared" si="108"/>
        <v>206.28999999999724</v>
      </c>
      <c r="G331" s="188">
        <f t="shared" si="109"/>
        <v>6.322417873541708E-3</v>
      </c>
      <c r="H331" s="2">
        <f t="shared" si="110"/>
        <v>9978.7799999999988</v>
      </c>
      <c r="I331" s="188">
        <f t="shared" si="111"/>
        <v>0.43659631997934878</v>
      </c>
      <c r="L331" s="287">
        <v>1093.48</v>
      </c>
      <c r="M331" s="188">
        <f t="shared" ref="M331:M336" si="113">(L331/L330)-1</f>
        <v>2.2613115610794932E-2</v>
      </c>
      <c r="N331" s="188">
        <f t="shared" si="104"/>
        <v>0.1756838121451918</v>
      </c>
      <c r="O331" s="305" t="str">
        <f t="shared" si="105"/>
        <v>No</v>
      </c>
      <c r="P331" s="304">
        <f t="shared" si="106"/>
        <v>0</v>
      </c>
      <c r="S331" s="287"/>
      <c r="V331" s="305"/>
      <c r="W331" s="304">
        <f t="shared" si="107"/>
        <v>0</v>
      </c>
      <c r="Z331" s="316"/>
    </row>
    <row r="332" spans="1:26">
      <c r="A332" s="185">
        <f>A331+1</f>
        <v>320</v>
      </c>
      <c r="B332" s="1">
        <f t="shared" si="112"/>
        <v>40136</v>
      </c>
      <c r="D332" s="2">
        <v>32940.58</v>
      </c>
      <c r="E332" s="2">
        <v>32940.58</v>
      </c>
      <c r="F332" s="2">
        <f t="shared" si="108"/>
        <v>105.95000000000437</v>
      </c>
      <c r="G332" s="188">
        <f t="shared" si="109"/>
        <v>3.2267761202122713E-3</v>
      </c>
      <c r="H332" s="2">
        <f t="shared" si="110"/>
        <v>10084.730000000003</v>
      </c>
      <c r="I332" s="188">
        <f t="shared" si="111"/>
        <v>0.441231894679043</v>
      </c>
      <c r="L332" s="287">
        <v>1091.3798999999999</v>
      </c>
      <c r="M332" s="188">
        <f t="shared" si="113"/>
        <v>-1.9205655338918604E-3</v>
      </c>
      <c r="N332" s="188">
        <f t="shared" si="104"/>
        <v>0.17342583433683112</v>
      </c>
      <c r="O332" s="305" t="str">
        <f t="shared" si="105"/>
        <v>Yes</v>
      </c>
      <c r="P332" s="304">
        <f t="shared" si="106"/>
        <v>1</v>
      </c>
      <c r="S332" s="287"/>
      <c r="V332" s="305"/>
      <c r="W332" s="304">
        <f t="shared" si="107"/>
        <v>0</v>
      </c>
      <c r="Z332" s="316"/>
    </row>
    <row r="333" spans="1:26">
      <c r="A333" s="184">
        <v>320</v>
      </c>
      <c r="B333" s="1">
        <f t="shared" si="112"/>
        <v>40143</v>
      </c>
      <c r="D333" s="2">
        <v>33162.879999999997</v>
      </c>
      <c r="E333" s="2">
        <v>33162.879999999997</v>
      </c>
      <c r="F333" s="2">
        <f t="shared" si="108"/>
        <v>222.29999999999563</v>
      </c>
      <c r="G333" s="188">
        <f t="shared" si="109"/>
        <v>6.748515053468962E-3</v>
      </c>
      <c r="H333" s="2">
        <f t="shared" si="110"/>
        <v>10307.029999999999</v>
      </c>
      <c r="I333" s="188">
        <f t="shared" si="111"/>
        <v>0.45095806981582398</v>
      </c>
      <c r="L333" s="287">
        <v>1091.49</v>
      </c>
      <c r="M333" s="188">
        <f t="shared" si="113"/>
        <v>1.0088146208309112E-4</v>
      </c>
      <c r="N333" s="188">
        <f t="shared" si="104"/>
        <v>0.17354421125064512</v>
      </c>
      <c r="O333" s="305" t="str">
        <f t="shared" si="105"/>
        <v>Yes</v>
      </c>
      <c r="P333" s="304">
        <f t="shared" si="106"/>
        <v>1</v>
      </c>
      <c r="S333" s="287"/>
      <c r="V333" s="305"/>
      <c r="W333" s="304">
        <f t="shared" si="107"/>
        <v>0</v>
      </c>
      <c r="Z333" s="316"/>
    </row>
    <row r="334" spans="1:26">
      <c r="A334" s="184">
        <v>321</v>
      </c>
      <c r="B334" s="1">
        <f t="shared" si="112"/>
        <v>40150</v>
      </c>
      <c r="D334" s="2">
        <v>33422.098570000002</v>
      </c>
      <c r="E334" s="2">
        <v>33422.098570000002</v>
      </c>
      <c r="F334" s="2">
        <f t="shared" si="108"/>
        <v>259.21857000000455</v>
      </c>
      <c r="G334" s="188">
        <f t="shared" si="109"/>
        <v>7.8165276960264762E-3</v>
      </c>
      <c r="H334" s="2">
        <f t="shared" si="110"/>
        <v>10566.248570000003</v>
      </c>
      <c r="I334" s="188">
        <f t="shared" si="111"/>
        <v>0.4622995237543126</v>
      </c>
      <c r="L334" s="287">
        <v>1105.98</v>
      </c>
      <c r="M334" s="188">
        <f t="shared" si="113"/>
        <v>1.3275430833081359E-2</v>
      </c>
      <c r="N334" s="188">
        <f t="shared" si="104"/>
        <v>0.18912351625666601</v>
      </c>
      <c r="O334" s="305" t="str">
        <f t="shared" si="105"/>
        <v>No</v>
      </c>
      <c r="P334" s="304">
        <f t="shared" si="106"/>
        <v>0</v>
      </c>
      <c r="S334" s="287"/>
      <c r="V334" s="305"/>
      <c r="W334" s="304">
        <f t="shared" si="107"/>
        <v>0</v>
      </c>
      <c r="Z334" s="316"/>
    </row>
    <row r="335" spans="1:26">
      <c r="A335" s="184">
        <v>322</v>
      </c>
      <c r="B335" s="1">
        <f t="shared" si="112"/>
        <v>40157</v>
      </c>
      <c r="D335" s="2">
        <v>33495.21</v>
      </c>
      <c r="E335" s="2">
        <v>33495.21</v>
      </c>
      <c r="F335" s="2">
        <f t="shared" si="108"/>
        <v>73.111429999997199</v>
      </c>
      <c r="G335" s="188">
        <f t="shared" si="109"/>
        <v>2.187517634383962E-3</v>
      </c>
      <c r="H335" s="2">
        <f t="shared" si="110"/>
        <v>10639.36</v>
      </c>
      <c r="I335" s="188">
        <f t="shared" si="111"/>
        <v>0.46549832974927652</v>
      </c>
      <c r="L335" s="287">
        <v>1106.4099000000001</v>
      </c>
      <c r="M335" s="188">
        <f t="shared" si="113"/>
        <v>3.8870503987431526E-4</v>
      </c>
      <c r="N335" s="188">
        <f t="shared" si="104"/>
        <v>0.1895857345604679</v>
      </c>
      <c r="O335" s="305" t="str">
        <f t="shared" si="105"/>
        <v>Yes</v>
      </c>
      <c r="P335" s="304">
        <f t="shared" si="106"/>
        <v>1</v>
      </c>
      <c r="S335" s="287"/>
      <c r="V335" s="305"/>
      <c r="W335" s="304">
        <f t="shared" si="107"/>
        <v>0</v>
      </c>
      <c r="Z335" s="316"/>
    </row>
    <row r="336" spans="1:26">
      <c r="A336" s="184">
        <v>323</v>
      </c>
      <c r="B336" s="1">
        <f t="shared" si="112"/>
        <v>40164</v>
      </c>
      <c r="D336" s="2">
        <v>33398.01</v>
      </c>
      <c r="E336" s="2">
        <v>33398.01</v>
      </c>
      <c r="F336" s="2">
        <f t="shared" ref="F336:F341" si="114">E336-E335</f>
        <v>-97.19999999999709</v>
      </c>
      <c r="G336" s="188">
        <f t="shared" ref="G336:G341" si="115">(E336/E335)-1</f>
        <v>-2.9019074667689937E-3</v>
      </c>
      <c r="H336" s="2">
        <f t="shared" ref="H336:H341" si="116">E336-$D$3</f>
        <v>10542.160000000003</v>
      </c>
      <c r="I336" s="188">
        <f t="shared" ref="I336:I341" si="117">(E336/$D$3)-1</f>
        <v>0.46124558920363956</v>
      </c>
      <c r="L336" s="287">
        <v>1102.47</v>
      </c>
      <c r="M336" s="188">
        <f t="shared" si="113"/>
        <v>-3.5609768133854081E-3</v>
      </c>
      <c r="N336" s="188">
        <f t="shared" si="104"/>
        <v>0.18534964734216408</v>
      </c>
      <c r="O336" s="305" t="str">
        <f t="shared" si="105"/>
        <v>Yes</v>
      </c>
      <c r="P336" s="304">
        <f t="shared" si="106"/>
        <v>1</v>
      </c>
      <c r="S336" s="287"/>
      <c r="V336" s="305"/>
      <c r="W336" s="304">
        <f t="shared" si="107"/>
        <v>0</v>
      </c>
      <c r="Z336" s="316"/>
    </row>
    <row r="337" spans="1:26">
      <c r="A337" s="184">
        <v>324</v>
      </c>
      <c r="B337" s="1">
        <f t="shared" si="112"/>
        <v>40171</v>
      </c>
      <c r="D337" s="2">
        <v>34192.712800000001</v>
      </c>
      <c r="E337" s="2">
        <v>34192.712800000001</v>
      </c>
      <c r="F337" s="2">
        <f t="shared" si="114"/>
        <v>794.70279999999912</v>
      </c>
      <c r="G337" s="188">
        <f t="shared" si="115"/>
        <v>2.3794914726955163E-2</v>
      </c>
      <c r="H337" s="2">
        <f t="shared" si="116"/>
        <v>11336.862800000003</v>
      </c>
      <c r="I337" s="188">
        <f t="shared" si="117"/>
        <v>0.49601580339387952</v>
      </c>
      <c r="L337" s="287">
        <v>1126.48</v>
      </c>
      <c r="M337" s="188">
        <f t="shared" ref="M337:M343" si="118">(L337/L336)-1</f>
        <v>2.1778370386495771E-2</v>
      </c>
      <c r="N337" s="188">
        <f t="shared" si="104"/>
        <v>0.2111646309994839</v>
      </c>
      <c r="O337" s="305" t="str">
        <f t="shared" si="105"/>
        <v>Yes</v>
      </c>
      <c r="P337" s="304">
        <f t="shared" si="106"/>
        <v>1</v>
      </c>
      <c r="S337" s="287"/>
      <c r="V337" s="305"/>
      <c r="W337" s="304">
        <f t="shared" si="107"/>
        <v>0</v>
      </c>
      <c r="Z337" s="316"/>
    </row>
    <row r="338" spans="1:26">
      <c r="A338" s="184">
        <v>325</v>
      </c>
      <c r="B338" s="1">
        <f t="shared" si="112"/>
        <v>40178</v>
      </c>
      <c r="D338" s="2">
        <v>33849.141519999997</v>
      </c>
      <c r="E338" s="2">
        <v>33849.141519999997</v>
      </c>
      <c r="F338" s="2">
        <f t="shared" si="114"/>
        <v>-343.57128000000375</v>
      </c>
      <c r="G338" s="188">
        <f t="shared" si="115"/>
        <v>-1.0048084865615148E-2</v>
      </c>
      <c r="H338" s="2">
        <f t="shared" si="116"/>
        <v>10993.291519999999</v>
      </c>
      <c r="I338" s="188">
        <f t="shared" si="117"/>
        <v>0.48098370964107651</v>
      </c>
      <c r="L338" s="287">
        <v>1115.0998999999999</v>
      </c>
      <c r="M338" s="188">
        <f t="shared" si="118"/>
        <v>-1.0102354236204869E-2</v>
      </c>
      <c r="N338" s="188">
        <f t="shared" si="104"/>
        <v>0.19892901685876474</v>
      </c>
      <c r="O338" s="305" t="str">
        <f t="shared" si="105"/>
        <v>Yes</v>
      </c>
      <c r="P338" s="304">
        <f t="shared" si="106"/>
        <v>1</v>
      </c>
      <c r="S338" s="287"/>
      <c r="V338" s="305"/>
      <c r="W338" s="304">
        <f t="shared" si="107"/>
        <v>0</v>
      </c>
      <c r="Z338" s="316"/>
    </row>
    <row r="339" spans="1:26">
      <c r="A339" s="184">
        <v>326</v>
      </c>
      <c r="B339" s="1">
        <f t="shared" si="112"/>
        <v>40185</v>
      </c>
      <c r="D339" s="2">
        <v>35157.935940000003</v>
      </c>
      <c r="E339" s="2">
        <v>35157.935940000003</v>
      </c>
      <c r="F339" s="2">
        <f t="shared" si="114"/>
        <v>1308.7944200000056</v>
      </c>
      <c r="G339" s="188">
        <f t="shared" si="115"/>
        <v>3.8665512956264969E-2</v>
      </c>
      <c r="H339" s="2">
        <f t="shared" si="116"/>
        <v>12302.085940000004</v>
      </c>
      <c r="I339" s="188">
        <f t="shared" si="117"/>
        <v>0.53824670445422096</v>
      </c>
      <c r="L339" s="287">
        <v>1144.98</v>
      </c>
      <c r="M339" s="188">
        <f t="shared" si="118"/>
        <v>2.6795895148049143E-2</v>
      </c>
      <c r="N339" s="188">
        <f t="shared" si="104"/>
        <v>0.23105539308446588</v>
      </c>
      <c r="O339" s="305" t="str">
        <f t="shared" si="105"/>
        <v>Yes</v>
      </c>
      <c r="P339" s="304">
        <f t="shared" si="106"/>
        <v>1</v>
      </c>
      <c r="S339" s="287"/>
      <c r="V339" s="305"/>
      <c r="W339" s="304">
        <f t="shared" si="107"/>
        <v>0</v>
      </c>
      <c r="Z339" s="316"/>
    </row>
    <row r="340" spans="1:26">
      <c r="A340" s="184">
        <v>327</v>
      </c>
      <c r="B340" s="1">
        <f t="shared" si="112"/>
        <v>40192</v>
      </c>
      <c r="D340" s="2">
        <v>35455.557140000004</v>
      </c>
      <c r="E340" s="2">
        <v>35455.557140000004</v>
      </c>
      <c r="F340" s="2">
        <f t="shared" si="114"/>
        <v>297.62120000000141</v>
      </c>
      <c r="G340" s="188">
        <f t="shared" si="115"/>
        <v>8.4652637318618495E-3</v>
      </c>
      <c r="H340" s="2">
        <f t="shared" si="116"/>
        <v>12599.707140000006</v>
      </c>
      <c r="I340" s="188">
        <f t="shared" si="117"/>
        <v>0.55126836849209315</v>
      </c>
      <c r="L340" s="287">
        <v>1136.0298</v>
      </c>
      <c r="M340" s="188">
        <f t="shared" si="118"/>
        <v>-7.8169050987789701E-3</v>
      </c>
      <c r="N340" s="188">
        <f t="shared" si="104"/>
        <v>0.22143234990538452</v>
      </c>
      <c r="O340" s="305" t="str">
        <f t="shared" si="105"/>
        <v>Yes</v>
      </c>
      <c r="P340" s="304">
        <f t="shared" si="106"/>
        <v>1</v>
      </c>
      <c r="S340" s="287"/>
      <c r="V340" s="305"/>
      <c r="W340" s="304">
        <f t="shared" si="107"/>
        <v>0</v>
      </c>
      <c r="Z340" s="316"/>
    </row>
    <row r="341" spans="1:26">
      <c r="A341" s="184">
        <v>328</v>
      </c>
      <c r="B341" s="1">
        <f t="shared" si="112"/>
        <v>40199</v>
      </c>
      <c r="D341" s="2">
        <v>34627.906080000001</v>
      </c>
      <c r="E341" s="2">
        <v>34627.906080000001</v>
      </c>
      <c r="F341" s="2">
        <f t="shared" si="114"/>
        <v>-827.65106000000378</v>
      </c>
      <c r="G341" s="188">
        <f t="shared" si="115"/>
        <v>-2.3343338160839999E-2</v>
      </c>
      <c r="H341" s="2">
        <f t="shared" si="116"/>
        <v>11772.056080000002</v>
      </c>
      <c r="I341" s="188">
        <f t="shared" si="117"/>
        <v>0.51505658638816776</v>
      </c>
      <c r="L341" s="287">
        <v>1091.7598</v>
      </c>
      <c r="M341" s="188">
        <f t="shared" si="118"/>
        <v>-3.8969048171095477E-2</v>
      </c>
      <c r="N341" s="188">
        <f t="shared" si="104"/>
        <v>0.17383429382418725</v>
      </c>
      <c r="O341" s="305" t="str">
        <f t="shared" si="105"/>
        <v>Yes</v>
      </c>
      <c r="P341" s="304">
        <f t="shared" si="106"/>
        <v>1</v>
      </c>
      <c r="S341" s="287"/>
      <c r="V341" s="305"/>
      <c r="W341" s="304">
        <f t="shared" si="107"/>
        <v>0</v>
      </c>
      <c r="Z341" s="316"/>
    </row>
    <row r="342" spans="1:26">
      <c r="A342" s="184">
        <v>329</v>
      </c>
      <c r="B342" s="1">
        <f t="shared" si="112"/>
        <v>40206</v>
      </c>
      <c r="D342" s="2">
        <v>32454.974429999998</v>
      </c>
      <c r="E342" s="2">
        <v>32454.974429999998</v>
      </c>
      <c r="F342" s="2">
        <f t="shared" ref="F342:F351" si="119">E342-E341</f>
        <v>-2172.9316500000023</v>
      </c>
      <c r="G342" s="188">
        <f t="shared" ref="G342:G350" si="120">(E342/E341)-1</f>
        <v>-6.2750882048135725E-2</v>
      </c>
      <c r="H342" s="2">
        <f t="shared" ref="H342:H350" si="121">E342-$D$3</f>
        <v>9599.1244299999998</v>
      </c>
      <c r="I342" s="188">
        <f t="shared" ref="I342:I350" si="122">(E342/$D$3)-1</f>
        <v>0.41998544923947256</v>
      </c>
      <c r="L342" s="287">
        <v>1073.8698999999999</v>
      </c>
      <c r="M342" s="188">
        <f t="shared" si="118"/>
        <v>-1.638629669273417E-2</v>
      </c>
      <c r="N342" s="188">
        <f t="shared" si="104"/>
        <v>0.15459949681747798</v>
      </c>
      <c r="O342" s="305" t="str">
        <f t="shared" si="105"/>
        <v>No</v>
      </c>
      <c r="P342" s="304">
        <f t="shared" si="106"/>
        <v>0</v>
      </c>
      <c r="S342" s="287"/>
      <c r="V342" s="305"/>
      <c r="W342" s="304">
        <f t="shared" si="107"/>
        <v>0</v>
      </c>
      <c r="Z342" s="316"/>
    </row>
    <row r="343" spans="1:26">
      <c r="A343" s="184">
        <v>330</v>
      </c>
      <c r="B343" s="1">
        <f t="shared" si="112"/>
        <v>40213</v>
      </c>
      <c r="D343" s="2">
        <v>33004.629999999997</v>
      </c>
      <c r="E343" s="2">
        <v>33004.629999999997</v>
      </c>
      <c r="F343" s="2">
        <f t="shared" si="119"/>
        <v>549.65556999999899</v>
      </c>
      <c r="G343" s="188">
        <f t="shared" si="120"/>
        <v>1.6935942167679574E-2</v>
      </c>
      <c r="H343" s="2">
        <f t="shared" si="121"/>
        <v>10148.779999999999</v>
      </c>
      <c r="I343" s="188">
        <f t="shared" si="122"/>
        <v>0.4440342406867388</v>
      </c>
      <c r="L343" s="287">
        <v>1066.1899000000001</v>
      </c>
      <c r="M343" s="188">
        <f t="shared" si="118"/>
        <v>-7.1517043172546479E-3</v>
      </c>
      <c r="N343" s="188">
        <f t="shared" si="104"/>
        <v>0.14634214261138823</v>
      </c>
      <c r="O343" s="305" t="str">
        <f t="shared" si="105"/>
        <v>Yes</v>
      </c>
      <c r="P343" s="304">
        <f t="shared" si="106"/>
        <v>1</v>
      </c>
      <c r="S343" s="287"/>
      <c r="V343" s="305"/>
      <c r="W343" s="304">
        <f t="shared" si="107"/>
        <v>0</v>
      </c>
      <c r="Z343" s="316"/>
    </row>
    <row r="344" spans="1:26">
      <c r="A344" s="184">
        <v>331</v>
      </c>
      <c r="B344" s="1">
        <f t="shared" si="112"/>
        <v>40220</v>
      </c>
      <c r="D344" s="2">
        <v>33973.980000000003</v>
      </c>
      <c r="E344" s="2">
        <v>33973.980000000003</v>
      </c>
      <c r="F344" s="2">
        <f t="shared" si="119"/>
        <v>969.35000000000582</v>
      </c>
      <c r="G344" s="188">
        <f t="shared" si="120"/>
        <v>2.9370121707166685E-2</v>
      </c>
      <c r="H344" s="2">
        <f t="shared" si="121"/>
        <v>11118.130000000005</v>
      </c>
      <c r="I344" s="188">
        <f t="shared" si="122"/>
        <v>0.48644570208502436</v>
      </c>
      <c r="L344" s="287">
        <v>1075.5098</v>
      </c>
      <c r="M344" s="188">
        <f t="shared" ref="M344:M352" si="123">(L344/L343)-1</f>
        <v>8.7413133438987156E-3</v>
      </c>
      <c r="N344" s="188">
        <f t="shared" si="104"/>
        <v>0.15636267847927066</v>
      </c>
      <c r="O344" s="305" t="str">
        <f t="shared" si="105"/>
        <v>Yes</v>
      </c>
      <c r="P344" s="304">
        <f t="shared" si="106"/>
        <v>1</v>
      </c>
      <c r="S344" s="287"/>
      <c r="V344" s="305"/>
      <c r="W344" s="304">
        <f t="shared" si="107"/>
        <v>0</v>
      </c>
      <c r="Z344" s="316"/>
    </row>
    <row r="345" spans="1:26">
      <c r="A345" s="184">
        <v>332</v>
      </c>
      <c r="B345" s="1">
        <f t="shared" si="112"/>
        <v>40227</v>
      </c>
      <c r="D345" s="2">
        <v>33604.755710000005</v>
      </c>
      <c r="E345" s="2">
        <v>33604.755710000005</v>
      </c>
      <c r="F345" s="2">
        <f t="shared" si="119"/>
        <v>-369.22428999999829</v>
      </c>
      <c r="G345" s="188">
        <f t="shared" si="120"/>
        <v>-1.0867855046715058E-2</v>
      </c>
      <c r="H345" s="2">
        <f t="shared" si="121"/>
        <v>10748.905710000006</v>
      </c>
      <c r="I345" s="188">
        <f t="shared" si="122"/>
        <v>0.47029122565995163</v>
      </c>
      <c r="L345" s="287">
        <v>1109.1699000000001</v>
      </c>
      <c r="M345" s="188">
        <f t="shared" si="123"/>
        <v>3.1296878931275307E-2</v>
      </c>
      <c r="N345" s="188">
        <f t="shared" si="104"/>
        <v>0.19255322122828145</v>
      </c>
      <c r="O345" s="305" t="str">
        <f t="shared" si="105"/>
        <v>No</v>
      </c>
      <c r="P345" s="304">
        <f t="shared" si="106"/>
        <v>0</v>
      </c>
      <c r="S345" s="287"/>
      <c r="V345" s="305"/>
      <c r="W345" s="304">
        <f t="shared" si="107"/>
        <v>0</v>
      </c>
      <c r="Z345" s="316"/>
    </row>
    <row r="346" spans="1:26">
      <c r="A346" s="184">
        <v>333</v>
      </c>
      <c r="B346" s="1">
        <f t="shared" si="112"/>
        <v>40234</v>
      </c>
      <c r="D346" s="2">
        <f>D345*1.0203</f>
        <v>34286.932250913007</v>
      </c>
      <c r="E346" s="2">
        <f>E345*1.0197</f>
        <v>34266.769397487005</v>
      </c>
      <c r="F346" s="2">
        <f t="shared" si="119"/>
        <v>662.01368748700042</v>
      </c>
      <c r="G346" s="188">
        <f t="shared" si="120"/>
        <v>1.9700000000000051E-2</v>
      </c>
      <c r="H346" s="2">
        <f t="shared" si="121"/>
        <v>11410.919397487007</v>
      </c>
      <c r="I346" s="188">
        <f t="shared" si="122"/>
        <v>0.4992559628054527</v>
      </c>
      <c r="L346" s="287">
        <v>1104.49</v>
      </c>
      <c r="M346" s="188">
        <f t="shared" si="123"/>
        <v>-4.2192814644538279E-3</v>
      </c>
      <c r="N346" s="188">
        <f t="shared" si="104"/>
        <v>0.18752150352657826</v>
      </c>
      <c r="O346" s="305" t="str">
        <f t="shared" si="105"/>
        <v>Yes</v>
      </c>
      <c r="P346" s="304">
        <f t="shared" si="106"/>
        <v>1</v>
      </c>
      <c r="S346" s="287"/>
      <c r="V346" s="305"/>
      <c r="W346" s="304">
        <f t="shared" si="107"/>
        <v>0</v>
      </c>
      <c r="Z346" s="316"/>
    </row>
    <row r="347" spans="1:26">
      <c r="A347" s="184">
        <v>334</v>
      </c>
      <c r="B347" s="1">
        <f t="shared" si="112"/>
        <v>40241</v>
      </c>
      <c r="D347" s="2">
        <v>34631.429188184753</v>
      </c>
      <c r="E347" s="2">
        <v>34631.429188184753</v>
      </c>
      <c r="F347" s="2">
        <f t="shared" si="119"/>
        <v>364.65979069774767</v>
      </c>
      <c r="G347" s="188">
        <f t="shared" si="120"/>
        <v>1.0641790781843907E-2</v>
      </c>
      <c r="H347" s="2">
        <f t="shared" si="121"/>
        <v>11775.579188184754</v>
      </c>
      <c r="I347" s="188">
        <f t="shared" si="122"/>
        <v>0.51521073109006021</v>
      </c>
      <c r="L347" s="287">
        <v>1138.7</v>
      </c>
      <c r="M347" s="188">
        <f t="shared" si="123"/>
        <v>3.0973571512643794E-2</v>
      </c>
      <c r="N347" s="188">
        <f t="shared" si="104"/>
        <v>0.22430328573886116</v>
      </c>
      <c r="O347" s="305" t="str">
        <f t="shared" si="105"/>
        <v>No</v>
      </c>
      <c r="P347" s="304">
        <f t="shared" si="106"/>
        <v>0</v>
      </c>
      <c r="S347" s="287"/>
      <c r="V347" s="305"/>
      <c r="W347" s="304">
        <f t="shared" si="107"/>
        <v>0</v>
      </c>
      <c r="Z347" s="316"/>
    </row>
    <row r="348" spans="1:26">
      <c r="A348" s="184">
        <v>335</v>
      </c>
      <c r="B348" s="1">
        <f t="shared" si="112"/>
        <v>40248</v>
      </c>
      <c r="D348" s="2">
        <v>34975.926125456499</v>
      </c>
      <c r="E348" s="2">
        <v>34975.926125456499</v>
      </c>
      <c r="F348" s="2">
        <f t="shared" si="119"/>
        <v>344.49693727174599</v>
      </c>
      <c r="G348" s="188">
        <f t="shared" si="120"/>
        <v>9.9475229682197686E-3</v>
      </c>
      <c r="H348" s="2">
        <f t="shared" si="121"/>
        <v>12120.0761254565</v>
      </c>
      <c r="I348" s="188">
        <f t="shared" si="122"/>
        <v>0.53028332463927175</v>
      </c>
      <c r="L348" s="287">
        <v>1149.99</v>
      </c>
      <c r="M348" s="188">
        <f t="shared" si="123"/>
        <v>9.9148151400720863E-3</v>
      </c>
      <c r="N348" s="188">
        <f t="shared" si="104"/>
        <v>0.2364420264923448</v>
      </c>
      <c r="O348" s="305" t="str">
        <f t="shared" si="105"/>
        <v>Yes</v>
      </c>
      <c r="P348" s="304">
        <f t="shared" si="106"/>
        <v>1</v>
      </c>
      <c r="S348" s="287"/>
      <c r="V348" s="305"/>
      <c r="W348" s="304">
        <f t="shared" si="107"/>
        <v>0</v>
      </c>
      <c r="Z348" s="316"/>
    </row>
    <row r="349" spans="1:26">
      <c r="A349" s="184">
        <v>336</v>
      </c>
      <c r="B349" s="1">
        <f t="shared" si="112"/>
        <v>40255</v>
      </c>
      <c r="D349" s="2">
        <v>35320.423062728245</v>
      </c>
      <c r="E349" s="2">
        <v>35320.423062728245</v>
      </c>
      <c r="F349" s="2">
        <f t="shared" si="119"/>
        <v>344.49693727174599</v>
      </c>
      <c r="G349" s="188">
        <f t="shared" si="120"/>
        <v>9.8495443990833653E-3</v>
      </c>
      <c r="H349" s="2">
        <f t="shared" si="121"/>
        <v>12464.573062728246</v>
      </c>
      <c r="I349" s="188">
        <f t="shared" si="122"/>
        <v>0.54535591818848328</v>
      </c>
      <c r="L349" s="287">
        <v>1159.9000000000001</v>
      </c>
      <c r="M349" s="188">
        <f t="shared" si="123"/>
        <v>8.6174662388369683E-3</v>
      </c>
      <c r="N349" s="188">
        <f t="shared" si="104"/>
        <v>0.24709702391192168</v>
      </c>
      <c r="O349" s="305" t="str">
        <f t="shared" si="105"/>
        <v>Yes</v>
      </c>
      <c r="P349" s="304">
        <f t="shared" si="106"/>
        <v>1</v>
      </c>
      <c r="S349" s="287"/>
      <c r="V349" s="305"/>
      <c r="W349" s="304">
        <f t="shared" si="107"/>
        <v>0</v>
      </c>
      <c r="Z349" s="316"/>
    </row>
    <row r="350" spans="1:26">
      <c r="A350" s="184">
        <v>337</v>
      </c>
      <c r="B350" s="1">
        <f t="shared" si="112"/>
        <v>40262</v>
      </c>
      <c r="D350" s="2">
        <v>35664.92</v>
      </c>
      <c r="E350" s="2">
        <v>35664.92</v>
      </c>
      <c r="F350" s="2">
        <f t="shared" si="119"/>
        <v>344.49693727175327</v>
      </c>
      <c r="G350" s="188">
        <f t="shared" si="120"/>
        <v>9.7534770934066817E-3</v>
      </c>
      <c r="H350" s="2">
        <f t="shared" si="121"/>
        <v>12809.07</v>
      </c>
      <c r="I350" s="188">
        <f t="shared" si="122"/>
        <v>0.56042851173769526</v>
      </c>
      <c r="L350" s="287">
        <v>1166.5899999999999</v>
      </c>
      <c r="M350" s="188">
        <f t="shared" si="123"/>
        <v>5.7677385981549367E-3</v>
      </c>
      <c r="N350" s="188">
        <f t="shared" si="104"/>
        <v>0.25428995355238238</v>
      </c>
      <c r="O350" s="305" t="str">
        <f t="shared" si="105"/>
        <v>Yes</v>
      </c>
      <c r="P350" s="304">
        <f t="shared" si="106"/>
        <v>1</v>
      </c>
      <c r="S350" s="287"/>
      <c r="V350" s="305"/>
      <c r="W350" s="304">
        <f t="shared" si="107"/>
        <v>0</v>
      </c>
      <c r="Z350" s="316"/>
    </row>
    <row r="351" spans="1:26">
      <c r="A351" s="184">
        <v>338</v>
      </c>
      <c r="B351" s="1">
        <f t="shared" si="112"/>
        <v>40269</v>
      </c>
      <c r="D351" s="193">
        <v>35949.420050000001</v>
      </c>
      <c r="E351" s="193">
        <v>35949.420050000001</v>
      </c>
      <c r="F351" s="2">
        <f t="shared" si="119"/>
        <v>284.50005000000237</v>
      </c>
      <c r="G351" s="188">
        <f t="shared" ref="G351:G356" si="124">(E351/E350)-1</f>
        <v>7.9770275665838053E-3</v>
      </c>
      <c r="H351" s="2">
        <f t="shared" ref="H351:H357" si="125">E351-$D$3</f>
        <v>13093.570050000002</v>
      </c>
      <c r="I351" s="188">
        <f t="shared" ref="I351:I357" si="126">(E351/$D$3)-1</f>
        <v>0.57287609299150999</v>
      </c>
      <c r="L351" s="287">
        <v>1178.0999999999999</v>
      </c>
      <c r="M351" s="188">
        <f t="shared" si="123"/>
        <v>9.8663626466881649E-3</v>
      </c>
      <c r="N351" s="188">
        <f t="shared" si="104"/>
        <v>0.26666523309822798</v>
      </c>
      <c r="O351" s="305" t="str">
        <f t="shared" si="105"/>
        <v>No</v>
      </c>
      <c r="P351" s="304">
        <f t="shared" si="106"/>
        <v>0</v>
      </c>
      <c r="S351" s="287"/>
      <c r="V351" s="305"/>
      <c r="W351" s="304">
        <f t="shared" si="107"/>
        <v>0</v>
      </c>
      <c r="Z351" s="316"/>
    </row>
    <row r="352" spans="1:26">
      <c r="A352" s="184">
        <v>339</v>
      </c>
      <c r="B352" s="1">
        <f t="shared" si="112"/>
        <v>40276</v>
      </c>
      <c r="D352" s="2">
        <v>36168.230000000003</v>
      </c>
      <c r="E352" s="2">
        <v>36168.230000000003</v>
      </c>
      <c r="F352" s="2">
        <f t="shared" ref="F352:F359" si="127">E352-E351</f>
        <v>218.80995000000257</v>
      </c>
      <c r="G352" s="188">
        <f t="shared" si="124"/>
        <v>6.0866058394175582E-3</v>
      </c>
      <c r="H352" s="2">
        <f t="shared" si="125"/>
        <v>13312.380000000005</v>
      </c>
      <c r="I352" s="188">
        <f t="shared" si="126"/>
        <v>0.58244956980379237</v>
      </c>
      <c r="L352" s="287">
        <v>1194.3699999999999</v>
      </c>
      <c r="M352" s="188">
        <f t="shared" si="123"/>
        <v>1.3810372633902057E-2</v>
      </c>
      <c r="N352" s="188">
        <f t="shared" si="104"/>
        <v>0.28415835196972283</v>
      </c>
      <c r="O352" s="305" t="str">
        <f t="shared" si="105"/>
        <v>No</v>
      </c>
      <c r="P352" s="304">
        <f t="shared" si="106"/>
        <v>0</v>
      </c>
      <c r="S352" s="287"/>
      <c r="V352" s="305"/>
      <c r="W352" s="304">
        <f t="shared" si="107"/>
        <v>0</v>
      </c>
      <c r="Z352" s="316"/>
    </row>
    <row r="353" spans="1:26">
      <c r="A353" s="184">
        <v>340</v>
      </c>
      <c r="B353" s="1">
        <f t="shared" si="112"/>
        <v>40283</v>
      </c>
      <c r="D353" s="2">
        <v>37170.089971000009</v>
      </c>
      <c r="E353" s="2">
        <v>37170.089971000009</v>
      </c>
      <c r="F353" s="2">
        <f t="shared" si="127"/>
        <v>1001.8599710000053</v>
      </c>
      <c r="G353" s="188">
        <f t="shared" si="124"/>
        <v>2.7700000000000058E-2</v>
      </c>
      <c r="H353" s="2">
        <f t="shared" si="125"/>
        <v>14314.23997100001</v>
      </c>
      <c r="I353" s="188">
        <f t="shared" si="126"/>
        <v>0.6262834228873575</v>
      </c>
      <c r="L353" s="287">
        <v>1192.1300000000001</v>
      </c>
      <c r="M353" s="188">
        <f t="shared" ref="M353:M365" si="128">(L353/L352)-1</f>
        <v>-1.8754657267009422E-3</v>
      </c>
      <c r="N353" s="188">
        <f t="shared" si="104"/>
        <v>0.28174995699294691</v>
      </c>
      <c r="O353" s="305" t="str">
        <f t="shared" si="105"/>
        <v>Yes</v>
      </c>
      <c r="P353" s="304">
        <f t="shared" si="106"/>
        <v>1</v>
      </c>
      <c r="S353" s="287"/>
      <c r="V353" s="305"/>
      <c r="W353" s="304">
        <f t="shared" si="107"/>
        <v>0</v>
      </c>
      <c r="Z353" s="316"/>
    </row>
    <row r="354" spans="1:26">
      <c r="A354" s="184">
        <v>341</v>
      </c>
      <c r="B354" s="1">
        <f t="shared" si="112"/>
        <v>40290</v>
      </c>
      <c r="D354" s="2">
        <v>37247.840579999996</v>
      </c>
      <c r="E354" s="2">
        <v>37247.840579999996</v>
      </c>
      <c r="F354" s="2">
        <f t="shared" si="127"/>
        <v>77.75060899998789</v>
      </c>
      <c r="G354" s="188">
        <f t="shared" si="124"/>
        <v>2.0917519721004307E-3</v>
      </c>
      <c r="H354" s="2">
        <f t="shared" si="125"/>
        <v>14391.990579999998</v>
      </c>
      <c r="I354" s="188">
        <f t="shared" si="126"/>
        <v>0.62968520444437637</v>
      </c>
      <c r="L354" s="287">
        <v>1217.28</v>
      </c>
      <c r="M354" s="188">
        <f t="shared" si="128"/>
        <v>2.1096692474813938E-2</v>
      </c>
      <c r="N354" s="188">
        <f t="shared" si="104"/>
        <v>0.30879064166523307</v>
      </c>
      <c r="O354" s="305" t="str">
        <f t="shared" si="105"/>
        <v>No</v>
      </c>
      <c r="P354" s="304">
        <f t="shared" si="106"/>
        <v>0</v>
      </c>
      <c r="S354" s="287"/>
      <c r="V354" s="305"/>
      <c r="W354" s="304">
        <f t="shared" si="107"/>
        <v>0</v>
      </c>
      <c r="Z354" s="316"/>
    </row>
    <row r="355" spans="1:26">
      <c r="A355" s="184">
        <v>342</v>
      </c>
      <c r="B355" s="1">
        <f t="shared" si="112"/>
        <v>40297</v>
      </c>
      <c r="D355" s="193">
        <v>36157.851710000003</v>
      </c>
      <c r="E355" s="2">
        <v>36157.851710000003</v>
      </c>
      <c r="F355" s="2">
        <f t="shared" si="127"/>
        <v>-1089.9888699999938</v>
      </c>
      <c r="G355" s="188">
        <f t="shared" si="124"/>
        <v>-2.9263142588331847E-2</v>
      </c>
      <c r="H355" s="2">
        <f t="shared" si="125"/>
        <v>13302.001710000004</v>
      </c>
      <c r="I355" s="188">
        <f t="shared" si="126"/>
        <v>0.58199549393262573</v>
      </c>
      <c r="L355" s="287">
        <v>1186.69</v>
      </c>
      <c r="M355" s="188">
        <f t="shared" si="128"/>
        <v>-2.5129797581493141E-2</v>
      </c>
      <c r="N355" s="188">
        <f t="shared" si="104"/>
        <v>0.2759009977636333</v>
      </c>
      <c r="O355" s="305" t="str">
        <f t="shared" si="105"/>
        <v>No</v>
      </c>
      <c r="P355" s="304">
        <f t="shared" si="106"/>
        <v>0</v>
      </c>
      <c r="S355" s="287"/>
      <c r="V355" s="305"/>
      <c r="W355" s="304">
        <f t="shared" si="107"/>
        <v>0</v>
      </c>
      <c r="Z355" s="316"/>
    </row>
    <row r="356" spans="1:26">
      <c r="A356" s="184">
        <v>343</v>
      </c>
      <c r="B356" s="1">
        <f t="shared" si="112"/>
        <v>40304</v>
      </c>
      <c r="D356" s="193">
        <v>33356.878120000001</v>
      </c>
      <c r="E356" s="2">
        <v>33356.878120000001</v>
      </c>
      <c r="F356" s="2">
        <f t="shared" si="127"/>
        <v>-2800.9735900000014</v>
      </c>
      <c r="G356" s="188">
        <f t="shared" si="124"/>
        <v>-7.7465155077931502E-2</v>
      </c>
      <c r="H356" s="2">
        <f t="shared" si="125"/>
        <v>10501.028120000003</v>
      </c>
      <c r="I356" s="188">
        <f t="shared" si="126"/>
        <v>0.45944596766254597</v>
      </c>
      <c r="L356" s="287">
        <v>1110.8800000000001</v>
      </c>
      <c r="M356" s="188">
        <f t="shared" si="128"/>
        <v>-6.3883575322957076E-2</v>
      </c>
      <c r="N356" s="188">
        <f t="shared" si="104"/>
        <v>0.19439188026836418</v>
      </c>
      <c r="O356" s="305" t="str">
        <f t="shared" si="105"/>
        <v>No</v>
      </c>
      <c r="P356" s="304">
        <f t="shared" si="106"/>
        <v>0</v>
      </c>
      <c r="S356" s="287"/>
      <c r="V356" s="305"/>
      <c r="W356" s="304">
        <f t="shared" si="107"/>
        <v>0</v>
      </c>
      <c r="Z356" s="316"/>
    </row>
    <row r="357" spans="1:26">
      <c r="A357" s="184">
        <v>344</v>
      </c>
      <c r="B357" s="1">
        <f t="shared" si="112"/>
        <v>40311</v>
      </c>
      <c r="D357" s="2">
        <v>34501.65</v>
      </c>
      <c r="E357" s="2">
        <v>34501.65</v>
      </c>
      <c r="F357" s="2">
        <f t="shared" si="127"/>
        <v>1144.7718800000002</v>
      </c>
      <c r="G357" s="188">
        <f t="shared" ref="G357:G362" si="129">(E357/E356)-1</f>
        <v>3.4318915453710241E-2</v>
      </c>
      <c r="H357" s="2">
        <f t="shared" si="125"/>
        <v>11645.800000000003</v>
      </c>
      <c r="I357" s="188">
        <f t="shared" si="126"/>
        <v>0.50953257043601541</v>
      </c>
      <c r="L357" s="287">
        <v>1135.68</v>
      </c>
      <c r="M357" s="188">
        <f t="shared" si="128"/>
        <v>2.2324643525853283E-2</v>
      </c>
      <c r="N357" s="188">
        <f t="shared" si="104"/>
        <v>0.22105625322552891</v>
      </c>
      <c r="O357" s="305" t="str">
        <f t="shared" si="105"/>
        <v>Yes</v>
      </c>
      <c r="P357" s="304">
        <f t="shared" si="106"/>
        <v>1</v>
      </c>
      <c r="S357" s="287"/>
      <c r="V357" s="305"/>
      <c r="W357" s="304">
        <f t="shared" si="107"/>
        <v>0</v>
      </c>
      <c r="Z357" s="316"/>
    </row>
    <row r="358" spans="1:26">
      <c r="A358" s="184">
        <v>345</v>
      </c>
      <c r="B358" s="1">
        <f t="shared" si="112"/>
        <v>40318</v>
      </c>
      <c r="D358" s="2">
        <v>33668.19</v>
      </c>
      <c r="E358" s="2">
        <v>33668.19</v>
      </c>
      <c r="F358" s="2">
        <f t="shared" si="127"/>
        <v>-833.45999999999913</v>
      </c>
      <c r="G358" s="188">
        <f t="shared" si="129"/>
        <v>-2.415710552973549E-2</v>
      </c>
      <c r="H358" s="2">
        <f t="shared" ref="H358:H363" si="130">E358-$D$3</f>
        <v>10812.340000000004</v>
      </c>
      <c r="I358" s="188">
        <f t="shared" ref="I358:I363" si="131">(E358/$D$3)-1</f>
        <v>0.4730666328314197</v>
      </c>
      <c r="L358" s="287">
        <v>1087.69</v>
      </c>
      <c r="M358" s="188">
        <f t="shared" si="128"/>
        <v>-4.2256621583544707E-2</v>
      </c>
      <c r="N358" s="188">
        <f t="shared" si="104"/>
        <v>0.16945854120075698</v>
      </c>
      <c r="O358" s="305" t="str">
        <f t="shared" si="105"/>
        <v>Yes</v>
      </c>
      <c r="P358" s="304">
        <f t="shared" si="106"/>
        <v>1</v>
      </c>
      <c r="S358" s="287"/>
      <c r="V358" s="305"/>
      <c r="W358" s="304">
        <f t="shared" si="107"/>
        <v>0</v>
      </c>
      <c r="Z358" s="316"/>
    </row>
    <row r="359" spans="1:26">
      <c r="A359" s="184">
        <v>346</v>
      </c>
      <c r="B359" s="1">
        <f t="shared" si="112"/>
        <v>40325</v>
      </c>
      <c r="D359" s="2">
        <v>32834.720000000001</v>
      </c>
      <c r="E359" s="2">
        <v>32834.720000000001</v>
      </c>
      <c r="F359" s="2">
        <f t="shared" si="127"/>
        <v>-833.47000000000116</v>
      </c>
      <c r="G359" s="188">
        <f t="shared" si="129"/>
        <v>-2.4755414532233622E-2</v>
      </c>
      <c r="H359" s="2">
        <f t="shared" si="130"/>
        <v>9978.8700000000026</v>
      </c>
      <c r="I359" s="188">
        <f t="shared" si="131"/>
        <v>0.43660025770207644</v>
      </c>
      <c r="L359" s="287">
        <v>1089.4100000000001</v>
      </c>
      <c r="M359" s="188">
        <f t="shared" si="128"/>
        <v>1.5813329165479395E-3</v>
      </c>
      <c r="N359" s="188">
        <f t="shared" si="104"/>
        <v>0.17130784448649572</v>
      </c>
      <c r="O359" s="305" t="str">
        <f t="shared" si="105"/>
        <v>No</v>
      </c>
      <c r="P359" s="304">
        <f t="shared" si="106"/>
        <v>0</v>
      </c>
      <c r="S359" s="287"/>
      <c r="V359" s="305"/>
      <c r="W359" s="304">
        <f t="shared" si="107"/>
        <v>0</v>
      </c>
      <c r="Z359" s="316"/>
    </row>
    <row r="360" spans="1:26">
      <c r="A360" s="184">
        <v>347</v>
      </c>
      <c r="B360" s="1">
        <f t="shared" si="112"/>
        <v>40332</v>
      </c>
      <c r="D360" s="2">
        <v>32063.099960000003</v>
      </c>
      <c r="E360" s="2">
        <v>32063.099960000003</v>
      </c>
      <c r="F360" s="2">
        <f t="shared" ref="F360:F365" si="132">E360-E359</f>
        <v>-771.62003999999797</v>
      </c>
      <c r="G360" s="188">
        <f t="shared" si="129"/>
        <v>-2.3500125476934142E-2</v>
      </c>
      <c r="H360" s="2">
        <f t="shared" si="130"/>
        <v>9207.2499600000046</v>
      </c>
      <c r="I360" s="188">
        <f t="shared" si="131"/>
        <v>0.40283997138588168</v>
      </c>
      <c r="L360" s="287">
        <v>1064.8800000000001</v>
      </c>
      <c r="M360" s="188">
        <f t="shared" si="128"/>
        <v>-2.2516775135164924E-2</v>
      </c>
      <c r="N360" s="188">
        <f t="shared" si="104"/>
        <v>0.14493376913813871</v>
      </c>
      <c r="O360" s="305" t="str">
        <f t="shared" si="105"/>
        <v>No</v>
      </c>
      <c r="P360" s="304">
        <f t="shared" si="106"/>
        <v>0</v>
      </c>
      <c r="S360" s="287"/>
      <c r="V360" s="305"/>
      <c r="W360" s="304">
        <f t="shared" si="107"/>
        <v>0</v>
      </c>
      <c r="Z360" s="316"/>
    </row>
    <row r="361" spans="1:26">
      <c r="A361" s="184">
        <v>348</v>
      </c>
      <c r="B361" s="1">
        <f t="shared" si="112"/>
        <v>40339</v>
      </c>
      <c r="D361" s="2">
        <v>32851.9</v>
      </c>
      <c r="E361" s="2">
        <v>32851.9</v>
      </c>
      <c r="F361" s="2">
        <f t="shared" si="132"/>
        <v>788.80003999999826</v>
      </c>
      <c r="G361" s="188">
        <f t="shared" si="129"/>
        <v>2.4601490217229793E-2</v>
      </c>
      <c r="H361" s="2">
        <f t="shared" si="130"/>
        <v>9996.0500000000029</v>
      </c>
      <c r="I361" s="188">
        <f t="shared" si="131"/>
        <v>0.43735192521827027</v>
      </c>
      <c r="L361" s="287">
        <v>1091.5999999999999</v>
      </c>
      <c r="M361" s="188">
        <f t="shared" si="128"/>
        <v>2.5092029148824135E-2</v>
      </c>
      <c r="N361" s="188">
        <f t="shared" si="104"/>
        <v>0.17366248064682588</v>
      </c>
      <c r="O361" s="305" t="str">
        <f t="shared" si="105"/>
        <v>No</v>
      </c>
      <c r="P361" s="304">
        <f t="shared" si="106"/>
        <v>0</v>
      </c>
      <c r="S361" s="287"/>
      <c r="V361" s="305"/>
      <c r="W361" s="304">
        <f t="shared" si="107"/>
        <v>0</v>
      </c>
      <c r="Z361" s="316"/>
    </row>
    <row r="362" spans="1:26">
      <c r="A362" s="184">
        <v>349</v>
      </c>
      <c r="B362" s="1">
        <f t="shared" si="112"/>
        <v>40346</v>
      </c>
      <c r="D362" s="2">
        <v>33571.410000000003</v>
      </c>
      <c r="E362" s="2">
        <v>33571.410000000003</v>
      </c>
      <c r="F362" s="2">
        <f t="shared" si="132"/>
        <v>719.51000000000204</v>
      </c>
      <c r="G362" s="188">
        <f t="shared" si="129"/>
        <v>2.1901625172364492E-2</v>
      </c>
      <c r="H362" s="2">
        <f t="shared" si="130"/>
        <v>10715.560000000005</v>
      </c>
      <c r="I362" s="188">
        <f t="shared" si="131"/>
        <v>0.46883226832517733</v>
      </c>
      <c r="L362" s="287">
        <v>1117.51</v>
      </c>
      <c r="M362" s="188">
        <f t="shared" si="128"/>
        <v>2.3735800659582251E-2</v>
      </c>
      <c r="N362" s="188">
        <f t="shared" si="104"/>
        <v>0.20152029932908988</v>
      </c>
      <c r="O362" s="305" t="str">
        <f t="shared" si="105"/>
        <v>No</v>
      </c>
      <c r="P362" s="304">
        <f t="shared" si="106"/>
        <v>0</v>
      </c>
      <c r="S362" s="287"/>
      <c r="V362" s="305"/>
      <c r="W362" s="304">
        <f t="shared" si="107"/>
        <v>0</v>
      </c>
      <c r="Z362" s="316"/>
    </row>
    <row r="363" spans="1:26">
      <c r="A363" s="184">
        <v>350</v>
      </c>
      <c r="B363" s="1">
        <f t="shared" si="112"/>
        <v>40353</v>
      </c>
      <c r="D363" s="2">
        <v>32212.512079999997</v>
      </c>
      <c r="E363" s="2">
        <v>32212.512079999997</v>
      </c>
      <c r="F363" s="2">
        <f t="shared" si="132"/>
        <v>-1358.8979200000067</v>
      </c>
      <c r="G363" s="188">
        <f>(E363/E362)-1</f>
        <v>-4.0477832774971523E-2</v>
      </c>
      <c r="H363" s="2">
        <f t="shared" si="130"/>
        <v>9356.6620799999982</v>
      </c>
      <c r="I363" s="188">
        <f t="shared" si="131"/>
        <v>0.40937712139342874</v>
      </c>
      <c r="L363" s="287">
        <v>1076.76</v>
      </c>
      <c r="M363" s="188">
        <f t="shared" si="128"/>
        <v>-3.6464998076079835E-2</v>
      </c>
      <c r="N363" s="188">
        <f t="shared" si="104"/>
        <v>0.15770686392568378</v>
      </c>
      <c r="O363" s="305" t="str">
        <f t="shared" si="105"/>
        <v>No</v>
      </c>
      <c r="P363" s="304">
        <f t="shared" si="106"/>
        <v>0</v>
      </c>
      <c r="S363" s="287"/>
      <c r="V363" s="305"/>
      <c r="W363" s="304">
        <f t="shared" si="107"/>
        <v>0</v>
      </c>
      <c r="Z363" s="316"/>
    </row>
    <row r="364" spans="1:26">
      <c r="A364" s="184">
        <v>351</v>
      </c>
      <c r="B364" s="1">
        <f t="shared" si="112"/>
        <v>40360</v>
      </c>
      <c r="D364" s="2">
        <v>32373.987929999999</v>
      </c>
      <c r="E364" s="2">
        <v>32373.987929999999</v>
      </c>
      <c r="F364" s="2">
        <f t="shared" si="132"/>
        <v>161.47585000000254</v>
      </c>
      <c r="G364" s="188">
        <f>(E364/E363)-1</f>
        <v>5.0128300953051763E-3</v>
      </c>
      <c r="H364" s="2">
        <f>E364-$D$3</f>
        <v>9518.1379300000008</v>
      </c>
      <c r="I364" s="188">
        <f>(E364/$D$3)-1</f>
        <v>0.41644208944318417</v>
      </c>
      <c r="L364" s="287">
        <v>1022.58</v>
      </c>
      <c r="M364" s="188">
        <f t="shared" si="128"/>
        <v>-5.0317619525242385E-2</v>
      </c>
      <c r="N364" s="188">
        <f t="shared" si="104"/>
        <v>9.9453810424909639E-2</v>
      </c>
      <c r="O364" s="305" t="str">
        <f t="shared" si="105"/>
        <v>Yes</v>
      </c>
      <c r="P364" s="304">
        <f t="shared" si="106"/>
        <v>1</v>
      </c>
      <c r="S364" s="287"/>
      <c r="V364" s="305"/>
      <c r="W364" s="304">
        <f t="shared" si="107"/>
        <v>0</v>
      </c>
      <c r="Z364" s="316"/>
    </row>
    <row r="365" spans="1:26">
      <c r="A365" s="184">
        <v>352</v>
      </c>
      <c r="B365" s="1">
        <f t="shared" si="112"/>
        <v>40367</v>
      </c>
      <c r="D365" s="2">
        <v>32912.164449999997</v>
      </c>
      <c r="E365" s="2">
        <v>32912.164449999997</v>
      </c>
      <c r="F365" s="2">
        <f t="shared" si="132"/>
        <v>538.17651999999725</v>
      </c>
      <c r="G365" s="188">
        <f>(E365/E364)-1</f>
        <v>1.6623732644975853E-2</v>
      </c>
      <c r="H365" s="2">
        <f>E365-$D$3</f>
        <v>10056.314449999998</v>
      </c>
      <c r="I365" s="188">
        <f>(E365/$D$3)-1</f>
        <v>0.43998864404517879</v>
      </c>
      <c r="L365" s="287">
        <v>1077.96</v>
      </c>
      <c r="M365" s="188">
        <f t="shared" si="128"/>
        <v>5.4157131960335558E-2</v>
      </c>
      <c r="N365" s="188">
        <f t="shared" si="104"/>
        <v>0.15899707552038533</v>
      </c>
      <c r="O365" s="305" t="str">
        <f t="shared" si="105"/>
        <v>No</v>
      </c>
      <c r="P365" s="304">
        <f t="shared" si="106"/>
        <v>0</v>
      </c>
      <c r="S365" s="287"/>
      <c r="V365" s="305"/>
      <c r="W365" s="304">
        <f t="shared" si="107"/>
        <v>0</v>
      </c>
      <c r="Z365" s="316"/>
    </row>
    <row r="366" spans="1:26">
      <c r="A366" s="184">
        <v>353</v>
      </c>
      <c r="B366" s="1">
        <f t="shared" si="112"/>
        <v>40374</v>
      </c>
      <c r="D366" s="2">
        <v>33023.502699999997</v>
      </c>
      <c r="E366" s="2">
        <v>33023.502699999997</v>
      </c>
      <c r="F366" s="2">
        <f t="shared" ref="F366:F372" si="133">E366-E365</f>
        <v>111.3382500000007</v>
      </c>
      <c r="G366" s="188">
        <f>(E366/E365)-1</f>
        <v>3.3828905470238979E-3</v>
      </c>
      <c r="H366" s="2">
        <f>E366-$D$3</f>
        <v>10167.652699999999</v>
      </c>
      <c r="I366" s="188">
        <f>(E366/$D$3)-1</f>
        <v>0.44485996801694094</v>
      </c>
      <c r="L366" s="287">
        <v>1064.8800000000001</v>
      </c>
      <c r="M366" s="188">
        <f t="shared" ref="M366:M376" si="134">(L366/L365)-1</f>
        <v>-1.2134030947344887E-2</v>
      </c>
      <c r="N366" s="188">
        <f t="shared" si="104"/>
        <v>0.14493376913813871</v>
      </c>
      <c r="O366" s="305" t="str">
        <f t="shared" si="105"/>
        <v>Yes</v>
      </c>
      <c r="P366" s="304">
        <f t="shared" si="106"/>
        <v>1</v>
      </c>
      <c r="S366" s="287"/>
      <c r="V366" s="305"/>
      <c r="W366" s="304">
        <f t="shared" si="107"/>
        <v>0</v>
      </c>
      <c r="Z366" s="316"/>
    </row>
    <row r="367" spans="1:26">
      <c r="A367" s="184">
        <v>354</v>
      </c>
      <c r="B367" s="1">
        <f t="shared" si="112"/>
        <v>40381</v>
      </c>
      <c r="D367" s="2">
        <v>33186.488100000002</v>
      </c>
      <c r="E367" s="2">
        <v>33186.488100000002</v>
      </c>
      <c r="F367" s="2">
        <f t="shared" si="133"/>
        <v>162.98540000000503</v>
      </c>
      <c r="G367" s="188">
        <f>(E367/E366)-1</f>
        <v>4.9354364823330776E-3</v>
      </c>
      <c r="H367" s="2">
        <f>E367-$D$3</f>
        <v>10330.638100000004</v>
      </c>
      <c r="I367" s="188">
        <f>(E367/$D$3)-1</f>
        <v>0.45199098261495441</v>
      </c>
      <c r="L367" s="287">
        <v>1102.6600000000001</v>
      </c>
      <c r="M367" s="188">
        <f t="shared" si="134"/>
        <v>3.5478175944707369E-2</v>
      </c>
      <c r="N367" s="188">
        <f t="shared" si="104"/>
        <v>0.18555393084465854</v>
      </c>
      <c r="O367" s="305" t="str">
        <f t="shared" si="105"/>
        <v>No</v>
      </c>
      <c r="P367" s="304">
        <f t="shared" si="106"/>
        <v>0</v>
      </c>
      <c r="S367" s="287"/>
      <c r="V367" s="305"/>
      <c r="W367" s="304">
        <f t="shared" si="107"/>
        <v>0</v>
      </c>
      <c r="Z367" s="316"/>
    </row>
    <row r="368" spans="1:26">
      <c r="A368" s="184">
        <v>355</v>
      </c>
      <c r="B368" s="1">
        <f t="shared" si="112"/>
        <v>40388</v>
      </c>
      <c r="D368" s="2">
        <v>33760.091820000001</v>
      </c>
      <c r="E368" s="2">
        <v>33760.091820000001</v>
      </c>
      <c r="F368" s="2">
        <f t="shared" si="133"/>
        <v>573.60371999999916</v>
      </c>
      <c r="G368" s="188">
        <f t="shared" ref="G368:G373" si="135">(E368/E367)-1</f>
        <v>1.7284254913372488E-2</v>
      </c>
      <c r="H368" s="2">
        <f>E368-$D$3</f>
        <v>10904.241820000003</v>
      </c>
      <c r="I368" s="188">
        <f>(E368/$D$3)-1</f>
        <v>0.47708756489038917</v>
      </c>
      <c r="L368" s="287">
        <v>1101.5999999999999</v>
      </c>
      <c r="M368" s="188">
        <f t="shared" si="134"/>
        <v>-9.6131173707236783E-4</v>
      </c>
      <c r="N368" s="188">
        <f t="shared" si="104"/>
        <v>0.18441424393600525</v>
      </c>
      <c r="O368" s="305" t="str">
        <f t="shared" si="105"/>
        <v>Yes</v>
      </c>
      <c r="P368" s="304">
        <f t="shared" si="106"/>
        <v>1</v>
      </c>
      <c r="S368" s="287"/>
      <c r="V368" s="305"/>
      <c r="W368" s="304">
        <f t="shared" si="107"/>
        <v>0</v>
      </c>
      <c r="Z368" s="316"/>
    </row>
    <row r="369" spans="1:26">
      <c r="A369" s="184">
        <v>356</v>
      </c>
      <c r="B369" s="1">
        <f t="shared" si="112"/>
        <v>40395</v>
      </c>
      <c r="D369" s="2">
        <v>32915.919999999998</v>
      </c>
      <c r="E369" s="2">
        <v>32915.919999999998</v>
      </c>
      <c r="F369" s="2">
        <f t="shared" si="133"/>
        <v>-844.17182000000321</v>
      </c>
      <c r="G369" s="188">
        <f t="shared" si="135"/>
        <v>-2.5005021446650844E-2</v>
      </c>
      <c r="H369" s="2">
        <f t="shared" ref="H369:H374" si="136">E369-$D$3</f>
        <v>10060.07</v>
      </c>
      <c r="I369" s="188">
        <f t="shared" ref="I369:I374" si="137">(E369/$D$3)-1</f>
        <v>0.44015295865172366</v>
      </c>
      <c r="L369" s="287">
        <v>1121.6400000000001</v>
      </c>
      <c r="M369" s="188">
        <f t="shared" si="134"/>
        <v>1.8191721132897687E-2</v>
      </c>
      <c r="N369" s="188">
        <f t="shared" si="104"/>
        <v>0.20596077756752118</v>
      </c>
      <c r="O369" s="305" t="str">
        <f t="shared" si="105"/>
        <v>No</v>
      </c>
      <c r="P369" s="304">
        <f t="shared" si="106"/>
        <v>0</v>
      </c>
      <c r="S369" s="287"/>
      <c r="V369" s="305"/>
      <c r="W369" s="304">
        <f t="shared" si="107"/>
        <v>0</v>
      </c>
      <c r="Z369" s="316"/>
    </row>
    <row r="370" spans="1:26">
      <c r="A370" s="184">
        <v>357</v>
      </c>
      <c r="B370" s="1">
        <f t="shared" si="112"/>
        <v>40402</v>
      </c>
      <c r="D370" s="2">
        <v>32071.74</v>
      </c>
      <c r="E370" s="2">
        <v>32071.74</v>
      </c>
      <c r="F370" s="2">
        <f t="shared" si="133"/>
        <v>-844.17999999999665</v>
      </c>
      <c r="G370" s="188">
        <f t="shared" si="135"/>
        <v>-2.564655643834346E-2</v>
      </c>
      <c r="H370" s="2">
        <f t="shared" si="136"/>
        <v>9215.8900000000031</v>
      </c>
      <c r="I370" s="188">
        <f t="shared" si="137"/>
        <v>0.40321799451781515</v>
      </c>
      <c r="L370" s="287">
        <v>1079.25</v>
      </c>
      <c r="M370" s="188">
        <f t="shared" si="134"/>
        <v>-3.7792874719161262E-2</v>
      </c>
      <c r="N370" s="188">
        <f t="shared" si="104"/>
        <v>0.16038405298468938</v>
      </c>
      <c r="O370" s="305" t="str">
        <f t="shared" si="105"/>
        <v>Yes</v>
      </c>
      <c r="P370" s="304">
        <f t="shared" si="106"/>
        <v>1</v>
      </c>
      <c r="S370" s="287"/>
      <c r="V370" s="305"/>
      <c r="W370" s="304">
        <f t="shared" si="107"/>
        <v>0</v>
      </c>
      <c r="Z370" s="316"/>
    </row>
    <row r="371" spans="1:26">
      <c r="A371" s="184">
        <v>358</v>
      </c>
      <c r="B371" s="1">
        <f t="shared" si="112"/>
        <v>40409</v>
      </c>
      <c r="D371" s="2">
        <v>31227.568719999996</v>
      </c>
      <c r="E371" s="2">
        <v>31227.568719999996</v>
      </c>
      <c r="F371" s="2">
        <f t="shared" si="133"/>
        <v>-844.17128000000594</v>
      </c>
      <c r="G371" s="188">
        <f t="shared" si="135"/>
        <v>-2.6321343338403413E-2</v>
      </c>
      <c r="H371" s="2">
        <f t="shared" si="136"/>
        <v>8371.7187199999971</v>
      </c>
      <c r="I371" s="188">
        <f t="shared" si="137"/>
        <v>0.36628341190548586</v>
      </c>
      <c r="L371" s="287">
        <v>1071.69</v>
      </c>
      <c r="M371" s="188">
        <f t="shared" si="134"/>
        <v>-7.0048644892285461E-3</v>
      </c>
      <c r="N371" s="188">
        <f t="shared" si="104"/>
        <v>0.15225571993806986</v>
      </c>
      <c r="O371" s="305" t="str">
        <f t="shared" si="105"/>
        <v>No</v>
      </c>
      <c r="P371" s="304">
        <f t="shared" si="106"/>
        <v>0</v>
      </c>
      <c r="S371" s="287"/>
      <c r="V371" s="305"/>
      <c r="W371" s="304">
        <f t="shared" si="107"/>
        <v>0</v>
      </c>
      <c r="Z371" s="316"/>
    </row>
    <row r="372" spans="1:26">
      <c r="A372" s="184">
        <v>359</v>
      </c>
      <c r="B372" s="1">
        <f t="shared" si="112"/>
        <v>40416</v>
      </c>
      <c r="D372" s="2">
        <v>33051.66921</v>
      </c>
      <c r="E372" s="2">
        <v>33051.66921</v>
      </c>
      <c r="F372" s="2">
        <f t="shared" si="133"/>
        <v>1824.1004900000044</v>
      </c>
      <c r="G372" s="188">
        <f t="shared" si="135"/>
        <v>5.8413144691336294E-2</v>
      </c>
      <c r="H372" s="2">
        <f t="shared" si="136"/>
        <v>10195.819210000001</v>
      </c>
      <c r="I372" s="188">
        <f t="shared" si="137"/>
        <v>0.44609232253449349</v>
      </c>
      <c r="L372" s="287">
        <v>1064.5899999999999</v>
      </c>
      <c r="M372" s="188">
        <f t="shared" si="134"/>
        <v>-6.6250501544291573E-3</v>
      </c>
      <c r="N372" s="188">
        <f t="shared" si="104"/>
        <v>0.14462196800275229</v>
      </c>
      <c r="O372" s="305" t="str">
        <f t="shared" si="105"/>
        <v>Yes</v>
      </c>
      <c r="P372" s="304">
        <f t="shared" si="106"/>
        <v>1</v>
      </c>
      <c r="S372" s="287"/>
      <c r="V372" s="305"/>
      <c r="W372" s="304">
        <f t="shared" si="107"/>
        <v>0</v>
      </c>
      <c r="Z372" s="316"/>
    </row>
    <row r="373" spans="1:26">
      <c r="A373" s="184">
        <v>360</v>
      </c>
      <c r="B373" s="1">
        <f t="shared" si="112"/>
        <v>40423</v>
      </c>
      <c r="D373" s="2">
        <v>32880.08365</v>
      </c>
      <c r="E373" s="2">
        <v>32880.08365</v>
      </c>
      <c r="F373" s="2">
        <f t="shared" ref="F373:F379" si="138">E373-E372</f>
        <v>-171.58555999999953</v>
      </c>
      <c r="G373" s="188">
        <f t="shared" si="135"/>
        <v>-5.1914340213742305E-3</v>
      </c>
      <c r="H373" s="2">
        <f t="shared" si="136"/>
        <v>10024.233650000002</v>
      </c>
      <c r="I373" s="188">
        <f t="shared" si="137"/>
        <v>0.43858502965323987</v>
      </c>
      <c r="L373" s="287">
        <v>1104.51</v>
      </c>
      <c r="M373" s="188">
        <f t="shared" si="134"/>
        <v>3.7498003926394352E-2</v>
      </c>
      <c r="N373" s="188">
        <f t="shared" si="104"/>
        <v>0.18754300705315674</v>
      </c>
      <c r="O373" s="305" t="str">
        <f t="shared" si="105"/>
        <v>No</v>
      </c>
      <c r="P373" s="304">
        <f t="shared" si="106"/>
        <v>0</v>
      </c>
      <c r="S373" s="287"/>
      <c r="V373" s="305"/>
      <c r="W373" s="304">
        <f t="shared" si="107"/>
        <v>0</v>
      </c>
      <c r="Z373" s="316"/>
    </row>
    <row r="374" spans="1:26">
      <c r="A374" s="184">
        <v>361</v>
      </c>
      <c r="B374" s="1">
        <f t="shared" si="112"/>
        <v>40430</v>
      </c>
      <c r="D374" s="2">
        <v>33162.777199999997</v>
      </c>
      <c r="E374" s="2">
        <v>33162.777199999997</v>
      </c>
      <c r="F374" s="2">
        <f t="shared" si="138"/>
        <v>282.69354999999632</v>
      </c>
      <c r="G374" s="188">
        <f t="shared" ref="G374:G379" si="139">(E374/E373)-1</f>
        <v>8.5977138321542412E-3</v>
      </c>
      <c r="H374" s="2">
        <f t="shared" si="136"/>
        <v>10306.927199999998</v>
      </c>
      <c r="I374" s="188">
        <f t="shared" si="137"/>
        <v>0.45095357206141973</v>
      </c>
      <c r="L374" s="287">
        <v>1109.55</v>
      </c>
      <c r="M374" s="188">
        <f t="shared" si="134"/>
        <v>4.5631094331421984E-3</v>
      </c>
      <c r="N374" s="188">
        <f t="shared" si="104"/>
        <v>0.19296189575090295</v>
      </c>
      <c r="O374" s="305" t="str">
        <f t="shared" si="105"/>
        <v>Yes</v>
      </c>
      <c r="P374" s="304">
        <f t="shared" si="106"/>
        <v>1</v>
      </c>
      <c r="S374" s="287"/>
      <c r="V374" s="305"/>
      <c r="W374" s="304">
        <f t="shared" si="107"/>
        <v>0</v>
      </c>
      <c r="Z374" s="316"/>
    </row>
    <row r="375" spans="1:26">
      <c r="A375" s="184">
        <v>362</v>
      </c>
      <c r="B375" s="1">
        <f t="shared" si="112"/>
        <v>40437</v>
      </c>
      <c r="D375" s="2">
        <v>32802.641459999999</v>
      </c>
      <c r="E375" s="2">
        <v>32802.641459999999</v>
      </c>
      <c r="F375" s="2">
        <f t="shared" si="138"/>
        <v>-360.1357399999979</v>
      </c>
      <c r="G375" s="188">
        <f t="shared" si="139"/>
        <v>-1.0859637533613964E-2</v>
      </c>
      <c r="H375" s="2">
        <f t="shared" ref="H375:H381" si="140">E375-$D$3</f>
        <v>9946.7914600000004</v>
      </c>
      <c r="I375" s="188">
        <f t="shared" ref="I375:I381" si="141">(E375/$D$3)-1</f>
        <v>0.43519674219073012</v>
      </c>
      <c r="L375" s="287">
        <v>1125.5899999999999</v>
      </c>
      <c r="M375" s="188">
        <f t="shared" si="134"/>
        <v>1.4456311117119425E-2</v>
      </c>
      <c r="N375" s="188">
        <f t="shared" si="104"/>
        <v>0.21020772406674681</v>
      </c>
      <c r="O375" s="305" t="str">
        <f t="shared" si="105"/>
        <v>No</v>
      </c>
      <c r="P375" s="304">
        <f t="shared" si="106"/>
        <v>0</v>
      </c>
      <c r="S375" s="287"/>
      <c r="V375" s="305"/>
      <c r="W375" s="304">
        <f t="shared" si="107"/>
        <v>0</v>
      </c>
      <c r="Z375" s="316"/>
    </row>
    <row r="376" spans="1:26">
      <c r="A376" s="184">
        <v>363</v>
      </c>
      <c r="B376" s="1">
        <f t="shared" si="112"/>
        <v>40444</v>
      </c>
      <c r="D376" s="2">
        <v>33327.527240000003</v>
      </c>
      <c r="E376" s="2">
        <v>33327.527240000003</v>
      </c>
      <c r="F376" s="2">
        <f t="shared" si="138"/>
        <v>524.88578000000416</v>
      </c>
      <c r="G376" s="188">
        <f t="shared" si="139"/>
        <v>1.600132661999365E-2</v>
      </c>
      <c r="H376" s="2">
        <f t="shared" si="140"/>
        <v>10471.677240000005</v>
      </c>
      <c r="I376" s="188">
        <f t="shared" si="141"/>
        <v>0.45816179402647483</v>
      </c>
      <c r="L376" s="287">
        <v>1148.67</v>
      </c>
      <c r="M376" s="188">
        <f t="shared" si="134"/>
        <v>2.0504801926101157E-2</v>
      </c>
      <c r="N376" s="188">
        <f t="shared" si="104"/>
        <v>0.23502279373817303</v>
      </c>
      <c r="O376" s="305" t="str">
        <f t="shared" si="105"/>
        <v>No</v>
      </c>
      <c r="P376" s="304">
        <f t="shared" si="106"/>
        <v>0</v>
      </c>
      <c r="S376" s="287"/>
      <c r="V376" s="305"/>
      <c r="W376" s="304">
        <f t="shared" si="107"/>
        <v>0</v>
      </c>
      <c r="Z376" s="316"/>
    </row>
    <row r="377" spans="1:26">
      <c r="A377" s="184">
        <v>364</v>
      </c>
      <c r="B377" s="1">
        <f t="shared" si="112"/>
        <v>40451</v>
      </c>
      <c r="D377" s="2">
        <v>33500.400529999999</v>
      </c>
      <c r="E377" s="2">
        <v>33500.400529999999</v>
      </c>
      <c r="F377" s="2">
        <f t="shared" si="138"/>
        <v>172.8732899999959</v>
      </c>
      <c r="G377" s="188">
        <f t="shared" si="139"/>
        <v>5.1871022039855497E-3</v>
      </c>
      <c r="H377" s="2">
        <f t="shared" si="140"/>
        <v>10644.55053</v>
      </c>
      <c r="I377" s="188">
        <f t="shared" si="141"/>
        <v>0.46572542828203733</v>
      </c>
      <c r="L377" s="287">
        <v>1146.24</v>
      </c>
      <c r="M377" s="188">
        <f t="shared" ref="M377:M384" si="142">(L377/L376)-1</f>
        <v>-2.1154900885372863E-3</v>
      </c>
      <c r="N377" s="188">
        <f t="shared" si="104"/>
        <v>0.23241011525890243</v>
      </c>
      <c r="O377" s="305" t="str">
        <f t="shared" si="105"/>
        <v>Yes</v>
      </c>
      <c r="P377" s="304">
        <f t="shared" si="106"/>
        <v>1</v>
      </c>
      <c r="S377" s="287"/>
      <c r="V377" s="305"/>
      <c r="W377" s="304">
        <f t="shared" si="107"/>
        <v>0</v>
      </c>
      <c r="Z377" s="316"/>
    </row>
    <row r="378" spans="1:26">
      <c r="A378" s="184">
        <v>365</v>
      </c>
      <c r="B378" s="1">
        <f t="shared" si="112"/>
        <v>40458</v>
      </c>
      <c r="D378" s="2">
        <v>34145.30171</v>
      </c>
      <c r="E378" s="2">
        <v>34145.30171</v>
      </c>
      <c r="F378" s="2">
        <f t="shared" si="138"/>
        <v>644.90118000000075</v>
      </c>
      <c r="G378" s="188">
        <f t="shared" si="139"/>
        <v>1.9250551330647125E-2</v>
      </c>
      <c r="H378" s="2">
        <f t="shared" si="140"/>
        <v>11289.451710000001</v>
      </c>
      <c r="I378" s="188">
        <f t="shared" si="141"/>
        <v>0.49394145087581531</v>
      </c>
      <c r="L378" s="287">
        <v>1165.1500000000001</v>
      </c>
      <c r="M378" s="188">
        <f t="shared" si="142"/>
        <v>1.6497417643774437E-2</v>
      </c>
      <c r="N378" s="188">
        <f t="shared" si="104"/>
        <v>0.25274169963874082</v>
      </c>
      <c r="O378" s="305" t="str">
        <f t="shared" si="105"/>
        <v>Yes</v>
      </c>
      <c r="P378" s="304">
        <f t="shared" si="106"/>
        <v>1</v>
      </c>
      <c r="S378" s="287"/>
      <c r="V378" s="305"/>
      <c r="W378" s="304">
        <f t="shared" si="107"/>
        <v>0</v>
      </c>
      <c r="Z378" s="316"/>
    </row>
    <row r="379" spans="1:26">
      <c r="A379" s="184">
        <v>366</v>
      </c>
      <c r="B379" s="1">
        <f t="shared" si="112"/>
        <v>40465</v>
      </c>
      <c r="D379" s="2">
        <v>34360.598129999998</v>
      </c>
      <c r="E379" s="2">
        <v>34360.598129999998</v>
      </c>
      <c r="F379" s="2">
        <f t="shared" si="138"/>
        <v>215.29641999999876</v>
      </c>
      <c r="G379" s="188">
        <f t="shared" si="139"/>
        <v>6.3053014387906003E-3</v>
      </c>
      <c r="H379" s="2">
        <f t="shared" si="140"/>
        <v>11504.74813</v>
      </c>
      <c r="I379" s="188">
        <f t="shared" si="141"/>
        <v>0.5033612020554914</v>
      </c>
      <c r="L379" s="287">
        <v>1176.19</v>
      </c>
      <c r="M379" s="188">
        <f t="shared" si="142"/>
        <v>9.4751748701884519E-3</v>
      </c>
      <c r="N379" s="188">
        <f t="shared" si="104"/>
        <v>0.26461164630999479</v>
      </c>
      <c r="O379" s="305" t="str">
        <f t="shared" si="105"/>
        <v>No</v>
      </c>
      <c r="P379" s="304">
        <f t="shared" si="106"/>
        <v>0</v>
      </c>
      <c r="S379" s="287"/>
      <c r="V379" s="305"/>
      <c r="W379" s="304">
        <f t="shared" si="107"/>
        <v>0</v>
      </c>
      <c r="Z379" s="316"/>
    </row>
    <row r="380" spans="1:26">
      <c r="A380" s="184">
        <v>367</v>
      </c>
      <c r="B380" s="1">
        <f t="shared" si="112"/>
        <v>40472</v>
      </c>
      <c r="D380" s="2">
        <v>34100</v>
      </c>
      <c r="E380" s="2">
        <v>34100</v>
      </c>
      <c r="F380" s="2">
        <f>E380-E379</f>
        <v>-260.59812999999849</v>
      </c>
      <c r="G380" s="188">
        <f>(E380/E379)-1</f>
        <v>-7.5842140178715711E-3</v>
      </c>
      <c r="H380" s="2">
        <f t="shared" si="140"/>
        <v>11244.150000000001</v>
      </c>
      <c r="I380" s="188">
        <f t="shared" si="141"/>
        <v>0.49195938895293767</v>
      </c>
      <c r="L380" s="287">
        <v>1183.08</v>
      </c>
      <c r="M380" s="188">
        <f t="shared" si="142"/>
        <v>5.8578971084601861E-3</v>
      </c>
      <c r="N380" s="188">
        <f t="shared" si="104"/>
        <v>0.27201961121623941</v>
      </c>
      <c r="O380" s="305" t="str">
        <f t="shared" si="105"/>
        <v>No</v>
      </c>
      <c r="P380" s="304">
        <f t="shared" si="106"/>
        <v>0</v>
      </c>
      <c r="S380" s="287"/>
      <c r="V380" s="305"/>
      <c r="W380" s="304">
        <f t="shared" si="107"/>
        <v>0</v>
      </c>
      <c r="Z380" s="316"/>
    </row>
    <row r="381" spans="1:26">
      <c r="A381" s="184">
        <v>368</v>
      </c>
      <c r="B381" s="1">
        <f t="shared" si="112"/>
        <v>40479</v>
      </c>
      <c r="D381" s="2">
        <v>33992.562019999998</v>
      </c>
      <c r="E381" s="2">
        <v>33992.562019999998</v>
      </c>
      <c r="F381" s="2">
        <f>E381-E380</f>
        <v>-107.43798000000243</v>
      </c>
      <c r="G381" s="188">
        <f>(E381/E380)-1</f>
        <v>-3.1506739002933326E-3</v>
      </c>
      <c r="H381" s="2">
        <f t="shared" si="140"/>
        <v>11136.712019999999</v>
      </c>
      <c r="I381" s="188">
        <f t="shared" si="141"/>
        <v>0.48725871144586619</v>
      </c>
      <c r="L381" s="287">
        <v>1183.26</v>
      </c>
      <c r="M381" s="188">
        <f t="shared" si="142"/>
        <v>1.5214524799689322E-4</v>
      </c>
      <c r="N381" s="188">
        <f t="shared" si="104"/>
        <v>0.27221314295544463</v>
      </c>
      <c r="O381" s="305" t="str">
        <f t="shared" si="105"/>
        <v>No</v>
      </c>
      <c r="P381" s="304">
        <f t="shared" si="106"/>
        <v>0</v>
      </c>
      <c r="S381" s="287"/>
      <c r="V381" s="305"/>
      <c r="W381" s="304">
        <f t="shared" si="107"/>
        <v>0</v>
      </c>
      <c r="Z381" s="316"/>
    </row>
    <row r="382" spans="1:26">
      <c r="A382" s="184">
        <v>369</v>
      </c>
      <c r="B382" s="1">
        <f t="shared" si="112"/>
        <v>40486</v>
      </c>
      <c r="D382" s="2">
        <v>36656.459549999992</v>
      </c>
      <c r="E382" s="2">
        <v>36656.459549999992</v>
      </c>
      <c r="F382" s="2">
        <f>E382-E381</f>
        <v>2663.8975299999947</v>
      </c>
      <c r="G382" s="188">
        <f>(E382/E381)-1</f>
        <v>7.8367071256137066E-2</v>
      </c>
      <c r="H382" s="2">
        <f>E382-$D$3</f>
        <v>13800.609549999994</v>
      </c>
      <c r="I382" s="188">
        <f>(E382/$D$3)-1</f>
        <v>0.60381082086205473</v>
      </c>
      <c r="L382" s="287">
        <v>1225.8499999999999</v>
      </c>
      <c r="M382" s="188">
        <f t="shared" si="142"/>
        <v>3.599377989621888E-2</v>
      </c>
      <c r="N382" s="188">
        <f t="shared" si="104"/>
        <v>0.31800490280405969</v>
      </c>
      <c r="O382" s="305" t="str">
        <f t="shared" si="105"/>
        <v>Yes</v>
      </c>
      <c r="P382" s="304">
        <f t="shared" si="106"/>
        <v>1</v>
      </c>
      <c r="S382" s="287"/>
      <c r="V382" s="305"/>
      <c r="W382" s="304">
        <f t="shared" si="107"/>
        <v>0</v>
      </c>
      <c r="Z382" s="316"/>
    </row>
    <row r="383" spans="1:26">
      <c r="A383" s="184">
        <v>370</v>
      </c>
      <c r="B383" s="1">
        <f t="shared" si="112"/>
        <v>40493</v>
      </c>
      <c r="D383" s="2">
        <v>36870.676109999993</v>
      </c>
      <c r="E383" s="2">
        <v>36870.676109999993</v>
      </c>
      <c r="F383" s="2">
        <f>E383-E382</f>
        <v>214.21656000000075</v>
      </c>
      <c r="G383" s="188">
        <f>(E383/E382)-1</f>
        <v>5.8438966182154939E-3</v>
      </c>
      <c r="H383" s="2">
        <f>E383-$D$3</f>
        <v>14014.826109999995</v>
      </c>
      <c r="I383" s="188">
        <f>(E383/$D$3)-1</f>
        <v>0.61318332549434817</v>
      </c>
      <c r="L383" s="287">
        <v>1199.21</v>
      </c>
      <c r="M383" s="188">
        <f t="shared" si="142"/>
        <v>-2.1731859526043062E-2</v>
      </c>
      <c r="N383" s="188">
        <f t="shared" si="104"/>
        <v>0.28936220540168578</v>
      </c>
      <c r="O383" s="305" t="str">
        <f t="shared" si="105"/>
        <v>Yes</v>
      </c>
      <c r="P383" s="304">
        <f t="shared" si="106"/>
        <v>1</v>
      </c>
      <c r="S383" s="287"/>
      <c r="V383" s="305"/>
      <c r="W383" s="304">
        <f t="shared" si="107"/>
        <v>0</v>
      </c>
      <c r="Z383" s="316"/>
    </row>
    <row r="384" spans="1:26">
      <c r="A384" s="184">
        <v>371</v>
      </c>
      <c r="B384" s="1">
        <f t="shared" si="112"/>
        <v>40500</v>
      </c>
      <c r="D384" s="2">
        <v>36840</v>
      </c>
      <c r="E384" s="2">
        <v>36840</v>
      </c>
      <c r="F384" s="2">
        <f t="shared" ref="F384:F385" si="143">E384-E383</f>
        <v>-30.676109999993059</v>
      </c>
      <c r="G384" s="188">
        <f t="shared" ref="G384:G385" si="144">(E384/E383)-1</f>
        <v>-8.3199206622830424E-4</v>
      </c>
      <c r="H384" s="2">
        <f t="shared" ref="H384:H385" si="145">E384-$D$3</f>
        <v>13984.150000000001</v>
      </c>
      <c r="I384" s="188">
        <f t="shared" ref="I384:I385" si="146">(E384/$D$3)-1</f>
        <v>0.61184116976616498</v>
      </c>
      <c r="L384" s="287">
        <v>1199.73</v>
      </c>
      <c r="M384" s="188">
        <f t="shared" si="142"/>
        <v>4.3361879904257883E-4</v>
      </c>
      <c r="N384" s="188">
        <f t="shared" si="104"/>
        <v>0.28992129709272318</v>
      </c>
      <c r="O384" s="305" t="str">
        <f t="shared" si="105"/>
        <v>No</v>
      </c>
      <c r="P384" s="304">
        <f t="shared" si="106"/>
        <v>0</v>
      </c>
      <c r="S384" s="287"/>
      <c r="V384" s="305"/>
      <c r="W384" s="304">
        <f t="shared" si="107"/>
        <v>0</v>
      </c>
      <c r="Z384" s="316"/>
    </row>
    <row r="385" spans="1:29">
      <c r="A385" s="184">
        <v>372</v>
      </c>
      <c r="B385" s="1">
        <f t="shared" si="112"/>
        <v>40507</v>
      </c>
      <c r="D385" s="2">
        <v>36804.239809999985</v>
      </c>
      <c r="E385" s="2">
        <v>36804.239809999985</v>
      </c>
      <c r="F385" s="2">
        <f t="shared" si="143"/>
        <v>-35.760190000015427</v>
      </c>
      <c r="G385" s="188">
        <f t="shared" si="144"/>
        <v>-9.7068919652598673E-4</v>
      </c>
      <c r="H385" s="2">
        <f t="shared" si="145"/>
        <v>13948.389809999986</v>
      </c>
      <c r="I385" s="188">
        <f t="shared" si="146"/>
        <v>0.61027657295615723</v>
      </c>
      <c r="L385" s="287">
        <v>1189.4000000000001</v>
      </c>
      <c r="M385" s="188">
        <f t="shared" ref="M385:M389" si="147">(L385/L384)-1</f>
        <v>-8.6102706442282573E-3</v>
      </c>
      <c r="N385" s="188">
        <f t="shared" si="104"/>
        <v>0.27881472561500087</v>
      </c>
      <c r="O385" s="305" t="str">
        <f t="shared" si="105"/>
        <v>Yes</v>
      </c>
      <c r="P385" s="304">
        <f t="shared" si="106"/>
        <v>1</v>
      </c>
      <c r="S385" s="287"/>
      <c r="V385" s="305"/>
      <c r="W385" s="304">
        <f t="shared" si="107"/>
        <v>0</v>
      </c>
      <c r="Z385" s="316"/>
    </row>
    <row r="386" spans="1:29">
      <c r="A386" s="184">
        <v>373</v>
      </c>
      <c r="B386" s="1">
        <f t="shared" si="112"/>
        <v>40514</v>
      </c>
      <c r="D386" s="2">
        <f>D385+106.29</f>
        <v>36910.529809999985</v>
      </c>
      <c r="E386" s="2">
        <f>E385+106.29</f>
        <v>36910.529809999985</v>
      </c>
      <c r="F386" s="2">
        <f t="shared" ref="F386:F389" si="148">E386-E385</f>
        <v>106.29000000000087</v>
      </c>
      <c r="G386" s="188">
        <f t="shared" ref="G386:G389" si="149">(E386/E385)-1</f>
        <v>2.8879824864938008E-3</v>
      </c>
      <c r="H386" s="2">
        <f t="shared" ref="H386:H389" si="150">E386-$D$3</f>
        <v>14054.679809999987</v>
      </c>
      <c r="I386" s="188">
        <f t="shared" ref="I386:I389" si="151">(E386/$D$3)-1</f>
        <v>0.61492702349726613</v>
      </c>
      <c r="L386" s="287">
        <v>1224.71</v>
      </c>
      <c r="M386" s="188">
        <f t="shared" si="147"/>
        <v>2.9687237262485233E-2</v>
      </c>
      <c r="N386" s="188">
        <f t="shared" si="104"/>
        <v>0.31677920178909336</v>
      </c>
      <c r="O386" s="305" t="str">
        <f t="shared" si="105"/>
        <v>No</v>
      </c>
      <c r="P386" s="304">
        <f t="shared" si="106"/>
        <v>0</v>
      </c>
      <c r="S386" s="287"/>
      <c r="V386" s="305"/>
      <c r="W386" s="304">
        <f t="shared" si="107"/>
        <v>0</v>
      </c>
      <c r="AC386" s="308"/>
    </row>
    <row r="387" spans="1:29">
      <c r="A387" s="184">
        <v>374</v>
      </c>
      <c r="B387" s="1">
        <f t="shared" si="112"/>
        <v>40521</v>
      </c>
      <c r="D387" s="2">
        <f t="shared" ref="D387:E388" si="152">D386+106.29</f>
        <v>37016.819809999986</v>
      </c>
      <c r="E387" s="2">
        <f t="shared" si="152"/>
        <v>37016.819809999986</v>
      </c>
      <c r="F387" s="2">
        <f t="shared" si="148"/>
        <v>106.29000000000087</v>
      </c>
      <c r="G387" s="188">
        <f t="shared" si="149"/>
        <v>2.8796660613417124E-3</v>
      </c>
      <c r="H387" s="2">
        <f t="shared" si="150"/>
        <v>14160.969809999988</v>
      </c>
      <c r="I387" s="188">
        <f t="shared" si="151"/>
        <v>0.61957747403837482</v>
      </c>
      <c r="L387" s="287">
        <v>1240.4000000000001</v>
      </c>
      <c r="M387" s="188">
        <f t="shared" si="147"/>
        <v>1.2811196119897783E-2</v>
      </c>
      <c r="N387" s="188">
        <f t="shared" si="104"/>
        <v>0.33364871838981602</v>
      </c>
      <c r="O387" s="305" t="str">
        <f t="shared" si="105"/>
        <v>No</v>
      </c>
      <c r="P387" s="304">
        <f t="shared" si="106"/>
        <v>0</v>
      </c>
      <c r="S387" s="287"/>
      <c r="V387" s="305"/>
      <c r="W387" s="304">
        <f t="shared" si="107"/>
        <v>0</v>
      </c>
      <c r="AC387" s="308"/>
    </row>
    <row r="388" spans="1:29">
      <c r="A388" s="184">
        <v>375</v>
      </c>
      <c r="B388" s="1">
        <f t="shared" si="112"/>
        <v>40528</v>
      </c>
      <c r="D388" s="2">
        <f t="shared" si="152"/>
        <v>37123.109809999987</v>
      </c>
      <c r="E388" s="2">
        <f t="shared" si="152"/>
        <v>37123.109809999987</v>
      </c>
      <c r="F388" s="2">
        <f t="shared" si="148"/>
        <v>106.29000000000087</v>
      </c>
      <c r="G388" s="188">
        <f t="shared" si="149"/>
        <v>2.8713973957126271E-3</v>
      </c>
      <c r="H388" s="2">
        <f t="shared" si="150"/>
        <v>14267.259809999989</v>
      </c>
      <c r="I388" s="188">
        <f t="shared" si="151"/>
        <v>0.62422792457948351</v>
      </c>
      <c r="L388" s="287">
        <v>1243.9100000000001</v>
      </c>
      <c r="M388" s="188">
        <f t="shared" si="147"/>
        <v>2.8297323444050893E-3</v>
      </c>
      <c r="N388" s="188">
        <f t="shared" ref="N388:N451" si="153">(L388/$L$3)-1</f>
        <v>0.33742258730431796</v>
      </c>
      <c r="O388" s="305" t="str">
        <f t="shared" ref="O388:O451" si="154">IF(G388&gt;M388,"Yes","No")</f>
        <v>Yes</v>
      </c>
      <c r="P388" s="304">
        <f t="shared" si="106"/>
        <v>1</v>
      </c>
      <c r="S388" s="287"/>
      <c r="V388" s="305"/>
      <c r="W388" s="304">
        <f t="shared" si="107"/>
        <v>0</v>
      </c>
      <c r="AC388" s="308"/>
    </row>
    <row r="389" spans="1:29">
      <c r="A389" s="184">
        <v>376</v>
      </c>
      <c r="B389" s="1">
        <f t="shared" si="112"/>
        <v>40535</v>
      </c>
      <c r="D389" s="2">
        <v>37229.407539999993</v>
      </c>
      <c r="E389" s="2">
        <v>37229.407539999993</v>
      </c>
      <c r="F389" s="2">
        <f t="shared" si="148"/>
        <v>106.29773000000569</v>
      </c>
      <c r="G389" s="188">
        <f t="shared" si="149"/>
        <v>2.8633843054648445E-3</v>
      </c>
      <c r="H389" s="2">
        <f t="shared" si="150"/>
        <v>14373.557539999994</v>
      </c>
      <c r="I389" s="188">
        <f t="shared" si="151"/>
        <v>0.62887871332722245</v>
      </c>
      <c r="L389" s="287">
        <v>1256.77</v>
      </c>
      <c r="M389" s="188">
        <f t="shared" si="147"/>
        <v>1.0338368531485287E-2</v>
      </c>
      <c r="N389" s="188">
        <f t="shared" si="153"/>
        <v>0.35124935489420261</v>
      </c>
      <c r="O389" s="305" t="str">
        <f t="shared" si="154"/>
        <v>No</v>
      </c>
      <c r="P389" s="304">
        <f t="shared" si="106"/>
        <v>0</v>
      </c>
      <c r="S389" s="287"/>
      <c r="V389" s="305"/>
      <c r="W389" s="304">
        <f t="shared" si="107"/>
        <v>0</v>
      </c>
      <c r="AC389" s="308"/>
    </row>
    <row r="390" spans="1:29">
      <c r="A390" s="184">
        <v>377</v>
      </c>
      <c r="B390" s="1">
        <f t="shared" si="112"/>
        <v>40542</v>
      </c>
      <c r="D390" s="2">
        <v>37326.932840000001</v>
      </c>
      <c r="E390" s="2">
        <v>37326.932840000001</v>
      </c>
      <c r="F390" s="2">
        <f t="shared" ref="F390" si="155">E390-E389</f>
        <v>97.525300000008428</v>
      </c>
      <c r="G390" s="188">
        <f t="shared" ref="G390" si="156">(E390/E389)-1</f>
        <v>2.6195770076444802E-3</v>
      </c>
      <c r="H390" s="2">
        <f t="shared" ref="H390" si="157">E390-$D$3</f>
        <v>14471.082840000003</v>
      </c>
      <c r="I390" s="188">
        <f t="shared" ref="I390" si="158">(E390/$D$3)-1</f>
        <v>0.63314568655289571</v>
      </c>
      <c r="L390" s="287">
        <v>1257.6400000000001</v>
      </c>
      <c r="M390" s="188">
        <f t="shared" ref="M390" si="159">(L390/L389)-1</f>
        <v>6.9225076983059353E-4</v>
      </c>
      <c r="N390" s="188">
        <f t="shared" si="153"/>
        <v>0.35218475830036122</v>
      </c>
      <c r="O390" s="305" t="str">
        <f t="shared" si="154"/>
        <v>Yes</v>
      </c>
      <c r="P390" s="304">
        <f t="shared" ref="P390:P453" si="160">IF(O390="Yes",1,0)</f>
        <v>1</v>
      </c>
      <c r="S390" s="287"/>
      <c r="V390" s="305"/>
      <c r="W390" s="304">
        <f t="shared" ref="W390:W453" si="161">IF(V390="Yes",1,0)</f>
        <v>0</v>
      </c>
      <c r="AC390" s="308"/>
    </row>
    <row r="391" spans="1:29">
      <c r="A391" s="184">
        <v>378</v>
      </c>
      <c r="B391" s="1">
        <f t="shared" si="112"/>
        <v>40549</v>
      </c>
      <c r="D391" s="2">
        <v>37814.249459999992</v>
      </c>
      <c r="E391" s="2">
        <v>37814.249459999992</v>
      </c>
      <c r="F391" s="2">
        <f t="shared" ref="F391" si="162">E391-E390</f>
        <v>487.31661999999051</v>
      </c>
      <c r="G391" s="188">
        <f t="shared" ref="G391" si="163">(E391/E390)-1</f>
        <v>1.3055361984571467E-2</v>
      </c>
      <c r="H391" s="2">
        <f t="shared" ref="H391:H392" si="164">E391-$D$3</f>
        <v>14958.399459999993</v>
      </c>
      <c r="I391" s="188">
        <f t="shared" ref="I391:I392" si="165">(E391/$D$3)-1</f>
        <v>0.65446699466438552</v>
      </c>
      <c r="L391" s="287">
        <v>1271.5</v>
      </c>
      <c r="M391" s="188">
        <f t="shared" ref="M391" si="166">(L391/L390)-1</f>
        <v>1.1020641837091505E-2</v>
      </c>
      <c r="N391" s="188">
        <f t="shared" si="153"/>
        <v>0.36708670221916395</v>
      </c>
      <c r="O391" s="305" t="str">
        <f t="shared" si="154"/>
        <v>Yes</v>
      </c>
      <c r="P391" s="304">
        <f t="shared" si="160"/>
        <v>1</v>
      </c>
      <c r="S391" s="287"/>
      <c r="V391" s="305"/>
      <c r="W391" s="304">
        <f t="shared" si="161"/>
        <v>0</v>
      </c>
      <c r="AC391" s="308"/>
    </row>
    <row r="392" spans="1:29">
      <c r="A392" s="184">
        <v>379</v>
      </c>
      <c r="B392" s="1">
        <f t="shared" si="112"/>
        <v>40556</v>
      </c>
      <c r="D392" s="2">
        <v>38481</v>
      </c>
      <c r="E392" s="2">
        <v>38481</v>
      </c>
      <c r="F392" s="2">
        <f>E392-E391</f>
        <v>666.75054000000819</v>
      </c>
      <c r="G392" s="188">
        <f>(E392/E391)-1</f>
        <v>1.7632256345727626E-2</v>
      </c>
      <c r="H392" s="2">
        <f t="shared" si="164"/>
        <v>15625.150000000001</v>
      </c>
      <c r="I392" s="188">
        <f t="shared" si="165"/>
        <v>0.6836389808298533</v>
      </c>
      <c r="L392" s="287">
        <v>1293.24</v>
      </c>
      <c r="M392" s="188">
        <f>(L392/L391)-1</f>
        <v>1.7097915847424261E-2</v>
      </c>
      <c r="N392" s="188">
        <f t="shared" si="153"/>
        <v>0.39046103560983991</v>
      </c>
      <c r="O392" s="305" t="str">
        <f t="shared" si="154"/>
        <v>Yes</v>
      </c>
      <c r="P392" s="304">
        <f t="shared" si="160"/>
        <v>1</v>
      </c>
      <c r="S392" s="287"/>
      <c r="V392" s="305"/>
      <c r="W392" s="304">
        <f t="shared" si="161"/>
        <v>0</v>
      </c>
      <c r="AC392" s="308"/>
    </row>
    <row r="393" spans="1:29">
      <c r="A393" s="184">
        <v>380</v>
      </c>
      <c r="B393" s="1">
        <f t="shared" si="112"/>
        <v>40563</v>
      </c>
      <c r="D393" s="2">
        <v>38183.156649999997</v>
      </c>
      <c r="E393" s="2">
        <v>38183.156649999997</v>
      </c>
      <c r="F393" s="2">
        <f>E393-E392</f>
        <v>-297.84335000000283</v>
      </c>
      <c r="G393" s="188">
        <f>(E393/E392)-1</f>
        <v>-7.740010654608831E-3</v>
      </c>
      <c r="H393" s="2">
        <f t="shared" ref="H393" si="167">E393-$D$3</f>
        <v>15327.306649999999</v>
      </c>
      <c r="I393" s="188">
        <f t="shared" ref="I393" si="168">(E393/$D$3)-1</f>
        <v>0.67060759717971541</v>
      </c>
      <c r="L393" s="287">
        <v>1283.3499999999999</v>
      </c>
      <c r="M393" s="188">
        <f>(L393/L392)-1</f>
        <v>-7.6474590949863197E-3</v>
      </c>
      <c r="N393" s="188">
        <f t="shared" si="153"/>
        <v>0.3798275417168413</v>
      </c>
      <c r="O393" s="305" t="str">
        <f t="shared" si="154"/>
        <v>No</v>
      </c>
      <c r="P393" s="304">
        <f t="shared" si="160"/>
        <v>0</v>
      </c>
      <c r="S393" s="287"/>
      <c r="V393" s="305"/>
      <c r="W393" s="304">
        <f t="shared" si="161"/>
        <v>0</v>
      </c>
      <c r="AC393" s="308"/>
    </row>
    <row r="394" spans="1:29">
      <c r="A394" s="184">
        <v>381</v>
      </c>
      <c r="B394" s="1">
        <f t="shared" si="112"/>
        <v>40570</v>
      </c>
      <c r="D394" s="2">
        <v>38492.453280000002</v>
      </c>
      <c r="E394" s="2">
        <v>38492.453280000002</v>
      </c>
      <c r="F394" s="2">
        <f>E394-E393</f>
        <v>309.29663000000437</v>
      </c>
      <c r="G394" s="188">
        <f>(E394/E393)-1</f>
        <v>8.1003420653542602E-3</v>
      </c>
      <c r="H394" s="2">
        <f t="shared" ref="H394" si="169">E394-$D$3</f>
        <v>15636.603280000003</v>
      </c>
      <c r="I394" s="188">
        <f t="shared" ref="I394" si="170">(E394/$D$3)-1</f>
        <v>0.68414009017385058</v>
      </c>
      <c r="L394" s="287">
        <v>1276.3399999999999</v>
      </c>
      <c r="M394" s="188">
        <f>(L394/L393)-1</f>
        <v>-5.4622667238087841E-3</v>
      </c>
      <c r="N394" s="188">
        <f t="shared" si="153"/>
        <v>0.37229055565112668</v>
      </c>
      <c r="O394" s="305" t="str">
        <f t="shared" si="154"/>
        <v>Yes</v>
      </c>
      <c r="P394" s="304">
        <f t="shared" si="160"/>
        <v>1</v>
      </c>
      <c r="S394" s="287"/>
      <c r="V394" s="305"/>
      <c r="W394" s="304">
        <f t="shared" si="161"/>
        <v>0</v>
      </c>
      <c r="AC394" s="308"/>
    </row>
    <row r="395" spans="1:29">
      <c r="A395" s="184">
        <v>382</v>
      </c>
      <c r="B395" s="1">
        <f t="shared" ref="B395:B460" si="171">B394+7</f>
        <v>40577</v>
      </c>
      <c r="D395" s="2">
        <v>39204.419079999992</v>
      </c>
      <c r="E395" s="2">
        <v>39204.419079999992</v>
      </c>
      <c r="F395" s="2">
        <f>E395-E394</f>
        <v>711.96579999999085</v>
      </c>
      <c r="G395" s="188">
        <f>(E395/E394)-1</f>
        <v>1.8496243791504829E-2</v>
      </c>
      <c r="H395" s="2">
        <f t="shared" ref="H395" si="172">E395-$D$3</f>
        <v>16348.569079999994</v>
      </c>
      <c r="I395" s="188">
        <f t="shared" ref="I395" si="173">(E395/$D$3)-1</f>
        <v>0.71529035586075307</v>
      </c>
      <c r="L395" s="287">
        <v>1310.87</v>
      </c>
      <c r="M395" s="188">
        <f>(L395/L394)-1</f>
        <v>2.7053919801933723E-2</v>
      </c>
      <c r="N395" s="188">
        <f t="shared" si="153"/>
        <v>0.40941639428866305</v>
      </c>
      <c r="O395" s="305" t="str">
        <f t="shared" si="154"/>
        <v>No</v>
      </c>
      <c r="P395" s="304">
        <f t="shared" si="160"/>
        <v>0</v>
      </c>
      <c r="S395" s="287"/>
      <c r="V395" s="305"/>
      <c r="W395" s="304">
        <f t="shared" si="161"/>
        <v>0</v>
      </c>
      <c r="AC395" s="308"/>
    </row>
    <row r="396" spans="1:29">
      <c r="A396" s="184">
        <v>383</v>
      </c>
      <c r="B396" s="1">
        <f t="shared" si="171"/>
        <v>40584</v>
      </c>
      <c r="D396" s="2">
        <v>38995.910000000003</v>
      </c>
      <c r="E396" s="2">
        <v>38995.910000000003</v>
      </c>
      <c r="F396" s="2">
        <f t="shared" ref="F396:F397" si="174">E396-E395</f>
        <v>-208.5090799999889</v>
      </c>
      <c r="G396" s="188">
        <f t="shared" ref="G396:G397" si="175">(E396/E395)-1</f>
        <v>-5.3185096194005022E-3</v>
      </c>
      <c r="H396" s="2">
        <f t="shared" ref="H396:H397" si="176">E396-$D$3</f>
        <v>16140.060000000005</v>
      </c>
      <c r="I396" s="188">
        <f t="shared" ref="I396:I397" si="177">(E396/$D$3)-1</f>
        <v>0.70616756760304278</v>
      </c>
      <c r="L396" s="287">
        <v>1329.15</v>
      </c>
      <c r="M396" s="188">
        <f t="shared" ref="M396:M398" si="178">(L396/L395)-1</f>
        <v>1.3944937331695995E-2</v>
      </c>
      <c r="N396" s="188">
        <f t="shared" si="153"/>
        <v>0.42907061758128329</v>
      </c>
      <c r="O396" s="305" t="str">
        <f t="shared" si="154"/>
        <v>No</v>
      </c>
      <c r="P396" s="304">
        <f t="shared" si="160"/>
        <v>0</v>
      </c>
      <c r="S396" s="287"/>
      <c r="V396" s="305"/>
      <c r="W396" s="304">
        <f t="shared" si="161"/>
        <v>0</v>
      </c>
      <c r="AC396" s="308"/>
    </row>
    <row r="397" spans="1:29">
      <c r="A397" s="184">
        <v>384</v>
      </c>
      <c r="B397" s="1">
        <f t="shared" si="171"/>
        <v>40591</v>
      </c>
      <c r="D397" s="2">
        <v>38765.408150000003</v>
      </c>
      <c r="E397" s="2">
        <v>38765.408150000003</v>
      </c>
      <c r="F397" s="2">
        <f t="shared" si="174"/>
        <v>-230.50185000000056</v>
      </c>
      <c r="G397" s="188">
        <f t="shared" si="175"/>
        <v>-5.910923735335305E-3</v>
      </c>
      <c r="H397" s="2">
        <f t="shared" si="176"/>
        <v>15909.558150000004</v>
      </c>
      <c r="I397" s="188">
        <f t="shared" si="177"/>
        <v>0.69608254123123858</v>
      </c>
      <c r="L397" s="287">
        <v>1343.01</v>
      </c>
      <c r="M397" s="188">
        <f t="shared" si="178"/>
        <v>1.0427716961968203E-2</v>
      </c>
      <c r="N397" s="188">
        <f t="shared" si="153"/>
        <v>0.44397256150008602</v>
      </c>
      <c r="O397" s="305" t="str">
        <f t="shared" si="154"/>
        <v>No</v>
      </c>
      <c r="P397" s="304">
        <f t="shared" si="160"/>
        <v>0</v>
      </c>
      <c r="S397" s="287"/>
      <c r="V397" s="305"/>
      <c r="W397" s="304">
        <f t="shared" si="161"/>
        <v>0</v>
      </c>
      <c r="AC397" s="308"/>
    </row>
    <row r="398" spans="1:29">
      <c r="A398" s="184">
        <v>385</v>
      </c>
      <c r="B398" s="1">
        <f t="shared" si="171"/>
        <v>40598</v>
      </c>
      <c r="D398" s="2">
        <v>38790.81</v>
      </c>
      <c r="E398" s="2">
        <v>38790.81</v>
      </c>
      <c r="F398" s="2">
        <f t="shared" ref="F398" si="179">E398-E397</f>
        <v>25.401849999994738</v>
      </c>
      <c r="G398" s="188">
        <f t="shared" ref="G398" si="180">(E398/E397)-1</f>
        <v>6.5527105768370397E-4</v>
      </c>
      <c r="H398" s="2">
        <f t="shared" ref="H398" si="181">E398-$D$3</f>
        <v>15934.96</v>
      </c>
      <c r="I398" s="188">
        <f t="shared" ref="I398" si="182">(E398/$D$3)-1</f>
        <v>0.69719393503195026</v>
      </c>
      <c r="L398" s="287">
        <v>1319.88</v>
      </c>
      <c r="M398" s="188">
        <f t="shared" si="178"/>
        <v>-1.722250765072475E-2</v>
      </c>
      <c r="N398" s="188">
        <f t="shared" si="153"/>
        <v>0.41910373301221404</v>
      </c>
      <c r="O398" s="305" t="str">
        <f t="shared" si="154"/>
        <v>Yes</v>
      </c>
      <c r="P398" s="304">
        <f t="shared" si="160"/>
        <v>1</v>
      </c>
      <c r="S398" s="287"/>
      <c r="V398" s="305"/>
      <c r="W398" s="304">
        <f t="shared" si="161"/>
        <v>0</v>
      </c>
      <c r="AC398" s="308"/>
    </row>
    <row r="399" spans="1:29">
      <c r="A399" s="184">
        <v>386</v>
      </c>
      <c r="B399" s="1">
        <f t="shared" si="171"/>
        <v>40605</v>
      </c>
      <c r="D399" s="2">
        <v>38940.104079999997</v>
      </c>
      <c r="E399" s="2">
        <v>38940.104079999997</v>
      </c>
      <c r="F399" s="2">
        <f t="shared" ref="F399" si="183">E399-E398</f>
        <v>149.29407999999967</v>
      </c>
      <c r="G399" s="188">
        <f t="shared" ref="G399" si="184">(E399/E398)-1</f>
        <v>3.8486971527533775E-3</v>
      </c>
      <c r="H399" s="2">
        <f t="shared" ref="H399" si="185">E399-$D$3</f>
        <v>16084.254079999999</v>
      </c>
      <c r="I399" s="188">
        <f t="shared" ref="I399" si="186">(E399/$D$3)-1</f>
        <v>0.70372592049737803</v>
      </c>
      <c r="L399" s="287">
        <v>1321.15</v>
      </c>
      <c r="M399" s="188">
        <f t="shared" ref="M399:M400" si="187">(L399/L398)-1</f>
        <v>9.6220868563801076E-4</v>
      </c>
      <c r="N399" s="188">
        <f t="shared" si="153"/>
        <v>0.42046920694993983</v>
      </c>
      <c r="O399" s="305" t="str">
        <f t="shared" si="154"/>
        <v>Yes</v>
      </c>
      <c r="P399" s="304">
        <f t="shared" si="160"/>
        <v>1</v>
      </c>
      <c r="S399" s="287"/>
      <c r="V399" s="305"/>
      <c r="W399" s="304">
        <f t="shared" si="161"/>
        <v>0</v>
      </c>
      <c r="AC399" s="308"/>
    </row>
    <row r="400" spans="1:29">
      <c r="A400" s="184">
        <v>387</v>
      </c>
      <c r="B400" s="1">
        <f t="shared" si="171"/>
        <v>40612</v>
      </c>
      <c r="D400" s="2">
        <v>38670.833279999999</v>
      </c>
      <c r="E400" s="2">
        <v>38670.833279999999</v>
      </c>
      <c r="F400" s="2">
        <f t="shared" ref="F400" si="188">E400-E399</f>
        <v>-269.27079999999842</v>
      </c>
      <c r="G400" s="188">
        <f t="shared" ref="G400" si="189">(E400/E399)-1</f>
        <v>-6.9149994937558468E-3</v>
      </c>
      <c r="H400" s="2">
        <f t="shared" ref="H400" si="190">E400-$D$3</f>
        <v>15814.98328</v>
      </c>
      <c r="I400" s="188">
        <f t="shared" ref="I400" si="191">(E400/$D$3)-1</f>
        <v>0.69194465661964011</v>
      </c>
      <c r="L400" s="287">
        <v>1304.28</v>
      </c>
      <c r="M400" s="188">
        <f t="shared" si="187"/>
        <v>-1.2769178367331602E-2</v>
      </c>
      <c r="N400" s="188">
        <f t="shared" si="153"/>
        <v>0.4023309822810941</v>
      </c>
      <c r="O400" s="305" t="str">
        <f t="shared" si="154"/>
        <v>Yes</v>
      </c>
      <c r="P400" s="304">
        <f t="shared" si="160"/>
        <v>1</v>
      </c>
      <c r="S400" s="287"/>
      <c r="V400" s="305"/>
      <c r="W400" s="304">
        <f t="shared" si="161"/>
        <v>0</v>
      </c>
      <c r="AC400" s="308"/>
    </row>
    <row r="401" spans="1:29">
      <c r="A401" s="184">
        <v>388</v>
      </c>
      <c r="B401" s="1">
        <f t="shared" si="171"/>
        <v>40619</v>
      </c>
      <c r="D401" s="2">
        <v>37859.991129999995</v>
      </c>
      <c r="E401" s="2">
        <v>37859.991129999995</v>
      </c>
      <c r="F401" s="2">
        <f t="shared" ref="F401" si="192">E401-E400</f>
        <v>-810.84215000000404</v>
      </c>
      <c r="G401" s="188">
        <f t="shared" ref="G401" si="193">(E401/E400)-1</f>
        <v>-2.0967796171575181E-2</v>
      </c>
      <c r="H401" s="2">
        <f t="shared" ref="H401" si="194">E401-$D$3</f>
        <v>15004.141129999996</v>
      </c>
      <c r="I401" s="188">
        <f t="shared" ref="I401" si="195">(E401/$D$3)-1</f>
        <v>0.65646830592605387</v>
      </c>
      <c r="L401" s="287">
        <v>1276.71</v>
      </c>
      <c r="M401" s="188">
        <f t="shared" ref="M401:M402" si="196">(L401/L400)-1</f>
        <v>-2.1138099181157388E-2</v>
      </c>
      <c r="N401" s="188">
        <f t="shared" si="153"/>
        <v>0.37268837089282636</v>
      </c>
      <c r="O401" s="305" t="str">
        <f t="shared" si="154"/>
        <v>Yes</v>
      </c>
      <c r="P401" s="304">
        <f t="shared" si="160"/>
        <v>1</v>
      </c>
      <c r="S401" s="287"/>
      <c r="V401" s="305"/>
      <c r="W401" s="304">
        <f t="shared" si="161"/>
        <v>0</v>
      </c>
      <c r="AC401" s="308"/>
    </row>
    <row r="402" spans="1:29">
      <c r="A402" s="184">
        <v>389</v>
      </c>
      <c r="B402" s="1">
        <f t="shared" si="171"/>
        <v>40626</v>
      </c>
      <c r="D402" s="2">
        <v>39005.864710000002</v>
      </c>
      <c r="E402" s="2">
        <v>39005.864710000002</v>
      </c>
      <c r="F402" s="2">
        <f t="shared" ref="F402" si="197">E402-E401</f>
        <v>1145.8735800000068</v>
      </c>
      <c r="G402" s="188">
        <f t="shared" ref="G402" si="198">(E402/E401)-1</f>
        <v>3.0266081575809567E-2</v>
      </c>
      <c r="H402" s="2">
        <f t="shared" ref="H402" si="199">E402-$D$3</f>
        <v>16150.014710000003</v>
      </c>
      <c r="I402" s="188">
        <f t="shared" ref="I402" si="200">(E402/$D$3)-1</f>
        <v>0.70660311080095495</v>
      </c>
      <c r="L402" s="287">
        <v>1309.02</v>
      </c>
      <c r="M402" s="188">
        <f t="shared" si="196"/>
        <v>2.5307235002467232E-2</v>
      </c>
      <c r="N402" s="188">
        <f t="shared" si="153"/>
        <v>0.40742731808016508</v>
      </c>
      <c r="O402" s="305" t="str">
        <f t="shared" si="154"/>
        <v>Yes</v>
      </c>
      <c r="P402" s="304">
        <f t="shared" si="160"/>
        <v>1</v>
      </c>
      <c r="S402" s="287"/>
      <c r="V402" s="305"/>
      <c r="W402" s="304">
        <f t="shared" si="161"/>
        <v>0</v>
      </c>
      <c r="AC402" s="308"/>
    </row>
    <row r="403" spans="1:29">
      <c r="A403" s="184">
        <v>390</v>
      </c>
      <c r="B403" s="1">
        <f t="shared" si="171"/>
        <v>40633</v>
      </c>
      <c r="D403" s="2">
        <v>39920.137799999997</v>
      </c>
      <c r="E403" s="2">
        <v>39920.137799999997</v>
      </c>
      <c r="F403" s="2">
        <f t="shared" ref="F403" si="201">E403-E402</f>
        <v>914.27308999999514</v>
      </c>
      <c r="G403" s="188">
        <f t="shared" ref="G403" si="202">(E403/E402)-1</f>
        <v>2.3439374996488738E-2</v>
      </c>
      <c r="H403" s="2">
        <f t="shared" ref="H403" si="203">E403-$D$3</f>
        <v>17064.287799999998</v>
      </c>
      <c r="I403" s="188">
        <f t="shared" ref="I403" si="204">(E403/$D$3)-1</f>
        <v>0.74660482108519255</v>
      </c>
      <c r="L403" s="287">
        <v>1332.41</v>
      </c>
      <c r="M403" s="188">
        <f t="shared" ref="M403" si="205">(L403/L402)-1</f>
        <v>1.7868328978930981E-2</v>
      </c>
      <c r="N403" s="188">
        <f t="shared" si="153"/>
        <v>0.43257569241355576</v>
      </c>
      <c r="O403" s="305" t="str">
        <f t="shared" si="154"/>
        <v>Yes</v>
      </c>
      <c r="P403" s="304">
        <f t="shared" si="160"/>
        <v>1</v>
      </c>
      <c r="S403" s="287"/>
      <c r="V403" s="305"/>
      <c r="W403" s="304">
        <f t="shared" si="161"/>
        <v>0</v>
      </c>
      <c r="AC403" s="308"/>
    </row>
    <row r="404" spans="1:29">
      <c r="A404" s="184">
        <v>391</v>
      </c>
      <c r="B404" s="1">
        <f t="shared" si="171"/>
        <v>40640</v>
      </c>
      <c r="D404" s="2">
        <v>39687.383809999999</v>
      </c>
      <c r="E404" s="2">
        <v>39687.383809999999</v>
      </c>
      <c r="F404" s="2">
        <f t="shared" ref="F404" si="206">E404-E403</f>
        <v>-232.75398999999743</v>
      </c>
      <c r="G404" s="188">
        <f t="shared" ref="G404" si="207">(E404/E403)-1</f>
        <v>-5.8304906452502081E-3</v>
      </c>
      <c r="H404" s="2">
        <f t="shared" ref="H404" si="208">E404-$D$3</f>
        <v>16831.533810000001</v>
      </c>
      <c r="I404" s="188">
        <f t="shared" ref="I404" si="209">(E404/$D$3)-1</f>
        <v>0.73642125801490654</v>
      </c>
      <c r="L404" s="287">
        <v>1328.17</v>
      </c>
      <c r="M404" s="188">
        <f t="shared" ref="M404:M451" si="210">(L404/L403)-1</f>
        <v>-3.182203676045714E-3</v>
      </c>
      <c r="N404" s="188">
        <f t="shared" si="153"/>
        <v>0.4280169447789437</v>
      </c>
      <c r="O404" s="305" t="str">
        <f t="shared" si="154"/>
        <v>No</v>
      </c>
      <c r="P404" s="304">
        <f t="shared" si="160"/>
        <v>0</v>
      </c>
      <c r="S404" s="287"/>
      <c r="V404" s="305"/>
      <c r="W404" s="304">
        <f t="shared" si="161"/>
        <v>0</v>
      </c>
      <c r="AC404" s="308"/>
    </row>
    <row r="405" spans="1:29">
      <c r="A405" s="184">
        <v>392</v>
      </c>
      <c r="B405" s="1">
        <f t="shared" si="171"/>
        <v>40647</v>
      </c>
      <c r="D405" s="2">
        <v>39495</v>
      </c>
      <c r="E405" s="2">
        <v>39495</v>
      </c>
      <c r="F405" s="2">
        <f t="shared" ref="F405:F407" si="211">E405-E404</f>
        <v>-192.38380999999936</v>
      </c>
      <c r="G405" s="188">
        <f t="shared" ref="G405:G407" si="212">(E405/E404)-1</f>
        <v>-4.8474802703302178E-3</v>
      </c>
      <c r="H405" s="2">
        <f t="shared" ref="H405:H407" si="213">E405-$D$3</f>
        <v>16639.150000000001</v>
      </c>
      <c r="I405" s="188">
        <f t="shared" ref="I405:I407" si="214">(E405/$D$3)-1</f>
        <v>0.72800399022569717</v>
      </c>
      <c r="L405" s="287">
        <v>1314.52</v>
      </c>
      <c r="M405" s="188">
        <f t="shared" si="210"/>
        <v>-1.0277298839757032E-2</v>
      </c>
      <c r="N405" s="188">
        <f t="shared" si="153"/>
        <v>0.41334078788921369</v>
      </c>
      <c r="O405" s="305" t="str">
        <f t="shared" si="154"/>
        <v>Yes</v>
      </c>
      <c r="P405" s="304">
        <f t="shared" si="160"/>
        <v>1</v>
      </c>
      <c r="S405" s="287"/>
      <c r="V405" s="305"/>
      <c r="W405" s="304">
        <f t="shared" si="161"/>
        <v>0</v>
      </c>
      <c r="AC405" s="308"/>
    </row>
    <row r="406" spans="1:29">
      <c r="A406" s="184">
        <v>393</v>
      </c>
      <c r="B406" s="1">
        <f t="shared" si="171"/>
        <v>40654</v>
      </c>
      <c r="D406" s="2">
        <v>40254</v>
      </c>
      <c r="E406" s="2">
        <v>40254</v>
      </c>
      <c r="F406" s="2">
        <f t="shared" si="211"/>
        <v>759</v>
      </c>
      <c r="G406" s="188">
        <f t="shared" si="212"/>
        <v>1.9217622483858721E-2</v>
      </c>
      <c r="H406" s="2">
        <f t="shared" si="213"/>
        <v>17398.150000000001</v>
      </c>
      <c r="I406" s="188">
        <f t="shared" si="214"/>
        <v>0.76121211856045612</v>
      </c>
      <c r="L406" s="287">
        <v>1337.38</v>
      </c>
      <c r="M406" s="188">
        <f t="shared" si="210"/>
        <v>1.7390378236923132E-2</v>
      </c>
      <c r="N406" s="188">
        <f t="shared" si="153"/>
        <v>0.43791931876827794</v>
      </c>
      <c r="O406" s="305" t="str">
        <f t="shared" si="154"/>
        <v>Yes</v>
      </c>
      <c r="P406" s="304">
        <f t="shared" si="160"/>
        <v>1</v>
      </c>
      <c r="S406" s="287"/>
      <c r="V406" s="305"/>
      <c r="W406" s="304">
        <f t="shared" si="161"/>
        <v>0</v>
      </c>
    </row>
    <row r="407" spans="1:29">
      <c r="A407" s="184">
        <v>394</v>
      </c>
      <c r="B407" s="1">
        <f t="shared" si="171"/>
        <v>40661</v>
      </c>
      <c r="D407" s="2">
        <v>40523</v>
      </c>
      <c r="E407" s="2">
        <v>40523</v>
      </c>
      <c r="F407" s="2">
        <f t="shared" si="211"/>
        <v>269</v>
      </c>
      <c r="G407" s="188">
        <f t="shared" si="212"/>
        <v>6.6825657077558276E-3</v>
      </c>
      <c r="H407" s="2">
        <f t="shared" si="213"/>
        <v>17667.150000000001</v>
      </c>
      <c r="I407" s="188">
        <f t="shared" si="214"/>
        <v>0.77298153426803218</v>
      </c>
      <c r="L407" s="287">
        <v>1360.48</v>
      </c>
      <c r="M407" s="188">
        <f t="shared" si="210"/>
        <v>1.7272577726599625E-2</v>
      </c>
      <c r="N407" s="188">
        <f t="shared" si="153"/>
        <v>0.46275589196628242</v>
      </c>
      <c r="O407" s="305" t="str">
        <f t="shared" si="154"/>
        <v>No</v>
      </c>
      <c r="P407" s="304">
        <f t="shared" si="160"/>
        <v>0</v>
      </c>
      <c r="S407" s="287"/>
      <c r="V407" s="305"/>
      <c r="W407" s="304">
        <f t="shared" si="161"/>
        <v>0</v>
      </c>
    </row>
    <row r="408" spans="1:29">
      <c r="A408" s="184">
        <v>395</v>
      </c>
      <c r="B408" s="1">
        <f t="shared" si="171"/>
        <v>40668</v>
      </c>
      <c r="D408" s="2">
        <v>39477.019999999997</v>
      </c>
      <c r="E408" s="2">
        <v>39477.019999999997</v>
      </c>
      <c r="F408" s="2">
        <f t="shared" ref="F408:F410" si="215">E408-E407</f>
        <v>-1045.9800000000032</v>
      </c>
      <c r="G408" s="188">
        <f t="shared" ref="G408:G410" si="216">(E408/E407)-1</f>
        <v>-2.5812007995459463E-2</v>
      </c>
      <c r="H408" s="2">
        <f t="shared" ref="H408:H410" si="217">E408-$D$3</f>
        <v>16621.169999999998</v>
      </c>
      <c r="I408" s="188">
        <f t="shared" ref="I408:I410" si="218">(E408/$D$3)-1</f>
        <v>0.72721732072970369</v>
      </c>
      <c r="L408" s="287">
        <v>1335.1</v>
      </c>
      <c r="M408" s="188">
        <f t="shared" si="210"/>
        <v>-1.8655180524520865E-2</v>
      </c>
      <c r="N408" s="188">
        <f t="shared" si="153"/>
        <v>0.43546791673834484</v>
      </c>
      <c r="O408" s="305" t="str">
        <f t="shared" si="154"/>
        <v>No</v>
      </c>
      <c r="P408" s="304">
        <f t="shared" si="160"/>
        <v>0</v>
      </c>
      <c r="S408" s="287"/>
      <c r="V408" s="305"/>
      <c r="W408" s="304">
        <f t="shared" si="161"/>
        <v>0</v>
      </c>
    </row>
    <row r="409" spans="1:29">
      <c r="A409" s="184">
        <v>396</v>
      </c>
      <c r="B409" s="1">
        <f t="shared" si="171"/>
        <v>40675</v>
      </c>
      <c r="D409" s="2">
        <v>40029.949999999997</v>
      </c>
      <c r="E409" s="2">
        <v>40029.949999999997</v>
      </c>
      <c r="F409" s="2">
        <f t="shared" si="215"/>
        <v>552.93000000000029</v>
      </c>
      <c r="G409" s="188">
        <f t="shared" si="216"/>
        <v>1.4006376367821094E-2</v>
      </c>
      <c r="H409" s="2">
        <f t="shared" si="217"/>
        <v>17174.099999999999</v>
      </c>
      <c r="I409" s="188">
        <f t="shared" si="218"/>
        <v>0.75140937659286355</v>
      </c>
      <c r="L409" s="287">
        <v>1348.65</v>
      </c>
      <c r="M409" s="188">
        <f t="shared" si="210"/>
        <v>1.0149052505430411E-2</v>
      </c>
      <c r="N409" s="188">
        <f t="shared" si="153"/>
        <v>0.45003655599518333</v>
      </c>
      <c r="O409" s="305" t="str">
        <f t="shared" si="154"/>
        <v>Yes</v>
      </c>
      <c r="P409" s="304">
        <f t="shared" si="160"/>
        <v>1</v>
      </c>
      <c r="S409" s="287"/>
      <c r="V409" s="305"/>
      <c r="W409" s="304">
        <f t="shared" si="161"/>
        <v>0</v>
      </c>
    </row>
    <row r="410" spans="1:29">
      <c r="A410" s="184">
        <v>397</v>
      </c>
      <c r="B410" s="1">
        <f t="shared" si="171"/>
        <v>40682</v>
      </c>
      <c r="D410" s="2">
        <v>39881.57</v>
      </c>
      <c r="E410" s="2">
        <v>39881.57</v>
      </c>
      <c r="F410" s="2">
        <f t="shared" si="215"/>
        <v>-148.37999999999738</v>
      </c>
      <c r="G410" s="188">
        <f t="shared" si="216"/>
        <v>-3.7067245899632395E-3</v>
      </c>
      <c r="H410" s="2">
        <f t="shared" si="217"/>
        <v>17025.72</v>
      </c>
      <c r="I410" s="188">
        <f t="shared" si="218"/>
        <v>0.74491738438955468</v>
      </c>
      <c r="L410" s="287">
        <v>1343.6</v>
      </c>
      <c r="M410" s="188">
        <f t="shared" si="210"/>
        <v>-3.7444852259668204E-3</v>
      </c>
      <c r="N410" s="188">
        <f t="shared" si="153"/>
        <v>0.44460691553414744</v>
      </c>
      <c r="O410" s="305" t="str">
        <f t="shared" si="154"/>
        <v>Yes</v>
      </c>
      <c r="P410" s="304">
        <f t="shared" si="160"/>
        <v>1</v>
      </c>
      <c r="S410" s="287"/>
      <c r="V410" s="305"/>
      <c r="W410" s="304">
        <f t="shared" si="161"/>
        <v>0</v>
      </c>
    </row>
    <row r="411" spans="1:29">
      <c r="A411" s="184">
        <v>398</v>
      </c>
      <c r="B411" s="1">
        <f t="shared" si="171"/>
        <v>40689</v>
      </c>
      <c r="D411" s="2">
        <v>38313.910000000003</v>
      </c>
      <c r="E411" s="2">
        <v>38313.910000000003</v>
      </c>
      <c r="F411" s="2">
        <f t="shared" ref="F411:F424" si="219">E411-E410</f>
        <v>-1567.6599999999962</v>
      </c>
      <c r="G411" s="188">
        <f t="shared" ref="G411:G424" si="220">(E411/E410)-1</f>
        <v>-3.9307880808102547E-2</v>
      </c>
      <c r="H411" s="2">
        <f t="shared" ref="H411:H424" si="221">E411-$D$3</f>
        <v>15458.060000000005</v>
      </c>
      <c r="I411" s="188">
        <f t="shared" ref="I411:I424" si="222">(E411/$D$3)-1</f>
        <v>0.67632837982398408</v>
      </c>
      <c r="L411" s="287">
        <v>1331.1</v>
      </c>
      <c r="M411" s="188">
        <f t="shared" si="210"/>
        <v>-9.3033640964572673E-3</v>
      </c>
      <c r="N411" s="188">
        <f t="shared" si="153"/>
        <v>0.43116721142267322</v>
      </c>
      <c r="O411" s="305" t="str">
        <f t="shared" si="154"/>
        <v>No</v>
      </c>
      <c r="P411" s="304">
        <f t="shared" si="160"/>
        <v>0</v>
      </c>
      <c r="S411" s="287"/>
      <c r="V411" s="305"/>
      <c r="W411" s="304">
        <f t="shared" si="161"/>
        <v>0</v>
      </c>
    </row>
    <row r="412" spans="1:29">
      <c r="A412" s="184">
        <v>399</v>
      </c>
      <c r="B412" s="1">
        <f t="shared" si="171"/>
        <v>40696</v>
      </c>
      <c r="D412" s="2">
        <v>38064.29</v>
      </c>
      <c r="E412" s="2">
        <v>38064.29</v>
      </c>
      <c r="F412" s="2">
        <f t="shared" si="219"/>
        <v>-249.62000000000262</v>
      </c>
      <c r="G412" s="188">
        <f t="shared" si="220"/>
        <v>-6.5151272736194699E-3</v>
      </c>
      <c r="H412" s="2">
        <f t="shared" si="221"/>
        <v>15208.440000000002</v>
      </c>
      <c r="I412" s="188">
        <f t="shared" si="222"/>
        <v>0.66540688707705042</v>
      </c>
      <c r="L412" s="287">
        <v>1300.1600000000001</v>
      </c>
      <c r="M412" s="188">
        <f t="shared" si="210"/>
        <v>-2.324393358876109E-2</v>
      </c>
      <c r="N412" s="188">
        <f t="shared" si="153"/>
        <v>0.39790125580595226</v>
      </c>
      <c r="O412" s="305" t="str">
        <f t="shared" si="154"/>
        <v>Yes</v>
      </c>
      <c r="P412" s="304">
        <f t="shared" si="160"/>
        <v>1</v>
      </c>
      <c r="S412" s="287"/>
      <c r="V412" s="305"/>
      <c r="W412" s="304">
        <f t="shared" si="161"/>
        <v>0</v>
      </c>
    </row>
    <row r="413" spans="1:29">
      <c r="A413" s="184">
        <v>400</v>
      </c>
      <c r="B413" s="1">
        <f t="shared" si="171"/>
        <v>40703</v>
      </c>
      <c r="D413" s="2">
        <v>37146.99</v>
      </c>
      <c r="E413" s="2">
        <v>37146.99</v>
      </c>
      <c r="F413" s="2">
        <f t="shared" si="219"/>
        <v>-917.30000000000291</v>
      </c>
      <c r="G413" s="188">
        <f t="shared" si="220"/>
        <v>-2.4098702484664836E-2</v>
      </c>
      <c r="H413" s="2">
        <f t="shared" si="221"/>
        <v>14291.14</v>
      </c>
      <c r="I413" s="188">
        <f t="shared" si="222"/>
        <v>0.62527274198946881</v>
      </c>
      <c r="L413" s="287">
        <v>1270.98</v>
      </c>
      <c r="M413" s="188">
        <f t="shared" si="210"/>
        <v>-2.2443391582574468E-2</v>
      </c>
      <c r="N413" s="188">
        <f t="shared" si="153"/>
        <v>0.36652761052812655</v>
      </c>
      <c r="O413" s="305" t="str">
        <f t="shared" si="154"/>
        <v>No</v>
      </c>
      <c r="P413" s="304">
        <f t="shared" si="160"/>
        <v>0</v>
      </c>
      <c r="S413" s="287"/>
      <c r="V413" s="305"/>
      <c r="W413" s="304">
        <f t="shared" si="161"/>
        <v>0</v>
      </c>
    </row>
    <row r="414" spans="1:29">
      <c r="A414" s="184">
        <v>401</v>
      </c>
      <c r="B414" s="1">
        <f t="shared" si="171"/>
        <v>40710</v>
      </c>
      <c r="D414" s="2">
        <v>36813.47</v>
      </c>
      <c r="E414" s="2">
        <v>36813.47</v>
      </c>
      <c r="F414" s="2">
        <f t="shared" si="219"/>
        <v>-333.5199999999968</v>
      </c>
      <c r="G414" s="188">
        <f t="shared" si="220"/>
        <v>-8.9783855973255555E-3</v>
      </c>
      <c r="H414" s="2">
        <f t="shared" si="221"/>
        <v>13957.620000000003</v>
      </c>
      <c r="I414" s="188">
        <f t="shared" si="222"/>
        <v>0.61068041661106465</v>
      </c>
      <c r="L414" s="287">
        <v>1271.5</v>
      </c>
      <c r="M414" s="188">
        <f t="shared" si="210"/>
        <v>4.0913310988366369E-4</v>
      </c>
      <c r="N414" s="188">
        <f t="shared" si="153"/>
        <v>0.36708670221916395</v>
      </c>
      <c r="O414" s="305" t="str">
        <f t="shared" si="154"/>
        <v>No</v>
      </c>
      <c r="P414" s="304">
        <f t="shared" si="160"/>
        <v>0</v>
      </c>
      <c r="S414" s="287"/>
      <c r="V414" s="305"/>
      <c r="W414" s="304">
        <f t="shared" si="161"/>
        <v>0</v>
      </c>
    </row>
    <row r="415" spans="1:29">
      <c r="A415" s="184">
        <v>402</v>
      </c>
      <c r="B415" s="1">
        <f t="shared" si="171"/>
        <v>40717</v>
      </c>
      <c r="D415" s="2">
        <v>37435.67</v>
      </c>
      <c r="E415" s="2">
        <v>37435.67</v>
      </c>
      <c r="F415" s="2">
        <f t="shared" si="219"/>
        <v>622.19999999999709</v>
      </c>
      <c r="G415" s="188">
        <f t="shared" si="220"/>
        <v>1.6901422223984719E-2</v>
      </c>
      <c r="H415" s="2">
        <f t="shared" si="221"/>
        <v>14579.82</v>
      </c>
      <c r="I415" s="188">
        <f t="shared" si="222"/>
        <v>0.637903206400112</v>
      </c>
      <c r="L415" s="287">
        <v>1268.45</v>
      </c>
      <c r="M415" s="188">
        <f t="shared" si="210"/>
        <v>-2.3987416437278863E-3</v>
      </c>
      <c r="N415" s="188">
        <f t="shared" si="153"/>
        <v>0.3638074144159642</v>
      </c>
      <c r="O415" s="305" t="str">
        <f t="shared" si="154"/>
        <v>Yes</v>
      </c>
      <c r="P415" s="304">
        <f t="shared" si="160"/>
        <v>1</v>
      </c>
      <c r="S415" s="287"/>
      <c r="V415" s="305"/>
      <c r="W415" s="304">
        <f t="shared" si="161"/>
        <v>0</v>
      </c>
    </row>
    <row r="416" spans="1:29">
      <c r="A416" s="184">
        <v>403</v>
      </c>
      <c r="B416" s="1">
        <f t="shared" si="171"/>
        <v>40724</v>
      </c>
      <c r="D416" s="2">
        <v>38107.410000000003</v>
      </c>
      <c r="E416" s="2">
        <v>38107.410000000003</v>
      </c>
      <c r="F416" s="2">
        <f t="shared" si="219"/>
        <v>671.74000000000524</v>
      </c>
      <c r="G416" s="188">
        <f t="shared" si="220"/>
        <v>1.7943848741053703E-2</v>
      </c>
      <c r="H416" s="2">
        <f t="shared" si="221"/>
        <v>15251.560000000005</v>
      </c>
      <c r="I416" s="188">
        <f t="shared" si="222"/>
        <v>0.66729349378824265</v>
      </c>
      <c r="L416" s="287">
        <v>1339.67</v>
      </c>
      <c r="M416" s="188">
        <f t="shared" si="210"/>
        <v>5.614726634869327E-2</v>
      </c>
      <c r="N416" s="188">
        <f t="shared" si="153"/>
        <v>0.44038147256150006</v>
      </c>
      <c r="O416" s="305" t="str">
        <f t="shared" si="154"/>
        <v>No</v>
      </c>
      <c r="P416" s="304">
        <f t="shared" si="160"/>
        <v>0</v>
      </c>
      <c r="S416" s="287"/>
      <c r="V416" s="305"/>
      <c r="W416" s="304">
        <f t="shared" si="161"/>
        <v>0</v>
      </c>
    </row>
    <row r="417" spans="1:23">
      <c r="A417" s="184">
        <v>404</v>
      </c>
      <c r="B417" s="1">
        <f t="shared" si="171"/>
        <v>40731</v>
      </c>
      <c r="D417" s="2">
        <v>38862.03</v>
      </c>
      <c r="E417" s="2">
        <v>38862.03</v>
      </c>
      <c r="F417" s="2">
        <f t="shared" si="219"/>
        <v>754.61999999999534</v>
      </c>
      <c r="G417" s="188">
        <f t="shared" si="220"/>
        <v>1.9802447870374662E-2</v>
      </c>
      <c r="H417" s="2">
        <f t="shared" si="221"/>
        <v>16006.18</v>
      </c>
      <c r="I417" s="188">
        <f t="shared" si="222"/>
        <v>0.70030998628359931</v>
      </c>
      <c r="L417" s="287">
        <v>1343.8</v>
      </c>
      <c r="M417" s="188">
        <f t="shared" si="210"/>
        <v>3.0828487612619693E-3</v>
      </c>
      <c r="N417" s="188">
        <f t="shared" si="153"/>
        <v>0.44482195079993114</v>
      </c>
      <c r="O417" s="305" t="str">
        <f t="shared" si="154"/>
        <v>Yes</v>
      </c>
      <c r="P417" s="304">
        <f t="shared" si="160"/>
        <v>1</v>
      </c>
      <c r="S417" s="287"/>
      <c r="V417" s="305"/>
      <c r="W417" s="304">
        <f t="shared" si="161"/>
        <v>0</v>
      </c>
    </row>
    <row r="418" spans="1:23">
      <c r="A418" s="184">
        <v>405</v>
      </c>
      <c r="B418" s="1">
        <f t="shared" si="171"/>
        <v>40738</v>
      </c>
      <c r="D418" s="2">
        <v>37805.71</v>
      </c>
      <c r="E418" s="2">
        <v>37805.71</v>
      </c>
      <c r="F418" s="2">
        <f t="shared" si="219"/>
        <v>-1056.3199999999997</v>
      </c>
      <c r="G418" s="188">
        <f t="shared" si="220"/>
        <v>-2.7181287235895857E-2</v>
      </c>
      <c r="H418" s="2">
        <f t="shared" si="221"/>
        <v>14949.86</v>
      </c>
      <c r="I418" s="188">
        <f t="shared" si="222"/>
        <v>0.65409337215636265</v>
      </c>
      <c r="L418" s="287">
        <v>1316.14</v>
      </c>
      <c r="M418" s="188">
        <f t="shared" si="210"/>
        <v>-2.0583420151808252E-2</v>
      </c>
      <c r="N418" s="188">
        <f t="shared" si="153"/>
        <v>0.41508257354206091</v>
      </c>
      <c r="O418" s="305" t="str">
        <f t="shared" si="154"/>
        <v>No</v>
      </c>
      <c r="P418" s="304">
        <f t="shared" si="160"/>
        <v>0</v>
      </c>
      <c r="S418" s="287"/>
      <c r="V418" s="305"/>
      <c r="W418" s="304">
        <f t="shared" si="161"/>
        <v>0</v>
      </c>
    </row>
    <row r="419" spans="1:23">
      <c r="A419" s="184">
        <v>406</v>
      </c>
      <c r="B419" s="1">
        <f t="shared" si="171"/>
        <v>40745</v>
      </c>
      <c r="D419" s="2">
        <v>38336.769999999997</v>
      </c>
      <c r="E419" s="2">
        <v>38336.769999999997</v>
      </c>
      <c r="F419" s="2">
        <f t="shared" si="219"/>
        <v>531.05999999999767</v>
      </c>
      <c r="G419" s="188">
        <f t="shared" si="220"/>
        <v>1.4047084421903389E-2</v>
      </c>
      <c r="H419" s="2">
        <f t="shared" si="221"/>
        <v>15480.919999999998</v>
      </c>
      <c r="I419" s="188">
        <f t="shared" si="222"/>
        <v>0.6773285613967539</v>
      </c>
      <c r="L419" s="287">
        <v>1345.02</v>
      </c>
      <c r="M419" s="188">
        <f t="shared" si="210"/>
        <v>2.1942954396948489E-2</v>
      </c>
      <c r="N419" s="188">
        <f t="shared" si="153"/>
        <v>0.44613366592121095</v>
      </c>
      <c r="O419" s="305" t="str">
        <f t="shared" si="154"/>
        <v>No</v>
      </c>
      <c r="P419" s="304">
        <f t="shared" si="160"/>
        <v>0</v>
      </c>
      <c r="S419" s="287"/>
      <c r="V419" s="305"/>
      <c r="W419" s="304">
        <f t="shared" si="161"/>
        <v>0</v>
      </c>
    </row>
    <row r="420" spans="1:23">
      <c r="A420" s="184">
        <v>407</v>
      </c>
      <c r="B420" s="1">
        <f t="shared" si="171"/>
        <v>40752</v>
      </c>
      <c r="D420" s="2">
        <v>36902.33</v>
      </c>
      <c r="E420" s="2">
        <v>36902.33</v>
      </c>
      <c r="F420" s="2">
        <f t="shared" si="219"/>
        <v>-1434.4399999999951</v>
      </c>
      <c r="G420" s="188">
        <f t="shared" si="220"/>
        <v>-3.7416819413842006E-2</v>
      </c>
      <c r="H420" s="2">
        <f t="shared" si="221"/>
        <v>14046.480000000003</v>
      </c>
      <c r="I420" s="188">
        <f t="shared" si="222"/>
        <v>0.61456826151729227</v>
      </c>
      <c r="L420" s="287">
        <v>1292.28</v>
      </c>
      <c r="M420" s="188">
        <f t="shared" si="210"/>
        <v>-3.9211312842931667E-2</v>
      </c>
      <c r="N420" s="188">
        <f t="shared" si="153"/>
        <v>0.3894288663340788</v>
      </c>
      <c r="O420" s="305" t="str">
        <f t="shared" si="154"/>
        <v>Yes</v>
      </c>
      <c r="P420" s="304">
        <f t="shared" si="160"/>
        <v>1</v>
      </c>
      <c r="S420" s="287"/>
      <c r="V420" s="305"/>
      <c r="W420" s="304">
        <f t="shared" si="161"/>
        <v>0</v>
      </c>
    </row>
    <row r="421" spans="1:23">
      <c r="A421" s="184">
        <v>408</v>
      </c>
      <c r="B421" s="1">
        <f t="shared" si="171"/>
        <v>40759</v>
      </c>
      <c r="D421" s="2">
        <v>34582.33</v>
      </c>
      <c r="E421" s="2">
        <v>34582.33</v>
      </c>
      <c r="F421" s="2">
        <f t="shared" si="219"/>
        <v>-2320</v>
      </c>
      <c r="G421" s="188">
        <f t="shared" si="220"/>
        <v>-6.2868658970856361E-2</v>
      </c>
      <c r="H421" s="2">
        <f t="shared" si="221"/>
        <v>11726.480000000003</v>
      </c>
      <c r="I421" s="188">
        <f t="shared" si="222"/>
        <v>0.51306252009879327</v>
      </c>
      <c r="L421" s="287">
        <v>1199.3800000000001</v>
      </c>
      <c r="M421" s="188">
        <f t="shared" si="210"/>
        <v>-7.1888445228588171E-2</v>
      </c>
      <c r="N421" s="188">
        <f t="shared" si="153"/>
        <v>0.28954498537760198</v>
      </c>
      <c r="O421" s="305" t="str">
        <f t="shared" si="154"/>
        <v>Yes</v>
      </c>
      <c r="P421" s="304">
        <f t="shared" si="160"/>
        <v>1</v>
      </c>
      <c r="S421" s="287"/>
      <c r="V421" s="305"/>
      <c r="W421" s="304">
        <f t="shared" si="161"/>
        <v>0</v>
      </c>
    </row>
    <row r="422" spans="1:23">
      <c r="A422" s="184">
        <v>409</v>
      </c>
      <c r="B422" s="1">
        <f t="shared" si="171"/>
        <v>40766</v>
      </c>
      <c r="D422" s="2">
        <v>33741.78</v>
      </c>
      <c r="E422" s="2">
        <v>33741.78</v>
      </c>
      <c r="F422" s="2">
        <f t="shared" si="219"/>
        <v>-840.55000000000291</v>
      </c>
      <c r="G422" s="188">
        <f t="shared" si="220"/>
        <v>-2.4305765401001156E-2</v>
      </c>
      <c r="H422" s="2">
        <f t="shared" si="221"/>
        <v>10885.93</v>
      </c>
      <c r="I422" s="188">
        <f t="shared" si="222"/>
        <v>0.47628637744822444</v>
      </c>
      <c r="L422" s="287">
        <v>1178.81</v>
      </c>
      <c r="M422" s="188">
        <f t="shared" si="210"/>
        <v>-1.7150527772682667E-2</v>
      </c>
      <c r="N422" s="188">
        <f t="shared" si="153"/>
        <v>0.26742860829175963</v>
      </c>
      <c r="O422" s="305" t="str">
        <f t="shared" si="154"/>
        <v>No</v>
      </c>
      <c r="P422" s="304">
        <f t="shared" si="160"/>
        <v>0</v>
      </c>
      <c r="S422" s="287"/>
      <c r="V422" s="305"/>
      <c r="W422" s="304">
        <f t="shared" si="161"/>
        <v>0</v>
      </c>
    </row>
    <row r="423" spans="1:23">
      <c r="A423" s="184">
        <v>410</v>
      </c>
      <c r="B423" s="1">
        <f t="shared" si="171"/>
        <v>40773</v>
      </c>
      <c r="D423" s="2">
        <v>33059.879999999997</v>
      </c>
      <c r="E423" s="2">
        <v>33059.879999999997</v>
      </c>
      <c r="F423" s="2">
        <f t="shared" si="219"/>
        <v>-681.90000000000146</v>
      </c>
      <c r="G423" s="188">
        <f t="shared" si="220"/>
        <v>-2.0209366547941476E-2</v>
      </c>
      <c r="H423" s="2">
        <f t="shared" si="221"/>
        <v>10204.029999999999</v>
      </c>
      <c r="I423" s="188">
        <f t="shared" si="222"/>
        <v>0.44645156491664051</v>
      </c>
      <c r="L423" s="287">
        <v>1123.53</v>
      </c>
      <c r="M423" s="188">
        <f t="shared" si="210"/>
        <v>-4.6894749790042489E-2</v>
      </c>
      <c r="N423" s="188">
        <f t="shared" si="153"/>
        <v>0.2079928608291759</v>
      </c>
      <c r="O423" s="305" t="str">
        <f t="shared" si="154"/>
        <v>Yes</v>
      </c>
      <c r="P423" s="304">
        <f t="shared" si="160"/>
        <v>1</v>
      </c>
      <c r="S423" s="287"/>
      <c r="V423" s="305"/>
      <c r="W423" s="304">
        <f t="shared" si="161"/>
        <v>0</v>
      </c>
    </row>
    <row r="424" spans="1:23">
      <c r="A424" s="184">
        <v>411</v>
      </c>
      <c r="B424" s="1">
        <f t="shared" si="171"/>
        <v>40780</v>
      </c>
      <c r="D424" s="2">
        <v>33658.54</v>
      </c>
      <c r="E424" s="2">
        <v>33658.54</v>
      </c>
      <c r="F424" s="2">
        <f t="shared" si="219"/>
        <v>598.66000000000349</v>
      </c>
      <c r="G424" s="188">
        <f t="shared" si="220"/>
        <v>1.8108353690334145E-2</v>
      </c>
      <c r="H424" s="2">
        <f t="shared" si="221"/>
        <v>10802.690000000002</v>
      </c>
      <c r="I424" s="188">
        <f t="shared" si="222"/>
        <v>0.47264442145008845</v>
      </c>
      <c r="L424" s="287">
        <v>1159.27</v>
      </c>
      <c r="M424" s="188">
        <f t="shared" si="210"/>
        <v>3.1810454549500156E-2</v>
      </c>
      <c r="N424" s="188">
        <f t="shared" si="153"/>
        <v>0.24641966282470307</v>
      </c>
      <c r="O424" s="305" t="str">
        <f t="shared" si="154"/>
        <v>No</v>
      </c>
      <c r="P424" s="304">
        <f t="shared" si="160"/>
        <v>0</v>
      </c>
      <c r="S424" s="287"/>
      <c r="V424" s="305"/>
      <c r="W424" s="304">
        <f t="shared" si="161"/>
        <v>0</v>
      </c>
    </row>
    <row r="425" spans="1:23">
      <c r="A425" s="184">
        <v>412</v>
      </c>
      <c r="B425" s="1">
        <f t="shared" si="171"/>
        <v>40787</v>
      </c>
      <c r="D425" s="2">
        <v>34778.03</v>
      </c>
      <c r="E425" s="2">
        <v>34778.03</v>
      </c>
      <c r="F425" s="2">
        <f t="shared" ref="F425" si="223">E425-E424</f>
        <v>1119.489999999998</v>
      </c>
      <c r="G425" s="188">
        <f t="shared" ref="G425" si="224">(E425/E424)-1</f>
        <v>3.3260206770703515E-2</v>
      </c>
      <c r="H425" s="2">
        <f t="shared" ref="H425" si="225">E425-$D$3</f>
        <v>11922.18</v>
      </c>
      <c r="I425" s="188">
        <f t="shared" ref="I425" si="226">(E425/$D$3)-1</f>
        <v>0.52162487940724156</v>
      </c>
      <c r="L425" s="287">
        <v>1204.42</v>
      </c>
      <c r="M425" s="188">
        <f t="shared" si="210"/>
        <v>3.8946923494958208E-2</v>
      </c>
      <c r="N425" s="188">
        <f t="shared" si="153"/>
        <v>0.29496387407534841</v>
      </c>
      <c r="O425" s="305" t="str">
        <f t="shared" si="154"/>
        <v>No</v>
      </c>
      <c r="P425" s="304">
        <f t="shared" si="160"/>
        <v>0</v>
      </c>
      <c r="S425" s="287"/>
      <c r="V425" s="305"/>
      <c r="W425" s="304">
        <f t="shared" si="161"/>
        <v>0</v>
      </c>
    </row>
    <row r="426" spans="1:23">
      <c r="A426" s="184">
        <v>413</v>
      </c>
      <c r="B426" s="1">
        <f t="shared" si="171"/>
        <v>40794</v>
      </c>
      <c r="D426" s="2">
        <v>34369.410000000003</v>
      </c>
      <c r="E426" s="2">
        <v>34369.410000000003</v>
      </c>
      <c r="F426" s="2">
        <f t="shared" ref="F426:F429" si="227">E426-E425</f>
        <v>-408.61999999999534</v>
      </c>
      <c r="G426" s="188">
        <f t="shared" ref="G426:G429" si="228">(E426/E425)-1</f>
        <v>-1.1749371657911456E-2</v>
      </c>
      <c r="H426" s="2">
        <f t="shared" ref="H426:H429" si="229">E426-$D$3</f>
        <v>11513.560000000005</v>
      </c>
      <c r="I426" s="188">
        <f t="shared" ref="I426:I429" si="230">(E426/$D$3)-1</f>
        <v>0.50374674317516099</v>
      </c>
      <c r="L426" s="287">
        <v>1154.23</v>
      </c>
      <c r="M426" s="188">
        <f t="shared" si="210"/>
        <v>-4.1671509938393636E-2</v>
      </c>
      <c r="N426" s="188">
        <f t="shared" si="153"/>
        <v>0.24100077412695686</v>
      </c>
      <c r="O426" s="305" t="str">
        <f t="shared" si="154"/>
        <v>Yes</v>
      </c>
      <c r="P426" s="304">
        <f t="shared" si="160"/>
        <v>1</v>
      </c>
      <c r="S426" s="287"/>
      <c r="V426" s="305"/>
      <c r="W426" s="304">
        <f t="shared" si="161"/>
        <v>0</v>
      </c>
    </row>
    <row r="427" spans="1:23">
      <c r="A427" s="184">
        <v>414</v>
      </c>
      <c r="B427" s="1">
        <f t="shared" si="171"/>
        <v>40801</v>
      </c>
      <c r="D427" s="2">
        <v>34890.93</v>
      </c>
      <c r="E427" s="2">
        <v>34890.93</v>
      </c>
      <c r="F427" s="2">
        <f t="shared" si="227"/>
        <v>521.5199999999968</v>
      </c>
      <c r="G427" s="188">
        <f t="shared" si="228"/>
        <v>1.5173958470628301E-2</v>
      </c>
      <c r="H427" s="2">
        <f t="shared" si="229"/>
        <v>12035.080000000002</v>
      </c>
      <c r="I427" s="188">
        <f t="shared" si="230"/>
        <v>0.52656453380644352</v>
      </c>
      <c r="L427" s="287">
        <v>1216.01</v>
      </c>
      <c r="M427" s="188">
        <f t="shared" si="210"/>
        <v>5.3524860729663892E-2</v>
      </c>
      <c r="N427" s="188">
        <f t="shared" si="153"/>
        <v>0.30742516772750728</v>
      </c>
      <c r="O427" s="305" t="str">
        <f t="shared" si="154"/>
        <v>No</v>
      </c>
      <c r="P427" s="304">
        <f t="shared" si="160"/>
        <v>0</v>
      </c>
      <c r="S427" s="287"/>
      <c r="V427" s="305"/>
      <c r="W427" s="304">
        <f t="shared" si="161"/>
        <v>0</v>
      </c>
    </row>
    <row r="428" spans="1:23">
      <c r="A428" s="184">
        <v>415</v>
      </c>
      <c r="B428" s="1">
        <f t="shared" si="171"/>
        <v>40808</v>
      </c>
      <c r="D428" s="2">
        <v>32716.34</v>
      </c>
      <c r="E428" s="2">
        <v>32716.34</v>
      </c>
      <c r="F428" s="2">
        <f t="shared" si="227"/>
        <v>-2174.59</v>
      </c>
      <c r="G428" s="188">
        <f t="shared" si="228"/>
        <v>-6.2325366506424507E-2</v>
      </c>
      <c r="H428" s="2">
        <f t="shared" si="229"/>
        <v>9860.4900000000016</v>
      </c>
      <c r="I428" s="188">
        <f t="shared" si="230"/>
        <v>0.43142083974124801</v>
      </c>
      <c r="L428" s="287">
        <v>1136.43</v>
      </c>
      <c r="M428" s="188">
        <f t="shared" si="210"/>
        <v>-6.5443540760355523E-2</v>
      </c>
      <c r="N428" s="188">
        <f t="shared" si="153"/>
        <v>0.22186263547221752</v>
      </c>
      <c r="O428" s="305" t="str">
        <f t="shared" si="154"/>
        <v>Yes</v>
      </c>
      <c r="P428" s="304">
        <f t="shared" si="160"/>
        <v>1</v>
      </c>
      <c r="S428" s="287"/>
      <c r="V428" s="305"/>
      <c r="W428" s="304">
        <f t="shared" si="161"/>
        <v>0</v>
      </c>
    </row>
    <row r="429" spans="1:23">
      <c r="A429" s="184">
        <v>416</v>
      </c>
      <c r="B429" s="1">
        <f t="shared" si="171"/>
        <v>40815</v>
      </c>
      <c r="D429" s="2">
        <v>33129.85</v>
      </c>
      <c r="E429" s="2">
        <v>33129.85</v>
      </c>
      <c r="F429" s="2">
        <f t="shared" si="227"/>
        <v>413.5099999999984</v>
      </c>
      <c r="G429" s="188">
        <f t="shared" si="228"/>
        <v>1.2639249989454759E-2</v>
      </c>
      <c r="H429" s="2">
        <f t="shared" si="229"/>
        <v>10274</v>
      </c>
      <c r="I429" s="188">
        <f t="shared" si="230"/>
        <v>0.4495129255748529</v>
      </c>
      <c r="L429" s="287">
        <v>1131.42</v>
      </c>
      <c r="M429" s="188">
        <f t="shared" si="210"/>
        <v>-4.4085425411155565E-3</v>
      </c>
      <c r="N429" s="188">
        <f t="shared" si="153"/>
        <v>0.21647600206433859</v>
      </c>
      <c r="O429" s="305" t="str">
        <f t="shared" si="154"/>
        <v>Yes</v>
      </c>
      <c r="P429" s="304">
        <f t="shared" si="160"/>
        <v>1</v>
      </c>
      <c r="S429" s="287"/>
      <c r="V429" s="305"/>
      <c r="W429" s="304">
        <f t="shared" si="161"/>
        <v>0</v>
      </c>
    </row>
    <row r="430" spans="1:23">
      <c r="A430" s="184">
        <v>417</v>
      </c>
      <c r="B430" s="1">
        <f t="shared" si="171"/>
        <v>40822</v>
      </c>
      <c r="D430" s="2">
        <v>34158.519999999997</v>
      </c>
      <c r="E430" s="2">
        <v>34158.519999999997</v>
      </c>
      <c r="F430" s="2">
        <f t="shared" ref="F430" si="231">E430-E429</f>
        <v>1028.6699999999983</v>
      </c>
      <c r="G430" s="188">
        <f t="shared" ref="G430" si="232">(E430/E429)-1</f>
        <v>3.1049642542903211E-2</v>
      </c>
      <c r="H430" s="2">
        <f t="shared" ref="H430" si="233">E430-$D$3</f>
        <v>11302.669999999998</v>
      </c>
      <c r="I430" s="188">
        <f t="shared" ref="I430" si="234">(E430/$D$3)-1</f>
        <v>0.49451978377526973</v>
      </c>
      <c r="L430" s="287">
        <v>1164.97</v>
      </c>
      <c r="M430" s="188">
        <f t="shared" si="210"/>
        <v>2.9653002421735408E-2</v>
      </c>
      <c r="N430" s="188">
        <f t="shared" si="153"/>
        <v>0.2525481678995356</v>
      </c>
      <c r="O430" s="305" t="str">
        <f t="shared" si="154"/>
        <v>Yes</v>
      </c>
      <c r="P430" s="304">
        <f t="shared" si="160"/>
        <v>1</v>
      </c>
      <c r="S430" s="287"/>
      <c r="V430" s="305"/>
      <c r="W430" s="304">
        <f t="shared" si="161"/>
        <v>0</v>
      </c>
    </row>
    <row r="431" spans="1:23">
      <c r="A431" s="184">
        <v>418</v>
      </c>
      <c r="B431" s="1">
        <f t="shared" si="171"/>
        <v>40829</v>
      </c>
      <c r="D431" s="2">
        <v>36089.79</v>
      </c>
      <c r="E431" s="2">
        <v>36089.79</v>
      </c>
      <c r="F431" s="2">
        <f t="shared" ref="F431:F434" si="235">E431-E430</f>
        <v>1931.2700000000041</v>
      </c>
      <c r="G431" s="188">
        <f t="shared" ref="G431:G434" si="236">(E431/E430)-1</f>
        <v>5.653845658418466E-2</v>
      </c>
      <c r="H431" s="2">
        <f t="shared" ref="H431:H434" si="237">E431-$D$3</f>
        <v>13233.940000000002</v>
      </c>
      <c r="I431" s="188">
        <f t="shared" ref="I431:I434" si="238">(E431/$D$3)-1</f>
        <v>0.57901762568445281</v>
      </c>
      <c r="L431" s="287">
        <v>1203.6600000000001</v>
      </c>
      <c r="M431" s="188">
        <f t="shared" si="210"/>
        <v>3.3211155652076885E-2</v>
      </c>
      <c r="N431" s="188">
        <f t="shared" si="153"/>
        <v>0.29414674006537078</v>
      </c>
      <c r="O431" s="305" t="str">
        <f t="shared" si="154"/>
        <v>Yes</v>
      </c>
      <c r="P431" s="304">
        <f t="shared" si="160"/>
        <v>1</v>
      </c>
      <c r="S431" s="287"/>
      <c r="V431" s="305"/>
      <c r="W431" s="304">
        <f t="shared" si="161"/>
        <v>0</v>
      </c>
    </row>
    <row r="432" spans="1:23">
      <c r="A432" s="184">
        <v>419</v>
      </c>
      <c r="B432" s="1">
        <f t="shared" si="171"/>
        <v>40836</v>
      </c>
      <c r="D432" s="2">
        <v>36000.46</v>
      </c>
      <c r="E432" s="2">
        <v>36000.46</v>
      </c>
      <c r="F432" s="2">
        <f t="shared" si="235"/>
        <v>-89.330000000001746</v>
      </c>
      <c r="G432" s="188">
        <f t="shared" si="236"/>
        <v>-2.4752152894211843E-3</v>
      </c>
      <c r="H432" s="2">
        <f t="shared" si="237"/>
        <v>13144.61</v>
      </c>
      <c r="I432" s="188">
        <f t="shared" si="238"/>
        <v>0.57510921711509311</v>
      </c>
      <c r="L432" s="287">
        <v>1215.3900000000001</v>
      </c>
      <c r="M432" s="188">
        <f t="shared" si="210"/>
        <v>9.7452769054384714E-3</v>
      </c>
      <c r="N432" s="188">
        <f t="shared" si="153"/>
        <v>0.30675855840357813</v>
      </c>
      <c r="O432" s="305" t="str">
        <f t="shared" si="154"/>
        <v>No</v>
      </c>
      <c r="P432" s="304">
        <f t="shared" si="160"/>
        <v>0</v>
      </c>
      <c r="S432" s="287"/>
      <c r="V432" s="305"/>
      <c r="W432" s="304">
        <f t="shared" si="161"/>
        <v>0</v>
      </c>
    </row>
    <row r="433" spans="1:23">
      <c r="A433" s="184">
        <v>420</v>
      </c>
      <c r="B433" s="1">
        <f t="shared" si="171"/>
        <v>40843</v>
      </c>
      <c r="D433" s="2">
        <v>38327.5</v>
      </c>
      <c r="E433" s="2">
        <v>38327.5</v>
      </c>
      <c r="F433" s="2">
        <f t="shared" si="235"/>
        <v>2327.0400000000009</v>
      </c>
      <c r="G433" s="188">
        <f t="shared" si="236"/>
        <v>6.4639174054998305E-2</v>
      </c>
      <c r="H433" s="2">
        <f t="shared" si="237"/>
        <v>15471.650000000001</v>
      </c>
      <c r="I433" s="188">
        <f t="shared" si="238"/>
        <v>0.67692297595582751</v>
      </c>
      <c r="L433" s="287">
        <v>1284.5899999999999</v>
      </c>
      <c r="M433" s="188">
        <f t="shared" si="210"/>
        <v>5.6936456610635178E-2</v>
      </c>
      <c r="N433" s="188">
        <f t="shared" si="153"/>
        <v>0.38116076036469959</v>
      </c>
      <c r="O433" s="305" t="str">
        <f t="shared" si="154"/>
        <v>Yes</v>
      </c>
      <c r="P433" s="304">
        <f t="shared" si="160"/>
        <v>1</v>
      </c>
      <c r="S433" s="287"/>
      <c r="V433" s="305"/>
      <c r="W433" s="304">
        <f t="shared" si="161"/>
        <v>0</v>
      </c>
    </row>
    <row r="434" spans="1:23">
      <c r="A434" s="184">
        <v>421</v>
      </c>
      <c r="B434" s="1">
        <f t="shared" si="171"/>
        <v>40850</v>
      </c>
      <c r="D434" s="2">
        <v>37955.33</v>
      </c>
      <c r="E434" s="2">
        <v>37955.33</v>
      </c>
      <c r="F434" s="2">
        <f t="shared" si="235"/>
        <v>-372.16999999999825</v>
      </c>
      <c r="G434" s="188">
        <f t="shared" si="236"/>
        <v>-9.7102602569956176E-3</v>
      </c>
      <c r="H434" s="2">
        <f t="shared" si="237"/>
        <v>15099.480000000003</v>
      </c>
      <c r="I434" s="188">
        <f t="shared" si="238"/>
        <v>0.66063961742836108</v>
      </c>
      <c r="L434" s="287">
        <v>1261.1500000000001</v>
      </c>
      <c r="M434" s="188">
        <f t="shared" si="210"/>
        <v>-1.8247067157614372E-2</v>
      </c>
      <c r="N434" s="188">
        <f t="shared" si="153"/>
        <v>0.35595862721486338</v>
      </c>
      <c r="O434" s="305" t="str">
        <f t="shared" si="154"/>
        <v>Yes</v>
      </c>
      <c r="P434" s="304">
        <f t="shared" si="160"/>
        <v>1</v>
      </c>
      <c r="S434" s="287"/>
      <c r="V434" s="305"/>
      <c r="W434" s="304">
        <f t="shared" si="161"/>
        <v>0</v>
      </c>
    </row>
    <row r="435" spans="1:23">
      <c r="A435" s="184">
        <v>422</v>
      </c>
      <c r="B435" s="1">
        <f t="shared" si="171"/>
        <v>40857</v>
      </c>
      <c r="D435" s="2">
        <v>37249.440000000002</v>
      </c>
      <c r="E435" s="2">
        <v>37249.440000000002</v>
      </c>
      <c r="F435" s="2">
        <f t="shared" ref="F435:F443" si="239">E435-E434</f>
        <v>-705.88999999999942</v>
      </c>
      <c r="G435" s="188">
        <f t="shared" ref="G435:G443" si="240">(E435/E434)-1</f>
        <v>-1.8597914970045037E-2</v>
      </c>
      <c r="H435" s="2">
        <f t="shared" ref="H435:H443" si="241">E435-$D$3</f>
        <v>14393.590000000004</v>
      </c>
      <c r="I435" s="188">
        <f t="shared" ref="I435:I443" si="242">(E435/$D$3)-1</f>
        <v>0.6297551830275403</v>
      </c>
      <c r="L435" s="287">
        <v>1263.8499999999999</v>
      </c>
      <c r="M435" s="188">
        <f t="shared" si="210"/>
        <v>2.1409031439558746E-3</v>
      </c>
      <c r="N435" s="188">
        <f t="shared" si="153"/>
        <v>0.35886160330294148</v>
      </c>
      <c r="O435" s="305" t="str">
        <f t="shared" si="154"/>
        <v>No</v>
      </c>
      <c r="P435" s="304">
        <f t="shared" si="160"/>
        <v>0</v>
      </c>
      <c r="S435" s="287"/>
      <c r="V435" s="305"/>
      <c r="W435" s="304">
        <f t="shared" si="161"/>
        <v>0</v>
      </c>
    </row>
    <row r="436" spans="1:23">
      <c r="A436" s="184">
        <v>423</v>
      </c>
      <c r="B436" s="1">
        <f t="shared" si="171"/>
        <v>40864</v>
      </c>
      <c r="D436" s="2">
        <v>36896.26</v>
      </c>
      <c r="E436" s="2">
        <v>36896.26</v>
      </c>
      <c r="F436" s="2">
        <f t="shared" si="239"/>
        <v>-353.18000000000029</v>
      </c>
      <c r="G436" s="188">
        <f t="shared" si="240"/>
        <v>-9.4814848223221393E-3</v>
      </c>
      <c r="H436" s="2">
        <f t="shared" si="241"/>
        <v>14040.410000000003</v>
      </c>
      <c r="I436" s="188">
        <f t="shared" si="242"/>
        <v>0.61430268399556365</v>
      </c>
      <c r="L436" s="287">
        <v>1215.6500000000001</v>
      </c>
      <c r="M436" s="188">
        <f t="shared" si="210"/>
        <v>-3.8137437195869595E-2</v>
      </c>
      <c r="N436" s="188">
        <f t="shared" si="153"/>
        <v>0.30703810424909683</v>
      </c>
      <c r="O436" s="305" t="str">
        <f t="shared" si="154"/>
        <v>Yes</v>
      </c>
      <c r="P436" s="304">
        <f t="shared" si="160"/>
        <v>1</v>
      </c>
      <c r="S436" s="287"/>
      <c r="V436" s="305"/>
      <c r="W436" s="304">
        <f t="shared" si="161"/>
        <v>0</v>
      </c>
    </row>
    <row r="437" spans="1:23">
      <c r="A437" s="184">
        <v>424</v>
      </c>
      <c r="B437" s="1">
        <f t="shared" si="171"/>
        <v>40871</v>
      </c>
      <c r="D437" s="2">
        <v>35412.25</v>
      </c>
      <c r="E437" s="2">
        <v>35412.25</v>
      </c>
      <c r="F437" s="2">
        <f t="shared" si="239"/>
        <v>-1484.010000000002</v>
      </c>
      <c r="G437" s="188">
        <f t="shared" si="240"/>
        <v>-4.022114978591329E-2</v>
      </c>
      <c r="H437" s="2">
        <f t="shared" si="241"/>
        <v>12556.400000000001</v>
      </c>
      <c r="I437" s="188">
        <f t="shared" si="242"/>
        <v>0.54937357394277631</v>
      </c>
      <c r="L437" s="287">
        <v>1158.67</v>
      </c>
      <c r="M437" s="188">
        <f t="shared" si="210"/>
        <v>-4.6872043762596127E-2</v>
      </c>
      <c r="N437" s="188">
        <f t="shared" si="153"/>
        <v>0.2457745570273524</v>
      </c>
      <c r="O437" s="305" t="str">
        <f t="shared" si="154"/>
        <v>Yes</v>
      </c>
      <c r="P437" s="304">
        <f t="shared" si="160"/>
        <v>1</v>
      </c>
      <c r="S437" s="287"/>
      <c r="V437" s="305"/>
      <c r="W437" s="304">
        <f t="shared" si="161"/>
        <v>0</v>
      </c>
    </row>
    <row r="438" spans="1:23">
      <c r="A438" s="184">
        <v>425</v>
      </c>
      <c r="B438" s="1">
        <f t="shared" si="171"/>
        <v>40878</v>
      </c>
      <c r="D438" s="2">
        <v>37759.21</v>
      </c>
      <c r="E438" s="2">
        <v>37759.21</v>
      </c>
      <c r="F438" s="2">
        <f t="shared" si="239"/>
        <v>2346.9599999999991</v>
      </c>
      <c r="G438" s="188">
        <f t="shared" si="240"/>
        <v>6.6275370810948253E-2</v>
      </c>
      <c r="H438" s="2">
        <f t="shared" si="241"/>
        <v>14903.36</v>
      </c>
      <c r="I438" s="188">
        <f t="shared" si="242"/>
        <v>0.65205888208051777</v>
      </c>
      <c r="L438" s="287">
        <v>1244.28</v>
      </c>
      <c r="M438" s="188">
        <f t="shared" si="210"/>
        <v>7.3886438761683548E-2</v>
      </c>
      <c r="N438" s="188">
        <f t="shared" si="153"/>
        <v>0.33782040254601742</v>
      </c>
      <c r="O438" s="305" t="str">
        <f t="shared" si="154"/>
        <v>No</v>
      </c>
      <c r="P438" s="304">
        <f t="shared" si="160"/>
        <v>0</v>
      </c>
      <c r="S438" s="287"/>
      <c r="V438" s="305"/>
      <c r="W438" s="304">
        <f t="shared" si="161"/>
        <v>0</v>
      </c>
    </row>
    <row r="439" spans="1:23">
      <c r="A439" s="184">
        <v>426</v>
      </c>
      <c r="B439" s="1">
        <f t="shared" si="171"/>
        <v>40885</v>
      </c>
      <c r="D439" s="2">
        <v>37485.46</v>
      </c>
      <c r="E439" s="2">
        <v>37485.46</v>
      </c>
      <c r="F439" s="2">
        <f t="shared" si="239"/>
        <v>-273.75</v>
      </c>
      <c r="G439" s="188">
        <f t="shared" si="240"/>
        <v>-7.249886848797904E-3</v>
      </c>
      <c r="H439" s="2">
        <f t="shared" si="241"/>
        <v>14629.61</v>
      </c>
      <c r="I439" s="188">
        <f t="shared" si="242"/>
        <v>0.64008164211788232</v>
      </c>
      <c r="L439" s="287">
        <v>1255.19</v>
      </c>
      <c r="M439" s="188">
        <f t="shared" si="210"/>
        <v>8.7681229305300867E-3</v>
      </c>
      <c r="N439" s="188">
        <f t="shared" si="153"/>
        <v>0.34955057629451236</v>
      </c>
      <c r="O439" s="305" t="str">
        <f t="shared" si="154"/>
        <v>No</v>
      </c>
      <c r="P439" s="304">
        <f t="shared" si="160"/>
        <v>0</v>
      </c>
      <c r="S439" s="287"/>
      <c r="V439" s="305"/>
      <c r="W439" s="304">
        <f t="shared" si="161"/>
        <v>0</v>
      </c>
    </row>
    <row r="440" spans="1:23">
      <c r="A440" s="184">
        <v>427</v>
      </c>
      <c r="B440" s="1">
        <f t="shared" si="171"/>
        <v>40892</v>
      </c>
      <c r="D440" s="2">
        <v>36860.699999999997</v>
      </c>
      <c r="E440" s="2">
        <v>36860.699999999997</v>
      </c>
      <c r="F440" s="2">
        <f t="shared" si="239"/>
        <v>-624.76000000000204</v>
      </c>
      <c r="G440" s="188">
        <f t="shared" si="240"/>
        <v>-1.6666728913023898E-2</v>
      </c>
      <c r="H440" s="2">
        <f t="shared" si="241"/>
        <v>14004.849999999999</v>
      </c>
      <c r="I440" s="188">
        <f t="shared" si="242"/>
        <v>0.6127468459934764</v>
      </c>
      <c r="L440" s="287">
        <v>1219.6600000000001</v>
      </c>
      <c r="M440" s="188">
        <f t="shared" si="210"/>
        <v>-2.8306471530206601E-2</v>
      </c>
      <c r="N440" s="188">
        <f t="shared" si="153"/>
        <v>0.31134956132805791</v>
      </c>
      <c r="O440" s="305" t="str">
        <f t="shared" si="154"/>
        <v>Yes</v>
      </c>
      <c r="P440" s="304">
        <f t="shared" si="160"/>
        <v>1</v>
      </c>
      <c r="S440" s="287"/>
      <c r="V440" s="305"/>
      <c r="W440" s="304">
        <f t="shared" si="161"/>
        <v>0</v>
      </c>
    </row>
    <row r="441" spans="1:23">
      <c r="A441" s="184">
        <v>428</v>
      </c>
      <c r="B441" s="1">
        <f t="shared" si="171"/>
        <v>40899</v>
      </c>
      <c r="D441" s="2">
        <v>38081.199999999997</v>
      </c>
      <c r="E441" s="2">
        <v>38081.199999999997</v>
      </c>
      <c r="F441" s="2">
        <f t="shared" si="239"/>
        <v>1220.5</v>
      </c>
      <c r="G441" s="188">
        <f t="shared" si="240"/>
        <v>3.3111145474719716E-2</v>
      </c>
      <c r="H441" s="2">
        <f t="shared" si="241"/>
        <v>15225.349999999999</v>
      </c>
      <c r="I441" s="188">
        <f t="shared" si="242"/>
        <v>0.66614674142506192</v>
      </c>
      <c r="L441" s="287">
        <v>1265.33</v>
      </c>
      <c r="M441" s="188">
        <f t="shared" si="210"/>
        <v>3.7444861682763841E-2</v>
      </c>
      <c r="N441" s="188">
        <f t="shared" si="153"/>
        <v>0.36045286426973999</v>
      </c>
      <c r="O441" s="305" t="str">
        <f t="shared" si="154"/>
        <v>No</v>
      </c>
      <c r="P441" s="304">
        <f t="shared" si="160"/>
        <v>0</v>
      </c>
      <c r="S441" s="287"/>
      <c r="V441" s="305"/>
      <c r="W441" s="304">
        <f t="shared" si="161"/>
        <v>0</v>
      </c>
    </row>
    <row r="442" spans="1:23">
      <c r="A442" s="184">
        <v>429</v>
      </c>
      <c r="B442" s="1">
        <f t="shared" si="171"/>
        <v>40906</v>
      </c>
      <c r="D442" s="2">
        <v>38298.57</v>
      </c>
      <c r="E442" s="2">
        <v>38298.57</v>
      </c>
      <c r="F442" s="2">
        <f t="shared" si="239"/>
        <v>217.37000000000262</v>
      </c>
      <c r="G442" s="188">
        <f t="shared" si="240"/>
        <v>5.708065922292338E-3</v>
      </c>
      <c r="H442" s="2">
        <f t="shared" si="241"/>
        <v>15442.720000000001</v>
      </c>
      <c r="I442" s="188">
        <f t="shared" si="242"/>
        <v>0.67565721686132885</v>
      </c>
      <c r="L442" s="287">
        <v>1257.5999999999999</v>
      </c>
      <c r="M442" s="188">
        <f t="shared" si="210"/>
        <v>-6.1090782641682884E-3</v>
      </c>
      <c r="N442" s="188">
        <f t="shared" si="153"/>
        <v>0.35214175124720448</v>
      </c>
      <c r="O442" s="305" t="str">
        <f t="shared" si="154"/>
        <v>Yes</v>
      </c>
      <c r="P442" s="304">
        <f t="shared" si="160"/>
        <v>1</v>
      </c>
      <c r="S442" s="287"/>
      <c r="V442" s="305"/>
      <c r="W442" s="304">
        <f t="shared" si="161"/>
        <v>0</v>
      </c>
    </row>
    <row r="443" spans="1:23">
      <c r="A443" s="184">
        <v>430</v>
      </c>
      <c r="B443" s="1">
        <f t="shared" si="171"/>
        <v>40913</v>
      </c>
      <c r="D443" s="2">
        <v>38913.339999999997</v>
      </c>
      <c r="E443" s="2">
        <v>38913.339999999997</v>
      </c>
      <c r="F443" s="2">
        <f t="shared" si="239"/>
        <v>614.7699999999968</v>
      </c>
      <c r="G443" s="188">
        <f t="shared" si="240"/>
        <v>1.6052035363200101E-2</v>
      </c>
      <c r="H443" s="2">
        <f t="shared" si="241"/>
        <v>16057.489999999998</v>
      </c>
      <c r="I443" s="188">
        <f t="shared" si="242"/>
        <v>0.70255492576298839</v>
      </c>
      <c r="L443" s="287">
        <v>1277.81</v>
      </c>
      <c r="M443" s="188">
        <f t="shared" si="210"/>
        <v>1.6070292620865123E-2</v>
      </c>
      <c r="N443" s="188">
        <f t="shared" si="153"/>
        <v>0.37387106485463595</v>
      </c>
      <c r="O443" s="305" t="str">
        <f t="shared" si="154"/>
        <v>No</v>
      </c>
      <c r="P443" s="304">
        <f t="shared" si="160"/>
        <v>0</v>
      </c>
      <c r="S443" s="287"/>
      <c r="V443" s="305"/>
      <c r="W443" s="304">
        <f t="shared" si="161"/>
        <v>0</v>
      </c>
    </row>
    <row r="444" spans="1:23">
      <c r="A444" s="184">
        <v>431</v>
      </c>
      <c r="B444" s="1">
        <f t="shared" si="171"/>
        <v>40920</v>
      </c>
      <c r="D444" s="2">
        <v>39312.980000000003</v>
      </c>
      <c r="E444" s="2">
        <v>39312.980000000003</v>
      </c>
      <c r="F444" s="2">
        <f t="shared" ref="F444:F449" si="243">E444-E443</f>
        <v>399.64000000000669</v>
      </c>
      <c r="G444" s="188">
        <f t="shared" ref="G444:G451" si="244">(E444/E443)-1</f>
        <v>1.0269999953743447E-2</v>
      </c>
      <c r="H444" s="2">
        <f t="shared" ref="H444:H451" si="245">E444-$D$3</f>
        <v>16457.130000000005</v>
      </c>
      <c r="I444" s="188">
        <f t="shared" ref="I444:I451" si="246">(E444/$D$3)-1</f>
        <v>0.7200401647718202</v>
      </c>
      <c r="L444" s="287">
        <v>1295.5</v>
      </c>
      <c r="M444" s="188">
        <f t="shared" si="210"/>
        <v>1.3843998716554173E-2</v>
      </c>
      <c r="N444" s="188">
        <f t="shared" si="153"/>
        <v>0.39289093411319453</v>
      </c>
      <c r="O444" s="305" t="str">
        <f t="shared" si="154"/>
        <v>No</v>
      </c>
      <c r="P444" s="304">
        <f t="shared" si="160"/>
        <v>0</v>
      </c>
      <c r="S444" s="287"/>
      <c r="V444" s="305"/>
      <c r="W444" s="304">
        <f t="shared" si="161"/>
        <v>0</v>
      </c>
    </row>
    <row r="445" spans="1:23">
      <c r="A445" s="184">
        <v>432</v>
      </c>
      <c r="B445" s="1">
        <f t="shared" si="171"/>
        <v>40927</v>
      </c>
      <c r="D445" s="2">
        <v>39890.879999999997</v>
      </c>
      <c r="E445" s="2">
        <v>39890.879999999997</v>
      </c>
      <c r="F445" s="2">
        <f t="shared" si="243"/>
        <v>577.89999999999418</v>
      </c>
      <c r="G445" s="188">
        <f t="shared" si="244"/>
        <v>1.4699979497865501E-2</v>
      </c>
      <c r="H445" s="2">
        <f t="shared" si="245"/>
        <v>17035.03</v>
      </c>
      <c r="I445" s="188">
        <f t="shared" si="246"/>
        <v>0.74532471992947102</v>
      </c>
      <c r="L445" s="287">
        <v>1314.5</v>
      </c>
      <c r="M445" s="188">
        <f t="shared" si="210"/>
        <v>1.4666152064839899E-2</v>
      </c>
      <c r="N445" s="188">
        <f t="shared" si="153"/>
        <v>0.41331928436263543</v>
      </c>
      <c r="O445" s="305" t="str">
        <f t="shared" si="154"/>
        <v>Yes</v>
      </c>
      <c r="P445" s="304">
        <f t="shared" si="160"/>
        <v>1</v>
      </c>
      <c r="S445" s="287"/>
      <c r="V445" s="305"/>
      <c r="W445" s="304">
        <f t="shared" si="161"/>
        <v>0</v>
      </c>
    </row>
    <row r="446" spans="1:23">
      <c r="A446" s="184">
        <v>433</v>
      </c>
      <c r="B446" s="1">
        <f t="shared" si="171"/>
        <v>40934</v>
      </c>
      <c r="D446" s="2">
        <v>40010.550000000003</v>
      </c>
      <c r="E446" s="2">
        <v>40010.550000000003</v>
      </c>
      <c r="F446" s="2">
        <f t="shared" si="243"/>
        <v>119.67000000000553</v>
      </c>
      <c r="G446" s="188">
        <f t="shared" si="244"/>
        <v>2.9999338194597325E-3</v>
      </c>
      <c r="H446" s="2">
        <f t="shared" si="245"/>
        <v>17154.700000000004</v>
      </c>
      <c r="I446" s="188">
        <f t="shared" si="246"/>
        <v>0.75056057858272629</v>
      </c>
      <c r="L446" s="287">
        <v>1318.43</v>
      </c>
      <c r="M446" s="188">
        <f t="shared" si="210"/>
        <v>2.989729935336749E-3</v>
      </c>
      <c r="N446" s="188">
        <f t="shared" si="153"/>
        <v>0.41754472733528303</v>
      </c>
      <c r="O446" s="305" t="str">
        <f t="shared" si="154"/>
        <v>Yes</v>
      </c>
      <c r="P446" s="304">
        <f t="shared" si="160"/>
        <v>1</v>
      </c>
      <c r="S446" s="287"/>
      <c r="V446" s="305"/>
      <c r="W446" s="304">
        <f t="shared" si="161"/>
        <v>0</v>
      </c>
    </row>
    <row r="447" spans="1:23">
      <c r="A447" s="184">
        <v>434</v>
      </c>
      <c r="B447" s="1">
        <f t="shared" si="171"/>
        <v>40941</v>
      </c>
      <c r="D447" s="2">
        <v>40226.61</v>
      </c>
      <c r="E447" s="2">
        <v>40226.61</v>
      </c>
      <c r="F447" s="2">
        <f t="shared" si="243"/>
        <v>216.05999999999767</v>
      </c>
      <c r="G447" s="188">
        <f t="shared" si="244"/>
        <v>5.4000757300260993E-3</v>
      </c>
      <c r="H447" s="2">
        <f t="shared" si="245"/>
        <v>17370.760000000002</v>
      </c>
      <c r="I447" s="188">
        <f t="shared" si="246"/>
        <v>0.76001373827707153</v>
      </c>
      <c r="L447" s="287">
        <v>1325.54</v>
      </c>
      <c r="M447" s="188">
        <f t="shared" si="210"/>
        <v>5.3927777735638394E-3</v>
      </c>
      <c r="N447" s="188">
        <f t="shared" si="153"/>
        <v>0.42518923103388939</v>
      </c>
      <c r="O447" s="305" t="str">
        <f t="shared" si="154"/>
        <v>Yes</v>
      </c>
      <c r="P447" s="304">
        <f t="shared" si="160"/>
        <v>1</v>
      </c>
      <c r="S447" s="287"/>
      <c r="V447" s="305"/>
      <c r="W447" s="304">
        <f t="shared" si="161"/>
        <v>0</v>
      </c>
    </row>
    <row r="448" spans="1:23">
      <c r="A448" s="184">
        <v>435</v>
      </c>
      <c r="B448" s="1">
        <f t="shared" si="171"/>
        <v>40948</v>
      </c>
      <c r="D448" s="2">
        <v>41027.120000000003</v>
      </c>
      <c r="E448" s="2">
        <v>41027.120000000003</v>
      </c>
      <c r="F448" s="2">
        <f t="shared" si="243"/>
        <v>800.51000000000204</v>
      </c>
      <c r="G448" s="188">
        <f t="shared" si="244"/>
        <v>1.9900011460075806E-2</v>
      </c>
      <c r="H448" s="2">
        <f t="shared" si="245"/>
        <v>18171.270000000004</v>
      </c>
      <c r="I448" s="188">
        <f t="shared" si="246"/>
        <v>0.79503803183867605</v>
      </c>
      <c r="L448" s="287">
        <v>1351.95</v>
      </c>
      <c r="M448" s="188">
        <f t="shared" si="210"/>
        <v>1.992395552001458E-2</v>
      </c>
      <c r="N448" s="188">
        <f t="shared" si="153"/>
        <v>0.45358463788061232</v>
      </c>
      <c r="O448" s="305" t="str">
        <f t="shared" si="154"/>
        <v>No</v>
      </c>
      <c r="P448" s="304">
        <f t="shared" si="160"/>
        <v>0</v>
      </c>
      <c r="S448" s="287"/>
      <c r="V448" s="305"/>
      <c r="W448" s="304">
        <f t="shared" si="161"/>
        <v>0</v>
      </c>
    </row>
    <row r="449" spans="1:23">
      <c r="A449" s="184">
        <v>436</v>
      </c>
      <c r="B449" s="1">
        <f t="shared" si="171"/>
        <v>40955</v>
      </c>
      <c r="D449" s="2">
        <v>40837.594140000001</v>
      </c>
      <c r="E449" s="2">
        <v>40837.594140000001</v>
      </c>
      <c r="F449" s="2">
        <f t="shared" si="243"/>
        <v>-189.52586000000156</v>
      </c>
      <c r="G449" s="188">
        <f t="shared" si="244"/>
        <v>-4.6195263035767598E-3</v>
      </c>
      <c r="H449" s="2">
        <f t="shared" si="245"/>
        <v>17981.744140000003</v>
      </c>
      <c r="I449" s="188">
        <f t="shared" si="246"/>
        <v>0.78674580643467662</v>
      </c>
      <c r="L449" s="287">
        <v>1358.04</v>
      </c>
      <c r="M449" s="188">
        <f t="shared" si="210"/>
        <v>4.5046044602241597E-3</v>
      </c>
      <c r="N449" s="188">
        <f t="shared" si="153"/>
        <v>0.46013246172372257</v>
      </c>
      <c r="O449" s="305" t="str">
        <f t="shared" si="154"/>
        <v>No</v>
      </c>
      <c r="P449" s="304">
        <f t="shared" si="160"/>
        <v>0</v>
      </c>
      <c r="S449" s="287"/>
      <c r="V449" s="305"/>
      <c r="W449" s="304">
        <f t="shared" si="161"/>
        <v>0</v>
      </c>
    </row>
    <row r="450" spans="1:23">
      <c r="A450" s="184">
        <v>437</v>
      </c>
      <c r="B450" s="1">
        <f t="shared" si="171"/>
        <v>40962</v>
      </c>
      <c r="D450" s="2">
        <v>40851.889970000004</v>
      </c>
      <c r="E450" s="2">
        <v>40851.889970000004</v>
      </c>
      <c r="F450" s="2">
        <f t="shared" ref="F450:F456" si="247">E450-E449</f>
        <v>14.295830000002752</v>
      </c>
      <c r="G450" s="188">
        <f t="shared" si="244"/>
        <v>3.5006543115634337E-4</v>
      </c>
      <c r="H450" s="2">
        <f t="shared" si="245"/>
        <v>17996.039970000005</v>
      </c>
      <c r="I450" s="188">
        <f t="shared" si="246"/>
        <v>0.78737128437577275</v>
      </c>
      <c r="L450" s="287">
        <v>1363.46</v>
      </c>
      <c r="M450" s="188">
        <f t="shared" si="210"/>
        <v>3.9910459191188075E-3</v>
      </c>
      <c r="N450" s="188">
        <f t="shared" si="153"/>
        <v>0.46595991742645793</v>
      </c>
      <c r="O450" s="305" t="str">
        <f t="shared" si="154"/>
        <v>No</v>
      </c>
      <c r="P450" s="304">
        <f t="shared" si="160"/>
        <v>0</v>
      </c>
      <c r="S450" s="287"/>
      <c r="V450" s="305"/>
      <c r="W450" s="304">
        <f t="shared" si="161"/>
        <v>0</v>
      </c>
    </row>
    <row r="451" spans="1:23">
      <c r="A451" s="184">
        <v>438</v>
      </c>
      <c r="B451" s="1">
        <f t="shared" si="171"/>
        <v>40969</v>
      </c>
      <c r="D451" s="2">
        <v>40773.422509999997</v>
      </c>
      <c r="E451" s="2">
        <v>40773.422509999997</v>
      </c>
      <c r="F451" s="2">
        <f t="shared" si="247"/>
        <v>-78.467460000007122</v>
      </c>
      <c r="G451" s="188">
        <f t="shared" si="244"/>
        <v>-1.9207791869024771E-3</v>
      </c>
      <c r="H451" s="2">
        <f t="shared" si="245"/>
        <v>17917.572509999998</v>
      </c>
      <c r="I451" s="188">
        <f t="shared" si="246"/>
        <v>0.78393813881347651</v>
      </c>
      <c r="L451" s="287">
        <v>1370.98</v>
      </c>
      <c r="M451" s="188">
        <f t="shared" si="210"/>
        <v>5.5153799891451971E-3</v>
      </c>
      <c r="N451" s="188">
        <f t="shared" si="153"/>
        <v>0.47404524341992071</v>
      </c>
      <c r="O451" s="305" t="str">
        <f t="shared" si="154"/>
        <v>No</v>
      </c>
      <c r="P451" s="304">
        <f t="shared" si="160"/>
        <v>0</v>
      </c>
      <c r="S451" s="287"/>
      <c r="V451" s="305"/>
      <c r="W451" s="304">
        <f t="shared" si="161"/>
        <v>0</v>
      </c>
    </row>
    <row r="452" spans="1:23">
      <c r="A452" s="184">
        <v>439</v>
      </c>
      <c r="B452" s="1">
        <f t="shared" si="171"/>
        <v>40976</v>
      </c>
      <c r="D452" s="2">
        <v>40773.422509999997</v>
      </c>
      <c r="E452" s="2">
        <v>40773.422509999997</v>
      </c>
      <c r="F452" s="2">
        <f t="shared" si="247"/>
        <v>0</v>
      </c>
      <c r="G452" s="188">
        <f t="shared" ref="G452:G453" si="248">(E452/E451)-1</f>
        <v>0</v>
      </c>
      <c r="H452" s="2">
        <f t="shared" ref="H452:H453" si="249">E452-$D$3</f>
        <v>17917.572509999998</v>
      </c>
      <c r="I452" s="188">
        <f t="shared" ref="I452:I453" si="250">(E452/$D$3)-1</f>
        <v>0.78393813881347651</v>
      </c>
      <c r="L452" s="287">
        <v>1371.98</v>
      </c>
      <c r="M452" s="188">
        <f t="shared" ref="M452:M458" si="251">(L452/L451)-1</f>
        <v>7.2940524296494225E-4</v>
      </c>
      <c r="N452" s="188">
        <f t="shared" ref="N452:N491" si="252">(L452/$L$3)-1</f>
        <v>0.47512041974883878</v>
      </c>
      <c r="O452" s="305" t="str">
        <f t="shared" ref="O452:O488" si="253">IF(G452&gt;M452,"Yes","No")</f>
        <v>No</v>
      </c>
      <c r="P452" s="304">
        <f t="shared" si="160"/>
        <v>0</v>
      </c>
      <c r="S452" s="287"/>
      <c r="V452" s="305"/>
      <c r="W452" s="304">
        <f t="shared" si="161"/>
        <v>0</v>
      </c>
    </row>
    <row r="453" spans="1:23">
      <c r="A453" s="184">
        <v>440</v>
      </c>
      <c r="B453" s="1">
        <f t="shared" si="171"/>
        <v>40983</v>
      </c>
      <c r="D453" s="2">
        <v>41393.199820000009</v>
      </c>
      <c r="E453" s="2">
        <v>41393.199820000009</v>
      </c>
      <c r="F453" s="2">
        <f t="shared" si="247"/>
        <v>619.77731000001222</v>
      </c>
      <c r="G453" s="188">
        <f t="shared" si="248"/>
        <v>1.5200522101082026E-2</v>
      </c>
      <c r="H453" s="2">
        <f t="shared" si="249"/>
        <v>18537.34982000001</v>
      </c>
      <c r="I453" s="188">
        <f t="shared" si="250"/>
        <v>0.81105492991947403</v>
      </c>
      <c r="L453" s="287">
        <v>1403.58</v>
      </c>
      <c r="M453" s="188">
        <f t="shared" si="251"/>
        <v>2.3032405720200044E-2</v>
      </c>
      <c r="N453" s="188">
        <f t="shared" si="252"/>
        <v>0.50909599174264564</v>
      </c>
      <c r="O453" s="305" t="str">
        <f t="shared" si="253"/>
        <v>No</v>
      </c>
      <c r="P453" s="304">
        <f t="shared" si="160"/>
        <v>0</v>
      </c>
      <c r="S453" s="287"/>
      <c r="V453" s="305"/>
      <c r="W453" s="304">
        <f t="shared" si="161"/>
        <v>0</v>
      </c>
    </row>
    <row r="454" spans="1:23">
      <c r="A454" s="184">
        <v>441</v>
      </c>
      <c r="B454" s="1">
        <f t="shared" si="171"/>
        <v>40990</v>
      </c>
      <c r="D454" s="2">
        <v>41119.368170000002</v>
      </c>
      <c r="E454" s="2">
        <v>41119.368170000002</v>
      </c>
      <c r="F454" s="2">
        <f t="shared" si="247"/>
        <v>-273.83165000000736</v>
      </c>
      <c r="G454" s="188">
        <f t="shared" ref="G454:G456" si="254">(E454/E453)-1</f>
        <v>-6.615377675337375E-3</v>
      </c>
      <c r="H454" s="2">
        <f t="shared" ref="H454:H456" si="255">E454-$D$3</f>
        <v>18263.518170000003</v>
      </c>
      <c r="I454" s="188">
        <f t="shared" ref="I454:I456" si="256">(E454/$D$3)-1</f>
        <v>0.79907411756727509</v>
      </c>
      <c r="L454" s="287">
        <v>1392.79</v>
      </c>
      <c r="M454" s="188">
        <f t="shared" si="251"/>
        <v>-7.6874848601433676E-3</v>
      </c>
      <c r="N454" s="188">
        <f t="shared" si="252"/>
        <v>0.49749483915362114</v>
      </c>
      <c r="O454" s="305" t="str">
        <f t="shared" si="253"/>
        <v>Yes</v>
      </c>
      <c r="P454" s="304">
        <f t="shared" ref="P454:P487" si="257">IF(O454="Yes",1,0)</f>
        <v>1</v>
      </c>
      <c r="S454" s="287"/>
      <c r="V454" s="305"/>
      <c r="W454" s="304">
        <f t="shared" ref="W454:W488" si="258">IF(V454="Yes",1,0)</f>
        <v>0</v>
      </c>
    </row>
    <row r="455" spans="1:23">
      <c r="A455" s="184">
        <v>442</v>
      </c>
      <c r="B455" s="1">
        <f t="shared" si="171"/>
        <v>40997</v>
      </c>
      <c r="D455" s="2">
        <v>41164.53471</v>
      </c>
      <c r="E455" s="2">
        <v>41164.53471</v>
      </c>
      <c r="F455" s="2">
        <f t="shared" si="247"/>
        <v>45.166539999998349</v>
      </c>
      <c r="G455" s="188">
        <f t="shared" si="254"/>
        <v>1.0984249517955735E-3</v>
      </c>
      <c r="H455" s="2">
        <f t="shared" si="255"/>
        <v>18308.684710000001</v>
      </c>
      <c r="I455" s="188">
        <f t="shared" si="256"/>
        <v>0.80105026546814062</v>
      </c>
      <c r="L455" s="287">
        <v>1394.94</v>
      </c>
      <c r="M455" s="188">
        <f t="shared" si="251"/>
        <v>1.5436641561183961E-3</v>
      </c>
      <c r="N455" s="188">
        <f t="shared" si="252"/>
        <v>0.49980646826079478</v>
      </c>
      <c r="O455" s="305" t="str">
        <f t="shared" si="253"/>
        <v>No</v>
      </c>
      <c r="P455" s="304">
        <f t="shared" si="257"/>
        <v>0</v>
      </c>
      <c r="S455" s="287"/>
      <c r="V455" s="305"/>
      <c r="W455" s="304">
        <f t="shared" si="258"/>
        <v>0</v>
      </c>
    </row>
    <row r="456" spans="1:23">
      <c r="A456" s="184">
        <v>443</v>
      </c>
      <c r="B456" s="1">
        <f t="shared" si="171"/>
        <v>41004</v>
      </c>
      <c r="D456" s="2">
        <v>41259.21</v>
      </c>
      <c r="E456" s="2">
        <v>41259.21</v>
      </c>
      <c r="F456" s="2">
        <f t="shared" si="247"/>
        <v>94.675289999999222</v>
      </c>
      <c r="G456" s="188">
        <f t="shared" si="254"/>
        <v>2.2999237248029214E-3</v>
      </c>
      <c r="H456" s="2">
        <f t="shared" si="255"/>
        <v>18403.36</v>
      </c>
      <c r="I456" s="188">
        <f t="shared" si="256"/>
        <v>0.80519254370325322</v>
      </c>
      <c r="L456" s="287">
        <v>1398.08</v>
      </c>
      <c r="M456" s="188">
        <f t="shared" si="251"/>
        <v>2.25099287424535E-3</v>
      </c>
      <c r="N456" s="188">
        <f t="shared" si="252"/>
        <v>0.50318252193359703</v>
      </c>
      <c r="O456" s="305" t="str">
        <f t="shared" si="253"/>
        <v>Yes</v>
      </c>
      <c r="P456" s="304">
        <f t="shared" si="257"/>
        <v>1</v>
      </c>
      <c r="S456" s="287"/>
      <c r="V456" s="305"/>
      <c r="W456" s="304">
        <f t="shared" si="258"/>
        <v>0</v>
      </c>
    </row>
    <row r="457" spans="1:23">
      <c r="A457" s="184">
        <v>444</v>
      </c>
      <c r="B457" s="1">
        <f t="shared" si="171"/>
        <v>41011</v>
      </c>
      <c r="D457" s="2">
        <v>41268.771470000007</v>
      </c>
      <c r="E457" s="2">
        <v>41268.771470000007</v>
      </c>
      <c r="F457" s="2">
        <f>E457-E456</f>
        <v>9.5614700000078301</v>
      </c>
      <c r="G457" s="188">
        <f t="shared" ref="G457:G464" si="259">(E457/E456)-1</f>
        <v>2.3174147057125616E-4</v>
      </c>
      <c r="H457" s="2">
        <f t="shared" ref="H457:H458" si="260">E457-$D$3</f>
        <v>18412.921470000008</v>
      </c>
      <c r="I457" s="188">
        <f t="shared" ref="I457:I471" si="261">(E457/$D$3)-1</f>
        <v>0.80561088167799544</v>
      </c>
      <c r="L457" s="287">
        <v>1387.43</v>
      </c>
      <c r="M457" s="188">
        <f t="shared" si="251"/>
        <v>-7.6175898374912787E-3</v>
      </c>
      <c r="N457" s="188">
        <f t="shared" si="252"/>
        <v>0.49173189403062101</v>
      </c>
      <c r="O457" s="305" t="str">
        <f t="shared" si="253"/>
        <v>Yes</v>
      </c>
      <c r="P457" s="304">
        <f t="shared" si="257"/>
        <v>1</v>
      </c>
      <c r="S457" s="287"/>
      <c r="V457" s="305"/>
      <c r="W457" s="304">
        <f t="shared" si="258"/>
        <v>0</v>
      </c>
    </row>
    <row r="458" spans="1:23">
      <c r="A458" s="184">
        <v>445</v>
      </c>
      <c r="B458" s="1">
        <f t="shared" si="171"/>
        <v>41018</v>
      </c>
      <c r="D458" s="2">
        <v>40513.05404000001</v>
      </c>
      <c r="E458" s="2">
        <v>40513.05404000001</v>
      </c>
      <c r="F458" s="2">
        <f>E458-E457</f>
        <v>-755.71742999999697</v>
      </c>
      <c r="G458" s="188">
        <f t="shared" si="259"/>
        <v>-1.8312089337317872E-2</v>
      </c>
      <c r="H458" s="2">
        <f t="shared" si="260"/>
        <v>17657.204040000011</v>
      </c>
      <c r="I458" s="188">
        <f t="shared" si="261"/>
        <v>0.77254637390427461</v>
      </c>
      <c r="L458" s="287">
        <v>1376.92</v>
      </c>
      <c r="M458" s="188">
        <f t="shared" si="251"/>
        <v>-7.5751569448548883E-3</v>
      </c>
      <c r="N458" s="188">
        <f t="shared" si="252"/>
        <v>0.48043179081369347</v>
      </c>
      <c r="O458" s="305" t="str">
        <f t="shared" si="253"/>
        <v>No</v>
      </c>
      <c r="P458" s="304">
        <f t="shared" si="257"/>
        <v>0</v>
      </c>
      <c r="S458" s="287"/>
      <c r="V458" s="305"/>
      <c r="W458" s="304">
        <f t="shared" si="258"/>
        <v>0</v>
      </c>
    </row>
    <row r="459" spans="1:23">
      <c r="A459" s="184">
        <v>446</v>
      </c>
      <c r="B459" s="1">
        <f>B458+7</f>
        <v>41025</v>
      </c>
      <c r="D459" s="2">
        <v>40601.141130000004</v>
      </c>
      <c r="E459" s="2">
        <f>(D459)</f>
        <v>40601.141130000004</v>
      </c>
      <c r="F459" s="2">
        <f>E459-E458</f>
        <v>88.087089999993623</v>
      </c>
      <c r="G459" s="188">
        <f t="shared" si="259"/>
        <v>2.1742890553997363E-3</v>
      </c>
      <c r="H459" s="2">
        <f t="shared" ref="H459:H471" si="262">E459-$D$3</f>
        <v>17745.291130000005</v>
      </c>
      <c r="I459" s="188">
        <f t="shared" si="261"/>
        <v>0.7764004020852433</v>
      </c>
      <c r="L459" s="287">
        <v>1399.98</v>
      </c>
      <c r="M459" s="188">
        <f t="shared" ref="M459:M464" si="263">(L459/L458)-1</f>
        <v>1.6747523458152891E-2</v>
      </c>
      <c r="N459" s="188">
        <f t="shared" si="252"/>
        <v>0.50522535695854121</v>
      </c>
      <c r="O459" s="305" t="str">
        <f t="shared" si="253"/>
        <v>No</v>
      </c>
      <c r="P459" s="304">
        <f t="shared" si="257"/>
        <v>0</v>
      </c>
      <c r="S459" s="287"/>
      <c r="V459" s="305"/>
      <c r="W459" s="304">
        <f t="shared" si="258"/>
        <v>0</v>
      </c>
    </row>
    <row r="460" spans="1:23">
      <c r="A460" s="184">
        <v>447</v>
      </c>
      <c r="B460" s="1">
        <f t="shared" si="171"/>
        <v>41032</v>
      </c>
      <c r="D460" s="2">
        <v>40470.18</v>
      </c>
      <c r="E460" s="2">
        <f>D460</f>
        <v>40470.18</v>
      </c>
      <c r="F460" s="2">
        <f>E460-E459</f>
        <v>-130.96113000000332</v>
      </c>
      <c r="G460" s="188">
        <f t="shared" si="259"/>
        <v>-3.2255529365710078E-3</v>
      </c>
      <c r="H460" s="2">
        <f t="shared" si="262"/>
        <v>17614.330000000002</v>
      </c>
      <c r="I460" s="188">
        <f t="shared" si="261"/>
        <v>0.77067052855177143</v>
      </c>
      <c r="L460" s="287">
        <v>1391.57</v>
      </c>
      <c r="M460" s="188">
        <f t="shared" si="263"/>
        <v>-6.0072286746953862E-3</v>
      </c>
      <c r="N460" s="188">
        <f t="shared" si="252"/>
        <v>0.49618312403234111</v>
      </c>
      <c r="O460" s="305" t="str">
        <f t="shared" si="253"/>
        <v>Yes</v>
      </c>
      <c r="P460" s="304">
        <f t="shared" si="257"/>
        <v>1</v>
      </c>
      <c r="S460" s="287"/>
      <c r="V460" s="305"/>
      <c r="W460" s="304">
        <f t="shared" si="258"/>
        <v>0</v>
      </c>
    </row>
    <row r="461" spans="1:23">
      <c r="A461" s="184">
        <v>448</v>
      </c>
      <c r="B461" s="1">
        <f t="shared" ref="B461:B524" si="264">B460+7</f>
        <v>41039</v>
      </c>
      <c r="D461" s="2">
        <v>39597.51</v>
      </c>
      <c r="E461" s="2">
        <f>D461</f>
        <v>39597.51</v>
      </c>
      <c r="F461" s="2">
        <f>E461-E450</f>
        <v>-1254.3799700000018</v>
      </c>
      <c r="G461" s="188">
        <f t="shared" si="259"/>
        <v>-2.1563284373827818E-2</v>
      </c>
      <c r="H461" s="2">
        <f t="shared" si="262"/>
        <v>16741.660000000003</v>
      </c>
      <c r="I461" s="188">
        <f t="shared" si="261"/>
        <v>0.73248905641225348</v>
      </c>
      <c r="L461" s="287">
        <v>1358.03</v>
      </c>
      <c r="M461" s="188">
        <f t="shared" si="263"/>
        <v>-2.4102272972254313E-2</v>
      </c>
      <c r="N461" s="188">
        <f t="shared" si="252"/>
        <v>0.46012170996043333</v>
      </c>
      <c r="O461" s="305" t="str">
        <f t="shared" si="253"/>
        <v>Yes</v>
      </c>
      <c r="P461" s="304">
        <f t="shared" si="257"/>
        <v>1</v>
      </c>
      <c r="S461" s="287"/>
      <c r="V461" s="305"/>
      <c r="W461" s="304">
        <f t="shared" si="258"/>
        <v>0</v>
      </c>
    </row>
    <row r="462" spans="1:23">
      <c r="A462" s="184">
        <v>449</v>
      </c>
      <c r="B462" s="1">
        <f t="shared" si="264"/>
        <v>41046</v>
      </c>
      <c r="D462" s="2">
        <v>38075.29</v>
      </c>
      <c r="E462" s="2">
        <v>38075.29</v>
      </c>
      <c r="F462" s="2">
        <f>E462-E451</f>
        <v>-2698.1325099999958</v>
      </c>
      <c r="G462" s="188">
        <f t="shared" si="259"/>
        <v>-3.8442316196144688E-2</v>
      </c>
      <c r="H462" s="2">
        <f t="shared" si="262"/>
        <v>15219.440000000002</v>
      </c>
      <c r="I462" s="188">
        <f t="shared" si="261"/>
        <v>0.66588816429929332</v>
      </c>
      <c r="L462" s="287">
        <v>1304.8599999999999</v>
      </c>
      <c r="M462" s="188">
        <f t="shared" si="263"/>
        <v>-3.9152301495548714E-2</v>
      </c>
      <c r="N462" s="188">
        <f t="shared" si="252"/>
        <v>0.40295458455186628</v>
      </c>
      <c r="O462" s="305" t="str">
        <f t="shared" si="253"/>
        <v>Yes</v>
      </c>
      <c r="P462" s="304">
        <f t="shared" si="257"/>
        <v>1</v>
      </c>
      <c r="S462" s="287"/>
      <c r="V462" s="305"/>
      <c r="W462" s="304">
        <f t="shared" si="258"/>
        <v>0</v>
      </c>
    </row>
    <row r="463" spans="1:23">
      <c r="A463" s="184">
        <v>450</v>
      </c>
      <c r="B463" s="1">
        <f t="shared" si="264"/>
        <v>41053</v>
      </c>
      <c r="D463" s="2">
        <v>38231.85</v>
      </c>
      <c r="E463" s="2">
        <f t="shared" ref="E463:E471" si="265">D463</f>
        <v>38231.85</v>
      </c>
      <c r="F463" s="2">
        <f>E463-E462</f>
        <v>156.55999999999767</v>
      </c>
      <c r="G463" s="188">
        <f t="shared" si="259"/>
        <v>4.1118531204882292E-3</v>
      </c>
      <c r="H463" s="2">
        <f t="shared" si="262"/>
        <v>15376</v>
      </c>
      <c r="I463" s="188">
        <f t="shared" si="261"/>
        <v>0.67273805174605195</v>
      </c>
      <c r="L463" s="287">
        <v>1320.68</v>
      </c>
      <c r="M463" s="188">
        <f t="shared" si="263"/>
        <v>1.2123906012905694E-2</v>
      </c>
      <c r="N463" s="188">
        <f t="shared" si="252"/>
        <v>0.41996387407534841</v>
      </c>
      <c r="O463" s="305" t="str">
        <f t="shared" si="253"/>
        <v>No</v>
      </c>
      <c r="P463" s="304">
        <f t="shared" si="257"/>
        <v>0</v>
      </c>
      <c r="S463" s="287"/>
      <c r="V463" s="305"/>
      <c r="W463" s="304">
        <f t="shared" si="258"/>
        <v>0</v>
      </c>
    </row>
    <row r="464" spans="1:23">
      <c r="A464" s="184">
        <v>451</v>
      </c>
      <c r="B464" s="1">
        <f t="shared" si="264"/>
        <v>41060</v>
      </c>
      <c r="D464" s="2">
        <v>38054.910000000003</v>
      </c>
      <c r="E464" s="2">
        <f t="shared" si="265"/>
        <v>38054.910000000003</v>
      </c>
      <c r="F464" s="2">
        <f>E464-E463</f>
        <v>-176.93999999999505</v>
      </c>
      <c r="G464" s="188">
        <f t="shared" si="259"/>
        <v>-4.6280784215253501E-3</v>
      </c>
      <c r="H464" s="2">
        <f t="shared" si="262"/>
        <v>15199.060000000005</v>
      </c>
      <c r="I464" s="188">
        <f t="shared" si="261"/>
        <v>0.66499648886390172</v>
      </c>
      <c r="L464" s="287">
        <v>1310.33</v>
      </c>
      <c r="M464" s="188">
        <f t="shared" si="263"/>
        <v>-7.8368719144683574E-3</v>
      </c>
      <c r="N464" s="188">
        <f t="shared" si="252"/>
        <v>0.40883579907104761</v>
      </c>
      <c r="O464" s="305" t="str">
        <f t="shared" si="253"/>
        <v>Yes</v>
      </c>
      <c r="P464" s="304">
        <f t="shared" si="257"/>
        <v>1</v>
      </c>
      <c r="S464" s="287"/>
      <c r="V464" s="305"/>
      <c r="W464" s="304">
        <f t="shared" si="258"/>
        <v>0</v>
      </c>
    </row>
    <row r="465" spans="1:23">
      <c r="A465" s="184">
        <v>452</v>
      </c>
      <c r="B465" s="1">
        <f t="shared" si="264"/>
        <v>41067</v>
      </c>
      <c r="D465" s="2">
        <v>38191.910000000003</v>
      </c>
      <c r="E465" s="2">
        <f t="shared" si="265"/>
        <v>38191.910000000003</v>
      </c>
      <c r="F465" s="2">
        <f t="shared" ref="F465:F471" si="266">E465-E464</f>
        <v>137</v>
      </c>
      <c r="G465" s="188">
        <f t="shared" ref="G465:G472" si="267">(E465/E464)-1</f>
        <v>3.6000610696491631E-3</v>
      </c>
      <c r="H465" s="2">
        <f t="shared" si="262"/>
        <v>15336.060000000005</v>
      </c>
      <c r="I465" s="188">
        <f t="shared" si="261"/>
        <v>0.67099057790456307</v>
      </c>
      <c r="L465" s="287">
        <v>1314.99</v>
      </c>
      <c r="M465" s="188">
        <f t="shared" ref="M465:M471" si="268">(L465/L464)-1</f>
        <v>3.5563560324498589E-3</v>
      </c>
      <c r="N465" s="188">
        <f t="shared" si="252"/>
        <v>0.41384612076380511</v>
      </c>
      <c r="O465" s="305" t="str">
        <f t="shared" si="253"/>
        <v>Yes</v>
      </c>
      <c r="P465" s="304">
        <f t="shared" si="257"/>
        <v>1</v>
      </c>
      <c r="S465" s="287"/>
      <c r="V465" s="305"/>
      <c r="W465" s="304">
        <f t="shared" si="258"/>
        <v>0</v>
      </c>
    </row>
    <row r="466" spans="1:23">
      <c r="A466" s="184">
        <v>453</v>
      </c>
      <c r="B466" s="1">
        <f t="shared" si="264"/>
        <v>41074</v>
      </c>
      <c r="D466" s="2">
        <v>38600.559999999998</v>
      </c>
      <c r="E466" s="2">
        <f t="shared" si="265"/>
        <v>38600.559999999998</v>
      </c>
      <c r="F466" s="2">
        <f t="shared" si="266"/>
        <v>408.64999999999418</v>
      </c>
      <c r="G466" s="188">
        <f t="shared" si="267"/>
        <v>1.0699910007119229E-2</v>
      </c>
      <c r="H466" s="2">
        <f t="shared" si="262"/>
        <v>15744.71</v>
      </c>
      <c r="I466" s="188">
        <f t="shared" si="261"/>
        <v>0.68887002671088582</v>
      </c>
      <c r="L466" s="287">
        <v>1329.1</v>
      </c>
      <c r="M466" s="188">
        <f t="shared" si="268"/>
        <v>1.0730119620681489E-2</v>
      </c>
      <c r="N466" s="188">
        <f t="shared" si="252"/>
        <v>0.42901685876483731</v>
      </c>
      <c r="O466" s="305" t="str">
        <f t="shared" si="253"/>
        <v>No</v>
      </c>
      <c r="P466" s="304">
        <f t="shared" si="257"/>
        <v>0</v>
      </c>
      <c r="S466" s="287"/>
      <c r="V466" s="305"/>
      <c r="W466" s="304">
        <f t="shared" si="258"/>
        <v>0</v>
      </c>
    </row>
    <row r="467" spans="1:23">
      <c r="A467" s="184">
        <v>454</v>
      </c>
      <c r="B467" s="1">
        <f t="shared" si="264"/>
        <v>41081</v>
      </c>
      <c r="D467" s="2">
        <v>38496.339999999997</v>
      </c>
      <c r="E467" s="2">
        <f t="shared" si="265"/>
        <v>38496.339999999997</v>
      </c>
      <c r="F467" s="2">
        <f t="shared" si="266"/>
        <v>-104.22000000000116</v>
      </c>
      <c r="G467" s="188">
        <f t="shared" si="267"/>
        <v>-2.6999608295839028E-3</v>
      </c>
      <c r="H467" s="2">
        <f t="shared" si="262"/>
        <v>15640.489999999998</v>
      </c>
      <c r="I467" s="188">
        <f t="shared" si="261"/>
        <v>0.68431014379250832</v>
      </c>
      <c r="L467" s="287">
        <v>1325.51</v>
      </c>
      <c r="M467" s="188">
        <f t="shared" si="268"/>
        <v>-2.701075916033302E-3</v>
      </c>
      <c r="N467" s="188">
        <f t="shared" si="252"/>
        <v>0.42515697574402189</v>
      </c>
      <c r="O467" s="305" t="str">
        <f t="shared" si="253"/>
        <v>Yes</v>
      </c>
      <c r="P467" s="304">
        <f t="shared" si="257"/>
        <v>1</v>
      </c>
      <c r="S467" s="287"/>
      <c r="V467" s="305"/>
      <c r="W467" s="304">
        <f t="shared" si="258"/>
        <v>0</v>
      </c>
    </row>
    <row r="468" spans="1:23">
      <c r="A468" s="184">
        <v>455</v>
      </c>
      <c r="B468" s="1">
        <f t="shared" si="264"/>
        <v>41088</v>
      </c>
      <c r="D468" s="2">
        <v>38600.28</v>
      </c>
      <c r="E468" s="2">
        <f t="shared" si="265"/>
        <v>38600.28</v>
      </c>
      <c r="F468" s="2">
        <f t="shared" si="266"/>
        <v>103.94000000000233</v>
      </c>
      <c r="G468" s="188">
        <f t="shared" si="267"/>
        <v>2.6999969347736297E-3</v>
      </c>
      <c r="H468" s="2">
        <f t="shared" si="262"/>
        <v>15744.43</v>
      </c>
      <c r="I468" s="188">
        <f t="shared" si="261"/>
        <v>0.68885777601795617</v>
      </c>
      <c r="L468" s="287">
        <v>1329.04</v>
      </c>
      <c r="M468" s="188">
        <f t="shared" si="268"/>
        <v>2.6631258911664624E-3</v>
      </c>
      <c r="N468" s="188">
        <f t="shared" si="252"/>
        <v>0.42895234818510231</v>
      </c>
      <c r="O468" s="305" t="str">
        <f t="shared" si="253"/>
        <v>Yes</v>
      </c>
      <c r="P468" s="304">
        <f t="shared" si="257"/>
        <v>1</v>
      </c>
      <c r="S468" s="287"/>
      <c r="V468" s="305"/>
      <c r="W468" s="304">
        <f t="shared" si="258"/>
        <v>0</v>
      </c>
    </row>
    <row r="469" spans="1:23">
      <c r="A469" s="184">
        <v>456</v>
      </c>
      <c r="B469" s="1">
        <f t="shared" si="264"/>
        <v>41095</v>
      </c>
      <c r="D469" s="2">
        <v>39719.69</v>
      </c>
      <c r="E469" s="2">
        <f t="shared" si="265"/>
        <v>39719.69</v>
      </c>
      <c r="F469" s="2">
        <f t="shared" si="266"/>
        <v>1119.4100000000035</v>
      </c>
      <c r="G469" s="188">
        <f t="shared" si="267"/>
        <v>2.9000048704310055E-2</v>
      </c>
      <c r="H469" s="2">
        <f t="shared" si="262"/>
        <v>16863.840000000004</v>
      </c>
      <c r="I469" s="188">
        <f t="shared" si="261"/>
        <v>0.73783473377712938</v>
      </c>
      <c r="L469" s="287">
        <v>1367.58</v>
      </c>
      <c r="M469" s="188">
        <f t="shared" si="268"/>
        <v>2.8998374766748825E-2</v>
      </c>
      <c r="N469" s="188">
        <f t="shared" si="252"/>
        <v>0.47038964390159976</v>
      </c>
      <c r="O469" s="305" t="str">
        <f t="shared" si="253"/>
        <v>Yes</v>
      </c>
      <c r="P469" s="304">
        <f t="shared" si="257"/>
        <v>1</v>
      </c>
      <c r="S469" s="287"/>
      <c r="V469" s="305"/>
      <c r="W469" s="304">
        <f t="shared" si="258"/>
        <v>0</v>
      </c>
    </row>
    <row r="470" spans="1:23">
      <c r="A470" s="184">
        <v>457</v>
      </c>
      <c r="B470" s="1">
        <f t="shared" si="264"/>
        <v>41102</v>
      </c>
      <c r="D470" s="2">
        <v>38766.42</v>
      </c>
      <c r="E470" s="2">
        <f t="shared" si="265"/>
        <v>38766.42</v>
      </c>
      <c r="F470" s="2">
        <f t="shared" si="266"/>
        <v>-953.27000000000407</v>
      </c>
      <c r="G470" s="188">
        <f t="shared" si="267"/>
        <v>-2.3999935548339013E-2</v>
      </c>
      <c r="H470" s="2">
        <f t="shared" si="262"/>
        <v>15910.57</v>
      </c>
      <c r="I470" s="188">
        <f t="shared" si="261"/>
        <v>0.69612681217281347</v>
      </c>
      <c r="L470" s="287">
        <v>1334.76</v>
      </c>
      <c r="M470" s="188">
        <f t="shared" si="268"/>
        <v>-2.3998596060193833E-2</v>
      </c>
      <c r="N470" s="188">
        <f t="shared" si="252"/>
        <v>0.43510235678651288</v>
      </c>
      <c r="O470" s="305" t="str">
        <f t="shared" si="253"/>
        <v>No</v>
      </c>
      <c r="P470" s="304">
        <f t="shared" si="257"/>
        <v>0</v>
      </c>
      <c r="S470" s="287"/>
      <c r="V470" s="305"/>
      <c r="W470" s="304">
        <f t="shared" si="258"/>
        <v>0</v>
      </c>
    </row>
    <row r="471" spans="1:23">
      <c r="A471" s="184">
        <v>458</v>
      </c>
      <c r="B471" s="1">
        <f t="shared" si="264"/>
        <v>41109</v>
      </c>
      <c r="D471" s="2">
        <v>39979.800000000003</v>
      </c>
      <c r="E471" s="2">
        <f t="shared" si="265"/>
        <v>39979.800000000003</v>
      </c>
      <c r="F471" s="2">
        <f t="shared" si="266"/>
        <v>1213.3800000000047</v>
      </c>
      <c r="G471" s="188">
        <f t="shared" si="267"/>
        <v>3.1299769233269492E-2</v>
      </c>
      <c r="H471" s="2">
        <f t="shared" si="262"/>
        <v>17123.950000000004</v>
      </c>
      <c r="I471" s="188">
        <f t="shared" si="261"/>
        <v>0.74921518998418368</v>
      </c>
      <c r="L471" s="287">
        <v>1376.51</v>
      </c>
      <c r="M471" s="188">
        <f t="shared" si="268"/>
        <v>3.1279031436363125E-2</v>
      </c>
      <c r="N471" s="188">
        <f t="shared" si="252"/>
        <v>0.47999096851883705</v>
      </c>
      <c r="O471" s="305" t="str">
        <f t="shared" si="253"/>
        <v>Yes</v>
      </c>
      <c r="P471" s="304">
        <f t="shared" si="257"/>
        <v>1</v>
      </c>
      <c r="S471" s="287"/>
      <c r="V471" s="305"/>
      <c r="W471" s="304">
        <f t="shared" si="258"/>
        <v>0</v>
      </c>
    </row>
    <row r="472" spans="1:23">
      <c r="A472" s="184">
        <v>459</v>
      </c>
      <c r="B472" s="1">
        <f t="shared" si="264"/>
        <v>41116</v>
      </c>
      <c r="D472" s="2">
        <v>38207.230000000003</v>
      </c>
      <c r="E472" s="2">
        <v>38207.230000000003</v>
      </c>
      <c r="F472" s="2">
        <f>E472-E471</f>
        <v>-1772.5699999999997</v>
      </c>
      <c r="G472" s="188">
        <f t="shared" si="267"/>
        <v>-4.4336640003201588E-2</v>
      </c>
      <c r="H472" s="2">
        <f t="shared" ref="H472:H477" si="269">E472-$D$3</f>
        <v>15351.380000000005</v>
      </c>
      <c r="I472" s="188">
        <f t="shared" ref="I472:I477" si="270">(E472/$D$3)-1</f>
        <v>0.671660865817723</v>
      </c>
      <c r="L472" s="287">
        <v>1360.02</v>
      </c>
      <c r="M472" s="188">
        <f>(L472/L471)-1</f>
        <v>-1.1979571525088772E-2</v>
      </c>
      <c r="N472" s="188">
        <f t="shared" si="252"/>
        <v>0.46226131085498023</v>
      </c>
      <c r="O472" s="305" t="str">
        <f t="shared" si="253"/>
        <v>No</v>
      </c>
      <c r="P472" s="304">
        <f t="shared" si="257"/>
        <v>0</v>
      </c>
      <c r="S472" s="287"/>
      <c r="V472" s="305"/>
      <c r="W472" s="304">
        <f t="shared" si="258"/>
        <v>0</v>
      </c>
    </row>
    <row r="473" spans="1:23">
      <c r="A473" s="184">
        <v>460</v>
      </c>
      <c r="B473" s="1">
        <f t="shared" si="264"/>
        <v>41123</v>
      </c>
      <c r="D473" s="2">
        <v>38353.26</v>
      </c>
      <c r="E473" s="2">
        <v>38353.26</v>
      </c>
      <c r="F473" s="2">
        <f t="shared" ref="F473:F478" si="271">E473-E472</f>
        <v>146.02999999999884</v>
      </c>
      <c r="G473" s="188">
        <f t="shared" ref="G473:G478" si="272">(E473/E472)-1</f>
        <v>3.8220514808322559E-3</v>
      </c>
      <c r="H473" s="2">
        <f t="shared" si="269"/>
        <v>15497.410000000003</v>
      </c>
      <c r="I473" s="188">
        <f t="shared" si="270"/>
        <v>0.67805003970537103</v>
      </c>
      <c r="L473" s="287">
        <v>1365</v>
      </c>
      <c r="M473" s="188">
        <f t="shared" ref="M473:M491" si="273">(L473/L472)-1</f>
        <v>3.6617108571932455E-3</v>
      </c>
      <c r="N473" s="188">
        <f t="shared" si="252"/>
        <v>0.46761568897299144</v>
      </c>
      <c r="O473" s="305" t="str">
        <f t="shared" si="253"/>
        <v>Yes</v>
      </c>
      <c r="P473" s="304">
        <f t="shared" si="257"/>
        <v>1</v>
      </c>
      <c r="S473" s="287"/>
      <c r="V473" s="305"/>
      <c r="W473" s="304">
        <f t="shared" si="258"/>
        <v>0</v>
      </c>
    </row>
    <row r="474" spans="1:23">
      <c r="A474" s="184">
        <v>461</v>
      </c>
      <c r="B474" s="1">
        <f t="shared" si="264"/>
        <v>41130</v>
      </c>
      <c r="D474" s="2">
        <v>39415.94</v>
      </c>
      <c r="E474" s="2">
        <v>39415.94</v>
      </c>
      <c r="F474" s="2">
        <f t="shared" si="271"/>
        <v>1062.6800000000003</v>
      </c>
      <c r="G474" s="188">
        <f t="shared" si="272"/>
        <v>2.7707683779683911E-2</v>
      </c>
      <c r="H474" s="2">
        <f t="shared" si="269"/>
        <v>16560.090000000004</v>
      </c>
      <c r="I474" s="188">
        <f t="shared" si="270"/>
        <v>0.7245449195720135</v>
      </c>
      <c r="L474" s="287">
        <v>1402.8</v>
      </c>
      <c r="M474" s="188">
        <f t="shared" si="273"/>
        <v>2.7692307692307683E-2</v>
      </c>
      <c r="N474" s="188">
        <f t="shared" si="252"/>
        <v>0.50825735420608975</v>
      </c>
      <c r="O474" s="305" t="str">
        <f t="shared" si="253"/>
        <v>Yes</v>
      </c>
      <c r="P474" s="304">
        <f t="shared" si="257"/>
        <v>1</v>
      </c>
      <c r="S474" s="287"/>
      <c r="V474" s="305"/>
      <c r="W474" s="304">
        <f t="shared" si="258"/>
        <v>0</v>
      </c>
    </row>
    <row r="475" spans="1:23">
      <c r="A475" s="184">
        <v>462</v>
      </c>
      <c r="B475" s="1">
        <f t="shared" si="264"/>
        <v>41137</v>
      </c>
      <c r="D475" s="2">
        <v>39842.959999999999</v>
      </c>
      <c r="E475" s="2">
        <v>39842.959999999999</v>
      </c>
      <c r="F475" s="2">
        <f t="shared" si="271"/>
        <v>427.0199999999968</v>
      </c>
      <c r="G475" s="188">
        <f t="shared" si="272"/>
        <v>1.0833688096744565E-2</v>
      </c>
      <c r="H475" s="2">
        <f t="shared" si="269"/>
        <v>16987.11</v>
      </c>
      <c r="I475" s="188">
        <f t="shared" si="270"/>
        <v>0.74322810133948214</v>
      </c>
      <c r="L475" s="287">
        <v>1415.84</v>
      </c>
      <c r="M475" s="188">
        <f t="shared" si="273"/>
        <v>9.2956943256343738E-3</v>
      </c>
      <c r="N475" s="188">
        <f t="shared" si="252"/>
        <v>0.52227765353517963</v>
      </c>
      <c r="O475" s="305" t="str">
        <f t="shared" si="253"/>
        <v>Yes</v>
      </c>
      <c r="P475" s="304">
        <f t="shared" si="257"/>
        <v>1</v>
      </c>
      <c r="S475" s="287"/>
      <c r="V475" s="305"/>
      <c r="W475" s="304">
        <f t="shared" si="258"/>
        <v>0</v>
      </c>
    </row>
    <row r="476" spans="1:23">
      <c r="A476" s="184">
        <v>463</v>
      </c>
      <c r="B476" s="1">
        <f t="shared" si="264"/>
        <v>41144</v>
      </c>
      <c r="D476" s="2">
        <v>39588.76</v>
      </c>
      <c r="E476" s="2">
        <v>39588.76</v>
      </c>
      <c r="F476" s="2">
        <f t="shared" si="271"/>
        <v>-254.19999999999709</v>
      </c>
      <c r="G476" s="188">
        <f t="shared" si="272"/>
        <v>-6.3800480687177252E-3</v>
      </c>
      <c r="H476" s="2">
        <f t="shared" si="269"/>
        <v>16732.910000000003</v>
      </c>
      <c r="I476" s="188">
        <f t="shared" si="270"/>
        <v>0.73210622225819666</v>
      </c>
      <c r="L476" s="287">
        <v>1402.08</v>
      </c>
      <c r="M476" s="188">
        <f t="shared" si="273"/>
        <v>-9.7186122725732016E-3</v>
      </c>
      <c r="N476" s="188">
        <f t="shared" si="252"/>
        <v>0.50748322724926864</v>
      </c>
      <c r="O476" s="305" t="str">
        <f t="shared" si="253"/>
        <v>Yes</v>
      </c>
      <c r="P476" s="304">
        <f t="shared" si="257"/>
        <v>1</v>
      </c>
      <c r="S476" s="287"/>
      <c r="V476" s="305"/>
      <c r="W476" s="304">
        <f t="shared" si="258"/>
        <v>0</v>
      </c>
    </row>
    <row r="477" spans="1:23">
      <c r="A477" s="184">
        <v>464</v>
      </c>
      <c r="B477" s="1">
        <f t="shared" si="264"/>
        <v>41151</v>
      </c>
      <c r="D477" s="2">
        <v>39623.96</v>
      </c>
      <c r="E477" s="2">
        <v>39623.96</v>
      </c>
      <c r="F477" s="2">
        <f t="shared" si="271"/>
        <v>35.19999999999709</v>
      </c>
      <c r="G477" s="188">
        <f t="shared" si="272"/>
        <v>8.8914126130745785E-4</v>
      </c>
      <c r="H477" s="2">
        <f t="shared" si="269"/>
        <v>16768.11</v>
      </c>
      <c r="I477" s="188">
        <f t="shared" si="270"/>
        <v>0.73364630936937369</v>
      </c>
      <c r="L477" s="287">
        <v>1400.07</v>
      </c>
      <c r="M477" s="188">
        <f t="shared" si="273"/>
        <v>-1.4335843889079491E-3</v>
      </c>
      <c r="N477" s="188">
        <f t="shared" si="252"/>
        <v>0.5053221228281437</v>
      </c>
      <c r="O477" s="305" t="str">
        <f t="shared" si="253"/>
        <v>Yes</v>
      </c>
      <c r="P477" s="304">
        <f t="shared" si="257"/>
        <v>1</v>
      </c>
      <c r="S477" s="287">
        <v>13000.71</v>
      </c>
      <c r="V477" s="305"/>
      <c r="W477" s="304">
        <f t="shared" si="258"/>
        <v>0</v>
      </c>
    </row>
    <row r="478" spans="1:23">
      <c r="A478" s="184">
        <v>465</v>
      </c>
      <c r="B478" s="1">
        <f t="shared" si="264"/>
        <v>41158</v>
      </c>
      <c r="D478" s="2">
        <v>40381.870000000003</v>
      </c>
      <c r="E478" s="2">
        <v>40381.870000000003</v>
      </c>
      <c r="F478" s="2">
        <f t="shared" si="271"/>
        <v>757.91000000000349</v>
      </c>
      <c r="G478" s="188">
        <f t="shared" si="272"/>
        <v>1.9127568269299733E-2</v>
      </c>
      <c r="H478" s="2">
        <f t="shared" ref="H478" si="274">E478-$D$3</f>
        <v>17526.020000000004</v>
      </c>
      <c r="I478" s="188">
        <f t="shared" ref="I478" si="275">(E478/$D$3)-1</f>
        <v>0.76680674750665601</v>
      </c>
      <c r="L478" s="287">
        <v>1432.12</v>
      </c>
      <c r="M478" s="188">
        <f t="shared" si="273"/>
        <v>2.2891712557229216E-2</v>
      </c>
      <c r="N478" s="188">
        <f t="shared" si="252"/>
        <v>0.53978152416996372</v>
      </c>
      <c r="O478" s="305" t="str">
        <f t="shared" si="253"/>
        <v>No</v>
      </c>
      <c r="P478" s="304">
        <f t="shared" si="257"/>
        <v>0</v>
      </c>
      <c r="Q478" s="188">
        <f>SUM(P4:P478)/COUNT(P4:P478)</f>
        <v>0.5368421052631579</v>
      </c>
      <c r="S478" s="287">
        <v>13292</v>
      </c>
      <c r="T478" s="188">
        <f>(S478/S477)-1</f>
        <v>2.2405699381033983E-2</v>
      </c>
      <c r="U478" s="188">
        <f t="shared" ref="U478:U491" si="276">(S478/$S$3)-1</f>
        <v>0.54870040593381075</v>
      </c>
      <c r="V478" s="305" t="str">
        <f t="shared" ref="V478:V488" si="277">IF(G478&gt;T478,"Yes","No")</f>
        <v>No</v>
      </c>
      <c r="W478" s="304">
        <f t="shared" si="258"/>
        <v>0</v>
      </c>
    </row>
    <row r="479" spans="1:23">
      <c r="A479" s="184">
        <v>466</v>
      </c>
      <c r="B479" s="1">
        <f t="shared" si="264"/>
        <v>41165</v>
      </c>
      <c r="D479" s="2">
        <v>41104.82</v>
      </c>
      <c r="E479" s="2">
        <v>41104.82</v>
      </c>
      <c r="F479" s="2">
        <f t="shared" ref="F479" si="278">E479-E478</f>
        <v>722.94999999999709</v>
      </c>
      <c r="G479" s="188">
        <f t="shared" ref="G479" si="279">(E479/E478)-1</f>
        <v>1.7902836099467301E-2</v>
      </c>
      <c r="H479" s="2">
        <f t="shared" ref="H479" si="280">E479-$D$3</f>
        <v>18248.97</v>
      </c>
      <c r="I479" s="188">
        <f t="shared" ref="I479" si="281">(E479/$D$3)-1</f>
        <v>0.79843759912670076</v>
      </c>
      <c r="L479" s="287">
        <v>1459.99</v>
      </c>
      <c r="M479" s="188">
        <f t="shared" si="273"/>
        <v>1.9460659721252549E-2</v>
      </c>
      <c r="N479" s="188">
        <f t="shared" si="252"/>
        <v>0.5697466884569069</v>
      </c>
      <c r="O479" s="305" t="str">
        <f t="shared" si="253"/>
        <v>No</v>
      </c>
      <c r="P479" s="304">
        <f t="shared" si="257"/>
        <v>0</v>
      </c>
      <c r="Q479" s="188">
        <f>SUM(P4:P479)/COUNT(P4:P479)</f>
        <v>0.5357142857142857</v>
      </c>
      <c r="S479" s="287">
        <v>13529.86</v>
      </c>
      <c r="T479" s="188">
        <f t="shared" ref="T479:T491" si="282">(S479/S478)-1</f>
        <v>1.7894974420704202E-2</v>
      </c>
      <c r="U479" s="188">
        <f t="shared" si="276"/>
        <v>0.57641436008333069</v>
      </c>
      <c r="V479" s="305" t="str">
        <f t="shared" si="277"/>
        <v>Yes</v>
      </c>
      <c r="W479" s="304">
        <f t="shared" si="258"/>
        <v>1</v>
      </c>
    </row>
    <row r="480" spans="1:23">
      <c r="A480" s="184">
        <v>467</v>
      </c>
      <c r="B480" s="1">
        <f t="shared" si="264"/>
        <v>41172</v>
      </c>
      <c r="D480" s="2">
        <v>41012.585077953358</v>
      </c>
      <c r="E480" s="2">
        <v>41012.585077953358</v>
      </c>
      <c r="F480" s="2">
        <f t="shared" ref="F480:F485" si="283">E480-E479</f>
        <v>-92.234922046642168</v>
      </c>
      <c r="G480" s="188">
        <f t="shared" ref="G480:G485" si="284">(E480/E479)-1</f>
        <v>-2.2438955345539524E-3</v>
      </c>
      <c r="H480" s="2">
        <f t="shared" ref="H480:H485" si="285">E480-$D$3</f>
        <v>18156.735077953359</v>
      </c>
      <c r="I480" s="188">
        <f t="shared" ref="I480:I485" si="286">(E480/$D$3)-1</f>
        <v>0.79440209302884646</v>
      </c>
      <c r="L480" s="287">
        <v>1460.26</v>
      </c>
      <c r="M480" s="188">
        <f t="shared" si="273"/>
        <v>1.8493277351216975E-4</v>
      </c>
      <c r="N480" s="188">
        <f t="shared" si="252"/>
        <v>0.57003698606571462</v>
      </c>
      <c r="O480" s="305" t="str">
        <f t="shared" si="253"/>
        <v>No</v>
      </c>
      <c r="P480" s="304">
        <f t="shared" si="257"/>
        <v>0</v>
      </c>
      <c r="Q480" s="188">
        <f>SUM(P4:P480)/COUNT(P4:P480)</f>
        <v>0.53459119496855345</v>
      </c>
      <c r="S480" s="287">
        <v>13596.93</v>
      </c>
      <c r="T480" s="188">
        <f t="shared" si="282"/>
        <v>4.9571835924391294E-3</v>
      </c>
      <c r="U480" s="188">
        <f t="shared" si="276"/>
        <v>0.58422893548402133</v>
      </c>
      <c r="V480" s="305" t="str">
        <f t="shared" si="277"/>
        <v>No</v>
      </c>
      <c r="W480" s="304">
        <f t="shared" si="258"/>
        <v>0</v>
      </c>
    </row>
    <row r="481" spans="1:23">
      <c r="A481" s="184">
        <v>468</v>
      </c>
      <c r="B481" s="1">
        <f t="shared" si="264"/>
        <v>41179</v>
      </c>
      <c r="D481" s="2">
        <v>40547.910000000003</v>
      </c>
      <c r="E481" s="2">
        <f>D481</f>
        <v>40547.910000000003</v>
      </c>
      <c r="F481" s="2">
        <f t="shared" si="283"/>
        <v>-464.67507795335405</v>
      </c>
      <c r="G481" s="188">
        <f t="shared" si="284"/>
        <v>-1.1330060689179633E-2</v>
      </c>
      <c r="H481" s="2">
        <f t="shared" si="285"/>
        <v>17692.060000000005</v>
      </c>
      <c r="I481" s="188">
        <f t="shared" si="286"/>
        <v>0.77407140841403876</v>
      </c>
      <c r="L481" s="287">
        <v>1460.26</v>
      </c>
      <c r="M481" s="188">
        <f t="shared" si="273"/>
        <v>0</v>
      </c>
      <c r="N481" s="188">
        <f t="shared" si="252"/>
        <v>0.57003698606571462</v>
      </c>
      <c r="O481" s="305" t="str">
        <f t="shared" si="253"/>
        <v>No</v>
      </c>
      <c r="P481" s="304">
        <f t="shared" si="257"/>
        <v>0</v>
      </c>
      <c r="Q481" s="188">
        <f>SUM(P4:P481)/COUNT(P4:P481)</f>
        <v>0.53347280334728031</v>
      </c>
      <c r="S481" s="287">
        <v>13485.97</v>
      </c>
      <c r="T481" s="188">
        <f t="shared" si="282"/>
        <v>-8.1606656796792132E-3</v>
      </c>
      <c r="U481" s="188">
        <f t="shared" si="276"/>
        <v>0.57130057278146218</v>
      </c>
      <c r="V481" s="305" t="str">
        <f t="shared" si="277"/>
        <v>No</v>
      </c>
      <c r="W481" s="304">
        <f t="shared" si="258"/>
        <v>0</v>
      </c>
    </row>
    <row r="482" spans="1:23">
      <c r="A482" s="184">
        <v>469</v>
      </c>
      <c r="B482" s="1">
        <f t="shared" si="264"/>
        <v>41186</v>
      </c>
      <c r="D482" s="2">
        <v>41960.800000000003</v>
      </c>
      <c r="E482" s="2">
        <v>41960.800000000003</v>
      </c>
      <c r="F482" s="2">
        <f t="shared" si="283"/>
        <v>1412.8899999999994</v>
      </c>
      <c r="G482" s="188">
        <f t="shared" si="284"/>
        <v>3.4844952551191799E-2</v>
      </c>
      <c r="H482" s="2">
        <f t="shared" si="285"/>
        <v>19104.950000000004</v>
      </c>
      <c r="I482" s="188">
        <f t="shared" si="286"/>
        <v>0.83588884246265205</v>
      </c>
      <c r="L482" s="287">
        <v>1461.4</v>
      </c>
      <c r="M482" s="188">
        <f t="shared" si="273"/>
        <v>7.8068289208776953E-4</v>
      </c>
      <c r="N482" s="188">
        <f t="shared" si="252"/>
        <v>0.57126268708068118</v>
      </c>
      <c r="O482" s="305" t="str">
        <f t="shared" si="253"/>
        <v>Yes</v>
      </c>
      <c r="P482" s="304">
        <f t="shared" si="257"/>
        <v>1</v>
      </c>
      <c r="Q482" s="188">
        <f>SUM(P4:P482)/COUNT(P4:P482)</f>
        <v>0.53444676409185798</v>
      </c>
      <c r="S482" s="287">
        <v>13575.36</v>
      </c>
      <c r="T482" s="188">
        <f t="shared" si="282"/>
        <v>6.628370076457335E-3</v>
      </c>
      <c r="U482" s="188">
        <f t="shared" si="276"/>
        <v>0.58171573447920699</v>
      </c>
      <c r="V482" s="305" t="str">
        <f t="shared" si="277"/>
        <v>Yes</v>
      </c>
      <c r="W482" s="304">
        <f t="shared" si="258"/>
        <v>1</v>
      </c>
    </row>
    <row r="483" spans="1:23">
      <c r="A483" s="184">
        <v>470</v>
      </c>
      <c r="B483" s="1">
        <f t="shared" si="264"/>
        <v>41193</v>
      </c>
      <c r="D483" s="2">
        <v>41235.269999999997</v>
      </c>
      <c r="E483" s="2">
        <v>41235.269999999997</v>
      </c>
      <c r="F483" s="2">
        <f t="shared" si="283"/>
        <v>-725.53000000000611</v>
      </c>
      <c r="G483" s="188">
        <f t="shared" si="284"/>
        <v>-1.7290661760500425E-2</v>
      </c>
      <c r="H483" s="2">
        <f t="shared" si="285"/>
        <v>18379.419999999998</v>
      </c>
      <c r="I483" s="188">
        <f t="shared" si="286"/>
        <v>0.80414510945775364</v>
      </c>
      <c r="L483" s="287">
        <v>1432.84</v>
      </c>
      <c r="M483" s="188">
        <f t="shared" si="273"/>
        <v>-1.954290406459569E-2</v>
      </c>
      <c r="N483" s="188">
        <f t="shared" si="252"/>
        <v>0.54055565112678461</v>
      </c>
      <c r="O483" s="305" t="str">
        <f t="shared" si="253"/>
        <v>Yes</v>
      </c>
      <c r="P483" s="304">
        <f t="shared" si="257"/>
        <v>1</v>
      </c>
      <c r="Q483" s="188">
        <f>SUM(P4:P483)/COUNT(P4:P483)</f>
        <v>0.53541666666666665</v>
      </c>
      <c r="S483" s="287">
        <v>13326.39</v>
      </c>
      <c r="T483" s="188">
        <f t="shared" si="282"/>
        <v>-1.8339845131178922E-2</v>
      </c>
      <c r="U483" s="188">
        <f t="shared" si="276"/>
        <v>0.55270731286730945</v>
      </c>
      <c r="V483" s="305" t="str">
        <f t="shared" si="277"/>
        <v>Yes</v>
      </c>
      <c r="W483" s="304">
        <f t="shared" si="258"/>
        <v>1</v>
      </c>
    </row>
    <row r="484" spans="1:23">
      <c r="A484" s="184">
        <v>471</v>
      </c>
      <c r="B484" s="1">
        <f t="shared" si="264"/>
        <v>41200</v>
      </c>
      <c r="D484" s="2">
        <v>40700.233639999999</v>
      </c>
      <c r="E484" s="2">
        <v>40700.233639999999</v>
      </c>
      <c r="F484" s="2">
        <f t="shared" si="283"/>
        <v>-535.03635999999824</v>
      </c>
      <c r="G484" s="188">
        <f t="shared" si="284"/>
        <v>-1.2975211754403415E-2</v>
      </c>
      <c r="H484" s="2">
        <f t="shared" si="285"/>
        <v>17844.38364</v>
      </c>
      <c r="I484" s="188">
        <f t="shared" si="286"/>
        <v>0.78073594462686802</v>
      </c>
      <c r="L484" s="287">
        <v>1457.34</v>
      </c>
      <c r="M484" s="188">
        <f t="shared" si="273"/>
        <v>1.709890846151696E-2</v>
      </c>
      <c r="N484" s="188">
        <f t="shared" si="252"/>
        <v>0.56689747118527434</v>
      </c>
      <c r="O484" s="305" t="str">
        <f t="shared" si="253"/>
        <v>No</v>
      </c>
      <c r="P484" s="304">
        <f t="shared" si="257"/>
        <v>0</v>
      </c>
      <c r="Q484" s="188">
        <f>SUM(P4:P484)/COUNT(P4:P484)</f>
        <v>0.53430353430353428</v>
      </c>
      <c r="S484" s="287">
        <v>13548.94</v>
      </c>
      <c r="T484" s="188">
        <f t="shared" si="282"/>
        <v>1.6699946497138463E-2</v>
      </c>
      <c r="U484" s="188">
        <f t="shared" si="276"/>
        <v>0.578637441917909</v>
      </c>
      <c r="V484" s="305" t="str">
        <f t="shared" si="277"/>
        <v>No</v>
      </c>
      <c r="W484" s="304">
        <f t="shared" si="258"/>
        <v>0</v>
      </c>
    </row>
    <row r="485" spans="1:23">
      <c r="A485" s="184">
        <v>472</v>
      </c>
      <c r="B485" s="1">
        <f t="shared" si="264"/>
        <v>41207</v>
      </c>
      <c r="D485" s="2">
        <v>40165.19728</v>
      </c>
      <c r="E485" s="2">
        <v>40165.19728</v>
      </c>
      <c r="F485" s="2">
        <f t="shared" si="283"/>
        <v>-535.03635999999824</v>
      </c>
      <c r="G485" s="188">
        <f t="shared" si="284"/>
        <v>-1.314578104716746E-2</v>
      </c>
      <c r="H485" s="2">
        <f t="shared" si="285"/>
        <v>17309.347280000002</v>
      </c>
      <c r="I485" s="188">
        <f t="shared" si="286"/>
        <v>0.7573267797959824</v>
      </c>
      <c r="L485" s="287">
        <v>1412.97</v>
      </c>
      <c r="M485" s="188">
        <f t="shared" si="273"/>
        <v>-3.0445880851414198E-2</v>
      </c>
      <c r="N485" s="188">
        <f t="shared" si="252"/>
        <v>0.51919189747118533</v>
      </c>
      <c r="O485" s="305" t="str">
        <f t="shared" si="253"/>
        <v>Yes</v>
      </c>
      <c r="P485" s="304">
        <f t="shared" si="257"/>
        <v>1</v>
      </c>
      <c r="Q485" s="188">
        <f>SUM(P4:P485)/COUNT(P4:P485)</f>
        <v>0.53526970954356845</v>
      </c>
      <c r="S485" s="287">
        <v>13103.68</v>
      </c>
      <c r="T485" s="188">
        <f t="shared" si="282"/>
        <v>-3.2863087444479078E-2</v>
      </c>
      <c r="U485" s="188">
        <f t="shared" si="276"/>
        <v>0.52675854162103208</v>
      </c>
      <c r="V485" s="305" t="str">
        <f t="shared" si="277"/>
        <v>Yes</v>
      </c>
      <c r="W485" s="304">
        <f t="shared" si="258"/>
        <v>1</v>
      </c>
    </row>
    <row r="486" spans="1:23">
      <c r="A486" s="184">
        <v>473</v>
      </c>
      <c r="B486" s="1">
        <f t="shared" si="264"/>
        <v>41214</v>
      </c>
      <c r="D486" s="2">
        <v>40718.718090000002</v>
      </c>
      <c r="E486" s="2">
        <v>40718.718090000002</v>
      </c>
      <c r="F486" s="2">
        <f t="shared" ref="F486" si="287">E486-E485</f>
        <v>553.5208100000018</v>
      </c>
      <c r="G486" s="188">
        <f t="shared" ref="G486" si="288">(E486/E485)-1</f>
        <v>1.3781105222546053E-2</v>
      </c>
      <c r="H486" s="2">
        <f t="shared" ref="H486" si="289">E486-$D$3</f>
        <v>17862.868090000004</v>
      </c>
      <c r="I486" s="188">
        <f t="shared" ref="I486" si="290">(E486/$D$3)-1</f>
        <v>0.78154468505874886</v>
      </c>
      <c r="L486" s="287">
        <v>1427.59</v>
      </c>
      <c r="M486" s="188">
        <f t="shared" si="273"/>
        <v>1.0346999582439675E-2</v>
      </c>
      <c r="N486" s="188">
        <f t="shared" si="252"/>
        <v>0.53491097539996546</v>
      </c>
      <c r="O486" s="305" t="str">
        <f t="shared" si="253"/>
        <v>Yes</v>
      </c>
      <c r="P486" s="304">
        <f t="shared" si="257"/>
        <v>1</v>
      </c>
      <c r="Q486" s="188">
        <f>SUM(P4:P486)/COUNT(P4:P486)</f>
        <v>0.53623188405797106</v>
      </c>
      <c r="S486" s="287">
        <v>13232.62</v>
      </c>
      <c r="T486" s="188">
        <f t="shared" si="282"/>
        <v>9.8399838823903796E-3</v>
      </c>
      <c r="U486" s="188">
        <f t="shared" si="276"/>
        <v>0.54178182106288486</v>
      </c>
      <c r="V486" s="305" t="str">
        <f t="shared" si="277"/>
        <v>Yes</v>
      </c>
      <c r="W486" s="304">
        <f t="shared" si="258"/>
        <v>1</v>
      </c>
    </row>
    <row r="487" spans="1:23">
      <c r="A487" s="184">
        <v>474</v>
      </c>
      <c r="B487" s="1">
        <f t="shared" si="264"/>
        <v>41221</v>
      </c>
      <c r="D487" s="2">
        <v>40056.262699999999</v>
      </c>
      <c r="E487" s="2">
        <v>40056.262699999999</v>
      </c>
      <c r="F487" s="2">
        <f t="shared" ref="F487" si="291">E487-E486</f>
        <v>-662.45539000000281</v>
      </c>
      <c r="G487" s="188">
        <f t="shared" ref="G487" si="292">(E487/E486)-1</f>
        <v>-1.6269063002813278E-2</v>
      </c>
      <c r="H487" s="2">
        <f t="shared" ref="H487" si="293">E487-$D$3</f>
        <v>17200.412700000001</v>
      </c>
      <c r="I487" s="188">
        <f t="shared" ref="I487" si="294">(E487/$D$3)-1</f>
        <v>0.75256062233520082</v>
      </c>
      <c r="L487" s="287">
        <v>1377.51</v>
      </c>
      <c r="M487" s="188">
        <f t="shared" si="273"/>
        <v>-3.5080100028719641E-2</v>
      </c>
      <c r="N487" s="188">
        <f t="shared" si="252"/>
        <v>0.4810661448477549</v>
      </c>
      <c r="O487" s="305" t="str">
        <f t="shared" si="253"/>
        <v>Yes</v>
      </c>
      <c r="P487" s="304">
        <f t="shared" si="257"/>
        <v>1</v>
      </c>
      <c r="Q487" s="188">
        <f>SUM(P4:P487)/COUNT(P4:P487)</f>
        <v>0.53719008264462809</v>
      </c>
      <c r="S487" s="287">
        <v>12811.32</v>
      </c>
      <c r="T487" s="188">
        <f t="shared" si="282"/>
        <v>-3.1837988244202697E-2</v>
      </c>
      <c r="U487" s="188">
        <f t="shared" si="276"/>
        <v>0.49269458956875933</v>
      </c>
      <c r="V487" s="305" t="str">
        <f t="shared" si="277"/>
        <v>Yes</v>
      </c>
      <c r="W487" s="304">
        <f t="shared" si="258"/>
        <v>1</v>
      </c>
    </row>
    <row r="488" spans="1:23">
      <c r="A488" s="184">
        <v>475</v>
      </c>
      <c r="B488" s="1">
        <f t="shared" si="264"/>
        <v>41228</v>
      </c>
      <c r="D488" s="2">
        <v>39654.838309999999</v>
      </c>
      <c r="E488" s="2">
        <v>39654.838309999999</v>
      </c>
      <c r="F488" s="2">
        <f t="shared" ref="F488" si="295">E488-E487</f>
        <v>-401.42439000000013</v>
      </c>
      <c r="G488" s="188">
        <f t="shared" ref="G488" si="296">(E488/E487)-1</f>
        <v>-1.0021513814367888E-2</v>
      </c>
      <c r="H488" s="2">
        <f t="shared" ref="H488" si="297">E488-$D$3</f>
        <v>16798.988310000001</v>
      </c>
      <c r="I488" s="188">
        <f t="shared" ref="I488" si="298">(E488/$D$3)-1</f>
        <v>0.73499731184795158</v>
      </c>
      <c r="L488" s="287">
        <v>1353.33</v>
      </c>
      <c r="M488" s="188">
        <f t="shared" si="273"/>
        <v>-1.7553411590478518E-2</v>
      </c>
      <c r="N488" s="188">
        <f t="shared" si="252"/>
        <v>0.45506838121451909</v>
      </c>
      <c r="O488" s="305" t="str">
        <f t="shared" si="253"/>
        <v>Yes</v>
      </c>
      <c r="P488" s="304">
        <f t="shared" ref="P488" si="299">IF(O488="Yes",1,0)</f>
        <v>1</v>
      </c>
      <c r="Q488" s="188">
        <f>SUM(P5:P488)/COUNT(P5:P488)</f>
        <v>0.53719008264462809</v>
      </c>
      <c r="S488" s="287">
        <v>12542.38</v>
      </c>
      <c r="T488" s="188">
        <f t="shared" si="282"/>
        <v>-2.0992372370684742E-2</v>
      </c>
      <c r="U488" s="188">
        <f t="shared" si="276"/>
        <v>0.46135938890882544</v>
      </c>
      <c r="V488" s="305" t="str">
        <f t="shared" si="277"/>
        <v>Yes</v>
      </c>
      <c r="W488" s="304">
        <f t="shared" si="258"/>
        <v>1</v>
      </c>
    </row>
    <row r="489" spans="1:23">
      <c r="A489" s="184">
        <v>476</v>
      </c>
      <c r="B489" s="1">
        <f t="shared" si="264"/>
        <v>41235</v>
      </c>
      <c r="D489" s="2">
        <v>40815.434999999998</v>
      </c>
      <c r="E489" s="2">
        <v>40815.434999999998</v>
      </c>
      <c r="F489" s="2">
        <f t="shared" ref="F489:F490" si="300">E489-E488</f>
        <v>1160.5966899999985</v>
      </c>
      <c r="G489" s="188">
        <f t="shared" ref="G489:G490" si="301">(E489/E488)-1</f>
        <v>2.9267467463291119E-2</v>
      </c>
      <c r="H489" s="2">
        <f t="shared" ref="H489:H490" si="302">E489-$D$3</f>
        <v>17959.584999999999</v>
      </c>
      <c r="I489" s="188">
        <f t="shared" ref="I489:I490" si="303">(E489/$D$3)-1</f>
        <v>0.78577628922135911</v>
      </c>
      <c r="L489" s="287">
        <v>1391.03</v>
      </c>
      <c r="M489" s="188">
        <f t="shared" si="273"/>
        <v>2.7857211470964316E-2</v>
      </c>
      <c r="N489" s="188">
        <f t="shared" si="252"/>
        <v>0.49560252881472544</v>
      </c>
      <c r="O489" s="305" t="str">
        <f t="shared" ref="O489:O491" si="304">IF(G489&gt;M489,"Yes","No")</f>
        <v>Yes</v>
      </c>
      <c r="P489" s="304">
        <f t="shared" ref="P489:P490" si="305">IF(O489="Yes",1,0)</f>
        <v>1</v>
      </c>
      <c r="Q489" s="188">
        <f t="shared" ref="Q489:Q490" si="306">SUM(P6:P489)/COUNT(P6:P489)</f>
        <v>0.53925619834710747</v>
      </c>
      <c r="S489" s="287">
        <v>12836.89</v>
      </c>
      <c r="T489" s="188">
        <f t="shared" si="282"/>
        <v>2.3481189375541112E-2</v>
      </c>
      <c r="U489" s="188">
        <f t="shared" si="276"/>
        <v>0.49567384546551874</v>
      </c>
      <c r="V489" s="305" t="str">
        <f t="shared" ref="V489:V490" si="307">IF(G489&gt;T489,"Yes","No")</f>
        <v>Yes</v>
      </c>
      <c r="W489" s="304">
        <f t="shared" ref="W489:W490" si="308">IF(V489="Yes",1,0)</f>
        <v>1</v>
      </c>
    </row>
    <row r="490" spans="1:23">
      <c r="A490" s="184">
        <v>477</v>
      </c>
      <c r="B490" s="1">
        <f t="shared" si="264"/>
        <v>41242</v>
      </c>
      <c r="D490" s="2">
        <v>41576.026640000004</v>
      </c>
      <c r="E490" s="2">
        <v>41576.026640000004</v>
      </c>
      <c r="F490" s="2">
        <f t="shared" si="300"/>
        <v>760.59164000000601</v>
      </c>
      <c r="G490" s="188">
        <f t="shared" si="301"/>
        <v>1.86349022128518E-2</v>
      </c>
      <c r="H490" s="2">
        <f t="shared" si="302"/>
        <v>18720.176640000005</v>
      </c>
      <c r="I490" s="188">
        <f t="shared" si="303"/>
        <v>0.81905405574502832</v>
      </c>
      <c r="L490" s="287">
        <v>1415.95</v>
      </c>
      <c r="M490" s="188">
        <f t="shared" si="273"/>
        <v>1.7914782571188281E-2</v>
      </c>
      <c r="N490" s="188">
        <f t="shared" si="252"/>
        <v>0.52239592293136083</v>
      </c>
      <c r="O490" s="305" t="str">
        <f t="shared" si="304"/>
        <v>Yes</v>
      </c>
      <c r="P490" s="304">
        <f t="shared" si="305"/>
        <v>1</v>
      </c>
      <c r="Q490" s="188">
        <f t="shared" si="306"/>
        <v>0.53925619834710747</v>
      </c>
      <c r="S490" s="287">
        <v>13021.82</v>
      </c>
      <c r="T490" s="188">
        <f t="shared" si="282"/>
        <v>1.440613731207474E-2</v>
      </c>
      <c r="U490" s="188">
        <f t="shared" si="276"/>
        <v>0.51722072825737397</v>
      </c>
      <c r="V490" s="305" t="str">
        <f t="shared" si="307"/>
        <v>Yes</v>
      </c>
      <c r="W490" s="304">
        <f t="shared" si="308"/>
        <v>1</v>
      </c>
    </row>
    <row r="491" spans="1:23">
      <c r="A491" s="184">
        <v>478</v>
      </c>
      <c r="B491" s="1">
        <f t="shared" si="264"/>
        <v>41249</v>
      </c>
      <c r="D491" s="2">
        <v>42184.788499999995</v>
      </c>
      <c r="E491" s="2">
        <v>42184.788499999995</v>
      </c>
      <c r="F491" s="2">
        <f t="shared" ref="F491" si="309">E491-E490</f>
        <v>608.76185999999143</v>
      </c>
      <c r="G491" s="188">
        <f t="shared" ref="G491" si="310">(E491/E490)-1</f>
        <v>1.4642136567574404E-2</v>
      </c>
      <c r="H491" s="2">
        <f t="shared" ref="H491" si="311">E491-$D$3</f>
        <v>19328.938499999997</v>
      </c>
      <c r="I491" s="188">
        <f t="shared" ref="I491" si="312">(E491/$D$3)-1</f>
        <v>0.84568889365304711</v>
      </c>
      <c r="L491" s="287">
        <v>1413.94</v>
      </c>
      <c r="M491" s="188">
        <f t="shared" si="273"/>
        <v>-1.4195416504819702E-3</v>
      </c>
      <c r="N491" s="188">
        <f t="shared" si="252"/>
        <v>0.52023481851023567</v>
      </c>
      <c r="O491" s="305" t="str">
        <f t="shared" si="304"/>
        <v>Yes</v>
      </c>
      <c r="P491" s="304">
        <f t="shared" ref="P491" si="313">IF(O491="Yes",1,0)</f>
        <v>1</v>
      </c>
      <c r="Q491" s="188">
        <f t="shared" ref="Q491" si="314">SUM(P8:P491)/COUNT(P8:P491)</f>
        <v>0.53925619834710747</v>
      </c>
      <c r="S491" s="287">
        <v>13074.04</v>
      </c>
      <c r="T491" s="188">
        <f t="shared" si="282"/>
        <v>4.0101921236816995E-3</v>
      </c>
      <c r="U491" s="188">
        <f t="shared" si="276"/>
        <v>0.52330507487171851</v>
      </c>
      <c r="V491" s="305" t="str">
        <f t="shared" ref="V491" si="315">IF(G491&gt;T491,"Yes","No")</f>
        <v>Yes</v>
      </c>
      <c r="W491" s="304">
        <f t="shared" ref="W491:W492" si="316">IF(V491="Yes",1,0)</f>
        <v>1</v>
      </c>
    </row>
    <row r="492" spans="1:23">
      <c r="A492" s="184">
        <v>479</v>
      </c>
      <c r="B492" s="1">
        <f t="shared" si="264"/>
        <v>41256</v>
      </c>
      <c r="D492" s="2">
        <v>42004.612049999996</v>
      </c>
      <c r="E492" s="2">
        <v>42004.612049999996</v>
      </c>
      <c r="F492" s="2">
        <f t="shared" ref="F492" si="317">E492-E491</f>
        <v>-180.17644999999902</v>
      </c>
      <c r="G492" s="188">
        <f t="shared" ref="G492" si="318">(E492/E491)-1</f>
        <v>-4.2711237013787207E-3</v>
      </c>
      <c r="H492" s="2">
        <f t="shared" ref="H492" si="319">E492-$D$3</f>
        <v>19148.762049999998</v>
      </c>
      <c r="I492" s="188">
        <f t="shared" ref="I492" si="320">(E492/$D$3)-1</f>
        <v>0.83780572807399412</v>
      </c>
      <c r="L492" s="287">
        <v>1419.45</v>
      </c>
      <c r="M492" s="188">
        <f t="shared" ref="M492:M495" si="321">(L492/L491)-1</f>
        <v>3.8969121744911739E-3</v>
      </c>
      <c r="N492" s="188">
        <f t="shared" ref="N492:N495" si="322">(L492/$L$3)-1</f>
        <v>0.52615904008257353</v>
      </c>
      <c r="O492" s="305" t="str">
        <f t="shared" ref="O492" si="323">IF(G492&gt;M492,"Yes","No")</f>
        <v>No</v>
      </c>
      <c r="P492" s="304">
        <f t="shared" ref="P492" si="324">IF(O492="Yes",1,0)</f>
        <v>0</v>
      </c>
      <c r="Q492" s="188">
        <f t="shared" ref="Q492" si="325">SUM(P9:P492)/COUNT(P9:P492)</f>
        <v>0.53719008264462809</v>
      </c>
      <c r="S492" s="287">
        <v>13170.72</v>
      </c>
      <c r="T492" s="188">
        <f t="shared" ref="T492:T495" si="326">(S492/S491)-1</f>
        <v>7.3948068079949802E-3</v>
      </c>
      <c r="U492" s="188">
        <f t="shared" ref="U492:U495" si="327">(S492/$S$3)-1</f>
        <v>0.53456962161003307</v>
      </c>
      <c r="V492" s="305" t="str">
        <f t="shared" ref="V492:V495" si="328">IF(G492&gt;T492,"Yes","No")</f>
        <v>No</v>
      </c>
      <c r="W492" s="304">
        <f t="shared" si="316"/>
        <v>0</v>
      </c>
    </row>
    <row r="493" spans="1:23">
      <c r="A493" s="184">
        <v>480</v>
      </c>
      <c r="B493" s="1">
        <f t="shared" si="264"/>
        <v>41263</v>
      </c>
      <c r="D493" s="2">
        <v>42586.80442</v>
      </c>
      <c r="E493" s="2">
        <v>42586.80442</v>
      </c>
      <c r="F493" s="2">
        <f t="shared" ref="F493" si="329">E493-E492</f>
        <v>582.1923700000043</v>
      </c>
      <c r="G493" s="188">
        <f t="shared" ref="G493" si="330">(E493/E492)-1</f>
        <v>1.3860201096655533E-2</v>
      </c>
      <c r="H493" s="2">
        <f t="shared" ref="H493" si="331">E493-$D$3</f>
        <v>19730.954420000002</v>
      </c>
      <c r="I493" s="188">
        <f t="shared" ref="I493" si="332">(E493/$D$3)-1</f>
        <v>0.86327808504168524</v>
      </c>
      <c r="L493" s="287">
        <v>1443.69</v>
      </c>
      <c r="M493" s="188">
        <f t="shared" si="321"/>
        <v>1.7077036880481788E-2</v>
      </c>
      <c r="N493" s="188">
        <f t="shared" si="322"/>
        <v>0.55222131429554455</v>
      </c>
      <c r="O493" s="305" t="str">
        <f t="shared" ref="O493" si="333">IF(G493&gt;M493,"Yes","No")</f>
        <v>No</v>
      </c>
      <c r="P493" s="304">
        <f t="shared" ref="P493" si="334">IF(O493="Yes",1,0)</f>
        <v>0</v>
      </c>
      <c r="Q493" s="188">
        <f t="shared" ref="Q493" si="335">SUM(P10:P493)/COUNT(P10:P493)</f>
        <v>0.53719008264462809</v>
      </c>
      <c r="S493" s="287">
        <v>13311.72</v>
      </c>
      <c r="T493" s="188">
        <f t="shared" si="326"/>
        <v>1.0705565071613465E-2</v>
      </c>
      <c r="U493" s="188">
        <f t="shared" si="327"/>
        <v>0.55099805655110057</v>
      </c>
      <c r="V493" s="305" t="str">
        <f t="shared" si="328"/>
        <v>Yes</v>
      </c>
      <c r="W493" s="304"/>
    </row>
    <row r="494" spans="1:23">
      <c r="A494" s="184">
        <v>481</v>
      </c>
      <c r="B494" s="1">
        <f t="shared" si="264"/>
        <v>41270</v>
      </c>
      <c r="D494" s="2">
        <v>42024.114944000001</v>
      </c>
      <c r="E494" s="2">
        <v>42024.114944000001</v>
      </c>
      <c r="F494" s="2">
        <f t="shared" ref="F494" si="336">E494-E493</f>
        <v>-562.68947599999956</v>
      </c>
      <c r="G494" s="188">
        <f t="shared" ref="G494" si="337">(E494/E493)-1</f>
        <v>-1.3212765871104981E-2</v>
      </c>
      <c r="H494" s="2">
        <f t="shared" ref="H494" si="338">E494-$D$3</f>
        <v>19168.264944000002</v>
      </c>
      <c r="I494" s="188">
        <f t="shared" ref="I494" si="339">(E494/$D$3)-1</f>
        <v>0.83865902795126868</v>
      </c>
      <c r="L494" s="287">
        <v>1418.1</v>
      </c>
      <c r="M494" s="188">
        <f t="shared" si="321"/>
        <v>-1.7725411965172633E-2</v>
      </c>
      <c r="N494" s="188">
        <f t="shared" si="322"/>
        <v>0.52470755203853425</v>
      </c>
      <c r="O494" s="305" t="str">
        <f t="shared" ref="O494" si="340">IF(G494&gt;M494,"Yes","No")</f>
        <v>Yes</v>
      </c>
      <c r="P494" s="304">
        <f t="shared" ref="P494" si="341">IF(O494="Yes",1,0)</f>
        <v>1</v>
      </c>
      <c r="Q494" s="188">
        <f t="shared" ref="Q494" si="342">SUM(P11:P494)/COUNT(P11:P494)</f>
        <v>0.53719008264462809</v>
      </c>
      <c r="S494" s="287">
        <v>13096.31</v>
      </c>
      <c r="T494" s="188">
        <f t="shared" si="326"/>
        <v>-1.6181980991186729E-2</v>
      </c>
      <c r="U494" s="188">
        <f t="shared" si="327"/>
        <v>0.52589983548262298</v>
      </c>
      <c r="V494" s="305" t="str">
        <f t="shared" si="328"/>
        <v>Yes</v>
      </c>
      <c r="W494" s="304"/>
    </row>
    <row r="495" spans="1:23">
      <c r="A495" s="184">
        <v>482</v>
      </c>
      <c r="B495" s="1">
        <f t="shared" si="264"/>
        <v>41277</v>
      </c>
      <c r="D495" s="2">
        <v>43258.213370000005</v>
      </c>
      <c r="E495" s="2">
        <v>43258.213370000005</v>
      </c>
      <c r="F495" s="2">
        <f t="shared" ref="F495" si="343">E495-E494</f>
        <v>1234.0984260000041</v>
      </c>
      <c r="G495" s="188">
        <f t="shared" ref="G495" si="344">(E495/E494)-1</f>
        <v>2.9366434668392838E-2</v>
      </c>
      <c r="H495" s="2">
        <f t="shared" ref="H495" si="345">E495-$D$3</f>
        <v>20402.363370000006</v>
      </c>
      <c r="I495" s="188">
        <f t="shared" ref="I495" si="346">(E495/$D$3)-1</f>
        <v>0.89265388817305014</v>
      </c>
      <c r="L495" s="287">
        <v>1459.37</v>
      </c>
      <c r="M495" s="188">
        <f t="shared" si="321"/>
        <v>2.910232000564128E-2</v>
      </c>
      <c r="N495" s="188">
        <f t="shared" si="322"/>
        <v>0.56908007913297753</v>
      </c>
      <c r="O495" s="305" t="str">
        <f t="shared" ref="O495" si="347">IF(G495&gt;M495,"Yes","No")</f>
        <v>Yes</v>
      </c>
      <c r="P495" s="304">
        <f t="shared" ref="P495" si="348">IF(O495="Yes",1,0)</f>
        <v>1</v>
      </c>
      <c r="Q495" s="188">
        <f t="shared" ref="Q495" si="349">SUM(P12:P495)/COUNT(P12:P495)</f>
        <v>0.53719008264462809</v>
      </c>
      <c r="S495" s="287">
        <v>13391.36</v>
      </c>
      <c r="T495" s="188">
        <f t="shared" si="326"/>
        <v>2.2529246787835744E-2</v>
      </c>
      <c r="U495" s="188">
        <f t="shared" si="327"/>
        <v>0.56027720944972903</v>
      </c>
      <c r="V495" s="305" t="str">
        <f t="shared" si="328"/>
        <v>Yes</v>
      </c>
      <c r="W495" s="304"/>
    </row>
    <row r="496" spans="1:23">
      <c r="A496" s="184">
        <v>483</v>
      </c>
      <c r="B496" s="1">
        <f t="shared" si="264"/>
        <v>41284</v>
      </c>
      <c r="D496" s="2">
        <v>43476.738859999998</v>
      </c>
      <c r="E496" s="2">
        <v>43476.738859999998</v>
      </c>
      <c r="F496" s="2">
        <f t="shared" ref="F496" si="350">E496-E495</f>
        <v>218.52548999999271</v>
      </c>
      <c r="G496" s="188">
        <f t="shared" ref="G496" si="351">(E496/E495)-1</f>
        <v>5.0516531538387088E-3</v>
      </c>
      <c r="H496" s="2">
        <f t="shared" ref="H496" si="352">E496-$D$3</f>
        <v>20620.888859999999</v>
      </c>
      <c r="I496" s="188">
        <f t="shared" ref="I496" si="353">(E496/$D$3)-1</f>
        <v>0.90221491915636487</v>
      </c>
      <c r="L496" s="287">
        <v>1472.12</v>
      </c>
      <c r="M496" s="188">
        <f t="shared" ref="M496:M498" si="354">(L496/L495)-1</f>
        <v>8.7366466351919136E-3</v>
      </c>
      <c r="N496" s="188">
        <f t="shared" ref="N496:N498" si="355">(L496/$L$3)-1</f>
        <v>0.58278857732668143</v>
      </c>
      <c r="O496" s="305" t="str">
        <f t="shared" ref="O496" si="356">IF(G496&gt;M496,"Yes","No")</f>
        <v>No</v>
      </c>
      <c r="P496" s="304">
        <f t="shared" ref="P496" si="357">IF(O496="Yes",1,0)</f>
        <v>0</v>
      </c>
      <c r="Q496" s="188">
        <f t="shared" ref="Q496" si="358">SUM(P13:P496)/COUNT(P13:P496)</f>
        <v>0.53719008264462809</v>
      </c>
      <c r="S496" s="287">
        <v>13471.22</v>
      </c>
      <c r="T496" s="188">
        <f t="shared" ref="T496:T498" si="359">(S496/S495)-1</f>
        <v>5.9635466450007613E-3</v>
      </c>
      <c r="U496" s="188">
        <f t="shared" ref="U496:U498" si="360">(S496/$S$3)-1</f>
        <v>0.56958199536741416</v>
      </c>
      <c r="V496" s="305" t="str">
        <f t="shared" ref="V496:V498" si="361">IF(G496&gt;T496,"Yes","No")</f>
        <v>No</v>
      </c>
    </row>
    <row r="497" spans="1:22">
      <c r="A497" s="184">
        <v>484</v>
      </c>
      <c r="B497" s="1">
        <f t="shared" si="264"/>
        <v>41291</v>
      </c>
      <c r="D497" s="2">
        <v>44130.664919999996</v>
      </c>
      <c r="E497" s="2">
        <v>44130.664919999996</v>
      </c>
      <c r="F497" s="2">
        <f t="shared" ref="F497" si="362">E497-E496</f>
        <v>653.92605999999796</v>
      </c>
      <c r="G497" s="188">
        <f t="shared" ref="G497" si="363">(E497/E496)-1</f>
        <v>1.5040825902460586E-2</v>
      </c>
      <c r="H497" s="2">
        <f t="shared" ref="H497" si="364">E497-$D$3</f>
        <v>21274.814919999997</v>
      </c>
      <c r="I497" s="188">
        <f t="shared" ref="I497" si="365">(E497/$D$3)-1</f>
        <v>0.93082580258445868</v>
      </c>
      <c r="L497" s="287">
        <v>1480.94</v>
      </c>
      <c r="M497" s="188">
        <f t="shared" si="354"/>
        <v>5.9913594000489123E-3</v>
      </c>
      <c r="N497" s="188">
        <f t="shared" si="355"/>
        <v>0.59227163254773774</v>
      </c>
      <c r="O497" s="305" t="str">
        <f t="shared" ref="O497" si="366">IF(G497&gt;M497,"Yes","No")</f>
        <v>Yes</v>
      </c>
      <c r="P497" s="304">
        <f t="shared" ref="P497" si="367">IF(O497="Yes",1,0)</f>
        <v>1</v>
      </c>
      <c r="Q497" s="188">
        <f t="shared" ref="Q497" si="368">SUM(P14:P497)/COUNT(P14:P497)</f>
        <v>0.53719008264462809</v>
      </c>
      <c r="S497" s="287">
        <v>13596.02</v>
      </c>
      <c r="T497" s="188">
        <f t="shared" si="359"/>
        <v>9.2641943342919308E-3</v>
      </c>
      <c r="U497" s="188">
        <f t="shared" si="360"/>
        <v>0.58412290799610367</v>
      </c>
      <c r="V497" s="305" t="str">
        <f t="shared" si="361"/>
        <v>Yes</v>
      </c>
    </row>
    <row r="498" spans="1:22">
      <c r="A498" s="184">
        <v>485</v>
      </c>
      <c r="B498" s="1">
        <f t="shared" si="264"/>
        <v>41298</v>
      </c>
      <c r="D498" s="2">
        <v>44948.84979</v>
      </c>
      <c r="E498" s="2">
        <v>44948.84979</v>
      </c>
      <c r="F498" s="2">
        <f t="shared" ref="F498" si="369">E498-E497</f>
        <v>818.18487000000459</v>
      </c>
      <c r="G498" s="188">
        <f t="shared" ref="G498" si="370">(E498/E497)-1</f>
        <v>1.8540053078357488E-2</v>
      </c>
      <c r="H498" s="2">
        <f t="shared" ref="H498" si="371">E498-$D$3</f>
        <v>22092.999790000002</v>
      </c>
      <c r="I498" s="188">
        <f t="shared" ref="I498" si="372">(E498/$D$3)-1</f>
        <v>0.96662341544943642</v>
      </c>
      <c r="L498" s="287">
        <v>1494.82</v>
      </c>
      <c r="M498" s="188">
        <f t="shared" si="354"/>
        <v>9.3724256215645951E-3</v>
      </c>
      <c r="N498" s="188">
        <f t="shared" si="355"/>
        <v>0.60719507999311872</v>
      </c>
      <c r="O498" s="305" t="str">
        <f t="shared" ref="O498" si="373">IF(G498&gt;M498,"Yes","No")</f>
        <v>Yes</v>
      </c>
      <c r="P498" s="304">
        <f t="shared" ref="P498" si="374">IF(O498="Yes",1,0)</f>
        <v>1</v>
      </c>
      <c r="Q498" s="188">
        <f t="shared" ref="Q498" si="375">SUM(P15:P498)/COUNT(P15:P498)</f>
        <v>0.53925619834710747</v>
      </c>
      <c r="S498" s="287">
        <v>13825.33</v>
      </c>
      <c r="T498" s="188">
        <f t="shared" si="359"/>
        <v>1.6865965186870779E-2</v>
      </c>
      <c r="U498" s="188">
        <f t="shared" si="360"/>
        <v>0.61084066981409069</v>
      </c>
      <c r="V498" s="305" t="str">
        <f t="shared" si="361"/>
        <v>Yes</v>
      </c>
    </row>
    <row r="499" spans="1:22">
      <c r="A499" s="184">
        <v>486</v>
      </c>
      <c r="B499" s="1">
        <f t="shared" si="264"/>
        <v>41305</v>
      </c>
      <c r="D499" s="2">
        <v>45140.510329999997</v>
      </c>
      <c r="E499" s="2">
        <v>45140.510329999997</v>
      </c>
      <c r="F499" s="2">
        <f t="shared" ref="F499" si="376">E499-E498</f>
        <v>191.66053999999713</v>
      </c>
      <c r="G499" s="188">
        <f t="shared" ref="G499" si="377">(E499/E498)-1</f>
        <v>4.2639698433981632E-3</v>
      </c>
      <c r="H499" s="2">
        <f t="shared" ref="H499" si="378">E499-$D$3</f>
        <v>22284.660329999999</v>
      </c>
      <c r="I499" s="188">
        <f t="shared" ref="I499" si="379">(E499/$D$3)-1</f>
        <v>0.97500903838623376</v>
      </c>
      <c r="L499" s="287">
        <v>1498.11</v>
      </c>
      <c r="M499" s="188">
        <f t="shared" ref="M499:M505" si="380">(L499/L498)-1</f>
        <v>2.2009338917059473E-3</v>
      </c>
      <c r="N499" s="188">
        <f t="shared" ref="N499:N505" si="381">(L499/$L$3)-1</f>
        <v>0.61073241011525869</v>
      </c>
      <c r="O499" s="305" t="str">
        <f t="shared" ref="O499" si="382">IF(G499&gt;M499,"Yes","No")</f>
        <v>Yes</v>
      </c>
      <c r="P499" s="304">
        <f t="shared" ref="P499" si="383">IF(O499="Yes",1,0)</f>
        <v>1</v>
      </c>
      <c r="Q499" s="188">
        <f t="shared" ref="Q499" si="384">SUM(P16:P499)/COUNT(P16:P499)</f>
        <v>0.53925619834710747</v>
      </c>
      <c r="S499" s="287">
        <v>13860.58</v>
      </c>
      <c r="T499" s="188">
        <f t="shared" ref="T499:T505" si="385">(S499/S498)-1</f>
        <v>2.5496678921950178E-3</v>
      </c>
      <c r="U499" s="188">
        <f t="shared" ref="U499:U505" si="386">(S499/$S$3)-1</f>
        <v>0.61494777854935756</v>
      </c>
      <c r="V499" s="305" t="str">
        <f t="shared" ref="V499:V505" si="387">IF(G499&gt;T499,"Yes","No")</f>
        <v>Yes</v>
      </c>
    </row>
    <row r="500" spans="1:22">
      <c r="A500" s="184">
        <v>487</v>
      </c>
      <c r="B500" s="1">
        <f t="shared" si="264"/>
        <v>41312</v>
      </c>
      <c r="D500" s="2">
        <v>45397.156219999997</v>
      </c>
      <c r="E500" s="2">
        <v>45397.156219999997</v>
      </c>
      <c r="F500" s="2">
        <f t="shared" ref="F500" si="388">E500-E499</f>
        <v>256.64588999999978</v>
      </c>
      <c r="G500" s="188">
        <f t="shared" ref="G500" si="389">(E500/E499)-1</f>
        <v>5.6854893337223711E-3</v>
      </c>
      <c r="H500" s="2">
        <f t="shared" ref="H500" si="390">E500-$D$3</f>
        <v>22541.306219999999</v>
      </c>
      <c r="I500" s="188">
        <f t="shared" ref="I500" si="391">(E500/$D$3)-1</f>
        <v>0.98623793120798386</v>
      </c>
      <c r="L500" s="2">
        <v>1509.39</v>
      </c>
      <c r="M500" s="188">
        <f t="shared" si="380"/>
        <v>7.5294871538138519E-3</v>
      </c>
      <c r="N500" s="188">
        <f t="shared" si="381"/>
        <v>0.62286039910545332</v>
      </c>
      <c r="O500" s="305" t="str">
        <f t="shared" ref="O500" si="392">IF(G500&gt;M500,"Yes","No")</f>
        <v>No</v>
      </c>
      <c r="P500" s="304">
        <f t="shared" ref="P500" si="393">IF(O500="Yes",1,0)</f>
        <v>0</v>
      </c>
      <c r="Q500" s="188">
        <f t="shared" ref="Q500" si="394">SUM(P17:P500)/COUNT(P17:P500)</f>
        <v>0.53719008264462809</v>
      </c>
      <c r="S500" s="2">
        <v>13944.05</v>
      </c>
      <c r="T500" s="188">
        <f t="shared" si="385"/>
        <v>6.0221145146883703E-3</v>
      </c>
      <c r="U500" s="188">
        <f t="shared" si="386"/>
        <v>0.62467317900702324</v>
      </c>
      <c r="V500" s="305" t="str">
        <f t="shared" si="387"/>
        <v>No</v>
      </c>
    </row>
    <row r="501" spans="1:22">
      <c r="A501" s="184">
        <v>488</v>
      </c>
      <c r="B501" s="1">
        <f t="shared" si="264"/>
        <v>41319</v>
      </c>
      <c r="D501" s="2">
        <v>45877.828829999991</v>
      </c>
      <c r="E501" s="2">
        <v>45873.428389999994</v>
      </c>
      <c r="F501" s="2">
        <f t="shared" ref="F501" si="395">E501-E500</f>
        <v>476.27216999999655</v>
      </c>
      <c r="G501" s="188">
        <f t="shared" ref="G501" si="396">(E501/E500)-1</f>
        <v>1.0491233585027349E-2</v>
      </c>
      <c r="H501" s="2">
        <f t="shared" ref="H501" si="397">E501-$D$3</f>
        <v>23017.578389999995</v>
      </c>
      <c r="I501" s="188">
        <f t="shared" ref="I501" si="398">(E501/$D$3)-1</f>
        <v>1.0070760172997284</v>
      </c>
      <c r="L501" s="2">
        <v>1521.38</v>
      </c>
      <c r="M501" s="188">
        <f t="shared" si="380"/>
        <v>7.9436063575351046E-3</v>
      </c>
      <c r="N501" s="188">
        <f t="shared" si="381"/>
        <v>0.63575176328917937</v>
      </c>
      <c r="O501" s="305" t="str">
        <f t="shared" ref="O501" si="399">IF(G501&gt;M501,"Yes","No")</f>
        <v>Yes</v>
      </c>
      <c r="P501" s="304">
        <f t="shared" ref="P501" si="400">IF(O501="Yes",1,0)</f>
        <v>1</v>
      </c>
      <c r="Q501" s="188">
        <f t="shared" ref="Q501" si="401">SUM(P18:P501)/COUNT(P18:P501)</f>
        <v>0.53719008264462809</v>
      </c>
      <c r="S501" s="2">
        <v>13973.39</v>
      </c>
      <c r="T501" s="188">
        <f t="shared" si="385"/>
        <v>2.1041232640446328E-3</v>
      </c>
      <c r="U501" s="188">
        <f t="shared" si="386"/>
        <v>0.62809169163944123</v>
      </c>
      <c r="V501" s="305" t="str">
        <f t="shared" si="387"/>
        <v>Yes</v>
      </c>
    </row>
    <row r="502" spans="1:22">
      <c r="A502" s="184">
        <v>489</v>
      </c>
      <c r="B502" s="1">
        <f t="shared" si="264"/>
        <v>41326</v>
      </c>
      <c r="D502" s="2">
        <v>45168.442880000002</v>
      </c>
      <c r="E502" s="2">
        <v>45168.442880000002</v>
      </c>
      <c r="F502" s="2">
        <f t="shared" ref="F502" si="402">E502-E501</f>
        <v>-704.98550999999134</v>
      </c>
      <c r="G502" s="188">
        <f t="shared" ref="G502" si="403">(E502/E501)-1</f>
        <v>-1.536805804018937E-2</v>
      </c>
      <c r="H502" s="2">
        <f t="shared" ref="H502" si="404">E502-$D$3</f>
        <v>22312.592880000004</v>
      </c>
      <c r="I502" s="188">
        <f t="shared" ref="I502" si="405">(E502/$D$3)-1</f>
        <v>0.97623115657479409</v>
      </c>
      <c r="L502" s="2">
        <v>1502.42</v>
      </c>
      <c r="M502" s="188">
        <f t="shared" si="380"/>
        <v>-1.2462369690675601E-2</v>
      </c>
      <c r="N502" s="188">
        <f t="shared" si="381"/>
        <v>0.61536642009289522</v>
      </c>
      <c r="O502" s="305" t="str">
        <f t="shared" ref="O502" si="406">IF(G502&gt;M502,"Yes","No")</f>
        <v>No</v>
      </c>
      <c r="P502" s="304">
        <f t="shared" ref="P502" si="407">IF(O502="Yes",1,0)</f>
        <v>0</v>
      </c>
      <c r="Q502" s="188">
        <f t="shared" ref="Q502" si="408">SUM(P19:P502)/COUNT(P19:P502)</f>
        <v>0.53719008264462809</v>
      </c>
      <c r="S502" s="2">
        <v>13880.62</v>
      </c>
      <c r="T502" s="188">
        <f t="shared" si="385"/>
        <v>-6.6390475038625718E-3</v>
      </c>
      <c r="U502" s="188">
        <f t="shared" si="386"/>
        <v>0.61728271355800279</v>
      </c>
      <c r="V502" s="305" t="str">
        <f t="shared" si="387"/>
        <v>No</v>
      </c>
    </row>
    <row r="503" spans="1:22">
      <c r="A503" s="184">
        <v>490</v>
      </c>
      <c r="B503" s="1">
        <f t="shared" si="264"/>
        <v>41333</v>
      </c>
      <c r="D503" s="2">
        <v>45214.908349999991</v>
      </c>
      <c r="E503" s="2">
        <v>45214.908349999991</v>
      </c>
      <c r="F503" s="2">
        <f t="shared" ref="F503" si="409">E503-E502</f>
        <v>46.465469999988272</v>
      </c>
      <c r="G503" s="188">
        <f t="shared" ref="G503" si="410">(E503/E502)-1</f>
        <v>1.0287153383488068E-3</v>
      </c>
      <c r="H503" s="2">
        <f t="shared" ref="H503" si="411">E503-$D$3</f>
        <v>22359.058349999992</v>
      </c>
      <c r="I503" s="188">
        <f t="shared" ref="I503" si="412">(E503/$D$3)-1</f>
        <v>0.97826413587768535</v>
      </c>
      <c r="L503" s="2">
        <v>1514.68</v>
      </c>
      <c r="M503" s="188">
        <f t="shared" si="380"/>
        <v>8.160168261870826E-3</v>
      </c>
      <c r="N503" s="188">
        <f t="shared" si="381"/>
        <v>0.62854808188542921</v>
      </c>
      <c r="O503" s="305" t="str">
        <f t="shared" ref="O503" si="413">IF(G503&gt;M503,"Yes","No")</f>
        <v>No</v>
      </c>
      <c r="P503" s="304">
        <f t="shared" ref="P503" si="414">IF(O503="Yes",1,0)</f>
        <v>0</v>
      </c>
      <c r="Q503" s="188">
        <f t="shared" ref="Q503" si="415">SUM(P20:P503)/COUNT(P20:P503)</f>
        <v>0.53512396694214881</v>
      </c>
      <c r="S503" s="2">
        <v>14054.49</v>
      </c>
      <c r="T503" s="188">
        <f t="shared" si="385"/>
        <v>1.2526097537429726E-2</v>
      </c>
      <c r="U503" s="188">
        <f t="shared" si="386"/>
        <v>0.63754095457362969</v>
      </c>
      <c r="V503" s="305" t="str">
        <f t="shared" si="387"/>
        <v>No</v>
      </c>
    </row>
    <row r="504" spans="1:22">
      <c r="A504" s="184">
        <v>491</v>
      </c>
      <c r="B504" s="1">
        <f t="shared" si="264"/>
        <v>41340</v>
      </c>
      <c r="D504" s="2">
        <v>45908.160049999999</v>
      </c>
      <c r="E504" s="2">
        <v>45908.160049999999</v>
      </c>
      <c r="F504" s="2">
        <f t="shared" ref="F504" si="416">E504-E503</f>
        <v>693.25170000000799</v>
      </c>
      <c r="G504" s="188">
        <f t="shared" ref="G504" si="417">(E504/E503)-1</f>
        <v>1.5332369904051957E-2</v>
      </c>
      <c r="H504" s="2">
        <f t="shared" ref="H504" si="418">E504-$D$3</f>
        <v>23052.31005</v>
      </c>
      <c r="I504" s="188">
        <f t="shared" ref="I504" si="419">(E504/$D$3)-1</f>
        <v>1.0085956133768819</v>
      </c>
      <c r="L504" s="2">
        <v>1544.26</v>
      </c>
      <c r="M504" s="188">
        <f t="shared" si="380"/>
        <v>1.9528877386642662E-2</v>
      </c>
      <c r="N504" s="188">
        <f t="shared" si="381"/>
        <v>0.66035179769482188</v>
      </c>
      <c r="O504" s="305" t="str">
        <f t="shared" ref="O504" si="420">IF(G504&gt;M504,"Yes","No")</f>
        <v>No</v>
      </c>
      <c r="P504" s="304">
        <f t="shared" ref="P504" si="421">IF(O504="Yes",1,0)</f>
        <v>0</v>
      </c>
      <c r="Q504" s="188">
        <f t="shared" ref="Q504" si="422">SUM(P21:P504)/COUNT(P21:P504)</f>
        <v>0.53305785123966942</v>
      </c>
      <c r="S504" s="2">
        <v>14329.49</v>
      </c>
      <c r="T504" s="188">
        <f t="shared" si="385"/>
        <v>1.9566700748301802E-2</v>
      </c>
      <c r="U504" s="188">
        <f t="shared" si="386"/>
        <v>0.66958222839486026</v>
      </c>
      <c r="V504" s="305" t="str">
        <f t="shared" si="387"/>
        <v>No</v>
      </c>
    </row>
    <row r="505" spans="1:22">
      <c r="A505" s="184">
        <v>492</v>
      </c>
      <c r="B505" s="1">
        <f t="shared" si="264"/>
        <v>41347</v>
      </c>
      <c r="D505" s="2">
        <v>46499.591789999999</v>
      </c>
      <c r="E505" s="2">
        <v>46499.591789999999</v>
      </c>
      <c r="F505" s="2">
        <f t="shared" ref="F505" si="423">E505-E504</f>
        <v>591.43173999999999</v>
      </c>
      <c r="G505" s="188">
        <f t="shared" ref="G505" si="424">(E505/E504)-1</f>
        <v>1.2882932780487355E-2</v>
      </c>
      <c r="H505" s="2">
        <f t="shared" ref="H505" si="425">E505-$D$3</f>
        <v>23643.74179</v>
      </c>
      <c r="I505" s="188">
        <f t="shared" ref="I505" si="426">(E505/$D$3)-1</f>
        <v>1.0344722156471975</v>
      </c>
      <c r="L505" s="2">
        <v>1563.23</v>
      </c>
      <c r="M505" s="188">
        <f t="shared" si="380"/>
        <v>1.2284200847007654E-2</v>
      </c>
      <c r="N505" s="188">
        <f t="shared" si="381"/>
        <v>0.68074789265439528</v>
      </c>
      <c r="O505" s="305" t="str">
        <f t="shared" ref="O505" si="427">IF(G505&gt;M505,"Yes","No")</f>
        <v>Yes</v>
      </c>
      <c r="P505" s="304">
        <f t="shared" ref="P505" si="428">IF(O505="Yes",1,0)</f>
        <v>1</v>
      </c>
      <c r="Q505" s="188">
        <f t="shared" ref="Q505" si="429">SUM(P22:P505)/COUNT(P22:P505)</f>
        <v>0.53512396694214881</v>
      </c>
      <c r="S505" s="2">
        <v>14539.14</v>
      </c>
      <c r="T505" s="188">
        <f t="shared" si="385"/>
        <v>1.4630667246356976E-2</v>
      </c>
      <c r="U505" s="188">
        <f t="shared" si="386"/>
        <v>0.69400933041893653</v>
      </c>
      <c r="V505" s="305" t="str">
        <f t="shared" si="387"/>
        <v>No</v>
      </c>
    </row>
    <row r="506" spans="1:22">
      <c r="A506" s="184">
        <v>493</v>
      </c>
      <c r="B506" s="1">
        <f t="shared" si="264"/>
        <v>41354</v>
      </c>
      <c r="D506" s="2">
        <v>46154.520150000004</v>
      </c>
      <c r="E506" s="2">
        <v>46154.520150000004</v>
      </c>
      <c r="F506" s="2">
        <f t="shared" ref="F506" si="430">E506-E505</f>
        <v>-345.07163999999466</v>
      </c>
      <c r="G506" s="188">
        <f t="shared" ref="G506" si="431">(E506/E505)-1</f>
        <v>-7.4209606303297093E-3</v>
      </c>
      <c r="H506" s="2">
        <f t="shared" ref="H506" si="432">E506-$D$3</f>
        <v>23298.670150000005</v>
      </c>
      <c r="I506" s="188">
        <f t="shared" ref="I506" si="433">(E506/$D$3)-1</f>
        <v>1.0193744774313802</v>
      </c>
      <c r="L506" s="2">
        <v>1545.8</v>
      </c>
      <c r="M506" s="188">
        <f t="shared" ref="M506:M512" si="434">(L506/L505)-1</f>
        <v>-1.1149990724333647E-2</v>
      </c>
      <c r="N506" s="188">
        <f t="shared" ref="N506:N512" si="435">(L506/$L$3)-1</f>
        <v>0.6620075692413554</v>
      </c>
      <c r="O506" s="305" t="str">
        <f t="shared" ref="O506" si="436">IF(G506&gt;M506,"Yes","No")</f>
        <v>Yes</v>
      </c>
      <c r="P506" s="304">
        <f t="shared" ref="P506" si="437">IF(O506="Yes",1,0)</f>
        <v>1</v>
      </c>
      <c r="Q506" s="188">
        <f t="shared" ref="Q506" si="438">SUM(P23:P506)/COUNT(P23:P506)</f>
        <v>0.53512396694214881</v>
      </c>
      <c r="S506" s="2">
        <v>14421.49</v>
      </c>
      <c r="T506" s="188">
        <f t="shared" ref="T506" si="439">(S506/S505)-1</f>
        <v>-8.0919504179751689E-3</v>
      </c>
      <c r="U506" s="188">
        <f t="shared" ref="U506" si="440">(S506/$S$3)-1</f>
        <v>0.68030149090959924</v>
      </c>
      <c r="V506" s="305" t="str">
        <f t="shared" ref="V506" si="441">IF(G506&gt;T506,"Yes","No")</f>
        <v>Yes</v>
      </c>
    </row>
    <row r="507" spans="1:22">
      <c r="A507" s="184">
        <v>494</v>
      </c>
      <c r="B507" s="1">
        <f t="shared" si="264"/>
        <v>41361</v>
      </c>
      <c r="D507" s="2">
        <v>46602.26</v>
      </c>
      <c r="E507" s="2">
        <v>46602.26</v>
      </c>
      <c r="F507" s="2">
        <f t="shared" ref="F507:F508" si="442">E507-E506</f>
        <v>447.73984999999811</v>
      </c>
      <c r="G507" s="188">
        <f t="shared" ref="G507:G508" si="443">(E507/E506)-1</f>
        <v>9.7008884188345412E-3</v>
      </c>
      <c r="H507" s="2">
        <f t="shared" ref="H507:H508" si="444">E507-$D$3</f>
        <v>23746.410000000003</v>
      </c>
      <c r="I507" s="188">
        <f t="shared" ref="I507:I508" si="445">(E507/$D$3)-1</f>
        <v>1.038964203912784</v>
      </c>
      <c r="L507" s="2">
        <v>1569.19</v>
      </c>
      <c r="M507" s="188">
        <f t="shared" si="434"/>
        <v>1.5131323586492496E-2</v>
      </c>
      <c r="N507" s="188">
        <f t="shared" si="435"/>
        <v>0.6871559435747463</v>
      </c>
      <c r="O507" s="305" t="str">
        <f t="shared" ref="O507:O508" si="446">IF(G507&gt;M507,"Yes","No")</f>
        <v>No</v>
      </c>
      <c r="P507" s="304">
        <f t="shared" ref="P507:P508" si="447">IF(O507="Yes",1,0)</f>
        <v>0</v>
      </c>
      <c r="Q507" s="188">
        <f t="shared" ref="Q507:Q508" si="448">SUM(P24:P507)/COUNT(P24:P507)</f>
        <v>0.53305785123966942</v>
      </c>
      <c r="S507" s="2">
        <v>14578.54</v>
      </c>
      <c r="T507" s="188">
        <f t="shared" ref="T507:T512" si="449">(S507/S506)-1</f>
        <v>1.0889998190200867E-2</v>
      </c>
      <c r="U507" s="188">
        <f t="shared" ref="U507:U512" si="450">(S507/$S$3)-1</f>
        <v>0.69859997110459671</v>
      </c>
      <c r="V507" s="305" t="str">
        <f t="shared" ref="V507:V512" si="451">IF(G507&gt;T507,"Yes","No")</f>
        <v>No</v>
      </c>
    </row>
    <row r="508" spans="1:22">
      <c r="A508" s="184">
        <v>495</v>
      </c>
      <c r="B508" s="1">
        <f t="shared" si="264"/>
        <v>41368</v>
      </c>
      <c r="D508" s="2">
        <v>45634.816179999994</v>
      </c>
      <c r="E508" s="2">
        <v>45634.816179999994</v>
      </c>
      <c r="F508" s="2">
        <f t="shared" si="442"/>
        <v>-967.44382000000769</v>
      </c>
      <c r="G508" s="188">
        <f t="shared" si="443"/>
        <v>-2.0759590200132072E-2</v>
      </c>
      <c r="H508" s="2">
        <f t="shared" si="444"/>
        <v>22778.966179999996</v>
      </c>
      <c r="I508" s="188">
        <f t="shared" si="445"/>
        <v>0.99663614260681599</v>
      </c>
      <c r="L508" s="2">
        <v>1559.98</v>
      </c>
      <c r="M508" s="188">
        <f t="shared" si="434"/>
        <v>-5.8692701329985386E-3</v>
      </c>
      <c r="N508" s="188">
        <f t="shared" si="435"/>
        <v>0.67725356958541205</v>
      </c>
      <c r="O508" s="305" t="str">
        <f t="shared" si="446"/>
        <v>No</v>
      </c>
      <c r="P508" s="304">
        <f t="shared" si="447"/>
        <v>0</v>
      </c>
      <c r="Q508" s="188">
        <f t="shared" si="448"/>
        <v>0.53305785123966942</v>
      </c>
      <c r="S508" s="2">
        <v>14606.11</v>
      </c>
      <c r="T508" s="188">
        <f t="shared" si="449"/>
        <v>1.8911358750601792E-3</v>
      </c>
      <c r="U508" s="188">
        <f t="shared" si="450"/>
        <v>0.70181225444732886</v>
      </c>
      <c r="V508" s="305" t="str">
        <f t="shared" si="451"/>
        <v>No</v>
      </c>
    </row>
    <row r="509" spans="1:22">
      <c r="A509" s="184">
        <v>496</v>
      </c>
      <c r="B509" s="1">
        <f t="shared" si="264"/>
        <v>41375</v>
      </c>
      <c r="D509" s="2">
        <v>46552.753780000006</v>
      </c>
      <c r="E509" s="2">
        <v>46552.753780000006</v>
      </c>
      <c r="F509" s="2">
        <f t="shared" ref="F509" si="452">E509-E508</f>
        <v>917.93760000001203</v>
      </c>
      <c r="G509" s="188">
        <f t="shared" ref="G509" si="453">(E509/E508)-1</f>
        <v>2.0114852580523923E-2</v>
      </c>
      <c r="H509" s="2">
        <f t="shared" ref="H509" si="454">E509-$D$3</f>
        <v>23696.903780000008</v>
      </c>
      <c r="I509" s="188">
        <f t="shared" ref="I509" si="455">(E509/$D$3)-1</f>
        <v>1.0367981842722984</v>
      </c>
      <c r="L509" s="2">
        <v>1593.37</v>
      </c>
      <c r="M509" s="188">
        <f t="shared" si="434"/>
        <v>2.140412056564811E-2</v>
      </c>
      <c r="N509" s="188">
        <f t="shared" si="435"/>
        <v>0.71315370720798188</v>
      </c>
      <c r="O509" s="305" t="str">
        <f t="shared" ref="O509" si="456">IF(G509&gt;M509,"Yes","No")</f>
        <v>No</v>
      </c>
      <c r="P509" s="304">
        <f t="shared" ref="P509" si="457">IF(O509="Yes",1,0)</f>
        <v>0</v>
      </c>
      <c r="Q509" s="188">
        <f t="shared" ref="Q509" si="458">SUM(P26:P509)/COUNT(P26:P509)</f>
        <v>0.53099173553719003</v>
      </c>
      <c r="S509" s="2">
        <v>14865.14</v>
      </c>
      <c r="T509" s="188">
        <f t="shared" si="449"/>
        <v>1.7734359114096598E-2</v>
      </c>
      <c r="U509" s="188">
        <f t="shared" si="450"/>
        <v>0.73199280411246814</v>
      </c>
      <c r="V509" s="305" t="str">
        <f t="shared" si="451"/>
        <v>Yes</v>
      </c>
    </row>
    <row r="510" spans="1:22">
      <c r="A510" s="184">
        <v>497</v>
      </c>
      <c r="B510" s="1">
        <f t="shared" si="264"/>
        <v>41382</v>
      </c>
      <c r="D510" s="2">
        <v>45013.575560000005</v>
      </c>
      <c r="E510" s="2">
        <v>45013.575560000005</v>
      </c>
      <c r="F510" s="2">
        <f t="shared" ref="F510" si="459">E510-E509</f>
        <v>-1539.1782200000016</v>
      </c>
      <c r="G510" s="188">
        <f t="shared" ref="G510" si="460">(E510/E509)-1</f>
        <v>-3.3063097132210117E-2</v>
      </c>
      <c r="H510" s="2">
        <f t="shared" ref="H510" si="461">E510-$D$3</f>
        <v>22157.725560000006</v>
      </c>
      <c r="I510" s="188">
        <f t="shared" ref="I510" si="462">(E510/$D$3)-1</f>
        <v>0.96945532806699419</v>
      </c>
      <c r="L510" s="2">
        <v>1541.61</v>
      </c>
      <c r="M510" s="188">
        <f t="shared" si="434"/>
        <v>-3.2484608094792811E-2</v>
      </c>
      <c r="N510" s="188">
        <f t="shared" si="435"/>
        <v>0.65750258042318932</v>
      </c>
      <c r="O510" s="305" t="str">
        <f t="shared" ref="O510" si="463">IF(G510&gt;M510,"Yes","No")</f>
        <v>No</v>
      </c>
      <c r="P510" s="304">
        <f t="shared" ref="P510" si="464">IF(O510="Yes",1,0)</f>
        <v>0</v>
      </c>
      <c r="Q510" s="188">
        <f t="shared" ref="Q510" si="465">SUM(P27:P510)/COUNT(P27:P510)</f>
        <v>0.52892561983471076</v>
      </c>
      <c r="S510" s="2">
        <v>14537.14</v>
      </c>
      <c r="T510" s="188">
        <f t="shared" si="449"/>
        <v>-2.2065046141509614E-2</v>
      </c>
      <c r="U510" s="188">
        <f t="shared" si="450"/>
        <v>0.693776302972964</v>
      </c>
      <c r="V510" s="305" t="str">
        <f t="shared" si="451"/>
        <v>No</v>
      </c>
    </row>
    <row r="511" spans="1:22">
      <c r="A511" s="184">
        <v>498</v>
      </c>
      <c r="B511" s="1">
        <f t="shared" si="264"/>
        <v>41389</v>
      </c>
      <c r="D511" s="2">
        <v>46519.793840000006</v>
      </c>
      <c r="E511" s="2">
        <v>46519.793840000006</v>
      </c>
      <c r="F511" s="2">
        <f t="shared" ref="F511:F512" si="466">E511-E510</f>
        <v>1506.218280000001</v>
      </c>
      <c r="G511" s="188">
        <f t="shared" ref="G511:G512" si="467">(E511/E510)-1</f>
        <v>3.3461422721070333E-2</v>
      </c>
      <c r="H511" s="2">
        <f t="shared" ref="H511:H512" si="468">E511-$D$3</f>
        <v>23663.943840000007</v>
      </c>
      <c r="I511" s="188">
        <f t="shared" ref="I511:I512" si="469">(E511/$D$3)-1</f>
        <v>1.0353561053297082</v>
      </c>
      <c r="L511" s="2">
        <v>1585.16</v>
      </c>
      <c r="M511" s="188">
        <f t="shared" si="434"/>
        <v>2.8249687015522884E-2</v>
      </c>
      <c r="N511" s="188">
        <f t="shared" si="435"/>
        <v>0.7043265095475657</v>
      </c>
      <c r="O511" s="305" t="str">
        <f t="shared" ref="O511" si="470">IF(G511&gt;M511,"Yes","No")</f>
        <v>Yes</v>
      </c>
      <c r="P511" s="304">
        <f t="shared" ref="P511" si="471">IF(O511="Yes",1,0)</f>
        <v>1</v>
      </c>
      <c r="Q511" s="188">
        <f t="shared" ref="Q511" si="472">SUM(P28:P511)/COUNT(P28:P511)</f>
        <v>0.53099173553719003</v>
      </c>
      <c r="S511" s="2">
        <v>14700.8</v>
      </c>
      <c r="T511" s="188">
        <f t="shared" si="449"/>
        <v>1.1258060388769753E-2</v>
      </c>
      <c r="U511" s="188">
        <f t="shared" si="450"/>
        <v>0.7128449388769007</v>
      </c>
      <c r="V511" s="305" t="str">
        <f t="shared" si="451"/>
        <v>Yes</v>
      </c>
    </row>
    <row r="512" spans="1:22">
      <c r="A512" s="184">
        <v>499</v>
      </c>
      <c r="B512" s="1">
        <f t="shared" si="264"/>
        <v>41396</v>
      </c>
      <c r="D512" s="2">
        <v>47024.077540000006</v>
      </c>
      <c r="E512" s="2">
        <v>47024.077540000006</v>
      </c>
      <c r="F512" s="2">
        <f t="shared" si="466"/>
        <v>504.28369999999995</v>
      </c>
      <c r="G512" s="188">
        <f t="shared" si="467"/>
        <v>1.084019636317457E-2</v>
      </c>
      <c r="H512" s="2">
        <f t="shared" si="468"/>
        <v>24168.227540000007</v>
      </c>
      <c r="I512" s="188">
        <f t="shared" si="469"/>
        <v>1.0574197651804682</v>
      </c>
      <c r="L512" s="2">
        <v>1597.59</v>
      </c>
      <c r="M512" s="188">
        <f t="shared" si="434"/>
        <v>7.8414797244441559E-3</v>
      </c>
      <c r="N512" s="188">
        <f t="shared" si="435"/>
        <v>0.71769095131601568</v>
      </c>
      <c r="O512" s="305" t="str">
        <f t="shared" ref="O512" si="473">IF(G512&gt;M512,"Yes","No")</f>
        <v>Yes</v>
      </c>
      <c r="P512" s="304">
        <f t="shared" ref="P512" si="474">IF(O512="Yes",1,0)</f>
        <v>1</v>
      </c>
      <c r="Q512" s="188">
        <f t="shared" ref="Q512" si="475">SUM(P29:P512)/COUNT(P29:P512)</f>
        <v>0.53305785123966942</v>
      </c>
      <c r="S512" s="2">
        <v>14831.58</v>
      </c>
      <c r="T512" s="188">
        <f t="shared" si="449"/>
        <v>8.8961144971702044E-3</v>
      </c>
      <c r="U512" s="188">
        <f t="shared" si="450"/>
        <v>0.72808260356904819</v>
      </c>
      <c r="V512" s="305" t="str">
        <f t="shared" si="451"/>
        <v>Yes</v>
      </c>
    </row>
    <row r="513" spans="1:22">
      <c r="A513" s="184">
        <v>499</v>
      </c>
      <c r="B513" s="1">
        <f t="shared" si="264"/>
        <v>41403</v>
      </c>
      <c r="D513" s="2">
        <v>49302.942459999998</v>
      </c>
      <c r="E513" s="2">
        <v>49302.942459999998</v>
      </c>
      <c r="F513" s="2">
        <f t="shared" ref="F513" si="476">E513-E512</f>
        <v>2278.8649199999927</v>
      </c>
      <c r="G513" s="188">
        <f t="shared" ref="G513" si="477">(E513/E512)-1</f>
        <v>4.8461661327891647E-2</v>
      </c>
      <c r="H513" s="2">
        <f t="shared" ref="H513" si="478">E513-$D$3</f>
        <v>26447.09246</v>
      </c>
      <c r="I513" s="188">
        <f t="shared" ref="I513" si="479">(E513/$D$3)-1</f>
        <v>1.1571257450499544</v>
      </c>
      <c r="L513" s="2">
        <v>1626.67</v>
      </c>
      <c r="M513" s="188">
        <f t="shared" ref="M513:M515" si="480">(L513/L512)-1</f>
        <v>1.8202417391195658E-2</v>
      </c>
      <c r="N513" s="188">
        <f t="shared" ref="N513:N515" si="481">(L513/$L$3)-1</f>
        <v>0.74895707896094965</v>
      </c>
      <c r="O513" s="305" t="str">
        <f t="shared" ref="O513" si="482">IF(G513&gt;M513,"Yes","No")</f>
        <v>Yes</v>
      </c>
      <c r="P513" s="304">
        <f t="shared" ref="P513" si="483">IF(O513="Yes",1,0)</f>
        <v>1</v>
      </c>
      <c r="Q513" s="188">
        <f t="shared" ref="Q513" si="484">SUM(P30:P513)/COUNT(P30:P513)</f>
        <v>0.53305785123966942</v>
      </c>
      <c r="S513" s="2">
        <v>15082.62</v>
      </c>
      <c r="T513" s="188">
        <f t="shared" ref="T513:T515" si="485">(S513/S512)-1</f>
        <v>1.6926045640450971E-2</v>
      </c>
      <c r="U513" s="188">
        <f t="shared" ref="U513:U515" si="486">(S513/$S$3)-1</f>
        <v>0.75733220858752737</v>
      </c>
      <c r="V513" s="305" t="str">
        <f t="shared" ref="V513:V515" si="487">IF(G513&gt;T513,"Yes","No")</f>
        <v>Yes</v>
      </c>
    </row>
    <row r="514" spans="1:22">
      <c r="A514" s="184">
        <v>499.66666666666703</v>
      </c>
      <c r="B514" s="1">
        <f t="shared" si="264"/>
        <v>41410</v>
      </c>
      <c r="D514" s="2">
        <v>51476.929619999995</v>
      </c>
      <c r="E514" s="2">
        <v>51476.929619999995</v>
      </c>
      <c r="F514" s="2">
        <f t="shared" ref="F514" si="488">E514-E513</f>
        <v>2173.9871599999969</v>
      </c>
      <c r="G514" s="188">
        <f t="shared" ref="G514" si="489">(E514/E513)-1</f>
        <v>4.4094470867814373E-2</v>
      </c>
      <c r="H514" s="2">
        <f t="shared" ref="H514" si="490">E514-$D$3</f>
        <v>28621.079619999997</v>
      </c>
      <c r="I514" s="188">
        <f t="shared" ref="I514" si="491">(E514/$D$3)-1</f>
        <v>1.252243063373272</v>
      </c>
      <c r="L514" s="2">
        <v>1650.47</v>
      </c>
      <c r="M514" s="188">
        <f t="shared" si="480"/>
        <v>1.4631117559185336E-2</v>
      </c>
      <c r="N514" s="188">
        <f t="shared" si="481"/>
        <v>0.77454627558919653</v>
      </c>
      <c r="O514" s="305" t="str">
        <f t="shared" ref="O514" si="492">IF(G514&gt;M514,"Yes","No")</f>
        <v>Yes</v>
      </c>
      <c r="P514" s="304">
        <f t="shared" ref="P514" si="493">IF(O514="Yes",1,0)</f>
        <v>1</v>
      </c>
      <c r="Q514" s="188">
        <f t="shared" ref="Q514" si="494">SUM(P31:P514)/COUNT(P31:P514)</f>
        <v>0.53305785123966942</v>
      </c>
      <c r="S514" s="2">
        <v>15233.22</v>
      </c>
      <c r="T514" s="188">
        <f t="shared" si="485"/>
        <v>9.9850026056480523E-3</v>
      </c>
      <c r="U514" s="188">
        <f t="shared" si="486"/>
        <v>0.77487917526926298</v>
      </c>
      <c r="V514" s="305" t="str">
        <f t="shared" si="487"/>
        <v>Yes</v>
      </c>
    </row>
    <row r="515" spans="1:22">
      <c r="A515" s="184">
        <v>500.16666666666703</v>
      </c>
      <c r="B515" s="1">
        <f t="shared" si="264"/>
        <v>41417</v>
      </c>
      <c r="D515" s="2">
        <v>51524.299709999999</v>
      </c>
      <c r="E515" s="2">
        <v>51524.299709999999</v>
      </c>
      <c r="F515" s="2">
        <f t="shared" ref="F515" si="495">E515-E514</f>
        <v>47.370090000003984</v>
      </c>
      <c r="G515" s="188">
        <f t="shared" ref="G515" si="496">(E515/E514)-1</f>
        <v>9.2021980234036072E-4</v>
      </c>
      <c r="H515" s="2">
        <f t="shared" ref="H515" si="497">E515-$D$3</f>
        <v>28668.449710000001</v>
      </c>
      <c r="I515" s="188">
        <f t="shared" ref="I515" si="498">(E515/$D$3)-1</f>
        <v>1.2543156220398717</v>
      </c>
      <c r="L515" s="2">
        <v>1650.51</v>
      </c>
      <c r="M515" s="188">
        <f t="shared" si="480"/>
        <v>2.4235520791116016E-5</v>
      </c>
      <c r="N515" s="188">
        <f t="shared" si="481"/>
        <v>0.77458928264235327</v>
      </c>
      <c r="O515" s="305" t="str">
        <f t="shared" ref="O515" si="499">IF(G515&gt;M515,"Yes","No")</f>
        <v>Yes</v>
      </c>
      <c r="P515" s="304">
        <f t="shared" ref="P515" si="500">IF(O515="Yes",1,0)</f>
        <v>1</v>
      </c>
      <c r="Q515" s="188">
        <f t="shared" ref="Q515" si="501">SUM(P32:P515)/COUNT(P32:P515)</f>
        <v>0.53305785123966942</v>
      </c>
      <c r="S515" s="2">
        <v>15294.5</v>
      </c>
      <c r="T515" s="188">
        <f t="shared" si="485"/>
        <v>4.0227870404287991E-3</v>
      </c>
      <c r="U515" s="188">
        <f t="shared" si="486"/>
        <v>0.7820191362138631</v>
      </c>
      <c r="V515" s="305" t="str">
        <f t="shared" si="487"/>
        <v>No</v>
      </c>
    </row>
    <row r="516" spans="1:22">
      <c r="A516" s="184">
        <v>500.66666666666703</v>
      </c>
      <c r="B516" s="1">
        <f t="shared" si="264"/>
        <v>41424</v>
      </c>
      <c r="D516" s="2">
        <v>51715.413349999995</v>
      </c>
      <c r="E516" s="2">
        <v>51715.413349999995</v>
      </c>
      <c r="F516" s="2">
        <f t="shared" ref="F516" si="502">E516-E515</f>
        <v>191.11363999999594</v>
      </c>
      <c r="G516" s="188">
        <f t="shared" ref="G516" si="503">(E516/E515)-1</f>
        <v>3.7091943233709124E-3</v>
      </c>
      <c r="H516" s="2">
        <f t="shared" ref="H516" si="504">E516-$D$3</f>
        <v>28859.563349999997</v>
      </c>
      <c r="I516" s="188">
        <f t="shared" ref="I516" si="505">(E516/$D$3)-1</f>
        <v>1.2626773167482286</v>
      </c>
      <c r="L516" s="2">
        <v>1654.41</v>
      </c>
      <c r="M516" s="188">
        <f t="shared" ref="M516:M518" si="506">(L516/L515)-1</f>
        <v>2.3629060108694144E-3</v>
      </c>
      <c r="N516" s="188">
        <f t="shared" ref="N516:N518" si="507">(L516/$L$3)-1</f>
        <v>0.77878247032513337</v>
      </c>
      <c r="O516" s="305" t="str">
        <f t="shared" ref="O516" si="508">IF(G516&gt;M516,"Yes","No")</f>
        <v>Yes</v>
      </c>
      <c r="P516" s="304">
        <f t="shared" ref="P516" si="509">IF(O516="Yes",1,0)</f>
        <v>1</v>
      </c>
      <c r="Q516" s="188">
        <f t="shared" ref="Q516" si="510">SUM(P33:P516)/COUNT(P33:P516)</f>
        <v>0.53512396694214881</v>
      </c>
      <c r="S516" s="2">
        <v>15324.53</v>
      </c>
      <c r="T516" s="188">
        <f t="shared" ref="T516" si="511">(S516/S515)-1</f>
        <v>1.9634509137271827E-3</v>
      </c>
      <c r="U516" s="188">
        <f t="shared" ref="U516" si="512">(S516/$S$3)-1</f>
        <v>0.78551804331514163</v>
      </c>
      <c r="V516" s="305" t="str">
        <f t="shared" ref="V516" si="513">IF(G516&gt;T516,"Yes","No")</f>
        <v>Yes</v>
      </c>
    </row>
    <row r="517" spans="1:22">
      <c r="A517" s="184">
        <v>501.16666666666703</v>
      </c>
      <c r="B517" s="1">
        <f t="shared" si="264"/>
        <v>41431</v>
      </c>
      <c r="D517" s="2">
        <v>50163.276700000009</v>
      </c>
      <c r="E517" s="2">
        <v>50163.276700000009</v>
      </c>
      <c r="F517" s="2">
        <f t="shared" ref="F517" si="514">E517-E516</f>
        <v>-1552.1366499999858</v>
      </c>
      <c r="G517" s="188">
        <f t="shared" ref="G517" si="515">(E517/E516)-1</f>
        <v>-3.0013037689468391E-2</v>
      </c>
      <c r="H517" s="2">
        <f t="shared" ref="H517" si="516">E517-$D$3</f>
        <v>27307.426700000011</v>
      </c>
      <c r="I517" s="188">
        <f t="shared" ref="I517" si="517">(E517/$D$3)-1</f>
        <v>1.1947674971615587</v>
      </c>
      <c r="L517" s="2">
        <v>1622.46</v>
      </c>
      <c r="M517" s="188">
        <f t="shared" si="506"/>
        <v>-1.9312020599488666E-2</v>
      </c>
      <c r="N517" s="188">
        <f t="shared" si="507"/>
        <v>0.74443058661620509</v>
      </c>
      <c r="O517" s="305" t="str">
        <f t="shared" ref="O517" si="518">IF(G517&gt;M517,"Yes","No")</f>
        <v>No</v>
      </c>
      <c r="P517" s="304">
        <f t="shared" ref="P517" si="519">IF(O517="Yes",1,0)</f>
        <v>0</v>
      </c>
      <c r="Q517" s="188">
        <f t="shared" ref="Q517" si="520">SUM(P34:P517)/COUNT(P34:P517)</f>
        <v>0.53305785123966942</v>
      </c>
      <c r="S517" s="2">
        <v>15040.39</v>
      </c>
      <c r="T517" s="188">
        <f t="shared" ref="T517" si="521">(S517/S516)-1</f>
        <v>-1.8541514813178672E-2</v>
      </c>
      <c r="U517" s="188">
        <f t="shared" ref="U517" si="522">(S517/$S$3)-1</f>
        <v>0.75241183406581613</v>
      </c>
      <c r="V517" s="305" t="str">
        <f t="shared" ref="V517" si="523">IF(G517&gt;T517,"Yes","No")</f>
        <v>No</v>
      </c>
    </row>
    <row r="518" spans="1:22">
      <c r="A518" s="184">
        <v>501.66666666666703</v>
      </c>
      <c r="B518" s="1">
        <f t="shared" si="264"/>
        <v>41438</v>
      </c>
      <c r="D518" s="2">
        <v>51169.509570000002</v>
      </c>
      <c r="E518" s="2">
        <v>51169.509570000002</v>
      </c>
      <c r="F518" s="2">
        <f t="shared" ref="F518" si="524">E518-E517</f>
        <v>1006.2328699999925</v>
      </c>
      <c r="G518" s="188">
        <f t="shared" ref="G518" si="525">(E518/E517)-1</f>
        <v>2.0059153552064446E-2</v>
      </c>
      <c r="H518" s="2">
        <f t="shared" ref="H518" si="526">E518-$D$3</f>
        <v>28313.659570000003</v>
      </c>
      <c r="I518" s="188">
        <f t="shared" ref="I518" si="527">(E518/$D$3)-1</f>
        <v>1.2387926753982024</v>
      </c>
      <c r="L518" s="2">
        <v>1636.36</v>
      </c>
      <c r="M518" s="188">
        <f t="shared" si="506"/>
        <v>8.5672374049281519E-3</v>
      </c>
      <c r="N518" s="188">
        <f t="shared" si="507"/>
        <v>0.75937553758816434</v>
      </c>
      <c r="O518" s="305" t="str">
        <f t="shared" ref="O518" si="528">IF(G518&gt;M518,"Yes","No")</f>
        <v>Yes</v>
      </c>
      <c r="P518" s="304">
        <f t="shared" ref="P518" si="529">IF(O518="Yes",1,0)</f>
        <v>1</v>
      </c>
      <c r="Q518" s="188">
        <f t="shared" ref="Q518" si="530">SUM(P35:P518)/COUNT(P35:P518)</f>
        <v>0.53512396694214881</v>
      </c>
      <c r="S518" s="2">
        <v>15176.08</v>
      </c>
      <c r="T518" s="188">
        <f t="shared" ref="T518" si="531">(S518/S517)-1</f>
        <v>9.0217075488070453E-3</v>
      </c>
      <c r="U518" s="188">
        <f t="shared" ref="U518" si="532">(S518/$S$3)-1</f>
        <v>0.76822158113782635</v>
      </c>
      <c r="V518" s="305" t="str">
        <f t="shared" ref="V518" si="533">IF(G518&gt;T518,"Yes","No")</f>
        <v>Yes</v>
      </c>
    </row>
    <row r="519" spans="1:22">
      <c r="A519" s="184">
        <v>502.16666666666703</v>
      </c>
      <c r="B519" s="1">
        <f t="shared" si="264"/>
        <v>41445</v>
      </c>
      <c r="L519" s="2"/>
      <c r="S519" s="2"/>
    </row>
    <row r="520" spans="1:22">
      <c r="A520" s="184">
        <v>502.66666666666703</v>
      </c>
      <c r="B520" s="1">
        <f t="shared" si="264"/>
        <v>41452</v>
      </c>
      <c r="L520" s="2"/>
      <c r="S520" s="2"/>
    </row>
    <row r="521" spans="1:22">
      <c r="A521" s="184">
        <v>503.16666666666703</v>
      </c>
      <c r="B521" s="1">
        <f t="shared" si="264"/>
        <v>41459</v>
      </c>
      <c r="L521" s="2"/>
      <c r="S521" s="2"/>
    </row>
    <row r="522" spans="1:22">
      <c r="A522" s="184">
        <v>503.66666666666703</v>
      </c>
      <c r="B522" s="1">
        <f t="shared" si="264"/>
        <v>41466</v>
      </c>
      <c r="L522" s="2"/>
      <c r="S522" s="2"/>
    </row>
    <row r="523" spans="1:22">
      <c r="A523" s="184">
        <v>504.16666666666703</v>
      </c>
      <c r="B523" s="1">
        <f t="shared" si="264"/>
        <v>41473</v>
      </c>
      <c r="L523" s="2"/>
      <c r="S523" s="2"/>
    </row>
    <row r="524" spans="1:22">
      <c r="A524" s="184">
        <v>504.66666666666703</v>
      </c>
      <c r="B524" s="1">
        <f t="shared" si="264"/>
        <v>41480</v>
      </c>
      <c r="L524" s="2"/>
      <c r="S524" s="2"/>
    </row>
    <row r="525" spans="1:22">
      <c r="A525" s="184">
        <v>505.16666666666703</v>
      </c>
      <c r="B525" s="1">
        <f t="shared" ref="B525:B530" si="534">B524+7</f>
        <v>41487</v>
      </c>
      <c r="L525" s="2"/>
      <c r="S525" s="2"/>
    </row>
    <row r="526" spans="1:22">
      <c r="A526" s="184">
        <v>505.66666666666703</v>
      </c>
      <c r="B526" s="1">
        <f t="shared" si="534"/>
        <v>41494</v>
      </c>
      <c r="L526" s="2"/>
      <c r="S526" s="2"/>
    </row>
    <row r="527" spans="1:22">
      <c r="A527" s="184">
        <v>506.16666666666703</v>
      </c>
      <c r="B527" s="1">
        <f t="shared" si="534"/>
        <v>41501</v>
      </c>
      <c r="L527" s="2"/>
      <c r="S527" s="2"/>
    </row>
    <row r="528" spans="1:22">
      <c r="A528" s="184">
        <v>506.66666666666703</v>
      </c>
      <c r="B528" s="1">
        <f t="shared" si="534"/>
        <v>41508</v>
      </c>
      <c r="L528" s="2"/>
      <c r="S528" s="2"/>
    </row>
    <row r="529" spans="1:19">
      <c r="A529" s="184">
        <v>507.16666666666703</v>
      </c>
      <c r="B529" s="1">
        <f t="shared" si="534"/>
        <v>41515</v>
      </c>
      <c r="L529" s="2"/>
      <c r="S529" s="2"/>
    </row>
    <row r="530" spans="1:19">
      <c r="A530" s="184">
        <v>507.66666666666703</v>
      </c>
      <c r="B530" s="1">
        <f t="shared" si="534"/>
        <v>41522</v>
      </c>
      <c r="L530" s="2"/>
      <c r="S530" s="2"/>
    </row>
    <row r="531" spans="1:19">
      <c r="A531" s="184"/>
      <c r="B531" s="1"/>
    </row>
    <row r="532" spans="1:19">
      <c r="A532" s="184"/>
      <c r="B532" s="1"/>
    </row>
    <row r="534" spans="1:19">
      <c r="L534" s="287" t="s">
        <v>235</v>
      </c>
    </row>
    <row r="535" spans="1:19">
      <c r="L535" s="498" t="s">
        <v>219</v>
      </c>
      <c r="M535" s="498"/>
      <c r="N535" s="498"/>
      <c r="O535" s="498"/>
      <c r="P535" s="498"/>
      <c r="Q535" s="498"/>
    </row>
    <row r="536" spans="1:19">
      <c r="L536" s="2" t="s">
        <v>247</v>
      </c>
    </row>
    <row r="537" spans="1:19">
      <c r="L537" s="499" t="s">
        <v>246</v>
      </c>
      <c r="M537" s="499"/>
      <c r="N537" s="499"/>
      <c r="O537" s="499"/>
      <c r="P537" s="499"/>
      <c r="Q537" s="499"/>
    </row>
    <row r="538" spans="1:19">
      <c r="L538" s="318"/>
    </row>
  </sheetData>
  <mergeCells count="5">
    <mergeCell ref="D1:I1"/>
    <mergeCell ref="S1:V1"/>
    <mergeCell ref="L1:Q1"/>
    <mergeCell ref="L535:Q535"/>
    <mergeCell ref="L537:Q537"/>
  </mergeCells>
  <phoneticPr fontId="11" type="noConversion"/>
  <conditionalFormatting sqref="T1:T383 X2 M1:M383 F450:G455 F2:G448 F449 F456:F458 G445:G458 Q2 M536 M538:M1048576 F459:G587 M386:M534 T386:T1048576">
    <cfRule type="cellIs" dxfId="15" priority="9" operator="lessThan">
      <formula>0</formula>
    </cfRule>
  </conditionalFormatting>
  <hyperlinks>
    <hyperlink ref="L535" r:id="rId1"/>
    <hyperlink ref="L537" r:id="rId2"/>
  </hyperlinks>
  <printOptions horizontalCentered="1" verticalCentered="1"/>
  <pageMargins left="0.75" right="0.75" top="1" bottom="1" header="0.5" footer="0.5"/>
  <headerFooter>
    <oddHeader>&amp;LSeidman I.P.O. &amp;Ras of &amp;D</oddHeader>
    <oddFooter>&amp;CSeidman I.P.O._x000D_"Education, Experience, Opportunity"_x000D_</oddFooter>
  </headerFooter>
  <legacyDrawing r:id="rId3"/>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sheetPr codeName="Sheet9">
    <tabColor theme="4" tint="-0.249977111117893"/>
  </sheetPr>
  <dimension ref="A1"/>
  <sheetViews>
    <sheetView topLeftCell="F1" zoomScale="80" zoomScaleNormal="80" workbookViewId="0">
      <selection activeCell="AC46" sqref="AC46"/>
    </sheetView>
  </sheetViews>
  <sheetFormatPr defaultRowHeight="12.7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sheetPr codeName="Sheet5" enableFormatConditionsCalculation="0">
    <tabColor indexed="15"/>
    <pageSetUpPr fitToPage="1"/>
  </sheetPr>
  <dimension ref="B1:J38"/>
  <sheetViews>
    <sheetView showGridLines="0" workbookViewId="0">
      <selection activeCell="F21" sqref="F21"/>
    </sheetView>
  </sheetViews>
  <sheetFormatPr defaultColWidth="9.140625" defaultRowHeight="12.75"/>
  <cols>
    <col min="1" max="1" width="1.140625" style="56" customWidth="1"/>
    <col min="2" max="3" width="2.42578125" style="56" customWidth="1"/>
    <col min="4" max="4" width="20.42578125" style="56" customWidth="1"/>
    <col min="5" max="5" width="11.7109375" style="56" customWidth="1"/>
    <col min="6" max="6" width="11.42578125" style="56" customWidth="1"/>
    <col min="7" max="7" width="18.140625" style="56" customWidth="1"/>
    <col min="8" max="8" width="22.7109375" style="119" customWidth="1"/>
    <col min="9" max="9" width="2.7109375" style="56" customWidth="1"/>
    <col min="10" max="10" width="2.85546875" style="56" customWidth="1"/>
    <col min="11" max="11" width="1.42578125" style="56" customWidth="1"/>
    <col min="12" max="12" width="8.7109375" style="56" customWidth="1"/>
    <col min="13" max="13" width="12" style="56" bestFit="1" customWidth="1"/>
    <col min="14" max="14" width="13.7109375" style="56" bestFit="1" customWidth="1"/>
    <col min="15" max="16384" width="9.140625" style="56"/>
  </cols>
  <sheetData>
    <row r="1" spans="2:10" ht="5.25" customHeight="1" thickBot="1"/>
    <row r="2" spans="2:10" ht="13.5" thickBot="1">
      <c r="B2" s="4"/>
      <c r="C2" s="5"/>
      <c r="D2" s="5"/>
      <c r="E2" s="5"/>
      <c r="F2" s="5"/>
      <c r="G2" s="5"/>
      <c r="H2" s="11"/>
      <c r="I2" s="5"/>
      <c r="J2" s="6"/>
    </row>
    <row r="3" spans="2:10" ht="13.5" thickBot="1">
      <c r="B3" s="7"/>
      <c r="C3" s="15"/>
      <c r="D3" s="12"/>
      <c r="E3" s="12"/>
      <c r="F3" s="12"/>
      <c r="G3" s="231" t="s">
        <v>173</v>
      </c>
      <c r="H3" s="211">
        <v>40920</v>
      </c>
      <c r="I3" s="17"/>
      <c r="J3" s="8"/>
    </row>
    <row r="4" spans="2:10" ht="13.5" thickBot="1">
      <c r="B4" s="7"/>
      <c r="C4" s="18"/>
      <c r="D4" s="207" t="s">
        <v>150</v>
      </c>
      <c r="E4" s="208" t="s">
        <v>86</v>
      </c>
      <c r="F4" s="208" t="s">
        <v>87</v>
      </c>
      <c r="G4" s="209" t="s">
        <v>4</v>
      </c>
      <c r="H4" s="210" t="s">
        <v>27</v>
      </c>
      <c r="I4" s="19"/>
      <c r="J4" s="8"/>
    </row>
    <row r="5" spans="2:10">
      <c r="B5" s="9"/>
      <c r="C5" s="20"/>
      <c r="D5" s="127" t="s">
        <v>46</v>
      </c>
      <c r="E5" s="205">
        <f>SUMIF(Holdings_Old!$S$4:$S$25,D5,Holdings_Old!$H$4:$H$25)</f>
        <v>3958.5</v>
      </c>
      <c r="F5" s="128" t="e">
        <f t="shared" ref="F5:F16" si="0">E5/$E$17</f>
        <v>#VALUE!</v>
      </c>
      <c r="G5" s="61" t="e">
        <f>IF(F5&gt;0.2,"Overweight",IF(F5&gt;0.125,"Slightly Overweight",IF(F5&gt;0.08,"Equal Weight","Underweight")))</f>
        <v>#VALUE!</v>
      </c>
      <c r="H5" s="60">
        <f>COUNTIF(Holdings_Old!$S$4:$S$25,'V.P. of PM'!D5)</f>
        <v>1</v>
      </c>
      <c r="I5" s="19"/>
      <c r="J5" s="8"/>
    </row>
    <row r="6" spans="2:10">
      <c r="B6" s="7"/>
      <c r="C6" s="18"/>
      <c r="D6" s="124" t="s">
        <v>19</v>
      </c>
      <c r="E6" s="206">
        <f>SUMIF(Holdings_Old!$S$4:$S$25,D6,Holdings_Old!$H$4:$H$25)</f>
        <v>0</v>
      </c>
      <c r="F6" s="125" t="e">
        <f t="shared" si="0"/>
        <v>#VALUE!</v>
      </c>
      <c r="G6" s="148" t="e">
        <f t="shared" ref="G6:G16" si="1">IF(F6&gt;0.2,"Overweight",IF(F6&gt;0.125,"Slightly Overweight",IF(F6&gt;0.08,"Equal Weight","Underweight")))</f>
        <v>#VALUE!</v>
      </c>
      <c r="H6" s="232">
        <f>COUNTIF(Holdings_Old!$S$4:$S$25,'V.P. of PM'!D6)</f>
        <v>0</v>
      </c>
      <c r="I6" s="19"/>
      <c r="J6" s="8"/>
    </row>
    <row r="7" spans="2:10">
      <c r="B7" s="7"/>
      <c r="C7" s="18"/>
      <c r="D7" s="127" t="s">
        <v>20</v>
      </c>
      <c r="E7" s="205" t="e">
        <f>SUMIF(Holdings_Old!$S$4:$S$25,D7,Holdings_Old!$H$4:$H$25)</f>
        <v>#VALUE!</v>
      </c>
      <c r="F7" s="128" t="e">
        <f t="shared" si="0"/>
        <v>#VALUE!</v>
      </c>
      <c r="G7" s="61" t="e">
        <f t="shared" si="1"/>
        <v>#VALUE!</v>
      </c>
      <c r="H7" s="60">
        <f>COUNTIF(Holdings_Old!$S$4:$S$25,'V.P. of PM'!D7)</f>
        <v>4</v>
      </c>
      <c r="I7" s="19"/>
      <c r="J7" s="8"/>
    </row>
    <row r="8" spans="2:10">
      <c r="B8" s="7"/>
      <c r="C8" s="18"/>
      <c r="D8" s="124" t="s">
        <v>104</v>
      </c>
      <c r="E8" s="206">
        <f>SUMIF(Holdings_Old!$S$4:$S$25,D8,Holdings_Old!$H$4:$H$25)</f>
        <v>8570.4752700000008</v>
      </c>
      <c r="F8" s="126" t="e">
        <f t="shared" si="0"/>
        <v>#VALUE!</v>
      </c>
      <c r="G8" s="48" t="e">
        <f t="shared" si="1"/>
        <v>#VALUE!</v>
      </c>
      <c r="H8" s="233">
        <f>COUNTIF(Holdings_Old!$S$4:$S$25,'V.P. of PM'!D8)</f>
        <v>4</v>
      </c>
      <c r="I8" s="19"/>
      <c r="J8" s="8"/>
    </row>
    <row r="9" spans="2:10">
      <c r="B9" s="7"/>
      <c r="C9" s="18"/>
      <c r="D9" s="127" t="s">
        <v>105</v>
      </c>
      <c r="E9" s="205">
        <f>SUMIF(Holdings_Old!$S$4:$S$25,D9,Holdings_Old!$H$4:$H$25)</f>
        <v>2260</v>
      </c>
      <c r="F9" s="129" t="e">
        <f t="shared" si="0"/>
        <v>#VALUE!</v>
      </c>
      <c r="G9" s="61" t="e">
        <f t="shared" si="1"/>
        <v>#VALUE!</v>
      </c>
      <c r="H9" s="60">
        <f>COUNTIF(Holdings_Old!$S$4:$S$25,'V.P. of PM'!D9)</f>
        <v>1</v>
      </c>
      <c r="I9" s="19"/>
      <c r="J9" s="8"/>
    </row>
    <row r="10" spans="2:10">
      <c r="B10" s="7"/>
      <c r="C10" s="18"/>
      <c r="D10" s="124" t="s">
        <v>147</v>
      </c>
      <c r="E10" s="206">
        <f>SUMIF(Holdings_Old!$S$4:$S$25,D10,Holdings_Old!$H$4:$H$25)</f>
        <v>4656.1696199999997</v>
      </c>
      <c r="F10" s="126" t="e">
        <f t="shared" si="0"/>
        <v>#VALUE!</v>
      </c>
      <c r="G10" s="48" t="e">
        <f t="shared" si="1"/>
        <v>#VALUE!</v>
      </c>
      <c r="H10" s="233">
        <f>COUNTIF(Holdings_Old!$S$4:$S$25,'V.P. of PM'!D10)</f>
        <v>2</v>
      </c>
      <c r="I10" s="19"/>
      <c r="J10" s="8"/>
    </row>
    <row r="11" spans="2:10">
      <c r="B11" s="7"/>
      <c r="C11" s="18"/>
      <c r="D11" s="127" t="s">
        <v>3</v>
      </c>
      <c r="E11" s="205">
        <f>SUMIF(Holdings_Old!$S$4:$S$25,D11,Holdings_Old!$H$4:$H$25)</f>
        <v>5435.5852599999989</v>
      </c>
      <c r="F11" s="129" t="e">
        <f t="shared" si="0"/>
        <v>#VALUE!</v>
      </c>
      <c r="G11" s="61" t="e">
        <f t="shared" si="1"/>
        <v>#VALUE!</v>
      </c>
      <c r="H11" s="60">
        <f>COUNTIF(Holdings_Old!$S$4:$S$25,'V.P. of PM'!D11)</f>
        <v>3</v>
      </c>
      <c r="I11" s="19"/>
      <c r="J11" s="8"/>
    </row>
    <row r="12" spans="2:10">
      <c r="B12" s="7"/>
      <c r="C12" s="18"/>
      <c r="D12" s="124" t="s">
        <v>106</v>
      </c>
      <c r="E12" s="206">
        <f>SUMIF(Holdings_Old!$S$4:$S$25,D12,Holdings_Old!$H$4:$H$25)</f>
        <v>10437.75117</v>
      </c>
      <c r="F12" s="126" t="e">
        <f t="shared" si="0"/>
        <v>#VALUE!</v>
      </c>
      <c r="G12" s="48" t="e">
        <f t="shared" si="1"/>
        <v>#VALUE!</v>
      </c>
      <c r="H12" s="233">
        <f>COUNTIF(Holdings_Old!$S$4:$S$25,'V.P. of PM'!D12)</f>
        <v>4</v>
      </c>
      <c r="I12" s="19"/>
      <c r="J12" s="8"/>
    </row>
    <row r="13" spans="2:10">
      <c r="B13" s="7"/>
      <c r="C13" s="18"/>
      <c r="D13" s="127" t="s">
        <v>47</v>
      </c>
      <c r="E13" s="205">
        <f>SUMIF(Holdings_Old!$S$4:$S$25,D13,Holdings_Old!$H$4:$H$25)</f>
        <v>0</v>
      </c>
      <c r="F13" s="129" t="e">
        <f t="shared" si="0"/>
        <v>#VALUE!</v>
      </c>
      <c r="G13" s="61" t="e">
        <f t="shared" si="1"/>
        <v>#VALUE!</v>
      </c>
      <c r="H13" s="60">
        <f>COUNTIF(Holdings_Old!$S$4:$S$25,'V.P. of PM'!D13)</f>
        <v>0</v>
      </c>
      <c r="I13" s="19"/>
      <c r="J13" s="8"/>
    </row>
    <row r="14" spans="2:10">
      <c r="B14" s="7"/>
      <c r="C14" s="18"/>
      <c r="D14" s="124" t="s">
        <v>40</v>
      </c>
      <c r="E14" s="206">
        <f>SUMIF(Holdings_Old!$S$4:$S$25,D14,Holdings_Old!$H$4:$H$25)</f>
        <v>2147.6616600000002</v>
      </c>
      <c r="F14" s="126" t="e">
        <f>E14/$E$17</f>
        <v>#VALUE!</v>
      </c>
      <c r="G14" s="48" t="e">
        <f>IF(F14&gt;0.2,"Overweight",IF(F14&gt;0.125,"Slightly Overweight",IF(F14&gt;0.08,"Equal Weight","Underweight")))</f>
        <v>#VALUE!</v>
      </c>
      <c r="H14" s="233">
        <f>COUNTIF(Holdings_Old!$S$4:$S$25,'V.P. of PM'!D14)</f>
        <v>2</v>
      </c>
      <c r="I14" s="19"/>
      <c r="J14" s="8"/>
    </row>
    <row r="15" spans="2:10" ht="12" customHeight="1">
      <c r="B15" s="7"/>
      <c r="C15" s="18"/>
      <c r="D15" s="127" t="s">
        <v>148</v>
      </c>
      <c r="E15" s="205">
        <f>SUMIF(Holdings_Old!$S$4:$S$25,D15,Holdings_Old!$H$4:$H$25)</f>
        <v>0</v>
      </c>
      <c r="F15" s="129" t="e">
        <f t="shared" si="0"/>
        <v>#VALUE!</v>
      </c>
      <c r="G15" s="61" t="e">
        <f t="shared" si="1"/>
        <v>#VALUE!</v>
      </c>
      <c r="H15" s="60">
        <f>COUNTIF(Holdings_Old!$S$4:$S$25,'V.P. of PM'!D15)</f>
        <v>0</v>
      </c>
      <c r="I15" s="19"/>
      <c r="J15" s="8"/>
    </row>
    <row r="16" spans="2:10" ht="13.5" thickBot="1">
      <c r="B16" s="7"/>
      <c r="C16" s="18"/>
      <c r="D16" s="124" t="s">
        <v>56</v>
      </c>
      <c r="E16" s="206">
        <f>SUMIF(Holdings_Old!$S$4:$S$25,D16,Holdings_Old!$H$4:$H$25)</f>
        <v>2029.73</v>
      </c>
      <c r="F16" s="126" t="e">
        <f t="shared" si="0"/>
        <v>#VALUE!</v>
      </c>
      <c r="G16" s="48" t="e">
        <f t="shared" si="1"/>
        <v>#VALUE!</v>
      </c>
      <c r="H16" s="233">
        <f>COUNTIF(Holdings_Old!$S$4:$S$25,'V.P. of PM'!D16)</f>
        <v>1</v>
      </c>
      <c r="I16" s="19"/>
      <c r="J16" s="8"/>
    </row>
    <row r="17" spans="2:10" ht="13.5" thickBot="1">
      <c r="B17" s="7"/>
      <c r="C17" s="18"/>
      <c r="D17" s="130" t="s">
        <v>5</v>
      </c>
      <c r="E17" s="131" t="e">
        <f>SUM(E5:E16)</f>
        <v>#VALUE!</v>
      </c>
      <c r="F17" s="132" t="e">
        <f>SUM(F5:F16)</f>
        <v>#VALUE!</v>
      </c>
      <c r="G17" s="133"/>
      <c r="H17" s="134">
        <f>SUM(H5:H16)</f>
        <v>22</v>
      </c>
      <c r="I17" s="19"/>
      <c r="J17" s="8"/>
    </row>
    <row r="18" spans="2:10" ht="13.5" thickBot="1">
      <c r="B18" s="7"/>
      <c r="C18" s="18"/>
      <c r="D18" s="12"/>
      <c r="E18" s="12"/>
      <c r="F18" s="12"/>
      <c r="G18" s="12"/>
      <c r="H18" s="16"/>
      <c r="I18" s="19"/>
      <c r="J18" s="8"/>
    </row>
    <row r="19" spans="2:10" ht="13.5" thickBot="1">
      <c r="B19" s="7"/>
      <c r="C19" s="18"/>
      <c r="D19" s="12"/>
      <c r="E19" s="12"/>
      <c r="F19" s="12"/>
      <c r="G19" s="12"/>
      <c r="H19" s="16"/>
      <c r="I19" s="19"/>
      <c r="J19" s="8"/>
    </row>
    <row r="20" spans="2:10">
      <c r="B20" s="7"/>
      <c r="C20" s="18"/>
      <c r="D20" s="135" t="s">
        <v>95</v>
      </c>
      <c r="E20" s="136" t="s">
        <v>28</v>
      </c>
      <c r="F20" s="136" t="s">
        <v>24</v>
      </c>
      <c r="G20" s="509" t="s">
        <v>29</v>
      </c>
      <c r="H20" s="510"/>
      <c r="I20" s="19"/>
      <c r="J20" s="8"/>
    </row>
    <row r="21" spans="2:10" ht="30.95" customHeight="1">
      <c r="B21" s="7"/>
      <c r="C21" s="18"/>
      <c r="D21" s="161" t="s">
        <v>30</v>
      </c>
      <c r="E21" s="162">
        <f ca="1">OFFSET(Data!G3,MATCH('V.P. of PM'!H3,Data!B3:B459,0)-1,,)</f>
        <v>1.0269999953743447E-2</v>
      </c>
      <c r="F21" s="162">
        <f ca="1">OFFSET(Data!M3,MATCH('V.P. of PM'!H3,Data!B3:B459,0)-1,,)</f>
        <v>1.3843998716554173E-2</v>
      </c>
      <c r="G21" s="511" t="str">
        <f t="shared" ref="G21:G26" ca="1" si="2">"Seidman I.P.O. "&amp;IF(E21&gt;F21,"out-performed","under-performed")&amp;" the S&amp;P 500 by "&amp;ABS(ROUND((E21-F21),4))*100&amp;"%."</f>
        <v>Seidman I.P.O. under-performed the S&amp;P 500 by 0.36%.</v>
      </c>
      <c r="H21" s="512"/>
      <c r="I21" s="19"/>
      <c r="J21" s="8"/>
    </row>
    <row r="22" spans="2:10" ht="30" customHeight="1">
      <c r="B22" s="7"/>
      <c r="C22" s="18"/>
      <c r="D22" s="161" t="s">
        <v>116</v>
      </c>
      <c r="E22" s="162">
        <f ca="1">((OFFSET(Data!$D$3,MATCH($H$3,Data!$B$3:$B$459,0)-1,,)-(OFFSET(Data!$D$3,MATCH($H$3,Data!$B$3:$B$459,0)-5,,)))/(OFFSET(Data!$D$3,MATCH($H$3,Data!$B$3:$B$459,0)-5,,)))</f>
        <v>6.6528307926870797E-2</v>
      </c>
      <c r="F22" s="162">
        <f ca="1">((OFFSET(Data!$L$3,MATCH($H$3,Data!$B$3:$B$459,0)-1,,)-(OFFSET(Data!$L$3,MATCH($H$3,Data!$B$3:$B$459,0)-5,,)))/(OFFSET(Data!$L$3,MATCH($H$3,Data!$B$3:$B$459,0)-5,,)))</f>
        <v>6.2181263630847868E-2</v>
      </c>
      <c r="G22" s="511" t="str">
        <f ca="1">"Seidman I.P.O. "&amp;IF(E22&gt;F22,"out-performed","under-performed")&amp;" the S&amp;P 500 by "&amp;ABS(ROUND((E22-F22),4))*100&amp;"%."</f>
        <v>Seidman I.P.O. out-performed the S&amp;P 500 by 0.43%.</v>
      </c>
      <c r="H22" s="512"/>
      <c r="I22" s="19"/>
      <c r="J22" s="8"/>
    </row>
    <row r="23" spans="2:10" ht="24.6" customHeight="1">
      <c r="B23" s="7"/>
      <c r="C23" s="18"/>
      <c r="D23" s="161" t="s">
        <v>93</v>
      </c>
      <c r="E23" s="162">
        <f ca="1">((OFFSET(Data!$D$3,MATCH($H$3,Data!$B$3:$B$459,0)-1,,)-(OFFSET(Data!$D$3,MATCH($H$3,Data!$B$3:$B$459,0)-14,,)))/(OFFSET(Data!$D$3,MATCH($H$3,Data!$B$3:$B$459,0)-14,,)))</f>
        <v>8.9310300780359272E-2</v>
      </c>
      <c r="F23" s="162">
        <f ca="1">((OFFSET(Data!$L$3,MATCH($H$3,Data!$B$3:$B$459,0)-1,,)-(OFFSET(Data!$L$3,MATCH($H$3,Data!$B$3:$B$459,0)-14,,)))/(OFFSET(Data!$L$3,MATCH($H$3,Data!$B$3:$B$459,0)-14,,)))</f>
        <v>7.6300616453151143E-2</v>
      </c>
      <c r="G23" s="511" t="str">
        <f t="shared" ca="1" si="2"/>
        <v>Seidman I.P.O. out-performed the S&amp;P 500 by 1.3%.</v>
      </c>
      <c r="H23" s="512"/>
      <c r="I23" s="19"/>
      <c r="J23" s="8"/>
    </row>
    <row r="24" spans="2:10" ht="24.6" customHeight="1">
      <c r="B24" s="7"/>
      <c r="C24" s="18"/>
      <c r="D24" s="161" t="s">
        <v>94</v>
      </c>
      <c r="E24" s="162">
        <f ca="1">((OFFSET(Data!$D$3,MATCH($H$3,Data!$B$3:$B$459,0)-1,,)-(OFFSET(Data!$D$3,MATCH($H$3,Data!$B$3:$B$459,0)-27,,)))/(OFFSET(Data!$D$3,MATCH($H$3,Data!$B$3:$B$459,0)-27,,)))</f>
        <v>3.9868845208832319E-2</v>
      </c>
      <c r="F24" s="162">
        <f ca="1">((OFFSET(Data!$L$3,MATCH($H$3,Data!$B$3:$B$459,0)-1,,)-(OFFSET(Data!$L$3,MATCH($H$3,Data!$B$3:$B$459,0)-27,,)))/(OFFSET(Data!$L$3,MATCH($H$3,Data!$B$3:$B$459,0)-27,,)))</f>
        <v>-1.5682222255991078E-2</v>
      </c>
      <c r="G24" s="511" t="str">
        <f t="shared" ca="1" si="2"/>
        <v>Seidman I.P.O. out-performed the S&amp;P 500 by 5.56%.</v>
      </c>
      <c r="H24" s="512"/>
      <c r="I24" s="19"/>
      <c r="J24" s="8"/>
    </row>
    <row r="25" spans="2:10" ht="24.95" customHeight="1">
      <c r="B25" s="7"/>
      <c r="C25" s="18"/>
      <c r="D25" s="161" t="s">
        <v>31</v>
      </c>
      <c r="E25" s="162">
        <f ca="1">((OFFSET(Data!$D$3,MATCH($H$3,Data!$B$3:$B$459,0)-1,,)-(OFFSET(Data!$D$3,MATCH($H$3,Data!$B$3:$B$459,0)-53,,)))/(OFFSET(Data!$D$3,MATCH($H$3,Data!$B$3:$B$459,0)-53,,)))</f>
        <v>2.1620540006756665E-2</v>
      </c>
      <c r="F25" s="162">
        <f ca="1">((OFFSET(Data!$L$3,MATCH($H$3,Data!$B$3:$B$459,0)-1,,)-(OFFSET(Data!$L$3,MATCH($H$3,Data!$B$3:$B$459,0)-53,,)))/(OFFSET(Data!$L$3,MATCH($H$3,Data!$B$3:$B$459,0)-53,,)))</f>
        <v>1.7475487921808719E-3</v>
      </c>
      <c r="G25" s="511" t="str">
        <f t="shared" ca="1" si="2"/>
        <v>Seidman I.P.O. out-performed the S&amp;P 500 by 1.99%.</v>
      </c>
      <c r="H25" s="512"/>
      <c r="I25" s="19"/>
      <c r="J25" s="8"/>
    </row>
    <row r="26" spans="2:10" ht="27.6" customHeight="1" thickBot="1">
      <c r="B26" s="7"/>
      <c r="C26" s="18"/>
      <c r="D26" s="163" t="s">
        <v>32</v>
      </c>
      <c r="E26" s="162">
        <f ca="1">((OFFSET(Data!$D$3,MATCH($H$3,Data!$B$3:$B$459,0)-1,,)-(OFFSET(Data!$D$3,MATCH($H$3,Data!$B$3:$B$459,0)-105,,)))/(OFFSET(Data!$D$3,MATCH($H$3,Data!$B$3:$B$459,0)-105,,)))</f>
        <v>0.10879600184446568</v>
      </c>
      <c r="F26" s="162">
        <f ca="1">((OFFSET(Data!$L$3,MATCH($H$3,Data!$B$3:$B$459,0)-1,,)-(OFFSET(Data!$L$3,MATCH($H$3,Data!$B$3:$B$459,0)-105,,)))/(OFFSET(Data!$L$3,MATCH($H$3,Data!$B$3:$B$459,0)-105,,)))</f>
        <v>0.14037501481035089</v>
      </c>
      <c r="G26" s="513" t="str">
        <f t="shared" ca="1" si="2"/>
        <v>Seidman I.P.O. under-performed the S&amp;P 500 by 3.16%.</v>
      </c>
      <c r="H26" s="514"/>
      <c r="I26" s="19"/>
      <c r="J26" s="8"/>
    </row>
    <row r="27" spans="2:10" ht="13.5" thickBot="1">
      <c r="B27" s="7"/>
      <c r="C27" s="18"/>
      <c r="D27" s="14"/>
      <c r="E27" s="14"/>
      <c r="F27" s="14"/>
      <c r="G27" s="14"/>
      <c r="H27" s="138"/>
      <c r="I27" s="19"/>
      <c r="J27" s="8"/>
    </row>
    <row r="28" spans="2:10" ht="13.5" thickBot="1">
      <c r="B28" s="7"/>
      <c r="C28" s="18"/>
      <c r="D28" s="3"/>
      <c r="E28" s="3"/>
      <c r="F28" s="3"/>
      <c r="G28" s="3"/>
      <c r="H28" s="120"/>
      <c r="I28" s="19"/>
      <c r="J28" s="8"/>
    </row>
    <row r="29" spans="2:10">
      <c r="B29" s="7"/>
      <c r="C29" s="18"/>
      <c r="D29" s="135" t="s">
        <v>6</v>
      </c>
      <c r="E29" s="509" t="s">
        <v>155</v>
      </c>
      <c r="F29" s="509"/>
      <c r="G29" s="509" t="s">
        <v>154</v>
      </c>
      <c r="H29" s="510"/>
      <c r="I29" s="19"/>
      <c r="J29" s="8"/>
    </row>
    <row r="30" spans="2:10">
      <c r="B30" s="7"/>
      <c r="C30" s="18"/>
      <c r="D30" s="139" t="s">
        <v>7</v>
      </c>
      <c r="E30" s="506" t="e">
        <f>SUMIF(Holdings_Old!X5:X25,"large",Holdings_Old!H5:H25)</f>
        <v>#VALUE!</v>
      </c>
      <c r="F30" s="506"/>
      <c r="G30" s="504" t="e">
        <f>E30/$E$35</f>
        <v>#VALUE!</v>
      </c>
      <c r="H30" s="505"/>
      <c r="I30" s="19"/>
      <c r="J30" s="8"/>
    </row>
    <row r="31" spans="2:10">
      <c r="B31" s="7"/>
      <c r="C31" s="18"/>
      <c r="D31" s="139" t="s">
        <v>88</v>
      </c>
      <c r="E31" s="506">
        <f>SUMIF(Holdings_Old!$X$4:$X$25,"Mid",Holdings_Old!$H$4:$H$25)</f>
        <v>4047.0772900000002</v>
      </c>
      <c r="F31" s="506"/>
      <c r="G31" s="504" t="e">
        <f>E31/$E$35</f>
        <v>#VALUE!</v>
      </c>
      <c r="H31" s="505"/>
      <c r="I31" s="19"/>
      <c r="J31" s="8"/>
    </row>
    <row r="32" spans="2:10">
      <c r="B32" s="7"/>
      <c r="C32" s="18"/>
      <c r="D32" s="139" t="s">
        <v>153</v>
      </c>
      <c r="E32" s="506">
        <f>SUMIF(Holdings_Old!$X$4:$X$25,"Small",Holdings_Old!$H$4:$H$25)</f>
        <v>13454.67108</v>
      </c>
      <c r="F32" s="506"/>
      <c r="G32" s="504" t="e">
        <f>E32/$E$35</f>
        <v>#VALUE!</v>
      </c>
      <c r="H32" s="505"/>
      <c r="I32" s="19"/>
      <c r="J32" s="8"/>
    </row>
    <row r="33" spans="2:10">
      <c r="B33" s="7"/>
      <c r="C33" s="18"/>
      <c r="D33" s="139" t="s">
        <v>121</v>
      </c>
      <c r="E33" s="506">
        <f>SUMIF(Holdings_Old!$X$4:$X$25,'V.P. of PM'!D33,Holdings_Old!$H$4:$H$25)</f>
        <v>0</v>
      </c>
      <c r="F33" s="506"/>
      <c r="G33" s="504" t="e">
        <f>E33/$E$35</f>
        <v>#VALUE!</v>
      </c>
      <c r="H33" s="505"/>
      <c r="I33" s="19"/>
      <c r="J33" s="8"/>
    </row>
    <row r="34" spans="2:10" ht="13.5" thickBot="1">
      <c r="B34" s="7"/>
      <c r="C34" s="18"/>
      <c r="D34" s="140" t="s">
        <v>56</v>
      </c>
      <c r="E34" s="501">
        <f>SUMIF(Holdings_Old!$X$4:$X$25,'V.P. of PM'!D34,Holdings_Old!$H$4:$H$25)</f>
        <v>2029.73</v>
      </c>
      <c r="F34" s="501"/>
      <c r="G34" s="507" t="e">
        <f>E34/$E$35</f>
        <v>#VALUE!</v>
      </c>
      <c r="H34" s="508"/>
      <c r="I34" s="19"/>
      <c r="J34" s="8"/>
    </row>
    <row r="35" spans="2:10" ht="14.25" thickTop="1" thickBot="1">
      <c r="B35" s="7"/>
      <c r="C35" s="18"/>
      <c r="D35" s="141" t="s">
        <v>156</v>
      </c>
      <c r="E35" s="500" t="e">
        <f>SUM(E30:E34)</f>
        <v>#VALUE!</v>
      </c>
      <c r="F35" s="500"/>
      <c r="G35" s="502" t="e">
        <f>SUM(G30:G34)</f>
        <v>#VALUE!</v>
      </c>
      <c r="H35" s="503"/>
      <c r="I35" s="19"/>
      <c r="J35" s="8"/>
    </row>
    <row r="36" spans="2:10" ht="13.5" thickBot="1">
      <c r="B36" s="7"/>
      <c r="C36" s="146"/>
      <c r="D36" s="13"/>
      <c r="E36" s="13"/>
      <c r="F36" s="13"/>
      <c r="G36" s="13"/>
      <c r="H36" s="21"/>
      <c r="I36" s="145"/>
      <c r="J36" s="8"/>
    </row>
    <row r="37" spans="2:10" ht="13.5" thickBot="1">
      <c r="B37" s="10"/>
      <c r="C37" s="122"/>
      <c r="D37" s="122"/>
      <c r="E37" s="122"/>
      <c r="F37" s="122"/>
      <c r="G37" s="122"/>
      <c r="H37" s="123"/>
      <c r="I37" s="122"/>
      <c r="J37" s="121"/>
    </row>
    <row r="38" spans="2:10">
      <c r="B38" s="3"/>
      <c r="C38" s="3"/>
      <c r="D38" s="3"/>
      <c r="E38" s="3"/>
      <c r="F38" s="3"/>
      <c r="G38" s="3"/>
      <c r="H38" s="120"/>
      <c r="I38" s="3"/>
      <c r="J38" s="3"/>
    </row>
  </sheetData>
  <mergeCells count="21">
    <mergeCell ref="E30:F30"/>
    <mergeCell ref="G25:H25"/>
    <mergeCell ref="G29:H29"/>
    <mergeCell ref="E29:F29"/>
    <mergeCell ref="G32:H32"/>
    <mergeCell ref="G26:H26"/>
    <mergeCell ref="G30:H30"/>
    <mergeCell ref="G20:H20"/>
    <mergeCell ref="G21:H21"/>
    <mergeCell ref="G22:H22"/>
    <mergeCell ref="G23:H23"/>
    <mergeCell ref="G31:H31"/>
    <mergeCell ref="G24:H24"/>
    <mergeCell ref="E35:F35"/>
    <mergeCell ref="E34:F34"/>
    <mergeCell ref="G35:H35"/>
    <mergeCell ref="G33:H33"/>
    <mergeCell ref="E31:F31"/>
    <mergeCell ref="G34:H34"/>
    <mergeCell ref="E33:F33"/>
    <mergeCell ref="E32:F32"/>
  </mergeCells>
  <phoneticPr fontId="11" type="noConversion"/>
  <printOptions horizontalCentered="1" verticalCentered="1"/>
  <pageMargins left="0.75" right="0.75" top="1" bottom="1" header="0.5" footer="0.5"/>
  <headerFooter>
    <oddHeader>&amp;LPortfolio Management&amp;R&amp;D</oddHeader>
    <oddFooter>&amp;CSeidman I.P.O. _x000D_"Education, Experience, Opportunity"</oddFooter>
  </headerFooter>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sheetPr codeName="Sheet10" enableFormatConditionsCalculation="0">
    <tabColor rgb="FF000090"/>
  </sheetPr>
  <dimension ref="A1"/>
  <sheetViews>
    <sheetView topLeftCell="A4" workbookViewId="0">
      <selection activeCell="D42" sqref="D42"/>
    </sheetView>
  </sheetViews>
  <sheetFormatPr defaultColWidth="10.85546875" defaultRowHeight="12.75"/>
  <cols>
    <col min="1" max="16384" width="10.85546875" style="213"/>
  </cols>
  <sheetData/>
  <pageMargins left="0.75" right="0.75" top="1" bottom="1" header="0.5" footer="0.5"/>
  <drawing r:id="rId1"/>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sheetPr codeName="Sheet8" enableFormatConditionsCalculation="0">
    <tabColor rgb="FF660066"/>
  </sheetPr>
  <dimension ref="B1:O149"/>
  <sheetViews>
    <sheetView showGridLines="0" workbookViewId="0">
      <pane ySplit="4" topLeftCell="A116" activePane="bottomLeft" state="frozen"/>
      <selection pane="bottomLeft" activeCell="B145" sqref="B145"/>
    </sheetView>
  </sheetViews>
  <sheetFormatPr defaultColWidth="8.85546875" defaultRowHeight="12.75"/>
  <cols>
    <col min="2" max="2" width="10.140625" bestFit="1" customWidth="1"/>
    <col min="3" max="3" width="8.28515625" customWidth="1"/>
    <col min="4" max="4" width="9" customWidth="1"/>
    <col min="5" max="5" width="8.28515625" customWidth="1"/>
    <col min="6" max="6" width="7.28515625" bestFit="1" customWidth="1"/>
    <col min="7" max="8" width="9.85546875" customWidth="1"/>
    <col min="9" max="9" width="7.42578125" customWidth="1"/>
    <col min="10" max="10" width="54.85546875" style="461" bestFit="1" customWidth="1"/>
    <col min="15" max="15" width="12.7109375" bestFit="1" customWidth="1"/>
  </cols>
  <sheetData>
    <row r="1" spans="2:11" ht="13.5" thickBot="1"/>
    <row r="2" spans="2:11" ht="19.5" thickBot="1">
      <c r="B2" s="515" t="s">
        <v>10</v>
      </c>
      <c r="C2" s="516"/>
      <c r="D2" s="516"/>
      <c r="E2" s="516"/>
      <c r="F2" s="516"/>
      <c r="G2" s="516"/>
      <c r="H2" s="516"/>
      <c r="I2" s="516"/>
      <c r="J2" s="462"/>
      <c r="K2" s="26"/>
    </row>
    <row r="3" spans="2:11">
      <c r="B3" s="22"/>
      <c r="C3" s="23"/>
      <c r="D3" s="23"/>
      <c r="E3" s="23"/>
      <c r="F3" s="23"/>
      <c r="G3" s="23"/>
      <c r="H3" s="23"/>
      <c r="I3" s="23"/>
      <c r="J3" s="463"/>
      <c r="K3" s="45"/>
    </row>
    <row r="4" spans="2:11">
      <c r="B4" s="350" t="s">
        <v>126</v>
      </c>
      <c r="C4" s="351" t="s">
        <v>157</v>
      </c>
      <c r="D4" s="351" t="s">
        <v>127</v>
      </c>
      <c r="E4" s="351" t="s">
        <v>128</v>
      </c>
      <c r="F4" s="351" t="s">
        <v>66</v>
      </c>
      <c r="G4" s="352" t="s">
        <v>11</v>
      </c>
      <c r="H4" s="352" t="s">
        <v>12</v>
      </c>
      <c r="I4" s="351" t="s">
        <v>101</v>
      </c>
      <c r="J4" s="351" t="s">
        <v>314</v>
      </c>
      <c r="K4" s="24"/>
    </row>
    <row r="5" spans="2:11">
      <c r="B5" s="36">
        <v>37753</v>
      </c>
      <c r="C5" s="33" t="s">
        <v>102</v>
      </c>
      <c r="D5" s="33" t="s">
        <v>62</v>
      </c>
      <c r="E5" s="151">
        <v>20.04</v>
      </c>
      <c r="F5" s="33">
        <v>30</v>
      </c>
      <c r="G5" s="34">
        <f>F5*E5</f>
        <v>601.19999999999993</v>
      </c>
      <c r="H5" s="34">
        <v>0</v>
      </c>
      <c r="I5" s="38">
        <v>1</v>
      </c>
      <c r="J5" s="464"/>
      <c r="K5" s="39"/>
    </row>
    <row r="6" spans="2:11">
      <c r="B6" s="37"/>
      <c r="C6" s="33"/>
      <c r="D6" s="33"/>
      <c r="E6" s="151"/>
      <c r="F6" s="33"/>
      <c r="G6" s="35"/>
      <c r="H6" s="35"/>
      <c r="I6" s="33"/>
      <c r="J6" s="463"/>
      <c r="K6" s="39"/>
    </row>
    <row r="7" spans="2:11">
      <c r="B7" s="36">
        <v>38289</v>
      </c>
      <c r="C7" s="33" t="s">
        <v>102</v>
      </c>
      <c r="D7" s="33" t="s">
        <v>57</v>
      </c>
      <c r="E7" s="151">
        <v>12.95</v>
      </c>
      <c r="F7" s="33">
        <v>65</v>
      </c>
      <c r="G7" s="35">
        <f>E7*F7</f>
        <v>841.75</v>
      </c>
      <c r="H7" s="35">
        <v>10.99</v>
      </c>
      <c r="I7" s="40">
        <v>0.82</v>
      </c>
      <c r="J7" s="465"/>
      <c r="K7" s="39"/>
    </row>
    <row r="8" spans="2:11">
      <c r="B8" s="37"/>
      <c r="C8" s="33"/>
      <c r="D8" s="33"/>
      <c r="E8" s="151"/>
      <c r="F8" s="33"/>
      <c r="G8" s="35"/>
      <c r="H8" s="35"/>
      <c r="I8" s="33"/>
      <c r="J8" s="463"/>
      <c r="K8" s="39"/>
    </row>
    <row r="9" spans="2:11">
      <c r="B9" s="36">
        <v>38296</v>
      </c>
      <c r="C9" s="33" t="s">
        <v>15</v>
      </c>
      <c r="D9" s="33" t="s">
        <v>124</v>
      </c>
      <c r="E9" s="151">
        <v>33.1</v>
      </c>
      <c r="F9" s="33">
        <v>40</v>
      </c>
      <c r="G9" s="35">
        <f>E9*F9</f>
        <v>1324</v>
      </c>
      <c r="H9" s="35">
        <v>10.99</v>
      </c>
      <c r="I9" s="40">
        <v>0.79</v>
      </c>
      <c r="J9" s="465"/>
      <c r="K9" s="39"/>
    </row>
    <row r="10" spans="2:11">
      <c r="B10" s="37"/>
      <c r="C10" s="33"/>
      <c r="D10" s="33"/>
      <c r="E10" s="151"/>
      <c r="F10" s="33"/>
      <c r="G10" s="35"/>
      <c r="H10" s="35"/>
      <c r="I10" s="33"/>
      <c r="J10" s="463"/>
      <c r="K10" s="39"/>
    </row>
    <row r="11" spans="2:11">
      <c r="B11" s="36">
        <v>38296</v>
      </c>
      <c r="C11" s="33" t="s">
        <v>15</v>
      </c>
      <c r="D11" s="33" t="s">
        <v>48</v>
      </c>
      <c r="E11" s="151">
        <v>79.900000000000006</v>
      </c>
      <c r="F11" s="33">
        <v>20</v>
      </c>
      <c r="G11" s="35">
        <f>E11*F11</f>
        <v>1598</v>
      </c>
      <c r="H11" s="35">
        <v>10.99</v>
      </c>
      <c r="I11" s="40">
        <v>0.72</v>
      </c>
      <c r="J11" s="465"/>
      <c r="K11" s="39"/>
    </row>
    <row r="12" spans="2:11">
      <c r="B12" s="37"/>
      <c r="C12" s="33"/>
      <c r="D12" s="33"/>
      <c r="E12" s="151"/>
      <c r="F12" s="33"/>
      <c r="G12" s="35"/>
      <c r="H12" s="35"/>
      <c r="I12" s="33"/>
      <c r="J12" s="463"/>
      <c r="K12" s="39"/>
    </row>
    <row r="13" spans="2:11">
      <c r="B13" s="36">
        <v>38408</v>
      </c>
      <c r="C13" s="33" t="s">
        <v>15</v>
      </c>
      <c r="D13" s="33" t="s">
        <v>49</v>
      </c>
      <c r="E13" s="151">
        <v>35.369999999999997</v>
      </c>
      <c r="F13" s="33">
        <v>41</v>
      </c>
      <c r="G13" s="35">
        <f>E13*F13</f>
        <v>1450.1699999999998</v>
      </c>
      <c r="H13" s="35">
        <v>10.99</v>
      </c>
      <c r="I13" s="40">
        <v>0.75</v>
      </c>
      <c r="J13" s="465"/>
      <c r="K13" s="39"/>
    </row>
    <row r="14" spans="2:11">
      <c r="B14" s="37"/>
      <c r="C14" s="33"/>
      <c r="D14" s="33"/>
      <c r="E14" s="151"/>
      <c r="F14" s="33"/>
      <c r="G14" s="35"/>
      <c r="H14" s="35"/>
      <c r="I14" s="33"/>
      <c r="J14" s="463"/>
      <c r="K14" s="39"/>
    </row>
    <row r="15" spans="2:11">
      <c r="B15" s="36">
        <v>38408</v>
      </c>
      <c r="C15" s="33" t="s">
        <v>102</v>
      </c>
      <c r="D15" s="33" t="s">
        <v>115</v>
      </c>
      <c r="E15" s="151">
        <v>30.65</v>
      </c>
      <c r="F15" s="33">
        <v>42</v>
      </c>
      <c r="G15" s="35">
        <f>E15*F15</f>
        <v>1287.3</v>
      </c>
      <c r="H15" s="35">
        <v>10.99</v>
      </c>
      <c r="I15" s="40">
        <v>0.84</v>
      </c>
      <c r="J15" s="465"/>
      <c r="K15" s="39"/>
    </row>
    <row r="16" spans="2:11">
      <c r="B16" s="22"/>
      <c r="E16" s="410"/>
      <c r="K16" s="39"/>
    </row>
    <row r="17" spans="2:11">
      <c r="B17" s="36">
        <v>38670</v>
      </c>
      <c r="C17" s="33" t="s">
        <v>15</v>
      </c>
      <c r="D17" s="33" t="s">
        <v>85</v>
      </c>
      <c r="E17" s="151">
        <v>27.8</v>
      </c>
      <c r="F17" s="33">
        <v>21</v>
      </c>
      <c r="G17" s="35">
        <f>F17*E17</f>
        <v>583.80000000000007</v>
      </c>
      <c r="H17" s="33">
        <v>9.99</v>
      </c>
      <c r="I17" s="41">
        <v>0.9</v>
      </c>
      <c r="J17" s="466"/>
      <c r="K17" s="39"/>
    </row>
    <row r="18" spans="2:11">
      <c r="B18" s="22"/>
      <c r="E18" s="410"/>
      <c r="K18" s="39"/>
    </row>
    <row r="19" spans="2:11">
      <c r="B19" s="36">
        <v>38744</v>
      </c>
      <c r="C19" s="33" t="s">
        <v>102</v>
      </c>
      <c r="D19" s="33" t="s">
        <v>60</v>
      </c>
      <c r="E19" s="151">
        <v>16.302</v>
      </c>
      <c r="F19" s="33">
        <v>122</v>
      </c>
      <c r="G19" s="35">
        <f>E19*F19</f>
        <v>1988.8440000000001</v>
      </c>
      <c r="H19" s="35">
        <v>10.99</v>
      </c>
      <c r="I19" s="40">
        <v>0.97</v>
      </c>
      <c r="J19" s="465"/>
      <c r="K19" s="39"/>
    </row>
    <row r="20" spans="2:11">
      <c r="B20" s="37"/>
      <c r="C20" s="33"/>
      <c r="D20" s="33"/>
      <c r="E20" s="151"/>
      <c r="F20" s="33"/>
      <c r="G20" s="35"/>
      <c r="H20" s="35"/>
      <c r="I20" s="33"/>
      <c r="J20" s="463"/>
      <c r="K20" s="39"/>
    </row>
    <row r="21" spans="2:11">
      <c r="B21" s="36">
        <v>38989</v>
      </c>
      <c r="C21" s="33" t="s">
        <v>15</v>
      </c>
      <c r="D21" s="33" t="s">
        <v>50</v>
      </c>
      <c r="E21" s="151">
        <v>72.66</v>
      </c>
      <c r="F21" s="33">
        <v>40</v>
      </c>
      <c r="G21" s="35">
        <f>E21*F21</f>
        <v>2906.3999999999996</v>
      </c>
      <c r="H21" s="35">
        <v>10.99</v>
      </c>
      <c r="I21" s="40">
        <f>40/43</f>
        <v>0.93023255813953487</v>
      </c>
      <c r="J21" s="465"/>
      <c r="K21" s="39"/>
    </row>
    <row r="22" spans="2:11">
      <c r="B22" s="36"/>
      <c r="C22" s="33"/>
      <c r="D22" s="33"/>
      <c r="E22" s="151"/>
      <c r="F22" s="33"/>
      <c r="G22" s="35"/>
      <c r="H22" s="35"/>
      <c r="I22" s="40"/>
      <c r="J22" s="465"/>
      <c r="K22" s="39"/>
    </row>
    <row r="23" spans="2:11">
      <c r="B23" s="36">
        <v>39010</v>
      </c>
      <c r="C23" s="33" t="s">
        <v>102</v>
      </c>
      <c r="D23" s="33" t="s">
        <v>51</v>
      </c>
      <c r="E23" s="151">
        <v>9.3699999999999992</v>
      </c>
      <c r="F23" s="33">
        <v>190.13200000000001</v>
      </c>
      <c r="G23" s="35">
        <f>E23*F23</f>
        <v>1781.53684</v>
      </c>
      <c r="H23" s="35">
        <v>0</v>
      </c>
      <c r="I23" s="40">
        <v>0.98</v>
      </c>
      <c r="J23" s="465"/>
      <c r="K23" s="39"/>
    </row>
    <row r="24" spans="2:11">
      <c r="B24" s="36"/>
      <c r="C24" s="33"/>
      <c r="D24" s="33"/>
      <c r="E24" s="151"/>
      <c r="F24" s="33"/>
      <c r="G24" s="35"/>
      <c r="H24" s="35"/>
      <c r="I24" s="40"/>
      <c r="J24" s="465"/>
      <c r="K24" s="39"/>
    </row>
    <row r="25" spans="2:11">
      <c r="B25" s="36">
        <v>39010</v>
      </c>
      <c r="C25" s="33" t="s">
        <v>102</v>
      </c>
      <c r="D25" s="33" t="s">
        <v>97</v>
      </c>
      <c r="E25" s="151">
        <v>8.39</v>
      </c>
      <c r="F25" s="33">
        <v>217.85499999999999</v>
      </c>
      <c r="G25" s="35">
        <f>E25*F25</f>
        <v>1827.8034500000001</v>
      </c>
      <c r="H25" s="35">
        <v>0</v>
      </c>
      <c r="I25" s="40">
        <v>0.84</v>
      </c>
      <c r="J25" s="465"/>
      <c r="K25" s="39"/>
    </row>
    <row r="26" spans="2:11">
      <c r="B26" s="36"/>
      <c r="C26" s="33"/>
      <c r="D26" s="33"/>
      <c r="E26" s="151"/>
      <c r="F26" s="33"/>
      <c r="G26" s="33"/>
      <c r="H26" s="33"/>
      <c r="I26" s="40"/>
      <c r="J26" s="465"/>
      <c r="K26" s="39"/>
    </row>
    <row r="27" spans="2:11">
      <c r="B27" s="36">
        <v>39031</v>
      </c>
      <c r="C27" s="33" t="s">
        <v>102</v>
      </c>
      <c r="D27" s="33" t="s">
        <v>59</v>
      </c>
      <c r="E27" s="151">
        <v>20.61</v>
      </c>
      <c r="F27" s="33">
        <v>50</v>
      </c>
      <c r="G27" s="35">
        <f>F27*E27</f>
        <v>1030.5</v>
      </c>
      <c r="H27" s="33">
        <v>9.99</v>
      </c>
      <c r="I27" s="40">
        <v>0.82</v>
      </c>
      <c r="J27" s="465"/>
      <c r="K27" s="39"/>
    </row>
    <row r="28" spans="2:11">
      <c r="B28" s="37"/>
      <c r="C28" s="23"/>
      <c r="D28" s="23"/>
      <c r="E28" s="151"/>
      <c r="F28" s="23"/>
      <c r="G28" s="23"/>
      <c r="H28" s="23"/>
      <c r="I28" s="23"/>
      <c r="J28" s="463"/>
      <c r="K28" s="39"/>
    </row>
    <row r="29" spans="2:11">
      <c r="B29" s="36">
        <v>39115</v>
      </c>
      <c r="C29" s="33" t="s">
        <v>15</v>
      </c>
      <c r="D29" s="33" t="s">
        <v>42</v>
      </c>
      <c r="E29" s="151">
        <v>41</v>
      </c>
      <c r="F29" s="33">
        <v>45</v>
      </c>
      <c r="G29" s="35">
        <f>F29*E29</f>
        <v>1845</v>
      </c>
      <c r="H29" s="33">
        <v>9.99</v>
      </c>
      <c r="I29" s="41">
        <v>0.9</v>
      </c>
      <c r="J29" s="466"/>
      <c r="K29" s="39"/>
    </row>
    <row r="30" spans="2:11">
      <c r="B30" s="37"/>
      <c r="C30" s="33"/>
      <c r="D30" s="33"/>
      <c r="E30" s="151"/>
      <c r="F30" s="33"/>
      <c r="G30" s="35"/>
      <c r="H30" s="33"/>
      <c r="I30" s="33"/>
      <c r="J30" s="463"/>
      <c r="K30" s="39"/>
    </row>
    <row r="31" spans="2:11">
      <c r="B31" s="36">
        <v>39115</v>
      </c>
      <c r="C31" s="33" t="s">
        <v>15</v>
      </c>
      <c r="D31" s="33" t="s">
        <v>43</v>
      </c>
      <c r="E31" s="151">
        <v>51.92</v>
      </c>
      <c r="F31" s="33">
        <v>35</v>
      </c>
      <c r="G31" s="35">
        <f>F31*E31</f>
        <v>1817.2</v>
      </c>
      <c r="H31" s="33">
        <v>9.99</v>
      </c>
      <c r="I31" s="41">
        <v>0.8</v>
      </c>
      <c r="J31" s="466"/>
      <c r="K31" s="39"/>
    </row>
    <row r="32" spans="2:11">
      <c r="B32" s="37"/>
      <c r="C32" s="33"/>
      <c r="D32" s="33"/>
      <c r="E32" s="151"/>
      <c r="F32" s="33"/>
      <c r="G32" s="35"/>
      <c r="H32" s="33"/>
      <c r="I32" s="33"/>
      <c r="J32" s="463"/>
      <c r="K32" s="39"/>
    </row>
    <row r="33" spans="2:11">
      <c r="B33" s="36">
        <v>39136</v>
      </c>
      <c r="C33" s="33" t="s">
        <v>102</v>
      </c>
      <c r="D33" s="33" t="s">
        <v>25</v>
      </c>
      <c r="E33" s="151">
        <v>29.122499999999999</v>
      </c>
      <c r="F33" s="33">
        <v>38</v>
      </c>
      <c r="G33" s="35">
        <f>F33*E33</f>
        <v>1106.655</v>
      </c>
      <c r="H33" s="33">
        <v>9.99</v>
      </c>
      <c r="I33" s="41">
        <v>0.85</v>
      </c>
      <c r="J33" s="466"/>
      <c r="K33" s="24"/>
    </row>
    <row r="34" spans="2:11">
      <c r="B34" s="37"/>
      <c r="C34" s="33"/>
      <c r="D34" s="33"/>
      <c r="E34" s="151"/>
      <c r="F34" s="33"/>
      <c r="G34" s="33"/>
      <c r="H34" s="33"/>
      <c r="I34" s="33"/>
      <c r="J34" s="463"/>
      <c r="K34" s="39"/>
    </row>
    <row r="35" spans="2:11">
      <c r="B35" s="36">
        <v>39373</v>
      </c>
      <c r="C35" s="33" t="s">
        <v>102</v>
      </c>
      <c r="D35" s="33" t="s">
        <v>64</v>
      </c>
      <c r="E35" s="151">
        <v>243.55</v>
      </c>
      <c r="F35" s="33">
        <v>13</v>
      </c>
      <c r="G35" s="35">
        <f>F35*E35</f>
        <v>3166.15</v>
      </c>
      <c r="H35" s="33">
        <v>9.99</v>
      </c>
      <c r="I35" s="41">
        <v>0.98</v>
      </c>
      <c r="J35" s="466"/>
      <c r="K35" s="39"/>
    </row>
    <row r="36" spans="2:11">
      <c r="B36" s="37"/>
      <c r="C36" s="23"/>
      <c r="D36" s="23"/>
      <c r="E36" s="151"/>
      <c r="F36" s="23"/>
      <c r="G36" s="35"/>
      <c r="H36" s="23"/>
      <c r="I36" s="23"/>
      <c r="J36" s="463"/>
      <c r="K36" s="24"/>
    </row>
    <row r="37" spans="2:11">
      <c r="B37" s="36">
        <v>39387</v>
      </c>
      <c r="C37" s="33" t="s">
        <v>15</v>
      </c>
      <c r="D37" s="33" t="s">
        <v>45</v>
      </c>
      <c r="E37" s="151">
        <v>24.53</v>
      </c>
      <c r="F37" s="33">
        <v>100</v>
      </c>
      <c r="G37" s="35">
        <f>F37*E37</f>
        <v>2453</v>
      </c>
      <c r="H37" s="44">
        <v>9.99</v>
      </c>
      <c r="I37" s="41">
        <v>0.8</v>
      </c>
      <c r="J37" s="466"/>
      <c r="K37" s="24"/>
    </row>
    <row r="38" spans="2:11">
      <c r="B38" s="37"/>
      <c r="C38" s="23"/>
      <c r="D38" s="23"/>
      <c r="E38" s="151"/>
      <c r="F38" s="23"/>
      <c r="G38" s="23"/>
      <c r="H38" s="23"/>
      <c r="I38" s="23"/>
      <c r="J38" s="463"/>
      <c r="K38" s="24"/>
    </row>
    <row r="39" spans="2:11">
      <c r="B39" s="36">
        <v>39850</v>
      </c>
      <c r="C39" s="33" t="s">
        <v>15</v>
      </c>
      <c r="D39" s="33" t="s">
        <v>89</v>
      </c>
      <c r="E39" s="151">
        <v>62.69</v>
      </c>
      <c r="F39" s="33">
        <v>25</v>
      </c>
      <c r="G39" s="35">
        <v>1567.29</v>
      </c>
      <c r="H39" s="44">
        <v>9.99</v>
      </c>
      <c r="I39" s="41">
        <v>0.96</v>
      </c>
      <c r="J39" s="466"/>
      <c r="K39" s="24"/>
    </row>
    <row r="40" spans="2:11">
      <c r="B40" s="36"/>
      <c r="C40" s="33"/>
      <c r="D40" s="33"/>
      <c r="E40" s="151"/>
      <c r="F40" s="33"/>
      <c r="G40" s="44"/>
      <c r="H40" s="44"/>
      <c r="I40" s="41"/>
      <c r="J40" s="466"/>
      <c r="K40" s="24"/>
    </row>
    <row r="41" spans="2:11">
      <c r="B41" s="153">
        <v>40094</v>
      </c>
      <c r="C41" s="154" t="s">
        <v>17</v>
      </c>
      <c r="D41" s="154" t="s">
        <v>85</v>
      </c>
      <c r="E41" s="155">
        <v>2.7</v>
      </c>
      <c r="F41" s="156">
        <v>100</v>
      </c>
      <c r="G41" s="155">
        <v>270</v>
      </c>
      <c r="H41" s="156">
        <v>9.99</v>
      </c>
      <c r="I41" s="157">
        <v>0.91500000000000004</v>
      </c>
      <c r="J41" s="467"/>
      <c r="K41" s="158" t="s">
        <v>99</v>
      </c>
    </row>
    <row r="42" spans="2:11">
      <c r="B42" s="36"/>
      <c r="C42" s="149"/>
      <c r="D42" s="149"/>
      <c r="E42" s="151"/>
      <c r="F42" s="33"/>
      <c r="G42" s="152"/>
      <c r="H42" s="44"/>
      <c r="I42" s="41"/>
      <c r="J42" s="466"/>
      <c r="K42" s="24"/>
    </row>
    <row r="43" spans="2:11">
      <c r="B43" s="36">
        <v>40108</v>
      </c>
      <c r="C43" s="149" t="s">
        <v>102</v>
      </c>
      <c r="D43" s="149" t="s">
        <v>22</v>
      </c>
      <c r="E43" s="151">
        <v>20.190000000000001</v>
      </c>
      <c r="F43" s="33">
        <v>22</v>
      </c>
      <c r="G43" s="35">
        <v>434.17</v>
      </c>
      <c r="H43" s="44">
        <v>9.99</v>
      </c>
      <c r="I43" s="41">
        <v>0.95</v>
      </c>
      <c r="J43" s="466"/>
      <c r="K43" s="24"/>
    </row>
    <row r="44" spans="2:11">
      <c r="B44" s="36"/>
      <c r="C44" s="149"/>
      <c r="D44" s="149"/>
      <c r="E44" s="151"/>
      <c r="F44" s="33"/>
      <c r="G44" s="35"/>
      <c r="H44" s="44"/>
      <c r="I44" s="41"/>
      <c r="J44" s="466"/>
      <c r="K44" s="24"/>
    </row>
    <row r="45" spans="2:11">
      <c r="B45" s="36">
        <v>40122</v>
      </c>
      <c r="C45" s="149" t="s">
        <v>15</v>
      </c>
      <c r="D45" s="149" t="s">
        <v>117</v>
      </c>
      <c r="E45" s="151">
        <v>32.72</v>
      </c>
      <c r="F45" s="33">
        <v>50</v>
      </c>
      <c r="G45" s="35">
        <v>1645.99</v>
      </c>
      <c r="H45" s="44">
        <v>9.99</v>
      </c>
      <c r="I45" s="41">
        <v>0.75</v>
      </c>
      <c r="J45" s="466"/>
      <c r="K45" s="24"/>
    </row>
    <row r="46" spans="2:11">
      <c r="B46" s="36"/>
      <c r="C46" s="149"/>
      <c r="D46" s="149"/>
      <c r="E46" s="151"/>
      <c r="F46" s="33"/>
      <c r="G46" s="35"/>
      <c r="H46" s="44"/>
      <c r="I46" s="41"/>
      <c r="J46" s="466"/>
      <c r="K46" s="24"/>
    </row>
    <row r="47" spans="2:11">
      <c r="B47" s="36">
        <v>40129</v>
      </c>
      <c r="C47" s="149" t="s">
        <v>102</v>
      </c>
      <c r="D47" s="149" t="s">
        <v>48</v>
      </c>
      <c r="E47" s="151">
        <v>77.22</v>
      </c>
      <c r="F47" s="33">
        <v>21</v>
      </c>
      <c r="G47" s="35">
        <v>1621.62</v>
      </c>
      <c r="H47" s="44">
        <v>9.99</v>
      </c>
      <c r="I47" s="41">
        <v>0.96</v>
      </c>
      <c r="J47" s="466"/>
      <c r="K47" s="24"/>
    </row>
    <row r="48" spans="2:11">
      <c r="B48" s="36"/>
      <c r="C48" s="149"/>
      <c r="D48" s="149"/>
      <c r="E48" s="151"/>
      <c r="F48" s="33"/>
      <c r="G48" s="35"/>
      <c r="H48" s="44"/>
      <c r="I48" s="41"/>
      <c r="J48" s="466"/>
      <c r="K48" s="24"/>
    </row>
    <row r="49" spans="2:11">
      <c r="B49" s="36">
        <v>40129</v>
      </c>
      <c r="C49" s="149" t="s">
        <v>102</v>
      </c>
      <c r="D49" s="149" t="s">
        <v>23</v>
      </c>
      <c r="E49" s="151">
        <v>39.06</v>
      </c>
      <c r="F49" s="33">
        <v>46</v>
      </c>
      <c r="G49" s="35">
        <v>1796.76</v>
      </c>
      <c r="H49" s="44">
        <v>9.99</v>
      </c>
      <c r="I49" s="41">
        <v>0.96</v>
      </c>
      <c r="J49" s="466"/>
      <c r="K49" s="24"/>
    </row>
    <row r="50" spans="2:11">
      <c r="B50" s="36"/>
      <c r="C50" s="149"/>
      <c r="D50" s="149"/>
      <c r="E50" s="151"/>
      <c r="F50" s="33"/>
      <c r="G50" s="35"/>
      <c r="H50" s="44"/>
      <c r="I50" s="41"/>
      <c r="J50" s="466"/>
      <c r="K50" s="24"/>
    </row>
    <row r="51" spans="2:11">
      <c r="B51" s="36">
        <v>40129</v>
      </c>
      <c r="C51" s="149" t="s">
        <v>15</v>
      </c>
      <c r="D51" s="149" t="s">
        <v>120</v>
      </c>
      <c r="E51" s="151">
        <v>25.46</v>
      </c>
      <c r="F51" s="33">
        <v>60</v>
      </c>
      <c r="G51" s="35">
        <v>1527.6</v>
      </c>
      <c r="H51" s="44">
        <v>9.99</v>
      </c>
      <c r="I51" s="41">
        <v>0.68</v>
      </c>
      <c r="J51" s="466"/>
      <c r="K51" s="24"/>
    </row>
    <row r="52" spans="2:11">
      <c r="B52" s="36"/>
      <c r="C52" s="149"/>
      <c r="D52" s="149"/>
      <c r="E52" s="151"/>
      <c r="F52" s="33"/>
      <c r="G52" s="35"/>
      <c r="H52" s="44"/>
      <c r="I52" s="41"/>
      <c r="J52" s="466"/>
      <c r="K52" s="24"/>
    </row>
    <row r="53" spans="2:11">
      <c r="B53" s="36">
        <v>40129</v>
      </c>
      <c r="C53" s="149" t="s">
        <v>15</v>
      </c>
      <c r="D53" s="149" t="s">
        <v>119</v>
      </c>
      <c r="E53" s="151">
        <v>29.24</v>
      </c>
      <c r="F53" s="33">
        <v>52</v>
      </c>
      <c r="G53" s="35">
        <v>1520.48</v>
      </c>
      <c r="H53" s="44">
        <v>9.99</v>
      </c>
      <c r="I53" s="160">
        <v>0.73</v>
      </c>
      <c r="J53" s="460"/>
      <c r="K53" s="24"/>
    </row>
    <row r="54" spans="2:11">
      <c r="B54" s="36"/>
      <c r="C54" s="149"/>
      <c r="D54" s="149"/>
      <c r="E54" s="151"/>
      <c r="F54" s="33"/>
      <c r="G54" s="35"/>
      <c r="H54" s="44"/>
      <c r="I54" s="160"/>
      <c r="J54" s="460"/>
      <c r="K54" s="24"/>
    </row>
    <row r="55" spans="2:11">
      <c r="B55" s="36">
        <v>40210</v>
      </c>
      <c r="C55" s="149" t="s">
        <v>15</v>
      </c>
      <c r="D55" s="149" t="s">
        <v>53</v>
      </c>
      <c r="E55" s="410">
        <v>77.89</v>
      </c>
      <c r="F55" s="33">
        <v>26</v>
      </c>
      <c r="G55" s="35">
        <f>E55*F55</f>
        <v>2025.14</v>
      </c>
      <c r="H55" s="44">
        <v>9.99</v>
      </c>
      <c r="I55" s="160">
        <v>0.78</v>
      </c>
      <c r="J55" s="460"/>
      <c r="K55" s="24"/>
    </row>
    <row r="56" spans="2:11">
      <c r="B56" s="36"/>
      <c r="C56" s="149"/>
      <c r="D56" s="149"/>
      <c r="E56" s="151"/>
      <c r="F56" s="33"/>
      <c r="G56" s="35"/>
      <c r="H56" s="44"/>
      <c r="I56" s="160"/>
      <c r="J56" s="460"/>
      <c r="K56" s="24"/>
    </row>
    <row r="57" spans="2:11">
      <c r="B57" s="36">
        <v>40210</v>
      </c>
      <c r="C57" s="149" t="s">
        <v>102</v>
      </c>
      <c r="D57" s="149" t="s">
        <v>110</v>
      </c>
      <c r="E57" s="410">
        <v>3.36</v>
      </c>
      <c r="F57" s="33">
        <v>33</v>
      </c>
      <c r="G57" s="35">
        <f>E57*F57</f>
        <v>110.88</v>
      </c>
      <c r="H57" s="44">
        <v>9.99</v>
      </c>
      <c r="I57" s="160">
        <v>0.73</v>
      </c>
      <c r="J57" s="460"/>
      <c r="K57" s="24"/>
    </row>
    <row r="58" spans="2:11">
      <c r="B58" s="36"/>
      <c r="C58" s="149"/>
      <c r="D58" s="149"/>
      <c r="E58" s="410"/>
      <c r="F58" s="33"/>
      <c r="G58" s="35"/>
      <c r="H58" s="44"/>
      <c r="I58" s="160"/>
      <c r="J58" s="460"/>
      <c r="K58" s="24"/>
    </row>
    <row r="59" spans="2:11">
      <c r="B59" s="36">
        <v>40214</v>
      </c>
      <c r="C59" s="149" t="s">
        <v>102</v>
      </c>
      <c r="D59" s="149" t="s">
        <v>45</v>
      </c>
      <c r="E59" s="410">
        <v>9.34</v>
      </c>
      <c r="F59" s="33">
        <v>250</v>
      </c>
      <c r="G59" s="35">
        <f>E59*F59</f>
        <v>2335</v>
      </c>
      <c r="H59" s="44">
        <v>9.99</v>
      </c>
      <c r="I59" s="160">
        <v>0.78</v>
      </c>
      <c r="J59" s="460"/>
      <c r="K59" s="24"/>
    </row>
    <row r="60" spans="2:11">
      <c r="B60" s="36"/>
      <c r="C60" s="149"/>
      <c r="D60" s="149"/>
      <c r="E60" s="410"/>
      <c r="F60" s="33"/>
      <c r="G60" s="35"/>
      <c r="H60" s="44"/>
      <c r="I60" s="160"/>
      <c r="J60" s="460"/>
      <c r="K60" s="24"/>
    </row>
    <row r="61" spans="2:11">
      <c r="B61" s="36">
        <v>40242</v>
      </c>
      <c r="C61" s="149" t="s">
        <v>15</v>
      </c>
      <c r="D61" s="149" t="s">
        <v>125</v>
      </c>
      <c r="E61" s="410">
        <v>50</v>
      </c>
      <c r="F61" s="33">
        <v>25</v>
      </c>
      <c r="G61" s="35">
        <f>E61*F61</f>
        <v>1250</v>
      </c>
      <c r="H61" s="44">
        <v>9.99</v>
      </c>
      <c r="I61" s="160">
        <v>0.82</v>
      </c>
      <c r="J61" s="460"/>
      <c r="K61" s="24"/>
    </row>
    <row r="62" spans="2:11">
      <c r="B62" s="36"/>
      <c r="C62" s="149"/>
      <c r="D62" s="149"/>
      <c r="E62" s="410"/>
      <c r="F62" s="33"/>
      <c r="G62" s="35"/>
      <c r="H62" s="44"/>
      <c r="I62" s="160"/>
      <c r="J62" s="460"/>
      <c r="K62" s="24"/>
    </row>
    <row r="63" spans="2:11">
      <c r="B63" s="36"/>
      <c r="C63" s="149" t="s">
        <v>15</v>
      </c>
      <c r="D63" s="149" t="s">
        <v>110</v>
      </c>
      <c r="E63" s="410">
        <v>1.1399999999999999</v>
      </c>
      <c r="F63" s="33">
        <v>800</v>
      </c>
      <c r="G63" s="35">
        <f>E63*F63</f>
        <v>911.99999999999989</v>
      </c>
      <c r="H63" s="44"/>
      <c r="I63" s="160"/>
      <c r="J63" s="460"/>
      <c r="K63" s="166" t="s">
        <v>55</v>
      </c>
    </row>
    <row r="64" spans="2:11">
      <c r="B64" s="36"/>
      <c r="D64" s="149"/>
      <c r="E64" s="410"/>
      <c r="F64" s="33"/>
      <c r="G64" s="35"/>
      <c r="H64" s="44"/>
      <c r="I64" s="160"/>
      <c r="J64" s="460"/>
      <c r="K64" s="166"/>
    </row>
    <row r="65" spans="2:11">
      <c r="B65" s="36">
        <v>40466</v>
      </c>
      <c r="C65" s="149" t="s">
        <v>33</v>
      </c>
      <c r="D65" s="149" t="s">
        <v>34</v>
      </c>
      <c r="E65" s="410">
        <v>23.93</v>
      </c>
      <c r="F65" s="33">
        <v>100</v>
      </c>
      <c r="G65" s="35">
        <f>E65*F65</f>
        <v>2393</v>
      </c>
      <c r="H65" s="44">
        <v>9.99</v>
      </c>
      <c r="I65" s="160">
        <v>1</v>
      </c>
      <c r="J65" s="460"/>
      <c r="K65" s="166"/>
    </row>
    <row r="66" spans="2:11">
      <c r="B66" s="36"/>
      <c r="C66" s="149"/>
      <c r="D66" s="149"/>
      <c r="E66" s="410"/>
      <c r="F66" s="33"/>
      <c r="G66" s="35"/>
      <c r="H66" s="44"/>
      <c r="I66" s="160"/>
      <c r="J66" s="460"/>
      <c r="K66" s="166"/>
    </row>
    <row r="67" spans="2:11">
      <c r="B67" s="36">
        <v>40466</v>
      </c>
      <c r="C67" s="149" t="s">
        <v>33</v>
      </c>
      <c r="D67" s="149" t="s">
        <v>35</v>
      </c>
      <c r="E67" s="410">
        <v>74.08</v>
      </c>
      <c r="F67" s="33">
        <v>43</v>
      </c>
      <c r="G67" s="35">
        <f>E67*F67</f>
        <v>3185.44</v>
      </c>
      <c r="H67" s="44">
        <v>9.99</v>
      </c>
      <c r="I67" s="160">
        <v>0.94</v>
      </c>
      <c r="J67" s="460"/>
      <c r="K67" s="166"/>
    </row>
    <row r="68" spans="2:11">
      <c r="B68" s="36"/>
      <c r="C68" s="149"/>
      <c r="D68" s="149"/>
      <c r="E68" s="410"/>
      <c r="F68" s="33"/>
      <c r="G68" s="35"/>
      <c r="H68" s="44"/>
      <c r="I68" s="160"/>
      <c r="J68" s="460"/>
      <c r="K68" s="166"/>
    </row>
    <row r="69" spans="2:11">
      <c r="B69" s="36">
        <v>40466</v>
      </c>
      <c r="C69" s="149" t="s">
        <v>36</v>
      </c>
      <c r="D69" s="149" t="s">
        <v>37</v>
      </c>
      <c r="E69" s="410">
        <v>14.43</v>
      </c>
      <c r="F69" s="33">
        <v>117</v>
      </c>
      <c r="G69" s="35">
        <f>E69*F69</f>
        <v>1688.31</v>
      </c>
      <c r="H69" s="44">
        <v>9.99</v>
      </c>
      <c r="I69" s="160">
        <v>0.97</v>
      </c>
      <c r="J69" s="460"/>
      <c r="K69" s="166"/>
    </row>
    <row r="70" spans="2:11">
      <c r="B70" s="36"/>
      <c r="C70" s="149"/>
      <c r="D70" s="149"/>
      <c r="E70" s="410"/>
      <c r="F70" s="33"/>
      <c r="G70" s="35"/>
      <c r="H70" s="44"/>
      <c r="I70" s="160"/>
      <c r="J70" s="460"/>
      <c r="K70" s="166"/>
    </row>
    <row r="71" spans="2:11">
      <c r="B71" s="36">
        <v>40480</v>
      </c>
      <c r="C71" s="204" t="s">
        <v>15</v>
      </c>
      <c r="D71" s="204" t="s">
        <v>159</v>
      </c>
      <c r="E71" s="410">
        <v>56.3</v>
      </c>
      <c r="F71" s="33">
        <v>27</v>
      </c>
      <c r="G71" s="35">
        <f>E71*F71</f>
        <v>1520.1</v>
      </c>
      <c r="H71" s="44">
        <v>9.99</v>
      </c>
      <c r="I71" s="160">
        <v>0.93</v>
      </c>
      <c r="J71" s="460"/>
      <c r="K71" s="166"/>
    </row>
    <row r="72" spans="2:11">
      <c r="B72" s="36"/>
      <c r="C72" s="149"/>
      <c r="D72" s="149"/>
      <c r="E72" s="410"/>
      <c r="F72" s="33"/>
      <c r="G72" s="35"/>
      <c r="H72" s="44"/>
      <c r="I72" s="160"/>
      <c r="J72" s="460"/>
      <c r="K72" s="166"/>
    </row>
    <row r="73" spans="2:11">
      <c r="B73" s="36">
        <v>40480</v>
      </c>
      <c r="C73" s="204" t="s">
        <v>15</v>
      </c>
      <c r="D73" s="204" t="s">
        <v>169</v>
      </c>
      <c r="E73" s="410">
        <v>10.89</v>
      </c>
      <c r="F73" s="33">
        <v>100</v>
      </c>
      <c r="G73" s="35">
        <f>E73*F73</f>
        <v>1089</v>
      </c>
      <c r="H73" s="44">
        <v>9.99</v>
      </c>
      <c r="I73" s="160"/>
      <c r="J73" s="460"/>
      <c r="K73" s="166"/>
    </row>
    <row r="74" spans="2:11">
      <c r="B74" s="36"/>
      <c r="C74" s="149"/>
      <c r="D74" s="149"/>
      <c r="E74" s="410"/>
      <c r="F74" s="33"/>
      <c r="G74" s="35"/>
      <c r="H74" s="44"/>
      <c r="I74" s="160"/>
      <c r="J74" s="460"/>
      <c r="K74" s="166"/>
    </row>
    <row r="75" spans="2:11">
      <c r="B75" s="36">
        <v>40616</v>
      </c>
      <c r="C75" s="149" t="s">
        <v>33</v>
      </c>
      <c r="D75" s="204" t="s">
        <v>117</v>
      </c>
      <c r="E75" s="410">
        <v>46.6</v>
      </c>
      <c r="F75" s="33">
        <v>51</v>
      </c>
      <c r="G75" s="35">
        <f>F75*E75</f>
        <v>2376.6</v>
      </c>
      <c r="H75" s="44">
        <v>9.99</v>
      </c>
      <c r="I75" s="160">
        <v>0.86</v>
      </c>
      <c r="J75" s="460"/>
      <c r="K75" s="166"/>
    </row>
    <row r="76" spans="2:11">
      <c r="B76" s="36"/>
      <c r="C76" s="204"/>
      <c r="D76" s="204"/>
      <c r="E76" s="410"/>
      <c r="F76" s="33"/>
      <c r="G76" s="35"/>
      <c r="H76" s="44"/>
      <c r="I76" s="160"/>
      <c r="J76" s="460"/>
      <c r="K76" s="166"/>
    </row>
    <row r="77" spans="2:11">
      <c r="B77" s="36">
        <v>40616</v>
      </c>
      <c r="C77" s="204" t="s">
        <v>15</v>
      </c>
      <c r="D77" s="204" t="s">
        <v>171</v>
      </c>
      <c r="E77" s="410">
        <v>32.159999999999997</v>
      </c>
      <c r="F77" s="33">
        <v>34</v>
      </c>
      <c r="G77" s="35">
        <f>F77*E77</f>
        <v>1093.4399999999998</v>
      </c>
      <c r="H77" s="44">
        <v>9.99</v>
      </c>
      <c r="I77" s="160">
        <v>0.88</v>
      </c>
      <c r="J77" s="460"/>
      <c r="K77" s="166"/>
    </row>
    <row r="78" spans="2:11">
      <c r="B78" s="36"/>
      <c r="C78" s="204"/>
      <c r="D78" s="204"/>
      <c r="E78" s="410"/>
      <c r="F78" s="33"/>
      <c r="G78" s="35"/>
      <c r="H78" s="44"/>
      <c r="I78" s="160"/>
      <c r="J78" s="460"/>
      <c r="K78" s="166"/>
    </row>
    <row r="79" spans="2:11">
      <c r="B79" s="36">
        <v>40658</v>
      </c>
      <c r="C79" s="149" t="s">
        <v>33</v>
      </c>
      <c r="D79" s="236" t="s">
        <v>159</v>
      </c>
      <c r="E79" s="410">
        <v>135.35</v>
      </c>
      <c r="F79" s="33">
        <v>27</v>
      </c>
      <c r="G79" s="35">
        <f>E79*F79</f>
        <v>3654.45</v>
      </c>
      <c r="H79" s="44">
        <v>9.99</v>
      </c>
      <c r="I79" s="160"/>
      <c r="J79" s="460"/>
      <c r="K79" s="166"/>
    </row>
    <row r="80" spans="2:11">
      <c r="B80" s="36"/>
      <c r="C80" s="204"/>
      <c r="D80" s="204"/>
      <c r="E80" s="410"/>
      <c r="F80" s="33"/>
      <c r="G80" s="35"/>
      <c r="H80" s="44"/>
      <c r="I80" s="160"/>
      <c r="J80" s="460"/>
      <c r="K80" s="166"/>
    </row>
    <row r="81" spans="2:15">
      <c r="B81" s="36">
        <v>40773</v>
      </c>
      <c r="C81" s="236" t="s">
        <v>15</v>
      </c>
      <c r="D81" s="236" t="s">
        <v>178</v>
      </c>
      <c r="E81" s="410">
        <v>177.43</v>
      </c>
      <c r="F81" s="33">
        <v>9</v>
      </c>
      <c r="G81" s="35">
        <f>E81*F81</f>
        <v>1596.8700000000001</v>
      </c>
      <c r="H81" s="44">
        <v>9.99</v>
      </c>
      <c r="I81" s="160"/>
      <c r="J81" s="460" t="s">
        <v>323</v>
      </c>
      <c r="K81" s="166"/>
    </row>
    <row r="82" spans="2:15">
      <c r="B82" s="36"/>
      <c r="C82" s="204"/>
      <c r="D82" s="204"/>
      <c r="E82" s="410"/>
      <c r="F82" s="33"/>
      <c r="G82" s="35"/>
      <c r="H82" s="44"/>
      <c r="I82" s="160"/>
      <c r="J82" s="460"/>
      <c r="K82" s="166"/>
    </row>
    <row r="83" spans="2:15">
      <c r="B83" s="36">
        <v>40829</v>
      </c>
      <c r="C83" s="236" t="s">
        <v>15</v>
      </c>
      <c r="D83" s="236" t="s">
        <v>179</v>
      </c>
      <c r="E83" s="410">
        <v>17.23</v>
      </c>
      <c r="F83" s="33">
        <v>87.057000000000002</v>
      </c>
      <c r="G83" s="35">
        <f>E83*F83</f>
        <v>1499.9921100000001</v>
      </c>
      <c r="H83" s="44">
        <v>9.99</v>
      </c>
      <c r="I83" s="160">
        <v>0.69</v>
      </c>
      <c r="J83" s="460" t="s">
        <v>324</v>
      </c>
      <c r="K83" s="166"/>
      <c r="O83" s="326"/>
    </row>
    <row r="84" spans="2:15">
      <c r="B84" s="36"/>
      <c r="C84" s="204"/>
      <c r="D84" s="204"/>
      <c r="E84" s="410"/>
      <c r="F84" s="33"/>
      <c r="G84" s="35"/>
      <c r="H84" s="44"/>
      <c r="I84" s="160"/>
      <c r="J84" s="460"/>
      <c r="K84" s="166"/>
      <c r="O84" s="326"/>
    </row>
    <row r="85" spans="2:15">
      <c r="B85" s="36">
        <v>40891</v>
      </c>
      <c r="C85" s="149" t="s">
        <v>102</v>
      </c>
      <c r="D85" s="149" t="s">
        <v>178</v>
      </c>
      <c r="E85" s="410">
        <v>156.06</v>
      </c>
      <c r="F85" s="33">
        <v>9</v>
      </c>
      <c r="G85" s="35">
        <f>E85*F85</f>
        <v>1404.54</v>
      </c>
      <c r="H85" s="44">
        <v>9.99</v>
      </c>
      <c r="I85" s="160" t="s">
        <v>145</v>
      </c>
      <c r="J85" s="460" t="s">
        <v>323</v>
      </c>
      <c r="K85" s="166"/>
    </row>
    <row r="86" spans="2:15">
      <c r="B86" s="36"/>
      <c r="C86" s="149"/>
      <c r="D86" s="149"/>
      <c r="E86" s="410"/>
      <c r="F86" s="33"/>
      <c r="G86" s="35"/>
      <c r="H86" s="44"/>
      <c r="I86" s="160"/>
      <c r="J86" s="460"/>
      <c r="K86" s="166"/>
    </row>
    <row r="87" spans="2:15">
      <c r="B87" s="36">
        <v>40942</v>
      </c>
      <c r="C87" s="149" t="s">
        <v>102</v>
      </c>
      <c r="D87" s="149" t="s">
        <v>63</v>
      </c>
      <c r="E87" s="410">
        <v>21.22</v>
      </c>
      <c r="F87" s="33">
        <v>41</v>
      </c>
      <c r="G87" s="35">
        <f>F87*E87</f>
        <v>870.02</v>
      </c>
      <c r="H87" s="44">
        <v>9.99</v>
      </c>
      <c r="I87" s="160"/>
      <c r="J87" s="460" t="s">
        <v>321</v>
      </c>
      <c r="K87" s="166"/>
    </row>
    <row r="88" spans="2:15">
      <c r="B88" s="36"/>
      <c r="C88" s="149"/>
      <c r="D88" s="149"/>
      <c r="E88" s="410"/>
      <c r="F88" s="33"/>
      <c r="G88" s="35"/>
      <c r="H88" s="44"/>
      <c r="I88" s="160"/>
      <c r="J88" s="460"/>
      <c r="K88" s="166"/>
    </row>
    <row r="89" spans="2:15">
      <c r="B89" s="36">
        <v>40942</v>
      </c>
      <c r="C89" s="149" t="s">
        <v>15</v>
      </c>
      <c r="D89" s="149" t="s">
        <v>57</v>
      </c>
      <c r="E89" s="410">
        <v>12.47</v>
      </c>
      <c r="F89" s="33">
        <v>65</v>
      </c>
      <c r="G89" s="35">
        <f>F89*E89</f>
        <v>810.55000000000007</v>
      </c>
      <c r="H89" s="44">
        <v>9.99</v>
      </c>
      <c r="I89" s="160"/>
      <c r="J89" s="460" t="s">
        <v>315</v>
      </c>
      <c r="K89" s="166"/>
    </row>
    <row r="90" spans="2:15">
      <c r="B90" s="36"/>
      <c r="C90" s="149"/>
      <c r="D90" s="149"/>
      <c r="E90" s="410"/>
      <c r="F90" s="33"/>
      <c r="G90" s="35"/>
      <c r="H90" s="44"/>
      <c r="I90" s="160"/>
      <c r="J90" s="460"/>
      <c r="K90" s="166"/>
    </row>
    <row r="91" spans="2:15">
      <c r="B91" s="36">
        <v>41166</v>
      </c>
      <c r="C91" s="149" t="s">
        <v>102</v>
      </c>
      <c r="D91" s="149" t="s">
        <v>171</v>
      </c>
      <c r="E91" s="410">
        <v>19.71</v>
      </c>
      <c r="F91" s="33">
        <v>36.591000000000001</v>
      </c>
      <c r="G91" s="35">
        <v>711.2</v>
      </c>
      <c r="H91" s="44">
        <v>9.99</v>
      </c>
      <c r="I91" s="160">
        <v>0.85</v>
      </c>
      <c r="J91" s="460" t="s">
        <v>316</v>
      </c>
      <c r="K91" s="166"/>
    </row>
    <row r="92" spans="2:15">
      <c r="B92" s="36"/>
      <c r="C92" s="149"/>
      <c r="D92" s="149"/>
      <c r="E92" s="410"/>
      <c r="F92" s="33"/>
      <c r="G92" s="35"/>
      <c r="H92" s="44"/>
      <c r="I92" s="160"/>
      <c r="J92" s="460"/>
      <c r="K92" s="166"/>
    </row>
    <row r="93" spans="2:15">
      <c r="B93" s="36">
        <v>41173</v>
      </c>
      <c r="C93" s="149" t="s">
        <v>15</v>
      </c>
      <c r="D93" s="149" t="s">
        <v>228</v>
      </c>
      <c r="E93" s="410">
        <v>16.649999999999999</v>
      </c>
      <c r="F93" s="33">
        <v>100</v>
      </c>
      <c r="G93" s="35">
        <v>1674.98</v>
      </c>
      <c r="H93" s="44">
        <v>9.99</v>
      </c>
      <c r="I93" s="160">
        <v>0.66</v>
      </c>
      <c r="J93" s="460" t="s">
        <v>317</v>
      </c>
      <c r="K93" s="166"/>
    </row>
    <row r="94" spans="2:15">
      <c r="B94" s="36"/>
      <c r="C94" s="149"/>
      <c r="D94" s="149"/>
      <c r="E94" s="410"/>
      <c r="F94" s="33"/>
      <c r="G94" s="35"/>
      <c r="H94" s="44"/>
      <c r="I94" s="160"/>
      <c r="J94" s="460"/>
      <c r="K94" s="166"/>
    </row>
    <row r="95" spans="2:15">
      <c r="B95" s="36">
        <v>41215</v>
      </c>
      <c r="C95" s="149" t="s">
        <v>102</v>
      </c>
      <c r="D95" s="149" t="s">
        <v>42</v>
      </c>
      <c r="E95" s="410">
        <v>23</v>
      </c>
      <c r="F95" s="33">
        <v>57.813000000000002</v>
      </c>
      <c r="G95" s="35">
        <v>1319.69</v>
      </c>
      <c r="H95" s="44">
        <v>9.99</v>
      </c>
      <c r="I95" s="160">
        <v>0.72</v>
      </c>
      <c r="J95" s="460" t="s">
        <v>318</v>
      </c>
      <c r="K95" s="166"/>
    </row>
    <row r="96" spans="2:15">
      <c r="B96" s="36"/>
      <c r="C96" s="149"/>
      <c r="D96" s="149"/>
      <c r="E96" s="410"/>
      <c r="F96" s="33"/>
      <c r="G96" s="35"/>
      <c r="H96" s="44"/>
      <c r="I96" s="160"/>
      <c r="J96" s="460"/>
      <c r="K96" s="166"/>
    </row>
    <row r="97" spans="2:11">
      <c r="B97" s="36">
        <v>41215</v>
      </c>
      <c r="C97" s="149" t="s">
        <v>15</v>
      </c>
      <c r="D97" s="149" t="s">
        <v>238</v>
      </c>
      <c r="E97" s="410">
        <v>12.43</v>
      </c>
      <c r="F97" s="33">
        <v>150</v>
      </c>
      <c r="G97" s="35">
        <v>1875.74</v>
      </c>
      <c r="H97" s="44">
        <v>9.99</v>
      </c>
      <c r="I97" s="160">
        <v>0.78</v>
      </c>
      <c r="J97" s="460" t="s">
        <v>319</v>
      </c>
      <c r="K97" s="166"/>
    </row>
    <row r="98" spans="2:11">
      <c r="B98" s="36"/>
      <c r="C98" s="149"/>
      <c r="D98" s="149"/>
      <c r="E98" s="410"/>
      <c r="F98" s="33"/>
      <c r="G98" s="35"/>
      <c r="H98" s="44"/>
      <c r="I98" s="160"/>
      <c r="J98" s="460"/>
      <c r="K98" s="166"/>
    </row>
    <row r="99" spans="2:11">
      <c r="B99" s="36">
        <v>41222</v>
      </c>
      <c r="C99" s="149" t="s">
        <v>15</v>
      </c>
      <c r="D99" s="149" t="s">
        <v>242</v>
      </c>
      <c r="E99" s="410">
        <v>83</v>
      </c>
      <c r="F99" s="33">
        <v>15</v>
      </c>
      <c r="G99" s="35">
        <v>1319.69</v>
      </c>
      <c r="H99" s="44">
        <v>9.99</v>
      </c>
      <c r="I99" s="160">
        <v>0.72</v>
      </c>
      <c r="J99" s="460" t="s">
        <v>322</v>
      </c>
      <c r="K99" s="166"/>
    </row>
    <row r="100" spans="2:11">
      <c r="B100" s="36"/>
      <c r="C100" s="149"/>
      <c r="D100" s="149"/>
      <c r="E100" s="410"/>
      <c r="F100" s="33"/>
      <c r="G100" s="35"/>
      <c r="H100" s="44"/>
      <c r="I100" s="160"/>
      <c r="J100" s="460"/>
      <c r="K100" s="166"/>
    </row>
    <row r="101" spans="2:11">
      <c r="B101" s="36">
        <v>41243</v>
      </c>
      <c r="C101" s="149" t="s">
        <v>15</v>
      </c>
      <c r="D101" s="149" t="s">
        <v>256</v>
      </c>
      <c r="E101" s="410">
        <v>19.489999999999998</v>
      </c>
      <c r="F101" s="33">
        <v>75</v>
      </c>
      <c r="G101" s="35">
        <v>1471.73</v>
      </c>
      <c r="H101" s="44">
        <v>9.99</v>
      </c>
      <c r="I101" s="160">
        <v>0.96</v>
      </c>
      <c r="J101" s="460" t="s">
        <v>315</v>
      </c>
      <c r="K101" s="166"/>
    </row>
    <row r="102" spans="2:11">
      <c r="B102" s="36"/>
      <c r="C102" s="149"/>
      <c r="D102" s="149"/>
      <c r="E102" s="410"/>
      <c r="F102" s="33"/>
      <c r="G102" s="35"/>
      <c r="H102" s="44"/>
      <c r="I102" s="160"/>
      <c r="J102" s="460"/>
      <c r="K102" s="166"/>
    </row>
    <row r="103" spans="2:11">
      <c r="B103" s="36">
        <v>41243</v>
      </c>
      <c r="C103" s="149" t="s">
        <v>102</v>
      </c>
      <c r="D103" s="149" t="s">
        <v>91</v>
      </c>
      <c r="E103" s="410">
        <v>54.07</v>
      </c>
      <c r="F103" s="33">
        <v>41.744999999999997</v>
      </c>
      <c r="G103" s="35">
        <v>2247.11</v>
      </c>
      <c r="H103" s="44">
        <v>9.99</v>
      </c>
      <c r="I103" s="160">
        <v>0.96</v>
      </c>
      <c r="J103" s="460" t="s">
        <v>315</v>
      </c>
      <c r="K103" s="166"/>
    </row>
    <row r="104" spans="2:11">
      <c r="B104" s="36"/>
      <c r="C104" s="149"/>
      <c r="D104" s="149"/>
      <c r="E104" s="410"/>
      <c r="F104" s="33"/>
      <c r="G104" s="35"/>
      <c r="H104" s="44"/>
      <c r="I104" s="160"/>
      <c r="J104" s="460"/>
      <c r="K104" s="166"/>
    </row>
    <row r="105" spans="2:11">
      <c r="B105" s="36">
        <v>41298</v>
      </c>
      <c r="C105" s="149" t="s">
        <v>102</v>
      </c>
      <c r="D105" s="149" t="s">
        <v>188</v>
      </c>
      <c r="E105" s="410">
        <v>14.86</v>
      </c>
      <c r="F105" s="406">
        <v>134.99299999999999</v>
      </c>
      <c r="G105" s="35">
        <f>F105*E105</f>
        <v>2005.9959799999999</v>
      </c>
      <c r="H105" s="44">
        <v>9.99</v>
      </c>
      <c r="I105" s="160">
        <v>1</v>
      </c>
      <c r="J105" s="460" t="s">
        <v>318</v>
      </c>
      <c r="K105" s="166"/>
    </row>
    <row r="106" spans="2:11">
      <c r="B106" s="36"/>
      <c r="C106" s="149"/>
      <c r="D106" s="149"/>
      <c r="E106" s="410"/>
      <c r="F106" s="33"/>
      <c r="G106" s="35"/>
      <c r="H106" s="44"/>
      <c r="I106" s="160"/>
      <c r="J106" s="460"/>
      <c r="K106" s="166"/>
    </row>
    <row r="107" spans="2:11">
      <c r="B107" s="36">
        <v>41334</v>
      </c>
      <c r="C107" s="149" t="s">
        <v>15</v>
      </c>
      <c r="D107" s="149" t="s">
        <v>285</v>
      </c>
      <c r="E107" s="410">
        <v>21.75</v>
      </c>
      <c r="F107" s="406">
        <v>100</v>
      </c>
      <c r="G107" s="35">
        <f>F107*E107</f>
        <v>2175</v>
      </c>
      <c r="H107" s="44">
        <v>9.99</v>
      </c>
      <c r="I107" s="160">
        <f>(31/40)</f>
        <v>0.77500000000000002</v>
      </c>
      <c r="J107" s="460" t="s">
        <v>315</v>
      </c>
      <c r="K107" s="166"/>
    </row>
    <row r="108" spans="2:11">
      <c r="B108" s="36"/>
      <c r="C108" s="149"/>
      <c r="D108" s="149"/>
      <c r="E108" s="410"/>
      <c r="F108" s="408"/>
      <c r="G108" s="35"/>
      <c r="H108" s="44"/>
      <c r="I108" s="160"/>
      <c r="J108" s="460"/>
      <c r="K108" s="166"/>
    </row>
    <row r="109" spans="2:11">
      <c r="B109" s="36">
        <v>41355</v>
      </c>
      <c r="C109" s="149" t="s">
        <v>102</v>
      </c>
      <c r="D109" s="149" t="s">
        <v>64</v>
      </c>
      <c r="E109" s="410">
        <v>131.71</v>
      </c>
      <c r="F109" s="408">
        <v>15.202</v>
      </c>
      <c r="G109" s="35">
        <f>F109*E109</f>
        <v>2002.2554200000002</v>
      </c>
      <c r="H109" s="44">
        <v>9.99</v>
      </c>
      <c r="I109" s="160">
        <v>0.76</v>
      </c>
      <c r="J109" s="460" t="s">
        <v>318</v>
      </c>
      <c r="K109" s="166"/>
    </row>
    <row r="110" spans="2:11">
      <c r="B110" s="36"/>
      <c r="C110" s="149"/>
      <c r="D110" s="149"/>
      <c r="E110" s="410"/>
      <c r="F110" s="408"/>
      <c r="G110" s="35"/>
      <c r="H110" s="44"/>
      <c r="I110" s="160"/>
      <c r="J110" s="460"/>
      <c r="K110" s="166"/>
    </row>
    <row r="111" spans="2:11">
      <c r="B111" s="36">
        <v>41355</v>
      </c>
      <c r="C111" s="149" t="s">
        <v>102</v>
      </c>
      <c r="D111" s="149" t="s">
        <v>50</v>
      </c>
      <c r="E111" s="410">
        <v>83.3</v>
      </c>
      <c r="F111" s="408">
        <v>47.706000000000003</v>
      </c>
      <c r="G111" s="35">
        <f>F111*E111</f>
        <v>3973.9097999999999</v>
      </c>
      <c r="H111" s="44">
        <v>9.99</v>
      </c>
      <c r="I111" s="160">
        <v>0.78</v>
      </c>
      <c r="J111" s="460" t="s">
        <v>320</v>
      </c>
      <c r="K111" s="166"/>
    </row>
    <row r="112" spans="2:11">
      <c r="B112" s="36"/>
      <c r="C112" s="149"/>
      <c r="D112" s="149"/>
      <c r="E112" s="410"/>
      <c r="F112" s="408"/>
      <c r="G112" s="35"/>
      <c r="H112" s="44"/>
      <c r="I112" s="160"/>
      <c r="J112" s="460"/>
      <c r="K112" s="166"/>
    </row>
    <row r="113" spans="2:11">
      <c r="B113" s="36">
        <v>41355</v>
      </c>
      <c r="C113" s="149" t="s">
        <v>15</v>
      </c>
      <c r="D113" s="149" t="s">
        <v>288</v>
      </c>
      <c r="E113" s="410">
        <v>8.61</v>
      </c>
      <c r="F113" s="408">
        <v>300</v>
      </c>
      <c r="G113" s="35">
        <f>F113*E113</f>
        <v>2583</v>
      </c>
      <c r="H113" s="44">
        <v>9.99</v>
      </c>
      <c r="I113" s="160">
        <v>0.78</v>
      </c>
      <c r="J113" s="460" t="s">
        <v>320</v>
      </c>
      <c r="K113" s="166"/>
    </row>
    <row r="114" spans="2:11">
      <c r="B114" s="36"/>
      <c r="C114" s="149"/>
      <c r="D114" s="149"/>
      <c r="E114" s="410"/>
      <c r="F114" s="418"/>
      <c r="G114" s="35"/>
      <c r="H114" s="44"/>
      <c r="I114" s="160"/>
      <c r="J114" s="460"/>
      <c r="K114" s="166"/>
    </row>
    <row r="115" spans="2:11">
      <c r="B115" s="36">
        <v>41365</v>
      </c>
      <c r="C115" s="149" t="s">
        <v>102</v>
      </c>
      <c r="D115" s="149" t="s">
        <v>57</v>
      </c>
      <c r="E115" s="410">
        <v>13.01</v>
      </c>
      <c r="F115" s="418">
        <v>66.475999999999999</v>
      </c>
      <c r="G115" s="35">
        <f>F115*E115</f>
        <v>864.85275999999999</v>
      </c>
      <c r="H115" s="44">
        <v>9.99</v>
      </c>
      <c r="I115" s="160">
        <v>0.76</v>
      </c>
      <c r="J115" s="460" t="s">
        <v>317</v>
      </c>
      <c r="K115" s="166"/>
    </row>
    <row r="116" spans="2:11">
      <c r="B116" s="36"/>
      <c r="C116" s="149"/>
      <c r="D116" s="149"/>
      <c r="E116" s="410"/>
      <c r="F116" s="418"/>
      <c r="G116" s="35"/>
      <c r="H116" s="44"/>
      <c r="I116" s="160"/>
      <c r="J116" s="460"/>
      <c r="K116" s="166"/>
    </row>
    <row r="117" spans="2:11">
      <c r="B117" s="36">
        <v>41365</v>
      </c>
      <c r="C117" s="149" t="s">
        <v>15</v>
      </c>
      <c r="D117" s="149" t="s">
        <v>293</v>
      </c>
      <c r="E117" s="410">
        <v>16.48</v>
      </c>
      <c r="F117" s="418">
        <v>150</v>
      </c>
      <c r="G117" s="35">
        <f>F117*E117</f>
        <v>2472</v>
      </c>
      <c r="H117" s="44">
        <v>9.99</v>
      </c>
      <c r="I117" s="160">
        <v>0.76</v>
      </c>
      <c r="J117" s="460" t="s">
        <v>317</v>
      </c>
      <c r="K117" s="166"/>
    </row>
    <row r="118" spans="2:11">
      <c r="B118" s="36"/>
      <c r="C118" s="149"/>
      <c r="D118" s="149"/>
      <c r="E118" s="410"/>
      <c r="F118" s="418"/>
      <c r="G118" s="35"/>
      <c r="H118" s="44"/>
      <c r="I118" s="160"/>
      <c r="J118" s="460"/>
      <c r="K118" s="166"/>
    </row>
    <row r="119" spans="2:11">
      <c r="B119" s="36">
        <v>41397</v>
      </c>
      <c r="C119" s="149" t="s">
        <v>102</v>
      </c>
      <c r="D119" s="149" t="s">
        <v>288</v>
      </c>
      <c r="E119" s="410">
        <v>11.25</v>
      </c>
      <c r="F119" s="418">
        <v>100</v>
      </c>
      <c r="G119" s="35">
        <f>F119*E119</f>
        <v>1125</v>
      </c>
      <c r="H119" s="44">
        <v>9.99</v>
      </c>
      <c r="I119" s="160" t="s">
        <v>145</v>
      </c>
      <c r="J119" s="460" t="s">
        <v>321</v>
      </c>
      <c r="K119" s="166"/>
    </row>
    <row r="120" spans="2:11">
      <c r="B120" s="36"/>
      <c r="C120" s="149"/>
      <c r="D120" s="149"/>
      <c r="E120" s="410"/>
      <c r="F120" s="428"/>
      <c r="G120" s="35"/>
      <c r="H120" s="44"/>
      <c r="I120" s="160"/>
      <c r="J120" s="460"/>
      <c r="K120" s="166"/>
    </row>
    <row r="121" spans="2:11">
      <c r="B121" s="36">
        <v>41416</v>
      </c>
      <c r="C121" s="149" t="s">
        <v>102</v>
      </c>
      <c r="D121" s="149" t="s">
        <v>120</v>
      </c>
      <c r="E121" s="410">
        <v>28.061</v>
      </c>
      <c r="F121" s="428">
        <v>60</v>
      </c>
      <c r="G121" s="35">
        <f>F121*E121</f>
        <v>1683.66</v>
      </c>
      <c r="H121" s="44">
        <v>9.99</v>
      </c>
      <c r="I121" s="160" t="s">
        <v>145</v>
      </c>
      <c r="J121" s="460" t="s">
        <v>321</v>
      </c>
      <c r="K121" s="166"/>
    </row>
    <row r="122" spans="2:11">
      <c r="B122" s="36"/>
      <c r="C122" s="149"/>
      <c r="D122" s="149"/>
      <c r="E122" s="410"/>
      <c r="F122" s="428"/>
      <c r="G122" s="35"/>
      <c r="H122" s="44"/>
      <c r="I122" s="160"/>
      <c r="J122" s="460"/>
      <c r="K122" s="166"/>
    </row>
    <row r="123" spans="2:11">
      <c r="B123" s="36">
        <v>41416</v>
      </c>
      <c r="C123" s="149" t="s">
        <v>102</v>
      </c>
      <c r="D123" s="149" t="s">
        <v>125</v>
      </c>
      <c r="E123" s="410">
        <v>28.75</v>
      </c>
      <c r="F123" s="428">
        <v>53.13</v>
      </c>
      <c r="G123" s="35">
        <f>F123*E123</f>
        <v>1527.4875000000002</v>
      </c>
      <c r="H123" s="44">
        <v>9.99</v>
      </c>
      <c r="I123" s="160" t="s">
        <v>145</v>
      </c>
      <c r="J123" s="460" t="s">
        <v>321</v>
      </c>
      <c r="K123" s="166"/>
    </row>
    <row r="124" spans="2:11">
      <c r="B124" s="36"/>
      <c r="C124" s="149"/>
      <c r="D124" s="149"/>
      <c r="E124" s="410"/>
      <c r="F124" s="428"/>
      <c r="G124" s="35"/>
      <c r="H124" s="44"/>
      <c r="I124" s="160"/>
      <c r="J124" s="460"/>
      <c r="K124" s="166"/>
    </row>
    <row r="125" spans="2:11">
      <c r="B125" s="36">
        <v>41416</v>
      </c>
      <c r="C125" s="149" t="s">
        <v>15</v>
      </c>
      <c r="D125" s="149" t="s">
        <v>304</v>
      </c>
      <c r="E125" s="410">
        <v>11.61</v>
      </c>
      <c r="F125" s="428">
        <v>150</v>
      </c>
      <c r="G125" s="35">
        <f>F125*E125</f>
        <v>1741.5</v>
      </c>
      <c r="H125" s="44">
        <v>9.99</v>
      </c>
      <c r="I125" s="160" t="s">
        <v>145</v>
      </c>
      <c r="J125" s="460" t="s">
        <v>321</v>
      </c>
      <c r="K125" s="166"/>
    </row>
    <row r="126" spans="2:11">
      <c r="B126" s="36"/>
      <c r="C126" s="149"/>
      <c r="D126" s="149"/>
      <c r="E126" s="410"/>
      <c r="F126" s="428"/>
      <c r="G126" s="35"/>
      <c r="H126" s="44"/>
      <c r="I126" s="160"/>
      <c r="J126" s="460"/>
      <c r="K126" s="166"/>
    </row>
    <row r="127" spans="2:11">
      <c r="B127" s="36">
        <v>41416</v>
      </c>
      <c r="C127" s="149" t="s">
        <v>15</v>
      </c>
      <c r="D127" s="149" t="s">
        <v>304</v>
      </c>
      <c r="E127" s="410">
        <v>11.46</v>
      </c>
      <c r="F127" s="428">
        <v>50</v>
      </c>
      <c r="G127" s="35">
        <f>F127*E127</f>
        <v>573</v>
      </c>
      <c r="H127" s="44">
        <v>9.99</v>
      </c>
      <c r="I127" s="160" t="s">
        <v>145</v>
      </c>
      <c r="J127" s="460" t="s">
        <v>321</v>
      </c>
      <c r="K127" s="166"/>
    </row>
    <row r="128" spans="2:11">
      <c r="B128" s="36"/>
      <c r="C128" s="149"/>
      <c r="D128" s="149"/>
      <c r="E128" s="410"/>
      <c r="F128" s="428"/>
      <c r="G128" s="35"/>
      <c r="H128" s="44"/>
      <c r="I128" s="160"/>
      <c r="J128" s="460"/>
      <c r="K128" s="166"/>
    </row>
    <row r="129" spans="2:11">
      <c r="B129" s="36">
        <v>41416</v>
      </c>
      <c r="C129" s="149" t="s">
        <v>15</v>
      </c>
      <c r="D129" s="149" t="s">
        <v>238</v>
      </c>
      <c r="E129" s="410">
        <v>17.73</v>
      </c>
      <c r="F129" s="428">
        <v>50</v>
      </c>
      <c r="G129" s="35">
        <f>F129*E129</f>
        <v>886.5</v>
      </c>
      <c r="H129" s="44">
        <v>9.99</v>
      </c>
      <c r="I129" s="160" t="s">
        <v>145</v>
      </c>
      <c r="J129" s="460" t="s">
        <v>321</v>
      </c>
      <c r="K129" s="166"/>
    </row>
    <row r="130" spans="2:11">
      <c r="B130" s="36"/>
      <c r="C130" s="149"/>
      <c r="D130" s="149"/>
      <c r="E130" s="410"/>
      <c r="F130" s="453"/>
      <c r="G130" s="35"/>
      <c r="H130" s="44"/>
      <c r="I130" s="160"/>
      <c r="J130" s="460"/>
      <c r="K130" s="166"/>
    </row>
    <row r="131" spans="2:11">
      <c r="B131" s="36">
        <v>41424</v>
      </c>
      <c r="C131" s="149" t="s">
        <v>102</v>
      </c>
      <c r="D131" s="149" t="s">
        <v>89</v>
      </c>
      <c r="E131" s="410">
        <v>41.2</v>
      </c>
      <c r="F131" s="453">
        <v>25</v>
      </c>
      <c r="G131" s="35">
        <f>F131*E131</f>
        <v>1030</v>
      </c>
      <c r="H131" s="44">
        <v>9.99</v>
      </c>
      <c r="I131" s="160" t="s">
        <v>145</v>
      </c>
      <c r="J131" s="460" t="s">
        <v>321</v>
      </c>
      <c r="K131" s="166"/>
    </row>
    <row r="132" spans="2:11">
      <c r="B132" s="36"/>
      <c r="C132" s="149"/>
      <c r="D132" s="149"/>
      <c r="E132" s="410"/>
      <c r="F132" s="453"/>
      <c r="G132" s="35"/>
      <c r="H132" s="44"/>
      <c r="I132" s="160"/>
      <c r="J132" s="460"/>
      <c r="K132" s="166"/>
    </row>
    <row r="133" spans="2:11">
      <c r="B133" s="36">
        <v>41424</v>
      </c>
      <c r="C133" s="149" t="s">
        <v>15</v>
      </c>
      <c r="D133" s="149" t="s">
        <v>307</v>
      </c>
      <c r="E133" s="410">
        <v>15.04</v>
      </c>
      <c r="F133" s="453">
        <v>135</v>
      </c>
      <c r="G133" s="35">
        <f>F133*E133</f>
        <v>2030.3999999999999</v>
      </c>
      <c r="H133" s="44">
        <v>9.99</v>
      </c>
      <c r="I133" s="160" t="s">
        <v>145</v>
      </c>
      <c r="J133" s="460" t="s">
        <v>321</v>
      </c>
      <c r="K133" s="166"/>
    </row>
    <row r="134" spans="2:11">
      <c r="B134" s="36"/>
      <c r="C134" s="149"/>
      <c r="D134" s="149"/>
      <c r="E134" s="410"/>
      <c r="F134" s="457"/>
      <c r="G134" s="35"/>
      <c r="H134" s="44"/>
      <c r="I134" s="160"/>
      <c r="J134" s="460"/>
      <c r="K134" s="166"/>
    </row>
    <row r="135" spans="2:11">
      <c r="B135" s="36">
        <v>41438</v>
      </c>
      <c r="C135" s="149" t="s">
        <v>102</v>
      </c>
      <c r="D135" s="149" t="s">
        <v>119</v>
      </c>
      <c r="E135" s="410">
        <v>45.66</v>
      </c>
      <c r="F135" s="457">
        <v>62</v>
      </c>
      <c r="G135" s="35">
        <f>F135*E135</f>
        <v>2830.9199999999996</v>
      </c>
      <c r="H135" s="44">
        <v>9.99</v>
      </c>
      <c r="I135" s="160" t="s">
        <v>145</v>
      </c>
      <c r="J135" s="460" t="s">
        <v>321</v>
      </c>
      <c r="K135" s="166"/>
    </row>
    <row r="136" spans="2:11">
      <c r="B136" s="36"/>
      <c r="C136" s="149"/>
      <c r="D136" s="149"/>
      <c r="E136" s="410"/>
      <c r="F136" s="457"/>
      <c r="G136" s="35"/>
      <c r="H136" s="44"/>
      <c r="I136" s="160"/>
      <c r="J136" s="460"/>
      <c r="K136" s="166"/>
    </row>
    <row r="137" spans="2:11">
      <c r="B137" s="36">
        <v>41438</v>
      </c>
      <c r="C137" s="149" t="s">
        <v>102</v>
      </c>
      <c r="D137" s="149" t="s">
        <v>49</v>
      </c>
      <c r="E137" s="410">
        <v>61.03</v>
      </c>
      <c r="F137" s="457">
        <v>45</v>
      </c>
      <c r="G137" s="35">
        <f>F137*E137</f>
        <v>2746.35</v>
      </c>
      <c r="H137" s="44">
        <v>9.99</v>
      </c>
      <c r="I137" s="160" t="s">
        <v>145</v>
      </c>
      <c r="J137" s="460" t="s">
        <v>321</v>
      </c>
      <c r="K137" s="166"/>
    </row>
    <row r="138" spans="2:11">
      <c r="B138" s="36"/>
      <c r="C138" s="149"/>
      <c r="D138" s="149"/>
      <c r="E138" s="410"/>
      <c r="F138" s="457"/>
      <c r="G138" s="35"/>
      <c r="H138" s="44"/>
      <c r="I138" s="160"/>
      <c r="J138" s="460"/>
      <c r="K138" s="166"/>
    </row>
    <row r="139" spans="2:11">
      <c r="B139" s="36">
        <v>41438</v>
      </c>
      <c r="C139" s="149" t="s">
        <v>102</v>
      </c>
      <c r="D139" s="149" t="s">
        <v>169</v>
      </c>
      <c r="E139" s="410">
        <v>8.86</v>
      </c>
      <c r="F139" s="457">
        <v>105</v>
      </c>
      <c r="G139" s="35">
        <f>F139*E139</f>
        <v>930.3</v>
      </c>
      <c r="H139" s="44">
        <v>9.99</v>
      </c>
      <c r="I139" s="160" t="s">
        <v>145</v>
      </c>
      <c r="J139" s="460" t="s">
        <v>321</v>
      </c>
      <c r="K139" s="166"/>
    </row>
    <row r="140" spans="2:11">
      <c r="B140" s="36"/>
      <c r="C140" s="149"/>
      <c r="D140" s="149"/>
      <c r="E140" s="410"/>
      <c r="F140" s="457"/>
      <c r="G140" s="35"/>
      <c r="H140" s="44"/>
      <c r="I140" s="160"/>
      <c r="J140" s="460"/>
      <c r="K140" s="166"/>
    </row>
    <row r="141" spans="2:11">
      <c r="B141" s="36">
        <v>41438</v>
      </c>
      <c r="C141" s="149" t="s">
        <v>15</v>
      </c>
      <c r="D141" s="149" t="s">
        <v>59</v>
      </c>
      <c r="E141" s="410">
        <v>24.72</v>
      </c>
      <c r="F141" s="457">
        <v>112</v>
      </c>
      <c r="G141" s="35">
        <f>F141*E141</f>
        <v>2768.64</v>
      </c>
      <c r="H141" s="44">
        <v>9.99</v>
      </c>
      <c r="I141" s="160" t="s">
        <v>145</v>
      </c>
      <c r="J141" s="460" t="s">
        <v>321</v>
      </c>
      <c r="K141" s="166"/>
    </row>
    <row r="142" spans="2:11">
      <c r="B142" s="36"/>
      <c r="C142" s="149"/>
      <c r="D142" s="149"/>
      <c r="F142" s="33"/>
      <c r="G142" s="152"/>
      <c r="H142" s="44"/>
      <c r="I142" s="160"/>
      <c r="J142" s="460"/>
      <c r="K142" s="166"/>
    </row>
    <row r="143" spans="2:11" ht="13.5" thickBot="1">
      <c r="B143" s="36"/>
      <c r="C143" s="228"/>
      <c r="D143" s="517" t="s">
        <v>103</v>
      </c>
      <c r="E143" s="517"/>
      <c r="F143" s="517"/>
      <c r="G143" s="517"/>
      <c r="H143" s="517"/>
      <c r="I143" s="517"/>
      <c r="J143" s="468"/>
      <c r="K143" s="24"/>
    </row>
    <row r="144" spans="2:11" ht="15.75" customHeight="1">
      <c r="B144" s="219" t="s">
        <v>184</v>
      </c>
      <c r="C144" s="220"/>
      <c r="D144" s="25" t="s">
        <v>15</v>
      </c>
      <c r="E144" s="23" t="s">
        <v>108</v>
      </c>
      <c r="F144" s="23"/>
      <c r="G144" s="23"/>
      <c r="H144" s="23"/>
      <c r="I144" s="23"/>
      <c r="J144" s="463"/>
      <c r="K144" s="24"/>
    </row>
    <row r="145" spans="2:11" ht="12.75" customHeight="1">
      <c r="B145" s="218"/>
      <c r="C145" s="221"/>
      <c r="D145" s="25" t="s">
        <v>16</v>
      </c>
      <c r="E145" s="23" t="s">
        <v>18</v>
      </c>
      <c r="F145" s="23"/>
      <c r="G145" s="23"/>
      <c r="H145" s="23"/>
      <c r="I145" s="23"/>
      <c r="J145" s="463"/>
      <c r="K145" s="24"/>
    </row>
    <row r="146" spans="2:11" ht="12.75" customHeight="1" thickBot="1">
      <c r="B146" s="222"/>
      <c r="C146" s="229"/>
      <c r="D146" s="25" t="s">
        <v>17</v>
      </c>
      <c r="E146" s="150" t="s">
        <v>98</v>
      </c>
      <c r="F146" s="23"/>
      <c r="G146" s="23"/>
      <c r="H146" s="23"/>
      <c r="I146" s="23"/>
      <c r="J146" s="463"/>
      <c r="K146" s="24"/>
    </row>
    <row r="147" spans="2:11">
      <c r="B147" s="22"/>
      <c r="C147" s="23"/>
      <c r="D147" s="25" t="s">
        <v>102</v>
      </c>
      <c r="E147" s="23" t="s">
        <v>107</v>
      </c>
      <c r="F147" s="23"/>
      <c r="G147" s="23"/>
      <c r="H147" s="23"/>
      <c r="I147" s="23"/>
      <c r="J147" s="463"/>
      <c r="K147" s="24"/>
    </row>
    <row r="148" spans="2:11" ht="13.5" thickBot="1">
      <c r="B148" s="22"/>
      <c r="C148" s="42"/>
      <c r="D148" s="42"/>
      <c r="E148" s="42"/>
      <c r="F148" s="42"/>
      <c r="G148" s="42"/>
      <c r="H148" s="42"/>
      <c r="I148" s="42"/>
      <c r="J148" s="469"/>
      <c r="K148" s="43"/>
    </row>
    <row r="149" spans="2:11" ht="13.5" thickTop="1">
      <c r="B149" s="230"/>
    </row>
  </sheetData>
  <mergeCells count="2">
    <mergeCell ref="B2:I2"/>
    <mergeCell ref="D143:I143"/>
  </mergeCells>
  <phoneticPr fontId="11" type="noConversion"/>
  <pageMargins left="0.75" right="0.75" top="1" bottom="1" header="0.5" footer="0.5"/>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sheetPr codeName="Sheet1" enableFormatConditionsCalculation="0">
    <tabColor indexed="13"/>
    <pageSetUpPr fitToPage="1"/>
  </sheetPr>
  <dimension ref="A1:AZ64"/>
  <sheetViews>
    <sheetView zoomScale="95" zoomScaleNormal="95" zoomScalePageLayoutView="95" workbookViewId="0">
      <pane xSplit="3" topLeftCell="D1" activePane="topRight" state="frozen"/>
      <selection pane="topRight" activeCell="H38" sqref="H38"/>
    </sheetView>
  </sheetViews>
  <sheetFormatPr defaultColWidth="9.140625" defaultRowHeight="12.75"/>
  <cols>
    <col min="1" max="1" width="1" style="54" customWidth="1"/>
    <col min="2" max="2" width="22.85546875" style="54" hidden="1" customWidth="1"/>
    <col min="3" max="3" width="40.85546875" style="54" bestFit="1" customWidth="1"/>
    <col min="4" max="4" width="1" style="54" customWidth="1"/>
    <col min="5" max="5" width="8.42578125" style="73" bestFit="1" customWidth="1"/>
    <col min="6" max="6" width="7.42578125" style="73" bestFit="1" customWidth="1"/>
    <col min="7" max="7" width="8.42578125" style="73" bestFit="1" customWidth="1"/>
    <col min="8" max="8" width="13.85546875" style="73" bestFit="1" customWidth="1"/>
    <col min="9" max="9" width="13.85546875" style="54" customWidth="1"/>
    <col min="10" max="10" width="15.5703125" style="54" customWidth="1"/>
    <col min="11" max="11" width="18.28515625" style="54" customWidth="1"/>
    <col min="12" max="12" width="1" style="54" customWidth="1"/>
    <col min="13" max="13" width="13.85546875" style="54" bestFit="1" customWidth="1"/>
    <col min="14" max="14" width="13.5703125" style="54" bestFit="1" customWidth="1"/>
    <col min="15" max="15" width="9.85546875" style="54" customWidth="1"/>
    <col min="16" max="16" width="10.7109375" style="54" bestFit="1" customWidth="1"/>
    <col min="17" max="17" width="9.85546875" style="54" customWidth="1"/>
    <col min="18" max="18" width="1.5703125" style="54" customWidth="1"/>
    <col min="19" max="19" width="21.7109375" style="54" bestFit="1" customWidth="1"/>
    <col min="20" max="20" width="1" style="54" customWidth="1"/>
    <col min="21" max="21" width="16.7109375" style="54" customWidth="1"/>
    <col min="22" max="22" width="1" style="54" customWidth="1"/>
    <col min="23" max="23" width="13.42578125" style="54" customWidth="1"/>
    <col min="24" max="24" width="10.7109375" style="54" bestFit="1" customWidth="1"/>
    <col min="25" max="25" width="1" style="54" customWidth="1"/>
    <col min="26" max="26" width="10.28515625" style="54" customWidth="1"/>
    <col min="27" max="27" width="10.7109375" style="54" bestFit="1" customWidth="1"/>
    <col min="28" max="28" width="18.42578125" style="54" customWidth="1"/>
    <col min="29" max="29" width="9.42578125" style="54" customWidth="1"/>
    <col min="30" max="31" width="9.42578125" style="73" customWidth="1"/>
    <col min="32" max="32" width="9" style="73" customWidth="1"/>
    <col min="33" max="33" width="7.7109375" style="73" customWidth="1"/>
    <col min="34" max="16384" width="9.140625" style="54"/>
  </cols>
  <sheetData>
    <row r="1" spans="1:34" ht="3.75" customHeight="1">
      <c r="A1" s="51"/>
      <c r="B1" s="51"/>
      <c r="C1" s="51"/>
      <c r="D1" s="51"/>
      <c r="E1" s="52"/>
      <c r="F1" s="52"/>
      <c r="G1" s="52"/>
      <c r="H1" s="52"/>
      <c r="I1" s="51"/>
      <c r="J1" s="51"/>
      <c r="K1" s="51"/>
      <c r="L1" s="51"/>
      <c r="M1" s="51"/>
      <c r="N1" s="51"/>
      <c r="O1" s="51"/>
      <c r="P1" s="51"/>
      <c r="Q1" s="51"/>
      <c r="R1" s="51"/>
      <c r="S1" s="51"/>
      <c r="T1" s="51"/>
      <c r="U1" s="53"/>
      <c r="V1" s="51"/>
      <c r="W1" s="51"/>
      <c r="X1" s="51"/>
      <c r="Y1" s="51"/>
      <c r="Z1" s="51"/>
      <c r="AA1" s="51"/>
      <c r="AB1" s="51"/>
      <c r="AC1" s="51"/>
      <c r="AD1" s="52"/>
      <c r="AE1" s="52"/>
      <c r="AF1" s="52"/>
      <c r="AG1" s="52"/>
      <c r="AH1" s="51"/>
    </row>
    <row r="2" spans="1:34" ht="7.5" customHeight="1" thickBot="1">
      <c r="A2" s="51"/>
      <c r="B2" s="51"/>
      <c r="C2" s="51"/>
      <c r="D2" s="263"/>
      <c r="E2" s="52"/>
      <c r="F2" s="52"/>
      <c r="G2" s="52"/>
      <c r="H2" s="52"/>
      <c r="I2" s="51"/>
      <c r="J2" s="51"/>
      <c r="K2" s="51"/>
      <c r="L2" s="51"/>
      <c r="M2" s="51"/>
      <c r="N2" s="51"/>
      <c r="O2" s="51"/>
      <c r="P2" s="51"/>
      <c r="Q2" s="51"/>
      <c r="R2" s="51"/>
      <c r="S2" s="51"/>
      <c r="T2" s="51"/>
      <c r="U2" s="53"/>
      <c r="V2" s="51"/>
      <c r="W2" s="51"/>
      <c r="X2" s="51"/>
      <c r="Y2" s="51"/>
      <c r="Z2" s="51"/>
      <c r="AA2" s="51"/>
      <c r="AB2" s="51"/>
      <c r="AC2" s="51"/>
      <c r="AD2" s="52"/>
      <c r="AE2" s="52"/>
      <c r="AF2" s="52"/>
      <c r="AG2" s="52"/>
      <c r="AH2" s="51"/>
    </row>
    <row r="3" spans="1:34" ht="14.25">
      <c r="A3" s="3"/>
      <c r="B3" s="102" t="s">
        <v>127</v>
      </c>
      <c r="C3" s="268" t="s">
        <v>187</v>
      </c>
      <c r="D3" s="266"/>
      <c r="E3" s="102" t="s">
        <v>128</v>
      </c>
      <c r="F3" s="103" t="s">
        <v>67</v>
      </c>
      <c r="G3" s="103" t="s">
        <v>66</v>
      </c>
      <c r="H3" s="103" t="s">
        <v>68</v>
      </c>
      <c r="I3" s="103" t="s">
        <v>129</v>
      </c>
      <c r="J3" s="103" t="s">
        <v>195</v>
      </c>
      <c r="K3" s="103" t="s">
        <v>196</v>
      </c>
      <c r="L3" s="272"/>
      <c r="M3" s="103" t="s">
        <v>186</v>
      </c>
      <c r="N3" s="103" t="s">
        <v>185</v>
      </c>
      <c r="O3" s="103" t="s">
        <v>197</v>
      </c>
      <c r="P3" s="103" t="s">
        <v>198</v>
      </c>
      <c r="Q3" s="257" t="s">
        <v>199</v>
      </c>
      <c r="R3" s="55"/>
      <c r="S3" s="113" t="s">
        <v>150</v>
      </c>
      <c r="T3" s="55"/>
      <c r="U3" s="105" t="s">
        <v>149</v>
      </c>
      <c r="V3" s="3"/>
      <c r="W3" s="520" t="s">
        <v>44</v>
      </c>
      <c r="X3" s="521"/>
      <c r="Y3" s="3"/>
      <c r="Z3" s="111" t="s">
        <v>73</v>
      </c>
      <c r="AA3" s="112" t="s">
        <v>72</v>
      </c>
      <c r="AB3" s="57"/>
      <c r="AC3" s="57" t="s">
        <v>251</v>
      </c>
      <c r="AD3" s="57"/>
      <c r="AE3" s="57"/>
      <c r="AF3" s="58"/>
      <c r="AG3" s="57"/>
      <c r="AH3" s="51"/>
    </row>
    <row r="4" spans="1:34">
      <c r="A4" s="3"/>
      <c r="B4" s="104" t="s">
        <v>56</v>
      </c>
      <c r="C4" s="269" t="s">
        <v>56</v>
      </c>
      <c r="D4" s="264"/>
      <c r="E4" s="267">
        <v>1</v>
      </c>
      <c r="F4" s="248">
        <f>E4</f>
        <v>1</v>
      </c>
      <c r="G4" s="253">
        <v>2029.73</v>
      </c>
      <c r="H4" s="247">
        <f>E4*G4</f>
        <v>2029.73</v>
      </c>
      <c r="I4" s="249">
        <f>F4*G4</f>
        <v>2029.73</v>
      </c>
      <c r="J4" s="249">
        <v>4804</v>
      </c>
      <c r="K4" s="249">
        <v>2029.73</v>
      </c>
      <c r="L4" s="273"/>
      <c r="M4" s="274"/>
      <c r="N4" s="250"/>
      <c r="O4" s="249"/>
      <c r="P4" s="249"/>
      <c r="Q4" s="280"/>
      <c r="R4" s="59"/>
      <c r="S4" s="143" t="s">
        <v>56</v>
      </c>
      <c r="T4" s="59"/>
      <c r="U4" s="106" t="e">
        <f t="shared" ref="U4:U17" si="0">H4/$H$27</f>
        <v>#VALUE!</v>
      </c>
      <c r="V4" s="61"/>
      <c r="W4" s="167" t="s">
        <v>145</v>
      </c>
      <c r="X4" s="108" t="s">
        <v>56</v>
      </c>
      <c r="Y4" s="61"/>
      <c r="Z4" s="107"/>
      <c r="AA4" s="108"/>
      <c r="AB4" s="63"/>
      <c r="AC4" s="322" t="e">
        <f>(0.01/365)*U4</f>
        <v>#VALUE!</v>
      </c>
      <c r="AD4" s="63"/>
      <c r="AE4" s="63"/>
      <c r="AF4" s="64"/>
      <c r="AG4" s="212"/>
      <c r="AH4" s="51"/>
    </row>
    <row r="5" spans="1:34">
      <c r="A5" s="3"/>
      <c r="B5" s="104" t="s">
        <v>53</v>
      </c>
      <c r="C5" s="270" t="str">
        <f>'Holdings Pull Sheet'!C16</f>
        <v xml:space="preserve">Berkshire Hathaway Ord Shs Class B </v>
      </c>
      <c r="D5" s="265"/>
      <c r="E5" s="267">
        <f>'Holdings Pull Sheet'!F16</f>
        <v>114.99</v>
      </c>
      <c r="F5" s="248">
        <v>77.89</v>
      </c>
      <c r="G5" s="245">
        <v>26</v>
      </c>
      <c r="H5" s="247">
        <f t="shared" ref="H5:H25" si="1">E5*G5</f>
        <v>2989.74</v>
      </c>
      <c r="I5" s="249">
        <f t="shared" ref="I5:I7" si="2">F5*ROUNDDOWN(G5,0)+9.95</f>
        <v>2035.0900000000001</v>
      </c>
      <c r="J5" s="247">
        <v>2248.2200317382799</v>
      </c>
      <c r="K5" s="247">
        <v>2287.2199999999998</v>
      </c>
      <c r="L5" s="275"/>
      <c r="M5" s="276">
        <f t="shared" ref="M5:M25" si="3">H5-I5</f>
        <v>954.64999999999964</v>
      </c>
      <c r="N5" s="101">
        <f t="shared" ref="N5:N6" si="4">(H5/I5)-1</f>
        <v>0.46909473291107506</v>
      </c>
      <c r="O5" s="101">
        <f t="shared" ref="O5:O6" si="5">(H5/J5)-1</f>
        <v>0.32982535418848258</v>
      </c>
      <c r="P5" s="101">
        <f t="shared" ref="P5:P6" si="6">(H5/K5)-1</f>
        <v>0.30715016482891899</v>
      </c>
      <c r="Q5" s="281">
        <f>('Holdings Pull Sheet'!F16/'Holdings Pull Sheet'!G16)-1</f>
        <v>1.8061088977423534E-2</v>
      </c>
      <c r="R5" s="65"/>
      <c r="S5" s="144" t="s">
        <v>3</v>
      </c>
      <c r="T5" s="65"/>
      <c r="U5" s="106" t="e">
        <f t="shared" si="0"/>
        <v>#VALUE!</v>
      </c>
      <c r="V5" s="61"/>
      <c r="W5" s="110">
        <f>'Holdings Pull Sheet'!O16/1000000000</f>
        <v>283.48254193399998</v>
      </c>
      <c r="X5" s="147" t="str">
        <f>IF(W5&lt;2,"Small", IF(W5&lt;10, "Mid", IF(W5&gt;10, "Large")))</f>
        <v>Large</v>
      </c>
      <c r="Y5" s="61"/>
      <c r="Z5" s="110">
        <f>'Holdings Pull Sheet'!Q16</f>
        <v>17</v>
      </c>
      <c r="AA5" s="109">
        <f>'Holdings Pull Sheet'!P16</f>
        <v>9988.9699999999993</v>
      </c>
      <c r="AB5" s="63"/>
      <c r="AC5" s="322" t="e">
        <f>Q5*U5</f>
        <v>#VALUE!</v>
      </c>
      <c r="AD5" s="63"/>
      <c r="AE5" s="63"/>
      <c r="AF5" s="64"/>
      <c r="AG5" s="212"/>
      <c r="AH5" s="51"/>
    </row>
    <row r="6" spans="1:34">
      <c r="A6" s="3"/>
      <c r="B6" s="104"/>
      <c r="C6" s="270" t="str">
        <f>'Holdings Pull Sheet'!C17</f>
        <v xml:space="preserve">BlackRock Global Allocation Inv C </v>
      </c>
      <c r="D6" s="265"/>
      <c r="E6" s="267">
        <f>'Holdings Pull Sheet'!F17</f>
        <v>19.39</v>
      </c>
      <c r="F6" s="248">
        <v>17.23</v>
      </c>
      <c r="G6" s="245">
        <v>89.052000000000007</v>
      </c>
      <c r="H6" s="247">
        <f t="shared" si="1"/>
        <v>1726.7182800000003</v>
      </c>
      <c r="I6" s="249">
        <f t="shared" si="2"/>
        <v>1543.42</v>
      </c>
      <c r="J6" s="247">
        <v>1602.045459617618</v>
      </c>
      <c r="K6" s="247">
        <v>1610.9506800000001</v>
      </c>
      <c r="L6" s="277"/>
      <c r="M6" s="276">
        <f t="shared" si="3"/>
        <v>183.2982800000002</v>
      </c>
      <c r="N6" s="101">
        <f t="shared" si="4"/>
        <v>0.11876111492659169</v>
      </c>
      <c r="O6" s="101">
        <f t="shared" si="5"/>
        <v>7.7821025385971021E-2</v>
      </c>
      <c r="P6" s="101">
        <f t="shared" si="6"/>
        <v>7.1862907683803323E-2</v>
      </c>
      <c r="Q6" s="281">
        <f>('Holdings Pull Sheet'!F17/'Holdings Pull Sheet'!G17)-1</f>
        <v>7.2727272727273196E-3</v>
      </c>
      <c r="R6" s="65"/>
      <c r="S6" s="144" t="s">
        <v>176</v>
      </c>
      <c r="T6" s="65"/>
      <c r="U6" s="106" t="e">
        <f t="shared" si="0"/>
        <v>#VALUE!</v>
      </c>
      <c r="V6" s="61"/>
      <c r="W6" s="110">
        <v>0</v>
      </c>
      <c r="X6" s="306" t="s">
        <v>145</v>
      </c>
      <c r="Y6" s="61"/>
      <c r="Z6" s="110">
        <v>0</v>
      </c>
      <c r="AA6" s="109">
        <v>0</v>
      </c>
      <c r="AB6" s="63"/>
      <c r="AC6" s="322" t="e">
        <f t="shared" ref="AC6:AC25" si="7">Q6*U6</f>
        <v>#VALUE!</v>
      </c>
      <c r="AD6" s="63"/>
      <c r="AE6" s="63"/>
      <c r="AF6" s="64"/>
      <c r="AG6" s="235"/>
      <c r="AH6" s="51"/>
    </row>
    <row r="7" spans="1:34">
      <c r="A7" s="3"/>
      <c r="B7" s="104" t="s">
        <v>42</v>
      </c>
      <c r="C7" s="270" t="str">
        <f>'Holdings Pull Sheet'!C18</f>
        <v xml:space="preserve">Caterpillar Inc </v>
      </c>
      <c r="D7" s="265"/>
      <c r="E7" s="267">
        <f>'Holdings Pull Sheet'!F18</f>
        <v>85.14</v>
      </c>
      <c r="F7" s="248">
        <v>83</v>
      </c>
      <c r="G7" s="245">
        <v>15</v>
      </c>
      <c r="H7" s="247">
        <f t="shared" si="1"/>
        <v>1277.0999999999999</v>
      </c>
      <c r="I7" s="249">
        <f t="shared" si="2"/>
        <v>1254.95</v>
      </c>
      <c r="J7" s="247">
        <v>1245</v>
      </c>
      <c r="K7" s="247">
        <v>1293.75</v>
      </c>
      <c r="L7" s="277"/>
      <c r="M7" s="276">
        <f t="shared" si="3"/>
        <v>22.149999999999864</v>
      </c>
      <c r="N7" s="101">
        <f t="shared" ref="N7:N25" si="8">(H7/I7)-1</f>
        <v>1.7650105581895614E-2</v>
      </c>
      <c r="O7" s="101">
        <f t="shared" ref="O7:O25" si="9">(H7/J7)-1</f>
        <v>2.5783132530120323E-2</v>
      </c>
      <c r="P7" s="101">
        <f t="shared" ref="P7:P25" si="10">(H7/K7)-1</f>
        <v>-1.2869565217391354E-2</v>
      </c>
      <c r="Q7" s="281">
        <f>('Holdings Pull Sheet'!F18/'Holdings Pull Sheet'!G18)-1</f>
        <v>2.3194327604855181E-2</v>
      </c>
      <c r="R7" s="65"/>
      <c r="S7" s="144" t="s">
        <v>20</v>
      </c>
      <c r="T7" s="65"/>
      <c r="U7" s="106" t="e">
        <f t="shared" si="0"/>
        <v>#VALUE!</v>
      </c>
      <c r="V7" s="61"/>
      <c r="W7" s="110">
        <f>'Holdings Pull Sheet'!O18/1000000000</f>
        <v>55.978263984999998</v>
      </c>
      <c r="X7" s="159" t="str">
        <f>IF(W7&lt;2,"Small", IF(W7&lt;10, "Mid", IF(W7&gt;10, "Large")))</f>
        <v>Large</v>
      </c>
      <c r="Y7" s="61"/>
      <c r="Z7" s="110">
        <f>'Holdings Pull Sheet'!Q18</f>
        <v>11.2</v>
      </c>
      <c r="AA7" s="109">
        <f>'Holdings Pull Sheet'!P18</f>
        <v>7.43</v>
      </c>
      <c r="AC7" s="322" t="e">
        <f t="shared" si="7"/>
        <v>#VALUE!</v>
      </c>
      <c r="AD7" s="63"/>
      <c r="AE7" s="63"/>
      <c r="AF7" s="64"/>
      <c r="AG7" s="212"/>
      <c r="AH7" s="51"/>
    </row>
    <row r="8" spans="1:34">
      <c r="A8" s="3"/>
      <c r="B8" s="104" t="s">
        <v>124</v>
      </c>
      <c r="C8" s="270" t="str">
        <f>'Holdings Pull Sheet'!C19</f>
        <v xml:space="preserve">Cemex ADR Representing 10 Par Shs </v>
      </c>
      <c r="D8" s="265"/>
      <c r="E8" s="267">
        <f>'Holdings Pull Sheet'!F19</f>
        <v>10.55</v>
      </c>
      <c r="F8" s="248">
        <v>18.48</v>
      </c>
      <c r="G8" s="245">
        <v>67.037999999999997</v>
      </c>
      <c r="H8" s="247">
        <f t="shared" si="1"/>
        <v>707.2509</v>
      </c>
      <c r="I8" s="249">
        <f t="shared" ref="I8:I20" si="11">F8*ROUNDDOWN(G8,0)+9.95</f>
        <v>1248.1100000000001</v>
      </c>
      <c r="J8" s="247">
        <v>1311.6533503665908</v>
      </c>
      <c r="K8" s="247">
        <v>1274.39238</v>
      </c>
      <c r="L8" s="277"/>
      <c r="M8" s="276">
        <f t="shared" si="3"/>
        <v>-540.85910000000013</v>
      </c>
      <c r="N8" s="101">
        <f t="shared" si="8"/>
        <v>-0.43334249385070234</v>
      </c>
      <c r="O8" s="101">
        <f t="shared" si="9"/>
        <v>-0.46079434798658336</v>
      </c>
      <c r="P8" s="101">
        <f t="shared" si="10"/>
        <v>-0.44502893214097838</v>
      </c>
      <c r="Q8" s="281">
        <f>('Holdings Pull Sheet'!F19/'Holdings Pull Sheet'!G19)-1</f>
        <v>2.9268292682926855E-2</v>
      </c>
      <c r="R8" s="66"/>
      <c r="S8" s="144" t="s">
        <v>106</v>
      </c>
      <c r="T8" s="66"/>
      <c r="U8" s="106" t="e">
        <f t="shared" si="0"/>
        <v>#VALUE!</v>
      </c>
      <c r="V8" s="61"/>
      <c r="W8" s="110">
        <f>'Holdings Pull Sheet'!O19/1000000000</f>
        <v>11.867494765</v>
      </c>
      <c r="X8" s="159" t="str">
        <f t="shared" ref="X8:X15" si="12">IF(W8&lt;2,"Small", IF(W8&lt;10, "Mid", IF(W8&gt;10, "Large")))</f>
        <v>Large</v>
      </c>
      <c r="Y8" s="61"/>
      <c r="Z8" s="110">
        <f>'Holdings Pull Sheet'!Q19</f>
        <v>0</v>
      </c>
      <c r="AA8" s="109">
        <f>'Holdings Pull Sheet'!P19</f>
        <v>-1.03</v>
      </c>
      <c r="AC8" s="322" t="e">
        <f t="shared" si="7"/>
        <v>#VALUE!</v>
      </c>
      <c r="AD8" s="63"/>
      <c r="AE8" s="63"/>
      <c r="AF8" s="64"/>
      <c r="AG8" s="212"/>
      <c r="AH8" s="51"/>
    </row>
    <row r="9" spans="1:34">
      <c r="A9" s="3"/>
      <c r="B9" s="104" t="s">
        <v>119</v>
      </c>
      <c r="C9" s="270" t="str">
        <f>'Holdings Pull Sheet'!C20</f>
        <v xml:space="preserve">Cisco Systems Inc </v>
      </c>
      <c r="D9" s="265"/>
      <c r="E9" s="267">
        <f>'Holdings Pull Sheet'!F20</f>
        <v>24.35</v>
      </c>
      <c r="F9" s="248">
        <v>12.47</v>
      </c>
      <c r="G9" s="245">
        <v>65.665000000000006</v>
      </c>
      <c r="H9" s="247">
        <f t="shared" si="1"/>
        <v>1598.9427500000002</v>
      </c>
      <c r="I9" s="249">
        <f t="shared" si="11"/>
        <v>820.50000000000011</v>
      </c>
      <c r="J9" s="247">
        <v>647.68745750808728</v>
      </c>
      <c r="K9" s="247">
        <v>757.11745000000008</v>
      </c>
      <c r="L9" s="252"/>
      <c r="M9" s="276">
        <f t="shared" si="3"/>
        <v>778.44275000000005</v>
      </c>
      <c r="N9" s="101">
        <f t="shared" si="8"/>
        <v>0.94874192565508819</v>
      </c>
      <c r="O9" s="101">
        <f t="shared" si="9"/>
        <v>1.4686949414641632</v>
      </c>
      <c r="P9" s="101">
        <f t="shared" si="10"/>
        <v>1.1118820468343453</v>
      </c>
      <c r="Q9" s="281">
        <f>('Holdings Pull Sheet'!F21/'Holdings Pull Sheet'!G21)-1</f>
        <v>3.5417819590481514E-2</v>
      </c>
      <c r="R9" s="66"/>
      <c r="S9" s="144" t="s">
        <v>104</v>
      </c>
      <c r="T9" s="66"/>
      <c r="U9" s="106" t="e">
        <f t="shared" si="0"/>
        <v>#VALUE!</v>
      </c>
      <c r="V9" s="61"/>
      <c r="W9" s="110">
        <f>'Holdings Pull Sheet'!O21/1000000000</f>
        <v>16.025959908000001</v>
      </c>
      <c r="X9" s="159" t="str">
        <f t="shared" si="12"/>
        <v>Large</v>
      </c>
      <c r="Y9" s="61"/>
      <c r="Z9" s="110">
        <f>'Holdings Pull Sheet'!Q21</f>
        <v>17.600000000000001</v>
      </c>
      <c r="AA9" s="109">
        <f>'Holdings Pull Sheet'!P21</f>
        <v>1.05</v>
      </c>
      <c r="AC9" s="322" t="e">
        <f t="shared" si="7"/>
        <v>#VALUE!</v>
      </c>
      <c r="AD9" s="63"/>
      <c r="AE9" s="63"/>
      <c r="AF9" s="64"/>
      <c r="AG9" s="212"/>
      <c r="AH9" s="51"/>
    </row>
    <row r="10" spans="1:34">
      <c r="A10" s="3"/>
      <c r="B10" s="104" t="s">
        <v>58</v>
      </c>
      <c r="C10" s="270" t="str">
        <f>'Holdings Pull Sheet'!C21</f>
        <v xml:space="preserve">Delta Air Lines Inc </v>
      </c>
      <c r="D10" s="265"/>
      <c r="E10" s="267">
        <f>'Holdings Pull Sheet'!F21</f>
        <v>18.71</v>
      </c>
      <c r="F10" s="248">
        <v>16.399999999999999</v>
      </c>
      <c r="G10" s="245">
        <v>91.933999999999997</v>
      </c>
      <c r="H10" s="247">
        <f t="shared" si="1"/>
        <v>1720.0851400000001</v>
      </c>
      <c r="I10" s="249">
        <f t="shared" si="11"/>
        <v>1502.35</v>
      </c>
      <c r="J10" s="247">
        <v>1669.6919303893999</v>
      </c>
      <c r="K10" s="247">
        <v>1608.845</v>
      </c>
      <c r="L10" s="252"/>
      <c r="M10" s="276">
        <f t="shared" si="3"/>
        <v>217.73514000000023</v>
      </c>
      <c r="N10" s="101">
        <f t="shared" si="8"/>
        <v>0.14492970346457223</v>
      </c>
      <c r="O10" s="101">
        <f t="shared" si="9"/>
        <v>3.0181142217563295E-2</v>
      </c>
      <c r="P10" s="101">
        <f t="shared" si="10"/>
        <v>6.9142857142857173E-2</v>
      </c>
      <c r="Q10" s="281">
        <f>('Holdings Pull Sheet'!F22/'Holdings Pull Sheet'!G22)-1</f>
        <v>2.8735632183908066E-2</v>
      </c>
      <c r="R10" s="66"/>
      <c r="S10" s="144" t="s">
        <v>104</v>
      </c>
      <c r="T10" s="66"/>
      <c r="U10" s="106" t="e">
        <f t="shared" si="0"/>
        <v>#VALUE!</v>
      </c>
      <c r="V10" s="61"/>
      <c r="W10" s="110">
        <f>'Holdings Pull Sheet'!O22/1000000000</f>
        <v>3.341199746</v>
      </c>
      <c r="X10" s="165" t="str">
        <f t="shared" si="12"/>
        <v>Mid</v>
      </c>
      <c r="Y10" s="61"/>
      <c r="Z10" s="110">
        <f>'Holdings Pull Sheet'!Q22</f>
        <v>19.5</v>
      </c>
      <c r="AA10" s="109">
        <f>'Holdings Pull Sheet'!P22</f>
        <v>1.17</v>
      </c>
      <c r="AC10" s="322" t="e">
        <f t="shared" si="7"/>
        <v>#VALUE!</v>
      </c>
      <c r="AD10" s="63"/>
      <c r="AE10" s="63"/>
      <c r="AF10" s="64"/>
      <c r="AG10" s="212"/>
      <c r="AH10" s="51"/>
    </row>
    <row r="11" spans="1:34">
      <c r="A11" s="3"/>
      <c r="B11" s="104" t="s">
        <v>89</v>
      </c>
      <c r="C11" s="270" t="str">
        <f>'Holdings Pull Sheet'!C22</f>
        <v xml:space="preserve">Gentex Corp </v>
      </c>
      <c r="D11" s="265"/>
      <c r="E11" s="267">
        <f>'Holdings Pull Sheet'!F22</f>
        <v>23.27</v>
      </c>
      <c r="F11" s="248">
        <v>29.37</v>
      </c>
      <c r="G11" s="245">
        <v>60.268999999999998</v>
      </c>
      <c r="H11" s="247">
        <f t="shared" si="1"/>
        <v>1402.4596299999998</v>
      </c>
      <c r="I11" s="249">
        <f t="shared" si="11"/>
        <v>1772.15</v>
      </c>
      <c r="J11" s="247">
        <v>2834.4509964294448</v>
      </c>
      <c r="K11" s="247">
        <v>2710.29693</v>
      </c>
      <c r="L11" s="252"/>
      <c r="M11" s="276">
        <f t="shared" si="3"/>
        <v>-369.69037000000026</v>
      </c>
      <c r="N11" s="101">
        <f t="shared" si="8"/>
        <v>-0.20861121801201943</v>
      </c>
      <c r="O11" s="101">
        <f t="shared" si="9"/>
        <v>-0.50520942793977497</v>
      </c>
      <c r="P11" s="101">
        <f t="shared" si="10"/>
        <v>-0.4825439181676674</v>
      </c>
      <c r="Q11" s="281">
        <f>('Holdings Pull Sheet'!F23/'Holdings Pull Sheet'!G23)-1</f>
        <v>1.7015706806282616E-3</v>
      </c>
      <c r="R11" s="66"/>
      <c r="S11" s="144" t="s">
        <v>3</v>
      </c>
      <c r="T11" s="66"/>
      <c r="U11" s="106" t="e">
        <f t="shared" si="0"/>
        <v>#VALUE!</v>
      </c>
      <c r="V11" s="61"/>
      <c r="W11" s="110">
        <f>'Holdings Pull Sheet'!O23/1000000000</f>
        <v>111.79471609700001</v>
      </c>
      <c r="X11" s="159" t="str">
        <f t="shared" si="12"/>
        <v>Large</v>
      </c>
      <c r="Y11" s="61"/>
      <c r="Z11" s="110">
        <f>'Holdings Pull Sheet'!Q23</f>
        <v>24.6</v>
      </c>
      <c r="AA11" s="109">
        <f>'Holdings Pull Sheet'!P23</f>
        <v>3.16</v>
      </c>
      <c r="AC11" s="322" t="e">
        <f t="shared" si="7"/>
        <v>#VALUE!</v>
      </c>
      <c r="AD11" s="63"/>
      <c r="AE11" s="63"/>
      <c r="AF11" s="64"/>
      <c r="AG11" s="212"/>
      <c r="AH11" s="51"/>
    </row>
    <row r="12" spans="1:34">
      <c r="A12" s="3"/>
      <c r="B12" s="104" t="s">
        <v>61</v>
      </c>
      <c r="C12" s="270" t="str">
        <f>'Holdings Pull Sheet'!C23</f>
        <v xml:space="preserve">Home Depot Inc </v>
      </c>
      <c r="D12" s="265"/>
      <c r="E12" s="267">
        <f>'Holdings Pull Sheet'!F23</f>
        <v>76.53</v>
      </c>
      <c r="F12" s="248">
        <v>28.6</v>
      </c>
      <c r="G12" s="245">
        <v>58.765000000000001</v>
      </c>
      <c r="H12" s="247">
        <f t="shared" si="1"/>
        <v>4497.2854500000003</v>
      </c>
      <c r="I12" s="249">
        <f t="shared" si="11"/>
        <v>1668.7500000000002</v>
      </c>
      <c r="J12" s="247">
        <v>3371.3144392318723</v>
      </c>
      <c r="K12" s="247">
        <v>3775.0636</v>
      </c>
      <c r="L12" s="252"/>
      <c r="M12" s="276">
        <f t="shared" si="3"/>
        <v>2828.5354500000003</v>
      </c>
      <c r="N12" s="101">
        <f t="shared" si="8"/>
        <v>1.6950025168539322</v>
      </c>
      <c r="O12" s="101">
        <f t="shared" si="9"/>
        <v>0.33398575868962022</v>
      </c>
      <c r="P12" s="101">
        <f t="shared" si="10"/>
        <v>0.19131382316313839</v>
      </c>
      <c r="Q12" s="281">
        <f>('Holdings Pull Sheet'!F24/'Holdings Pull Sheet'!G24)-1</f>
        <v>4.4849334267694552E-2</v>
      </c>
      <c r="R12" s="66"/>
      <c r="S12" s="144" t="s">
        <v>104</v>
      </c>
      <c r="T12" s="66"/>
      <c r="U12" s="106" t="e">
        <f t="shared" si="0"/>
        <v>#VALUE!</v>
      </c>
      <c r="V12" s="61"/>
      <c r="W12" s="110">
        <f>'Holdings Pull Sheet'!O24/1000000000</f>
        <v>0.41595395699999999</v>
      </c>
      <c r="X12" s="165" t="str">
        <f t="shared" si="12"/>
        <v>Small</v>
      </c>
      <c r="Y12" s="61"/>
      <c r="Z12" s="110">
        <f>'Holdings Pull Sheet'!Q24</f>
        <v>0</v>
      </c>
      <c r="AA12" s="109">
        <f>'Holdings Pull Sheet'!P24</f>
        <v>-0.11</v>
      </c>
      <c r="AC12" s="322" t="e">
        <f t="shared" si="7"/>
        <v>#VALUE!</v>
      </c>
      <c r="AD12" s="63"/>
      <c r="AE12" s="63"/>
      <c r="AF12" s="64"/>
      <c r="AG12" s="212"/>
      <c r="AH12" s="51"/>
    </row>
    <row r="13" spans="1:34" s="71" customFormat="1">
      <c r="A13" s="3"/>
      <c r="B13" s="104" t="s">
        <v>63</v>
      </c>
      <c r="C13" s="270" t="str">
        <f>'Holdings Pull Sheet'!C24</f>
        <v xml:space="preserve">Immersion Corp </v>
      </c>
      <c r="D13" s="265"/>
      <c r="E13" s="267">
        <f>'Holdings Pull Sheet'!F24</f>
        <v>14.91</v>
      </c>
      <c r="F13" s="248">
        <v>62.69</v>
      </c>
      <c r="G13" s="245">
        <v>25</v>
      </c>
      <c r="H13" s="247">
        <f t="shared" si="1"/>
        <v>372.75</v>
      </c>
      <c r="I13" s="249">
        <f t="shared" si="11"/>
        <v>1577.2</v>
      </c>
      <c r="J13" s="247">
        <v>1078.49998474121</v>
      </c>
      <c r="K13" s="247">
        <v>1082.75</v>
      </c>
      <c r="L13" s="252"/>
      <c r="M13" s="276">
        <f t="shared" si="3"/>
        <v>-1204.45</v>
      </c>
      <c r="N13" s="101">
        <f t="shared" si="8"/>
        <v>-0.76366345422267312</v>
      </c>
      <c r="O13" s="101">
        <f t="shared" si="9"/>
        <v>-0.65438107995018402</v>
      </c>
      <c r="P13" s="101">
        <f t="shared" si="10"/>
        <v>-0.65573770491803285</v>
      </c>
      <c r="Q13" s="281">
        <f>('Holdings Pull Sheet'!F25/'Holdings Pull Sheet'!G25)-1</f>
        <v>2.1668029435813363E-2</v>
      </c>
      <c r="R13" s="66"/>
      <c r="S13" s="144" t="s">
        <v>106</v>
      </c>
      <c r="T13" s="66"/>
      <c r="U13" s="106" t="e">
        <f t="shared" si="0"/>
        <v>#VALUE!</v>
      </c>
      <c r="V13" s="61"/>
      <c r="W13" s="110">
        <f>'Holdings Pull Sheet'!O25/1000000000</f>
        <v>124.225288862</v>
      </c>
      <c r="X13" s="165" t="str">
        <f t="shared" si="12"/>
        <v>Large</v>
      </c>
      <c r="Y13" s="61"/>
      <c r="Z13" s="110">
        <f>'Holdings Pull Sheet'!Q25</f>
        <v>12.3</v>
      </c>
      <c r="AA13" s="109">
        <f>'Holdings Pull Sheet'!P25</f>
        <v>2</v>
      </c>
      <c r="AB13" s="54"/>
      <c r="AC13" s="322" t="e">
        <f t="shared" si="7"/>
        <v>#VALUE!</v>
      </c>
      <c r="AD13" s="67"/>
      <c r="AE13" s="67"/>
      <c r="AF13" s="68"/>
      <c r="AG13" s="69"/>
      <c r="AH13" s="70"/>
    </row>
    <row r="14" spans="1:34">
      <c r="A14" s="3"/>
      <c r="B14" s="104" t="s">
        <v>39</v>
      </c>
      <c r="C14" s="270" t="str">
        <f>'Holdings Pull Sheet'!C25</f>
        <v xml:space="preserve">Intel Corp </v>
      </c>
      <c r="D14" s="265"/>
      <c r="E14" s="267">
        <f>'Holdings Pull Sheet'!F25</f>
        <v>24.99</v>
      </c>
      <c r="F14" s="248">
        <v>47.17</v>
      </c>
      <c r="G14" s="245">
        <v>28.038</v>
      </c>
      <c r="H14" s="247">
        <f>E14*G14</f>
        <v>700.66962000000001</v>
      </c>
      <c r="I14" s="249">
        <f>F14*ROUNDDOWN(G14,0)+9.95</f>
        <v>1330.71</v>
      </c>
      <c r="J14" s="247">
        <v>1158.543591018677</v>
      </c>
      <c r="K14" s="247">
        <v>1994.9584599999998</v>
      </c>
      <c r="L14" s="252"/>
      <c r="M14" s="276">
        <f t="shared" si="3"/>
        <v>-630.04038000000003</v>
      </c>
      <c r="N14" s="101">
        <f t="shared" si="8"/>
        <v>-0.47346182113307933</v>
      </c>
      <c r="O14" s="101">
        <f t="shared" si="9"/>
        <v>-0.3952151430194184</v>
      </c>
      <c r="P14" s="101">
        <f t="shared" si="10"/>
        <v>-0.64877984476929906</v>
      </c>
      <c r="Q14" s="281">
        <f>('Holdings Pull Sheet'!F26/'Holdings Pull Sheet'!G26)-1</f>
        <v>2.267002518891692E-2</v>
      </c>
      <c r="R14" s="65"/>
      <c r="S14" s="144" t="s">
        <v>147</v>
      </c>
      <c r="T14" s="65"/>
      <c r="U14" s="106" t="e">
        <f t="shared" si="0"/>
        <v>#VALUE!</v>
      </c>
      <c r="V14" s="61"/>
      <c r="W14" s="110">
        <f>'Holdings Pull Sheet'!O26/1000000000</f>
        <v>53.508679442000002</v>
      </c>
      <c r="X14" s="159" t="str">
        <f>IF(W14&lt;2,"Small", IF(W14&lt;10, "Mid", IF(W14&gt;10, "Large")))</f>
        <v>Large</v>
      </c>
      <c r="Y14" s="61"/>
      <c r="Z14" s="110">
        <f>'Holdings Pull Sheet'!Q26</f>
        <v>15.4</v>
      </c>
      <c r="AA14" s="109">
        <f>'Holdings Pull Sheet'!P26</f>
        <v>3.38</v>
      </c>
      <c r="AC14" s="322" t="e">
        <f t="shared" si="7"/>
        <v>#VALUE!</v>
      </c>
      <c r="AD14" s="63"/>
      <c r="AE14" s="63"/>
      <c r="AF14" s="64"/>
      <c r="AG14" s="212"/>
      <c r="AH14" s="51"/>
    </row>
    <row r="15" spans="1:34">
      <c r="A15" s="3"/>
      <c r="B15" s="104" t="s">
        <v>64</v>
      </c>
      <c r="C15" s="270" t="str">
        <f>'Holdings Pull Sheet'!C26</f>
        <v xml:space="preserve">Medtronic Inc </v>
      </c>
      <c r="D15" s="265"/>
      <c r="E15" s="267">
        <f>'Holdings Pull Sheet'!F26</f>
        <v>52.78</v>
      </c>
      <c r="F15" s="248">
        <v>19.489999999999998</v>
      </c>
      <c r="G15" s="245">
        <v>75</v>
      </c>
      <c r="H15" s="247">
        <f>E15*G15</f>
        <v>3958.5</v>
      </c>
      <c r="I15" s="249">
        <f>F15*ROUNDDOWN(G15,0)+9.95</f>
        <v>1471.6999999999998</v>
      </c>
      <c r="J15" s="247">
        <v>1471.6999999999998</v>
      </c>
      <c r="K15" s="247">
        <v>1471.6999999999998</v>
      </c>
      <c r="L15" s="277"/>
      <c r="M15" s="276">
        <f t="shared" si="3"/>
        <v>2486.8000000000002</v>
      </c>
      <c r="N15" s="101">
        <f t="shared" si="8"/>
        <v>1.6897465516069854</v>
      </c>
      <c r="O15" s="101">
        <f t="shared" si="9"/>
        <v>1.6897465516069854</v>
      </c>
      <c r="P15" s="101">
        <f t="shared" si="10"/>
        <v>1.6897465516069854</v>
      </c>
      <c r="Q15" s="281">
        <f>('Holdings Pull Sheet'!F27/'Holdings Pull Sheet'!G27)-1</f>
        <v>1.391431709996338E-2</v>
      </c>
      <c r="R15" s="66"/>
      <c r="S15" s="144" t="s">
        <v>46</v>
      </c>
      <c r="T15" s="66"/>
      <c r="U15" s="106" t="e">
        <f t="shared" si="0"/>
        <v>#VALUE!</v>
      </c>
      <c r="V15" s="61"/>
      <c r="W15" s="110">
        <f>'Holdings Pull Sheet'!O27/1000000000</f>
        <v>0.62030917699999999</v>
      </c>
      <c r="X15" s="165" t="str">
        <f t="shared" si="12"/>
        <v>Small</v>
      </c>
      <c r="Y15" s="61"/>
      <c r="Z15" s="110">
        <f>'Holdings Pull Sheet'!Q27</f>
        <v>5.2</v>
      </c>
      <c r="AA15" s="109">
        <f>'Holdings Pull Sheet'!P27</f>
        <v>5.31</v>
      </c>
      <c r="AC15" s="322" t="e">
        <f t="shared" si="7"/>
        <v>#VALUE!</v>
      </c>
      <c r="AD15" s="63"/>
      <c r="AE15" s="63"/>
      <c r="AF15" s="64"/>
      <c r="AG15" s="212"/>
      <c r="AH15" s="51"/>
    </row>
    <row r="16" spans="1:34">
      <c r="A16" s="72"/>
      <c r="B16" s="104" t="s">
        <v>49</v>
      </c>
      <c r="C16" s="270" t="str">
        <f>'Holdings Pull Sheet'!C27</f>
        <v xml:space="preserve">Natural Grocers by Vitamin Cottage Inc </v>
      </c>
      <c r="D16" s="265"/>
      <c r="E16" s="267">
        <f>'Holdings Pull Sheet'!F27</f>
        <v>27.69</v>
      </c>
      <c r="F16" s="248">
        <v>33.19</v>
      </c>
      <c r="G16" s="245">
        <v>15.202</v>
      </c>
      <c r="H16" s="247">
        <f>E16*G16</f>
        <v>420.94337999999999</v>
      </c>
      <c r="I16" s="249">
        <f>F16*ROUNDDOWN(G16,0)+9.95</f>
        <v>507.79999999999995</v>
      </c>
      <c r="J16" s="247">
        <v>1781.4913097534118</v>
      </c>
      <c r="K16" s="247">
        <v>1971.8688499999998</v>
      </c>
      <c r="L16" s="252"/>
      <c r="M16" s="276">
        <f t="shared" si="3"/>
        <v>-86.856619999999964</v>
      </c>
      <c r="N16" s="101">
        <f t="shared" si="8"/>
        <v>-0.17104493895234341</v>
      </c>
      <c r="O16" s="101">
        <f t="shared" si="9"/>
        <v>-0.76371291979063005</v>
      </c>
      <c r="P16" s="101">
        <f t="shared" si="10"/>
        <v>-0.78652567081223479</v>
      </c>
      <c r="Q16" s="281">
        <f>('Holdings Pull Sheet'!F28/'Holdings Pull Sheet'!G28)-1</f>
        <v>3.4421364985163017E-2</v>
      </c>
      <c r="R16" s="66"/>
      <c r="S16" s="144" t="s">
        <v>176</v>
      </c>
      <c r="T16" s="66"/>
      <c r="U16" s="106" t="e">
        <f t="shared" si="0"/>
        <v>#VALUE!</v>
      </c>
      <c r="V16" s="61"/>
      <c r="W16" s="110">
        <f>'Holdings Pull Sheet'!O28/1000000000</f>
        <v>0.82924429099999997</v>
      </c>
      <c r="X16" s="307" t="s">
        <v>145</v>
      </c>
      <c r="Y16" s="61"/>
      <c r="Z16" s="110">
        <f>'Holdings Pull Sheet'!Q28</f>
        <v>0</v>
      </c>
      <c r="AA16" s="109">
        <f>'Holdings Pull Sheet'!P28</f>
        <v>-5.3</v>
      </c>
      <c r="AC16" s="322" t="e">
        <f t="shared" si="7"/>
        <v>#VALUE!</v>
      </c>
      <c r="AD16" s="63"/>
      <c r="AE16" s="63"/>
      <c r="AF16" s="64"/>
      <c r="AG16" s="212"/>
      <c r="AH16" s="51"/>
    </row>
    <row r="17" spans="1:52">
      <c r="A17" s="72"/>
      <c r="B17" s="104" t="s">
        <v>159</v>
      </c>
      <c r="C17" s="270" t="str">
        <f>'Holdings Pull Sheet'!C28</f>
        <v xml:space="preserve">Tutor Perini Corp </v>
      </c>
      <c r="D17" s="265"/>
      <c r="E17" s="267">
        <f>'Holdings Pull Sheet'!F28</f>
        <v>17.43</v>
      </c>
      <c r="F17" s="248">
        <v>14.42</v>
      </c>
      <c r="G17" s="245">
        <v>133.505</v>
      </c>
      <c r="H17" s="247">
        <f>E17*G17</f>
        <v>2326.99215</v>
      </c>
      <c r="I17" s="249">
        <f>F17*ROUNDDOWN(G17,0)+9.95</f>
        <v>1927.81</v>
      </c>
      <c r="J17" s="247">
        <v>1947.8666598892187</v>
      </c>
      <c r="K17" s="247">
        <v>2830.9214499999998</v>
      </c>
      <c r="L17" s="252"/>
      <c r="M17" s="276">
        <f t="shared" si="3"/>
        <v>399.18215000000009</v>
      </c>
      <c r="N17" s="101">
        <f t="shared" si="8"/>
        <v>0.20706508940196389</v>
      </c>
      <c r="O17" s="101">
        <f t="shared" si="9"/>
        <v>0.19463626433872183</v>
      </c>
      <c r="P17" s="101">
        <f t="shared" si="10"/>
        <v>-0.17800893062575074</v>
      </c>
      <c r="Q17" s="281">
        <f>('Holdings Pull Sheet'!F29/'Holdings Pull Sheet'!G29)-1</f>
        <v>1.1408339889850572E-2</v>
      </c>
      <c r="R17" s="66"/>
      <c r="S17" s="144" t="s">
        <v>106</v>
      </c>
      <c r="T17" s="66"/>
      <c r="U17" s="106" t="e">
        <f t="shared" si="0"/>
        <v>#VALUE!</v>
      </c>
      <c r="V17" s="61"/>
      <c r="W17" s="110">
        <f>'Holdings Pull Sheet'!O29/1000000000</f>
        <v>9.1229926369999994</v>
      </c>
      <c r="X17" s="165" t="str">
        <f t="shared" ref="X17:X22" si="13">IF(W17&lt;2,"Small", IF(W17&lt;10, "Mid", IF(W17&gt;10, "Large")))</f>
        <v>Mid</v>
      </c>
      <c r="Y17" s="61"/>
      <c r="Z17" s="110">
        <f>'Holdings Pull Sheet'!Q29</f>
        <v>17.5</v>
      </c>
      <c r="AA17" s="109">
        <f>'Holdings Pull Sheet'!P29</f>
        <v>1.45</v>
      </c>
      <c r="AC17" s="322" t="e">
        <f t="shared" si="7"/>
        <v>#VALUE!</v>
      </c>
      <c r="AD17" s="63"/>
      <c r="AE17" s="63"/>
      <c r="AF17" s="64"/>
      <c r="AG17" s="212"/>
      <c r="AH17" s="51"/>
    </row>
    <row r="18" spans="1:52">
      <c r="A18" s="3"/>
      <c r="B18" s="104" t="s">
        <v>120</v>
      </c>
      <c r="C18" s="270" t="str">
        <f>'Holdings Pull Sheet'!C29</f>
        <v xml:space="preserve">Tyson Foods Inc </v>
      </c>
      <c r="D18" s="265"/>
      <c r="E18" s="267">
        <f>'Holdings Pull Sheet'!F29</f>
        <v>25.71</v>
      </c>
      <c r="F18" s="248">
        <v>35.72</v>
      </c>
      <c r="G18" s="246">
        <v>44.686999999999998</v>
      </c>
      <c r="H18" s="247">
        <f>E18*G18</f>
        <v>1148.9027699999999</v>
      </c>
      <c r="I18" s="249">
        <f>F18*ROUNDDOWN(G18,0)+9.95</f>
        <v>1581.6299999999999</v>
      </c>
      <c r="J18" s="247">
        <v>2787.3413924560564</v>
      </c>
      <c r="K18" s="247">
        <v>2256.3172499999996</v>
      </c>
      <c r="L18" s="252"/>
      <c r="M18" s="276">
        <f t="shared" si="3"/>
        <v>-432.72722999999996</v>
      </c>
      <c r="N18" s="101">
        <f t="shared" si="8"/>
        <v>-0.27359573983801522</v>
      </c>
      <c r="O18" s="101">
        <f t="shared" si="9"/>
        <v>-0.58781411810210726</v>
      </c>
      <c r="P18" s="101">
        <f t="shared" si="10"/>
        <v>-0.49080619314504637</v>
      </c>
      <c r="Q18" s="281">
        <f>('Holdings Pull Sheet'!F30/'Holdings Pull Sheet'!G30)-1</f>
        <v>1.6637695555003607E-2</v>
      </c>
      <c r="R18" s="66"/>
      <c r="S18" s="144" t="s">
        <v>20</v>
      </c>
      <c r="T18" s="66"/>
      <c r="U18" s="106" t="e">
        <f t="shared" ref="U18:U25" si="14">H18/$H$27</f>
        <v>#VALUE!</v>
      </c>
      <c r="V18" s="61"/>
      <c r="W18" s="110">
        <f>'Holdings Pull Sheet'!O30/1000000000</f>
        <v>216.83407650699999</v>
      </c>
      <c r="X18" s="165" t="str">
        <f>IF(W18&lt;2,"Small", IF(W18&lt;10, "Mid", IF(W18&gt;10, "Large")))</f>
        <v>Large</v>
      </c>
      <c r="Y18" s="61"/>
      <c r="Z18" s="110">
        <f>'Holdings Pull Sheet'!Q30</f>
        <v>11.5</v>
      </c>
      <c r="AA18" s="109">
        <f>'Holdings Pull Sheet'!P30</f>
        <v>3.53</v>
      </c>
      <c r="AC18" s="322" t="e">
        <f t="shared" si="7"/>
        <v>#VALUE!</v>
      </c>
    </row>
    <row r="19" spans="1:52">
      <c r="A19" s="3"/>
      <c r="B19" s="104" t="s">
        <v>91</v>
      </c>
      <c r="C19" s="270" t="str">
        <f>'Holdings Pull Sheet'!C30</f>
        <v xml:space="preserve">Wells Fargo &amp; Co </v>
      </c>
      <c r="D19" s="265"/>
      <c r="E19" s="267">
        <f>'Holdings Pull Sheet'!F30</f>
        <v>40.94</v>
      </c>
      <c r="F19" s="248">
        <v>25.46</v>
      </c>
      <c r="G19" s="245">
        <v>60</v>
      </c>
      <c r="H19" s="247">
        <f t="shared" si="1"/>
        <v>2456.3999999999996</v>
      </c>
      <c r="I19" s="249">
        <f t="shared" si="11"/>
        <v>1537.5500000000002</v>
      </c>
      <c r="J19" s="247">
        <v>1630.200004577634</v>
      </c>
      <c r="K19" s="247">
        <v>1536.6</v>
      </c>
      <c r="L19" s="252"/>
      <c r="M19" s="276">
        <f t="shared" si="3"/>
        <v>918.84999999999945</v>
      </c>
      <c r="N19" s="101">
        <f t="shared" si="8"/>
        <v>0.59760658189977511</v>
      </c>
      <c r="O19" s="101">
        <f t="shared" si="9"/>
        <v>0.50680897626204136</v>
      </c>
      <c r="P19" s="101">
        <f t="shared" si="10"/>
        <v>0.59859429910191309</v>
      </c>
      <c r="Q19" s="281">
        <f>('Holdings Pull Sheet'!F31/'Holdings Pull Sheet'!G31)-1</f>
        <v>1.8539976825028948E-2</v>
      </c>
      <c r="R19" s="66"/>
      <c r="S19" s="144" t="s">
        <v>20</v>
      </c>
      <c r="T19" s="66"/>
      <c r="U19" s="106" t="e">
        <f t="shared" si="14"/>
        <v>#VALUE!</v>
      </c>
      <c r="V19" s="61"/>
      <c r="W19" s="110">
        <f>'Holdings Pull Sheet'!O31/1000000000</f>
        <v>28.549085859000002</v>
      </c>
      <c r="X19" s="165" t="str">
        <f>IF(W19&lt;2,"Small", IF(W19&lt;10, "Mid", IF(W19&gt;10, "Large")))</f>
        <v>Large</v>
      </c>
      <c r="Y19" s="61"/>
      <c r="Z19" s="110">
        <f>'Holdings Pull Sheet'!Q31</f>
        <v>7.7</v>
      </c>
      <c r="AA19" s="109">
        <f>'Holdings Pull Sheet'!P31</f>
        <v>3.41</v>
      </c>
      <c r="AC19" s="322" t="e">
        <f t="shared" si="7"/>
        <v>#VALUE!</v>
      </c>
    </row>
    <row r="20" spans="1:52">
      <c r="A20" s="3"/>
      <c r="B20" s="104" t="s">
        <v>50</v>
      </c>
      <c r="C20" s="270" t="str">
        <f>'Holdings Pull Sheet'!C31</f>
        <v xml:space="preserve">Yahoo! Inc </v>
      </c>
      <c r="D20" s="265"/>
      <c r="E20" s="267">
        <f>'Holdings Pull Sheet'!F31</f>
        <v>26.37</v>
      </c>
      <c r="F20" s="248">
        <v>12.43</v>
      </c>
      <c r="G20" s="245">
        <v>150</v>
      </c>
      <c r="H20" s="247">
        <f t="shared" si="1"/>
        <v>3955.5</v>
      </c>
      <c r="I20" s="249">
        <f t="shared" si="11"/>
        <v>1874.45</v>
      </c>
      <c r="J20" s="247">
        <v>1874.45</v>
      </c>
      <c r="K20" s="247">
        <v>1933.5</v>
      </c>
      <c r="L20" s="252"/>
      <c r="M20" s="276">
        <f t="shared" si="3"/>
        <v>2081.0500000000002</v>
      </c>
      <c r="N20" s="101">
        <f t="shared" si="8"/>
        <v>1.1102189975726211</v>
      </c>
      <c r="O20" s="101">
        <f t="shared" si="9"/>
        <v>1.1102189975726211</v>
      </c>
      <c r="P20" s="101">
        <f t="shared" si="10"/>
        <v>1.0457719162141195</v>
      </c>
      <c r="Q20" s="281">
        <f>('Holdings Pull Sheet'!F32/'Holdings Pull Sheet'!G32)-1</f>
        <v>3.2434901781635439E-2</v>
      </c>
      <c r="R20" s="66"/>
      <c r="S20" s="144" t="s">
        <v>147</v>
      </c>
      <c r="T20" s="66"/>
      <c r="U20" s="106" t="e">
        <f t="shared" si="14"/>
        <v>#VALUE!</v>
      </c>
      <c r="V20" s="61"/>
      <c r="W20" s="110">
        <f>'Holdings Pull Sheet'!O32/1000000000</f>
        <v>0.21236904000000001</v>
      </c>
      <c r="X20" s="147" t="str">
        <f>IF(W20&lt;2,"Small", IF(W20&lt;10, "Mid", IF(W20&gt;10, "Large")))</f>
        <v>Small</v>
      </c>
      <c r="Y20" s="61"/>
      <c r="Z20" s="110">
        <f>'Holdings Pull Sheet'!Q32</f>
        <v>0</v>
      </c>
      <c r="AA20" s="109">
        <f>'Holdings Pull Sheet'!P32</f>
        <v>-14.95</v>
      </c>
      <c r="AC20" s="322" t="e">
        <f t="shared" si="7"/>
        <v>#VALUE!</v>
      </c>
    </row>
    <row r="21" spans="1:52" s="74" customFormat="1" ht="13.5" thickBot="1">
      <c r="A21" s="3"/>
      <c r="B21" s="104" t="s">
        <v>65</v>
      </c>
      <c r="C21" s="270" t="str">
        <f>'Holdings Pull Sheet'!C32</f>
        <v xml:space="preserve">YRC Worldwide Inc </v>
      </c>
      <c r="D21" s="265"/>
      <c r="E21" s="267">
        <f>'Holdings Pull Sheet'!F32</f>
        <v>22.6</v>
      </c>
      <c r="F21" s="248">
        <v>16.649999999999999</v>
      </c>
      <c r="G21" s="245">
        <v>100</v>
      </c>
      <c r="H21" s="247">
        <f t="shared" si="1"/>
        <v>2260</v>
      </c>
      <c r="I21" s="249">
        <f>F21*ROUNDDOWN(G21,0)+9.95</f>
        <v>1674.9499999999998</v>
      </c>
      <c r="J21" s="247">
        <v>1665</v>
      </c>
      <c r="K21" s="247">
        <v>1919.0000000000002</v>
      </c>
      <c r="L21" s="252"/>
      <c r="M21" s="276">
        <f t="shared" si="3"/>
        <v>585.05000000000018</v>
      </c>
      <c r="N21" s="101">
        <f t="shared" si="8"/>
        <v>0.34929400877638161</v>
      </c>
      <c r="O21" s="101">
        <f t="shared" si="9"/>
        <v>0.35735735735735741</v>
      </c>
      <c r="P21" s="101">
        <f t="shared" si="10"/>
        <v>0.17769671704012491</v>
      </c>
      <c r="Q21" s="281" t="e">
        <f>('Holdings Pull Sheet'!F33/'Holdings Pull Sheet'!G33)-1</f>
        <v>#VALUE!</v>
      </c>
      <c r="R21" s="66"/>
      <c r="S21" s="144" t="s">
        <v>105</v>
      </c>
      <c r="T21" s="66"/>
      <c r="U21" s="106" t="e">
        <f t="shared" si="14"/>
        <v>#VALUE!</v>
      </c>
      <c r="V21" s="61"/>
      <c r="W21" s="110" t="e">
        <f>'Holdings Pull Sheet'!O33/1000000000</f>
        <v>#VALUE!</v>
      </c>
      <c r="X21" s="159" t="e">
        <f t="shared" si="13"/>
        <v>#VALUE!</v>
      </c>
      <c r="Y21" s="61"/>
      <c r="Z21" s="110" t="str">
        <f>'Holdings Pull Sheet'!Q33</f>
        <v>???</v>
      </c>
      <c r="AA21" s="109" t="str">
        <f>'Holdings Pull Sheet'!P33</f>
        <v>???</v>
      </c>
      <c r="AB21" s="52"/>
      <c r="AC21" s="322" t="e">
        <f t="shared" si="7"/>
        <v>#VALUE!</v>
      </c>
      <c r="AD21" s="52"/>
      <c r="AE21" s="52"/>
      <c r="AF21" s="52"/>
      <c r="AG21" s="52"/>
      <c r="AH21" s="51"/>
      <c r="AI21" s="51"/>
      <c r="AJ21" s="51"/>
      <c r="AK21" s="51"/>
      <c r="AL21" s="51"/>
      <c r="AM21" s="51"/>
      <c r="AN21" s="51"/>
      <c r="AO21" s="51"/>
      <c r="AP21" s="51"/>
      <c r="AQ21" s="51"/>
      <c r="AR21" s="51"/>
      <c r="AS21" s="51"/>
      <c r="AT21" s="51"/>
      <c r="AU21" s="51"/>
      <c r="AV21" s="51"/>
      <c r="AW21" s="51"/>
      <c r="AX21" s="51"/>
      <c r="AY21" s="51"/>
      <c r="AZ21" s="51"/>
    </row>
    <row r="22" spans="1:52" s="51" customFormat="1">
      <c r="A22" s="3"/>
      <c r="B22" s="104" t="s">
        <v>125</v>
      </c>
      <c r="C22" s="270" t="str">
        <f>'Holdings Pull Sheet'!C33</f>
        <v xml:space="preserve">.C\12A21\5.0 (Invalid symbol) </v>
      </c>
      <c r="D22" s="265"/>
      <c r="E22" s="267" t="str">
        <f>'Holdings Pull Sheet'!F33</f>
        <v>???</v>
      </c>
      <c r="F22" s="248">
        <v>71.52</v>
      </c>
      <c r="G22" s="245">
        <v>46.991999999999997</v>
      </c>
      <c r="H22" s="247" t="e">
        <f t="shared" si="1"/>
        <v>#VALUE!</v>
      </c>
      <c r="I22" s="249">
        <f t="shared" ref="I22:I24" si="15">F22*ROUNDDOWN(G22,0)+9.95</f>
        <v>3299.8699999999994</v>
      </c>
      <c r="J22" s="247">
        <v>3354.1306738281278</v>
      </c>
      <c r="K22" s="247">
        <v>3456.7315199999998</v>
      </c>
      <c r="L22" s="252"/>
      <c r="M22" s="276" t="e">
        <f t="shared" si="3"/>
        <v>#VALUE!</v>
      </c>
      <c r="N22" s="101" t="e">
        <f t="shared" si="8"/>
        <v>#VALUE!</v>
      </c>
      <c r="O22" s="101" t="e">
        <f t="shared" si="9"/>
        <v>#VALUE!</v>
      </c>
      <c r="P22" s="101" t="e">
        <f t="shared" si="10"/>
        <v>#VALUE!</v>
      </c>
      <c r="Q22" s="281">
        <f>('Holdings Pull Sheet'!F34/'Holdings Pull Sheet'!G34)-1</f>
        <v>5.5433989788475468E-2</v>
      </c>
      <c r="R22" s="66"/>
      <c r="S22" s="144" t="s">
        <v>20</v>
      </c>
      <c r="T22" s="66"/>
      <c r="U22" s="106" t="e">
        <f t="shared" si="14"/>
        <v>#VALUE!</v>
      </c>
      <c r="V22" s="61"/>
      <c r="W22" s="110">
        <f>'Holdings Pull Sheet'!O34/1000000000</f>
        <v>77.635950312999995</v>
      </c>
      <c r="X22" s="165" t="str">
        <f t="shared" si="13"/>
        <v>Large</v>
      </c>
      <c r="Y22" s="61"/>
      <c r="Z22" s="110">
        <f>'Holdings Pull Sheet'!Q34</f>
        <v>11.2</v>
      </c>
      <c r="AA22" s="109">
        <f>'Holdings Pull Sheet'!P34</f>
        <v>0.92</v>
      </c>
      <c r="AB22" s="52"/>
      <c r="AC22" s="322" t="e">
        <f t="shared" si="7"/>
        <v>#VALUE!</v>
      </c>
      <c r="AD22" s="52"/>
      <c r="AE22" s="52"/>
      <c r="AF22" s="52"/>
      <c r="AG22" s="52"/>
    </row>
    <row r="23" spans="1:52" s="51" customFormat="1">
      <c r="A23" s="3"/>
      <c r="B23" s="299"/>
      <c r="C23" s="270" t="str">
        <f>'Holdings Pull Sheet'!C34</f>
        <v xml:space="preserve">Vale ADR Representing One Ord Shs </v>
      </c>
      <c r="D23" s="265"/>
      <c r="E23" s="267">
        <f>'Holdings Pull Sheet'!F34</f>
        <v>14.47</v>
      </c>
      <c r="F23" s="248">
        <v>25</v>
      </c>
      <c r="G23" s="245">
        <v>52.119</v>
      </c>
      <c r="H23" s="247">
        <f t="shared" si="1"/>
        <v>754.16192999999998</v>
      </c>
      <c r="I23" s="249">
        <f t="shared" si="15"/>
        <v>1309.95</v>
      </c>
      <c r="J23" s="247">
        <v>1435.9306000156416</v>
      </c>
      <c r="K23" s="247">
        <v>1653.21468</v>
      </c>
      <c r="L23" s="252"/>
      <c r="M23" s="276">
        <f t="shared" si="3"/>
        <v>-555.78807000000006</v>
      </c>
      <c r="N23" s="101">
        <f t="shared" si="8"/>
        <v>-0.42428189625558232</v>
      </c>
      <c r="O23" s="101">
        <f t="shared" si="9"/>
        <v>-0.47479221489410084</v>
      </c>
      <c r="P23" s="101">
        <f t="shared" si="10"/>
        <v>-0.54382093316519553</v>
      </c>
      <c r="Q23" s="281">
        <f>('Holdings Pull Sheet'!F36/'Holdings Pull Sheet'!G36)-1</f>
        <v>2.0340515293054029E-2</v>
      </c>
      <c r="R23" s="279"/>
      <c r="S23" s="144" t="s">
        <v>104</v>
      </c>
      <c r="T23" s="252"/>
      <c r="U23" s="106" t="e">
        <f t="shared" si="14"/>
        <v>#VALUE!</v>
      </c>
      <c r="V23" s="251"/>
      <c r="W23" s="110">
        <f>'Holdings Pull Sheet'!O36/1000000000</f>
        <v>25.602006957</v>
      </c>
      <c r="X23" s="165" t="str">
        <f>IF(W23&lt;2,"Small", IF(W23&lt;10, "Mid", IF(W23&gt;10, "Large")))</f>
        <v>Large</v>
      </c>
      <c r="Y23" s="251"/>
      <c r="Z23" s="110">
        <f>'Holdings Pull Sheet'!Q36</f>
        <v>20.399999999999999</v>
      </c>
      <c r="AA23" s="109">
        <f>'Holdings Pull Sheet'!P36</f>
        <v>3.27</v>
      </c>
      <c r="AB23" s="52"/>
      <c r="AC23" s="322" t="e">
        <f t="shared" si="7"/>
        <v>#VALUE!</v>
      </c>
      <c r="AD23" s="52"/>
      <c r="AE23" s="52"/>
      <c r="AF23" s="52"/>
      <c r="AG23" s="52"/>
    </row>
    <row r="24" spans="1:52">
      <c r="A24" s="3"/>
      <c r="B24" s="104" t="s">
        <v>21</v>
      </c>
      <c r="C24" s="270" t="str">
        <f>'Holdings Pull Sheet'!C35</f>
        <v xml:space="preserve">CPFL Energia SA </v>
      </c>
      <c r="D24" s="265"/>
      <c r="E24" s="267">
        <f>'Holdings Pull Sheet'!F35</f>
        <v>20.309999999999999</v>
      </c>
      <c r="F24" s="248">
        <v>23.42</v>
      </c>
      <c r="G24" s="245">
        <v>51.372999999999998</v>
      </c>
      <c r="H24" s="247">
        <f t="shared" si="1"/>
        <v>1043.38563</v>
      </c>
      <c r="I24" s="249">
        <f t="shared" si="15"/>
        <v>1204.3700000000001</v>
      </c>
      <c r="J24" s="247">
        <v>1778.2684477882387</v>
      </c>
      <c r="K24" s="247">
        <v>1703.5286799999997</v>
      </c>
      <c r="L24" s="277"/>
      <c r="M24" s="276">
        <f t="shared" si="3"/>
        <v>-160.98437000000013</v>
      </c>
      <c r="N24" s="101">
        <f t="shared" si="8"/>
        <v>-0.13366687147637368</v>
      </c>
      <c r="O24" s="101">
        <f t="shared" si="9"/>
        <v>-0.41325752515165282</v>
      </c>
      <c r="P24" s="101">
        <f t="shared" si="10"/>
        <v>-0.38751507840772004</v>
      </c>
      <c r="Q24" s="281">
        <f>('Holdings Pull Sheet'!F37/'Holdings Pull Sheet'!G37)-1</f>
        <v>1.275690999291279E-2</v>
      </c>
      <c r="R24" s="65"/>
      <c r="S24" s="144" t="s">
        <v>3</v>
      </c>
      <c r="T24" s="65"/>
      <c r="U24" s="106" t="e">
        <f t="shared" si="14"/>
        <v>#VALUE!</v>
      </c>
      <c r="V24" s="61"/>
      <c r="W24" s="110">
        <f>'Holdings Pull Sheet'!O37/1000000000</f>
        <v>0</v>
      </c>
      <c r="X24" s="165" t="str">
        <f>IF(W24&lt;2,"Small", IF(W24&lt;10, "Mid", IF(W24&gt;10, "Large")))</f>
        <v>Small</v>
      </c>
      <c r="Y24" s="61"/>
      <c r="Z24" s="110">
        <f>'Holdings Pull Sheet'!Q37</f>
        <v>0</v>
      </c>
      <c r="AA24" s="109">
        <f>'Holdings Pull Sheet'!P37</f>
        <v>0</v>
      </c>
      <c r="AC24" s="322" t="e">
        <f t="shared" si="7"/>
        <v>#VALUE!</v>
      </c>
      <c r="AD24" s="63"/>
      <c r="AE24" s="63"/>
      <c r="AF24" s="64"/>
      <c r="AG24" s="212"/>
      <c r="AH24" s="51"/>
    </row>
    <row r="25" spans="1:52" s="51" customFormat="1" ht="13.5" thickBot="1">
      <c r="A25" s="3"/>
      <c r="B25" s="299"/>
      <c r="C25" s="270" t="str">
        <f>'Holdings Pull Sheet'!C36</f>
        <v xml:space="preserve">Stryker Corp </v>
      </c>
      <c r="D25" s="265"/>
      <c r="E25" s="267">
        <f>'Holdings Pull Sheet'!F36</f>
        <v>67.72</v>
      </c>
      <c r="F25" s="248">
        <v>10.84</v>
      </c>
      <c r="G25" s="245">
        <v>103.821</v>
      </c>
      <c r="H25" s="247">
        <f t="shared" si="1"/>
        <v>7030.7581199999995</v>
      </c>
      <c r="I25" s="249">
        <f>F25*ROUNDDOWN(G25,0)+9.95</f>
        <v>1126.47</v>
      </c>
      <c r="J25" s="247">
        <v>792.27646229124048</v>
      </c>
      <c r="K25" s="247">
        <v>704.94458999999995</v>
      </c>
      <c r="L25" s="252"/>
      <c r="M25" s="276">
        <f t="shared" si="3"/>
        <v>5904.2881199999993</v>
      </c>
      <c r="N25" s="101">
        <f t="shared" si="8"/>
        <v>5.2414073344163619</v>
      </c>
      <c r="O25" s="101">
        <f t="shared" si="9"/>
        <v>7.8741221715299368</v>
      </c>
      <c r="P25" s="101">
        <f t="shared" si="10"/>
        <v>8.9734904270986746</v>
      </c>
      <c r="Q25" s="281">
        <f>('Holdings Pull Sheet'!F38/'Holdings Pull Sheet'!G38)-1</f>
        <v>-2.2665457842248049E-3</v>
      </c>
      <c r="R25" s="66"/>
      <c r="S25" s="144" t="s">
        <v>106</v>
      </c>
      <c r="T25" s="66"/>
      <c r="U25" s="106" t="e">
        <f t="shared" si="14"/>
        <v>#VALUE!</v>
      </c>
      <c r="V25" s="61"/>
      <c r="W25" s="110">
        <f>'Holdings Pull Sheet'!O38/1000000000</f>
        <v>201.41450603499999</v>
      </c>
      <c r="X25" s="165" t="str">
        <f>IF(W25&lt;2,"Small", IF(W25&lt;10, "Mid", IF(W25&gt;10, "Large")))</f>
        <v>Large</v>
      </c>
      <c r="Y25" s="61"/>
      <c r="Z25" s="110">
        <f>'Holdings Pull Sheet'!Q38</f>
        <v>11.1</v>
      </c>
      <c r="AA25" s="109">
        <f>'Holdings Pull Sheet'!P38</f>
        <v>10.050000000000001</v>
      </c>
      <c r="AB25" s="52"/>
      <c r="AC25" s="322" t="e">
        <f t="shared" si="7"/>
        <v>#VALUE!</v>
      </c>
      <c r="AD25" s="52"/>
      <c r="AE25" s="52"/>
      <c r="AF25" s="52"/>
      <c r="AG25" s="52"/>
    </row>
    <row r="26" spans="1:52" s="88" customFormat="1" ht="5.25" customHeight="1" thickBot="1">
      <c r="A26" s="3"/>
      <c r="B26" s="76"/>
      <c r="C26" s="76"/>
      <c r="D26" s="264"/>
      <c r="E26" s="77"/>
      <c r="F26" s="80"/>
      <c r="G26" s="78"/>
      <c r="H26" s="79"/>
      <c r="I26" s="81"/>
      <c r="J26" s="81"/>
      <c r="K26" s="81"/>
      <c r="L26" s="278"/>
      <c r="M26" s="83"/>
      <c r="N26" s="82"/>
      <c r="O26" s="81"/>
      <c r="P26" s="81"/>
      <c r="Q26" s="81"/>
      <c r="R26" s="66"/>
      <c r="S26" s="84"/>
      <c r="T26" s="66"/>
      <c r="U26" s="85"/>
      <c r="V26" s="61"/>
      <c r="W26" s="86"/>
      <c r="X26" s="87"/>
      <c r="Y26" s="61"/>
      <c r="Z26" s="86"/>
      <c r="AA26" s="87"/>
      <c r="AB26" s="54"/>
      <c r="AC26" s="164"/>
      <c r="AD26" s="52"/>
      <c r="AE26" s="52"/>
      <c r="AF26" s="52"/>
      <c r="AG26" s="52"/>
      <c r="AH26" s="51"/>
      <c r="AI26" s="51"/>
      <c r="AJ26" s="51"/>
      <c r="AK26" s="51"/>
      <c r="AL26" s="51"/>
      <c r="AM26" s="51"/>
      <c r="AN26" s="51"/>
      <c r="AO26" s="51"/>
      <c r="AP26" s="51"/>
      <c r="AQ26" s="51"/>
      <c r="AR26" s="51"/>
      <c r="AS26" s="51"/>
      <c r="AT26" s="51"/>
      <c r="AU26" s="51"/>
      <c r="AV26" s="51"/>
      <c r="AW26" s="51"/>
      <c r="AX26" s="51"/>
      <c r="AY26" s="51"/>
      <c r="AZ26" s="51"/>
    </row>
    <row r="27" spans="1:52" ht="13.5" thickBot="1">
      <c r="A27" s="3"/>
      <c r="B27" s="114"/>
      <c r="C27" s="234" t="s">
        <v>175</v>
      </c>
      <c r="D27" s="262"/>
      <c r="E27" s="115"/>
      <c r="F27" s="116"/>
      <c r="G27" s="115"/>
      <c r="H27" s="49" t="e">
        <f>SUM(H4:H25)</f>
        <v>#VALUE!</v>
      </c>
      <c r="I27" s="118">
        <f>SUM(I4:I25)</f>
        <v>34299.51</v>
      </c>
      <c r="J27" s="49">
        <v>40381.870389354226</v>
      </c>
      <c r="K27" s="271">
        <f>SUM(K4:K25)</f>
        <v>41863.401519999999</v>
      </c>
      <c r="L27" s="46"/>
      <c r="M27" s="50" t="e">
        <f>H27-I27</f>
        <v>#VALUE!</v>
      </c>
      <c r="N27" s="323" t="e">
        <f>(H27/I27)-1</f>
        <v>#VALUE!</v>
      </c>
      <c r="O27" s="323" t="e">
        <f>(H27/J27)-1</f>
        <v>#VALUE!</v>
      </c>
      <c r="P27" s="323" t="e">
        <f>(H27/K27)-1</f>
        <v>#VALUE!</v>
      </c>
      <c r="Q27" s="323" t="e">
        <f>AC27</f>
        <v>#VALUE!</v>
      </c>
      <c r="R27" s="46"/>
      <c r="S27" s="46"/>
      <c r="T27" s="46"/>
      <c r="U27" s="117" t="e">
        <f>SUM(U4:U25)</f>
        <v>#VALUE!</v>
      </c>
      <c r="V27" s="46"/>
      <c r="W27" s="46"/>
      <c r="X27" s="47"/>
      <c r="Y27" s="46"/>
      <c r="Z27" s="168" t="e">
        <f>(Z5*$U$5)+(Z7*$U$7)+(Z8*$U$8)+(Z9*$U$9)+(Z10*$U$10)+(Z11*$U$11)+(Z12*$U$12)+(Z13*$U$13)+(Z14*$U$14)+(Z15*$U$15)+(Z16*$U$16)+(Z17*$U$17)+(Z18*$U$18)+(Z19*$U$19)+(Z20*$U$20)+(Z21*$U$21)+(Z22*$U$22)+(Z23*$U$23)+(Z24*$U$24)</f>
        <v>#VALUE!</v>
      </c>
      <c r="AA27" s="169" t="e">
        <f>(AA5*$U$5)+(AA7*$U$7)+(AA24*$U$24)+(AA8*$U$8)+(AA9*$U$9)+(AA10*$U$10)+(AA11*$U$11)+(AA12*$U$12)+(AA13*$U$13)+(AA14*$U$14)+(AA15*$U$15)+(AA16*$U$16)+(AA17*$AA$17)+(AA19*$AA$19)+(AA18*$U$18)+(AA20*$U$20)+(AA21*$U$21)+(AA22*$U$22)+(AA23*$U$23)+(AA25*$U$25)</f>
        <v>#VALUE!</v>
      </c>
      <c r="AC27" s="322" t="e">
        <f>SUM(AC4:AC25)</f>
        <v>#VALUE!</v>
      </c>
      <c r="AD27" s="52"/>
      <c r="AE27" s="52"/>
      <c r="AF27" s="52"/>
      <c r="AG27" s="52"/>
      <c r="AH27" s="51"/>
      <c r="AI27" s="51"/>
      <c r="AJ27" s="51"/>
      <c r="AK27" s="51"/>
      <c r="AL27" s="51"/>
      <c r="AM27" s="51"/>
      <c r="AN27" s="51"/>
      <c r="AO27" s="51"/>
      <c r="AP27" s="51"/>
      <c r="AQ27" s="51"/>
      <c r="AR27" s="51"/>
      <c r="AS27" s="51"/>
      <c r="AT27" s="51"/>
      <c r="AU27" s="51"/>
      <c r="AV27" s="51"/>
      <c r="AW27" s="51"/>
      <c r="AX27" s="51"/>
      <c r="AY27" s="51"/>
      <c r="AZ27" s="51"/>
    </row>
    <row r="28" spans="1:52" ht="6.75" customHeight="1" thickTop="1" thickBot="1">
      <c r="A28" s="90"/>
      <c r="B28" s="90"/>
      <c r="C28" s="90"/>
      <c r="D28" s="90"/>
      <c r="E28" s="259"/>
      <c r="F28" s="60"/>
      <c r="G28" s="259"/>
      <c r="H28" s="198"/>
      <c r="I28" s="200"/>
      <c r="J28" s="200"/>
      <c r="K28" s="200"/>
      <c r="L28" s="200"/>
      <c r="M28" s="62"/>
      <c r="N28" s="201"/>
      <c r="O28" s="200"/>
      <c r="P28" s="200"/>
      <c r="Q28" s="200"/>
      <c r="R28" s="61"/>
      <c r="S28" s="61"/>
      <c r="T28" s="61"/>
      <c r="U28" s="61"/>
      <c r="V28" s="61"/>
      <c r="W28" s="61"/>
      <c r="X28" s="61"/>
      <c r="Y28" s="61"/>
      <c r="Z28" s="142"/>
      <c r="AA28" s="61"/>
      <c r="AD28" s="52"/>
      <c r="AE28" s="52"/>
      <c r="AF28" s="52"/>
      <c r="AG28" s="52"/>
      <c r="AH28" s="51"/>
      <c r="AI28" s="51"/>
      <c r="AJ28" s="51"/>
      <c r="AK28" s="51"/>
      <c r="AL28" s="51"/>
      <c r="AM28" s="51"/>
      <c r="AN28" s="51"/>
      <c r="AO28" s="51"/>
      <c r="AP28" s="51"/>
      <c r="AQ28" s="51"/>
      <c r="AR28" s="51"/>
      <c r="AS28" s="51"/>
      <c r="AT28" s="51"/>
      <c r="AU28" s="51"/>
      <c r="AV28" s="51"/>
      <c r="AW28" s="51"/>
      <c r="AX28" s="51"/>
      <c r="AY28" s="51"/>
      <c r="AZ28" s="51"/>
    </row>
    <row r="29" spans="1:52" ht="13.5" thickBot="1">
      <c r="A29" s="90"/>
      <c r="B29" s="90"/>
      <c r="C29" s="90"/>
      <c r="D29" s="90"/>
      <c r="E29" s="298" t="s">
        <v>222</v>
      </c>
      <c r="F29" s="293"/>
      <c r="G29" s="294"/>
      <c r="H29" s="295"/>
      <c r="I29" s="296"/>
      <c r="J29" s="296"/>
      <c r="K29" s="297"/>
      <c r="L29" s="200"/>
      <c r="M29" s="62"/>
      <c r="N29" s="201"/>
      <c r="O29" s="200"/>
      <c r="P29" s="200"/>
      <c r="Q29" s="200"/>
      <c r="R29" s="61"/>
      <c r="S29" s="61"/>
      <c r="T29" s="61"/>
      <c r="U29" s="61"/>
      <c r="V29" s="61"/>
      <c r="W29" s="61"/>
      <c r="X29" s="523" t="s">
        <v>226</v>
      </c>
      <c r="Y29" s="524"/>
      <c r="Z29" s="525"/>
      <c r="AA29" s="169" t="e">
        <f>(AA7*$U$7)+(AA24*$U$24)+(AA8*$U$8)+(AA9*$U$9)+(AA10*$U$10)+(AA11*$U$11)+(AA12*$U$12)+(AA13*$U$13)+(AA14*$U$14)+(AA15*$U$15)+(AA16*$U$16)+(AA17*$U$17)+(AA19*$U$19)+(AA18*$U$18)+(AA20*$U$20)+(AA21*$U$21)+(AA22*$U$22)+(AA23*$U$23)+(AA25*$U$25)</f>
        <v>#VALUE!</v>
      </c>
      <c r="AD29" s="52"/>
      <c r="AE29" s="52"/>
      <c r="AF29" s="52"/>
      <c r="AG29" s="52"/>
      <c r="AH29" s="51"/>
      <c r="AI29" s="51"/>
      <c r="AJ29" s="51"/>
      <c r="AK29" s="51"/>
      <c r="AL29" s="51"/>
      <c r="AM29" s="51"/>
      <c r="AN29" s="51"/>
      <c r="AO29" s="51"/>
      <c r="AP29" s="51"/>
      <c r="AQ29" s="51"/>
      <c r="AR29" s="51"/>
      <c r="AS29" s="51"/>
      <c r="AT29" s="51"/>
      <c r="AU29" s="51"/>
      <c r="AV29" s="51"/>
      <c r="AW29" s="51"/>
      <c r="AX29" s="51"/>
      <c r="AY29" s="51"/>
      <c r="AZ29" s="51"/>
    </row>
    <row r="30" spans="1:52" ht="3.75" customHeight="1" thickBot="1">
      <c r="A30" s="522"/>
      <c r="B30" s="522"/>
      <c r="C30" s="225"/>
      <c r="D30" s="258"/>
      <c r="E30" s="258"/>
      <c r="F30" s="52"/>
      <c r="G30" s="260"/>
      <c r="H30" s="260"/>
      <c r="I30" s="199"/>
      <c r="J30" s="199"/>
      <c r="K30" s="199"/>
      <c r="L30" s="199"/>
      <c r="M30" s="51"/>
      <c r="N30" s="202"/>
      <c r="O30" s="199"/>
      <c r="P30" s="199"/>
      <c r="Q30" s="199"/>
      <c r="R30" s="51"/>
      <c r="S30" s="51"/>
      <c r="T30" s="51"/>
      <c r="U30" s="51"/>
      <c r="V30" s="51"/>
      <c r="W30" s="51"/>
      <c r="X30" s="51"/>
      <c r="Y30" s="51"/>
      <c r="Z30" s="51"/>
    </row>
    <row r="31" spans="1:52" ht="13.5" thickBot="1">
      <c r="A31" s="301"/>
      <c r="B31" s="301"/>
      <c r="C31" s="301"/>
      <c r="D31" s="301"/>
      <c r="E31" s="298"/>
      <c r="F31" s="293"/>
      <c r="G31" s="294"/>
      <c r="H31" s="302"/>
      <c r="I31" s="199"/>
      <c r="J31" s="199"/>
      <c r="K31" s="199"/>
      <c r="L31" s="199"/>
      <c r="M31" s="51"/>
      <c r="N31" s="202"/>
      <c r="O31" s="199"/>
      <c r="P31" s="199"/>
      <c r="Q31" s="199"/>
      <c r="R31" s="51"/>
      <c r="S31" s="51"/>
      <c r="T31" s="51"/>
      <c r="U31" s="51"/>
      <c r="V31" s="51"/>
      <c r="W31" s="51"/>
      <c r="X31" s="51"/>
      <c r="Y31" s="51"/>
      <c r="Z31" s="51"/>
    </row>
    <row r="32" spans="1:52">
      <c r="A32" s="519"/>
      <c r="B32" s="519"/>
      <c r="C32" s="223"/>
      <c r="D32" s="255"/>
      <c r="E32" s="63"/>
      <c r="F32" s="52"/>
      <c r="G32" s="261"/>
      <c r="H32" s="261"/>
      <c r="I32" s="51"/>
      <c r="J32" s="51"/>
      <c r="K32" s="51"/>
      <c r="L32" s="51"/>
      <c r="M32" s="51"/>
      <c r="N32" s="51"/>
      <c r="O32" s="51"/>
      <c r="P32" s="51"/>
      <c r="Q32" s="51"/>
      <c r="R32" s="51"/>
      <c r="S32" s="51"/>
      <c r="T32" s="51"/>
      <c r="U32" s="51"/>
      <c r="V32" s="51"/>
      <c r="W32" s="51"/>
      <c r="X32" s="51"/>
      <c r="Y32" s="51"/>
      <c r="Z32" s="51"/>
    </row>
    <row r="33" spans="1:26">
      <c r="A33" s="519"/>
      <c r="B33" s="519"/>
      <c r="C33" s="324"/>
      <c r="D33" s="255"/>
      <c r="E33" s="52"/>
      <c r="F33" s="52"/>
      <c r="G33" s="254"/>
      <c r="H33" s="254"/>
      <c r="I33" s="51"/>
      <c r="J33" s="51"/>
      <c r="K33" s="51"/>
      <c r="L33" s="51"/>
      <c r="M33" s="51"/>
      <c r="N33" s="51"/>
      <c r="O33" s="51"/>
      <c r="P33" s="51"/>
      <c r="Q33" s="51"/>
      <c r="R33" s="51"/>
      <c r="S33" s="51"/>
      <c r="T33" s="51"/>
      <c r="U33" s="51"/>
      <c r="V33" s="51"/>
      <c r="W33" s="51"/>
      <c r="X33" s="51"/>
      <c r="Y33" s="51"/>
      <c r="Z33" s="51"/>
    </row>
    <row r="34" spans="1:26">
      <c r="A34" s="519"/>
      <c r="B34" s="519"/>
      <c r="C34" s="325"/>
      <c r="D34" s="255"/>
      <c r="E34" s="63"/>
      <c r="F34" s="52"/>
      <c r="G34" s="254"/>
      <c r="H34" s="254"/>
      <c r="I34" s="51"/>
      <c r="J34" s="51"/>
      <c r="K34" s="51"/>
      <c r="L34" s="51"/>
      <c r="M34" s="51"/>
      <c r="N34" s="51"/>
      <c r="O34" s="51"/>
      <c r="P34" s="51"/>
      <c r="Q34" s="51"/>
      <c r="R34" s="51"/>
      <c r="S34" s="51"/>
      <c r="T34" s="51"/>
      <c r="U34" s="51"/>
      <c r="V34" s="51"/>
      <c r="W34" s="51"/>
      <c r="X34" s="51"/>
      <c r="Y34" s="51"/>
      <c r="Z34" s="51"/>
    </row>
    <row r="35" spans="1:26">
      <c r="A35" s="519"/>
      <c r="B35" s="519"/>
      <c r="C35" s="223"/>
      <c r="D35" s="255"/>
      <c r="E35" s="63"/>
      <c r="F35" s="52"/>
      <c r="G35" s="254"/>
      <c r="H35" s="254"/>
      <c r="I35" s="51"/>
      <c r="J35" s="51"/>
      <c r="K35" s="51"/>
      <c r="L35" s="51"/>
      <c r="M35" s="51"/>
      <c r="N35" s="51"/>
      <c r="O35" s="51"/>
      <c r="P35" s="51"/>
      <c r="Q35" s="51"/>
      <c r="R35" s="51"/>
      <c r="S35" s="51"/>
      <c r="T35" s="51"/>
      <c r="U35" s="51"/>
      <c r="V35" s="51"/>
      <c r="W35" s="51"/>
      <c r="X35" s="51"/>
      <c r="Y35" s="51"/>
      <c r="Z35" s="51"/>
    </row>
    <row r="36" spans="1:26">
      <c r="A36" s="519"/>
      <c r="B36" s="519"/>
      <c r="C36" s="223"/>
      <c r="D36" s="255"/>
      <c r="E36" s="52"/>
      <c r="F36" s="52"/>
      <c r="G36" s="254"/>
      <c r="H36" s="254"/>
      <c r="I36" s="51"/>
      <c r="J36" s="51"/>
      <c r="K36" s="51"/>
      <c r="L36" s="51"/>
      <c r="M36" s="51"/>
      <c r="N36" s="51"/>
      <c r="O36" s="51"/>
      <c r="P36" s="51"/>
      <c r="Q36" s="51"/>
      <c r="R36" s="51"/>
      <c r="S36" s="51"/>
      <c r="T36" s="51"/>
      <c r="U36" s="51"/>
      <c r="V36" s="51"/>
      <c r="W36" s="51"/>
      <c r="X36" s="51"/>
      <c r="Y36" s="51"/>
      <c r="Z36" s="51"/>
    </row>
    <row r="37" spans="1:26">
      <c r="A37" s="519"/>
      <c r="B37" s="519"/>
      <c r="C37" s="223"/>
      <c r="D37" s="255"/>
      <c r="E37" s="52"/>
      <c r="F37" s="52"/>
      <c r="G37" s="254"/>
      <c r="H37" s="254"/>
      <c r="I37" s="51"/>
      <c r="J37" s="51"/>
      <c r="K37" s="51"/>
      <c r="L37" s="51"/>
      <c r="M37" s="51"/>
      <c r="N37" s="51"/>
      <c r="O37" s="51"/>
      <c r="P37" s="51"/>
      <c r="Q37" s="51"/>
      <c r="R37" s="51"/>
      <c r="S37" s="51"/>
      <c r="T37" s="51"/>
      <c r="U37" s="51"/>
      <c r="V37" s="51"/>
      <c r="W37" s="51"/>
      <c r="X37" s="51"/>
      <c r="Y37" s="51"/>
      <c r="Z37" s="51"/>
    </row>
    <row r="38" spans="1:26">
      <c r="A38" s="519"/>
      <c r="B38" s="519"/>
      <c r="C38" s="223"/>
      <c r="D38" s="255"/>
      <c r="E38" s="52"/>
      <c r="F38" s="52"/>
      <c r="G38" s="254"/>
      <c r="H38" s="254"/>
      <c r="I38" s="51"/>
      <c r="J38" s="51"/>
      <c r="K38" s="51"/>
      <c r="L38" s="51"/>
      <c r="M38" s="51"/>
      <c r="N38" s="51"/>
      <c r="O38" s="51"/>
      <c r="P38" s="51"/>
      <c r="Q38" s="51"/>
      <c r="R38" s="51"/>
      <c r="S38" s="51"/>
      <c r="T38" s="51"/>
      <c r="U38" s="51"/>
      <c r="V38" s="51"/>
      <c r="W38" s="51"/>
      <c r="X38" s="51"/>
      <c r="Y38" s="51"/>
      <c r="Z38" s="51"/>
    </row>
    <row r="39" spans="1:26">
      <c r="A39" s="519"/>
      <c r="B39" s="519"/>
      <c r="C39" s="223"/>
      <c r="D39" s="255"/>
      <c r="E39" s="52"/>
      <c r="G39" s="254"/>
      <c r="H39" s="254"/>
    </row>
    <row r="40" spans="1:26">
      <c r="A40" s="519"/>
      <c r="B40" s="519"/>
      <c r="C40" s="223"/>
      <c r="D40" s="255"/>
      <c r="E40" s="52"/>
      <c r="G40" s="254"/>
      <c r="H40" s="254"/>
    </row>
    <row r="41" spans="1:26">
      <c r="A41" s="519"/>
      <c r="B41" s="519"/>
      <c r="C41" s="223"/>
      <c r="D41" s="255"/>
      <c r="E41" s="52"/>
      <c r="G41" s="254"/>
      <c r="H41" s="254"/>
    </row>
    <row r="42" spans="1:26">
      <c r="A42" s="519"/>
      <c r="B42" s="519"/>
      <c r="C42" s="223"/>
      <c r="D42" s="255"/>
      <c r="E42" s="52"/>
      <c r="G42" s="254"/>
      <c r="H42" s="254"/>
    </row>
    <row r="43" spans="1:26">
      <c r="A43" s="518"/>
      <c r="B43" s="518"/>
      <c r="C43" s="224"/>
      <c r="D43" s="256"/>
      <c r="E43" s="63"/>
      <c r="G43" s="254"/>
      <c r="H43" s="254"/>
    </row>
    <row r="45" spans="1:26">
      <c r="A45" s="51"/>
    </row>
    <row r="46" spans="1:26">
      <c r="A46" s="51"/>
    </row>
    <row r="47" spans="1:26">
      <c r="A47" s="95"/>
    </row>
    <row r="51" spans="2:28">
      <c r="B51" s="99"/>
      <c r="C51" s="99"/>
      <c r="D51" s="99"/>
    </row>
    <row r="52" spans="2:28">
      <c r="B52" s="99"/>
      <c r="C52" s="99"/>
      <c r="D52" s="99"/>
    </row>
    <row r="53" spans="2:28">
      <c r="B53" s="99"/>
      <c r="C53" s="99"/>
      <c r="D53" s="99"/>
    </row>
    <row r="54" spans="2:28">
      <c r="B54" s="99"/>
      <c r="C54" s="99"/>
      <c r="D54" s="99"/>
    </row>
    <row r="55" spans="2:28">
      <c r="B55" s="99"/>
      <c r="C55" s="99"/>
      <c r="D55" s="99"/>
    </row>
    <row r="56" spans="2:28">
      <c r="B56" s="99"/>
      <c r="C56" s="99"/>
      <c r="D56" s="99"/>
    </row>
    <row r="57" spans="2:28">
      <c r="B57" s="99"/>
      <c r="C57" s="99"/>
      <c r="D57" s="99"/>
    </row>
    <row r="58" spans="2:28">
      <c r="B58" s="99"/>
      <c r="C58" s="99"/>
      <c r="D58" s="99"/>
    </row>
    <row r="59" spans="2:28" ht="13.5" thickBot="1">
      <c r="B59" s="99"/>
      <c r="C59" s="99"/>
      <c r="D59" s="99"/>
      <c r="F59" s="54"/>
      <c r="G59" s="54"/>
      <c r="H59" s="54"/>
    </row>
    <row r="60" spans="2:28">
      <c r="B60" s="99"/>
      <c r="C60" s="99"/>
      <c r="D60" s="99"/>
      <c r="X60" s="91" t="s">
        <v>41</v>
      </c>
      <c r="Y60" s="88"/>
      <c r="Z60" s="89"/>
      <c r="AA60" s="92"/>
      <c r="AB60" s="227"/>
    </row>
    <row r="61" spans="2:28">
      <c r="B61" s="100"/>
      <c r="C61" s="100"/>
      <c r="D61" s="100"/>
      <c r="X61" s="93" t="s">
        <v>122</v>
      </c>
      <c r="Y61" s="51"/>
      <c r="Z61" s="52"/>
      <c r="AA61" s="94"/>
      <c r="AB61" s="227"/>
    </row>
    <row r="62" spans="2:28">
      <c r="X62" s="93" t="s">
        <v>113</v>
      </c>
      <c r="Y62" s="51"/>
      <c r="Z62" s="52"/>
      <c r="AA62" s="94"/>
      <c r="AB62" s="227"/>
    </row>
    <row r="63" spans="2:28">
      <c r="X63" s="96" t="s">
        <v>114</v>
      </c>
      <c r="Y63" s="95"/>
      <c r="Z63" s="52"/>
      <c r="AA63" s="94"/>
      <c r="AB63" s="227"/>
    </row>
    <row r="64" spans="2:28" ht="13.5" thickBot="1">
      <c r="X64" s="97" t="s">
        <v>123</v>
      </c>
      <c r="Y64" s="226"/>
      <c r="Z64" s="75"/>
      <c r="AA64" s="98"/>
      <c r="AB64" s="227"/>
    </row>
  </sheetData>
  <mergeCells count="15">
    <mergeCell ref="A43:B43"/>
    <mergeCell ref="A34:B34"/>
    <mergeCell ref="A35:B35"/>
    <mergeCell ref="W3:X3"/>
    <mergeCell ref="A39:B39"/>
    <mergeCell ref="A32:B32"/>
    <mergeCell ref="A36:B36"/>
    <mergeCell ref="A30:B30"/>
    <mergeCell ref="A33:B33"/>
    <mergeCell ref="A37:B37"/>
    <mergeCell ref="A38:B38"/>
    <mergeCell ref="A40:B40"/>
    <mergeCell ref="A41:B41"/>
    <mergeCell ref="A42:B42"/>
    <mergeCell ref="X29:Z29"/>
  </mergeCells>
  <phoneticPr fontId="11" type="noConversion"/>
  <conditionalFormatting sqref="B3:D3">
    <cfRule type="cellIs" dxfId="14" priority="17" operator="lessThan">
      <formula>1</formula>
    </cfRule>
  </conditionalFormatting>
  <conditionalFormatting sqref="X4:X25">
    <cfRule type="containsText" dxfId="13" priority="13" operator="containsText" text="Mid">
      <formula>NOT(ISERROR(SEARCH("Mid",X4)))</formula>
    </cfRule>
    <cfRule type="containsText" dxfId="12" priority="14" operator="containsText" text="Small">
      <formula>NOT(ISERROR(SEARCH("Small",X4)))</formula>
    </cfRule>
    <cfRule type="containsText" dxfId="11" priority="15" operator="containsText" text="Large">
      <formula>NOT(ISERROR(SEARCH("Large",X4)))</formula>
    </cfRule>
  </conditionalFormatting>
  <conditionalFormatting sqref="H31 M5:Q25">
    <cfRule type="cellIs" dxfId="10" priority="10" operator="lessThan">
      <formula>0</formula>
    </cfRule>
  </conditionalFormatting>
  <conditionalFormatting sqref="P27">
    <cfRule type="cellIs" dxfId="9" priority="4" operator="lessThan">
      <formula>0</formula>
    </cfRule>
  </conditionalFormatting>
  <conditionalFormatting sqref="Q27">
    <cfRule type="cellIs" dxfId="8" priority="3" operator="lessThan">
      <formula>0</formula>
    </cfRule>
  </conditionalFormatting>
  <conditionalFormatting sqref="O27">
    <cfRule type="cellIs" dxfId="7" priority="2" operator="lessThan">
      <formula>0</formula>
    </cfRule>
  </conditionalFormatting>
  <conditionalFormatting sqref="N27">
    <cfRule type="cellIs" dxfId="6" priority="1" operator="lessThan">
      <formula>0</formula>
    </cfRule>
  </conditionalFormatting>
  <hyperlinks>
    <hyperlink ref="X63" r:id="rId1"/>
    <hyperlink ref="X64" r:id="rId2"/>
  </hyperlinks>
  <printOptions horizontalCentered="1" verticalCentered="1"/>
  <pageMargins left="0.75" right="0.75" top="1" bottom="1" header="0.5" footer="0.5"/>
  <headerFooter>
    <oddHeader>&amp;LSeidman I.P.O. &amp;Ras of &amp;D</oddHeader>
    <oddFooter>&amp;CSeidman I.P.O. _x000D_"Education, Experience, Opportunity"</oddFooter>
  </headerFooter>
  <drawing r:id="rId3"/>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sheetPr codeName="Sheet12"/>
  <dimension ref="A9:S31"/>
  <sheetViews>
    <sheetView topLeftCell="A9" workbookViewId="0">
      <selection activeCell="B10" sqref="B10"/>
    </sheetView>
  </sheetViews>
  <sheetFormatPr defaultColWidth="10.85546875" defaultRowHeight="12.75"/>
  <cols>
    <col min="1" max="16384" width="10.85546875" style="213"/>
  </cols>
  <sheetData>
    <row r="9" spans="1:19" ht="94.5">
      <c r="A9" s="216" t="s">
        <v>165</v>
      </c>
      <c r="B9" s="216" t="s">
        <v>160</v>
      </c>
      <c r="C9" s="216" t="s">
        <v>161</v>
      </c>
      <c r="D9" s="216" t="s">
        <v>162</v>
      </c>
      <c r="E9" s="216" t="s">
        <v>166</v>
      </c>
      <c r="P9" s="214"/>
      <c r="Q9" s="214"/>
      <c r="R9" s="214"/>
      <c r="S9" s="214"/>
    </row>
    <row r="10" spans="1:19" ht="15.75">
      <c r="A10" s="216" t="s">
        <v>46</v>
      </c>
      <c r="B10" s="216">
        <v>10.7</v>
      </c>
      <c r="C10" s="216">
        <v>5.35</v>
      </c>
      <c r="D10" s="216">
        <v>16.05</v>
      </c>
      <c r="E10" s="217">
        <v>3.6999999999999998E-2</v>
      </c>
      <c r="P10" s="214"/>
      <c r="Q10" s="214"/>
      <c r="R10" s="214"/>
      <c r="S10" s="214"/>
    </row>
    <row r="11" spans="1:19" ht="15.75">
      <c r="A11" s="216" t="s">
        <v>19</v>
      </c>
      <c r="B11" s="216">
        <v>3.4</v>
      </c>
      <c r="C11" s="216">
        <v>1.7</v>
      </c>
      <c r="D11" s="216">
        <v>5.0999999999999996</v>
      </c>
      <c r="E11" s="217">
        <v>3.4000000000000002E-2</v>
      </c>
      <c r="P11" s="214"/>
      <c r="Q11" s="214"/>
      <c r="R11" s="214"/>
      <c r="S11" s="214"/>
    </row>
    <row r="12" spans="1:19" ht="31.5">
      <c r="A12" s="216" t="s">
        <v>20</v>
      </c>
      <c r="B12" s="216">
        <v>10.3</v>
      </c>
      <c r="C12" s="216">
        <v>5.15</v>
      </c>
      <c r="D12" s="216">
        <v>15.45</v>
      </c>
      <c r="E12" s="217">
        <v>0.10299999999999999</v>
      </c>
      <c r="P12" s="214"/>
      <c r="Q12" s="214"/>
      <c r="R12" s="214"/>
      <c r="S12" s="214"/>
    </row>
    <row r="13" spans="1:19" ht="63">
      <c r="A13" s="216" t="s">
        <v>104</v>
      </c>
      <c r="B13" s="216">
        <v>10.1</v>
      </c>
      <c r="C13" s="216">
        <v>5.05</v>
      </c>
      <c r="D13" s="216">
        <v>15.15</v>
      </c>
      <c r="E13" s="217">
        <v>0.10100000000000001</v>
      </c>
      <c r="P13" s="214"/>
      <c r="Q13" s="214"/>
      <c r="R13" s="214"/>
      <c r="S13" s="214"/>
    </row>
    <row r="14" spans="1:19" ht="31.5">
      <c r="A14" s="216" t="s">
        <v>105</v>
      </c>
      <c r="B14" s="216">
        <v>11.5</v>
      </c>
      <c r="C14" s="216">
        <v>5.75</v>
      </c>
      <c r="D14" s="216">
        <v>17.25</v>
      </c>
      <c r="E14" s="217">
        <v>0.115</v>
      </c>
      <c r="P14" s="214"/>
      <c r="Q14" s="214"/>
      <c r="R14" s="214"/>
      <c r="S14" s="214"/>
    </row>
    <row r="15" spans="1:19" ht="31.5">
      <c r="A15" s="216" t="s">
        <v>164</v>
      </c>
      <c r="B15" s="216">
        <v>12.1</v>
      </c>
      <c r="C15" s="216">
        <v>6.05</v>
      </c>
      <c r="D15" s="216">
        <v>18.149999999999999</v>
      </c>
      <c r="E15" s="217">
        <v>0.121</v>
      </c>
      <c r="P15" s="214"/>
      <c r="Q15" s="214"/>
      <c r="R15" s="214"/>
      <c r="S15" s="214"/>
    </row>
    <row r="16" spans="1:19" ht="15.75">
      <c r="A16" s="216" t="s">
        <v>3</v>
      </c>
      <c r="B16" s="216">
        <v>16.3</v>
      </c>
      <c r="C16" s="216">
        <v>8.15</v>
      </c>
      <c r="D16" s="216">
        <v>24.45</v>
      </c>
      <c r="E16" s="217">
        <v>0.16300000000000001</v>
      </c>
      <c r="P16" s="214"/>
      <c r="Q16" s="214"/>
      <c r="R16" s="214"/>
      <c r="S16" s="214"/>
    </row>
    <row r="17" spans="1:19" ht="63">
      <c r="A17" s="216" t="s">
        <v>106</v>
      </c>
      <c r="B17" s="216">
        <v>18.8</v>
      </c>
      <c r="C17" s="216">
        <v>9.4</v>
      </c>
      <c r="D17" s="216">
        <v>28.2</v>
      </c>
      <c r="E17" s="217">
        <v>0.188</v>
      </c>
      <c r="P17" s="214"/>
      <c r="Q17" s="214"/>
      <c r="R17" s="214"/>
      <c r="S17" s="214"/>
    </row>
    <row r="18" spans="1:19" ht="63">
      <c r="A18" s="216" t="s">
        <v>163</v>
      </c>
      <c r="B18" s="216">
        <v>3</v>
      </c>
      <c r="C18" s="216">
        <v>1.5</v>
      </c>
      <c r="D18" s="216">
        <v>4.5</v>
      </c>
      <c r="E18" s="217">
        <v>0.03</v>
      </c>
      <c r="P18" s="214"/>
      <c r="Q18" s="214"/>
      <c r="R18" s="214"/>
      <c r="S18" s="214"/>
    </row>
    <row r="19" spans="1:19" ht="15.75">
      <c r="A19" s="216" t="s">
        <v>148</v>
      </c>
      <c r="B19" s="216">
        <v>3.7</v>
      </c>
      <c r="C19" s="216">
        <v>1.85</v>
      </c>
      <c r="D19" s="216">
        <v>5.55</v>
      </c>
      <c r="E19" s="217">
        <v>3.6999999999999998E-2</v>
      </c>
      <c r="P19" s="214"/>
      <c r="Q19" s="214"/>
      <c r="R19" s="214"/>
      <c r="S19" s="214"/>
    </row>
    <row r="20" spans="1:19" ht="15.75">
      <c r="P20" s="214"/>
      <c r="Q20" s="214"/>
      <c r="R20" s="214"/>
      <c r="S20" s="214"/>
    </row>
    <row r="22" spans="1:19" ht="15.75">
      <c r="P22" s="214"/>
      <c r="Q22" s="215"/>
    </row>
    <row r="23" spans="1:19" ht="15.75">
      <c r="P23" s="214"/>
      <c r="Q23" s="215"/>
    </row>
    <row r="24" spans="1:19" ht="15.75">
      <c r="P24" s="214"/>
      <c r="Q24" s="215"/>
    </row>
    <row r="25" spans="1:19" ht="15.75">
      <c r="P25" s="214"/>
      <c r="Q25" s="215"/>
    </row>
    <row r="26" spans="1:19" ht="15.75">
      <c r="P26" s="214"/>
      <c r="Q26" s="215"/>
    </row>
    <row r="27" spans="1:19" ht="15.75">
      <c r="P27" s="214"/>
      <c r="Q27" s="215"/>
    </row>
    <row r="28" spans="1:19" ht="15.75">
      <c r="P28" s="214"/>
      <c r="Q28" s="215"/>
    </row>
    <row r="29" spans="1:19" ht="15.75">
      <c r="P29" s="214"/>
      <c r="Q29" s="215"/>
    </row>
    <row r="30" spans="1:19" ht="15.75">
      <c r="P30" s="214"/>
      <c r="Q30" s="215"/>
    </row>
    <row r="31" spans="1:19" ht="15.75">
      <c r="P31" s="214"/>
      <c r="Q31" s="215"/>
    </row>
  </sheetData>
  <pageMargins left="0.75" right="0.75" top="1" bottom="1" header="0.5" footer="0.5"/>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sheetPr codeName="Sheet13"/>
  <dimension ref="A2:M8"/>
  <sheetViews>
    <sheetView workbookViewId="0">
      <selection activeCell="D7" sqref="D7"/>
    </sheetView>
  </sheetViews>
  <sheetFormatPr defaultRowHeight="12.75"/>
  <cols>
    <col min="1" max="1" width="9.140625" style="290"/>
    <col min="2" max="2" width="2.85546875" style="290" customWidth="1"/>
    <col min="3" max="3" width="9.140625" style="420"/>
    <col min="4" max="4" width="11.28515625" style="290" customWidth="1"/>
    <col min="5" max="5" width="9.85546875" style="290" customWidth="1"/>
    <col min="6" max="9" width="12.28515625" style="290" customWidth="1"/>
    <col min="10" max="11" width="9.140625" style="290" customWidth="1"/>
    <col min="12" max="12" width="9.140625" style="290"/>
    <col min="13" max="13" width="11.28515625" style="290" bestFit="1" customWidth="1"/>
    <col min="14" max="16384" width="9.140625" style="290"/>
  </cols>
  <sheetData>
    <row r="2" spans="1:13">
      <c r="A2" s="445" t="s">
        <v>306</v>
      </c>
    </row>
    <row r="3" spans="1:13" s="419" customFormat="1">
      <c r="D3" s="419" t="s">
        <v>229</v>
      </c>
      <c r="E3" s="419" t="s">
        <v>221</v>
      </c>
      <c r="F3" s="419" t="s">
        <v>298</v>
      </c>
      <c r="G3" s="419" t="s">
        <v>67</v>
      </c>
      <c r="H3" s="419" t="s">
        <v>128</v>
      </c>
      <c r="I3" s="419" t="s">
        <v>66</v>
      </c>
      <c r="J3" s="419" t="s">
        <v>249</v>
      </c>
      <c r="K3" s="419" t="s">
        <v>68</v>
      </c>
      <c r="L3" s="419" t="s">
        <v>299</v>
      </c>
      <c r="M3" s="419" t="s">
        <v>300</v>
      </c>
    </row>
    <row r="4" spans="1:13">
      <c r="C4" s="420" t="s">
        <v>57</v>
      </c>
      <c r="D4" s="421">
        <v>40942</v>
      </c>
      <c r="E4" s="422">
        <v>41365</v>
      </c>
      <c r="F4" s="290">
        <f>E4-D4</f>
        <v>423</v>
      </c>
      <c r="G4" s="290">
        <v>12.47</v>
      </c>
      <c r="H4" s="290">
        <v>13.01</v>
      </c>
      <c r="I4" s="426">
        <v>65</v>
      </c>
      <c r="J4" s="427">
        <v>810.55000000000007</v>
      </c>
      <c r="K4" s="427">
        <f>H4*(I4+1.476)</f>
        <v>864.85275999999999</v>
      </c>
      <c r="L4" s="424">
        <f>(K4/J4) -1</f>
        <v>6.6994954043550603E-2</v>
      </c>
      <c r="M4" s="424">
        <f>(365/F4)*L4</f>
        <v>5.7808884694789529E-2</v>
      </c>
    </row>
    <row r="5" spans="1:13">
      <c r="C5" s="420" t="s">
        <v>256</v>
      </c>
      <c r="D5" s="421">
        <v>41243</v>
      </c>
      <c r="E5" s="422">
        <f ca="1">TODAY()</f>
        <v>41438</v>
      </c>
      <c r="F5" s="290">
        <f ca="1">E5-D5</f>
        <v>195</v>
      </c>
      <c r="G5" s="290">
        <v>19.489999999999998</v>
      </c>
      <c r="H5" s="423">
        <f>Holdings!E16</f>
        <v>27.69</v>
      </c>
      <c r="I5" s="426">
        <v>75</v>
      </c>
      <c r="J5" s="427">
        <v>1471.6999999999998</v>
      </c>
      <c r="K5" s="427">
        <f>H5*I5</f>
        <v>2076.75</v>
      </c>
      <c r="L5" s="424">
        <f t="shared" ref="L5:L6" si="0">(K5/J5) -1</f>
        <v>0.41112319086770421</v>
      </c>
      <c r="M5" s="424">
        <f t="shared" ref="M5:M8" ca="1" si="1">(365/F5)*L5</f>
        <v>0.76953828034211302</v>
      </c>
    </row>
    <row r="6" spans="1:13">
      <c r="C6" s="420" t="s">
        <v>285</v>
      </c>
      <c r="D6" s="425">
        <v>41334</v>
      </c>
      <c r="E6" s="422">
        <f ca="1">TODAY()</f>
        <v>41438</v>
      </c>
      <c r="F6" s="290">
        <f ca="1">E6-D6</f>
        <v>104</v>
      </c>
      <c r="G6" s="290">
        <v>21.75</v>
      </c>
      <c r="H6" s="423" t="e">
        <f>Holdings!#REF!</f>
        <v>#REF!</v>
      </c>
      <c r="I6" s="426">
        <v>100</v>
      </c>
      <c r="J6" s="427">
        <v>2174.9899999999998</v>
      </c>
      <c r="K6" s="427" t="e">
        <f t="shared" ref="K6" si="2">H6*I6</f>
        <v>#REF!</v>
      </c>
      <c r="L6" s="424" t="e">
        <f t="shared" si="0"/>
        <v>#REF!</v>
      </c>
      <c r="M6" s="424" t="e">
        <f t="shared" ca="1" si="1"/>
        <v>#REF!</v>
      </c>
    </row>
    <row r="7" spans="1:13">
      <c r="C7" s="420" t="s">
        <v>288</v>
      </c>
      <c r="D7" s="421">
        <v>41355</v>
      </c>
      <c r="E7" s="422">
        <v>41397</v>
      </c>
      <c r="F7" s="290">
        <f>E7-D7</f>
        <v>42</v>
      </c>
      <c r="G7" s="290">
        <v>8.61</v>
      </c>
      <c r="H7" s="290">
        <v>11.25</v>
      </c>
      <c r="I7" s="426">
        <v>100</v>
      </c>
      <c r="J7" s="427">
        <f>G7*I7</f>
        <v>861</v>
      </c>
      <c r="K7" s="427">
        <f>H7*I7</f>
        <v>1125</v>
      </c>
      <c r="L7" s="424">
        <f>(K7/J7) -1</f>
        <v>0.30662020905923337</v>
      </c>
      <c r="M7" s="424">
        <f t="shared" si="1"/>
        <v>2.6646756263480995</v>
      </c>
    </row>
    <row r="8" spans="1:13">
      <c r="C8" s="420" t="s">
        <v>288</v>
      </c>
      <c r="D8" s="422">
        <v>41355</v>
      </c>
      <c r="E8" s="422">
        <f ca="1">TODAY()</f>
        <v>41438</v>
      </c>
      <c r="F8" s="290">
        <f ca="1">E8-D8</f>
        <v>83</v>
      </c>
      <c r="G8" s="290">
        <v>8.61</v>
      </c>
      <c r="H8" s="423" t="e">
        <f>Holdings!#REF!</f>
        <v>#REF!</v>
      </c>
      <c r="I8" s="290">
        <v>200</v>
      </c>
      <c r="J8" s="427">
        <v>1722</v>
      </c>
      <c r="K8" s="427" t="e">
        <f>H8*I8</f>
        <v>#REF!</v>
      </c>
      <c r="L8" s="424" t="e">
        <f>(K8/J8) -1</f>
        <v>#REF!</v>
      </c>
      <c r="M8" s="424" t="e">
        <f t="shared" ca="1" si="1"/>
        <v>#REF!</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12</vt:i4>
      </vt:variant>
      <vt:variant>
        <vt:lpstr>Charts</vt:lpstr>
      </vt:variant>
      <vt:variant>
        <vt:i4>3</vt:i4>
      </vt:variant>
      <vt:variant>
        <vt:lpstr>Named Ranges</vt:lpstr>
      </vt:variant>
      <vt:variant>
        <vt:i4>5</vt:i4>
      </vt:variant>
    </vt:vector>
  </HeadingPairs>
  <TitlesOfParts>
    <vt:vector size="20" baseType="lpstr">
      <vt:lpstr>Summary</vt:lpstr>
      <vt:lpstr>Holdings</vt:lpstr>
      <vt:lpstr>2012 Holiday Performance</vt:lpstr>
      <vt:lpstr>Holdings Pull Sheet</vt:lpstr>
      <vt:lpstr>Data</vt:lpstr>
      <vt:lpstr>Long-Term Chart</vt:lpstr>
      <vt:lpstr>V.P. of PM</vt:lpstr>
      <vt:lpstr>GICS Sector Allocation</vt:lpstr>
      <vt:lpstr>Transactions</vt:lpstr>
      <vt:lpstr>Holdings_Old</vt:lpstr>
      <vt:lpstr>Sector Weights</vt:lpstr>
      <vt:lpstr>Turner's Pitches</vt:lpstr>
      <vt:lpstr>Recession Chart</vt:lpstr>
      <vt:lpstr>GICS Sector Weights</vt:lpstr>
      <vt:lpstr>MKT Cap</vt:lpstr>
      <vt:lpstr>'2012 Holiday Performance'!_FilterDatabase</vt:lpstr>
      <vt:lpstr>'Holdings Pull Sheet'!MSN_MoneyCentral_Investor_Stock_Quotes</vt:lpstr>
      <vt:lpstr>Data!Print_Area</vt:lpstr>
      <vt:lpstr>Holdings_Old!Print_Area</vt:lpstr>
      <vt:lpstr>'V.P. of PM'!Print_Area</vt:lpstr>
    </vt:vector>
  </TitlesOfParts>
  <Manager>Boomer K. Hoppough</Manager>
  <Company>Edward Jones</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Boomer K. Hoppough</dc:creator>
  <cp:lastModifiedBy>Turner Novak</cp:lastModifiedBy>
  <cp:lastPrinted>2011-05-03T15:40:41Z</cp:lastPrinted>
  <dcterms:created xsi:type="dcterms:W3CDTF">2003-05-08T16:17:53Z</dcterms:created>
  <dcterms:modified xsi:type="dcterms:W3CDTF">2013-06-14T02:37:32Z</dcterms:modified>
</cp:coreProperties>
</file>