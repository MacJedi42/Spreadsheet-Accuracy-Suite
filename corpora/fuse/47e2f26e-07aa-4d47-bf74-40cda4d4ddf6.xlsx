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defaultThemeVersion="124226"/>
  <bookViews>
    <workbookView xWindow="585" yWindow="750" windowWidth="10860" windowHeight="6465" tabRatio="631"/>
  </bookViews>
  <sheets>
    <sheet name="INSTRUCTIONS" sheetId="21" r:id="rId1"/>
    <sheet name="SUMMARY_FILE" sheetId="16" r:id="rId2"/>
    <sheet name="STUDENT_FILE" sheetId="19" r:id="rId3"/>
    <sheet name="KEY" sheetId="17" r:id="rId4"/>
    <sheet name="DOCUMENTATION_ASSURANCE" sheetId="18" r:id="rId5"/>
    <sheet name="OVER-AGE_AND_UNDER-CREDITED" sheetId="20" r:id="rId6"/>
  </sheets>
  <definedNames>
    <definedName name="_xlnm._FilterDatabase" localSheetId="2" hidden="1">STUDENT_FILE!$A$2:$AL$19998</definedName>
  </definedNames>
  <calcPr calcId="145621"/>
</workbook>
</file>

<file path=xl/calcChain.xml><?xml version="1.0" encoding="utf-8"?>
<calcChain xmlns="http://schemas.openxmlformats.org/spreadsheetml/2006/main">
  <c r="K47" i="16" l="1"/>
  <c r="K48" i="16" l="1"/>
  <c r="K46" i="16" l="1"/>
  <c r="K45" i="16"/>
  <c r="K56" i="16" l="1"/>
  <c r="K60" i="16"/>
  <c r="K57" i="16"/>
  <c r="K55" i="16"/>
  <c r="K54" i="16"/>
  <c r="K53" i="16"/>
  <c r="K52" i="16"/>
  <c r="K51" i="16"/>
  <c r="K50" i="16"/>
  <c r="K49" i="16"/>
  <c r="K44" i="16"/>
  <c r="K59" i="16" l="1"/>
  <c r="K61" i="16" s="1"/>
  <c r="K58" i="16"/>
</calcChain>
</file>

<file path=xl/comments1.xml><?xml version="1.0" encoding="utf-8"?>
<comments xmlns="http://schemas.openxmlformats.org/spreadsheetml/2006/main">
  <authors>
    <author>Knevals, Jessica</author>
  </authors>
  <commentList>
    <comment ref="P1" authorId="0">
      <text>
        <r>
          <rPr>
            <sz val="12"/>
            <color indexed="81"/>
            <rFont val="Tahoma"/>
            <family val="2"/>
          </rPr>
          <t>A "Child who is habitually truant" means a child who has attained the age of six years on or before August 1 of the year in question and is under the age of seventeen years and who has four unexcused absences from public school in any one month or ten unexcused absences from public school during any school year. ((C.R.S. 22-33-107 (I))</t>
        </r>
      </text>
    </comment>
    <comment ref="AD1" authorId="0">
      <text>
        <r>
          <rPr>
            <sz val="12"/>
            <color indexed="81"/>
            <rFont val="Tahoma"/>
            <family val="2"/>
          </rPr>
          <t xml:space="preserve">Entering Core Credits Required to Graduate is Optional. If data is entered in this column, data must also be entered in Column AF: Core Credits Earned.
</t>
        </r>
      </text>
    </comment>
    <comment ref="AF1" authorId="0">
      <text>
        <r>
          <rPr>
            <sz val="12"/>
            <color indexed="81"/>
            <rFont val="Tahoma"/>
            <family val="2"/>
          </rPr>
          <t>Data must be entered in this column if data was entered in Column AD: Core Credits Required to Graduate.</t>
        </r>
        <r>
          <rPr>
            <sz val="8"/>
            <color indexed="81"/>
            <rFont val="Tahoma"/>
            <family val="2"/>
          </rPr>
          <t xml:space="preserve">
</t>
        </r>
      </text>
    </comment>
  </commentList>
</comments>
</file>

<file path=xl/sharedStrings.xml><?xml version="1.0" encoding="utf-8"?>
<sst xmlns="http://schemas.openxmlformats.org/spreadsheetml/2006/main" count="335" uniqueCount="250">
  <si>
    <t>SASID</t>
  </si>
  <si>
    <t>AYG</t>
  </si>
  <si>
    <t>IEP</t>
  </si>
  <si>
    <t>School Number</t>
  </si>
  <si>
    <t>Date of Birth</t>
  </si>
  <si>
    <t>Grade</t>
  </si>
  <si>
    <t>Committed</t>
  </si>
  <si>
    <t>Detained</t>
  </si>
  <si>
    <t>Dropout</t>
  </si>
  <si>
    <t>Expelled</t>
  </si>
  <si>
    <t>Justified Expulsion</t>
  </si>
  <si>
    <t>Drugs or Alcohol</t>
  </si>
  <si>
    <t>Gang Involvement</t>
  </si>
  <si>
    <t>Child Abuse or Neglect</t>
  </si>
  <si>
    <t>Parent in prison</t>
  </si>
  <si>
    <t>Domestic Violence</t>
  </si>
  <si>
    <t>Repeat Suspensions</t>
  </si>
  <si>
    <t>Pregnant or Parenting</t>
  </si>
  <si>
    <t>Migrant</t>
  </si>
  <si>
    <t>Homeless</t>
  </si>
  <si>
    <t>Psych/behav Disorder</t>
  </si>
  <si>
    <t>Over Age &amp; Under Credit</t>
  </si>
  <si>
    <t xml:space="preserve">2a. </t>
  </si>
  <si>
    <t xml:space="preserve">2b. </t>
  </si>
  <si>
    <t xml:space="preserve">3a. </t>
  </si>
  <si>
    <t xml:space="preserve">3b. </t>
  </si>
  <si>
    <t xml:space="preserve">5. </t>
  </si>
  <si>
    <t xml:space="preserve">6. </t>
  </si>
  <si>
    <t xml:space="preserve">9. </t>
  </si>
  <si>
    <t xml:space="preserve">10. </t>
  </si>
  <si>
    <t xml:space="preserve">11. </t>
  </si>
  <si>
    <t>Academic Year</t>
  </si>
  <si>
    <t>High-Risk: CDE Pre-Screened</t>
  </si>
  <si>
    <t>High-Risk: District Identified</t>
  </si>
  <si>
    <t>High-Risk: Total</t>
  </si>
  <si>
    <t xml:space="preserve">Based upon the school and student characteristics indicated below, we certify that </t>
  </si>
  <si>
    <t>in</t>
  </si>
  <si>
    <t>School Name</t>
  </si>
  <si>
    <t>CDE School #</t>
  </si>
  <si>
    <t>District Name</t>
  </si>
  <si>
    <t>We certify that this school meets the below criteria:</t>
  </si>
  <si>
    <t>Has a specialized mission to serve special needs or at-risk populations</t>
  </si>
  <si>
    <t>Is an autonomous public school, meaning that the school provides a complete instructional program that allows students to proceed to the next grade level or to graduate</t>
  </si>
  <si>
    <t>Has an administrator who is not under the supervision of an administrator at another school</t>
  </si>
  <si>
    <t>Has a budget separate from any other public school</t>
  </si>
  <si>
    <t>Has nontraditional methods of instruction delivery</t>
  </si>
  <si>
    <t>Has a public process to ensure accountability</t>
  </si>
  <si>
    <t>Serves one of the following student populations (at the time of the 2013 October Count Administration):</t>
  </si>
  <si>
    <t>All students have severe limitations that preclude appropriate administration of the assessments administered pursuant to section § 22-7-409, C.R.S.;</t>
  </si>
  <si>
    <t>All students attend only on a part-time basis and come from other public schools where the part-time students are counted in the enrollment of the other public school ; or</t>
  </si>
  <si>
    <t>More than 95% of students have either an Individualized Education Programs (IEPs) pursuant to § 22-20-108, C.R.S. and/or meet the definition of a “high-risk” student as illustrated on the following page.</t>
  </si>
  <si>
    <t xml:space="preserve"> School Principal/Administrator Signature</t>
  </si>
  <si>
    <t>Date</t>
  </si>
  <si>
    <t>School District Superintendent Signature</t>
  </si>
  <si>
    <t xml:space="preserve"> School District Board President Signature</t>
  </si>
  <si>
    <t>CERTIFICATION OF STUDENT POPULATION</t>
  </si>
  <si>
    <t>Student Population</t>
  </si>
  <si>
    <r>
      <t># of students</t>
    </r>
    <r>
      <rPr>
        <b/>
        <sz val="11"/>
        <color indexed="8"/>
        <rFont val="Calibri"/>
        <family val="2"/>
      </rPr>
      <t xml:space="preserve"> </t>
    </r>
  </si>
  <si>
    <t># of students who have Individualized Education Programs (IEPs)</t>
  </si>
  <si>
    <t># of students who have been committed to the Department of Human Services following adjudication as juvenile delinquents or who are in detention awaiting disposition of charges that may result in commitment to the Department of Human Services</t>
  </si>
  <si>
    <t># of students who have dropped out of school or who have not been continuously enrolled and regularly attending any school for at least one semester prior to enrolling in this school</t>
  </si>
  <si>
    <t># of students who have been expelled from school or who have engaged in behavior that would justify expulsion</t>
  </si>
  <si>
    <t># of students who have documented histories of personal drug or alcohol use or who have parents or guardians with documented dependencies on drugs or alcohol</t>
  </si>
  <si>
    <t># of students who have documented histories of personal street gang involvement or who have immediate family members with documented histories of street gang involvement</t>
  </si>
  <si>
    <t># of students who have documented histories of child abuse or neglect</t>
  </si>
  <si>
    <t># of students who have parents or guardians in prison or on parole or probation</t>
  </si>
  <si>
    <t># of students who have documented histories of domestic violence in the immediate family</t>
  </si>
  <si>
    <t># of students who have documented histories of repeated school suspensions</t>
  </si>
  <si>
    <t># of students under the age of twenty years who are parents or pregnant women</t>
  </si>
  <si>
    <t># of students who are migrant, as defined in Section 22-23-103 (2), CRS</t>
  </si>
  <si>
    <t># of students who are homeless, as defined in Section 22-1-102.5 (2), CRS</t>
  </si>
  <si>
    <t># of students who have a documented history of a serious psychiatric or behavioral disorder, including but not limited to an eating disorder, suicidal behaviors or deliberate, self-inflicted injury</t>
  </si>
  <si>
    <t>Total # of high risk students (meeting at least one criteria 1–15)</t>
  </si>
  <si>
    <t>School’s total student population</t>
  </si>
  <si>
    <t>SCHOOL MISSION</t>
  </si>
  <si>
    <t xml:space="preserve">Statement of School Mission: </t>
  </si>
  <si>
    <t>Description that most closely mirrors your school’s mission and student population (select all that apply)</t>
  </si>
  <si>
    <t>Adult Education</t>
  </si>
  <si>
    <t>College Prep</t>
  </si>
  <si>
    <t>Credit Recovery</t>
  </si>
  <si>
    <t>Detention Center</t>
  </si>
  <si>
    <t>Dropout Recovery</t>
  </si>
  <si>
    <t>Expulsion Center</t>
  </si>
  <si>
    <t>Migrants/ELL</t>
  </si>
  <si>
    <t>On-line</t>
  </si>
  <si>
    <t>Part-time</t>
  </si>
  <si>
    <t>Pregnant/parenting students</t>
  </si>
  <si>
    <t>Transition Center</t>
  </si>
  <si>
    <t>Vocational/Technical</t>
  </si>
  <si>
    <t>Wrap-around to graduate</t>
  </si>
  <si>
    <t>ADDITIONAL SCHOOL INFORMATION</t>
  </si>
  <si>
    <t>Select Yes/No</t>
  </si>
  <si>
    <t>Is your school a dropout-retrieval program?</t>
  </si>
  <si>
    <t xml:space="preserve">     Yes</t>
  </si>
  <si>
    <t>No</t>
  </si>
  <si>
    <t>Is your school intended to transition students back to their home school?</t>
  </si>
  <si>
    <t>Does your school award diplomas?</t>
  </si>
  <si>
    <t>1.</t>
  </si>
  <si>
    <t xml:space="preserve">4a. </t>
  </si>
  <si>
    <t xml:space="preserve">4b. </t>
  </si>
  <si>
    <t xml:space="preserve">7. </t>
  </si>
  <si>
    <t>8.</t>
  </si>
  <si>
    <t xml:space="preserve">12. </t>
  </si>
  <si>
    <t>13.</t>
  </si>
  <si>
    <t xml:space="preserve">14. </t>
  </si>
  <si>
    <t xml:space="preserve"> School Principal/Administrator Name (Type or Print)</t>
  </si>
  <si>
    <t>School District Superintendent Name (Type or Print)</t>
  </si>
  <si>
    <t xml:space="preserve"> School District Board President Name (Type or Print)</t>
  </si>
  <si>
    <t># of students who are over traditional school age for their grade level and lack adequate credit hours for their grade level</t>
  </si>
  <si>
    <t>High Risk Category</t>
  </si>
  <si>
    <t>Year(s) Included</t>
  </si>
  <si>
    <t>District Number</t>
  </si>
  <si>
    <t>Name:</t>
  </si>
  <si>
    <t>Email:</t>
  </si>
  <si>
    <r>
      <t>District Accountability Contact (</t>
    </r>
    <r>
      <rPr>
        <b/>
        <i/>
        <sz val="11"/>
        <color theme="1"/>
        <rFont val="Calibri"/>
        <family val="2"/>
        <scheme val="minor"/>
      </rPr>
      <t>to verify information submitted on this page</t>
    </r>
    <r>
      <rPr>
        <b/>
        <sz val="11"/>
        <color theme="1"/>
        <rFont val="Calibri"/>
        <family val="2"/>
        <scheme val="minor"/>
      </rPr>
      <t>):</t>
    </r>
  </si>
  <si>
    <t>Phone:</t>
  </si>
  <si>
    <t>3. A treating physician/licensed mental health worker treating said student(s) was/were consulted of the student(s) "high-risk" criteria and signed an agreement asserting this information is true.</t>
  </si>
  <si>
    <t>1. The student was consulted of his/her "high-risk" criteria and signed an agreement asserting this information is true; OR</t>
  </si>
  <si>
    <t>2. The parent(s)/guardian(s) of said student(s) was/were consulted of the student(s) "high-risk" criteria and signed an agreement asserting this information is true; OR</t>
  </si>
  <si>
    <t>5*</t>
  </si>
  <si>
    <t>6*</t>
  </si>
  <si>
    <t>7*</t>
  </si>
  <si>
    <t>8*</t>
  </si>
  <si>
    <t>9*</t>
  </si>
  <si>
    <t>10*</t>
  </si>
  <si>
    <t>11*</t>
  </si>
  <si>
    <t>14*</t>
  </si>
  <si>
    <t>For Indicators 5-11 &amp; 14 ONLY on Certification of Student Population</t>
  </si>
  <si>
    <t>Assurances by District Accountability Contact</t>
  </si>
  <si>
    <t>2014-2015 APPLICATION/RENEWAL FOR ALTERNATIVE EDUCATION CAMPUS DESIGNATION</t>
  </si>
  <si>
    <t xml:space="preserve">meets the requirements specified in Section 22-7-604.5, CRS, and we request Colorado State Board of Education designation of this school as an Alternative Education Campus for the 2014-15 school year.  </t>
  </si>
  <si>
    <t>Total % of high-risk students (row 16 divided by row 17)</t>
  </si>
  <si>
    <r>
      <t xml:space="preserve">It is the responsibility of the district accountability contact of a district submitting an AEC Application on behalf of a school to verify assurances that would permit a student to be designated "high-risk" based on criteria requiring documentation from students, parents/guardians, or physicians/licensed mental health workers. The criteria below include the minimum conditions that must be met to qualify for official documentation. Upon signing the AEC Application, the district accountability contact authorizes the following conditions have been met and verifies accuracy of information. 
</t>
    </r>
    <r>
      <rPr>
        <i/>
        <sz val="11"/>
        <color theme="1"/>
        <rFont val="Calibri"/>
        <family val="2"/>
        <scheme val="minor"/>
      </rPr>
      <t>NOTE: CDE reserves the right to audit district files to ensure compliance with the requirement to retain signed copies of applicable forms.</t>
    </r>
  </si>
  <si>
    <t>3c.</t>
  </si>
  <si>
    <t>Core Expected Credits Earned</t>
  </si>
  <si>
    <t>Total Expected Credits Earned</t>
  </si>
  <si>
    <t>Core Credits Earned</t>
  </si>
  <si>
    <t>Total Credits Earned</t>
  </si>
  <si>
    <t>Core Credits Required to Graduate</t>
  </si>
  <si>
    <t>Total Credits Required to Graduate</t>
  </si>
  <si>
    <t>Habitually Truant</t>
  </si>
  <si>
    <t>Discontinued School 6+ Weeks</t>
  </si>
  <si>
    <t>Compulsory Attendance Age (Y/N)</t>
  </si>
  <si>
    <t>Source</t>
  </si>
  <si>
    <t>Exit Code = 50 or 55 or 56</t>
  </si>
  <si>
    <t>District Reports on Application</t>
  </si>
  <si>
    <t>Entry Code = 21; or Exit Code = 21</t>
  </si>
  <si>
    <t>Entry Code = 40; or Exit Code = 40</t>
  </si>
  <si>
    <t>Entry Code = 45; or Exit Code = 45</t>
  </si>
  <si>
    <t>Entry Code = 12 or 26; or Exit Code = 12 or 26</t>
  </si>
  <si>
    <t>Any Prior Year</t>
  </si>
  <si>
    <t>Immediately Prior Year</t>
  </si>
  <si>
    <t>October Count Data Submission</t>
  </si>
  <si>
    <t>End of Year Data Submission</t>
  </si>
  <si>
    <t>Student Years in High School</t>
  </si>
  <si>
    <t>Calculated on Application</t>
  </si>
  <si>
    <t>Current Year</t>
  </si>
  <si>
    <t>Source Value</t>
  </si>
  <si>
    <t>Migrant Code = 1</t>
  </si>
  <si>
    <t>Homeless Code = 3 or 4</t>
  </si>
  <si>
    <t>15.</t>
  </si>
  <si>
    <r>
      <t>A school that wishes to be designated for the first time as an Alternative Education Campus or to renew its designation as an Alternative Education Campus  must submit the following application verifying that the school meets eligibility criteria no later than</t>
    </r>
    <r>
      <rPr>
        <b/>
        <i/>
        <sz val="11"/>
        <color rgb="FF000000"/>
        <rFont val="Calibri"/>
        <family val="2"/>
      </rPr>
      <t xml:space="preserve"> April 4</t>
    </r>
    <r>
      <rPr>
        <b/>
        <i/>
        <sz val="11"/>
        <color indexed="8"/>
        <rFont val="Calibri"/>
        <family val="2"/>
      </rPr>
      <t>, 2014</t>
    </r>
    <r>
      <rPr>
        <i/>
        <sz val="11"/>
        <color indexed="8"/>
        <rFont val="Calibri"/>
        <family val="2"/>
      </rPr>
      <t>. Please complete the following application in electronic format, as well as a PDF of this Summary File tab with necessary signatures, and submit</t>
    </r>
    <r>
      <rPr>
        <i/>
        <sz val="11"/>
        <rFont val="Calibri"/>
        <family val="2"/>
      </rPr>
      <t xml:space="preserve">via our secure FTP server located here: </t>
    </r>
    <r>
      <rPr>
        <i/>
        <u/>
        <sz val="11"/>
        <rFont val="Calibri"/>
        <family val="2"/>
      </rPr>
      <t>https://transfer.cde.state.co.us/bds/Login.do</t>
    </r>
    <r>
      <rPr>
        <i/>
        <sz val="11"/>
        <rFont val="Calibri"/>
        <family val="2"/>
      </rPr>
      <t xml:space="preserve">. 
If you need help with the FTP server, you may find instructions here: </t>
    </r>
    <r>
      <rPr>
        <i/>
        <u/>
        <sz val="11"/>
        <rFont val="Calibri"/>
        <family val="2"/>
      </rPr>
      <t>https://transfer.cde.state.co.us/bds/images/include/CDE_SFTS_Instructions.pdf</t>
    </r>
    <r>
      <rPr>
        <i/>
        <sz val="11"/>
        <rFont val="Calibri"/>
        <family val="2"/>
      </rPr>
      <t xml:space="preserve"> or 303-866-6833. As a reminder, to comply with FERPA guidelines, student data cannot be emailed and must be submitted via the FTP server.</t>
    </r>
  </si>
  <si>
    <t>Definition</t>
  </si>
  <si>
    <t>1. Student has an Individualized Education Program (IEP)</t>
  </si>
  <si>
    <t>5. Student has a documented history of personal drug or alcohol use or has parents or guardians with documented dependencies on drugs or alcohol</t>
  </si>
  <si>
    <t>6. Student has documented history of personal street gang involvement or has immediate family members with documented histories of street gang involvement</t>
  </si>
  <si>
    <t>7. Student has documented history of child abuse or neglect</t>
  </si>
  <si>
    <t>8. Student has parents or guardians in prison or on parole or probation</t>
  </si>
  <si>
    <t>9. Student has documented history of domestic violence in the immediate family</t>
  </si>
  <si>
    <t>10. Student has documented history of repeated school suspensions</t>
  </si>
  <si>
    <t>11. Student is under the age of twenty years and is a parent or pregnant woman</t>
  </si>
  <si>
    <t>12. Student is a migrant, as defined in Section 22-23-103 (2), CRS</t>
  </si>
  <si>
    <t>13. Student is homeless, as defined in Section 22-1-102.5 (2), CRS</t>
  </si>
  <si>
    <t>14. Student has a documented history of a serious psychiatric or behavioral disorder, including but not limited to an eating disorder, suicidal behaviors or deliberate, self-inflicted injury</t>
  </si>
  <si>
    <t>3b.  Student has not been continuously enrolled and regularly attending any school for at least one semester prior to enrolling in this school</t>
  </si>
  <si>
    <t>3c. A "Child who is habitually truant" means a child who has attained the age of six years on or before August 1 of the year in question and is under the age of seventeen years and who has four unexcused absences from public school in any one month or ten unexcused absences from public school during any school year. ((C.R.S. 22-33-107 (I))</t>
  </si>
  <si>
    <t>4b. Student who has engaged in behavior that would justify expulsion</t>
  </si>
  <si>
    <t>2b. Student is in detention awaiting disposition of charges that may result in commitment to the Department of Human Services</t>
  </si>
  <si>
    <t>15. Student is over traditional school age for their grade level and lack adequate credit hours for their grade level</t>
  </si>
  <si>
    <t>4a. Student has been expelled from school</t>
  </si>
  <si>
    <t>3a. Student has dropped out of school</t>
  </si>
  <si>
    <t>2a. Student has been committed to the Department of Human Services following adjudication as a juvenile delinquent</t>
  </si>
  <si>
    <t>Indicator</t>
  </si>
  <si>
    <t>15**</t>
  </si>
  <si>
    <t>Defining Over-Age and Under-Credited (OAUC) for AECs</t>
  </si>
  <si>
    <t>For High School Students</t>
  </si>
  <si>
    <r>
      <t>·</t>
    </r>
    <r>
      <rPr>
        <sz val="7"/>
        <color theme="1"/>
        <rFont val="Times New Roman"/>
        <family val="1"/>
      </rPr>
      <t xml:space="preserve">         </t>
    </r>
    <r>
      <rPr>
        <sz val="11"/>
        <color theme="1"/>
        <rFont val="Calibri"/>
        <family val="2"/>
        <scheme val="minor"/>
      </rPr>
      <t>Operationalize by  credit accumulation based on anticipated year of graduation.</t>
    </r>
  </si>
  <si>
    <r>
      <t>·</t>
    </r>
    <r>
      <rPr>
        <sz val="7"/>
        <color theme="1"/>
        <rFont val="Times New Roman"/>
        <family val="1"/>
      </rPr>
      <t xml:space="preserve">         </t>
    </r>
    <r>
      <rPr>
        <sz val="11"/>
        <color theme="1"/>
        <rFont val="Calibri"/>
        <family val="2"/>
        <scheme val="minor"/>
      </rPr>
      <t>Once a student is identified by the school as OAUC, they are always identified in that school that way, even if they subsequently catch-up (as that’s our goal for them).</t>
    </r>
  </si>
  <si>
    <t>For Middle School Students</t>
  </si>
  <si>
    <r>
      <t>·</t>
    </r>
    <r>
      <rPr>
        <sz val="7"/>
        <color theme="1"/>
        <rFont val="Times New Roman"/>
        <family val="1"/>
      </rPr>
      <t xml:space="preserve">         </t>
    </r>
    <r>
      <rPr>
        <sz val="11"/>
        <color theme="1"/>
        <rFont val="Calibri"/>
        <family val="2"/>
        <scheme val="minor"/>
      </rPr>
      <t>Many other criteria exist to identify elementary students as “high-risk”.</t>
    </r>
  </si>
  <si>
    <t>For Elementary School Students</t>
  </si>
  <si>
    <r>
      <t>·</t>
    </r>
    <r>
      <rPr>
        <sz val="7"/>
        <color theme="1"/>
        <rFont val="Times New Roman"/>
        <family val="1"/>
      </rPr>
      <t xml:space="preserve">         </t>
    </r>
    <r>
      <rPr>
        <sz val="11"/>
        <color theme="1"/>
        <rFont val="Calibri"/>
        <family val="2"/>
        <scheme val="minor"/>
      </rPr>
      <t xml:space="preserve">No criteria would be available to identify an elementary school student as OAUC. </t>
    </r>
  </si>
  <si>
    <t>OAUC Anticipated Year of Graduation (AYG) and Credits Missing Table</t>
  </si>
  <si>
    <t>Anticipated Year of Graduation</t>
  </si>
  <si>
    <t>NA</t>
  </si>
  <si>
    <t>Entering Core Credits Required to Graduate is Optional. If data is entered in this column, data must also be entered in Column AF: Core Credits Earned.</t>
  </si>
  <si>
    <t>Total Credits Required to Graduate is Required for counting students as over-age and under-credit for indicator 15.</t>
  </si>
  <si>
    <t>Total Credits Earned is Required for counting students as over-age and under-credit for indicator 15.</t>
  </si>
  <si>
    <t>Data must be entered in this column if data was entered in Column AD: Core Credits Required to Graduate.</t>
  </si>
  <si>
    <t>CDE will calculate this variable.</t>
  </si>
  <si>
    <t>INSTRUCTIONS FOR THE 2014-2015 APPLICATION/RENEWAL FOR ALTERNATIVE EDUCATION CAMPUS DESIGNATION</t>
  </si>
  <si>
    <r>
      <t xml:space="preserve">This page only needs to be completed if you checked the box indicating that 95% of your school’s students have </t>
    </r>
    <r>
      <rPr>
        <sz val="12"/>
        <color indexed="8"/>
        <rFont val="Calibri"/>
        <family val="2"/>
      </rPr>
      <t xml:space="preserve">Individualized Education Programs (IEPs) or </t>
    </r>
    <r>
      <rPr>
        <sz val="11"/>
        <color indexed="8"/>
        <rFont val="Calibri"/>
        <family val="2"/>
      </rPr>
      <t xml:space="preserve">are deemed “high-risk.” The Student File tab in this document has been pre-populated for you and includes only those students present at the time of the 2013 Student October Count in certain "high-risk" categories. Please fill in additional "high-risk" categories for your student population in the Student File tab and they will be counted on this page. </t>
    </r>
    <r>
      <rPr>
        <i/>
        <sz val="11"/>
        <color indexed="8"/>
        <rFont val="Calibri"/>
        <family val="2"/>
      </rPr>
      <t xml:space="preserve">Nothing can be entered on this page and must be entered in the Student File Tab. </t>
    </r>
    <r>
      <rPr>
        <sz val="11"/>
        <color indexed="8"/>
        <rFont val="Calibri"/>
        <family val="2"/>
      </rPr>
      <t>Although students may fall into more than one "high-risk" category, each student will only be counted ONCE in the bolded rows 16-18.</t>
    </r>
  </si>
  <si>
    <t xml:space="preserve"> *View district assurance information for students identified in idicators 5-11 &amp; 14 on the Documentation Assurance tab in this document.
**View Over Age and Under Credited Tab in this document for more information on how to report on these students.</t>
  </si>
  <si>
    <r>
      <t xml:space="preserve">     o</t>
    </r>
    <r>
      <rPr>
        <sz val="7"/>
        <color theme="1"/>
        <rFont val="Times New Roman"/>
        <family val="1"/>
      </rPr>
      <t xml:space="preserve">   </t>
    </r>
    <r>
      <rPr>
        <sz val="11"/>
        <color theme="1"/>
        <rFont val="Calibri"/>
        <family val="2"/>
        <scheme val="minor"/>
      </rPr>
      <t>1 or more years behind credits required for graduation, based on anticipated year of graduation. (See table below).</t>
    </r>
  </si>
  <si>
    <t>15a. Total Credits Required to Graduate</t>
  </si>
  <si>
    <t>15b. Core Credits Required to Graduate</t>
  </si>
  <si>
    <t>15c. Total Credits Earned</t>
  </si>
  <si>
    <t>15d. Core Credits Earned</t>
  </si>
  <si>
    <t>15a.</t>
  </si>
  <si>
    <t>15b.</t>
  </si>
  <si>
    <t>15c.</t>
  </si>
  <si>
    <t>15d.</t>
  </si>
  <si>
    <t>15f.</t>
  </si>
  <si>
    <t>15e.</t>
  </si>
  <si>
    <t>16a.</t>
  </si>
  <si>
    <t>16b.</t>
  </si>
  <si>
    <t>16c.</t>
  </si>
  <si>
    <t>15e. Total Expected Credits Earned</t>
  </si>
  <si>
    <t>15f. Core Expected Credits Earned</t>
  </si>
  <si>
    <t>16a. High-Risk: CDE Pre-Screened</t>
  </si>
  <si>
    <t>16b. High-Risk: District Identified</t>
  </si>
  <si>
    <t>16c. High-Risk: Total</t>
  </si>
  <si>
    <t xml:space="preserve">In order to support schools and districts with the 2014-15 applications for Alternative Education Campus (AEC) status, CDE is pre-populating the applications with Student October and End of Year data. All districts which currently have an AEC in their district and are seeking renewal and/or have a new AEC seeking first time authorization will receive this application on Monday, March 3 from accountability@cde.state.co.us via the FTP server. Please click this link for instructions on how to use the FTP server: https://transfer.cde.state.co.us/bds/images/include/CDE_SFTS_Instructions.pdf            
The submission deadline for AEC applications for the 2014-15 school year is Friday, April 4. All AEC applications must be submitted to CDE via the secure FTP server and cannot be emailed in order to comply with FERPA guidelines. The  secure FTP server is located here: https://transfer.cde.state.co.us/bds/Login.do. Any AEC applications that are emailed to CDE are not permitted to be opened by the Department and will NOT be accepted. To submit the application, you may reply to the initial FTP delivery by logging in to the initial FTP secure link, and selecting “Reply securely”.            
</t>
  </si>
  <si>
    <t>INSTRUCTIONS</t>
  </si>
  <si>
    <t xml:space="preserve">1. Fill out the SUMMARY_FILE tab with all required information. You cannot fill out the certification of student population on this tab, this will be populated from the information you fill out in the STUDENT_FILE tab. This tab must also be printed, signed, scanned and emailed to accountability@cde.state.co.us.             
            </t>
  </si>
  <si>
    <t xml:space="preserve">2. The STUDENT_FILE tab in this document has been pre-populated and includes only those students present at the time of the 2013 Student October Count in certain "high-risk" categories. Please fill in additional "high-risk" categories for your student population in the STUDENT_FILE tab in the white columns ONLY. All other columns are locked and will not let you alter data as reported in the 2013 Student October Count.            </t>
  </si>
  <si>
    <t xml:space="preserve">5. Additional data submitted in the STUDENT_FILE tab for indicators 15a-d (credit accumulation) must represent the student’s cumulative credit accumulation at the beginning of the 2013-14 school year. This matter is particularly sensitive with this indicator as students may not be counted as over-age and under-credit since the metric is date-sensitive specifically for the beginning of the 2013-14 school year.  </t>
  </si>
  <si>
    <t xml:space="preserve">6. The KEY tab describes the variables used to populate the data in the STUDENT_FILE tab. This tab also includes variables that are not pre-populated in the STUDENT_FILE tab with instructions for how to fill out these files in the STUDENT_FILE tab. </t>
  </si>
  <si>
    <t xml:space="preserve">7. The District Accountability Contact must sign page 2 of the SUMMARY_FILE tab and by doing so is submitting an assurance that he/she verifies all information submitted to CDE is accurate. The DOCUMENTATION_ASSURANCE tab outlines the processes by which each district agrees to for verifying the documentation of high risk indicators 5-11 &amp; 14.            </t>
  </si>
  <si>
    <t xml:space="preserve">8. The OVER-AGE_AND_UNDER-CREDITED tab outlines how CDE will operationalize the interpretation of indicator 15 for the 2014-15 school year.  </t>
  </si>
  <si>
    <r>
      <t>“[A student who] is over traditional school age for his or her grade level and lacks adequate credit hours for his or her grade level”</t>
    </r>
    <r>
      <rPr>
        <sz val="11"/>
        <color theme="1"/>
        <rFont val="Calibri"/>
        <family val="2"/>
        <scheme val="minor"/>
      </rPr>
      <t xml:space="preserve"> </t>
    </r>
    <r>
      <rPr>
        <i/>
        <sz val="11"/>
        <color theme="1"/>
        <rFont val="Calibri"/>
        <family val="2"/>
        <scheme val="minor"/>
      </rPr>
      <t>((C.R.S. 22-7-604.5 (1.5) (n))</t>
    </r>
    <r>
      <rPr>
        <sz val="11"/>
        <color theme="1"/>
        <rFont val="Calibri"/>
        <family val="2"/>
        <scheme val="minor"/>
      </rPr>
      <t>.</t>
    </r>
  </si>
  <si>
    <r>
      <t xml:space="preserve">     o</t>
    </r>
    <r>
      <rPr>
        <sz val="7"/>
        <color theme="1"/>
        <rFont val="Times New Roman"/>
        <family val="1"/>
      </rPr>
      <t xml:space="preserve">   </t>
    </r>
    <r>
      <rPr>
        <sz val="11"/>
        <color theme="1"/>
        <rFont val="Calibri"/>
        <family val="2"/>
        <scheme val="minor"/>
      </rPr>
      <t>This could be in overall credits or in core content credits, determined by the district.</t>
    </r>
  </si>
  <si>
    <r>
      <t>·</t>
    </r>
    <r>
      <rPr>
        <sz val="7"/>
        <color theme="1"/>
        <rFont val="Times New Roman"/>
        <family val="1"/>
      </rPr>
      <t xml:space="preserve">         </t>
    </r>
    <r>
      <rPr>
        <sz val="11"/>
        <color theme="1"/>
        <rFont val="Calibri"/>
        <family val="2"/>
        <scheme val="minor"/>
      </rPr>
      <t xml:space="preserve"> As the state works on transitioning to graduation guidelines for students with an AYG of 2021, the AEC eligibility statutory language could be reviewed to determine if competency based measures should be included (including course failures and state assessment results). </t>
    </r>
  </si>
  <si>
    <r>
      <t>·</t>
    </r>
    <r>
      <rPr>
        <sz val="7"/>
        <color theme="1"/>
        <rFont val="Times New Roman"/>
        <family val="1"/>
      </rPr>
      <t xml:space="preserve">         </t>
    </r>
    <r>
      <rPr>
        <sz val="11"/>
        <color theme="1"/>
        <rFont val="Calibri"/>
        <family val="2"/>
        <scheme val="minor"/>
      </rPr>
      <t>No additional criteria would be available to identify a middle school student as OAUC. (If credit hours are granted at a middle school, please contact CDE to discuss eligibility).</t>
    </r>
  </si>
  <si>
    <r>
      <t xml:space="preserve">All Credits </t>
    </r>
    <r>
      <rPr>
        <sz val="11"/>
        <color theme="1"/>
        <rFont val="Calibri"/>
        <family val="2"/>
        <scheme val="minor"/>
      </rPr>
      <t>(based on credits accumulated at the end of 2012-2013 school year)</t>
    </r>
  </si>
  <si>
    <r>
      <t xml:space="preserve">Core Credits </t>
    </r>
    <r>
      <rPr>
        <sz val="11"/>
        <color theme="1"/>
        <rFont val="Calibri"/>
        <family val="2"/>
        <scheme val="minor"/>
      </rPr>
      <t>(based on credits accumulated at the end of 2012-2013 school year)</t>
    </r>
  </si>
  <si>
    <r>
      <t>Student has earned less than 75% of credits required to graduate</t>
    </r>
    <r>
      <rPr>
        <sz val="11"/>
        <color theme="1"/>
        <rFont val="Calibri"/>
        <family val="2"/>
        <scheme val="minor"/>
      </rPr>
      <t xml:space="preserve"> </t>
    </r>
  </si>
  <si>
    <t>Student has earned less than 75% of core content credits required to graduate</t>
  </si>
  <si>
    <r>
      <t xml:space="preserve">Student has earned less than </t>
    </r>
    <r>
      <rPr>
        <sz val="11"/>
        <color theme="1"/>
        <rFont val="Calibri"/>
        <family val="2"/>
        <scheme val="minor"/>
      </rPr>
      <t>75% of credits required to graduate</t>
    </r>
  </si>
  <si>
    <r>
      <t xml:space="preserve">Student has earned less than </t>
    </r>
    <r>
      <rPr>
        <sz val="11"/>
        <color theme="1"/>
        <rFont val="Calibri"/>
        <family val="2"/>
        <scheme val="minor"/>
      </rPr>
      <t>50% of credits required to graduate</t>
    </r>
  </si>
  <si>
    <r>
      <t>Student has earned less than</t>
    </r>
    <r>
      <rPr>
        <sz val="11"/>
        <color theme="1"/>
        <rFont val="Calibri"/>
        <family val="2"/>
        <scheme val="minor"/>
      </rPr>
      <t xml:space="preserve"> 25% of credits required to graduate</t>
    </r>
  </si>
  <si>
    <t>Student has earned less than 25% of core content credits required to graduate</t>
  </si>
  <si>
    <t>Student has not earned any credits required to graduate</t>
  </si>
  <si>
    <t>Student has not earned any core content credits required to graduate</t>
  </si>
  <si>
    <t xml:space="preserve">The table below should be used as a reference for how to measure over-age and under-credit students in your district/school for reporting on the AEC Application to be released on March 3, 2014. </t>
  </si>
  <si>
    <r>
      <t>·</t>
    </r>
    <r>
      <rPr>
        <sz val="7"/>
        <color theme="1"/>
        <rFont val="Times New Roman"/>
        <family val="1"/>
      </rPr>
      <t xml:space="preserve">         </t>
    </r>
    <r>
      <rPr>
        <sz val="11"/>
        <color theme="1"/>
        <rFont val="Calibri"/>
        <family val="2"/>
        <scheme val="minor"/>
      </rPr>
      <t>Many other criteria exist to identify middle school students as “high-risk”.</t>
    </r>
  </si>
  <si>
    <t xml:space="preserve">3. All students included in the STUDENT_FILE tab in this document are students who your school reported in the October Count. These are students who your school is receiving funding for this year. You are not responsible for students that are not in this document for the purposes of AEC accreditation, nor will additional students be considered.  </t>
  </si>
  <si>
    <t>4. Additional data submitted in the STUDENT_FILE tab for indicators 3c, 4b, 5-11, and 14 must represent the student’s status as it existed on the October Count submission date. Although time has lapsed between when this application is submitted and when the October Count was taken, indicators 3c, 4b, 5-11, NS 14 must also be reported at the time of October Count in order to be consistent with the other indicators as reported on the October Count. You will have an opportunity to report on new instances of indicators 3c, 4b, 5-11, 14, and 15a-d after the October Count on next year’s AEC Application.</t>
  </si>
  <si>
    <t>9. When you are ready to upload the file to the FTP server for submission, the file name must be the same as it was when it was delivered to you. The file name order is: DISTRICT CODE_SCHOOL CODE_AEC_APPLICATION_2014. An example is: 0001_1234_AEC_APPLICATION_2014.</t>
  </si>
  <si>
    <t>Student has earned less than 50% of core content credits required to graduate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</si>
</sst>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34" x14ac:knownFonts="1">
    <font>
      <sz val="11"/>
      <color theme="1"/>
      <name val="Calibri"/>
      <family val="2"/>
      <scheme val="minor"/>
    </font>
    <font>
      <sz val="10"/>
      <color theme="1"/>
      <name val="Calibri"/>
      <family val="2"/>
      <scheme val="minor"/>
    </font>
    <font>
      <b/>
      <sz val="11"/>
      <color theme="1"/>
      <name val="Calibri"/>
      <family val="2"/>
      <scheme val="minor"/>
    </font>
    <font>
      <i/>
      <sz val="11"/>
      <color rgb="FF000000"/>
      <name val="Calibri"/>
      <family val="2"/>
    </font>
    <font>
      <b/>
      <i/>
      <sz val="11"/>
      <color indexed="8"/>
      <name val="Calibri"/>
      <family val="2"/>
    </font>
    <font>
      <i/>
      <sz val="11"/>
      <color indexed="8"/>
      <name val="Calibri"/>
      <family val="2"/>
    </font>
    <font>
      <i/>
      <sz val="11"/>
      <name val="Calibri"/>
      <family val="2"/>
    </font>
    <font>
      <b/>
      <u/>
      <sz val="14"/>
      <color theme="1"/>
      <name val="Calibri"/>
      <family val="2"/>
    </font>
    <font>
      <sz val="11"/>
      <color theme="1"/>
      <name val="Calibri"/>
      <family val="2"/>
    </font>
    <font>
      <b/>
      <u/>
      <sz val="11"/>
      <color theme="1"/>
      <name val="Calibri"/>
      <family val="2"/>
      <scheme val="minor"/>
    </font>
    <font>
      <sz val="12"/>
      <color indexed="8"/>
      <name val="Calibri"/>
      <family val="2"/>
    </font>
    <font>
      <sz val="11"/>
      <color indexed="8"/>
      <name val="Calibri"/>
      <family val="2"/>
    </font>
    <font>
      <b/>
      <sz val="12"/>
      <color rgb="FF000000"/>
      <name val="Calibri"/>
      <family val="2"/>
    </font>
    <font>
      <b/>
      <sz val="11"/>
      <color indexed="8"/>
      <name val="Calibri"/>
      <family val="2"/>
    </font>
    <font>
      <b/>
      <sz val="11"/>
      <color theme="1"/>
      <name val="Calibri"/>
      <family val="2"/>
    </font>
    <font>
      <b/>
      <sz val="12"/>
      <color theme="1"/>
      <name val="Calibri"/>
      <family val="2"/>
    </font>
    <font>
      <b/>
      <u/>
      <sz val="12"/>
      <color theme="1"/>
      <name val="Calibri"/>
      <family val="2"/>
    </font>
    <font>
      <b/>
      <i/>
      <sz val="11"/>
      <color rgb="FF000000"/>
      <name val="Calibri"/>
      <family val="2"/>
    </font>
    <font>
      <sz val="11"/>
      <color theme="0"/>
      <name val="Calibri"/>
      <family val="2"/>
      <scheme val="minor"/>
    </font>
    <font>
      <b/>
      <i/>
      <sz val="11"/>
      <color theme="1"/>
      <name val="Calibri"/>
      <family val="2"/>
      <scheme val="minor"/>
    </font>
    <font>
      <i/>
      <sz val="11"/>
      <color theme="1"/>
      <name val="Calibri"/>
      <family val="2"/>
      <scheme val="minor"/>
    </font>
    <font>
      <b/>
      <i/>
      <sz val="10"/>
      <color theme="1"/>
      <name val="Calibri"/>
      <family val="2"/>
      <scheme val="minor"/>
    </font>
    <font>
      <i/>
      <u/>
      <sz val="11"/>
      <name val="Calibri"/>
      <family val="2"/>
    </font>
    <font>
      <sz val="11"/>
      <color theme="1"/>
      <name val="Calibri"/>
      <family val="2"/>
      <scheme val="minor"/>
    </font>
    <font>
      <sz val="12"/>
      <color indexed="81"/>
      <name val="Tahoma"/>
      <family val="2"/>
    </font>
    <font>
      <sz val="8"/>
      <color indexed="81"/>
      <name val="Tahoma"/>
      <family val="2"/>
    </font>
    <font>
      <b/>
      <sz val="14"/>
      <color theme="1"/>
      <name val="Calibri"/>
      <family val="2"/>
      <scheme val="minor"/>
    </font>
    <font>
      <sz val="11"/>
      <color theme="1"/>
      <name val="Symbol"/>
      <family val="1"/>
      <charset val="2"/>
    </font>
    <font>
      <sz val="7"/>
      <color theme="1"/>
      <name val="Times New Roman"/>
      <family val="1"/>
    </font>
    <font>
      <sz val="11"/>
      <color theme="1"/>
      <name val="Courier New"/>
      <family val="3"/>
    </font>
    <font>
      <u/>
      <sz val="11"/>
      <color theme="10"/>
      <name val="Calibri"/>
      <family val="2"/>
      <scheme val="minor"/>
    </font>
    <font>
      <b/>
      <sz val="12"/>
      <color theme="1"/>
      <name val="Calibri"/>
      <family val="2"/>
      <scheme val="minor"/>
    </font>
    <font>
      <sz val="12"/>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s>
  <borders count="55">
    <border>
      <left/>
      <right/>
      <top/>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top/>
      <bottom style="thick">
        <color indexed="64"/>
      </bottom>
      <diagonal/>
    </border>
    <border>
      <left/>
      <right/>
      <top/>
      <bottom style="thin">
        <color indexed="64"/>
      </bottom>
      <diagonal/>
    </border>
    <border>
      <left/>
      <right/>
      <top style="thin">
        <color indexed="64"/>
      </top>
      <bottom/>
      <diagonal/>
    </border>
    <border>
      <left style="medium">
        <color rgb="FF000000"/>
      </left>
      <right style="medium">
        <color rgb="FF000000"/>
      </right>
      <top style="medium">
        <color rgb="FF000000"/>
      </top>
      <bottom style="double">
        <color rgb="FF000000"/>
      </bottom>
      <diagonal/>
    </border>
    <border>
      <left/>
      <right/>
      <top style="medium">
        <color rgb="FF000000"/>
      </top>
      <bottom style="double">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thin">
        <color rgb="FF000000"/>
      </top>
      <bottom style="double">
        <color rgb="FF000000"/>
      </bottom>
      <diagonal/>
    </border>
    <border>
      <left/>
      <right/>
      <top style="thin">
        <color rgb="FF000000"/>
      </top>
      <bottom style="double">
        <color rgb="FF000000"/>
      </bottom>
      <diagonal/>
    </border>
    <border>
      <left style="medium">
        <color rgb="FF000000"/>
      </left>
      <right style="medium">
        <color rgb="FF000000"/>
      </right>
      <top style="double">
        <color rgb="FF000000"/>
      </top>
      <bottom style="thin">
        <color rgb="FF000000"/>
      </bottom>
      <diagonal/>
    </border>
    <border>
      <left/>
      <right/>
      <top style="double">
        <color rgb="FF000000"/>
      </top>
      <bottom style="thin">
        <color rgb="FF000000"/>
      </bottom>
      <diagonal/>
    </border>
    <border>
      <left style="medium">
        <color rgb="FF000000"/>
      </left>
      <right style="medium">
        <color rgb="FF000000"/>
      </right>
      <top style="double">
        <color rgb="FF000000"/>
      </top>
      <bottom style="medium">
        <color rgb="FF000000"/>
      </bottom>
      <diagonal/>
    </border>
    <border>
      <left/>
      <right/>
      <top style="double">
        <color rgb="FF000000"/>
      </top>
      <bottom style="medium">
        <color rgb="FF000000"/>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double">
        <color indexed="64"/>
      </bottom>
      <diagonal/>
    </border>
    <border>
      <left style="medium">
        <color rgb="FF000000"/>
      </left>
      <right style="medium">
        <color rgb="FF000000"/>
      </right>
      <top style="thin">
        <color indexed="64"/>
      </top>
      <bottom/>
      <diagonal/>
    </border>
    <border>
      <left style="medium">
        <color rgb="FF000000"/>
      </left>
      <right style="medium">
        <color rgb="FF000000"/>
      </right>
      <top style="thin">
        <color rgb="FF000000"/>
      </top>
      <bottom/>
      <diagonal/>
    </border>
    <border>
      <left/>
      <right/>
      <top style="thin">
        <color rgb="FF000000"/>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23" fillId="0" borderId="0" applyFont="0" applyFill="0" applyBorder="0" applyAlignment="0" applyProtection="0"/>
    <xf numFmtId="0" fontId="30" fillId="0" borderId="0" applyNumberFormat="0" applyFill="0" applyBorder="0" applyAlignment="0" applyProtection="0"/>
  </cellStyleXfs>
  <cellXfs count="174">
    <xf numFmtId="0" fontId="0" fillId="0" borderId="0" xfId="0"/>
    <xf numFmtId="0" fontId="0" fillId="0" borderId="0" xfId="0" applyAlignment="1">
      <alignment vertical="center" wrapText="1"/>
    </xf>
    <xf numFmtId="0" fontId="18" fillId="5" borderId="4" xfId="0" applyFont="1" applyFill="1" applyBorder="1" applyAlignment="1">
      <alignment horizontal="left" wrapText="1"/>
    </xf>
    <xf numFmtId="0" fontId="18" fillId="5" borderId="4" xfId="0" applyFont="1" applyFill="1" applyBorder="1"/>
    <xf numFmtId="0" fontId="0" fillId="0" borderId="0" xfId="0" applyAlignment="1">
      <alignment wrapText="1"/>
    </xf>
    <xf numFmtId="0" fontId="0" fillId="0" borderId="14" xfId="0" applyBorder="1" applyAlignment="1" applyProtection="1">
      <alignment horizontal="center" vertical="center"/>
    </xf>
    <xf numFmtId="0" fontId="0" fillId="0" borderId="16" xfId="0" applyBorder="1" applyAlignment="1" applyProtection="1">
      <alignment horizontal="center" vertical="center"/>
    </xf>
    <xf numFmtId="0" fontId="0" fillId="0" borderId="43" xfId="0" applyBorder="1" applyAlignment="1" applyProtection="1">
      <alignment horizontal="center" vertical="center"/>
    </xf>
    <xf numFmtId="0" fontId="2" fillId="0" borderId="41" xfId="0" applyFont="1" applyBorder="1" applyAlignment="1" applyProtection="1">
      <alignment horizontal="center" vertical="center"/>
    </xf>
    <xf numFmtId="9" fontId="2" fillId="0" borderId="40" xfId="1" applyFont="1" applyBorder="1" applyAlignment="1" applyProtection="1">
      <alignment horizontal="center" vertical="center"/>
    </xf>
    <xf numFmtId="0" fontId="0" fillId="0" borderId="41" xfId="0" applyFont="1" applyBorder="1" applyAlignment="1" applyProtection="1">
      <alignment horizontal="center" vertical="center"/>
    </xf>
    <xf numFmtId="49" fontId="2" fillId="0" borderId="14" xfId="0" applyNumberFormat="1" applyFont="1" applyBorder="1" applyAlignment="1" applyProtection="1">
      <alignment horizontal="center" vertical="center"/>
    </xf>
    <xf numFmtId="0" fontId="1" fillId="3" borderId="3" xfId="0" applyFont="1" applyFill="1" applyBorder="1" applyAlignment="1" applyProtection="1">
      <alignment horizontal="center" textRotation="90" wrapText="1"/>
    </xf>
    <xf numFmtId="0" fontId="1" fillId="3" borderId="4" xfId="0" applyFont="1" applyFill="1" applyBorder="1" applyAlignment="1" applyProtection="1">
      <alignment horizontal="center" textRotation="90" wrapText="1"/>
    </xf>
    <xf numFmtId="49" fontId="1" fillId="3" borderId="7" xfId="0" applyNumberFormat="1" applyFont="1" applyFill="1" applyBorder="1" applyAlignment="1" applyProtection="1">
      <alignment horizontal="center" wrapText="1"/>
    </xf>
    <xf numFmtId="49" fontId="1" fillId="3" borderId="8" xfId="0" applyNumberFormat="1" applyFont="1" applyFill="1" applyBorder="1" applyAlignment="1" applyProtection="1">
      <alignment horizontal="center" wrapText="1"/>
    </xf>
    <xf numFmtId="0" fontId="0" fillId="0" borderId="0" xfId="0" applyProtection="1"/>
    <xf numFmtId="164" fontId="0" fillId="0" borderId="0" xfId="0" applyNumberFormat="1" applyProtection="1"/>
    <xf numFmtId="14" fontId="0" fillId="0" borderId="0" xfId="0" applyNumberFormat="1" applyProtection="1"/>
    <xf numFmtId="0" fontId="0" fillId="0" borderId="0" xfId="0" applyProtection="1">
      <protection locked="0"/>
    </xf>
    <xf numFmtId="0" fontId="0" fillId="0" borderId="0" xfId="0" applyAlignment="1">
      <alignment horizontal="right"/>
    </xf>
    <xf numFmtId="0" fontId="18" fillId="5" borderId="53" xfId="0" applyFont="1" applyFill="1" applyBorder="1"/>
    <xf numFmtId="0" fontId="0" fillId="4" borderId="10" xfId="0" applyFill="1" applyBorder="1" applyAlignment="1" applyProtection="1">
      <alignment vertical="top"/>
      <protection locked="0"/>
    </xf>
    <xf numFmtId="0" fontId="0" fillId="4" borderId="0" xfId="0" applyFill="1" applyBorder="1" applyAlignment="1" applyProtection="1">
      <alignment horizontal="center" vertical="center"/>
      <protection locked="0"/>
    </xf>
    <xf numFmtId="0" fontId="0" fillId="4" borderId="33" xfId="0" applyFill="1" applyBorder="1" applyAlignment="1" applyProtection="1">
      <alignment horizontal="center" vertical="center"/>
      <protection locked="0"/>
    </xf>
    <xf numFmtId="0" fontId="0" fillId="4" borderId="38" xfId="0" applyFill="1" applyBorder="1" applyAlignment="1" applyProtection="1">
      <alignment horizontal="center" vertical="center"/>
      <protection locked="0"/>
    </xf>
    <xf numFmtId="0" fontId="0" fillId="4" borderId="36" xfId="0" applyFill="1" applyBorder="1" applyAlignment="1" applyProtection="1">
      <alignment horizontal="center" vertical="center"/>
      <protection locked="0"/>
    </xf>
    <xf numFmtId="0" fontId="0" fillId="4" borderId="34" xfId="0" applyFill="1" applyBorder="1" applyAlignment="1" applyProtection="1">
      <alignment horizontal="center" vertical="center"/>
      <protection locked="0"/>
    </xf>
    <xf numFmtId="0" fontId="0" fillId="4" borderId="39" xfId="0" applyFill="1" applyBorder="1" applyAlignment="1" applyProtection="1">
      <alignment horizontal="center" vertical="center"/>
      <protection locked="0"/>
    </xf>
    <xf numFmtId="0" fontId="0" fillId="4" borderId="0" xfId="0" applyFill="1" applyBorder="1" applyAlignment="1" applyProtection="1"/>
    <xf numFmtId="49" fontId="0" fillId="4" borderId="10" xfId="0" applyNumberFormat="1" applyFill="1" applyBorder="1" applyAlignment="1" applyProtection="1">
      <alignment horizontal="center"/>
      <protection locked="0"/>
    </xf>
    <xf numFmtId="0" fontId="0" fillId="4" borderId="35" xfId="0" applyFill="1" applyBorder="1" applyAlignment="1" applyProtection="1">
      <alignment horizontal="center" vertical="center"/>
      <protection locked="0"/>
    </xf>
    <xf numFmtId="0" fontId="0" fillId="4" borderId="24" xfId="0" applyFill="1" applyBorder="1" applyAlignment="1" applyProtection="1">
      <alignment horizontal="center" vertical="center"/>
      <protection locked="0"/>
    </xf>
    <xf numFmtId="0" fontId="8" fillId="0" borderId="0" xfId="0" applyFont="1" applyBorder="1" applyAlignment="1">
      <alignment horizontal="left" wrapText="1"/>
    </xf>
    <xf numFmtId="0" fontId="0" fillId="0" borderId="0" xfId="0" applyBorder="1" applyAlignment="1">
      <alignment wrapText="1"/>
    </xf>
    <xf numFmtId="0" fontId="8" fillId="0" borderId="0" xfId="0" applyFont="1" applyFill="1" applyBorder="1" applyAlignment="1">
      <alignment horizontal="left" wrapText="1"/>
    </xf>
    <xf numFmtId="0" fontId="0" fillId="4" borderId="0" xfId="0" applyFill="1" applyAlignment="1" applyProtection="1">
      <alignment vertical="top"/>
      <protection locked="0"/>
    </xf>
    <xf numFmtId="0" fontId="0" fillId="4" borderId="0" xfId="0" applyFill="1" applyAlignment="1" applyProtection="1">
      <alignment vertical="center"/>
      <protection locked="0"/>
    </xf>
    <xf numFmtId="0" fontId="0" fillId="4" borderId="0" xfId="0" applyFill="1" applyAlignment="1" applyProtection="1">
      <alignment vertical="top"/>
    </xf>
    <xf numFmtId="0" fontId="0" fillId="4" borderId="0" xfId="0" applyFill="1" applyAlignment="1" applyProtection="1">
      <alignment vertical="center"/>
    </xf>
    <xf numFmtId="0" fontId="0" fillId="4" borderId="0" xfId="0" applyFill="1" applyBorder="1" applyAlignment="1" applyProtection="1">
      <alignment horizontal="center" vertical="top"/>
    </xf>
    <xf numFmtId="0" fontId="0" fillId="4" borderId="0" xfId="0" applyFill="1" applyProtection="1"/>
    <xf numFmtId="0" fontId="3" fillId="4" borderId="0" xfId="0" applyFont="1" applyFill="1" applyAlignment="1" applyProtection="1">
      <alignment horizontal="left" vertical="top" wrapText="1"/>
    </xf>
    <xf numFmtId="0" fontId="0" fillId="4" borderId="0" xfId="0" applyFill="1" applyAlignment="1" applyProtection="1">
      <alignment horizontal="center" vertical="top"/>
    </xf>
    <xf numFmtId="0" fontId="0" fillId="0" borderId="0" xfId="0" applyAlignment="1" applyProtection="1">
      <alignment vertical="top"/>
    </xf>
    <xf numFmtId="0" fontId="0" fillId="0" borderId="0" xfId="0" applyAlignment="1" applyProtection="1">
      <alignment vertical="center"/>
    </xf>
    <xf numFmtId="0" fontId="12" fillId="0" borderId="12" xfId="0" applyFont="1" applyBorder="1" applyAlignment="1" applyProtection="1">
      <alignment vertical="top" wrapText="1"/>
    </xf>
    <xf numFmtId="0" fontId="12" fillId="4" borderId="13" xfId="0" applyFont="1" applyFill="1" applyBorder="1" applyAlignment="1" applyProtection="1">
      <alignment horizontal="left" vertical="center" wrapText="1"/>
    </xf>
    <xf numFmtId="0" fontId="12" fillId="0" borderId="12" xfId="0" applyFont="1" applyBorder="1" applyAlignment="1" applyProtection="1">
      <alignment horizontal="center" vertical="center" wrapText="1"/>
    </xf>
    <xf numFmtId="0" fontId="14" fillId="0" borderId="14" xfId="0" applyFont="1" applyBorder="1" applyAlignment="1" applyProtection="1">
      <alignment horizontal="center" vertical="center" wrapText="1"/>
    </xf>
    <xf numFmtId="0" fontId="8" fillId="4" borderId="15" xfId="0" applyFont="1" applyFill="1" applyBorder="1" applyAlignment="1" applyProtection="1">
      <alignment horizontal="left" vertical="center" wrapText="1"/>
    </xf>
    <xf numFmtId="0" fontId="14" fillId="0" borderId="16" xfId="0" applyFont="1" applyBorder="1" applyAlignment="1" applyProtection="1">
      <alignment horizontal="center" vertical="center" wrapText="1"/>
    </xf>
    <xf numFmtId="0" fontId="8" fillId="4" borderId="17" xfId="0" applyFont="1" applyFill="1" applyBorder="1" applyAlignment="1" applyProtection="1">
      <alignment horizontal="left" vertical="center" wrapText="1"/>
    </xf>
    <xf numFmtId="0" fontId="14" fillId="0" borderId="43" xfId="0" applyFont="1" applyBorder="1" applyAlignment="1" applyProtection="1">
      <alignment horizontal="center" vertical="center" wrapText="1"/>
    </xf>
    <xf numFmtId="0" fontId="8" fillId="4" borderId="44" xfId="0" applyFont="1" applyFill="1" applyBorder="1" applyAlignment="1" applyProtection="1">
      <alignment horizontal="left" vertical="center" wrapText="1"/>
    </xf>
    <xf numFmtId="0" fontId="14" fillId="0" borderId="42" xfId="0" applyFont="1" applyBorder="1" applyAlignment="1" applyProtection="1">
      <alignment horizontal="center" vertical="center" wrapText="1"/>
    </xf>
    <xf numFmtId="0" fontId="8" fillId="4" borderId="11" xfId="0" applyFont="1" applyFill="1" applyBorder="1" applyAlignment="1" applyProtection="1">
      <alignment horizontal="left" vertical="center" wrapText="1"/>
    </xf>
    <xf numFmtId="0" fontId="15" fillId="0" borderId="20" xfId="0" applyFont="1" applyBorder="1" applyAlignment="1" applyProtection="1">
      <alignment horizontal="center" vertical="center" wrapText="1"/>
    </xf>
    <xf numFmtId="0" fontId="15" fillId="4" borderId="21" xfId="0" applyFont="1" applyFill="1" applyBorder="1" applyAlignment="1" applyProtection="1">
      <alignment horizontal="left" vertical="center" wrapText="1"/>
    </xf>
    <xf numFmtId="0" fontId="15" fillId="0" borderId="18" xfId="0" applyFont="1" applyBorder="1" applyAlignment="1" applyProtection="1">
      <alignment horizontal="center" vertical="center" wrapText="1"/>
    </xf>
    <xf numFmtId="0" fontId="15" fillId="4" borderId="19" xfId="0" applyFont="1" applyFill="1" applyBorder="1" applyAlignment="1" applyProtection="1">
      <alignment horizontal="left" vertical="center" wrapText="1"/>
    </xf>
    <xf numFmtId="0" fontId="12" fillId="0" borderId="22" xfId="0" applyFont="1" applyBorder="1" applyAlignment="1" applyProtection="1">
      <alignment horizontal="center" vertical="center" wrapText="1"/>
    </xf>
    <xf numFmtId="0" fontId="12" fillId="4" borderId="23" xfId="0" applyFont="1" applyFill="1" applyBorder="1" applyAlignment="1" applyProtection="1">
      <alignment horizontal="left" vertical="center" wrapText="1"/>
    </xf>
    <xf numFmtId="0" fontId="0" fillId="4" borderId="33" xfId="0" applyFill="1" applyBorder="1" applyAlignment="1" applyProtection="1">
      <alignment vertical="center"/>
    </xf>
    <xf numFmtId="0" fontId="0" fillId="4" borderId="36" xfId="0" applyFill="1" applyBorder="1" applyAlignment="1" applyProtection="1">
      <alignment vertical="center"/>
    </xf>
    <xf numFmtId="0" fontId="0" fillId="4" borderId="38" xfId="0" applyFill="1" applyBorder="1" applyAlignment="1" applyProtection="1">
      <alignment vertical="center"/>
    </xf>
    <xf numFmtId="0" fontId="0" fillId="4" borderId="0" xfId="0" applyFill="1" applyAlignment="1" applyProtection="1">
      <protection locked="0"/>
    </xf>
    <xf numFmtId="0" fontId="1" fillId="4" borderId="4" xfId="0" applyFont="1" applyFill="1" applyBorder="1" applyAlignment="1" applyProtection="1">
      <alignment horizontal="center" textRotation="90" wrapText="1"/>
    </xf>
    <xf numFmtId="0" fontId="1" fillId="0" borderId="4" xfId="0" applyFont="1" applyFill="1" applyBorder="1" applyAlignment="1" applyProtection="1">
      <alignment horizontal="center" textRotation="90" wrapText="1"/>
    </xf>
    <xf numFmtId="0" fontId="1" fillId="0" borderId="0" xfId="0" applyFont="1" applyAlignment="1" applyProtection="1">
      <alignment wrapText="1"/>
    </xf>
    <xf numFmtId="49" fontId="1" fillId="4" borderId="8" xfId="0" applyNumberFormat="1" applyFont="1" applyFill="1" applyBorder="1" applyAlignment="1" applyProtection="1">
      <alignment horizontal="center" wrapText="1"/>
    </xf>
    <xf numFmtId="49" fontId="1" fillId="0" borderId="8" xfId="0" applyNumberFormat="1" applyFont="1" applyFill="1" applyBorder="1" applyAlignment="1" applyProtection="1">
      <alignment horizontal="center" wrapText="1"/>
    </xf>
    <xf numFmtId="49" fontId="1" fillId="3" borderId="5" xfId="0" applyNumberFormat="1" applyFont="1" applyFill="1" applyBorder="1" applyAlignment="1" applyProtection="1">
      <alignment horizontal="center" wrapText="1"/>
    </xf>
    <xf numFmtId="49" fontId="0" fillId="0" borderId="9" xfId="0" applyNumberFormat="1" applyBorder="1" applyAlignment="1" applyProtection="1">
      <alignment wrapText="1"/>
    </xf>
    <xf numFmtId="0" fontId="0" fillId="4" borderId="0" xfId="0" applyFill="1"/>
    <xf numFmtId="0" fontId="0" fillId="4" borderId="0" xfId="0" applyFill="1" applyAlignment="1">
      <alignment vertical="center"/>
    </xf>
    <xf numFmtId="0" fontId="0" fillId="4" borderId="0" xfId="0" applyFill="1" applyAlignment="1">
      <alignment vertical="center" wrapText="1"/>
    </xf>
    <xf numFmtId="0" fontId="0" fillId="4" borderId="0" xfId="0" applyFill="1" applyAlignment="1">
      <alignment wrapText="1"/>
    </xf>
    <xf numFmtId="0" fontId="30" fillId="4" borderId="0" xfId="2" applyFill="1" applyAlignment="1">
      <alignment vertical="center"/>
    </xf>
    <xf numFmtId="0" fontId="31" fillId="4" borderId="0" xfId="0" applyFont="1" applyFill="1" applyAlignment="1">
      <alignment vertical="center" wrapText="1"/>
    </xf>
    <xf numFmtId="0" fontId="0" fillId="0" borderId="0" xfId="0" applyAlignment="1">
      <alignment vertical="center" wrapText="1"/>
    </xf>
    <xf numFmtId="0" fontId="0" fillId="4" borderId="0" xfId="0" applyFill="1" applyAlignment="1">
      <alignment wrapText="1"/>
    </xf>
    <xf numFmtId="0" fontId="2" fillId="4" borderId="54" xfId="0" applyFont="1" applyFill="1" applyBorder="1" applyAlignment="1">
      <alignment vertical="center" wrapText="1"/>
    </xf>
    <xf numFmtId="0" fontId="2" fillId="4" borderId="27" xfId="0" applyFont="1" applyFill="1" applyBorder="1" applyAlignment="1">
      <alignment vertical="center" wrapText="1"/>
    </xf>
    <xf numFmtId="0" fontId="2" fillId="4" borderId="40" xfId="0" applyFont="1" applyFill="1" applyBorder="1" applyAlignment="1">
      <alignment vertical="center" wrapText="1"/>
    </xf>
    <xf numFmtId="0" fontId="33" fillId="4" borderId="38" xfId="0" applyFont="1" applyFill="1" applyBorder="1" applyAlignment="1">
      <alignment vertical="center" wrapText="1"/>
    </xf>
    <xf numFmtId="0" fontId="0" fillId="4" borderId="38" xfId="0" applyFill="1" applyBorder="1" applyAlignment="1">
      <alignment vertical="center" wrapText="1"/>
    </xf>
    <xf numFmtId="0" fontId="2" fillId="4" borderId="0" xfId="0" applyFont="1" applyFill="1" applyAlignment="1">
      <alignment wrapText="1"/>
    </xf>
    <xf numFmtId="0" fontId="0" fillId="4" borderId="0" xfId="0" applyFill="1" applyAlignment="1">
      <alignment wrapText="1"/>
    </xf>
    <xf numFmtId="0" fontId="0" fillId="0" borderId="0" xfId="0" applyAlignment="1">
      <alignment wrapText="1"/>
    </xf>
    <xf numFmtId="0" fontId="31" fillId="4" borderId="0" xfId="0" applyFont="1" applyFill="1" applyAlignment="1"/>
    <xf numFmtId="0" fontId="32" fillId="0" borderId="0" xfId="0" applyFont="1" applyAlignment="1"/>
    <xf numFmtId="0" fontId="0" fillId="4" borderId="0" xfId="0" applyFill="1" applyAlignment="1">
      <alignment vertical="center" wrapText="1"/>
    </xf>
    <xf numFmtId="0" fontId="3" fillId="4" borderId="0" xfId="0" applyFont="1" applyFill="1" applyAlignment="1" applyProtection="1">
      <alignment horizontal="left" vertical="top" wrapText="1"/>
      <protection locked="0"/>
    </xf>
    <xf numFmtId="0" fontId="7" fillId="4" borderId="0" xfId="0" applyFont="1" applyFill="1" applyAlignment="1" applyProtection="1">
      <alignment horizontal="center" vertical="top"/>
    </xf>
    <xf numFmtId="49" fontId="0" fillId="4" borderId="10" xfId="0" applyNumberFormat="1" applyFill="1" applyBorder="1" applyAlignment="1" applyProtection="1">
      <alignment horizontal="center"/>
      <protection locked="0"/>
    </xf>
    <xf numFmtId="0" fontId="0" fillId="4" borderId="11" xfId="0" applyFill="1" applyBorder="1" applyAlignment="1" applyProtection="1">
      <alignment horizontal="center" vertical="top"/>
    </xf>
    <xf numFmtId="0" fontId="0" fillId="4" borderId="0" xfId="0" applyFill="1" applyAlignment="1" applyProtection="1">
      <alignment horizontal="center" vertical="top"/>
    </xf>
    <xf numFmtId="0" fontId="0" fillId="4" borderId="0" xfId="0" applyFill="1" applyAlignment="1" applyProtection="1">
      <alignment horizontal="left" vertical="center" wrapText="1"/>
    </xf>
    <xf numFmtId="0" fontId="8" fillId="4" borderId="0" xfId="0" applyFont="1" applyFill="1" applyAlignment="1" applyProtection="1">
      <alignment horizontal="left" vertical="top" wrapText="1"/>
    </xf>
    <xf numFmtId="0" fontId="8" fillId="4" borderId="0" xfId="0" applyFont="1" applyFill="1" applyAlignment="1" applyProtection="1">
      <alignment horizontal="left" vertical="top"/>
    </xf>
    <xf numFmtId="0" fontId="8" fillId="4" borderId="0" xfId="0" applyFont="1" applyFill="1" applyAlignment="1" applyProtection="1">
      <alignment horizontal="left" vertical="center"/>
    </xf>
    <xf numFmtId="0" fontId="0" fillId="4" borderId="0" xfId="0" applyFill="1" applyAlignment="1" applyProtection="1">
      <alignment horizontal="left" vertical="center"/>
    </xf>
    <xf numFmtId="0" fontId="0" fillId="4" borderId="10" xfId="0" applyFill="1" applyBorder="1" applyAlignment="1" applyProtection="1">
      <alignment horizontal="center" vertical="top"/>
      <protection locked="0"/>
    </xf>
    <xf numFmtId="0" fontId="0" fillId="0" borderId="10" xfId="0" applyBorder="1" applyAlignment="1" applyProtection="1">
      <alignment vertical="top"/>
      <protection locked="0"/>
    </xf>
    <xf numFmtId="0" fontId="0" fillId="4" borderId="10" xfId="0" applyFill="1" applyBorder="1" applyAlignment="1" applyProtection="1">
      <alignment vertical="top"/>
      <protection locked="0"/>
    </xf>
    <xf numFmtId="0" fontId="0" fillId="4" borderId="0" xfId="0" applyFill="1" applyBorder="1" applyAlignment="1" applyProtection="1">
      <alignment horizontal="center" vertical="top"/>
    </xf>
    <xf numFmtId="0" fontId="0" fillId="0" borderId="0" xfId="0" applyAlignment="1" applyProtection="1">
      <alignment horizontal="center" vertical="top"/>
    </xf>
    <xf numFmtId="0" fontId="0" fillId="4" borderId="10" xfId="0" applyFill="1" applyBorder="1" applyAlignment="1" applyProtection="1">
      <alignment horizontal="left" vertical="top"/>
      <protection locked="0"/>
    </xf>
    <xf numFmtId="0" fontId="8" fillId="4" borderId="17" xfId="0" applyFont="1" applyFill="1" applyBorder="1" applyAlignment="1" applyProtection="1">
      <alignment horizontal="left" vertical="center" wrapText="1"/>
    </xf>
    <xf numFmtId="0" fontId="8" fillId="4" borderId="0" xfId="0" applyFont="1" applyFill="1" applyAlignment="1" applyProtection="1">
      <alignment horizontal="left" vertical="center" wrapText="1"/>
    </xf>
    <xf numFmtId="0" fontId="0" fillId="0" borderId="0" xfId="0" applyAlignment="1" applyProtection="1"/>
    <xf numFmtId="0" fontId="2" fillId="0" borderId="46" xfId="0" applyFont="1" applyBorder="1" applyAlignment="1" applyProtection="1"/>
    <xf numFmtId="0" fontId="2" fillId="0" borderId="45" xfId="0" applyFont="1" applyBorder="1" applyAlignment="1" applyProtection="1"/>
    <xf numFmtId="0" fontId="2" fillId="0" borderId="47" xfId="0" applyFont="1" applyBorder="1" applyAlignment="1" applyProtection="1"/>
    <xf numFmtId="0" fontId="2" fillId="0" borderId="48" xfId="0" applyFont="1" applyBorder="1" applyAlignment="1" applyProtection="1"/>
    <xf numFmtId="0" fontId="2" fillId="0" borderId="49" xfId="0" applyFont="1" applyBorder="1" applyAlignment="1" applyProtection="1">
      <protection locked="0"/>
    </xf>
    <xf numFmtId="0" fontId="2" fillId="0" borderId="50" xfId="0" applyFont="1" applyBorder="1" applyAlignment="1" applyProtection="1">
      <protection locked="0"/>
    </xf>
    <xf numFmtId="0" fontId="2" fillId="0" borderId="51" xfId="0" applyFont="1" applyBorder="1" applyAlignment="1" applyProtection="1">
      <protection locked="0"/>
    </xf>
    <xf numFmtId="0" fontId="0" fillId="0" borderId="52" xfId="0" applyBorder="1" applyAlignment="1" applyProtection="1">
      <protection locked="0"/>
    </xf>
    <xf numFmtId="0" fontId="9" fillId="4" borderId="0" xfId="0" applyFont="1" applyFill="1" applyAlignment="1" applyProtection="1">
      <alignment horizontal="center" vertical="top"/>
    </xf>
    <xf numFmtId="0" fontId="12" fillId="4" borderId="13" xfId="0" applyFont="1" applyFill="1" applyBorder="1" applyAlignment="1" applyProtection="1">
      <alignment horizontal="left" vertical="center" wrapText="1"/>
    </xf>
    <xf numFmtId="0" fontId="8" fillId="4" borderId="15" xfId="0" applyFont="1" applyFill="1" applyBorder="1" applyAlignment="1" applyProtection="1">
      <alignment horizontal="left" vertical="center" wrapText="1"/>
    </xf>
    <xf numFmtId="0" fontId="8" fillId="4" borderId="44" xfId="0" applyFont="1" applyFill="1" applyBorder="1" applyAlignment="1" applyProtection="1">
      <alignment horizontal="left" vertical="center" wrapText="1"/>
    </xf>
    <xf numFmtId="0" fontId="0" fillId="4" borderId="0" xfId="0" applyFill="1" applyAlignment="1" applyProtection="1">
      <alignment horizontal="left"/>
    </xf>
    <xf numFmtId="0" fontId="8" fillId="4" borderId="11" xfId="0" applyFont="1" applyFill="1" applyBorder="1" applyAlignment="1" applyProtection="1">
      <alignment horizontal="left" vertical="center" wrapText="1"/>
    </xf>
    <xf numFmtId="0" fontId="15" fillId="4" borderId="21" xfId="0" applyFont="1" applyFill="1" applyBorder="1" applyAlignment="1" applyProtection="1">
      <alignment horizontal="left" vertical="center" wrapText="1"/>
    </xf>
    <xf numFmtId="0" fontId="15" fillId="4" borderId="19" xfId="0" applyFont="1" applyFill="1" applyBorder="1" applyAlignment="1" applyProtection="1">
      <alignment horizontal="left" vertical="center" wrapText="1"/>
    </xf>
    <xf numFmtId="0" fontId="12" fillId="4" borderId="23" xfId="0" applyFont="1" applyFill="1" applyBorder="1" applyAlignment="1" applyProtection="1">
      <alignment horizontal="left" vertical="center" wrapText="1"/>
    </xf>
    <xf numFmtId="0" fontId="21" fillId="4" borderId="0" xfId="0" applyFont="1" applyFill="1" applyBorder="1" applyAlignment="1" applyProtection="1">
      <alignment horizontal="left" vertical="top" wrapText="1"/>
    </xf>
    <xf numFmtId="0" fontId="20" fillId="4" borderId="0" xfId="0" applyFont="1" applyFill="1" applyBorder="1" applyAlignment="1" applyProtection="1">
      <alignment horizontal="left" vertical="top" wrapText="1"/>
    </xf>
    <xf numFmtId="0" fontId="16" fillId="4" borderId="0" xfId="0" applyFont="1" applyFill="1" applyAlignment="1" applyProtection="1">
      <alignment horizontal="center"/>
    </xf>
    <xf numFmtId="0" fontId="16" fillId="4" borderId="24" xfId="0" applyFont="1" applyFill="1" applyBorder="1" applyAlignment="1" applyProtection="1">
      <alignment horizontal="center"/>
    </xf>
    <xf numFmtId="0" fontId="8" fillId="0" borderId="25" xfId="0" applyFont="1" applyBorder="1" applyAlignment="1" applyProtection="1">
      <alignment horizontal="left" vertical="top" wrapText="1"/>
      <protection locked="0"/>
    </xf>
    <xf numFmtId="0" fontId="8" fillId="0" borderId="26" xfId="0" applyFont="1" applyBorder="1" applyAlignment="1" applyProtection="1">
      <alignment horizontal="left" vertical="top" wrapText="1"/>
      <protection locked="0"/>
    </xf>
    <xf numFmtId="0" fontId="8" fillId="0" borderId="27" xfId="0" applyFont="1" applyBorder="1" applyAlignment="1" applyProtection="1">
      <alignment horizontal="left" vertical="top" wrapText="1"/>
      <protection locked="0"/>
    </xf>
    <xf numFmtId="0" fontId="0" fillId="4" borderId="28" xfId="0" applyFill="1" applyBorder="1" applyAlignment="1" applyProtection="1">
      <alignment horizontal="center" vertical="top"/>
    </xf>
    <xf numFmtId="0" fontId="14" fillId="4" borderId="0" xfId="0" applyFont="1" applyFill="1" applyAlignment="1" applyProtection="1">
      <alignment horizontal="left"/>
    </xf>
    <xf numFmtId="0" fontId="0" fillId="4" borderId="32" xfId="0" applyFill="1" applyBorder="1" applyAlignment="1" applyProtection="1">
      <alignment horizontal="left" vertical="center"/>
    </xf>
    <xf numFmtId="0" fontId="0" fillId="4" borderId="0" xfId="0" applyFill="1" applyBorder="1" applyAlignment="1" applyProtection="1">
      <alignment horizontal="left" vertical="center"/>
    </xf>
    <xf numFmtId="0" fontId="0" fillId="4" borderId="34" xfId="0" applyFill="1" applyBorder="1" applyAlignment="1" applyProtection="1">
      <alignment horizontal="left" vertical="center"/>
    </xf>
    <xf numFmtId="0" fontId="0" fillId="4" borderId="35" xfId="0" applyFill="1" applyBorder="1" applyAlignment="1" applyProtection="1">
      <alignment horizontal="left" vertical="center"/>
    </xf>
    <xf numFmtId="0" fontId="0" fillId="4" borderId="37" xfId="0" applyFill="1" applyBorder="1" applyAlignment="1" applyProtection="1">
      <alignment horizontal="left" vertical="center"/>
    </xf>
    <xf numFmtId="0" fontId="0" fillId="4" borderId="24" xfId="0" applyFill="1" applyBorder="1" applyAlignment="1" applyProtection="1">
      <alignment horizontal="left" vertical="center"/>
    </xf>
    <xf numFmtId="0" fontId="0" fillId="4" borderId="24" xfId="0" applyFill="1" applyBorder="1" applyAlignment="1" applyProtection="1">
      <alignment horizontal="center" vertical="top"/>
    </xf>
    <xf numFmtId="0" fontId="0" fillId="4" borderId="29" xfId="0" applyFill="1" applyBorder="1" applyAlignment="1" applyProtection="1">
      <alignment horizontal="center" vertical="top"/>
    </xf>
    <xf numFmtId="0" fontId="0" fillId="4" borderId="30" xfId="0" applyFill="1" applyBorder="1" applyAlignment="1" applyProtection="1">
      <alignment horizontal="center" vertical="top"/>
    </xf>
    <xf numFmtId="0" fontId="0" fillId="4" borderId="31" xfId="0" applyFill="1" applyBorder="1" applyAlignment="1" applyProtection="1">
      <alignment horizontal="center" vertical="top"/>
    </xf>
    <xf numFmtId="0" fontId="2" fillId="4" borderId="29" xfId="0" applyFont="1" applyFill="1" applyBorder="1" applyAlignment="1" applyProtection="1">
      <alignment horizontal="center" vertical="center"/>
    </xf>
    <xf numFmtId="0" fontId="2" fillId="4" borderId="30" xfId="0" applyFont="1" applyFill="1" applyBorder="1" applyAlignment="1" applyProtection="1">
      <alignment horizontal="center" vertical="center"/>
    </xf>
    <xf numFmtId="0" fontId="0" fillId="4" borderId="31" xfId="0" applyFill="1" applyBorder="1" applyAlignment="1" applyProtection="1">
      <alignment horizontal="center" vertical="center"/>
    </xf>
    <xf numFmtId="164" fontId="0" fillId="2" borderId="1" xfId="0" applyNumberFormat="1" applyFill="1" applyBorder="1" applyAlignment="1" applyProtection="1">
      <alignment horizontal="center" vertical="center" wrapText="1"/>
    </xf>
    <xf numFmtId="164" fontId="0" fillId="2" borderId="5" xfId="0" applyNumberFormat="1" applyFill="1" applyBorder="1" applyAlignment="1" applyProtection="1">
      <alignment horizontal="center" vertical="center" wrapText="1"/>
    </xf>
    <xf numFmtId="0" fontId="0" fillId="2" borderId="1" xfId="0" applyFill="1" applyBorder="1" applyAlignment="1" applyProtection="1">
      <alignment horizontal="center" vertical="center" wrapText="1"/>
    </xf>
    <xf numFmtId="0" fontId="0" fillId="2" borderId="5" xfId="0" applyFill="1" applyBorder="1" applyAlignment="1" applyProtection="1">
      <alignment horizontal="center" vertical="center" wrapText="1"/>
    </xf>
    <xf numFmtId="49" fontId="1" fillId="0" borderId="1" xfId="0" applyNumberFormat="1" applyFont="1" applyFill="1" applyBorder="1" applyAlignment="1" applyProtection="1">
      <alignment horizontal="center" textRotation="90" wrapText="1"/>
    </xf>
    <xf numFmtId="49" fontId="1" fillId="0" borderId="5" xfId="0" applyNumberFormat="1" applyFont="1" applyFill="1" applyBorder="1" applyAlignment="1" applyProtection="1">
      <alignment horizontal="center" textRotation="90" wrapText="1"/>
    </xf>
    <xf numFmtId="14" fontId="0" fillId="2" borderId="1" xfId="0" applyNumberFormat="1" applyFill="1" applyBorder="1" applyAlignment="1" applyProtection="1">
      <alignment horizontal="center" vertical="center" wrapText="1"/>
    </xf>
    <xf numFmtId="14" fontId="0" fillId="2" borderId="5" xfId="0" applyNumberFormat="1" applyFill="1" applyBorder="1" applyAlignment="1" applyProtection="1">
      <alignment horizontal="center" vertical="center" wrapText="1"/>
    </xf>
    <xf numFmtId="0" fontId="0" fillId="2" borderId="2" xfId="0" applyFill="1" applyBorder="1" applyAlignment="1" applyProtection="1">
      <alignment horizontal="center" vertical="center" wrapText="1"/>
    </xf>
    <xf numFmtId="0" fontId="0" fillId="2" borderId="6" xfId="0" applyFill="1" applyBorder="1" applyAlignment="1" applyProtection="1">
      <alignment horizontal="center" vertical="center" wrapText="1"/>
    </xf>
    <xf numFmtId="49" fontId="1" fillId="2" borderId="1" xfId="0" applyNumberFormat="1" applyFont="1" applyFill="1" applyBorder="1" applyAlignment="1" applyProtection="1">
      <alignment horizontal="center" textRotation="90" wrapText="1"/>
    </xf>
    <xf numFmtId="49" fontId="1" fillId="2" borderId="5" xfId="0" applyNumberFormat="1" applyFont="1" applyFill="1" applyBorder="1" applyAlignment="1" applyProtection="1">
      <alignment horizontal="center" textRotation="90" wrapText="1"/>
    </xf>
    <xf numFmtId="49" fontId="1" fillId="3" borderId="1" xfId="0" applyNumberFormat="1" applyFont="1" applyFill="1" applyBorder="1" applyAlignment="1" applyProtection="1">
      <alignment horizontal="center" textRotation="90" wrapText="1"/>
    </xf>
    <xf numFmtId="49" fontId="1" fillId="3" borderId="5" xfId="0" applyNumberFormat="1" applyFont="1" applyFill="1" applyBorder="1" applyAlignment="1" applyProtection="1">
      <alignment horizontal="center" textRotation="90" wrapText="1"/>
    </xf>
    <xf numFmtId="0" fontId="0" fillId="4" borderId="24" xfId="0" applyFont="1" applyFill="1" applyBorder="1" applyAlignment="1">
      <alignment horizontal="left" vertical="center" wrapText="1"/>
    </xf>
    <xf numFmtId="0" fontId="0" fillId="4" borderId="24" xfId="0" applyFont="1" applyFill="1" applyBorder="1" applyAlignment="1">
      <alignment wrapText="1"/>
    </xf>
    <xf numFmtId="0" fontId="2" fillId="4" borderId="0" xfId="0" applyFont="1" applyFill="1" applyAlignment="1">
      <alignment vertical="center" wrapText="1"/>
    </xf>
    <xf numFmtId="0" fontId="27" fillId="4" borderId="0" xfId="0" applyFont="1" applyFill="1" applyAlignment="1">
      <alignment horizontal="left" vertical="center" wrapText="1"/>
    </xf>
    <xf numFmtId="0" fontId="2" fillId="4" borderId="0" xfId="0" applyFont="1" applyFill="1" applyAlignment="1">
      <alignment horizontal="left" vertical="center" wrapText="1"/>
    </xf>
    <xf numFmtId="0" fontId="0" fillId="4" borderId="0" xfId="0" applyFill="1" applyAlignment="1">
      <alignment horizontal="left" vertical="center" wrapText="1"/>
    </xf>
    <xf numFmtId="0" fontId="20" fillId="4" borderId="0" xfId="0" applyFont="1" applyFill="1" applyAlignment="1">
      <alignment horizontal="left" vertical="center" wrapText="1"/>
    </xf>
    <xf numFmtId="0" fontId="26" fillId="4" borderId="0" xfId="0" applyFont="1" applyFill="1" applyAlignment="1">
      <alignment vertical="center" wrapText="1"/>
    </xf>
    <xf numFmtId="0" fontId="29" fillId="4" borderId="0" xfId="0" applyFont="1" applyFill="1" applyAlignment="1">
      <alignment horizontal="left"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76200</xdr:colOff>
          <xdr:row>19</xdr:row>
          <xdr:rowOff>47625</xdr:rowOff>
        </xdr:from>
        <xdr:to>
          <xdr:col>4</xdr:col>
          <xdr:colOff>57150</xdr:colOff>
          <xdr:row>20</xdr:row>
          <xdr:rowOff>0</xdr:rowOff>
        </xdr:to>
        <xdr:sp macro="" textlink="">
          <xdr:nvSpPr>
            <xdr:cNvPr id="3073" name="Check Box 1" hidden="1">
              <a:extLst>
                <a:ext uri="{63B3BB69-23CF-44E3-9099-C40C66FF867C}">
                  <a14:compatExt spid="_x0000_s3073"/>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12</xdr:row>
          <xdr:rowOff>19050</xdr:rowOff>
        </xdr:from>
        <xdr:to>
          <xdr:col>3</xdr:col>
          <xdr:colOff>66675</xdr:colOff>
          <xdr:row>13</xdr:row>
          <xdr:rowOff>0</xdr:rowOff>
        </xdr:to>
        <xdr:sp macro="" textlink="">
          <xdr:nvSpPr>
            <xdr:cNvPr id="3074" name="Check Box 2" hidden="1">
              <a:extLst>
                <a:ext uri="{63B3BB69-23CF-44E3-9099-C40C66FF867C}">
                  <a14:compatExt spid="_x0000_s3074"/>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9525</xdr:rowOff>
        </xdr:from>
        <xdr:to>
          <xdr:col>3</xdr:col>
          <xdr:colOff>66675</xdr:colOff>
          <xdr:row>14</xdr:row>
          <xdr:rowOff>0</xdr:rowOff>
        </xdr:to>
        <xdr:sp macro="" textlink="">
          <xdr:nvSpPr>
            <xdr:cNvPr id="3075" name="Check Box 3" hidden="1">
              <a:extLst>
                <a:ext uri="{63B3BB69-23CF-44E3-9099-C40C66FF867C}">
                  <a14:compatExt spid="_x0000_s3075"/>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14</xdr:row>
          <xdr:rowOff>28575</xdr:rowOff>
        </xdr:from>
        <xdr:to>
          <xdr:col>3</xdr:col>
          <xdr:colOff>66675</xdr:colOff>
          <xdr:row>15</xdr:row>
          <xdr:rowOff>0</xdr:rowOff>
        </xdr:to>
        <xdr:sp macro="" textlink="">
          <xdr:nvSpPr>
            <xdr:cNvPr id="3076" name="Check Box 4" hidden="1">
              <a:extLst>
                <a:ext uri="{63B3BB69-23CF-44E3-9099-C40C66FF867C}">
                  <a14:compatExt spid="_x0000_s3076"/>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15</xdr:row>
          <xdr:rowOff>28575</xdr:rowOff>
        </xdr:from>
        <xdr:to>
          <xdr:col>3</xdr:col>
          <xdr:colOff>66675</xdr:colOff>
          <xdr:row>16</xdr:row>
          <xdr:rowOff>0</xdr:rowOff>
        </xdr:to>
        <xdr:sp macro="" textlink="">
          <xdr:nvSpPr>
            <xdr:cNvPr id="3077" name="Check Box 5" hidden="1">
              <a:extLst>
                <a:ext uri="{63B3BB69-23CF-44E3-9099-C40C66FF867C}">
                  <a14:compatExt spid="_x0000_s3077"/>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17</xdr:row>
          <xdr:rowOff>38100</xdr:rowOff>
        </xdr:from>
        <xdr:to>
          <xdr:col>3</xdr:col>
          <xdr:colOff>66675</xdr:colOff>
          <xdr:row>18</xdr:row>
          <xdr:rowOff>0</xdr:rowOff>
        </xdr:to>
        <xdr:sp macro="" textlink="">
          <xdr:nvSpPr>
            <xdr:cNvPr id="3078" name="Check Box 6" hidden="1">
              <a:extLst>
                <a:ext uri="{63B3BB69-23CF-44E3-9099-C40C66FF867C}">
                  <a14:compatExt spid="_x0000_s3078"/>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18</xdr:row>
          <xdr:rowOff>47625</xdr:rowOff>
        </xdr:from>
        <xdr:to>
          <xdr:col>3</xdr:col>
          <xdr:colOff>66675</xdr:colOff>
          <xdr:row>19</xdr:row>
          <xdr:rowOff>9525</xdr:rowOff>
        </xdr:to>
        <xdr:sp macro="" textlink="">
          <xdr:nvSpPr>
            <xdr:cNvPr id="3079" name="Check Box 7" hidden="1">
              <a:extLst>
                <a:ext uri="{63B3BB69-23CF-44E3-9099-C40C66FF867C}">
                  <a14:compatExt spid="_x0000_s3079"/>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16</xdr:row>
          <xdr:rowOff>38100</xdr:rowOff>
        </xdr:from>
        <xdr:to>
          <xdr:col>3</xdr:col>
          <xdr:colOff>66675</xdr:colOff>
          <xdr:row>17</xdr:row>
          <xdr:rowOff>0</xdr:rowOff>
        </xdr:to>
        <xdr:sp macro="" textlink="">
          <xdr:nvSpPr>
            <xdr:cNvPr id="3080" name="Check Box 8" hidden="1">
              <a:extLst>
                <a:ext uri="{63B3BB69-23CF-44E3-9099-C40C66FF867C}">
                  <a14:compatExt spid="_x0000_s3080"/>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21</xdr:row>
          <xdr:rowOff>57150</xdr:rowOff>
        </xdr:from>
        <xdr:to>
          <xdr:col>4</xdr:col>
          <xdr:colOff>57150</xdr:colOff>
          <xdr:row>22</xdr:row>
          <xdr:rowOff>0</xdr:rowOff>
        </xdr:to>
        <xdr:sp macro="" textlink="">
          <xdr:nvSpPr>
            <xdr:cNvPr id="3081" name="Check Box 9" hidden="1">
              <a:extLst>
                <a:ext uri="{63B3BB69-23CF-44E3-9099-C40C66FF867C}">
                  <a14:compatExt spid="_x0000_s3081"/>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20</xdr:row>
          <xdr:rowOff>47625</xdr:rowOff>
        </xdr:from>
        <xdr:to>
          <xdr:col>4</xdr:col>
          <xdr:colOff>57150</xdr:colOff>
          <xdr:row>21</xdr:row>
          <xdr:rowOff>0</xdr:rowOff>
        </xdr:to>
        <xdr:sp macro="" textlink="">
          <xdr:nvSpPr>
            <xdr:cNvPr id="3082" name="Check Box 10" hidden="1">
              <a:extLst>
                <a:ext uri="{63B3BB69-23CF-44E3-9099-C40C66FF867C}">
                  <a14:compatExt spid="_x0000_s3082"/>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73</xdr:row>
          <xdr:rowOff>57150</xdr:rowOff>
        </xdr:from>
        <xdr:to>
          <xdr:col>3</xdr:col>
          <xdr:colOff>66675</xdr:colOff>
          <xdr:row>74</xdr:row>
          <xdr:rowOff>19050</xdr:rowOff>
        </xdr:to>
        <xdr:sp macro="" textlink="">
          <xdr:nvSpPr>
            <xdr:cNvPr id="3083" name="Check Box 11" hidden="1">
              <a:extLst>
                <a:ext uri="{63B3BB69-23CF-44E3-9099-C40C66FF867C}">
                  <a14:compatExt spid="_x0000_s3083"/>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74</xdr:row>
          <xdr:rowOff>57150</xdr:rowOff>
        </xdr:from>
        <xdr:to>
          <xdr:col>3</xdr:col>
          <xdr:colOff>66675</xdr:colOff>
          <xdr:row>75</xdr:row>
          <xdr:rowOff>19050</xdr:rowOff>
        </xdr:to>
        <xdr:sp macro="" textlink="">
          <xdr:nvSpPr>
            <xdr:cNvPr id="3084" name="Check Box 12" hidden="1">
              <a:extLst>
                <a:ext uri="{63B3BB69-23CF-44E3-9099-C40C66FF867C}">
                  <a14:compatExt spid="_x0000_s3084"/>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75</xdr:row>
          <xdr:rowOff>66675</xdr:rowOff>
        </xdr:from>
        <xdr:to>
          <xdr:col>3</xdr:col>
          <xdr:colOff>66675</xdr:colOff>
          <xdr:row>76</xdr:row>
          <xdr:rowOff>28575</xdr:rowOff>
        </xdr:to>
        <xdr:sp macro="" textlink="">
          <xdr:nvSpPr>
            <xdr:cNvPr id="3085" name="Check Box 13" hidden="1">
              <a:extLst>
                <a:ext uri="{63B3BB69-23CF-44E3-9099-C40C66FF867C}">
                  <a14:compatExt spid="_x0000_s3085"/>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76</xdr:row>
          <xdr:rowOff>66675</xdr:rowOff>
        </xdr:from>
        <xdr:to>
          <xdr:col>3</xdr:col>
          <xdr:colOff>66675</xdr:colOff>
          <xdr:row>77</xdr:row>
          <xdr:rowOff>28575</xdr:rowOff>
        </xdr:to>
        <xdr:sp macro="" textlink="">
          <xdr:nvSpPr>
            <xdr:cNvPr id="3086" name="Check Box 14" hidden="1">
              <a:extLst>
                <a:ext uri="{63B3BB69-23CF-44E3-9099-C40C66FF867C}">
                  <a14:compatExt spid="_x0000_s3086"/>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77</xdr:row>
          <xdr:rowOff>66675</xdr:rowOff>
        </xdr:from>
        <xdr:to>
          <xdr:col>3</xdr:col>
          <xdr:colOff>66675</xdr:colOff>
          <xdr:row>78</xdr:row>
          <xdr:rowOff>28575</xdr:rowOff>
        </xdr:to>
        <xdr:sp macro="" textlink="">
          <xdr:nvSpPr>
            <xdr:cNvPr id="3087" name="Check Box 15" hidden="1">
              <a:extLst>
                <a:ext uri="{63B3BB69-23CF-44E3-9099-C40C66FF867C}">
                  <a14:compatExt spid="_x0000_s3087"/>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78</xdr:row>
          <xdr:rowOff>76200</xdr:rowOff>
        </xdr:from>
        <xdr:to>
          <xdr:col>3</xdr:col>
          <xdr:colOff>66675</xdr:colOff>
          <xdr:row>79</xdr:row>
          <xdr:rowOff>38100</xdr:rowOff>
        </xdr:to>
        <xdr:sp macro="" textlink="">
          <xdr:nvSpPr>
            <xdr:cNvPr id="3088" name="Check Box 16" hidden="1">
              <a:extLst>
                <a:ext uri="{63B3BB69-23CF-44E3-9099-C40C66FF867C}">
                  <a14:compatExt spid="_x0000_s3088"/>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79</xdr:row>
          <xdr:rowOff>76200</xdr:rowOff>
        </xdr:from>
        <xdr:to>
          <xdr:col>3</xdr:col>
          <xdr:colOff>66675</xdr:colOff>
          <xdr:row>80</xdr:row>
          <xdr:rowOff>38100</xdr:rowOff>
        </xdr:to>
        <xdr:sp macro="" textlink="">
          <xdr:nvSpPr>
            <xdr:cNvPr id="3089" name="Check Box 17" hidden="1">
              <a:extLst>
                <a:ext uri="{63B3BB69-23CF-44E3-9099-C40C66FF867C}">
                  <a14:compatExt spid="_x0000_s3089"/>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80</xdr:row>
          <xdr:rowOff>85725</xdr:rowOff>
        </xdr:from>
        <xdr:to>
          <xdr:col>3</xdr:col>
          <xdr:colOff>66675</xdr:colOff>
          <xdr:row>81</xdr:row>
          <xdr:rowOff>47625</xdr:rowOff>
        </xdr:to>
        <xdr:sp macro="" textlink="">
          <xdr:nvSpPr>
            <xdr:cNvPr id="3090" name="Check Box 18" hidden="1">
              <a:extLst>
                <a:ext uri="{63B3BB69-23CF-44E3-9099-C40C66FF867C}">
                  <a14:compatExt spid="_x0000_s3090"/>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81</xdr:row>
          <xdr:rowOff>85725</xdr:rowOff>
        </xdr:from>
        <xdr:to>
          <xdr:col>3</xdr:col>
          <xdr:colOff>66675</xdr:colOff>
          <xdr:row>82</xdr:row>
          <xdr:rowOff>47625</xdr:rowOff>
        </xdr:to>
        <xdr:sp macro="" textlink="">
          <xdr:nvSpPr>
            <xdr:cNvPr id="3091" name="Check Box 19" hidden="1">
              <a:extLst>
                <a:ext uri="{63B3BB69-23CF-44E3-9099-C40C66FF867C}">
                  <a14:compatExt spid="_x0000_s3091"/>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82</xdr:row>
          <xdr:rowOff>95250</xdr:rowOff>
        </xdr:from>
        <xdr:to>
          <xdr:col>3</xdr:col>
          <xdr:colOff>66675</xdr:colOff>
          <xdr:row>83</xdr:row>
          <xdr:rowOff>57150</xdr:rowOff>
        </xdr:to>
        <xdr:sp macro="" textlink="">
          <xdr:nvSpPr>
            <xdr:cNvPr id="3092" name="Check Box 20" hidden="1">
              <a:extLst>
                <a:ext uri="{63B3BB69-23CF-44E3-9099-C40C66FF867C}">
                  <a14:compatExt spid="_x0000_s3092"/>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83</xdr:row>
          <xdr:rowOff>95250</xdr:rowOff>
        </xdr:from>
        <xdr:to>
          <xdr:col>3</xdr:col>
          <xdr:colOff>66675</xdr:colOff>
          <xdr:row>84</xdr:row>
          <xdr:rowOff>57150</xdr:rowOff>
        </xdr:to>
        <xdr:sp macro="" textlink="">
          <xdr:nvSpPr>
            <xdr:cNvPr id="3093" name="Check Box 21" hidden="1">
              <a:extLst>
                <a:ext uri="{63B3BB69-23CF-44E3-9099-C40C66FF867C}">
                  <a14:compatExt spid="_x0000_s3093"/>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84</xdr:row>
          <xdr:rowOff>104775</xdr:rowOff>
        </xdr:from>
        <xdr:to>
          <xdr:col>3</xdr:col>
          <xdr:colOff>66675</xdr:colOff>
          <xdr:row>85</xdr:row>
          <xdr:rowOff>66675</xdr:rowOff>
        </xdr:to>
        <xdr:sp macro="" textlink="">
          <xdr:nvSpPr>
            <xdr:cNvPr id="3094" name="Check Box 22" hidden="1">
              <a:extLst>
                <a:ext uri="{63B3BB69-23CF-44E3-9099-C40C66FF867C}">
                  <a14:compatExt spid="_x0000_s3094"/>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86</xdr:row>
          <xdr:rowOff>104775</xdr:rowOff>
        </xdr:from>
        <xdr:to>
          <xdr:col>3</xdr:col>
          <xdr:colOff>66675</xdr:colOff>
          <xdr:row>87</xdr:row>
          <xdr:rowOff>66675</xdr:rowOff>
        </xdr:to>
        <xdr:sp macro="" textlink="">
          <xdr:nvSpPr>
            <xdr:cNvPr id="3095" name="Check Box 23" hidden="1">
              <a:extLst>
                <a:ext uri="{63B3BB69-23CF-44E3-9099-C40C66FF867C}">
                  <a14:compatExt spid="_x0000_s3095"/>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85</xdr:row>
          <xdr:rowOff>104775</xdr:rowOff>
        </xdr:from>
        <xdr:to>
          <xdr:col>3</xdr:col>
          <xdr:colOff>66675</xdr:colOff>
          <xdr:row>86</xdr:row>
          <xdr:rowOff>66675</xdr:rowOff>
        </xdr:to>
        <xdr:sp macro="" textlink="">
          <xdr:nvSpPr>
            <xdr:cNvPr id="3096" name="Check Box 24" hidden="1">
              <a:extLst>
                <a:ext uri="{63B3BB69-23CF-44E3-9099-C40C66FF867C}">
                  <a14:compatExt spid="_x0000_s3096"/>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257175</xdr:colOff>
          <xdr:row>91</xdr:row>
          <xdr:rowOff>133350</xdr:rowOff>
        </xdr:from>
        <xdr:to>
          <xdr:col>8</xdr:col>
          <xdr:colOff>561975</xdr:colOff>
          <xdr:row>92</xdr:row>
          <xdr:rowOff>0</xdr:rowOff>
        </xdr:to>
        <xdr:sp macro="" textlink="">
          <xdr:nvSpPr>
            <xdr:cNvPr id="3097" name="Check Box 25" hidden="1">
              <a:extLst>
                <a:ext uri="{63B3BB69-23CF-44E3-9099-C40C66FF867C}">
                  <a14:compatExt spid="_x0000_s3097"/>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91</xdr:row>
          <xdr:rowOff>142875</xdr:rowOff>
        </xdr:from>
        <xdr:to>
          <xdr:col>10</xdr:col>
          <xdr:colOff>514350</xdr:colOff>
          <xdr:row>92</xdr:row>
          <xdr:rowOff>0</xdr:rowOff>
        </xdr:to>
        <xdr:sp macro="" textlink="">
          <xdr:nvSpPr>
            <xdr:cNvPr id="3098" name="Check Box 26" hidden="1">
              <a:extLst>
                <a:ext uri="{63B3BB69-23CF-44E3-9099-C40C66FF867C}">
                  <a14:compatExt spid="_x0000_s3098"/>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92</xdr:row>
          <xdr:rowOff>142875</xdr:rowOff>
        </xdr:from>
        <xdr:to>
          <xdr:col>10</xdr:col>
          <xdr:colOff>514350</xdr:colOff>
          <xdr:row>93</xdr:row>
          <xdr:rowOff>0</xdr:rowOff>
        </xdr:to>
        <xdr:sp macro="" textlink="">
          <xdr:nvSpPr>
            <xdr:cNvPr id="3099" name="Check Box 27" hidden="1">
              <a:extLst>
                <a:ext uri="{63B3BB69-23CF-44E3-9099-C40C66FF867C}">
                  <a14:compatExt spid="_x0000_s3099"/>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209550</xdr:colOff>
          <xdr:row>93</xdr:row>
          <xdr:rowOff>142875</xdr:rowOff>
        </xdr:from>
        <xdr:to>
          <xdr:col>10</xdr:col>
          <xdr:colOff>514350</xdr:colOff>
          <xdr:row>94</xdr:row>
          <xdr:rowOff>0</xdr:rowOff>
        </xdr:to>
        <xdr:sp macro="" textlink="">
          <xdr:nvSpPr>
            <xdr:cNvPr id="3100" name="Check Box 28" hidden="1">
              <a:extLst>
                <a:ext uri="{63B3BB69-23CF-44E3-9099-C40C66FF867C}">
                  <a14:compatExt spid="_x0000_s3100"/>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257175</xdr:colOff>
          <xdr:row>92</xdr:row>
          <xdr:rowOff>133350</xdr:rowOff>
        </xdr:from>
        <xdr:to>
          <xdr:col>8</xdr:col>
          <xdr:colOff>561975</xdr:colOff>
          <xdr:row>93</xdr:row>
          <xdr:rowOff>0</xdr:rowOff>
        </xdr:to>
        <xdr:sp macro="" textlink="">
          <xdr:nvSpPr>
            <xdr:cNvPr id="3101" name="Check Box 29" hidden="1">
              <a:extLst>
                <a:ext uri="{63B3BB69-23CF-44E3-9099-C40C66FF867C}">
                  <a14:compatExt spid="_x0000_s3101"/>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257175</xdr:colOff>
          <xdr:row>93</xdr:row>
          <xdr:rowOff>133350</xdr:rowOff>
        </xdr:from>
        <xdr:to>
          <xdr:col>8</xdr:col>
          <xdr:colOff>561975</xdr:colOff>
          <xdr:row>94</xdr:row>
          <xdr:rowOff>0</xdr:rowOff>
        </xdr:to>
        <xdr:sp macro="" textlink="">
          <xdr:nvSpPr>
            <xdr:cNvPr id="3102" name="Check Box 30" hidden="1">
              <a:extLst>
                <a:ext uri="{63B3BB69-23CF-44E3-9099-C40C66FF867C}">
                  <a14:compatExt spid="_x0000_s3102"/>
                </a:ext>
              </a:extLst>
            </xdr:cNvPr>
            <xdr:cNvSpPr/>
          </xdr:nvSpPr>
          <xdr:spPr>
            <a:xfrm>
              <a:off x="0" y="0"/>
              <a:ext cx="0" cy="0"/>
            </a:xfrm>
            <a:prstGeom prst="rect">
              <a:avLst/>
            </a:prstGeom>
          </xdr:spPr>
        </xdr:sp>
        <xdr:clientData fLocksWithSheet="0"/>
      </xdr:twoCellAnchor>
    </mc:Choice>
    <mc:Fallback/>
  </mc:AlternateContent>
  <xdr:twoCellAnchor editAs="oneCell">
    <xdr:from>
      <xdr:col>4</xdr:col>
      <xdr:colOff>2066925</xdr:colOff>
      <xdr:row>28</xdr:row>
      <xdr:rowOff>146050</xdr:rowOff>
    </xdr:from>
    <xdr:to>
      <xdr:col>6</xdr:col>
      <xdr:colOff>609919</xdr:colOff>
      <xdr:row>32</xdr:row>
      <xdr:rowOff>69085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62300" y="9258300"/>
          <a:ext cx="1241744" cy="685035"/>
        </a:xfrm>
        <a:prstGeom prst="rect">
          <a:avLst/>
        </a:prstGeom>
      </xdr:spPr>
    </xdr:pic>
    <xdr:clientData/>
  </xdr:twoCellAnchor>
  <xdr:twoCellAnchor editAs="oneCell">
    <xdr:from>
      <xdr:col>4</xdr:col>
      <xdr:colOff>2085975</xdr:colOff>
      <xdr:row>61</xdr:row>
      <xdr:rowOff>381000</xdr:rowOff>
    </xdr:from>
    <xdr:to>
      <xdr:col>6</xdr:col>
      <xdr:colOff>628969</xdr:colOff>
      <xdr:row>65</xdr:row>
      <xdr:rowOff>104010</xdr:rowOff>
    </xdr:to>
    <xdr:pic>
      <xdr:nvPicPr>
        <xdr:cNvPr id="36" name="Picture 3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0" y="19926300"/>
          <a:ext cx="1238569" cy="685035"/>
        </a:xfrm>
        <a:prstGeom prst="rect">
          <a:avLst/>
        </a:prstGeom>
      </xdr:spPr>
    </xdr:pic>
    <xdr:clientData/>
  </xdr:twoCellAnchor>
  <xdr:twoCellAnchor editAs="oneCell">
    <xdr:from>
      <xdr:col>4</xdr:col>
      <xdr:colOff>2047875</xdr:colOff>
      <xdr:row>95</xdr:row>
      <xdr:rowOff>57150</xdr:rowOff>
    </xdr:from>
    <xdr:to>
      <xdr:col>6</xdr:col>
      <xdr:colOff>590869</xdr:colOff>
      <xdr:row>98</xdr:row>
      <xdr:rowOff>170685</xdr:rowOff>
    </xdr:to>
    <xdr:pic>
      <xdr:nvPicPr>
        <xdr:cNvPr id="37" name="Picture 3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0" y="30984825"/>
          <a:ext cx="1238569" cy="6850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23"/>
  <sheetViews>
    <sheetView tabSelected="1" zoomScaleNormal="100" workbookViewId="0">
      <selection activeCell="C2" sqref="C2"/>
    </sheetView>
  </sheetViews>
  <sheetFormatPr defaultColWidth="9.140625" defaultRowHeight="15" x14ac:dyDescent="0.25"/>
  <cols>
    <col min="1" max="1" width="18.140625" style="74" customWidth="1"/>
    <col min="2" max="12" width="9.140625" style="74"/>
    <col min="13" max="13" width="9.140625" style="74" customWidth="1"/>
    <col min="14" max="16384" width="9.140625" style="74"/>
  </cols>
  <sheetData>
    <row r="1" spans="1:13" ht="15.75" x14ac:dyDescent="0.25">
      <c r="A1" s="90" t="s">
        <v>200</v>
      </c>
      <c r="B1" s="91"/>
      <c r="C1" s="91"/>
      <c r="D1" s="91"/>
      <c r="E1" s="91"/>
      <c r="F1" s="91"/>
      <c r="G1" s="91"/>
      <c r="H1" s="91"/>
      <c r="I1" s="91"/>
      <c r="J1" s="91"/>
      <c r="K1" s="91"/>
      <c r="L1" s="91"/>
      <c r="M1" s="91"/>
    </row>
    <row r="2" spans="1:13" x14ac:dyDescent="0.25">
      <c r="A2" s="75"/>
    </row>
    <row r="3" spans="1:13" ht="164.25" customHeight="1" x14ac:dyDescent="0.25">
      <c r="A3" s="92" t="s">
        <v>222</v>
      </c>
      <c r="B3" s="88"/>
      <c r="C3" s="88"/>
      <c r="D3" s="88"/>
      <c r="E3" s="88"/>
      <c r="F3" s="88"/>
      <c r="G3" s="88"/>
      <c r="H3" s="88"/>
      <c r="I3" s="88"/>
      <c r="J3" s="88"/>
      <c r="K3" s="88"/>
      <c r="L3" s="88"/>
      <c r="M3" s="88"/>
    </row>
    <row r="4" spans="1:13" x14ac:dyDescent="0.25">
      <c r="A4" s="76"/>
      <c r="B4" s="77"/>
      <c r="C4" s="77"/>
      <c r="D4" s="77"/>
      <c r="E4" s="77"/>
      <c r="F4" s="77"/>
      <c r="G4" s="77"/>
      <c r="H4" s="77"/>
      <c r="I4" s="77"/>
      <c r="J4" s="77"/>
      <c r="K4" s="77"/>
      <c r="L4" s="77"/>
      <c r="M4" s="77"/>
    </row>
    <row r="5" spans="1:13" ht="15.75" x14ac:dyDescent="0.25">
      <c r="A5" s="79" t="s">
        <v>223</v>
      </c>
      <c r="B5" s="77"/>
      <c r="C5" s="77"/>
      <c r="D5" s="77"/>
      <c r="E5" s="77"/>
      <c r="F5" s="77"/>
      <c r="G5" s="77"/>
      <c r="H5" s="77"/>
      <c r="I5" s="77"/>
      <c r="J5" s="77"/>
      <c r="K5" s="77"/>
      <c r="L5" s="77"/>
      <c r="M5" s="77"/>
    </row>
    <row r="6" spans="1:13" x14ac:dyDescent="0.25">
      <c r="A6" s="78"/>
    </row>
    <row r="7" spans="1:13" ht="44.25" customHeight="1" x14ac:dyDescent="0.25">
      <c r="A7" s="88" t="s">
        <v>224</v>
      </c>
      <c r="B7" s="88"/>
      <c r="C7" s="88"/>
      <c r="D7" s="88"/>
      <c r="E7" s="88"/>
      <c r="F7" s="88"/>
      <c r="G7" s="88"/>
      <c r="H7" s="88"/>
      <c r="I7" s="88"/>
      <c r="J7" s="88"/>
      <c r="K7" s="88"/>
      <c r="L7" s="88"/>
      <c r="M7" s="88"/>
    </row>
    <row r="9" spans="1:13" ht="45" customHeight="1" x14ac:dyDescent="0.3">
      <c r="A9" s="88" t="s">
        <v>225</v>
      </c>
      <c r="B9" s="88"/>
      <c r="C9" s="88"/>
      <c r="D9" s="88"/>
      <c r="E9" s="88"/>
      <c r="F9" s="88"/>
      <c r="G9" s="88"/>
      <c r="H9" s="88"/>
      <c r="I9" s="88"/>
      <c r="J9" s="88"/>
      <c r="K9" s="88"/>
      <c r="L9" s="88"/>
      <c r="M9" s="88"/>
    </row>
    <row r="11" spans="1:13" ht="45.75" customHeight="1" x14ac:dyDescent="0.3">
      <c r="A11" s="88" t="s">
        <v>246</v>
      </c>
      <c r="B11" s="88"/>
      <c r="C11" s="88"/>
      <c r="D11" s="88"/>
      <c r="E11" s="88"/>
      <c r="F11" s="88"/>
      <c r="G11" s="88"/>
      <c r="H11" s="88"/>
      <c r="I11" s="88"/>
      <c r="J11" s="88"/>
      <c r="K11" s="88"/>
      <c r="L11" s="88"/>
      <c r="M11" s="88"/>
    </row>
    <row r="13" spans="1:13" ht="75.75" customHeight="1" x14ac:dyDescent="0.25">
      <c r="A13" s="88" t="s">
        <v>247</v>
      </c>
      <c r="B13" s="88"/>
      <c r="C13" s="88"/>
      <c r="D13" s="88"/>
      <c r="E13" s="88"/>
      <c r="F13" s="88"/>
      <c r="G13" s="88"/>
      <c r="H13" s="88"/>
      <c r="I13" s="88"/>
      <c r="J13" s="88"/>
      <c r="K13" s="88"/>
      <c r="L13" s="88"/>
      <c r="M13" s="88"/>
    </row>
    <row r="15" spans="1:13" ht="46.5" customHeight="1" x14ac:dyDescent="0.25">
      <c r="A15" s="88" t="s">
        <v>226</v>
      </c>
      <c r="B15" s="88"/>
      <c r="C15" s="88"/>
      <c r="D15" s="88"/>
      <c r="E15" s="88"/>
      <c r="F15" s="88"/>
      <c r="G15" s="88"/>
      <c r="H15" s="88"/>
      <c r="I15" s="88"/>
      <c r="J15" s="88"/>
      <c r="K15" s="88"/>
      <c r="L15" s="88"/>
      <c r="M15" s="88"/>
    </row>
    <row r="17" spans="1:13" ht="37.5" customHeight="1" x14ac:dyDescent="0.25">
      <c r="A17" s="88" t="s">
        <v>227</v>
      </c>
      <c r="B17" s="88"/>
      <c r="C17" s="88"/>
      <c r="D17" s="88"/>
      <c r="E17" s="88"/>
      <c r="F17" s="88"/>
      <c r="G17" s="88"/>
      <c r="H17" s="88"/>
      <c r="I17" s="88"/>
      <c r="J17" s="88"/>
      <c r="K17" s="88"/>
      <c r="L17" s="88"/>
      <c r="M17" s="88"/>
    </row>
    <row r="19" spans="1:13" ht="45.75" customHeight="1" x14ac:dyDescent="0.25">
      <c r="A19" s="88" t="s">
        <v>228</v>
      </c>
      <c r="B19" s="88"/>
      <c r="C19" s="88"/>
      <c r="D19" s="88"/>
      <c r="E19" s="88"/>
      <c r="F19" s="88"/>
      <c r="G19" s="88"/>
      <c r="H19" s="88"/>
      <c r="I19" s="88"/>
      <c r="J19" s="88"/>
      <c r="K19" s="88"/>
      <c r="L19" s="88"/>
      <c r="M19" s="88"/>
    </row>
    <row r="21" spans="1:13" x14ac:dyDescent="0.25">
      <c r="A21" s="74" t="s">
        <v>229</v>
      </c>
    </row>
    <row r="23" spans="1:13" ht="33" customHeight="1" x14ac:dyDescent="0.25">
      <c r="A23" s="88" t="s">
        <v>248</v>
      </c>
      <c r="B23" s="89"/>
      <c r="C23" s="89"/>
      <c r="D23" s="89"/>
      <c r="E23" s="89"/>
      <c r="F23" s="89"/>
      <c r="G23" s="89"/>
      <c r="H23" s="89"/>
      <c r="I23" s="89"/>
      <c r="J23" s="89"/>
      <c r="K23" s="89"/>
      <c r="L23" s="89"/>
      <c r="M23" s="89"/>
    </row>
  </sheetData>
  <sheetProtection password="CC36" sheet="1" objects="1" scenarios="1"/>
  <mergeCells count="10">
    <mergeCell ref="A23:M23"/>
    <mergeCell ref="A1:M1"/>
    <mergeCell ref="A15:M15"/>
    <mergeCell ref="A17:M17"/>
    <mergeCell ref="A19:M19"/>
    <mergeCell ref="A3:M3"/>
    <mergeCell ref="A7:M7"/>
    <mergeCell ref="A13:M13"/>
    <mergeCell ref="A11:M11"/>
    <mergeCell ref="A9:M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105"/>
  <sheetViews>
    <sheetView zoomScaleNormal="100" workbookViewId="0">
      <selection activeCell="E22" sqref="E22:K22"/>
    </sheetView>
  </sheetViews>
  <sheetFormatPr defaultRowHeight="15" x14ac:dyDescent="0.25"/>
  <cols>
    <col min="1" max="1" width="3.28515625" style="44" customWidth="1"/>
    <col min="2" max="2" width="5.42578125" style="44" customWidth="1"/>
    <col min="3" max="3" width="3.7109375" style="44" customWidth="1"/>
    <col min="4" max="4" width="4.85546875" style="44" customWidth="1"/>
    <col min="5" max="5" width="38.7109375" style="44" customWidth="1"/>
    <col min="6" max="6" width="1.7109375" style="44" customWidth="1"/>
    <col min="7" max="7" width="12.7109375" style="44" customWidth="1"/>
    <col min="8" max="8" width="2.7109375" style="44" customWidth="1"/>
    <col min="9" max="9" width="24.28515625" style="44" customWidth="1"/>
    <col min="10" max="10" width="1.7109375" style="44" customWidth="1"/>
    <col min="11" max="11" width="17.140625" style="44" customWidth="1"/>
    <col min="12" max="12" width="4.140625" style="16" customWidth="1"/>
    <col min="13" max="253" width="9.140625" style="16"/>
    <col min="254" max="254" width="3.28515625" style="16" customWidth="1"/>
    <col min="255" max="255" width="3.5703125" style="16" customWidth="1"/>
    <col min="256" max="256" width="3.7109375" style="16" customWidth="1"/>
    <col min="257" max="257" width="4.85546875" style="16" customWidth="1"/>
    <col min="258" max="258" width="38.7109375" style="16" customWidth="1"/>
    <col min="259" max="259" width="1.7109375" style="16" customWidth="1"/>
    <col min="260" max="260" width="12.7109375" style="16" customWidth="1"/>
    <col min="261" max="261" width="2.7109375" style="16" customWidth="1"/>
    <col min="262" max="262" width="24.28515625" style="16" customWidth="1"/>
    <col min="263" max="263" width="1.7109375" style="16" customWidth="1"/>
    <col min="264" max="264" width="15.85546875" style="16" customWidth="1"/>
    <col min="265" max="265" width="4.140625" style="16" customWidth="1"/>
    <col min="266" max="509" width="9.140625" style="16"/>
    <col min="510" max="510" width="3.28515625" style="16" customWidth="1"/>
    <col min="511" max="511" width="3.5703125" style="16" customWidth="1"/>
    <col min="512" max="512" width="3.7109375" style="16" customWidth="1"/>
    <col min="513" max="513" width="4.85546875" style="16" customWidth="1"/>
    <col min="514" max="514" width="38.7109375" style="16" customWidth="1"/>
    <col min="515" max="515" width="1.7109375" style="16" customWidth="1"/>
    <col min="516" max="516" width="12.7109375" style="16" customWidth="1"/>
    <col min="517" max="517" width="2.7109375" style="16" customWidth="1"/>
    <col min="518" max="518" width="24.28515625" style="16" customWidth="1"/>
    <col min="519" max="519" width="1.7109375" style="16" customWidth="1"/>
    <col min="520" max="520" width="15.85546875" style="16" customWidth="1"/>
    <col min="521" max="521" width="4.140625" style="16" customWidth="1"/>
    <col min="522" max="765" width="9.140625" style="16"/>
    <col min="766" max="766" width="3.28515625" style="16" customWidth="1"/>
    <col min="767" max="767" width="3.5703125" style="16" customWidth="1"/>
    <col min="768" max="768" width="3.7109375" style="16" customWidth="1"/>
    <col min="769" max="769" width="4.85546875" style="16" customWidth="1"/>
    <col min="770" max="770" width="38.7109375" style="16" customWidth="1"/>
    <col min="771" max="771" width="1.7109375" style="16" customWidth="1"/>
    <col min="772" max="772" width="12.7109375" style="16" customWidth="1"/>
    <col min="773" max="773" width="2.7109375" style="16" customWidth="1"/>
    <col min="774" max="774" width="24.28515625" style="16" customWidth="1"/>
    <col min="775" max="775" width="1.7109375" style="16" customWidth="1"/>
    <col min="776" max="776" width="15.85546875" style="16" customWidth="1"/>
    <col min="777" max="777" width="4.140625" style="16" customWidth="1"/>
    <col min="778" max="1021" width="9.140625" style="16"/>
    <col min="1022" max="1022" width="3.28515625" style="16" customWidth="1"/>
    <col min="1023" max="1023" width="3.5703125" style="16" customWidth="1"/>
    <col min="1024" max="1024" width="3.7109375" style="16" customWidth="1"/>
    <col min="1025" max="1025" width="4.85546875" style="16" customWidth="1"/>
    <col min="1026" max="1026" width="38.7109375" style="16" customWidth="1"/>
    <col min="1027" max="1027" width="1.7109375" style="16" customWidth="1"/>
    <col min="1028" max="1028" width="12.7109375" style="16" customWidth="1"/>
    <col min="1029" max="1029" width="2.7109375" style="16" customWidth="1"/>
    <col min="1030" max="1030" width="24.28515625" style="16" customWidth="1"/>
    <col min="1031" max="1031" width="1.7109375" style="16" customWidth="1"/>
    <col min="1032" max="1032" width="15.85546875" style="16" customWidth="1"/>
    <col min="1033" max="1033" width="4.140625" style="16" customWidth="1"/>
    <col min="1034" max="1277" width="9.140625" style="16"/>
    <col min="1278" max="1278" width="3.28515625" style="16" customWidth="1"/>
    <col min="1279" max="1279" width="3.5703125" style="16" customWidth="1"/>
    <col min="1280" max="1280" width="3.7109375" style="16" customWidth="1"/>
    <col min="1281" max="1281" width="4.85546875" style="16" customWidth="1"/>
    <col min="1282" max="1282" width="38.7109375" style="16" customWidth="1"/>
    <col min="1283" max="1283" width="1.7109375" style="16" customWidth="1"/>
    <col min="1284" max="1284" width="12.7109375" style="16" customWidth="1"/>
    <col min="1285" max="1285" width="2.7109375" style="16" customWidth="1"/>
    <col min="1286" max="1286" width="24.28515625" style="16" customWidth="1"/>
    <col min="1287" max="1287" width="1.7109375" style="16" customWidth="1"/>
    <col min="1288" max="1288" width="15.85546875" style="16" customWidth="1"/>
    <col min="1289" max="1289" width="4.140625" style="16" customWidth="1"/>
    <col min="1290" max="1533" width="9.140625" style="16"/>
    <col min="1534" max="1534" width="3.28515625" style="16" customWidth="1"/>
    <col min="1535" max="1535" width="3.5703125" style="16" customWidth="1"/>
    <col min="1536" max="1536" width="3.7109375" style="16" customWidth="1"/>
    <col min="1537" max="1537" width="4.85546875" style="16" customWidth="1"/>
    <col min="1538" max="1538" width="38.7109375" style="16" customWidth="1"/>
    <col min="1539" max="1539" width="1.7109375" style="16" customWidth="1"/>
    <col min="1540" max="1540" width="12.7109375" style="16" customWidth="1"/>
    <col min="1541" max="1541" width="2.7109375" style="16" customWidth="1"/>
    <col min="1542" max="1542" width="24.28515625" style="16" customWidth="1"/>
    <col min="1543" max="1543" width="1.7109375" style="16" customWidth="1"/>
    <col min="1544" max="1544" width="15.85546875" style="16" customWidth="1"/>
    <col min="1545" max="1545" width="4.140625" style="16" customWidth="1"/>
    <col min="1546" max="1789" width="9.140625" style="16"/>
    <col min="1790" max="1790" width="3.28515625" style="16" customWidth="1"/>
    <col min="1791" max="1791" width="3.5703125" style="16" customWidth="1"/>
    <col min="1792" max="1792" width="3.7109375" style="16" customWidth="1"/>
    <col min="1793" max="1793" width="4.85546875" style="16" customWidth="1"/>
    <col min="1794" max="1794" width="38.7109375" style="16" customWidth="1"/>
    <col min="1795" max="1795" width="1.7109375" style="16" customWidth="1"/>
    <col min="1796" max="1796" width="12.7109375" style="16" customWidth="1"/>
    <col min="1797" max="1797" width="2.7109375" style="16" customWidth="1"/>
    <col min="1798" max="1798" width="24.28515625" style="16" customWidth="1"/>
    <col min="1799" max="1799" width="1.7109375" style="16" customWidth="1"/>
    <col min="1800" max="1800" width="15.85546875" style="16" customWidth="1"/>
    <col min="1801" max="1801" width="4.140625" style="16" customWidth="1"/>
    <col min="1802" max="2045" width="9.140625" style="16"/>
    <col min="2046" max="2046" width="3.28515625" style="16" customWidth="1"/>
    <col min="2047" max="2047" width="3.5703125" style="16" customWidth="1"/>
    <col min="2048" max="2048" width="3.7109375" style="16" customWidth="1"/>
    <col min="2049" max="2049" width="4.85546875" style="16" customWidth="1"/>
    <col min="2050" max="2050" width="38.7109375" style="16" customWidth="1"/>
    <col min="2051" max="2051" width="1.7109375" style="16" customWidth="1"/>
    <col min="2052" max="2052" width="12.7109375" style="16" customWidth="1"/>
    <col min="2053" max="2053" width="2.7109375" style="16" customWidth="1"/>
    <col min="2054" max="2054" width="24.28515625" style="16" customWidth="1"/>
    <col min="2055" max="2055" width="1.7109375" style="16" customWidth="1"/>
    <col min="2056" max="2056" width="15.85546875" style="16" customWidth="1"/>
    <col min="2057" max="2057" width="4.140625" style="16" customWidth="1"/>
    <col min="2058" max="2301" width="9.140625" style="16"/>
    <col min="2302" max="2302" width="3.28515625" style="16" customWidth="1"/>
    <col min="2303" max="2303" width="3.5703125" style="16" customWidth="1"/>
    <col min="2304" max="2304" width="3.7109375" style="16" customWidth="1"/>
    <col min="2305" max="2305" width="4.85546875" style="16" customWidth="1"/>
    <col min="2306" max="2306" width="38.7109375" style="16" customWidth="1"/>
    <col min="2307" max="2307" width="1.7109375" style="16" customWidth="1"/>
    <col min="2308" max="2308" width="12.7109375" style="16" customWidth="1"/>
    <col min="2309" max="2309" width="2.7109375" style="16" customWidth="1"/>
    <col min="2310" max="2310" width="24.28515625" style="16" customWidth="1"/>
    <col min="2311" max="2311" width="1.7109375" style="16" customWidth="1"/>
    <col min="2312" max="2312" width="15.85546875" style="16" customWidth="1"/>
    <col min="2313" max="2313" width="4.140625" style="16" customWidth="1"/>
    <col min="2314" max="2557" width="9.140625" style="16"/>
    <col min="2558" max="2558" width="3.28515625" style="16" customWidth="1"/>
    <col min="2559" max="2559" width="3.5703125" style="16" customWidth="1"/>
    <col min="2560" max="2560" width="3.7109375" style="16" customWidth="1"/>
    <col min="2561" max="2561" width="4.85546875" style="16" customWidth="1"/>
    <col min="2562" max="2562" width="38.7109375" style="16" customWidth="1"/>
    <col min="2563" max="2563" width="1.7109375" style="16" customWidth="1"/>
    <col min="2564" max="2564" width="12.7109375" style="16" customWidth="1"/>
    <col min="2565" max="2565" width="2.7109375" style="16" customWidth="1"/>
    <col min="2566" max="2566" width="24.28515625" style="16" customWidth="1"/>
    <col min="2567" max="2567" width="1.7109375" style="16" customWidth="1"/>
    <col min="2568" max="2568" width="15.85546875" style="16" customWidth="1"/>
    <col min="2569" max="2569" width="4.140625" style="16" customWidth="1"/>
    <col min="2570" max="2813" width="9.140625" style="16"/>
    <col min="2814" max="2814" width="3.28515625" style="16" customWidth="1"/>
    <col min="2815" max="2815" width="3.5703125" style="16" customWidth="1"/>
    <col min="2816" max="2816" width="3.7109375" style="16" customWidth="1"/>
    <col min="2817" max="2817" width="4.85546875" style="16" customWidth="1"/>
    <col min="2818" max="2818" width="38.7109375" style="16" customWidth="1"/>
    <col min="2819" max="2819" width="1.7109375" style="16" customWidth="1"/>
    <col min="2820" max="2820" width="12.7109375" style="16" customWidth="1"/>
    <col min="2821" max="2821" width="2.7109375" style="16" customWidth="1"/>
    <col min="2822" max="2822" width="24.28515625" style="16" customWidth="1"/>
    <col min="2823" max="2823" width="1.7109375" style="16" customWidth="1"/>
    <col min="2824" max="2824" width="15.85546875" style="16" customWidth="1"/>
    <col min="2825" max="2825" width="4.140625" style="16" customWidth="1"/>
    <col min="2826" max="3069" width="9.140625" style="16"/>
    <col min="3070" max="3070" width="3.28515625" style="16" customWidth="1"/>
    <col min="3071" max="3071" width="3.5703125" style="16" customWidth="1"/>
    <col min="3072" max="3072" width="3.7109375" style="16" customWidth="1"/>
    <col min="3073" max="3073" width="4.85546875" style="16" customWidth="1"/>
    <col min="3074" max="3074" width="38.7109375" style="16" customWidth="1"/>
    <col min="3075" max="3075" width="1.7109375" style="16" customWidth="1"/>
    <col min="3076" max="3076" width="12.7109375" style="16" customWidth="1"/>
    <col min="3077" max="3077" width="2.7109375" style="16" customWidth="1"/>
    <col min="3078" max="3078" width="24.28515625" style="16" customWidth="1"/>
    <col min="3079" max="3079" width="1.7109375" style="16" customWidth="1"/>
    <col min="3080" max="3080" width="15.85546875" style="16" customWidth="1"/>
    <col min="3081" max="3081" width="4.140625" style="16" customWidth="1"/>
    <col min="3082" max="3325" width="9.140625" style="16"/>
    <col min="3326" max="3326" width="3.28515625" style="16" customWidth="1"/>
    <col min="3327" max="3327" width="3.5703125" style="16" customWidth="1"/>
    <col min="3328" max="3328" width="3.7109375" style="16" customWidth="1"/>
    <col min="3329" max="3329" width="4.85546875" style="16" customWidth="1"/>
    <col min="3330" max="3330" width="38.7109375" style="16" customWidth="1"/>
    <col min="3331" max="3331" width="1.7109375" style="16" customWidth="1"/>
    <col min="3332" max="3332" width="12.7109375" style="16" customWidth="1"/>
    <col min="3333" max="3333" width="2.7109375" style="16" customWidth="1"/>
    <col min="3334" max="3334" width="24.28515625" style="16" customWidth="1"/>
    <col min="3335" max="3335" width="1.7109375" style="16" customWidth="1"/>
    <col min="3336" max="3336" width="15.85546875" style="16" customWidth="1"/>
    <col min="3337" max="3337" width="4.140625" style="16" customWidth="1"/>
    <col min="3338" max="3581" width="9.140625" style="16"/>
    <col min="3582" max="3582" width="3.28515625" style="16" customWidth="1"/>
    <col min="3583" max="3583" width="3.5703125" style="16" customWidth="1"/>
    <col min="3584" max="3584" width="3.7109375" style="16" customWidth="1"/>
    <col min="3585" max="3585" width="4.85546875" style="16" customWidth="1"/>
    <col min="3586" max="3586" width="38.7109375" style="16" customWidth="1"/>
    <col min="3587" max="3587" width="1.7109375" style="16" customWidth="1"/>
    <col min="3588" max="3588" width="12.7109375" style="16" customWidth="1"/>
    <col min="3589" max="3589" width="2.7109375" style="16" customWidth="1"/>
    <col min="3590" max="3590" width="24.28515625" style="16" customWidth="1"/>
    <col min="3591" max="3591" width="1.7109375" style="16" customWidth="1"/>
    <col min="3592" max="3592" width="15.85546875" style="16" customWidth="1"/>
    <col min="3593" max="3593" width="4.140625" style="16" customWidth="1"/>
    <col min="3594" max="3837" width="9.140625" style="16"/>
    <col min="3838" max="3838" width="3.28515625" style="16" customWidth="1"/>
    <col min="3839" max="3839" width="3.5703125" style="16" customWidth="1"/>
    <col min="3840" max="3840" width="3.7109375" style="16" customWidth="1"/>
    <col min="3841" max="3841" width="4.85546875" style="16" customWidth="1"/>
    <col min="3842" max="3842" width="38.7109375" style="16" customWidth="1"/>
    <col min="3843" max="3843" width="1.7109375" style="16" customWidth="1"/>
    <col min="3844" max="3844" width="12.7109375" style="16" customWidth="1"/>
    <col min="3845" max="3845" width="2.7109375" style="16" customWidth="1"/>
    <col min="3846" max="3846" width="24.28515625" style="16" customWidth="1"/>
    <col min="3847" max="3847" width="1.7109375" style="16" customWidth="1"/>
    <col min="3848" max="3848" width="15.85546875" style="16" customWidth="1"/>
    <col min="3849" max="3849" width="4.140625" style="16" customWidth="1"/>
    <col min="3850" max="4093" width="9.140625" style="16"/>
    <col min="4094" max="4094" width="3.28515625" style="16" customWidth="1"/>
    <col min="4095" max="4095" width="3.5703125" style="16" customWidth="1"/>
    <col min="4096" max="4096" width="3.7109375" style="16" customWidth="1"/>
    <col min="4097" max="4097" width="4.85546875" style="16" customWidth="1"/>
    <col min="4098" max="4098" width="38.7109375" style="16" customWidth="1"/>
    <col min="4099" max="4099" width="1.7109375" style="16" customWidth="1"/>
    <col min="4100" max="4100" width="12.7109375" style="16" customWidth="1"/>
    <col min="4101" max="4101" width="2.7109375" style="16" customWidth="1"/>
    <col min="4102" max="4102" width="24.28515625" style="16" customWidth="1"/>
    <col min="4103" max="4103" width="1.7109375" style="16" customWidth="1"/>
    <col min="4104" max="4104" width="15.85546875" style="16" customWidth="1"/>
    <col min="4105" max="4105" width="4.140625" style="16" customWidth="1"/>
    <col min="4106" max="4349" width="9.140625" style="16"/>
    <col min="4350" max="4350" width="3.28515625" style="16" customWidth="1"/>
    <col min="4351" max="4351" width="3.5703125" style="16" customWidth="1"/>
    <col min="4352" max="4352" width="3.7109375" style="16" customWidth="1"/>
    <col min="4353" max="4353" width="4.85546875" style="16" customWidth="1"/>
    <col min="4354" max="4354" width="38.7109375" style="16" customWidth="1"/>
    <col min="4355" max="4355" width="1.7109375" style="16" customWidth="1"/>
    <col min="4356" max="4356" width="12.7109375" style="16" customWidth="1"/>
    <col min="4357" max="4357" width="2.7109375" style="16" customWidth="1"/>
    <col min="4358" max="4358" width="24.28515625" style="16" customWidth="1"/>
    <col min="4359" max="4359" width="1.7109375" style="16" customWidth="1"/>
    <col min="4360" max="4360" width="15.85546875" style="16" customWidth="1"/>
    <col min="4361" max="4361" width="4.140625" style="16" customWidth="1"/>
    <col min="4362" max="4605" width="9.140625" style="16"/>
    <col min="4606" max="4606" width="3.28515625" style="16" customWidth="1"/>
    <col min="4607" max="4607" width="3.5703125" style="16" customWidth="1"/>
    <col min="4608" max="4608" width="3.7109375" style="16" customWidth="1"/>
    <col min="4609" max="4609" width="4.85546875" style="16" customWidth="1"/>
    <col min="4610" max="4610" width="38.7109375" style="16" customWidth="1"/>
    <col min="4611" max="4611" width="1.7109375" style="16" customWidth="1"/>
    <col min="4612" max="4612" width="12.7109375" style="16" customWidth="1"/>
    <col min="4613" max="4613" width="2.7109375" style="16" customWidth="1"/>
    <col min="4614" max="4614" width="24.28515625" style="16" customWidth="1"/>
    <col min="4615" max="4615" width="1.7109375" style="16" customWidth="1"/>
    <col min="4616" max="4616" width="15.85546875" style="16" customWidth="1"/>
    <col min="4617" max="4617" width="4.140625" style="16" customWidth="1"/>
    <col min="4618" max="4861" width="9.140625" style="16"/>
    <col min="4862" max="4862" width="3.28515625" style="16" customWidth="1"/>
    <col min="4863" max="4863" width="3.5703125" style="16" customWidth="1"/>
    <col min="4864" max="4864" width="3.7109375" style="16" customWidth="1"/>
    <col min="4865" max="4865" width="4.85546875" style="16" customWidth="1"/>
    <col min="4866" max="4866" width="38.7109375" style="16" customWidth="1"/>
    <col min="4867" max="4867" width="1.7109375" style="16" customWidth="1"/>
    <col min="4868" max="4868" width="12.7109375" style="16" customWidth="1"/>
    <col min="4869" max="4869" width="2.7109375" style="16" customWidth="1"/>
    <col min="4870" max="4870" width="24.28515625" style="16" customWidth="1"/>
    <col min="4871" max="4871" width="1.7109375" style="16" customWidth="1"/>
    <col min="4872" max="4872" width="15.85546875" style="16" customWidth="1"/>
    <col min="4873" max="4873" width="4.140625" style="16" customWidth="1"/>
    <col min="4874" max="5117" width="9.140625" style="16"/>
    <col min="5118" max="5118" width="3.28515625" style="16" customWidth="1"/>
    <col min="5119" max="5119" width="3.5703125" style="16" customWidth="1"/>
    <col min="5120" max="5120" width="3.7109375" style="16" customWidth="1"/>
    <col min="5121" max="5121" width="4.85546875" style="16" customWidth="1"/>
    <col min="5122" max="5122" width="38.7109375" style="16" customWidth="1"/>
    <col min="5123" max="5123" width="1.7109375" style="16" customWidth="1"/>
    <col min="5124" max="5124" width="12.7109375" style="16" customWidth="1"/>
    <col min="5125" max="5125" width="2.7109375" style="16" customWidth="1"/>
    <col min="5126" max="5126" width="24.28515625" style="16" customWidth="1"/>
    <col min="5127" max="5127" width="1.7109375" style="16" customWidth="1"/>
    <col min="5128" max="5128" width="15.85546875" style="16" customWidth="1"/>
    <col min="5129" max="5129" width="4.140625" style="16" customWidth="1"/>
    <col min="5130" max="5373" width="9.140625" style="16"/>
    <col min="5374" max="5374" width="3.28515625" style="16" customWidth="1"/>
    <col min="5375" max="5375" width="3.5703125" style="16" customWidth="1"/>
    <col min="5376" max="5376" width="3.7109375" style="16" customWidth="1"/>
    <col min="5377" max="5377" width="4.85546875" style="16" customWidth="1"/>
    <col min="5378" max="5378" width="38.7109375" style="16" customWidth="1"/>
    <col min="5379" max="5379" width="1.7109375" style="16" customWidth="1"/>
    <col min="5380" max="5380" width="12.7109375" style="16" customWidth="1"/>
    <col min="5381" max="5381" width="2.7109375" style="16" customWidth="1"/>
    <col min="5382" max="5382" width="24.28515625" style="16" customWidth="1"/>
    <col min="5383" max="5383" width="1.7109375" style="16" customWidth="1"/>
    <col min="5384" max="5384" width="15.85546875" style="16" customWidth="1"/>
    <col min="5385" max="5385" width="4.140625" style="16" customWidth="1"/>
    <col min="5386" max="5629" width="9.140625" style="16"/>
    <col min="5630" max="5630" width="3.28515625" style="16" customWidth="1"/>
    <col min="5631" max="5631" width="3.5703125" style="16" customWidth="1"/>
    <col min="5632" max="5632" width="3.7109375" style="16" customWidth="1"/>
    <col min="5633" max="5633" width="4.85546875" style="16" customWidth="1"/>
    <col min="5634" max="5634" width="38.7109375" style="16" customWidth="1"/>
    <col min="5635" max="5635" width="1.7109375" style="16" customWidth="1"/>
    <col min="5636" max="5636" width="12.7109375" style="16" customWidth="1"/>
    <col min="5637" max="5637" width="2.7109375" style="16" customWidth="1"/>
    <col min="5638" max="5638" width="24.28515625" style="16" customWidth="1"/>
    <col min="5639" max="5639" width="1.7109375" style="16" customWidth="1"/>
    <col min="5640" max="5640" width="15.85546875" style="16" customWidth="1"/>
    <col min="5641" max="5641" width="4.140625" style="16" customWidth="1"/>
    <col min="5642" max="5885" width="9.140625" style="16"/>
    <col min="5886" max="5886" width="3.28515625" style="16" customWidth="1"/>
    <col min="5887" max="5887" width="3.5703125" style="16" customWidth="1"/>
    <col min="5888" max="5888" width="3.7109375" style="16" customWidth="1"/>
    <col min="5889" max="5889" width="4.85546875" style="16" customWidth="1"/>
    <col min="5890" max="5890" width="38.7109375" style="16" customWidth="1"/>
    <col min="5891" max="5891" width="1.7109375" style="16" customWidth="1"/>
    <col min="5892" max="5892" width="12.7109375" style="16" customWidth="1"/>
    <col min="5893" max="5893" width="2.7109375" style="16" customWidth="1"/>
    <col min="5894" max="5894" width="24.28515625" style="16" customWidth="1"/>
    <col min="5895" max="5895" width="1.7109375" style="16" customWidth="1"/>
    <col min="5896" max="5896" width="15.85546875" style="16" customWidth="1"/>
    <col min="5897" max="5897" width="4.140625" style="16" customWidth="1"/>
    <col min="5898" max="6141" width="9.140625" style="16"/>
    <col min="6142" max="6142" width="3.28515625" style="16" customWidth="1"/>
    <col min="6143" max="6143" width="3.5703125" style="16" customWidth="1"/>
    <col min="6144" max="6144" width="3.7109375" style="16" customWidth="1"/>
    <col min="6145" max="6145" width="4.85546875" style="16" customWidth="1"/>
    <col min="6146" max="6146" width="38.7109375" style="16" customWidth="1"/>
    <col min="6147" max="6147" width="1.7109375" style="16" customWidth="1"/>
    <col min="6148" max="6148" width="12.7109375" style="16" customWidth="1"/>
    <col min="6149" max="6149" width="2.7109375" style="16" customWidth="1"/>
    <col min="6150" max="6150" width="24.28515625" style="16" customWidth="1"/>
    <col min="6151" max="6151" width="1.7109375" style="16" customWidth="1"/>
    <col min="6152" max="6152" width="15.85546875" style="16" customWidth="1"/>
    <col min="6153" max="6153" width="4.140625" style="16" customWidth="1"/>
    <col min="6154" max="6397" width="9.140625" style="16"/>
    <col min="6398" max="6398" width="3.28515625" style="16" customWidth="1"/>
    <col min="6399" max="6399" width="3.5703125" style="16" customWidth="1"/>
    <col min="6400" max="6400" width="3.7109375" style="16" customWidth="1"/>
    <col min="6401" max="6401" width="4.85546875" style="16" customWidth="1"/>
    <col min="6402" max="6402" width="38.7109375" style="16" customWidth="1"/>
    <col min="6403" max="6403" width="1.7109375" style="16" customWidth="1"/>
    <col min="6404" max="6404" width="12.7109375" style="16" customWidth="1"/>
    <col min="6405" max="6405" width="2.7109375" style="16" customWidth="1"/>
    <col min="6406" max="6406" width="24.28515625" style="16" customWidth="1"/>
    <col min="6407" max="6407" width="1.7109375" style="16" customWidth="1"/>
    <col min="6408" max="6408" width="15.85546875" style="16" customWidth="1"/>
    <col min="6409" max="6409" width="4.140625" style="16" customWidth="1"/>
    <col min="6410" max="6653" width="9.140625" style="16"/>
    <col min="6654" max="6654" width="3.28515625" style="16" customWidth="1"/>
    <col min="6655" max="6655" width="3.5703125" style="16" customWidth="1"/>
    <col min="6656" max="6656" width="3.7109375" style="16" customWidth="1"/>
    <col min="6657" max="6657" width="4.85546875" style="16" customWidth="1"/>
    <col min="6658" max="6658" width="38.7109375" style="16" customWidth="1"/>
    <col min="6659" max="6659" width="1.7109375" style="16" customWidth="1"/>
    <col min="6660" max="6660" width="12.7109375" style="16" customWidth="1"/>
    <col min="6661" max="6661" width="2.7109375" style="16" customWidth="1"/>
    <col min="6662" max="6662" width="24.28515625" style="16" customWidth="1"/>
    <col min="6663" max="6663" width="1.7109375" style="16" customWidth="1"/>
    <col min="6664" max="6664" width="15.85546875" style="16" customWidth="1"/>
    <col min="6665" max="6665" width="4.140625" style="16" customWidth="1"/>
    <col min="6666" max="6909" width="9.140625" style="16"/>
    <col min="6910" max="6910" width="3.28515625" style="16" customWidth="1"/>
    <col min="6911" max="6911" width="3.5703125" style="16" customWidth="1"/>
    <col min="6912" max="6912" width="3.7109375" style="16" customWidth="1"/>
    <col min="6913" max="6913" width="4.85546875" style="16" customWidth="1"/>
    <col min="6914" max="6914" width="38.7109375" style="16" customWidth="1"/>
    <col min="6915" max="6915" width="1.7109375" style="16" customWidth="1"/>
    <col min="6916" max="6916" width="12.7109375" style="16" customWidth="1"/>
    <col min="6917" max="6917" width="2.7109375" style="16" customWidth="1"/>
    <col min="6918" max="6918" width="24.28515625" style="16" customWidth="1"/>
    <col min="6919" max="6919" width="1.7109375" style="16" customWidth="1"/>
    <col min="6920" max="6920" width="15.85546875" style="16" customWidth="1"/>
    <col min="6921" max="6921" width="4.140625" style="16" customWidth="1"/>
    <col min="6922" max="7165" width="9.140625" style="16"/>
    <col min="7166" max="7166" width="3.28515625" style="16" customWidth="1"/>
    <col min="7167" max="7167" width="3.5703125" style="16" customWidth="1"/>
    <col min="7168" max="7168" width="3.7109375" style="16" customWidth="1"/>
    <col min="7169" max="7169" width="4.85546875" style="16" customWidth="1"/>
    <col min="7170" max="7170" width="38.7109375" style="16" customWidth="1"/>
    <col min="7171" max="7171" width="1.7109375" style="16" customWidth="1"/>
    <col min="7172" max="7172" width="12.7109375" style="16" customWidth="1"/>
    <col min="7173" max="7173" width="2.7109375" style="16" customWidth="1"/>
    <col min="7174" max="7174" width="24.28515625" style="16" customWidth="1"/>
    <col min="7175" max="7175" width="1.7109375" style="16" customWidth="1"/>
    <col min="7176" max="7176" width="15.85546875" style="16" customWidth="1"/>
    <col min="7177" max="7177" width="4.140625" style="16" customWidth="1"/>
    <col min="7178" max="7421" width="9.140625" style="16"/>
    <col min="7422" max="7422" width="3.28515625" style="16" customWidth="1"/>
    <col min="7423" max="7423" width="3.5703125" style="16" customWidth="1"/>
    <col min="7424" max="7424" width="3.7109375" style="16" customWidth="1"/>
    <col min="7425" max="7425" width="4.85546875" style="16" customWidth="1"/>
    <col min="7426" max="7426" width="38.7109375" style="16" customWidth="1"/>
    <col min="7427" max="7427" width="1.7109375" style="16" customWidth="1"/>
    <col min="7428" max="7428" width="12.7109375" style="16" customWidth="1"/>
    <col min="7429" max="7429" width="2.7109375" style="16" customWidth="1"/>
    <col min="7430" max="7430" width="24.28515625" style="16" customWidth="1"/>
    <col min="7431" max="7431" width="1.7109375" style="16" customWidth="1"/>
    <col min="7432" max="7432" width="15.85546875" style="16" customWidth="1"/>
    <col min="7433" max="7433" width="4.140625" style="16" customWidth="1"/>
    <col min="7434" max="7677" width="9.140625" style="16"/>
    <col min="7678" max="7678" width="3.28515625" style="16" customWidth="1"/>
    <col min="7679" max="7679" width="3.5703125" style="16" customWidth="1"/>
    <col min="7680" max="7680" width="3.7109375" style="16" customWidth="1"/>
    <col min="7681" max="7681" width="4.85546875" style="16" customWidth="1"/>
    <col min="7682" max="7682" width="38.7109375" style="16" customWidth="1"/>
    <col min="7683" max="7683" width="1.7109375" style="16" customWidth="1"/>
    <col min="7684" max="7684" width="12.7109375" style="16" customWidth="1"/>
    <col min="7685" max="7685" width="2.7109375" style="16" customWidth="1"/>
    <col min="7686" max="7686" width="24.28515625" style="16" customWidth="1"/>
    <col min="7687" max="7687" width="1.7109375" style="16" customWidth="1"/>
    <col min="7688" max="7688" width="15.85546875" style="16" customWidth="1"/>
    <col min="7689" max="7689" width="4.140625" style="16" customWidth="1"/>
    <col min="7690" max="7933" width="9.140625" style="16"/>
    <col min="7934" max="7934" width="3.28515625" style="16" customWidth="1"/>
    <col min="7935" max="7935" width="3.5703125" style="16" customWidth="1"/>
    <col min="7936" max="7936" width="3.7109375" style="16" customWidth="1"/>
    <col min="7937" max="7937" width="4.85546875" style="16" customWidth="1"/>
    <col min="7938" max="7938" width="38.7109375" style="16" customWidth="1"/>
    <col min="7939" max="7939" width="1.7109375" style="16" customWidth="1"/>
    <col min="7940" max="7940" width="12.7109375" style="16" customWidth="1"/>
    <col min="7941" max="7941" width="2.7109375" style="16" customWidth="1"/>
    <col min="7942" max="7942" width="24.28515625" style="16" customWidth="1"/>
    <col min="7943" max="7943" width="1.7109375" style="16" customWidth="1"/>
    <col min="7944" max="7944" width="15.85546875" style="16" customWidth="1"/>
    <col min="7945" max="7945" width="4.140625" style="16" customWidth="1"/>
    <col min="7946" max="8189" width="9.140625" style="16"/>
    <col min="8190" max="8190" width="3.28515625" style="16" customWidth="1"/>
    <col min="8191" max="8191" width="3.5703125" style="16" customWidth="1"/>
    <col min="8192" max="8192" width="3.7109375" style="16" customWidth="1"/>
    <col min="8193" max="8193" width="4.85546875" style="16" customWidth="1"/>
    <col min="8194" max="8194" width="38.7109375" style="16" customWidth="1"/>
    <col min="8195" max="8195" width="1.7109375" style="16" customWidth="1"/>
    <col min="8196" max="8196" width="12.7109375" style="16" customWidth="1"/>
    <col min="8197" max="8197" width="2.7109375" style="16" customWidth="1"/>
    <col min="8198" max="8198" width="24.28515625" style="16" customWidth="1"/>
    <col min="8199" max="8199" width="1.7109375" style="16" customWidth="1"/>
    <col min="8200" max="8200" width="15.85546875" style="16" customWidth="1"/>
    <col min="8201" max="8201" width="4.140625" style="16" customWidth="1"/>
    <col min="8202" max="8445" width="9.140625" style="16"/>
    <col min="8446" max="8446" width="3.28515625" style="16" customWidth="1"/>
    <col min="8447" max="8447" width="3.5703125" style="16" customWidth="1"/>
    <col min="8448" max="8448" width="3.7109375" style="16" customWidth="1"/>
    <col min="8449" max="8449" width="4.85546875" style="16" customWidth="1"/>
    <col min="8450" max="8450" width="38.7109375" style="16" customWidth="1"/>
    <col min="8451" max="8451" width="1.7109375" style="16" customWidth="1"/>
    <col min="8452" max="8452" width="12.7109375" style="16" customWidth="1"/>
    <col min="8453" max="8453" width="2.7109375" style="16" customWidth="1"/>
    <col min="8454" max="8454" width="24.28515625" style="16" customWidth="1"/>
    <col min="8455" max="8455" width="1.7109375" style="16" customWidth="1"/>
    <col min="8456" max="8456" width="15.85546875" style="16" customWidth="1"/>
    <col min="8457" max="8457" width="4.140625" style="16" customWidth="1"/>
    <col min="8458" max="8701" width="9.140625" style="16"/>
    <col min="8702" max="8702" width="3.28515625" style="16" customWidth="1"/>
    <col min="8703" max="8703" width="3.5703125" style="16" customWidth="1"/>
    <col min="8704" max="8704" width="3.7109375" style="16" customWidth="1"/>
    <col min="8705" max="8705" width="4.85546875" style="16" customWidth="1"/>
    <col min="8706" max="8706" width="38.7109375" style="16" customWidth="1"/>
    <col min="8707" max="8707" width="1.7109375" style="16" customWidth="1"/>
    <col min="8708" max="8708" width="12.7109375" style="16" customWidth="1"/>
    <col min="8709" max="8709" width="2.7109375" style="16" customWidth="1"/>
    <col min="8710" max="8710" width="24.28515625" style="16" customWidth="1"/>
    <col min="8711" max="8711" width="1.7109375" style="16" customWidth="1"/>
    <col min="8712" max="8712" width="15.85546875" style="16" customWidth="1"/>
    <col min="8713" max="8713" width="4.140625" style="16" customWidth="1"/>
    <col min="8714" max="8957" width="9.140625" style="16"/>
    <col min="8958" max="8958" width="3.28515625" style="16" customWidth="1"/>
    <col min="8959" max="8959" width="3.5703125" style="16" customWidth="1"/>
    <col min="8960" max="8960" width="3.7109375" style="16" customWidth="1"/>
    <col min="8961" max="8961" width="4.85546875" style="16" customWidth="1"/>
    <col min="8962" max="8962" width="38.7109375" style="16" customWidth="1"/>
    <col min="8963" max="8963" width="1.7109375" style="16" customWidth="1"/>
    <col min="8964" max="8964" width="12.7109375" style="16" customWidth="1"/>
    <col min="8965" max="8965" width="2.7109375" style="16" customWidth="1"/>
    <col min="8966" max="8966" width="24.28515625" style="16" customWidth="1"/>
    <col min="8967" max="8967" width="1.7109375" style="16" customWidth="1"/>
    <col min="8968" max="8968" width="15.85546875" style="16" customWidth="1"/>
    <col min="8969" max="8969" width="4.140625" style="16" customWidth="1"/>
    <col min="8970" max="9213" width="9.140625" style="16"/>
    <col min="9214" max="9214" width="3.28515625" style="16" customWidth="1"/>
    <col min="9215" max="9215" width="3.5703125" style="16" customWidth="1"/>
    <col min="9216" max="9216" width="3.7109375" style="16" customWidth="1"/>
    <col min="9217" max="9217" width="4.85546875" style="16" customWidth="1"/>
    <col min="9218" max="9218" width="38.7109375" style="16" customWidth="1"/>
    <col min="9219" max="9219" width="1.7109375" style="16" customWidth="1"/>
    <col min="9220" max="9220" width="12.7109375" style="16" customWidth="1"/>
    <col min="9221" max="9221" width="2.7109375" style="16" customWidth="1"/>
    <col min="9222" max="9222" width="24.28515625" style="16" customWidth="1"/>
    <col min="9223" max="9223" width="1.7109375" style="16" customWidth="1"/>
    <col min="9224" max="9224" width="15.85546875" style="16" customWidth="1"/>
    <col min="9225" max="9225" width="4.140625" style="16" customWidth="1"/>
    <col min="9226" max="9469" width="9.140625" style="16"/>
    <col min="9470" max="9470" width="3.28515625" style="16" customWidth="1"/>
    <col min="9471" max="9471" width="3.5703125" style="16" customWidth="1"/>
    <col min="9472" max="9472" width="3.7109375" style="16" customWidth="1"/>
    <col min="9473" max="9473" width="4.85546875" style="16" customWidth="1"/>
    <col min="9474" max="9474" width="38.7109375" style="16" customWidth="1"/>
    <col min="9475" max="9475" width="1.7109375" style="16" customWidth="1"/>
    <col min="9476" max="9476" width="12.7109375" style="16" customWidth="1"/>
    <col min="9477" max="9477" width="2.7109375" style="16" customWidth="1"/>
    <col min="9478" max="9478" width="24.28515625" style="16" customWidth="1"/>
    <col min="9479" max="9479" width="1.7109375" style="16" customWidth="1"/>
    <col min="9480" max="9480" width="15.85546875" style="16" customWidth="1"/>
    <col min="9481" max="9481" width="4.140625" style="16" customWidth="1"/>
    <col min="9482" max="9725" width="9.140625" style="16"/>
    <col min="9726" max="9726" width="3.28515625" style="16" customWidth="1"/>
    <col min="9727" max="9727" width="3.5703125" style="16" customWidth="1"/>
    <col min="9728" max="9728" width="3.7109375" style="16" customWidth="1"/>
    <col min="9729" max="9729" width="4.85546875" style="16" customWidth="1"/>
    <col min="9730" max="9730" width="38.7109375" style="16" customWidth="1"/>
    <col min="9731" max="9731" width="1.7109375" style="16" customWidth="1"/>
    <col min="9732" max="9732" width="12.7109375" style="16" customWidth="1"/>
    <col min="9733" max="9733" width="2.7109375" style="16" customWidth="1"/>
    <col min="9734" max="9734" width="24.28515625" style="16" customWidth="1"/>
    <col min="9735" max="9735" width="1.7109375" style="16" customWidth="1"/>
    <col min="9736" max="9736" width="15.85546875" style="16" customWidth="1"/>
    <col min="9737" max="9737" width="4.140625" style="16" customWidth="1"/>
    <col min="9738" max="9981" width="9.140625" style="16"/>
    <col min="9982" max="9982" width="3.28515625" style="16" customWidth="1"/>
    <col min="9983" max="9983" width="3.5703125" style="16" customWidth="1"/>
    <col min="9984" max="9984" width="3.7109375" style="16" customWidth="1"/>
    <col min="9985" max="9985" width="4.85546875" style="16" customWidth="1"/>
    <col min="9986" max="9986" width="38.7109375" style="16" customWidth="1"/>
    <col min="9987" max="9987" width="1.7109375" style="16" customWidth="1"/>
    <col min="9988" max="9988" width="12.7109375" style="16" customWidth="1"/>
    <col min="9989" max="9989" width="2.7109375" style="16" customWidth="1"/>
    <col min="9990" max="9990" width="24.28515625" style="16" customWidth="1"/>
    <col min="9991" max="9991" width="1.7109375" style="16" customWidth="1"/>
    <col min="9992" max="9992" width="15.85546875" style="16" customWidth="1"/>
    <col min="9993" max="9993" width="4.140625" style="16" customWidth="1"/>
    <col min="9994" max="10237" width="9.140625" style="16"/>
    <col min="10238" max="10238" width="3.28515625" style="16" customWidth="1"/>
    <col min="10239" max="10239" width="3.5703125" style="16" customWidth="1"/>
    <col min="10240" max="10240" width="3.7109375" style="16" customWidth="1"/>
    <col min="10241" max="10241" width="4.85546875" style="16" customWidth="1"/>
    <col min="10242" max="10242" width="38.7109375" style="16" customWidth="1"/>
    <col min="10243" max="10243" width="1.7109375" style="16" customWidth="1"/>
    <col min="10244" max="10244" width="12.7109375" style="16" customWidth="1"/>
    <col min="10245" max="10245" width="2.7109375" style="16" customWidth="1"/>
    <col min="10246" max="10246" width="24.28515625" style="16" customWidth="1"/>
    <col min="10247" max="10247" width="1.7109375" style="16" customWidth="1"/>
    <col min="10248" max="10248" width="15.85546875" style="16" customWidth="1"/>
    <col min="10249" max="10249" width="4.140625" style="16" customWidth="1"/>
    <col min="10250" max="10493" width="9.140625" style="16"/>
    <col min="10494" max="10494" width="3.28515625" style="16" customWidth="1"/>
    <col min="10495" max="10495" width="3.5703125" style="16" customWidth="1"/>
    <col min="10496" max="10496" width="3.7109375" style="16" customWidth="1"/>
    <col min="10497" max="10497" width="4.85546875" style="16" customWidth="1"/>
    <col min="10498" max="10498" width="38.7109375" style="16" customWidth="1"/>
    <col min="10499" max="10499" width="1.7109375" style="16" customWidth="1"/>
    <col min="10500" max="10500" width="12.7109375" style="16" customWidth="1"/>
    <col min="10501" max="10501" width="2.7109375" style="16" customWidth="1"/>
    <col min="10502" max="10502" width="24.28515625" style="16" customWidth="1"/>
    <col min="10503" max="10503" width="1.7109375" style="16" customWidth="1"/>
    <col min="10504" max="10504" width="15.85546875" style="16" customWidth="1"/>
    <col min="10505" max="10505" width="4.140625" style="16" customWidth="1"/>
    <col min="10506" max="10749" width="9.140625" style="16"/>
    <col min="10750" max="10750" width="3.28515625" style="16" customWidth="1"/>
    <col min="10751" max="10751" width="3.5703125" style="16" customWidth="1"/>
    <col min="10752" max="10752" width="3.7109375" style="16" customWidth="1"/>
    <col min="10753" max="10753" width="4.85546875" style="16" customWidth="1"/>
    <col min="10754" max="10754" width="38.7109375" style="16" customWidth="1"/>
    <col min="10755" max="10755" width="1.7109375" style="16" customWidth="1"/>
    <col min="10756" max="10756" width="12.7109375" style="16" customWidth="1"/>
    <col min="10757" max="10757" width="2.7109375" style="16" customWidth="1"/>
    <col min="10758" max="10758" width="24.28515625" style="16" customWidth="1"/>
    <col min="10759" max="10759" width="1.7109375" style="16" customWidth="1"/>
    <col min="10760" max="10760" width="15.85546875" style="16" customWidth="1"/>
    <col min="10761" max="10761" width="4.140625" style="16" customWidth="1"/>
    <col min="10762" max="11005" width="9.140625" style="16"/>
    <col min="11006" max="11006" width="3.28515625" style="16" customWidth="1"/>
    <col min="11007" max="11007" width="3.5703125" style="16" customWidth="1"/>
    <col min="11008" max="11008" width="3.7109375" style="16" customWidth="1"/>
    <col min="11009" max="11009" width="4.85546875" style="16" customWidth="1"/>
    <col min="11010" max="11010" width="38.7109375" style="16" customWidth="1"/>
    <col min="11011" max="11011" width="1.7109375" style="16" customWidth="1"/>
    <col min="11012" max="11012" width="12.7109375" style="16" customWidth="1"/>
    <col min="11013" max="11013" width="2.7109375" style="16" customWidth="1"/>
    <col min="11014" max="11014" width="24.28515625" style="16" customWidth="1"/>
    <col min="11015" max="11015" width="1.7109375" style="16" customWidth="1"/>
    <col min="11016" max="11016" width="15.85546875" style="16" customWidth="1"/>
    <col min="11017" max="11017" width="4.140625" style="16" customWidth="1"/>
    <col min="11018" max="11261" width="9.140625" style="16"/>
    <col min="11262" max="11262" width="3.28515625" style="16" customWidth="1"/>
    <col min="11263" max="11263" width="3.5703125" style="16" customWidth="1"/>
    <col min="11264" max="11264" width="3.7109375" style="16" customWidth="1"/>
    <col min="11265" max="11265" width="4.85546875" style="16" customWidth="1"/>
    <col min="11266" max="11266" width="38.7109375" style="16" customWidth="1"/>
    <col min="11267" max="11267" width="1.7109375" style="16" customWidth="1"/>
    <col min="11268" max="11268" width="12.7109375" style="16" customWidth="1"/>
    <col min="11269" max="11269" width="2.7109375" style="16" customWidth="1"/>
    <col min="11270" max="11270" width="24.28515625" style="16" customWidth="1"/>
    <col min="11271" max="11271" width="1.7109375" style="16" customWidth="1"/>
    <col min="11272" max="11272" width="15.85546875" style="16" customWidth="1"/>
    <col min="11273" max="11273" width="4.140625" style="16" customWidth="1"/>
    <col min="11274" max="11517" width="9.140625" style="16"/>
    <col min="11518" max="11518" width="3.28515625" style="16" customWidth="1"/>
    <col min="11519" max="11519" width="3.5703125" style="16" customWidth="1"/>
    <col min="11520" max="11520" width="3.7109375" style="16" customWidth="1"/>
    <col min="11521" max="11521" width="4.85546875" style="16" customWidth="1"/>
    <col min="11522" max="11522" width="38.7109375" style="16" customWidth="1"/>
    <col min="11523" max="11523" width="1.7109375" style="16" customWidth="1"/>
    <col min="11524" max="11524" width="12.7109375" style="16" customWidth="1"/>
    <col min="11525" max="11525" width="2.7109375" style="16" customWidth="1"/>
    <col min="11526" max="11526" width="24.28515625" style="16" customWidth="1"/>
    <col min="11527" max="11527" width="1.7109375" style="16" customWidth="1"/>
    <col min="11528" max="11528" width="15.85546875" style="16" customWidth="1"/>
    <col min="11529" max="11529" width="4.140625" style="16" customWidth="1"/>
    <col min="11530" max="11773" width="9.140625" style="16"/>
    <col min="11774" max="11774" width="3.28515625" style="16" customWidth="1"/>
    <col min="11775" max="11775" width="3.5703125" style="16" customWidth="1"/>
    <col min="11776" max="11776" width="3.7109375" style="16" customWidth="1"/>
    <col min="11777" max="11777" width="4.85546875" style="16" customWidth="1"/>
    <col min="11778" max="11778" width="38.7109375" style="16" customWidth="1"/>
    <col min="11779" max="11779" width="1.7109375" style="16" customWidth="1"/>
    <col min="11780" max="11780" width="12.7109375" style="16" customWidth="1"/>
    <col min="11781" max="11781" width="2.7109375" style="16" customWidth="1"/>
    <col min="11782" max="11782" width="24.28515625" style="16" customWidth="1"/>
    <col min="11783" max="11783" width="1.7109375" style="16" customWidth="1"/>
    <col min="11784" max="11784" width="15.85546875" style="16" customWidth="1"/>
    <col min="11785" max="11785" width="4.140625" style="16" customWidth="1"/>
    <col min="11786" max="12029" width="9.140625" style="16"/>
    <col min="12030" max="12030" width="3.28515625" style="16" customWidth="1"/>
    <col min="12031" max="12031" width="3.5703125" style="16" customWidth="1"/>
    <col min="12032" max="12032" width="3.7109375" style="16" customWidth="1"/>
    <col min="12033" max="12033" width="4.85546875" style="16" customWidth="1"/>
    <col min="12034" max="12034" width="38.7109375" style="16" customWidth="1"/>
    <col min="12035" max="12035" width="1.7109375" style="16" customWidth="1"/>
    <col min="12036" max="12036" width="12.7109375" style="16" customWidth="1"/>
    <col min="12037" max="12037" width="2.7109375" style="16" customWidth="1"/>
    <col min="12038" max="12038" width="24.28515625" style="16" customWidth="1"/>
    <col min="12039" max="12039" width="1.7109375" style="16" customWidth="1"/>
    <col min="12040" max="12040" width="15.85546875" style="16" customWidth="1"/>
    <col min="12041" max="12041" width="4.140625" style="16" customWidth="1"/>
    <col min="12042" max="12285" width="9.140625" style="16"/>
    <col min="12286" max="12286" width="3.28515625" style="16" customWidth="1"/>
    <col min="12287" max="12287" width="3.5703125" style="16" customWidth="1"/>
    <col min="12288" max="12288" width="3.7109375" style="16" customWidth="1"/>
    <col min="12289" max="12289" width="4.85546875" style="16" customWidth="1"/>
    <col min="12290" max="12290" width="38.7109375" style="16" customWidth="1"/>
    <col min="12291" max="12291" width="1.7109375" style="16" customWidth="1"/>
    <col min="12292" max="12292" width="12.7109375" style="16" customWidth="1"/>
    <col min="12293" max="12293" width="2.7109375" style="16" customWidth="1"/>
    <col min="12294" max="12294" width="24.28515625" style="16" customWidth="1"/>
    <col min="12295" max="12295" width="1.7109375" style="16" customWidth="1"/>
    <col min="12296" max="12296" width="15.85546875" style="16" customWidth="1"/>
    <col min="12297" max="12297" width="4.140625" style="16" customWidth="1"/>
    <col min="12298" max="12541" width="9.140625" style="16"/>
    <col min="12542" max="12542" width="3.28515625" style="16" customWidth="1"/>
    <col min="12543" max="12543" width="3.5703125" style="16" customWidth="1"/>
    <col min="12544" max="12544" width="3.7109375" style="16" customWidth="1"/>
    <col min="12545" max="12545" width="4.85546875" style="16" customWidth="1"/>
    <col min="12546" max="12546" width="38.7109375" style="16" customWidth="1"/>
    <col min="12547" max="12547" width="1.7109375" style="16" customWidth="1"/>
    <col min="12548" max="12548" width="12.7109375" style="16" customWidth="1"/>
    <col min="12549" max="12549" width="2.7109375" style="16" customWidth="1"/>
    <col min="12550" max="12550" width="24.28515625" style="16" customWidth="1"/>
    <col min="12551" max="12551" width="1.7109375" style="16" customWidth="1"/>
    <col min="12552" max="12552" width="15.85546875" style="16" customWidth="1"/>
    <col min="12553" max="12553" width="4.140625" style="16" customWidth="1"/>
    <col min="12554" max="12797" width="9.140625" style="16"/>
    <col min="12798" max="12798" width="3.28515625" style="16" customWidth="1"/>
    <col min="12799" max="12799" width="3.5703125" style="16" customWidth="1"/>
    <col min="12800" max="12800" width="3.7109375" style="16" customWidth="1"/>
    <col min="12801" max="12801" width="4.85546875" style="16" customWidth="1"/>
    <col min="12802" max="12802" width="38.7109375" style="16" customWidth="1"/>
    <col min="12803" max="12803" width="1.7109375" style="16" customWidth="1"/>
    <col min="12804" max="12804" width="12.7109375" style="16" customWidth="1"/>
    <col min="12805" max="12805" width="2.7109375" style="16" customWidth="1"/>
    <col min="12806" max="12806" width="24.28515625" style="16" customWidth="1"/>
    <col min="12807" max="12807" width="1.7109375" style="16" customWidth="1"/>
    <col min="12808" max="12808" width="15.85546875" style="16" customWidth="1"/>
    <col min="12809" max="12809" width="4.140625" style="16" customWidth="1"/>
    <col min="12810" max="13053" width="9.140625" style="16"/>
    <col min="13054" max="13054" width="3.28515625" style="16" customWidth="1"/>
    <col min="13055" max="13055" width="3.5703125" style="16" customWidth="1"/>
    <col min="13056" max="13056" width="3.7109375" style="16" customWidth="1"/>
    <col min="13057" max="13057" width="4.85546875" style="16" customWidth="1"/>
    <col min="13058" max="13058" width="38.7109375" style="16" customWidth="1"/>
    <col min="13059" max="13059" width="1.7109375" style="16" customWidth="1"/>
    <col min="13060" max="13060" width="12.7109375" style="16" customWidth="1"/>
    <col min="13061" max="13061" width="2.7109375" style="16" customWidth="1"/>
    <col min="13062" max="13062" width="24.28515625" style="16" customWidth="1"/>
    <col min="13063" max="13063" width="1.7109375" style="16" customWidth="1"/>
    <col min="13064" max="13064" width="15.85546875" style="16" customWidth="1"/>
    <col min="13065" max="13065" width="4.140625" style="16" customWidth="1"/>
    <col min="13066" max="13309" width="9.140625" style="16"/>
    <col min="13310" max="13310" width="3.28515625" style="16" customWidth="1"/>
    <col min="13311" max="13311" width="3.5703125" style="16" customWidth="1"/>
    <col min="13312" max="13312" width="3.7109375" style="16" customWidth="1"/>
    <col min="13313" max="13313" width="4.85546875" style="16" customWidth="1"/>
    <col min="13314" max="13314" width="38.7109375" style="16" customWidth="1"/>
    <col min="13315" max="13315" width="1.7109375" style="16" customWidth="1"/>
    <col min="13316" max="13316" width="12.7109375" style="16" customWidth="1"/>
    <col min="13317" max="13317" width="2.7109375" style="16" customWidth="1"/>
    <col min="13318" max="13318" width="24.28515625" style="16" customWidth="1"/>
    <col min="13319" max="13319" width="1.7109375" style="16" customWidth="1"/>
    <col min="13320" max="13320" width="15.85546875" style="16" customWidth="1"/>
    <col min="13321" max="13321" width="4.140625" style="16" customWidth="1"/>
    <col min="13322" max="13565" width="9.140625" style="16"/>
    <col min="13566" max="13566" width="3.28515625" style="16" customWidth="1"/>
    <col min="13567" max="13567" width="3.5703125" style="16" customWidth="1"/>
    <col min="13568" max="13568" width="3.7109375" style="16" customWidth="1"/>
    <col min="13569" max="13569" width="4.85546875" style="16" customWidth="1"/>
    <col min="13570" max="13570" width="38.7109375" style="16" customWidth="1"/>
    <col min="13571" max="13571" width="1.7109375" style="16" customWidth="1"/>
    <col min="13572" max="13572" width="12.7109375" style="16" customWidth="1"/>
    <col min="13573" max="13573" width="2.7109375" style="16" customWidth="1"/>
    <col min="13574" max="13574" width="24.28515625" style="16" customWidth="1"/>
    <col min="13575" max="13575" width="1.7109375" style="16" customWidth="1"/>
    <col min="13576" max="13576" width="15.85546875" style="16" customWidth="1"/>
    <col min="13577" max="13577" width="4.140625" style="16" customWidth="1"/>
    <col min="13578" max="13821" width="9.140625" style="16"/>
    <col min="13822" max="13822" width="3.28515625" style="16" customWidth="1"/>
    <col min="13823" max="13823" width="3.5703125" style="16" customWidth="1"/>
    <col min="13824" max="13824" width="3.7109375" style="16" customWidth="1"/>
    <col min="13825" max="13825" width="4.85546875" style="16" customWidth="1"/>
    <col min="13826" max="13826" width="38.7109375" style="16" customWidth="1"/>
    <col min="13827" max="13827" width="1.7109375" style="16" customWidth="1"/>
    <col min="13828" max="13828" width="12.7109375" style="16" customWidth="1"/>
    <col min="13829" max="13829" width="2.7109375" style="16" customWidth="1"/>
    <col min="13830" max="13830" width="24.28515625" style="16" customWidth="1"/>
    <col min="13831" max="13831" width="1.7109375" style="16" customWidth="1"/>
    <col min="13832" max="13832" width="15.85546875" style="16" customWidth="1"/>
    <col min="13833" max="13833" width="4.140625" style="16" customWidth="1"/>
    <col min="13834" max="14077" width="9.140625" style="16"/>
    <col min="14078" max="14078" width="3.28515625" style="16" customWidth="1"/>
    <col min="14079" max="14079" width="3.5703125" style="16" customWidth="1"/>
    <col min="14080" max="14080" width="3.7109375" style="16" customWidth="1"/>
    <col min="14081" max="14081" width="4.85546875" style="16" customWidth="1"/>
    <col min="14082" max="14082" width="38.7109375" style="16" customWidth="1"/>
    <col min="14083" max="14083" width="1.7109375" style="16" customWidth="1"/>
    <col min="14084" max="14084" width="12.7109375" style="16" customWidth="1"/>
    <col min="14085" max="14085" width="2.7109375" style="16" customWidth="1"/>
    <col min="14086" max="14086" width="24.28515625" style="16" customWidth="1"/>
    <col min="14087" max="14087" width="1.7109375" style="16" customWidth="1"/>
    <col min="14088" max="14088" width="15.85546875" style="16" customWidth="1"/>
    <col min="14089" max="14089" width="4.140625" style="16" customWidth="1"/>
    <col min="14090" max="14333" width="9.140625" style="16"/>
    <col min="14334" max="14334" width="3.28515625" style="16" customWidth="1"/>
    <col min="14335" max="14335" width="3.5703125" style="16" customWidth="1"/>
    <col min="14336" max="14336" width="3.7109375" style="16" customWidth="1"/>
    <col min="14337" max="14337" width="4.85546875" style="16" customWidth="1"/>
    <col min="14338" max="14338" width="38.7109375" style="16" customWidth="1"/>
    <col min="14339" max="14339" width="1.7109375" style="16" customWidth="1"/>
    <col min="14340" max="14340" width="12.7109375" style="16" customWidth="1"/>
    <col min="14341" max="14341" width="2.7109375" style="16" customWidth="1"/>
    <col min="14342" max="14342" width="24.28515625" style="16" customWidth="1"/>
    <col min="14343" max="14343" width="1.7109375" style="16" customWidth="1"/>
    <col min="14344" max="14344" width="15.85546875" style="16" customWidth="1"/>
    <col min="14345" max="14345" width="4.140625" style="16" customWidth="1"/>
    <col min="14346" max="14589" width="9.140625" style="16"/>
    <col min="14590" max="14590" width="3.28515625" style="16" customWidth="1"/>
    <col min="14591" max="14591" width="3.5703125" style="16" customWidth="1"/>
    <col min="14592" max="14592" width="3.7109375" style="16" customWidth="1"/>
    <col min="14593" max="14593" width="4.85546875" style="16" customWidth="1"/>
    <col min="14594" max="14594" width="38.7109375" style="16" customWidth="1"/>
    <col min="14595" max="14595" width="1.7109375" style="16" customWidth="1"/>
    <col min="14596" max="14596" width="12.7109375" style="16" customWidth="1"/>
    <col min="14597" max="14597" width="2.7109375" style="16" customWidth="1"/>
    <col min="14598" max="14598" width="24.28515625" style="16" customWidth="1"/>
    <col min="14599" max="14599" width="1.7109375" style="16" customWidth="1"/>
    <col min="14600" max="14600" width="15.85546875" style="16" customWidth="1"/>
    <col min="14601" max="14601" width="4.140625" style="16" customWidth="1"/>
    <col min="14602" max="14845" width="9.140625" style="16"/>
    <col min="14846" max="14846" width="3.28515625" style="16" customWidth="1"/>
    <col min="14847" max="14847" width="3.5703125" style="16" customWidth="1"/>
    <col min="14848" max="14848" width="3.7109375" style="16" customWidth="1"/>
    <col min="14849" max="14849" width="4.85546875" style="16" customWidth="1"/>
    <col min="14850" max="14850" width="38.7109375" style="16" customWidth="1"/>
    <col min="14851" max="14851" width="1.7109375" style="16" customWidth="1"/>
    <col min="14852" max="14852" width="12.7109375" style="16" customWidth="1"/>
    <col min="14853" max="14853" width="2.7109375" style="16" customWidth="1"/>
    <col min="14854" max="14854" width="24.28515625" style="16" customWidth="1"/>
    <col min="14855" max="14855" width="1.7109375" style="16" customWidth="1"/>
    <col min="14856" max="14856" width="15.85546875" style="16" customWidth="1"/>
    <col min="14857" max="14857" width="4.140625" style="16" customWidth="1"/>
    <col min="14858" max="15101" width="9.140625" style="16"/>
    <col min="15102" max="15102" width="3.28515625" style="16" customWidth="1"/>
    <col min="15103" max="15103" width="3.5703125" style="16" customWidth="1"/>
    <col min="15104" max="15104" width="3.7109375" style="16" customWidth="1"/>
    <col min="15105" max="15105" width="4.85546875" style="16" customWidth="1"/>
    <col min="15106" max="15106" width="38.7109375" style="16" customWidth="1"/>
    <col min="15107" max="15107" width="1.7109375" style="16" customWidth="1"/>
    <col min="15108" max="15108" width="12.7109375" style="16" customWidth="1"/>
    <col min="15109" max="15109" width="2.7109375" style="16" customWidth="1"/>
    <col min="15110" max="15110" width="24.28515625" style="16" customWidth="1"/>
    <col min="15111" max="15111" width="1.7109375" style="16" customWidth="1"/>
    <col min="15112" max="15112" width="15.85546875" style="16" customWidth="1"/>
    <col min="15113" max="15113" width="4.140625" style="16" customWidth="1"/>
    <col min="15114" max="15357" width="9.140625" style="16"/>
    <col min="15358" max="15358" width="3.28515625" style="16" customWidth="1"/>
    <col min="15359" max="15359" width="3.5703125" style="16" customWidth="1"/>
    <col min="15360" max="15360" width="3.7109375" style="16" customWidth="1"/>
    <col min="15361" max="15361" width="4.85546875" style="16" customWidth="1"/>
    <col min="15362" max="15362" width="38.7109375" style="16" customWidth="1"/>
    <col min="15363" max="15363" width="1.7109375" style="16" customWidth="1"/>
    <col min="15364" max="15364" width="12.7109375" style="16" customWidth="1"/>
    <col min="15365" max="15365" width="2.7109375" style="16" customWidth="1"/>
    <col min="15366" max="15366" width="24.28515625" style="16" customWidth="1"/>
    <col min="15367" max="15367" width="1.7109375" style="16" customWidth="1"/>
    <col min="15368" max="15368" width="15.85546875" style="16" customWidth="1"/>
    <col min="15369" max="15369" width="4.140625" style="16" customWidth="1"/>
    <col min="15370" max="15613" width="9.140625" style="16"/>
    <col min="15614" max="15614" width="3.28515625" style="16" customWidth="1"/>
    <col min="15615" max="15615" width="3.5703125" style="16" customWidth="1"/>
    <col min="15616" max="15616" width="3.7109375" style="16" customWidth="1"/>
    <col min="15617" max="15617" width="4.85546875" style="16" customWidth="1"/>
    <col min="15618" max="15618" width="38.7109375" style="16" customWidth="1"/>
    <col min="15619" max="15619" width="1.7109375" style="16" customWidth="1"/>
    <col min="15620" max="15620" width="12.7109375" style="16" customWidth="1"/>
    <col min="15621" max="15621" width="2.7109375" style="16" customWidth="1"/>
    <col min="15622" max="15622" width="24.28515625" style="16" customWidth="1"/>
    <col min="15623" max="15623" width="1.7109375" style="16" customWidth="1"/>
    <col min="15624" max="15624" width="15.85546875" style="16" customWidth="1"/>
    <col min="15625" max="15625" width="4.140625" style="16" customWidth="1"/>
    <col min="15626" max="15869" width="9.140625" style="16"/>
    <col min="15870" max="15870" width="3.28515625" style="16" customWidth="1"/>
    <col min="15871" max="15871" width="3.5703125" style="16" customWidth="1"/>
    <col min="15872" max="15872" width="3.7109375" style="16" customWidth="1"/>
    <col min="15873" max="15873" width="4.85546875" style="16" customWidth="1"/>
    <col min="15874" max="15874" width="38.7109375" style="16" customWidth="1"/>
    <col min="15875" max="15875" width="1.7109375" style="16" customWidth="1"/>
    <col min="15876" max="15876" width="12.7109375" style="16" customWidth="1"/>
    <col min="15877" max="15877" width="2.7109375" style="16" customWidth="1"/>
    <col min="15878" max="15878" width="24.28515625" style="16" customWidth="1"/>
    <col min="15879" max="15879" width="1.7109375" style="16" customWidth="1"/>
    <col min="15880" max="15880" width="15.85546875" style="16" customWidth="1"/>
    <col min="15881" max="15881" width="4.140625" style="16" customWidth="1"/>
    <col min="15882" max="16125" width="9.140625" style="16"/>
    <col min="16126" max="16126" width="3.28515625" style="16" customWidth="1"/>
    <col min="16127" max="16127" width="3.5703125" style="16" customWidth="1"/>
    <col min="16128" max="16128" width="3.7109375" style="16" customWidth="1"/>
    <col min="16129" max="16129" width="4.85546875" style="16" customWidth="1"/>
    <col min="16130" max="16130" width="38.7109375" style="16" customWidth="1"/>
    <col min="16131" max="16131" width="1.7109375" style="16" customWidth="1"/>
    <col min="16132" max="16132" width="12.7109375" style="16" customWidth="1"/>
    <col min="16133" max="16133" width="2.7109375" style="16" customWidth="1"/>
    <col min="16134" max="16134" width="24.28515625" style="16" customWidth="1"/>
    <col min="16135" max="16135" width="1.7109375" style="16" customWidth="1"/>
    <col min="16136" max="16136" width="15.85546875" style="16" customWidth="1"/>
    <col min="16137" max="16137" width="4.140625" style="16" customWidth="1"/>
    <col min="16138" max="16384" width="9.140625" style="16"/>
  </cols>
  <sheetData>
    <row r="1" spans="1:12" ht="14.45" x14ac:dyDescent="0.3">
      <c r="A1" s="38"/>
      <c r="B1" s="38"/>
      <c r="C1" s="38"/>
      <c r="D1" s="38"/>
      <c r="E1" s="38"/>
      <c r="F1" s="38"/>
      <c r="G1" s="38"/>
      <c r="H1" s="38"/>
      <c r="I1" s="38"/>
      <c r="J1" s="38"/>
      <c r="K1" s="38"/>
      <c r="L1" s="41"/>
    </row>
    <row r="2" spans="1:12" ht="107.25" customHeight="1" x14ac:dyDescent="0.25">
      <c r="A2" s="38"/>
      <c r="B2" s="93" t="s">
        <v>161</v>
      </c>
      <c r="C2" s="93"/>
      <c r="D2" s="93"/>
      <c r="E2" s="93"/>
      <c r="F2" s="93"/>
      <c r="G2" s="93"/>
      <c r="H2" s="93"/>
      <c r="I2" s="93"/>
      <c r="J2" s="93"/>
      <c r="K2" s="93"/>
      <c r="L2" s="41"/>
    </row>
    <row r="3" spans="1:12" ht="14.45" x14ac:dyDescent="0.3">
      <c r="A3" s="38"/>
      <c r="B3" s="42"/>
      <c r="C3" s="42"/>
      <c r="D3" s="42"/>
      <c r="E3" s="42"/>
      <c r="F3" s="42"/>
      <c r="G3" s="42"/>
      <c r="H3" s="42"/>
      <c r="I3" s="42"/>
      <c r="J3" s="42"/>
      <c r="K3" s="42"/>
      <c r="L3" s="41"/>
    </row>
    <row r="4" spans="1:12" ht="18" x14ac:dyDescent="0.3">
      <c r="A4" s="38"/>
      <c r="B4" s="94" t="s">
        <v>129</v>
      </c>
      <c r="C4" s="94"/>
      <c r="D4" s="94"/>
      <c r="E4" s="94"/>
      <c r="F4" s="94"/>
      <c r="G4" s="94"/>
      <c r="H4" s="94"/>
      <c r="I4" s="94"/>
      <c r="J4" s="94"/>
      <c r="K4" s="94"/>
      <c r="L4" s="41"/>
    </row>
    <row r="5" spans="1:12" ht="14.45" x14ac:dyDescent="0.3">
      <c r="A5" s="38"/>
      <c r="B5" s="38"/>
      <c r="C5" s="38"/>
      <c r="D5" s="38"/>
      <c r="E5" s="38"/>
      <c r="F5" s="38"/>
      <c r="G5" s="38"/>
      <c r="H5" s="38"/>
      <c r="I5" s="38"/>
      <c r="J5" s="38"/>
      <c r="K5" s="38"/>
      <c r="L5" s="41"/>
    </row>
    <row r="6" spans="1:12" ht="14.45" x14ac:dyDescent="0.3">
      <c r="A6" s="38"/>
      <c r="B6" s="38" t="s">
        <v>35</v>
      </c>
      <c r="C6" s="38"/>
      <c r="D6" s="38"/>
      <c r="E6" s="38"/>
      <c r="F6" s="38"/>
      <c r="G6" s="38"/>
      <c r="H6" s="38"/>
      <c r="I6" s="38"/>
      <c r="J6" s="38"/>
      <c r="K6" s="38"/>
      <c r="L6" s="41"/>
    </row>
    <row r="7" spans="1:12" ht="33" customHeight="1" x14ac:dyDescent="0.3">
      <c r="A7" s="38"/>
      <c r="B7" s="95"/>
      <c r="C7" s="95"/>
      <c r="D7" s="95"/>
      <c r="E7" s="95"/>
      <c r="F7" s="29"/>
      <c r="G7" s="30"/>
      <c r="H7" s="29" t="s">
        <v>36</v>
      </c>
      <c r="I7" s="95"/>
      <c r="J7" s="95"/>
      <c r="K7" s="95"/>
      <c r="L7" s="41"/>
    </row>
    <row r="8" spans="1:12" ht="14.45" x14ac:dyDescent="0.3">
      <c r="A8" s="38"/>
      <c r="B8" s="96" t="s">
        <v>37</v>
      </c>
      <c r="C8" s="96"/>
      <c r="D8" s="96"/>
      <c r="E8" s="96"/>
      <c r="F8" s="40"/>
      <c r="G8" s="43" t="s">
        <v>38</v>
      </c>
      <c r="H8" s="43"/>
      <c r="I8" s="97" t="s">
        <v>39</v>
      </c>
      <c r="J8" s="97"/>
      <c r="K8" s="97"/>
      <c r="L8" s="41"/>
    </row>
    <row r="9" spans="1:12" ht="14.45" x14ac:dyDescent="0.3">
      <c r="A9" s="38"/>
      <c r="B9" s="38"/>
      <c r="C9" s="38"/>
      <c r="D9" s="38"/>
      <c r="E9" s="38"/>
      <c r="F9" s="38"/>
      <c r="G9" s="38"/>
      <c r="H9" s="38"/>
      <c r="I9" s="38"/>
      <c r="J9" s="38"/>
      <c r="K9" s="38"/>
      <c r="L9" s="41"/>
    </row>
    <row r="10" spans="1:12" ht="33" customHeight="1" x14ac:dyDescent="0.3">
      <c r="A10" s="38"/>
      <c r="B10" s="99" t="s">
        <v>130</v>
      </c>
      <c r="C10" s="99"/>
      <c r="D10" s="99"/>
      <c r="E10" s="99"/>
      <c r="F10" s="99"/>
      <c r="G10" s="99"/>
      <c r="H10" s="99"/>
      <c r="I10" s="99"/>
      <c r="J10" s="99"/>
      <c r="K10" s="99"/>
      <c r="L10" s="41"/>
    </row>
    <row r="11" spans="1:12" ht="14.45" x14ac:dyDescent="0.3">
      <c r="A11" s="38"/>
      <c r="B11" s="38"/>
      <c r="C11" s="38"/>
      <c r="D11" s="38"/>
      <c r="E11" s="38"/>
      <c r="F11" s="38"/>
      <c r="G11" s="38"/>
      <c r="H11" s="38"/>
      <c r="I11" s="38"/>
      <c r="J11" s="38"/>
      <c r="K11" s="38"/>
      <c r="L11" s="41"/>
    </row>
    <row r="12" spans="1:12" ht="14.45" x14ac:dyDescent="0.3">
      <c r="A12" s="38"/>
      <c r="B12" s="100" t="s">
        <v>40</v>
      </c>
      <c r="C12" s="100"/>
      <c r="D12" s="100"/>
      <c r="E12" s="100"/>
      <c r="F12" s="100"/>
      <c r="G12" s="100"/>
      <c r="H12" s="100"/>
      <c r="I12" s="100"/>
      <c r="J12" s="100"/>
      <c r="K12" s="100"/>
      <c r="L12" s="41"/>
    </row>
    <row r="13" spans="1:12" s="44" customFormat="1" ht="22.5" customHeight="1" x14ac:dyDescent="0.3">
      <c r="A13" s="38"/>
      <c r="B13" s="38"/>
      <c r="C13" s="36"/>
      <c r="D13" s="101" t="s">
        <v>41</v>
      </c>
      <c r="E13" s="101"/>
      <c r="F13" s="101"/>
      <c r="G13" s="101"/>
      <c r="H13" s="101"/>
      <c r="I13" s="101"/>
      <c r="J13" s="101"/>
      <c r="K13" s="101"/>
      <c r="L13" s="38"/>
    </row>
    <row r="14" spans="1:12" s="44" customFormat="1" ht="33" customHeight="1" x14ac:dyDescent="0.3">
      <c r="A14" s="38"/>
      <c r="B14" s="38"/>
      <c r="C14" s="36"/>
      <c r="D14" s="98" t="s">
        <v>42</v>
      </c>
      <c r="E14" s="98"/>
      <c r="F14" s="98"/>
      <c r="G14" s="98"/>
      <c r="H14" s="98"/>
      <c r="I14" s="98"/>
      <c r="J14" s="98"/>
      <c r="K14" s="98"/>
      <c r="L14" s="38"/>
    </row>
    <row r="15" spans="1:12" s="45" customFormat="1" ht="22.5" customHeight="1" x14ac:dyDescent="0.3">
      <c r="A15" s="39"/>
      <c r="B15" s="39"/>
      <c r="C15" s="37"/>
      <c r="D15" s="102" t="s">
        <v>43</v>
      </c>
      <c r="E15" s="102"/>
      <c r="F15" s="102"/>
      <c r="G15" s="102"/>
      <c r="H15" s="102"/>
      <c r="I15" s="102"/>
      <c r="J15" s="102"/>
      <c r="K15" s="102"/>
      <c r="L15" s="39"/>
    </row>
    <row r="16" spans="1:12" s="45" customFormat="1" ht="22.5" customHeight="1" x14ac:dyDescent="0.3">
      <c r="A16" s="39"/>
      <c r="B16" s="39"/>
      <c r="C16" s="37"/>
      <c r="D16" s="102" t="s">
        <v>44</v>
      </c>
      <c r="E16" s="102"/>
      <c r="F16" s="102"/>
      <c r="G16" s="102"/>
      <c r="H16" s="102"/>
      <c r="I16" s="102"/>
      <c r="J16" s="102"/>
      <c r="K16" s="102"/>
      <c r="L16" s="39"/>
    </row>
    <row r="17" spans="1:12" s="45" customFormat="1" ht="22.5" customHeight="1" x14ac:dyDescent="0.3">
      <c r="A17" s="39"/>
      <c r="B17" s="39"/>
      <c r="C17" s="37"/>
      <c r="D17" s="102" t="s">
        <v>45</v>
      </c>
      <c r="E17" s="102"/>
      <c r="F17" s="102"/>
      <c r="G17" s="102"/>
      <c r="H17" s="102"/>
      <c r="I17" s="102"/>
      <c r="J17" s="102"/>
      <c r="K17" s="102"/>
      <c r="L17" s="39"/>
    </row>
    <row r="18" spans="1:12" s="45" customFormat="1" ht="22.5" customHeight="1" x14ac:dyDescent="0.3">
      <c r="A18" s="39"/>
      <c r="B18" s="39"/>
      <c r="C18" s="37"/>
      <c r="D18" s="102" t="s">
        <v>46</v>
      </c>
      <c r="E18" s="102"/>
      <c r="F18" s="102"/>
      <c r="G18" s="102"/>
      <c r="H18" s="102"/>
      <c r="I18" s="102"/>
      <c r="J18" s="102"/>
      <c r="K18" s="102"/>
      <c r="L18" s="39"/>
    </row>
    <row r="19" spans="1:12" s="44" customFormat="1" ht="22.5" customHeight="1" x14ac:dyDescent="0.3">
      <c r="A19" s="38"/>
      <c r="B19" s="38"/>
      <c r="C19" s="36"/>
      <c r="D19" s="102" t="s">
        <v>47</v>
      </c>
      <c r="E19" s="102"/>
      <c r="F19" s="102"/>
      <c r="G19" s="102"/>
      <c r="H19" s="102"/>
      <c r="I19" s="102"/>
      <c r="J19" s="102"/>
      <c r="K19" s="102"/>
      <c r="L19" s="38"/>
    </row>
    <row r="20" spans="1:12" ht="33" customHeight="1" x14ac:dyDescent="0.25">
      <c r="A20" s="38"/>
      <c r="B20" s="38"/>
      <c r="C20" s="38"/>
      <c r="D20" s="36"/>
      <c r="E20" s="98" t="s">
        <v>48</v>
      </c>
      <c r="F20" s="98"/>
      <c r="G20" s="98"/>
      <c r="H20" s="98"/>
      <c r="I20" s="98"/>
      <c r="J20" s="98"/>
      <c r="K20" s="98"/>
      <c r="L20" s="41"/>
    </row>
    <row r="21" spans="1:12" ht="33" customHeight="1" x14ac:dyDescent="0.3">
      <c r="A21" s="38"/>
      <c r="B21" s="38"/>
      <c r="C21" s="38"/>
      <c r="D21" s="36"/>
      <c r="E21" s="98" t="s">
        <v>49</v>
      </c>
      <c r="F21" s="98"/>
      <c r="G21" s="98"/>
      <c r="H21" s="98"/>
      <c r="I21" s="98"/>
      <c r="J21" s="98"/>
      <c r="K21" s="98"/>
      <c r="L21" s="41"/>
    </row>
    <row r="22" spans="1:12" ht="33" customHeight="1" x14ac:dyDescent="0.25">
      <c r="A22" s="38"/>
      <c r="B22" s="38"/>
      <c r="C22" s="38"/>
      <c r="D22" s="36"/>
      <c r="E22" s="98" t="s">
        <v>50</v>
      </c>
      <c r="F22" s="98"/>
      <c r="G22" s="98"/>
      <c r="H22" s="98"/>
      <c r="I22" s="98"/>
      <c r="J22" s="98"/>
      <c r="K22" s="98"/>
      <c r="L22" s="41"/>
    </row>
    <row r="23" spans="1:12" ht="35.25" customHeight="1" x14ac:dyDescent="0.25">
      <c r="A23" s="38"/>
      <c r="B23" s="103"/>
      <c r="C23" s="104"/>
      <c r="D23" s="104"/>
      <c r="E23" s="104"/>
      <c r="F23" s="40"/>
      <c r="G23" s="105"/>
      <c r="H23" s="104"/>
      <c r="I23" s="104"/>
      <c r="J23" s="38"/>
      <c r="K23" s="22"/>
      <c r="L23" s="41"/>
    </row>
    <row r="24" spans="1:12" x14ac:dyDescent="0.25">
      <c r="A24" s="38"/>
      <c r="B24" s="106" t="s">
        <v>105</v>
      </c>
      <c r="C24" s="107"/>
      <c r="D24" s="107"/>
      <c r="E24" s="107"/>
      <c r="F24" s="40"/>
      <c r="G24" s="106" t="s">
        <v>51</v>
      </c>
      <c r="H24" s="107"/>
      <c r="I24" s="107"/>
      <c r="J24" s="38"/>
      <c r="K24" s="43" t="s">
        <v>52</v>
      </c>
      <c r="L24" s="41"/>
    </row>
    <row r="25" spans="1:12" ht="35.25" customHeight="1" x14ac:dyDescent="0.25">
      <c r="A25" s="38"/>
      <c r="B25" s="108"/>
      <c r="C25" s="104"/>
      <c r="D25" s="104"/>
      <c r="E25" s="104"/>
      <c r="F25" s="40"/>
      <c r="G25" s="105"/>
      <c r="H25" s="104"/>
      <c r="I25" s="104"/>
      <c r="J25" s="38"/>
      <c r="K25" s="22"/>
      <c r="L25" s="41"/>
    </row>
    <row r="26" spans="1:12" x14ac:dyDescent="0.25">
      <c r="A26" s="38"/>
      <c r="B26" s="106" t="s">
        <v>106</v>
      </c>
      <c r="C26" s="107"/>
      <c r="D26" s="107"/>
      <c r="E26" s="107"/>
      <c r="F26" s="40"/>
      <c r="G26" s="106" t="s">
        <v>53</v>
      </c>
      <c r="H26" s="107"/>
      <c r="I26" s="107"/>
      <c r="J26" s="38"/>
      <c r="K26" s="43" t="s">
        <v>52</v>
      </c>
      <c r="L26" s="41"/>
    </row>
    <row r="27" spans="1:12" ht="35.25" customHeight="1" x14ac:dyDescent="0.25">
      <c r="A27" s="38"/>
      <c r="B27" s="108"/>
      <c r="C27" s="104"/>
      <c r="D27" s="104"/>
      <c r="E27" s="104"/>
      <c r="F27" s="40"/>
      <c r="G27" s="105"/>
      <c r="H27" s="104"/>
      <c r="I27" s="104"/>
      <c r="J27" s="38"/>
      <c r="K27" s="22"/>
      <c r="L27" s="41"/>
    </row>
    <row r="28" spans="1:12" x14ac:dyDescent="0.25">
      <c r="A28" s="38"/>
      <c r="B28" s="106" t="s">
        <v>107</v>
      </c>
      <c r="C28" s="107"/>
      <c r="D28" s="107"/>
      <c r="E28" s="107"/>
      <c r="F28" s="40"/>
      <c r="G28" s="106" t="s">
        <v>54</v>
      </c>
      <c r="H28" s="107"/>
      <c r="I28" s="107"/>
      <c r="J28" s="38"/>
      <c r="K28" s="43" t="s">
        <v>52</v>
      </c>
      <c r="L28" s="41"/>
    </row>
    <row r="29" spans="1:12" x14ac:dyDescent="0.25">
      <c r="A29" s="38"/>
      <c r="B29" s="40"/>
      <c r="C29" s="40"/>
      <c r="D29" s="40"/>
      <c r="E29" s="40"/>
      <c r="F29" s="40"/>
      <c r="G29" s="38"/>
      <c r="H29" s="38"/>
      <c r="I29" s="43"/>
      <c r="J29" s="43"/>
      <c r="K29" s="40"/>
      <c r="L29" s="41"/>
    </row>
    <row r="30" spans="1:12" x14ac:dyDescent="0.25">
      <c r="A30" s="38"/>
      <c r="B30" s="40"/>
      <c r="C30" s="40"/>
      <c r="D30" s="40"/>
      <c r="E30" s="40"/>
      <c r="F30" s="40"/>
      <c r="G30" s="38"/>
      <c r="H30" s="38"/>
      <c r="I30" s="43"/>
      <c r="J30" s="43"/>
      <c r="K30" s="40"/>
      <c r="L30" s="41"/>
    </row>
    <row r="31" spans="1:12" x14ac:dyDescent="0.25">
      <c r="A31" s="38"/>
      <c r="B31" s="40"/>
      <c r="C31" s="40"/>
      <c r="D31" s="40"/>
      <c r="E31" s="40"/>
      <c r="F31" s="40"/>
      <c r="G31" s="38"/>
      <c r="H31" s="38"/>
      <c r="I31" s="43"/>
      <c r="J31" s="43"/>
      <c r="K31" s="40"/>
      <c r="L31" s="41"/>
    </row>
    <row r="32" spans="1:12" x14ac:dyDescent="0.25">
      <c r="A32" s="38"/>
      <c r="B32" s="40"/>
      <c r="C32" s="40"/>
      <c r="D32" s="40"/>
      <c r="E32" s="40"/>
      <c r="F32" s="40"/>
      <c r="G32" s="38"/>
      <c r="H32" s="38"/>
      <c r="I32" s="43"/>
      <c r="J32" s="43"/>
      <c r="K32" s="40"/>
      <c r="L32" s="41"/>
    </row>
    <row r="33" spans="1:12" x14ac:dyDescent="0.25">
      <c r="A33" s="38"/>
      <c r="B33" s="40"/>
      <c r="C33" s="40"/>
      <c r="D33" s="40"/>
      <c r="E33" s="40"/>
      <c r="F33" s="40"/>
      <c r="G33" s="38"/>
      <c r="H33" s="38"/>
      <c r="I33" s="43"/>
      <c r="J33" s="43"/>
      <c r="K33" s="40"/>
      <c r="L33" s="41"/>
    </row>
    <row r="34" spans="1:12" x14ac:dyDescent="0.25">
      <c r="A34" s="38"/>
      <c r="B34" s="40"/>
      <c r="C34" s="40"/>
      <c r="D34" s="40"/>
      <c r="E34" s="40"/>
      <c r="F34" s="40"/>
      <c r="G34" s="38"/>
      <c r="H34" s="38"/>
      <c r="I34" s="43"/>
      <c r="J34" s="43"/>
      <c r="K34" s="40"/>
      <c r="L34" s="41"/>
    </row>
    <row r="35" spans="1:12" x14ac:dyDescent="0.25">
      <c r="A35" s="38"/>
      <c r="B35" s="40"/>
      <c r="C35" s="40"/>
      <c r="D35" s="40"/>
      <c r="E35" s="40"/>
      <c r="F35" s="40"/>
      <c r="G35" s="38"/>
      <c r="H35" s="38"/>
      <c r="I35" s="43"/>
      <c r="J35" s="43"/>
      <c r="K35" s="40"/>
      <c r="L35" s="41"/>
    </row>
    <row r="36" spans="1:12" x14ac:dyDescent="0.25">
      <c r="A36" s="38"/>
      <c r="B36" s="120" t="s">
        <v>55</v>
      </c>
      <c r="C36" s="120"/>
      <c r="D36" s="120"/>
      <c r="E36" s="120"/>
      <c r="F36" s="120"/>
      <c r="G36" s="120"/>
      <c r="H36" s="120"/>
      <c r="I36" s="120"/>
      <c r="J36" s="120"/>
      <c r="K36" s="120"/>
      <c r="L36" s="41"/>
    </row>
    <row r="37" spans="1:12" x14ac:dyDescent="0.25">
      <c r="A37" s="38"/>
      <c r="B37" s="110" t="s">
        <v>201</v>
      </c>
      <c r="C37" s="111"/>
      <c r="D37" s="111"/>
      <c r="E37" s="111"/>
      <c r="F37" s="111"/>
      <c r="G37" s="111"/>
      <c r="H37" s="111"/>
      <c r="I37" s="111"/>
      <c r="J37" s="111"/>
      <c r="K37" s="111"/>
      <c r="L37" s="38"/>
    </row>
    <row r="38" spans="1:12" ht="15" customHeight="1" x14ac:dyDescent="0.25">
      <c r="A38" s="38"/>
      <c r="B38" s="111"/>
      <c r="C38" s="111"/>
      <c r="D38" s="111"/>
      <c r="E38" s="111"/>
      <c r="F38" s="111"/>
      <c r="G38" s="111"/>
      <c r="H38" s="111"/>
      <c r="I38" s="111"/>
      <c r="J38" s="111"/>
      <c r="K38" s="111"/>
      <c r="L38" s="38"/>
    </row>
    <row r="39" spans="1:12" ht="77.25" customHeight="1" thickBot="1" x14ac:dyDescent="0.3">
      <c r="A39" s="38"/>
      <c r="B39" s="111"/>
      <c r="C39" s="111"/>
      <c r="D39" s="111"/>
      <c r="E39" s="111"/>
      <c r="F39" s="111"/>
      <c r="G39" s="111"/>
      <c r="H39" s="111"/>
      <c r="I39" s="111"/>
      <c r="J39" s="111"/>
      <c r="K39" s="111"/>
      <c r="L39" s="41"/>
    </row>
    <row r="40" spans="1:12" x14ac:dyDescent="0.25">
      <c r="A40" s="38"/>
      <c r="B40" s="112" t="s">
        <v>114</v>
      </c>
      <c r="C40" s="113"/>
      <c r="D40" s="113"/>
      <c r="E40" s="113"/>
      <c r="F40" s="113"/>
      <c r="G40" s="113"/>
      <c r="H40" s="113"/>
      <c r="I40" s="113"/>
      <c r="J40" s="114"/>
      <c r="K40" s="115"/>
      <c r="L40" s="41"/>
    </row>
    <row r="41" spans="1:12" ht="15.75" thickBot="1" x14ac:dyDescent="0.3">
      <c r="A41" s="38"/>
      <c r="B41" s="116" t="s">
        <v>112</v>
      </c>
      <c r="C41" s="117"/>
      <c r="D41" s="117"/>
      <c r="E41" s="117"/>
      <c r="F41" s="117" t="s">
        <v>113</v>
      </c>
      <c r="G41" s="117"/>
      <c r="H41" s="117"/>
      <c r="I41" s="118"/>
      <c r="J41" s="118" t="s">
        <v>115</v>
      </c>
      <c r="K41" s="119"/>
      <c r="L41" s="41"/>
    </row>
    <row r="42" spans="1:12" ht="15.75" thickBot="1" x14ac:dyDescent="0.3">
      <c r="A42" s="38"/>
      <c r="B42" s="38"/>
      <c r="C42" s="38"/>
      <c r="D42" s="38"/>
      <c r="E42" s="38"/>
      <c r="F42" s="38"/>
      <c r="G42" s="38"/>
      <c r="H42" s="38"/>
      <c r="I42" s="38"/>
      <c r="J42" s="38"/>
      <c r="K42" s="38"/>
      <c r="L42" s="41"/>
    </row>
    <row r="43" spans="1:12" ht="16.5" thickBot="1" x14ac:dyDescent="0.3">
      <c r="A43" s="38"/>
      <c r="B43" s="46"/>
      <c r="C43" s="121" t="s">
        <v>56</v>
      </c>
      <c r="D43" s="121"/>
      <c r="E43" s="121"/>
      <c r="F43" s="121"/>
      <c r="G43" s="121"/>
      <c r="H43" s="121"/>
      <c r="I43" s="121"/>
      <c r="J43" s="47"/>
      <c r="K43" s="48" t="s">
        <v>57</v>
      </c>
      <c r="L43" s="41"/>
    </row>
    <row r="44" spans="1:12" ht="22.5" customHeight="1" thickTop="1" x14ac:dyDescent="0.25">
      <c r="A44" s="38"/>
      <c r="B44" s="49">
        <v>1</v>
      </c>
      <c r="C44" s="122" t="s">
        <v>58</v>
      </c>
      <c r="D44" s="122"/>
      <c r="E44" s="122"/>
      <c r="F44" s="122"/>
      <c r="G44" s="122"/>
      <c r="H44" s="122"/>
      <c r="I44" s="122"/>
      <c r="J44" s="50"/>
      <c r="K44" s="5">
        <f>COUNTIF(STUDENT_FILE!K:K,"=1")</f>
        <v>1</v>
      </c>
      <c r="L44" s="41"/>
    </row>
    <row r="45" spans="1:12" ht="47.25" customHeight="1" x14ac:dyDescent="0.25">
      <c r="A45" s="38"/>
      <c r="B45" s="51">
        <v>2</v>
      </c>
      <c r="C45" s="109" t="s">
        <v>59</v>
      </c>
      <c r="D45" s="109"/>
      <c r="E45" s="109"/>
      <c r="F45" s="109"/>
      <c r="G45" s="109"/>
      <c r="H45" s="109"/>
      <c r="I45" s="109"/>
      <c r="J45" s="50"/>
      <c r="K45" s="5">
        <f>COUNTIFS(STUDENT_FILE!$L:$L, "=1",STUDENT_FILE!$M:$M, "=1")+COUNTIFS(STUDENT_FILE!$L:$L, "=1",STUDENT_FILE!$M:$M, "=0")+COUNTIFS(STUDENT_FILE!$L:$L, "=0",STUDENT_FILE!$M:$M, "=1")</f>
        <v>0</v>
      </c>
      <c r="L45" s="41"/>
    </row>
    <row r="46" spans="1:12" ht="36" customHeight="1" x14ac:dyDescent="0.25">
      <c r="A46" s="38"/>
      <c r="B46" s="51">
        <v>3</v>
      </c>
      <c r="C46" s="109" t="s">
        <v>60</v>
      </c>
      <c r="D46" s="109"/>
      <c r="E46" s="109"/>
      <c r="F46" s="109"/>
      <c r="G46" s="109"/>
      <c r="H46" s="109"/>
      <c r="I46" s="109"/>
      <c r="J46" s="52"/>
      <c r="K46" s="5">
        <f>COUNTIFS(STUDENT_FILE!$N:$N, "=1",STUDENT_FILE!$O:$O, "=1")+COUNTIFS(STUDENT_FILE!$N:$N, "=1",STUDENT_FILE!$O:$O, "=0")+COUNTIFS(STUDENT_FILE!$N:$N, "=0",STUDENT_FILE!$O:$O, "=1")+COUNTIFS(STUDENT_FILE!$N:$N, "=0",STUDENT_FILE!$O:$O, "=0",STUDENT_FILE!$P:$P, "=1",STUDENT_FILE!$H:$H, "=1")</f>
        <v>0</v>
      </c>
      <c r="L46" s="41"/>
    </row>
    <row r="47" spans="1:12" ht="36" customHeight="1" x14ac:dyDescent="0.25">
      <c r="A47" s="38"/>
      <c r="B47" s="51">
        <v>4</v>
      </c>
      <c r="C47" s="109" t="s">
        <v>61</v>
      </c>
      <c r="D47" s="109"/>
      <c r="E47" s="109"/>
      <c r="F47" s="109"/>
      <c r="G47" s="109"/>
      <c r="H47" s="109"/>
      <c r="I47" s="109"/>
      <c r="J47" s="52"/>
      <c r="K47" s="5">
        <f>COUNTIFS(STUDENT_FILE!$Q:$Q, "=1",STUDENT_FILE!$R:$R, "=1")+COUNTIFS(STUDENT_FILE!$Q:$Q, "=1",STUDENT_FILE!$R:$R, "=0")+COUNTIFS(STUDENT_FILE!$Q:$Q, "=0",STUDENT_FILE!$R:$R, "=1")+COUNTIFS(STUDENT_FILE!$Q:$Q, "=1",STUDENT_FILE!$R:$R, "")</f>
        <v>0</v>
      </c>
      <c r="L47" s="41"/>
    </row>
    <row r="48" spans="1:12" ht="36" customHeight="1" x14ac:dyDescent="0.25">
      <c r="A48" s="38"/>
      <c r="B48" s="51" t="s">
        <v>119</v>
      </c>
      <c r="C48" s="109" t="s">
        <v>62</v>
      </c>
      <c r="D48" s="109"/>
      <c r="E48" s="109"/>
      <c r="F48" s="109"/>
      <c r="G48" s="109"/>
      <c r="H48" s="109"/>
      <c r="I48" s="109"/>
      <c r="J48" s="52"/>
      <c r="K48" s="6">
        <f>COUNTIF(STUDENT_FILE!S:S,"=1")</f>
        <v>0</v>
      </c>
      <c r="L48" s="41"/>
    </row>
    <row r="49" spans="1:12" ht="36" customHeight="1" x14ac:dyDescent="0.25">
      <c r="A49" s="38"/>
      <c r="B49" s="51" t="s">
        <v>120</v>
      </c>
      <c r="C49" s="109" t="s">
        <v>63</v>
      </c>
      <c r="D49" s="109"/>
      <c r="E49" s="109"/>
      <c r="F49" s="109"/>
      <c r="G49" s="109"/>
      <c r="H49" s="109"/>
      <c r="I49" s="109"/>
      <c r="J49" s="52"/>
      <c r="K49" s="6">
        <f>COUNTIF(STUDENT_FILE!T:T,"=1")</f>
        <v>0</v>
      </c>
      <c r="L49" s="41"/>
    </row>
    <row r="50" spans="1:12" ht="22.5" customHeight="1" x14ac:dyDescent="0.25">
      <c r="A50" s="38"/>
      <c r="B50" s="51" t="s">
        <v>121</v>
      </c>
      <c r="C50" s="109" t="s">
        <v>64</v>
      </c>
      <c r="D50" s="109"/>
      <c r="E50" s="109"/>
      <c r="F50" s="109"/>
      <c r="G50" s="109"/>
      <c r="H50" s="109"/>
      <c r="I50" s="109"/>
      <c r="J50" s="52"/>
      <c r="K50" s="6">
        <f>COUNTIF(STUDENT_FILE!U:U,"=1")</f>
        <v>0</v>
      </c>
      <c r="L50" s="41"/>
    </row>
    <row r="51" spans="1:12" ht="22.5" customHeight="1" x14ac:dyDescent="0.25">
      <c r="A51" s="38"/>
      <c r="B51" s="51" t="s">
        <v>122</v>
      </c>
      <c r="C51" s="109" t="s">
        <v>65</v>
      </c>
      <c r="D51" s="109"/>
      <c r="E51" s="109"/>
      <c r="F51" s="109"/>
      <c r="G51" s="109"/>
      <c r="H51" s="109"/>
      <c r="I51" s="109"/>
      <c r="J51" s="52"/>
      <c r="K51" s="6">
        <f>COUNTIF(STUDENT_FILE!V:V,"=1")</f>
        <v>0</v>
      </c>
      <c r="L51" s="41"/>
    </row>
    <row r="52" spans="1:12" ht="22.5" customHeight="1" x14ac:dyDescent="0.25">
      <c r="A52" s="38"/>
      <c r="B52" s="51" t="s">
        <v>123</v>
      </c>
      <c r="C52" s="109" t="s">
        <v>66</v>
      </c>
      <c r="D52" s="109"/>
      <c r="E52" s="109"/>
      <c r="F52" s="109"/>
      <c r="G52" s="109"/>
      <c r="H52" s="109"/>
      <c r="I52" s="109"/>
      <c r="J52" s="52"/>
      <c r="K52" s="6">
        <f>COUNTIF(STUDENT_FILE!W:W,"=1")</f>
        <v>0</v>
      </c>
      <c r="L52" s="41"/>
    </row>
    <row r="53" spans="1:12" ht="22.5" customHeight="1" x14ac:dyDescent="0.25">
      <c r="A53" s="38"/>
      <c r="B53" s="51" t="s">
        <v>124</v>
      </c>
      <c r="C53" s="109" t="s">
        <v>67</v>
      </c>
      <c r="D53" s="109"/>
      <c r="E53" s="109"/>
      <c r="F53" s="109"/>
      <c r="G53" s="109"/>
      <c r="H53" s="109"/>
      <c r="I53" s="109"/>
      <c r="J53" s="52"/>
      <c r="K53" s="6">
        <f>COUNTIF(STUDENT_FILE!X:X,"=1")</f>
        <v>0</v>
      </c>
      <c r="L53" s="41"/>
    </row>
    <row r="54" spans="1:12" ht="22.5" customHeight="1" x14ac:dyDescent="0.25">
      <c r="A54" s="38"/>
      <c r="B54" s="51" t="s">
        <v>125</v>
      </c>
      <c r="C54" s="109" t="s">
        <v>68</v>
      </c>
      <c r="D54" s="109"/>
      <c r="E54" s="109"/>
      <c r="F54" s="109"/>
      <c r="G54" s="109"/>
      <c r="H54" s="109"/>
      <c r="I54" s="109"/>
      <c r="J54" s="52"/>
      <c r="K54" s="6">
        <f>COUNTIF(STUDENT_FILE!Y:Y,"=1")</f>
        <v>0</v>
      </c>
      <c r="L54" s="41"/>
    </row>
    <row r="55" spans="1:12" ht="22.5" customHeight="1" x14ac:dyDescent="0.25">
      <c r="A55" s="38"/>
      <c r="B55" s="51">
        <v>12</v>
      </c>
      <c r="C55" s="109" t="s">
        <v>69</v>
      </c>
      <c r="D55" s="109"/>
      <c r="E55" s="109"/>
      <c r="F55" s="109"/>
      <c r="G55" s="109"/>
      <c r="H55" s="109"/>
      <c r="I55" s="109"/>
      <c r="J55" s="52"/>
      <c r="K55" s="6">
        <f>COUNTIF(STUDENT_FILE!Z:Z,"=1")</f>
        <v>0</v>
      </c>
      <c r="L55" s="41"/>
    </row>
    <row r="56" spans="1:12" ht="22.5" customHeight="1" x14ac:dyDescent="0.25">
      <c r="A56" s="38"/>
      <c r="B56" s="51">
        <v>13</v>
      </c>
      <c r="C56" s="109" t="s">
        <v>70</v>
      </c>
      <c r="D56" s="109"/>
      <c r="E56" s="109"/>
      <c r="F56" s="109"/>
      <c r="G56" s="109"/>
      <c r="H56" s="109"/>
      <c r="I56" s="109"/>
      <c r="J56" s="52"/>
      <c r="K56" s="6">
        <f>COUNTIF(STUDENT_FILE!AA:AA,"=1")</f>
        <v>0</v>
      </c>
      <c r="L56" s="41"/>
    </row>
    <row r="57" spans="1:12" ht="47.25" customHeight="1" x14ac:dyDescent="0.25">
      <c r="A57" s="38"/>
      <c r="B57" s="53" t="s">
        <v>126</v>
      </c>
      <c r="C57" s="123" t="s">
        <v>71</v>
      </c>
      <c r="D57" s="123"/>
      <c r="E57" s="123"/>
      <c r="F57" s="123"/>
      <c r="G57" s="123"/>
      <c r="H57" s="123"/>
      <c r="I57" s="123"/>
      <c r="J57" s="54"/>
      <c r="K57" s="7">
        <f>COUNTIF(STUDENT_FILE!AB:AB,"=1")</f>
        <v>0</v>
      </c>
      <c r="L57" s="41"/>
    </row>
    <row r="58" spans="1:12" ht="36" customHeight="1" thickBot="1" x14ac:dyDescent="0.3">
      <c r="A58" s="38"/>
      <c r="B58" s="55" t="s">
        <v>183</v>
      </c>
      <c r="C58" s="125" t="s">
        <v>108</v>
      </c>
      <c r="D58" s="125"/>
      <c r="E58" s="125"/>
      <c r="F58" s="125"/>
      <c r="G58" s="125"/>
      <c r="H58" s="125"/>
      <c r="I58" s="125"/>
      <c r="J58" s="56"/>
      <c r="K58" s="10">
        <f>COUNTIF(STUDENT_FILE!AI:AI,"=1")</f>
        <v>0</v>
      </c>
      <c r="L58" s="41"/>
    </row>
    <row r="59" spans="1:12" ht="27" customHeight="1" thickTop="1" x14ac:dyDescent="0.25">
      <c r="A59" s="38"/>
      <c r="B59" s="57">
        <v>16</v>
      </c>
      <c r="C59" s="126" t="s">
        <v>72</v>
      </c>
      <c r="D59" s="126"/>
      <c r="E59" s="126"/>
      <c r="F59" s="126"/>
      <c r="G59" s="126"/>
      <c r="H59" s="126"/>
      <c r="I59" s="126"/>
      <c r="J59" s="58"/>
      <c r="K59" s="11">
        <f>COUNTIFS(STUDENT_FILE!$AJ:$AJ, "=1",STUDENT_FILE!$AK:$AK, "=1")+COUNTIFS(STUDENT_FILE!$AJ:$AJ, "=1",STUDENT_FILE!$AK:$AK, "=0")+COUNTIFS(STUDENT_FILE!$AJ:$AJ, "=0",STUDENT_FILE!$AK:$AK, "=1")</f>
        <v>0</v>
      </c>
      <c r="L59" s="41"/>
    </row>
    <row r="60" spans="1:12" ht="27" customHeight="1" thickBot="1" x14ac:dyDescent="0.3">
      <c r="A60" s="38"/>
      <c r="B60" s="59">
        <v>17</v>
      </c>
      <c r="C60" s="127" t="s">
        <v>73</v>
      </c>
      <c r="D60" s="127"/>
      <c r="E60" s="127"/>
      <c r="F60" s="127"/>
      <c r="G60" s="127"/>
      <c r="H60" s="127"/>
      <c r="I60" s="127"/>
      <c r="J60" s="60"/>
      <c r="K60" s="8">
        <f>COUNT(STUDENT_FILE!F:F)</f>
        <v>0</v>
      </c>
      <c r="L60" s="41"/>
    </row>
    <row r="61" spans="1:12" ht="27" customHeight="1" thickTop="1" thickBot="1" x14ac:dyDescent="0.3">
      <c r="A61" s="38"/>
      <c r="B61" s="61">
        <v>18</v>
      </c>
      <c r="C61" s="128" t="s">
        <v>131</v>
      </c>
      <c r="D61" s="128"/>
      <c r="E61" s="128"/>
      <c r="F61" s="128"/>
      <c r="G61" s="128"/>
      <c r="H61" s="128"/>
      <c r="I61" s="128"/>
      <c r="J61" s="62"/>
      <c r="K61" s="9" t="e">
        <f>$K$59/$K$60</f>
        <v>#DIV/0!</v>
      </c>
      <c r="L61" s="41"/>
    </row>
    <row r="62" spans="1:12" ht="30.75" customHeight="1" x14ac:dyDescent="0.25">
      <c r="A62" s="38"/>
      <c r="B62" s="129" t="s">
        <v>202</v>
      </c>
      <c r="C62" s="130"/>
      <c r="D62" s="130"/>
      <c r="E62" s="130"/>
      <c r="F62" s="130"/>
      <c r="G62" s="130"/>
      <c r="H62" s="130"/>
      <c r="I62" s="130"/>
      <c r="J62" s="130"/>
      <c r="K62" s="130"/>
      <c r="L62" s="41"/>
    </row>
    <row r="63" spans="1:12" x14ac:dyDescent="0.25">
      <c r="A63" s="38"/>
      <c r="B63" s="40"/>
      <c r="C63" s="40"/>
      <c r="D63" s="40"/>
      <c r="E63" s="40"/>
      <c r="F63" s="40"/>
      <c r="G63" s="40"/>
      <c r="H63" s="40"/>
      <c r="I63" s="40"/>
      <c r="J63" s="40"/>
      <c r="K63" s="40"/>
      <c r="L63" s="41"/>
    </row>
    <row r="64" spans="1:12" x14ac:dyDescent="0.25">
      <c r="A64" s="38"/>
      <c r="B64" s="40"/>
      <c r="C64" s="40"/>
      <c r="D64" s="40"/>
      <c r="E64" s="40"/>
      <c r="F64" s="40"/>
      <c r="G64" s="40"/>
      <c r="H64" s="40"/>
      <c r="I64" s="40"/>
      <c r="J64" s="40"/>
      <c r="K64" s="40"/>
      <c r="L64" s="41"/>
    </row>
    <row r="65" spans="1:12" x14ac:dyDescent="0.25">
      <c r="A65" s="38"/>
      <c r="B65" s="40"/>
      <c r="C65" s="40"/>
      <c r="D65" s="40"/>
      <c r="E65" s="40"/>
      <c r="F65" s="40"/>
      <c r="G65" s="40"/>
      <c r="H65" s="40"/>
      <c r="I65" s="40"/>
      <c r="J65" s="40"/>
      <c r="K65" s="40"/>
      <c r="L65" s="41"/>
    </row>
    <row r="66" spans="1:12" x14ac:dyDescent="0.25">
      <c r="A66" s="38"/>
      <c r="B66" s="40"/>
      <c r="C66" s="40"/>
      <c r="D66" s="40"/>
      <c r="E66" s="40"/>
      <c r="F66" s="40"/>
      <c r="G66" s="40"/>
      <c r="H66" s="40"/>
      <c r="I66" s="40"/>
      <c r="J66" s="40"/>
      <c r="K66" s="40"/>
      <c r="L66" s="41"/>
    </row>
    <row r="67" spans="1:12" x14ac:dyDescent="0.25">
      <c r="A67" s="38"/>
      <c r="B67" s="40"/>
      <c r="C67" s="40"/>
      <c r="D67" s="40"/>
      <c r="E67" s="40"/>
      <c r="F67" s="40"/>
      <c r="G67" s="40"/>
      <c r="H67" s="40"/>
      <c r="I67" s="40"/>
      <c r="J67" s="40"/>
      <c r="K67" s="40"/>
      <c r="L67" s="41"/>
    </row>
    <row r="68" spans="1:12" x14ac:dyDescent="0.25">
      <c r="A68" s="38"/>
      <c r="B68" s="40"/>
      <c r="C68" s="40"/>
      <c r="D68" s="40"/>
      <c r="E68" s="40"/>
      <c r="F68" s="40"/>
      <c r="G68" s="40"/>
      <c r="H68" s="40"/>
      <c r="I68" s="40"/>
      <c r="J68" s="40"/>
      <c r="K68" s="40"/>
      <c r="L68" s="41"/>
    </row>
    <row r="69" spans="1:12" ht="15" customHeight="1" x14ac:dyDescent="0.25">
      <c r="A69" s="38"/>
      <c r="B69" s="131" t="s">
        <v>74</v>
      </c>
      <c r="C69" s="131"/>
      <c r="D69" s="131"/>
      <c r="E69" s="131"/>
      <c r="F69" s="131"/>
      <c r="G69" s="131"/>
      <c r="H69" s="131"/>
      <c r="I69" s="131"/>
      <c r="J69" s="131"/>
      <c r="K69" s="131"/>
      <c r="L69" s="41"/>
    </row>
    <row r="70" spans="1:12" ht="15" customHeight="1" thickBot="1" x14ac:dyDescent="0.3">
      <c r="A70" s="38"/>
      <c r="B70" s="132"/>
      <c r="C70" s="132"/>
      <c r="D70" s="132"/>
      <c r="E70" s="132"/>
      <c r="F70" s="132"/>
      <c r="G70" s="132"/>
      <c r="H70" s="132"/>
      <c r="I70" s="132"/>
      <c r="J70" s="132"/>
      <c r="K70" s="132"/>
      <c r="L70" s="41"/>
    </row>
    <row r="71" spans="1:12" ht="195" customHeight="1" thickBot="1" x14ac:dyDescent="0.3">
      <c r="B71" s="133" t="s">
        <v>75</v>
      </c>
      <c r="C71" s="134"/>
      <c r="D71" s="134"/>
      <c r="E71" s="134"/>
      <c r="F71" s="134"/>
      <c r="G71" s="134"/>
      <c r="H71" s="134"/>
      <c r="I71" s="134"/>
      <c r="J71" s="134"/>
      <c r="K71" s="135"/>
      <c r="L71" s="41"/>
    </row>
    <row r="72" spans="1:12" x14ac:dyDescent="0.25">
      <c r="A72" s="38"/>
      <c r="B72" s="136"/>
      <c r="C72" s="136"/>
      <c r="D72" s="136"/>
      <c r="E72" s="136"/>
      <c r="F72" s="136"/>
      <c r="G72" s="136"/>
      <c r="H72" s="136"/>
      <c r="I72" s="136"/>
      <c r="J72" s="136"/>
      <c r="K72" s="136"/>
      <c r="L72" s="41"/>
    </row>
    <row r="73" spans="1:12" x14ac:dyDescent="0.25">
      <c r="A73" s="38"/>
      <c r="B73" s="137" t="s">
        <v>76</v>
      </c>
      <c r="C73" s="137"/>
      <c r="D73" s="137"/>
      <c r="E73" s="137"/>
      <c r="F73" s="137"/>
      <c r="G73" s="137"/>
      <c r="H73" s="137"/>
      <c r="I73" s="137"/>
      <c r="J73" s="137"/>
      <c r="K73" s="137"/>
      <c r="L73" s="41"/>
    </row>
    <row r="74" spans="1:12" ht="22.5" customHeight="1" x14ac:dyDescent="0.25">
      <c r="A74" s="38"/>
      <c r="B74" s="38"/>
      <c r="C74" s="66"/>
      <c r="D74" s="124" t="s">
        <v>77</v>
      </c>
      <c r="E74" s="124"/>
      <c r="F74" s="124"/>
      <c r="G74" s="124"/>
      <c r="H74" s="124"/>
      <c r="I74" s="124"/>
      <c r="J74" s="124"/>
      <c r="K74" s="124"/>
      <c r="L74" s="41"/>
    </row>
    <row r="75" spans="1:12" ht="22.5" customHeight="1" x14ac:dyDescent="0.25">
      <c r="A75" s="38"/>
      <c r="B75" s="38"/>
      <c r="C75" s="66"/>
      <c r="D75" s="124" t="s">
        <v>78</v>
      </c>
      <c r="E75" s="124"/>
      <c r="F75" s="124"/>
      <c r="G75" s="124"/>
      <c r="H75" s="124"/>
      <c r="I75" s="124"/>
      <c r="J75" s="124"/>
      <c r="K75" s="124"/>
      <c r="L75" s="41"/>
    </row>
    <row r="76" spans="1:12" ht="22.5" customHeight="1" x14ac:dyDescent="0.25">
      <c r="A76" s="38"/>
      <c r="B76" s="38"/>
      <c r="C76" s="66"/>
      <c r="D76" s="124" t="s">
        <v>79</v>
      </c>
      <c r="E76" s="124"/>
      <c r="F76" s="124"/>
      <c r="G76" s="124"/>
      <c r="H76" s="124"/>
      <c r="I76" s="124"/>
      <c r="J76" s="124"/>
      <c r="K76" s="124"/>
      <c r="L76" s="41"/>
    </row>
    <row r="77" spans="1:12" ht="22.5" customHeight="1" x14ac:dyDescent="0.25">
      <c r="A77" s="38"/>
      <c r="B77" s="38"/>
      <c r="C77" s="66"/>
      <c r="D77" s="124" t="s">
        <v>80</v>
      </c>
      <c r="E77" s="124"/>
      <c r="F77" s="124"/>
      <c r="G77" s="124"/>
      <c r="H77" s="124"/>
      <c r="I77" s="124"/>
      <c r="J77" s="124"/>
      <c r="K77" s="124"/>
      <c r="L77" s="41"/>
    </row>
    <row r="78" spans="1:12" ht="22.5" customHeight="1" x14ac:dyDescent="0.25">
      <c r="A78" s="38"/>
      <c r="B78" s="38"/>
      <c r="C78" s="66"/>
      <c r="D78" s="124" t="s">
        <v>81</v>
      </c>
      <c r="E78" s="124"/>
      <c r="F78" s="124"/>
      <c r="G78" s="124"/>
      <c r="H78" s="124"/>
      <c r="I78" s="124"/>
      <c r="J78" s="124"/>
      <c r="K78" s="124"/>
      <c r="L78" s="41"/>
    </row>
    <row r="79" spans="1:12" ht="22.5" customHeight="1" x14ac:dyDescent="0.25">
      <c r="A79" s="38"/>
      <c r="B79" s="38"/>
      <c r="C79" s="66"/>
      <c r="D79" s="124" t="s">
        <v>82</v>
      </c>
      <c r="E79" s="124"/>
      <c r="F79" s="124"/>
      <c r="G79" s="124"/>
      <c r="H79" s="124"/>
      <c r="I79" s="124"/>
      <c r="J79" s="124"/>
      <c r="K79" s="124"/>
      <c r="L79" s="41"/>
    </row>
    <row r="80" spans="1:12" ht="22.5" customHeight="1" x14ac:dyDescent="0.25">
      <c r="A80" s="38"/>
      <c r="B80" s="38"/>
      <c r="C80" s="66"/>
      <c r="D80" s="124" t="s">
        <v>2</v>
      </c>
      <c r="E80" s="124"/>
      <c r="F80" s="124"/>
      <c r="G80" s="124"/>
      <c r="H80" s="124"/>
      <c r="I80" s="124"/>
      <c r="J80" s="124"/>
      <c r="K80" s="124"/>
      <c r="L80" s="41"/>
    </row>
    <row r="81" spans="1:12" ht="22.5" customHeight="1" x14ac:dyDescent="0.25">
      <c r="A81" s="38"/>
      <c r="B81" s="38"/>
      <c r="C81" s="66"/>
      <c r="D81" s="124" t="s">
        <v>83</v>
      </c>
      <c r="E81" s="124"/>
      <c r="F81" s="124"/>
      <c r="G81" s="124"/>
      <c r="H81" s="124"/>
      <c r="I81" s="124"/>
      <c r="J81" s="124"/>
      <c r="K81" s="124"/>
      <c r="L81" s="41"/>
    </row>
    <row r="82" spans="1:12" ht="22.5" customHeight="1" x14ac:dyDescent="0.25">
      <c r="A82" s="38"/>
      <c r="B82" s="38"/>
      <c r="C82" s="66"/>
      <c r="D82" s="124" t="s">
        <v>84</v>
      </c>
      <c r="E82" s="124"/>
      <c r="F82" s="124"/>
      <c r="G82" s="124"/>
      <c r="H82" s="124"/>
      <c r="I82" s="124"/>
      <c r="J82" s="124"/>
      <c r="K82" s="124"/>
      <c r="L82" s="41"/>
    </row>
    <row r="83" spans="1:12" ht="22.5" customHeight="1" x14ac:dyDescent="0.25">
      <c r="A83" s="38"/>
      <c r="B83" s="38"/>
      <c r="C83" s="66"/>
      <c r="D83" s="124" t="s">
        <v>85</v>
      </c>
      <c r="E83" s="124"/>
      <c r="F83" s="124"/>
      <c r="G83" s="124"/>
      <c r="H83" s="124"/>
      <c r="I83" s="124"/>
      <c r="J83" s="124"/>
      <c r="K83" s="124"/>
      <c r="L83" s="41"/>
    </row>
    <row r="84" spans="1:12" ht="22.5" customHeight="1" x14ac:dyDescent="0.25">
      <c r="A84" s="38"/>
      <c r="B84" s="38"/>
      <c r="C84" s="66"/>
      <c r="D84" s="124" t="s">
        <v>86</v>
      </c>
      <c r="E84" s="124"/>
      <c r="F84" s="124"/>
      <c r="G84" s="124"/>
      <c r="H84" s="124"/>
      <c r="I84" s="124"/>
      <c r="J84" s="124"/>
      <c r="K84" s="124"/>
      <c r="L84" s="41"/>
    </row>
    <row r="85" spans="1:12" ht="22.5" customHeight="1" x14ac:dyDescent="0.25">
      <c r="A85" s="38"/>
      <c r="B85" s="38"/>
      <c r="C85" s="66"/>
      <c r="D85" s="124" t="s">
        <v>87</v>
      </c>
      <c r="E85" s="124"/>
      <c r="F85" s="124"/>
      <c r="G85" s="124"/>
      <c r="H85" s="124"/>
      <c r="I85" s="124"/>
      <c r="J85" s="124"/>
      <c r="K85" s="124"/>
      <c r="L85" s="41"/>
    </row>
    <row r="86" spans="1:12" ht="22.5" customHeight="1" x14ac:dyDescent="0.25">
      <c r="A86" s="38"/>
      <c r="B86" s="38"/>
      <c r="C86" s="66"/>
      <c r="D86" s="124" t="s">
        <v>88</v>
      </c>
      <c r="E86" s="124"/>
      <c r="F86" s="124"/>
      <c r="G86" s="124"/>
      <c r="H86" s="124"/>
      <c r="I86" s="124"/>
      <c r="J86" s="124"/>
      <c r="K86" s="124"/>
      <c r="L86" s="41"/>
    </row>
    <row r="87" spans="1:12" ht="22.5" customHeight="1" x14ac:dyDescent="0.25">
      <c r="A87" s="38"/>
      <c r="B87" s="38"/>
      <c r="C87" s="66"/>
      <c r="D87" s="124" t="s">
        <v>89</v>
      </c>
      <c r="E87" s="124"/>
      <c r="F87" s="124"/>
      <c r="G87" s="124"/>
      <c r="H87" s="124"/>
      <c r="I87" s="124"/>
      <c r="J87" s="124"/>
      <c r="K87" s="124"/>
      <c r="L87" s="41"/>
    </row>
    <row r="88" spans="1:12" x14ac:dyDescent="0.25">
      <c r="A88" s="38"/>
      <c r="B88" s="97"/>
      <c r="C88" s="97"/>
      <c r="D88" s="97"/>
      <c r="E88" s="97"/>
      <c r="F88" s="97"/>
      <c r="G88" s="97"/>
      <c r="H88" s="97"/>
      <c r="I88" s="97"/>
      <c r="J88" s="97"/>
      <c r="K88" s="97"/>
      <c r="L88" s="41"/>
    </row>
    <row r="89" spans="1:12" ht="15" customHeight="1" x14ac:dyDescent="0.25">
      <c r="A89" s="38"/>
      <c r="B89" s="131" t="s">
        <v>90</v>
      </c>
      <c r="C89" s="131"/>
      <c r="D89" s="131"/>
      <c r="E89" s="131"/>
      <c r="F89" s="131"/>
      <c r="G89" s="131"/>
      <c r="H89" s="131"/>
      <c r="I89" s="131"/>
      <c r="J89" s="131"/>
      <c r="K89" s="131"/>
      <c r="L89" s="41"/>
    </row>
    <row r="90" spans="1:12" ht="15.75" thickBot="1" x14ac:dyDescent="0.3">
      <c r="A90" s="38"/>
      <c r="B90" s="144"/>
      <c r="C90" s="144"/>
      <c r="D90" s="144"/>
      <c r="E90" s="144"/>
      <c r="F90" s="144"/>
      <c r="G90" s="144"/>
      <c r="H90" s="144"/>
      <c r="I90" s="144"/>
      <c r="J90" s="144"/>
      <c r="K90" s="144"/>
      <c r="L90" s="41"/>
    </row>
    <row r="91" spans="1:12" ht="21" customHeight="1" thickBot="1" x14ac:dyDescent="0.3">
      <c r="A91" s="38"/>
      <c r="B91" s="145"/>
      <c r="C91" s="146"/>
      <c r="D91" s="146"/>
      <c r="E91" s="146"/>
      <c r="F91" s="146"/>
      <c r="G91" s="146"/>
      <c r="H91" s="147"/>
      <c r="I91" s="148" t="s">
        <v>91</v>
      </c>
      <c r="J91" s="149"/>
      <c r="K91" s="150"/>
      <c r="L91" s="41"/>
    </row>
    <row r="92" spans="1:12" s="45" customFormat="1" ht="37.5" customHeight="1" thickTop="1" x14ac:dyDescent="0.25">
      <c r="A92" s="39"/>
      <c r="B92" s="138" t="s">
        <v>92</v>
      </c>
      <c r="C92" s="139"/>
      <c r="D92" s="139"/>
      <c r="E92" s="139"/>
      <c r="F92" s="139"/>
      <c r="G92" s="139"/>
      <c r="H92" s="63"/>
      <c r="I92" s="23" t="s">
        <v>93</v>
      </c>
      <c r="J92" s="23"/>
      <c r="K92" s="24" t="s">
        <v>94</v>
      </c>
      <c r="L92" s="39"/>
    </row>
    <row r="93" spans="1:12" s="45" customFormat="1" ht="37.5" customHeight="1" x14ac:dyDescent="0.25">
      <c r="A93" s="39"/>
      <c r="B93" s="140" t="s">
        <v>95</v>
      </c>
      <c r="C93" s="141"/>
      <c r="D93" s="141"/>
      <c r="E93" s="141"/>
      <c r="F93" s="141"/>
      <c r="G93" s="141"/>
      <c r="H93" s="64"/>
      <c r="I93" s="27" t="s">
        <v>93</v>
      </c>
      <c r="J93" s="31"/>
      <c r="K93" s="26" t="s">
        <v>94</v>
      </c>
      <c r="L93" s="39"/>
    </row>
    <row r="94" spans="1:12" s="45" customFormat="1" ht="37.5" customHeight="1" thickBot="1" x14ac:dyDescent="0.3">
      <c r="A94" s="39"/>
      <c r="B94" s="142" t="s">
        <v>96</v>
      </c>
      <c r="C94" s="143"/>
      <c r="D94" s="143"/>
      <c r="E94" s="143"/>
      <c r="F94" s="143"/>
      <c r="G94" s="143"/>
      <c r="H94" s="65"/>
      <c r="I94" s="28" t="s">
        <v>93</v>
      </c>
      <c r="J94" s="32"/>
      <c r="K94" s="25" t="s">
        <v>94</v>
      </c>
      <c r="L94" s="39"/>
    </row>
    <row r="95" spans="1:12" x14ac:dyDescent="0.25">
      <c r="A95" s="38"/>
      <c r="B95" s="38"/>
      <c r="C95" s="38"/>
      <c r="D95" s="38"/>
      <c r="E95" s="38"/>
      <c r="F95" s="38"/>
      <c r="G95" s="38"/>
      <c r="H95" s="38"/>
      <c r="I95" s="38"/>
      <c r="J95" s="38"/>
      <c r="K95" s="38"/>
      <c r="L95" s="41"/>
    </row>
    <row r="96" spans="1:12" x14ac:dyDescent="0.25">
      <c r="A96" s="38"/>
      <c r="B96" s="38"/>
      <c r="C96" s="38"/>
      <c r="D96" s="38"/>
      <c r="E96" s="38"/>
      <c r="F96" s="38"/>
      <c r="G96" s="38"/>
      <c r="H96" s="38"/>
      <c r="I96" s="38"/>
      <c r="J96" s="38"/>
      <c r="K96" s="38"/>
      <c r="L96" s="41"/>
    </row>
    <row r="97" spans="1:12" x14ac:dyDescent="0.25">
      <c r="A97" s="38"/>
      <c r="B97" s="38"/>
      <c r="C97" s="38"/>
      <c r="D97" s="38"/>
      <c r="E97" s="38"/>
      <c r="F97" s="38"/>
      <c r="G97" s="38"/>
      <c r="H97" s="38"/>
      <c r="I97" s="38"/>
      <c r="J97" s="38"/>
      <c r="K97" s="38"/>
      <c r="L97" s="41"/>
    </row>
    <row r="98" spans="1:12" x14ac:dyDescent="0.25">
      <c r="A98" s="38"/>
      <c r="B98" s="38"/>
      <c r="C98" s="38"/>
      <c r="D98" s="38"/>
      <c r="E98" s="38"/>
      <c r="F98" s="38"/>
      <c r="G98" s="38"/>
      <c r="H98" s="38"/>
      <c r="I98" s="38"/>
      <c r="J98" s="38"/>
      <c r="K98" s="38"/>
      <c r="L98" s="41"/>
    </row>
    <row r="99" spans="1:12" x14ac:dyDescent="0.25">
      <c r="A99" s="38"/>
      <c r="B99" s="38"/>
      <c r="C99" s="38"/>
      <c r="D99" s="38"/>
      <c r="E99" s="38"/>
      <c r="F99" s="38"/>
      <c r="G99" s="38"/>
      <c r="H99" s="38"/>
      <c r="I99" s="38"/>
      <c r="J99" s="38"/>
      <c r="K99" s="38"/>
      <c r="L99" s="41"/>
    </row>
    <row r="100" spans="1:12" x14ac:dyDescent="0.25">
      <c r="A100" s="38"/>
      <c r="B100" s="38"/>
      <c r="C100" s="38"/>
      <c r="D100" s="38"/>
      <c r="E100" s="38"/>
      <c r="F100" s="38"/>
      <c r="G100" s="38"/>
      <c r="H100" s="38"/>
      <c r="I100" s="38"/>
      <c r="J100" s="38"/>
      <c r="K100" s="38"/>
      <c r="L100" s="41"/>
    </row>
    <row r="101" spans="1:12" x14ac:dyDescent="0.25">
      <c r="A101" s="38"/>
      <c r="B101" s="38"/>
      <c r="C101" s="38"/>
      <c r="D101" s="38"/>
      <c r="E101" s="38"/>
      <c r="F101" s="38"/>
      <c r="G101" s="38"/>
      <c r="H101" s="38"/>
      <c r="I101" s="38"/>
      <c r="J101" s="38"/>
      <c r="K101" s="38"/>
      <c r="L101" s="41"/>
    </row>
    <row r="102" spans="1:12" x14ac:dyDescent="0.25">
      <c r="A102" s="38"/>
      <c r="B102" s="38"/>
      <c r="C102" s="38"/>
      <c r="D102" s="38"/>
      <c r="E102" s="38"/>
      <c r="F102" s="38"/>
      <c r="G102" s="38"/>
      <c r="H102" s="38"/>
      <c r="I102" s="38"/>
      <c r="J102" s="38"/>
      <c r="K102" s="38"/>
      <c r="L102" s="41"/>
    </row>
    <row r="103" spans="1:12" x14ac:dyDescent="0.25">
      <c r="A103" s="38"/>
      <c r="B103" s="38"/>
      <c r="C103" s="38"/>
      <c r="D103" s="38"/>
      <c r="E103" s="38"/>
      <c r="F103" s="38"/>
      <c r="G103" s="38"/>
      <c r="H103" s="38"/>
      <c r="I103" s="38"/>
      <c r="J103" s="38"/>
      <c r="K103" s="38"/>
      <c r="L103" s="41"/>
    </row>
    <row r="104" spans="1:12" x14ac:dyDescent="0.25">
      <c r="A104" s="38"/>
      <c r="B104" s="38"/>
      <c r="C104" s="38"/>
      <c r="D104" s="38"/>
      <c r="E104" s="38"/>
      <c r="F104" s="38"/>
      <c r="G104" s="38"/>
      <c r="H104" s="38"/>
      <c r="I104" s="38"/>
      <c r="J104" s="38"/>
      <c r="K104" s="38"/>
      <c r="L104" s="41"/>
    </row>
    <row r="105" spans="1:12" x14ac:dyDescent="0.25">
      <c r="A105" s="38"/>
      <c r="B105" s="38"/>
      <c r="C105" s="38"/>
      <c r="D105" s="38"/>
      <c r="E105" s="38"/>
      <c r="F105" s="38"/>
      <c r="G105" s="38"/>
      <c r="H105" s="38"/>
      <c r="I105" s="38"/>
      <c r="J105" s="38"/>
      <c r="K105" s="38"/>
      <c r="L105" s="41"/>
    </row>
  </sheetData>
  <sheetProtection password="CDF6" sheet="1" objects="1" scenarios="1"/>
  <mergeCells count="83">
    <mergeCell ref="B92:G92"/>
    <mergeCell ref="B93:G93"/>
    <mergeCell ref="B94:G94"/>
    <mergeCell ref="D87:K87"/>
    <mergeCell ref="B88:K88"/>
    <mergeCell ref="B89:K89"/>
    <mergeCell ref="B90:K90"/>
    <mergeCell ref="B91:H91"/>
    <mergeCell ref="I91:K91"/>
    <mergeCell ref="D86:K86"/>
    <mergeCell ref="D75:K75"/>
    <mergeCell ref="D76:K76"/>
    <mergeCell ref="D77:K77"/>
    <mergeCell ref="D78:K78"/>
    <mergeCell ref="D79:K79"/>
    <mergeCell ref="D80:K80"/>
    <mergeCell ref="D81:K81"/>
    <mergeCell ref="D82:K82"/>
    <mergeCell ref="D83:K83"/>
    <mergeCell ref="D84:K84"/>
    <mergeCell ref="D85:K85"/>
    <mergeCell ref="D74:K74"/>
    <mergeCell ref="C58:I58"/>
    <mergeCell ref="C59:I59"/>
    <mergeCell ref="C60:I60"/>
    <mergeCell ref="C61:I61"/>
    <mergeCell ref="B62:K62"/>
    <mergeCell ref="B69:K69"/>
    <mergeCell ref="B70:K70"/>
    <mergeCell ref="B71:K71"/>
    <mergeCell ref="B72:K72"/>
    <mergeCell ref="B73:K73"/>
    <mergeCell ref="C57:I57"/>
    <mergeCell ref="C46:I46"/>
    <mergeCell ref="C47:I47"/>
    <mergeCell ref="C48:I48"/>
    <mergeCell ref="C49:I49"/>
    <mergeCell ref="C50:I50"/>
    <mergeCell ref="C51:I51"/>
    <mergeCell ref="C52:I52"/>
    <mergeCell ref="C53:I53"/>
    <mergeCell ref="C54:I54"/>
    <mergeCell ref="C55:I55"/>
    <mergeCell ref="C56:I56"/>
    <mergeCell ref="C45:I45"/>
    <mergeCell ref="B26:E26"/>
    <mergeCell ref="G26:I26"/>
    <mergeCell ref="B27:E27"/>
    <mergeCell ref="G27:I27"/>
    <mergeCell ref="B28:E28"/>
    <mergeCell ref="G28:I28"/>
    <mergeCell ref="B37:K39"/>
    <mergeCell ref="B40:K40"/>
    <mergeCell ref="B41:E41"/>
    <mergeCell ref="F41:I41"/>
    <mergeCell ref="J41:K41"/>
    <mergeCell ref="B36:K36"/>
    <mergeCell ref="C43:I43"/>
    <mergeCell ref="C44:I44"/>
    <mergeCell ref="B23:E23"/>
    <mergeCell ref="G23:I23"/>
    <mergeCell ref="B24:E24"/>
    <mergeCell ref="G24:I24"/>
    <mergeCell ref="B25:E25"/>
    <mergeCell ref="G25:I25"/>
    <mergeCell ref="E22:K22"/>
    <mergeCell ref="B10:K10"/>
    <mergeCell ref="B12:K12"/>
    <mergeCell ref="D13:K13"/>
    <mergeCell ref="D14:K14"/>
    <mergeCell ref="D15:K15"/>
    <mergeCell ref="D16:K16"/>
    <mergeCell ref="D17:K17"/>
    <mergeCell ref="D18:K18"/>
    <mergeCell ref="D19:K19"/>
    <mergeCell ref="E20:K20"/>
    <mergeCell ref="E21:K21"/>
    <mergeCell ref="B2:K2"/>
    <mergeCell ref="B4:K4"/>
    <mergeCell ref="B7:E7"/>
    <mergeCell ref="I7:K7"/>
    <mergeCell ref="B8:E8"/>
    <mergeCell ref="I8:K8"/>
  </mergeCells>
  <dataValidations count="1">
    <dataValidation type="whole" allowBlank="1" showInputMessage="1" showErrorMessage="1" sqref="WVP983083 JD60 SZ60 ACV60 AMR60 AWN60 BGJ60 BQF60 CAB60 CJX60 CTT60 DDP60 DNL60 DXH60 EHD60 EQZ60 FAV60 FKR60 FUN60 GEJ60 GOF60 GYB60 HHX60 HRT60 IBP60 ILL60 IVH60 JFD60 JOZ60 JYV60 KIR60 KSN60 LCJ60 LMF60 LWB60 MFX60 MPT60 MZP60 NJL60 NTH60 ODD60 OMZ60 OWV60 PGR60 PQN60 QAJ60 QKF60 QUB60 RDX60 RNT60 RXP60 SHL60 SRH60 TBD60 TKZ60 TUV60 UER60 UON60 UYJ60 VIF60 VSB60 WBX60 WLT60 WVP60 K65596 JD65596 SZ65596 ACV65596 AMR65596 AWN65596 BGJ65596 BQF65596 CAB65596 CJX65596 CTT65596 DDP65596 DNL65596 DXH65596 EHD65596 EQZ65596 FAV65596 FKR65596 FUN65596 GEJ65596 GOF65596 GYB65596 HHX65596 HRT65596 IBP65596 ILL65596 IVH65596 JFD65596 JOZ65596 JYV65596 KIR65596 KSN65596 LCJ65596 LMF65596 LWB65596 MFX65596 MPT65596 MZP65596 NJL65596 NTH65596 ODD65596 OMZ65596 OWV65596 PGR65596 PQN65596 QAJ65596 QKF65596 QUB65596 RDX65596 RNT65596 RXP65596 SHL65596 SRH65596 TBD65596 TKZ65596 TUV65596 UER65596 UON65596 UYJ65596 VIF65596 VSB65596 WBX65596 WLT65596 WVP65596 K131132 JD131132 SZ131132 ACV131132 AMR131132 AWN131132 BGJ131132 BQF131132 CAB131132 CJX131132 CTT131132 DDP131132 DNL131132 DXH131132 EHD131132 EQZ131132 FAV131132 FKR131132 FUN131132 GEJ131132 GOF131132 GYB131132 HHX131132 HRT131132 IBP131132 ILL131132 IVH131132 JFD131132 JOZ131132 JYV131132 KIR131132 KSN131132 LCJ131132 LMF131132 LWB131132 MFX131132 MPT131132 MZP131132 NJL131132 NTH131132 ODD131132 OMZ131132 OWV131132 PGR131132 PQN131132 QAJ131132 QKF131132 QUB131132 RDX131132 RNT131132 RXP131132 SHL131132 SRH131132 TBD131132 TKZ131132 TUV131132 UER131132 UON131132 UYJ131132 VIF131132 VSB131132 WBX131132 WLT131132 WVP131132 K196668 JD196668 SZ196668 ACV196668 AMR196668 AWN196668 BGJ196668 BQF196668 CAB196668 CJX196668 CTT196668 DDP196668 DNL196668 DXH196668 EHD196668 EQZ196668 FAV196668 FKR196668 FUN196668 GEJ196668 GOF196668 GYB196668 HHX196668 HRT196668 IBP196668 ILL196668 IVH196668 JFD196668 JOZ196668 JYV196668 KIR196668 KSN196668 LCJ196668 LMF196668 LWB196668 MFX196668 MPT196668 MZP196668 NJL196668 NTH196668 ODD196668 OMZ196668 OWV196668 PGR196668 PQN196668 QAJ196668 QKF196668 QUB196668 RDX196668 RNT196668 RXP196668 SHL196668 SRH196668 TBD196668 TKZ196668 TUV196668 UER196668 UON196668 UYJ196668 VIF196668 VSB196668 WBX196668 WLT196668 WVP196668 K262204 JD262204 SZ262204 ACV262204 AMR262204 AWN262204 BGJ262204 BQF262204 CAB262204 CJX262204 CTT262204 DDP262204 DNL262204 DXH262204 EHD262204 EQZ262204 FAV262204 FKR262204 FUN262204 GEJ262204 GOF262204 GYB262204 HHX262204 HRT262204 IBP262204 ILL262204 IVH262204 JFD262204 JOZ262204 JYV262204 KIR262204 KSN262204 LCJ262204 LMF262204 LWB262204 MFX262204 MPT262204 MZP262204 NJL262204 NTH262204 ODD262204 OMZ262204 OWV262204 PGR262204 PQN262204 QAJ262204 QKF262204 QUB262204 RDX262204 RNT262204 RXP262204 SHL262204 SRH262204 TBD262204 TKZ262204 TUV262204 UER262204 UON262204 UYJ262204 VIF262204 VSB262204 WBX262204 WLT262204 WVP262204 K327740 JD327740 SZ327740 ACV327740 AMR327740 AWN327740 BGJ327740 BQF327740 CAB327740 CJX327740 CTT327740 DDP327740 DNL327740 DXH327740 EHD327740 EQZ327740 FAV327740 FKR327740 FUN327740 GEJ327740 GOF327740 GYB327740 HHX327740 HRT327740 IBP327740 ILL327740 IVH327740 JFD327740 JOZ327740 JYV327740 KIR327740 KSN327740 LCJ327740 LMF327740 LWB327740 MFX327740 MPT327740 MZP327740 NJL327740 NTH327740 ODD327740 OMZ327740 OWV327740 PGR327740 PQN327740 QAJ327740 QKF327740 QUB327740 RDX327740 RNT327740 RXP327740 SHL327740 SRH327740 TBD327740 TKZ327740 TUV327740 UER327740 UON327740 UYJ327740 VIF327740 VSB327740 WBX327740 WLT327740 WVP327740 K393276 JD393276 SZ393276 ACV393276 AMR393276 AWN393276 BGJ393276 BQF393276 CAB393276 CJX393276 CTT393276 DDP393276 DNL393276 DXH393276 EHD393276 EQZ393276 FAV393276 FKR393276 FUN393276 GEJ393276 GOF393276 GYB393276 HHX393276 HRT393276 IBP393276 ILL393276 IVH393276 JFD393276 JOZ393276 JYV393276 KIR393276 KSN393276 LCJ393276 LMF393276 LWB393276 MFX393276 MPT393276 MZP393276 NJL393276 NTH393276 ODD393276 OMZ393276 OWV393276 PGR393276 PQN393276 QAJ393276 QKF393276 QUB393276 RDX393276 RNT393276 RXP393276 SHL393276 SRH393276 TBD393276 TKZ393276 TUV393276 UER393276 UON393276 UYJ393276 VIF393276 VSB393276 WBX393276 WLT393276 WVP393276 K458812 JD458812 SZ458812 ACV458812 AMR458812 AWN458812 BGJ458812 BQF458812 CAB458812 CJX458812 CTT458812 DDP458812 DNL458812 DXH458812 EHD458812 EQZ458812 FAV458812 FKR458812 FUN458812 GEJ458812 GOF458812 GYB458812 HHX458812 HRT458812 IBP458812 ILL458812 IVH458812 JFD458812 JOZ458812 JYV458812 KIR458812 KSN458812 LCJ458812 LMF458812 LWB458812 MFX458812 MPT458812 MZP458812 NJL458812 NTH458812 ODD458812 OMZ458812 OWV458812 PGR458812 PQN458812 QAJ458812 QKF458812 QUB458812 RDX458812 RNT458812 RXP458812 SHL458812 SRH458812 TBD458812 TKZ458812 TUV458812 UER458812 UON458812 UYJ458812 VIF458812 VSB458812 WBX458812 WLT458812 WVP458812 K524348 JD524348 SZ524348 ACV524348 AMR524348 AWN524348 BGJ524348 BQF524348 CAB524348 CJX524348 CTT524348 DDP524348 DNL524348 DXH524348 EHD524348 EQZ524348 FAV524348 FKR524348 FUN524348 GEJ524348 GOF524348 GYB524348 HHX524348 HRT524348 IBP524348 ILL524348 IVH524348 JFD524348 JOZ524348 JYV524348 KIR524348 KSN524348 LCJ524348 LMF524348 LWB524348 MFX524348 MPT524348 MZP524348 NJL524348 NTH524348 ODD524348 OMZ524348 OWV524348 PGR524348 PQN524348 QAJ524348 QKF524348 QUB524348 RDX524348 RNT524348 RXP524348 SHL524348 SRH524348 TBD524348 TKZ524348 TUV524348 UER524348 UON524348 UYJ524348 VIF524348 VSB524348 WBX524348 WLT524348 WVP524348 K589884 JD589884 SZ589884 ACV589884 AMR589884 AWN589884 BGJ589884 BQF589884 CAB589884 CJX589884 CTT589884 DDP589884 DNL589884 DXH589884 EHD589884 EQZ589884 FAV589884 FKR589884 FUN589884 GEJ589884 GOF589884 GYB589884 HHX589884 HRT589884 IBP589884 ILL589884 IVH589884 JFD589884 JOZ589884 JYV589884 KIR589884 KSN589884 LCJ589884 LMF589884 LWB589884 MFX589884 MPT589884 MZP589884 NJL589884 NTH589884 ODD589884 OMZ589884 OWV589884 PGR589884 PQN589884 QAJ589884 QKF589884 QUB589884 RDX589884 RNT589884 RXP589884 SHL589884 SRH589884 TBD589884 TKZ589884 TUV589884 UER589884 UON589884 UYJ589884 VIF589884 VSB589884 WBX589884 WLT589884 WVP589884 K655420 JD655420 SZ655420 ACV655420 AMR655420 AWN655420 BGJ655420 BQF655420 CAB655420 CJX655420 CTT655420 DDP655420 DNL655420 DXH655420 EHD655420 EQZ655420 FAV655420 FKR655420 FUN655420 GEJ655420 GOF655420 GYB655420 HHX655420 HRT655420 IBP655420 ILL655420 IVH655420 JFD655420 JOZ655420 JYV655420 KIR655420 KSN655420 LCJ655420 LMF655420 LWB655420 MFX655420 MPT655420 MZP655420 NJL655420 NTH655420 ODD655420 OMZ655420 OWV655420 PGR655420 PQN655420 QAJ655420 QKF655420 QUB655420 RDX655420 RNT655420 RXP655420 SHL655420 SRH655420 TBD655420 TKZ655420 TUV655420 UER655420 UON655420 UYJ655420 VIF655420 VSB655420 WBX655420 WLT655420 WVP655420 K720956 JD720956 SZ720956 ACV720956 AMR720956 AWN720956 BGJ720956 BQF720956 CAB720956 CJX720956 CTT720956 DDP720956 DNL720956 DXH720956 EHD720956 EQZ720956 FAV720956 FKR720956 FUN720956 GEJ720956 GOF720956 GYB720956 HHX720956 HRT720956 IBP720956 ILL720956 IVH720956 JFD720956 JOZ720956 JYV720956 KIR720956 KSN720956 LCJ720956 LMF720956 LWB720956 MFX720956 MPT720956 MZP720956 NJL720956 NTH720956 ODD720956 OMZ720956 OWV720956 PGR720956 PQN720956 QAJ720956 QKF720956 QUB720956 RDX720956 RNT720956 RXP720956 SHL720956 SRH720956 TBD720956 TKZ720956 TUV720956 UER720956 UON720956 UYJ720956 VIF720956 VSB720956 WBX720956 WLT720956 WVP720956 K786492 JD786492 SZ786492 ACV786492 AMR786492 AWN786492 BGJ786492 BQF786492 CAB786492 CJX786492 CTT786492 DDP786492 DNL786492 DXH786492 EHD786492 EQZ786492 FAV786492 FKR786492 FUN786492 GEJ786492 GOF786492 GYB786492 HHX786492 HRT786492 IBP786492 ILL786492 IVH786492 JFD786492 JOZ786492 JYV786492 KIR786492 KSN786492 LCJ786492 LMF786492 LWB786492 MFX786492 MPT786492 MZP786492 NJL786492 NTH786492 ODD786492 OMZ786492 OWV786492 PGR786492 PQN786492 QAJ786492 QKF786492 QUB786492 RDX786492 RNT786492 RXP786492 SHL786492 SRH786492 TBD786492 TKZ786492 TUV786492 UER786492 UON786492 UYJ786492 VIF786492 VSB786492 WBX786492 WLT786492 WVP786492 K852028 JD852028 SZ852028 ACV852028 AMR852028 AWN852028 BGJ852028 BQF852028 CAB852028 CJX852028 CTT852028 DDP852028 DNL852028 DXH852028 EHD852028 EQZ852028 FAV852028 FKR852028 FUN852028 GEJ852028 GOF852028 GYB852028 HHX852028 HRT852028 IBP852028 ILL852028 IVH852028 JFD852028 JOZ852028 JYV852028 KIR852028 KSN852028 LCJ852028 LMF852028 LWB852028 MFX852028 MPT852028 MZP852028 NJL852028 NTH852028 ODD852028 OMZ852028 OWV852028 PGR852028 PQN852028 QAJ852028 QKF852028 QUB852028 RDX852028 RNT852028 RXP852028 SHL852028 SRH852028 TBD852028 TKZ852028 TUV852028 UER852028 UON852028 UYJ852028 VIF852028 VSB852028 WBX852028 WLT852028 WVP852028 K917564 JD917564 SZ917564 ACV917564 AMR917564 AWN917564 BGJ917564 BQF917564 CAB917564 CJX917564 CTT917564 DDP917564 DNL917564 DXH917564 EHD917564 EQZ917564 FAV917564 FKR917564 FUN917564 GEJ917564 GOF917564 GYB917564 HHX917564 HRT917564 IBP917564 ILL917564 IVH917564 JFD917564 JOZ917564 JYV917564 KIR917564 KSN917564 LCJ917564 LMF917564 LWB917564 MFX917564 MPT917564 MZP917564 NJL917564 NTH917564 ODD917564 OMZ917564 OWV917564 PGR917564 PQN917564 QAJ917564 QKF917564 QUB917564 RDX917564 RNT917564 RXP917564 SHL917564 SRH917564 TBD917564 TKZ917564 TUV917564 UER917564 UON917564 UYJ917564 VIF917564 VSB917564 WBX917564 WLT917564 WVP917564 K983100 JD983100 SZ983100 ACV983100 AMR983100 AWN983100 BGJ983100 BQF983100 CAB983100 CJX983100 CTT983100 DDP983100 DNL983100 DXH983100 EHD983100 EQZ983100 FAV983100 FKR983100 FUN983100 GEJ983100 GOF983100 GYB983100 HHX983100 HRT983100 IBP983100 ILL983100 IVH983100 JFD983100 JOZ983100 JYV983100 KIR983100 KSN983100 LCJ983100 LMF983100 LWB983100 MFX983100 MPT983100 MZP983100 NJL983100 NTH983100 ODD983100 OMZ983100 OWV983100 PGR983100 PQN983100 QAJ983100 QKF983100 QUB983100 RDX983100 RNT983100 RXP983100 SHL983100 SRH983100 TBD983100 TKZ983100 TUV983100 UER983100 UON983100 UYJ983100 VIF983100 VSB983100 WBX983100 WLT983100 WVP983100 WLT983083 JD44 SZ44 ACV44 AMR44 AWN44 BGJ44 BQF44 CAB44 CJX44 CTT44 DDP44 DNL44 DXH44 EHD44 EQZ44 FAV44 FKR44 FUN44 GEJ44 GOF44 GYB44 HHX44 HRT44 IBP44 ILL44 IVH44 JFD44 JOZ44 JYV44 KIR44 KSN44 LCJ44 LMF44 LWB44 MFX44 MPT44 MZP44 NJL44 NTH44 ODD44 OMZ44 OWV44 PGR44 PQN44 QAJ44 QKF44 QUB44 RDX44 RNT44 RXP44 SHL44 SRH44 TBD44 TKZ44 TUV44 UER44 UON44 UYJ44 VIF44 VSB44 WBX44 WLT44 WVP44 K65579 JD65579 SZ65579 ACV65579 AMR65579 AWN65579 BGJ65579 BQF65579 CAB65579 CJX65579 CTT65579 DDP65579 DNL65579 DXH65579 EHD65579 EQZ65579 FAV65579 FKR65579 FUN65579 GEJ65579 GOF65579 GYB65579 HHX65579 HRT65579 IBP65579 ILL65579 IVH65579 JFD65579 JOZ65579 JYV65579 KIR65579 KSN65579 LCJ65579 LMF65579 LWB65579 MFX65579 MPT65579 MZP65579 NJL65579 NTH65579 ODD65579 OMZ65579 OWV65579 PGR65579 PQN65579 QAJ65579 QKF65579 QUB65579 RDX65579 RNT65579 RXP65579 SHL65579 SRH65579 TBD65579 TKZ65579 TUV65579 UER65579 UON65579 UYJ65579 VIF65579 VSB65579 WBX65579 WLT65579 WVP65579 K131115 JD131115 SZ131115 ACV131115 AMR131115 AWN131115 BGJ131115 BQF131115 CAB131115 CJX131115 CTT131115 DDP131115 DNL131115 DXH131115 EHD131115 EQZ131115 FAV131115 FKR131115 FUN131115 GEJ131115 GOF131115 GYB131115 HHX131115 HRT131115 IBP131115 ILL131115 IVH131115 JFD131115 JOZ131115 JYV131115 KIR131115 KSN131115 LCJ131115 LMF131115 LWB131115 MFX131115 MPT131115 MZP131115 NJL131115 NTH131115 ODD131115 OMZ131115 OWV131115 PGR131115 PQN131115 QAJ131115 QKF131115 QUB131115 RDX131115 RNT131115 RXP131115 SHL131115 SRH131115 TBD131115 TKZ131115 TUV131115 UER131115 UON131115 UYJ131115 VIF131115 VSB131115 WBX131115 WLT131115 WVP131115 K196651 JD196651 SZ196651 ACV196651 AMR196651 AWN196651 BGJ196651 BQF196651 CAB196651 CJX196651 CTT196651 DDP196651 DNL196651 DXH196651 EHD196651 EQZ196651 FAV196651 FKR196651 FUN196651 GEJ196651 GOF196651 GYB196651 HHX196651 HRT196651 IBP196651 ILL196651 IVH196651 JFD196651 JOZ196651 JYV196651 KIR196651 KSN196651 LCJ196651 LMF196651 LWB196651 MFX196651 MPT196651 MZP196651 NJL196651 NTH196651 ODD196651 OMZ196651 OWV196651 PGR196651 PQN196651 QAJ196651 QKF196651 QUB196651 RDX196651 RNT196651 RXP196651 SHL196651 SRH196651 TBD196651 TKZ196651 TUV196651 UER196651 UON196651 UYJ196651 VIF196651 VSB196651 WBX196651 WLT196651 WVP196651 K262187 JD262187 SZ262187 ACV262187 AMR262187 AWN262187 BGJ262187 BQF262187 CAB262187 CJX262187 CTT262187 DDP262187 DNL262187 DXH262187 EHD262187 EQZ262187 FAV262187 FKR262187 FUN262187 GEJ262187 GOF262187 GYB262187 HHX262187 HRT262187 IBP262187 ILL262187 IVH262187 JFD262187 JOZ262187 JYV262187 KIR262187 KSN262187 LCJ262187 LMF262187 LWB262187 MFX262187 MPT262187 MZP262187 NJL262187 NTH262187 ODD262187 OMZ262187 OWV262187 PGR262187 PQN262187 QAJ262187 QKF262187 QUB262187 RDX262187 RNT262187 RXP262187 SHL262187 SRH262187 TBD262187 TKZ262187 TUV262187 UER262187 UON262187 UYJ262187 VIF262187 VSB262187 WBX262187 WLT262187 WVP262187 K327723 JD327723 SZ327723 ACV327723 AMR327723 AWN327723 BGJ327723 BQF327723 CAB327723 CJX327723 CTT327723 DDP327723 DNL327723 DXH327723 EHD327723 EQZ327723 FAV327723 FKR327723 FUN327723 GEJ327723 GOF327723 GYB327723 HHX327723 HRT327723 IBP327723 ILL327723 IVH327723 JFD327723 JOZ327723 JYV327723 KIR327723 KSN327723 LCJ327723 LMF327723 LWB327723 MFX327723 MPT327723 MZP327723 NJL327723 NTH327723 ODD327723 OMZ327723 OWV327723 PGR327723 PQN327723 QAJ327723 QKF327723 QUB327723 RDX327723 RNT327723 RXP327723 SHL327723 SRH327723 TBD327723 TKZ327723 TUV327723 UER327723 UON327723 UYJ327723 VIF327723 VSB327723 WBX327723 WLT327723 WVP327723 K393259 JD393259 SZ393259 ACV393259 AMR393259 AWN393259 BGJ393259 BQF393259 CAB393259 CJX393259 CTT393259 DDP393259 DNL393259 DXH393259 EHD393259 EQZ393259 FAV393259 FKR393259 FUN393259 GEJ393259 GOF393259 GYB393259 HHX393259 HRT393259 IBP393259 ILL393259 IVH393259 JFD393259 JOZ393259 JYV393259 KIR393259 KSN393259 LCJ393259 LMF393259 LWB393259 MFX393259 MPT393259 MZP393259 NJL393259 NTH393259 ODD393259 OMZ393259 OWV393259 PGR393259 PQN393259 QAJ393259 QKF393259 QUB393259 RDX393259 RNT393259 RXP393259 SHL393259 SRH393259 TBD393259 TKZ393259 TUV393259 UER393259 UON393259 UYJ393259 VIF393259 VSB393259 WBX393259 WLT393259 WVP393259 K458795 JD458795 SZ458795 ACV458795 AMR458795 AWN458795 BGJ458795 BQF458795 CAB458795 CJX458795 CTT458795 DDP458795 DNL458795 DXH458795 EHD458795 EQZ458795 FAV458795 FKR458795 FUN458795 GEJ458795 GOF458795 GYB458795 HHX458795 HRT458795 IBP458795 ILL458795 IVH458795 JFD458795 JOZ458795 JYV458795 KIR458795 KSN458795 LCJ458795 LMF458795 LWB458795 MFX458795 MPT458795 MZP458795 NJL458795 NTH458795 ODD458795 OMZ458795 OWV458795 PGR458795 PQN458795 QAJ458795 QKF458795 QUB458795 RDX458795 RNT458795 RXP458795 SHL458795 SRH458795 TBD458795 TKZ458795 TUV458795 UER458795 UON458795 UYJ458795 VIF458795 VSB458795 WBX458795 WLT458795 WVP458795 K524331 JD524331 SZ524331 ACV524331 AMR524331 AWN524331 BGJ524331 BQF524331 CAB524331 CJX524331 CTT524331 DDP524331 DNL524331 DXH524331 EHD524331 EQZ524331 FAV524331 FKR524331 FUN524331 GEJ524331 GOF524331 GYB524331 HHX524331 HRT524331 IBP524331 ILL524331 IVH524331 JFD524331 JOZ524331 JYV524331 KIR524331 KSN524331 LCJ524331 LMF524331 LWB524331 MFX524331 MPT524331 MZP524331 NJL524331 NTH524331 ODD524331 OMZ524331 OWV524331 PGR524331 PQN524331 QAJ524331 QKF524331 QUB524331 RDX524331 RNT524331 RXP524331 SHL524331 SRH524331 TBD524331 TKZ524331 TUV524331 UER524331 UON524331 UYJ524331 VIF524331 VSB524331 WBX524331 WLT524331 WVP524331 K589867 JD589867 SZ589867 ACV589867 AMR589867 AWN589867 BGJ589867 BQF589867 CAB589867 CJX589867 CTT589867 DDP589867 DNL589867 DXH589867 EHD589867 EQZ589867 FAV589867 FKR589867 FUN589867 GEJ589867 GOF589867 GYB589867 HHX589867 HRT589867 IBP589867 ILL589867 IVH589867 JFD589867 JOZ589867 JYV589867 KIR589867 KSN589867 LCJ589867 LMF589867 LWB589867 MFX589867 MPT589867 MZP589867 NJL589867 NTH589867 ODD589867 OMZ589867 OWV589867 PGR589867 PQN589867 QAJ589867 QKF589867 QUB589867 RDX589867 RNT589867 RXP589867 SHL589867 SRH589867 TBD589867 TKZ589867 TUV589867 UER589867 UON589867 UYJ589867 VIF589867 VSB589867 WBX589867 WLT589867 WVP589867 K655403 JD655403 SZ655403 ACV655403 AMR655403 AWN655403 BGJ655403 BQF655403 CAB655403 CJX655403 CTT655403 DDP655403 DNL655403 DXH655403 EHD655403 EQZ655403 FAV655403 FKR655403 FUN655403 GEJ655403 GOF655403 GYB655403 HHX655403 HRT655403 IBP655403 ILL655403 IVH655403 JFD655403 JOZ655403 JYV655403 KIR655403 KSN655403 LCJ655403 LMF655403 LWB655403 MFX655403 MPT655403 MZP655403 NJL655403 NTH655403 ODD655403 OMZ655403 OWV655403 PGR655403 PQN655403 QAJ655403 QKF655403 QUB655403 RDX655403 RNT655403 RXP655403 SHL655403 SRH655403 TBD655403 TKZ655403 TUV655403 UER655403 UON655403 UYJ655403 VIF655403 VSB655403 WBX655403 WLT655403 WVP655403 K720939 JD720939 SZ720939 ACV720939 AMR720939 AWN720939 BGJ720939 BQF720939 CAB720939 CJX720939 CTT720939 DDP720939 DNL720939 DXH720939 EHD720939 EQZ720939 FAV720939 FKR720939 FUN720939 GEJ720939 GOF720939 GYB720939 HHX720939 HRT720939 IBP720939 ILL720939 IVH720939 JFD720939 JOZ720939 JYV720939 KIR720939 KSN720939 LCJ720939 LMF720939 LWB720939 MFX720939 MPT720939 MZP720939 NJL720939 NTH720939 ODD720939 OMZ720939 OWV720939 PGR720939 PQN720939 QAJ720939 QKF720939 QUB720939 RDX720939 RNT720939 RXP720939 SHL720939 SRH720939 TBD720939 TKZ720939 TUV720939 UER720939 UON720939 UYJ720939 VIF720939 VSB720939 WBX720939 WLT720939 WVP720939 K786475 JD786475 SZ786475 ACV786475 AMR786475 AWN786475 BGJ786475 BQF786475 CAB786475 CJX786475 CTT786475 DDP786475 DNL786475 DXH786475 EHD786475 EQZ786475 FAV786475 FKR786475 FUN786475 GEJ786475 GOF786475 GYB786475 HHX786475 HRT786475 IBP786475 ILL786475 IVH786475 JFD786475 JOZ786475 JYV786475 KIR786475 KSN786475 LCJ786475 LMF786475 LWB786475 MFX786475 MPT786475 MZP786475 NJL786475 NTH786475 ODD786475 OMZ786475 OWV786475 PGR786475 PQN786475 QAJ786475 QKF786475 QUB786475 RDX786475 RNT786475 RXP786475 SHL786475 SRH786475 TBD786475 TKZ786475 TUV786475 UER786475 UON786475 UYJ786475 VIF786475 VSB786475 WBX786475 WLT786475 WVP786475 K852011 JD852011 SZ852011 ACV852011 AMR852011 AWN852011 BGJ852011 BQF852011 CAB852011 CJX852011 CTT852011 DDP852011 DNL852011 DXH852011 EHD852011 EQZ852011 FAV852011 FKR852011 FUN852011 GEJ852011 GOF852011 GYB852011 HHX852011 HRT852011 IBP852011 ILL852011 IVH852011 JFD852011 JOZ852011 JYV852011 KIR852011 KSN852011 LCJ852011 LMF852011 LWB852011 MFX852011 MPT852011 MZP852011 NJL852011 NTH852011 ODD852011 OMZ852011 OWV852011 PGR852011 PQN852011 QAJ852011 QKF852011 QUB852011 RDX852011 RNT852011 RXP852011 SHL852011 SRH852011 TBD852011 TKZ852011 TUV852011 UER852011 UON852011 UYJ852011 VIF852011 VSB852011 WBX852011 WLT852011 WVP852011 K917547 JD917547 SZ917547 ACV917547 AMR917547 AWN917547 BGJ917547 BQF917547 CAB917547 CJX917547 CTT917547 DDP917547 DNL917547 DXH917547 EHD917547 EQZ917547 FAV917547 FKR917547 FUN917547 GEJ917547 GOF917547 GYB917547 HHX917547 HRT917547 IBP917547 ILL917547 IVH917547 JFD917547 JOZ917547 JYV917547 KIR917547 KSN917547 LCJ917547 LMF917547 LWB917547 MFX917547 MPT917547 MZP917547 NJL917547 NTH917547 ODD917547 OMZ917547 OWV917547 PGR917547 PQN917547 QAJ917547 QKF917547 QUB917547 RDX917547 RNT917547 RXP917547 SHL917547 SRH917547 TBD917547 TKZ917547 TUV917547 UER917547 UON917547 UYJ917547 VIF917547 VSB917547 WBX917547 WLT917547 WVP917547 K983083 JD983083 SZ983083 ACV983083 AMR983083 AWN983083 BGJ983083 BQF983083 CAB983083 CJX983083 CTT983083 DDP983083 DNL983083 DXH983083 EHD983083 EQZ983083 FAV983083 FKR983083 FUN983083 GEJ983083 GOF983083 GYB983083 HHX983083 HRT983083 IBP983083 ILL983083 IVH983083 JFD983083 JOZ983083 JYV983083 KIR983083 KSN983083 LCJ983083 LMF983083 LWB983083 MFX983083 MPT983083 MZP983083 NJL983083 NTH983083 ODD983083 OMZ983083 OWV983083 PGR983083 PQN983083 QAJ983083 QKF983083 QUB983083 RDX983083 RNT983083 RXP983083 SHL983083 SRH983083 TBD983083 TKZ983083 TUV983083 UER983083 UON983083 UYJ983083 VIF983083 VSB983083 WBX983083 K44">
      <formula1>0</formula1>
      <formula2>10000</formula2>
    </dataValidation>
  </dataValidations>
  <pageMargins left="0.7" right="0.7" top="0.75" bottom="0.75" header="0.3" footer="0.3"/>
  <pageSetup scale="75" orientation="portrait" r:id="rId1"/>
  <rowBreaks count="2" manualBreakCount="2">
    <brk id="34" max="16383" man="1"/>
    <brk id="6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locked="0" defaultSize="0" autoFill="0" autoLine="0" autoPict="0">
                <anchor moveWithCells="1">
                  <from>
                    <xdr:col>3</xdr:col>
                    <xdr:colOff>76200</xdr:colOff>
                    <xdr:row>19</xdr:row>
                    <xdr:rowOff>47625</xdr:rowOff>
                  </from>
                  <to>
                    <xdr:col>4</xdr:col>
                    <xdr:colOff>57150</xdr:colOff>
                    <xdr:row>20</xdr:row>
                    <xdr:rowOff>0</xdr:rowOff>
                  </to>
                </anchor>
              </controlPr>
            </control>
          </mc:Choice>
        </mc:AlternateContent>
        <mc:AlternateContent xmlns:mc="http://schemas.openxmlformats.org/markup-compatibility/2006">
          <mc:Choice Requires="x14">
            <control shapeId="3074" r:id="rId5" name="Check Box 2">
              <controlPr locked="0" defaultSize="0" autoFill="0" autoLine="0" autoPict="0">
                <anchor moveWithCells="1">
                  <from>
                    <xdr:col>2</xdr:col>
                    <xdr:colOff>9525</xdr:colOff>
                    <xdr:row>12</xdr:row>
                    <xdr:rowOff>19050</xdr:rowOff>
                  </from>
                  <to>
                    <xdr:col>3</xdr:col>
                    <xdr:colOff>66675</xdr:colOff>
                    <xdr:row>13</xdr:row>
                    <xdr:rowOff>0</xdr:rowOff>
                  </to>
                </anchor>
              </controlPr>
            </control>
          </mc:Choice>
        </mc:AlternateContent>
        <mc:AlternateContent xmlns:mc="http://schemas.openxmlformats.org/markup-compatibility/2006">
          <mc:Choice Requires="x14">
            <control shapeId="3075" r:id="rId6" name="Check Box 3">
              <controlPr locked="0" defaultSize="0" autoFill="0" autoLine="0" autoPict="0">
                <anchor moveWithCells="1">
                  <from>
                    <xdr:col>2</xdr:col>
                    <xdr:colOff>9525</xdr:colOff>
                    <xdr:row>13</xdr:row>
                    <xdr:rowOff>9525</xdr:rowOff>
                  </from>
                  <to>
                    <xdr:col>3</xdr:col>
                    <xdr:colOff>66675</xdr:colOff>
                    <xdr:row>14</xdr:row>
                    <xdr:rowOff>0</xdr:rowOff>
                  </to>
                </anchor>
              </controlPr>
            </control>
          </mc:Choice>
        </mc:AlternateContent>
        <mc:AlternateContent xmlns:mc="http://schemas.openxmlformats.org/markup-compatibility/2006">
          <mc:Choice Requires="x14">
            <control shapeId="3076" r:id="rId7" name="Check Box 4">
              <controlPr locked="0" defaultSize="0" autoFill="0" autoLine="0" autoPict="0">
                <anchor moveWithCells="1">
                  <from>
                    <xdr:col>2</xdr:col>
                    <xdr:colOff>9525</xdr:colOff>
                    <xdr:row>14</xdr:row>
                    <xdr:rowOff>28575</xdr:rowOff>
                  </from>
                  <to>
                    <xdr:col>3</xdr:col>
                    <xdr:colOff>66675</xdr:colOff>
                    <xdr:row>15</xdr:row>
                    <xdr:rowOff>0</xdr:rowOff>
                  </to>
                </anchor>
              </controlPr>
            </control>
          </mc:Choice>
        </mc:AlternateContent>
        <mc:AlternateContent xmlns:mc="http://schemas.openxmlformats.org/markup-compatibility/2006">
          <mc:Choice Requires="x14">
            <control shapeId="3077" r:id="rId8" name="Check Box 5">
              <controlPr locked="0" defaultSize="0" autoFill="0" autoLine="0" autoPict="0">
                <anchor moveWithCells="1">
                  <from>
                    <xdr:col>2</xdr:col>
                    <xdr:colOff>9525</xdr:colOff>
                    <xdr:row>15</xdr:row>
                    <xdr:rowOff>28575</xdr:rowOff>
                  </from>
                  <to>
                    <xdr:col>3</xdr:col>
                    <xdr:colOff>66675</xdr:colOff>
                    <xdr:row>16</xdr:row>
                    <xdr:rowOff>0</xdr:rowOff>
                  </to>
                </anchor>
              </controlPr>
            </control>
          </mc:Choice>
        </mc:AlternateContent>
        <mc:AlternateContent xmlns:mc="http://schemas.openxmlformats.org/markup-compatibility/2006">
          <mc:Choice Requires="x14">
            <control shapeId="3078" r:id="rId9" name="Check Box 6">
              <controlPr locked="0" defaultSize="0" autoFill="0" autoLine="0" autoPict="0">
                <anchor moveWithCells="1">
                  <from>
                    <xdr:col>2</xdr:col>
                    <xdr:colOff>9525</xdr:colOff>
                    <xdr:row>17</xdr:row>
                    <xdr:rowOff>38100</xdr:rowOff>
                  </from>
                  <to>
                    <xdr:col>3</xdr:col>
                    <xdr:colOff>66675</xdr:colOff>
                    <xdr:row>18</xdr:row>
                    <xdr:rowOff>0</xdr:rowOff>
                  </to>
                </anchor>
              </controlPr>
            </control>
          </mc:Choice>
        </mc:AlternateContent>
        <mc:AlternateContent xmlns:mc="http://schemas.openxmlformats.org/markup-compatibility/2006">
          <mc:Choice Requires="x14">
            <control shapeId="3079" r:id="rId10" name="Check Box 7">
              <controlPr locked="0" defaultSize="0" autoFill="0" autoLine="0" autoPict="0">
                <anchor moveWithCells="1">
                  <from>
                    <xdr:col>2</xdr:col>
                    <xdr:colOff>9525</xdr:colOff>
                    <xdr:row>18</xdr:row>
                    <xdr:rowOff>47625</xdr:rowOff>
                  </from>
                  <to>
                    <xdr:col>3</xdr:col>
                    <xdr:colOff>66675</xdr:colOff>
                    <xdr:row>19</xdr:row>
                    <xdr:rowOff>9525</xdr:rowOff>
                  </to>
                </anchor>
              </controlPr>
            </control>
          </mc:Choice>
        </mc:AlternateContent>
        <mc:AlternateContent xmlns:mc="http://schemas.openxmlformats.org/markup-compatibility/2006">
          <mc:Choice Requires="x14">
            <control shapeId="3080" r:id="rId11" name="Check Box 8">
              <controlPr locked="0" defaultSize="0" autoFill="0" autoLine="0" autoPict="0">
                <anchor moveWithCells="1">
                  <from>
                    <xdr:col>2</xdr:col>
                    <xdr:colOff>9525</xdr:colOff>
                    <xdr:row>16</xdr:row>
                    <xdr:rowOff>38100</xdr:rowOff>
                  </from>
                  <to>
                    <xdr:col>3</xdr:col>
                    <xdr:colOff>66675</xdr:colOff>
                    <xdr:row>17</xdr:row>
                    <xdr:rowOff>0</xdr:rowOff>
                  </to>
                </anchor>
              </controlPr>
            </control>
          </mc:Choice>
        </mc:AlternateContent>
        <mc:AlternateContent xmlns:mc="http://schemas.openxmlformats.org/markup-compatibility/2006">
          <mc:Choice Requires="x14">
            <control shapeId="3081" r:id="rId12" name="Check Box 9">
              <controlPr locked="0" defaultSize="0" autoFill="0" autoLine="0" autoPict="0">
                <anchor moveWithCells="1">
                  <from>
                    <xdr:col>3</xdr:col>
                    <xdr:colOff>76200</xdr:colOff>
                    <xdr:row>21</xdr:row>
                    <xdr:rowOff>57150</xdr:rowOff>
                  </from>
                  <to>
                    <xdr:col>4</xdr:col>
                    <xdr:colOff>57150</xdr:colOff>
                    <xdr:row>22</xdr:row>
                    <xdr:rowOff>0</xdr:rowOff>
                  </to>
                </anchor>
              </controlPr>
            </control>
          </mc:Choice>
        </mc:AlternateContent>
        <mc:AlternateContent xmlns:mc="http://schemas.openxmlformats.org/markup-compatibility/2006">
          <mc:Choice Requires="x14">
            <control shapeId="3082" r:id="rId13" name="Check Box 10">
              <controlPr locked="0" defaultSize="0" autoFill="0" autoLine="0" autoPict="0">
                <anchor moveWithCells="1">
                  <from>
                    <xdr:col>3</xdr:col>
                    <xdr:colOff>76200</xdr:colOff>
                    <xdr:row>20</xdr:row>
                    <xdr:rowOff>47625</xdr:rowOff>
                  </from>
                  <to>
                    <xdr:col>4</xdr:col>
                    <xdr:colOff>57150</xdr:colOff>
                    <xdr:row>21</xdr:row>
                    <xdr:rowOff>0</xdr:rowOff>
                  </to>
                </anchor>
              </controlPr>
            </control>
          </mc:Choice>
        </mc:AlternateContent>
        <mc:AlternateContent xmlns:mc="http://schemas.openxmlformats.org/markup-compatibility/2006">
          <mc:Choice Requires="x14">
            <control shapeId="3083" r:id="rId14" name="Check Box 11">
              <controlPr locked="0" defaultSize="0" autoFill="0" autoLine="0" autoPict="0">
                <anchor moveWithCells="1">
                  <from>
                    <xdr:col>2</xdr:col>
                    <xdr:colOff>9525</xdr:colOff>
                    <xdr:row>73</xdr:row>
                    <xdr:rowOff>57150</xdr:rowOff>
                  </from>
                  <to>
                    <xdr:col>3</xdr:col>
                    <xdr:colOff>66675</xdr:colOff>
                    <xdr:row>74</xdr:row>
                    <xdr:rowOff>19050</xdr:rowOff>
                  </to>
                </anchor>
              </controlPr>
            </control>
          </mc:Choice>
        </mc:AlternateContent>
        <mc:AlternateContent xmlns:mc="http://schemas.openxmlformats.org/markup-compatibility/2006">
          <mc:Choice Requires="x14">
            <control shapeId="3084" r:id="rId15" name="Check Box 12">
              <controlPr locked="0" defaultSize="0" autoFill="0" autoLine="0" autoPict="0">
                <anchor moveWithCells="1">
                  <from>
                    <xdr:col>2</xdr:col>
                    <xdr:colOff>9525</xdr:colOff>
                    <xdr:row>74</xdr:row>
                    <xdr:rowOff>57150</xdr:rowOff>
                  </from>
                  <to>
                    <xdr:col>3</xdr:col>
                    <xdr:colOff>66675</xdr:colOff>
                    <xdr:row>75</xdr:row>
                    <xdr:rowOff>19050</xdr:rowOff>
                  </to>
                </anchor>
              </controlPr>
            </control>
          </mc:Choice>
        </mc:AlternateContent>
        <mc:AlternateContent xmlns:mc="http://schemas.openxmlformats.org/markup-compatibility/2006">
          <mc:Choice Requires="x14">
            <control shapeId="3085" r:id="rId16" name="Check Box 13">
              <controlPr locked="0" defaultSize="0" autoFill="0" autoLine="0" autoPict="0">
                <anchor moveWithCells="1">
                  <from>
                    <xdr:col>2</xdr:col>
                    <xdr:colOff>9525</xdr:colOff>
                    <xdr:row>75</xdr:row>
                    <xdr:rowOff>66675</xdr:rowOff>
                  </from>
                  <to>
                    <xdr:col>3</xdr:col>
                    <xdr:colOff>66675</xdr:colOff>
                    <xdr:row>76</xdr:row>
                    <xdr:rowOff>28575</xdr:rowOff>
                  </to>
                </anchor>
              </controlPr>
            </control>
          </mc:Choice>
        </mc:AlternateContent>
        <mc:AlternateContent xmlns:mc="http://schemas.openxmlformats.org/markup-compatibility/2006">
          <mc:Choice Requires="x14">
            <control shapeId="3086" r:id="rId17" name="Check Box 14">
              <controlPr locked="0" defaultSize="0" autoFill="0" autoLine="0" autoPict="0">
                <anchor moveWithCells="1">
                  <from>
                    <xdr:col>2</xdr:col>
                    <xdr:colOff>9525</xdr:colOff>
                    <xdr:row>76</xdr:row>
                    <xdr:rowOff>66675</xdr:rowOff>
                  </from>
                  <to>
                    <xdr:col>3</xdr:col>
                    <xdr:colOff>66675</xdr:colOff>
                    <xdr:row>77</xdr:row>
                    <xdr:rowOff>28575</xdr:rowOff>
                  </to>
                </anchor>
              </controlPr>
            </control>
          </mc:Choice>
        </mc:AlternateContent>
        <mc:AlternateContent xmlns:mc="http://schemas.openxmlformats.org/markup-compatibility/2006">
          <mc:Choice Requires="x14">
            <control shapeId="3087" r:id="rId18" name="Check Box 15">
              <controlPr locked="0" defaultSize="0" autoFill="0" autoLine="0" autoPict="0">
                <anchor moveWithCells="1">
                  <from>
                    <xdr:col>2</xdr:col>
                    <xdr:colOff>9525</xdr:colOff>
                    <xdr:row>77</xdr:row>
                    <xdr:rowOff>66675</xdr:rowOff>
                  </from>
                  <to>
                    <xdr:col>3</xdr:col>
                    <xdr:colOff>66675</xdr:colOff>
                    <xdr:row>78</xdr:row>
                    <xdr:rowOff>28575</xdr:rowOff>
                  </to>
                </anchor>
              </controlPr>
            </control>
          </mc:Choice>
        </mc:AlternateContent>
        <mc:AlternateContent xmlns:mc="http://schemas.openxmlformats.org/markup-compatibility/2006">
          <mc:Choice Requires="x14">
            <control shapeId="3088" r:id="rId19" name="Check Box 16">
              <controlPr locked="0" defaultSize="0" autoFill="0" autoLine="0" autoPict="0">
                <anchor moveWithCells="1">
                  <from>
                    <xdr:col>2</xdr:col>
                    <xdr:colOff>9525</xdr:colOff>
                    <xdr:row>78</xdr:row>
                    <xdr:rowOff>76200</xdr:rowOff>
                  </from>
                  <to>
                    <xdr:col>3</xdr:col>
                    <xdr:colOff>66675</xdr:colOff>
                    <xdr:row>79</xdr:row>
                    <xdr:rowOff>38100</xdr:rowOff>
                  </to>
                </anchor>
              </controlPr>
            </control>
          </mc:Choice>
        </mc:AlternateContent>
        <mc:AlternateContent xmlns:mc="http://schemas.openxmlformats.org/markup-compatibility/2006">
          <mc:Choice Requires="x14">
            <control shapeId="3089" r:id="rId20" name="Check Box 17">
              <controlPr locked="0" defaultSize="0" autoFill="0" autoLine="0" autoPict="0">
                <anchor moveWithCells="1">
                  <from>
                    <xdr:col>2</xdr:col>
                    <xdr:colOff>9525</xdr:colOff>
                    <xdr:row>79</xdr:row>
                    <xdr:rowOff>76200</xdr:rowOff>
                  </from>
                  <to>
                    <xdr:col>3</xdr:col>
                    <xdr:colOff>66675</xdr:colOff>
                    <xdr:row>80</xdr:row>
                    <xdr:rowOff>38100</xdr:rowOff>
                  </to>
                </anchor>
              </controlPr>
            </control>
          </mc:Choice>
        </mc:AlternateContent>
        <mc:AlternateContent xmlns:mc="http://schemas.openxmlformats.org/markup-compatibility/2006">
          <mc:Choice Requires="x14">
            <control shapeId="3090" r:id="rId21" name="Check Box 18">
              <controlPr locked="0" defaultSize="0" autoFill="0" autoLine="0" autoPict="0">
                <anchor moveWithCells="1">
                  <from>
                    <xdr:col>2</xdr:col>
                    <xdr:colOff>9525</xdr:colOff>
                    <xdr:row>80</xdr:row>
                    <xdr:rowOff>85725</xdr:rowOff>
                  </from>
                  <to>
                    <xdr:col>3</xdr:col>
                    <xdr:colOff>66675</xdr:colOff>
                    <xdr:row>81</xdr:row>
                    <xdr:rowOff>47625</xdr:rowOff>
                  </to>
                </anchor>
              </controlPr>
            </control>
          </mc:Choice>
        </mc:AlternateContent>
        <mc:AlternateContent xmlns:mc="http://schemas.openxmlformats.org/markup-compatibility/2006">
          <mc:Choice Requires="x14">
            <control shapeId="3091" r:id="rId22" name="Check Box 19">
              <controlPr locked="0" defaultSize="0" autoFill="0" autoLine="0" autoPict="0">
                <anchor moveWithCells="1">
                  <from>
                    <xdr:col>2</xdr:col>
                    <xdr:colOff>9525</xdr:colOff>
                    <xdr:row>81</xdr:row>
                    <xdr:rowOff>85725</xdr:rowOff>
                  </from>
                  <to>
                    <xdr:col>3</xdr:col>
                    <xdr:colOff>66675</xdr:colOff>
                    <xdr:row>82</xdr:row>
                    <xdr:rowOff>47625</xdr:rowOff>
                  </to>
                </anchor>
              </controlPr>
            </control>
          </mc:Choice>
        </mc:AlternateContent>
        <mc:AlternateContent xmlns:mc="http://schemas.openxmlformats.org/markup-compatibility/2006">
          <mc:Choice Requires="x14">
            <control shapeId="3092" r:id="rId23" name="Check Box 20">
              <controlPr locked="0" defaultSize="0" autoFill="0" autoLine="0" autoPict="0">
                <anchor moveWithCells="1">
                  <from>
                    <xdr:col>2</xdr:col>
                    <xdr:colOff>9525</xdr:colOff>
                    <xdr:row>82</xdr:row>
                    <xdr:rowOff>95250</xdr:rowOff>
                  </from>
                  <to>
                    <xdr:col>3</xdr:col>
                    <xdr:colOff>66675</xdr:colOff>
                    <xdr:row>83</xdr:row>
                    <xdr:rowOff>57150</xdr:rowOff>
                  </to>
                </anchor>
              </controlPr>
            </control>
          </mc:Choice>
        </mc:AlternateContent>
        <mc:AlternateContent xmlns:mc="http://schemas.openxmlformats.org/markup-compatibility/2006">
          <mc:Choice Requires="x14">
            <control shapeId="3093" r:id="rId24" name="Check Box 21">
              <controlPr locked="0" defaultSize="0" autoFill="0" autoLine="0" autoPict="0">
                <anchor moveWithCells="1">
                  <from>
                    <xdr:col>2</xdr:col>
                    <xdr:colOff>9525</xdr:colOff>
                    <xdr:row>83</xdr:row>
                    <xdr:rowOff>95250</xdr:rowOff>
                  </from>
                  <to>
                    <xdr:col>3</xdr:col>
                    <xdr:colOff>66675</xdr:colOff>
                    <xdr:row>84</xdr:row>
                    <xdr:rowOff>57150</xdr:rowOff>
                  </to>
                </anchor>
              </controlPr>
            </control>
          </mc:Choice>
        </mc:AlternateContent>
        <mc:AlternateContent xmlns:mc="http://schemas.openxmlformats.org/markup-compatibility/2006">
          <mc:Choice Requires="x14">
            <control shapeId="3094" r:id="rId25" name="Check Box 22">
              <controlPr locked="0" defaultSize="0" autoFill="0" autoLine="0" autoPict="0">
                <anchor moveWithCells="1">
                  <from>
                    <xdr:col>2</xdr:col>
                    <xdr:colOff>9525</xdr:colOff>
                    <xdr:row>84</xdr:row>
                    <xdr:rowOff>104775</xdr:rowOff>
                  </from>
                  <to>
                    <xdr:col>3</xdr:col>
                    <xdr:colOff>66675</xdr:colOff>
                    <xdr:row>85</xdr:row>
                    <xdr:rowOff>66675</xdr:rowOff>
                  </to>
                </anchor>
              </controlPr>
            </control>
          </mc:Choice>
        </mc:AlternateContent>
        <mc:AlternateContent xmlns:mc="http://schemas.openxmlformats.org/markup-compatibility/2006">
          <mc:Choice Requires="x14">
            <control shapeId="3095" r:id="rId26" name="Check Box 23">
              <controlPr locked="0" defaultSize="0" autoFill="0" autoLine="0" autoPict="0">
                <anchor moveWithCells="1">
                  <from>
                    <xdr:col>2</xdr:col>
                    <xdr:colOff>9525</xdr:colOff>
                    <xdr:row>86</xdr:row>
                    <xdr:rowOff>104775</xdr:rowOff>
                  </from>
                  <to>
                    <xdr:col>3</xdr:col>
                    <xdr:colOff>66675</xdr:colOff>
                    <xdr:row>87</xdr:row>
                    <xdr:rowOff>66675</xdr:rowOff>
                  </to>
                </anchor>
              </controlPr>
            </control>
          </mc:Choice>
        </mc:AlternateContent>
        <mc:AlternateContent xmlns:mc="http://schemas.openxmlformats.org/markup-compatibility/2006">
          <mc:Choice Requires="x14">
            <control shapeId="3096" r:id="rId27" name="Check Box 24">
              <controlPr locked="0" defaultSize="0" autoFill="0" autoLine="0" autoPict="0">
                <anchor moveWithCells="1">
                  <from>
                    <xdr:col>2</xdr:col>
                    <xdr:colOff>9525</xdr:colOff>
                    <xdr:row>85</xdr:row>
                    <xdr:rowOff>104775</xdr:rowOff>
                  </from>
                  <to>
                    <xdr:col>3</xdr:col>
                    <xdr:colOff>66675</xdr:colOff>
                    <xdr:row>86</xdr:row>
                    <xdr:rowOff>66675</xdr:rowOff>
                  </to>
                </anchor>
              </controlPr>
            </control>
          </mc:Choice>
        </mc:AlternateContent>
        <mc:AlternateContent xmlns:mc="http://schemas.openxmlformats.org/markup-compatibility/2006">
          <mc:Choice Requires="x14">
            <control shapeId="3097" r:id="rId28" name="Check Box 25">
              <controlPr locked="0" defaultSize="0" autoFill="0" autoLine="0" autoPict="0">
                <anchor moveWithCells="1">
                  <from>
                    <xdr:col>8</xdr:col>
                    <xdr:colOff>257175</xdr:colOff>
                    <xdr:row>91</xdr:row>
                    <xdr:rowOff>133350</xdr:rowOff>
                  </from>
                  <to>
                    <xdr:col>8</xdr:col>
                    <xdr:colOff>561975</xdr:colOff>
                    <xdr:row>92</xdr:row>
                    <xdr:rowOff>0</xdr:rowOff>
                  </to>
                </anchor>
              </controlPr>
            </control>
          </mc:Choice>
        </mc:AlternateContent>
        <mc:AlternateContent xmlns:mc="http://schemas.openxmlformats.org/markup-compatibility/2006">
          <mc:Choice Requires="x14">
            <control shapeId="3098" r:id="rId29" name="Check Box 26">
              <controlPr locked="0" defaultSize="0" autoFill="0" autoLine="0" autoPict="0">
                <anchor moveWithCells="1">
                  <from>
                    <xdr:col>10</xdr:col>
                    <xdr:colOff>209550</xdr:colOff>
                    <xdr:row>91</xdr:row>
                    <xdr:rowOff>142875</xdr:rowOff>
                  </from>
                  <to>
                    <xdr:col>10</xdr:col>
                    <xdr:colOff>514350</xdr:colOff>
                    <xdr:row>92</xdr:row>
                    <xdr:rowOff>0</xdr:rowOff>
                  </to>
                </anchor>
              </controlPr>
            </control>
          </mc:Choice>
        </mc:AlternateContent>
        <mc:AlternateContent xmlns:mc="http://schemas.openxmlformats.org/markup-compatibility/2006">
          <mc:Choice Requires="x14">
            <control shapeId="3099" r:id="rId30" name="Check Box 27">
              <controlPr locked="0" defaultSize="0" autoFill="0" autoLine="0" autoPict="0">
                <anchor moveWithCells="1">
                  <from>
                    <xdr:col>10</xdr:col>
                    <xdr:colOff>209550</xdr:colOff>
                    <xdr:row>92</xdr:row>
                    <xdr:rowOff>142875</xdr:rowOff>
                  </from>
                  <to>
                    <xdr:col>10</xdr:col>
                    <xdr:colOff>514350</xdr:colOff>
                    <xdr:row>93</xdr:row>
                    <xdr:rowOff>0</xdr:rowOff>
                  </to>
                </anchor>
              </controlPr>
            </control>
          </mc:Choice>
        </mc:AlternateContent>
        <mc:AlternateContent xmlns:mc="http://schemas.openxmlformats.org/markup-compatibility/2006">
          <mc:Choice Requires="x14">
            <control shapeId="3100" r:id="rId31" name="Check Box 28">
              <controlPr locked="0" defaultSize="0" autoFill="0" autoLine="0" autoPict="0">
                <anchor moveWithCells="1">
                  <from>
                    <xdr:col>10</xdr:col>
                    <xdr:colOff>209550</xdr:colOff>
                    <xdr:row>93</xdr:row>
                    <xdr:rowOff>142875</xdr:rowOff>
                  </from>
                  <to>
                    <xdr:col>10</xdr:col>
                    <xdr:colOff>514350</xdr:colOff>
                    <xdr:row>94</xdr:row>
                    <xdr:rowOff>0</xdr:rowOff>
                  </to>
                </anchor>
              </controlPr>
            </control>
          </mc:Choice>
        </mc:AlternateContent>
        <mc:AlternateContent xmlns:mc="http://schemas.openxmlformats.org/markup-compatibility/2006">
          <mc:Choice Requires="x14">
            <control shapeId="3101" r:id="rId32" name="Check Box 29">
              <controlPr locked="0" defaultSize="0" autoFill="0" autoLine="0" autoPict="0">
                <anchor moveWithCells="1">
                  <from>
                    <xdr:col>8</xdr:col>
                    <xdr:colOff>257175</xdr:colOff>
                    <xdr:row>92</xdr:row>
                    <xdr:rowOff>133350</xdr:rowOff>
                  </from>
                  <to>
                    <xdr:col>8</xdr:col>
                    <xdr:colOff>561975</xdr:colOff>
                    <xdr:row>93</xdr:row>
                    <xdr:rowOff>0</xdr:rowOff>
                  </to>
                </anchor>
              </controlPr>
            </control>
          </mc:Choice>
        </mc:AlternateContent>
        <mc:AlternateContent xmlns:mc="http://schemas.openxmlformats.org/markup-compatibility/2006">
          <mc:Choice Requires="x14">
            <control shapeId="3102" r:id="rId33" name="Check Box 30">
              <controlPr locked="0" defaultSize="0" autoFill="0" autoLine="0" autoPict="0">
                <anchor moveWithCells="1">
                  <from>
                    <xdr:col>8</xdr:col>
                    <xdr:colOff>257175</xdr:colOff>
                    <xdr:row>93</xdr:row>
                    <xdr:rowOff>133350</xdr:rowOff>
                  </from>
                  <to>
                    <xdr:col>8</xdr:col>
                    <xdr:colOff>561975</xdr:colOff>
                    <xdr:row>94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L16403"/>
  <sheetViews>
    <sheetView zoomScale="60" zoomScaleNormal="60" workbookViewId="0">
      <pane ySplit="2" topLeftCell="A3" activePane="bottomLeft" state="frozen"/>
      <selection pane="bottomLeft" activeCell="E24" sqref="E24"/>
    </sheetView>
  </sheetViews>
  <sheetFormatPr defaultRowHeight="15" x14ac:dyDescent="0.25"/>
  <cols>
    <col min="1" max="1" width="13.7109375" style="16" bestFit="1" customWidth="1"/>
    <col min="2" max="2" width="14.140625" style="17" bestFit="1" customWidth="1"/>
    <col min="3" max="3" width="34.140625" style="16" bestFit="1" customWidth="1"/>
    <col min="4" max="4" width="14.140625" style="17" bestFit="1" customWidth="1"/>
    <col min="5" max="5" width="59.7109375" style="17" bestFit="1" customWidth="1"/>
    <col min="6" max="6" width="13.5703125" style="17" bestFit="1" customWidth="1"/>
    <col min="7" max="7" width="18.28515625" style="18" customWidth="1"/>
    <col min="8" max="8" width="14.140625" style="18" customWidth="1"/>
    <col min="9" max="9" width="11.5703125" style="16" customWidth="1"/>
    <col min="10" max="10" width="11.140625" style="16" bestFit="1" customWidth="1"/>
    <col min="11" max="13" width="9" style="16" bestFit="1" customWidth="1"/>
    <col min="14" max="14" width="9.85546875" style="16" bestFit="1" customWidth="1"/>
    <col min="15" max="15" width="11.5703125" style="16" bestFit="1" customWidth="1"/>
    <col min="16" max="16" width="11.5703125" style="19" customWidth="1"/>
    <col min="17" max="17" width="9.42578125" bestFit="1" customWidth="1"/>
    <col min="18" max="18" width="9.28515625" style="19" bestFit="1" customWidth="1"/>
    <col min="19" max="19" width="10.140625" style="19" bestFit="1" customWidth="1"/>
    <col min="20" max="20" width="9" style="19" bestFit="1" customWidth="1"/>
    <col min="21" max="21" width="9.28515625" style="19" bestFit="1" customWidth="1"/>
    <col min="22" max="25" width="9.140625" style="19"/>
    <col min="28" max="32" width="9.140625" style="19"/>
    <col min="35" max="35" width="11.85546875" bestFit="1" customWidth="1"/>
  </cols>
  <sheetData>
    <row r="1" spans="1:38" s="69" customFormat="1" ht="65.25" customHeight="1" x14ac:dyDescent="0.2">
      <c r="A1" s="153" t="s">
        <v>31</v>
      </c>
      <c r="B1" s="151" t="s">
        <v>111</v>
      </c>
      <c r="C1" s="151" t="s">
        <v>39</v>
      </c>
      <c r="D1" s="151" t="s">
        <v>3</v>
      </c>
      <c r="E1" s="151" t="s">
        <v>37</v>
      </c>
      <c r="F1" s="153" t="s">
        <v>0</v>
      </c>
      <c r="G1" s="157" t="s">
        <v>4</v>
      </c>
      <c r="H1" s="157" t="s">
        <v>142</v>
      </c>
      <c r="I1" s="159" t="s">
        <v>5</v>
      </c>
      <c r="J1" s="153" t="s">
        <v>1</v>
      </c>
      <c r="K1" s="12" t="s">
        <v>2</v>
      </c>
      <c r="L1" s="13" t="s">
        <v>6</v>
      </c>
      <c r="M1" s="13" t="s">
        <v>7</v>
      </c>
      <c r="N1" s="13" t="s">
        <v>8</v>
      </c>
      <c r="O1" s="13" t="s">
        <v>141</v>
      </c>
      <c r="P1" s="67" t="s">
        <v>140</v>
      </c>
      <c r="Q1" s="13" t="s">
        <v>9</v>
      </c>
      <c r="R1" s="68" t="s">
        <v>10</v>
      </c>
      <c r="S1" s="68" t="s">
        <v>11</v>
      </c>
      <c r="T1" s="68" t="s">
        <v>12</v>
      </c>
      <c r="U1" s="68" t="s">
        <v>13</v>
      </c>
      <c r="V1" s="68" t="s">
        <v>14</v>
      </c>
      <c r="W1" s="68" t="s">
        <v>15</v>
      </c>
      <c r="X1" s="68" t="s">
        <v>16</v>
      </c>
      <c r="Y1" s="68" t="s">
        <v>17</v>
      </c>
      <c r="Z1" s="13" t="s">
        <v>18</v>
      </c>
      <c r="AA1" s="13" t="s">
        <v>19</v>
      </c>
      <c r="AB1" s="68" t="s">
        <v>20</v>
      </c>
      <c r="AC1" s="155" t="s">
        <v>204</v>
      </c>
      <c r="AD1" s="155" t="s">
        <v>205</v>
      </c>
      <c r="AE1" s="155" t="s">
        <v>206</v>
      </c>
      <c r="AF1" s="155" t="s">
        <v>207</v>
      </c>
      <c r="AG1" s="163" t="s">
        <v>217</v>
      </c>
      <c r="AH1" s="163" t="s">
        <v>218</v>
      </c>
      <c r="AI1" s="13" t="s">
        <v>21</v>
      </c>
      <c r="AJ1" s="161" t="s">
        <v>219</v>
      </c>
      <c r="AK1" s="161" t="s">
        <v>220</v>
      </c>
      <c r="AL1" s="161" t="s">
        <v>221</v>
      </c>
    </row>
    <row r="2" spans="1:38" s="73" customFormat="1" ht="15.75" thickBot="1" x14ac:dyDescent="0.3">
      <c r="A2" s="154"/>
      <c r="B2" s="152"/>
      <c r="C2" s="152"/>
      <c r="D2" s="152"/>
      <c r="E2" s="152"/>
      <c r="F2" s="154"/>
      <c r="G2" s="158"/>
      <c r="H2" s="158"/>
      <c r="I2" s="160"/>
      <c r="J2" s="154"/>
      <c r="K2" s="14" t="s">
        <v>97</v>
      </c>
      <c r="L2" s="15" t="s">
        <v>22</v>
      </c>
      <c r="M2" s="15" t="s">
        <v>23</v>
      </c>
      <c r="N2" s="15" t="s">
        <v>24</v>
      </c>
      <c r="O2" s="15" t="s">
        <v>25</v>
      </c>
      <c r="P2" s="70" t="s">
        <v>133</v>
      </c>
      <c r="Q2" s="15" t="s">
        <v>98</v>
      </c>
      <c r="R2" s="71" t="s">
        <v>99</v>
      </c>
      <c r="S2" s="71" t="s">
        <v>26</v>
      </c>
      <c r="T2" s="71" t="s">
        <v>27</v>
      </c>
      <c r="U2" s="71" t="s">
        <v>100</v>
      </c>
      <c r="V2" s="71" t="s">
        <v>101</v>
      </c>
      <c r="W2" s="71" t="s">
        <v>28</v>
      </c>
      <c r="X2" s="71" t="s">
        <v>29</v>
      </c>
      <c r="Y2" s="71" t="s">
        <v>30</v>
      </c>
      <c r="Z2" s="15" t="s">
        <v>102</v>
      </c>
      <c r="AA2" s="15" t="s">
        <v>103</v>
      </c>
      <c r="AB2" s="71" t="s">
        <v>104</v>
      </c>
      <c r="AC2" s="156"/>
      <c r="AD2" s="156"/>
      <c r="AE2" s="156"/>
      <c r="AF2" s="156"/>
      <c r="AG2" s="164"/>
      <c r="AH2" s="164"/>
      <c r="AI2" s="72" t="s">
        <v>160</v>
      </c>
      <c r="AJ2" s="162"/>
      <c r="AK2" s="162"/>
      <c r="AL2" s="162"/>
    </row>
    <row r="3" spans="1:38" ht="15.75" thickTop="1" x14ac:dyDescent="0.25">
      <c r="E3" s="16"/>
      <c r="F3" s="16"/>
      <c r="H3" s="16"/>
      <c r="AG3" s="1"/>
      <c r="AH3" s="1"/>
      <c r="AI3" s="1"/>
    </row>
    <row r="4" spans="1:38" x14ac:dyDescent="0.25">
      <c r="E4" s="16"/>
      <c r="F4" s="16"/>
      <c r="H4" s="16"/>
      <c r="AG4" s="80"/>
      <c r="AH4" s="80"/>
      <c r="AI4" s="80"/>
    </row>
    <row r="5" spans="1:38" x14ac:dyDescent="0.25">
      <c r="E5" s="16"/>
      <c r="F5" s="16"/>
      <c r="H5" s="16"/>
      <c r="AG5" s="80"/>
      <c r="AH5" s="80"/>
      <c r="AI5" s="80"/>
    </row>
    <row r="6" spans="1:38" x14ac:dyDescent="0.25">
      <c r="E6" s="16"/>
      <c r="F6" s="16"/>
      <c r="H6" s="16"/>
      <c r="AG6" s="80"/>
      <c r="AH6" s="80"/>
      <c r="AI6" s="80"/>
    </row>
    <row r="7" spans="1:38" x14ac:dyDescent="0.25">
      <c r="E7" s="16"/>
      <c r="F7" s="16"/>
      <c r="H7" s="16"/>
      <c r="AG7" s="80"/>
      <c r="AH7" s="80"/>
      <c r="AI7" s="80"/>
    </row>
    <row r="8" spans="1:38" x14ac:dyDescent="0.25">
      <c r="E8" s="16"/>
      <c r="F8" s="16"/>
      <c r="H8" s="16"/>
      <c r="AG8" s="80"/>
      <c r="AH8" s="80"/>
      <c r="AI8" s="80"/>
    </row>
    <row r="9" spans="1:38" x14ac:dyDescent="0.25">
      <c r="E9" s="16"/>
      <c r="F9" s="16"/>
      <c r="H9" s="16"/>
      <c r="AG9" s="80"/>
      <c r="AH9" s="80"/>
      <c r="AI9" s="80"/>
    </row>
    <row r="10" spans="1:38" x14ac:dyDescent="0.25">
      <c r="E10" s="16"/>
      <c r="F10" s="16"/>
      <c r="H10" s="16"/>
      <c r="AG10" s="80"/>
      <c r="AH10" s="80"/>
      <c r="AI10" s="80"/>
    </row>
    <row r="11" spans="1:38" x14ac:dyDescent="0.25">
      <c r="E11" s="16"/>
      <c r="F11" s="16"/>
      <c r="H11" s="16"/>
      <c r="AG11" s="80"/>
      <c r="AH11" s="80"/>
      <c r="AI11" s="80"/>
    </row>
    <row r="12" spans="1:38" x14ac:dyDescent="0.25">
      <c r="E12" s="16"/>
      <c r="F12" s="16"/>
      <c r="H12" s="16"/>
      <c r="AG12" s="80"/>
      <c r="AH12" s="80"/>
      <c r="AI12" s="80"/>
    </row>
    <row r="13" spans="1:38" x14ac:dyDescent="0.25">
      <c r="E13" s="16"/>
      <c r="F13" s="16"/>
      <c r="H13" s="16"/>
      <c r="AG13" s="80"/>
      <c r="AH13" s="80"/>
      <c r="AI13" s="80"/>
    </row>
    <row r="14" spans="1:38" x14ac:dyDescent="0.25">
      <c r="E14" s="16"/>
      <c r="F14" s="16"/>
      <c r="H14" s="16"/>
      <c r="AG14" s="80"/>
      <c r="AH14" s="80"/>
      <c r="AI14" s="80"/>
    </row>
    <row r="15" spans="1:38" x14ac:dyDescent="0.25">
      <c r="E15" s="16"/>
      <c r="F15" s="16"/>
      <c r="H15" s="16"/>
      <c r="AG15" s="80"/>
      <c r="AH15" s="80"/>
      <c r="AI15" s="80"/>
    </row>
    <row r="16" spans="1:38" x14ac:dyDescent="0.25">
      <c r="E16" s="16"/>
      <c r="F16" s="16"/>
      <c r="H16" s="16"/>
      <c r="AG16" s="80"/>
      <c r="AH16" s="80"/>
      <c r="AI16" s="80"/>
    </row>
    <row r="17" spans="5:35" x14ac:dyDescent="0.25">
      <c r="E17" s="16"/>
      <c r="F17" s="16"/>
      <c r="H17" s="16"/>
      <c r="AG17" s="80"/>
      <c r="AH17" s="80"/>
      <c r="AI17" s="80"/>
    </row>
    <row r="18" spans="5:35" x14ac:dyDescent="0.25">
      <c r="E18" s="16"/>
      <c r="F18" s="16"/>
      <c r="H18" s="16"/>
      <c r="AG18" s="80"/>
      <c r="AH18" s="80"/>
      <c r="AI18" s="80"/>
    </row>
    <row r="19" spans="5:35" x14ac:dyDescent="0.25">
      <c r="E19" s="16"/>
      <c r="F19" s="16"/>
      <c r="H19" s="16"/>
      <c r="AG19" s="80"/>
      <c r="AH19" s="80"/>
      <c r="AI19" s="80"/>
    </row>
    <row r="20" spans="5:35" x14ac:dyDescent="0.25">
      <c r="E20" s="16"/>
      <c r="F20" s="16"/>
      <c r="H20" s="16"/>
      <c r="AG20" s="80"/>
      <c r="AH20" s="80"/>
      <c r="AI20" s="80"/>
    </row>
    <row r="21" spans="5:35" x14ac:dyDescent="0.25">
      <c r="E21" s="16"/>
      <c r="F21" s="16"/>
      <c r="H21" s="16"/>
      <c r="AG21" s="80"/>
      <c r="AH21" s="80"/>
      <c r="AI21" s="80"/>
    </row>
    <row r="22" spans="5:35" x14ac:dyDescent="0.25">
      <c r="E22" s="16"/>
      <c r="F22" s="16"/>
      <c r="H22" s="16"/>
      <c r="AG22" s="80"/>
      <c r="AH22" s="80"/>
      <c r="AI22" s="80"/>
    </row>
    <row r="23" spans="5:35" x14ac:dyDescent="0.25">
      <c r="E23" s="16"/>
      <c r="F23" s="16"/>
      <c r="H23" s="16"/>
      <c r="AG23" s="80"/>
      <c r="AH23" s="80"/>
      <c r="AI23" s="80"/>
    </row>
    <row r="24" spans="5:35" x14ac:dyDescent="0.25">
      <c r="E24" s="16"/>
      <c r="F24" s="16"/>
      <c r="H24" s="16"/>
      <c r="AG24" s="80"/>
      <c r="AH24" s="80"/>
      <c r="AI24" s="80"/>
    </row>
    <row r="25" spans="5:35" x14ac:dyDescent="0.25">
      <c r="E25" s="16"/>
      <c r="F25" s="16"/>
      <c r="H25" s="16"/>
      <c r="AG25" s="80"/>
      <c r="AH25" s="80"/>
      <c r="AI25" s="80"/>
    </row>
    <row r="26" spans="5:35" x14ac:dyDescent="0.25">
      <c r="E26" s="16"/>
      <c r="F26" s="16"/>
      <c r="H26" s="16"/>
      <c r="AG26" s="80"/>
      <c r="AH26" s="80"/>
      <c r="AI26" s="80"/>
    </row>
    <row r="27" spans="5:35" x14ac:dyDescent="0.25">
      <c r="E27" s="16"/>
      <c r="F27" s="16"/>
      <c r="H27" s="16"/>
      <c r="AG27" s="80"/>
      <c r="AH27" s="80"/>
      <c r="AI27" s="80"/>
    </row>
    <row r="28" spans="5:35" x14ac:dyDescent="0.25">
      <c r="E28" s="16"/>
      <c r="F28" s="16"/>
      <c r="H28" s="16"/>
      <c r="AG28" s="80"/>
      <c r="AH28" s="80"/>
      <c r="AI28" s="80"/>
    </row>
    <row r="29" spans="5:35" x14ac:dyDescent="0.25">
      <c r="E29" s="16"/>
      <c r="F29" s="16"/>
      <c r="H29" s="16"/>
      <c r="AG29" s="80"/>
      <c r="AH29" s="80"/>
      <c r="AI29" s="80"/>
    </row>
    <row r="30" spans="5:35" x14ac:dyDescent="0.25">
      <c r="E30" s="16"/>
      <c r="F30" s="16"/>
      <c r="H30" s="16"/>
      <c r="AG30" s="80"/>
      <c r="AH30" s="80"/>
      <c r="AI30" s="80"/>
    </row>
    <row r="31" spans="5:35" x14ac:dyDescent="0.25">
      <c r="E31" s="16"/>
      <c r="F31" s="16"/>
      <c r="H31" s="16"/>
      <c r="AG31" s="80"/>
      <c r="AH31" s="80"/>
      <c r="AI31" s="80"/>
    </row>
    <row r="32" spans="5:35" x14ac:dyDescent="0.25">
      <c r="E32" s="16"/>
      <c r="F32" s="16"/>
      <c r="H32" s="16"/>
      <c r="AG32" s="80"/>
      <c r="AH32" s="80"/>
      <c r="AI32" s="80"/>
    </row>
    <row r="33" spans="5:35" x14ac:dyDescent="0.25">
      <c r="E33" s="16"/>
      <c r="F33" s="16"/>
      <c r="H33" s="16"/>
      <c r="AG33" s="80"/>
      <c r="AH33" s="80"/>
      <c r="AI33" s="80"/>
    </row>
    <row r="34" spans="5:35" x14ac:dyDescent="0.25">
      <c r="E34" s="16"/>
      <c r="F34" s="16"/>
      <c r="H34" s="16"/>
      <c r="AG34" s="80"/>
      <c r="AH34" s="80"/>
      <c r="AI34" s="80"/>
    </row>
    <row r="35" spans="5:35" x14ac:dyDescent="0.25">
      <c r="E35" s="16"/>
      <c r="F35" s="16"/>
      <c r="H35" s="16"/>
      <c r="AG35" s="80"/>
      <c r="AH35" s="80"/>
      <c r="AI35" s="80"/>
    </row>
    <row r="36" spans="5:35" x14ac:dyDescent="0.25">
      <c r="E36" s="16"/>
      <c r="F36" s="16"/>
      <c r="H36" s="16"/>
      <c r="AG36" s="80"/>
      <c r="AH36" s="80"/>
      <c r="AI36" s="80"/>
    </row>
    <row r="37" spans="5:35" x14ac:dyDescent="0.25">
      <c r="E37" s="16"/>
      <c r="F37" s="16"/>
      <c r="H37" s="16"/>
      <c r="AG37" s="80"/>
      <c r="AH37" s="80"/>
      <c r="AI37" s="80"/>
    </row>
    <row r="38" spans="5:35" x14ac:dyDescent="0.25">
      <c r="E38" s="16"/>
      <c r="F38" s="16"/>
      <c r="H38" s="16"/>
      <c r="AG38" s="80"/>
      <c r="AH38" s="80"/>
      <c r="AI38" s="80"/>
    </row>
    <row r="39" spans="5:35" x14ac:dyDescent="0.25">
      <c r="E39" s="16"/>
      <c r="F39" s="16"/>
      <c r="H39" s="16"/>
      <c r="AG39" s="80"/>
      <c r="AH39" s="80"/>
      <c r="AI39" s="80"/>
    </row>
    <row r="40" spans="5:35" x14ac:dyDescent="0.25">
      <c r="E40" s="16"/>
      <c r="F40" s="16"/>
      <c r="H40" s="16"/>
      <c r="AG40" s="80"/>
      <c r="AH40" s="80"/>
      <c r="AI40" s="80"/>
    </row>
    <row r="41" spans="5:35" x14ac:dyDescent="0.25">
      <c r="E41" s="16"/>
      <c r="F41" s="16"/>
      <c r="H41" s="16"/>
      <c r="AG41" s="80"/>
      <c r="AH41" s="80"/>
      <c r="AI41" s="80"/>
    </row>
    <row r="42" spans="5:35" x14ac:dyDescent="0.25">
      <c r="E42" s="16"/>
      <c r="F42" s="16"/>
      <c r="H42" s="16"/>
      <c r="AG42" s="80"/>
      <c r="AH42" s="80"/>
      <c r="AI42" s="80"/>
    </row>
    <row r="43" spans="5:35" x14ac:dyDescent="0.25">
      <c r="E43" s="16"/>
      <c r="F43" s="16"/>
      <c r="H43" s="16"/>
      <c r="AG43" s="80"/>
      <c r="AH43" s="80"/>
      <c r="AI43" s="80"/>
    </row>
    <row r="44" spans="5:35" x14ac:dyDescent="0.25">
      <c r="E44" s="16"/>
      <c r="F44" s="16"/>
      <c r="H44" s="16"/>
      <c r="AG44" s="80"/>
      <c r="AH44" s="80"/>
      <c r="AI44" s="80"/>
    </row>
    <row r="45" spans="5:35" x14ac:dyDescent="0.25">
      <c r="E45" s="16"/>
      <c r="F45" s="16"/>
      <c r="H45" s="16"/>
      <c r="AG45" s="80"/>
      <c r="AH45" s="80"/>
      <c r="AI45" s="80"/>
    </row>
    <row r="46" spans="5:35" x14ac:dyDescent="0.25">
      <c r="E46" s="16"/>
      <c r="F46" s="16"/>
      <c r="H46" s="16"/>
      <c r="AG46" s="80"/>
      <c r="AH46" s="80"/>
      <c r="AI46" s="80"/>
    </row>
    <row r="47" spans="5:35" x14ac:dyDescent="0.25">
      <c r="E47" s="16"/>
      <c r="F47" s="16"/>
      <c r="H47" s="16"/>
      <c r="AG47" s="80"/>
      <c r="AH47" s="80"/>
      <c r="AI47" s="80"/>
    </row>
    <row r="48" spans="5:35" x14ac:dyDescent="0.25">
      <c r="E48" s="16"/>
      <c r="F48" s="16"/>
      <c r="H48" s="16"/>
      <c r="AG48" s="80"/>
      <c r="AH48" s="80"/>
      <c r="AI48" s="80"/>
    </row>
    <row r="49" spans="5:35" x14ac:dyDescent="0.25">
      <c r="E49" s="16"/>
      <c r="F49" s="16"/>
      <c r="H49" s="16"/>
      <c r="AG49" s="80"/>
      <c r="AH49" s="80"/>
      <c r="AI49" s="80"/>
    </row>
    <row r="50" spans="5:35" x14ac:dyDescent="0.25">
      <c r="E50" s="16"/>
      <c r="F50" s="16"/>
      <c r="H50" s="16"/>
      <c r="AG50" s="80"/>
      <c r="AH50" s="80"/>
      <c r="AI50" s="80"/>
    </row>
    <row r="51" spans="5:35" x14ac:dyDescent="0.25">
      <c r="E51" s="16"/>
      <c r="F51" s="16"/>
      <c r="H51" s="16"/>
      <c r="AG51" s="80"/>
      <c r="AH51" s="80"/>
      <c r="AI51" s="80"/>
    </row>
    <row r="52" spans="5:35" x14ac:dyDescent="0.25">
      <c r="E52" s="16"/>
      <c r="F52" s="16"/>
      <c r="H52" s="16"/>
      <c r="AG52" s="80"/>
      <c r="AH52" s="80"/>
      <c r="AI52" s="80"/>
    </row>
    <row r="53" spans="5:35" x14ac:dyDescent="0.25">
      <c r="E53" s="16"/>
      <c r="F53" s="16"/>
      <c r="H53" s="16"/>
      <c r="AG53" s="80"/>
      <c r="AH53" s="80"/>
      <c r="AI53" s="80"/>
    </row>
    <row r="54" spans="5:35" x14ac:dyDescent="0.25">
      <c r="E54" s="16"/>
      <c r="F54" s="16"/>
      <c r="H54" s="16"/>
      <c r="AG54" s="80"/>
      <c r="AH54" s="80"/>
      <c r="AI54" s="80"/>
    </row>
    <row r="55" spans="5:35" x14ac:dyDescent="0.25">
      <c r="E55" s="16"/>
      <c r="F55" s="16"/>
      <c r="H55" s="16"/>
      <c r="AG55" s="80"/>
      <c r="AH55" s="80"/>
      <c r="AI55" s="80"/>
    </row>
    <row r="56" spans="5:35" x14ac:dyDescent="0.25">
      <c r="E56" s="16"/>
      <c r="F56" s="16"/>
      <c r="H56" s="16"/>
      <c r="AG56" s="80"/>
      <c r="AH56" s="80"/>
      <c r="AI56" s="80"/>
    </row>
    <row r="57" spans="5:35" x14ac:dyDescent="0.25">
      <c r="E57" s="16"/>
      <c r="F57" s="16"/>
      <c r="H57" s="16"/>
      <c r="AG57" s="80"/>
      <c r="AH57" s="80"/>
      <c r="AI57" s="80"/>
    </row>
    <row r="58" spans="5:35" x14ac:dyDescent="0.25">
      <c r="E58" s="16"/>
      <c r="F58" s="16"/>
      <c r="H58" s="16"/>
      <c r="AG58" s="80"/>
      <c r="AH58" s="80"/>
      <c r="AI58" s="80"/>
    </row>
    <row r="59" spans="5:35" x14ac:dyDescent="0.25">
      <c r="E59" s="16"/>
      <c r="F59" s="16"/>
      <c r="H59" s="16"/>
      <c r="AG59" s="80"/>
      <c r="AH59" s="80"/>
      <c r="AI59" s="80"/>
    </row>
    <row r="60" spans="5:35" x14ac:dyDescent="0.25">
      <c r="E60" s="16"/>
      <c r="F60" s="16"/>
      <c r="H60" s="16"/>
      <c r="AG60" s="80"/>
      <c r="AH60" s="80"/>
      <c r="AI60" s="80"/>
    </row>
    <row r="61" spans="5:35" x14ac:dyDescent="0.25">
      <c r="E61" s="16"/>
      <c r="F61" s="16"/>
      <c r="H61" s="16"/>
      <c r="AG61" s="80"/>
      <c r="AH61" s="80"/>
      <c r="AI61" s="80"/>
    </row>
    <row r="62" spans="5:35" x14ac:dyDescent="0.25">
      <c r="E62" s="16"/>
      <c r="F62" s="16"/>
      <c r="H62" s="16"/>
      <c r="AG62" s="80"/>
      <c r="AH62" s="80"/>
      <c r="AI62" s="80"/>
    </row>
    <row r="63" spans="5:35" x14ac:dyDescent="0.25">
      <c r="E63" s="16"/>
      <c r="F63" s="16"/>
      <c r="H63" s="16"/>
      <c r="AG63" s="80"/>
      <c r="AH63" s="80"/>
      <c r="AI63" s="80"/>
    </row>
    <row r="64" spans="5:35" x14ac:dyDescent="0.25">
      <c r="E64" s="16"/>
      <c r="F64" s="16"/>
      <c r="H64" s="16"/>
      <c r="AG64" s="80"/>
      <c r="AH64" s="80"/>
      <c r="AI64" s="80"/>
    </row>
    <row r="65" spans="5:35" x14ac:dyDescent="0.25">
      <c r="E65" s="16"/>
      <c r="F65" s="16"/>
      <c r="H65" s="16"/>
      <c r="AG65" s="80"/>
      <c r="AH65" s="80"/>
      <c r="AI65" s="80"/>
    </row>
    <row r="66" spans="5:35" x14ac:dyDescent="0.25">
      <c r="E66" s="16"/>
      <c r="F66" s="16"/>
      <c r="H66" s="16"/>
      <c r="AG66" s="80"/>
      <c r="AH66" s="80"/>
      <c r="AI66" s="80"/>
    </row>
    <row r="67" spans="5:35" x14ac:dyDescent="0.25">
      <c r="E67" s="16"/>
      <c r="F67" s="16"/>
      <c r="H67" s="16"/>
      <c r="AG67" s="80"/>
      <c r="AH67" s="80"/>
      <c r="AI67" s="80"/>
    </row>
    <row r="68" spans="5:35" x14ac:dyDescent="0.25">
      <c r="E68" s="16"/>
      <c r="F68" s="16"/>
      <c r="H68" s="16"/>
      <c r="AG68" s="80"/>
      <c r="AH68" s="80"/>
      <c r="AI68" s="80"/>
    </row>
    <row r="69" spans="5:35" x14ac:dyDescent="0.25">
      <c r="E69" s="16"/>
      <c r="F69" s="16"/>
      <c r="H69" s="16"/>
      <c r="AG69" s="80"/>
      <c r="AH69" s="80"/>
      <c r="AI69" s="80"/>
    </row>
    <row r="70" spans="5:35" x14ac:dyDescent="0.25">
      <c r="E70" s="16"/>
      <c r="F70" s="16"/>
      <c r="H70" s="16"/>
      <c r="AG70" s="80"/>
      <c r="AH70" s="80"/>
      <c r="AI70" s="80"/>
    </row>
    <row r="71" spans="5:35" x14ac:dyDescent="0.25">
      <c r="E71" s="16"/>
      <c r="F71" s="16"/>
      <c r="H71" s="16"/>
      <c r="AG71" s="80"/>
      <c r="AH71" s="80"/>
      <c r="AI71" s="80"/>
    </row>
    <row r="72" spans="5:35" x14ac:dyDescent="0.25">
      <c r="E72" s="16"/>
      <c r="F72" s="16"/>
      <c r="H72" s="16"/>
      <c r="AG72" s="80"/>
      <c r="AH72" s="80"/>
      <c r="AI72" s="80"/>
    </row>
    <row r="73" spans="5:35" x14ac:dyDescent="0.25">
      <c r="E73" s="16"/>
      <c r="F73" s="16"/>
      <c r="H73" s="16"/>
      <c r="AG73" s="80"/>
      <c r="AH73" s="80"/>
      <c r="AI73" s="80"/>
    </row>
    <row r="74" spans="5:35" x14ac:dyDescent="0.25">
      <c r="E74" s="16"/>
      <c r="F74" s="16"/>
      <c r="H74" s="16"/>
      <c r="AG74" s="80"/>
      <c r="AH74" s="80"/>
      <c r="AI74" s="80"/>
    </row>
    <row r="75" spans="5:35" x14ac:dyDescent="0.25">
      <c r="E75" s="16"/>
      <c r="F75" s="16"/>
      <c r="H75" s="16"/>
      <c r="AG75" s="80"/>
      <c r="AH75" s="80"/>
      <c r="AI75" s="80"/>
    </row>
    <row r="76" spans="5:35" x14ac:dyDescent="0.25">
      <c r="E76" s="16"/>
      <c r="F76" s="16"/>
      <c r="H76" s="16"/>
      <c r="AG76" s="80"/>
      <c r="AH76" s="80"/>
      <c r="AI76" s="80"/>
    </row>
    <row r="77" spans="5:35" x14ac:dyDescent="0.25">
      <c r="E77" s="16"/>
      <c r="F77" s="16"/>
      <c r="H77" s="16"/>
      <c r="AG77" s="80"/>
      <c r="AH77" s="80"/>
      <c r="AI77" s="80"/>
    </row>
    <row r="78" spans="5:35" x14ac:dyDescent="0.25">
      <c r="E78" s="16"/>
      <c r="F78" s="16"/>
      <c r="H78" s="16"/>
      <c r="AG78" s="80"/>
      <c r="AH78" s="80"/>
      <c r="AI78" s="80"/>
    </row>
    <row r="79" spans="5:35" x14ac:dyDescent="0.25">
      <c r="E79" s="16"/>
      <c r="F79" s="16"/>
      <c r="H79" s="16"/>
      <c r="AG79" s="80"/>
      <c r="AH79" s="80"/>
      <c r="AI79" s="80"/>
    </row>
    <row r="80" spans="5:35" x14ac:dyDescent="0.25">
      <c r="E80" s="16"/>
      <c r="F80" s="16"/>
      <c r="H80" s="16"/>
      <c r="AG80" s="80"/>
      <c r="AH80" s="80"/>
      <c r="AI80" s="80"/>
    </row>
    <row r="81" spans="5:35" x14ac:dyDescent="0.25">
      <c r="E81" s="16"/>
      <c r="F81" s="16"/>
      <c r="H81" s="16"/>
      <c r="AG81" s="80"/>
      <c r="AH81" s="80"/>
      <c r="AI81" s="80"/>
    </row>
    <row r="82" spans="5:35" x14ac:dyDescent="0.25">
      <c r="E82" s="16"/>
      <c r="F82" s="16"/>
      <c r="H82" s="16"/>
      <c r="AG82" s="80"/>
      <c r="AH82" s="80"/>
      <c r="AI82" s="80"/>
    </row>
    <row r="83" spans="5:35" x14ac:dyDescent="0.25">
      <c r="E83" s="16"/>
      <c r="F83" s="16"/>
      <c r="H83" s="16"/>
      <c r="AG83" s="80"/>
      <c r="AH83" s="80"/>
      <c r="AI83" s="80"/>
    </row>
    <row r="84" spans="5:35" x14ac:dyDescent="0.25">
      <c r="E84" s="16"/>
      <c r="F84" s="16"/>
      <c r="H84" s="16"/>
      <c r="AG84" s="80"/>
      <c r="AH84" s="80"/>
      <c r="AI84" s="80"/>
    </row>
    <row r="85" spans="5:35" x14ac:dyDescent="0.25">
      <c r="E85" s="16"/>
      <c r="F85" s="16"/>
      <c r="H85" s="16"/>
      <c r="AG85" s="80"/>
      <c r="AH85" s="80"/>
      <c r="AI85" s="80"/>
    </row>
    <row r="86" spans="5:35" x14ac:dyDescent="0.25">
      <c r="E86" s="16"/>
      <c r="F86" s="16"/>
      <c r="H86" s="16"/>
      <c r="AG86" s="80"/>
      <c r="AH86" s="80"/>
      <c r="AI86" s="80"/>
    </row>
    <row r="87" spans="5:35" x14ac:dyDescent="0.25">
      <c r="E87" s="16"/>
      <c r="F87" s="16"/>
      <c r="H87" s="16"/>
      <c r="AG87" s="80"/>
      <c r="AH87" s="80"/>
      <c r="AI87" s="80"/>
    </row>
    <row r="88" spans="5:35" x14ac:dyDescent="0.25">
      <c r="E88" s="16"/>
      <c r="F88" s="16"/>
      <c r="H88" s="16"/>
      <c r="AG88" s="80"/>
      <c r="AH88" s="80"/>
      <c r="AI88" s="80"/>
    </row>
    <row r="89" spans="5:35" x14ac:dyDescent="0.25">
      <c r="E89" s="16"/>
      <c r="F89" s="16"/>
      <c r="H89" s="16"/>
      <c r="AG89" s="80"/>
      <c r="AH89" s="80"/>
      <c r="AI89" s="80"/>
    </row>
    <row r="90" spans="5:35" x14ac:dyDescent="0.25">
      <c r="E90" s="16"/>
      <c r="F90" s="16"/>
      <c r="H90" s="16"/>
      <c r="AG90" s="80"/>
      <c r="AH90" s="80"/>
      <c r="AI90" s="80"/>
    </row>
    <row r="91" spans="5:35" x14ac:dyDescent="0.25">
      <c r="E91" s="16"/>
      <c r="F91" s="16"/>
      <c r="H91" s="16"/>
      <c r="AG91" s="80"/>
      <c r="AH91" s="80"/>
      <c r="AI91" s="80"/>
    </row>
    <row r="92" spans="5:35" x14ac:dyDescent="0.25">
      <c r="E92" s="16"/>
      <c r="F92" s="16"/>
      <c r="H92" s="16"/>
      <c r="AG92" s="80"/>
      <c r="AH92" s="80"/>
      <c r="AI92" s="80"/>
    </row>
    <row r="93" spans="5:35" x14ac:dyDescent="0.25">
      <c r="E93" s="16"/>
      <c r="F93" s="16"/>
      <c r="H93" s="16"/>
      <c r="AG93" s="80"/>
      <c r="AH93" s="80"/>
      <c r="AI93" s="80"/>
    </row>
    <row r="94" spans="5:35" x14ac:dyDescent="0.25">
      <c r="E94" s="16"/>
      <c r="F94" s="16"/>
      <c r="H94" s="16"/>
      <c r="AG94" s="80"/>
      <c r="AH94" s="80"/>
      <c r="AI94" s="80"/>
    </row>
    <row r="95" spans="5:35" x14ac:dyDescent="0.25">
      <c r="E95" s="16"/>
      <c r="F95" s="16"/>
      <c r="H95" s="16"/>
      <c r="AG95" s="80"/>
      <c r="AH95" s="80"/>
      <c r="AI95" s="80"/>
    </row>
    <row r="96" spans="5:35" x14ac:dyDescent="0.25">
      <c r="E96" s="16"/>
      <c r="F96" s="16"/>
      <c r="H96" s="16"/>
      <c r="AG96" s="80"/>
      <c r="AH96" s="80"/>
      <c r="AI96" s="80"/>
    </row>
    <row r="97" spans="5:35" x14ac:dyDescent="0.25">
      <c r="E97" s="16"/>
      <c r="F97" s="16"/>
      <c r="H97" s="16"/>
      <c r="AG97" s="80"/>
      <c r="AH97" s="80"/>
      <c r="AI97" s="80"/>
    </row>
    <row r="98" spans="5:35" x14ac:dyDescent="0.25">
      <c r="E98" s="16"/>
      <c r="F98" s="16"/>
      <c r="H98" s="16"/>
      <c r="AG98" s="80"/>
      <c r="AH98" s="80"/>
      <c r="AI98" s="80"/>
    </row>
    <row r="99" spans="5:35" x14ac:dyDescent="0.25">
      <c r="E99" s="16"/>
      <c r="F99" s="16"/>
      <c r="H99" s="16"/>
      <c r="AG99" s="80"/>
      <c r="AH99" s="80"/>
      <c r="AI99" s="80"/>
    </row>
    <row r="100" spans="5:35" x14ac:dyDescent="0.25">
      <c r="E100" s="16"/>
      <c r="F100" s="16"/>
      <c r="H100" s="16"/>
      <c r="AG100" s="80"/>
      <c r="AH100" s="80"/>
      <c r="AI100" s="80"/>
    </row>
    <row r="101" spans="5:35" x14ac:dyDescent="0.25">
      <c r="E101" s="16"/>
      <c r="F101" s="16"/>
      <c r="H101" s="16"/>
      <c r="AG101" s="80"/>
      <c r="AH101" s="80"/>
      <c r="AI101" s="80"/>
    </row>
    <row r="102" spans="5:35" x14ac:dyDescent="0.25">
      <c r="E102" s="16"/>
      <c r="F102" s="16"/>
      <c r="H102" s="16"/>
      <c r="AG102" s="80"/>
      <c r="AH102" s="80"/>
      <c r="AI102" s="80"/>
    </row>
    <row r="103" spans="5:35" x14ac:dyDescent="0.25">
      <c r="E103" s="16"/>
      <c r="F103" s="16"/>
      <c r="H103" s="16"/>
      <c r="AG103" s="80"/>
      <c r="AH103" s="80"/>
      <c r="AI103" s="80"/>
    </row>
    <row r="104" spans="5:35" x14ac:dyDescent="0.25">
      <c r="E104" s="16"/>
      <c r="F104" s="16"/>
      <c r="H104" s="16"/>
      <c r="AG104" s="80"/>
      <c r="AH104" s="80"/>
      <c r="AI104" s="80"/>
    </row>
    <row r="105" spans="5:35" x14ac:dyDescent="0.25">
      <c r="E105" s="16"/>
      <c r="F105" s="16"/>
      <c r="H105" s="16"/>
      <c r="AG105" s="80"/>
      <c r="AH105" s="80"/>
      <c r="AI105" s="80"/>
    </row>
    <row r="106" spans="5:35" x14ac:dyDescent="0.25">
      <c r="E106" s="16"/>
      <c r="F106" s="16"/>
      <c r="H106" s="16"/>
      <c r="AG106" s="80"/>
      <c r="AH106" s="80"/>
      <c r="AI106" s="80"/>
    </row>
    <row r="107" spans="5:35" x14ac:dyDescent="0.25">
      <c r="E107" s="16"/>
      <c r="F107" s="16"/>
      <c r="H107" s="16"/>
      <c r="AG107" s="80"/>
      <c r="AH107" s="80"/>
      <c r="AI107" s="80"/>
    </row>
    <row r="108" spans="5:35" x14ac:dyDescent="0.25">
      <c r="E108" s="16"/>
      <c r="F108" s="16"/>
      <c r="H108" s="16"/>
      <c r="AG108" s="80"/>
      <c r="AH108" s="80"/>
      <c r="AI108" s="80"/>
    </row>
    <row r="109" spans="5:35" x14ac:dyDescent="0.25">
      <c r="E109" s="16"/>
      <c r="F109" s="16"/>
      <c r="H109" s="16"/>
      <c r="AG109" s="80"/>
      <c r="AH109" s="80"/>
      <c r="AI109" s="80"/>
    </row>
    <row r="110" spans="5:35" x14ac:dyDescent="0.25">
      <c r="E110" s="16"/>
      <c r="F110" s="16"/>
      <c r="H110" s="16"/>
      <c r="AG110" s="80"/>
      <c r="AH110" s="80"/>
      <c r="AI110" s="80"/>
    </row>
    <row r="111" spans="5:35" x14ac:dyDescent="0.25">
      <c r="E111" s="16"/>
      <c r="F111" s="16"/>
      <c r="H111" s="16"/>
      <c r="AG111" s="80"/>
      <c r="AH111" s="80"/>
      <c r="AI111" s="80"/>
    </row>
    <row r="112" spans="5:35" x14ac:dyDescent="0.25">
      <c r="E112" s="16"/>
      <c r="F112" s="16"/>
      <c r="H112" s="16"/>
      <c r="AG112" s="80"/>
      <c r="AH112" s="80"/>
      <c r="AI112" s="80"/>
    </row>
    <row r="113" spans="5:35" x14ac:dyDescent="0.25">
      <c r="E113" s="16"/>
      <c r="F113" s="16"/>
      <c r="H113" s="16"/>
      <c r="AG113" s="80"/>
      <c r="AH113" s="80"/>
      <c r="AI113" s="80"/>
    </row>
    <row r="114" spans="5:35" x14ac:dyDescent="0.25">
      <c r="E114" s="16"/>
      <c r="F114" s="16"/>
      <c r="H114" s="16"/>
      <c r="AG114" s="80"/>
      <c r="AH114" s="80"/>
      <c r="AI114" s="80"/>
    </row>
    <row r="115" spans="5:35" x14ac:dyDescent="0.25">
      <c r="E115" s="16"/>
      <c r="F115" s="16"/>
      <c r="H115" s="16"/>
      <c r="AG115" s="80"/>
      <c r="AH115" s="80"/>
      <c r="AI115" s="80"/>
    </row>
    <row r="116" spans="5:35" x14ac:dyDescent="0.25">
      <c r="E116" s="16"/>
      <c r="F116" s="16"/>
      <c r="H116" s="16"/>
      <c r="AG116" s="80"/>
      <c r="AH116" s="80"/>
      <c r="AI116" s="80"/>
    </row>
    <row r="117" spans="5:35" x14ac:dyDescent="0.25">
      <c r="E117" s="16"/>
      <c r="F117" s="16"/>
      <c r="H117" s="16"/>
      <c r="AG117" s="80"/>
      <c r="AH117" s="80"/>
      <c r="AI117" s="80"/>
    </row>
    <row r="118" spans="5:35" x14ac:dyDescent="0.25">
      <c r="E118" s="16"/>
      <c r="F118" s="16"/>
      <c r="H118" s="16"/>
      <c r="AG118" s="80"/>
      <c r="AH118" s="80"/>
      <c r="AI118" s="80"/>
    </row>
    <row r="119" spans="5:35" x14ac:dyDescent="0.25">
      <c r="E119" s="16"/>
      <c r="F119" s="16"/>
      <c r="H119" s="16"/>
      <c r="AG119" s="80"/>
      <c r="AH119" s="80"/>
      <c r="AI119" s="80"/>
    </row>
    <row r="120" spans="5:35" x14ac:dyDescent="0.25">
      <c r="E120" s="16"/>
      <c r="F120" s="16"/>
      <c r="H120" s="16"/>
      <c r="AG120" s="80"/>
      <c r="AH120" s="80"/>
      <c r="AI120" s="80"/>
    </row>
    <row r="121" spans="5:35" x14ac:dyDescent="0.25">
      <c r="E121" s="16"/>
      <c r="F121" s="16"/>
      <c r="H121" s="16"/>
      <c r="AG121" s="80"/>
      <c r="AH121" s="80"/>
      <c r="AI121" s="80"/>
    </row>
    <row r="122" spans="5:35" x14ac:dyDescent="0.25">
      <c r="E122" s="16"/>
      <c r="F122" s="16"/>
      <c r="H122" s="16"/>
      <c r="AG122" s="80"/>
      <c r="AH122" s="80"/>
      <c r="AI122" s="80"/>
    </row>
    <row r="123" spans="5:35" x14ac:dyDescent="0.25">
      <c r="E123" s="16"/>
      <c r="F123" s="16"/>
      <c r="H123" s="16"/>
      <c r="AG123" s="80"/>
      <c r="AH123" s="80"/>
      <c r="AI123" s="80"/>
    </row>
    <row r="124" spans="5:35" x14ac:dyDescent="0.25">
      <c r="E124" s="16"/>
      <c r="F124" s="16"/>
      <c r="H124" s="16"/>
      <c r="AG124" s="80"/>
      <c r="AH124" s="80"/>
      <c r="AI124" s="80"/>
    </row>
    <row r="125" spans="5:35" x14ac:dyDescent="0.25">
      <c r="E125" s="16"/>
      <c r="F125" s="16"/>
      <c r="H125" s="16"/>
      <c r="AG125" s="80"/>
      <c r="AH125" s="80"/>
      <c r="AI125" s="80"/>
    </row>
    <row r="126" spans="5:35" x14ac:dyDescent="0.25">
      <c r="E126" s="16"/>
      <c r="F126" s="16"/>
      <c r="H126" s="16"/>
      <c r="AG126" s="80"/>
      <c r="AH126" s="80"/>
      <c r="AI126" s="80"/>
    </row>
    <row r="127" spans="5:35" x14ac:dyDescent="0.25">
      <c r="E127" s="16"/>
      <c r="F127" s="16"/>
      <c r="H127" s="16"/>
      <c r="AG127" s="80"/>
      <c r="AH127" s="80"/>
      <c r="AI127" s="80"/>
    </row>
    <row r="128" spans="5:35" x14ac:dyDescent="0.25">
      <c r="E128" s="16"/>
      <c r="F128" s="16"/>
      <c r="H128" s="16"/>
      <c r="AG128" s="80"/>
      <c r="AH128" s="80"/>
      <c r="AI128" s="80"/>
    </row>
    <row r="129" spans="5:35" x14ac:dyDescent="0.25">
      <c r="E129" s="16"/>
      <c r="F129" s="16"/>
      <c r="H129" s="16"/>
      <c r="AG129" s="80"/>
      <c r="AH129" s="80"/>
      <c r="AI129" s="80"/>
    </row>
    <row r="130" spans="5:35" x14ac:dyDescent="0.25">
      <c r="E130" s="16"/>
      <c r="F130" s="16"/>
      <c r="H130" s="16"/>
      <c r="AG130" s="80"/>
      <c r="AH130" s="80"/>
      <c r="AI130" s="80"/>
    </row>
    <row r="131" spans="5:35" x14ac:dyDescent="0.25">
      <c r="E131" s="16"/>
      <c r="F131" s="16"/>
      <c r="H131" s="16"/>
      <c r="AG131" s="80"/>
      <c r="AH131" s="80"/>
      <c r="AI131" s="80"/>
    </row>
    <row r="132" spans="5:35" x14ac:dyDescent="0.25">
      <c r="E132" s="16"/>
      <c r="F132" s="16"/>
      <c r="H132" s="16"/>
      <c r="AG132" s="80"/>
      <c r="AH132" s="80"/>
      <c r="AI132" s="80"/>
    </row>
    <row r="133" spans="5:35" x14ac:dyDescent="0.25">
      <c r="E133" s="16"/>
      <c r="F133" s="16"/>
      <c r="H133" s="16"/>
      <c r="AG133" s="80"/>
      <c r="AH133" s="80"/>
      <c r="AI133" s="80"/>
    </row>
    <row r="134" spans="5:35" x14ac:dyDescent="0.25">
      <c r="E134" s="16"/>
      <c r="F134" s="16"/>
      <c r="H134" s="16"/>
      <c r="AG134" s="80"/>
      <c r="AH134" s="80"/>
      <c r="AI134" s="80"/>
    </row>
    <row r="135" spans="5:35" x14ac:dyDescent="0.25">
      <c r="E135" s="16"/>
      <c r="F135" s="16"/>
      <c r="H135" s="16"/>
      <c r="AG135" s="80"/>
      <c r="AH135" s="80"/>
      <c r="AI135" s="80"/>
    </row>
    <row r="136" spans="5:35" x14ac:dyDescent="0.25">
      <c r="E136" s="16"/>
      <c r="F136" s="16"/>
      <c r="H136" s="16"/>
      <c r="AG136" s="80"/>
      <c r="AH136" s="80"/>
      <c r="AI136" s="80"/>
    </row>
    <row r="137" spans="5:35" x14ac:dyDescent="0.25">
      <c r="E137" s="16"/>
      <c r="F137" s="16"/>
      <c r="H137" s="16"/>
      <c r="AG137" s="80"/>
      <c r="AH137" s="80"/>
      <c r="AI137" s="80"/>
    </row>
    <row r="138" spans="5:35" x14ac:dyDescent="0.25">
      <c r="E138" s="16"/>
      <c r="F138" s="16"/>
      <c r="H138" s="16"/>
      <c r="AG138" s="80"/>
      <c r="AH138" s="80"/>
      <c r="AI138" s="80"/>
    </row>
    <row r="139" spans="5:35" x14ac:dyDescent="0.25">
      <c r="E139" s="16"/>
      <c r="F139" s="16"/>
      <c r="H139" s="16"/>
      <c r="AG139" s="80"/>
      <c r="AH139" s="80"/>
      <c r="AI139" s="80"/>
    </row>
    <row r="140" spans="5:35" x14ac:dyDescent="0.25">
      <c r="E140" s="16"/>
      <c r="F140" s="16"/>
      <c r="H140" s="16"/>
      <c r="AG140" s="80"/>
      <c r="AH140" s="80"/>
      <c r="AI140" s="80"/>
    </row>
    <row r="141" spans="5:35" x14ac:dyDescent="0.25">
      <c r="E141" s="16"/>
      <c r="F141" s="16"/>
      <c r="H141" s="16"/>
      <c r="AG141" s="80"/>
      <c r="AH141" s="80"/>
      <c r="AI141" s="80"/>
    </row>
    <row r="142" spans="5:35" x14ac:dyDescent="0.25">
      <c r="E142" s="16"/>
      <c r="F142" s="16"/>
      <c r="H142" s="16"/>
      <c r="AG142" s="80"/>
      <c r="AH142" s="80"/>
      <c r="AI142" s="80"/>
    </row>
    <row r="143" spans="5:35" x14ac:dyDescent="0.25">
      <c r="E143" s="16"/>
      <c r="F143" s="16"/>
      <c r="H143" s="16"/>
      <c r="AG143" s="80"/>
      <c r="AH143" s="80"/>
      <c r="AI143" s="80"/>
    </row>
    <row r="144" spans="5:35" x14ac:dyDescent="0.25">
      <c r="E144" s="16"/>
      <c r="F144" s="16"/>
      <c r="H144" s="16"/>
      <c r="AG144" s="80"/>
      <c r="AH144" s="80"/>
      <c r="AI144" s="80"/>
    </row>
    <row r="145" spans="5:35" x14ac:dyDescent="0.25">
      <c r="E145" s="16"/>
      <c r="F145" s="16"/>
      <c r="H145" s="16"/>
      <c r="AG145" s="80"/>
      <c r="AH145" s="80"/>
      <c r="AI145" s="80"/>
    </row>
    <row r="146" spans="5:35" x14ac:dyDescent="0.25">
      <c r="E146" s="16"/>
      <c r="F146" s="16"/>
      <c r="H146" s="16"/>
      <c r="AG146" s="80"/>
      <c r="AH146" s="80"/>
      <c r="AI146" s="80"/>
    </row>
    <row r="147" spans="5:35" x14ac:dyDescent="0.25">
      <c r="E147" s="16"/>
      <c r="F147" s="16"/>
      <c r="H147" s="16"/>
      <c r="AG147" s="80"/>
      <c r="AH147" s="80"/>
      <c r="AI147" s="80"/>
    </row>
    <row r="148" spans="5:35" x14ac:dyDescent="0.25">
      <c r="E148" s="16"/>
      <c r="F148" s="16"/>
      <c r="H148" s="16"/>
      <c r="AG148" s="80"/>
      <c r="AH148" s="80"/>
      <c r="AI148" s="80"/>
    </row>
    <row r="149" spans="5:35" x14ac:dyDescent="0.25">
      <c r="E149" s="16"/>
      <c r="F149" s="16"/>
      <c r="H149" s="16"/>
      <c r="AG149" s="80"/>
      <c r="AH149" s="80"/>
      <c r="AI149" s="80"/>
    </row>
    <row r="150" spans="5:35" x14ac:dyDescent="0.25">
      <c r="E150" s="16"/>
      <c r="F150" s="16"/>
      <c r="H150" s="16"/>
      <c r="AG150" s="80"/>
      <c r="AH150" s="80"/>
      <c r="AI150" s="80"/>
    </row>
    <row r="151" spans="5:35" x14ac:dyDescent="0.25">
      <c r="E151" s="16"/>
      <c r="F151" s="16"/>
      <c r="H151" s="16"/>
      <c r="AG151" s="80"/>
      <c r="AH151" s="80"/>
      <c r="AI151" s="80"/>
    </row>
    <row r="152" spans="5:35" x14ac:dyDescent="0.25">
      <c r="E152" s="16"/>
      <c r="F152" s="16"/>
      <c r="H152" s="16"/>
      <c r="AG152" s="80"/>
      <c r="AH152" s="80"/>
      <c r="AI152" s="80"/>
    </row>
    <row r="153" spans="5:35" x14ac:dyDescent="0.25">
      <c r="E153" s="16"/>
      <c r="F153" s="16"/>
      <c r="H153" s="16"/>
      <c r="AG153" s="80"/>
      <c r="AH153" s="80"/>
      <c r="AI153" s="80"/>
    </row>
    <row r="154" spans="5:35" x14ac:dyDescent="0.25">
      <c r="E154" s="16"/>
      <c r="F154" s="16"/>
      <c r="H154" s="16"/>
      <c r="AG154" s="80"/>
      <c r="AH154" s="80"/>
      <c r="AI154" s="80"/>
    </row>
    <row r="155" spans="5:35" x14ac:dyDescent="0.25">
      <c r="E155" s="16"/>
      <c r="F155" s="16"/>
      <c r="H155" s="16"/>
      <c r="AG155" s="80"/>
      <c r="AH155" s="80"/>
      <c r="AI155" s="80"/>
    </row>
    <row r="156" spans="5:35" x14ac:dyDescent="0.25">
      <c r="E156" s="16"/>
      <c r="F156" s="16"/>
      <c r="H156" s="16"/>
      <c r="AG156" s="80"/>
      <c r="AH156" s="80"/>
      <c r="AI156" s="80"/>
    </row>
    <row r="157" spans="5:35" x14ac:dyDescent="0.25">
      <c r="E157" s="16"/>
      <c r="F157" s="16"/>
      <c r="H157" s="16"/>
      <c r="AG157" s="80"/>
      <c r="AH157" s="80"/>
      <c r="AI157" s="80"/>
    </row>
    <row r="158" spans="5:35" x14ac:dyDescent="0.25">
      <c r="E158" s="16"/>
      <c r="F158" s="16"/>
      <c r="H158" s="16"/>
      <c r="AG158" s="80"/>
      <c r="AH158" s="80"/>
      <c r="AI158" s="80"/>
    </row>
    <row r="159" spans="5:35" x14ac:dyDescent="0.25">
      <c r="E159" s="16"/>
      <c r="F159" s="16"/>
      <c r="H159" s="16"/>
      <c r="AG159" s="80"/>
      <c r="AH159" s="80"/>
      <c r="AI159" s="80"/>
    </row>
    <row r="160" spans="5:35" x14ac:dyDescent="0.25">
      <c r="E160" s="16"/>
      <c r="F160" s="16"/>
      <c r="H160" s="16"/>
      <c r="AG160" s="80"/>
      <c r="AH160" s="80"/>
      <c r="AI160" s="80"/>
    </row>
    <row r="161" spans="5:35" x14ac:dyDescent="0.25">
      <c r="E161" s="16"/>
      <c r="F161" s="16"/>
      <c r="H161" s="16"/>
      <c r="AG161" s="80"/>
      <c r="AH161" s="80"/>
      <c r="AI161" s="80"/>
    </row>
    <row r="162" spans="5:35" x14ac:dyDescent="0.25">
      <c r="E162" s="16"/>
      <c r="F162" s="16"/>
      <c r="H162" s="16"/>
      <c r="AG162" s="80"/>
      <c r="AH162" s="80"/>
      <c r="AI162" s="80"/>
    </row>
    <row r="163" spans="5:35" x14ac:dyDescent="0.25">
      <c r="E163" s="16"/>
      <c r="F163" s="16"/>
      <c r="H163" s="16"/>
      <c r="AG163" s="80"/>
      <c r="AH163" s="80"/>
      <c r="AI163" s="80"/>
    </row>
    <row r="164" spans="5:35" x14ac:dyDescent="0.25">
      <c r="E164" s="16"/>
      <c r="F164" s="16"/>
      <c r="H164" s="16"/>
      <c r="AG164" s="80"/>
      <c r="AH164" s="80"/>
      <c r="AI164" s="80"/>
    </row>
    <row r="165" spans="5:35" x14ac:dyDescent="0.25">
      <c r="E165" s="16"/>
      <c r="F165" s="16"/>
      <c r="H165" s="16"/>
      <c r="AG165" s="80"/>
      <c r="AH165" s="80"/>
      <c r="AI165" s="80"/>
    </row>
    <row r="166" spans="5:35" x14ac:dyDescent="0.25">
      <c r="E166" s="16"/>
      <c r="F166" s="16"/>
      <c r="H166" s="16"/>
      <c r="AG166" s="80"/>
      <c r="AH166" s="80"/>
      <c r="AI166" s="80"/>
    </row>
    <row r="167" spans="5:35" x14ac:dyDescent="0.25">
      <c r="E167" s="16"/>
      <c r="F167" s="16"/>
      <c r="H167" s="16"/>
      <c r="AG167" s="80"/>
      <c r="AH167" s="80"/>
      <c r="AI167" s="80"/>
    </row>
    <row r="168" spans="5:35" x14ac:dyDescent="0.25">
      <c r="E168" s="16"/>
      <c r="F168" s="16"/>
      <c r="H168" s="16"/>
      <c r="AG168" s="80"/>
      <c r="AH168" s="80"/>
      <c r="AI168" s="80"/>
    </row>
    <row r="169" spans="5:35" x14ac:dyDescent="0.25">
      <c r="E169" s="16"/>
      <c r="F169" s="16"/>
      <c r="H169" s="16"/>
      <c r="AG169" s="80"/>
      <c r="AH169" s="80"/>
      <c r="AI169" s="80"/>
    </row>
    <row r="170" spans="5:35" x14ac:dyDescent="0.25">
      <c r="E170" s="16"/>
      <c r="F170" s="16"/>
      <c r="H170" s="16"/>
      <c r="AG170" s="80"/>
      <c r="AH170" s="80"/>
      <c r="AI170" s="80"/>
    </row>
    <row r="171" spans="5:35" x14ac:dyDescent="0.25">
      <c r="E171" s="16"/>
      <c r="F171" s="16"/>
      <c r="H171" s="16"/>
      <c r="AG171" s="80"/>
      <c r="AH171" s="80"/>
      <c r="AI171" s="80"/>
    </row>
    <row r="172" spans="5:35" x14ac:dyDescent="0.25">
      <c r="E172" s="16"/>
      <c r="F172" s="16"/>
      <c r="H172" s="16"/>
      <c r="AG172" s="80"/>
      <c r="AH172" s="80"/>
      <c r="AI172" s="80"/>
    </row>
    <row r="173" spans="5:35" x14ac:dyDescent="0.25">
      <c r="E173" s="16"/>
      <c r="F173" s="16"/>
      <c r="H173" s="16"/>
      <c r="AG173" s="80"/>
      <c r="AH173" s="80"/>
      <c r="AI173" s="80"/>
    </row>
    <row r="174" spans="5:35" x14ac:dyDescent="0.25">
      <c r="E174" s="16"/>
      <c r="F174" s="16"/>
      <c r="H174" s="16"/>
      <c r="AG174" s="80"/>
      <c r="AH174" s="80"/>
      <c r="AI174" s="80"/>
    </row>
    <row r="175" spans="5:35" x14ac:dyDescent="0.25">
      <c r="E175" s="16"/>
      <c r="F175" s="16"/>
      <c r="H175" s="16"/>
      <c r="AG175" s="80"/>
      <c r="AH175" s="80"/>
      <c r="AI175" s="80"/>
    </row>
    <row r="176" spans="5:35" x14ac:dyDescent="0.25">
      <c r="E176" s="16"/>
      <c r="F176" s="16"/>
      <c r="H176" s="16"/>
      <c r="AG176" s="80"/>
      <c r="AH176" s="80"/>
      <c r="AI176" s="80"/>
    </row>
    <row r="177" spans="5:35" x14ac:dyDescent="0.25">
      <c r="E177" s="16"/>
      <c r="F177" s="16"/>
      <c r="H177" s="16"/>
      <c r="AG177" s="80"/>
      <c r="AH177" s="80"/>
      <c r="AI177" s="80"/>
    </row>
    <row r="178" spans="5:35" x14ac:dyDescent="0.25">
      <c r="E178" s="16"/>
      <c r="F178" s="16"/>
      <c r="H178" s="16"/>
      <c r="AG178" s="80"/>
      <c r="AH178" s="80"/>
      <c r="AI178" s="80"/>
    </row>
    <row r="179" spans="5:35" x14ac:dyDescent="0.25">
      <c r="E179" s="16"/>
      <c r="F179" s="16"/>
      <c r="H179" s="16"/>
      <c r="AG179" s="80"/>
      <c r="AH179" s="80"/>
      <c r="AI179" s="80"/>
    </row>
    <row r="180" spans="5:35" x14ac:dyDescent="0.25">
      <c r="E180" s="16"/>
      <c r="F180" s="16"/>
      <c r="H180" s="16"/>
      <c r="AG180" s="80"/>
      <c r="AH180" s="80"/>
      <c r="AI180" s="80"/>
    </row>
    <row r="181" spans="5:35" x14ac:dyDescent="0.25">
      <c r="E181" s="16"/>
      <c r="F181" s="16"/>
      <c r="H181" s="16"/>
      <c r="AG181" s="80"/>
      <c r="AH181" s="80"/>
      <c r="AI181" s="80"/>
    </row>
    <row r="182" spans="5:35" x14ac:dyDescent="0.25">
      <c r="E182" s="16"/>
      <c r="F182" s="16"/>
      <c r="H182" s="16"/>
      <c r="AG182" s="80"/>
      <c r="AH182" s="80"/>
      <c r="AI182" s="80"/>
    </row>
    <row r="183" spans="5:35" x14ac:dyDescent="0.25">
      <c r="E183" s="16"/>
      <c r="F183" s="16"/>
      <c r="H183" s="16"/>
      <c r="AG183" s="80"/>
      <c r="AH183" s="80"/>
      <c r="AI183" s="80"/>
    </row>
    <row r="184" spans="5:35" x14ac:dyDescent="0.25">
      <c r="E184" s="16"/>
      <c r="F184" s="16"/>
      <c r="H184" s="16"/>
      <c r="AG184" s="80"/>
      <c r="AH184" s="80"/>
      <c r="AI184" s="80"/>
    </row>
    <row r="185" spans="5:35" x14ac:dyDescent="0.25">
      <c r="E185" s="16"/>
      <c r="F185" s="16"/>
      <c r="H185" s="16"/>
      <c r="AG185" s="80"/>
      <c r="AH185" s="80"/>
      <c r="AI185" s="80"/>
    </row>
    <row r="186" spans="5:35" x14ac:dyDescent="0.25">
      <c r="E186" s="16"/>
      <c r="F186" s="16"/>
      <c r="H186" s="16"/>
      <c r="AG186" s="80"/>
      <c r="AH186" s="80"/>
      <c r="AI186" s="80"/>
    </row>
    <row r="187" spans="5:35" x14ac:dyDescent="0.25">
      <c r="E187" s="16"/>
      <c r="F187" s="16"/>
      <c r="H187" s="16"/>
      <c r="AG187" s="80"/>
      <c r="AH187" s="80"/>
      <c r="AI187" s="80"/>
    </row>
    <row r="188" spans="5:35" x14ac:dyDescent="0.25">
      <c r="E188" s="16"/>
      <c r="F188" s="16"/>
      <c r="H188" s="16"/>
      <c r="AG188" s="80"/>
      <c r="AH188" s="80"/>
      <c r="AI188" s="80"/>
    </row>
    <row r="189" spans="5:35" x14ac:dyDescent="0.25">
      <c r="E189" s="16"/>
      <c r="F189" s="16"/>
      <c r="H189" s="16"/>
      <c r="AG189" s="80"/>
      <c r="AH189" s="80"/>
      <c r="AI189" s="80"/>
    </row>
    <row r="190" spans="5:35" x14ac:dyDescent="0.25">
      <c r="E190" s="16"/>
      <c r="F190" s="16"/>
      <c r="H190" s="16"/>
      <c r="AG190" s="80"/>
      <c r="AH190" s="80"/>
      <c r="AI190" s="80"/>
    </row>
    <row r="191" spans="5:35" x14ac:dyDescent="0.25">
      <c r="E191" s="16"/>
      <c r="F191" s="16"/>
      <c r="H191" s="16"/>
      <c r="AG191" s="80"/>
      <c r="AH191" s="80"/>
      <c r="AI191" s="80"/>
    </row>
    <row r="192" spans="5:35" x14ac:dyDescent="0.25">
      <c r="E192" s="16"/>
      <c r="F192" s="16"/>
      <c r="H192" s="16"/>
      <c r="AG192" s="80"/>
      <c r="AH192" s="80"/>
      <c r="AI192" s="80"/>
    </row>
    <row r="193" spans="5:35" x14ac:dyDescent="0.25">
      <c r="E193" s="16"/>
      <c r="F193" s="16"/>
      <c r="H193" s="16"/>
      <c r="AG193" s="80"/>
      <c r="AH193" s="80"/>
      <c r="AI193" s="80"/>
    </row>
    <row r="194" spans="5:35" x14ac:dyDescent="0.25">
      <c r="E194" s="16"/>
      <c r="F194" s="16"/>
      <c r="H194" s="16"/>
      <c r="AG194" s="80"/>
      <c r="AH194" s="80"/>
      <c r="AI194" s="80"/>
    </row>
    <row r="195" spans="5:35" x14ac:dyDescent="0.25">
      <c r="E195" s="16"/>
      <c r="F195" s="16"/>
      <c r="H195" s="16"/>
      <c r="AG195" s="80"/>
      <c r="AH195" s="80"/>
      <c r="AI195" s="80"/>
    </row>
    <row r="196" spans="5:35" x14ac:dyDescent="0.25">
      <c r="E196" s="16"/>
      <c r="F196" s="16"/>
      <c r="H196" s="16"/>
      <c r="AG196" s="80"/>
      <c r="AH196" s="80"/>
      <c r="AI196" s="80"/>
    </row>
    <row r="197" spans="5:35" x14ac:dyDescent="0.25">
      <c r="E197" s="16"/>
      <c r="F197" s="16"/>
      <c r="H197" s="16"/>
      <c r="AG197" s="80"/>
      <c r="AH197" s="80"/>
      <c r="AI197" s="80"/>
    </row>
    <row r="198" spans="5:35" x14ac:dyDescent="0.25">
      <c r="E198" s="16"/>
      <c r="F198" s="16"/>
      <c r="H198" s="16"/>
      <c r="AG198" s="80"/>
      <c r="AH198" s="80"/>
      <c r="AI198" s="80"/>
    </row>
    <row r="199" spans="5:35" x14ac:dyDescent="0.25">
      <c r="E199" s="16"/>
      <c r="F199" s="16"/>
      <c r="H199" s="16"/>
      <c r="AG199" s="80"/>
      <c r="AH199" s="80"/>
      <c r="AI199" s="80"/>
    </row>
    <row r="200" spans="5:35" x14ac:dyDescent="0.25">
      <c r="E200" s="16"/>
      <c r="F200" s="16"/>
      <c r="H200" s="16"/>
      <c r="AG200" s="80"/>
      <c r="AH200" s="80"/>
      <c r="AI200" s="80"/>
    </row>
    <row r="201" spans="5:35" x14ac:dyDescent="0.25">
      <c r="E201" s="16"/>
      <c r="F201" s="16"/>
      <c r="H201" s="16"/>
      <c r="AG201" s="80"/>
      <c r="AH201" s="80"/>
      <c r="AI201" s="80"/>
    </row>
    <row r="202" spans="5:35" x14ac:dyDescent="0.25">
      <c r="E202" s="16"/>
      <c r="F202" s="16"/>
      <c r="H202" s="16"/>
      <c r="AG202" s="80"/>
      <c r="AH202" s="80"/>
      <c r="AI202" s="80"/>
    </row>
    <row r="203" spans="5:35" x14ac:dyDescent="0.25">
      <c r="E203" s="16"/>
      <c r="F203" s="16"/>
      <c r="H203" s="16"/>
      <c r="AG203" s="80"/>
      <c r="AH203" s="80"/>
      <c r="AI203" s="80"/>
    </row>
    <row r="204" spans="5:35" x14ac:dyDescent="0.25">
      <c r="E204" s="16"/>
      <c r="F204" s="16"/>
      <c r="H204" s="16"/>
      <c r="AG204" s="80"/>
      <c r="AH204" s="80"/>
      <c r="AI204" s="80"/>
    </row>
    <row r="205" spans="5:35" x14ac:dyDescent="0.25">
      <c r="E205" s="16"/>
      <c r="F205" s="16"/>
      <c r="H205" s="16"/>
      <c r="AG205" s="80"/>
      <c r="AH205" s="80"/>
      <c r="AI205" s="80"/>
    </row>
    <row r="206" spans="5:35" x14ac:dyDescent="0.25">
      <c r="E206" s="16"/>
      <c r="F206" s="16"/>
      <c r="H206" s="16"/>
      <c r="AG206" s="80"/>
      <c r="AH206" s="80"/>
      <c r="AI206" s="80"/>
    </row>
    <row r="207" spans="5:35" x14ac:dyDescent="0.25">
      <c r="E207" s="16"/>
      <c r="F207" s="16"/>
      <c r="H207" s="16"/>
      <c r="AG207" s="80"/>
      <c r="AH207" s="80"/>
      <c r="AI207" s="80"/>
    </row>
    <row r="208" spans="5:35" x14ac:dyDescent="0.25">
      <c r="E208" s="16"/>
      <c r="F208" s="16"/>
      <c r="H208" s="16"/>
      <c r="AG208" s="80"/>
      <c r="AH208" s="80"/>
      <c r="AI208" s="80"/>
    </row>
    <row r="209" spans="5:35" x14ac:dyDescent="0.25">
      <c r="E209" s="16"/>
      <c r="F209" s="16"/>
      <c r="H209" s="16"/>
      <c r="AG209" s="80"/>
      <c r="AH209" s="80"/>
      <c r="AI209" s="80"/>
    </row>
    <row r="210" spans="5:35" x14ac:dyDescent="0.25">
      <c r="E210" s="16"/>
      <c r="F210" s="16"/>
      <c r="H210" s="16"/>
      <c r="AG210" s="80"/>
      <c r="AH210" s="80"/>
      <c r="AI210" s="80"/>
    </row>
    <row r="211" spans="5:35" x14ac:dyDescent="0.25">
      <c r="E211" s="16"/>
      <c r="F211" s="16"/>
      <c r="H211" s="16"/>
      <c r="AG211" s="80"/>
      <c r="AH211" s="80"/>
      <c r="AI211" s="80"/>
    </row>
    <row r="212" spans="5:35" x14ac:dyDescent="0.25">
      <c r="E212" s="16"/>
      <c r="F212" s="16"/>
      <c r="H212" s="16"/>
      <c r="AG212" s="80"/>
      <c r="AH212" s="80"/>
      <c r="AI212" s="80"/>
    </row>
    <row r="213" spans="5:35" x14ac:dyDescent="0.25">
      <c r="E213" s="16"/>
      <c r="F213" s="16"/>
      <c r="H213" s="16"/>
      <c r="AG213" s="80"/>
      <c r="AH213" s="80"/>
      <c r="AI213" s="80"/>
    </row>
    <row r="214" spans="5:35" x14ac:dyDescent="0.25">
      <c r="E214" s="16"/>
      <c r="F214" s="16"/>
      <c r="H214" s="16"/>
      <c r="AG214" s="80"/>
      <c r="AH214" s="80"/>
      <c r="AI214" s="80"/>
    </row>
    <row r="215" spans="5:35" x14ac:dyDescent="0.25">
      <c r="E215" s="16"/>
      <c r="F215" s="16"/>
      <c r="H215" s="16"/>
      <c r="AG215" s="80"/>
      <c r="AH215" s="80"/>
      <c r="AI215" s="80"/>
    </row>
    <row r="216" spans="5:35" x14ac:dyDescent="0.25">
      <c r="E216" s="16"/>
      <c r="F216" s="16"/>
      <c r="H216" s="16"/>
      <c r="AG216" s="80"/>
      <c r="AH216" s="80"/>
      <c r="AI216" s="80"/>
    </row>
    <row r="217" spans="5:35" x14ac:dyDescent="0.25">
      <c r="E217" s="16"/>
      <c r="F217" s="16"/>
      <c r="H217" s="16"/>
      <c r="AG217" s="80"/>
      <c r="AH217" s="80"/>
      <c r="AI217" s="80"/>
    </row>
    <row r="218" spans="5:35" x14ac:dyDescent="0.25">
      <c r="E218" s="16"/>
      <c r="F218" s="16"/>
      <c r="H218" s="16"/>
      <c r="AG218" s="80"/>
      <c r="AH218" s="80"/>
      <c r="AI218" s="80"/>
    </row>
    <row r="219" spans="5:35" x14ac:dyDescent="0.25">
      <c r="E219" s="16"/>
      <c r="F219" s="16"/>
      <c r="H219" s="16"/>
      <c r="AG219" s="80"/>
      <c r="AH219" s="80"/>
      <c r="AI219" s="80"/>
    </row>
    <row r="220" spans="5:35" x14ac:dyDescent="0.25">
      <c r="E220" s="16"/>
      <c r="F220" s="16"/>
      <c r="H220" s="16"/>
      <c r="AG220" s="80"/>
      <c r="AH220" s="80"/>
      <c r="AI220" s="80"/>
    </row>
    <row r="221" spans="5:35" x14ac:dyDescent="0.25">
      <c r="E221" s="16"/>
      <c r="F221" s="16"/>
      <c r="H221" s="16"/>
      <c r="AG221" s="80"/>
      <c r="AH221" s="80"/>
      <c r="AI221" s="80"/>
    </row>
    <row r="222" spans="5:35" x14ac:dyDescent="0.25">
      <c r="E222" s="16"/>
      <c r="F222" s="16"/>
      <c r="H222" s="16"/>
      <c r="AG222" s="80"/>
      <c r="AH222" s="80"/>
      <c r="AI222" s="80"/>
    </row>
    <row r="223" spans="5:35" x14ac:dyDescent="0.25">
      <c r="E223" s="16"/>
      <c r="F223" s="16"/>
      <c r="H223" s="16"/>
      <c r="AG223" s="80"/>
      <c r="AH223" s="80"/>
      <c r="AI223" s="80"/>
    </row>
    <row r="224" spans="5:35" x14ac:dyDescent="0.25">
      <c r="E224" s="16"/>
      <c r="F224" s="16"/>
      <c r="H224" s="16"/>
      <c r="AG224" s="80"/>
      <c r="AH224" s="80"/>
      <c r="AI224" s="80"/>
    </row>
    <row r="225" spans="5:35" x14ac:dyDescent="0.25">
      <c r="E225" s="16"/>
      <c r="F225" s="16"/>
      <c r="H225" s="16"/>
      <c r="AG225" s="80"/>
      <c r="AH225" s="80"/>
      <c r="AI225" s="80"/>
    </row>
    <row r="226" spans="5:35" x14ac:dyDescent="0.25">
      <c r="E226" s="16"/>
      <c r="F226" s="16"/>
      <c r="H226" s="16"/>
      <c r="AG226" s="80"/>
      <c r="AH226" s="80"/>
      <c r="AI226" s="80"/>
    </row>
    <row r="227" spans="5:35" x14ac:dyDescent="0.25">
      <c r="E227" s="16"/>
      <c r="F227" s="16"/>
      <c r="H227" s="16"/>
      <c r="AG227" s="80"/>
      <c r="AH227" s="80"/>
      <c r="AI227" s="80"/>
    </row>
    <row r="228" spans="5:35" x14ac:dyDescent="0.25">
      <c r="E228" s="16"/>
      <c r="F228" s="16"/>
      <c r="H228" s="16"/>
      <c r="AG228" s="80"/>
      <c r="AH228" s="80"/>
      <c r="AI228" s="80"/>
    </row>
    <row r="229" spans="5:35" x14ac:dyDescent="0.25">
      <c r="E229" s="16"/>
      <c r="F229" s="16"/>
      <c r="H229" s="16"/>
      <c r="AG229" s="80"/>
      <c r="AH229" s="80"/>
      <c r="AI229" s="80"/>
    </row>
    <row r="230" spans="5:35" x14ac:dyDescent="0.25">
      <c r="E230" s="16"/>
      <c r="F230" s="16"/>
      <c r="H230" s="16"/>
      <c r="AG230" s="80"/>
      <c r="AH230" s="80"/>
      <c r="AI230" s="80"/>
    </row>
    <row r="231" spans="5:35" x14ac:dyDescent="0.25">
      <c r="E231" s="16"/>
      <c r="F231" s="16"/>
      <c r="H231" s="16"/>
      <c r="AG231" s="80"/>
      <c r="AH231" s="80"/>
      <c r="AI231" s="80"/>
    </row>
    <row r="232" spans="5:35" x14ac:dyDescent="0.25">
      <c r="E232" s="16"/>
      <c r="F232" s="16"/>
      <c r="H232" s="16"/>
      <c r="AG232" s="80"/>
      <c r="AH232" s="80"/>
      <c r="AI232" s="80"/>
    </row>
    <row r="233" spans="5:35" x14ac:dyDescent="0.25">
      <c r="E233" s="16"/>
      <c r="F233" s="16"/>
      <c r="H233" s="16"/>
      <c r="AG233" s="80"/>
      <c r="AH233" s="80"/>
      <c r="AI233" s="80"/>
    </row>
    <row r="234" spans="5:35" x14ac:dyDescent="0.25">
      <c r="E234" s="16"/>
      <c r="F234" s="16"/>
      <c r="H234" s="16"/>
      <c r="AG234" s="80"/>
      <c r="AH234" s="80"/>
      <c r="AI234" s="80"/>
    </row>
    <row r="235" spans="5:35" x14ac:dyDescent="0.25">
      <c r="E235" s="16"/>
      <c r="F235" s="16"/>
      <c r="H235" s="16"/>
      <c r="AG235" s="80"/>
      <c r="AH235" s="80"/>
      <c r="AI235" s="80"/>
    </row>
    <row r="236" spans="5:35" x14ac:dyDescent="0.25">
      <c r="E236" s="16"/>
      <c r="F236" s="16"/>
      <c r="H236" s="16"/>
      <c r="AG236" s="80"/>
      <c r="AH236" s="80"/>
      <c r="AI236" s="80"/>
    </row>
    <row r="237" spans="5:35" x14ac:dyDescent="0.25">
      <c r="E237" s="16"/>
      <c r="F237" s="16"/>
      <c r="H237" s="16"/>
      <c r="AG237" s="80"/>
      <c r="AH237" s="80"/>
      <c r="AI237" s="80"/>
    </row>
    <row r="238" spans="5:35" x14ac:dyDescent="0.25">
      <c r="E238" s="16"/>
      <c r="F238" s="16"/>
      <c r="H238" s="16"/>
      <c r="AG238" s="80"/>
      <c r="AH238" s="80"/>
      <c r="AI238" s="80"/>
    </row>
    <row r="239" spans="5:35" x14ac:dyDescent="0.25">
      <c r="E239" s="16"/>
      <c r="F239" s="16"/>
      <c r="H239" s="16"/>
      <c r="AG239" s="80"/>
      <c r="AH239" s="80"/>
      <c r="AI239" s="80"/>
    </row>
    <row r="240" spans="5:35" x14ac:dyDescent="0.25">
      <c r="E240" s="16"/>
      <c r="F240" s="16"/>
      <c r="H240" s="16"/>
      <c r="AG240" s="80"/>
      <c r="AH240" s="80"/>
      <c r="AI240" s="80"/>
    </row>
    <row r="241" spans="5:35" x14ac:dyDescent="0.25">
      <c r="E241" s="16"/>
      <c r="F241" s="16"/>
      <c r="H241" s="16"/>
      <c r="AG241" s="80"/>
      <c r="AH241" s="80"/>
      <c r="AI241" s="80"/>
    </row>
    <row r="242" spans="5:35" x14ac:dyDescent="0.25">
      <c r="E242" s="16"/>
      <c r="F242" s="16"/>
      <c r="H242" s="16"/>
      <c r="AG242" s="80"/>
      <c r="AH242" s="80"/>
      <c r="AI242" s="80"/>
    </row>
    <row r="243" spans="5:35" x14ac:dyDescent="0.25">
      <c r="E243" s="16"/>
      <c r="F243" s="16"/>
      <c r="H243" s="16"/>
      <c r="AG243" s="80"/>
      <c r="AH243" s="80"/>
      <c r="AI243" s="80"/>
    </row>
    <row r="244" spans="5:35" x14ac:dyDescent="0.25">
      <c r="E244" s="16"/>
      <c r="F244" s="16"/>
      <c r="H244" s="16"/>
      <c r="AG244" s="80"/>
      <c r="AH244" s="80"/>
      <c r="AI244" s="80"/>
    </row>
    <row r="245" spans="5:35" x14ac:dyDescent="0.25">
      <c r="E245" s="16"/>
      <c r="F245" s="16"/>
      <c r="H245" s="16"/>
      <c r="AG245" s="80"/>
      <c r="AH245" s="80"/>
      <c r="AI245" s="80"/>
    </row>
    <row r="246" spans="5:35" x14ac:dyDescent="0.25">
      <c r="E246" s="16"/>
      <c r="F246" s="16"/>
      <c r="H246" s="16"/>
      <c r="AG246" s="80"/>
      <c r="AH246" s="80"/>
      <c r="AI246" s="80"/>
    </row>
    <row r="247" spans="5:35" x14ac:dyDescent="0.25">
      <c r="E247" s="16"/>
      <c r="F247" s="16"/>
      <c r="H247" s="16"/>
      <c r="AG247" s="80"/>
      <c r="AH247" s="80"/>
      <c r="AI247" s="80"/>
    </row>
    <row r="248" spans="5:35" x14ac:dyDescent="0.25">
      <c r="E248" s="16"/>
      <c r="F248" s="16"/>
      <c r="H248" s="16"/>
      <c r="AG248" s="80"/>
      <c r="AH248" s="80"/>
      <c r="AI248" s="80"/>
    </row>
    <row r="249" spans="5:35" x14ac:dyDescent="0.25">
      <c r="E249" s="16"/>
      <c r="F249" s="16"/>
      <c r="H249" s="16"/>
      <c r="AG249" s="80"/>
      <c r="AH249" s="80"/>
      <c r="AI249" s="80"/>
    </row>
    <row r="250" spans="5:35" x14ac:dyDescent="0.25">
      <c r="E250" s="16"/>
      <c r="F250" s="16"/>
      <c r="H250" s="16"/>
      <c r="AG250" s="80"/>
      <c r="AH250" s="80"/>
      <c r="AI250" s="80"/>
    </row>
    <row r="251" spans="5:35" x14ac:dyDescent="0.25">
      <c r="E251" s="16"/>
      <c r="F251" s="16"/>
      <c r="H251" s="16"/>
      <c r="AG251" s="80"/>
      <c r="AH251" s="80"/>
      <c r="AI251" s="80"/>
    </row>
    <row r="252" spans="5:35" x14ac:dyDescent="0.25">
      <c r="E252" s="16"/>
      <c r="F252" s="16"/>
      <c r="H252" s="16"/>
      <c r="AG252" s="80"/>
      <c r="AH252" s="80"/>
      <c r="AI252" s="80"/>
    </row>
    <row r="253" spans="5:35" x14ac:dyDescent="0.25">
      <c r="E253" s="16"/>
      <c r="F253" s="16"/>
      <c r="H253" s="16"/>
      <c r="AG253" s="80"/>
      <c r="AH253" s="80"/>
      <c r="AI253" s="80"/>
    </row>
    <row r="254" spans="5:35" x14ac:dyDescent="0.25">
      <c r="E254" s="16"/>
      <c r="F254" s="16"/>
      <c r="H254" s="16"/>
      <c r="AG254" s="80"/>
      <c r="AH254" s="80"/>
      <c r="AI254" s="80"/>
    </row>
    <row r="255" spans="5:35" x14ac:dyDescent="0.25">
      <c r="E255" s="16"/>
      <c r="F255" s="16"/>
      <c r="H255" s="16"/>
      <c r="AG255" s="80"/>
      <c r="AH255" s="80"/>
      <c r="AI255" s="80"/>
    </row>
    <row r="256" spans="5:35" x14ac:dyDescent="0.25">
      <c r="E256" s="16"/>
      <c r="F256" s="16"/>
      <c r="H256" s="16"/>
      <c r="AG256" s="80"/>
      <c r="AH256" s="80"/>
      <c r="AI256" s="80"/>
    </row>
    <row r="257" spans="5:35" x14ac:dyDescent="0.25">
      <c r="E257" s="16"/>
      <c r="F257" s="16"/>
      <c r="H257" s="16"/>
      <c r="AG257" s="80"/>
      <c r="AH257" s="80"/>
      <c r="AI257" s="80"/>
    </row>
    <row r="258" spans="5:35" x14ac:dyDescent="0.25">
      <c r="E258" s="16"/>
      <c r="F258" s="16"/>
      <c r="H258" s="16"/>
      <c r="AG258" s="80"/>
      <c r="AH258" s="80"/>
      <c r="AI258" s="80"/>
    </row>
    <row r="259" spans="5:35" x14ac:dyDescent="0.25">
      <c r="E259" s="16"/>
      <c r="F259" s="16"/>
      <c r="H259" s="16"/>
      <c r="AG259" s="80"/>
      <c r="AH259" s="80"/>
      <c r="AI259" s="80"/>
    </row>
    <row r="260" spans="5:35" x14ac:dyDescent="0.25">
      <c r="E260" s="16"/>
      <c r="F260" s="16"/>
      <c r="H260" s="16"/>
      <c r="AG260" s="80"/>
      <c r="AH260" s="80"/>
      <c r="AI260" s="80"/>
    </row>
    <row r="261" spans="5:35" x14ac:dyDescent="0.25">
      <c r="E261" s="16"/>
      <c r="F261" s="16"/>
      <c r="H261" s="16"/>
      <c r="AG261" s="80"/>
      <c r="AH261" s="80"/>
      <c r="AI261" s="80"/>
    </row>
    <row r="262" spans="5:35" x14ac:dyDescent="0.25">
      <c r="E262" s="16"/>
      <c r="F262" s="16"/>
      <c r="H262" s="16"/>
      <c r="AG262" s="80"/>
      <c r="AH262" s="80"/>
      <c r="AI262" s="80"/>
    </row>
    <row r="263" spans="5:35" x14ac:dyDescent="0.25">
      <c r="E263" s="16"/>
      <c r="F263" s="16"/>
      <c r="H263" s="16"/>
      <c r="AG263" s="80"/>
      <c r="AH263" s="80"/>
      <c r="AI263" s="80"/>
    </row>
    <row r="264" spans="5:35" x14ac:dyDescent="0.25">
      <c r="E264" s="16"/>
      <c r="F264" s="16"/>
      <c r="H264" s="16"/>
      <c r="AG264" s="80"/>
      <c r="AH264" s="80"/>
      <c r="AI264" s="80"/>
    </row>
    <row r="265" spans="5:35" x14ac:dyDescent="0.25">
      <c r="E265" s="16"/>
      <c r="F265" s="16"/>
      <c r="H265" s="16"/>
      <c r="AG265" s="80"/>
      <c r="AH265" s="80"/>
      <c r="AI265" s="80"/>
    </row>
    <row r="266" spans="5:35" x14ac:dyDescent="0.25">
      <c r="E266" s="16"/>
      <c r="F266" s="16"/>
      <c r="H266" s="16"/>
      <c r="AG266" s="80"/>
      <c r="AH266" s="80"/>
      <c r="AI266" s="80"/>
    </row>
    <row r="267" spans="5:35" x14ac:dyDescent="0.25">
      <c r="E267" s="16"/>
      <c r="F267" s="16"/>
      <c r="H267" s="16"/>
      <c r="AG267" s="80"/>
      <c r="AH267" s="80"/>
      <c r="AI267" s="80"/>
    </row>
    <row r="268" spans="5:35" x14ac:dyDescent="0.25">
      <c r="E268" s="16"/>
      <c r="F268" s="16"/>
      <c r="H268" s="16"/>
      <c r="AG268" s="80"/>
      <c r="AH268" s="80"/>
      <c r="AI268" s="80"/>
    </row>
    <row r="269" spans="5:35" x14ac:dyDescent="0.25">
      <c r="E269" s="16"/>
      <c r="F269" s="16"/>
      <c r="H269" s="16"/>
      <c r="AG269" s="80"/>
      <c r="AH269" s="80"/>
      <c r="AI269" s="80"/>
    </row>
    <row r="270" spans="5:35" x14ac:dyDescent="0.25">
      <c r="E270" s="16"/>
      <c r="F270" s="16"/>
      <c r="H270" s="16"/>
      <c r="AG270" s="80"/>
      <c r="AH270" s="80"/>
      <c r="AI270" s="80"/>
    </row>
    <row r="271" spans="5:35" x14ac:dyDescent="0.25">
      <c r="E271" s="16"/>
      <c r="F271" s="16"/>
      <c r="H271" s="16"/>
      <c r="AG271" s="80"/>
      <c r="AH271" s="80"/>
      <c r="AI271" s="80"/>
    </row>
    <row r="272" spans="5:35" x14ac:dyDescent="0.25">
      <c r="E272" s="16"/>
      <c r="F272" s="16"/>
      <c r="H272" s="16"/>
      <c r="AG272" s="80"/>
      <c r="AH272" s="80"/>
      <c r="AI272" s="80"/>
    </row>
    <row r="273" spans="5:35" x14ac:dyDescent="0.25">
      <c r="E273" s="16"/>
      <c r="F273" s="16"/>
      <c r="H273" s="16"/>
      <c r="AG273" s="80"/>
      <c r="AH273" s="80"/>
      <c r="AI273" s="80"/>
    </row>
    <row r="274" spans="5:35" x14ac:dyDescent="0.25">
      <c r="E274" s="16"/>
      <c r="F274" s="16"/>
      <c r="H274" s="16"/>
      <c r="AG274" s="80"/>
      <c r="AH274" s="80"/>
      <c r="AI274" s="80"/>
    </row>
    <row r="275" spans="5:35" x14ac:dyDescent="0.25">
      <c r="E275" s="16"/>
      <c r="F275" s="16"/>
      <c r="H275" s="16"/>
      <c r="AG275" s="80"/>
      <c r="AH275" s="80"/>
      <c r="AI275" s="80"/>
    </row>
    <row r="276" spans="5:35" x14ac:dyDescent="0.25">
      <c r="E276" s="16"/>
      <c r="F276" s="16"/>
      <c r="H276" s="16"/>
      <c r="AG276" s="80"/>
      <c r="AH276" s="80"/>
      <c r="AI276" s="80"/>
    </row>
    <row r="277" spans="5:35" x14ac:dyDescent="0.25">
      <c r="E277" s="16"/>
      <c r="F277" s="16"/>
      <c r="H277" s="16"/>
      <c r="AG277" s="80"/>
      <c r="AH277" s="80"/>
      <c r="AI277" s="80"/>
    </row>
    <row r="278" spans="5:35" x14ac:dyDescent="0.25">
      <c r="E278" s="16"/>
      <c r="F278" s="16"/>
      <c r="H278" s="16"/>
      <c r="AG278" s="80"/>
      <c r="AH278" s="80"/>
      <c r="AI278" s="80"/>
    </row>
    <row r="279" spans="5:35" x14ac:dyDescent="0.25">
      <c r="E279" s="16"/>
      <c r="F279" s="16"/>
      <c r="H279" s="16"/>
      <c r="AG279" s="80"/>
      <c r="AH279" s="80"/>
      <c r="AI279" s="80"/>
    </row>
    <row r="280" spans="5:35" x14ac:dyDescent="0.25">
      <c r="E280" s="16"/>
      <c r="F280" s="16"/>
      <c r="H280" s="16"/>
      <c r="AG280" s="80"/>
      <c r="AH280" s="80"/>
      <c r="AI280" s="80"/>
    </row>
    <row r="281" spans="5:35" x14ac:dyDescent="0.25">
      <c r="E281" s="16"/>
      <c r="F281" s="16"/>
      <c r="H281" s="16"/>
      <c r="AG281" s="80"/>
      <c r="AH281" s="80"/>
      <c r="AI281" s="80"/>
    </row>
    <row r="282" spans="5:35" x14ac:dyDescent="0.25">
      <c r="E282" s="16"/>
      <c r="F282" s="16"/>
      <c r="H282" s="16"/>
      <c r="AG282" s="80"/>
      <c r="AH282" s="80"/>
      <c r="AI282" s="80"/>
    </row>
    <row r="283" spans="5:35" x14ac:dyDescent="0.25">
      <c r="E283" s="16"/>
      <c r="F283" s="16"/>
      <c r="H283" s="16"/>
      <c r="AG283" s="80"/>
      <c r="AH283" s="80"/>
      <c r="AI283" s="80"/>
    </row>
    <row r="284" spans="5:35" x14ac:dyDescent="0.25">
      <c r="E284" s="16"/>
      <c r="F284" s="16"/>
      <c r="H284" s="16"/>
      <c r="AG284" s="80"/>
      <c r="AH284" s="80"/>
      <c r="AI284" s="80"/>
    </row>
    <row r="285" spans="5:35" x14ac:dyDescent="0.25">
      <c r="E285" s="16"/>
      <c r="F285" s="16"/>
      <c r="H285" s="16"/>
      <c r="AG285" s="80"/>
      <c r="AH285" s="80"/>
      <c r="AI285" s="80"/>
    </row>
    <row r="286" spans="5:35" x14ac:dyDescent="0.25">
      <c r="E286" s="16"/>
      <c r="F286" s="16"/>
      <c r="H286" s="16"/>
      <c r="AG286" s="80"/>
      <c r="AH286" s="80"/>
      <c r="AI286" s="80"/>
    </row>
    <row r="287" spans="5:35" x14ac:dyDescent="0.25">
      <c r="E287" s="16"/>
      <c r="F287" s="16"/>
      <c r="H287" s="16"/>
      <c r="AG287" s="80"/>
      <c r="AH287" s="80"/>
      <c r="AI287" s="80"/>
    </row>
    <row r="288" spans="5:35" x14ac:dyDescent="0.25">
      <c r="E288" s="16"/>
      <c r="F288" s="16"/>
      <c r="H288" s="16"/>
      <c r="AG288" s="80"/>
      <c r="AH288" s="80"/>
      <c r="AI288" s="80"/>
    </row>
    <row r="289" spans="5:35" x14ac:dyDescent="0.25">
      <c r="E289" s="16"/>
      <c r="F289" s="16"/>
      <c r="H289" s="16"/>
      <c r="AG289" s="80"/>
      <c r="AH289" s="80"/>
      <c r="AI289" s="80"/>
    </row>
    <row r="290" spans="5:35" x14ac:dyDescent="0.25">
      <c r="E290" s="16"/>
      <c r="F290" s="16"/>
      <c r="H290" s="16"/>
      <c r="AG290" s="80"/>
      <c r="AH290" s="80"/>
      <c r="AI290" s="80"/>
    </row>
    <row r="291" spans="5:35" x14ac:dyDescent="0.25">
      <c r="E291" s="16"/>
      <c r="F291" s="16"/>
      <c r="H291" s="16"/>
      <c r="AG291" s="80"/>
      <c r="AH291" s="80"/>
      <c r="AI291" s="80"/>
    </row>
    <row r="292" spans="5:35" x14ac:dyDescent="0.25">
      <c r="E292" s="16"/>
      <c r="F292" s="16"/>
      <c r="H292" s="16"/>
      <c r="AG292" s="80"/>
      <c r="AH292" s="80"/>
      <c r="AI292" s="80"/>
    </row>
    <row r="293" spans="5:35" x14ac:dyDescent="0.25">
      <c r="E293" s="16"/>
      <c r="F293" s="16"/>
      <c r="H293" s="16"/>
      <c r="AG293" s="80"/>
      <c r="AH293" s="80"/>
      <c r="AI293" s="80"/>
    </row>
    <row r="294" spans="5:35" x14ac:dyDescent="0.25">
      <c r="E294" s="16"/>
      <c r="F294" s="16"/>
      <c r="H294" s="16"/>
      <c r="AG294" s="80"/>
      <c r="AH294" s="80"/>
      <c r="AI294" s="80"/>
    </row>
    <row r="295" spans="5:35" x14ac:dyDescent="0.25">
      <c r="E295" s="16"/>
      <c r="F295" s="16"/>
      <c r="H295" s="16"/>
      <c r="AG295" s="80"/>
      <c r="AH295" s="80"/>
      <c r="AI295" s="80"/>
    </row>
    <row r="296" spans="5:35" x14ac:dyDescent="0.25">
      <c r="E296" s="16"/>
      <c r="F296" s="16"/>
      <c r="H296" s="16"/>
      <c r="AG296" s="80"/>
      <c r="AH296" s="80"/>
      <c r="AI296" s="80"/>
    </row>
    <row r="297" spans="5:35" x14ac:dyDescent="0.25">
      <c r="E297" s="16"/>
      <c r="F297" s="16"/>
      <c r="H297" s="16"/>
      <c r="AG297" s="80"/>
      <c r="AH297" s="80"/>
      <c r="AI297" s="80"/>
    </row>
    <row r="298" spans="5:35" x14ac:dyDescent="0.25">
      <c r="E298" s="16"/>
      <c r="F298" s="16"/>
      <c r="H298" s="16"/>
      <c r="AG298" s="80"/>
      <c r="AH298" s="80"/>
      <c r="AI298" s="80"/>
    </row>
    <row r="299" spans="5:35" x14ac:dyDescent="0.25">
      <c r="E299" s="16"/>
      <c r="F299" s="16"/>
      <c r="H299" s="16"/>
      <c r="AG299" s="80"/>
      <c r="AH299" s="80"/>
      <c r="AI299" s="80"/>
    </row>
    <row r="300" spans="5:35" x14ac:dyDescent="0.25">
      <c r="E300" s="16"/>
      <c r="F300" s="16"/>
      <c r="H300" s="16"/>
      <c r="AG300" s="80"/>
      <c r="AH300" s="80"/>
      <c r="AI300" s="80"/>
    </row>
    <row r="301" spans="5:35" x14ac:dyDescent="0.25">
      <c r="E301" s="16"/>
      <c r="F301" s="16"/>
      <c r="H301" s="16"/>
      <c r="AG301" s="80"/>
      <c r="AH301" s="80"/>
      <c r="AI301" s="80"/>
    </row>
    <row r="302" spans="5:35" x14ac:dyDescent="0.25">
      <c r="E302" s="16"/>
      <c r="F302" s="16"/>
      <c r="H302" s="16"/>
      <c r="AG302" s="80"/>
      <c r="AH302" s="80"/>
      <c r="AI302" s="80"/>
    </row>
    <row r="303" spans="5:35" x14ac:dyDescent="0.25">
      <c r="E303" s="16"/>
      <c r="F303" s="16"/>
      <c r="H303" s="16"/>
      <c r="AG303" s="80"/>
      <c r="AH303" s="80"/>
      <c r="AI303" s="80"/>
    </row>
    <row r="304" spans="5:35" x14ac:dyDescent="0.25">
      <c r="E304" s="16"/>
      <c r="F304" s="16"/>
      <c r="H304" s="16"/>
      <c r="AG304" s="80"/>
      <c r="AH304" s="80"/>
      <c r="AI304" s="80"/>
    </row>
    <row r="305" spans="5:35" x14ac:dyDescent="0.25">
      <c r="E305" s="16"/>
      <c r="F305" s="16"/>
      <c r="H305" s="16"/>
      <c r="AG305" s="80"/>
      <c r="AH305" s="80"/>
      <c r="AI305" s="80"/>
    </row>
    <row r="306" spans="5:35" x14ac:dyDescent="0.25">
      <c r="E306" s="16"/>
      <c r="F306" s="16"/>
      <c r="H306" s="16"/>
      <c r="AG306" s="80"/>
      <c r="AH306" s="80"/>
      <c r="AI306" s="80"/>
    </row>
    <row r="307" spans="5:35" x14ac:dyDescent="0.25">
      <c r="E307" s="16"/>
      <c r="F307" s="16"/>
      <c r="H307" s="16"/>
      <c r="AG307" s="80"/>
      <c r="AH307" s="80"/>
      <c r="AI307" s="80"/>
    </row>
    <row r="308" spans="5:35" x14ac:dyDescent="0.25">
      <c r="E308" s="16"/>
      <c r="F308" s="16"/>
      <c r="H308" s="16"/>
      <c r="AG308" s="80"/>
      <c r="AH308" s="80"/>
      <c r="AI308" s="80"/>
    </row>
    <row r="309" spans="5:35" x14ac:dyDescent="0.25">
      <c r="E309" s="16"/>
      <c r="F309" s="16"/>
      <c r="H309" s="16"/>
      <c r="AG309" s="80"/>
      <c r="AH309" s="80"/>
      <c r="AI309" s="80"/>
    </row>
    <row r="310" spans="5:35" x14ac:dyDescent="0.25">
      <c r="E310" s="16"/>
      <c r="F310" s="16"/>
      <c r="H310" s="16"/>
      <c r="AG310" s="80"/>
      <c r="AH310" s="80"/>
      <c r="AI310" s="80"/>
    </row>
    <row r="311" spans="5:35" x14ac:dyDescent="0.25">
      <c r="E311" s="16"/>
      <c r="F311" s="16"/>
      <c r="H311" s="16"/>
      <c r="AG311" s="80"/>
      <c r="AH311" s="80"/>
      <c r="AI311" s="80"/>
    </row>
    <row r="312" spans="5:35" x14ac:dyDescent="0.25">
      <c r="E312" s="16"/>
      <c r="F312" s="16"/>
      <c r="H312" s="16"/>
      <c r="AG312" s="80"/>
      <c r="AH312" s="80"/>
      <c r="AI312" s="80"/>
    </row>
    <row r="313" spans="5:35" x14ac:dyDescent="0.25">
      <c r="E313" s="16"/>
      <c r="F313" s="16"/>
      <c r="H313" s="16"/>
      <c r="AG313" s="80"/>
      <c r="AH313" s="80"/>
      <c r="AI313" s="80"/>
    </row>
    <row r="314" spans="5:35" x14ac:dyDescent="0.25">
      <c r="E314" s="16"/>
      <c r="F314" s="16"/>
      <c r="H314" s="16"/>
      <c r="AG314" s="80"/>
      <c r="AH314" s="80"/>
      <c r="AI314" s="80"/>
    </row>
    <row r="315" spans="5:35" x14ac:dyDescent="0.25">
      <c r="E315" s="16"/>
      <c r="F315" s="16"/>
      <c r="H315" s="16"/>
      <c r="AG315" s="80"/>
      <c r="AH315" s="80"/>
      <c r="AI315" s="80"/>
    </row>
    <row r="316" spans="5:35" x14ac:dyDescent="0.25">
      <c r="E316" s="16"/>
      <c r="F316" s="16"/>
      <c r="H316" s="16"/>
      <c r="AG316" s="80"/>
      <c r="AH316" s="80"/>
      <c r="AI316" s="80"/>
    </row>
    <row r="317" spans="5:35" x14ac:dyDescent="0.25">
      <c r="E317" s="16"/>
      <c r="F317" s="16"/>
      <c r="H317" s="16"/>
      <c r="AG317" s="80"/>
      <c r="AH317" s="80"/>
      <c r="AI317" s="80"/>
    </row>
    <row r="318" spans="5:35" x14ac:dyDescent="0.25">
      <c r="E318" s="16"/>
      <c r="F318" s="16"/>
      <c r="H318" s="16"/>
      <c r="AG318" s="80"/>
      <c r="AH318" s="80"/>
      <c r="AI318" s="80"/>
    </row>
    <row r="319" spans="5:35" x14ac:dyDescent="0.25">
      <c r="E319" s="16"/>
      <c r="F319" s="16"/>
      <c r="H319" s="16"/>
      <c r="AG319" s="80"/>
      <c r="AH319" s="80"/>
      <c r="AI319" s="80"/>
    </row>
    <row r="320" spans="5:35" x14ac:dyDescent="0.25">
      <c r="E320" s="16"/>
      <c r="F320" s="16"/>
      <c r="H320" s="16"/>
      <c r="AG320" s="80"/>
      <c r="AH320" s="80"/>
      <c r="AI320" s="80"/>
    </row>
    <row r="321" spans="5:35" x14ac:dyDescent="0.25">
      <c r="E321" s="16"/>
      <c r="F321" s="16"/>
      <c r="H321" s="16"/>
      <c r="AG321" s="80"/>
      <c r="AH321" s="80"/>
      <c r="AI321" s="80"/>
    </row>
    <row r="322" spans="5:35" x14ac:dyDescent="0.25">
      <c r="E322" s="16"/>
      <c r="F322" s="16"/>
      <c r="H322" s="16"/>
      <c r="AG322" s="80"/>
      <c r="AH322" s="80"/>
      <c r="AI322" s="80"/>
    </row>
    <row r="323" spans="5:35" x14ac:dyDescent="0.25">
      <c r="E323" s="16"/>
      <c r="F323" s="16"/>
      <c r="H323" s="16"/>
      <c r="AG323" s="80"/>
      <c r="AH323" s="80"/>
      <c r="AI323" s="80"/>
    </row>
    <row r="324" spans="5:35" x14ac:dyDescent="0.25">
      <c r="E324" s="16"/>
      <c r="F324" s="16"/>
      <c r="H324" s="16"/>
      <c r="AG324" s="80"/>
      <c r="AH324" s="80"/>
      <c r="AI324" s="80"/>
    </row>
    <row r="325" spans="5:35" x14ac:dyDescent="0.25">
      <c r="E325" s="16"/>
      <c r="F325" s="16"/>
      <c r="H325" s="16"/>
      <c r="AG325" s="80"/>
      <c r="AH325" s="80"/>
      <c r="AI325" s="80"/>
    </row>
    <row r="326" spans="5:35" x14ac:dyDescent="0.25">
      <c r="E326" s="16"/>
      <c r="F326" s="16"/>
      <c r="H326" s="16"/>
      <c r="AG326" s="80"/>
      <c r="AH326" s="80"/>
      <c r="AI326" s="80"/>
    </row>
    <row r="327" spans="5:35" x14ac:dyDescent="0.25">
      <c r="E327" s="16"/>
      <c r="F327" s="16"/>
      <c r="H327" s="16"/>
      <c r="AG327" s="80"/>
      <c r="AH327" s="80"/>
      <c r="AI327" s="80"/>
    </row>
    <row r="328" spans="5:35" x14ac:dyDescent="0.25">
      <c r="E328" s="16"/>
      <c r="F328" s="16"/>
      <c r="H328" s="16"/>
      <c r="AG328" s="80"/>
      <c r="AH328" s="80"/>
      <c r="AI328" s="80"/>
    </row>
    <row r="329" spans="5:35" x14ac:dyDescent="0.25">
      <c r="E329" s="16"/>
      <c r="F329" s="16"/>
      <c r="H329" s="16"/>
      <c r="AG329" s="80"/>
      <c r="AH329" s="80"/>
      <c r="AI329" s="80"/>
    </row>
    <row r="330" spans="5:35" x14ac:dyDescent="0.25">
      <c r="E330" s="16"/>
      <c r="F330" s="16"/>
      <c r="H330" s="16"/>
      <c r="AG330" s="80"/>
      <c r="AH330" s="80"/>
      <c r="AI330" s="80"/>
    </row>
    <row r="331" spans="5:35" x14ac:dyDescent="0.25">
      <c r="E331" s="16"/>
      <c r="F331" s="16"/>
      <c r="H331" s="16"/>
      <c r="AG331" s="80"/>
      <c r="AH331" s="80"/>
      <c r="AI331" s="80"/>
    </row>
    <row r="332" spans="5:35" x14ac:dyDescent="0.25">
      <c r="E332" s="16"/>
      <c r="F332" s="16"/>
      <c r="H332" s="16"/>
      <c r="AG332" s="80"/>
      <c r="AH332" s="80"/>
      <c r="AI332" s="80"/>
    </row>
    <row r="333" spans="5:35" x14ac:dyDescent="0.25">
      <c r="E333" s="16"/>
      <c r="F333" s="16"/>
      <c r="H333" s="16"/>
      <c r="AG333" s="80"/>
      <c r="AH333" s="80"/>
      <c r="AI333" s="80"/>
    </row>
    <row r="334" spans="5:35" x14ac:dyDescent="0.25">
      <c r="E334" s="16"/>
      <c r="F334" s="16"/>
      <c r="H334" s="16"/>
      <c r="AG334" s="80"/>
      <c r="AH334" s="80"/>
      <c r="AI334" s="80"/>
    </row>
    <row r="335" spans="5:35" x14ac:dyDescent="0.25">
      <c r="E335" s="16"/>
      <c r="F335" s="16"/>
      <c r="H335" s="16"/>
      <c r="AG335" s="80"/>
      <c r="AH335" s="80"/>
      <c r="AI335" s="80"/>
    </row>
    <row r="336" spans="5:35" x14ac:dyDescent="0.25">
      <c r="E336" s="16"/>
      <c r="F336" s="16"/>
      <c r="H336" s="16"/>
      <c r="AG336" s="80"/>
      <c r="AH336" s="80"/>
      <c r="AI336" s="80"/>
    </row>
    <row r="337" spans="5:35" x14ac:dyDescent="0.25">
      <c r="E337" s="16"/>
      <c r="F337" s="16"/>
      <c r="H337" s="16"/>
      <c r="AG337" s="80"/>
      <c r="AH337" s="80"/>
      <c r="AI337" s="80"/>
    </row>
    <row r="338" spans="5:35" x14ac:dyDescent="0.25">
      <c r="E338" s="16"/>
      <c r="F338" s="16"/>
      <c r="H338" s="16"/>
      <c r="AG338" s="80"/>
      <c r="AH338" s="80"/>
      <c r="AI338" s="80"/>
    </row>
    <row r="339" spans="5:35" x14ac:dyDescent="0.25">
      <c r="E339" s="16"/>
      <c r="F339" s="16"/>
      <c r="H339" s="16"/>
      <c r="AG339" s="80"/>
      <c r="AH339" s="80"/>
      <c r="AI339" s="80"/>
    </row>
    <row r="340" spans="5:35" x14ac:dyDescent="0.25">
      <c r="E340" s="16"/>
      <c r="F340" s="16"/>
      <c r="H340" s="16"/>
      <c r="AG340" s="80"/>
      <c r="AH340" s="80"/>
      <c r="AI340" s="80"/>
    </row>
    <row r="341" spans="5:35" x14ac:dyDescent="0.25">
      <c r="E341" s="16"/>
      <c r="F341" s="16"/>
      <c r="H341" s="16"/>
      <c r="AG341" s="80"/>
      <c r="AH341" s="80"/>
      <c r="AI341" s="80"/>
    </row>
    <row r="342" spans="5:35" x14ac:dyDescent="0.25">
      <c r="E342" s="16"/>
      <c r="F342" s="16"/>
      <c r="H342" s="16"/>
      <c r="AG342" s="80"/>
      <c r="AH342" s="80"/>
      <c r="AI342" s="80"/>
    </row>
    <row r="343" spans="5:35" x14ac:dyDescent="0.25">
      <c r="E343" s="16"/>
      <c r="F343" s="16"/>
      <c r="H343" s="16"/>
      <c r="AG343" s="80"/>
      <c r="AH343" s="80"/>
      <c r="AI343" s="80"/>
    </row>
    <row r="344" spans="5:35" x14ac:dyDescent="0.25">
      <c r="E344" s="16"/>
      <c r="F344" s="16"/>
      <c r="H344" s="16"/>
      <c r="AG344" s="80"/>
      <c r="AH344" s="80"/>
      <c r="AI344" s="80"/>
    </row>
    <row r="345" spans="5:35" x14ac:dyDescent="0.25">
      <c r="E345" s="16"/>
      <c r="F345" s="16"/>
      <c r="H345" s="16"/>
      <c r="AG345" s="80"/>
      <c r="AH345" s="80"/>
      <c r="AI345" s="80"/>
    </row>
    <row r="346" spans="5:35" x14ac:dyDescent="0.25">
      <c r="E346" s="16"/>
      <c r="F346" s="16"/>
      <c r="H346" s="16"/>
      <c r="AG346" s="80"/>
      <c r="AH346" s="80"/>
      <c r="AI346" s="80"/>
    </row>
    <row r="347" spans="5:35" x14ac:dyDescent="0.25">
      <c r="E347" s="16"/>
      <c r="F347" s="16"/>
      <c r="H347" s="16"/>
      <c r="AG347" s="80"/>
      <c r="AH347" s="80"/>
      <c r="AI347" s="80"/>
    </row>
    <row r="348" spans="5:35" x14ac:dyDescent="0.25">
      <c r="E348" s="16"/>
      <c r="F348" s="16"/>
      <c r="H348" s="16"/>
      <c r="AG348" s="80"/>
      <c r="AH348" s="80"/>
      <c r="AI348" s="80"/>
    </row>
    <row r="349" spans="5:35" x14ac:dyDescent="0.25">
      <c r="E349" s="16"/>
      <c r="F349" s="16"/>
      <c r="H349" s="16"/>
      <c r="AG349" s="80"/>
      <c r="AH349" s="80"/>
      <c r="AI349" s="80"/>
    </row>
    <row r="350" spans="5:35" x14ac:dyDescent="0.25">
      <c r="E350" s="16"/>
      <c r="F350" s="16"/>
      <c r="H350" s="16"/>
      <c r="AG350" s="80"/>
      <c r="AH350" s="80"/>
      <c r="AI350" s="80"/>
    </row>
    <row r="351" spans="5:35" x14ac:dyDescent="0.25">
      <c r="E351" s="16"/>
      <c r="F351" s="16"/>
      <c r="H351" s="16"/>
      <c r="AG351" s="80"/>
      <c r="AH351" s="80"/>
      <c r="AI351" s="80"/>
    </row>
    <row r="352" spans="5:35" x14ac:dyDescent="0.25">
      <c r="E352" s="16"/>
      <c r="F352" s="16"/>
      <c r="H352" s="16"/>
      <c r="AG352" s="80"/>
      <c r="AH352" s="80"/>
      <c r="AI352" s="80"/>
    </row>
    <row r="353" spans="5:35" x14ac:dyDescent="0.25">
      <c r="E353" s="16"/>
      <c r="F353" s="16"/>
      <c r="H353" s="16"/>
      <c r="AG353" s="80"/>
      <c r="AH353" s="80"/>
      <c r="AI353" s="80"/>
    </row>
    <row r="354" spans="5:35" x14ac:dyDescent="0.25">
      <c r="E354" s="16"/>
      <c r="F354" s="16"/>
      <c r="H354" s="16"/>
      <c r="AG354" s="80"/>
      <c r="AH354" s="80"/>
      <c r="AI354" s="80"/>
    </row>
    <row r="355" spans="5:35" x14ac:dyDescent="0.25">
      <c r="E355" s="16"/>
      <c r="F355" s="16"/>
      <c r="H355" s="16"/>
      <c r="AG355" s="80"/>
      <c r="AH355" s="80"/>
      <c r="AI355" s="80"/>
    </row>
    <row r="356" spans="5:35" x14ac:dyDescent="0.25">
      <c r="E356" s="16"/>
      <c r="F356" s="16"/>
      <c r="H356" s="16"/>
      <c r="AG356" s="80"/>
      <c r="AH356" s="80"/>
      <c r="AI356" s="80"/>
    </row>
    <row r="357" spans="5:35" x14ac:dyDescent="0.25">
      <c r="E357" s="16"/>
      <c r="F357" s="16"/>
      <c r="H357" s="16"/>
      <c r="AG357" s="80"/>
      <c r="AH357" s="80"/>
      <c r="AI357" s="80"/>
    </row>
    <row r="358" spans="5:35" x14ac:dyDescent="0.25">
      <c r="E358" s="16"/>
      <c r="F358" s="16"/>
      <c r="H358" s="16"/>
      <c r="AG358" s="80"/>
      <c r="AH358" s="80"/>
      <c r="AI358" s="80"/>
    </row>
    <row r="359" spans="5:35" x14ac:dyDescent="0.25">
      <c r="E359" s="16"/>
      <c r="F359" s="16"/>
      <c r="H359" s="16"/>
      <c r="AG359" s="80"/>
      <c r="AH359" s="80"/>
      <c r="AI359" s="80"/>
    </row>
    <row r="360" spans="5:35" x14ac:dyDescent="0.25">
      <c r="E360" s="16"/>
      <c r="F360" s="16"/>
      <c r="H360" s="16"/>
      <c r="AG360" s="80"/>
      <c r="AH360" s="80"/>
      <c r="AI360" s="80"/>
    </row>
    <row r="361" spans="5:35" x14ac:dyDescent="0.25">
      <c r="E361" s="16"/>
      <c r="F361" s="16"/>
      <c r="H361" s="16"/>
      <c r="AG361" s="80"/>
      <c r="AH361" s="80"/>
      <c r="AI361" s="80"/>
    </row>
    <row r="362" spans="5:35" x14ac:dyDescent="0.25">
      <c r="E362" s="16"/>
      <c r="F362" s="16"/>
      <c r="H362" s="16"/>
      <c r="AG362" s="80"/>
      <c r="AH362" s="80"/>
      <c r="AI362" s="80"/>
    </row>
    <row r="363" spans="5:35" x14ac:dyDescent="0.25">
      <c r="E363" s="16"/>
      <c r="F363" s="16"/>
      <c r="H363" s="16"/>
      <c r="AG363" s="80"/>
      <c r="AH363" s="80"/>
      <c r="AI363" s="80"/>
    </row>
    <row r="364" spans="5:35" x14ac:dyDescent="0.25">
      <c r="E364" s="16"/>
      <c r="F364" s="16"/>
      <c r="H364" s="16"/>
      <c r="AG364" s="80"/>
      <c r="AH364" s="80"/>
      <c r="AI364" s="80"/>
    </row>
    <row r="365" spans="5:35" x14ac:dyDescent="0.25">
      <c r="E365" s="16"/>
      <c r="F365" s="16"/>
      <c r="H365" s="16"/>
      <c r="AG365" s="80"/>
      <c r="AH365" s="80"/>
      <c r="AI365" s="80"/>
    </row>
    <row r="366" spans="5:35" x14ac:dyDescent="0.25">
      <c r="E366" s="16"/>
      <c r="F366" s="16"/>
      <c r="H366" s="16"/>
      <c r="AG366" s="80"/>
      <c r="AH366" s="80"/>
      <c r="AI366" s="80"/>
    </row>
    <row r="367" spans="5:35" x14ac:dyDescent="0.25">
      <c r="E367" s="16"/>
      <c r="F367" s="16"/>
      <c r="H367" s="16"/>
      <c r="AG367" s="80"/>
      <c r="AH367" s="80"/>
      <c r="AI367" s="80"/>
    </row>
    <row r="368" spans="5:35" x14ac:dyDescent="0.25">
      <c r="E368" s="16"/>
      <c r="F368" s="16"/>
      <c r="H368" s="16"/>
      <c r="AG368" s="80"/>
      <c r="AH368" s="80"/>
      <c r="AI368" s="80"/>
    </row>
    <row r="369" spans="5:35" x14ac:dyDescent="0.25">
      <c r="E369" s="16"/>
      <c r="F369" s="16"/>
      <c r="H369" s="16"/>
      <c r="AG369" s="80"/>
      <c r="AH369" s="80"/>
      <c r="AI369" s="80"/>
    </row>
    <row r="370" spans="5:35" x14ac:dyDescent="0.25">
      <c r="E370" s="16"/>
      <c r="F370" s="16"/>
      <c r="H370" s="16"/>
      <c r="AG370" s="80"/>
      <c r="AH370" s="80"/>
      <c r="AI370" s="80"/>
    </row>
    <row r="371" spans="5:35" x14ac:dyDescent="0.25">
      <c r="E371" s="16"/>
      <c r="F371" s="16"/>
      <c r="H371" s="16"/>
      <c r="AG371" s="80"/>
      <c r="AH371" s="80"/>
      <c r="AI371" s="80"/>
    </row>
    <row r="372" spans="5:35" x14ac:dyDescent="0.25">
      <c r="E372" s="16"/>
      <c r="F372" s="16"/>
      <c r="H372" s="16"/>
      <c r="AG372" s="80"/>
      <c r="AH372" s="80"/>
      <c r="AI372" s="80"/>
    </row>
    <row r="373" spans="5:35" x14ac:dyDescent="0.25">
      <c r="E373" s="16"/>
      <c r="F373" s="16"/>
      <c r="H373" s="16"/>
      <c r="AG373" s="80"/>
      <c r="AH373" s="80"/>
      <c r="AI373" s="80"/>
    </row>
    <row r="374" spans="5:35" x14ac:dyDescent="0.25">
      <c r="E374" s="16"/>
      <c r="F374" s="16"/>
      <c r="H374" s="16"/>
      <c r="AG374" s="80"/>
      <c r="AH374" s="80"/>
      <c r="AI374" s="80"/>
    </row>
    <row r="375" spans="5:35" x14ac:dyDescent="0.25">
      <c r="E375" s="16"/>
      <c r="F375" s="16"/>
      <c r="H375" s="16"/>
      <c r="AG375" s="80"/>
      <c r="AH375" s="80"/>
      <c r="AI375" s="80"/>
    </row>
    <row r="376" spans="5:35" x14ac:dyDescent="0.25">
      <c r="E376" s="16"/>
      <c r="F376" s="16"/>
      <c r="H376" s="16"/>
      <c r="AG376" s="80"/>
      <c r="AH376" s="80"/>
      <c r="AI376" s="80"/>
    </row>
    <row r="377" spans="5:35" x14ac:dyDescent="0.25">
      <c r="E377" s="16"/>
      <c r="F377" s="16"/>
      <c r="H377" s="16"/>
      <c r="AG377" s="80"/>
      <c r="AH377" s="80"/>
      <c r="AI377" s="80"/>
    </row>
    <row r="378" spans="5:35" x14ac:dyDescent="0.25">
      <c r="E378" s="16"/>
      <c r="F378" s="16"/>
      <c r="H378" s="16"/>
      <c r="AG378" s="80"/>
      <c r="AH378" s="80"/>
      <c r="AI378" s="80"/>
    </row>
    <row r="379" spans="5:35" x14ac:dyDescent="0.25">
      <c r="E379" s="16"/>
      <c r="F379" s="16"/>
      <c r="H379" s="16"/>
      <c r="AG379" s="80"/>
      <c r="AH379" s="80"/>
      <c r="AI379" s="80"/>
    </row>
    <row r="380" spans="5:35" x14ac:dyDescent="0.25">
      <c r="E380" s="16"/>
      <c r="F380" s="16"/>
      <c r="H380" s="16"/>
      <c r="AG380" s="80"/>
      <c r="AH380" s="80"/>
      <c r="AI380" s="80"/>
    </row>
    <row r="381" spans="5:35" x14ac:dyDescent="0.25">
      <c r="E381" s="16"/>
      <c r="F381" s="16"/>
      <c r="H381" s="16"/>
      <c r="AG381" s="80"/>
      <c r="AH381" s="80"/>
      <c r="AI381" s="80"/>
    </row>
    <row r="382" spans="5:35" x14ac:dyDescent="0.25">
      <c r="E382" s="16"/>
      <c r="F382" s="16"/>
      <c r="H382" s="16"/>
      <c r="AG382" s="80"/>
      <c r="AH382" s="80"/>
      <c r="AI382" s="80"/>
    </row>
    <row r="383" spans="5:35" x14ac:dyDescent="0.25">
      <c r="E383" s="16"/>
      <c r="F383" s="16"/>
      <c r="H383" s="16"/>
      <c r="AG383" s="80"/>
      <c r="AH383" s="80"/>
      <c r="AI383" s="80"/>
    </row>
    <row r="384" spans="5:35" x14ac:dyDescent="0.25">
      <c r="E384" s="16"/>
      <c r="F384" s="16"/>
      <c r="H384" s="16"/>
      <c r="AG384" s="80"/>
      <c r="AH384" s="80"/>
      <c r="AI384" s="80"/>
    </row>
    <row r="385" spans="5:35" x14ac:dyDescent="0.25">
      <c r="E385" s="16"/>
      <c r="F385" s="16"/>
      <c r="H385" s="16"/>
      <c r="AG385" s="80"/>
      <c r="AH385" s="80"/>
      <c r="AI385" s="80"/>
    </row>
    <row r="386" spans="5:35" x14ac:dyDescent="0.25">
      <c r="E386" s="16"/>
      <c r="F386" s="16"/>
      <c r="H386" s="16"/>
      <c r="AG386" s="80"/>
      <c r="AH386" s="80"/>
      <c r="AI386" s="80"/>
    </row>
    <row r="387" spans="5:35" x14ac:dyDescent="0.25">
      <c r="E387" s="16"/>
      <c r="F387" s="16"/>
      <c r="H387" s="16"/>
      <c r="AG387" s="80"/>
      <c r="AH387" s="80"/>
      <c r="AI387" s="80"/>
    </row>
    <row r="388" spans="5:35" x14ac:dyDescent="0.25">
      <c r="E388" s="16"/>
      <c r="F388" s="16"/>
      <c r="H388" s="16"/>
      <c r="AG388" s="80"/>
      <c r="AH388" s="80"/>
      <c r="AI388" s="80"/>
    </row>
    <row r="389" spans="5:35" x14ac:dyDescent="0.25">
      <c r="E389" s="16"/>
      <c r="F389" s="16"/>
      <c r="H389" s="16"/>
      <c r="AG389" s="80"/>
      <c r="AH389" s="80"/>
      <c r="AI389" s="80"/>
    </row>
    <row r="390" spans="5:35" x14ac:dyDescent="0.25">
      <c r="E390" s="16"/>
      <c r="F390" s="16"/>
      <c r="H390" s="16"/>
      <c r="AG390" s="80"/>
      <c r="AH390" s="80"/>
      <c r="AI390" s="80"/>
    </row>
    <row r="391" spans="5:35" x14ac:dyDescent="0.25">
      <c r="E391" s="16"/>
      <c r="F391" s="16"/>
      <c r="H391" s="16"/>
      <c r="AG391" s="80"/>
      <c r="AH391" s="80"/>
      <c r="AI391" s="80"/>
    </row>
    <row r="392" spans="5:35" x14ac:dyDescent="0.25">
      <c r="E392" s="16"/>
      <c r="F392" s="16"/>
      <c r="H392" s="16"/>
      <c r="AG392" s="80"/>
      <c r="AH392" s="80"/>
      <c r="AI392" s="80"/>
    </row>
    <row r="393" spans="5:35" x14ac:dyDescent="0.25">
      <c r="E393" s="16"/>
      <c r="F393" s="16"/>
      <c r="H393" s="16"/>
      <c r="AG393" s="80"/>
      <c r="AH393" s="80"/>
      <c r="AI393" s="80"/>
    </row>
    <row r="394" spans="5:35" x14ac:dyDescent="0.25">
      <c r="E394" s="16"/>
      <c r="F394" s="16"/>
      <c r="H394" s="16"/>
      <c r="AG394" s="80"/>
      <c r="AH394" s="80"/>
      <c r="AI394" s="80"/>
    </row>
    <row r="395" spans="5:35" x14ac:dyDescent="0.25">
      <c r="E395" s="16"/>
      <c r="F395" s="16"/>
      <c r="H395" s="16"/>
      <c r="AG395" s="80"/>
      <c r="AH395" s="80"/>
      <c r="AI395" s="80"/>
    </row>
    <row r="396" spans="5:35" x14ac:dyDescent="0.25">
      <c r="E396" s="16"/>
      <c r="F396" s="16"/>
      <c r="H396" s="16"/>
      <c r="AG396" s="80"/>
      <c r="AH396" s="80"/>
      <c r="AI396" s="80"/>
    </row>
    <row r="397" spans="5:35" x14ac:dyDescent="0.25">
      <c r="E397" s="16"/>
      <c r="F397" s="16"/>
      <c r="H397" s="16"/>
      <c r="AG397" s="80"/>
      <c r="AH397" s="80"/>
      <c r="AI397" s="80"/>
    </row>
    <row r="398" spans="5:35" x14ac:dyDescent="0.25">
      <c r="E398" s="16"/>
      <c r="F398" s="16"/>
      <c r="H398" s="16"/>
      <c r="AG398" s="80"/>
      <c r="AH398" s="80"/>
      <c r="AI398" s="80"/>
    </row>
    <row r="399" spans="5:35" x14ac:dyDescent="0.25">
      <c r="E399" s="16"/>
      <c r="F399" s="16"/>
      <c r="H399" s="16"/>
      <c r="AG399" s="80"/>
      <c r="AH399" s="80"/>
      <c r="AI399" s="80"/>
    </row>
    <row r="400" spans="5:35" x14ac:dyDescent="0.25">
      <c r="E400" s="16"/>
      <c r="F400" s="16"/>
      <c r="H400" s="16"/>
      <c r="AG400" s="80"/>
      <c r="AH400" s="80"/>
      <c r="AI400" s="80"/>
    </row>
    <row r="401" spans="5:35" x14ac:dyDescent="0.25">
      <c r="E401" s="16"/>
      <c r="F401" s="16"/>
      <c r="H401" s="16"/>
      <c r="AG401" s="80"/>
      <c r="AH401" s="80"/>
      <c r="AI401" s="80"/>
    </row>
    <row r="402" spans="5:35" x14ac:dyDescent="0.25">
      <c r="E402" s="16"/>
      <c r="F402" s="16"/>
      <c r="H402" s="16"/>
      <c r="AG402" s="80"/>
      <c r="AH402" s="80"/>
      <c r="AI402" s="80"/>
    </row>
    <row r="403" spans="5:35" x14ac:dyDescent="0.25">
      <c r="E403" s="16"/>
      <c r="F403" s="16"/>
      <c r="H403" s="16"/>
      <c r="AG403" s="80"/>
      <c r="AH403" s="80"/>
      <c r="AI403" s="80"/>
    </row>
    <row r="404" spans="5:35" x14ac:dyDescent="0.25">
      <c r="E404" s="16"/>
      <c r="F404" s="16"/>
      <c r="H404" s="16"/>
      <c r="AG404" s="80"/>
      <c r="AH404" s="80"/>
      <c r="AI404" s="80"/>
    </row>
    <row r="405" spans="5:35" x14ac:dyDescent="0.25">
      <c r="E405" s="16"/>
      <c r="F405" s="16"/>
      <c r="H405" s="16"/>
      <c r="AG405" s="80"/>
      <c r="AH405" s="80"/>
      <c r="AI405" s="80"/>
    </row>
    <row r="406" spans="5:35" x14ac:dyDescent="0.25">
      <c r="E406" s="16"/>
      <c r="F406" s="16"/>
      <c r="H406" s="16"/>
      <c r="AG406" s="80"/>
      <c r="AH406" s="80"/>
      <c r="AI406" s="80"/>
    </row>
    <row r="407" spans="5:35" x14ac:dyDescent="0.25">
      <c r="E407" s="16"/>
      <c r="F407" s="16"/>
      <c r="H407" s="16"/>
      <c r="AG407" s="80"/>
      <c r="AH407" s="80"/>
      <c r="AI407" s="80"/>
    </row>
    <row r="408" spans="5:35" x14ac:dyDescent="0.25">
      <c r="E408" s="16"/>
      <c r="F408" s="16"/>
      <c r="H408" s="16"/>
      <c r="AG408" s="80"/>
      <c r="AH408" s="80"/>
      <c r="AI408" s="80"/>
    </row>
    <row r="409" spans="5:35" x14ac:dyDescent="0.25">
      <c r="E409" s="16"/>
      <c r="F409" s="16"/>
      <c r="H409" s="16"/>
      <c r="AG409" s="80"/>
      <c r="AH409" s="80"/>
      <c r="AI409" s="80"/>
    </row>
    <row r="410" spans="5:35" x14ac:dyDescent="0.25">
      <c r="E410" s="16"/>
      <c r="F410" s="16"/>
      <c r="H410" s="16"/>
      <c r="AG410" s="80"/>
      <c r="AH410" s="80"/>
      <c r="AI410" s="80"/>
    </row>
    <row r="411" spans="5:35" x14ac:dyDescent="0.25">
      <c r="E411" s="16"/>
      <c r="F411" s="16"/>
      <c r="H411" s="16"/>
      <c r="AG411" s="80"/>
      <c r="AH411" s="80"/>
      <c r="AI411" s="80"/>
    </row>
    <row r="412" spans="5:35" x14ac:dyDescent="0.25">
      <c r="E412" s="16"/>
      <c r="F412" s="16"/>
      <c r="H412" s="16"/>
      <c r="AG412" s="80"/>
      <c r="AH412" s="80"/>
      <c r="AI412" s="80"/>
    </row>
    <row r="413" spans="5:35" x14ac:dyDescent="0.25">
      <c r="E413" s="16"/>
      <c r="F413" s="16"/>
      <c r="H413" s="16"/>
      <c r="AG413" s="80"/>
      <c r="AH413" s="80"/>
      <c r="AI413" s="80"/>
    </row>
    <row r="414" spans="5:35" x14ac:dyDescent="0.25">
      <c r="E414" s="16"/>
      <c r="F414" s="16"/>
      <c r="H414" s="16"/>
      <c r="AG414" s="80"/>
      <c r="AH414" s="80"/>
      <c r="AI414" s="80"/>
    </row>
    <row r="415" spans="5:35" x14ac:dyDescent="0.25">
      <c r="E415" s="16"/>
      <c r="F415" s="16"/>
      <c r="H415" s="16"/>
      <c r="AG415" s="80"/>
      <c r="AH415" s="80"/>
      <c r="AI415" s="80"/>
    </row>
    <row r="416" spans="5:35" x14ac:dyDescent="0.25">
      <c r="E416" s="16"/>
      <c r="F416" s="16"/>
      <c r="H416" s="16"/>
      <c r="AG416" s="80"/>
      <c r="AH416" s="80"/>
      <c r="AI416" s="80"/>
    </row>
    <row r="417" spans="5:35" x14ac:dyDescent="0.25">
      <c r="E417" s="16"/>
      <c r="F417" s="16"/>
      <c r="H417" s="16"/>
      <c r="AG417" s="80"/>
      <c r="AH417" s="80"/>
      <c r="AI417" s="80"/>
    </row>
    <row r="418" spans="5:35" x14ac:dyDescent="0.25">
      <c r="E418" s="16"/>
      <c r="F418" s="16"/>
      <c r="H418" s="16"/>
      <c r="AG418" s="80"/>
      <c r="AH418" s="80"/>
      <c r="AI418" s="80"/>
    </row>
    <row r="419" spans="5:35" x14ac:dyDescent="0.25">
      <c r="E419" s="16"/>
      <c r="F419" s="16"/>
      <c r="H419" s="16"/>
      <c r="AG419" s="80"/>
      <c r="AH419" s="80"/>
      <c r="AI419" s="80"/>
    </row>
    <row r="420" spans="5:35" x14ac:dyDescent="0.25">
      <c r="E420" s="16"/>
      <c r="F420" s="16"/>
      <c r="H420" s="16"/>
      <c r="AG420" s="80"/>
      <c r="AH420" s="80"/>
      <c r="AI420" s="80"/>
    </row>
    <row r="421" spans="5:35" x14ac:dyDescent="0.25">
      <c r="E421" s="16"/>
      <c r="F421" s="16"/>
      <c r="H421" s="16"/>
      <c r="AG421" s="80"/>
      <c r="AH421" s="80"/>
      <c r="AI421" s="80"/>
    </row>
    <row r="422" spans="5:35" x14ac:dyDescent="0.25">
      <c r="E422" s="16"/>
      <c r="F422" s="16"/>
      <c r="H422" s="16"/>
      <c r="AG422" s="80"/>
      <c r="AH422" s="80"/>
      <c r="AI422" s="80"/>
    </row>
    <row r="423" spans="5:35" x14ac:dyDescent="0.25">
      <c r="E423" s="16"/>
      <c r="F423" s="16"/>
      <c r="H423" s="16"/>
      <c r="AG423" s="80"/>
      <c r="AH423" s="80"/>
      <c r="AI423" s="80"/>
    </row>
    <row r="424" spans="5:35" x14ac:dyDescent="0.25">
      <c r="E424" s="16"/>
      <c r="F424" s="16"/>
      <c r="H424" s="16"/>
      <c r="AG424" s="80"/>
      <c r="AH424" s="80"/>
      <c r="AI424" s="80"/>
    </row>
    <row r="425" spans="5:35" x14ac:dyDescent="0.25">
      <c r="E425" s="16"/>
      <c r="F425" s="16"/>
      <c r="H425" s="16"/>
      <c r="AG425" s="80"/>
      <c r="AH425" s="80"/>
      <c r="AI425" s="80"/>
    </row>
    <row r="426" spans="5:35" x14ac:dyDescent="0.25">
      <c r="E426" s="16"/>
      <c r="F426" s="16"/>
      <c r="H426" s="16"/>
      <c r="AG426" s="80"/>
      <c r="AH426" s="80"/>
      <c r="AI426" s="80"/>
    </row>
    <row r="427" spans="5:35" x14ac:dyDescent="0.25">
      <c r="E427" s="16"/>
      <c r="F427" s="16"/>
      <c r="H427" s="16"/>
      <c r="AG427" s="80"/>
      <c r="AH427" s="80"/>
      <c r="AI427" s="80"/>
    </row>
    <row r="428" spans="5:35" x14ac:dyDescent="0.25">
      <c r="E428" s="16"/>
      <c r="F428" s="16"/>
      <c r="H428" s="16"/>
      <c r="AG428" s="80"/>
      <c r="AH428" s="80"/>
      <c r="AI428" s="80"/>
    </row>
    <row r="429" spans="5:35" x14ac:dyDescent="0.25">
      <c r="E429" s="16"/>
      <c r="F429" s="16"/>
      <c r="H429" s="16"/>
      <c r="AG429" s="80"/>
      <c r="AH429" s="80"/>
      <c r="AI429" s="80"/>
    </row>
    <row r="430" spans="5:35" x14ac:dyDescent="0.25">
      <c r="E430" s="16"/>
      <c r="F430" s="16"/>
      <c r="H430" s="16"/>
      <c r="AG430" s="80"/>
      <c r="AH430" s="80"/>
      <c r="AI430" s="80"/>
    </row>
    <row r="431" spans="5:35" x14ac:dyDescent="0.25">
      <c r="E431" s="16"/>
      <c r="F431" s="16"/>
      <c r="H431" s="16"/>
      <c r="AG431" s="80"/>
      <c r="AH431" s="80"/>
      <c r="AI431" s="80"/>
    </row>
    <row r="432" spans="5:35" x14ac:dyDescent="0.25">
      <c r="E432" s="16"/>
      <c r="F432" s="16"/>
      <c r="H432" s="16"/>
      <c r="AG432" s="80"/>
      <c r="AH432" s="80"/>
      <c r="AI432" s="80"/>
    </row>
    <row r="433" spans="5:35" x14ac:dyDescent="0.25">
      <c r="E433" s="16"/>
      <c r="F433" s="16"/>
      <c r="H433" s="16"/>
      <c r="AG433" s="80"/>
      <c r="AH433" s="80"/>
      <c r="AI433" s="80"/>
    </row>
    <row r="434" spans="5:35" x14ac:dyDescent="0.25">
      <c r="E434" s="16"/>
      <c r="F434" s="16"/>
      <c r="H434" s="16"/>
      <c r="AG434" s="80"/>
      <c r="AH434" s="80"/>
      <c r="AI434" s="80"/>
    </row>
    <row r="435" spans="5:35" x14ac:dyDescent="0.25">
      <c r="E435" s="16"/>
      <c r="F435" s="16"/>
      <c r="H435" s="16"/>
      <c r="AG435" s="80"/>
      <c r="AH435" s="80"/>
      <c r="AI435" s="80"/>
    </row>
    <row r="436" spans="5:35" x14ac:dyDescent="0.25">
      <c r="E436" s="16"/>
      <c r="F436" s="16"/>
      <c r="H436" s="16"/>
      <c r="AG436" s="80"/>
      <c r="AH436" s="80"/>
      <c r="AI436" s="80"/>
    </row>
    <row r="437" spans="5:35" x14ac:dyDescent="0.25">
      <c r="E437" s="16"/>
      <c r="F437" s="16"/>
      <c r="H437" s="16"/>
      <c r="AG437" s="80"/>
      <c r="AH437" s="80"/>
      <c r="AI437" s="80"/>
    </row>
    <row r="438" spans="5:35" x14ac:dyDescent="0.25">
      <c r="E438" s="16"/>
      <c r="F438" s="16"/>
      <c r="H438" s="16"/>
      <c r="AG438" s="80"/>
      <c r="AH438" s="80"/>
      <c r="AI438" s="80"/>
    </row>
    <row r="439" spans="5:35" x14ac:dyDescent="0.25">
      <c r="E439" s="16"/>
      <c r="F439" s="16"/>
      <c r="H439" s="16"/>
      <c r="AG439" s="80"/>
      <c r="AH439" s="80"/>
      <c r="AI439" s="80"/>
    </row>
    <row r="440" spans="5:35" x14ac:dyDescent="0.25">
      <c r="E440" s="16"/>
      <c r="F440" s="16"/>
      <c r="H440" s="16"/>
      <c r="AG440" s="80"/>
      <c r="AH440" s="80"/>
      <c r="AI440" s="80"/>
    </row>
    <row r="441" spans="5:35" x14ac:dyDescent="0.25">
      <c r="E441" s="16"/>
      <c r="F441" s="16"/>
      <c r="H441" s="16"/>
      <c r="AG441" s="80"/>
      <c r="AH441" s="80"/>
      <c r="AI441" s="80"/>
    </row>
    <row r="442" spans="5:35" x14ac:dyDescent="0.25">
      <c r="E442" s="16"/>
      <c r="F442" s="16"/>
      <c r="H442" s="16"/>
      <c r="AG442" s="80"/>
      <c r="AH442" s="80"/>
      <c r="AI442" s="80"/>
    </row>
    <row r="443" spans="5:35" x14ac:dyDescent="0.25">
      <c r="E443" s="16"/>
      <c r="F443" s="16"/>
      <c r="H443" s="16"/>
      <c r="AG443" s="80"/>
      <c r="AH443" s="80"/>
      <c r="AI443" s="80"/>
    </row>
    <row r="444" spans="5:35" x14ac:dyDescent="0.25">
      <c r="E444" s="16"/>
      <c r="F444" s="16"/>
      <c r="H444" s="16"/>
      <c r="AG444" s="80"/>
      <c r="AH444" s="80"/>
      <c r="AI444" s="80"/>
    </row>
    <row r="445" spans="5:35" x14ac:dyDescent="0.25">
      <c r="E445" s="16"/>
      <c r="F445" s="16"/>
      <c r="H445" s="16"/>
      <c r="AG445" s="80"/>
      <c r="AH445" s="80"/>
      <c r="AI445" s="80"/>
    </row>
    <row r="446" spans="5:35" x14ac:dyDescent="0.25">
      <c r="E446" s="16"/>
      <c r="F446" s="16"/>
      <c r="H446" s="16"/>
      <c r="AG446" s="80"/>
      <c r="AH446" s="80"/>
      <c r="AI446" s="80"/>
    </row>
    <row r="447" spans="5:35" x14ac:dyDescent="0.25">
      <c r="E447" s="16"/>
      <c r="F447" s="16"/>
      <c r="H447" s="16"/>
      <c r="AG447" s="80"/>
      <c r="AH447" s="80"/>
      <c r="AI447" s="80"/>
    </row>
    <row r="448" spans="5:35" x14ac:dyDescent="0.25">
      <c r="E448" s="16"/>
      <c r="F448" s="16"/>
      <c r="H448" s="16"/>
      <c r="AG448" s="80"/>
      <c r="AH448" s="80"/>
      <c r="AI448" s="80"/>
    </row>
    <row r="449" spans="5:35" x14ac:dyDescent="0.25">
      <c r="E449" s="16"/>
      <c r="F449" s="16"/>
      <c r="H449" s="16"/>
      <c r="AG449" s="80"/>
      <c r="AH449" s="80"/>
      <c r="AI449" s="80"/>
    </row>
    <row r="450" spans="5:35" x14ac:dyDescent="0.25">
      <c r="E450" s="16"/>
      <c r="F450" s="16"/>
      <c r="H450" s="16"/>
      <c r="AG450" s="80"/>
      <c r="AH450" s="80"/>
      <c r="AI450" s="80"/>
    </row>
    <row r="451" spans="5:35" x14ac:dyDescent="0.25">
      <c r="E451" s="16"/>
      <c r="F451" s="16"/>
      <c r="H451" s="16"/>
      <c r="AG451" s="80"/>
      <c r="AH451" s="80"/>
      <c r="AI451" s="80"/>
    </row>
    <row r="452" spans="5:35" x14ac:dyDescent="0.25">
      <c r="E452" s="16"/>
      <c r="F452" s="16"/>
      <c r="H452" s="16"/>
      <c r="AG452" s="80"/>
      <c r="AH452" s="80"/>
      <c r="AI452" s="80"/>
    </row>
    <row r="453" spans="5:35" x14ac:dyDescent="0.25">
      <c r="E453" s="16"/>
      <c r="F453" s="16"/>
      <c r="H453" s="16"/>
      <c r="AG453" s="80"/>
      <c r="AH453" s="80"/>
      <c r="AI453" s="80"/>
    </row>
    <row r="454" spans="5:35" x14ac:dyDescent="0.25">
      <c r="E454" s="16"/>
      <c r="F454" s="16"/>
      <c r="H454" s="16"/>
      <c r="AG454" s="80"/>
      <c r="AH454" s="80"/>
      <c r="AI454" s="80"/>
    </row>
    <row r="455" spans="5:35" x14ac:dyDescent="0.25">
      <c r="E455" s="16"/>
      <c r="F455" s="16"/>
      <c r="H455" s="16"/>
      <c r="AG455" s="80"/>
      <c r="AH455" s="80"/>
      <c r="AI455" s="80"/>
    </row>
    <row r="456" spans="5:35" x14ac:dyDescent="0.25">
      <c r="E456" s="16"/>
      <c r="F456" s="16"/>
      <c r="H456" s="16"/>
      <c r="AG456" s="80"/>
      <c r="AH456" s="80"/>
      <c r="AI456" s="80"/>
    </row>
    <row r="457" spans="5:35" x14ac:dyDescent="0.25">
      <c r="E457" s="16"/>
      <c r="F457" s="16"/>
      <c r="H457" s="16"/>
      <c r="AG457" s="80"/>
      <c r="AH457" s="80"/>
      <c r="AI457" s="80"/>
    </row>
    <row r="458" spans="5:35" x14ac:dyDescent="0.25">
      <c r="E458" s="16"/>
      <c r="F458" s="16"/>
      <c r="H458" s="16"/>
      <c r="AG458" s="80"/>
      <c r="AH458" s="80"/>
      <c r="AI458" s="80"/>
    </row>
    <row r="459" spans="5:35" x14ac:dyDescent="0.25">
      <c r="E459" s="16"/>
      <c r="F459" s="16"/>
      <c r="H459" s="16"/>
      <c r="AG459" s="80"/>
      <c r="AH459" s="80"/>
      <c r="AI459" s="80"/>
    </row>
    <row r="460" spans="5:35" x14ac:dyDescent="0.25">
      <c r="E460" s="16"/>
      <c r="F460" s="16"/>
      <c r="H460" s="16"/>
      <c r="AG460" s="80"/>
      <c r="AH460" s="80"/>
      <c r="AI460" s="80"/>
    </row>
    <row r="461" spans="5:35" x14ac:dyDescent="0.25">
      <c r="E461" s="16"/>
      <c r="F461" s="16"/>
      <c r="H461" s="16"/>
      <c r="AG461" s="80"/>
      <c r="AH461" s="80"/>
      <c r="AI461" s="80"/>
    </row>
    <row r="462" spans="5:35" x14ac:dyDescent="0.25">
      <c r="E462" s="16"/>
      <c r="F462" s="16"/>
      <c r="H462" s="16"/>
      <c r="AG462" s="80"/>
      <c r="AH462" s="80"/>
      <c r="AI462" s="80"/>
    </row>
    <row r="463" spans="5:35" x14ac:dyDescent="0.25">
      <c r="E463" s="16"/>
      <c r="F463" s="16"/>
      <c r="H463" s="16"/>
      <c r="AG463" s="80"/>
      <c r="AH463" s="80"/>
      <c r="AI463" s="80"/>
    </row>
    <row r="464" spans="5:35" x14ac:dyDescent="0.25">
      <c r="E464" s="16"/>
      <c r="F464" s="16"/>
      <c r="H464" s="16"/>
      <c r="AG464" s="80"/>
      <c r="AH464" s="80"/>
      <c r="AI464" s="80"/>
    </row>
    <row r="465" spans="5:35" x14ac:dyDescent="0.25">
      <c r="E465" s="16"/>
      <c r="F465" s="16"/>
      <c r="H465" s="16"/>
      <c r="AG465" s="80"/>
      <c r="AH465" s="80"/>
      <c r="AI465" s="80"/>
    </row>
    <row r="466" spans="5:35" x14ac:dyDescent="0.25">
      <c r="E466" s="16"/>
      <c r="F466" s="16"/>
      <c r="H466" s="16"/>
      <c r="AG466" s="80"/>
      <c r="AH466" s="80"/>
      <c r="AI466" s="80"/>
    </row>
    <row r="467" spans="5:35" x14ac:dyDescent="0.25">
      <c r="E467" s="16"/>
      <c r="F467" s="16"/>
      <c r="H467" s="16"/>
      <c r="AG467" s="80"/>
      <c r="AH467" s="80"/>
      <c r="AI467" s="80"/>
    </row>
    <row r="468" spans="5:35" x14ac:dyDescent="0.25">
      <c r="E468" s="16"/>
      <c r="F468" s="16"/>
      <c r="H468" s="16"/>
      <c r="AG468" s="80"/>
      <c r="AH468" s="80"/>
      <c r="AI468" s="80"/>
    </row>
    <row r="469" spans="5:35" x14ac:dyDescent="0.25">
      <c r="E469" s="16"/>
      <c r="F469" s="16"/>
      <c r="H469" s="16"/>
      <c r="AG469" s="80"/>
      <c r="AH469" s="80"/>
      <c r="AI469" s="80"/>
    </row>
    <row r="470" spans="5:35" x14ac:dyDescent="0.25">
      <c r="E470" s="16"/>
      <c r="F470" s="16"/>
      <c r="H470" s="16"/>
      <c r="AG470" s="80"/>
      <c r="AH470" s="80"/>
      <c r="AI470" s="80"/>
    </row>
    <row r="471" spans="5:35" x14ac:dyDescent="0.25">
      <c r="E471" s="16"/>
      <c r="F471" s="16"/>
      <c r="H471" s="16"/>
      <c r="AG471" s="80"/>
      <c r="AH471" s="80"/>
      <c r="AI471" s="80"/>
    </row>
    <row r="472" spans="5:35" x14ac:dyDescent="0.25">
      <c r="E472" s="16"/>
      <c r="F472" s="16"/>
      <c r="H472" s="16"/>
      <c r="AG472" s="80"/>
      <c r="AH472" s="80"/>
      <c r="AI472" s="80"/>
    </row>
    <row r="473" spans="5:35" x14ac:dyDescent="0.25">
      <c r="E473" s="16"/>
      <c r="F473" s="16"/>
      <c r="H473" s="16"/>
      <c r="AG473" s="80"/>
      <c r="AH473" s="80"/>
      <c r="AI473" s="80"/>
    </row>
    <row r="474" spans="5:35" x14ac:dyDescent="0.25">
      <c r="E474" s="16"/>
      <c r="F474" s="16"/>
      <c r="H474" s="16"/>
      <c r="AG474" s="80"/>
      <c r="AH474" s="80"/>
      <c r="AI474" s="80"/>
    </row>
    <row r="475" spans="5:35" x14ac:dyDescent="0.25">
      <c r="E475" s="16"/>
      <c r="F475" s="16"/>
      <c r="H475" s="16"/>
      <c r="AG475" s="80"/>
      <c r="AH475" s="80"/>
      <c r="AI475" s="80"/>
    </row>
    <row r="476" spans="5:35" x14ac:dyDescent="0.25">
      <c r="E476" s="16"/>
      <c r="F476" s="16"/>
      <c r="H476" s="16"/>
      <c r="AG476" s="80"/>
      <c r="AH476" s="80"/>
      <c r="AI476" s="80"/>
    </row>
    <row r="477" spans="5:35" x14ac:dyDescent="0.25">
      <c r="E477" s="16"/>
      <c r="F477" s="16"/>
      <c r="H477" s="16"/>
      <c r="AG477" s="80"/>
      <c r="AH477" s="80"/>
      <c r="AI477" s="80"/>
    </row>
    <row r="478" spans="5:35" x14ac:dyDescent="0.25">
      <c r="E478" s="16"/>
      <c r="F478" s="16"/>
      <c r="H478" s="16"/>
      <c r="AG478" s="80"/>
      <c r="AH478" s="80"/>
      <c r="AI478" s="80"/>
    </row>
    <row r="479" spans="5:35" x14ac:dyDescent="0.25">
      <c r="E479" s="16"/>
      <c r="F479" s="16"/>
      <c r="H479" s="16"/>
      <c r="AG479" s="80"/>
      <c r="AH479" s="80"/>
      <c r="AI479" s="80"/>
    </row>
    <row r="480" spans="5:35" x14ac:dyDescent="0.25">
      <c r="E480" s="16"/>
      <c r="F480" s="16"/>
      <c r="H480" s="16"/>
      <c r="AG480" s="80"/>
      <c r="AH480" s="80"/>
      <c r="AI480" s="80"/>
    </row>
    <row r="481" spans="5:35" x14ac:dyDescent="0.25">
      <c r="E481" s="16"/>
      <c r="F481" s="16"/>
      <c r="H481" s="16"/>
      <c r="AG481" s="80"/>
      <c r="AH481" s="80"/>
      <c r="AI481" s="80"/>
    </row>
    <row r="482" spans="5:35" x14ac:dyDescent="0.25">
      <c r="E482" s="16"/>
      <c r="F482" s="16"/>
      <c r="H482" s="16"/>
      <c r="AG482" s="80"/>
      <c r="AH482" s="80"/>
      <c r="AI482" s="80"/>
    </row>
    <row r="483" spans="5:35" x14ac:dyDescent="0.25">
      <c r="E483" s="16"/>
      <c r="F483" s="16"/>
      <c r="H483" s="16"/>
      <c r="AG483" s="80"/>
      <c r="AH483" s="80"/>
      <c r="AI483" s="80"/>
    </row>
    <row r="484" spans="5:35" x14ac:dyDescent="0.25">
      <c r="E484" s="16"/>
      <c r="F484" s="16"/>
      <c r="H484" s="16"/>
      <c r="AG484" s="80"/>
      <c r="AH484" s="80"/>
      <c r="AI484" s="80"/>
    </row>
    <row r="485" spans="5:35" x14ac:dyDescent="0.25">
      <c r="E485" s="16"/>
      <c r="F485" s="16"/>
      <c r="H485" s="16"/>
      <c r="AG485" s="80"/>
      <c r="AH485" s="80"/>
      <c r="AI485" s="80"/>
    </row>
    <row r="486" spans="5:35" x14ac:dyDescent="0.25">
      <c r="E486" s="16"/>
      <c r="F486" s="16"/>
      <c r="H486" s="16"/>
      <c r="AG486" s="80"/>
      <c r="AH486" s="80"/>
      <c r="AI486" s="80"/>
    </row>
    <row r="487" spans="5:35" x14ac:dyDescent="0.25">
      <c r="E487" s="16"/>
      <c r="F487" s="16"/>
      <c r="H487" s="16"/>
      <c r="AG487" s="80"/>
      <c r="AH487" s="80"/>
      <c r="AI487" s="80"/>
    </row>
    <row r="488" spans="5:35" x14ac:dyDescent="0.25">
      <c r="E488" s="16"/>
      <c r="F488" s="16"/>
      <c r="H488" s="16"/>
      <c r="AG488" s="80"/>
      <c r="AH488" s="80"/>
      <c r="AI488" s="80"/>
    </row>
    <row r="489" spans="5:35" x14ac:dyDescent="0.25">
      <c r="E489" s="16"/>
      <c r="F489" s="16"/>
      <c r="H489" s="16"/>
      <c r="AG489" s="80"/>
      <c r="AH489" s="80"/>
      <c r="AI489" s="80"/>
    </row>
    <row r="490" spans="5:35" x14ac:dyDescent="0.25">
      <c r="E490" s="16"/>
      <c r="F490" s="16"/>
      <c r="H490" s="16"/>
      <c r="AG490" s="80"/>
      <c r="AH490" s="80"/>
      <c r="AI490" s="80"/>
    </row>
    <row r="491" spans="5:35" x14ac:dyDescent="0.25">
      <c r="E491" s="16"/>
      <c r="F491" s="16"/>
      <c r="H491" s="16"/>
      <c r="AG491" s="80"/>
      <c r="AH491" s="80"/>
      <c r="AI491" s="80"/>
    </row>
    <row r="492" spans="5:35" x14ac:dyDescent="0.25">
      <c r="E492" s="16"/>
      <c r="F492" s="16"/>
      <c r="H492" s="16"/>
      <c r="AG492" s="80"/>
      <c r="AH492" s="80"/>
      <c r="AI492" s="80"/>
    </row>
    <row r="493" spans="5:35" x14ac:dyDescent="0.25">
      <c r="E493" s="16"/>
      <c r="F493" s="16"/>
      <c r="H493" s="16"/>
      <c r="AG493" s="80"/>
      <c r="AH493" s="80"/>
      <c r="AI493" s="80"/>
    </row>
    <row r="494" spans="5:35" x14ac:dyDescent="0.25">
      <c r="E494" s="16"/>
      <c r="F494" s="16"/>
      <c r="H494" s="16"/>
      <c r="AG494" s="80"/>
      <c r="AH494" s="80"/>
      <c r="AI494" s="80"/>
    </row>
    <row r="495" spans="5:35" x14ac:dyDescent="0.25">
      <c r="E495" s="16"/>
      <c r="F495" s="16"/>
      <c r="H495" s="16"/>
      <c r="AG495" s="80"/>
      <c r="AH495" s="80"/>
      <c r="AI495" s="80"/>
    </row>
    <row r="496" spans="5:35" x14ac:dyDescent="0.25">
      <c r="E496" s="16"/>
      <c r="F496" s="16"/>
      <c r="H496" s="16"/>
      <c r="AG496" s="80"/>
      <c r="AH496" s="80"/>
      <c r="AI496" s="80"/>
    </row>
    <row r="497" spans="5:35" x14ac:dyDescent="0.25">
      <c r="E497" s="16"/>
      <c r="F497" s="16"/>
      <c r="H497" s="16"/>
      <c r="AG497" s="80"/>
      <c r="AH497" s="80"/>
      <c r="AI497" s="80"/>
    </row>
    <row r="498" spans="5:35" x14ac:dyDescent="0.25">
      <c r="E498" s="16"/>
      <c r="F498" s="16"/>
      <c r="H498" s="16"/>
      <c r="AG498" s="80"/>
      <c r="AH498" s="80"/>
      <c r="AI498" s="80"/>
    </row>
    <row r="499" spans="5:35" x14ac:dyDescent="0.25">
      <c r="E499" s="16"/>
      <c r="F499" s="16"/>
      <c r="H499" s="16"/>
      <c r="AG499" s="80"/>
      <c r="AH499" s="80"/>
      <c r="AI499" s="80"/>
    </row>
    <row r="500" spans="5:35" x14ac:dyDescent="0.25">
      <c r="E500" s="16"/>
      <c r="F500" s="16"/>
      <c r="H500" s="16"/>
      <c r="AG500" s="80"/>
      <c r="AH500" s="80"/>
      <c r="AI500" s="80"/>
    </row>
    <row r="501" spans="5:35" x14ac:dyDescent="0.25">
      <c r="E501" s="16"/>
      <c r="F501" s="16"/>
      <c r="H501" s="16"/>
      <c r="AG501" s="80"/>
      <c r="AH501" s="80"/>
      <c r="AI501" s="80"/>
    </row>
    <row r="502" spans="5:35" x14ac:dyDescent="0.25">
      <c r="E502" s="16"/>
      <c r="F502" s="16"/>
      <c r="H502" s="16"/>
      <c r="AG502" s="80"/>
      <c r="AH502" s="80"/>
      <c r="AI502" s="80"/>
    </row>
    <row r="503" spans="5:35" x14ac:dyDescent="0.25">
      <c r="E503" s="16"/>
      <c r="F503" s="16"/>
      <c r="H503" s="16"/>
      <c r="AG503" s="80"/>
      <c r="AH503" s="80"/>
      <c r="AI503" s="80"/>
    </row>
    <row r="504" spans="5:35" x14ac:dyDescent="0.25">
      <c r="E504" s="16"/>
      <c r="F504" s="16"/>
      <c r="H504" s="16"/>
      <c r="AG504" s="80"/>
      <c r="AH504" s="80"/>
      <c r="AI504" s="80"/>
    </row>
    <row r="505" spans="5:35" x14ac:dyDescent="0.25">
      <c r="E505" s="16"/>
      <c r="F505" s="16"/>
      <c r="H505" s="16"/>
      <c r="AG505" s="80"/>
      <c r="AH505" s="80"/>
      <c r="AI505" s="80"/>
    </row>
    <row r="506" spans="5:35" x14ac:dyDescent="0.25">
      <c r="E506" s="16"/>
      <c r="F506" s="16"/>
      <c r="H506" s="16"/>
      <c r="AG506" s="80"/>
      <c r="AH506" s="80"/>
      <c r="AI506" s="80"/>
    </row>
    <row r="507" spans="5:35" x14ac:dyDescent="0.25">
      <c r="E507" s="16"/>
      <c r="F507" s="16"/>
      <c r="H507" s="16"/>
      <c r="AG507" s="80"/>
      <c r="AH507" s="80"/>
      <c r="AI507" s="80"/>
    </row>
    <row r="508" spans="5:35" x14ac:dyDescent="0.25">
      <c r="E508" s="16"/>
      <c r="F508" s="16"/>
      <c r="H508" s="16"/>
      <c r="AG508" s="80"/>
      <c r="AH508" s="80"/>
      <c r="AI508" s="80"/>
    </row>
    <row r="509" spans="5:35" x14ac:dyDescent="0.25">
      <c r="E509" s="16"/>
      <c r="F509" s="16"/>
      <c r="H509" s="16"/>
      <c r="AG509" s="80"/>
      <c r="AH509" s="80"/>
      <c r="AI509" s="80"/>
    </row>
    <row r="510" spans="5:35" x14ac:dyDescent="0.25">
      <c r="E510" s="16"/>
      <c r="F510" s="16"/>
      <c r="H510" s="16"/>
      <c r="AG510" s="80"/>
      <c r="AH510" s="80"/>
      <c r="AI510" s="80"/>
    </row>
    <row r="511" spans="5:35" x14ac:dyDescent="0.25">
      <c r="E511" s="16"/>
      <c r="F511" s="16"/>
      <c r="H511" s="16"/>
      <c r="AG511" s="80"/>
      <c r="AH511" s="80"/>
      <c r="AI511" s="80"/>
    </row>
    <row r="512" spans="5:35" x14ac:dyDescent="0.25">
      <c r="E512" s="16"/>
      <c r="F512" s="16"/>
      <c r="H512" s="16"/>
      <c r="AG512" s="80"/>
      <c r="AH512" s="80"/>
      <c r="AI512" s="80"/>
    </row>
    <row r="513" spans="5:35" x14ac:dyDescent="0.25">
      <c r="E513" s="16"/>
      <c r="F513" s="16"/>
      <c r="H513" s="16"/>
      <c r="AG513" s="80"/>
      <c r="AH513" s="80"/>
      <c r="AI513" s="80"/>
    </row>
    <row r="514" spans="5:35" x14ac:dyDescent="0.25">
      <c r="E514" s="16"/>
      <c r="F514" s="16"/>
      <c r="H514" s="16"/>
      <c r="AG514" s="80"/>
      <c r="AH514" s="80"/>
      <c r="AI514" s="80"/>
    </row>
    <row r="515" spans="5:35" x14ac:dyDescent="0.25">
      <c r="E515" s="16"/>
      <c r="F515" s="16"/>
      <c r="H515" s="16"/>
      <c r="AG515" s="80"/>
      <c r="AH515" s="80"/>
      <c r="AI515" s="80"/>
    </row>
    <row r="516" spans="5:35" x14ac:dyDescent="0.25">
      <c r="E516" s="16"/>
      <c r="F516" s="16"/>
      <c r="H516" s="16"/>
      <c r="AG516" s="80"/>
      <c r="AH516" s="80"/>
      <c r="AI516" s="80"/>
    </row>
    <row r="517" spans="5:35" x14ac:dyDescent="0.25">
      <c r="E517" s="16"/>
      <c r="F517" s="16"/>
      <c r="H517" s="16"/>
      <c r="AG517" s="80"/>
      <c r="AH517" s="80"/>
      <c r="AI517" s="80"/>
    </row>
    <row r="518" spans="5:35" x14ac:dyDescent="0.25">
      <c r="E518" s="16"/>
      <c r="F518" s="16"/>
      <c r="H518" s="16"/>
      <c r="AG518" s="80"/>
      <c r="AH518" s="80"/>
      <c r="AI518" s="80"/>
    </row>
    <row r="519" spans="5:35" x14ac:dyDescent="0.25">
      <c r="E519" s="16"/>
      <c r="F519" s="16"/>
      <c r="H519" s="16"/>
      <c r="AG519" s="80"/>
      <c r="AH519" s="80"/>
      <c r="AI519" s="80"/>
    </row>
    <row r="520" spans="5:35" x14ac:dyDescent="0.25">
      <c r="E520" s="16"/>
      <c r="F520" s="16"/>
      <c r="H520" s="16"/>
      <c r="AG520" s="80"/>
      <c r="AH520" s="80"/>
      <c r="AI520" s="80"/>
    </row>
    <row r="521" spans="5:35" x14ac:dyDescent="0.25">
      <c r="E521" s="16"/>
      <c r="F521" s="16"/>
      <c r="H521" s="16"/>
      <c r="AG521" s="80"/>
      <c r="AH521" s="80"/>
      <c r="AI521" s="80"/>
    </row>
    <row r="522" spans="5:35" x14ac:dyDescent="0.25">
      <c r="E522" s="16"/>
      <c r="F522" s="16"/>
      <c r="H522" s="16"/>
      <c r="AG522" s="80"/>
      <c r="AH522" s="80"/>
      <c r="AI522" s="80"/>
    </row>
    <row r="523" spans="5:35" x14ac:dyDescent="0.25">
      <c r="E523" s="16"/>
      <c r="F523" s="16"/>
      <c r="H523" s="16"/>
      <c r="AG523" s="80"/>
      <c r="AH523" s="80"/>
      <c r="AI523" s="80"/>
    </row>
    <row r="524" spans="5:35" x14ac:dyDescent="0.25">
      <c r="E524" s="16"/>
      <c r="F524" s="16"/>
      <c r="H524" s="16"/>
      <c r="AG524" s="80"/>
      <c r="AH524" s="80"/>
      <c r="AI524" s="80"/>
    </row>
    <row r="525" spans="5:35" x14ac:dyDescent="0.25">
      <c r="E525" s="16"/>
      <c r="F525" s="16"/>
      <c r="H525" s="16"/>
      <c r="AG525" s="80"/>
      <c r="AH525" s="80"/>
      <c r="AI525" s="80"/>
    </row>
    <row r="526" spans="5:35" x14ac:dyDescent="0.25">
      <c r="E526" s="16"/>
      <c r="F526" s="16"/>
      <c r="H526" s="16"/>
      <c r="AG526" s="80"/>
      <c r="AH526" s="80"/>
      <c r="AI526" s="80"/>
    </row>
    <row r="527" spans="5:35" x14ac:dyDescent="0.25">
      <c r="E527" s="16"/>
      <c r="F527" s="16"/>
      <c r="H527" s="16"/>
      <c r="AG527" s="80"/>
      <c r="AH527" s="80"/>
      <c r="AI527" s="80"/>
    </row>
    <row r="528" spans="5:35" x14ac:dyDescent="0.25">
      <c r="E528" s="16"/>
      <c r="F528" s="16"/>
      <c r="H528" s="16"/>
      <c r="AG528" s="80"/>
      <c r="AH528" s="80"/>
      <c r="AI528" s="80"/>
    </row>
    <row r="529" spans="5:35" x14ac:dyDescent="0.25">
      <c r="E529" s="16"/>
      <c r="F529" s="16"/>
      <c r="H529" s="16"/>
      <c r="AG529" s="80"/>
      <c r="AH529" s="80"/>
      <c r="AI529" s="80"/>
    </row>
    <row r="530" spans="5:35" x14ac:dyDescent="0.25">
      <c r="E530" s="16"/>
      <c r="F530" s="16"/>
      <c r="H530" s="16"/>
      <c r="AG530" s="80"/>
      <c r="AH530" s="80"/>
      <c r="AI530" s="80"/>
    </row>
    <row r="531" spans="5:35" x14ac:dyDescent="0.25">
      <c r="E531" s="16"/>
      <c r="F531" s="16"/>
      <c r="H531" s="16"/>
      <c r="AG531" s="80"/>
      <c r="AH531" s="80"/>
      <c r="AI531" s="80"/>
    </row>
    <row r="532" spans="5:35" x14ac:dyDescent="0.25">
      <c r="E532" s="16"/>
      <c r="F532" s="16"/>
      <c r="H532" s="16"/>
      <c r="AG532" s="80"/>
      <c r="AH532" s="80"/>
      <c r="AI532" s="80"/>
    </row>
    <row r="533" spans="5:35" x14ac:dyDescent="0.25">
      <c r="E533" s="16"/>
      <c r="F533" s="16"/>
      <c r="H533" s="16"/>
      <c r="AG533" s="80"/>
      <c r="AH533" s="80"/>
      <c r="AI533" s="80"/>
    </row>
    <row r="534" spans="5:35" x14ac:dyDescent="0.25">
      <c r="E534" s="16"/>
      <c r="F534" s="16"/>
      <c r="H534" s="16"/>
      <c r="AG534" s="80"/>
      <c r="AH534" s="80"/>
      <c r="AI534" s="80"/>
    </row>
    <row r="535" spans="5:35" x14ac:dyDescent="0.25">
      <c r="E535" s="16"/>
      <c r="F535" s="16"/>
      <c r="H535" s="16"/>
      <c r="AG535" s="80"/>
      <c r="AH535" s="80"/>
      <c r="AI535" s="80"/>
    </row>
    <row r="536" spans="5:35" x14ac:dyDescent="0.25">
      <c r="E536" s="16"/>
      <c r="F536" s="16"/>
      <c r="H536" s="16"/>
      <c r="AG536" s="80"/>
      <c r="AH536" s="80"/>
      <c r="AI536" s="80"/>
    </row>
    <row r="537" spans="5:35" x14ac:dyDescent="0.25">
      <c r="E537" s="16"/>
      <c r="F537" s="16"/>
      <c r="H537" s="16"/>
      <c r="AG537" s="80"/>
      <c r="AH537" s="80"/>
      <c r="AI537" s="80"/>
    </row>
    <row r="538" spans="5:35" x14ac:dyDescent="0.25">
      <c r="E538" s="16"/>
      <c r="F538" s="16"/>
      <c r="H538" s="16"/>
      <c r="AG538" s="80"/>
      <c r="AH538" s="80"/>
      <c r="AI538" s="80"/>
    </row>
    <row r="539" spans="5:35" x14ac:dyDescent="0.25">
      <c r="E539" s="16"/>
      <c r="F539" s="16"/>
      <c r="H539" s="16"/>
      <c r="AG539" s="80"/>
      <c r="AH539" s="80"/>
      <c r="AI539" s="80"/>
    </row>
    <row r="540" spans="5:35" x14ac:dyDescent="0.25">
      <c r="E540" s="16"/>
      <c r="F540" s="16"/>
      <c r="H540" s="16"/>
      <c r="AG540" s="80"/>
      <c r="AH540" s="80"/>
      <c r="AI540" s="80"/>
    </row>
    <row r="541" spans="5:35" x14ac:dyDescent="0.25">
      <c r="E541" s="16"/>
      <c r="F541" s="16"/>
      <c r="H541" s="16"/>
      <c r="AG541" s="80"/>
      <c r="AH541" s="80"/>
      <c r="AI541" s="80"/>
    </row>
    <row r="542" spans="5:35" x14ac:dyDescent="0.25">
      <c r="E542" s="16"/>
      <c r="F542" s="16"/>
      <c r="H542" s="16"/>
      <c r="AG542" s="80"/>
      <c r="AH542" s="80"/>
      <c r="AI542" s="80"/>
    </row>
    <row r="543" spans="5:35" x14ac:dyDescent="0.25">
      <c r="E543" s="16"/>
      <c r="F543" s="16"/>
      <c r="H543" s="16"/>
      <c r="AG543" s="80"/>
      <c r="AH543" s="80"/>
      <c r="AI543" s="80"/>
    </row>
    <row r="544" spans="5:35" x14ac:dyDescent="0.25">
      <c r="E544" s="16"/>
      <c r="F544" s="16"/>
      <c r="H544" s="16"/>
      <c r="AG544" s="80"/>
      <c r="AH544" s="80"/>
      <c r="AI544" s="80"/>
    </row>
    <row r="545" spans="5:35" x14ac:dyDescent="0.25">
      <c r="E545" s="16"/>
      <c r="F545" s="16"/>
      <c r="H545" s="16"/>
      <c r="AG545" s="80"/>
      <c r="AH545" s="80"/>
      <c r="AI545" s="80"/>
    </row>
    <row r="546" spans="5:35" x14ac:dyDescent="0.25">
      <c r="E546" s="16"/>
      <c r="F546" s="16"/>
      <c r="H546" s="16"/>
      <c r="AG546" s="80"/>
      <c r="AH546" s="80"/>
      <c r="AI546" s="80"/>
    </row>
    <row r="547" spans="5:35" x14ac:dyDescent="0.25">
      <c r="E547" s="16"/>
      <c r="F547" s="16"/>
      <c r="H547" s="16"/>
      <c r="AG547" s="80"/>
      <c r="AH547" s="80"/>
      <c r="AI547" s="80"/>
    </row>
    <row r="548" spans="5:35" x14ac:dyDescent="0.25">
      <c r="E548" s="16"/>
      <c r="F548" s="16"/>
      <c r="H548" s="16"/>
      <c r="AG548" s="80"/>
      <c r="AH548" s="80"/>
      <c r="AI548" s="80"/>
    </row>
    <row r="549" spans="5:35" x14ac:dyDescent="0.25">
      <c r="E549" s="16"/>
      <c r="F549" s="16"/>
      <c r="H549" s="16"/>
      <c r="AG549" s="80"/>
      <c r="AH549" s="80"/>
      <c r="AI549" s="80"/>
    </row>
    <row r="550" spans="5:35" x14ac:dyDescent="0.25">
      <c r="E550" s="16"/>
      <c r="F550" s="16"/>
      <c r="H550" s="16"/>
      <c r="AG550" s="80"/>
      <c r="AH550" s="80"/>
      <c r="AI550" s="80"/>
    </row>
    <row r="551" spans="5:35" x14ac:dyDescent="0.25">
      <c r="E551" s="16"/>
      <c r="F551" s="16"/>
      <c r="H551" s="16"/>
      <c r="AG551" s="80"/>
      <c r="AH551" s="80"/>
      <c r="AI551" s="80"/>
    </row>
    <row r="552" spans="5:35" x14ac:dyDescent="0.25">
      <c r="E552" s="16"/>
      <c r="F552" s="16"/>
      <c r="H552" s="16"/>
      <c r="AG552" s="80"/>
      <c r="AH552" s="80"/>
      <c r="AI552" s="80"/>
    </row>
    <row r="553" spans="5:35" x14ac:dyDescent="0.25">
      <c r="E553" s="16"/>
      <c r="F553" s="16"/>
      <c r="H553" s="16"/>
      <c r="AG553" s="80"/>
      <c r="AH553" s="80"/>
      <c r="AI553" s="80"/>
    </row>
    <row r="554" spans="5:35" x14ac:dyDescent="0.25">
      <c r="E554" s="16"/>
      <c r="F554" s="16"/>
      <c r="H554" s="16"/>
      <c r="AG554" s="80"/>
      <c r="AH554" s="80"/>
      <c r="AI554" s="80"/>
    </row>
    <row r="555" spans="5:35" x14ac:dyDescent="0.25">
      <c r="E555" s="16"/>
      <c r="F555" s="16"/>
      <c r="H555" s="16"/>
      <c r="AG555" s="80"/>
      <c r="AH555" s="80"/>
      <c r="AI555" s="80"/>
    </row>
    <row r="556" spans="5:35" x14ac:dyDescent="0.25">
      <c r="E556" s="16"/>
      <c r="F556" s="16"/>
      <c r="H556" s="16"/>
      <c r="AG556" s="80"/>
      <c r="AH556" s="80"/>
      <c r="AI556" s="80"/>
    </row>
    <row r="557" spans="5:35" x14ac:dyDescent="0.25">
      <c r="E557" s="16"/>
      <c r="F557" s="16"/>
      <c r="H557" s="16"/>
      <c r="AG557" s="80"/>
      <c r="AH557" s="80"/>
      <c r="AI557" s="80"/>
    </row>
    <row r="558" spans="5:35" x14ac:dyDescent="0.25">
      <c r="E558" s="16"/>
      <c r="F558" s="16"/>
      <c r="H558" s="16"/>
      <c r="AG558" s="80"/>
      <c r="AH558" s="80"/>
      <c r="AI558" s="80"/>
    </row>
    <row r="559" spans="5:35" x14ac:dyDescent="0.25">
      <c r="E559" s="16"/>
      <c r="F559" s="16"/>
      <c r="H559" s="16"/>
      <c r="AG559" s="80"/>
      <c r="AH559" s="80"/>
      <c r="AI559" s="80"/>
    </row>
    <row r="560" spans="5:35" x14ac:dyDescent="0.25">
      <c r="E560" s="16"/>
      <c r="F560" s="16"/>
      <c r="H560" s="16"/>
      <c r="AG560" s="80"/>
      <c r="AH560" s="80"/>
      <c r="AI560" s="80"/>
    </row>
    <row r="561" spans="5:35" x14ac:dyDescent="0.25">
      <c r="E561" s="16"/>
      <c r="F561" s="16"/>
      <c r="H561" s="16"/>
      <c r="AG561" s="80"/>
      <c r="AH561" s="80"/>
      <c r="AI561" s="80"/>
    </row>
    <row r="562" spans="5:35" x14ac:dyDescent="0.25">
      <c r="E562" s="16"/>
      <c r="F562" s="16"/>
      <c r="H562" s="16"/>
      <c r="AG562" s="80"/>
      <c r="AH562" s="80"/>
      <c r="AI562" s="80"/>
    </row>
    <row r="563" spans="5:35" x14ac:dyDescent="0.25">
      <c r="E563" s="16"/>
      <c r="F563" s="16"/>
      <c r="H563" s="16"/>
      <c r="AG563" s="80"/>
      <c r="AH563" s="80"/>
      <c r="AI563" s="80"/>
    </row>
    <row r="564" spans="5:35" x14ac:dyDescent="0.25">
      <c r="E564" s="16"/>
      <c r="F564" s="16"/>
      <c r="H564" s="16"/>
      <c r="AG564" s="80"/>
      <c r="AH564" s="80"/>
      <c r="AI564" s="80"/>
    </row>
    <row r="565" spans="5:35" x14ac:dyDescent="0.25">
      <c r="E565" s="16"/>
      <c r="F565" s="16"/>
      <c r="H565" s="16"/>
      <c r="AG565" s="80"/>
      <c r="AH565" s="80"/>
      <c r="AI565" s="80"/>
    </row>
    <row r="566" spans="5:35" x14ac:dyDescent="0.25">
      <c r="E566" s="16"/>
      <c r="F566" s="16"/>
      <c r="H566" s="16"/>
      <c r="AG566" s="80"/>
      <c r="AH566" s="80"/>
      <c r="AI566" s="80"/>
    </row>
    <row r="567" spans="5:35" x14ac:dyDescent="0.25">
      <c r="E567" s="16"/>
      <c r="F567" s="16"/>
      <c r="H567" s="16"/>
      <c r="AG567" s="80"/>
      <c r="AH567" s="80"/>
      <c r="AI567" s="80"/>
    </row>
    <row r="568" spans="5:35" x14ac:dyDescent="0.25">
      <c r="E568" s="16"/>
      <c r="F568" s="16"/>
      <c r="H568" s="16"/>
      <c r="AG568" s="80"/>
      <c r="AH568" s="80"/>
      <c r="AI568" s="80"/>
    </row>
    <row r="569" spans="5:35" x14ac:dyDescent="0.25">
      <c r="E569" s="16"/>
      <c r="F569" s="16"/>
      <c r="H569" s="16"/>
      <c r="AG569" s="80"/>
      <c r="AH569" s="80"/>
      <c r="AI569" s="80"/>
    </row>
    <row r="570" spans="5:35" x14ac:dyDescent="0.25">
      <c r="E570" s="16"/>
      <c r="F570" s="16"/>
      <c r="H570" s="16"/>
      <c r="AG570" s="80"/>
      <c r="AH570" s="80"/>
      <c r="AI570" s="80"/>
    </row>
    <row r="571" spans="5:35" x14ac:dyDescent="0.25">
      <c r="E571" s="16"/>
      <c r="F571" s="16"/>
      <c r="H571" s="16"/>
      <c r="AG571" s="80"/>
      <c r="AH571" s="80"/>
      <c r="AI571" s="80"/>
    </row>
    <row r="572" spans="5:35" x14ac:dyDescent="0.25">
      <c r="E572" s="16"/>
      <c r="F572" s="16"/>
      <c r="H572" s="16"/>
      <c r="AG572" s="80"/>
      <c r="AH572" s="80"/>
      <c r="AI572" s="80"/>
    </row>
    <row r="573" spans="5:35" x14ac:dyDescent="0.25">
      <c r="E573" s="16"/>
      <c r="F573" s="16"/>
      <c r="H573" s="16"/>
      <c r="AG573" s="80"/>
      <c r="AH573" s="80"/>
      <c r="AI573" s="80"/>
    </row>
    <row r="574" spans="5:35" x14ac:dyDescent="0.25">
      <c r="E574" s="16"/>
      <c r="F574" s="16"/>
      <c r="H574" s="16"/>
      <c r="AG574" s="80"/>
      <c r="AH574" s="80"/>
      <c r="AI574" s="80"/>
    </row>
    <row r="575" spans="5:35" x14ac:dyDescent="0.25">
      <c r="E575" s="16"/>
      <c r="F575" s="16"/>
      <c r="H575" s="16"/>
      <c r="AG575" s="80"/>
      <c r="AH575" s="80"/>
      <c r="AI575" s="80"/>
    </row>
    <row r="576" spans="5:35" x14ac:dyDescent="0.25">
      <c r="E576" s="16"/>
      <c r="F576" s="16"/>
      <c r="H576" s="16"/>
      <c r="AG576" s="80"/>
      <c r="AH576" s="80"/>
      <c r="AI576" s="80"/>
    </row>
    <row r="577" spans="5:35" x14ac:dyDescent="0.25">
      <c r="E577" s="16"/>
      <c r="F577" s="16"/>
      <c r="H577" s="16"/>
      <c r="AG577" s="80"/>
      <c r="AH577" s="80"/>
      <c r="AI577" s="80"/>
    </row>
    <row r="578" spans="5:35" x14ac:dyDescent="0.25">
      <c r="E578" s="16"/>
      <c r="F578" s="16"/>
      <c r="H578" s="16"/>
      <c r="AG578" s="80"/>
      <c r="AH578" s="80"/>
      <c r="AI578" s="80"/>
    </row>
    <row r="579" spans="5:35" x14ac:dyDescent="0.25">
      <c r="E579" s="16"/>
      <c r="F579" s="16"/>
      <c r="H579" s="16"/>
      <c r="AG579" s="80"/>
      <c r="AH579" s="80"/>
      <c r="AI579" s="80"/>
    </row>
    <row r="580" spans="5:35" x14ac:dyDescent="0.25">
      <c r="E580" s="16"/>
      <c r="F580" s="16"/>
      <c r="H580" s="16"/>
      <c r="AG580" s="80"/>
      <c r="AH580" s="80"/>
      <c r="AI580" s="80"/>
    </row>
    <row r="581" spans="5:35" x14ac:dyDescent="0.25">
      <c r="E581" s="16"/>
      <c r="F581" s="16"/>
      <c r="H581" s="16"/>
      <c r="AG581" s="80"/>
      <c r="AH581" s="80"/>
      <c r="AI581" s="80"/>
    </row>
    <row r="582" spans="5:35" x14ac:dyDescent="0.25">
      <c r="E582" s="16"/>
      <c r="F582" s="16"/>
      <c r="H582" s="16"/>
      <c r="AG582" s="80"/>
      <c r="AH582" s="80"/>
      <c r="AI582" s="80"/>
    </row>
    <row r="583" spans="5:35" x14ac:dyDescent="0.25">
      <c r="E583" s="16"/>
      <c r="F583" s="16"/>
      <c r="H583" s="16"/>
      <c r="AG583" s="80"/>
      <c r="AH583" s="80"/>
      <c r="AI583" s="80"/>
    </row>
    <row r="584" spans="5:35" x14ac:dyDescent="0.25">
      <c r="E584" s="16"/>
      <c r="F584" s="16"/>
      <c r="H584" s="16"/>
      <c r="AG584" s="80"/>
      <c r="AH584" s="80"/>
      <c r="AI584" s="80"/>
    </row>
    <row r="585" spans="5:35" x14ac:dyDescent="0.25">
      <c r="E585" s="16"/>
      <c r="F585" s="16"/>
      <c r="H585" s="16"/>
      <c r="AG585" s="80"/>
      <c r="AH585" s="80"/>
      <c r="AI585" s="80"/>
    </row>
    <row r="586" spans="5:35" x14ac:dyDescent="0.25">
      <c r="E586" s="16"/>
      <c r="F586" s="16"/>
      <c r="H586" s="16"/>
      <c r="AG586" s="80"/>
      <c r="AH586" s="80"/>
      <c r="AI586" s="80"/>
    </row>
    <row r="587" spans="5:35" x14ac:dyDescent="0.25">
      <c r="E587" s="16"/>
      <c r="F587" s="16"/>
      <c r="H587" s="16"/>
      <c r="AG587" s="80"/>
      <c r="AH587" s="80"/>
      <c r="AI587" s="80"/>
    </row>
    <row r="588" spans="5:35" x14ac:dyDescent="0.25">
      <c r="E588" s="16"/>
      <c r="F588" s="16"/>
      <c r="H588" s="16"/>
      <c r="AG588" s="80"/>
      <c r="AH588" s="80"/>
      <c r="AI588" s="80"/>
    </row>
    <row r="589" spans="5:35" x14ac:dyDescent="0.25">
      <c r="E589" s="16"/>
      <c r="F589" s="16"/>
      <c r="H589" s="16"/>
      <c r="AG589" s="80"/>
      <c r="AH589" s="80"/>
      <c r="AI589" s="80"/>
    </row>
    <row r="590" spans="5:35" x14ac:dyDescent="0.25">
      <c r="E590" s="16"/>
      <c r="F590" s="16"/>
      <c r="H590" s="16"/>
      <c r="AG590" s="80"/>
      <c r="AH590" s="80"/>
      <c r="AI590" s="80"/>
    </row>
    <row r="591" spans="5:35" x14ac:dyDescent="0.25">
      <c r="E591" s="16"/>
      <c r="F591" s="16"/>
      <c r="H591" s="16"/>
      <c r="AG591" s="80"/>
      <c r="AH591" s="80"/>
      <c r="AI591" s="80"/>
    </row>
    <row r="592" spans="5:35" x14ac:dyDescent="0.25">
      <c r="E592" s="16"/>
      <c r="F592" s="16"/>
      <c r="H592" s="16"/>
      <c r="AG592" s="80"/>
      <c r="AH592" s="80"/>
      <c r="AI592" s="80"/>
    </row>
    <row r="593" spans="5:35" x14ac:dyDescent="0.25">
      <c r="E593" s="16"/>
      <c r="F593" s="16"/>
      <c r="H593" s="16"/>
      <c r="AG593" s="80"/>
      <c r="AH593" s="80"/>
      <c r="AI593" s="80"/>
    </row>
    <row r="594" spans="5:35" x14ac:dyDescent="0.25">
      <c r="E594" s="16"/>
      <c r="F594" s="16"/>
      <c r="H594" s="16"/>
      <c r="AG594" s="80"/>
      <c r="AH594" s="80"/>
      <c r="AI594" s="80"/>
    </row>
    <row r="595" spans="5:35" x14ac:dyDescent="0.25">
      <c r="E595" s="16"/>
      <c r="F595" s="16"/>
      <c r="H595" s="16"/>
      <c r="AG595" s="80"/>
      <c r="AH595" s="80"/>
      <c r="AI595" s="80"/>
    </row>
    <row r="596" spans="5:35" x14ac:dyDescent="0.25">
      <c r="E596" s="16"/>
      <c r="F596" s="16"/>
      <c r="H596" s="16"/>
      <c r="AG596" s="80"/>
      <c r="AH596" s="80"/>
      <c r="AI596" s="80"/>
    </row>
    <row r="597" spans="5:35" x14ac:dyDescent="0.25">
      <c r="E597" s="16"/>
      <c r="F597" s="16"/>
      <c r="H597" s="16"/>
      <c r="AG597" s="80"/>
      <c r="AH597" s="80"/>
      <c r="AI597" s="80"/>
    </row>
    <row r="598" spans="5:35" x14ac:dyDescent="0.25">
      <c r="E598" s="16"/>
      <c r="F598" s="16"/>
      <c r="H598" s="16"/>
      <c r="AG598" s="80"/>
      <c r="AH598" s="80"/>
      <c r="AI598" s="80"/>
    </row>
    <row r="599" spans="5:35" x14ac:dyDescent="0.25">
      <c r="E599" s="16"/>
      <c r="F599" s="16"/>
      <c r="H599" s="16"/>
      <c r="AG599" s="80"/>
      <c r="AH599" s="80"/>
      <c r="AI599" s="80"/>
    </row>
    <row r="600" spans="5:35" x14ac:dyDescent="0.25">
      <c r="E600" s="16"/>
      <c r="F600" s="16"/>
      <c r="H600" s="16"/>
      <c r="AG600" s="80"/>
      <c r="AH600" s="80"/>
      <c r="AI600" s="80"/>
    </row>
    <row r="601" spans="5:35" x14ac:dyDescent="0.25">
      <c r="E601" s="16"/>
      <c r="F601" s="16"/>
      <c r="H601" s="16"/>
      <c r="AG601" s="80"/>
      <c r="AH601" s="80"/>
      <c r="AI601" s="80"/>
    </row>
    <row r="602" spans="5:35" x14ac:dyDescent="0.25">
      <c r="E602" s="16"/>
      <c r="F602" s="16"/>
      <c r="H602" s="16"/>
      <c r="AG602" s="80"/>
      <c r="AH602" s="80"/>
      <c r="AI602" s="80"/>
    </row>
    <row r="603" spans="5:35" x14ac:dyDescent="0.25">
      <c r="E603" s="16"/>
      <c r="F603" s="16"/>
      <c r="H603" s="16"/>
      <c r="AG603" s="80"/>
      <c r="AH603" s="80"/>
      <c r="AI603" s="80"/>
    </row>
    <row r="604" spans="5:35" x14ac:dyDescent="0.25">
      <c r="E604" s="16"/>
      <c r="F604" s="16"/>
      <c r="H604" s="16"/>
      <c r="AG604" s="80"/>
      <c r="AH604" s="80"/>
      <c r="AI604" s="80"/>
    </row>
    <row r="605" spans="5:35" x14ac:dyDescent="0.25">
      <c r="E605" s="16"/>
      <c r="F605" s="16"/>
      <c r="H605" s="16"/>
      <c r="AG605" s="80"/>
      <c r="AH605" s="80"/>
      <c r="AI605" s="80"/>
    </row>
    <row r="606" spans="5:35" x14ac:dyDescent="0.25">
      <c r="E606" s="16"/>
      <c r="F606" s="16"/>
      <c r="H606" s="16"/>
      <c r="AG606" s="80"/>
      <c r="AH606" s="80"/>
      <c r="AI606" s="80"/>
    </row>
    <row r="607" spans="5:35" x14ac:dyDescent="0.25">
      <c r="E607" s="16"/>
      <c r="F607" s="16"/>
      <c r="H607" s="16"/>
      <c r="AG607" s="80"/>
      <c r="AH607" s="80"/>
      <c r="AI607" s="80"/>
    </row>
    <row r="608" spans="5:35" x14ac:dyDescent="0.25">
      <c r="E608" s="16"/>
      <c r="F608" s="16"/>
      <c r="H608" s="16"/>
      <c r="AG608" s="80"/>
      <c r="AH608" s="80"/>
      <c r="AI608" s="80"/>
    </row>
    <row r="609" spans="5:35" x14ac:dyDescent="0.25">
      <c r="E609" s="16"/>
      <c r="F609" s="16"/>
      <c r="H609" s="16"/>
      <c r="AG609" s="80"/>
      <c r="AH609" s="80"/>
      <c r="AI609" s="80"/>
    </row>
    <row r="610" spans="5:35" x14ac:dyDescent="0.25">
      <c r="E610" s="16"/>
      <c r="F610" s="16"/>
      <c r="H610" s="16"/>
      <c r="AG610" s="80"/>
      <c r="AH610" s="80"/>
      <c r="AI610" s="80"/>
    </row>
    <row r="611" spans="5:35" x14ac:dyDescent="0.25">
      <c r="E611" s="16"/>
      <c r="F611" s="16"/>
      <c r="H611" s="16"/>
      <c r="AG611" s="80"/>
      <c r="AH611" s="80"/>
      <c r="AI611" s="80"/>
    </row>
    <row r="612" spans="5:35" x14ac:dyDescent="0.25">
      <c r="E612" s="16"/>
      <c r="F612" s="16"/>
      <c r="H612" s="16"/>
      <c r="AG612" s="80"/>
      <c r="AH612" s="80"/>
      <c r="AI612" s="80"/>
    </row>
    <row r="613" spans="5:35" x14ac:dyDescent="0.25">
      <c r="E613" s="16"/>
      <c r="F613" s="16"/>
      <c r="H613" s="16"/>
      <c r="AG613" s="80"/>
      <c r="AH613" s="80"/>
      <c r="AI613" s="80"/>
    </row>
    <row r="614" spans="5:35" x14ac:dyDescent="0.25">
      <c r="E614" s="16"/>
      <c r="F614" s="16"/>
      <c r="H614" s="16"/>
      <c r="AG614" s="80"/>
      <c r="AH614" s="80"/>
      <c r="AI614" s="80"/>
    </row>
    <row r="615" spans="5:35" x14ac:dyDescent="0.25">
      <c r="E615" s="16"/>
      <c r="F615" s="16"/>
      <c r="H615" s="16"/>
      <c r="AG615" s="80"/>
      <c r="AH615" s="80"/>
      <c r="AI615" s="80"/>
    </row>
    <row r="616" spans="5:35" x14ac:dyDescent="0.25">
      <c r="E616" s="16"/>
      <c r="F616" s="16"/>
      <c r="H616" s="16"/>
      <c r="AG616" s="80"/>
      <c r="AH616" s="80"/>
      <c r="AI616" s="80"/>
    </row>
    <row r="617" spans="5:35" x14ac:dyDescent="0.25">
      <c r="E617" s="16"/>
      <c r="F617" s="16"/>
      <c r="H617" s="16"/>
      <c r="AG617" s="80"/>
      <c r="AH617" s="80"/>
      <c r="AI617" s="80"/>
    </row>
    <row r="618" spans="5:35" x14ac:dyDescent="0.25">
      <c r="E618" s="16"/>
      <c r="F618" s="16"/>
      <c r="H618" s="16"/>
      <c r="AG618" s="80"/>
      <c r="AH618" s="80"/>
      <c r="AI618" s="80"/>
    </row>
    <row r="619" spans="5:35" x14ac:dyDescent="0.25">
      <c r="E619" s="16"/>
      <c r="F619" s="16"/>
      <c r="H619" s="16"/>
      <c r="AG619" s="80"/>
      <c r="AH619" s="80"/>
      <c r="AI619" s="80"/>
    </row>
    <row r="620" spans="5:35" x14ac:dyDescent="0.25">
      <c r="E620" s="16"/>
      <c r="F620" s="16"/>
      <c r="H620" s="16"/>
      <c r="AG620" s="80"/>
      <c r="AH620" s="80"/>
      <c r="AI620" s="80"/>
    </row>
    <row r="621" spans="5:35" x14ac:dyDescent="0.25">
      <c r="E621" s="16"/>
      <c r="F621" s="16"/>
      <c r="H621" s="16"/>
      <c r="AG621" s="80"/>
      <c r="AH621" s="80"/>
      <c r="AI621" s="80"/>
    </row>
    <row r="622" spans="5:35" x14ac:dyDescent="0.25">
      <c r="E622" s="16"/>
      <c r="F622" s="16"/>
      <c r="H622" s="16"/>
      <c r="AG622" s="80"/>
      <c r="AH622" s="80"/>
      <c r="AI622" s="80"/>
    </row>
    <row r="623" spans="5:35" x14ac:dyDescent="0.25">
      <c r="E623" s="16"/>
      <c r="F623" s="16"/>
      <c r="H623" s="16"/>
      <c r="AG623" s="80"/>
      <c r="AH623" s="80"/>
      <c r="AI623" s="80"/>
    </row>
    <row r="624" spans="5:35" x14ac:dyDescent="0.25">
      <c r="E624" s="16"/>
      <c r="F624" s="16"/>
      <c r="H624" s="16"/>
      <c r="AG624" s="80"/>
      <c r="AH624" s="80"/>
      <c r="AI624" s="80"/>
    </row>
    <row r="625" spans="5:35" x14ac:dyDescent="0.25">
      <c r="E625" s="16"/>
      <c r="F625" s="16"/>
      <c r="H625" s="16"/>
      <c r="AG625" s="80"/>
      <c r="AH625" s="80"/>
      <c r="AI625" s="80"/>
    </row>
    <row r="626" spans="5:35" x14ac:dyDescent="0.25">
      <c r="E626" s="16"/>
      <c r="F626" s="16"/>
      <c r="H626" s="16"/>
      <c r="AG626" s="80"/>
      <c r="AH626" s="80"/>
      <c r="AI626" s="80"/>
    </row>
    <row r="627" spans="5:35" x14ac:dyDescent="0.25">
      <c r="E627" s="16"/>
      <c r="F627" s="16"/>
      <c r="H627" s="16"/>
      <c r="AG627" s="80"/>
      <c r="AH627" s="80"/>
      <c r="AI627" s="80"/>
    </row>
    <row r="628" spans="5:35" x14ac:dyDescent="0.25">
      <c r="E628" s="16"/>
      <c r="F628" s="16"/>
      <c r="H628" s="16"/>
      <c r="AG628" s="80"/>
      <c r="AH628" s="80"/>
      <c r="AI628" s="80"/>
    </row>
    <row r="629" spans="5:35" x14ac:dyDescent="0.25">
      <c r="E629" s="16"/>
      <c r="F629" s="16"/>
      <c r="H629" s="16"/>
      <c r="AG629" s="80"/>
      <c r="AH629" s="80"/>
      <c r="AI629" s="80"/>
    </row>
    <row r="630" spans="5:35" x14ac:dyDescent="0.25">
      <c r="E630" s="16"/>
      <c r="F630" s="16"/>
      <c r="H630" s="16"/>
      <c r="AG630" s="80"/>
      <c r="AH630" s="80"/>
      <c r="AI630" s="80"/>
    </row>
    <row r="631" spans="5:35" x14ac:dyDescent="0.25">
      <c r="E631" s="16"/>
      <c r="F631" s="16"/>
      <c r="H631" s="16"/>
      <c r="AG631" s="80"/>
      <c r="AH631" s="80"/>
      <c r="AI631" s="80"/>
    </row>
    <row r="632" spans="5:35" x14ac:dyDescent="0.25">
      <c r="E632" s="16"/>
      <c r="F632" s="16"/>
      <c r="H632" s="16"/>
      <c r="AG632" s="80"/>
      <c r="AH632" s="80"/>
      <c r="AI632" s="80"/>
    </row>
    <row r="633" spans="5:35" x14ac:dyDescent="0.25">
      <c r="E633" s="16"/>
      <c r="F633" s="16"/>
      <c r="H633" s="16"/>
      <c r="AG633" s="80"/>
      <c r="AH633" s="80"/>
      <c r="AI633" s="80"/>
    </row>
    <row r="634" spans="5:35" x14ac:dyDescent="0.25">
      <c r="E634" s="16"/>
      <c r="F634" s="16"/>
      <c r="H634" s="16"/>
      <c r="AG634" s="80"/>
      <c r="AH634" s="80"/>
      <c r="AI634" s="80"/>
    </row>
    <row r="635" spans="5:35" x14ac:dyDescent="0.25">
      <c r="E635" s="16"/>
      <c r="F635" s="16"/>
      <c r="H635" s="16"/>
      <c r="AG635" s="80"/>
      <c r="AH635" s="80"/>
      <c r="AI635" s="80"/>
    </row>
    <row r="636" spans="5:35" x14ac:dyDescent="0.25">
      <c r="E636" s="16"/>
      <c r="F636" s="16"/>
      <c r="H636" s="16"/>
      <c r="AG636" s="80"/>
      <c r="AH636" s="80"/>
      <c r="AI636" s="80"/>
    </row>
    <row r="637" spans="5:35" x14ac:dyDescent="0.25">
      <c r="E637" s="16"/>
      <c r="F637" s="16"/>
      <c r="H637" s="16"/>
      <c r="AG637" s="80"/>
      <c r="AH637" s="80"/>
      <c r="AI637" s="80"/>
    </row>
    <row r="638" spans="5:35" x14ac:dyDescent="0.25">
      <c r="E638" s="16"/>
      <c r="F638" s="16"/>
      <c r="H638" s="16"/>
      <c r="AG638" s="80"/>
      <c r="AH638" s="80"/>
      <c r="AI638" s="80"/>
    </row>
    <row r="639" spans="5:35" x14ac:dyDescent="0.25">
      <c r="E639" s="16"/>
      <c r="F639" s="16"/>
      <c r="H639" s="16"/>
      <c r="AG639" s="80"/>
      <c r="AH639" s="80"/>
      <c r="AI639" s="80"/>
    </row>
    <row r="640" spans="5:35" x14ac:dyDescent="0.25">
      <c r="E640" s="16"/>
      <c r="F640" s="16"/>
      <c r="H640" s="16"/>
      <c r="AG640" s="80"/>
      <c r="AH640" s="80"/>
      <c r="AI640" s="80"/>
    </row>
    <row r="641" spans="5:35" x14ac:dyDescent="0.25">
      <c r="E641" s="16"/>
      <c r="F641" s="16"/>
      <c r="H641" s="16"/>
      <c r="AG641" s="80"/>
      <c r="AH641" s="80"/>
      <c r="AI641" s="80"/>
    </row>
    <row r="642" spans="5:35" x14ac:dyDescent="0.25">
      <c r="E642" s="16"/>
      <c r="F642" s="16"/>
      <c r="H642" s="16"/>
      <c r="AG642" s="80"/>
      <c r="AH642" s="80"/>
      <c r="AI642" s="80"/>
    </row>
    <row r="643" spans="5:35" x14ac:dyDescent="0.25">
      <c r="E643" s="16"/>
      <c r="F643" s="16"/>
      <c r="H643" s="16"/>
      <c r="AG643" s="80"/>
      <c r="AH643" s="80"/>
      <c r="AI643" s="80"/>
    </row>
    <row r="644" spans="5:35" x14ac:dyDescent="0.25">
      <c r="E644" s="16"/>
      <c r="F644" s="16"/>
      <c r="H644" s="16"/>
      <c r="AG644" s="80"/>
      <c r="AH644" s="80"/>
      <c r="AI644" s="80"/>
    </row>
    <row r="645" spans="5:35" x14ac:dyDescent="0.25">
      <c r="E645" s="16"/>
      <c r="F645" s="16"/>
      <c r="H645" s="16"/>
      <c r="AG645" s="80"/>
      <c r="AH645" s="80"/>
      <c r="AI645" s="80"/>
    </row>
    <row r="646" spans="5:35" x14ac:dyDescent="0.25">
      <c r="E646" s="16"/>
      <c r="F646" s="16"/>
      <c r="H646" s="16"/>
      <c r="AG646" s="80"/>
      <c r="AH646" s="80"/>
      <c r="AI646" s="80"/>
    </row>
    <row r="647" spans="5:35" x14ac:dyDescent="0.25">
      <c r="E647" s="16"/>
      <c r="F647" s="16"/>
      <c r="H647" s="16"/>
      <c r="AG647" s="80"/>
      <c r="AH647" s="80"/>
      <c r="AI647" s="80"/>
    </row>
    <row r="648" spans="5:35" x14ac:dyDescent="0.25">
      <c r="E648" s="16"/>
      <c r="F648" s="16"/>
      <c r="H648" s="16"/>
      <c r="AG648" s="80"/>
      <c r="AH648" s="80"/>
      <c r="AI648" s="80"/>
    </row>
    <row r="649" spans="5:35" x14ac:dyDescent="0.25">
      <c r="E649" s="16"/>
      <c r="F649" s="16"/>
      <c r="H649" s="16"/>
      <c r="AG649" s="80"/>
      <c r="AH649" s="80"/>
      <c r="AI649" s="80"/>
    </row>
    <row r="650" spans="5:35" x14ac:dyDescent="0.25">
      <c r="E650" s="16"/>
      <c r="F650" s="16"/>
      <c r="H650" s="16"/>
      <c r="AG650" s="80"/>
      <c r="AH650" s="80"/>
      <c r="AI650" s="80"/>
    </row>
    <row r="651" spans="5:35" x14ac:dyDescent="0.25">
      <c r="E651" s="16"/>
      <c r="F651" s="16"/>
      <c r="H651" s="16"/>
      <c r="AG651" s="80"/>
      <c r="AH651" s="80"/>
      <c r="AI651" s="80"/>
    </row>
    <row r="652" spans="5:35" x14ac:dyDescent="0.25">
      <c r="E652" s="16"/>
      <c r="F652" s="16"/>
      <c r="H652" s="16"/>
      <c r="AG652" s="80"/>
      <c r="AH652" s="80"/>
      <c r="AI652" s="80"/>
    </row>
    <row r="653" spans="5:35" x14ac:dyDescent="0.25">
      <c r="E653" s="16"/>
      <c r="F653" s="16"/>
      <c r="H653" s="16"/>
      <c r="AG653" s="80"/>
      <c r="AH653" s="80"/>
      <c r="AI653" s="80"/>
    </row>
    <row r="654" spans="5:35" x14ac:dyDescent="0.25">
      <c r="E654" s="16"/>
      <c r="F654" s="16"/>
      <c r="H654" s="16"/>
      <c r="AG654" s="80"/>
      <c r="AH654" s="80"/>
      <c r="AI654" s="80"/>
    </row>
    <row r="655" spans="5:35" x14ac:dyDescent="0.25">
      <c r="E655" s="16"/>
      <c r="F655" s="16"/>
      <c r="H655" s="16"/>
      <c r="AG655" s="80"/>
      <c r="AH655" s="80"/>
      <c r="AI655" s="80"/>
    </row>
    <row r="656" spans="5:35" x14ac:dyDescent="0.25">
      <c r="E656" s="16"/>
      <c r="F656" s="16"/>
      <c r="H656" s="16"/>
      <c r="AG656" s="80"/>
      <c r="AH656" s="80"/>
      <c r="AI656" s="80"/>
    </row>
    <row r="657" spans="5:35" x14ac:dyDescent="0.25">
      <c r="E657" s="16"/>
      <c r="F657" s="16"/>
      <c r="H657" s="16"/>
      <c r="AG657" s="80"/>
      <c r="AH657" s="80"/>
      <c r="AI657" s="80"/>
    </row>
    <row r="658" spans="5:35" x14ac:dyDescent="0.25">
      <c r="E658" s="16"/>
      <c r="F658" s="16"/>
      <c r="H658" s="16"/>
      <c r="AG658" s="80"/>
      <c r="AH658" s="80"/>
      <c r="AI658" s="80"/>
    </row>
    <row r="659" spans="5:35" x14ac:dyDescent="0.25">
      <c r="E659" s="16"/>
      <c r="F659" s="16"/>
      <c r="H659" s="16"/>
      <c r="AG659" s="80"/>
      <c r="AH659" s="80"/>
      <c r="AI659" s="80"/>
    </row>
    <row r="660" spans="5:35" x14ac:dyDescent="0.25">
      <c r="E660" s="16"/>
      <c r="F660" s="16"/>
      <c r="H660" s="16"/>
      <c r="AG660" s="80"/>
      <c r="AH660" s="80"/>
      <c r="AI660" s="80"/>
    </row>
    <row r="661" spans="5:35" x14ac:dyDescent="0.25">
      <c r="E661" s="16"/>
      <c r="F661" s="16"/>
      <c r="H661" s="16"/>
      <c r="AG661" s="80"/>
      <c r="AH661" s="80"/>
      <c r="AI661" s="80"/>
    </row>
    <row r="662" spans="5:35" x14ac:dyDescent="0.25">
      <c r="E662" s="16"/>
      <c r="F662" s="16"/>
      <c r="H662" s="16"/>
      <c r="AG662" s="80"/>
      <c r="AH662" s="80"/>
      <c r="AI662" s="80"/>
    </row>
    <row r="663" spans="5:35" x14ac:dyDescent="0.25">
      <c r="E663" s="16"/>
      <c r="F663" s="16"/>
      <c r="H663" s="16"/>
      <c r="AG663" s="80"/>
      <c r="AH663" s="80"/>
      <c r="AI663" s="80"/>
    </row>
    <row r="664" spans="5:35" x14ac:dyDescent="0.25">
      <c r="E664" s="16"/>
      <c r="F664" s="16"/>
      <c r="H664" s="16"/>
      <c r="AG664" s="80"/>
      <c r="AH664" s="80"/>
      <c r="AI664" s="80"/>
    </row>
    <row r="665" spans="5:35" x14ac:dyDescent="0.25">
      <c r="E665" s="16"/>
      <c r="F665" s="16"/>
      <c r="H665" s="16"/>
      <c r="AG665" s="80"/>
      <c r="AH665" s="80"/>
      <c r="AI665" s="80"/>
    </row>
    <row r="666" spans="5:35" x14ac:dyDescent="0.25">
      <c r="E666" s="16"/>
      <c r="F666" s="16"/>
      <c r="H666" s="16"/>
      <c r="AG666" s="80"/>
      <c r="AH666" s="80"/>
      <c r="AI666" s="80"/>
    </row>
    <row r="667" spans="5:35" x14ac:dyDescent="0.25">
      <c r="E667" s="16"/>
      <c r="F667" s="16"/>
      <c r="H667" s="16"/>
      <c r="AG667" s="80"/>
      <c r="AH667" s="80"/>
      <c r="AI667" s="80"/>
    </row>
    <row r="668" spans="5:35" x14ac:dyDescent="0.25">
      <c r="E668" s="16"/>
      <c r="F668" s="16"/>
      <c r="H668" s="16"/>
      <c r="AG668" s="80"/>
      <c r="AH668" s="80"/>
      <c r="AI668" s="80"/>
    </row>
    <row r="669" spans="5:35" x14ac:dyDescent="0.25">
      <c r="E669" s="16"/>
      <c r="F669" s="16"/>
      <c r="H669" s="16"/>
      <c r="AG669" s="80"/>
      <c r="AH669" s="80"/>
      <c r="AI669" s="80"/>
    </row>
    <row r="670" spans="5:35" x14ac:dyDescent="0.25">
      <c r="E670" s="16"/>
      <c r="F670" s="16"/>
      <c r="H670" s="16"/>
      <c r="AG670" s="80"/>
      <c r="AH670" s="80"/>
      <c r="AI670" s="80"/>
    </row>
    <row r="671" spans="5:35" x14ac:dyDescent="0.25">
      <c r="E671" s="16"/>
      <c r="F671" s="16"/>
      <c r="H671" s="16"/>
      <c r="AG671" s="80"/>
      <c r="AH671" s="80"/>
      <c r="AI671" s="80"/>
    </row>
    <row r="672" spans="5:35" x14ac:dyDescent="0.25">
      <c r="E672" s="16"/>
      <c r="F672" s="16"/>
      <c r="H672" s="16"/>
      <c r="AG672" s="80"/>
      <c r="AH672" s="80"/>
      <c r="AI672" s="80"/>
    </row>
    <row r="673" spans="5:35" x14ac:dyDescent="0.25">
      <c r="E673" s="16"/>
      <c r="F673" s="16"/>
      <c r="H673" s="16"/>
      <c r="AG673" s="80"/>
      <c r="AH673" s="80"/>
      <c r="AI673" s="80"/>
    </row>
    <row r="674" spans="5:35" x14ac:dyDescent="0.25">
      <c r="E674" s="16"/>
      <c r="F674" s="16"/>
      <c r="H674" s="16"/>
      <c r="AG674" s="80"/>
      <c r="AH674" s="80"/>
      <c r="AI674" s="80"/>
    </row>
    <row r="675" spans="5:35" x14ac:dyDescent="0.25">
      <c r="E675" s="16"/>
      <c r="F675" s="16"/>
      <c r="H675" s="16"/>
      <c r="AG675" s="80"/>
      <c r="AH675" s="80"/>
      <c r="AI675" s="80"/>
    </row>
    <row r="676" spans="5:35" x14ac:dyDescent="0.25">
      <c r="E676" s="16"/>
      <c r="F676" s="16"/>
      <c r="H676" s="16"/>
      <c r="AG676" s="80"/>
      <c r="AH676" s="80"/>
      <c r="AI676" s="80"/>
    </row>
    <row r="677" spans="5:35" x14ac:dyDescent="0.25">
      <c r="E677" s="16"/>
      <c r="F677" s="16"/>
      <c r="H677" s="16"/>
      <c r="AG677" s="80"/>
      <c r="AH677" s="80"/>
      <c r="AI677" s="80"/>
    </row>
    <row r="678" spans="5:35" x14ac:dyDescent="0.25">
      <c r="E678" s="16"/>
      <c r="F678" s="16"/>
      <c r="H678" s="16"/>
      <c r="AG678" s="80"/>
      <c r="AH678" s="80"/>
      <c r="AI678" s="80"/>
    </row>
    <row r="679" spans="5:35" x14ac:dyDescent="0.25">
      <c r="E679" s="16"/>
      <c r="F679" s="16"/>
      <c r="H679" s="16"/>
      <c r="AG679" s="80"/>
      <c r="AH679" s="80"/>
      <c r="AI679" s="80"/>
    </row>
    <row r="680" spans="5:35" x14ac:dyDescent="0.25">
      <c r="E680" s="16"/>
      <c r="F680" s="16"/>
      <c r="H680" s="16"/>
      <c r="AG680" s="80"/>
      <c r="AH680" s="80"/>
      <c r="AI680" s="80"/>
    </row>
    <row r="681" spans="5:35" x14ac:dyDescent="0.25">
      <c r="E681" s="16"/>
      <c r="F681" s="16"/>
      <c r="H681" s="16"/>
      <c r="AG681" s="80"/>
      <c r="AH681" s="80"/>
      <c r="AI681" s="80"/>
    </row>
    <row r="682" spans="5:35" x14ac:dyDescent="0.25">
      <c r="E682" s="16"/>
      <c r="F682" s="16"/>
      <c r="H682" s="16"/>
      <c r="AG682" s="80"/>
      <c r="AH682" s="80"/>
      <c r="AI682" s="80"/>
    </row>
    <row r="683" spans="5:35" x14ac:dyDescent="0.25">
      <c r="E683" s="16"/>
      <c r="F683" s="16"/>
      <c r="H683" s="16"/>
      <c r="AG683" s="80"/>
      <c r="AH683" s="80"/>
      <c r="AI683" s="80"/>
    </row>
    <row r="684" spans="5:35" x14ac:dyDescent="0.25">
      <c r="E684" s="16"/>
      <c r="F684" s="16"/>
      <c r="H684" s="16"/>
      <c r="AG684" s="80"/>
      <c r="AH684" s="80"/>
      <c r="AI684" s="80"/>
    </row>
    <row r="685" spans="5:35" x14ac:dyDescent="0.25">
      <c r="E685" s="16"/>
      <c r="F685" s="16"/>
      <c r="H685" s="16"/>
      <c r="AG685" s="80"/>
      <c r="AH685" s="80"/>
      <c r="AI685" s="80"/>
    </row>
    <row r="686" spans="5:35" x14ac:dyDescent="0.25">
      <c r="E686" s="16"/>
      <c r="F686" s="16"/>
      <c r="H686" s="16"/>
      <c r="AG686" s="80"/>
      <c r="AH686" s="80"/>
      <c r="AI686" s="80"/>
    </row>
    <row r="687" spans="5:35" x14ac:dyDescent="0.25">
      <c r="E687" s="16"/>
      <c r="F687" s="16"/>
      <c r="H687" s="16"/>
      <c r="AG687" s="80"/>
      <c r="AH687" s="80"/>
      <c r="AI687" s="80"/>
    </row>
    <row r="688" spans="5:35" x14ac:dyDescent="0.25">
      <c r="E688" s="16"/>
      <c r="F688" s="16"/>
      <c r="H688" s="16"/>
      <c r="AG688" s="80"/>
      <c r="AH688" s="80"/>
      <c r="AI688" s="80"/>
    </row>
    <row r="689" spans="5:35" x14ac:dyDescent="0.25">
      <c r="E689" s="16"/>
      <c r="F689" s="16"/>
      <c r="H689" s="16"/>
      <c r="AG689" s="80"/>
      <c r="AH689" s="80"/>
      <c r="AI689" s="80"/>
    </row>
    <row r="690" spans="5:35" x14ac:dyDescent="0.25">
      <c r="E690" s="16"/>
      <c r="F690" s="16"/>
      <c r="H690" s="16"/>
      <c r="AG690" s="80"/>
      <c r="AH690" s="80"/>
      <c r="AI690" s="80"/>
    </row>
    <row r="691" spans="5:35" x14ac:dyDescent="0.25">
      <c r="E691" s="16"/>
      <c r="F691" s="16"/>
      <c r="H691" s="16"/>
      <c r="AG691" s="80"/>
      <c r="AH691" s="80"/>
      <c r="AI691" s="80"/>
    </row>
    <row r="692" spans="5:35" x14ac:dyDescent="0.25">
      <c r="E692" s="16"/>
      <c r="F692" s="16"/>
      <c r="H692" s="16"/>
      <c r="AG692" s="80"/>
      <c r="AH692" s="80"/>
      <c r="AI692" s="80"/>
    </row>
    <row r="693" spans="5:35" x14ac:dyDescent="0.25">
      <c r="E693" s="16"/>
      <c r="F693" s="16"/>
      <c r="H693" s="16"/>
      <c r="AG693" s="80"/>
      <c r="AH693" s="80"/>
      <c r="AI693" s="80"/>
    </row>
    <row r="694" spans="5:35" x14ac:dyDescent="0.25">
      <c r="E694" s="16"/>
      <c r="F694" s="16"/>
      <c r="H694" s="16"/>
      <c r="AG694" s="80"/>
      <c r="AH694" s="80"/>
      <c r="AI694" s="80"/>
    </row>
    <row r="695" spans="5:35" x14ac:dyDescent="0.25">
      <c r="E695" s="16"/>
      <c r="F695" s="16"/>
      <c r="H695" s="16"/>
      <c r="AG695" s="80"/>
      <c r="AH695" s="80"/>
      <c r="AI695" s="80"/>
    </row>
    <row r="696" spans="5:35" x14ac:dyDescent="0.25">
      <c r="E696" s="16"/>
      <c r="F696" s="16"/>
      <c r="H696" s="16"/>
      <c r="AG696" s="80"/>
      <c r="AH696" s="80"/>
      <c r="AI696" s="80"/>
    </row>
    <row r="697" spans="5:35" x14ac:dyDescent="0.25">
      <c r="E697" s="16"/>
      <c r="F697" s="16"/>
      <c r="H697" s="16"/>
      <c r="AG697" s="80"/>
      <c r="AH697" s="80"/>
      <c r="AI697" s="80"/>
    </row>
    <row r="698" spans="5:35" x14ac:dyDescent="0.25">
      <c r="E698" s="16"/>
      <c r="F698" s="16"/>
      <c r="H698" s="16"/>
      <c r="AG698" s="80"/>
      <c r="AH698" s="80"/>
      <c r="AI698" s="80"/>
    </row>
    <row r="699" spans="5:35" x14ac:dyDescent="0.25">
      <c r="E699" s="16"/>
      <c r="F699" s="16"/>
      <c r="H699" s="16"/>
      <c r="AG699" s="80"/>
      <c r="AH699" s="80"/>
      <c r="AI699" s="80"/>
    </row>
    <row r="700" spans="5:35" x14ac:dyDescent="0.25">
      <c r="E700" s="16"/>
      <c r="F700" s="16"/>
      <c r="H700" s="16"/>
      <c r="AG700" s="80"/>
      <c r="AH700" s="80"/>
      <c r="AI700" s="80"/>
    </row>
    <row r="701" spans="5:35" x14ac:dyDescent="0.25">
      <c r="E701" s="16"/>
      <c r="F701" s="16"/>
      <c r="H701" s="16"/>
      <c r="AG701" s="80"/>
      <c r="AH701" s="80"/>
      <c r="AI701" s="80"/>
    </row>
    <row r="702" spans="5:35" x14ac:dyDescent="0.25">
      <c r="E702" s="16"/>
      <c r="F702" s="16"/>
      <c r="H702" s="16"/>
      <c r="AG702" s="80"/>
      <c r="AH702" s="80"/>
      <c r="AI702" s="80"/>
    </row>
    <row r="703" spans="5:35" x14ac:dyDescent="0.25">
      <c r="E703" s="16"/>
      <c r="F703" s="16"/>
      <c r="H703" s="16"/>
      <c r="AG703" s="80"/>
      <c r="AH703" s="80"/>
      <c r="AI703" s="80"/>
    </row>
    <row r="704" spans="5:35" x14ac:dyDescent="0.25">
      <c r="E704" s="16"/>
      <c r="F704" s="16"/>
      <c r="H704" s="16"/>
      <c r="AG704" s="80"/>
      <c r="AH704" s="80"/>
      <c r="AI704" s="80"/>
    </row>
    <row r="705" spans="5:35" x14ac:dyDescent="0.25">
      <c r="E705" s="16"/>
      <c r="F705" s="16"/>
      <c r="H705" s="16"/>
      <c r="AG705" s="80"/>
      <c r="AH705" s="80"/>
      <c r="AI705" s="80"/>
    </row>
    <row r="706" spans="5:35" x14ac:dyDescent="0.25">
      <c r="E706" s="16"/>
      <c r="F706" s="16"/>
      <c r="H706" s="16"/>
      <c r="AG706" s="80"/>
      <c r="AH706" s="80"/>
      <c r="AI706" s="80"/>
    </row>
    <row r="707" spans="5:35" x14ac:dyDescent="0.25">
      <c r="E707" s="16"/>
      <c r="F707" s="16"/>
      <c r="H707" s="16"/>
      <c r="AG707" s="80"/>
      <c r="AH707" s="80"/>
      <c r="AI707" s="80"/>
    </row>
    <row r="708" spans="5:35" x14ac:dyDescent="0.25">
      <c r="E708" s="16"/>
      <c r="F708" s="16"/>
      <c r="H708" s="16"/>
      <c r="AG708" s="80"/>
      <c r="AH708" s="80"/>
      <c r="AI708" s="80"/>
    </row>
    <row r="709" spans="5:35" x14ac:dyDescent="0.25">
      <c r="E709" s="16"/>
      <c r="F709" s="16"/>
      <c r="H709" s="16"/>
      <c r="AG709" s="80"/>
      <c r="AH709" s="80"/>
      <c r="AI709" s="80"/>
    </row>
    <row r="710" spans="5:35" x14ac:dyDescent="0.25">
      <c r="E710" s="16"/>
      <c r="F710" s="16"/>
      <c r="H710" s="16"/>
      <c r="AG710" s="80"/>
      <c r="AH710" s="80"/>
      <c r="AI710" s="80"/>
    </row>
    <row r="711" spans="5:35" x14ac:dyDescent="0.25">
      <c r="E711" s="16"/>
      <c r="F711" s="16"/>
      <c r="H711" s="16"/>
      <c r="AG711" s="80"/>
      <c r="AH711" s="80"/>
      <c r="AI711" s="80"/>
    </row>
    <row r="712" spans="5:35" x14ac:dyDescent="0.25">
      <c r="E712" s="16"/>
      <c r="F712" s="16"/>
      <c r="H712" s="16"/>
      <c r="AG712" s="80"/>
      <c r="AH712" s="80"/>
      <c r="AI712" s="80"/>
    </row>
    <row r="713" spans="5:35" x14ac:dyDescent="0.25">
      <c r="E713" s="16"/>
      <c r="F713" s="16"/>
      <c r="H713" s="16"/>
      <c r="AG713" s="80"/>
      <c r="AH713" s="80"/>
      <c r="AI713" s="80"/>
    </row>
    <row r="714" spans="5:35" x14ac:dyDescent="0.25">
      <c r="E714" s="16"/>
      <c r="F714" s="16"/>
      <c r="H714" s="16"/>
      <c r="AG714" s="80"/>
      <c r="AH714" s="80"/>
      <c r="AI714" s="80"/>
    </row>
    <row r="715" spans="5:35" x14ac:dyDescent="0.25">
      <c r="E715" s="16"/>
      <c r="F715" s="16"/>
      <c r="H715" s="16"/>
      <c r="AG715" s="80"/>
      <c r="AH715" s="80"/>
      <c r="AI715" s="80"/>
    </row>
    <row r="716" spans="5:35" x14ac:dyDescent="0.25">
      <c r="E716" s="16"/>
      <c r="F716" s="16"/>
      <c r="H716" s="16"/>
      <c r="AG716" s="80"/>
      <c r="AH716" s="80"/>
      <c r="AI716" s="80"/>
    </row>
    <row r="717" spans="5:35" x14ac:dyDescent="0.25">
      <c r="E717" s="16"/>
      <c r="F717" s="16"/>
      <c r="H717" s="16"/>
      <c r="AG717" s="80"/>
      <c r="AH717" s="80"/>
      <c r="AI717" s="80"/>
    </row>
    <row r="718" spans="5:35" x14ac:dyDescent="0.25">
      <c r="E718" s="16"/>
      <c r="F718" s="16"/>
      <c r="H718" s="16"/>
      <c r="AG718" s="80"/>
      <c r="AH718" s="80"/>
      <c r="AI718" s="80"/>
    </row>
    <row r="719" spans="5:35" x14ac:dyDescent="0.25">
      <c r="E719" s="16"/>
      <c r="F719" s="16"/>
      <c r="H719" s="16"/>
      <c r="AG719" s="80"/>
      <c r="AH719" s="80"/>
      <c r="AI719" s="80"/>
    </row>
    <row r="720" spans="5:35" x14ac:dyDescent="0.25">
      <c r="E720" s="16"/>
      <c r="F720" s="16"/>
      <c r="H720" s="16"/>
      <c r="AG720" s="80"/>
      <c r="AH720" s="80"/>
      <c r="AI720" s="80"/>
    </row>
    <row r="721" spans="5:35" x14ac:dyDescent="0.25">
      <c r="E721" s="16"/>
      <c r="F721" s="16"/>
      <c r="H721" s="16"/>
      <c r="AG721" s="80"/>
      <c r="AH721" s="80"/>
      <c r="AI721" s="80"/>
    </row>
    <row r="722" spans="5:35" x14ac:dyDescent="0.25">
      <c r="E722" s="16"/>
      <c r="F722" s="16"/>
      <c r="H722" s="16"/>
      <c r="AG722" s="80"/>
      <c r="AH722" s="80"/>
      <c r="AI722" s="80"/>
    </row>
    <row r="723" spans="5:35" x14ac:dyDescent="0.25">
      <c r="E723" s="16"/>
      <c r="F723" s="16"/>
      <c r="H723" s="16"/>
      <c r="AG723" s="80"/>
      <c r="AH723" s="80"/>
      <c r="AI723" s="80"/>
    </row>
    <row r="724" spans="5:35" x14ac:dyDescent="0.25">
      <c r="E724" s="16"/>
      <c r="F724" s="16"/>
      <c r="H724" s="16"/>
      <c r="AG724" s="80"/>
      <c r="AH724" s="80"/>
      <c r="AI724" s="80"/>
    </row>
    <row r="725" spans="5:35" x14ac:dyDescent="0.25">
      <c r="E725" s="16"/>
      <c r="F725" s="16"/>
      <c r="H725" s="16"/>
      <c r="AG725" s="80"/>
      <c r="AH725" s="80"/>
      <c r="AI725" s="80"/>
    </row>
    <row r="726" spans="5:35" x14ac:dyDescent="0.25">
      <c r="E726" s="16"/>
      <c r="F726" s="16"/>
      <c r="H726" s="16"/>
      <c r="AG726" s="80"/>
      <c r="AH726" s="80"/>
      <c r="AI726" s="80"/>
    </row>
    <row r="727" spans="5:35" x14ac:dyDescent="0.25">
      <c r="E727" s="16"/>
      <c r="F727" s="16"/>
      <c r="H727" s="16"/>
      <c r="AG727" s="80"/>
      <c r="AH727" s="80"/>
      <c r="AI727" s="80"/>
    </row>
    <row r="728" spans="5:35" x14ac:dyDescent="0.25">
      <c r="E728" s="16"/>
      <c r="F728" s="16"/>
      <c r="H728" s="16"/>
      <c r="AG728" s="80"/>
      <c r="AH728" s="80"/>
      <c r="AI728" s="80"/>
    </row>
    <row r="729" spans="5:35" x14ac:dyDescent="0.25">
      <c r="E729" s="16"/>
      <c r="F729" s="16"/>
      <c r="H729" s="16"/>
      <c r="AG729" s="80"/>
      <c r="AH729" s="80"/>
      <c r="AI729" s="80"/>
    </row>
    <row r="730" spans="5:35" x14ac:dyDescent="0.25">
      <c r="E730" s="16"/>
      <c r="F730" s="16"/>
      <c r="H730" s="16"/>
      <c r="AG730" s="80"/>
      <c r="AH730" s="80"/>
      <c r="AI730" s="80"/>
    </row>
    <row r="731" spans="5:35" x14ac:dyDescent="0.25">
      <c r="E731" s="16"/>
      <c r="F731" s="16"/>
      <c r="H731" s="16"/>
      <c r="AG731" s="80"/>
      <c r="AH731" s="80"/>
      <c r="AI731" s="80"/>
    </row>
    <row r="732" spans="5:35" x14ac:dyDescent="0.25">
      <c r="E732" s="16"/>
      <c r="F732" s="16"/>
      <c r="H732" s="16"/>
      <c r="AG732" s="80"/>
      <c r="AH732" s="80"/>
      <c r="AI732" s="80"/>
    </row>
    <row r="733" spans="5:35" x14ac:dyDescent="0.25">
      <c r="E733" s="16"/>
      <c r="F733" s="16"/>
      <c r="H733" s="16"/>
      <c r="AG733" s="80"/>
      <c r="AH733" s="80"/>
      <c r="AI733" s="80"/>
    </row>
    <row r="734" spans="5:35" x14ac:dyDescent="0.25">
      <c r="E734" s="16"/>
      <c r="F734" s="16"/>
      <c r="H734" s="16"/>
      <c r="AG734" s="80"/>
      <c r="AH734" s="80"/>
      <c r="AI734" s="80"/>
    </row>
    <row r="735" spans="5:35" x14ac:dyDescent="0.25">
      <c r="E735" s="16"/>
      <c r="F735" s="16"/>
      <c r="H735" s="16"/>
      <c r="AG735" s="80"/>
      <c r="AH735" s="80"/>
      <c r="AI735" s="80"/>
    </row>
    <row r="736" spans="5:35" x14ac:dyDescent="0.25">
      <c r="E736" s="16"/>
      <c r="F736" s="16"/>
      <c r="H736" s="16"/>
      <c r="AG736" s="80"/>
      <c r="AH736" s="80"/>
      <c r="AI736" s="80"/>
    </row>
    <row r="737" spans="5:35" x14ac:dyDescent="0.25">
      <c r="E737" s="16"/>
      <c r="F737" s="16"/>
      <c r="H737" s="16"/>
      <c r="AG737" s="80"/>
      <c r="AH737" s="80"/>
      <c r="AI737" s="80"/>
    </row>
    <row r="738" spans="5:35" x14ac:dyDescent="0.25">
      <c r="E738" s="16"/>
      <c r="F738" s="16"/>
      <c r="H738" s="16"/>
      <c r="AG738" s="80"/>
      <c r="AH738" s="80"/>
      <c r="AI738" s="80"/>
    </row>
    <row r="739" spans="5:35" x14ac:dyDescent="0.25">
      <c r="E739" s="16"/>
      <c r="F739" s="16"/>
      <c r="H739" s="16"/>
      <c r="AG739" s="80"/>
      <c r="AH739" s="80"/>
      <c r="AI739" s="80"/>
    </row>
    <row r="740" spans="5:35" x14ac:dyDescent="0.25">
      <c r="E740" s="16"/>
      <c r="F740" s="16"/>
      <c r="H740" s="16"/>
      <c r="AG740" s="80"/>
      <c r="AH740" s="80"/>
      <c r="AI740" s="80"/>
    </row>
    <row r="741" spans="5:35" x14ac:dyDescent="0.25">
      <c r="E741" s="16"/>
      <c r="F741" s="16"/>
      <c r="H741" s="16"/>
      <c r="AG741" s="80"/>
      <c r="AH741" s="80"/>
      <c r="AI741" s="80"/>
    </row>
    <row r="742" spans="5:35" x14ac:dyDescent="0.25">
      <c r="E742" s="16"/>
      <c r="F742" s="16"/>
      <c r="H742" s="16"/>
      <c r="AG742" s="80"/>
      <c r="AH742" s="80"/>
      <c r="AI742" s="80"/>
    </row>
    <row r="743" spans="5:35" x14ac:dyDescent="0.25">
      <c r="E743" s="16"/>
      <c r="F743" s="16"/>
      <c r="H743" s="16"/>
      <c r="AG743" s="80"/>
      <c r="AH743" s="80"/>
      <c r="AI743" s="80"/>
    </row>
    <row r="744" spans="5:35" x14ac:dyDescent="0.25">
      <c r="E744" s="16"/>
      <c r="F744" s="16"/>
      <c r="H744" s="16"/>
      <c r="AG744" s="80"/>
      <c r="AH744" s="80"/>
      <c r="AI744" s="80"/>
    </row>
    <row r="745" spans="5:35" x14ac:dyDescent="0.25">
      <c r="E745" s="16"/>
      <c r="F745" s="16"/>
      <c r="H745" s="16"/>
      <c r="AG745" s="80"/>
      <c r="AH745" s="80"/>
      <c r="AI745" s="80"/>
    </row>
    <row r="746" spans="5:35" x14ac:dyDescent="0.25">
      <c r="E746" s="16"/>
      <c r="F746" s="16"/>
      <c r="H746" s="16"/>
      <c r="AG746" s="80"/>
      <c r="AH746" s="80"/>
      <c r="AI746" s="80"/>
    </row>
    <row r="747" spans="5:35" x14ac:dyDescent="0.25">
      <c r="E747" s="16"/>
      <c r="F747" s="16"/>
      <c r="H747" s="16"/>
      <c r="AG747" s="80"/>
      <c r="AH747" s="80"/>
      <c r="AI747" s="80"/>
    </row>
    <row r="748" spans="5:35" x14ac:dyDescent="0.25">
      <c r="E748" s="16"/>
      <c r="F748" s="16"/>
      <c r="H748" s="16"/>
      <c r="AG748" s="80"/>
      <c r="AH748" s="80"/>
      <c r="AI748" s="80"/>
    </row>
    <row r="749" spans="5:35" x14ac:dyDescent="0.25">
      <c r="E749" s="16"/>
      <c r="F749" s="16"/>
      <c r="H749" s="16"/>
      <c r="AG749" s="80"/>
      <c r="AH749" s="80"/>
      <c r="AI749" s="80"/>
    </row>
    <row r="750" spans="5:35" x14ac:dyDescent="0.25">
      <c r="E750" s="16"/>
      <c r="F750" s="16"/>
      <c r="H750" s="16"/>
      <c r="AG750" s="80"/>
      <c r="AH750" s="80"/>
      <c r="AI750" s="80"/>
    </row>
    <row r="751" spans="5:35" x14ac:dyDescent="0.25">
      <c r="E751" s="16"/>
      <c r="F751" s="16"/>
      <c r="H751" s="16"/>
      <c r="AG751" s="80"/>
      <c r="AH751" s="80"/>
      <c r="AI751" s="80"/>
    </row>
    <row r="752" spans="5:35" x14ac:dyDescent="0.25">
      <c r="E752" s="16"/>
      <c r="F752" s="16"/>
      <c r="H752" s="16"/>
      <c r="AG752" s="80"/>
      <c r="AH752" s="80"/>
      <c r="AI752" s="80"/>
    </row>
    <row r="753" spans="5:35" x14ac:dyDescent="0.25">
      <c r="E753" s="16"/>
      <c r="F753" s="16"/>
      <c r="H753" s="16"/>
      <c r="AG753" s="80"/>
      <c r="AH753" s="80"/>
      <c r="AI753" s="80"/>
    </row>
    <row r="754" spans="5:35" x14ac:dyDescent="0.25">
      <c r="E754" s="16"/>
      <c r="F754" s="16"/>
      <c r="H754" s="16"/>
      <c r="AG754" s="80"/>
      <c r="AH754" s="80"/>
      <c r="AI754" s="80"/>
    </row>
    <row r="755" spans="5:35" x14ac:dyDescent="0.25">
      <c r="E755" s="16"/>
      <c r="F755" s="16"/>
      <c r="H755" s="16"/>
      <c r="AG755" s="80"/>
      <c r="AH755" s="80"/>
      <c r="AI755" s="80"/>
    </row>
    <row r="756" spans="5:35" x14ac:dyDescent="0.25">
      <c r="E756" s="16"/>
      <c r="F756" s="16"/>
      <c r="H756" s="16"/>
      <c r="AG756" s="80"/>
      <c r="AH756" s="80"/>
      <c r="AI756" s="80"/>
    </row>
    <row r="757" spans="5:35" x14ac:dyDescent="0.25">
      <c r="E757" s="16"/>
      <c r="F757" s="16"/>
      <c r="H757" s="16"/>
      <c r="AG757" s="80"/>
      <c r="AH757" s="80"/>
      <c r="AI757" s="80"/>
    </row>
    <row r="758" spans="5:35" x14ac:dyDescent="0.25">
      <c r="E758" s="16"/>
      <c r="F758" s="16"/>
      <c r="H758" s="16"/>
      <c r="AG758" s="80"/>
      <c r="AH758" s="80"/>
      <c r="AI758" s="80"/>
    </row>
    <row r="759" spans="5:35" x14ac:dyDescent="0.25">
      <c r="E759" s="16"/>
      <c r="F759" s="16"/>
      <c r="H759" s="16"/>
      <c r="AG759" s="80"/>
      <c r="AH759" s="80"/>
      <c r="AI759" s="80"/>
    </row>
    <row r="760" spans="5:35" x14ac:dyDescent="0.25">
      <c r="E760" s="16"/>
      <c r="F760" s="16"/>
      <c r="H760" s="16"/>
      <c r="AG760" s="80"/>
      <c r="AH760" s="80"/>
      <c r="AI760" s="80"/>
    </row>
    <row r="761" spans="5:35" x14ac:dyDescent="0.25">
      <c r="E761" s="16"/>
      <c r="F761" s="16"/>
      <c r="H761" s="16"/>
      <c r="AG761" s="80"/>
      <c r="AH761" s="80"/>
      <c r="AI761" s="80"/>
    </row>
    <row r="762" spans="5:35" x14ac:dyDescent="0.25">
      <c r="E762" s="16"/>
      <c r="F762" s="16"/>
      <c r="H762" s="16"/>
      <c r="AG762" s="80"/>
      <c r="AH762" s="80"/>
      <c r="AI762" s="80"/>
    </row>
    <row r="763" spans="5:35" x14ac:dyDescent="0.25">
      <c r="E763" s="16"/>
      <c r="F763" s="16"/>
      <c r="H763" s="16"/>
      <c r="AG763" s="80"/>
      <c r="AH763" s="80"/>
      <c r="AI763" s="80"/>
    </row>
    <row r="764" spans="5:35" x14ac:dyDescent="0.25">
      <c r="E764" s="16"/>
      <c r="F764" s="16"/>
      <c r="H764" s="16"/>
      <c r="AG764" s="80"/>
      <c r="AH764" s="80"/>
      <c r="AI764" s="80"/>
    </row>
    <row r="765" spans="5:35" x14ac:dyDescent="0.25">
      <c r="E765" s="16"/>
      <c r="F765" s="16"/>
      <c r="H765" s="16"/>
      <c r="AG765" s="80"/>
      <c r="AH765" s="80"/>
      <c r="AI765" s="80"/>
    </row>
    <row r="766" spans="5:35" x14ac:dyDescent="0.25">
      <c r="E766" s="16"/>
      <c r="F766" s="16"/>
      <c r="H766" s="16"/>
      <c r="AG766" s="80"/>
      <c r="AH766" s="80"/>
      <c r="AI766" s="80"/>
    </row>
    <row r="767" spans="5:35" x14ac:dyDescent="0.25">
      <c r="E767" s="16"/>
      <c r="F767" s="16"/>
      <c r="H767" s="16"/>
      <c r="AG767" s="80"/>
      <c r="AH767" s="80"/>
      <c r="AI767" s="80"/>
    </row>
    <row r="768" spans="5:35" x14ac:dyDescent="0.25">
      <c r="E768" s="16"/>
      <c r="F768" s="16"/>
      <c r="H768" s="16"/>
      <c r="AG768" s="80"/>
      <c r="AH768" s="80"/>
      <c r="AI768" s="80"/>
    </row>
    <row r="769" spans="5:35" x14ac:dyDescent="0.25">
      <c r="E769" s="16"/>
      <c r="F769" s="16"/>
      <c r="H769" s="16"/>
      <c r="AG769" s="80"/>
      <c r="AH769" s="80"/>
      <c r="AI769" s="80"/>
    </row>
    <row r="770" spans="5:35" x14ac:dyDescent="0.25">
      <c r="E770" s="16"/>
      <c r="F770" s="16"/>
      <c r="H770" s="16"/>
      <c r="AG770" s="80"/>
      <c r="AH770" s="80"/>
      <c r="AI770" s="80"/>
    </row>
    <row r="771" spans="5:35" x14ac:dyDescent="0.25">
      <c r="E771" s="16"/>
      <c r="F771" s="16"/>
      <c r="H771" s="16"/>
      <c r="AG771" s="80"/>
      <c r="AH771" s="80"/>
      <c r="AI771" s="80"/>
    </row>
    <row r="772" spans="5:35" x14ac:dyDescent="0.25">
      <c r="E772" s="16"/>
      <c r="F772" s="16"/>
      <c r="H772" s="16"/>
      <c r="AG772" s="80"/>
      <c r="AH772" s="80"/>
      <c r="AI772" s="80"/>
    </row>
    <row r="773" spans="5:35" x14ac:dyDescent="0.25">
      <c r="E773" s="16"/>
      <c r="F773" s="16"/>
      <c r="H773" s="16"/>
      <c r="AG773" s="80"/>
      <c r="AH773" s="80"/>
      <c r="AI773" s="80"/>
    </row>
    <row r="774" spans="5:35" x14ac:dyDescent="0.25">
      <c r="E774" s="16"/>
      <c r="F774" s="16"/>
      <c r="H774" s="16"/>
      <c r="AG774" s="80"/>
      <c r="AH774" s="80"/>
      <c r="AI774" s="80"/>
    </row>
    <row r="775" spans="5:35" x14ac:dyDescent="0.25">
      <c r="E775" s="16"/>
      <c r="F775" s="16"/>
      <c r="H775" s="16"/>
      <c r="AG775" s="80"/>
      <c r="AH775" s="80"/>
      <c r="AI775" s="80"/>
    </row>
    <row r="776" spans="5:35" x14ac:dyDescent="0.25">
      <c r="E776" s="16"/>
      <c r="F776" s="16"/>
      <c r="H776" s="16"/>
      <c r="AG776" s="80"/>
      <c r="AH776" s="80"/>
      <c r="AI776" s="80"/>
    </row>
    <row r="777" spans="5:35" x14ac:dyDescent="0.25">
      <c r="E777" s="16"/>
      <c r="F777" s="16"/>
      <c r="H777" s="16"/>
      <c r="AG777" s="80"/>
      <c r="AH777" s="80"/>
      <c r="AI777" s="80"/>
    </row>
    <row r="778" spans="5:35" x14ac:dyDescent="0.25">
      <c r="E778" s="16"/>
      <c r="F778" s="16"/>
      <c r="H778" s="16"/>
      <c r="AG778" s="80"/>
      <c r="AH778" s="80"/>
      <c r="AI778" s="80"/>
    </row>
    <row r="779" spans="5:35" x14ac:dyDescent="0.25">
      <c r="E779" s="16"/>
      <c r="F779" s="16"/>
      <c r="H779" s="16"/>
      <c r="AG779" s="80"/>
      <c r="AH779" s="80"/>
      <c r="AI779" s="80"/>
    </row>
    <row r="780" spans="5:35" x14ac:dyDescent="0.25">
      <c r="E780" s="16"/>
      <c r="F780" s="16"/>
      <c r="H780" s="16"/>
      <c r="AG780" s="80"/>
      <c r="AH780" s="80"/>
      <c r="AI780" s="80"/>
    </row>
    <row r="781" spans="5:35" x14ac:dyDescent="0.25">
      <c r="E781" s="16"/>
      <c r="F781" s="16"/>
      <c r="H781" s="16"/>
      <c r="AG781" s="80"/>
      <c r="AH781" s="80"/>
      <c r="AI781" s="80"/>
    </row>
    <row r="782" spans="5:35" x14ac:dyDescent="0.25">
      <c r="E782" s="16"/>
      <c r="F782" s="16"/>
      <c r="H782" s="16"/>
      <c r="AG782" s="80"/>
      <c r="AH782" s="80"/>
      <c r="AI782" s="80"/>
    </row>
    <row r="783" spans="5:35" x14ac:dyDescent="0.25">
      <c r="E783" s="16"/>
      <c r="F783" s="16"/>
      <c r="H783" s="16"/>
      <c r="AG783" s="80"/>
      <c r="AH783" s="80"/>
      <c r="AI783" s="80"/>
    </row>
    <row r="784" spans="5:35" x14ac:dyDescent="0.25">
      <c r="E784" s="16"/>
      <c r="F784" s="16"/>
      <c r="H784" s="16"/>
      <c r="AG784" s="80"/>
      <c r="AH784" s="80"/>
      <c r="AI784" s="80"/>
    </row>
    <row r="785" spans="5:35" x14ac:dyDescent="0.25">
      <c r="E785" s="16"/>
      <c r="F785" s="16"/>
      <c r="H785" s="16"/>
      <c r="AG785" s="80"/>
      <c r="AH785" s="80"/>
      <c r="AI785" s="80"/>
    </row>
    <row r="786" spans="5:35" x14ac:dyDescent="0.25">
      <c r="E786" s="16"/>
      <c r="F786" s="16"/>
      <c r="H786" s="16"/>
      <c r="AG786" s="80"/>
      <c r="AH786" s="80"/>
      <c r="AI786" s="80"/>
    </row>
    <row r="787" spans="5:35" x14ac:dyDescent="0.25">
      <c r="E787" s="16"/>
      <c r="F787" s="16"/>
      <c r="H787" s="16"/>
      <c r="AG787" s="80"/>
      <c r="AH787" s="80"/>
      <c r="AI787" s="80"/>
    </row>
    <row r="788" spans="5:35" x14ac:dyDescent="0.25">
      <c r="E788" s="16"/>
      <c r="F788" s="16"/>
      <c r="H788" s="16"/>
      <c r="AG788" s="80"/>
      <c r="AH788" s="80"/>
      <c r="AI788" s="80"/>
    </row>
    <row r="789" spans="5:35" x14ac:dyDescent="0.25">
      <c r="E789" s="16"/>
      <c r="F789" s="16"/>
      <c r="H789" s="16"/>
      <c r="AG789" s="80"/>
      <c r="AH789" s="80"/>
      <c r="AI789" s="80"/>
    </row>
    <row r="790" spans="5:35" x14ac:dyDescent="0.25">
      <c r="E790" s="16"/>
      <c r="F790" s="16"/>
      <c r="H790" s="16"/>
      <c r="AG790" s="80"/>
      <c r="AH790" s="80"/>
      <c r="AI790" s="80"/>
    </row>
    <row r="791" spans="5:35" x14ac:dyDescent="0.25">
      <c r="E791" s="16"/>
      <c r="F791" s="16"/>
      <c r="H791" s="16"/>
      <c r="AG791" s="80"/>
      <c r="AH791" s="80"/>
      <c r="AI791" s="80"/>
    </row>
    <row r="792" spans="5:35" x14ac:dyDescent="0.25">
      <c r="E792" s="16"/>
      <c r="F792" s="16"/>
      <c r="H792" s="16"/>
      <c r="AG792" s="80"/>
      <c r="AH792" s="80"/>
      <c r="AI792" s="80"/>
    </row>
    <row r="793" spans="5:35" x14ac:dyDescent="0.25">
      <c r="E793" s="16"/>
      <c r="F793" s="16"/>
      <c r="H793" s="16"/>
      <c r="AG793" s="80"/>
      <c r="AH793" s="80"/>
      <c r="AI793" s="80"/>
    </row>
    <row r="794" spans="5:35" x14ac:dyDescent="0.25">
      <c r="E794" s="16"/>
      <c r="F794" s="16"/>
      <c r="H794" s="16"/>
      <c r="AG794" s="80"/>
      <c r="AH794" s="80"/>
      <c r="AI794" s="80"/>
    </row>
    <row r="795" spans="5:35" x14ac:dyDescent="0.25">
      <c r="E795" s="16"/>
      <c r="F795" s="16"/>
      <c r="H795" s="16"/>
      <c r="AG795" s="80"/>
      <c r="AH795" s="80"/>
      <c r="AI795" s="80"/>
    </row>
    <row r="796" spans="5:35" x14ac:dyDescent="0.25">
      <c r="E796" s="16"/>
      <c r="F796" s="16"/>
      <c r="H796" s="16"/>
      <c r="AG796" s="80"/>
      <c r="AH796" s="80"/>
      <c r="AI796" s="80"/>
    </row>
    <row r="797" spans="5:35" x14ac:dyDescent="0.25">
      <c r="E797" s="16"/>
      <c r="F797" s="16"/>
      <c r="H797" s="16"/>
      <c r="AG797" s="80"/>
      <c r="AH797" s="80"/>
      <c r="AI797" s="80"/>
    </row>
    <row r="798" spans="5:35" x14ac:dyDescent="0.25">
      <c r="E798" s="16"/>
      <c r="F798" s="16"/>
      <c r="H798" s="16"/>
      <c r="AG798" s="80"/>
      <c r="AH798" s="80"/>
      <c r="AI798" s="80"/>
    </row>
    <row r="799" spans="5:35" x14ac:dyDescent="0.25">
      <c r="E799" s="16"/>
      <c r="F799" s="16"/>
      <c r="H799" s="16"/>
      <c r="AG799" s="80"/>
      <c r="AH799" s="80"/>
      <c r="AI799" s="80"/>
    </row>
    <row r="800" spans="5:35" x14ac:dyDescent="0.25">
      <c r="E800" s="16"/>
      <c r="F800" s="16"/>
      <c r="H800" s="16"/>
      <c r="AG800" s="80"/>
      <c r="AH800" s="80"/>
      <c r="AI800" s="80"/>
    </row>
    <row r="801" spans="5:35" x14ac:dyDescent="0.25">
      <c r="E801" s="16"/>
      <c r="F801" s="16"/>
      <c r="H801" s="16"/>
      <c r="AG801" s="80"/>
      <c r="AH801" s="80"/>
      <c r="AI801" s="80"/>
    </row>
    <row r="802" spans="5:35" x14ac:dyDescent="0.25">
      <c r="E802" s="16"/>
      <c r="F802" s="16"/>
      <c r="H802" s="16"/>
      <c r="AG802" s="80"/>
      <c r="AH802" s="80"/>
      <c r="AI802" s="80"/>
    </row>
    <row r="803" spans="5:35" x14ac:dyDescent="0.25">
      <c r="E803" s="16"/>
      <c r="F803" s="16"/>
      <c r="H803" s="16"/>
      <c r="AG803" s="80"/>
      <c r="AH803" s="80"/>
      <c r="AI803" s="80"/>
    </row>
    <row r="804" spans="5:35" x14ac:dyDescent="0.25">
      <c r="E804" s="16"/>
      <c r="F804" s="16"/>
      <c r="H804" s="16"/>
      <c r="AG804" s="80"/>
      <c r="AH804" s="80"/>
      <c r="AI804" s="80"/>
    </row>
    <row r="805" spans="5:35" x14ac:dyDescent="0.25">
      <c r="E805" s="16"/>
      <c r="F805" s="16"/>
      <c r="H805" s="16"/>
      <c r="AG805" s="80"/>
      <c r="AH805" s="80"/>
      <c r="AI805" s="80"/>
    </row>
    <row r="806" spans="5:35" x14ac:dyDescent="0.25">
      <c r="E806" s="16"/>
      <c r="F806" s="16"/>
      <c r="H806" s="16"/>
      <c r="AG806" s="80"/>
      <c r="AH806" s="80"/>
      <c r="AI806" s="80"/>
    </row>
    <row r="807" spans="5:35" x14ac:dyDescent="0.25">
      <c r="E807" s="16"/>
      <c r="F807" s="16"/>
      <c r="H807" s="16"/>
      <c r="AG807" s="80"/>
      <c r="AH807" s="80"/>
      <c r="AI807" s="80"/>
    </row>
    <row r="808" spans="5:35" x14ac:dyDescent="0.25">
      <c r="E808" s="16"/>
      <c r="F808" s="16"/>
      <c r="H808" s="16"/>
      <c r="AG808" s="80"/>
      <c r="AH808" s="80"/>
      <c r="AI808" s="80"/>
    </row>
    <row r="809" spans="5:35" x14ac:dyDescent="0.25">
      <c r="E809" s="16"/>
      <c r="F809" s="16"/>
      <c r="H809" s="16"/>
      <c r="AG809" s="80"/>
      <c r="AH809" s="80"/>
      <c r="AI809" s="80"/>
    </row>
    <row r="810" spans="5:35" x14ac:dyDescent="0.25">
      <c r="E810" s="16"/>
      <c r="F810" s="16"/>
      <c r="H810" s="16"/>
      <c r="AG810" s="80"/>
      <c r="AH810" s="80"/>
      <c r="AI810" s="80"/>
    </row>
    <row r="811" spans="5:35" x14ac:dyDescent="0.25">
      <c r="E811" s="16"/>
      <c r="F811" s="16"/>
      <c r="H811" s="16"/>
      <c r="AG811" s="80"/>
      <c r="AH811" s="80"/>
      <c r="AI811" s="80"/>
    </row>
    <row r="812" spans="5:35" x14ac:dyDescent="0.25">
      <c r="E812" s="16"/>
      <c r="F812" s="16"/>
      <c r="H812" s="16"/>
      <c r="AG812" s="80"/>
      <c r="AH812" s="80"/>
      <c r="AI812" s="80"/>
    </row>
    <row r="813" spans="5:35" x14ac:dyDescent="0.25">
      <c r="E813" s="16"/>
      <c r="F813" s="16"/>
      <c r="H813" s="16"/>
      <c r="AG813" s="80"/>
      <c r="AH813" s="80"/>
      <c r="AI813" s="80"/>
    </row>
    <row r="814" spans="5:35" x14ac:dyDescent="0.25">
      <c r="E814" s="16"/>
      <c r="F814" s="16"/>
      <c r="H814" s="16"/>
      <c r="AG814" s="80"/>
      <c r="AH814" s="80"/>
      <c r="AI814" s="80"/>
    </row>
    <row r="815" spans="5:35" x14ac:dyDescent="0.25">
      <c r="E815" s="16"/>
      <c r="F815" s="16"/>
      <c r="H815" s="16"/>
      <c r="AG815" s="80"/>
      <c r="AH815" s="80"/>
      <c r="AI815" s="80"/>
    </row>
    <row r="816" spans="5:35" x14ac:dyDescent="0.25">
      <c r="E816" s="16"/>
      <c r="F816" s="16"/>
      <c r="H816" s="16"/>
      <c r="AG816" s="80"/>
      <c r="AH816" s="80"/>
      <c r="AI816" s="80"/>
    </row>
    <row r="817" spans="5:35" x14ac:dyDescent="0.25">
      <c r="E817" s="16"/>
      <c r="F817" s="16"/>
      <c r="H817" s="16"/>
      <c r="AG817" s="80"/>
      <c r="AH817" s="80"/>
      <c r="AI817" s="80"/>
    </row>
    <row r="818" spans="5:35" x14ac:dyDescent="0.25">
      <c r="E818" s="16"/>
      <c r="F818" s="16"/>
      <c r="H818" s="16"/>
      <c r="AG818" s="80"/>
      <c r="AH818" s="80"/>
      <c r="AI818" s="80"/>
    </row>
    <row r="819" spans="5:35" x14ac:dyDescent="0.25">
      <c r="E819" s="16"/>
      <c r="F819" s="16"/>
      <c r="H819" s="16"/>
      <c r="AG819" s="80"/>
      <c r="AH819" s="80"/>
      <c r="AI819" s="80"/>
    </row>
    <row r="820" spans="5:35" x14ac:dyDescent="0.25">
      <c r="E820" s="16"/>
      <c r="F820" s="16"/>
      <c r="H820" s="16"/>
      <c r="AG820" s="80"/>
      <c r="AH820" s="80"/>
      <c r="AI820" s="80"/>
    </row>
    <row r="821" spans="5:35" x14ac:dyDescent="0.25">
      <c r="E821" s="16"/>
      <c r="F821" s="16"/>
      <c r="H821" s="16"/>
      <c r="AG821" s="80"/>
      <c r="AH821" s="80"/>
      <c r="AI821" s="80"/>
    </row>
    <row r="822" spans="5:35" x14ac:dyDescent="0.25">
      <c r="E822" s="16"/>
      <c r="F822" s="16"/>
      <c r="H822" s="16"/>
      <c r="AG822" s="80"/>
      <c r="AH822" s="80"/>
      <c r="AI822" s="80"/>
    </row>
    <row r="823" spans="5:35" x14ac:dyDescent="0.25">
      <c r="E823" s="16"/>
      <c r="F823" s="16"/>
      <c r="H823" s="16"/>
      <c r="AG823" s="80"/>
      <c r="AH823" s="80"/>
      <c r="AI823" s="80"/>
    </row>
    <row r="824" spans="5:35" x14ac:dyDescent="0.25">
      <c r="E824" s="16"/>
      <c r="F824" s="16"/>
      <c r="H824" s="16"/>
      <c r="AG824" s="80"/>
      <c r="AH824" s="80"/>
      <c r="AI824" s="80"/>
    </row>
    <row r="825" spans="5:35" x14ac:dyDescent="0.25">
      <c r="E825" s="16"/>
      <c r="F825" s="16"/>
      <c r="H825" s="16"/>
      <c r="AG825" s="80"/>
      <c r="AH825" s="80"/>
      <c r="AI825" s="80"/>
    </row>
    <row r="826" spans="5:35" x14ac:dyDescent="0.25">
      <c r="E826" s="16"/>
      <c r="F826" s="16"/>
      <c r="H826" s="16"/>
      <c r="AG826" s="80"/>
      <c r="AH826" s="80"/>
      <c r="AI826" s="80"/>
    </row>
    <row r="827" spans="5:35" x14ac:dyDescent="0.25">
      <c r="E827" s="16"/>
      <c r="F827" s="16"/>
      <c r="H827" s="16"/>
      <c r="AG827" s="80"/>
      <c r="AH827" s="80"/>
      <c r="AI827" s="80"/>
    </row>
    <row r="828" spans="5:35" x14ac:dyDescent="0.25">
      <c r="E828" s="16"/>
      <c r="F828" s="16"/>
      <c r="H828" s="16"/>
      <c r="AG828" s="80"/>
      <c r="AH828" s="80"/>
      <c r="AI828" s="80"/>
    </row>
    <row r="829" spans="5:35" x14ac:dyDescent="0.25">
      <c r="E829" s="16"/>
      <c r="F829" s="16"/>
      <c r="H829" s="16"/>
      <c r="AG829" s="80"/>
      <c r="AH829" s="80"/>
      <c r="AI829" s="80"/>
    </row>
    <row r="830" spans="5:35" x14ac:dyDescent="0.25">
      <c r="E830" s="16"/>
      <c r="F830" s="16"/>
      <c r="H830" s="16"/>
      <c r="AG830" s="80"/>
      <c r="AH830" s="80"/>
      <c r="AI830" s="80"/>
    </row>
    <row r="831" spans="5:35" x14ac:dyDescent="0.25">
      <c r="E831" s="16"/>
      <c r="F831" s="16"/>
      <c r="H831" s="16"/>
      <c r="AG831" s="80"/>
      <c r="AH831" s="80"/>
      <c r="AI831" s="80"/>
    </row>
    <row r="832" spans="5:35" x14ac:dyDescent="0.25">
      <c r="E832" s="16"/>
      <c r="F832" s="16"/>
      <c r="H832" s="16"/>
      <c r="AG832" s="80"/>
      <c r="AH832" s="80"/>
      <c r="AI832" s="80"/>
    </row>
    <row r="833" spans="5:35" x14ac:dyDescent="0.25">
      <c r="E833" s="16"/>
      <c r="F833" s="16"/>
      <c r="H833" s="16"/>
      <c r="AG833" s="80"/>
      <c r="AH833" s="80"/>
      <c r="AI833" s="80"/>
    </row>
    <row r="834" spans="5:35" x14ac:dyDescent="0.25">
      <c r="E834" s="16"/>
      <c r="F834" s="16"/>
      <c r="H834" s="16"/>
      <c r="AG834" s="80"/>
      <c r="AH834" s="80"/>
      <c r="AI834" s="80"/>
    </row>
    <row r="835" spans="5:35" x14ac:dyDescent="0.25">
      <c r="E835" s="16"/>
      <c r="F835" s="16"/>
      <c r="H835" s="16"/>
      <c r="AG835" s="80"/>
      <c r="AH835" s="80"/>
      <c r="AI835" s="80"/>
    </row>
    <row r="836" spans="5:35" x14ac:dyDescent="0.25">
      <c r="E836" s="16"/>
      <c r="F836" s="16"/>
      <c r="H836" s="16"/>
      <c r="AG836" s="80"/>
      <c r="AH836" s="80"/>
      <c r="AI836" s="80"/>
    </row>
    <row r="837" spans="5:35" x14ac:dyDescent="0.25">
      <c r="E837" s="16"/>
      <c r="F837" s="16"/>
      <c r="H837" s="16"/>
      <c r="AG837" s="80"/>
      <c r="AH837" s="80"/>
      <c r="AI837" s="80"/>
    </row>
    <row r="838" spans="5:35" x14ac:dyDescent="0.25">
      <c r="E838" s="16"/>
      <c r="F838" s="16"/>
      <c r="H838" s="16"/>
      <c r="AG838" s="80"/>
      <c r="AH838" s="80"/>
      <c r="AI838" s="80"/>
    </row>
    <row r="839" spans="5:35" x14ac:dyDescent="0.25">
      <c r="E839" s="16"/>
      <c r="F839" s="16"/>
      <c r="H839" s="16"/>
      <c r="AG839" s="80"/>
      <c r="AH839" s="80"/>
      <c r="AI839" s="80"/>
    </row>
    <row r="840" spans="5:35" x14ac:dyDescent="0.25">
      <c r="E840" s="16"/>
      <c r="F840" s="16"/>
      <c r="H840" s="16"/>
      <c r="AG840" s="80"/>
      <c r="AH840" s="80"/>
      <c r="AI840" s="80"/>
    </row>
    <row r="841" spans="5:35" x14ac:dyDescent="0.25">
      <c r="E841" s="16"/>
      <c r="F841" s="16"/>
      <c r="H841" s="16"/>
      <c r="AG841" s="80"/>
      <c r="AH841" s="80"/>
      <c r="AI841" s="80"/>
    </row>
    <row r="842" spans="5:35" x14ac:dyDescent="0.25">
      <c r="E842" s="16"/>
      <c r="F842" s="16"/>
      <c r="H842" s="16"/>
      <c r="AG842" s="80"/>
      <c r="AH842" s="80"/>
      <c r="AI842" s="80"/>
    </row>
    <row r="843" spans="5:35" x14ac:dyDescent="0.25">
      <c r="E843" s="16"/>
      <c r="F843" s="16"/>
      <c r="H843" s="16"/>
      <c r="AG843" s="80"/>
      <c r="AH843" s="80"/>
      <c r="AI843" s="80"/>
    </row>
    <row r="844" spans="5:35" x14ac:dyDescent="0.25">
      <c r="E844" s="16"/>
      <c r="F844" s="16"/>
      <c r="H844" s="16"/>
      <c r="AG844" s="80"/>
      <c r="AH844" s="80"/>
      <c r="AI844" s="80"/>
    </row>
    <row r="845" spans="5:35" x14ac:dyDescent="0.25">
      <c r="E845" s="16"/>
      <c r="F845" s="16"/>
      <c r="H845" s="16"/>
      <c r="AG845" s="80"/>
      <c r="AH845" s="80"/>
      <c r="AI845" s="80"/>
    </row>
    <row r="846" spans="5:35" x14ac:dyDescent="0.25">
      <c r="E846" s="16"/>
      <c r="F846" s="16"/>
      <c r="H846" s="16"/>
      <c r="AG846" s="80"/>
      <c r="AH846" s="80"/>
      <c r="AI846" s="80"/>
    </row>
    <row r="847" spans="5:35" x14ac:dyDescent="0.25">
      <c r="E847" s="16"/>
      <c r="F847" s="16"/>
      <c r="H847" s="16"/>
      <c r="AG847" s="80"/>
      <c r="AH847" s="80"/>
      <c r="AI847" s="80"/>
    </row>
    <row r="848" spans="5:35" x14ac:dyDescent="0.25">
      <c r="E848" s="16"/>
      <c r="F848" s="16"/>
      <c r="H848" s="16"/>
      <c r="AG848" s="80"/>
      <c r="AH848" s="80"/>
      <c r="AI848" s="80"/>
    </row>
    <row r="849" spans="5:35" x14ac:dyDescent="0.25">
      <c r="E849" s="16"/>
      <c r="F849" s="16"/>
      <c r="H849" s="16"/>
      <c r="AG849" s="80"/>
      <c r="AH849" s="80"/>
      <c r="AI849" s="80"/>
    </row>
    <row r="850" spans="5:35" x14ac:dyDescent="0.25">
      <c r="E850" s="16"/>
      <c r="F850" s="16"/>
      <c r="H850" s="16"/>
      <c r="AG850" s="80"/>
      <c r="AH850" s="80"/>
      <c r="AI850" s="80"/>
    </row>
    <row r="851" spans="5:35" x14ac:dyDescent="0.25">
      <c r="E851" s="16"/>
      <c r="F851" s="16"/>
      <c r="H851" s="16"/>
      <c r="AG851" s="80"/>
      <c r="AH851" s="80"/>
      <c r="AI851" s="80"/>
    </row>
    <row r="852" spans="5:35" x14ac:dyDescent="0.25">
      <c r="E852" s="16"/>
      <c r="F852" s="16"/>
      <c r="H852" s="16"/>
      <c r="AG852" s="80"/>
      <c r="AH852" s="80"/>
      <c r="AI852" s="80"/>
    </row>
    <row r="853" spans="5:35" x14ac:dyDescent="0.25">
      <c r="E853" s="16"/>
      <c r="F853" s="16"/>
      <c r="H853" s="16"/>
      <c r="AG853" s="80"/>
      <c r="AH853" s="80"/>
      <c r="AI853" s="80"/>
    </row>
    <row r="854" spans="5:35" x14ac:dyDescent="0.25">
      <c r="E854" s="16"/>
      <c r="F854" s="16"/>
      <c r="H854" s="16"/>
      <c r="AG854" s="80"/>
      <c r="AH854" s="80"/>
      <c r="AI854" s="80"/>
    </row>
    <row r="855" spans="5:35" x14ac:dyDescent="0.25">
      <c r="E855" s="16"/>
      <c r="F855" s="16"/>
      <c r="H855" s="16"/>
      <c r="AG855" s="80"/>
      <c r="AH855" s="80"/>
      <c r="AI855" s="80"/>
    </row>
    <row r="856" spans="5:35" x14ac:dyDescent="0.25">
      <c r="E856" s="16"/>
      <c r="F856" s="16"/>
      <c r="H856" s="16"/>
      <c r="AG856" s="80"/>
      <c r="AH856" s="80"/>
      <c r="AI856" s="80"/>
    </row>
    <row r="857" spans="5:35" x14ac:dyDescent="0.25">
      <c r="E857" s="16"/>
      <c r="F857" s="16"/>
      <c r="H857" s="16"/>
      <c r="AG857" s="80"/>
      <c r="AH857" s="80"/>
      <c r="AI857" s="80"/>
    </row>
    <row r="858" spans="5:35" x14ac:dyDescent="0.25">
      <c r="E858" s="16"/>
      <c r="F858" s="16"/>
      <c r="H858" s="16"/>
      <c r="AG858" s="80"/>
      <c r="AH858" s="80"/>
      <c r="AI858" s="80"/>
    </row>
    <row r="859" spans="5:35" x14ac:dyDescent="0.25">
      <c r="E859" s="16"/>
      <c r="F859" s="16"/>
      <c r="H859" s="16"/>
      <c r="AG859" s="80"/>
      <c r="AH859" s="80"/>
      <c r="AI859" s="80"/>
    </row>
    <row r="860" spans="5:35" x14ac:dyDescent="0.25">
      <c r="E860" s="16"/>
      <c r="F860" s="16"/>
      <c r="H860" s="16"/>
      <c r="AG860" s="80"/>
      <c r="AH860" s="80"/>
      <c r="AI860" s="80"/>
    </row>
    <row r="861" spans="5:35" x14ac:dyDescent="0.25">
      <c r="E861" s="16"/>
      <c r="F861" s="16"/>
      <c r="H861" s="16"/>
      <c r="AG861" s="80"/>
      <c r="AH861" s="80"/>
      <c r="AI861" s="80"/>
    </row>
    <row r="862" spans="5:35" x14ac:dyDescent="0.25">
      <c r="E862" s="16"/>
      <c r="F862" s="16"/>
      <c r="H862" s="16"/>
      <c r="AG862" s="80"/>
      <c r="AH862" s="80"/>
      <c r="AI862" s="80"/>
    </row>
    <row r="863" spans="5:35" x14ac:dyDescent="0.25">
      <c r="E863" s="16"/>
      <c r="F863" s="16"/>
      <c r="H863" s="16"/>
      <c r="AG863" s="80"/>
      <c r="AH863" s="80"/>
      <c r="AI863" s="80"/>
    </row>
    <row r="864" spans="5:35" x14ac:dyDescent="0.25">
      <c r="E864" s="16"/>
      <c r="F864" s="16"/>
      <c r="H864" s="16"/>
      <c r="AG864" s="80"/>
      <c r="AH864" s="80"/>
      <c r="AI864" s="80"/>
    </row>
    <row r="865" spans="5:35" x14ac:dyDescent="0.25">
      <c r="E865" s="16"/>
      <c r="F865" s="16"/>
      <c r="H865" s="16"/>
      <c r="AG865" s="80"/>
      <c r="AH865" s="80"/>
      <c r="AI865" s="80"/>
    </row>
    <row r="866" spans="5:35" x14ac:dyDescent="0.25">
      <c r="E866" s="16"/>
      <c r="F866" s="16"/>
      <c r="H866" s="16"/>
      <c r="AG866" s="80"/>
      <c r="AH866" s="80"/>
      <c r="AI866" s="80"/>
    </row>
    <row r="867" spans="5:35" x14ac:dyDescent="0.25">
      <c r="E867" s="16"/>
      <c r="F867" s="16"/>
      <c r="H867" s="16"/>
      <c r="AG867" s="80"/>
      <c r="AH867" s="80"/>
      <c r="AI867" s="80"/>
    </row>
    <row r="868" spans="5:35" x14ac:dyDescent="0.25">
      <c r="E868" s="16"/>
      <c r="F868" s="16"/>
      <c r="H868" s="16"/>
      <c r="AG868" s="80"/>
      <c r="AH868" s="80"/>
      <c r="AI868" s="80"/>
    </row>
    <row r="869" spans="5:35" x14ac:dyDescent="0.25">
      <c r="E869" s="16"/>
      <c r="F869" s="16"/>
      <c r="H869" s="16"/>
      <c r="AG869" s="80"/>
      <c r="AH869" s="80"/>
      <c r="AI869" s="80"/>
    </row>
    <row r="870" spans="5:35" x14ac:dyDescent="0.25">
      <c r="E870" s="16"/>
      <c r="F870" s="16"/>
      <c r="H870" s="16"/>
      <c r="AG870" s="80"/>
      <c r="AH870" s="80"/>
      <c r="AI870" s="80"/>
    </row>
    <row r="871" spans="5:35" x14ac:dyDescent="0.25">
      <c r="E871" s="16"/>
      <c r="F871" s="16"/>
      <c r="H871" s="16"/>
      <c r="AG871" s="80"/>
      <c r="AH871" s="80"/>
      <c r="AI871" s="80"/>
    </row>
    <row r="872" spans="5:35" x14ac:dyDescent="0.25">
      <c r="E872" s="16"/>
      <c r="F872" s="16"/>
      <c r="H872" s="16"/>
      <c r="AG872" s="80"/>
      <c r="AH872" s="80"/>
      <c r="AI872" s="80"/>
    </row>
    <row r="873" spans="5:35" x14ac:dyDescent="0.25">
      <c r="E873" s="16"/>
      <c r="F873" s="16"/>
      <c r="H873" s="16"/>
      <c r="AG873" s="80"/>
      <c r="AH873" s="80"/>
      <c r="AI873" s="80"/>
    </row>
    <row r="874" spans="5:35" x14ac:dyDescent="0.25">
      <c r="E874" s="16"/>
      <c r="F874" s="16"/>
      <c r="H874" s="16"/>
      <c r="AG874" s="80"/>
      <c r="AH874" s="80"/>
      <c r="AI874" s="80"/>
    </row>
    <row r="875" spans="5:35" x14ac:dyDescent="0.25">
      <c r="E875" s="16"/>
      <c r="F875" s="16"/>
      <c r="H875" s="16"/>
      <c r="AG875" s="80"/>
      <c r="AH875" s="80"/>
      <c r="AI875" s="80"/>
    </row>
    <row r="876" spans="5:35" x14ac:dyDescent="0.25">
      <c r="E876" s="16"/>
      <c r="F876" s="16"/>
      <c r="H876" s="16"/>
      <c r="AG876" s="80"/>
      <c r="AH876" s="80"/>
      <c r="AI876" s="80"/>
    </row>
    <row r="877" spans="5:35" x14ac:dyDescent="0.25">
      <c r="E877" s="16"/>
      <c r="F877" s="16"/>
      <c r="H877" s="16"/>
      <c r="AG877" s="80"/>
      <c r="AH877" s="80"/>
      <c r="AI877" s="80"/>
    </row>
    <row r="878" spans="5:35" x14ac:dyDescent="0.25">
      <c r="E878" s="16"/>
      <c r="F878" s="16"/>
      <c r="H878" s="16"/>
      <c r="AG878" s="80"/>
      <c r="AH878" s="80"/>
      <c r="AI878" s="80"/>
    </row>
    <row r="879" spans="5:35" x14ac:dyDescent="0.25">
      <c r="E879" s="16"/>
      <c r="F879" s="16"/>
      <c r="H879" s="16"/>
      <c r="AG879" s="80"/>
      <c r="AH879" s="80"/>
      <c r="AI879" s="80"/>
    </row>
    <row r="880" spans="5:35" x14ac:dyDescent="0.25">
      <c r="E880" s="16"/>
      <c r="F880" s="16"/>
      <c r="H880" s="16"/>
      <c r="AG880" s="80"/>
      <c r="AH880" s="80"/>
      <c r="AI880" s="80"/>
    </row>
    <row r="881" spans="5:35" x14ac:dyDescent="0.25">
      <c r="E881" s="16"/>
      <c r="F881" s="16"/>
      <c r="H881" s="16"/>
      <c r="AG881" s="80"/>
      <c r="AH881" s="80"/>
      <c r="AI881" s="80"/>
    </row>
    <row r="882" spans="5:35" x14ac:dyDescent="0.25">
      <c r="E882" s="16"/>
      <c r="F882" s="16"/>
      <c r="H882" s="16"/>
      <c r="AG882" s="80"/>
      <c r="AH882" s="80"/>
      <c r="AI882" s="80"/>
    </row>
    <row r="883" spans="5:35" x14ac:dyDescent="0.25">
      <c r="E883" s="16"/>
      <c r="F883" s="16"/>
      <c r="H883" s="16"/>
      <c r="AG883" s="80"/>
      <c r="AH883" s="80"/>
      <c r="AI883" s="80"/>
    </row>
    <row r="884" spans="5:35" x14ac:dyDescent="0.25">
      <c r="E884" s="16"/>
      <c r="F884" s="16"/>
      <c r="H884" s="16"/>
      <c r="AG884" s="80"/>
      <c r="AH884" s="80"/>
      <c r="AI884" s="80"/>
    </row>
    <row r="885" spans="5:35" x14ac:dyDescent="0.25">
      <c r="E885" s="16"/>
      <c r="F885" s="16"/>
      <c r="H885" s="16"/>
      <c r="AG885" s="80"/>
      <c r="AH885" s="80"/>
      <c r="AI885" s="80"/>
    </row>
    <row r="886" spans="5:35" x14ac:dyDescent="0.25">
      <c r="E886" s="16"/>
      <c r="F886" s="16"/>
      <c r="H886" s="16"/>
      <c r="AG886" s="80"/>
      <c r="AH886" s="80"/>
      <c r="AI886" s="80"/>
    </row>
    <row r="887" spans="5:35" x14ac:dyDescent="0.25">
      <c r="E887" s="16"/>
      <c r="F887" s="16"/>
      <c r="H887" s="16"/>
      <c r="AG887" s="80"/>
      <c r="AH887" s="80"/>
      <c r="AI887" s="80"/>
    </row>
    <row r="888" spans="5:35" x14ac:dyDescent="0.25">
      <c r="E888" s="16"/>
      <c r="F888" s="16"/>
      <c r="H888" s="16"/>
      <c r="AG888" s="80"/>
      <c r="AH888" s="80"/>
      <c r="AI888" s="80"/>
    </row>
    <row r="889" spans="5:35" x14ac:dyDescent="0.25">
      <c r="E889" s="16"/>
      <c r="F889" s="16"/>
      <c r="H889" s="16"/>
      <c r="AG889" s="80"/>
      <c r="AH889" s="80"/>
      <c r="AI889" s="80"/>
    </row>
    <row r="890" spans="5:35" x14ac:dyDescent="0.25">
      <c r="E890" s="16"/>
      <c r="F890" s="16"/>
      <c r="H890" s="16"/>
      <c r="AG890" s="80"/>
      <c r="AH890" s="80"/>
      <c r="AI890" s="80"/>
    </row>
    <row r="891" spans="5:35" x14ac:dyDescent="0.25">
      <c r="E891" s="16"/>
      <c r="F891" s="16"/>
      <c r="H891" s="16"/>
      <c r="AG891" s="80"/>
      <c r="AH891" s="80"/>
      <c r="AI891" s="80"/>
    </row>
    <row r="892" spans="5:35" x14ac:dyDescent="0.25">
      <c r="E892" s="16"/>
      <c r="F892" s="16"/>
      <c r="H892" s="16"/>
      <c r="AG892" s="80"/>
      <c r="AH892" s="80"/>
      <c r="AI892" s="80"/>
    </row>
    <row r="893" spans="5:35" x14ac:dyDescent="0.25">
      <c r="E893" s="16"/>
      <c r="F893" s="16"/>
      <c r="H893" s="16"/>
      <c r="AG893" s="80"/>
      <c r="AH893" s="80"/>
      <c r="AI893" s="80"/>
    </row>
    <row r="894" spans="5:35" x14ac:dyDescent="0.25">
      <c r="E894" s="16"/>
      <c r="F894" s="16"/>
      <c r="H894" s="16"/>
      <c r="AG894" s="80"/>
      <c r="AH894" s="80"/>
      <c r="AI894" s="80"/>
    </row>
    <row r="895" spans="5:35" x14ac:dyDescent="0.25">
      <c r="E895" s="16"/>
      <c r="F895" s="16"/>
      <c r="H895" s="16"/>
      <c r="AG895" s="80"/>
      <c r="AH895" s="80"/>
      <c r="AI895" s="80"/>
    </row>
    <row r="896" spans="5:35" x14ac:dyDescent="0.25">
      <c r="E896" s="16"/>
      <c r="F896" s="16"/>
      <c r="H896" s="16"/>
      <c r="AG896" s="80"/>
      <c r="AH896" s="80"/>
      <c r="AI896" s="80"/>
    </row>
    <row r="897" spans="5:35" x14ac:dyDescent="0.25">
      <c r="E897" s="16"/>
      <c r="F897" s="16"/>
      <c r="H897" s="16"/>
      <c r="AG897" s="80"/>
      <c r="AH897" s="80"/>
      <c r="AI897" s="80"/>
    </row>
    <row r="898" spans="5:35" x14ac:dyDescent="0.25">
      <c r="E898" s="16"/>
      <c r="F898" s="16"/>
      <c r="H898" s="16"/>
      <c r="AG898" s="80"/>
      <c r="AH898" s="80"/>
      <c r="AI898" s="80"/>
    </row>
    <row r="899" spans="5:35" x14ac:dyDescent="0.25">
      <c r="E899" s="16"/>
      <c r="F899" s="16"/>
      <c r="H899" s="16"/>
      <c r="AG899" s="80"/>
      <c r="AH899" s="80"/>
      <c r="AI899" s="80"/>
    </row>
    <row r="900" spans="5:35" x14ac:dyDescent="0.25">
      <c r="E900" s="16"/>
      <c r="F900" s="16"/>
      <c r="H900" s="16"/>
      <c r="AG900" s="80"/>
      <c r="AH900" s="80"/>
      <c r="AI900" s="80"/>
    </row>
    <row r="901" spans="5:35" x14ac:dyDescent="0.25">
      <c r="E901" s="16"/>
      <c r="F901" s="16"/>
      <c r="H901" s="16"/>
      <c r="AG901" s="80"/>
      <c r="AH901" s="80"/>
      <c r="AI901" s="80"/>
    </row>
    <row r="902" spans="5:35" x14ac:dyDescent="0.25">
      <c r="E902" s="16"/>
      <c r="F902" s="16"/>
      <c r="H902" s="16"/>
      <c r="AG902" s="80"/>
      <c r="AH902" s="80"/>
      <c r="AI902" s="80"/>
    </row>
    <row r="903" spans="5:35" x14ac:dyDescent="0.25">
      <c r="E903" s="16"/>
      <c r="F903" s="16"/>
      <c r="H903" s="16"/>
      <c r="AG903" s="80"/>
      <c r="AH903" s="80"/>
      <c r="AI903" s="80"/>
    </row>
    <row r="904" spans="5:35" x14ac:dyDescent="0.25">
      <c r="E904" s="16"/>
      <c r="F904" s="16"/>
      <c r="H904" s="16"/>
      <c r="AG904" s="80"/>
      <c r="AH904" s="80"/>
      <c r="AI904" s="80"/>
    </row>
    <row r="905" spans="5:35" x14ac:dyDescent="0.25">
      <c r="E905" s="16"/>
      <c r="F905" s="16"/>
      <c r="H905" s="16"/>
      <c r="AG905" s="80"/>
      <c r="AH905" s="80"/>
      <c r="AI905" s="80"/>
    </row>
    <row r="906" spans="5:35" x14ac:dyDescent="0.25">
      <c r="E906" s="16"/>
      <c r="F906" s="16"/>
      <c r="H906" s="16"/>
      <c r="AG906" s="80"/>
      <c r="AH906" s="80"/>
      <c r="AI906" s="80"/>
    </row>
    <row r="907" spans="5:35" x14ac:dyDescent="0.25">
      <c r="E907" s="16"/>
      <c r="F907" s="16"/>
      <c r="H907" s="16"/>
      <c r="AG907" s="80"/>
      <c r="AH907" s="80"/>
      <c r="AI907" s="80"/>
    </row>
    <row r="908" spans="5:35" x14ac:dyDescent="0.25">
      <c r="E908" s="16"/>
      <c r="F908" s="16"/>
      <c r="H908" s="16"/>
      <c r="AG908" s="80"/>
      <c r="AH908" s="80"/>
      <c r="AI908" s="80"/>
    </row>
    <row r="909" spans="5:35" x14ac:dyDescent="0.25">
      <c r="E909" s="16"/>
      <c r="F909" s="16"/>
      <c r="H909" s="16"/>
      <c r="AG909" s="80"/>
      <c r="AH909" s="80"/>
      <c r="AI909" s="80"/>
    </row>
    <row r="910" spans="5:35" x14ac:dyDescent="0.25">
      <c r="E910" s="16"/>
      <c r="F910" s="16"/>
      <c r="H910" s="16"/>
      <c r="AG910" s="80"/>
      <c r="AH910" s="80"/>
      <c r="AI910" s="80"/>
    </row>
    <row r="911" spans="5:35" x14ac:dyDescent="0.25">
      <c r="E911" s="16"/>
      <c r="F911" s="16"/>
      <c r="H911" s="16"/>
      <c r="AG911" s="80"/>
      <c r="AH911" s="80"/>
      <c r="AI911" s="80"/>
    </row>
    <row r="912" spans="5:35" x14ac:dyDescent="0.25">
      <c r="E912" s="16"/>
      <c r="F912" s="16"/>
      <c r="H912" s="16"/>
      <c r="AG912" s="80"/>
      <c r="AH912" s="80"/>
      <c r="AI912" s="80"/>
    </row>
    <row r="913" spans="5:35" x14ac:dyDescent="0.25">
      <c r="E913" s="16"/>
      <c r="F913" s="16"/>
      <c r="H913" s="16"/>
      <c r="AG913" s="80"/>
      <c r="AH913" s="80"/>
      <c r="AI913" s="80"/>
    </row>
    <row r="914" spans="5:35" x14ac:dyDescent="0.25">
      <c r="E914" s="16"/>
      <c r="F914" s="16"/>
      <c r="H914" s="16"/>
      <c r="AG914" s="80"/>
      <c r="AH914" s="80"/>
      <c r="AI914" s="80"/>
    </row>
    <row r="915" spans="5:35" x14ac:dyDescent="0.25">
      <c r="E915" s="16"/>
      <c r="F915" s="16"/>
      <c r="H915" s="16"/>
      <c r="AG915" s="80"/>
      <c r="AH915" s="80"/>
      <c r="AI915" s="80"/>
    </row>
    <row r="916" spans="5:35" x14ac:dyDescent="0.25">
      <c r="E916" s="16"/>
      <c r="F916" s="16"/>
      <c r="H916" s="16"/>
      <c r="AG916" s="80"/>
      <c r="AH916" s="80"/>
      <c r="AI916" s="80"/>
    </row>
    <row r="917" spans="5:35" x14ac:dyDescent="0.25">
      <c r="E917" s="16"/>
      <c r="F917" s="16"/>
      <c r="H917" s="16"/>
      <c r="AG917" s="80"/>
      <c r="AH917" s="80"/>
      <c r="AI917" s="80"/>
    </row>
    <row r="918" spans="5:35" x14ac:dyDescent="0.25">
      <c r="E918" s="16"/>
      <c r="F918" s="16"/>
      <c r="H918" s="16"/>
      <c r="AG918" s="80"/>
      <c r="AH918" s="80"/>
      <c r="AI918" s="80"/>
    </row>
    <row r="919" spans="5:35" x14ac:dyDescent="0.25">
      <c r="E919" s="16"/>
      <c r="F919" s="16"/>
      <c r="H919" s="16"/>
      <c r="AG919" s="80"/>
      <c r="AH919" s="80"/>
      <c r="AI919" s="80"/>
    </row>
    <row r="920" spans="5:35" x14ac:dyDescent="0.25">
      <c r="E920" s="16"/>
      <c r="F920" s="16"/>
      <c r="H920" s="16"/>
      <c r="AG920" s="80"/>
      <c r="AH920" s="80"/>
      <c r="AI920" s="80"/>
    </row>
    <row r="921" spans="5:35" x14ac:dyDescent="0.25">
      <c r="E921" s="16"/>
      <c r="F921" s="16"/>
      <c r="H921" s="16"/>
      <c r="AG921" s="80"/>
      <c r="AH921" s="80"/>
      <c r="AI921" s="80"/>
    </row>
    <row r="922" spans="5:35" x14ac:dyDescent="0.25">
      <c r="E922" s="16"/>
      <c r="F922" s="16"/>
      <c r="H922" s="16"/>
      <c r="AG922" s="80"/>
      <c r="AH922" s="80"/>
      <c r="AI922" s="80"/>
    </row>
    <row r="923" spans="5:35" x14ac:dyDescent="0.25">
      <c r="E923" s="16"/>
      <c r="F923" s="16"/>
      <c r="H923" s="16"/>
      <c r="AG923" s="80"/>
      <c r="AH923" s="80"/>
      <c r="AI923" s="80"/>
    </row>
    <row r="924" spans="5:35" x14ac:dyDescent="0.25">
      <c r="E924" s="16"/>
      <c r="F924" s="16"/>
      <c r="H924" s="16"/>
      <c r="AG924" s="80"/>
      <c r="AH924" s="80"/>
      <c r="AI924" s="80"/>
    </row>
    <row r="925" spans="5:35" x14ac:dyDescent="0.25">
      <c r="E925" s="16"/>
      <c r="F925" s="16"/>
      <c r="H925" s="16"/>
      <c r="AG925" s="80"/>
      <c r="AH925" s="80"/>
      <c r="AI925" s="80"/>
    </row>
    <row r="926" spans="5:35" x14ac:dyDescent="0.25">
      <c r="E926" s="16"/>
      <c r="F926" s="16"/>
      <c r="H926" s="16"/>
      <c r="AG926" s="80"/>
      <c r="AH926" s="80"/>
      <c r="AI926" s="80"/>
    </row>
    <row r="927" spans="5:35" x14ac:dyDescent="0.25">
      <c r="E927" s="16"/>
      <c r="F927" s="16"/>
      <c r="H927" s="16"/>
      <c r="AG927" s="80"/>
      <c r="AH927" s="80"/>
      <c r="AI927" s="80"/>
    </row>
    <row r="928" spans="5:35" x14ac:dyDescent="0.25">
      <c r="E928" s="16"/>
      <c r="F928" s="16"/>
      <c r="H928" s="16"/>
      <c r="AG928" s="80"/>
      <c r="AH928" s="80"/>
      <c r="AI928" s="80"/>
    </row>
    <row r="929" spans="5:35" x14ac:dyDescent="0.25">
      <c r="E929" s="16"/>
      <c r="F929" s="16"/>
      <c r="H929" s="16"/>
      <c r="AG929" s="80"/>
      <c r="AH929" s="80"/>
      <c r="AI929" s="80"/>
    </row>
    <row r="930" spans="5:35" x14ac:dyDescent="0.25">
      <c r="E930" s="16"/>
      <c r="F930" s="16"/>
      <c r="H930" s="16"/>
      <c r="AG930" s="80"/>
      <c r="AH930" s="80"/>
      <c r="AI930" s="80"/>
    </row>
    <row r="931" spans="5:35" x14ac:dyDescent="0.25">
      <c r="E931" s="16"/>
      <c r="F931" s="16"/>
      <c r="H931" s="16"/>
      <c r="AG931" s="80"/>
      <c r="AH931" s="80"/>
      <c r="AI931" s="80"/>
    </row>
    <row r="932" spans="5:35" x14ac:dyDescent="0.25">
      <c r="E932" s="16"/>
      <c r="F932" s="16"/>
      <c r="H932" s="16"/>
      <c r="AG932" s="80"/>
      <c r="AH932" s="80"/>
      <c r="AI932" s="80"/>
    </row>
    <row r="933" spans="5:35" x14ac:dyDescent="0.25">
      <c r="E933" s="16"/>
      <c r="F933" s="16"/>
      <c r="H933" s="16"/>
      <c r="AG933" s="80"/>
      <c r="AH933" s="80"/>
      <c r="AI933" s="80"/>
    </row>
    <row r="934" spans="5:35" x14ac:dyDescent="0.25">
      <c r="E934" s="16"/>
      <c r="F934" s="16"/>
      <c r="H934" s="16"/>
      <c r="AG934" s="80"/>
      <c r="AH934" s="80"/>
      <c r="AI934" s="80"/>
    </row>
    <row r="935" spans="5:35" x14ac:dyDescent="0.25">
      <c r="E935" s="16"/>
      <c r="F935" s="16"/>
      <c r="H935" s="16"/>
      <c r="AG935" s="80"/>
      <c r="AH935" s="80"/>
      <c r="AI935" s="80"/>
    </row>
    <row r="936" spans="5:35" x14ac:dyDescent="0.25">
      <c r="E936" s="16"/>
      <c r="F936" s="16"/>
      <c r="H936" s="16"/>
      <c r="AG936" s="80"/>
      <c r="AH936" s="80"/>
      <c r="AI936" s="80"/>
    </row>
    <row r="937" spans="5:35" x14ac:dyDescent="0.25">
      <c r="E937" s="16"/>
      <c r="F937" s="16"/>
      <c r="H937" s="16"/>
      <c r="AG937" s="80"/>
      <c r="AH937" s="80"/>
      <c r="AI937" s="80"/>
    </row>
    <row r="938" spans="5:35" x14ac:dyDescent="0.25">
      <c r="E938" s="16"/>
      <c r="F938" s="16"/>
      <c r="H938" s="16"/>
      <c r="AG938" s="80"/>
      <c r="AH938" s="80"/>
      <c r="AI938" s="80"/>
    </row>
    <row r="939" spans="5:35" x14ac:dyDescent="0.25">
      <c r="E939" s="16"/>
      <c r="F939" s="16"/>
      <c r="H939" s="16"/>
      <c r="AG939" s="80"/>
      <c r="AH939" s="80"/>
      <c r="AI939" s="80"/>
    </row>
    <row r="940" spans="5:35" x14ac:dyDescent="0.25">
      <c r="E940" s="16"/>
      <c r="F940" s="16"/>
      <c r="H940" s="16"/>
      <c r="AG940" s="80"/>
      <c r="AH940" s="80"/>
      <c r="AI940" s="80"/>
    </row>
    <row r="941" spans="5:35" x14ac:dyDescent="0.25">
      <c r="E941" s="16"/>
      <c r="F941" s="16"/>
      <c r="H941" s="16"/>
      <c r="AG941" s="80"/>
      <c r="AH941" s="80"/>
      <c r="AI941" s="80"/>
    </row>
    <row r="942" spans="5:35" x14ac:dyDescent="0.25">
      <c r="E942" s="16"/>
      <c r="F942" s="16"/>
      <c r="H942" s="16"/>
      <c r="AG942" s="80"/>
      <c r="AH942" s="80"/>
      <c r="AI942" s="80"/>
    </row>
    <row r="943" spans="5:35" x14ac:dyDescent="0.25">
      <c r="E943" s="16"/>
      <c r="F943" s="16"/>
      <c r="H943" s="16"/>
      <c r="AG943" s="80"/>
      <c r="AH943" s="80"/>
      <c r="AI943" s="80"/>
    </row>
    <row r="944" spans="5:35" x14ac:dyDescent="0.25">
      <c r="E944" s="16"/>
      <c r="F944" s="16"/>
      <c r="H944" s="16"/>
      <c r="AG944" s="80"/>
      <c r="AH944" s="80"/>
      <c r="AI944" s="80"/>
    </row>
    <row r="945" spans="5:35" x14ac:dyDescent="0.25">
      <c r="E945" s="16"/>
      <c r="F945" s="16"/>
      <c r="H945" s="16"/>
      <c r="AG945" s="80"/>
      <c r="AH945" s="80"/>
      <c r="AI945" s="80"/>
    </row>
    <row r="946" spans="5:35" x14ac:dyDescent="0.25">
      <c r="E946" s="16"/>
      <c r="F946" s="16"/>
      <c r="H946" s="16"/>
      <c r="AG946" s="80"/>
      <c r="AH946" s="80"/>
      <c r="AI946" s="80"/>
    </row>
    <row r="947" spans="5:35" x14ac:dyDescent="0.25">
      <c r="E947" s="16"/>
      <c r="F947" s="16"/>
      <c r="H947" s="16"/>
      <c r="AG947" s="80"/>
      <c r="AH947" s="80"/>
      <c r="AI947" s="80"/>
    </row>
    <row r="948" spans="5:35" x14ac:dyDescent="0.25">
      <c r="E948" s="16"/>
      <c r="F948" s="16"/>
      <c r="H948" s="16"/>
      <c r="AG948" s="80"/>
      <c r="AH948" s="80"/>
      <c r="AI948" s="80"/>
    </row>
    <row r="949" spans="5:35" x14ac:dyDescent="0.25">
      <c r="E949" s="16"/>
      <c r="F949" s="16"/>
      <c r="H949" s="16"/>
      <c r="AG949" s="80"/>
      <c r="AH949" s="80"/>
      <c r="AI949" s="80"/>
    </row>
    <row r="950" spans="5:35" x14ac:dyDescent="0.25">
      <c r="E950" s="16"/>
      <c r="F950" s="16"/>
      <c r="H950" s="16"/>
      <c r="AG950" s="80"/>
      <c r="AH950" s="80"/>
      <c r="AI950" s="80"/>
    </row>
    <row r="951" spans="5:35" x14ac:dyDescent="0.25">
      <c r="E951" s="16"/>
      <c r="F951" s="16"/>
      <c r="H951" s="16"/>
      <c r="AG951" s="80"/>
      <c r="AH951" s="80"/>
      <c r="AI951" s="80"/>
    </row>
    <row r="952" spans="5:35" x14ac:dyDescent="0.25">
      <c r="E952" s="16"/>
      <c r="F952" s="16"/>
      <c r="H952" s="16"/>
      <c r="AG952" s="80"/>
      <c r="AH952" s="80"/>
      <c r="AI952" s="80"/>
    </row>
    <row r="953" spans="5:35" x14ac:dyDescent="0.25">
      <c r="E953" s="16"/>
      <c r="F953" s="16"/>
      <c r="H953" s="16"/>
      <c r="AG953" s="80"/>
      <c r="AH953" s="80"/>
      <c r="AI953" s="80"/>
    </row>
    <row r="954" spans="5:35" x14ac:dyDescent="0.25">
      <c r="E954" s="16"/>
      <c r="F954" s="16"/>
      <c r="H954" s="16"/>
      <c r="AG954" s="80"/>
      <c r="AH954" s="80"/>
      <c r="AI954" s="80"/>
    </row>
    <row r="955" spans="5:35" x14ac:dyDescent="0.25">
      <c r="E955" s="16"/>
      <c r="F955" s="16"/>
      <c r="H955" s="16"/>
      <c r="AG955" s="80"/>
      <c r="AH955" s="80"/>
      <c r="AI955" s="80"/>
    </row>
    <row r="956" spans="5:35" x14ac:dyDescent="0.25">
      <c r="E956" s="16"/>
      <c r="F956" s="16"/>
      <c r="H956" s="16"/>
      <c r="AG956" s="80"/>
      <c r="AH956" s="80"/>
      <c r="AI956" s="80"/>
    </row>
    <row r="957" spans="5:35" x14ac:dyDescent="0.25">
      <c r="E957" s="16"/>
      <c r="F957" s="16"/>
      <c r="H957" s="16"/>
      <c r="AG957" s="80"/>
      <c r="AH957" s="80"/>
      <c r="AI957" s="80"/>
    </row>
    <row r="958" spans="5:35" x14ac:dyDescent="0.25">
      <c r="E958" s="16"/>
      <c r="F958" s="16"/>
      <c r="H958" s="16"/>
      <c r="AG958" s="80"/>
      <c r="AH958" s="80"/>
      <c r="AI958" s="80"/>
    </row>
    <row r="959" spans="5:35" x14ac:dyDescent="0.25">
      <c r="E959" s="16"/>
      <c r="F959" s="16"/>
      <c r="H959" s="16"/>
      <c r="AG959" s="80"/>
      <c r="AH959" s="80"/>
      <c r="AI959" s="80"/>
    </row>
    <row r="960" spans="5:35" x14ac:dyDescent="0.25">
      <c r="E960" s="16"/>
      <c r="F960" s="16"/>
      <c r="H960" s="16"/>
      <c r="AG960" s="80"/>
      <c r="AH960" s="80"/>
      <c r="AI960" s="80"/>
    </row>
    <row r="961" spans="5:35" x14ac:dyDescent="0.25">
      <c r="E961" s="16"/>
      <c r="F961" s="16"/>
      <c r="H961" s="16"/>
      <c r="AG961" s="80"/>
      <c r="AH961" s="80"/>
      <c r="AI961" s="80"/>
    </row>
    <row r="962" spans="5:35" x14ac:dyDescent="0.25">
      <c r="E962" s="16"/>
      <c r="F962" s="16"/>
      <c r="H962" s="16"/>
      <c r="AG962" s="80"/>
      <c r="AH962" s="80"/>
      <c r="AI962" s="80"/>
    </row>
    <row r="963" spans="5:35" x14ac:dyDescent="0.25">
      <c r="E963" s="16"/>
      <c r="F963" s="16"/>
      <c r="H963" s="16"/>
      <c r="AG963" s="80"/>
      <c r="AH963" s="80"/>
      <c r="AI963" s="80"/>
    </row>
    <row r="964" spans="5:35" x14ac:dyDescent="0.25">
      <c r="E964" s="16"/>
      <c r="F964" s="16"/>
      <c r="H964" s="16"/>
      <c r="AG964" s="80"/>
      <c r="AH964" s="80"/>
      <c r="AI964" s="80"/>
    </row>
    <row r="965" spans="5:35" x14ac:dyDescent="0.25">
      <c r="E965" s="16"/>
      <c r="F965" s="16"/>
      <c r="H965" s="16"/>
      <c r="AG965" s="80"/>
      <c r="AH965" s="80"/>
      <c r="AI965" s="80"/>
    </row>
    <row r="966" spans="5:35" x14ac:dyDescent="0.25">
      <c r="E966" s="16"/>
      <c r="F966" s="16"/>
      <c r="H966" s="16"/>
      <c r="AG966" s="80"/>
      <c r="AH966" s="80"/>
      <c r="AI966" s="80"/>
    </row>
    <row r="967" spans="5:35" x14ac:dyDescent="0.25">
      <c r="E967" s="16"/>
      <c r="F967" s="16"/>
      <c r="H967" s="16"/>
      <c r="AG967" s="80"/>
      <c r="AH967" s="80"/>
      <c r="AI967" s="80"/>
    </row>
    <row r="968" spans="5:35" x14ac:dyDescent="0.25">
      <c r="E968" s="16"/>
      <c r="F968" s="16"/>
      <c r="H968" s="16"/>
      <c r="AG968" s="80"/>
      <c r="AH968" s="80"/>
      <c r="AI968" s="80"/>
    </row>
    <row r="969" spans="5:35" x14ac:dyDescent="0.25">
      <c r="E969" s="16"/>
      <c r="F969" s="16"/>
      <c r="H969" s="16"/>
      <c r="AG969" s="80"/>
      <c r="AH969" s="80"/>
      <c r="AI969" s="80"/>
    </row>
    <row r="970" spans="5:35" x14ac:dyDescent="0.25">
      <c r="E970" s="16"/>
      <c r="F970" s="16"/>
      <c r="H970" s="16"/>
      <c r="AG970" s="80"/>
      <c r="AH970" s="80"/>
      <c r="AI970" s="80"/>
    </row>
    <row r="971" spans="5:35" x14ac:dyDescent="0.25">
      <c r="E971" s="16"/>
      <c r="F971" s="16"/>
      <c r="H971" s="16"/>
      <c r="AG971" s="80"/>
      <c r="AH971" s="80"/>
      <c r="AI971" s="80"/>
    </row>
    <row r="972" spans="5:35" x14ac:dyDescent="0.25">
      <c r="E972" s="16"/>
      <c r="F972" s="16"/>
      <c r="H972" s="16"/>
      <c r="AG972" s="80"/>
      <c r="AH972" s="80"/>
      <c r="AI972" s="80"/>
    </row>
    <row r="973" spans="5:35" x14ac:dyDescent="0.25">
      <c r="E973" s="16"/>
      <c r="F973" s="16"/>
      <c r="H973" s="16"/>
      <c r="AG973" s="80"/>
      <c r="AH973" s="80"/>
      <c r="AI973" s="80"/>
    </row>
    <row r="974" spans="5:35" x14ac:dyDescent="0.25">
      <c r="E974" s="16"/>
      <c r="F974" s="16"/>
      <c r="H974" s="16"/>
      <c r="AG974" s="80"/>
      <c r="AH974" s="80"/>
      <c r="AI974" s="80"/>
    </row>
    <row r="975" spans="5:35" x14ac:dyDescent="0.25">
      <c r="E975" s="16"/>
      <c r="F975" s="16"/>
      <c r="H975" s="16"/>
      <c r="AG975" s="80"/>
      <c r="AH975" s="80"/>
      <c r="AI975" s="80"/>
    </row>
    <row r="976" spans="5:35" x14ac:dyDescent="0.25">
      <c r="E976" s="16"/>
      <c r="F976" s="16"/>
      <c r="H976" s="16"/>
      <c r="AG976" s="80"/>
      <c r="AH976" s="80"/>
      <c r="AI976" s="80"/>
    </row>
    <row r="977" spans="5:35" x14ac:dyDescent="0.25">
      <c r="E977" s="16"/>
      <c r="F977" s="16"/>
      <c r="H977" s="16"/>
      <c r="AG977" s="80"/>
      <c r="AH977" s="80"/>
      <c r="AI977" s="80"/>
    </row>
    <row r="978" spans="5:35" x14ac:dyDescent="0.25">
      <c r="E978" s="16"/>
      <c r="F978" s="16"/>
      <c r="H978" s="16"/>
      <c r="AG978" s="80"/>
      <c r="AH978" s="80"/>
      <c r="AI978" s="80"/>
    </row>
    <row r="979" spans="5:35" x14ac:dyDescent="0.25">
      <c r="E979" s="16"/>
      <c r="F979" s="16"/>
      <c r="H979" s="16"/>
      <c r="AG979" s="80"/>
      <c r="AH979" s="80"/>
      <c r="AI979" s="80"/>
    </row>
    <row r="980" spans="5:35" x14ac:dyDescent="0.25">
      <c r="E980" s="16"/>
      <c r="F980" s="16"/>
      <c r="H980" s="16"/>
      <c r="AG980" s="80"/>
      <c r="AH980" s="80"/>
      <c r="AI980" s="80"/>
    </row>
    <row r="981" spans="5:35" x14ac:dyDescent="0.25">
      <c r="E981" s="16"/>
      <c r="F981" s="16"/>
      <c r="H981" s="16"/>
      <c r="AG981" s="80"/>
      <c r="AH981" s="80"/>
      <c r="AI981" s="80"/>
    </row>
    <row r="982" spans="5:35" x14ac:dyDescent="0.25">
      <c r="E982" s="16"/>
      <c r="F982" s="16"/>
      <c r="H982" s="16"/>
      <c r="AG982" s="80"/>
      <c r="AH982" s="80"/>
      <c r="AI982" s="80"/>
    </row>
    <row r="983" spans="5:35" x14ac:dyDescent="0.25">
      <c r="E983" s="16"/>
      <c r="F983" s="16"/>
      <c r="H983" s="16"/>
      <c r="AG983" s="80"/>
      <c r="AH983" s="80"/>
      <c r="AI983" s="80"/>
    </row>
    <row r="984" spans="5:35" x14ac:dyDescent="0.25">
      <c r="E984" s="16"/>
      <c r="F984" s="16"/>
      <c r="H984" s="16"/>
      <c r="AG984" s="80"/>
      <c r="AH984" s="80"/>
      <c r="AI984" s="80"/>
    </row>
    <row r="985" spans="5:35" x14ac:dyDescent="0.25">
      <c r="E985" s="16"/>
      <c r="F985" s="16"/>
      <c r="H985" s="16"/>
      <c r="AG985" s="80"/>
      <c r="AH985" s="80"/>
      <c r="AI985" s="80"/>
    </row>
    <row r="986" spans="5:35" x14ac:dyDescent="0.25">
      <c r="E986" s="16"/>
      <c r="F986" s="16"/>
      <c r="H986" s="16"/>
      <c r="AG986" s="80"/>
      <c r="AH986" s="80"/>
      <c r="AI986" s="80"/>
    </row>
    <row r="987" spans="5:35" x14ac:dyDescent="0.25">
      <c r="E987" s="16"/>
      <c r="F987" s="16"/>
      <c r="H987" s="16"/>
      <c r="AG987" s="80"/>
      <c r="AH987" s="80"/>
      <c r="AI987" s="80"/>
    </row>
    <row r="988" spans="5:35" x14ac:dyDescent="0.25">
      <c r="E988" s="16"/>
      <c r="F988" s="16"/>
      <c r="H988" s="16"/>
      <c r="AG988" s="80"/>
      <c r="AH988" s="80"/>
      <c r="AI988" s="80"/>
    </row>
    <row r="989" spans="5:35" x14ac:dyDescent="0.25">
      <c r="E989" s="16"/>
      <c r="F989" s="16"/>
      <c r="H989" s="16"/>
      <c r="AG989" s="80"/>
      <c r="AH989" s="80"/>
      <c r="AI989" s="80"/>
    </row>
    <row r="990" spans="5:35" x14ac:dyDescent="0.25">
      <c r="E990" s="16"/>
      <c r="F990" s="16"/>
      <c r="H990" s="16"/>
      <c r="AG990" s="80"/>
      <c r="AH990" s="80"/>
      <c r="AI990" s="80"/>
    </row>
    <row r="991" spans="5:35" x14ac:dyDescent="0.25">
      <c r="E991" s="16"/>
      <c r="F991" s="16"/>
      <c r="H991" s="16"/>
      <c r="AG991" s="80"/>
      <c r="AH991" s="80"/>
      <c r="AI991" s="80"/>
    </row>
    <row r="992" spans="5:35" x14ac:dyDescent="0.25">
      <c r="E992" s="16"/>
      <c r="F992" s="16"/>
      <c r="H992" s="16"/>
      <c r="AG992" s="80"/>
      <c r="AH992" s="80"/>
      <c r="AI992" s="80"/>
    </row>
    <row r="993" spans="5:35" x14ac:dyDescent="0.25">
      <c r="E993" s="16"/>
      <c r="F993" s="16"/>
      <c r="H993" s="16"/>
      <c r="AG993" s="80"/>
      <c r="AH993" s="80"/>
      <c r="AI993" s="80"/>
    </row>
    <row r="994" spans="5:35" x14ac:dyDescent="0.25">
      <c r="E994" s="16"/>
      <c r="F994" s="16"/>
      <c r="H994" s="16"/>
      <c r="AG994" s="80"/>
      <c r="AH994" s="80"/>
      <c r="AI994" s="80"/>
    </row>
    <row r="995" spans="5:35" x14ac:dyDescent="0.25">
      <c r="E995" s="16"/>
      <c r="F995" s="16"/>
      <c r="H995" s="16"/>
      <c r="AG995" s="80"/>
      <c r="AH995" s="80"/>
      <c r="AI995" s="80"/>
    </row>
    <row r="996" spans="5:35" x14ac:dyDescent="0.25">
      <c r="E996" s="16"/>
      <c r="F996" s="16"/>
      <c r="H996" s="16"/>
      <c r="AG996" s="80"/>
      <c r="AH996" s="80"/>
      <c r="AI996" s="80"/>
    </row>
    <row r="997" spans="5:35" x14ac:dyDescent="0.25">
      <c r="E997" s="16"/>
      <c r="F997" s="16"/>
      <c r="H997" s="16"/>
      <c r="AG997" s="80"/>
      <c r="AH997" s="80"/>
      <c r="AI997" s="80"/>
    </row>
    <row r="998" spans="5:35" x14ac:dyDescent="0.25">
      <c r="E998" s="16"/>
      <c r="F998" s="16"/>
      <c r="H998" s="16"/>
      <c r="AG998" s="80"/>
      <c r="AH998" s="80"/>
      <c r="AI998" s="80"/>
    </row>
    <row r="999" spans="5:35" x14ac:dyDescent="0.25">
      <c r="E999" s="16"/>
      <c r="F999" s="16"/>
      <c r="H999" s="16"/>
      <c r="AG999" s="80"/>
      <c r="AH999" s="80"/>
      <c r="AI999" s="80"/>
    </row>
    <row r="1000" spans="5:35" x14ac:dyDescent="0.25">
      <c r="E1000" s="16"/>
      <c r="F1000" s="16"/>
      <c r="H1000" s="16"/>
      <c r="AG1000" s="80"/>
      <c r="AH1000" s="80"/>
      <c r="AI1000" s="80"/>
    </row>
    <row r="1001" spans="5:35" x14ac:dyDescent="0.25">
      <c r="E1001" s="16"/>
      <c r="F1001" s="16"/>
      <c r="H1001" s="16"/>
      <c r="AG1001" s="80"/>
      <c r="AH1001" s="80"/>
      <c r="AI1001" s="80"/>
    </row>
    <row r="1002" spans="5:35" x14ac:dyDescent="0.25">
      <c r="E1002" s="16"/>
      <c r="F1002" s="16"/>
      <c r="H1002" s="16"/>
      <c r="AG1002" s="80"/>
      <c r="AH1002" s="80"/>
      <c r="AI1002" s="80"/>
    </row>
    <row r="1003" spans="5:35" x14ac:dyDescent="0.25">
      <c r="E1003" s="16"/>
      <c r="F1003" s="16"/>
      <c r="H1003" s="16"/>
      <c r="AG1003" s="80"/>
      <c r="AH1003" s="80"/>
      <c r="AI1003" s="80"/>
    </row>
    <row r="1004" spans="5:35" x14ac:dyDescent="0.25">
      <c r="E1004" s="16"/>
      <c r="F1004" s="16"/>
      <c r="H1004" s="16"/>
      <c r="AG1004" s="80"/>
      <c r="AH1004" s="80"/>
      <c r="AI1004" s="80"/>
    </row>
    <row r="1005" spans="5:35" x14ac:dyDescent="0.25">
      <c r="E1005" s="16"/>
      <c r="F1005" s="16"/>
      <c r="H1005" s="16"/>
      <c r="AG1005" s="80"/>
      <c r="AH1005" s="80"/>
      <c r="AI1005" s="80"/>
    </row>
    <row r="1006" spans="5:35" x14ac:dyDescent="0.25">
      <c r="E1006" s="16"/>
      <c r="F1006" s="16"/>
      <c r="H1006" s="16"/>
      <c r="AG1006" s="80"/>
      <c r="AH1006" s="80"/>
      <c r="AI1006" s="80"/>
    </row>
    <row r="1007" spans="5:35" x14ac:dyDescent="0.25">
      <c r="E1007" s="16"/>
      <c r="F1007" s="16"/>
      <c r="H1007" s="16"/>
      <c r="AG1007" s="80"/>
      <c r="AH1007" s="80"/>
      <c r="AI1007" s="80"/>
    </row>
    <row r="1008" spans="5:35" x14ac:dyDescent="0.25">
      <c r="E1008" s="16"/>
      <c r="F1008" s="16"/>
      <c r="H1008" s="16"/>
      <c r="AG1008" s="80"/>
      <c r="AH1008" s="80"/>
      <c r="AI1008" s="80"/>
    </row>
    <row r="1009" spans="5:35" x14ac:dyDescent="0.25">
      <c r="E1009" s="16"/>
      <c r="F1009" s="16"/>
      <c r="H1009" s="16"/>
      <c r="AG1009" s="80"/>
      <c r="AH1009" s="80"/>
      <c r="AI1009" s="80"/>
    </row>
    <row r="1010" spans="5:35" x14ac:dyDescent="0.25">
      <c r="E1010" s="16"/>
      <c r="F1010" s="16"/>
      <c r="H1010" s="16"/>
      <c r="AG1010" s="80"/>
      <c r="AH1010" s="80"/>
      <c r="AI1010" s="80"/>
    </row>
    <row r="1011" spans="5:35" x14ac:dyDescent="0.25">
      <c r="E1011" s="16"/>
      <c r="F1011" s="16"/>
      <c r="H1011" s="16"/>
      <c r="AG1011" s="80"/>
      <c r="AH1011" s="80"/>
      <c r="AI1011" s="80"/>
    </row>
    <row r="1012" spans="5:35" x14ac:dyDescent="0.25">
      <c r="E1012" s="16"/>
      <c r="F1012" s="16"/>
      <c r="H1012" s="16"/>
      <c r="AG1012" s="80"/>
      <c r="AH1012" s="80"/>
      <c r="AI1012" s="80"/>
    </row>
    <row r="1013" spans="5:35" x14ac:dyDescent="0.25">
      <c r="E1013" s="16"/>
      <c r="F1013" s="16"/>
      <c r="H1013" s="16"/>
      <c r="AG1013" s="80"/>
      <c r="AH1013" s="80"/>
      <c r="AI1013" s="80"/>
    </row>
    <row r="1014" spans="5:35" x14ac:dyDescent="0.25">
      <c r="E1014" s="16"/>
      <c r="F1014" s="16"/>
      <c r="H1014" s="16"/>
      <c r="AG1014" s="80"/>
      <c r="AH1014" s="80"/>
      <c r="AI1014" s="80"/>
    </row>
    <row r="1015" spans="5:35" x14ac:dyDescent="0.25">
      <c r="E1015" s="16"/>
      <c r="F1015" s="16"/>
      <c r="H1015" s="16"/>
      <c r="AG1015" s="80"/>
      <c r="AH1015" s="80"/>
      <c r="AI1015" s="80"/>
    </row>
    <row r="1016" spans="5:35" x14ac:dyDescent="0.25">
      <c r="E1016" s="16"/>
      <c r="F1016" s="16"/>
      <c r="H1016" s="16"/>
      <c r="AG1016" s="80"/>
      <c r="AH1016" s="80"/>
      <c r="AI1016" s="80"/>
    </row>
    <row r="1017" spans="5:35" x14ac:dyDescent="0.25">
      <c r="E1017" s="16"/>
      <c r="F1017" s="16"/>
      <c r="H1017" s="16"/>
      <c r="AG1017" s="80"/>
      <c r="AH1017" s="80"/>
      <c r="AI1017" s="80"/>
    </row>
    <row r="1018" spans="5:35" x14ac:dyDescent="0.25">
      <c r="E1018" s="16"/>
      <c r="F1018" s="16"/>
      <c r="H1018" s="16"/>
      <c r="AG1018" s="80"/>
      <c r="AH1018" s="80"/>
      <c r="AI1018" s="80"/>
    </row>
    <row r="1019" spans="5:35" x14ac:dyDescent="0.25">
      <c r="E1019" s="16"/>
      <c r="F1019" s="16"/>
      <c r="H1019" s="16"/>
      <c r="AG1019" s="80"/>
      <c r="AH1019" s="80"/>
      <c r="AI1019" s="80"/>
    </row>
    <row r="1020" spans="5:35" x14ac:dyDescent="0.25">
      <c r="E1020" s="16"/>
      <c r="F1020" s="16"/>
      <c r="H1020" s="16"/>
      <c r="AG1020" s="80"/>
      <c r="AH1020" s="80"/>
      <c r="AI1020" s="80"/>
    </row>
    <row r="1021" spans="5:35" x14ac:dyDescent="0.25">
      <c r="E1021" s="16"/>
      <c r="F1021" s="16"/>
      <c r="H1021" s="16"/>
      <c r="AG1021" s="80"/>
      <c r="AH1021" s="80"/>
      <c r="AI1021" s="80"/>
    </row>
    <row r="1022" spans="5:35" x14ac:dyDescent="0.25">
      <c r="E1022" s="16"/>
      <c r="F1022" s="16"/>
      <c r="H1022" s="16"/>
      <c r="AG1022" s="80"/>
      <c r="AH1022" s="80"/>
      <c r="AI1022" s="80"/>
    </row>
    <row r="1023" spans="5:35" x14ac:dyDescent="0.25">
      <c r="E1023" s="16"/>
      <c r="F1023" s="16"/>
      <c r="H1023" s="16"/>
      <c r="AG1023" s="80"/>
      <c r="AH1023" s="80"/>
      <c r="AI1023" s="80"/>
    </row>
    <row r="1024" spans="5:35" x14ac:dyDescent="0.25">
      <c r="E1024" s="16"/>
      <c r="F1024" s="16"/>
      <c r="H1024" s="16"/>
      <c r="AG1024" s="80"/>
      <c r="AH1024" s="80"/>
      <c r="AI1024" s="80"/>
    </row>
    <row r="1025" spans="5:35" x14ac:dyDescent="0.25">
      <c r="E1025" s="16"/>
      <c r="F1025" s="16"/>
      <c r="H1025" s="16"/>
      <c r="AG1025" s="80"/>
      <c r="AH1025" s="80"/>
      <c r="AI1025" s="80"/>
    </row>
    <row r="1026" spans="5:35" x14ac:dyDescent="0.25">
      <c r="E1026" s="16"/>
      <c r="F1026" s="16"/>
      <c r="H1026" s="16"/>
      <c r="AG1026" s="80"/>
      <c r="AH1026" s="80"/>
      <c r="AI1026" s="80"/>
    </row>
    <row r="1027" spans="5:35" x14ac:dyDescent="0.25">
      <c r="E1027" s="16"/>
      <c r="F1027" s="16"/>
      <c r="H1027" s="16"/>
      <c r="AG1027" s="80"/>
      <c r="AH1027" s="80"/>
      <c r="AI1027" s="80"/>
    </row>
    <row r="1028" spans="5:35" x14ac:dyDescent="0.25">
      <c r="E1028" s="16"/>
      <c r="F1028" s="16"/>
      <c r="H1028" s="16"/>
      <c r="AG1028" s="80"/>
      <c r="AH1028" s="80"/>
      <c r="AI1028" s="80"/>
    </row>
    <row r="1029" spans="5:35" x14ac:dyDescent="0.25">
      <c r="E1029" s="16"/>
      <c r="F1029" s="16"/>
      <c r="H1029" s="16"/>
      <c r="AG1029" s="80"/>
      <c r="AH1029" s="80"/>
      <c r="AI1029" s="80"/>
    </row>
    <row r="1030" spans="5:35" x14ac:dyDescent="0.25">
      <c r="E1030" s="16"/>
      <c r="F1030" s="16"/>
      <c r="H1030" s="16"/>
      <c r="AG1030" s="80"/>
      <c r="AH1030" s="80"/>
      <c r="AI1030" s="80"/>
    </row>
    <row r="1031" spans="5:35" x14ac:dyDescent="0.25">
      <c r="E1031" s="16"/>
      <c r="F1031" s="16"/>
      <c r="H1031" s="16"/>
      <c r="AG1031" s="80"/>
      <c r="AH1031" s="80"/>
      <c r="AI1031" s="80"/>
    </row>
    <row r="1032" spans="5:35" x14ac:dyDescent="0.25">
      <c r="E1032" s="16"/>
      <c r="F1032" s="16"/>
      <c r="H1032" s="16"/>
      <c r="AG1032" s="80"/>
      <c r="AH1032" s="80"/>
      <c r="AI1032" s="80"/>
    </row>
    <row r="1033" spans="5:35" x14ac:dyDescent="0.25">
      <c r="E1033" s="16"/>
      <c r="F1033" s="16"/>
      <c r="H1033" s="16"/>
      <c r="AG1033" s="80"/>
      <c r="AH1033" s="80"/>
      <c r="AI1033" s="80"/>
    </row>
    <row r="1034" spans="5:35" x14ac:dyDescent="0.25">
      <c r="E1034" s="16"/>
      <c r="F1034" s="16"/>
      <c r="H1034" s="16"/>
      <c r="AG1034" s="80"/>
      <c r="AH1034" s="80"/>
      <c r="AI1034" s="80"/>
    </row>
    <row r="1035" spans="5:35" x14ac:dyDescent="0.25">
      <c r="E1035" s="16"/>
      <c r="F1035" s="16"/>
      <c r="H1035" s="16"/>
      <c r="AG1035" s="80"/>
      <c r="AH1035" s="80"/>
      <c r="AI1035" s="80"/>
    </row>
    <row r="1036" spans="5:35" x14ac:dyDescent="0.25">
      <c r="E1036" s="16"/>
      <c r="F1036" s="16"/>
      <c r="H1036" s="16"/>
      <c r="AG1036" s="80"/>
      <c r="AH1036" s="80"/>
      <c r="AI1036" s="80"/>
    </row>
    <row r="1037" spans="5:35" x14ac:dyDescent="0.25">
      <c r="E1037" s="16"/>
      <c r="F1037" s="16"/>
      <c r="H1037" s="16"/>
      <c r="AG1037" s="80"/>
      <c r="AH1037" s="80"/>
      <c r="AI1037" s="80"/>
    </row>
    <row r="1038" spans="5:35" x14ac:dyDescent="0.25">
      <c r="E1038" s="16"/>
      <c r="F1038" s="16"/>
      <c r="H1038" s="16"/>
      <c r="AG1038" s="80"/>
      <c r="AH1038" s="80"/>
      <c r="AI1038" s="80"/>
    </row>
    <row r="1039" spans="5:35" x14ac:dyDescent="0.25">
      <c r="E1039" s="16"/>
      <c r="F1039" s="16"/>
      <c r="H1039" s="16"/>
      <c r="AG1039" s="80"/>
      <c r="AH1039" s="80"/>
      <c r="AI1039" s="80"/>
    </row>
    <row r="1040" spans="5:35" x14ac:dyDescent="0.25">
      <c r="E1040" s="16"/>
      <c r="F1040" s="16"/>
      <c r="H1040" s="16"/>
      <c r="AG1040" s="80"/>
      <c r="AH1040" s="80"/>
      <c r="AI1040" s="80"/>
    </row>
    <row r="1041" spans="5:35" x14ac:dyDescent="0.25">
      <c r="E1041" s="16"/>
      <c r="F1041" s="16"/>
      <c r="H1041" s="16"/>
      <c r="AG1041" s="80"/>
      <c r="AH1041" s="80"/>
      <c r="AI1041" s="80"/>
    </row>
    <row r="1042" spans="5:35" x14ac:dyDescent="0.25">
      <c r="E1042" s="16"/>
      <c r="F1042" s="16"/>
      <c r="H1042" s="16"/>
      <c r="AG1042" s="80"/>
      <c r="AH1042" s="80"/>
      <c r="AI1042" s="80"/>
    </row>
    <row r="1043" spans="5:35" x14ac:dyDescent="0.25">
      <c r="E1043" s="16"/>
      <c r="F1043" s="16"/>
      <c r="H1043" s="16"/>
      <c r="AG1043" s="80"/>
      <c r="AH1043" s="80"/>
      <c r="AI1043" s="80"/>
    </row>
    <row r="1044" spans="5:35" x14ac:dyDescent="0.25">
      <c r="E1044" s="16"/>
      <c r="F1044" s="16"/>
      <c r="H1044" s="16"/>
      <c r="AG1044" s="80"/>
      <c r="AH1044" s="80"/>
      <c r="AI1044" s="80"/>
    </row>
    <row r="1045" spans="5:35" x14ac:dyDescent="0.25">
      <c r="E1045" s="16"/>
      <c r="F1045" s="16"/>
      <c r="H1045" s="16"/>
      <c r="AG1045" s="80"/>
      <c r="AH1045" s="80"/>
      <c r="AI1045" s="80"/>
    </row>
    <row r="1046" spans="5:35" x14ac:dyDescent="0.25">
      <c r="E1046" s="16"/>
      <c r="F1046" s="16"/>
      <c r="H1046" s="16"/>
      <c r="AG1046" s="80"/>
      <c r="AH1046" s="80"/>
      <c r="AI1046" s="80"/>
    </row>
    <row r="1047" spans="5:35" x14ac:dyDescent="0.25">
      <c r="E1047" s="16"/>
      <c r="F1047" s="16"/>
      <c r="H1047" s="16"/>
      <c r="AG1047" s="80"/>
      <c r="AH1047" s="80"/>
      <c r="AI1047" s="80"/>
    </row>
    <row r="1048" spans="5:35" x14ac:dyDescent="0.25">
      <c r="E1048" s="16"/>
      <c r="F1048" s="16"/>
      <c r="H1048" s="16"/>
      <c r="AG1048" s="80"/>
      <c r="AH1048" s="80"/>
      <c r="AI1048" s="80"/>
    </row>
    <row r="1049" spans="5:35" x14ac:dyDescent="0.25">
      <c r="E1049" s="16"/>
      <c r="F1049" s="16"/>
      <c r="H1049" s="16"/>
      <c r="AG1049" s="80"/>
      <c r="AH1049" s="80"/>
      <c r="AI1049" s="80"/>
    </row>
    <row r="1050" spans="5:35" x14ac:dyDescent="0.25">
      <c r="E1050" s="16"/>
      <c r="F1050" s="16"/>
      <c r="H1050" s="16"/>
      <c r="AG1050" s="80"/>
      <c r="AH1050" s="80"/>
      <c r="AI1050" s="80"/>
    </row>
    <row r="1051" spans="5:35" x14ac:dyDescent="0.25">
      <c r="E1051" s="16"/>
      <c r="F1051" s="16"/>
      <c r="H1051" s="16"/>
      <c r="AG1051" s="80"/>
      <c r="AH1051" s="80"/>
      <c r="AI1051" s="80"/>
    </row>
    <row r="1052" spans="5:35" x14ac:dyDescent="0.25">
      <c r="E1052" s="16"/>
      <c r="F1052" s="16"/>
      <c r="H1052" s="16"/>
      <c r="AG1052" s="80"/>
      <c r="AH1052" s="80"/>
      <c r="AI1052" s="80"/>
    </row>
    <row r="1053" spans="5:35" x14ac:dyDescent="0.25">
      <c r="E1053" s="16"/>
      <c r="F1053" s="16"/>
      <c r="H1053" s="16"/>
      <c r="AG1053" s="80"/>
      <c r="AH1053" s="80"/>
      <c r="AI1053" s="80"/>
    </row>
    <row r="1054" spans="5:35" x14ac:dyDescent="0.25">
      <c r="E1054" s="16"/>
      <c r="F1054" s="16"/>
      <c r="H1054" s="16"/>
      <c r="AG1054" s="80"/>
      <c r="AH1054" s="80"/>
      <c r="AI1054" s="80"/>
    </row>
    <row r="1055" spans="5:35" x14ac:dyDescent="0.25">
      <c r="E1055" s="16"/>
      <c r="F1055" s="16"/>
      <c r="H1055" s="16"/>
      <c r="AG1055" s="80"/>
      <c r="AH1055" s="80"/>
      <c r="AI1055" s="80"/>
    </row>
    <row r="1056" spans="5:35" x14ac:dyDescent="0.25">
      <c r="E1056" s="16"/>
      <c r="F1056" s="16"/>
      <c r="H1056" s="16"/>
      <c r="AG1056" s="80"/>
      <c r="AH1056" s="80"/>
      <c r="AI1056" s="80"/>
    </row>
    <row r="1057" spans="5:35" x14ac:dyDescent="0.25">
      <c r="E1057" s="16"/>
      <c r="F1057" s="16"/>
      <c r="H1057" s="16"/>
      <c r="AG1057" s="80"/>
      <c r="AH1057" s="80"/>
      <c r="AI1057" s="80"/>
    </row>
    <row r="1058" spans="5:35" x14ac:dyDescent="0.25">
      <c r="E1058" s="16"/>
      <c r="F1058" s="16"/>
      <c r="H1058" s="16"/>
      <c r="AG1058" s="80"/>
      <c r="AH1058" s="80"/>
      <c r="AI1058" s="80"/>
    </row>
    <row r="1059" spans="5:35" x14ac:dyDescent="0.25">
      <c r="E1059" s="16"/>
      <c r="F1059" s="16"/>
      <c r="H1059" s="16"/>
      <c r="AG1059" s="80"/>
      <c r="AH1059" s="80"/>
      <c r="AI1059" s="80"/>
    </row>
    <row r="1060" spans="5:35" x14ac:dyDescent="0.25">
      <c r="E1060" s="16"/>
      <c r="F1060" s="16"/>
      <c r="H1060" s="16"/>
      <c r="AG1060" s="80"/>
      <c r="AH1060" s="80"/>
      <c r="AI1060" s="80"/>
    </row>
    <row r="1061" spans="5:35" x14ac:dyDescent="0.25">
      <c r="E1061" s="16"/>
      <c r="F1061" s="16"/>
      <c r="H1061" s="16"/>
      <c r="AG1061" s="80"/>
      <c r="AH1061" s="80"/>
      <c r="AI1061" s="80"/>
    </row>
    <row r="1062" spans="5:35" x14ac:dyDescent="0.25">
      <c r="E1062" s="16"/>
      <c r="F1062" s="16"/>
      <c r="H1062" s="16"/>
      <c r="AG1062" s="80"/>
      <c r="AH1062" s="80"/>
      <c r="AI1062" s="80"/>
    </row>
    <row r="1063" spans="5:35" x14ac:dyDescent="0.25">
      <c r="E1063" s="16"/>
      <c r="F1063" s="16"/>
      <c r="H1063" s="16"/>
      <c r="AG1063" s="80"/>
      <c r="AH1063" s="80"/>
      <c r="AI1063" s="80"/>
    </row>
    <row r="1064" spans="5:35" x14ac:dyDescent="0.25">
      <c r="E1064" s="16"/>
      <c r="F1064" s="16"/>
      <c r="H1064" s="16"/>
      <c r="AG1064" s="80"/>
      <c r="AH1064" s="80"/>
      <c r="AI1064" s="80"/>
    </row>
    <row r="1065" spans="5:35" x14ac:dyDescent="0.25">
      <c r="E1065" s="16"/>
      <c r="F1065" s="16"/>
      <c r="H1065" s="16"/>
      <c r="AG1065" s="80"/>
      <c r="AH1065" s="80"/>
      <c r="AI1065" s="80"/>
    </row>
    <row r="1066" spans="5:35" x14ac:dyDescent="0.25">
      <c r="E1066" s="16"/>
      <c r="F1066" s="16"/>
      <c r="H1066" s="16"/>
      <c r="AG1066" s="80"/>
      <c r="AH1066" s="80"/>
      <c r="AI1066" s="80"/>
    </row>
    <row r="1067" spans="5:35" x14ac:dyDescent="0.25">
      <c r="E1067" s="16"/>
      <c r="F1067" s="16"/>
      <c r="H1067" s="16"/>
      <c r="AG1067" s="80"/>
      <c r="AH1067" s="80"/>
      <c r="AI1067" s="80"/>
    </row>
    <row r="1068" spans="5:35" x14ac:dyDescent="0.25">
      <c r="E1068" s="16"/>
      <c r="F1068" s="16"/>
      <c r="H1068" s="16"/>
      <c r="AG1068" s="80"/>
      <c r="AH1068" s="80"/>
      <c r="AI1068" s="80"/>
    </row>
    <row r="1069" spans="5:35" x14ac:dyDescent="0.25">
      <c r="E1069" s="16"/>
      <c r="F1069" s="16"/>
      <c r="H1069" s="16"/>
      <c r="AG1069" s="80"/>
      <c r="AH1069" s="80"/>
      <c r="AI1069" s="80"/>
    </row>
    <row r="1070" spans="5:35" x14ac:dyDescent="0.25">
      <c r="E1070" s="16"/>
      <c r="F1070" s="16"/>
      <c r="H1070" s="16"/>
      <c r="AG1070" s="80"/>
      <c r="AH1070" s="80"/>
      <c r="AI1070" s="80"/>
    </row>
    <row r="1071" spans="5:35" x14ac:dyDescent="0.25">
      <c r="E1071" s="16"/>
      <c r="F1071" s="16"/>
      <c r="H1071" s="16"/>
      <c r="AG1071" s="80"/>
      <c r="AH1071" s="80"/>
      <c r="AI1071" s="80"/>
    </row>
    <row r="1072" spans="5:35" x14ac:dyDescent="0.25">
      <c r="E1072" s="16"/>
      <c r="F1072" s="16"/>
      <c r="H1072" s="16"/>
      <c r="AG1072" s="80"/>
      <c r="AH1072" s="80"/>
      <c r="AI1072" s="80"/>
    </row>
    <row r="1073" spans="5:35" x14ac:dyDescent="0.25">
      <c r="E1073" s="16"/>
      <c r="F1073" s="16"/>
      <c r="H1073" s="16"/>
      <c r="AG1073" s="80"/>
      <c r="AH1073" s="80"/>
      <c r="AI1073" s="80"/>
    </row>
    <row r="1074" spans="5:35" x14ac:dyDescent="0.25">
      <c r="E1074" s="16"/>
      <c r="F1074" s="16"/>
      <c r="H1074" s="16"/>
      <c r="AG1074" s="80"/>
      <c r="AH1074" s="80"/>
      <c r="AI1074" s="80"/>
    </row>
    <row r="1075" spans="5:35" x14ac:dyDescent="0.25">
      <c r="E1075" s="16"/>
      <c r="F1075" s="16"/>
      <c r="H1075" s="16"/>
      <c r="AG1075" s="80"/>
      <c r="AH1075" s="80"/>
      <c r="AI1075" s="80"/>
    </row>
    <row r="1076" spans="5:35" x14ac:dyDescent="0.25">
      <c r="E1076" s="16"/>
      <c r="F1076" s="16"/>
      <c r="H1076" s="16"/>
      <c r="AG1076" s="80"/>
      <c r="AH1076" s="80"/>
      <c r="AI1076" s="80"/>
    </row>
    <row r="1077" spans="5:35" x14ac:dyDescent="0.25">
      <c r="E1077" s="16"/>
      <c r="F1077" s="16"/>
      <c r="H1077" s="16"/>
      <c r="AG1077" s="80"/>
      <c r="AH1077" s="80"/>
      <c r="AI1077" s="80"/>
    </row>
    <row r="1078" spans="5:35" x14ac:dyDescent="0.25">
      <c r="E1078" s="16"/>
      <c r="F1078" s="16"/>
      <c r="H1078" s="16"/>
      <c r="AG1078" s="80"/>
      <c r="AH1078" s="80"/>
      <c r="AI1078" s="80"/>
    </row>
    <row r="1079" spans="5:35" x14ac:dyDescent="0.25">
      <c r="E1079" s="16"/>
      <c r="F1079" s="16"/>
      <c r="H1079" s="16"/>
      <c r="AG1079" s="80"/>
      <c r="AH1079" s="80"/>
      <c r="AI1079" s="80"/>
    </row>
    <row r="1080" spans="5:35" x14ac:dyDescent="0.25">
      <c r="E1080" s="16"/>
      <c r="F1080" s="16"/>
      <c r="H1080" s="16"/>
      <c r="AG1080" s="80"/>
      <c r="AH1080" s="80"/>
      <c r="AI1080" s="80"/>
    </row>
    <row r="1081" spans="5:35" x14ac:dyDescent="0.25">
      <c r="E1081" s="16"/>
      <c r="F1081" s="16"/>
      <c r="H1081" s="16"/>
      <c r="AG1081" s="80"/>
      <c r="AH1081" s="80"/>
      <c r="AI1081" s="80"/>
    </row>
    <row r="1082" spans="5:35" x14ac:dyDescent="0.25">
      <c r="E1082" s="16"/>
      <c r="F1082" s="16"/>
      <c r="H1082" s="16"/>
      <c r="AG1082" s="80"/>
      <c r="AH1082" s="80"/>
      <c r="AI1082" s="80"/>
    </row>
    <row r="1083" spans="5:35" x14ac:dyDescent="0.25">
      <c r="E1083" s="16"/>
      <c r="F1083" s="16"/>
      <c r="H1083" s="16"/>
      <c r="AG1083" s="80"/>
      <c r="AH1083" s="80"/>
      <c r="AI1083" s="80"/>
    </row>
    <row r="1084" spans="5:35" x14ac:dyDescent="0.25">
      <c r="E1084" s="16"/>
      <c r="F1084" s="16"/>
      <c r="H1084" s="16"/>
      <c r="AG1084" s="80"/>
      <c r="AH1084" s="80"/>
      <c r="AI1084" s="80"/>
    </row>
    <row r="1085" spans="5:35" x14ac:dyDescent="0.25">
      <c r="E1085" s="16"/>
      <c r="F1085" s="16"/>
      <c r="H1085" s="16"/>
      <c r="AG1085" s="80"/>
      <c r="AH1085" s="80"/>
      <c r="AI1085" s="80"/>
    </row>
    <row r="1086" spans="5:35" x14ac:dyDescent="0.25">
      <c r="E1086" s="16"/>
      <c r="F1086" s="16"/>
      <c r="H1086" s="16"/>
      <c r="AG1086" s="80"/>
      <c r="AH1086" s="80"/>
      <c r="AI1086" s="80"/>
    </row>
    <row r="1087" spans="5:35" x14ac:dyDescent="0.25">
      <c r="E1087" s="16"/>
      <c r="F1087" s="16"/>
      <c r="H1087" s="16"/>
      <c r="AG1087" s="80"/>
      <c r="AH1087" s="80"/>
      <c r="AI1087" s="80"/>
    </row>
    <row r="1088" spans="5:35" x14ac:dyDescent="0.25">
      <c r="E1088" s="16"/>
      <c r="F1088" s="16"/>
      <c r="H1088" s="16"/>
      <c r="AG1088" s="80"/>
      <c r="AH1088" s="80"/>
      <c r="AI1088" s="80"/>
    </row>
    <row r="1089" spans="5:35" x14ac:dyDescent="0.25">
      <c r="E1089" s="16"/>
      <c r="F1089" s="16"/>
      <c r="H1089" s="16"/>
      <c r="AG1089" s="80"/>
      <c r="AH1089" s="80"/>
      <c r="AI1089" s="80"/>
    </row>
    <row r="1090" spans="5:35" x14ac:dyDescent="0.25">
      <c r="E1090" s="16"/>
      <c r="F1090" s="16"/>
      <c r="H1090" s="16"/>
      <c r="AG1090" s="80"/>
      <c r="AH1090" s="80"/>
      <c r="AI1090" s="80"/>
    </row>
    <row r="1091" spans="5:35" x14ac:dyDescent="0.25">
      <c r="E1091" s="16"/>
      <c r="F1091" s="16"/>
      <c r="H1091" s="16"/>
      <c r="AG1091" s="80"/>
      <c r="AH1091" s="80"/>
      <c r="AI1091" s="80"/>
    </row>
    <row r="1092" spans="5:35" x14ac:dyDescent="0.25">
      <c r="E1092" s="16"/>
      <c r="F1092" s="16"/>
      <c r="H1092" s="16"/>
      <c r="AG1092" s="80"/>
      <c r="AH1092" s="80"/>
      <c r="AI1092" s="80"/>
    </row>
    <row r="1093" spans="5:35" x14ac:dyDescent="0.25">
      <c r="E1093" s="16"/>
      <c r="F1093" s="16"/>
      <c r="H1093" s="16"/>
      <c r="AG1093" s="80"/>
      <c r="AH1093" s="80"/>
      <c r="AI1093" s="80"/>
    </row>
    <row r="1094" spans="5:35" x14ac:dyDescent="0.25">
      <c r="E1094" s="16"/>
      <c r="F1094" s="16"/>
      <c r="H1094" s="16"/>
      <c r="AG1094" s="80"/>
      <c r="AH1094" s="80"/>
      <c r="AI1094" s="80"/>
    </row>
    <row r="1095" spans="5:35" x14ac:dyDescent="0.25">
      <c r="E1095" s="16"/>
      <c r="F1095" s="16"/>
      <c r="H1095" s="16"/>
      <c r="AG1095" s="80"/>
      <c r="AH1095" s="80"/>
      <c r="AI1095" s="80"/>
    </row>
    <row r="1096" spans="5:35" x14ac:dyDescent="0.25">
      <c r="E1096" s="16"/>
      <c r="F1096" s="16"/>
      <c r="H1096" s="16"/>
      <c r="AG1096" s="80"/>
      <c r="AH1096" s="80"/>
      <c r="AI1096" s="80"/>
    </row>
    <row r="1097" spans="5:35" x14ac:dyDescent="0.25">
      <c r="E1097" s="16"/>
      <c r="F1097" s="16"/>
      <c r="H1097" s="16"/>
      <c r="AG1097" s="80"/>
      <c r="AH1097" s="80"/>
      <c r="AI1097" s="80"/>
    </row>
    <row r="1098" spans="5:35" x14ac:dyDescent="0.25">
      <c r="E1098" s="16"/>
      <c r="F1098" s="16"/>
      <c r="H1098" s="16"/>
      <c r="AG1098" s="80"/>
      <c r="AH1098" s="80"/>
      <c r="AI1098" s="80"/>
    </row>
    <row r="1099" spans="5:35" x14ac:dyDescent="0.25">
      <c r="E1099" s="16"/>
      <c r="F1099" s="16"/>
      <c r="H1099" s="16"/>
      <c r="AG1099" s="80"/>
      <c r="AH1099" s="80"/>
      <c r="AI1099" s="80"/>
    </row>
    <row r="1100" spans="5:35" x14ac:dyDescent="0.25">
      <c r="E1100" s="16"/>
      <c r="F1100" s="16"/>
      <c r="H1100" s="16"/>
      <c r="AG1100" s="80"/>
      <c r="AH1100" s="80"/>
      <c r="AI1100" s="80"/>
    </row>
    <row r="1101" spans="5:35" x14ac:dyDescent="0.25">
      <c r="E1101" s="16"/>
      <c r="F1101" s="16"/>
      <c r="H1101" s="16"/>
      <c r="AG1101" s="80"/>
      <c r="AH1101" s="80"/>
      <c r="AI1101" s="80"/>
    </row>
    <row r="1102" spans="5:35" x14ac:dyDescent="0.25">
      <c r="E1102" s="16"/>
      <c r="F1102" s="16"/>
      <c r="H1102" s="16"/>
      <c r="AG1102" s="80"/>
      <c r="AH1102" s="80"/>
      <c r="AI1102" s="80"/>
    </row>
    <row r="1103" spans="5:35" x14ac:dyDescent="0.25">
      <c r="E1103" s="16"/>
      <c r="F1103" s="16"/>
      <c r="H1103" s="16"/>
      <c r="AG1103" s="80"/>
      <c r="AH1103" s="80"/>
      <c r="AI1103" s="80"/>
    </row>
    <row r="1104" spans="5:35" x14ac:dyDescent="0.25">
      <c r="E1104" s="16"/>
      <c r="F1104" s="16"/>
      <c r="H1104" s="16"/>
      <c r="AG1104" s="80"/>
      <c r="AH1104" s="80"/>
      <c r="AI1104" s="80"/>
    </row>
    <row r="1105" spans="5:35" x14ac:dyDescent="0.25">
      <c r="E1105" s="16"/>
      <c r="F1105" s="16"/>
      <c r="H1105" s="16"/>
      <c r="AG1105" s="80"/>
      <c r="AH1105" s="80"/>
      <c r="AI1105" s="80"/>
    </row>
    <row r="1106" spans="5:35" x14ac:dyDescent="0.25">
      <c r="E1106" s="16"/>
      <c r="F1106" s="16"/>
      <c r="H1106" s="16"/>
      <c r="AG1106" s="80"/>
      <c r="AH1106" s="80"/>
      <c r="AI1106" s="80"/>
    </row>
    <row r="1107" spans="5:35" x14ac:dyDescent="0.25">
      <c r="E1107" s="16"/>
      <c r="F1107" s="16"/>
      <c r="H1107" s="16"/>
      <c r="AG1107" s="80"/>
      <c r="AH1107" s="80"/>
      <c r="AI1107" s="80"/>
    </row>
    <row r="1108" spans="5:35" x14ac:dyDescent="0.25">
      <c r="E1108" s="16"/>
      <c r="F1108" s="16"/>
      <c r="H1108" s="16"/>
      <c r="AG1108" s="80"/>
      <c r="AH1108" s="80"/>
      <c r="AI1108" s="80"/>
    </row>
    <row r="1109" spans="5:35" x14ac:dyDescent="0.25">
      <c r="E1109" s="16"/>
      <c r="F1109" s="16"/>
      <c r="H1109" s="16"/>
      <c r="AG1109" s="80"/>
      <c r="AH1109" s="80"/>
      <c r="AI1109" s="80"/>
    </row>
    <row r="1110" spans="5:35" x14ac:dyDescent="0.25">
      <c r="E1110" s="16"/>
      <c r="F1110" s="16"/>
      <c r="H1110" s="16"/>
      <c r="AG1110" s="80"/>
      <c r="AH1110" s="80"/>
      <c r="AI1110" s="80"/>
    </row>
    <row r="1111" spans="5:35" x14ac:dyDescent="0.25">
      <c r="E1111" s="16"/>
      <c r="F1111" s="16"/>
      <c r="H1111" s="16"/>
      <c r="AG1111" s="80"/>
      <c r="AH1111" s="80"/>
      <c r="AI1111" s="80"/>
    </row>
    <row r="1112" spans="5:35" x14ac:dyDescent="0.25">
      <c r="E1112" s="16"/>
      <c r="F1112" s="16"/>
      <c r="H1112" s="16"/>
      <c r="AG1112" s="80"/>
      <c r="AH1112" s="80"/>
      <c r="AI1112" s="80"/>
    </row>
    <row r="1113" spans="5:35" x14ac:dyDescent="0.25">
      <c r="E1113" s="16"/>
      <c r="F1113" s="16"/>
      <c r="H1113" s="16"/>
      <c r="AG1113" s="80"/>
      <c r="AH1113" s="80"/>
      <c r="AI1113" s="80"/>
    </row>
    <row r="1114" spans="5:35" x14ac:dyDescent="0.25">
      <c r="E1114" s="16"/>
      <c r="F1114" s="16"/>
      <c r="H1114" s="16"/>
      <c r="AG1114" s="80"/>
      <c r="AH1114" s="80"/>
      <c r="AI1114" s="80"/>
    </row>
    <row r="1115" spans="5:35" x14ac:dyDescent="0.25">
      <c r="E1115" s="16"/>
      <c r="F1115" s="16"/>
      <c r="H1115" s="16"/>
      <c r="AG1115" s="80"/>
      <c r="AH1115" s="80"/>
      <c r="AI1115" s="80"/>
    </row>
    <row r="1116" spans="5:35" x14ac:dyDescent="0.25">
      <c r="E1116" s="16"/>
      <c r="F1116" s="16"/>
      <c r="H1116" s="16"/>
      <c r="AG1116" s="80"/>
      <c r="AH1116" s="80"/>
      <c r="AI1116" s="80"/>
    </row>
    <row r="1117" spans="5:35" x14ac:dyDescent="0.25">
      <c r="E1117" s="16"/>
      <c r="F1117" s="16"/>
      <c r="H1117" s="16"/>
      <c r="AG1117" s="80"/>
      <c r="AH1117" s="80"/>
      <c r="AI1117" s="80"/>
    </row>
    <row r="1118" spans="5:35" x14ac:dyDescent="0.25">
      <c r="E1118" s="16"/>
      <c r="F1118" s="16"/>
      <c r="H1118" s="16"/>
      <c r="AG1118" s="80"/>
      <c r="AH1118" s="80"/>
      <c r="AI1118" s="80"/>
    </row>
    <row r="1119" spans="5:35" x14ac:dyDescent="0.25">
      <c r="E1119" s="16"/>
      <c r="F1119" s="16"/>
      <c r="H1119" s="16"/>
      <c r="AG1119" s="80"/>
      <c r="AH1119" s="80"/>
      <c r="AI1119" s="80"/>
    </row>
    <row r="1120" spans="5:35" x14ac:dyDescent="0.25">
      <c r="E1120" s="16"/>
      <c r="F1120" s="16"/>
      <c r="H1120" s="16"/>
      <c r="AG1120" s="80"/>
      <c r="AH1120" s="80"/>
      <c r="AI1120" s="80"/>
    </row>
    <row r="1121" spans="5:35" x14ac:dyDescent="0.25">
      <c r="E1121" s="16"/>
      <c r="F1121" s="16"/>
      <c r="H1121" s="16"/>
      <c r="AG1121" s="80"/>
      <c r="AH1121" s="80"/>
      <c r="AI1121" s="80"/>
    </row>
    <row r="1122" spans="5:35" x14ac:dyDescent="0.25">
      <c r="E1122" s="16"/>
      <c r="F1122" s="16"/>
      <c r="H1122" s="16"/>
      <c r="AG1122" s="80"/>
      <c r="AH1122" s="80"/>
      <c r="AI1122" s="80"/>
    </row>
    <row r="1123" spans="5:35" x14ac:dyDescent="0.25">
      <c r="E1123" s="16"/>
      <c r="F1123" s="16"/>
      <c r="H1123" s="16"/>
      <c r="AG1123" s="80"/>
      <c r="AH1123" s="80"/>
      <c r="AI1123" s="80"/>
    </row>
    <row r="1124" spans="5:35" x14ac:dyDescent="0.25">
      <c r="E1124" s="16"/>
      <c r="F1124" s="16"/>
      <c r="H1124" s="16"/>
      <c r="AG1124" s="80"/>
      <c r="AH1124" s="80"/>
      <c r="AI1124" s="80"/>
    </row>
    <row r="1125" spans="5:35" x14ac:dyDescent="0.25">
      <c r="E1125" s="16"/>
      <c r="F1125" s="16"/>
      <c r="H1125" s="16"/>
      <c r="AG1125" s="80"/>
      <c r="AH1125" s="80"/>
      <c r="AI1125" s="80"/>
    </row>
    <row r="1126" spans="5:35" x14ac:dyDescent="0.25">
      <c r="E1126" s="16"/>
      <c r="F1126" s="16"/>
      <c r="H1126" s="16"/>
      <c r="AG1126" s="80"/>
      <c r="AH1126" s="80"/>
      <c r="AI1126" s="80"/>
    </row>
    <row r="1127" spans="5:35" x14ac:dyDescent="0.25">
      <c r="E1127" s="16"/>
      <c r="F1127" s="16"/>
      <c r="H1127" s="16"/>
      <c r="AG1127" s="80"/>
      <c r="AH1127" s="80"/>
      <c r="AI1127" s="80"/>
    </row>
    <row r="1128" spans="5:35" x14ac:dyDescent="0.25">
      <c r="E1128" s="16"/>
      <c r="F1128" s="16"/>
      <c r="H1128" s="16"/>
      <c r="AG1128" s="80"/>
      <c r="AH1128" s="80"/>
      <c r="AI1128" s="80"/>
    </row>
    <row r="1129" spans="5:35" x14ac:dyDescent="0.25">
      <c r="E1129" s="16"/>
      <c r="F1129" s="16"/>
      <c r="H1129" s="16"/>
      <c r="AG1129" s="80"/>
      <c r="AH1129" s="80"/>
      <c r="AI1129" s="80"/>
    </row>
    <row r="1130" spans="5:35" x14ac:dyDescent="0.25">
      <c r="E1130" s="16"/>
      <c r="F1130" s="16"/>
      <c r="H1130" s="16"/>
      <c r="AG1130" s="80"/>
      <c r="AH1130" s="80"/>
      <c r="AI1130" s="80"/>
    </row>
    <row r="1131" spans="5:35" x14ac:dyDescent="0.25">
      <c r="E1131" s="16"/>
      <c r="F1131" s="16"/>
      <c r="H1131" s="16"/>
      <c r="AG1131" s="80"/>
      <c r="AH1131" s="80"/>
      <c r="AI1131" s="80"/>
    </row>
    <row r="1132" spans="5:35" x14ac:dyDescent="0.25">
      <c r="E1132" s="16"/>
      <c r="F1132" s="16"/>
      <c r="H1132" s="16"/>
      <c r="AG1132" s="80"/>
      <c r="AH1132" s="80"/>
      <c r="AI1132" s="80"/>
    </row>
    <row r="1133" spans="5:35" x14ac:dyDescent="0.25">
      <c r="E1133" s="16"/>
      <c r="F1133" s="16"/>
      <c r="H1133" s="16"/>
      <c r="AG1133" s="80"/>
      <c r="AH1133" s="80"/>
      <c r="AI1133" s="80"/>
    </row>
    <row r="1134" spans="5:35" x14ac:dyDescent="0.25">
      <c r="E1134" s="16"/>
      <c r="F1134" s="16"/>
      <c r="H1134" s="16"/>
      <c r="AG1134" s="80"/>
      <c r="AH1134" s="80"/>
      <c r="AI1134" s="80"/>
    </row>
    <row r="1135" spans="5:35" x14ac:dyDescent="0.25">
      <c r="E1135" s="16"/>
      <c r="F1135" s="16"/>
      <c r="H1135" s="16"/>
      <c r="AG1135" s="80"/>
      <c r="AH1135" s="80"/>
      <c r="AI1135" s="80"/>
    </row>
    <row r="1136" spans="5:35" x14ac:dyDescent="0.25">
      <c r="E1136" s="16"/>
      <c r="F1136" s="16"/>
      <c r="H1136" s="16"/>
      <c r="AG1136" s="80"/>
      <c r="AH1136" s="80"/>
      <c r="AI1136" s="80"/>
    </row>
    <row r="1137" spans="5:35" x14ac:dyDescent="0.25">
      <c r="E1137" s="16"/>
      <c r="F1137" s="16"/>
      <c r="H1137" s="16"/>
      <c r="AG1137" s="80"/>
      <c r="AH1137" s="80"/>
      <c r="AI1137" s="80"/>
    </row>
    <row r="1138" spans="5:35" x14ac:dyDescent="0.25">
      <c r="E1138" s="16"/>
      <c r="F1138" s="16"/>
      <c r="H1138" s="16"/>
      <c r="AG1138" s="80"/>
      <c r="AH1138" s="80"/>
      <c r="AI1138" s="80"/>
    </row>
    <row r="1139" spans="5:35" x14ac:dyDescent="0.25">
      <c r="E1139" s="16"/>
      <c r="F1139" s="16"/>
      <c r="H1139" s="16"/>
      <c r="AG1139" s="80"/>
      <c r="AH1139" s="80"/>
      <c r="AI1139" s="80"/>
    </row>
    <row r="1140" spans="5:35" x14ac:dyDescent="0.25">
      <c r="E1140" s="16"/>
      <c r="F1140" s="16"/>
      <c r="H1140" s="16"/>
      <c r="AG1140" s="80"/>
      <c r="AH1140" s="80"/>
      <c r="AI1140" s="80"/>
    </row>
    <row r="1141" spans="5:35" x14ac:dyDescent="0.25">
      <c r="E1141" s="16"/>
      <c r="F1141" s="16"/>
      <c r="H1141" s="16"/>
      <c r="AG1141" s="80"/>
      <c r="AH1141" s="80"/>
      <c r="AI1141" s="80"/>
    </row>
    <row r="1142" spans="5:35" x14ac:dyDescent="0.25">
      <c r="E1142" s="16"/>
      <c r="F1142" s="16"/>
      <c r="H1142" s="16"/>
      <c r="AG1142" s="80"/>
      <c r="AH1142" s="80"/>
      <c r="AI1142" s="80"/>
    </row>
    <row r="1143" spans="5:35" x14ac:dyDescent="0.25">
      <c r="E1143" s="16"/>
      <c r="F1143" s="16"/>
      <c r="H1143" s="16"/>
      <c r="AG1143" s="80"/>
      <c r="AH1143" s="80"/>
      <c r="AI1143" s="80"/>
    </row>
    <row r="1144" spans="5:35" x14ac:dyDescent="0.25">
      <c r="E1144" s="16"/>
      <c r="F1144" s="16"/>
      <c r="H1144" s="16"/>
      <c r="AG1144" s="80"/>
      <c r="AH1144" s="80"/>
      <c r="AI1144" s="80"/>
    </row>
    <row r="1145" spans="5:35" x14ac:dyDescent="0.25">
      <c r="E1145" s="16"/>
      <c r="F1145" s="16"/>
      <c r="H1145" s="16"/>
      <c r="AG1145" s="80"/>
      <c r="AH1145" s="80"/>
      <c r="AI1145" s="80"/>
    </row>
    <row r="1146" spans="5:35" x14ac:dyDescent="0.25">
      <c r="E1146" s="16"/>
      <c r="F1146" s="16"/>
      <c r="H1146" s="16"/>
      <c r="AG1146" s="80"/>
      <c r="AH1146" s="80"/>
      <c r="AI1146" s="80"/>
    </row>
    <row r="1147" spans="5:35" x14ac:dyDescent="0.25">
      <c r="E1147" s="16"/>
      <c r="F1147" s="16"/>
      <c r="H1147" s="16"/>
      <c r="AG1147" s="80"/>
      <c r="AH1147" s="80"/>
      <c r="AI1147" s="80"/>
    </row>
    <row r="1148" spans="5:35" x14ac:dyDescent="0.25">
      <c r="E1148" s="16"/>
      <c r="F1148" s="16"/>
      <c r="H1148" s="16"/>
      <c r="AG1148" s="80"/>
      <c r="AH1148" s="80"/>
      <c r="AI1148" s="80"/>
    </row>
    <row r="1149" spans="5:35" x14ac:dyDescent="0.25">
      <c r="E1149" s="16"/>
      <c r="F1149" s="16"/>
      <c r="H1149" s="16"/>
      <c r="AG1149" s="80"/>
      <c r="AH1149" s="80"/>
      <c r="AI1149" s="80"/>
    </row>
    <row r="1150" spans="5:35" x14ac:dyDescent="0.25">
      <c r="E1150" s="16"/>
      <c r="F1150" s="16"/>
      <c r="H1150" s="16"/>
      <c r="AG1150" s="80"/>
      <c r="AH1150" s="80"/>
      <c r="AI1150" s="80"/>
    </row>
    <row r="1151" spans="5:35" x14ac:dyDescent="0.25">
      <c r="E1151" s="16"/>
      <c r="F1151" s="16"/>
      <c r="H1151" s="16"/>
      <c r="AG1151" s="80"/>
      <c r="AH1151" s="80"/>
      <c r="AI1151" s="80"/>
    </row>
    <row r="1152" spans="5:35" x14ac:dyDescent="0.25">
      <c r="E1152" s="16"/>
      <c r="F1152" s="16"/>
      <c r="H1152" s="16"/>
      <c r="AG1152" s="80"/>
      <c r="AH1152" s="80"/>
      <c r="AI1152" s="80"/>
    </row>
    <row r="1153" spans="5:35" x14ac:dyDescent="0.25">
      <c r="E1153" s="16"/>
      <c r="F1153" s="16"/>
      <c r="H1153" s="16"/>
      <c r="AG1153" s="80"/>
      <c r="AH1153" s="80"/>
      <c r="AI1153" s="80"/>
    </row>
    <row r="1154" spans="5:35" x14ac:dyDescent="0.25">
      <c r="E1154" s="16"/>
      <c r="F1154" s="16"/>
      <c r="H1154" s="16"/>
      <c r="AG1154" s="80"/>
      <c r="AH1154" s="80"/>
      <c r="AI1154" s="80"/>
    </row>
    <row r="1155" spans="5:35" x14ac:dyDescent="0.25">
      <c r="E1155" s="16"/>
      <c r="F1155" s="16"/>
      <c r="H1155" s="16"/>
      <c r="AG1155" s="80"/>
      <c r="AH1155" s="80"/>
      <c r="AI1155" s="80"/>
    </row>
    <row r="1156" spans="5:35" x14ac:dyDescent="0.25">
      <c r="E1156" s="16"/>
      <c r="F1156" s="16"/>
      <c r="H1156" s="16"/>
      <c r="AG1156" s="80"/>
      <c r="AH1156" s="80"/>
      <c r="AI1156" s="80"/>
    </row>
    <row r="1157" spans="5:35" x14ac:dyDescent="0.25">
      <c r="E1157" s="16"/>
      <c r="F1157" s="16"/>
      <c r="H1157" s="16"/>
      <c r="AG1157" s="80"/>
      <c r="AH1157" s="80"/>
      <c r="AI1157" s="80"/>
    </row>
    <row r="1158" spans="5:35" x14ac:dyDescent="0.25">
      <c r="E1158" s="16"/>
      <c r="F1158" s="16"/>
      <c r="H1158" s="16"/>
      <c r="AG1158" s="80"/>
      <c r="AH1158" s="80"/>
      <c r="AI1158" s="80"/>
    </row>
    <row r="1159" spans="5:35" x14ac:dyDescent="0.25">
      <c r="E1159" s="16"/>
      <c r="F1159" s="16"/>
      <c r="H1159" s="16"/>
      <c r="AG1159" s="80"/>
      <c r="AH1159" s="80"/>
      <c r="AI1159" s="80"/>
    </row>
    <row r="1160" spans="5:35" x14ac:dyDescent="0.25">
      <c r="E1160" s="16"/>
      <c r="F1160" s="16"/>
      <c r="H1160" s="16"/>
      <c r="AG1160" s="80"/>
      <c r="AH1160" s="80"/>
      <c r="AI1160" s="80"/>
    </row>
    <row r="1161" spans="5:35" x14ac:dyDescent="0.25">
      <c r="E1161" s="16"/>
      <c r="F1161" s="16"/>
      <c r="H1161" s="16"/>
      <c r="AG1161" s="80"/>
      <c r="AH1161" s="80"/>
      <c r="AI1161" s="80"/>
    </row>
    <row r="1162" spans="5:35" x14ac:dyDescent="0.25">
      <c r="E1162" s="16"/>
      <c r="F1162" s="16"/>
      <c r="H1162" s="16"/>
      <c r="AG1162" s="80"/>
      <c r="AH1162" s="80"/>
      <c r="AI1162" s="80"/>
    </row>
    <row r="1163" spans="5:35" x14ac:dyDescent="0.25">
      <c r="E1163" s="16"/>
      <c r="F1163" s="16"/>
      <c r="H1163" s="16"/>
      <c r="AG1163" s="80"/>
      <c r="AH1163" s="80"/>
      <c r="AI1163" s="80"/>
    </row>
    <row r="1164" spans="5:35" x14ac:dyDescent="0.25">
      <c r="E1164" s="16"/>
      <c r="F1164" s="16"/>
      <c r="H1164" s="16"/>
      <c r="AG1164" s="80"/>
      <c r="AH1164" s="80"/>
      <c r="AI1164" s="80"/>
    </row>
    <row r="1165" spans="5:35" x14ac:dyDescent="0.25">
      <c r="E1165" s="16"/>
      <c r="F1165" s="16"/>
      <c r="H1165" s="16"/>
      <c r="AG1165" s="80"/>
      <c r="AH1165" s="80"/>
      <c r="AI1165" s="80"/>
    </row>
    <row r="1166" spans="5:35" x14ac:dyDescent="0.25">
      <c r="E1166" s="16"/>
      <c r="F1166" s="16"/>
      <c r="H1166" s="16"/>
      <c r="AG1166" s="80"/>
      <c r="AH1166" s="80"/>
      <c r="AI1166" s="80"/>
    </row>
    <row r="1167" spans="5:35" x14ac:dyDescent="0.25">
      <c r="E1167" s="16"/>
      <c r="F1167" s="16"/>
      <c r="H1167" s="16"/>
      <c r="AG1167" s="80"/>
      <c r="AH1167" s="80"/>
      <c r="AI1167" s="80"/>
    </row>
    <row r="1168" spans="5:35" x14ac:dyDescent="0.25">
      <c r="E1168" s="16"/>
      <c r="F1168" s="16"/>
      <c r="H1168" s="16"/>
      <c r="AG1168" s="80"/>
      <c r="AH1168" s="80"/>
      <c r="AI1168" s="80"/>
    </row>
    <row r="1169" spans="5:35" x14ac:dyDescent="0.25">
      <c r="E1169" s="16"/>
      <c r="F1169" s="16"/>
      <c r="H1169" s="16"/>
      <c r="AG1169" s="80"/>
      <c r="AH1169" s="80"/>
      <c r="AI1169" s="80"/>
    </row>
    <row r="1170" spans="5:35" x14ac:dyDescent="0.25">
      <c r="E1170" s="16"/>
      <c r="F1170" s="16"/>
      <c r="H1170" s="16"/>
      <c r="AG1170" s="80"/>
      <c r="AH1170" s="80"/>
      <c r="AI1170" s="80"/>
    </row>
    <row r="1171" spans="5:35" x14ac:dyDescent="0.25">
      <c r="E1171" s="16"/>
      <c r="F1171" s="16"/>
      <c r="H1171" s="16"/>
      <c r="AG1171" s="80"/>
      <c r="AH1171" s="80"/>
      <c r="AI1171" s="80"/>
    </row>
    <row r="1172" spans="5:35" x14ac:dyDescent="0.25">
      <c r="E1172" s="16"/>
      <c r="F1172" s="16"/>
      <c r="H1172" s="16"/>
      <c r="AG1172" s="80"/>
      <c r="AH1172" s="80"/>
      <c r="AI1172" s="80"/>
    </row>
    <row r="1173" spans="5:35" x14ac:dyDescent="0.25">
      <c r="E1173" s="16"/>
      <c r="F1173" s="16"/>
      <c r="H1173" s="16"/>
      <c r="AG1173" s="80"/>
      <c r="AH1173" s="80"/>
      <c r="AI1173" s="80"/>
    </row>
    <row r="1174" spans="5:35" x14ac:dyDescent="0.25">
      <c r="E1174" s="16"/>
      <c r="F1174" s="16"/>
      <c r="H1174" s="16"/>
      <c r="AG1174" s="80"/>
      <c r="AH1174" s="80"/>
      <c r="AI1174" s="80"/>
    </row>
    <row r="1175" spans="5:35" x14ac:dyDescent="0.25">
      <c r="E1175" s="16"/>
      <c r="F1175" s="16"/>
      <c r="H1175" s="16"/>
      <c r="AG1175" s="80"/>
      <c r="AH1175" s="80"/>
      <c r="AI1175" s="80"/>
    </row>
    <row r="1176" spans="5:35" x14ac:dyDescent="0.25">
      <c r="E1176" s="16"/>
      <c r="F1176" s="16"/>
      <c r="H1176" s="16"/>
      <c r="AG1176" s="80"/>
      <c r="AH1176" s="80"/>
      <c r="AI1176" s="80"/>
    </row>
    <row r="1177" spans="5:35" x14ac:dyDescent="0.25">
      <c r="E1177" s="16"/>
      <c r="F1177" s="16"/>
      <c r="H1177" s="16"/>
      <c r="AG1177" s="80"/>
      <c r="AH1177" s="80"/>
      <c r="AI1177" s="80"/>
    </row>
    <row r="1178" spans="5:35" x14ac:dyDescent="0.25">
      <c r="E1178" s="16"/>
      <c r="F1178" s="16"/>
      <c r="H1178" s="16"/>
      <c r="AG1178" s="80"/>
      <c r="AH1178" s="80"/>
      <c r="AI1178" s="80"/>
    </row>
    <row r="1179" spans="5:35" x14ac:dyDescent="0.25">
      <c r="E1179" s="16"/>
      <c r="F1179" s="16"/>
      <c r="H1179" s="16"/>
      <c r="AG1179" s="80"/>
      <c r="AH1179" s="80"/>
      <c r="AI1179" s="80"/>
    </row>
    <row r="1180" spans="5:35" x14ac:dyDescent="0.25">
      <c r="E1180" s="16"/>
      <c r="F1180" s="16"/>
      <c r="H1180" s="16"/>
      <c r="AG1180" s="80"/>
      <c r="AH1180" s="80"/>
      <c r="AI1180" s="80"/>
    </row>
    <row r="1181" spans="5:35" x14ac:dyDescent="0.25">
      <c r="E1181" s="16"/>
      <c r="F1181" s="16"/>
      <c r="H1181" s="16"/>
      <c r="AG1181" s="80"/>
      <c r="AH1181" s="80"/>
      <c r="AI1181" s="80"/>
    </row>
    <row r="1182" spans="5:35" x14ac:dyDescent="0.25">
      <c r="E1182" s="16"/>
      <c r="F1182" s="16"/>
      <c r="H1182" s="16"/>
      <c r="AG1182" s="80"/>
      <c r="AH1182" s="80"/>
      <c r="AI1182" s="80"/>
    </row>
    <row r="1183" spans="5:35" x14ac:dyDescent="0.25">
      <c r="E1183" s="16"/>
      <c r="F1183" s="16"/>
      <c r="H1183" s="16"/>
      <c r="AG1183" s="80"/>
      <c r="AH1183" s="80"/>
      <c r="AI1183" s="80"/>
    </row>
    <row r="1184" spans="5:35" x14ac:dyDescent="0.25">
      <c r="E1184" s="16"/>
      <c r="F1184" s="16"/>
      <c r="H1184" s="16"/>
      <c r="AG1184" s="80"/>
      <c r="AH1184" s="80"/>
      <c r="AI1184" s="80"/>
    </row>
    <row r="1185" spans="5:35" x14ac:dyDescent="0.25">
      <c r="E1185" s="16"/>
      <c r="F1185" s="16"/>
      <c r="H1185" s="16"/>
      <c r="AG1185" s="80"/>
      <c r="AH1185" s="80"/>
      <c r="AI1185" s="80"/>
    </row>
    <row r="1186" spans="5:35" x14ac:dyDescent="0.25">
      <c r="E1186" s="16"/>
      <c r="F1186" s="16"/>
      <c r="H1186" s="16"/>
      <c r="AG1186" s="80"/>
      <c r="AH1186" s="80"/>
      <c r="AI1186" s="80"/>
    </row>
    <row r="1187" spans="5:35" x14ac:dyDescent="0.25">
      <c r="E1187" s="16"/>
      <c r="F1187" s="16"/>
      <c r="H1187" s="16"/>
      <c r="AG1187" s="80"/>
      <c r="AH1187" s="80"/>
      <c r="AI1187" s="80"/>
    </row>
    <row r="1188" spans="5:35" x14ac:dyDescent="0.25">
      <c r="E1188" s="16"/>
      <c r="F1188" s="16"/>
      <c r="H1188" s="16"/>
      <c r="AG1188" s="80"/>
      <c r="AH1188" s="80"/>
      <c r="AI1188" s="80"/>
    </row>
    <row r="1189" spans="5:35" x14ac:dyDescent="0.25">
      <c r="E1189" s="16"/>
      <c r="F1189" s="16"/>
      <c r="H1189" s="16"/>
      <c r="AG1189" s="80"/>
      <c r="AH1189" s="80"/>
      <c r="AI1189" s="80"/>
    </row>
    <row r="1190" spans="5:35" x14ac:dyDescent="0.25">
      <c r="E1190" s="16"/>
      <c r="F1190" s="16"/>
      <c r="H1190" s="16"/>
      <c r="AG1190" s="80"/>
      <c r="AH1190" s="80"/>
      <c r="AI1190" s="80"/>
    </row>
    <row r="1191" spans="5:35" x14ac:dyDescent="0.25">
      <c r="E1191" s="16"/>
      <c r="F1191" s="16"/>
      <c r="H1191" s="16"/>
      <c r="AG1191" s="80"/>
      <c r="AH1191" s="80"/>
      <c r="AI1191" s="80"/>
    </row>
    <row r="1192" spans="5:35" x14ac:dyDescent="0.25">
      <c r="E1192" s="16"/>
      <c r="F1192" s="16"/>
      <c r="H1192" s="16"/>
      <c r="AG1192" s="80"/>
      <c r="AH1192" s="80"/>
      <c r="AI1192" s="80"/>
    </row>
    <row r="1193" spans="5:35" x14ac:dyDescent="0.25">
      <c r="E1193" s="16"/>
      <c r="F1193" s="16"/>
      <c r="H1193" s="16"/>
      <c r="AG1193" s="80"/>
      <c r="AH1193" s="80"/>
      <c r="AI1193" s="80"/>
    </row>
    <row r="1194" spans="5:35" x14ac:dyDescent="0.25">
      <c r="E1194" s="16"/>
      <c r="F1194" s="16"/>
      <c r="H1194" s="16"/>
      <c r="AG1194" s="80"/>
      <c r="AH1194" s="80"/>
      <c r="AI1194" s="80"/>
    </row>
    <row r="1195" spans="5:35" x14ac:dyDescent="0.25">
      <c r="E1195" s="16"/>
      <c r="F1195" s="16"/>
      <c r="H1195" s="16"/>
      <c r="AG1195" s="80"/>
      <c r="AH1195" s="80"/>
      <c r="AI1195" s="80"/>
    </row>
    <row r="1196" spans="5:35" x14ac:dyDescent="0.25">
      <c r="E1196" s="16"/>
      <c r="F1196" s="16"/>
      <c r="H1196" s="16"/>
      <c r="AG1196" s="80"/>
      <c r="AH1196" s="80"/>
      <c r="AI1196" s="80"/>
    </row>
    <row r="1197" spans="5:35" x14ac:dyDescent="0.25">
      <c r="E1197" s="16"/>
      <c r="F1197" s="16"/>
      <c r="H1197" s="16"/>
      <c r="AG1197" s="80"/>
      <c r="AH1197" s="80"/>
      <c r="AI1197" s="80"/>
    </row>
    <row r="1198" spans="5:35" x14ac:dyDescent="0.25">
      <c r="E1198" s="16"/>
      <c r="F1198" s="16"/>
      <c r="H1198" s="16"/>
      <c r="AG1198" s="80"/>
      <c r="AH1198" s="80"/>
      <c r="AI1198" s="80"/>
    </row>
    <row r="1199" spans="5:35" x14ac:dyDescent="0.25">
      <c r="E1199" s="16"/>
      <c r="F1199" s="16"/>
      <c r="H1199" s="16"/>
      <c r="AG1199" s="80"/>
      <c r="AH1199" s="80"/>
      <c r="AI1199" s="80"/>
    </row>
    <row r="1200" spans="5:35" x14ac:dyDescent="0.25">
      <c r="E1200" s="16"/>
      <c r="F1200" s="16"/>
      <c r="H1200" s="16"/>
      <c r="AG1200" s="80"/>
      <c r="AH1200" s="80"/>
      <c r="AI1200" s="80"/>
    </row>
    <row r="1201" spans="5:35" x14ac:dyDescent="0.25">
      <c r="E1201" s="16"/>
      <c r="F1201" s="16"/>
      <c r="H1201" s="16"/>
      <c r="AG1201" s="80"/>
      <c r="AH1201" s="80"/>
      <c r="AI1201" s="80"/>
    </row>
    <row r="1202" spans="5:35" x14ac:dyDescent="0.25">
      <c r="E1202" s="16"/>
      <c r="F1202" s="16"/>
      <c r="H1202" s="16"/>
      <c r="AG1202" s="80"/>
      <c r="AH1202" s="80"/>
      <c r="AI1202" s="80"/>
    </row>
    <row r="1203" spans="5:35" x14ac:dyDescent="0.25">
      <c r="E1203" s="16"/>
      <c r="F1203" s="16"/>
      <c r="H1203" s="16"/>
      <c r="AG1203" s="80"/>
      <c r="AH1203" s="80"/>
      <c r="AI1203" s="80"/>
    </row>
    <row r="1204" spans="5:35" x14ac:dyDescent="0.25">
      <c r="E1204" s="16"/>
      <c r="F1204" s="16"/>
      <c r="H1204" s="16"/>
      <c r="AG1204" s="80"/>
      <c r="AH1204" s="80"/>
      <c r="AI1204" s="80"/>
    </row>
    <row r="1205" spans="5:35" x14ac:dyDescent="0.25">
      <c r="E1205" s="16"/>
      <c r="F1205" s="16"/>
      <c r="H1205" s="16"/>
      <c r="AG1205" s="80"/>
      <c r="AH1205" s="80"/>
      <c r="AI1205" s="80"/>
    </row>
    <row r="1206" spans="5:35" x14ac:dyDescent="0.25">
      <c r="E1206" s="16"/>
      <c r="F1206" s="16"/>
      <c r="H1206" s="16"/>
      <c r="AG1206" s="80"/>
      <c r="AH1206" s="80"/>
      <c r="AI1206" s="80"/>
    </row>
    <row r="1207" spans="5:35" x14ac:dyDescent="0.25">
      <c r="E1207" s="16"/>
      <c r="F1207" s="16"/>
      <c r="H1207" s="16"/>
      <c r="AG1207" s="80"/>
      <c r="AH1207" s="80"/>
      <c r="AI1207" s="80"/>
    </row>
    <row r="1208" spans="5:35" x14ac:dyDescent="0.25">
      <c r="E1208" s="16"/>
      <c r="F1208" s="16"/>
      <c r="H1208" s="16"/>
      <c r="AG1208" s="80"/>
      <c r="AH1208" s="80"/>
      <c r="AI1208" s="80"/>
    </row>
    <row r="1209" spans="5:35" x14ac:dyDescent="0.25">
      <c r="E1209" s="16"/>
      <c r="F1209" s="16"/>
      <c r="H1209" s="16"/>
      <c r="AG1209" s="80"/>
      <c r="AH1209" s="80"/>
      <c r="AI1209" s="80"/>
    </row>
    <row r="1210" spans="5:35" x14ac:dyDescent="0.25">
      <c r="E1210" s="16"/>
      <c r="F1210" s="16"/>
      <c r="H1210" s="16"/>
      <c r="AG1210" s="80"/>
      <c r="AH1210" s="80"/>
      <c r="AI1210" s="80"/>
    </row>
    <row r="1211" spans="5:35" x14ac:dyDescent="0.25">
      <c r="E1211" s="16"/>
      <c r="F1211" s="16"/>
      <c r="H1211" s="16"/>
      <c r="AG1211" s="80"/>
      <c r="AH1211" s="80"/>
      <c r="AI1211" s="80"/>
    </row>
    <row r="1212" spans="5:35" x14ac:dyDescent="0.25">
      <c r="E1212" s="16"/>
      <c r="F1212" s="16"/>
      <c r="H1212" s="16"/>
      <c r="AG1212" s="80"/>
      <c r="AH1212" s="80"/>
      <c r="AI1212" s="80"/>
    </row>
    <row r="1213" spans="5:35" x14ac:dyDescent="0.25">
      <c r="E1213" s="16"/>
      <c r="F1213" s="16"/>
      <c r="H1213" s="16"/>
      <c r="AG1213" s="80"/>
      <c r="AH1213" s="80"/>
      <c r="AI1213" s="80"/>
    </row>
    <row r="1214" spans="5:35" x14ac:dyDescent="0.25">
      <c r="E1214" s="16"/>
      <c r="F1214" s="16"/>
      <c r="H1214" s="16"/>
      <c r="AG1214" s="80"/>
      <c r="AH1214" s="80"/>
      <c r="AI1214" s="80"/>
    </row>
    <row r="1215" spans="5:35" x14ac:dyDescent="0.25">
      <c r="E1215" s="16"/>
      <c r="F1215" s="16"/>
      <c r="H1215" s="16"/>
      <c r="AG1215" s="80"/>
      <c r="AH1215" s="80"/>
      <c r="AI1215" s="80"/>
    </row>
    <row r="1216" spans="5:35" x14ac:dyDescent="0.25">
      <c r="E1216" s="16"/>
      <c r="F1216" s="16"/>
      <c r="H1216" s="16"/>
      <c r="AG1216" s="80"/>
      <c r="AH1216" s="80"/>
      <c r="AI1216" s="80"/>
    </row>
    <row r="1217" spans="5:35" x14ac:dyDescent="0.25">
      <c r="E1217" s="16"/>
      <c r="F1217" s="16"/>
      <c r="H1217" s="16"/>
      <c r="AG1217" s="80"/>
      <c r="AH1217" s="80"/>
      <c r="AI1217" s="80"/>
    </row>
    <row r="1218" spans="5:35" x14ac:dyDescent="0.25">
      <c r="E1218" s="16"/>
      <c r="F1218" s="16"/>
      <c r="H1218" s="16"/>
      <c r="AG1218" s="80"/>
      <c r="AH1218" s="80"/>
      <c r="AI1218" s="80"/>
    </row>
    <row r="1219" spans="5:35" x14ac:dyDescent="0.25">
      <c r="E1219" s="16"/>
      <c r="F1219" s="16"/>
      <c r="H1219" s="16"/>
      <c r="AG1219" s="80"/>
      <c r="AH1219" s="80"/>
      <c r="AI1219" s="80"/>
    </row>
    <row r="1220" spans="5:35" x14ac:dyDescent="0.25">
      <c r="E1220" s="16"/>
      <c r="F1220" s="16"/>
      <c r="H1220" s="16"/>
      <c r="AG1220" s="80"/>
      <c r="AH1220" s="80"/>
      <c r="AI1220" s="80"/>
    </row>
    <row r="1221" spans="5:35" x14ac:dyDescent="0.25">
      <c r="E1221" s="16"/>
      <c r="F1221" s="16"/>
      <c r="H1221" s="16"/>
      <c r="AG1221" s="80"/>
      <c r="AH1221" s="80"/>
      <c r="AI1221" s="80"/>
    </row>
    <row r="1222" spans="5:35" x14ac:dyDescent="0.25">
      <c r="E1222" s="16"/>
      <c r="F1222" s="16"/>
      <c r="H1222" s="16"/>
      <c r="AG1222" s="80"/>
      <c r="AH1222" s="80"/>
      <c r="AI1222" s="80"/>
    </row>
    <row r="1223" spans="5:35" x14ac:dyDescent="0.25">
      <c r="E1223" s="16"/>
      <c r="F1223" s="16"/>
      <c r="H1223" s="16"/>
      <c r="AG1223" s="80"/>
      <c r="AH1223" s="80"/>
      <c r="AI1223" s="80"/>
    </row>
    <row r="1224" spans="5:35" x14ac:dyDescent="0.25">
      <c r="E1224" s="16"/>
      <c r="F1224" s="16"/>
      <c r="H1224" s="16"/>
      <c r="AG1224" s="80"/>
      <c r="AH1224" s="80"/>
      <c r="AI1224" s="80"/>
    </row>
    <row r="1225" spans="5:35" x14ac:dyDescent="0.25">
      <c r="E1225" s="16"/>
      <c r="F1225" s="16"/>
      <c r="H1225" s="16"/>
      <c r="AG1225" s="80"/>
      <c r="AH1225" s="80"/>
      <c r="AI1225" s="80"/>
    </row>
    <row r="1226" spans="5:35" x14ac:dyDescent="0.25">
      <c r="E1226" s="16"/>
      <c r="F1226" s="16"/>
      <c r="H1226" s="16"/>
      <c r="AG1226" s="80"/>
      <c r="AH1226" s="80"/>
      <c r="AI1226" s="80"/>
    </row>
    <row r="1227" spans="5:35" x14ac:dyDescent="0.25">
      <c r="E1227" s="16"/>
      <c r="F1227" s="16"/>
      <c r="H1227" s="16"/>
      <c r="AG1227" s="80"/>
      <c r="AH1227" s="80"/>
      <c r="AI1227" s="80"/>
    </row>
    <row r="1228" spans="5:35" x14ac:dyDescent="0.25">
      <c r="E1228" s="16"/>
      <c r="F1228" s="16"/>
      <c r="H1228" s="16"/>
      <c r="AG1228" s="80"/>
      <c r="AH1228" s="80"/>
      <c r="AI1228" s="80"/>
    </row>
    <row r="1229" spans="5:35" x14ac:dyDescent="0.25">
      <c r="E1229" s="16"/>
      <c r="F1229" s="16"/>
      <c r="H1229" s="16"/>
      <c r="AG1229" s="80"/>
      <c r="AH1229" s="80"/>
      <c r="AI1229" s="80"/>
    </row>
    <row r="1230" spans="5:35" x14ac:dyDescent="0.25">
      <c r="E1230" s="16"/>
      <c r="F1230" s="16"/>
      <c r="H1230" s="16"/>
      <c r="AG1230" s="80"/>
      <c r="AH1230" s="80"/>
      <c r="AI1230" s="80"/>
    </row>
    <row r="1231" spans="5:35" x14ac:dyDescent="0.25">
      <c r="E1231" s="16"/>
      <c r="F1231" s="16"/>
      <c r="H1231" s="16"/>
      <c r="AG1231" s="80"/>
      <c r="AH1231" s="80"/>
      <c r="AI1231" s="80"/>
    </row>
    <row r="1232" spans="5:35" x14ac:dyDescent="0.25">
      <c r="E1232" s="16"/>
      <c r="F1232" s="16"/>
      <c r="H1232" s="16"/>
      <c r="AG1232" s="80"/>
      <c r="AH1232" s="80"/>
      <c r="AI1232" s="80"/>
    </row>
    <row r="1233" spans="5:35" x14ac:dyDescent="0.25">
      <c r="E1233" s="16"/>
      <c r="F1233" s="16"/>
      <c r="H1233" s="16"/>
      <c r="AG1233" s="80"/>
      <c r="AH1233" s="80"/>
      <c r="AI1233" s="80"/>
    </row>
    <row r="1234" spans="5:35" x14ac:dyDescent="0.25">
      <c r="E1234" s="16"/>
      <c r="F1234" s="16"/>
      <c r="H1234" s="16"/>
      <c r="AG1234" s="80"/>
      <c r="AH1234" s="80"/>
      <c r="AI1234" s="80"/>
    </row>
    <row r="1235" spans="5:35" x14ac:dyDescent="0.25">
      <c r="E1235" s="16"/>
      <c r="F1235" s="16"/>
      <c r="H1235" s="16"/>
      <c r="AG1235" s="80"/>
      <c r="AH1235" s="80"/>
      <c r="AI1235" s="80"/>
    </row>
    <row r="1236" spans="5:35" x14ac:dyDescent="0.25">
      <c r="E1236" s="16"/>
      <c r="F1236" s="16"/>
      <c r="H1236" s="16"/>
      <c r="AG1236" s="80"/>
      <c r="AH1236" s="80"/>
      <c r="AI1236" s="80"/>
    </row>
    <row r="1237" spans="5:35" x14ac:dyDescent="0.25">
      <c r="E1237" s="16"/>
      <c r="F1237" s="16"/>
      <c r="H1237" s="16"/>
      <c r="AG1237" s="80"/>
      <c r="AH1237" s="80"/>
      <c r="AI1237" s="80"/>
    </row>
    <row r="1238" spans="5:35" x14ac:dyDescent="0.25">
      <c r="E1238" s="16"/>
      <c r="F1238" s="16"/>
      <c r="H1238" s="16"/>
      <c r="AG1238" s="80"/>
      <c r="AH1238" s="80"/>
      <c r="AI1238" s="80"/>
    </row>
    <row r="1239" spans="5:35" x14ac:dyDescent="0.25">
      <c r="E1239" s="16"/>
      <c r="F1239" s="16"/>
      <c r="H1239" s="16"/>
      <c r="AG1239" s="80"/>
      <c r="AH1239" s="80"/>
      <c r="AI1239" s="80"/>
    </row>
    <row r="1240" spans="5:35" x14ac:dyDescent="0.25">
      <c r="E1240" s="16"/>
      <c r="F1240" s="16"/>
      <c r="H1240" s="16"/>
      <c r="AG1240" s="80"/>
      <c r="AH1240" s="80"/>
      <c r="AI1240" s="80"/>
    </row>
    <row r="1241" spans="5:35" x14ac:dyDescent="0.25">
      <c r="E1241" s="16"/>
      <c r="F1241" s="16"/>
      <c r="H1241" s="16"/>
      <c r="AG1241" s="80"/>
      <c r="AH1241" s="80"/>
      <c r="AI1241" s="80"/>
    </row>
    <row r="1242" spans="5:35" x14ac:dyDescent="0.25">
      <c r="E1242" s="16"/>
      <c r="F1242" s="16"/>
      <c r="H1242" s="16"/>
      <c r="AG1242" s="80"/>
      <c r="AH1242" s="80"/>
      <c r="AI1242" s="80"/>
    </row>
    <row r="1243" spans="5:35" x14ac:dyDescent="0.25">
      <c r="E1243" s="16"/>
      <c r="F1243" s="16"/>
      <c r="H1243" s="16"/>
      <c r="AG1243" s="80"/>
      <c r="AH1243" s="80"/>
      <c r="AI1243" s="80"/>
    </row>
    <row r="1244" spans="5:35" x14ac:dyDescent="0.25">
      <c r="E1244" s="16"/>
      <c r="F1244" s="16"/>
      <c r="H1244" s="16"/>
      <c r="AG1244" s="80"/>
      <c r="AH1244" s="80"/>
      <c r="AI1244" s="80"/>
    </row>
    <row r="1245" spans="5:35" x14ac:dyDescent="0.25">
      <c r="E1245" s="16"/>
      <c r="F1245" s="16"/>
      <c r="H1245" s="16"/>
      <c r="AG1245" s="80"/>
      <c r="AH1245" s="80"/>
      <c r="AI1245" s="80"/>
    </row>
    <row r="1246" spans="5:35" x14ac:dyDescent="0.25">
      <c r="E1246" s="16"/>
      <c r="F1246" s="16"/>
      <c r="H1246" s="16"/>
      <c r="AG1246" s="80"/>
      <c r="AH1246" s="80"/>
      <c r="AI1246" s="80"/>
    </row>
    <row r="1247" spans="5:35" x14ac:dyDescent="0.25">
      <c r="E1247" s="16"/>
      <c r="F1247" s="16"/>
      <c r="H1247" s="16"/>
      <c r="AG1247" s="80"/>
      <c r="AH1247" s="80"/>
      <c r="AI1247" s="80"/>
    </row>
    <row r="1248" spans="5:35" x14ac:dyDescent="0.25">
      <c r="E1248" s="16"/>
      <c r="F1248" s="16"/>
      <c r="H1248" s="16"/>
      <c r="AG1248" s="80"/>
      <c r="AH1248" s="80"/>
      <c r="AI1248" s="80"/>
    </row>
    <row r="1249" spans="5:35" x14ac:dyDescent="0.25">
      <c r="E1249" s="16"/>
      <c r="F1249" s="16"/>
      <c r="H1249" s="16"/>
      <c r="AG1249" s="80"/>
      <c r="AH1249" s="80"/>
      <c r="AI1249" s="80"/>
    </row>
    <row r="1250" spans="5:35" x14ac:dyDescent="0.25">
      <c r="E1250" s="16"/>
      <c r="F1250" s="16"/>
      <c r="H1250" s="16"/>
      <c r="AG1250" s="80"/>
      <c r="AH1250" s="80"/>
      <c r="AI1250" s="80"/>
    </row>
    <row r="1251" spans="5:35" x14ac:dyDescent="0.25">
      <c r="E1251" s="16"/>
      <c r="F1251" s="16"/>
      <c r="H1251" s="16"/>
      <c r="AG1251" s="80"/>
      <c r="AH1251" s="80"/>
      <c r="AI1251" s="80"/>
    </row>
    <row r="1252" spans="5:35" x14ac:dyDescent="0.25">
      <c r="E1252" s="16"/>
      <c r="F1252" s="16"/>
      <c r="H1252" s="16"/>
      <c r="AG1252" s="80"/>
      <c r="AH1252" s="80"/>
      <c r="AI1252" s="80"/>
    </row>
    <row r="1253" spans="5:35" x14ac:dyDescent="0.25">
      <c r="E1253" s="16"/>
      <c r="F1253" s="16"/>
      <c r="H1253" s="16"/>
      <c r="AG1253" s="80"/>
      <c r="AH1253" s="80"/>
      <c r="AI1253" s="80"/>
    </row>
    <row r="1254" spans="5:35" x14ac:dyDescent="0.25">
      <c r="E1254" s="16"/>
      <c r="F1254" s="16"/>
      <c r="H1254" s="16"/>
      <c r="AG1254" s="80"/>
      <c r="AH1254" s="80"/>
      <c r="AI1254" s="80"/>
    </row>
    <row r="1255" spans="5:35" x14ac:dyDescent="0.25">
      <c r="E1255" s="16"/>
      <c r="F1255" s="16"/>
      <c r="H1255" s="16"/>
      <c r="AG1255" s="80"/>
      <c r="AH1255" s="80"/>
      <c r="AI1255" s="80"/>
    </row>
    <row r="1256" spans="5:35" x14ac:dyDescent="0.25">
      <c r="E1256" s="16"/>
      <c r="F1256" s="16"/>
      <c r="H1256" s="16"/>
      <c r="AG1256" s="80"/>
      <c r="AH1256" s="80"/>
      <c r="AI1256" s="80"/>
    </row>
    <row r="1257" spans="5:35" x14ac:dyDescent="0.25">
      <c r="E1257" s="16"/>
      <c r="F1257" s="16"/>
      <c r="H1257" s="16"/>
      <c r="AG1257" s="80"/>
      <c r="AH1257" s="80"/>
      <c r="AI1257" s="80"/>
    </row>
    <row r="1258" spans="5:35" x14ac:dyDescent="0.25">
      <c r="E1258" s="16"/>
      <c r="F1258" s="16"/>
      <c r="H1258" s="16"/>
      <c r="AG1258" s="80"/>
      <c r="AH1258" s="80"/>
      <c r="AI1258" s="80"/>
    </row>
    <row r="1259" spans="5:35" x14ac:dyDescent="0.25">
      <c r="E1259" s="16"/>
      <c r="F1259" s="16"/>
      <c r="H1259" s="16"/>
      <c r="AG1259" s="80"/>
      <c r="AH1259" s="80"/>
      <c r="AI1259" s="80"/>
    </row>
    <row r="1260" spans="5:35" x14ac:dyDescent="0.25">
      <c r="E1260" s="16"/>
      <c r="F1260" s="16"/>
      <c r="H1260" s="16"/>
      <c r="AG1260" s="80"/>
      <c r="AH1260" s="80"/>
      <c r="AI1260" s="80"/>
    </row>
    <row r="1261" spans="5:35" x14ac:dyDescent="0.25">
      <c r="E1261" s="16"/>
      <c r="F1261" s="16"/>
      <c r="H1261" s="16"/>
      <c r="AG1261" s="80"/>
      <c r="AH1261" s="80"/>
      <c r="AI1261" s="80"/>
    </row>
    <row r="1262" spans="5:35" x14ac:dyDescent="0.25">
      <c r="E1262" s="16"/>
      <c r="F1262" s="16"/>
      <c r="H1262" s="16"/>
      <c r="AG1262" s="80"/>
      <c r="AH1262" s="80"/>
      <c r="AI1262" s="80"/>
    </row>
    <row r="1263" spans="5:35" x14ac:dyDescent="0.25">
      <c r="E1263" s="16"/>
      <c r="F1263" s="16"/>
      <c r="H1263" s="16"/>
      <c r="AG1263" s="80"/>
      <c r="AH1263" s="80"/>
      <c r="AI1263" s="80"/>
    </row>
    <row r="1264" spans="5:35" x14ac:dyDescent="0.25">
      <c r="E1264" s="16"/>
      <c r="F1264" s="16"/>
      <c r="H1264" s="16"/>
      <c r="AG1264" s="80"/>
      <c r="AH1264" s="80"/>
      <c r="AI1264" s="80"/>
    </row>
    <row r="1265" spans="5:35" x14ac:dyDescent="0.25">
      <c r="E1265" s="16"/>
      <c r="F1265" s="16"/>
      <c r="H1265" s="16"/>
      <c r="AG1265" s="80"/>
      <c r="AH1265" s="80"/>
      <c r="AI1265" s="80"/>
    </row>
    <row r="1266" spans="5:35" x14ac:dyDescent="0.25">
      <c r="E1266" s="16"/>
      <c r="F1266" s="16"/>
      <c r="H1266" s="16"/>
      <c r="AG1266" s="80"/>
      <c r="AH1266" s="80"/>
      <c r="AI1266" s="80"/>
    </row>
    <row r="1267" spans="5:35" x14ac:dyDescent="0.25">
      <c r="E1267" s="16"/>
      <c r="F1267" s="16"/>
      <c r="H1267" s="16"/>
      <c r="AG1267" s="80"/>
      <c r="AH1267" s="80"/>
      <c r="AI1267" s="80"/>
    </row>
    <row r="1268" spans="5:35" x14ac:dyDescent="0.25">
      <c r="E1268" s="16"/>
      <c r="F1268" s="16"/>
      <c r="H1268" s="16"/>
      <c r="AG1268" s="80"/>
      <c r="AH1268" s="80"/>
      <c r="AI1268" s="80"/>
    </row>
    <row r="1269" spans="5:35" x14ac:dyDescent="0.25">
      <c r="E1269" s="16"/>
      <c r="F1269" s="16"/>
      <c r="H1269" s="16"/>
      <c r="AG1269" s="80"/>
      <c r="AH1269" s="80"/>
      <c r="AI1269" s="80"/>
    </row>
    <row r="1270" spans="5:35" x14ac:dyDescent="0.25">
      <c r="E1270" s="16"/>
      <c r="F1270" s="16"/>
      <c r="H1270" s="16"/>
      <c r="AG1270" s="80"/>
      <c r="AH1270" s="80"/>
      <c r="AI1270" s="80"/>
    </row>
    <row r="1271" spans="5:35" x14ac:dyDescent="0.25">
      <c r="E1271" s="16"/>
      <c r="F1271" s="16"/>
      <c r="H1271" s="16"/>
      <c r="AG1271" s="80"/>
      <c r="AH1271" s="80"/>
      <c r="AI1271" s="80"/>
    </row>
    <row r="1272" spans="5:35" x14ac:dyDescent="0.25">
      <c r="E1272" s="16"/>
      <c r="F1272" s="16"/>
      <c r="H1272" s="16"/>
      <c r="AG1272" s="80"/>
      <c r="AH1272" s="80"/>
      <c r="AI1272" s="80"/>
    </row>
    <row r="1273" spans="5:35" x14ac:dyDescent="0.25">
      <c r="E1273" s="16"/>
      <c r="F1273" s="16"/>
      <c r="H1273" s="16"/>
      <c r="AG1273" s="80"/>
      <c r="AH1273" s="80"/>
      <c r="AI1273" s="80"/>
    </row>
    <row r="1274" spans="5:35" x14ac:dyDescent="0.25">
      <c r="E1274" s="16"/>
      <c r="F1274" s="16"/>
      <c r="H1274" s="16"/>
      <c r="AG1274" s="80"/>
      <c r="AH1274" s="80"/>
      <c r="AI1274" s="80"/>
    </row>
    <row r="1275" spans="5:35" x14ac:dyDescent="0.25">
      <c r="E1275" s="16"/>
      <c r="F1275" s="16"/>
      <c r="H1275" s="16"/>
      <c r="AG1275" s="80"/>
      <c r="AH1275" s="80"/>
      <c r="AI1275" s="80"/>
    </row>
    <row r="1276" spans="5:35" x14ac:dyDescent="0.25">
      <c r="E1276" s="16"/>
      <c r="F1276" s="16"/>
      <c r="H1276" s="16"/>
      <c r="AG1276" s="80"/>
      <c r="AH1276" s="80"/>
      <c r="AI1276" s="80"/>
    </row>
    <row r="1277" spans="5:35" x14ac:dyDescent="0.25">
      <c r="E1277" s="16"/>
      <c r="F1277" s="16"/>
      <c r="H1277" s="16"/>
      <c r="AG1277" s="80"/>
      <c r="AH1277" s="80"/>
      <c r="AI1277" s="80"/>
    </row>
    <row r="1278" spans="5:35" x14ac:dyDescent="0.25">
      <c r="E1278" s="16"/>
      <c r="F1278" s="16"/>
      <c r="H1278" s="16"/>
      <c r="AG1278" s="80"/>
      <c r="AH1278" s="80"/>
      <c r="AI1278" s="80"/>
    </row>
    <row r="1279" spans="5:35" x14ac:dyDescent="0.25">
      <c r="E1279" s="16"/>
      <c r="F1279" s="16"/>
      <c r="H1279" s="16"/>
      <c r="AG1279" s="80"/>
      <c r="AH1279" s="80"/>
      <c r="AI1279" s="80"/>
    </row>
    <row r="1280" spans="5:35" x14ac:dyDescent="0.25">
      <c r="E1280" s="16"/>
      <c r="F1280" s="16"/>
      <c r="H1280" s="16"/>
      <c r="AG1280" s="80"/>
      <c r="AH1280" s="80"/>
      <c r="AI1280" s="80"/>
    </row>
    <row r="1281" spans="5:35" x14ac:dyDescent="0.25">
      <c r="E1281" s="16"/>
      <c r="F1281" s="16"/>
      <c r="H1281" s="16"/>
      <c r="AG1281" s="80"/>
      <c r="AH1281" s="80"/>
      <c r="AI1281" s="80"/>
    </row>
    <row r="1282" spans="5:35" x14ac:dyDescent="0.25">
      <c r="E1282" s="16"/>
      <c r="F1282" s="16"/>
      <c r="H1282" s="16"/>
      <c r="AG1282" s="80"/>
      <c r="AH1282" s="80"/>
      <c r="AI1282" s="80"/>
    </row>
    <row r="1283" spans="5:35" x14ac:dyDescent="0.25">
      <c r="E1283" s="16"/>
      <c r="F1283" s="16"/>
      <c r="H1283" s="16"/>
      <c r="AG1283" s="80"/>
      <c r="AH1283" s="80"/>
      <c r="AI1283" s="80"/>
    </row>
    <row r="1284" spans="5:35" x14ac:dyDescent="0.25">
      <c r="E1284" s="16"/>
      <c r="F1284" s="16"/>
      <c r="H1284" s="16"/>
      <c r="AG1284" s="80"/>
      <c r="AH1284" s="80"/>
      <c r="AI1284" s="80"/>
    </row>
    <row r="1285" spans="5:35" x14ac:dyDescent="0.25">
      <c r="E1285" s="16"/>
      <c r="F1285" s="16"/>
      <c r="H1285" s="16"/>
      <c r="AG1285" s="80"/>
      <c r="AH1285" s="80"/>
      <c r="AI1285" s="80"/>
    </row>
    <row r="1286" spans="5:35" x14ac:dyDescent="0.25">
      <c r="E1286" s="16"/>
      <c r="F1286" s="16"/>
      <c r="H1286" s="16"/>
      <c r="AG1286" s="80"/>
      <c r="AH1286" s="80"/>
      <c r="AI1286" s="80"/>
    </row>
    <row r="1287" spans="5:35" x14ac:dyDescent="0.25">
      <c r="E1287" s="16"/>
      <c r="F1287" s="16"/>
      <c r="H1287" s="16"/>
      <c r="AG1287" s="80"/>
      <c r="AH1287" s="80"/>
      <c r="AI1287" s="80"/>
    </row>
    <row r="1288" spans="5:35" x14ac:dyDescent="0.25">
      <c r="E1288" s="16"/>
      <c r="F1288" s="16"/>
      <c r="H1288" s="16"/>
      <c r="AG1288" s="80"/>
      <c r="AH1288" s="80"/>
      <c r="AI1288" s="80"/>
    </row>
    <row r="1289" spans="5:35" x14ac:dyDescent="0.25">
      <c r="E1289" s="16"/>
      <c r="F1289" s="16"/>
      <c r="H1289" s="16"/>
      <c r="AG1289" s="80"/>
      <c r="AH1289" s="80"/>
      <c r="AI1289" s="80"/>
    </row>
    <row r="1290" spans="5:35" x14ac:dyDescent="0.25">
      <c r="E1290" s="16"/>
      <c r="F1290" s="16"/>
      <c r="H1290" s="16"/>
      <c r="AG1290" s="80"/>
      <c r="AH1290" s="80"/>
      <c r="AI1290" s="80"/>
    </row>
    <row r="1291" spans="5:35" x14ac:dyDescent="0.25">
      <c r="E1291" s="16"/>
      <c r="F1291" s="16"/>
      <c r="H1291" s="16"/>
      <c r="AG1291" s="80"/>
      <c r="AH1291" s="80"/>
      <c r="AI1291" s="80"/>
    </row>
    <row r="1292" spans="5:35" x14ac:dyDescent="0.25">
      <c r="E1292" s="16"/>
      <c r="F1292" s="16"/>
      <c r="H1292" s="16"/>
      <c r="AG1292" s="80"/>
      <c r="AH1292" s="80"/>
      <c r="AI1292" s="80"/>
    </row>
    <row r="1293" spans="5:35" x14ac:dyDescent="0.25">
      <c r="E1293" s="16"/>
      <c r="F1293" s="16"/>
      <c r="H1293" s="16"/>
      <c r="AG1293" s="80"/>
      <c r="AH1293" s="80"/>
      <c r="AI1293" s="80"/>
    </row>
    <row r="1294" spans="5:35" x14ac:dyDescent="0.25">
      <c r="E1294" s="16"/>
      <c r="F1294" s="16"/>
      <c r="H1294" s="16"/>
      <c r="AG1294" s="80"/>
      <c r="AH1294" s="80"/>
      <c r="AI1294" s="80"/>
    </row>
    <row r="1295" spans="5:35" x14ac:dyDescent="0.25">
      <c r="E1295" s="16"/>
      <c r="F1295" s="16"/>
      <c r="H1295" s="16"/>
      <c r="AG1295" s="80"/>
      <c r="AH1295" s="80"/>
      <c r="AI1295" s="80"/>
    </row>
    <row r="1296" spans="5:35" x14ac:dyDescent="0.25">
      <c r="E1296" s="16"/>
      <c r="F1296" s="16"/>
      <c r="H1296" s="16"/>
      <c r="AG1296" s="80"/>
      <c r="AH1296" s="80"/>
      <c r="AI1296" s="80"/>
    </row>
    <row r="1297" spans="5:35" x14ac:dyDescent="0.25">
      <c r="E1297" s="16"/>
      <c r="F1297" s="16"/>
      <c r="H1297" s="16"/>
      <c r="AG1297" s="80"/>
      <c r="AH1297" s="80"/>
      <c r="AI1297" s="80"/>
    </row>
    <row r="1298" spans="5:35" x14ac:dyDescent="0.25">
      <c r="E1298" s="16"/>
      <c r="F1298" s="16"/>
      <c r="H1298" s="16"/>
      <c r="AG1298" s="80"/>
      <c r="AH1298" s="80"/>
      <c r="AI1298" s="80"/>
    </row>
    <row r="1299" spans="5:35" x14ac:dyDescent="0.25">
      <c r="E1299" s="16"/>
      <c r="F1299" s="16"/>
      <c r="H1299" s="16"/>
      <c r="AG1299" s="80"/>
      <c r="AH1299" s="80"/>
      <c r="AI1299" s="80"/>
    </row>
    <row r="1300" spans="5:35" x14ac:dyDescent="0.25">
      <c r="E1300" s="16"/>
      <c r="F1300" s="16"/>
      <c r="H1300" s="16"/>
      <c r="AG1300" s="80"/>
      <c r="AH1300" s="80"/>
      <c r="AI1300" s="80"/>
    </row>
    <row r="1301" spans="5:35" x14ac:dyDescent="0.25">
      <c r="E1301" s="16"/>
      <c r="F1301" s="16"/>
      <c r="H1301" s="16"/>
      <c r="AG1301" s="80"/>
      <c r="AH1301" s="80"/>
      <c r="AI1301" s="80"/>
    </row>
    <row r="1302" spans="5:35" x14ac:dyDescent="0.25">
      <c r="E1302" s="16"/>
      <c r="F1302" s="16"/>
      <c r="H1302" s="16"/>
      <c r="AG1302" s="80"/>
      <c r="AH1302" s="80"/>
      <c r="AI1302" s="80"/>
    </row>
    <row r="1303" spans="5:35" x14ac:dyDescent="0.25">
      <c r="E1303" s="16"/>
      <c r="F1303" s="16"/>
      <c r="H1303" s="16"/>
      <c r="AG1303" s="80"/>
      <c r="AH1303" s="80"/>
      <c r="AI1303" s="80"/>
    </row>
    <row r="1304" spans="5:35" x14ac:dyDescent="0.25">
      <c r="E1304" s="16"/>
      <c r="F1304" s="16"/>
      <c r="H1304" s="16"/>
      <c r="AG1304" s="80"/>
      <c r="AH1304" s="80"/>
      <c r="AI1304" s="80"/>
    </row>
    <row r="1305" spans="5:35" x14ac:dyDescent="0.25">
      <c r="E1305" s="16"/>
      <c r="F1305" s="16"/>
      <c r="H1305" s="16"/>
      <c r="AG1305" s="80"/>
      <c r="AH1305" s="80"/>
      <c r="AI1305" s="80"/>
    </row>
    <row r="1306" spans="5:35" x14ac:dyDescent="0.25">
      <c r="E1306" s="16"/>
      <c r="F1306" s="16"/>
      <c r="H1306" s="16"/>
      <c r="AG1306" s="80"/>
      <c r="AH1306" s="80"/>
      <c r="AI1306" s="80"/>
    </row>
    <row r="1307" spans="5:35" x14ac:dyDescent="0.25">
      <c r="E1307" s="16"/>
      <c r="F1307" s="16"/>
      <c r="H1307" s="16"/>
      <c r="AG1307" s="80"/>
      <c r="AH1307" s="80"/>
      <c r="AI1307" s="80"/>
    </row>
    <row r="1308" spans="5:35" x14ac:dyDescent="0.25">
      <c r="E1308" s="16"/>
      <c r="F1308" s="16"/>
      <c r="H1308" s="16"/>
      <c r="AG1308" s="80"/>
      <c r="AH1308" s="80"/>
      <c r="AI1308" s="80"/>
    </row>
    <row r="1309" spans="5:35" x14ac:dyDescent="0.25">
      <c r="E1309" s="16"/>
      <c r="F1309" s="16"/>
      <c r="H1309" s="16"/>
      <c r="AG1309" s="80"/>
      <c r="AH1309" s="80"/>
      <c r="AI1309" s="80"/>
    </row>
    <row r="1310" spans="5:35" x14ac:dyDescent="0.25">
      <c r="E1310" s="16"/>
      <c r="F1310" s="16"/>
      <c r="H1310" s="16"/>
      <c r="AG1310" s="80"/>
      <c r="AH1310" s="80"/>
      <c r="AI1310" s="80"/>
    </row>
    <row r="1311" spans="5:35" x14ac:dyDescent="0.25">
      <c r="E1311" s="16"/>
      <c r="F1311" s="16"/>
      <c r="H1311" s="16"/>
      <c r="AG1311" s="80"/>
      <c r="AH1311" s="80"/>
      <c r="AI1311" s="80"/>
    </row>
    <row r="1312" spans="5:35" x14ac:dyDescent="0.25">
      <c r="E1312" s="16"/>
      <c r="F1312" s="16"/>
      <c r="H1312" s="16"/>
      <c r="AG1312" s="80"/>
      <c r="AH1312" s="80"/>
      <c r="AI1312" s="80"/>
    </row>
    <row r="1313" spans="5:35" x14ac:dyDescent="0.25">
      <c r="E1313" s="16"/>
      <c r="F1313" s="16"/>
      <c r="H1313" s="16"/>
      <c r="AG1313" s="80"/>
      <c r="AH1313" s="80"/>
      <c r="AI1313" s="80"/>
    </row>
    <row r="1314" spans="5:35" x14ac:dyDescent="0.25">
      <c r="E1314" s="16"/>
      <c r="F1314" s="16"/>
      <c r="H1314" s="16"/>
      <c r="AG1314" s="80"/>
      <c r="AH1314" s="80"/>
      <c r="AI1314" s="80"/>
    </row>
    <row r="1315" spans="5:35" x14ac:dyDescent="0.25">
      <c r="E1315" s="16"/>
      <c r="F1315" s="16"/>
      <c r="H1315" s="16"/>
      <c r="AG1315" s="80"/>
      <c r="AH1315" s="80"/>
      <c r="AI1315" s="80"/>
    </row>
    <row r="1316" spans="5:35" x14ac:dyDescent="0.25">
      <c r="E1316" s="16"/>
      <c r="F1316" s="16"/>
      <c r="H1316" s="16"/>
      <c r="AG1316" s="80"/>
      <c r="AH1316" s="80"/>
      <c r="AI1316" s="80"/>
    </row>
    <row r="1317" spans="5:35" x14ac:dyDescent="0.25">
      <c r="E1317" s="16"/>
      <c r="F1317" s="16"/>
      <c r="H1317" s="16"/>
      <c r="AG1317" s="80"/>
      <c r="AH1317" s="80"/>
      <c r="AI1317" s="80"/>
    </row>
    <row r="1318" spans="5:35" x14ac:dyDescent="0.25">
      <c r="E1318" s="16"/>
      <c r="F1318" s="16"/>
      <c r="H1318" s="16"/>
      <c r="AG1318" s="80"/>
      <c r="AH1318" s="80"/>
      <c r="AI1318" s="80"/>
    </row>
    <row r="1319" spans="5:35" x14ac:dyDescent="0.25">
      <c r="E1319" s="16"/>
      <c r="F1319" s="16"/>
      <c r="H1319" s="16"/>
      <c r="AG1319" s="80"/>
      <c r="AH1319" s="80"/>
      <c r="AI1319" s="80"/>
    </row>
    <row r="1320" spans="5:35" x14ac:dyDescent="0.25">
      <c r="E1320" s="16"/>
      <c r="F1320" s="16"/>
      <c r="H1320" s="16"/>
      <c r="AG1320" s="80"/>
      <c r="AH1320" s="80"/>
      <c r="AI1320" s="80"/>
    </row>
    <row r="1321" spans="5:35" x14ac:dyDescent="0.25">
      <c r="E1321" s="16"/>
      <c r="F1321" s="16"/>
      <c r="H1321" s="16"/>
      <c r="AG1321" s="80"/>
      <c r="AH1321" s="80"/>
      <c r="AI1321" s="80"/>
    </row>
    <row r="1322" spans="5:35" x14ac:dyDescent="0.25">
      <c r="E1322" s="16"/>
      <c r="F1322" s="16"/>
      <c r="H1322" s="16"/>
      <c r="AG1322" s="80"/>
      <c r="AH1322" s="80"/>
      <c r="AI1322" s="80"/>
    </row>
    <row r="1323" spans="5:35" x14ac:dyDescent="0.25">
      <c r="E1323" s="16"/>
      <c r="F1323" s="16"/>
      <c r="H1323" s="16"/>
      <c r="AG1323" s="80"/>
      <c r="AH1323" s="80"/>
      <c r="AI1323" s="80"/>
    </row>
    <row r="1324" spans="5:35" x14ac:dyDescent="0.25">
      <c r="E1324" s="16"/>
      <c r="F1324" s="16"/>
      <c r="H1324" s="16"/>
      <c r="AG1324" s="80"/>
      <c r="AH1324" s="80"/>
      <c r="AI1324" s="80"/>
    </row>
    <row r="1325" spans="5:35" x14ac:dyDescent="0.25">
      <c r="E1325" s="16"/>
      <c r="F1325" s="16"/>
      <c r="H1325" s="16"/>
      <c r="AG1325" s="80"/>
      <c r="AH1325" s="80"/>
      <c r="AI1325" s="80"/>
    </row>
    <row r="1326" spans="5:35" x14ac:dyDescent="0.25">
      <c r="E1326" s="16"/>
      <c r="F1326" s="16"/>
      <c r="H1326" s="16"/>
      <c r="AG1326" s="80"/>
      <c r="AH1326" s="80"/>
      <c r="AI1326" s="80"/>
    </row>
    <row r="1327" spans="5:35" x14ac:dyDescent="0.25">
      <c r="E1327" s="16"/>
      <c r="F1327" s="16"/>
      <c r="H1327" s="16"/>
      <c r="AG1327" s="80"/>
      <c r="AH1327" s="80"/>
      <c r="AI1327" s="80"/>
    </row>
    <row r="1328" spans="5:35" x14ac:dyDescent="0.25">
      <c r="E1328" s="16"/>
      <c r="F1328" s="16"/>
      <c r="H1328" s="16"/>
      <c r="AG1328" s="80"/>
      <c r="AH1328" s="80"/>
      <c r="AI1328" s="80"/>
    </row>
    <row r="1329" spans="5:35" x14ac:dyDescent="0.25">
      <c r="E1329" s="16"/>
      <c r="F1329" s="16"/>
      <c r="H1329" s="16"/>
      <c r="AG1329" s="80"/>
      <c r="AH1329" s="80"/>
      <c r="AI1329" s="80"/>
    </row>
    <row r="1330" spans="5:35" x14ac:dyDescent="0.25">
      <c r="E1330" s="16"/>
      <c r="F1330" s="16"/>
      <c r="H1330" s="16"/>
      <c r="AG1330" s="80"/>
      <c r="AH1330" s="80"/>
      <c r="AI1330" s="80"/>
    </row>
    <row r="1331" spans="5:35" x14ac:dyDescent="0.25">
      <c r="E1331" s="16"/>
      <c r="F1331" s="16"/>
      <c r="H1331" s="16"/>
      <c r="AG1331" s="80"/>
      <c r="AH1331" s="80"/>
      <c r="AI1331" s="80"/>
    </row>
    <row r="1332" spans="5:35" x14ac:dyDescent="0.25">
      <c r="E1332" s="16"/>
      <c r="F1332" s="16"/>
      <c r="H1332" s="16"/>
      <c r="AG1332" s="80"/>
      <c r="AH1332" s="80"/>
      <c r="AI1332" s="80"/>
    </row>
    <row r="1333" spans="5:35" x14ac:dyDescent="0.25">
      <c r="E1333" s="16"/>
      <c r="F1333" s="16"/>
      <c r="H1333" s="16"/>
      <c r="AG1333" s="80"/>
      <c r="AH1333" s="80"/>
      <c r="AI1333" s="80"/>
    </row>
    <row r="1334" spans="5:35" x14ac:dyDescent="0.25">
      <c r="E1334" s="16"/>
      <c r="F1334" s="16"/>
      <c r="H1334" s="16"/>
      <c r="AG1334" s="80"/>
      <c r="AH1334" s="80"/>
      <c r="AI1334" s="80"/>
    </row>
    <row r="1335" spans="5:35" x14ac:dyDescent="0.25">
      <c r="E1335" s="16"/>
      <c r="F1335" s="16"/>
      <c r="H1335" s="16"/>
      <c r="AG1335" s="80"/>
      <c r="AH1335" s="80"/>
      <c r="AI1335" s="80"/>
    </row>
    <row r="1336" spans="5:35" x14ac:dyDescent="0.25">
      <c r="E1336" s="16"/>
      <c r="F1336" s="16"/>
      <c r="H1336" s="16"/>
      <c r="AG1336" s="80"/>
      <c r="AH1336" s="80"/>
      <c r="AI1336" s="80"/>
    </row>
    <row r="1337" spans="5:35" x14ac:dyDescent="0.25">
      <c r="E1337" s="16"/>
      <c r="F1337" s="16"/>
      <c r="H1337" s="16"/>
      <c r="AG1337" s="80"/>
      <c r="AH1337" s="80"/>
      <c r="AI1337" s="80"/>
    </row>
    <row r="1338" spans="5:35" x14ac:dyDescent="0.25">
      <c r="E1338" s="16"/>
      <c r="F1338" s="16"/>
      <c r="H1338" s="16"/>
      <c r="AG1338" s="80"/>
      <c r="AH1338" s="80"/>
      <c r="AI1338" s="80"/>
    </row>
    <row r="1339" spans="5:35" x14ac:dyDescent="0.25">
      <c r="E1339" s="16"/>
      <c r="F1339" s="16"/>
      <c r="H1339" s="16"/>
      <c r="AG1339" s="80"/>
      <c r="AH1339" s="80"/>
      <c r="AI1339" s="80"/>
    </row>
    <row r="1340" spans="5:35" x14ac:dyDescent="0.25">
      <c r="E1340" s="16"/>
      <c r="F1340" s="16"/>
      <c r="H1340" s="16"/>
      <c r="AG1340" s="80"/>
      <c r="AH1340" s="80"/>
      <c r="AI1340" s="80"/>
    </row>
    <row r="1341" spans="5:35" x14ac:dyDescent="0.25">
      <c r="E1341" s="16"/>
      <c r="F1341" s="16"/>
      <c r="H1341" s="16"/>
      <c r="AG1341" s="80"/>
      <c r="AH1341" s="80"/>
      <c r="AI1341" s="80"/>
    </row>
    <row r="1342" spans="5:35" x14ac:dyDescent="0.25">
      <c r="E1342" s="16"/>
      <c r="F1342" s="16"/>
      <c r="H1342" s="16"/>
      <c r="AG1342" s="80"/>
      <c r="AH1342" s="80"/>
      <c r="AI1342" s="80"/>
    </row>
    <row r="1343" spans="5:35" x14ac:dyDescent="0.25">
      <c r="E1343" s="16"/>
      <c r="F1343" s="16"/>
      <c r="H1343" s="16"/>
      <c r="AG1343" s="80"/>
      <c r="AH1343" s="80"/>
      <c r="AI1343" s="80"/>
    </row>
    <row r="1344" spans="5:35" x14ac:dyDescent="0.25">
      <c r="E1344" s="16"/>
      <c r="F1344" s="16"/>
      <c r="H1344" s="16"/>
      <c r="AG1344" s="80"/>
      <c r="AH1344" s="80"/>
      <c r="AI1344" s="80"/>
    </row>
    <row r="1345" spans="5:35" x14ac:dyDescent="0.25">
      <c r="E1345" s="16"/>
      <c r="F1345" s="16"/>
      <c r="H1345" s="16"/>
      <c r="AG1345" s="80"/>
      <c r="AH1345" s="80"/>
      <c r="AI1345" s="80"/>
    </row>
    <row r="1346" spans="5:35" x14ac:dyDescent="0.25">
      <c r="E1346" s="16"/>
      <c r="F1346" s="16"/>
      <c r="H1346" s="16"/>
      <c r="AG1346" s="80"/>
      <c r="AH1346" s="80"/>
      <c r="AI1346" s="80"/>
    </row>
    <row r="1347" spans="5:35" x14ac:dyDescent="0.25">
      <c r="E1347" s="16"/>
      <c r="F1347" s="16"/>
      <c r="H1347" s="16"/>
      <c r="AG1347" s="80"/>
      <c r="AH1347" s="80"/>
      <c r="AI1347" s="80"/>
    </row>
    <row r="1348" spans="5:35" x14ac:dyDescent="0.25">
      <c r="E1348" s="16"/>
      <c r="F1348" s="16"/>
      <c r="H1348" s="16"/>
      <c r="AG1348" s="80"/>
      <c r="AH1348" s="80"/>
      <c r="AI1348" s="80"/>
    </row>
    <row r="1349" spans="5:35" x14ac:dyDescent="0.25">
      <c r="E1349" s="16"/>
      <c r="F1349" s="16"/>
      <c r="H1349" s="16"/>
      <c r="AG1349" s="80"/>
      <c r="AH1349" s="80"/>
      <c r="AI1349" s="80"/>
    </row>
    <row r="1350" spans="5:35" x14ac:dyDescent="0.25">
      <c r="E1350" s="16"/>
      <c r="F1350" s="16"/>
      <c r="H1350" s="16"/>
      <c r="AG1350" s="80"/>
      <c r="AH1350" s="80"/>
      <c r="AI1350" s="80"/>
    </row>
    <row r="1351" spans="5:35" x14ac:dyDescent="0.25">
      <c r="E1351" s="16"/>
      <c r="F1351" s="16"/>
      <c r="H1351" s="16"/>
      <c r="AG1351" s="80"/>
      <c r="AH1351" s="80"/>
      <c r="AI1351" s="80"/>
    </row>
    <row r="1352" spans="5:35" x14ac:dyDescent="0.25">
      <c r="E1352" s="16"/>
      <c r="F1352" s="16"/>
      <c r="H1352" s="16"/>
      <c r="AG1352" s="80"/>
      <c r="AH1352" s="80"/>
      <c r="AI1352" s="80"/>
    </row>
    <row r="1353" spans="5:35" x14ac:dyDescent="0.25">
      <c r="E1353" s="16"/>
      <c r="F1353" s="16"/>
      <c r="H1353" s="16"/>
      <c r="AG1353" s="80"/>
      <c r="AH1353" s="80"/>
      <c r="AI1353" s="80"/>
    </row>
    <row r="1354" spans="5:35" x14ac:dyDescent="0.25">
      <c r="E1354" s="16"/>
      <c r="F1354" s="16"/>
      <c r="H1354" s="16"/>
      <c r="AG1354" s="80"/>
      <c r="AH1354" s="80"/>
      <c r="AI1354" s="80"/>
    </row>
    <row r="1355" spans="5:35" x14ac:dyDescent="0.25">
      <c r="E1355" s="16"/>
      <c r="F1355" s="16"/>
      <c r="H1355" s="16"/>
      <c r="AG1355" s="80"/>
      <c r="AH1355" s="80"/>
      <c r="AI1355" s="80"/>
    </row>
    <row r="1356" spans="5:35" x14ac:dyDescent="0.25">
      <c r="E1356" s="16"/>
      <c r="F1356" s="16"/>
      <c r="H1356" s="16"/>
      <c r="AG1356" s="80"/>
      <c r="AH1356" s="80"/>
      <c r="AI1356" s="80"/>
    </row>
    <row r="1357" spans="5:35" x14ac:dyDescent="0.25">
      <c r="E1357" s="16"/>
      <c r="F1357" s="16"/>
      <c r="H1357" s="16"/>
      <c r="AG1357" s="80"/>
      <c r="AH1357" s="80"/>
      <c r="AI1357" s="80"/>
    </row>
    <row r="1358" spans="5:35" x14ac:dyDescent="0.25">
      <c r="E1358" s="16"/>
      <c r="F1358" s="16"/>
      <c r="H1358" s="16"/>
      <c r="AG1358" s="80"/>
      <c r="AH1358" s="80"/>
      <c r="AI1358" s="80"/>
    </row>
    <row r="1359" spans="5:35" x14ac:dyDescent="0.25">
      <c r="E1359" s="16"/>
      <c r="F1359" s="16"/>
      <c r="H1359" s="16"/>
      <c r="AG1359" s="80"/>
      <c r="AH1359" s="80"/>
      <c r="AI1359" s="80"/>
    </row>
    <row r="1360" spans="5:35" x14ac:dyDescent="0.25">
      <c r="E1360" s="16"/>
      <c r="F1360" s="16"/>
      <c r="H1360" s="16"/>
      <c r="AG1360" s="80"/>
      <c r="AH1360" s="80"/>
      <c r="AI1360" s="80"/>
    </row>
    <row r="1361" spans="5:35" x14ac:dyDescent="0.25">
      <c r="E1361" s="16"/>
      <c r="F1361" s="16"/>
      <c r="H1361" s="16"/>
      <c r="AG1361" s="80"/>
      <c r="AH1361" s="80"/>
      <c r="AI1361" s="80"/>
    </row>
    <row r="1362" spans="5:35" x14ac:dyDescent="0.25">
      <c r="E1362" s="16"/>
      <c r="F1362" s="16"/>
      <c r="H1362" s="16"/>
      <c r="AG1362" s="80"/>
      <c r="AH1362" s="80"/>
      <c r="AI1362" s="80"/>
    </row>
    <row r="1363" spans="5:35" x14ac:dyDescent="0.25">
      <c r="E1363" s="16"/>
      <c r="F1363" s="16"/>
      <c r="H1363" s="16"/>
      <c r="AG1363" s="80"/>
      <c r="AH1363" s="80"/>
      <c r="AI1363" s="80"/>
    </row>
    <row r="1364" spans="5:35" x14ac:dyDescent="0.25">
      <c r="E1364" s="16"/>
      <c r="F1364" s="16"/>
      <c r="H1364" s="16"/>
      <c r="AG1364" s="80"/>
      <c r="AH1364" s="80"/>
      <c r="AI1364" s="80"/>
    </row>
    <row r="1365" spans="5:35" x14ac:dyDescent="0.25">
      <c r="E1365" s="16"/>
      <c r="F1365" s="16"/>
      <c r="H1365" s="16"/>
      <c r="AG1365" s="80"/>
      <c r="AH1365" s="80"/>
      <c r="AI1365" s="80"/>
    </row>
    <row r="1366" spans="5:35" x14ac:dyDescent="0.25">
      <c r="E1366" s="16"/>
      <c r="F1366" s="16"/>
      <c r="H1366" s="16"/>
      <c r="AG1366" s="80"/>
      <c r="AH1366" s="80"/>
      <c r="AI1366" s="80"/>
    </row>
    <row r="1367" spans="5:35" x14ac:dyDescent="0.25">
      <c r="E1367" s="16"/>
      <c r="F1367" s="16"/>
      <c r="H1367" s="16"/>
      <c r="AG1367" s="80"/>
      <c r="AH1367" s="80"/>
      <c r="AI1367" s="80"/>
    </row>
    <row r="1368" spans="5:35" x14ac:dyDescent="0.25">
      <c r="E1368" s="16"/>
      <c r="F1368" s="16"/>
      <c r="H1368" s="16"/>
      <c r="AG1368" s="80"/>
      <c r="AH1368" s="80"/>
      <c r="AI1368" s="80"/>
    </row>
    <row r="1369" spans="5:35" x14ac:dyDescent="0.25">
      <c r="E1369" s="16"/>
      <c r="F1369" s="16"/>
      <c r="H1369" s="16"/>
      <c r="AG1369" s="80"/>
      <c r="AH1369" s="80"/>
      <c r="AI1369" s="80"/>
    </row>
    <row r="1370" spans="5:35" x14ac:dyDescent="0.25">
      <c r="E1370" s="16"/>
      <c r="F1370" s="16"/>
      <c r="H1370" s="16"/>
      <c r="AG1370" s="80"/>
      <c r="AH1370" s="80"/>
      <c r="AI1370" s="80"/>
    </row>
    <row r="1371" spans="5:35" x14ac:dyDescent="0.25">
      <c r="E1371" s="16"/>
      <c r="F1371" s="16"/>
      <c r="H1371" s="16"/>
      <c r="AG1371" s="80"/>
      <c r="AH1371" s="80"/>
      <c r="AI1371" s="80"/>
    </row>
    <row r="1372" spans="5:35" x14ac:dyDescent="0.25">
      <c r="E1372" s="16"/>
      <c r="F1372" s="16"/>
      <c r="H1372" s="16"/>
      <c r="AG1372" s="80"/>
      <c r="AH1372" s="80"/>
      <c r="AI1372" s="80"/>
    </row>
    <row r="1373" spans="5:35" x14ac:dyDescent="0.25">
      <c r="E1373" s="16"/>
      <c r="F1373" s="16"/>
      <c r="H1373" s="16"/>
      <c r="AG1373" s="80"/>
      <c r="AH1373" s="80"/>
      <c r="AI1373" s="80"/>
    </row>
    <row r="1374" spans="5:35" x14ac:dyDescent="0.25">
      <c r="E1374" s="16"/>
      <c r="F1374" s="16"/>
      <c r="H1374" s="16"/>
      <c r="AG1374" s="80"/>
      <c r="AH1374" s="80"/>
      <c r="AI1374" s="80"/>
    </row>
    <row r="1375" spans="5:35" x14ac:dyDescent="0.25">
      <c r="E1375" s="16"/>
      <c r="F1375" s="16"/>
      <c r="H1375" s="16"/>
      <c r="AG1375" s="80"/>
      <c r="AH1375" s="80"/>
      <c r="AI1375" s="80"/>
    </row>
    <row r="1376" spans="5:35" x14ac:dyDescent="0.25">
      <c r="E1376" s="16"/>
      <c r="F1376" s="16"/>
      <c r="H1376" s="16"/>
      <c r="AG1376" s="80"/>
      <c r="AH1376" s="80"/>
      <c r="AI1376" s="80"/>
    </row>
    <row r="1377" spans="5:35" x14ac:dyDescent="0.25">
      <c r="E1377" s="16"/>
      <c r="F1377" s="16"/>
      <c r="H1377" s="16"/>
      <c r="AG1377" s="80"/>
      <c r="AH1377" s="80"/>
      <c r="AI1377" s="80"/>
    </row>
    <row r="1378" spans="5:35" x14ac:dyDescent="0.25">
      <c r="E1378" s="16"/>
      <c r="F1378" s="16"/>
      <c r="H1378" s="16"/>
      <c r="AG1378" s="80"/>
      <c r="AH1378" s="80"/>
      <c r="AI1378" s="80"/>
    </row>
    <row r="1379" spans="5:35" x14ac:dyDescent="0.25">
      <c r="E1379" s="16"/>
      <c r="F1379" s="16"/>
      <c r="H1379" s="16"/>
      <c r="AG1379" s="80"/>
      <c r="AH1379" s="80"/>
      <c r="AI1379" s="80"/>
    </row>
    <row r="1380" spans="5:35" x14ac:dyDescent="0.25">
      <c r="E1380" s="16"/>
      <c r="F1380" s="16"/>
      <c r="H1380" s="16"/>
      <c r="AG1380" s="80"/>
      <c r="AH1380" s="80"/>
      <c r="AI1380" s="80"/>
    </row>
    <row r="1381" spans="5:35" x14ac:dyDescent="0.25">
      <c r="E1381" s="16"/>
      <c r="F1381" s="16"/>
      <c r="H1381" s="16"/>
      <c r="AG1381" s="80"/>
      <c r="AH1381" s="80"/>
      <c r="AI1381" s="80"/>
    </row>
    <row r="1382" spans="5:35" x14ac:dyDescent="0.25">
      <c r="E1382" s="16"/>
      <c r="F1382" s="16"/>
      <c r="H1382" s="16"/>
      <c r="AG1382" s="80"/>
      <c r="AH1382" s="80"/>
      <c r="AI1382" s="80"/>
    </row>
    <row r="1383" spans="5:35" x14ac:dyDescent="0.25">
      <c r="E1383" s="16"/>
      <c r="F1383" s="16"/>
      <c r="H1383" s="16"/>
      <c r="AG1383" s="80"/>
      <c r="AH1383" s="80"/>
      <c r="AI1383" s="80"/>
    </row>
    <row r="1384" spans="5:35" x14ac:dyDescent="0.25">
      <c r="E1384" s="16"/>
      <c r="F1384" s="16"/>
      <c r="H1384" s="16"/>
      <c r="AG1384" s="80"/>
      <c r="AH1384" s="80"/>
      <c r="AI1384" s="80"/>
    </row>
    <row r="1385" spans="5:35" x14ac:dyDescent="0.25">
      <c r="E1385" s="16"/>
      <c r="F1385" s="16"/>
      <c r="H1385" s="16"/>
      <c r="AG1385" s="80"/>
      <c r="AH1385" s="80"/>
      <c r="AI1385" s="80"/>
    </row>
    <row r="1386" spans="5:35" x14ac:dyDescent="0.25">
      <c r="E1386" s="16"/>
      <c r="F1386" s="16"/>
      <c r="H1386" s="16"/>
      <c r="AG1386" s="80"/>
      <c r="AH1386" s="80"/>
      <c r="AI1386" s="80"/>
    </row>
    <row r="1387" spans="5:35" x14ac:dyDescent="0.25">
      <c r="E1387" s="16"/>
      <c r="F1387" s="16"/>
      <c r="H1387" s="16"/>
      <c r="AG1387" s="80"/>
      <c r="AH1387" s="80"/>
      <c r="AI1387" s="80"/>
    </row>
    <row r="1388" spans="5:35" x14ac:dyDescent="0.25">
      <c r="E1388" s="16"/>
      <c r="F1388" s="16"/>
      <c r="H1388" s="16"/>
      <c r="AG1388" s="80"/>
      <c r="AH1388" s="80"/>
      <c r="AI1388" s="80"/>
    </row>
    <row r="1389" spans="5:35" x14ac:dyDescent="0.25">
      <c r="E1389" s="16"/>
      <c r="F1389" s="16"/>
      <c r="H1389" s="16"/>
      <c r="AG1389" s="80"/>
      <c r="AH1389" s="80"/>
      <c r="AI1389" s="80"/>
    </row>
    <row r="1390" spans="5:35" x14ac:dyDescent="0.25">
      <c r="E1390" s="16"/>
      <c r="F1390" s="16"/>
      <c r="H1390" s="16"/>
      <c r="AG1390" s="80"/>
      <c r="AH1390" s="80"/>
      <c r="AI1390" s="80"/>
    </row>
    <row r="1391" spans="5:35" x14ac:dyDescent="0.25">
      <c r="E1391" s="16"/>
      <c r="F1391" s="16"/>
      <c r="H1391" s="16"/>
      <c r="AG1391" s="80"/>
      <c r="AH1391" s="80"/>
      <c r="AI1391" s="80"/>
    </row>
    <row r="1392" spans="5:35" x14ac:dyDescent="0.25">
      <c r="E1392" s="16"/>
      <c r="F1392" s="16"/>
      <c r="H1392" s="16"/>
      <c r="AG1392" s="80"/>
      <c r="AH1392" s="80"/>
      <c r="AI1392" s="80"/>
    </row>
    <row r="1393" spans="5:35" x14ac:dyDescent="0.25">
      <c r="E1393" s="16"/>
      <c r="F1393" s="16"/>
      <c r="H1393" s="16"/>
      <c r="AG1393" s="80"/>
      <c r="AH1393" s="80"/>
      <c r="AI1393" s="80"/>
    </row>
    <row r="1394" spans="5:35" x14ac:dyDescent="0.25">
      <c r="E1394" s="16"/>
      <c r="F1394" s="16"/>
      <c r="H1394" s="16"/>
      <c r="AG1394" s="80"/>
      <c r="AH1394" s="80"/>
      <c r="AI1394" s="80"/>
    </row>
    <row r="1395" spans="5:35" x14ac:dyDescent="0.25">
      <c r="E1395" s="16"/>
      <c r="F1395" s="16"/>
      <c r="H1395" s="16"/>
      <c r="AG1395" s="80"/>
      <c r="AH1395" s="80"/>
      <c r="AI1395" s="80"/>
    </row>
    <row r="1396" spans="5:35" x14ac:dyDescent="0.25">
      <c r="E1396" s="16"/>
      <c r="F1396" s="16"/>
      <c r="H1396" s="16"/>
      <c r="AG1396" s="80"/>
      <c r="AH1396" s="80"/>
      <c r="AI1396" s="80"/>
    </row>
    <row r="1397" spans="5:35" x14ac:dyDescent="0.25">
      <c r="E1397" s="16"/>
      <c r="F1397" s="16"/>
      <c r="H1397" s="16"/>
      <c r="AG1397" s="80"/>
      <c r="AH1397" s="80"/>
      <c r="AI1397" s="80"/>
    </row>
    <row r="1398" spans="5:35" x14ac:dyDescent="0.25">
      <c r="E1398" s="16"/>
      <c r="F1398" s="16"/>
      <c r="H1398" s="16"/>
      <c r="AG1398" s="80"/>
      <c r="AH1398" s="80"/>
      <c r="AI1398" s="80"/>
    </row>
    <row r="1399" spans="5:35" x14ac:dyDescent="0.25">
      <c r="E1399" s="16"/>
      <c r="F1399" s="16"/>
      <c r="H1399" s="16"/>
      <c r="AG1399" s="80"/>
      <c r="AH1399" s="80"/>
      <c r="AI1399" s="80"/>
    </row>
    <row r="1400" spans="5:35" x14ac:dyDescent="0.25">
      <c r="E1400" s="16"/>
      <c r="F1400" s="16"/>
      <c r="H1400" s="16"/>
      <c r="AG1400" s="80"/>
      <c r="AH1400" s="80"/>
      <c r="AI1400" s="80"/>
    </row>
    <row r="1401" spans="5:35" x14ac:dyDescent="0.25">
      <c r="E1401" s="16"/>
      <c r="F1401" s="16"/>
      <c r="H1401" s="16"/>
      <c r="AG1401" s="80"/>
      <c r="AH1401" s="80"/>
      <c r="AI1401" s="80"/>
    </row>
    <row r="1402" spans="5:35" x14ac:dyDescent="0.25">
      <c r="E1402" s="16"/>
      <c r="F1402" s="16"/>
      <c r="H1402" s="16"/>
      <c r="AG1402" s="80"/>
      <c r="AH1402" s="80"/>
      <c r="AI1402" s="80"/>
    </row>
    <row r="1403" spans="5:35" x14ac:dyDescent="0.25">
      <c r="E1403" s="16"/>
      <c r="F1403" s="16"/>
      <c r="H1403" s="16"/>
      <c r="AG1403" s="80"/>
      <c r="AH1403" s="80"/>
      <c r="AI1403" s="80"/>
    </row>
    <row r="1404" spans="5:35" x14ac:dyDescent="0.25">
      <c r="E1404" s="16"/>
      <c r="F1404" s="16"/>
      <c r="H1404" s="16"/>
      <c r="AG1404" s="80"/>
      <c r="AH1404" s="80"/>
      <c r="AI1404" s="80"/>
    </row>
    <row r="1405" spans="5:35" x14ac:dyDescent="0.25">
      <c r="E1405" s="16"/>
      <c r="F1405" s="16"/>
      <c r="H1405" s="16"/>
      <c r="AG1405" s="80"/>
      <c r="AH1405" s="80"/>
      <c r="AI1405" s="80"/>
    </row>
    <row r="1406" spans="5:35" x14ac:dyDescent="0.25">
      <c r="E1406" s="16"/>
      <c r="F1406" s="16"/>
      <c r="H1406" s="16"/>
      <c r="AG1406" s="80"/>
      <c r="AH1406" s="80"/>
      <c r="AI1406" s="80"/>
    </row>
    <row r="1407" spans="5:35" x14ac:dyDescent="0.25">
      <c r="E1407" s="16"/>
      <c r="F1407" s="16"/>
      <c r="H1407" s="16"/>
      <c r="AG1407" s="80"/>
      <c r="AH1407" s="80"/>
      <c r="AI1407" s="80"/>
    </row>
    <row r="1408" spans="5:35" x14ac:dyDescent="0.25">
      <c r="E1408" s="16"/>
      <c r="F1408" s="16"/>
      <c r="H1408" s="16"/>
      <c r="AG1408" s="80"/>
      <c r="AH1408" s="80"/>
      <c r="AI1408" s="80"/>
    </row>
    <row r="1409" spans="5:35" x14ac:dyDescent="0.25">
      <c r="E1409" s="16"/>
      <c r="F1409" s="16"/>
      <c r="H1409" s="16"/>
      <c r="AG1409" s="80"/>
      <c r="AH1409" s="80"/>
      <c r="AI1409" s="80"/>
    </row>
    <row r="1410" spans="5:35" x14ac:dyDescent="0.25">
      <c r="E1410" s="16"/>
      <c r="F1410" s="16"/>
      <c r="H1410" s="16"/>
      <c r="AG1410" s="80"/>
      <c r="AH1410" s="80"/>
      <c r="AI1410" s="80"/>
    </row>
    <row r="1411" spans="5:35" x14ac:dyDescent="0.25">
      <c r="E1411" s="16"/>
      <c r="F1411" s="16"/>
      <c r="H1411" s="16"/>
      <c r="AG1411" s="80"/>
      <c r="AH1411" s="80"/>
      <c r="AI1411" s="80"/>
    </row>
    <row r="1412" spans="5:35" x14ac:dyDescent="0.25">
      <c r="E1412" s="16"/>
      <c r="F1412" s="16"/>
      <c r="H1412" s="16"/>
      <c r="AG1412" s="80"/>
      <c r="AH1412" s="80"/>
      <c r="AI1412" s="80"/>
    </row>
    <row r="1413" spans="5:35" x14ac:dyDescent="0.25">
      <c r="E1413" s="16"/>
      <c r="F1413" s="16"/>
      <c r="H1413" s="16"/>
      <c r="AG1413" s="80"/>
      <c r="AH1413" s="80"/>
      <c r="AI1413" s="80"/>
    </row>
    <row r="1414" spans="5:35" x14ac:dyDescent="0.25">
      <c r="E1414" s="16"/>
      <c r="F1414" s="16"/>
      <c r="H1414" s="16"/>
      <c r="AG1414" s="80"/>
      <c r="AH1414" s="80"/>
      <c r="AI1414" s="80"/>
    </row>
    <row r="1415" spans="5:35" x14ac:dyDescent="0.25">
      <c r="E1415" s="16"/>
      <c r="F1415" s="16"/>
      <c r="H1415" s="16"/>
      <c r="AG1415" s="80"/>
      <c r="AH1415" s="80"/>
      <c r="AI1415" s="80"/>
    </row>
    <row r="1416" spans="5:35" x14ac:dyDescent="0.25">
      <c r="E1416" s="16"/>
      <c r="F1416" s="16"/>
      <c r="H1416" s="16"/>
      <c r="AG1416" s="80"/>
      <c r="AH1416" s="80"/>
      <c r="AI1416" s="80"/>
    </row>
    <row r="1417" spans="5:35" x14ac:dyDescent="0.25">
      <c r="E1417" s="16"/>
      <c r="F1417" s="16"/>
      <c r="H1417" s="16"/>
      <c r="AG1417" s="80"/>
      <c r="AH1417" s="80"/>
      <c r="AI1417" s="80"/>
    </row>
    <row r="1418" spans="5:35" x14ac:dyDescent="0.25">
      <c r="E1418" s="16"/>
      <c r="F1418" s="16"/>
      <c r="H1418" s="16"/>
      <c r="AG1418" s="80"/>
      <c r="AH1418" s="80"/>
      <c r="AI1418" s="80"/>
    </row>
    <row r="1419" spans="5:35" x14ac:dyDescent="0.25">
      <c r="E1419" s="16"/>
      <c r="F1419" s="16"/>
      <c r="H1419" s="16"/>
      <c r="AG1419" s="80"/>
      <c r="AH1419" s="80"/>
      <c r="AI1419" s="80"/>
    </row>
    <row r="1420" spans="5:35" x14ac:dyDescent="0.25">
      <c r="E1420" s="16"/>
      <c r="F1420" s="16"/>
      <c r="H1420" s="16"/>
      <c r="AG1420" s="80"/>
      <c r="AH1420" s="80"/>
      <c r="AI1420" s="80"/>
    </row>
    <row r="1421" spans="5:35" x14ac:dyDescent="0.25">
      <c r="E1421" s="16"/>
      <c r="F1421" s="16"/>
      <c r="H1421" s="16"/>
      <c r="AG1421" s="80"/>
      <c r="AH1421" s="80"/>
      <c r="AI1421" s="80"/>
    </row>
    <row r="1422" spans="5:35" x14ac:dyDescent="0.25">
      <c r="E1422" s="16"/>
      <c r="F1422" s="16"/>
      <c r="H1422" s="16"/>
      <c r="AG1422" s="80"/>
      <c r="AH1422" s="80"/>
      <c r="AI1422" s="80"/>
    </row>
    <row r="1423" spans="5:35" x14ac:dyDescent="0.25">
      <c r="E1423" s="16"/>
      <c r="F1423" s="16"/>
      <c r="H1423" s="16"/>
      <c r="AG1423" s="80"/>
      <c r="AH1423" s="80"/>
      <c r="AI1423" s="80"/>
    </row>
    <row r="1424" spans="5:35" x14ac:dyDescent="0.25">
      <c r="E1424" s="16"/>
      <c r="F1424" s="16"/>
      <c r="H1424" s="16"/>
      <c r="AG1424" s="80"/>
      <c r="AH1424" s="80"/>
      <c r="AI1424" s="80"/>
    </row>
    <row r="1425" spans="5:35" x14ac:dyDescent="0.25">
      <c r="E1425" s="16"/>
      <c r="F1425" s="16"/>
      <c r="H1425" s="16"/>
      <c r="AG1425" s="80"/>
      <c r="AH1425" s="80"/>
      <c r="AI1425" s="80"/>
    </row>
    <row r="1426" spans="5:35" x14ac:dyDescent="0.25">
      <c r="E1426" s="16"/>
      <c r="F1426" s="16"/>
      <c r="H1426" s="16"/>
      <c r="AG1426" s="80"/>
      <c r="AH1426" s="80"/>
      <c r="AI1426" s="80"/>
    </row>
    <row r="1427" spans="5:35" x14ac:dyDescent="0.25">
      <c r="E1427" s="16"/>
      <c r="F1427" s="16"/>
      <c r="H1427" s="16"/>
      <c r="AG1427" s="80"/>
      <c r="AH1427" s="80"/>
      <c r="AI1427" s="80"/>
    </row>
    <row r="1428" spans="5:35" x14ac:dyDescent="0.25">
      <c r="E1428" s="16"/>
      <c r="F1428" s="16"/>
      <c r="H1428" s="16"/>
      <c r="AG1428" s="80"/>
      <c r="AH1428" s="80"/>
      <c r="AI1428" s="80"/>
    </row>
    <row r="1429" spans="5:35" x14ac:dyDescent="0.25">
      <c r="E1429" s="16"/>
      <c r="F1429" s="16"/>
      <c r="H1429" s="16"/>
      <c r="AG1429" s="80"/>
      <c r="AH1429" s="80"/>
      <c r="AI1429" s="80"/>
    </row>
    <row r="1430" spans="5:35" x14ac:dyDescent="0.25">
      <c r="E1430" s="16"/>
      <c r="F1430" s="16"/>
      <c r="H1430" s="16"/>
      <c r="AG1430" s="80"/>
      <c r="AH1430" s="80"/>
      <c r="AI1430" s="80"/>
    </row>
    <row r="1431" spans="5:35" x14ac:dyDescent="0.25">
      <c r="E1431" s="16"/>
      <c r="F1431" s="16"/>
      <c r="H1431" s="16"/>
      <c r="AG1431" s="80"/>
      <c r="AH1431" s="80"/>
      <c r="AI1431" s="80"/>
    </row>
    <row r="1432" spans="5:35" x14ac:dyDescent="0.25">
      <c r="E1432" s="16"/>
      <c r="F1432" s="16"/>
      <c r="H1432" s="16"/>
      <c r="AG1432" s="80"/>
      <c r="AH1432" s="80"/>
      <c r="AI1432" s="80"/>
    </row>
    <row r="1433" spans="5:35" x14ac:dyDescent="0.25">
      <c r="E1433" s="16"/>
      <c r="F1433" s="16"/>
      <c r="H1433" s="16"/>
      <c r="AG1433" s="80"/>
      <c r="AH1433" s="80"/>
      <c r="AI1433" s="80"/>
    </row>
    <row r="1434" spans="5:35" x14ac:dyDescent="0.25">
      <c r="E1434" s="16"/>
      <c r="F1434" s="16"/>
      <c r="H1434" s="16"/>
      <c r="AG1434" s="80"/>
      <c r="AH1434" s="80"/>
      <c r="AI1434" s="80"/>
    </row>
    <row r="1435" spans="5:35" x14ac:dyDescent="0.25">
      <c r="E1435" s="16"/>
      <c r="F1435" s="16"/>
      <c r="H1435" s="16"/>
      <c r="AG1435" s="80"/>
      <c r="AH1435" s="80"/>
      <c r="AI1435" s="80"/>
    </row>
    <row r="1436" spans="5:35" x14ac:dyDescent="0.25">
      <c r="E1436" s="16"/>
      <c r="F1436" s="16"/>
      <c r="H1436" s="16"/>
      <c r="AG1436" s="80"/>
      <c r="AH1436" s="80"/>
      <c r="AI1436" s="80"/>
    </row>
    <row r="1437" spans="5:35" x14ac:dyDescent="0.25">
      <c r="E1437" s="16"/>
      <c r="F1437" s="16"/>
      <c r="H1437" s="16"/>
      <c r="AG1437" s="80"/>
      <c r="AH1437" s="80"/>
      <c r="AI1437" s="80"/>
    </row>
    <row r="1438" spans="5:35" x14ac:dyDescent="0.25">
      <c r="E1438" s="16"/>
      <c r="F1438" s="16"/>
      <c r="H1438" s="16"/>
      <c r="AG1438" s="80"/>
      <c r="AH1438" s="80"/>
      <c r="AI1438" s="80"/>
    </row>
    <row r="1439" spans="5:35" x14ac:dyDescent="0.25">
      <c r="E1439" s="16"/>
      <c r="F1439" s="16"/>
      <c r="H1439" s="16"/>
      <c r="AG1439" s="80"/>
      <c r="AH1439" s="80"/>
      <c r="AI1439" s="80"/>
    </row>
    <row r="1440" spans="5:35" x14ac:dyDescent="0.25">
      <c r="E1440" s="16"/>
      <c r="F1440" s="16"/>
      <c r="H1440" s="16"/>
      <c r="AG1440" s="80"/>
      <c r="AH1440" s="80"/>
      <c r="AI1440" s="80"/>
    </row>
    <row r="1441" spans="5:35" x14ac:dyDescent="0.25">
      <c r="E1441" s="16"/>
      <c r="F1441" s="16"/>
      <c r="H1441" s="16"/>
      <c r="AG1441" s="80"/>
      <c r="AH1441" s="80"/>
      <c r="AI1441" s="80"/>
    </row>
    <row r="1442" spans="5:35" x14ac:dyDescent="0.25">
      <c r="E1442" s="16"/>
      <c r="F1442" s="16"/>
      <c r="H1442" s="16"/>
      <c r="AG1442" s="80"/>
      <c r="AH1442" s="80"/>
      <c r="AI1442" s="80"/>
    </row>
    <row r="1443" spans="5:35" x14ac:dyDescent="0.25">
      <c r="E1443" s="16"/>
      <c r="F1443" s="16"/>
      <c r="H1443" s="16"/>
      <c r="AG1443" s="80"/>
      <c r="AH1443" s="80"/>
      <c r="AI1443" s="80"/>
    </row>
    <row r="1444" spans="5:35" x14ac:dyDescent="0.25">
      <c r="E1444" s="16"/>
      <c r="F1444" s="16"/>
      <c r="H1444" s="16"/>
      <c r="AG1444" s="80"/>
      <c r="AH1444" s="80"/>
      <c r="AI1444" s="80"/>
    </row>
    <row r="1445" spans="5:35" x14ac:dyDescent="0.25">
      <c r="E1445" s="16"/>
      <c r="F1445" s="16"/>
      <c r="H1445" s="16"/>
      <c r="AG1445" s="80"/>
      <c r="AH1445" s="80"/>
      <c r="AI1445" s="80"/>
    </row>
    <row r="1446" spans="5:35" x14ac:dyDescent="0.25">
      <c r="E1446" s="16"/>
      <c r="F1446" s="16"/>
      <c r="H1446" s="16"/>
      <c r="AG1446" s="80"/>
      <c r="AH1446" s="80"/>
      <c r="AI1446" s="80"/>
    </row>
    <row r="1447" spans="5:35" x14ac:dyDescent="0.25">
      <c r="E1447" s="16"/>
      <c r="F1447" s="16"/>
      <c r="H1447" s="16"/>
      <c r="AG1447" s="80"/>
      <c r="AH1447" s="80"/>
      <c r="AI1447" s="80"/>
    </row>
    <row r="1448" spans="5:35" x14ac:dyDescent="0.25">
      <c r="E1448" s="16"/>
      <c r="F1448" s="16"/>
      <c r="H1448" s="16"/>
      <c r="AG1448" s="80"/>
      <c r="AH1448" s="80"/>
      <c r="AI1448" s="80"/>
    </row>
    <row r="1449" spans="5:35" x14ac:dyDescent="0.25">
      <c r="E1449" s="16"/>
      <c r="F1449" s="16"/>
      <c r="H1449" s="16"/>
      <c r="AG1449" s="80"/>
      <c r="AH1449" s="80"/>
      <c r="AI1449" s="80"/>
    </row>
    <row r="1450" spans="5:35" x14ac:dyDescent="0.25">
      <c r="E1450" s="16"/>
      <c r="F1450" s="16"/>
      <c r="H1450" s="16"/>
      <c r="AG1450" s="80"/>
      <c r="AH1450" s="80"/>
      <c r="AI1450" s="80"/>
    </row>
    <row r="1451" spans="5:35" x14ac:dyDescent="0.25">
      <c r="E1451" s="16"/>
      <c r="F1451" s="16"/>
      <c r="H1451" s="16"/>
      <c r="AG1451" s="80"/>
      <c r="AH1451" s="80"/>
      <c r="AI1451" s="80"/>
    </row>
    <row r="1452" spans="5:35" x14ac:dyDescent="0.25">
      <c r="E1452" s="16"/>
      <c r="F1452" s="16"/>
      <c r="H1452" s="16"/>
      <c r="AG1452" s="80"/>
      <c r="AH1452" s="80"/>
      <c r="AI1452" s="80"/>
    </row>
    <row r="1453" spans="5:35" x14ac:dyDescent="0.25">
      <c r="E1453" s="16"/>
      <c r="F1453" s="16"/>
      <c r="H1453" s="16"/>
      <c r="AG1453" s="80"/>
      <c r="AH1453" s="80"/>
      <c r="AI1453" s="80"/>
    </row>
    <row r="1454" spans="5:35" x14ac:dyDescent="0.25">
      <c r="E1454" s="16"/>
      <c r="F1454" s="16"/>
      <c r="H1454" s="16"/>
      <c r="AG1454" s="80"/>
      <c r="AH1454" s="80"/>
      <c r="AI1454" s="80"/>
    </row>
    <row r="1455" spans="5:35" x14ac:dyDescent="0.25">
      <c r="E1455" s="16"/>
      <c r="F1455" s="16"/>
      <c r="H1455" s="16"/>
      <c r="AG1455" s="80"/>
      <c r="AH1455" s="80"/>
      <c r="AI1455" s="80"/>
    </row>
    <row r="1456" spans="5:35" x14ac:dyDescent="0.25">
      <c r="E1456" s="16"/>
      <c r="F1456" s="16"/>
      <c r="H1456" s="16"/>
      <c r="AG1456" s="80"/>
      <c r="AH1456" s="80"/>
      <c r="AI1456" s="80"/>
    </row>
    <row r="1457" spans="5:35" x14ac:dyDescent="0.25">
      <c r="E1457" s="16"/>
      <c r="F1457" s="16"/>
      <c r="H1457" s="16"/>
      <c r="AG1457" s="80"/>
      <c r="AH1457" s="80"/>
      <c r="AI1457" s="80"/>
    </row>
    <row r="1458" spans="5:35" x14ac:dyDescent="0.25">
      <c r="E1458" s="16"/>
      <c r="F1458" s="16"/>
      <c r="H1458" s="16"/>
      <c r="AG1458" s="80"/>
      <c r="AH1458" s="80"/>
      <c r="AI1458" s="80"/>
    </row>
    <row r="1459" spans="5:35" x14ac:dyDescent="0.25">
      <c r="E1459" s="16"/>
      <c r="F1459" s="16"/>
      <c r="H1459" s="16"/>
      <c r="AG1459" s="80"/>
      <c r="AH1459" s="80"/>
      <c r="AI1459" s="80"/>
    </row>
    <row r="1460" spans="5:35" x14ac:dyDescent="0.25">
      <c r="E1460" s="16"/>
      <c r="F1460" s="16"/>
      <c r="H1460" s="16"/>
      <c r="AG1460" s="80"/>
      <c r="AH1460" s="80"/>
      <c r="AI1460" s="80"/>
    </row>
    <row r="1461" spans="5:35" x14ac:dyDescent="0.25">
      <c r="E1461" s="16"/>
      <c r="F1461" s="16"/>
      <c r="H1461" s="16"/>
      <c r="AG1461" s="80"/>
      <c r="AH1461" s="80"/>
      <c r="AI1461" s="80"/>
    </row>
    <row r="1462" spans="5:35" x14ac:dyDescent="0.25">
      <c r="E1462" s="16"/>
      <c r="F1462" s="16"/>
      <c r="H1462" s="16"/>
      <c r="AG1462" s="80"/>
      <c r="AH1462" s="80"/>
      <c r="AI1462" s="80"/>
    </row>
    <row r="1463" spans="5:35" x14ac:dyDescent="0.25">
      <c r="E1463" s="16"/>
      <c r="F1463" s="16"/>
      <c r="H1463" s="16"/>
      <c r="AG1463" s="80"/>
      <c r="AH1463" s="80"/>
      <c r="AI1463" s="80"/>
    </row>
    <row r="1464" spans="5:35" x14ac:dyDescent="0.25">
      <c r="E1464" s="16"/>
      <c r="F1464" s="16"/>
      <c r="H1464" s="16"/>
      <c r="AG1464" s="80"/>
      <c r="AH1464" s="80"/>
      <c r="AI1464" s="80"/>
    </row>
    <row r="1465" spans="5:35" x14ac:dyDescent="0.25">
      <c r="E1465" s="16"/>
      <c r="F1465" s="16"/>
      <c r="H1465" s="16"/>
      <c r="AG1465" s="80"/>
      <c r="AH1465" s="80"/>
      <c r="AI1465" s="80"/>
    </row>
    <row r="1466" spans="5:35" x14ac:dyDescent="0.25">
      <c r="E1466" s="16"/>
      <c r="F1466" s="16"/>
      <c r="H1466" s="16"/>
      <c r="AG1466" s="80"/>
      <c r="AH1466" s="80"/>
      <c r="AI1466" s="80"/>
    </row>
    <row r="1467" spans="5:35" x14ac:dyDescent="0.25">
      <c r="E1467" s="16"/>
      <c r="F1467" s="16"/>
      <c r="H1467" s="16"/>
      <c r="AG1467" s="80"/>
      <c r="AH1467" s="80"/>
      <c r="AI1467" s="80"/>
    </row>
    <row r="1468" spans="5:35" x14ac:dyDescent="0.25">
      <c r="E1468" s="16"/>
      <c r="F1468" s="16"/>
      <c r="H1468" s="16"/>
      <c r="AG1468" s="80"/>
      <c r="AH1468" s="80"/>
      <c r="AI1468" s="80"/>
    </row>
    <row r="1469" spans="5:35" x14ac:dyDescent="0.25">
      <c r="E1469" s="16"/>
      <c r="F1469" s="16"/>
      <c r="H1469" s="16"/>
      <c r="AG1469" s="80"/>
      <c r="AH1469" s="80"/>
      <c r="AI1469" s="80"/>
    </row>
    <row r="1470" spans="5:35" x14ac:dyDescent="0.25">
      <c r="E1470" s="16"/>
      <c r="F1470" s="16"/>
      <c r="H1470" s="16"/>
      <c r="AG1470" s="80"/>
      <c r="AH1470" s="80"/>
      <c r="AI1470" s="80"/>
    </row>
    <row r="1471" spans="5:35" x14ac:dyDescent="0.25">
      <c r="E1471" s="16"/>
      <c r="F1471" s="16"/>
      <c r="H1471" s="16"/>
      <c r="AG1471" s="80"/>
      <c r="AH1471" s="80"/>
      <c r="AI1471" s="80"/>
    </row>
    <row r="1472" spans="5:35" x14ac:dyDescent="0.25">
      <c r="E1472" s="16"/>
      <c r="F1472" s="16"/>
      <c r="H1472" s="16"/>
      <c r="AG1472" s="80"/>
      <c r="AH1472" s="80"/>
      <c r="AI1472" s="80"/>
    </row>
    <row r="1473" spans="5:35" x14ac:dyDescent="0.25">
      <c r="E1473" s="16"/>
      <c r="F1473" s="16"/>
      <c r="H1473" s="16"/>
      <c r="AG1473" s="80"/>
      <c r="AH1473" s="80"/>
      <c r="AI1473" s="80"/>
    </row>
    <row r="1474" spans="5:35" x14ac:dyDescent="0.25">
      <c r="E1474" s="16"/>
      <c r="F1474" s="16"/>
      <c r="H1474" s="16"/>
      <c r="AG1474" s="80"/>
      <c r="AH1474" s="80"/>
      <c r="AI1474" s="80"/>
    </row>
    <row r="1475" spans="5:35" x14ac:dyDescent="0.25">
      <c r="E1475" s="16"/>
      <c r="F1475" s="16"/>
      <c r="H1475" s="16"/>
      <c r="AG1475" s="80"/>
      <c r="AH1475" s="80"/>
      <c r="AI1475" s="80"/>
    </row>
    <row r="1476" spans="5:35" x14ac:dyDescent="0.25">
      <c r="E1476" s="16"/>
      <c r="F1476" s="16"/>
      <c r="H1476" s="16"/>
      <c r="AG1476" s="80"/>
      <c r="AH1476" s="80"/>
      <c r="AI1476" s="80"/>
    </row>
    <row r="1477" spans="5:35" x14ac:dyDescent="0.25">
      <c r="E1477" s="16"/>
      <c r="F1477" s="16"/>
      <c r="H1477" s="16"/>
      <c r="AG1477" s="80"/>
      <c r="AH1477" s="80"/>
      <c r="AI1477" s="80"/>
    </row>
    <row r="1478" spans="5:35" x14ac:dyDescent="0.25">
      <c r="E1478" s="16"/>
      <c r="F1478" s="16"/>
      <c r="H1478" s="16"/>
      <c r="AG1478" s="80"/>
      <c r="AH1478" s="80"/>
      <c r="AI1478" s="80"/>
    </row>
    <row r="1479" spans="5:35" x14ac:dyDescent="0.25">
      <c r="E1479" s="16"/>
      <c r="F1479" s="16"/>
      <c r="H1479" s="16"/>
      <c r="AG1479" s="80"/>
      <c r="AH1479" s="80"/>
      <c r="AI1479" s="80"/>
    </row>
    <row r="1480" spans="5:35" x14ac:dyDescent="0.25">
      <c r="E1480" s="16"/>
      <c r="F1480" s="16"/>
      <c r="H1480" s="16"/>
      <c r="AG1480" s="80"/>
      <c r="AH1480" s="80"/>
      <c r="AI1480" s="80"/>
    </row>
    <row r="1481" spans="5:35" x14ac:dyDescent="0.25">
      <c r="E1481" s="16"/>
      <c r="F1481" s="16"/>
      <c r="H1481" s="16"/>
      <c r="AG1481" s="80"/>
      <c r="AH1481" s="80"/>
      <c r="AI1481" s="80"/>
    </row>
    <row r="1482" spans="5:35" x14ac:dyDescent="0.25">
      <c r="E1482" s="16"/>
      <c r="F1482" s="16"/>
      <c r="H1482" s="16"/>
      <c r="AG1482" s="80"/>
      <c r="AH1482" s="80"/>
      <c r="AI1482" s="80"/>
    </row>
    <row r="1483" spans="5:35" x14ac:dyDescent="0.25">
      <c r="E1483" s="16"/>
      <c r="F1483" s="16"/>
      <c r="H1483" s="16"/>
      <c r="AG1483" s="80"/>
      <c r="AH1483" s="80"/>
      <c r="AI1483" s="80"/>
    </row>
    <row r="1484" spans="5:35" x14ac:dyDescent="0.25">
      <c r="E1484" s="16"/>
      <c r="F1484" s="16"/>
      <c r="H1484" s="16"/>
      <c r="AG1484" s="80"/>
      <c r="AH1484" s="80"/>
      <c r="AI1484" s="80"/>
    </row>
    <row r="1485" spans="5:35" x14ac:dyDescent="0.25">
      <c r="E1485" s="16"/>
      <c r="F1485" s="16"/>
      <c r="H1485" s="16"/>
      <c r="AG1485" s="80"/>
      <c r="AH1485" s="80"/>
      <c r="AI1485" s="80"/>
    </row>
    <row r="1486" spans="5:35" x14ac:dyDescent="0.25">
      <c r="E1486" s="16"/>
      <c r="F1486" s="16"/>
      <c r="H1486" s="16"/>
      <c r="AG1486" s="80"/>
      <c r="AH1486" s="80"/>
      <c r="AI1486" s="80"/>
    </row>
    <row r="1487" spans="5:35" x14ac:dyDescent="0.25">
      <c r="E1487" s="16"/>
      <c r="F1487" s="16"/>
      <c r="H1487" s="16"/>
      <c r="AG1487" s="80"/>
      <c r="AH1487" s="80"/>
      <c r="AI1487" s="80"/>
    </row>
    <row r="1488" spans="5:35" x14ac:dyDescent="0.25">
      <c r="E1488" s="16"/>
      <c r="F1488" s="16"/>
      <c r="H1488" s="16"/>
      <c r="AG1488" s="80"/>
      <c r="AH1488" s="80"/>
      <c r="AI1488" s="80"/>
    </row>
    <row r="1489" spans="5:35" x14ac:dyDescent="0.25">
      <c r="E1489" s="16"/>
      <c r="F1489" s="16"/>
      <c r="H1489" s="16"/>
      <c r="AG1489" s="80"/>
      <c r="AH1489" s="80"/>
      <c r="AI1489" s="80"/>
    </row>
    <row r="1490" spans="5:35" x14ac:dyDescent="0.25">
      <c r="E1490" s="16"/>
      <c r="F1490" s="16"/>
      <c r="H1490" s="16"/>
      <c r="AG1490" s="80"/>
      <c r="AH1490" s="80"/>
      <c r="AI1490" s="80"/>
    </row>
    <row r="1491" spans="5:35" x14ac:dyDescent="0.25">
      <c r="E1491" s="16"/>
      <c r="F1491" s="16"/>
      <c r="H1491" s="16"/>
      <c r="AG1491" s="80"/>
      <c r="AH1491" s="80"/>
      <c r="AI1491" s="80"/>
    </row>
    <row r="1492" spans="5:35" x14ac:dyDescent="0.25">
      <c r="E1492" s="16"/>
      <c r="F1492" s="16"/>
      <c r="H1492" s="16"/>
      <c r="AG1492" s="80"/>
      <c r="AH1492" s="80"/>
      <c r="AI1492" s="80"/>
    </row>
    <row r="1493" spans="5:35" x14ac:dyDescent="0.25">
      <c r="E1493" s="16"/>
      <c r="F1493" s="16"/>
      <c r="H1493" s="16"/>
      <c r="AG1493" s="80"/>
      <c r="AH1493" s="80"/>
      <c r="AI1493" s="80"/>
    </row>
    <row r="1494" spans="5:35" x14ac:dyDescent="0.25">
      <c r="E1494" s="16"/>
      <c r="F1494" s="16"/>
      <c r="H1494" s="16"/>
      <c r="AG1494" s="80"/>
      <c r="AH1494" s="80"/>
      <c r="AI1494" s="80"/>
    </row>
    <row r="1495" spans="5:35" x14ac:dyDescent="0.25">
      <c r="E1495" s="16"/>
      <c r="F1495" s="16"/>
      <c r="H1495" s="16"/>
      <c r="AG1495" s="80"/>
      <c r="AH1495" s="80"/>
      <c r="AI1495" s="80"/>
    </row>
    <row r="1496" spans="5:35" x14ac:dyDescent="0.25">
      <c r="E1496" s="16"/>
      <c r="F1496" s="16"/>
      <c r="H1496" s="16"/>
      <c r="AG1496" s="80"/>
      <c r="AH1496" s="80"/>
      <c r="AI1496" s="80"/>
    </row>
    <row r="1497" spans="5:35" x14ac:dyDescent="0.25">
      <c r="E1497" s="16"/>
      <c r="F1497" s="16"/>
      <c r="H1497" s="16"/>
      <c r="AG1497" s="80"/>
      <c r="AH1497" s="80"/>
      <c r="AI1497" s="80"/>
    </row>
    <row r="1498" spans="5:35" x14ac:dyDescent="0.25">
      <c r="E1498" s="16"/>
      <c r="F1498" s="16"/>
      <c r="H1498" s="16"/>
      <c r="AG1498" s="80"/>
      <c r="AH1498" s="80"/>
      <c r="AI1498" s="80"/>
    </row>
    <row r="1499" spans="5:35" x14ac:dyDescent="0.25">
      <c r="E1499" s="16"/>
      <c r="F1499" s="16"/>
      <c r="H1499" s="16"/>
      <c r="AG1499" s="80"/>
      <c r="AH1499" s="80"/>
      <c r="AI1499" s="80"/>
    </row>
    <row r="1500" spans="5:35" x14ac:dyDescent="0.25">
      <c r="E1500" s="16"/>
      <c r="F1500" s="16"/>
      <c r="H1500" s="16"/>
      <c r="AG1500" s="80"/>
      <c r="AH1500" s="80"/>
      <c r="AI1500" s="80"/>
    </row>
    <row r="1501" spans="5:35" x14ac:dyDescent="0.25">
      <c r="E1501" s="16"/>
      <c r="F1501" s="16"/>
      <c r="H1501" s="16"/>
      <c r="AG1501" s="80"/>
      <c r="AH1501" s="80"/>
      <c r="AI1501" s="80"/>
    </row>
    <row r="1502" spans="5:35" x14ac:dyDescent="0.25">
      <c r="E1502" s="16"/>
      <c r="F1502" s="16"/>
      <c r="H1502" s="16"/>
      <c r="AG1502" s="80"/>
      <c r="AH1502" s="80"/>
      <c r="AI1502" s="80"/>
    </row>
    <row r="1503" spans="5:35" x14ac:dyDescent="0.25">
      <c r="E1503" s="16"/>
      <c r="F1503" s="16"/>
      <c r="H1503" s="16"/>
      <c r="AG1503" s="80"/>
      <c r="AH1503" s="80"/>
      <c r="AI1503" s="80"/>
    </row>
    <row r="1504" spans="5:35" x14ac:dyDescent="0.25">
      <c r="E1504" s="16"/>
      <c r="F1504" s="16"/>
      <c r="H1504" s="16"/>
      <c r="AG1504" s="80"/>
      <c r="AH1504" s="80"/>
      <c r="AI1504" s="80"/>
    </row>
    <row r="1505" spans="5:35" x14ac:dyDescent="0.25">
      <c r="E1505" s="16"/>
      <c r="F1505" s="16"/>
      <c r="H1505" s="16"/>
      <c r="AG1505" s="80"/>
      <c r="AH1505" s="80"/>
      <c r="AI1505" s="80"/>
    </row>
    <row r="1506" spans="5:35" x14ac:dyDescent="0.25">
      <c r="E1506" s="16"/>
      <c r="F1506" s="16"/>
      <c r="H1506" s="16"/>
      <c r="AG1506" s="80"/>
      <c r="AH1506" s="80"/>
      <c r="AI1506" s="80"/>
    </row>
    <row r="1507" spans="5:35" x14ac:dyDescent="0.25">
      <c r="E1507" s="16"/>
      <c r="F1507" s="16"/>
      <c r="H1507" s="16"/>
      <c r="AG1507" s="80"/>
      <c r="AH1507" s="80"/>
      <c r="AI1507" s="80"/>
    </row>
    <row r="1508" spans="5:35" x14ac:dyDescent="0.25">
      <c r="E1508" s="16"/>
      <c r="F1508" s="16"/>
      <c r="H1508" s="16"/>
      <c r="AG1508" s="80"/>
      <c r="AH1508" s="80"/>
      <c r="AI1508" s="80"/>
    </row>
    <row r="1509" spans="5:35" x14ac:dyDescent="0.25">
      <c r="E1509" s="16"/>
      <c r="F1509" s="16"/>
      <c r="H1509" s="16"/>
      <c r="AG1509" s="80"/>
      <c r="AH1509" s="80"/>
      <c r="AI1509" s="80"/>
    </row>
    <row r="1510" spans="5:35" x14ac:dyDescent="0.25">
      <c r="E1510" s="16"/>
      <c r="F1510" s="16"/>
      <c r="H1510" s="16"/>
      <c r="AG1510" s="80"/>
      <c r="AH1510" s="80"/>
      <c r="AI1510" s="80"/>
    </row>
    <row r="1511" spans="5:35" x14ac:dyDescent="0.25">
      <c r="E1511" s="16"/>
      <c r="F1511" s="16"/>
      <c r="H1511" s="16"/>
      <c r="AG1511" s="80"/>
      <c r="AH1511" s="80"/>
      <c r="AI1511" s="80"/>
    </row>
    <row r="1512" spans="5:35" x14ac:dyDescent="0.25">
      <c r="E1512" s="16"/>
      <c r="F1512" s="16"/>
      <c r="H1512" s="16"/>
      <c r="AG1512" s="80"/>
      <c r="AH1512" s="80"/>
      <c r="AI1512" s="80"/>
    </row>
    <row r="1513" spans="5:35" x14ac:dyDescent="0.25">
      <c r="E1513" s="16"/>
      <c r="F1513" s="16"/>
      <c r="H1513" s="16"/>
      <c r="AG1513" s="80"/>
      <c r="AH1513" s="80"/>
      <c r="AI1513" s="80"/>
    </row>
    <row r="1514" spans="5:35" x14ac:dyDescent="0.25">
      <c r="E1514" s="16"/>
      <c r="F1514" s="16"/>
      <c r="H1514" s="16"/>
      <c r="AG1514" s="80"/>
      <c r="AH1514" s="80"/>
      <c r="AI1514" s="80"/>
    </row>
    <row r="1515" spans="5:35" x14ac:dyDescent="0.25">
      <c r="E1515" s="16"/>
      <c r="F1515" s="16"/>
      <c r="H1515" s="16"/>
      <c r="AG1515" s="80"/>
      <c r="AH1515" s="80"/>
      <c r="AI1515" s="80"/>
    </row>
    <row r="1516" spans="5:35" x14ac:dyDescent="0.25">
      <c r="E1516" s="16"/>
      <c r="F1516" s="16"/>
      <c r="H1516" s="16"/>
      <c r="AG1516" s="80"/>
      <c r="AH1516" s="80"/>
      <c r="AI1516" s="80"/>
    </row>
    <row r="1517" spans="5:35" x14ac:dyDescent="0.25">
      <c r="E1517" s="16"/>
      <c r="F1517" s="16"/>
      <c r="H1517" s="16"/>
      <c r="AG1517" s="80"/>
      <c r="AH1517" s="80"/>
      <c r="AI1517" s="80"/>
    </row>
    <row r="1518" spans="5:35" x14ac:dyDescent="0.25">
      <c r="E1518" s="16"/>
      <c r="F1518" s="16"/>
      <c r="H1518" s="16"/>
      <c r="AG1518" s="80"/>
      <c r="AH1518" s="80"/>
      <c r="AI1518" s="80"/>
    </row>
    <row r="1519" spans="5:35" x14ac:dyDescent="0.25">
      <c r="E1519" s="16"/>
      <c r="F1519" s="16"/>
      <c r="H1519" s="16"/>
      <c r="AG1519" s="80"/>
      <c r="AH1519" s="80"/>
      <c r="AI1519" s="80"/>
    </row>
    <row r="1520" spans="5:35" x14ac:dyDescent="0.25">
      <c r="E1520" s="16"/>
      <c r="F1520" s="16"/>
      <c r="H1520" s="16"/>
      <c r="AG1520" s="80"/>
      <c r="AH1520" s="80"/>
      <c r="AI1520" s="80"/>
    </row>
    <row r="1521" spans="5:35" x14ac:dyDescent="0.25">
      <c r="E1521" s="16"/>
      <c r="F1521" s="16"/>
      <c r="H1521" s="16"/>
      <c r="AG1521" s="80"/>
      <c r="AH1521" s="80"/>
      <c r="AI1521" s="80"/>
    </row>
    <row r="1522" spans="5:35" x14ac:dyDescent="0.25">
      <c r="E1522" s="16"/>
      <c r="F1522" s="16"/>
      <c r="H1522" s="16"/>
      <c r="AG1522" s="80"/>
      <c r="AH1522" s="80"/>
      <c r="AI1522" s="80"/>
    </row>
    <row r="1523" spans="5:35" x14ac:dyDescent="0.25">
      <c r="E1523" s="16"/>
      <c r="F1523" s="16"/>
      <c r="H1523" s="16"/>
      <c r="AG1523" s="80"/>
      <c r="AH1523" s="80"/>
      <c r="AI1523" s="80"/>
    </row>
    <row r="1524" spans="5:35" x14ac:dyDescent="0.25">
      <c r="E1524" s="16"/>
      <c r="F1524" s="16"/>
      <c r="H1524" s="16"/>
      <c r="AG1524" s="80"/>
      <c r="AH1524" s="80"/>
      <c r="AI1524" s="80"/>
    </row>
    <row r="1525" spans="5:35" x14ac:dyDescent="0.25">
      <c r="E1525" s="16"/>
      <c r="F1525" s="16"/>
      <c r="H1525" s="16"/>
      <c r="AG1525" s="80"/>
      <c r="AH1525" s="80"/>
      <c r="AI1525" s="80"/>
    </row>
    <row r="1526" spans="5:35" x14ac:dyDescent="0.25">
      <c r="E1526" s="16"/>
      <c r="F1526" s="16"/>
      <c r="H1526" s="16"/>
      <c r="AG1526" s="80"/>
      <c r="AH1526" s="80"/>
      <c r="AI1526" s="80"/>
    </row>
    <row r="1527" spans="5:35" x14ac:dyDescent="0.25">
      <c r="E1527" s="16"/>
      <c r="F1527" s="16"/>
      <c r="H1527" s="16"/>
      <c r="AG1527" s="80"/>
      <c r="AH1527" s="80"/>
      <c r="AI1527" s="80"/>
    </row>
    <row r="1528" spans="5:35" x14ac:dyDescent="0.25">
      <c r="E1528" s="16"/>
      <c r="F1528" s="16"/>
      <c r="H1528" s="16"/>
      <c r="AG1528" s="80"/>
      <c r="AH1528" s="80"/>
      <c r="AI1528" s="80"/>
    </row>
    <row r="1529" spans="5:35" x14ac:dyDescent="0.25">
      <c r="E1529" s="16"/>
      <c r="F1529" s="16"/>
      <c r="H1529" s="16"/>
      <c r="AG1529" s="80"/>
      <c r="AH1529" s="80"/>
      <c r="AI1529" s="80"/>
    </row>
    <row r="1530" spans="5:35" x14ac:dyDescent="0.25">
      <c r="E1530" s="16"/>
      <c r="F1530" s="16"/>
      <c r="H1530" s="16"/>
      <c r="AG1530" s="80"/>
      <c r="AH1530" s="80"/>
      <c r="AI1530" s="80"/>
    </row>
    <row r="1531" spans="5:35" x14ac:dyDescent="0.25">
      <c r="E1531" s="16"/>
      <c r="F1531" s="16"/>
      <c r="H1531" s="16"/>
      <c r="AG1531" s="80"/>
      <c r="AH1531" s="80"/>
      <c r="AI1531" s="80"/>
    </row>
    <row r="1532" spans="5:35" x14ac:dyDescent="0.25">
      <c r="E1532" s="16"/>
      <c r="F1532" s="16"/>
      <c r="H1532" s="16"/>
      <c r="AG1532" s="80"/>
      <c r="AH1532" s="80"/>
      <c r="AI1532" s="80"/>
    </row>
    <row r="1533" spans="5:35" x14ac:dyDescent="0.25">
      <c r="E1533" s="16"/>
      <c r="F1533" s="16"/>
      <c r="H1533" s="16"/>
      <c r="AG1533" s="80"/>
      <c r="AH1533" s="80"/>
      <c r="AI1533" s="80"/>
    </row>
    <row r="1534" spans="5:35" x14ac:dyDescent="0.25">
      <c r="E1534" s="16"/>
      <c r="F1534" s="16"/>
      <c r="H1534" s="16"/>
      <c r="AG1534" s="80"/>
      <c r="AH1534" s="80"/>
      <c r="AI1534" s="80"/>
    </row>
    <row r="1535" spans="5:35" x14ac:dyDescent="0.25">
      <c r="E1535" s="16"/>
      <c r="F1535" s="16"/>
      <c r="H1535" s="16"/>
      <c r="AG1535" s="80"/>
      <c r="AH1535" s="80"/>
      <c r="AI1535" s="80"/>
    </row>
    <row r="1536" spans="5:35" x14ac:dyDescent="0.25">
      <c r="E1536" s="16"/>
      <c r="F1536" s="16"/>
      <c r="H1536" s="16"/>
      <c r="AG1536" s="80"/>
      <c r="AH1536" s="80"/>
      <c r="AI1536" s="80"/>
    </row>
    <row r="1537" spans="5:35" x14ac:dyDescent="0.25">
      <c r="E1537" s="16"/>
      <c r="F1537" s="16"/>
      <c r="H1537" s="16"/>
      <c r="AG1537" s="80"/>
      <c r="AH1537" s="80"/>
      <c r="AI1537" s="80"/>
    </row>
    <row r="1538" spans="5:35" x14ac:dyDescent="0.25">
      <c r="E1538" s="16"/>
      <c r="F1538" s="16"/>
      <c r="H1538" s="16"/>
      <c r="AG1538" s="80"/>
      <c r="AH1538" s="80"/>
      <c r="AI1538" s="80"/>
    </row>
    <row r="1539" spans="5:35" x14ac:dyDescent="0.25">
      <c r="E1539" s="16"/>
      <c r="F1539" s="16"/>
      <c r="H1539" s="16"/>
      <c r="AG1539" s="80"/>
      <c r="AH1539" s="80"/>
      <c r="AI1539" s="80"/>
    </row>
    <row r="1540" spans="5:35" x14ac:dyDescent="0.25">
      <c r="E1540" s="16"/>
      <c r="F1540" s="16"/>
      <c r="H1540" s="16"/>
      <c r="AG1540" s="80"/>
      <c r="AH1540" s="80"/>
      <c r="AI1540" s="80"/>
    </row>
    <row r="1541" spans="5:35" x14ac:dyDescent="0.25">
      <c r="E1541" s="16"/>
      <c r="F1541" s="16"/>
      <c r="H1541" s="16"/>
      <c r="AG1541" s="80"/>
      <c r="AH1541" s="80"/>
      <c r="AI1541" s="80"/>
    </row>
    <row r="1542" spans="5:35" x14ac:dyDescent="0.25">
      <c r="E1542" s="16"/>
      <c r="F1542" s="16"/>
      <c r="H1542" s="16"/>
      <c r="AG1542" s="80"/>
      <c r="AH1542" s="80"/>
      <c r="AI1542" s="80"/>
    </row>
    <row r="1543" spans="5:35" x14ac:dyDescent="0.25">
      <c r="E1543" s="16"/>
      <c r="F1543" s="16"/>
      <c r="H1543" s="16"/>
      <c r="AG1543" s="80"/>
      <c r="AH1543" s="80"/>
      <c r="AI1543" s="80"/>
    </row>
    <row r="1544" spans="5:35" x14ac:dyDescent="0.25">
      <c r="E1544" s="16"/>
      <c r="F1544" s="16"/>
      <c r="H1544" s="16"/>
      <c r="AG1544" s="80"/>
      <c r="AH1544" s="80"/>
      <c r="AI1544" s="80"/>
    </row>
    <row r="1545" spans="5:35" x14ac:dyDescent="0.25">
      <c r="E1545" s="16"/>
      <c r="F1545" s="16"/>
      <c r="H1545" s="16"/>
      <c r="AG1545" s="80"/>
      <c r="AH1545" s="80"/>
      <c r="AI1545" s="80"/>
    </row>
    <row r="1546" spans="5:35" x14ac:dyDescent="0.25">
      <c r="E1546" s="16"/>
      <c r="F1546" s="16"/>
      <c r="H1546" s="16"/>
      <c r="AG1546" s="80"/>
      <c r="AH1546" s="80"/>
      <c r="AI1546" s="80"/>
    </row>
    <row r="1547" spans="5:35" x14ac:dyDescent="0.25">
      <c r="E1547" s="16"/>
      <c r="F1547" s="16"/>
      <c r="H1547" s="16"/>
      <c r="AG1547" s="80"/>
      <c r="AH1547" s="80"/>
      <c r="AI1547" s="80"/>
    </row>
    <row r="1548" spans="5:35" x14ac:dyDescent="0.25">
      <c r="E1548" s="16"/>
      <c r="F1548" s="16"/>
      <c r="H1548" s="16"/>
      <c r="AG1548" s="80"/>
      <c r="AH1548" s="80"/>
      <c r="AI1548" s="80"/>
    </row>
    <row r="1549" spans="5:35" x14ac:dyDescent="0.25">
      <c r="E1549" s="16"/>
      <c r="F1549" s="16"/>
      <c r="H1549" s="16"/>
      <c r="AG1549" s="80"/>
      <c r="AH1549" s="80"/>
      <c r="AI1549" s="80"/>
    </row>
    <row r="1550" spans="5:35" x14ac:dyDescent="0.25">
      <c r="E1550" s="16"/>
      <c r="F1550" s="16"/>
      <c r="H1550" s="16"/>
      <c r="AG1550" s="80"/>
      <c r="AH1550" s="80"/>
      <c r="AI1550" s="80"/>
    </row>
    <row r="1551" spans="5:35" x14ac:dyDescent="0.25">
      <c r="E1551" s="16"/>
      <c r="F1551" s="16"/>
      <c r="H1551" s="16"/>
      <c r="AG1551" s="80"/>
      <c r="AH1551" s="80"/>
      <c r="AI1551" s="80"/>
    </row>
    <row r="1552" spans="5:35" x14ac:dyDescent="0.25">
      <c r="E1552" s="16"/>
      <c r="F1552" s="16"/>
      <c r="H1552" s="16"/>
      <c r="AG1552" s="80"/>
      <c r="AH1552" s="80"/>
      <c r="AI1552" s="80"/>
    </row>
    <row r="1553" spans="5:35" x14ac:dyDescent="0.25">
      <c r="E1553" s="16"/>
      <c r="F1553" s="16"/>
      <c r="H1553" s="16"/>
      <c r="AG1553" s="80"/>
      <c r="AH1553" s="80"/>
      <c r="AI1553" s="80"/>
    </row>
    <row r="1554" spans="5:35" x14ac:dyDescent="0.25">
      <c r="E1554" s="16"/>
      <c r="F1554" s="16"/>
      <c r="H1554" s="16"/>
      <c r="AG1554" s="80"/>
      <c r="AH1554" s="80"/>
      <c r="AI1554" s="80"/>
    </row>
    <row r="1555" spans="5:35" x14ac:dyDescent="0.25">
      <c r="E1555" s="16"/>
      <c r="F1555" s="16"/>
      <c r="H1555" s="16"/>
      <c r="AG1555" s="80"/>
      <c r="AH1555" s="80"/>
      <c r="AI1555" s="80"/>
    </row>
    <row r="1556" spans="5:35" x14ac:dyDescent="0.25">
      <c r="E1556" s="16"/>
      <c r="F1556" s="16"/>
      <c r="H1556" s="16"/>
      <c r="AG1556" s="80"/>
      <c r="AH1556" s="80"/>
      <c r="AI1556" s="80"/>
    </row>
    <row r="1557" spans="5:35" x14ac:dyDescent="0.25">
      <c r="E1557" s="16"/>
      <c r="F1557" s="16"/>
      <c r="H1557" s="16"/>
      <c r="AG1557" s="80"/>
      <c r="AH1557" s="80"/>
      <c r="AI1557" s="80"/>
    </row>
    <row r="1558" spans="5:35" x14ac:dyDescent="0.25">
      <c r="E1558" s="16"/>
      <c r="F1558" s="16"/>
      <c r="H1558" s="16"/>
      <c r="AG1558" s="80"/>
      <c r="AH1558" s="80"/>
      <c r="AI1558" s="80"/>
    </row>
    <row r="1559" spans="5:35" x14ac:dyDescent="0.25">
      <c r="E1559" s="16"/>
      <c r="F1559" s="16"/>
      <c r="H1559" s="16"/>
      <c r="AG1559" s="80"/>
      <c r="AH1559" s="80"/>
      <c r="AI1559" s="80"/>
    </row>
    <row r="1560" spans="5:35" x14ac:dyDescent="0.25">
      <c r="E1560" s="16"/>
      <c r="F1560" s="16"/>
      <c r="H1560" s="16"/>
      <c r="AG1560" s="80"/>
      <c r="AH1560" s="80"/>
      <c r="AI1560" s="80"/>
    </row>
    <row r="1561" spans="5:35" x14ac:dyDescent="0.25">
      <c r="E1561" s="16"/>
      <c r="F1561" s="16"/>
      <c r="H1561" s="16"/>
      <c r="AG1561" s="80"/>
      <c r="AH1561" s="80"/>
      <c r="AI1561" s="80"/>
    </row>
    <row r="1562" spans="5:35" x14ac:dyDescent="0.25">
      <c r="E1562" s="16"/>
      <c r="F1562" s="16"/>
      <c r="H1562" s="16"/>
      <c r="AG1562" s="80"/>
      <c r="AH1562" s="80"/>
      <c r="AI1562" s="80"/>
    </row>
    <row r="1563" spans="5:35" x14ac:dyDescent="0.25">
      <c r="E1563" s="16"/>
      <c r="F1563" s="16"/>
      <c r="H1563" s="16"/>
      <c r="AG1563" s="80"/>
      <c r="AH1563" s="80"/>
      <c r="AI1563" s="80"/>
    </row>
    <row r="1564" spans="5:35" x14ac:dyDescent="0.25">
      <c r="E1564" s="16"/>
      <c r="F1564" s="16"/>
      <c r="H1564" s="16"/>
      <c r="AG1564" s="80"/>
      <c r="AH1564" s="80"/>
      <c r="AI1564" s="80"/>
    </row>
    <row r="1565" spans="5:35" x14ac:dyDescent="0.25">
      <c r="E1565" s="16"/>
      <c r="F1565" s="16"/>
      <c r="H1565" s="16"/>
      <c r="AG1565" s="80"/>
      <c r="AH1565" s="80"/>
      <c r="AI1565" s="80"/>
    </row>
    <row r="1566" spans="5:35" x14ac:dyDescent="0.25">
      <c r="E1566" s="16"/>
      <c r="F1566" s="16"/>
      <c r="H1566" s="16"/>
      <c r="AG1566" s="80"/>
      <c r="AH1566" s="80"/>
      <c r="AI1566" s="80"/>
    </row>
    <row r="1567" spans="5:35" x14ac:dyDescent="0.25">
      <c r="E1567" s="16"/>
      <c r="F1567" s="16"/>
      <c r="H1567" s="16"/>
      <c r="AG1567" s="80"/>
      <c r="AH1567" s="80"/>
      <c r="AI1567" s="80"/>
    </row>
    <row r="1568" spans="5:35" x14ac:dyDescent="0.25">
      <c r="E1568" s="16"/>
      <c r="F1568" s="16"/>
      <c r="H1568" s="16"/>
      <c r="AG1568" s="80"/>
      <c r="AH1568" s="80"/>
      <c r="AI1568" s="80"/>
    </row>
    <row r="1569" spans="5:35" x14ac:dyDescent="0.25">
      <c r="E1569" s="16"/>
      <c r="F1569" s="16"/>
      <c r="H1569" s="16"/>
      <c r="AG1569" s="80"/>
      <c r="AH1569" s="80"/>
      <c r="AI1569" s="80"/>
    </row>
    <row r="1570" spans="5:35" x14ac:dyDescent="0.25">
      <c r="E1570" s="16"/>
      <c r="F1570" s="16"/>
      <c r="H1570" s="16"/>
      <c r="AG1570" s="80"/>
      <c r="AH1570" s="80"/>
      <c r="AI1570" s="80"/>
    </row>
    <row r="1571" spans="5:35" x14ac:dyDescent="0.25">
      <c r="E1571" s="16"/>
      <c r="F1571" s="16"/>
      <c r="H1571" s="16"/>
      <c r="AG1571" s="80"/>
      <c r="AH1571" s="80"/>
      <c r="AI1571" s="80"/>
    </row>
    <row r="1572" spans="5:35" x14ac:dyDescent="0.25">
      <c r="E1572" s="16"/>
      <c r="F1572" s="16"/>
      <c r="H1572" s="16"/>
      <c r="AG1572" s="80"/>
      <c r="AH1572" s="80"/>
      <c r="AI1572" s="80"/>
    </row>
    <row r="1573" spans="5:35" x14ac:dyDescent="0.25">
      <c r="E1573" s="16"/>
      <c r="F1573" s="16"/>
      <c r="H1573" s="16"/>
      <c r="AG1573" s="80"/>
      <c r="AH1573" s="80"/>
      <c r="AI1573" s="80"/>
    </row>
    <row r="1574" spans="5:35" x14ac:dyDescent="0.25">
      <c r="E1574" s="16"/>
      <c r="F1574" s="16"/>
      <c r="H1574" s="16"/>
      <c r="AG1574" s="80"/>
      <c r="AH1574" s="80"/>
      <c r="AI1574" s="80"/>
    </row>
    <row r="1575" spans="5:35" x14ac:dyDescent="0.25">
      <c r="E1575" s="16"/>
      <c r="F1575" s="16"/>
      <c r="H1575" s="16"/>
      <c r="AG1575" s="80"/>
      <c r="AH1575" s="80"/>
      <c r="AI1575" s="80"/>
    </row>
    <row r="1576" spans="5:35" x14ac:dyDescent="0.25">
      <c r="E1576" s="16"/>
      <c r="F1576" s="16"/>
      <c r="H1576" s="16"/>
      <c r="AG1576" s="80"/>
      <c r="AH1576" s="80"/>
      <c r="AI1576" s="80"/>
    </row>
    <row r="1577" spans="5:35" x14ac:dyDescent="0.25">
      <c r="E1577" s="16"/>
      <c r="F1577" s="16"/>
      <c r="H1577" s="16"/>
      <c r="AG1577" s="80"/>
      <c r="AH1577" s="80"/>
      <c r="AI1577" s="80"/>
    </row>
    <row r="1578" spans="5:35" x14ac:dyDescent="0.25">
      <c r="E1578" s="16"/>
      <c r="F1578" s="16"/>
      <c r="H1578" s="16"/>
      <c r="AG1578" s="80"/>
      <c r="AH1578" s="80"/>
      <c r="AI1578" s="80"/>
    </row>
    <row r="1579" spans="5:35" x14ac:dyDescent="0.25">
      <c r="E1579" s="16"/>
      <c r="F1579" s="16"/>
      <c r="H1579" s="16"/>
      <c r="AG1579" s="80"/>
      <c r="AH1579" s="80"/>
      <c r="AI1579" s="80"/>
    </row>
    <row r="1580" spans="5:35" x14ac:dyDescent="0.25">
      <c r="E1580" s="16"/>
      <c r="F1580" s="16"/>
      <c r="H1580" s="16"/>
      <c r="AG1580" s="80"/>
      <c r="AH1580" s="80"/>
      <c r="AI1580" s="80"/>
    </row>
    <row r="1581" spans="5:35" x14ac:dyDescent="0.25">
      <c r="E1581" s="16"/>
      <c r="F1581" s="16"/>
      <c r="H1581" s="16"/>
      <c r="AG1581" s="80"/>
      <c r="AH1581" s="80"/>
      <c r="AI1581" s="80"/>
    </row>
    <row r="1582" spans="5:35" x14ac:dyDescent="0.25">
      <c r="E1582" s="16"/>
      <c r="F1582" s="16"/>
      <c r="H1582" s="16"/>
      <c r="AG1582" s="80"/>
      <c r="AH1582" s="80"/>
      <c r="AI1582" s="80"/>
    </row>
    <row r="1583" spans="5:35" x14ac:dyDescent="0.25">
      <c r="E1583" s="16"/>
      <c r="F1583" s="16"/>
      <c r="H1583" s="16"/>
      <c r="AG1583" s="80"/>
      <c r="AH1583" s="80"/>
      <c r="AI1583" s="80"/>
    </row>
    <row r="1584" spans="5:35" x14ac:dyDescent="0.25">
      <c r="E1584" s="16"/>
      <c r="F1584" s="16"/>
      <c r="H1584" s="16"/>
      <c r="AG1584" s="80"/>
      <c r="AH1584" s="80"/>
      <c r="AI1584" s="80"/>
    </row>
    <row r="1585" spans="5:35" x14ac:dyDescent="0.25">
      <c r="E1585" s="16"/>
      <c r="F1585" s="16"/>
      <c r="H1585" s="16"/>
      <c r="AG1585" s="80"/>
      <c r="AH1585" s="80"/>
      <c r="AI1585" s="80"/>
    </row>
    <row r="1586" spans="5:35" x14ac:dyDescent="0.25">
      <c r="E1586" s="16"/>
      <c r="F1586" s="16"/>
      <c r="H1586" s="16"/>
      <c r="AG1586" s="80"/>
      <c r="AH1586" s="80"/>
      <c r="AI1586" s="80"/>
    </row>
    <row r="1587" spans="5:35" x14ac:dyDescent="0.25">
      <c r="E1587" s="16"/>
      <c r="F1587" s="16"/>
      <c r="H1587" s="16"/>
      <c r="AG1587" s="80"/>
      <c r="AH1587" s="80"/>
      <c r="AI1587" s="80"/>
    </row>
    <row r="1588" spans="5:35" x14ac:dyDescent="0.25">
      <c r="E1588" s="16"/>
      <c r="F1588" s="16"/>
      <c r="H1588" s="16"/>
      <c r="AG1588" s="80"/>
      <c r="AH1588" s="80"/>
      <c r="AI1588" s="80"/>
    </row>
    <row r="1589" spans="5:35" x14ac:dyDescent="0.25">
      <c r="E1589" s="16"/>
      <c r="F1589" s="16"/>
      <c r="H1589" s="16"/>
      <c r="AG1589" s="80"/>
      <c r="AH1589" s="80"/>
      <c r="AI1589" s="80"/>
    </row>
    <row r="1590" spans="5:35" x14ac:dyDescent="0.25">
      <c r="E1590" s="16"/>
      <c r="F1590" s="16"/>
      <c r="H1590" s="16"/>
      <c r="AG1590" s="80"/>
      <c r="AH1590" s="80"/>
      <c r="AI1590" s="80"/>
    </row>
    <row r="1591" spans="5:35" x14ac:dyDescent="0.25">
      <c r="E1591" s="16"/>
      <c r="F1591" s="16"/>
      <c r="H1591" s="16"/>
      <c r="AG1591" s="80"/>
      <c r="AH1591" s="80"/>
      <c r="AI1591" s="80"/>
    </row>
    <row r="1592" spans="5:35" x14ac:dyDescent="0.25">
      <c r="E1592" s="16"/>
      <c r="F1592" s="16"/>
      <c r="H1592" s="16"/>
      <c r="AG1592" s="80"/>
      <c r="AH1592" s="80"/>
      <c r="AI1592" s="80"/>
    </row>
    <row r="1593" spans="5:35" x14ac:dyDescent="0.25">
      <c r="E1593" s="16"/>
      <c r="F1593" s="16"/>
      <c r="H1593" s="16"/>
      <c r="AG1593" s="80"/>
      <c r="AH1593" s="80"/>
      <c r="AI1593" s="80"/>
    </row>
    <row r="1594" spans="5:35" x14ac:dyDescent="0.25">
      <c r="E1594" s="16"/>
      <c r="F1594" s="16"/>
      <c r="H1594" s="16"/>
      <c r="AG1594" s="80"/>
      <c r="AH1594" s="80"/>
      <c r="AI1594" s="80"/>
    </row>
    <row r="1595" spans="5:35" x14ac:dyDescent="0.25">
      <c r="E1595" s="16"/>
      <c r="F1595" s="16"/>
      <c r="H1595" s="16"/>
      <c r="AG1595" s="80"/>
      <c r="AH1595" s="80"/>
      <c r="AI1595" s="80"/>
    </row>
    <row r="1596" spans="5:35" x14ac:dyDescent="0.25">
      <c r="E1596" s="16"/>
      <c r="F1596" s="16"/>
      <c r="H1596" s="16"/>
      <c r="AG1596" s="80"/>
      <c r="AH1596" s="80"/>
      <c r="AI1596" s="80"/>
    </row>
    <row r="1597" spans="5:35" x14ac:dyDescent="0.25">
      <c r="E1597" s="16"/>
      <c r="F1597" s="16"/>
      <c r="H1597" s="16"/>
      <c r="AG1597" s="80"/>
      <c r="AH1597" s="80"/>
      <c r="AI1597" s="80"/>
    </row>
    <row r="1598" spans="5:35" x14ac:dyDescent="0.25">
      <c r="E1598" s="16"/>
      <c r="F1598" s="16"/>
      <c r="H1598" s="16"/>
      <c r="AG1598" s="80"/>
      <c r="AH1598" s="80"/>
      <c r="AI1598" s="80"/>
    </row>
    <row r="1599" spans="5:35" x14ac:dyDescent="0.25">
      <c r="E1599" s="16"/>
      <c r="F1599" s="16"/>
      <c r="H1599" s="16"/>
      <c r="AG1599" s="80"/>
      <c r="AH1599" s="80"/>
      <c r="AI1599" s="80"/>
    </row>
    <row r="1600" spans="5:35" x14ac:dyDescent="0.25">
      <c r="E1600" s="16"/>
      <c r="F1600" s="16"/>
      <c r="H1600" s="16"/>
      <c r="AG1600" s="80"/>
      <c r="AH1600" s="80"/>
      <c r="AI1600" s="80"/>
    </row>
    <row r="1601" spans="5:35" x14ac:dyDescent="0.25">
      <c r="E1601" s="16"/>
      <c r="F1601" s="16"/>
      <c r="H1601" s="16"/>
      <c r="AG1601" s="80"/>
      <c r="AH1601" s="80"/>
      <c r="AI1601" s="80"/>
    </row>
    <row r="1602" spans="5:35" x14ac:dyDescent="0.25">
      <c r="E1602" s="16"/>
      <c r="F1602" s="16"/>
      <c r="H1602" s="16"/>
      <c r="AG1602" s="80"/>
      <c r="AH1602" s="80"/>
      <c r="AI1602" s="80"/>
    </row>
    <row r="1603" spans="5:35" x14ac:dyDescent="0.25">
      <c r="E1603" s="16"/>
      <c r="F1603" s="16"/>
      <c r="H1603" s="16"/>
      <c r="AG1603" s="80"/>
      <c r="AH1603" s="80"/>
      <c r="AI1603" s="80"/>
    </row>
    <row r="1604" spans="5:35" x14ac:dyDescent="0.25">
      <c r="E1604" s="16"/>
      <c r="F1604" s="16"/>
      <c r="H1604" s="16"/>
      <c r="AG1604" s="80"/>
      <c r="AH1604" s="80"/>
      <c r="AI1604" s="80"/>
    </row>
    <row r="1605" spans="5:35" x14ac:dyDescent="0.25">
      <c r="E1605" s="16"/>
      <c r="F1605" s="16"/>
      <c r="H1605" s="16"/>
      <c r="AG1605" s="80"/>
      <c r="AH1605" s="80"/>
      <c r="AI1605" s="80"/>
    </row>
    <row r="1606" spans="5:35" x14ac:dyDescent="0.25">
      <c r="E1606" s="16"/>
      <c r="F1606" s="16"/>
      <c r="H1606" s="16"/>
      <c r="AG1606" s="80"/>
      <c r="AH1606" s="80"/>
      <c r="AI1606" s="80"/>
    </row>
    <row r="1607" spans="5:35" x14ac:dyDescent="0.25">
      <c r="E1607" s="16"/>
      <c r="F1607" s="16"/>
      <c r="H1607" s="16"/>
      <c r="AG1607" s="80"/>
      <c r="AH1607" s="80"/>
      <c r="AI1607" s="80"/>
    </row>
    <row r="1608" spans="5:35" x14ac:dyDescent="0.25">
      <c r="E1608" s="16"/>
      <c r="F1608" s="16"/>
      <c r="H1608" s="16"/>
      <c r="AG1608" s="80"/>
      <c r="AH1608" s="80"/>
      <c r="AI1608" s="80"/>
    </row>
    <row r="1609" spans="5:35" x14ac:dyDescent="0.25">
      <c r="E1609" s="16"/>
      <c r="F1609" s="16"/>
      <c r="H1609" s="16"/>
      <c r="AG1609" s="80"/>
      <c r="AH1609" s="80"/>
      <c r="AI1609" s="80"/>
    </row>
    <row r="1610" spans="5:35" x14ac:dyDescent="0.25">
      <c r="E1610" s="16"/>
      <c r="F1610" s="16"/>
      <c r="H1610" s="16"/>
      <c r="AG1610" s="80"/>
      <c r="AH1610" s="80"/>
      <c r="AI1610" s="80"/>
    </row>
    <row r="1611" spans="5:35" x14ac:dyDescent="0.25">
      <c r="E1611" s="16"/>
      <c r="F1611" s="16"/>
      <c r="H1611" s="16"/>
      <c r="AG1611" s="80"/>
      <c r="AH1611" s="80"/>
      <c r="AI1611" s="80"/>
    </row>
    <row r="1612" spans="5:35" x14ac:dyDescent="0.25">
      <c r="E1612" s="16"/>
      <c r="F1612" s="16"/>
      <c r="H1612" s="16"/>
      <c r="AG1612" s="80"/>
      <c r="AH1612" s="80"/>
      <c r="AI1612" s="80"/>
    </row>
    <row r="1613" spans="5:35" x14ac:dyDescent="0.25">
      <c r="E1613" s="16"/>
      <c r="F1613" s="16"/>
      <c r="H1613" s="16"/>
      <c r="AG1613" s="80"/>
      <c r="AH1613" s="80"/>
      <c r="AI1613" s="80"/>
    </row>
    <row r="1614" spans="5:35" x14ac:dyDescent="0.25">
      <c r="E1614" s="16"/>
      <c r="F1614" s="16"/>
      <c r="H1614" s="16"/>
      <c r="AG1614" s="80"/>
      <c r="AH1614" s="80"/>
      <c r="AI1614" s="80"/>
    </row>
    <row r="1615" spans="5:35" x14ac:dyDescent="0.25">
      <c r="E1615" s="16"/>
      <c r="F1615" s="16"/>
      <c r="H1615" s="16"/>
      <c r="AG1615" s="80"/>
      <c r="AH1615" s="80"/>
      <c r="AI1615" s="80"/>
    </row>
    <row r="1616" spans="5:35" x14ac:dyDescent="0.25">
      <c r="E1616" s="16"/>
      <c r="F1616" s="16"/>
      <c r="H1616" s="16"/>
      <c r="AG1616" s="80"/>
      <c r="AH1616" s="80"/>
      <c r="AI1616" s="80"/>
    </row>
    <row r="1617" spans="5:35" x14ac:dyDescent="0.25">
      <c r="E1617" s="16"/>
      <c r="F1617" s="16"/>
      <c r="H1617" s="16"/>
      <c r="AG1617" s="80"/>
      <c r="AH1617" s="80"/>
      <c r="AI1617" s="80"/>
    </row>
    <row r="1618" spans="5:35" x14ac:dyDescent="0.25">
      <c r="E1618" s="16"/>
      <c r="F1618" s="16"/>
      <c r="H1618" s="16"/>
      <c r="AG1618" s="80"/>
      <c r="AH1618" s="80"/>
      <c r="AI1618" s="80"/>
    </row>
    <row r="1619" spans="5:35" x14ac:dyDescent="0.25">
      <c r="E1619" s="16"/>
      <c r="F1619" s="16"/>
      <c r="H1619" s="16"/>
      <c r="AG1619" s="80"/>
      <c r="AH1619" s="80"/>
      <c r="AI1619" s="80"/>
    </row>
    <row r="1620" spans="5:35" x14ac:dyDescent="0.25">
      <c r="E1620" s="16"/>
      <c r="F1620" s="16"/>
      <c r="H1620" s="16"/>
      <c r="AG1620" s="80"/>
      <c r="AH1620" s="80"/>
      <c r="AI1620" s="80"/>
    </row>
    <row r="1621" spans="5:35" x14ac:dyDescent="0.25">
      <c r="E1621" s="16"/>
      <c r="F1621" s="16"/>
      <c r="H1621" s="16"/>
      <c r="AG1621" s="80"/>
      <c r="AH1621" s="80"/>
      <c r="AI1621" s="80"/>
    </row>
    <row r="1622" spans="5:35" x14ac:dyDescent="0.25">
      <c r="E1622" s="16"/>
      <c r="F1622" s="16"/>
      <c r="H1622" s="16"/>
      <c r="AG1622" s="80"/>
      <c r="AH1622" s="80"/>
      <c r="AI1622" s="80"/>
    </row>
    <row r="1623" spans="5:35" x14ac:dyDescent="0.25">
      <c r="E1623" s="16"/>
      <c r="F1623" s="16"/>
      <c r="H1623" s="16"/>
      <c r="AG1623" s="80"/>
      <c r="AH1623" s="80"/>
      <c r="AI1623" s="80"/>
    </row>
    <row r="1624" spans="5:35" x14ac:dyDescent="0.25">
      <c r="E1624" s="16"/>
      <c r="F1624" s="16"/>
      <c r="H1624" s="16"/>
      <c r="AG1624" s="80"/>
      <c r="AH1624" s="80"/>
      <c r="AI1624" s="80"/>
    </row>
    <row r="1625" spans="5:35" x14ac:dyDescent="0.25">
      <c r="E1625" s="16"/>
      <c r="F1625" s="16"/>
      <c r="H1625" s="16"/>
      <c r="AG1625" s="80"/>
      <c r="AH1625" s="80"/>
      <c r="AI1625" s="80"/>
    </row>
    <row r="1626" spans="5:35" x14ac:dyDescent="0.25">
      <c r="E1626" s="16"/>
      <c r="F1626" s="16"/>
      <c r="H1626" s="16"/>
      <c r="AG1626" s="80"/>
      <c r="AH1626" s="80"/>
      <c r="AI1626" s="80"/>
    </row>
    <row r="1627" spans="5:35" x14ac:dyDescent="0.25">
      <c r="E1627" s="16"/>
      <c r="F1627" s="16"/>
      <c r="H1627" s="16"/>
      <c r="AG1627" s="80"/>
      <c r="AH1627" s="80"/>
      <c r="AI1627" s="80"/>
    </row>
    <row r="1628" spans="5:35" x14ac:dyDescent="0.25">
      <c r="E1628" s="16"/>
      <c r="F1628" s="16"/>
      <c r="H1628" s="16"/>
      <c r="AG1628" s="80"/>
      <c r="AH1628" s="80"/>
      <c r="AI1628" s="80"/>
    </row>
    <row r="1629" spans="5:35" x14ac:dyDescent="0.25">
      <c r="E1629" s="16"/>
      <c r="F1629" s="16"/>
      <c r="H1629" s="16"/>
      <c r="AG1629" s="80"/>
      <c r="AH1629" s="80"/>
      <c r="AI1629" s="80"/>
    </row>
    <row r="1630" spans="5:35" x14ac:dyDescent="0.25">
      <c r="E1630" s="16"/>
      <c r="F1630" s="16"/>
      <c r="H1630" s="16"/>
      <c r="AG1630" s="80"/>
      <c r="AH1630" s="80"/>
      <c r="AI1630" s="80"/>
    </row>
    <row r="1631" spans="5:35" x14ac:dyDescent="0.25">
      <c r="E1631" s="16"/>
      <c r="F1631" s="16"/>
      <c r="H1631" s="16"/>
      <c r="AG1631" s="80"/>
      <c r="AH1631" s="80"/>
      <c r="AI1631" s="80"/>
    </row>
    <row r="1632" spans="5:35" x14ac:dyDescent="0.25">
      <c r="E1632" s="16"/>
      <c r="F1632" s="16"/>
      <c r="H1632" s="16"/>
      <c r="AG1632" s="80"/>
      <c r="AH1632" s="80"/>
      <c r="AI1632" s="80"/>
    </row>
    <row r="1633" spans="5:35" x14ac:dyDescent="0.25">
      <c r="E1633" s="16"/>
      <c r="F1633" s="16"/>
      <c r="H1633" s="16"/>
      <c r="AG1633" s="80"/>
      <c r="AH1633" s="80"/>
      <c r="AI1633" s="80"/>
    </row>
    <row r="1634" spans="5:35" x14ac:dyDescent="0.25">
      <c r="E1634" s="16"/>
      <c r="F1634" s="16"/>
      <c r="H1634" s="16"/>
      <c r="AG1634" s="80"/>
      <c r="AH1634" s="80"/>
      <c r="AI1634" s="80"/>
    </row>
    <row r="1635" spans="5:35" x14ac:dyDescent="0.25">
      <c r="E1635" s="16"/>
      <c r="F1635" s="16"/>
      <c r="H1635" s="16"/>
      <c r="AG1635" s="80"/>
      <c r="AH1635" s="80"/>
      <c r="AI1635" s="80"/>
    </row>
    <row r="1636" spans="5:35" x14ac:dyDescent="0.25">
      <c r="E1636" s="16"/>
      <c r="F1636" s="16"/>
      <c r="H1636" s="16"/>
      <c r="AG1636" s="80"/>
      <c r="AH1636" s="80"/>
      <c r="AI1636" s="80"/>
    </row>
    <row r="1637" spans="5:35" x14ac:dyDescent="0.25">
      <c r="E1637" s="16"/>
      <c r="F1637" s="16"/>
      <c r="H1637" s="16"/>
      <c r="AG1637" s="80"/>
      <c r="AH1637" s="80"/>
      <c r="AI1637" s="80"/>
    </row>
    <row r="1638" spans="5:35" x14ac:dyDescent="0.25">
      <c r="E1638" s="16"/>
      <c r="F1638" s="16"/>
      <c r="H1638" s="16"/>
      <c r="AG1638" s="80"/>
      <c r="AH1638" s="80"/>
      <c r="AI1638" s="80"/>
    </row>
    <row r="1639" spans="5:35" x14ac:dyDescent="0.25">
      <c r="E1639" s="16"/>
      <c r="F1639" s="16"/>
      <c r="H1639" s="16"/>
      <c r="AG1639" s="80"/>
      <c r="AH1639" s="80"/>
      <c r="AI1639" s="80"/>
    </row>
    <row r="1640" spans="5:35" x14ac:dyDescent="0.25">
      <c r="E1640" s="16"/>
      <c r="F1640" s="16"/>
      <c r="H1640" s="16"/>
      <c r="AG1640" s="80"/>
      <c r="AH1640" s="80"/>
      <c r="AI1640" s="80"/>
    </row>
    <row r="1641" spans="5:35" x14ac:dyDescent="0.25">
      <c r="E1641" s="16"/>
      <c r="F1641" s="16"/>
      <c r="H1641" s="16"/>
      <c r="AG1641" s="80"/>
      <c r="AH1641" s="80"/>
      <c r="AI1641" s="80"/>
    </row>
    <row r="1642" spans="5:35" x14ac:dyDescent="0.25">
      <c r="E1642" s="16"/>
      <c r="F1642" s="16"/>
      <c r="H1642" s="16"/>
      <c r="AG1642" s="80"/>
      <c r="AH1642" s="80"/>
      <c r="AI1642" s="80"/>
    </row>
    <row r="1643" spans="5:35" x14ac:dyDescent="0.25">
      <c r="E1643" s="16"/>
      <c r="F1643" s="16"/>
      <c r="H1643" s="16"/>
      <c r="AG1643" s="80"/>
      <c r="AH1643" s="80"/>
      <c r="AI1643" s="80"/>
    </row>
    <row r="1644" spans="5:35" x14ac:dyDescent="0.25">
      <c r="E1644" s="16"/>
      <c r="F1644" s="16"/>
      <c r="H1644" s="16"/>
      <c r="AG1644" s="80"/>
      <c r="AH1644" s="80"/>
      <c r="AI1644" s="80"/>
    </row>
    <row r="1645" spans="5:35" x14ac:dyDescent="0.25">
      <c r="E1645" s="16"/>
      <c r="F1645" s="16"/>
      <c r="H1645" s="16"/>
      <c r="AG1645" s="80"/>
      <c r="AH1645" s="80"/>
      <c r="AI1645" s="80"/>
    </row>
    <row r="1646" spans="5:35" x14ac:dyDescent="0.25">
      <c r="E1646" s="16"/>
      <c r="F1646" s="16"/>
      <c r="H1646" s="16"/>
      <c r="AG1646" s="80"/>
      <c r="AH1646" s="80"/>
      <c r="AI1646" s="80"/>
    </row>
    <row r="1647" spans="5:35" x14ac:dyDescent="0.25">
      <c r="E1647" s="16"/>
      <c r="F1647" s="16"/>
      <c r="H1647" s="16"/>
      <c r="AG1647" s="80"/>
      <c r="AH1647" s="80"/>
      <c r="AI1647" s="80"/>
    </row>
    <row r="1648" spans="5:35" x14ac:dyDescent="0.25">
      <c r="E1648" s="16"/>
      <c r="F1648" s="16"/>
      <c r="H1648" s="16"/>
      <c r="AG1648" s="80"/>
      <c r="AH1648" s="80"/>
      <c r="AI1648" s="80"/>
    </row>
    <row r="1649" spans="5:35" x14ac:dyDescent="0.25">
      <c r="E1649" s="16"/>
      <c r="F1649" s="16"/>
      <c r="H1649" s="16"/>
      <c r="AG1649" s="80"/>
      <c r="AH1649" s="80"/>
      <c r="AI1649" s="80"/>
    </row>
    <row r="1650" spans="5:35" x14ac:dyDescent="0.25">
      <c r="E1650" s="16"/>
      <c r="F1650" s="16"/>
      <c r="H1650" s="16"/>
      <c r="AG1650" s="80"/>
      <c r="AH1650" s="80"/>
      <c r="AI1650" s="80"/>
    </row>
    <row r="1651" spans="5:35" x14ac:dyDescent="0.25">
      <c r="E1651" s="16"/>
      <c r="F1651" s="16"/>
      <c r="H1651" s="16"/>
      <c r="AG1651" s="80"/>
      <c r="AH1651" s="80"/>
      <c r="AI1651" s="80"/>
    </row>
    <row r="1652" spans="5:35" x14ac:dyDescent="0.25">
      <c r="E1652" s="16"/>
      <c r="F1652" s="16"/>
      <c r="H1652" s="16"/>
      <c r="AG1652" s="80"/>
      <c r="AH1652" s="80"/>
      <c r="AI1652" s="80"/>
    </row>
    <row r="1653" spans="5:35" x14ac:dyDescent="0.25">
      <c r="E1653" s="16"/>
      <c r="F1653" s="16"/>
      <c r="H1653" s="16"/>
      <c r="AG1653" s="80"/>
      <c r="AH1653" s="80"/>
      <c r="AI1653" s="80"/>
    </row>
    <row r="1654" spans="5:35" x14ac:dyDescent="0.25">
      <c r="E1654" s="16"/>
      <c r="F1654" s="16"/>
      <c r="H1654" s="16"/>
      <c r="AG1654" s="80"/>
      <c r="AH1654" s="80"/>
      <c r="AI1654" s="80"/>
    </row>
    <row r="1655" spans="5:35" x14ac:dyDescent="0.25">
      <c r="E1655" s="16"/>
      <c r="F1655" s="16"/>
      <c r="H1655" s="16"/>
      <c r="AG1655" s="80"/>
      <c r="AH1655" s="80"/>
      <c r="AI1655" s="80"/>
    </row>
    <row r="1656" spans="5:35" x14ac:dyDescent="0.25">
      <c r="E1656" s="16"/>
      <c r="F1656" s="16"/>
      <c r="H1656" s="16"/>
      <c r="AG1656" s="80"/>
      <c r="AH1656" s="80"/>
      <c r="AI1656" s="80"/>
    </row>
    <row r="1657" spans="5:35" x14ac:dyDescent="0.25">
      <c r="E1657" s="16"/>
      <c r="F1657" s="16"/>
      <c r="H1657" s="16"/>
      <c r="AG1657" s="80"/>
      <c r="AH1657" s="80"/>
      <c r="AI1657" s="80"/>
    </row>
    <row r="1658" spans="5:35" x14ac:dyDescent="0.25">
      <c r="E1658" s="16"/>
      <c r="F1658" s="16"/>
      <c r="H1658" s="16"/>
      <c r="AG1658" s="80"/>
      <c r="AH1658" s="80"/>
      <c r="AI1658" s="80"/>
    </row>
    <row r="1659" spans="5:35" x14ac:dyDescent="0.25">
      <c r="E1659" s="16"/>
      <c r="F1659" s="16"/>
      <c r="H1659" s="16"/>
      <c r="AG1659" s="80"/>
      <c r="AH1659" s="80"/>
      <c r="AI1659" s="80"/>
    </row>
    <row r="1660" spans="5:35" x14ac:dyDescent="0.25">
      <c r="E1660" s="16"/>
      <c r="F1660" s="16"/>
      <c r="H1660" s="16"/>
      <c r="AG1660" s="80"/>
      <c r="AH1660" s="80"/>
      <c r="AI1660" s="80"/>
    </row>
    <row r="1661" spans="5:35" x14ac:dyDescent="0.25">
      <c r="E1661" s="16"/>
      <c r="F1661" s="16"/>
      <c r="H1661" s="16"/>
      <c r="AG1661" s="80"/>
      <c r="AH1661" s="80"/>
      <c r="AI1661" s="80"/>
    </row>
    <row r="1662" spans="5:35" x14ac:dyDescent="0.25">
      <c r="E1662" s="16"/>
      <c r="F1662" s="16"/>
      <c r="H1662" s="16"/>
      <c r="AG1662" s="80"/>
      <c r="AH1662" s="80"/>
      <c r="AI1662" s="80"/>
    </row>
    <row r="1663" spans="5:35" x14ac:dyDescent="0.25">
      <c r="E1663" s="16"/>
      <c r="F1663" s="16"/>
      <c r="H1663" s="16"/>
      <c r="AG1663" s="80"/>
      <c r="AH1663" s="80"/>
      <c r="AI1663" s="80"/>
    </row>
    <row r="1664" spans="5:35" x14ac:dyDescent="0.25">
      <c r="E1664" s="16"/>
      <c r="F1664" s="16"/>
      <c r="H1664" s="16"/>
      <c r="AG1664" s="80"/>
      <c r="AH1664" s="80"/>
      <c r="AI1664" s="80"/>
    </row>
    <row r="1665" spans="5:35" x14ac:dyDescent="0.25">
      <c r="E1665" s="16"/>
      <c r="F1665" s="16"/>
      <c r="H1665" s="16"/>
      <c r="AG1665" s="80"/>
      <c r="AH1665" s="80"/>
      <c r="AI1665" s="80"/>
    </row>
    <row r="1666" spans="5:35" x14ac:dyDescent="0.25">
      <c r="E1666" s="16"/>
      <c r="F1666" s="16"/>
      <c r="H1666" s="16"/>
      <c r="AG1666" s="80"/>
      <c r="AH1666" s="80"/>
      <c r="AI1666" s="80"/>
    </row>
    <row r="1667" spans="5:35" x14ac:dyDescent="0.25">
      <c r="E1667" s="16"/>
      <c r="F1667" s="16"/>
      <c r="H1667" s="16"/>
      <c r="AG1667" s="80"/>
      <c r="AH1667" s="80"/>
      <c r="AI1667" s="80"/>
    </row>
    <row r="1668" spans="5:35" x14ac:dyDescent="0.25">
      <c r="E1668" s="16"/>
      <c r="F1668" s="16"/>
      <c r="H1668" s="16"/>
      <c r="AG1668" s="80"/>
      <c r="AH1668" s="80"/>
      <c r="AI1668" s="80"/>
    </row>
    <row r="1669" spans="5:35" x14ac:dyDescent="0.25">
      <c r="E1669" s="16"/>
      <c r="F1669" s="16"/>
      <c r="H1669" s="16"/>
      <c r="AG1669" s="80"/>
      <c r="AH1669" s="80"/>
      <c r="AI1669" s="80"/>
    </row>
    <row r="1670" spans="5:35" x14ac:dyDescent="0.25">
      <c r="E1670" s="16"/>
      <c r="F1670" s="16"/>
      <c r="H1670" s="16"/>
      <c r="AG1670" s="80"/>
      <c r="AH1670" s="80"/>
      <c r="AI1670" s="80"/>
    </row>
    <row r="1671" spans="5:35" x14ac:dyDescent="0.25">
      <c r="E1671" s="16"/>
      <c r="F1671" s="16"/>
      <c r="H1671" s="16"/>
      <c r="AG1671" s="80"/>
      <c r="AH1671" s="80"/>
      <c r="AI1671" s="80"/>
    </row>
    <row r="1672" spans="5:35" x14ac:dyDescent="0.25">
      <c r="E1672" s="16"/>
      <c r="F1672" s="16"/>
      <c r="H1672" s="16"/>
      <c r="AG1672" s="80"/>
      <c r="AH1672" s="80"/>
      <c r="AI1672" s="80"/>
    </row>
    <row r="1673" spans="5:35" x14ac:dyDescent="0.25">
      <c r="E1673" s="16"/>
      <c r="F1673" s="16"/>
      <c r="H1673" s="16"/>
      <c r="AG1673" s="80"/>
      <c r="AH1673" s="80"/>
      <c r="AI1673" s="80"/>
    </row>
    <row r="1674" spans="5:35" x14ac:dyDescent="0.25">
      <c r="E1674" s="16"/>
      <c r="F1674" s="16"/>
      <c r="H1674" s="16"/>
      <c r="AG1674" s="80"/>
      <c r="AH1674" s="80"/>
      <c r="AI1674" s="80"/>
    </row>
    <row r="1675" spans="5:35" x14ac:dyDescent="0.25">
      <c r="E1675" s="16"/>
      <c r="F1675" s="16"/>
      <c r="H1675" s="16"/>
      <c r="AG1675" s="80"/>
      <c r="AH1675" s="80"/>
      <c r="AI1675" s="80"/>
    </row>
    <row r="1676" spans="5:35" x14ac:dyDescent="0.25">
      <c r="E1676" s="16"/>
      <c r="F1676" s="16"/>
      <c r="H1676" s="16"/>
      <c r="AG1676" s="80"/>
      <c r="AH1676" s="80"/>
      <c r="AI1676" s="80"/>
    </row>
    <row r="1677" spans="5:35" x14ac:dyDescent="0.25">
      <c r="E1677" s="16"/>
      <c r="F1677" s="16"/>
      <c r="H1677" s="16"/>
      <c r="AG1677" s="80"/>
      <c r="AH1677" s="80"/>
      <c r="AI1677" s="80"/>
    </row>
    <row r="1678" spans="5:35" x14ac:dyDescent="0.25">
      <c r="E1678" s="16"/>
      <c r="F1678" s="16"/>
      <c r="H1678" s="16"/>
      <c r="AG1678" s="80"/>
      <c r="AH1678" s="80"/>
      <c r="AI1678" s="80"/>
    </row>
    <row r="1679" spans="5:35" x14ac:dyDescent="0.25">
      <c r="E1679" s="16"/>
      <c r="F1679" s="16"/>
      <c r="H1679" s="16"/>
      <c r="AG1679" s="80"/>
      <c r="AH1679" s="80"/>
      <c r="AI1679" s="80"/>
    </row>
    <row r="1680" spans="5:35" x14ac:dyDescent="0.25">
      <c r="E1680" s="16"/>
      <c r="F1680" s="16"/>
      <c r="H1680" s="16"/>
      <c r="AG1680" s="80"/>
      <c r="AH1680" s="80"/>
      <c r="AI1680" s="80"/>
    </row>
    <row r="1681" spans="5:35" x14ac:dyDescent="0.25">
      <c r="E1681" s="16"/>
      <c r="F1681" s="16"/>
      <c r="H1681" s="16"/>
      <c r="AG1681" s="80"/>
      <c r="AH1681" s="80"/>
      <c r="AI1681" s="80"/>
    </row>
    <row r="1682" spans="5:35" x14ac:dyDescent="0.25">
      <c r="E1682" s="16"/>
      <c r="F1682" s="16"/>
      <c r="H1682" s="16"/>
      <c r="AG1682" s="80"/>
      <c r="AH1682" s="80"/>
      <c r="AI1682" s="80"/>
    </row>
    <row r="1683" spans="5:35" x14ac:dyDescent="0.25">
      <c r="E1683" s="16"/>
      <c r="F1683" s="16"/>
      <c r="H1683" s="16"/>
      <c r="AG1683" s="80"/>
      <c r="AH1683" s="80"/>
      <c r="AI1683" s="80"/>
    </row>
    <row r="1684" spans="5:35" x14ac:dyDescent="0.25">
      <c r="E1684" s="16"/>
      <c r="F1684" s="16"/>
      <c r="H1684" s="16"/>
      <c r="AG1684" s="80"/>
      <c r="AH1684" s="80"/>
      <c r="AI1684" s="80"/>
    </row>
    <row r="1685" spans="5:35" x14ac:dyDescent="0.25">
      <c r="E1685" s="16"/>
      <c r="F1685" s="16"/>
      <c r="H1685" s="16"/>
      <c r="AG1685" s="80"/>
      <c r="AH1685" s="80"/>
      <c r="AI1685" s="80"/>
    </row>
    <row r="1686" spans="5:35" x14ac:dyDescent="0.25">
      <c r="E1686" s="16"/>
      <c r="F1686" s="16"/>
      <c r="H1686" s="16"/>
      <c r="AG1686" s="80"/>
      <c r="AH1686" s="80"/>
      <c r="AI1686" s="80"/>
    </row>
    <row r="1687" spans="5:35" x14ac:dyDescent="0.25">
      <c r="E1687" s="16"/>
      <c r="F1687" s="16"/>
      <c r="H1687" s="16"/>
      <c r="AG1687" s="80"/>
      <c r="AH1687" s="80"/>
      <c r="AI1687" s="80"/>
    </row>
    <row r="1688" spans="5:35" x14ac:dyDescent="0.25">
      <c r="E1688" s="16"/>
      <c r="F1688" s="16"/>
      <c r="H1688" s="16"/>
      <c r="AG1688" s="80"/>
      <c r="AH1688" s="80"/>
      <c r="AI1688" s="80"/>
    </row>
    <row r="1689" spans="5:35" x14ac:dyDescent="0.25">
      <c r="E1689" s="16"/>
      <c r="F1689" s="16"/>
      <c r="H1689" s="16"/>
      <c r="AG1689" s="80"/>
      <c r="AH1689" s="80"/>
      <c r="AI1689" s="80"/>
    </row>
    <row r="1690" spans="5:35" x14ac:dyDescent="0.25">
      <c r="E1690" s="16"/>
      <c r="F1690" s="16"/>
      <c r="H1690" s="16"/>
      <c r="AG1690" s="80"/>
      <c r="AH1690" s="80"/>
      <c r="AI1690" s="80"/>
    </row>
    <row r="1691" spans="5:35" x14ac:dyDescent="0.25">
      <c r="E1691" s="16"/>
      <c r="F1691" s="16"/>
      <c r="H1691" s="16"/>
      <c r="AG1691" s="80"/>
      <c r="AH1691" s="80"/>
      <c r="AI1691" s="80"/>
    </row>
    <row r="1692" spans="5:35" x14ac:dyDescent="0.25">
      <c r="E1692" s="16"/>
      <c r="F1692" s="16"/>
      <c r="H1692" s="16"/>
      <c r="AG1692" s="80"/>
      <c r="AH1692" s="80"/>
      <c r="AI1692" s="80"/>
    </row>
    <row r="1693" spans="5:35" x14ac:dyDescent="0.25">
      <c r="E1693" s="16"/>
      <c r="F1693" s="16"/>
      <c r="H1693" s="16"/>
      <c r="AG1693" s="80"/>
      <c r="AH1693" s="80"/>
      <c r="AI1693" s="80"/>
    </row>
    <row r="1694" spans="5:35" x14ac:dyDescent="0.25">
      <c r="E1694" s="16"/>
      <c r="F1694" s="16"/>
      <c r="H1694" s="16"/>
      <c r="AG1694" s="80"/>
      <c r="AH1694" s="80"/>
      <c r="AI1694" s="80"/>
    </row>
    <row r="1695" spans="5:35" x14ac:dyDescent="0.25">
      <c r="E1695" s="16"/>
      <c r="F1695" s="16"/>
      <c r="H1695" s="16"/>
      <c r="AG1695" s="80"/>
      <c r="AH1695" s="80"/>
      <c r="AI1695" s="80"/>
    </row>
    <row r="1696" spans="5:35" x14ac:dyDescent="0.25">
      <c r="E1696" s="16"/>
      <c r="F1696" s="16"/>
      <c r="H1696" s="16"/>
      <c r="AG1696" s="80"/>
      <c r="AH1696" s="80"/>
      <c r="AI1696" s="80"/>
    </row>
    <row r="1697" spans="5:35" x14ac:dyDescent="0.25">
      <c r="E1697" s="16"/>
      <c r="F1697" s="16"/>
      <c r="H1697" s="16"/>
      <c r="AG1697" s="80"/>
      <c r="AH1697" s="80"/>
      <c r="AI1697" s="80"/>
    </row>
    <row r="1698" spans="5:35" x14ac:dyDescent="0.25">
      <c r="E1698" s="16"/>
      <c r="F1698" s="16"/>
      <c r="H1698" s="16"/>
      <c r="AG1698" s="80"/>
      <c r="AH1698" s="80"/>
      <c r="AI1698" s="80"/>
    </row>
    <row r="1699" spans="5:35" x14ac:dyDescent="0.25">
      <c r="E1699" s="16"/>
      <c r="F1699" s="16"/>
      <c r="H1699" s="16"/>
      <c r="AG1699" s="80"/>
      <c r="AH1699" s="80"/>
      <c r="AI1699" s="80"/>
    </row>
    <row r="1700" spans="5:35" x14ac:dyDescent="0.25">
      <c r="E1700" s="16"/>
      <c r="F1700" s="16"/>
      <c r="H1700" s="16"/>
      <c r="AG1700" s="80"/>
      <c r="AH1700" s="80"/>
      <c r="AI1700" s="80"/>
    </row>
    <row r="1701" spans="5:35" x14ac:dyDescent="0.25">
      <c r="E1701" s="16"/>
      <c r="F1701" s="16"/>
      <c r="H1701" s="16"/>
      <c r="AG1701" s="80"/>
      <c r="AH1701" s="80"/>
      <c r="AI1701" s="80"/>
    </row>
    <row r="1702" spans="5:35" x14ac:dyDescent="0.25">
      <c r="E1702" s="16"/>
      <c r="F1702" s="16"/>
      <c r="H1702" s="16"/>
      <c r="AG1702" s="80"/>
      <c r="AH1702" s="80"/>
      <c r="AI1702" s="80"/>
    </row>
    <row r="1703" spans="5:35" x14ac:dyDescent="0.25">
      <c r="E1703" s="16"/>
      <c r="F1703" s="16"/>
      <c r="H1703" s="16"/>
      <c r="AG1703" s="80"/>
      <c r="AH1703" s="80"/>
      <c r="AI1703" s="80"/>
    </row>
    <row r="1704" spans="5:35" x14ac:dyDescent="0.25">
      <c r="E1704" s="16"/>
      <c r="F1704" s="16"/>
      <c r="H1704" s="16"/>
      <c r="AG1704" s="80"/>
      <c r="AH1704" s="80"/>
      <c r="AI1704" s="80"/>
    </row>
    <row r="1705" spans="5:35" x14ac:dyDescent="0.25">
      <c r="E1705" s="16"/>
      <c r="F1705" s="16"/>
      <c r="H1705" s="16"/>
      <c r="AG1705" s="80"/>
      <c r="AH1705" s="80"/>
      <c r="AI1705" s="80"/>
    </row>
    <row r="1706" spans="5:35" x14ac:dyDescent="0.25">
      <c r="E1706" s="16"/>
      <c r="F1706" s="16"/>
      <c r="H1706" s="16"/>
      <c r="AG1706" s="80"/>
      <c r="AH1706" s="80"/>
      <c r="AI1706" s="80"/>
    </row>
    <row r="1707" spans="5:35" x14ac:dyDescent="0.25">
      <c r="E1707" s="16"/>
      <c r="F1707" s="16"/>
      <c r="H1707" s="16"/>
      <c r="AG1707" s="80"/>
      <c r="AH1707" s="80"/>
      <c r="AI1707" s="80"/>
    </row>
    <row r="1708" spans="5:35" x14ac:dyDescent="0.25">
      <c r="E1708" s="16"/>
      <c r="F1708" s="16"/>
      <c r="H1708" s="16"/>
      <c r="AG1708" s="80"/>
      <c r="AH1708" s="80"/>
      <c r="AI1708" s="80"/>
    </row>
    <row r="1709" spans="5:35" x14ac:dyDescent="0.25">
      <c r="E1709" s="16"/>
      <c r="F1709" s="16"/>
      <c r="H1709" s="16"/>
      <c r="AG1709" s="80"/>
      <c r="AH1709" s="80"/>
      <c r="AI1709" s="80"/>
    </row>
    <row r="1710" spans="5:35" x14ac:dyDescent="0.25">
      <c r="E1710" s="16"/>
      <c r="F1710" s="16"/>
      <c r="H1710" s="16"/>
      <c r="AG1710" s="80"/>
      <c r="AH1710" s="80"/>
      <c r="AI1710" s="80"/>
    </row>
    <row r="1711" spans="5:35" x14ac:dyDescent="0.25">
      <c r="E1711" s="16"/>
      <c r="F1711" s="16"/>
      <c r="H1711" s="16"/>
      <c r="AG1711" s="80"/>
      <c r="AH1711" s="80"/>
      <c r="AI1711" s="80"/>
    </row>
    <row r="1712" spans="5:35" x14ac:dyDescent="0.25">
      <c r="E1712" s="16"/>
      <c r="F1712" s="16"/>
      <c r="H1712" s="16"/>
      <c r="AG1712" s="80"/>
      <c r="AH1712" s="80"/>
      <c r="AI1712" s="80"/>
    </row>
    <row r="1713" spans="5:35" x14ac:dyDescent="0.25">
      <c r="E1713" s="16"/>
      <c r="F1713" s="16"/>
      <c r="H1713" s="16"/>
      <c r="AG1713" s="80"/>
      <c r="AH1713" s="80"/>
      <c r="AI1713" s="80"/>
    </row>
    <row r="1714" spans="5:35" x14ac:dyDescent="0.25">
      <c r="E1714" s="16"/>
      <c r="F1714" s="16"/>
      <c r="H1714" s="16"/>
      <c r="AG1714" s="80"/>
      <c r="AH1714" s="80"/>
      <c r="AI1714" s="80"/>
    </row>
    <row r="1715" spans="5:35" x14ac:dyDescent="0.25">
      <c r="E1715" s="16"/>
      <c r="F1715" s="16"/>
      <c r="H1715" s="16"/>
      <c r="AG1715" s="80"/>
      <c r="AH1715" s="80"/>
      <c r="AI1715" s="80"/>
    </row>
    <row r="1716" spans="5:35" x14ac:dyDescent="0.25">
      <c r="E1716" s="16"/>
      <c r="F1716" s="16"/>
      <c r="H1716" s="16"/>
      <c r="AG1716" s="80"/>
      <c r="AH1716" s="80"/>
      <c r="AI1716" s="80"/>
    </row>
    <row r="1717" spans="5:35" x14ac:dyDescent="0.25">
      <c r="E1717" s="16"/>
      <c r="F1717" s="16"/>
      <c r="H1717" s="16"/>
      <c r="AG1717" s="80"/>
      <c r="AH1717" s="80"/>
      <c r="AI1717" s="80"/>
    </row>
    <row r="1718" spans="5:35" x14ac:dyDescent="0.25">
      <c r="E1718" s="16"/>
      <c r="F1718" s="16"/>
      <c r="H1718" s="16"/>
      <c r="AG1718" s="80"/>
      <c r="AH1718" s="80"/>
      <c r="AI1718" s="80"/>
    </row>
    <row r="1719" spans="5:35" x14ac:dyDescent="0.25">
      <c r="E1719" s="16"/>
      <c r="F1719" s="16"/>
      <c r="H1719" s="16"/>
      <c r="AG1719" s="80"/>
      <c r="AH1719" s="80"/>
      <c r="AI1719" s="80"/>
    </row>
    <row r="1720" spans="5:35" x14ac:dyDescent="0.25">
      <c r="E1720" s="16"/>
      <c r="F1720" s="16"/>
      <c r="H1720" s="16"/>
      <c r="AG1720" s="80"/>
      <c r="AH1720" s="80"/>
      <c r="AI1720" s="80"/>
    </row>
    <row r="1721" spans="5:35" x14ac:dyDescent="0.25">
      <c r="E1721" s="16"/>
      <c r="F1721" s="16"/>
      <c r="H1721" s="16"/>
      <c r="AG1721" s="80"/>
      <c r="AH1721" s="80"/>
      <c r="AI1721" s="80"/>
    </row>
    <row r="1722" spans="5:35" x14ac:dyDescent="0.25">
      <c r="E1722" s="16"/>
      <c r="F1722" s="16"/>
      <c r="H1722" s="16"/>
      <c r="AG1722" s="80"/>
      <c r="AH1722" s="80"/>
      <c r="AI1722" s="80"/>
    </row>
    <row r="1723" spans="5:35" x14ac:dyDescent="0.25">
      <c r="E1723" s="16"/>
      <c r="F1723" s="16"/>
      <c r="H1723" s="16"/>
      <c r="AG1723" s="80"/>
      <c r="AH1723" s="80"/>
      <c r="AI1723" s="80"/>
    </row>
    <row r="1724" spans="5:35" x14ac:dyDescent="0.25">
      <c r="E1724" s="16"/>
      <c r="F1724" s="16"/>
      <c r="H1724" s="16"/>
      <c r="AG1724" s="80"/>
      <c r="AH1724" s="80"/>
      <c r="AI1724" s="80"/>
    </row>
    <row r="1725" spans="5:35" x14ac:dyDescent="0.25">
      <c r="E1725" s="16"/>
      <c r="F1725" s="16"/>
      <c r="H1725" s="16"/>
      <c r="AG1725" s="80"/>
      <c r="AH1725" s="80"/>
      <c r="AI1725" s="80"/>
    </row>
    <row r="1726" spans="5:35" x14ac:dyDescent="0.25">
      <c r="E1726" s="16"/>
      <c r="F1726" s="16"/>
      <c r="H1726" s="16"/>
      <c r="AG1726" s="80"/>
      <c r="AH1726" s="80"/>
      <c r="AI1726" s="80"/>
    </row>
    <row r="1727" spans="5:35" x14ac:dyDescent="0.25">
      <c r="E1727" s="16"/>
      <c r="F1727" s="16"/>
      <c r="H1727" s="16"/>
      <c r="AG1727" s="80"/>
      <c r="AH1727" s="80"/>
      <c r="AI1727" s="80"/>
    </row>
    <row r="1728" spans="5:35" x14ac:dyDescent="0.25">
      <c r="E1728" s="16"/>
      <c r="F1728" s="16"/>
      <c r="H1728" s="16"/>
      <c r="AG1728" s="80"/>
      <c r="AH1728" s="80"/>
      <c r="AI1728" s="80"/>
    </row>
    <row r="1729" spans="5:35" x14ac:dyDescent="0.25">
      <c r="E1729" s="16"/>
      <c r="F1729" s="16"/>
      <c r="H1729" s="16"/>
      <c r="AG1729" s="80"/>
      <c r="AH1729" s="80"/>
      <c r="AI1729" s="80"/>
    </row>
    <row r="1730" spans="5:35" x14ac:dyDescent="0.25">
      <c r="E1730" s="16"/>
      <c r="F1730" s="16"/>
      <c r="H1730" s="16"/>
      <c r="AG1730" s="80"/>
      <c r="AH1730" s="80"/>
      <c r="AI1730" s="80"/>
    </row>
    <row r="1731" spans="5:35" x14ac:dyDescent="0.25">
      <c r="E1731" s="16"/>
      <c r="F1731" s="16"/>
      <c r="H1731" s="16"/>
      <c r="AG1731" s="80"/>
      <c r="AH1731" s="80"/>
      <c r="AI1731" s="80"/>
    </row>
    <row r="1732" spans="5:35" x14ac:dyDescent="0.25">
      <c r="E1732" s="16"/>
      <c r="F1732" s="16"/>
      <c r="H1732" s="16"/>
      <c r="AG1732" s="80"/>
      <c r="AH1732" s="80"/>
      <c r="AI1732" s="80"/>
    </row>
    <row r="1733" spans="5:35" x14ac:dyDescent="0.25">
      <c r="E1733" s="16"/>
      <c r="F1733" s="16"/>
      <c r="H1733" s="16"/>
      <c r="AG1733" s="80"/>
      <c r="AH1733" s="80"/>
      <c r="AI1733" s="80"/>
    </row>
    <row r="1734" spans="5:35" x14ac:dyDescent="0.25">
      <c r="E1734" s="16"/>
      <c r="F1734" s="16"/>
      <c r="H1734" s="16"/>
      <c r="AG1734" s="80"/>
      <c r="AH1734" s="80"/>
      <c r="AI1734" s="80"/>
    </row>
    <row r="1735" spans="5:35" x14ac:dyDescent="0.25">
      <c r="E1735" s="16"/>
      <c r="F1735" s="16"/>
      <c r="H1735" s="16"/>
      <c r="AG1735" s="80"/>
      <c r="AH1735" s="80"/>
      <c r="AI1735" s="80"/>
    </row>
    <row r="1736" spans="5:35" x14ac:dyDescent="0.25">
      <c r="E1736" s="16"/>
      <c r="F1736" s="16"/>
      <c r="H1736" s="16"/>
      <c r="AG1736" s="80"/>
      <c r="AH1736" s="80"/>
      <c r="AI1736" s="80"/>
    </row>
    <row r="1737" spans="5:35" x14ac:dyDescent="0.25">
      <c r="E1737" s="16"/>
      <c r="F1737" s="16"/>
      <c r="H1737" s="16"/>
      <c r="AG1737" s="80"/>
      <c r="AH1737" s="80"/>
      <c r="AI1737" s="80"/>
    </row>
    <row r="1738" spans="5:35" x14ac:dyDescent="0.25">
      <c r="E1738" s="16"/>
      <c r="F1738" s="16"/>
      <c r="H1738" s="16"/>
      <c r="AG1738" s="80"/>
      <c r="AH1738" s="80"/>
      <c r="AI1738" s="80"/>
    </row>
    <row r="1739" spans="5:35" x14ac:dyDescent="0.25">
      <c r="E1739" s="16"/>
      <c r="F1739" s="16"/>
      <c r="H1739" s="16"/>
      <c r="AG1739" s="80"/>
      <c r="AH1739" s="80"/>
      <c r="AI1739" s="80"/>
    </row>
    <row r="1740" spans="5:35" x14ac:dyDescent="0.25">
      <c r="E1740" s="16"/>
      <c r="F1740" s="16"/>
      <c r="H1740" s="16"/>
      <c r="AG1740" s="80"/>
      <c r="AH1740" s="80"/>
      <c r="AI1740" s="80"/>
    </row>
    <row r="1741" spans="5:35" x14ac:dyDescent="0.25">
      <c r="E1741" s="16"/>
      <c r="F1741" s="16"/>
      <c r="H1741" s="16"/>
      <c r="AG1741" s="80"/>
      <c r="AH1741" s="80"/>
      <c r="AI1741" s="80"/>
    </row>
    <row r="1742" spans="5:35" x14ac:dyDescent="0.25">
      <c r="E1742" s="16"/>
      <c r="F1742" s="16"/>
      <c r="H1742" s="16"/>
      <c r="AG1742" s="80"/>
      <c r="AH1742" s="80"/>
      <c r="AI1742" s="80"/>
    </row>
    <row r="1743" spans="5:35" x14ac:dyDescent="0.25">
      <c r="E1743" s="16"/>
      <c r="F1743" s="16"/>
      <c r="H1743" s="16"/>
      <c r="AG1743" s="80"/>
      <c r="AH1743" s="80"/>
      <c r="AI1743" s="80"/>
    </row>
    <row r="1744" spans="5:35" x14ac:dyDescent="0.25">
      <c r="E1744" s="16"/>
      <c r="F1744" s="16"/>
      <c r="H1744" s="16"/>
      <c r="AG1744" s="80"/>
      <c r="AH1744" s="80"/>
      <c r="AI1744" s="80"/>
    </row>
    <row r="1745" spans="5:35" x14ac:dyDescent="0.25">
      <c r="E1745" s="16"/>
      <c r="F1745" s="16"/>
      <c r="H1745" s="16"/>
      <c r="AG1745" s="80"/>
      <c r="AH1745" s="80"/>
      <c r="AI1745" s="80"/>
    </row>
    <row r="1746" spans="5:35" x14ac:dyDescent="0.25">
      <c r="E1746" s="16"/>
      <c r="F1746" s="16"/>
      <c r="H1746" s="16"/>
      <c r="AG1746" s="80"/>
      <c r="AH1746" s="80"/>
      <c r="AI1746" s="80"/>
    </row>
    <row r="1747" spans="5:35" x14ac:dyDescent="0.25">
      <c r="E1747" s="16"/>
      <c r="F1747" s="16"/>
      <c r="H1747" s="16"/>
      <c r="AG1747" s="80"/>
      <c r="AH1747" s="80"/>
      <c r="AI1747" s="80"/>
    </row>
    <row r="1748" spans="5:35" x14ac:dyDescent="0.25">
      <c r="E1748" s="16"/>
      <c r="F1748" s="16"/>
      <c r="H1748" s="16"/>
      <c r="AG1748" s="80"/>
      <c r="AH1748" s="80"/>
      <c r="AI1748" s="80"/>
    </row>
    <row r="1749" spans="5:35" x14ac:dyDescent="0.25">
      <c r="E1749" s="16"/>
      <c r="F1749" s="16"/>
      <c r="H1749" s="16"/>
      <c r="AG1749" s="80"/>
      <c r="AH1749" s="80"/>
      <c r="AI1749" s="80"/>
    </row>
    <row r="1750" spans="5:35" x14ac:dyDescent="0.25">
      <c r="E1750" s="16"/>
      <c r="F1750" s="16"/>
      <c r="H1750" s="16"/>
      <c r="AG1750" s="80"/>
      <c r="AH1750" s="80"/>
      <c r="AI1750" s="80"/>
    </row>
    <row r="1751" spans="5:35" x14ac:dyDescent="0.25">
      <c r="E1751" s="16"/>
      <c r="F1751" s="16"/>
      <c r="H1751" s="16"/>
      <c r="AG1751" s="80"/>
      <c r="AH1751" s="80"/>
      <c r="AI1751" s="80"/>
    </row>
    <row r="1752" spans="5:35" x14ac:dyDescent="0.25">
      <c r="E1752" s="16"/>
      <c r="F1752" s="16"/>
      <c r="H1752" s="16"/>
      <c r="AG1752" s="80"/>
      <c r="AH1752" s="80"/>
      <c r="AI1752" s="80"/>
    </row>
    <row r="1753" spans="5:35" x14ac:dyDescent="0.25">
      <c r="E1753" s="16"/>
      <c r="F1753" s="16"/>
      <c r="H1753" s="16"/>
      <c r="AG1753" s="80"/>
      <c r="AH1753" s="80"/>
      <c r="AI1753" s="80"/>
    </row>
    <row r="1754" spans="5:35" x14ac:dyDescent="0.25">
      <c r="E1754" s="16"/>
      <c r="F1754" s="16"/>
      <c r="H1754" s="16"/>
      <c r="AG1754" s="80"/>
      <c r="AH1754" s="80"/>
      <c r="AI1754" s="80"/>
    </row>
    <row r="1755" spans="5:35" x14ac:dyDescent="0.25">
      <c r="E1755" s="16"/>
      <c r="F1755" s="16"/>
      <c r="H1755" s="16"/>
      <c r="AG1755" s="80"/>
      <c r="AH1755" s="80"/>
      <c r="AI1755" s="80"/>
    </row>
    <row r="1756" spans="5:35" x14ac:dyDescent="0.25">
      <c r="E1756" s="16"/>
      <c r="F1756" s="16"/>
      <c r="H1756" s="16"/>
      <c r="AG1756" s="80"/>
      <c r="AH1756" s="80"/>
      <c r="AI1756" s="80"/>
    </row>
    <row r="1757" spans="5:35" x14ac:dyDescent="0.25">
      <c r="E1757" s="16"/>
      <c r="F1757" s="16"/>
      <c r="H1757" s="16"/>
      <c r="AG1757" s="80"/>
      <c r="AH1757" s="80"/>
      <c r="AI1757" s="80"/>
    </row>
    <row r="1758" spans="5:35" x14ac:dyDescent="0.25">
      <c r="E1758" s="16"/>
      <c r="F1758" s="16"/>
      <c r="H1758" s="16"/>
      <c r="AG1758" s="80"/>
      <c r="AH1758" s="80"/>
      <c r="AI1758" s="80"/>
    </row>
    <row r="1759" spans="5:35" x14ac:dyDescent="0.25">
      <c r="E1759" s="16"/>
      <c r="F1759" s="16"/>
      <c r="H1759" s="16"/>
      <c r="AG1759" s="80"/>
      <c r="AH1759" s="80"/>
      <c r="AI1759" s="80"/>
    </row>
    <row r="1760" spans="5:35" x14ac:dyDescent="0.25">
      <c r="E1760" s="16"/>
      <c r="F1760" s="16"/>
      <c r="H1760" s="16"/>
      <c r="AG1760" s="80"/>
      <c r="AH1760" s="80"/>
      <c r="AI1760" s="80"/>
    </row>
    <row r="1761" spans="5:35" x14ac:dyDescent="0.25">
      <c r="E1761" s="16"/>
      <c r="F1761" s="16"/>
      <c r="H1761" s="16"/>
      <c r="AG1761" s="80"/>
      <c r="AH1761" s="80"/>
      <c r="AI1761" s="80"/>
    </row>
    <row r="1762" spans="5:35" x14ac:dyDescent="0.25">
      <c r="E1762" s="16"/>
      <c r="F1762" s="16"/>
      <c r="H1762" s="16"/>
      <c r="AG1762" s="80"/>
      <c r="AH1762" s="80"/>
      <c r="AI1762" s="80"/>
    </row>
    <row r="1763" spans="5:35" x14ac:dyDescent="0.25">
      <c r="E1763" s="16"/>
      <c r="F1763" s="16"/>
      <c r="H1763" s="16"/>
      <c r="AG1763" s="80"/>
      <c r="AH1763" s="80"/>
      <c r="AI1763" s="80"/>
    </row>
    <row r="1764" spans="5:35" x14ac:dyDescent="0.25">
      <c r="E1764" s="16"/>
      <c r="F1764" s="16"/>
      <c r="H1764" s="16"/>
      <c r="AG1764" s="80"/>
      <c r="AH1764" s="80"/>
      <c r="AI1764" s="80"/>
    </row>
    <row r="1765" spans="5:35" x14ac:dyDescent="0.25">
      <c r="E1765" s="16"/>
      <c r="F1765" s="16"/>
      <c r="H1765" s="16"/>
      <c r="AG1765" s="80"/>
      <c r="AH1765" s="80"/>
      <c r="AI1765" s="80"/>
    </row>
    <row r="1766" spans="5:35" x14ac:dyDescent="0.25">
      <c r="E1766" s="16"/>
      <c r="F1766" s="16"/>
      <c r="H1766" s="16"/>
      <c r="AG1766" s="80"/>
      <c r="AH1766" s="80"/>
      <c r="AI1766" s="80"/>
    </row>
    <row r="1767" spans="5:35" x14ac:dyDescent="0.25">
      <c r="E1767" s="16"/>
      <c r="F1767" s="16"/>
      <c r="H1767" s="16"/>
      <c r="AG1767" s="80"/>
      <c r="AH1767" s="80"/>
      <c r="AI1767" s="80"/>
    </row>
    <row r="1768" spans="5:35" x14ac:dyDescent="0.25">
      <c r="E1768" s="16"/>
      <c r="F1768" s="16"/>
      <c r="H1768" s="16"/>
      <c r="AG1768" s="80"/>
      <c r="AH1768" s="80"/>
      <c r="AI1768" s="80"/>
    </row>
    <row r="1769" spans="5:35" x14ac:dyDescent="0.25">
      <c r="E1769" s="16"/>
      <c r="F1769" s="16"/>
      <c r="H1769" s="16"/>
      <c r="AG1769" s="80"/>
      <c r="AH1769" s="80"/>
      <c r="AI1769" s="80"/>
    </row>
    <row r="1770" spans="5:35" x14ac:dyDescent="0.25">
      <c r="E1770" s="16"/>
      <c r="F1770" s="16"/>
      <c r="H1770" s="16"/>
      <c r="AG1770" s="80"/>
      <c r="AH1770" s="80"/>
      <c r="AI1770" s="80"/>
    </row>
    <row r="1771" spans="5:35" x14ac:dyDescent="0.25">
      <c r="E1771" s="16"/>
      <c r="F1771" s="16"/>
      <c r="H1771" s="16"/>
      <c r="AG1771" s="80"/>
      <c r="AH1771" s="80"/>
      <c r="AI1771" s="80"/>
    </row>
    <row r="1772" spans="5:35" x14ac:dyDescent="0.25">
      <c r="E1772" s="16"/>
      <c r="F1772" s="16"/>
      <c r="H1772" s="16"/>
      <c r="AG1772" s="80"/>
      <c r="AH1772" s="80"/>
      <c r="AI1772" s="80"/>
    </row>
    <row r="1773" spans="5:35" x14ac:dyDescent="0.25">
      <c r="E1773" s="16"/>
      <c r="F1773" s="16"/>
      <c r="H1773" s="16"/>
      <c r="AG1773" s="80"/>
      <c r="AH1773" s="80"/>
      <c r="AI1773" s="80"/>
    </row>
    <row r="1774" spans="5:35" x14ac:dyDescent="0.25">
      <c r="E1774" s="16"/>
      <c r="F1774" s="16"/>
      <c r="H1774" s="16"/>
      <c r="AG1774" s="80"/>
      <c r="AH1774" s="80"/>
      <c r="AI1774" s="80"/>
    </row>
    <row r="1775" spans="5:35" x14ac:dyDescent="0.25">
      <c r="E1775" s="16"/>
      <c r="F1775" s="16"/>
      <c r="H1775" s="16"/>
      <c r="AG1775" s="80"/>
      <c r="AH1775" s="80"/>
      <c r="AI1775" s="80"/>
    </row>
    <row r="1776" spans="5:35" x14ac:dyDescent="0.25">
      <c r="E1776" s="16"/>
      <c r="F1776" s="16"/>
      <c r="H1776" s="16"/>
      <c r="AG1776" s="80"/>
      <c r="AH1776" s="80"/>
      <c r="AI1776" s="80"/>
    </row>
    <row r="1777" spans="5:35" x14ac:dyDescent="0.25">
      <c r="E1777" s="16"/>
      <c r="F1777" s="16"/>
      <c r="H1777" s="16"/>
      <c r="AG1777" s="80"/>
      <c r="AH1777" s="80"/>
      <c r="AI1777" s="80"/>
    </row>
    <row r="1778" spans="5:35" x14ac:dyDescent="0.25">
      <c r="E1778" s="16"/>
      <c r="F1778" s="16"/>
      <c r="H1778" s="16"/>
      <c r="AG1778" s="80"/>
      <c r="AH1778" s="80"/>
      <c r="AI1778" s="80"/>
    </row>
    <row r="1779" spans="5:35" x14ac:dyDescent="0.25">
      <c r="E1779" s="16"/>
      <c r="F1779" s="16"/>
      <c r="H1779" s="16"/>
      <c r="AG1779" s="80"/>
      <c r="AH1779" s="80"/>
      <c r="AI1779" s="80"/>
    </row>
    <row r="1780" spans="5:35" x14ac:dyDescent="0.25">
      <c r="E1780" s="16"/>
      <c r="F1780" s="16"/>
      <c r="H1780" s="16"/>
      <c r="AG1780" s="80"/>
      <c r="AH1780" s="80"/>
      <c r="AI1780" s="80"/>
    </row>
    <row r="1781" spans="5:35" x14ac:dyDescent="0.25">
      <c r="E1781" s="16"/>
      <c r="F1781" s="16"/>
      <c r="H1781" s="16"/>
      <c r="AG1781" s="80"/>
      <c r="AH1781" s="80"/>
      <c r="AI1781" s="80"/>
    </row>
    <row r="1782" spans="5:35" x14ac:dyDescent="0.25">
      <c r="E1782" s="16"/>
      <c r="F1782" s="16"/>
      <c r="H1782" s="16"/>
      <c r="AG1782" s="80"/>
      <c r="AH1782" s="80"/>
      <c r="AI1782" s="80"/>
    </row>
    <row r="1783" spans="5:35" x14ac:dyDescent="0.25">
      <c r="E1783" s="16"/>
      <c r="F1783" s="16"/>
      <c r="H1783" s="16"/>
      <c r="AG1783" s="80"/>
      <c r="AH1783" s="80"/>
      <c r="AI1783" s="80"/>
    </row>
    <row r="1784" spans="5:35" x14ac:dyDescent="0.25">
      <c r="E1784" s="16"/>
      <c r="F1784" s="16"/>
      <c r="H1784" s="16"/>
      <c r="AG1784" s="80"/>
      <c r="AH1784" s="80"/>
      <c r="AI1784" s="80"/>
    </row>
    <row r="1785" spans="5:35" x14ac:dyDescent="0.25">
      <c r="E1785" s="16"/>
      <c r="F1785" s="16"/>
      <c r="H1785" s="16"/>
      <c r="AG1785" s="80"/>
      <c r="AH1785" s="80"/>
      <c r="AI1785" s="80"/>
    </row>
    <row r="1786" spans="5:35" x14ac:dyDescent="0.25">
      <c r="E1786" s="16"/>
      <c r="F1786" s="16"/>
      <c r="H1786" s="16"/>
      <c r="AG1786" s="80"/>
      <c r="AH1786" s="80"/>
      <c r="AI1786" s="80"/>
    </row>
    <row r="1787" spans="5:35" x14ac:dyDescent="0.25">
      <c r="E1787" s="16"/>
      <c r="F1787" s="16"/>
      <c r="H1787" s="16"/>
      <c r="AG1787" s="80"/>
      <c r="AH1787" s="80"/>
      <c r="AI1787" s="80"/>
    </row>
    <row r="1788" spans="5:35" x14ac:dyDescent="0.25">
      <c r="E1788" s="16"/>
      <c r="F1788" s="16"/>
      <c r="H1788" s="16"/>
      <c r="AG1788" s="80"/>
      <c r="AH1788" s="80"/>
      <c r="AI1788" s="80"/>
    </row>
    <row r="1789" spans="5:35" x14ac:dyDescent="0.25">
      <c r="E1789" s="16"/>
      <c r="F1789" s="16"/>
      <c r="H1789" s="16"/>
      <c r="AG1789" s="80"/>
      <c r="AH1789" s="80"/>
      <c r="AI1789" s="80"/>
    </row>
    <row r="1790" spans="5:35" x14ac:dyDescent="0.25">
      <c r="E1790" s="16"/>
      <c r="F1790" s="16"/>
      <c r="H1790" s="16"/>
      <c r="AG1790" s="80"/>
      <c r="AH1790" s="80"/>
      <c r="AI1790" s="80"/>
    </row>
    <row r="1791" spans="5:35" x14ac:dyDescent="0.25">
      <c r="E1791" s="16"/>
      <c r="F1791" s="16"/>
      <c r="H1791" s="16"/>
      <c r="AG1791" s="80"/>
      <c r="AH1791" s="80"/>
      <c r="AI1791" s="80"/>
    </row>
    <row r="1792" spans="5:35" x14ac:dyDescent="0.25">
      <c r="E1792" s="16"/>
      <c r="F1792" s="16"/>
      <c r="H1792" s="16"/>
      <c r="AG1792" s="80"/>
      <c r="AH1792" s="80"/>
      <c r="AI1792" s="80"/>
    </row>
    <row r="1793" spans="5:35" x14ac:dyDescent="0.25">
      <c r="E1793" s="16"/>
      <c r="F1793" s="16"/>
      <c r="H1793" s="16"/>
      <c r="AG1793" s="80"/>
      <c r="AH1793" s="80"/>
      <c r="AI1793" s="80"/>
    </row>
    <row r="1794" spans="5:35" x14ac:dyDescent="0.25">
      <c r="E1794" s="16"/>
      <c r="F1794" s="16"/>
      <c r="H1794" s="16"/>
      <c r="AG1794" s="80"/>
      <c r="AH1794" s="80"/>
      <c r="AI1794" s="80"/>
    </row>
    <row r="1795" spans="5:35" x14ac:dyDescent="0.25">
      <c r="E1795" s="16"/>
      <c r="F1795" s="16"/>
      <c r="H1795" s="16"/>
      <c r="AG1795" s="80"/>
      <c r="AH1795" s="80"/>
      <c r="AI1795" s="80"/>
    </row>
    <row r="1796" spans="5:35" x14ac:dyDescent="0.25">
      <c r="E1796" s="16"/>
      <c r="F1796" s="16"/>
      <c r="H1796" s="16"/>
      <c r="AG1796" s="80"/>
      <c r="AH1796" s="80"/>
      <c r="AI1796" s="80"/>
    </row>
    <row r="1797" spans="5:35" x14ac:dyDescent="0.25">
      <c r="E1797" s="16"/>
      <c r="F1797" s="16"/>
      <c r="H1797" s="16"/>
      <c r="AG1797" s="80"/>
      <c r="AH1797" s="80"/>
      <c r="AI1797" s="80"/>
    </row>
    <row r="1798" spans="5:35" x14ac:dyDescent="0.25">
      <c r="E1798" s="16"/>
      <c r="F1798" s="16"/>
      <c r="H1798" s="16"/>
      <c r="AG1798" s="80"/>
      <c r="AH1798" s="80"/>
      <c r="AI1798" s="80"/>
    </row>
    <row r="1799" spans="5:35" x14ac:dyDescent="0.25">
      <c r="E1799" s="16"/>
      <c r="F1799" s="16"/>
      <c r="H1799" s="16"/>
      <c r="AG1799" s="80"/>
      <c r="AH1799" s="80"/>
      <c r="AI1799" s="80"/>
    </row>
    <row r="1800" spans="5:35" x14ac:dyDescent="0.25">
      <c r="E1800" s="16"/>
      <c r="F1800" s="16"/>
      <c r="H1800" s="16"/>
      <c r="AG1800" s="80"/>
      <c r="AH1800" s="80"/>
      <c r="AI1800" s="80"/>
    </row>
    <row r="1801" spans="5:35" x14ac:dyDescent="0.25">
      <c r="E1801" s="16"/>
      <c r="F1801" s="16"/>
      <c r="H1801" s="16"/>
      <c r="AG1801" s="80"/>
      <c r="AH1801" s="80"/>
      <c r="AI1801" s="80"/>
    </row>
    <row r="1802" spans="5:35" x14ac:dyDescent="0.25">
      <c r="E1802" s="16"/>
      <c r="F1802" s="16"/>
      <c r="H1802" s="16"/>
      <c r="AG1802" s="80"/>
      <c r="AH1802" s="80"/>
      <c r="AI1802" s="80"/>
    </row>
    <row r="1803" spans="5:35" x14ac:dyDescent="0.25">
      <c r="E1803" s="16"/>
      <c r="F1803" s="16"/>
      <c r="H1803" s="16"/>
      <c r="AG1803" s="80"/>
      <c r="AH1803" s="80"/>
      <c r="AI1803" s="80"/>
    </row>
    <row r="1804" spans="5:35" x14ac:dyDescent="0.25">
      <c r="E1804" s="16"/>
      <c r="F1804" s="16"/>
      <c r="H1804" s="16"/>
      <c r="AG1804" s="80"/>
      <c r="AH1804" s="80"/>
      <c r="AI1804" s="80"/>
    </row>
    <row r="1805" spans="5:35" x14ac:dyDescent="0.25">
      <c r="E1805" s="16"/>
      <c r="F1805" s="16"/>
      <c r="H1805" s="16"/>
      <c r="AG1805" s="80"/>
      <c r="AH1805" s="80"/>
      <c r="AI1805" s="80"/>
    </row>
    <row r="1806" spans="5:35" x14ac:dyDescent="0.25">
      <c r="E1806" s="16"/>
      <c r="F1806" s="16"/>
      <c r="H1806" s="16"/>
      <c r="AG1806" s="80"/>
      <c r="AH1806" s="80"/>
      <c r="AI1806" s="80"/>
    </row>
    <row r="1807" spans="5:35" x14ac:dyDescent="0.25">
      <c r="E1807" s="16"/>
      <c r="F1807" s="16"/>
      <c r="H1807" s="16"/>
      <c r="AG1807" s="80"/>
      <c r="AH1807" s="80"/>
      <c r="AI1807" s="80"/>
    </row>
    <row r="1808" spans="5:35" x14ac:dyDescent="0.25">
      <c r="E1808" s="16"/>
      <c r="F1808" s="16"/>
      <c r="H1808" s="16"/>
      <c r="AG1808" s="80"/>
      <c r="AH1808" s="80"/>
      <c r="AI1808" s="80"/>
    </row>
    <row r="1809" spans="5:35" x14ac:dyDescent="0.25">
      <c r="E1809" s="16"/>
      <c r="F1809" s="16"/>
      <c r="H1809" s="16"/>
      <c r="AG1809" s="80"/>
      <c r="AH1809" s="80"/>
      <c r="AI1809" s="80"/>
    </row>
    <row r="1810" spans="5:35" x14ac:dyDescent="0.25">
      <c r="E1810" s="16"/>
      <c r="F1810" s="16"/>
      <c r="H1810" s="16"/>
      <c r="AG1810" s="80"/>
      <c r="AH1810" s="80"/>
      <c r="AI1810" s="80"/>
    </row>
    <row r="1811" spans="5:35" x14ac:dyDescent="0.25">
      <c r="E1811" s="16"/>
      <c r="F1811" s="16"/>
      <c r="H1811" s="16"/>
      <c r="AG1811" s="80"/>
      <c r="AH1811" s="80"/>
      <c r="AI1811" s="80"/>
    </row>
    <row r="1812" spans="5:35" x14ac:dyDescent="0.25">
      <c r="E1812" s="16"/>
      <c r="F1812" s="16"/>
      <c r="H1812" s="16"/>
      <c r="AG1812" s="80"/>
      <c r="AH1812" s="80"/>
      <c r="AI1812" s="80"/>
    </row>
    <row r="1813" spans="5:35" x14ac:dyDescent="0.25">
      <c r="E1813" s="16"/>
      <c r="F1813" s="16"/>
      <c r="H1813" s="16"/>
      <c r="AG1813" s="80"/>
      <c r="AH1813" s="80"/>
      <c r="AI1813" s="80"/>
    </row>
    <row r="1814" spans="5:35" x14ac:dyDescent="0.25">
      <c r="E1814" s="16"/>
      <c r="F1814" s="16"/>
      <c r="H1814" s="16"/>
      <c r="AG1814" s="80"/>
      <c r="AH1814" s="80"/>
      <c r="AI1814" s="80"/>
    </row>
    <row r="1815" spans="5:35" x14ac:dyDescent="0.25">
      <c r="E1815" s="16"/>
      <c r="F1815" s="16"/>
      <c r="H1815" s="16"/>
      <c r="AG1815" s="80"/>
      <c r="AH1815" s="80"/>
      <c r="AI1815" s="80"/>
    </row>
    <row r="1816" spans="5:35" x14ac:dyDescent="0.25">
      <c r="E1816" s="16"/>
      <c r="F1816" s="16"/>
      <c r="H1816" s="16"/>
      <c r="AG1816" s="80"/>
      <c r="AH1816" s="80"/>
      <c r="AI1816" s="80"/>
    </row>
    <row r="1817" spans="5:35" x14ac:dyDescent="0.25">
      <c r="E1817" s="16"/>
      <c r="F1817" s="16"/>
      <c r="H1817" s="16"/>
      <c r="AG1817" s="80"/>
      <c r="AH1817" s="80"/>
      <c r="AI1817" s="80"/>
    </row>
    <row r="1818" spans="5:35" x14ac:dyDescent="0.25">
      <c r="E1818" s="16"/>
      <c r="F1818" s="16"/>
      <c r="H1818" s="16"/>
      <c r="AG1818" s="80"/>
      <c r="AH1818" s="80"/>
      <c r="AI1818" s="80"/>
    </row>
    <row r="1819" spans="5:35" x14ac:dyDescent="0.25">
      <c r="E1819" s="16"/>
      <c r="F1819" s="16"/>
      <c r="H1819" s="16"/>
      <c r="AG1819" s="80"/>
      <c r="AH1819" s="80"/>
      <c r="AI1819" s="80"/>
    </row>
    <row r="1820" spans="5:35" x14ac:dyDescent="0.25">
      <c r="E1820" s="16"/>
      <c r="F1820" s="16"/>
      <c r="H1820" s="16"/>
      <c r="AG1820" s="80"/>
      <c r="AH1820" s="80"/>
      <c r="AI1820" s="80"/>
    </row>
    <row r="1821" spans="5:35" x14ac:dyDescent="0.25">
      <c r="E1821" s="16"/>
      <c r="F1821" s="16"/>
      <c r="H1821" s="16"/>
      <c r="AG1821" s="80"/>
      <c r="AH1821" s="80"/>
      <c r="AI1821" s="80"/>
    </row>
    <row r="1822" spans="5:35" x14ac:dyDescent="0.25">
      <c r="E1822" s="16"/>
      <c r="F1822" s="16"/>
      <c r="H1822" s="16"/>
      <c r="AG1822" s="80"/>
      <c r="AH1822" s="80"/>
      <c r="AI1822" s="80"/>
    </row>
    <row r="1823" spans="5:35" x14ac:dyDescent="0.25">
      <c r="E1823" s="16"/>
      <c r="F1823" s="16"/>
      <c r="H1823" s="16"/>
      <c r="AG1823" s="80"/>
      <c r="AH1823" s="80"/>
      <c r="AI1823" s="80"/>
    </row>
    <row r="1824" spans="5:35" x14ac:dyDescent="0.25">
      <c r="E1824" s="16"/>
      <c r="F1824" s="16"/>
      <c r="H1824" s="16"/>
      <c r="AG1824" s="80"/>
      <c r="AH1824" s="80"/>
      <c r="AI1824" s="80"/>
    </row>
    <row r="1825" spans="5:35" x14ac:dyDescent="0.25">
      <c r="E1825" s="16"/>
      <c r="F1825" s="16"/>
      <c r="H1825" s="16"/>
      <c r="AG1825" s="80"/>
      <c r="AH1825" s="80"/>
      <c r="AI1825" s="80"/>
    </row>
    <row r="1826" spans="5:35" x14ac:dyDescent="0.25">
      <c r="E1826" s="16"/>
      <c r="F1826" s="16"/>
      <c r="H1826" s="16"/>
      <c r="AG1826" s="80"/>
      <c r="AH1826" s="80"/>
      <c r="AI1826" s="80"/>
    </row>
    <row r="1827" spans="5:35" x14ac:dyDescent="0.25">
      <c r="E1827" s="16"/>
      <c r="F1827" s="16"/>
      <c r="H1827" s="16"/>
      <c r="AG1827" s="80"/>
      <c r="AH1827" s="80"/>
      <c r="AI1827" s="80"/>
    </row>
    <row r="1828" spans="5:35" x14ac:dyDescent="0.25">
      <c r="E1828" s="16"/>
      <c r="F1828" s="16"/>
      <c r="H1828" s="16"/>
      <c r="AG1828" s="80"/>
      <c r="AH1828" s="80"/>
      <c r="AI1828" s="80"/>
    </row>
    <row r="1829" spans="5:35" x14ac:dyDescent="0.25">
      <c r="E1829" s="16"/>
      <c r="F1829" s="16"/>
      <c r="H1829" s="16"/>
      <c r="AG1829" s="80"/>
      <c r="AH1829" s="80"/>
      <c r="AI1829" s="80"/>
    </row>
    <row r="1830" spans="5:35" x14ac:dyDescent="0.25">
      <c r="E1830" s="16"/>
      <c r="F1830" s="16"/>
      <c r="H1830" s="16"/>
      <c r="AG1830" s="80"/>
      <c r="AH1830" s="80"/>
      <c r="AI1830" s="80"/>
    </row>
    <row r="1831" spans="5:35" x14ac:dyDescent="0.25">
      <c r="E1831" s="16"/>
      <c r="F1831" s="16"/>
      <c r="H1831" s="16"/>
      <c r="AG1831" s="80"/>
      <c r="AH1831" s="80"/>
      <c r="AI1831" s="80"/>
    </row>
    <row r="1832" spans="5:35" x14ac:dyDescent="0.25">
      <c r="E1832" s="16"/>
      <c r="F1832" s="16"/>
      <c r="H1832" s="16"/>
      <c r="AG1832" s="80"/>
      <c r="AH1832" s="80"/>
      <c r="AI1832" s="80"/>
    </row>
    <row r="1833" spans="5:35" x14ac:dyDescent="0.25">
      <c r="E1833" s="16"/>
      <c r="F1833" s="16"/>
      <c r="H1833" s="16"/>
      <c r="AG1833" s="80"/>
      <c r="AH1833" s="80"/>
      <c r="AI1833" s="80"/>
    </row>
    <row r="1834" spans="5:35" x14ac:dyDescent="0.25">
      <c r="E1834" s="16"/>
      <c r="F1834" s="16"/>
      <c r="H1834" s="16"/>
      <c r="AG1834" s="80"/>
      <c r="AH1834" s="80"/>
      <c r="AI1834" s="80"/>
    </row>
    <row r="1835" spans="5:35" x14ac:dyDescent="0.25">
      <c r="E1835" s="16"/>
      <c r="F1835" s="16"/>
      <c r="H1835" s="16"/>
      <c r="AG1835" s="80"/>
      <c r="AH1835" s="80"/>
      <c r="AI1835" s="80"/>
    </row>
    <row r="1836" spans="5:35" x14ac:dyDescent="0.25">
      <c r="E1836" s="16"/>
      <c r="F1836" s="16"/>
      <c r="H1836" s="16"/>
      <c r="AG1836" s="80"/>
      <c r="AH1836" s="80"/>
      <c r="AI1836" s="80"/>
    </row>
    <row r="1837" spans="5:35" x14ac:dyDescent="0.25">
      <c r="E1837" s="16"/>
      <c r="F1837" s="16"/>
      <c r="H1837" s="16"/>
      <c r="AG1837" s="80"/>
      <c r="AH1837" s="80"/>
      <c r="AI1837" s="80"/>
    </row>
    <row r="1838" spans="5:35" x14ac:dyDescent="0.25">
      <c r="E1838" s="16"/>
      <c r="F1838" s="16"/>
      <c r="H1838" s="16"/>
      <c r="AG1838" s="80"/>
      <c r="AH1838" s="80"/>
      <c r="AI1838" s="80"/>
    </row>
    <row r="1839" spans="5:35" x14ac:dyDescent="0.25">
      <c r="E1839" s="16"/>
      <c r="F1839" s="16"/>
      <c r="H1839" s="16"/>
      <c r="AG1839" s="80"/>
      <c r="AH1839" s="80"/>
      <c r="AI1839" s="80"/>
    </row>
    <row r="1840" spans="5:35" x14ac:dyDescent="0.25">
      <c r="E1840" s="16"/>
      <c r="F1840" s="16"/>
      <c r="H1840" s="16"/>
      <c r="AG1840" s="80"/>
      <c r="AH1840" s="80"/>
      <c r="AI1840" s="80"/>
    </row>
    <row r="1841" spans="5:35" x14ac:dyDescent="0.25">
      <c r="E1841" s="16"/>
      <c r="F1841" s="16"/>
      <c r="H1841" s="16"/>
      <c r="AG1841" s="80"/>
      <c r="AH1841" s="80"/>
      <c r="AI1841" s="80"/>
    </row>
    <row r="1842" spans="5:35" x14ac:dyDescent="0.25">
      <c r="E1842" s="16"/>
      <c r="F1842" s="16"/>
      <c r="H1842" s="16"/>
      <c r="AG1842" s="80"/>
      <c r="AH1842" s="80"/>
      <c r="AI1842" s="80"/>
    </row>
    <row r="1843" spans="5:35" x14ac:dyDescent="0.25">
      <c r="E1843" s="16"/>
      <c r="F1843" s="16"/>
      <c r="H1843" s="16"/>
      <c r="AG1843" s="80"/>
      <c r="AH1843" s="80"/>
      <c r="AI1843" s="80"/>
    </row>
    <row r="1844" spans="5:35" x14ac:dyDescent="0.25">
      <c r="E1844" s="16"/>
      <c r="F1844" s="16"/>
      <c r="H1844" s="16"/>
      <c r="AG1844" s="80"/>
      <c r="AH1844" s="80"/>
      <c r="AI1844" s="80"/>
    </row>
    <row r="1845" spans="5:35" x14ac:dyDescent="0.25">
      <c r="E1845" s="16"/>
      <c r="F1845" s="16"/>
      <c r="H1845" s="16"/>
      <c r="AG1845" s="80"/>
      <c r="AH1845" s="80"/>
      <c r="AI1845" s="80"/>
    </row>
    <row r="1846" spans="5:35" x14ac:dyDescent="0.25">
      <c r="E1846" s="16"/>
      <c r="F1846" s="16"/>
      <c r="H1846" s="16"/>
      <c r="AG1846" s="80"/>
      <c r="AH1846" s="80"/>
      <c r="AI1846" s="80"/>
    </row>
    <row r="1847" spans="5:35" x14ac:dyDescent="0.25">
      <c r="E1847" s="16"/>
      <c r="F1847" s="16"/>
      <c r="H1847" s="16"/>
      <c r="AG1847" s="80"/>
      <c r="AH1847" s="80"/>
      <c r="AI1847" s="80"/>
    </row>
    <row r="1848" spans="5:35" x14ac:dyDescent="0.25">
      <c r="E1848" s="16"/>
      <c r="F1848" s="16"/>
      <c r="H1848" s="16"/>
      <c r="AG1848" s="80"/>
      <c r="AH1848" s="80"/>
      <c r="AI1848" s="80"/>
    </row>
    <row r="1849" spans="5:35" x14ac:dyDescent="0.25">
      <c r="E1849" s="16"/>
      <c r="F1849" s="16"/>
      <c r="H1849" s="16"/>
      <c r="AG1849" s="80"/>
      <c r="AH1849" s="80"/>
      <c r="AI1849" s="80"/>
    </row>
    <row r="1850" spans="5:35" x14ac:dyDescent="0.25">
      <c r="E1850" s="16"/>
      <c r="F1850" s="16"/>
      <c r="H1850" s="16"/>
      <c r="AG1850" s="80"/>
      <c r="AH1850" s="80"/>
      <c r="AI1850" s="80"/>
    </row>
    <row r="1851" spans="5:35" x14ac:dyDescent="0.25">
      <c r="E1851" s="16"/>
      <c r="F1851" s="16"/>
      <c r="H1851" s="16"/>
      <c r="AG1851" s="80"/>
      <c r="AH1851" s="80"/>
      <c r="AI1851" s="80"/>
    </row>
    <row r="1852" spans="5:35" x14ac:dyDescent="0.25">
      <c r="E1852" s="16"/>
      <c r="F1852" s="16"/>
      <c r="H1852" s="16"/>
      <c r="AG1852" s="80"/>
      <c r="AH1852" s="80"/>
      <c r="AI1852" s="80"/>
    </row>
    <row r="1853" spans="5:35" x14ac:dyDescent="0.25">
      <c r="E1853" s="16"/>
      <c r="F1853" s="16"/>
      <c r="H1853" s="16"/>
      <c r="AG1853" s="80"/>
      <c r="AH1853" s="80"/>
      <c r="AI1853" s="80"/>
    </row>
    <row r="1854" spans="5:35" x14ac:dyDescent="0.25">
      <c r="E1854" s="16"/>
      <c r="F1854" s="16"/>
      <c r="H1854" s="16"/>
      <c r="AG1854" s="80"/>
      <c r="AH1854" s="80"/>
      <c r="AI1854" s="80"/>
    </row>
    <row r="1855" spans="5:35" x14ac:dyDescent="0.25">
      <c r="E1855" s="16"/>
      <c r="F1855" s="16"/>
      <c r="H1855" s="16"/>
      <c r="AG1855" s="80"/>
      <c r="AH1855" s="80"/>
      <c r="AI1855" s="80"/>
    </row>
    <row r="1856" spans="5:35" x14ac:dyDescent="0.25">
      <c r="E1856" s="16"/>
      <c r="F1856" s="16"/>
      <c r="H1856" s="16"/>
      <c r="AG1856" s="80"/>
      <c r="AH1856" s="80"/>
      <c r="AI1856" s="80"/>
    </row>
    <row r="1857" spans="5:35" x14ac:dyDescent="0.25">
      <c r="E1857" s="16"/>
      <c r="F1857" s="16"/>
      <c r="H1857" s="16"/>
      <c r="AG1857" s="80"/>
      <c r="AH1857" s="80"/>
      <c r="AI1857" s="80"/>
    </row>
    <row r="1858" spans="5:35" x14ac:dyDescent="0.25">
      <c r="E1858" s="16"/>
      <c r="F1858" s="16"/>
      <c r="H1858" s="16"/>
      <c r="AG1858" s="80"/>
      <c r="AH1858" s="80"/>
      <c r="AI1858" s="80"/>
    </row>
    <row r="1859" spans="5:35" x14ac:dyDescent="0.25">
      <c r="E1859" s="16"/>
      <c r="F1859" s="16"/>
      <c r="H1859" s="16"/>
      <c r="AG1859" s="80"/>
      <c r="AH1859" s="80"/>
      <c r="AI1859" s="80"/>
    </row>
    <row r="1860" spans="5:35" x14ac:dyDescent="0.25">
      <c r="E1860" s="16"/>
      <c r="F1860" s="16"/>
      <c r="H1860" s="16"/>
      <c r="AG1860" s="80"/>
      <c r="AH1860" s="80"/>
      <c r="AI1860" s="80"/>
    </row>
    <row r="1861" spans="5:35" x14ac:dyDescent="0.25">
      <c r="E1861" s="16"/>
      <c r="F1861" s="16"/>
      <c r="H1861" s="16"/>
      <c r="AG1861" s="80"/>
      <c r="AH1861" s="80"/>
      <c r="AI1861" s="80"/>
    </row>
    <row r="1862" spans="5:35" x14ac:dyDescent="0.25">
      <c r="E1862" s="16"/>
      <c r="F1862" s="16"/>
      <c r="H1862" s="16"/>
      <c r="AG1862" s="80"/>
      <c r="AH1862" s="80"/>
      <c r="AI1862" s="80"/>
    </row>
    <row r="1863" spans="5:35" x14ac:dyDescent="0.25">
      <c r="E1863" s="16"/>
      <c r="F1863" s="16"/>
      <c r="H1863" s="16"/>
      <c r="AG1863" s="80"/>
      <c r="AH1863" s="80"/>
      <c r="AI1863" s="80"/>
    </row>
    <row r="1864" spans="5:35" x14ac:dyDescent="0.25">
      <c r="E1864" s="16"/>
      <c r="F1864" s="16"/>
      <c r="H1864" s="16"/>
      <c r="AG1864" s="80"/>
      <c r="AH1864" s="80"/>
      <c r="AI1864" s="80"/>
    </row>
    <row r="1865" spans="5:35" x14ac:dyDescent="0.25">
      <c r="E1865" s="16"/>
      <c r="F1865" s="16"/>
      <c r="H1865" s="16"/>
      <c r="AG1865" s="80"/>
      <c r="AH1865" s="80"/>
      <c r="AI1865" s="80"/>
    </row>
    <row r="1866" spans="5:35" x14ac:dyDescent="0.25">
      <c r="E1866" s="16"/>
      <c r="F1866" s="16"/>
      <c r="H1866" s="16"/>
      <c r="AG1866" s="80"/>
      <c r="AH1866" s="80"/>
      <c r="AI1866" s="80"/>
    </row>
    <row r="1867" spans="5:35" x14ac:dyDescent="0.25">
      <c r="E1867" s="16"/>
      <c r="F1867" s="16"/>
      <c r="H1867" s="16"/>
      <c r="AG1867" s="80"/>
      <c r="AH1867" s="80"/>
      <c r="AI1867" s="80"/>
    </row>
    <row r="1868" spans="5:35" x14ac:dyDescent="0.25">
      <c r="E1868" s="16"/>
      <c r="F1868" s="16"/>
      <c r="H1868" s="16"/>
      <c r="AG1868" s="80"/>
      <c r="AH1868" s="80"/>
      <c r="AI1868" s="80"/>
    </row>
    <row r="1869" spans="5:35" x14ac:dyDescent="0.25">
      <c r="E1869" s="16"/>
      <c r="F1869" s="16"/>
      <c r="H1869" s="16"/>
      <c r="AG1869" s="80"/>
      <c r="AH1869" s="80"/>
      <c r="AI1869" s="80"/>
    </row>
    <row r="1870" spans="5:35" x14ac:dyDescent="0.25">
      <c r="E1870" s="16"/>
      <c r="F1870" s="16"/>
      <c r="H1870" s="16"/>
      <c r="AG1870" s="80"/>
      <c r="AH1870" s="80"/>
      <c r="AI1870" s="80"/>
    </row>
    <row r="1871" spans="5:35" x14ac:dyDescent="0.25">
      <c r="E1871" s="16"/>
      <c r="F1871" s="16"/>
      <c r="H1871" s="16"/>
      <c r="AG1871" s="80"/>
      <c r="AH1871" s="80"/>
      <c r="AI1871" s="80"/>
    </row>
    <row r="1872" spans="5:35" x14ac:dyDescent="0.25">
      <c r="E1872" s="16"/>
      <c r="F1872" s="16"/>
      <c r="H1872" s="16"/>
      <c r="AG1872" s="80"/>
      <c r="AH1872" s="80"/>
      <c r="AI1872" s="80"/>
    </row>
    <row r="1873" spans="5:35" x14ac:dyDescent="0.25">
      <c r="E1873" s="16"/>
      <c r="F1873" s="16"/>
      <c r="H1873" s="16"/>
      <c r="AG1873" s="80"/>
      <c r="AH1873" s="80"/>
      <c r="AI1873" s="80"/>
    </row>
    <row r="1874" spans="5:35" x14ac:dyDescent="0.25">
      <c r="E1874" s="16"/>
      <c r="F1874" s="16"/>
      <c r="H1874" s="16"/>
      <c r="AG1874" s="80"/>
      <c r="AH1874" s="80"/>
      <c r="AI1874" s="80"/>
    </row>
    <row r="1875" spans="5:35" x14ac:dyDescent="0.25">
      <c r="E1875" s="16"/>
      <c r="F1875" s="16"/>
      <c r="H1875" s="16"/>
      <c r="AG1875" s="80"/>
      <c r="AH1875" s="80"/>
      <c r="AI1875" s="80"/>
    </row>
    <row r="1876" spans="5:35" x14ac:dyDescent="0.25">
      <c r="E1876" s="16"/>
      <c r="F1876" s="16"/>
      <c r="H1876" s="16"/>
      <c r="AG1876" s="80"/>
      <c r="AH1876" s="80"/>
      <c r="AI1876" s="80"/>
    </row>
    <row r="1877" spans="5:35" x14ac:dyDescent="0.25">
      <c r="E1877" s="16"/>
      <c r="F1877" s="16"/>
      <c r="H1877" s="16"/>
      <c r="AG1877" s="80"/>
      <c r="AH1877" s="80"/>
      <c r="AI1877" s="80"/>
    </row>
    <row r="1878" spans="5:35" x14ac:dyDescent="0.25">
      <c r="E1878" s="16"/>
      <c r="F1878" s="16"/>
      <c r="H1878" s="16"/>
      <c r="AG1878" s="80"/>
      <c r="AH1878" s="80"/>
      <c r="AI1878" s="80"/>
    </row>
    <row r="1879" spans="5:35" x14ac:dyDescent="0.25">
      <c r="E1879" s="16"/>
      <c r="F1879" s="16"/>
      <c r="H1879" s="16"/>
      <c r="AG1879" s="80"/>
      <c r="AH1879" s="80"/>
      <c r="AI1879" s="80"/>
    </row>
    <row r="1880" spans="5:35" x14ac:dyDescent="0.25">
      <c r="E1880" s="16"/>
      <c r="F1880" s="16"/>
      <c r="H1880" s="16"/>
      <c r="AG1880" s="80"/>
      <c r="AH1880" s="80"/>
      <c r="AI1880" s="80"/>
    </row>
    <row r="1881" spans="5:35" x14ac:dyDescent="0.25">
      <c r="E1881" s="16"/>
      <c r="F1881" s="16"/>
      <c r="H1881" s="16"/>
      <c r="AG1881" s="80"/>
      <c r="AH1881" s="80"/>
      <c r="AI1881" s="80"/>
    </row>
    <row r="1882" spans="5:35" x14ac:dyDescent="0.25">
      <c r="E1882" s="16"/>
      <c r="F1882" s="16"/>
      <c r="H1882" s="16"/>
      <c r="AG1882" s="80"/>
      <c r="AH1882" s="80"/>
      <c r="AI1882" s="80"/>
    </row>
    <row r="1883" spans="5:35" x14ac:dyDescent="0.25">
      <c r="E1883" s="16"/>
      <c r="F1883" s="16"/>
      <c r="H1883" s="16"/>
      <c r="AG1883" s="80"/>
      <c r="AH1883" s="80"/>
      <c r="AI1883" s="80"/>
    </row>
    <row r="1884" spans="5:35" x14ac:dyDescent="0.25">
      <c r="E1884" s="16"/>
      <c r="F1884" s="16"/>
      <c r="H1884" s="16"/>
      <c r="AG1884" s="80"/>
      <c r="AH1884" s="80"/>
      <c r="AI1884" s="80"/>
    </row>
    <row r="1885" spans="5:35" x14ac:dyDescent="0.25">
      <c r="E1885" s="16"/>
      <c r="F1885" s="16"/>
      <c r="H1885" s="16"/>
      <c r="AG1885" s="80"/>
      <c r="AH1885" s="80"/>
      <c r="AI1885" s="80"/>
    </row>
    <row r="1886" spans="5:35" x14ac:dyDescent="0.25">
      <c r="E1886" s="16"/>
      <c r="F1886" s="16"/>
      <c r="H1886" s="16"/>
      <c r="AG1886" s="80"/>
      <c r="AH1886" s="80"/>
      <c r="AI1886" s="80"/>
    </row>
    <row r="1887" spans="5:35" x14ac:dyDescent="0.25">
      <c r="E1887" s="16"/>
      <c r="F1887" s="16"/>
      <c r="H1887" s="16"/>
      <c r="AG1887" s="80"/>
      <c r="AH1887" s="80"/>
      <c r="AI1887" s="80"/>
    </row>
    <row r="1888" spans="5:35" x14ac:dyDescent="0.25">
      <c r="E1888" s="16"/>
      <c r="F1888" s="16"/>
      <c r="H1888" s="16"/>
      <c r="AG1888" s="80"/>
      <c r="AH1888" s="80"/>
      <c r="AI1888" s="80"/>
    </row>
    <row r="1889" spans="5:35" x14ac:dyDescent="0.25">
      <c r="E1889" s="16"/>
      <c r="F1889" s="16"/>
      <c r="H1889" s="16"/>
      <c r="AG1889" s="80"/>
      <c r="AH1889" s="80"/>
      <c r="AI1889" s="80"/>
    </row>
    <row r="1890" spans="5:35" x14ac:dyDescent="0.25">
      <c r="E1890" s="16"/>
      <c r="F1890" s="16"/>
      <c r="H1890" s="16"/>
      <c r="AG1890" s="80"/>
      <c r="AH1890" s="80"/>
      <c r="AI1890" s="80"/>
    </row>
    <row r="1891" spans="5:35" x14ac:dyDescent="0.25">
      <c r="E1891" s="16"/>
      <c r="F1891" s="16"/>
      <c r="H1891" s="16"/>
      <c r="AG1891" s="80"/>
      <c r="AH1891" s="80"/>
      <c r="AI1891" s="80"/>
    </row>
    <row r="1892" spans="5:35" x14ac:dyDescent="0.25">
      <c r="E1892" s="16"/>
      <c r="F1892" s="16"/>
      <c r="H1892" s="16"/>
      <c r="AG1892" s="80"/>
      <c r="AH1892" s="80"/>
      <c r="AI1892" s="80"/>
    </row>
    <row r="1893" spans="5:35" x14ac:dyDescent="0.25">
      <c r="E1893" s="16"/>
      <c r="F1893" s="16"/>
      <c r="H1893" s="16"/>
      <c r="AG1893" s="80"/>
      <c r="AH1893" s="80"/>
      <c r="AI1893" s="80"/>
    </row>
    <row r="1894" spans="5:35" x14ac:dyDescent="0.25">
      <c r="E1894" s="16"/>
      <c r="F1894" s="16"/>
      <c r="H1894" s="16"/>
      <c r="AG1894" s="80"/>
      <c r="AH1894" s="80"/>
      <c r="AI1894" s="80"/>
    </row>
    <row r="1895" spans="5:35" x14ac:dyDescent="0.25">
      <c r="E1895" s="16"/>
      <c r="F1895" s="16"/>
      <c r="H1895" s="16"/>
      <c r="AG1895" s="80"/>
      <c r="AH1895" s="80"/>
      <c r="AI1895" s="80"/>
    </row>
    <row r="1896" spans="5:35" x14ac:dyDescent="0.25">
      <c r="E1896" s="16"/>
      <c r="F1896" s="16"/>
      <c r="H1896" s="16"/>
      <c r="AG1896" s="80"/>
      <c r="AH1896" s="80"/>
      <c r="AI1896" s="80"/>
    </row>
    <row r="1897" spans="5:35" x14ac:dyDescent="0.25">
      <c r="E1897" s="16"/>
      <c r="F1897" s="16"/>
      <c r="H1897" s="16"/>
      <c r="AG1897" s="80"/>
      <c r="AH1897" s="80"/>
      <c r="AI1897" s="80"/>
    </row>
    <row r="1898" spans="5:35" x14ac:dyDescent="0.25">
      <c r="E1898" s="16"/>
      <c r="F1898" s="16"/>
      <c r="H1898" s="16"/>
      <c r="AG1898" s="80"/>
      <c r="AH1898" s="80"/>
      <c r="AI1898" s="80"/>
    </row>
    <row r="1899" spans="5:35" x14ac:dyDescent="0.25">
      <c r="E1899" s="16"/>
      <c r="F1899" s="16"/>
      <c r="H1899" s="16"/>
      <c r="AG1899" s="80"/>
      <c r="AH1899" s="80"/>
      <c r="AI1899" s="80"/>
    </row>
    <row r="1900" spans="5:35" x14ac:dyDescent="0.25">
      <c r="E1900" s="16"/>
      <c r="F1900" s="16"/>
      <c r="H1900" s="16"/>
      <c r="AG1900" s="80"/>
      <c r="AH1900" s="80"/>
      <c r="AI1900" s="80"/>
    </row>
    <row r="1901" spans="5:35" x14ac:dyDescent="0.25">
      <c r="E1901" s="16"/>
      <c r="F1901" s="16"/>
      <c r="H1901" s="16"/>
      <c r="AG1901" s="80"/>
      <c r="AH1901" s="80"/>
      <c r="AI1901" s="80"/>
    </row>
    <row r="1902" spans="5:35" x14ac:dyDescent="0.25">
      <c r="E1902" s="16"/>
      <c r="F1902" s="16"/>
      <c r="H1902" s="16"/>
      <c r="AG1902" s="80"/>
      <c r="AH1902" s="80"/>
      <c r="AI1902" s="80"/>
    </row>
    <row r="1903" spans="5:35" x14ac:dyDescent="0.25">
      <c r="E1903" s="16"/>
      <c r="F1903" s="16"/>
      <c r="H1903" s="16"/>
      <c r="AG1903" s="80"/>
      <c r="AH1903" s="80"/>
      <c r="AI1903" s="80"/>
    </row>
    <row r="1904" spans="5:35" x14ac:dyDescent="0.25">
      <c r="E1904" s="16"/>
      <c r="F1904" s="16"/>
      <c r="H1904" s="16"/>
      <c r="AG1904" s="80"/>
      <c r="AH1904" s="80"/>
      <c r="AI1904" s="80"/>
    </row>
    <row r="1905" spans="5:35" x14ac:dyDescent="0.25">
      <c r="E1905" s="16"/>
      <c r="F1905" s="16"/>
      <c r="H1905" s="16"/>
      <c r="AG1905" s="80"/>
      <c r="AH1905" s="80"/>
      <c r="AI1905" s="80"/>
    </row>
    <row r="1906" spans="5:35" x14ac:dyDescent="0.25">
      <c r="E1906" s="16"/>
      <c r="F1906" s="16"/>
      <c r="H1906" s="16"/>
      <c r="AG1906" s="80"/>
      <c r="AH1906" s="80"/>
      <c r="AI1906" s="80"/>
    </row>
    <row r="1907" spans="5:35" x14ac:dyDescent="0.25">
      <c r="E1907" s="16"/>
      <c r="F1907" s="16"/>
      <c r="H1907" s="16"/>
      <c r="AG1907" s="80"/>
      <c r="AH1907" s="80"/>
      <c r="AI1907" s="80"/>
    </row>
    <row r="1908" spans="5:35" x14ac:dyDescent="0.25">
      <c r="E1908" s="16"/>
      <c r="F1908" s="16"/>
      <c r="H1908" s="16"/>
      <c r="AG1908" s="80"/>
      <c r="AH1908" s="80"/>
      <c r="AI1908" s="80"/>
    </row>
    <row r="1909" spans="5:35" x14ac:dyDescent="0.25">
      <c r="E1909" s="16"/>
      <c r="F1909" s="16"/>
      <c r="H1909" s="16"/>
      <c r="AG1909" s="80"/>
      <c r="AH1909" s="80"/>
      <c r="AI1909" s="80"/>
    </row>
    <row r="1910" spans="5:35" x14ac:dyDescent="0.25">
      <c r="E1910" s="16"/>
      <c r="F1910" s="16"/>
      <c r="H1910" s="16"/>
      <c r="AG1910" s="80"/>
      <c r="AH1910" s="80"/>
      <c r="AI1910" s="80"/>
    </row>
    <row r="1911" spans="5:35" x14ac:dyDescent="0.25">
      <c r="E1911" s="16"/>
      <c r="F1911" s="16"/>
      <c r="H1911" s="16"/>
      <c r="AG1911" s="80"/>
      <c r="AH1911" s="80"/>
      <c r="AI1911" s="80"/>
    </row>
    <row r="1912" spans="5:35" x14ac:dyDescent="0.25">
      <c r="E1912" s="16"/>
      <c r="F1912" s="16"/>
      <c r="H1912" s="16"/>
      <c r="AG1912" s="80"/>
      <c r="AH1912" s="80"/>
      <c r="AI1912" s="80"/>
    </row>
    <row r="1913" spans="5:35" x14ac:dyDescent="0.25">
      <c r="E1913" s="16"/>
      <c r="F1913" s="16"/>
      <c r="H1913" s="16"/>
      <c r="AG1913" s="80"/>
      <c r="AH1913" s="80"/>
      <c r="AI1913" s="80"/>
    </row>
    <row r="1914" spans="5:35" x14ac:dyDescent="0.25">
      <c r="E1914" s="16"/>
      <c r="F1914" s="16"/>
      <c r="H1914" s="16"/>
      <c r="AG1914" s="80"/>
      <c r="AH1914" s="80"/>
      <c r="AI1914" s="80"/>
    </row>
    <row r="1915" spans="5:35" x14ac:dyDescent="0.25">
      <c r="E1915" s="16"/>
      <c r="F1915" s="16"/>
      <c r="H1915" s="16"/>
      <c r="AG1915" s="80"/>
      <c r="AH1915" s="80"/>
      <c r="AI1915" s="80"/>
    </row>
    <row r="1916" spans="5:35" x14ac:dyDescent="0.25">
      <c r="E1916" s="16"/>
      <c r="F1916" s="16"/>
      <c r="H1916" s="16"/>
      <c r="AG1916" s="80"/>
      <c r="AH1916" s="80"/>
      <c r="AI1916" s="80"/>
    </row>
    <row r="1917" spans="5:35" x14ac:dyDescent="0.25">
      <c r="E1917" s="16"/>
      <c r="F1917" s="16"/>
      <c r="H1917" s="16"/>
      <c r="AG1917" s="80"/>
      <c r="AH1917" s="80"/>
      <c r="AI1917" s="80"/>
    </row>
    <row r="1918" spans="5:35" x14ac:dyDescent="0.25">
      <c r="E1918" s="16"/>
      <c r="F1918" s="16"/>
      <c r="H1918" s="16"/>
      <c r="AG1918" s="80"/>
      <c r="AH1918" s="80"/>
      <c r="AI1918" s="80"/>
    </row>
    <row r="1919" spans="5:35" x14ac:dyDescent="0.25">
      <c r="E1919" s="16"/>
      <c r="F1919" s="16"/>
      <c r="H1919" s="16"/>
      <c r="AG1919" s="80"/>
      <c r="AH1919" s="80"/>
      <c r="AI1919" s="80"/>
    </row>
    <row r="1920" spans="5:35" x14ac:dyDescent="0.25">
      <c r="E1920" s="16"/>
      <c r="F1920" s="16"/>
      <c r="H1920" s="16"/>
      <c r="AG1920" s="80"/>
      <c r="AH1920" s="80"/>
      <c r="AI1920" s="80"/>
    </row>
    <row r="1921" spans="5:35" x14ac:dyDescent="0.25">
      <c r="E1921" s="16"/>
      <c r="F1921" s="16"/>
      <c r="H1921" s="16"/>
      <c r="AG1921" s="80"/>
      <c r="AH1921" s="80"/>
      <c r="AI1921" s="80"/>
    </row>
    <row r="1922" spans="5:35" x14ac:dyDescent="0.25">
      <c r="E1922" s="16"/>
      <c r="F1922" s="16"/>
      <c r="H1922" s="16"/>
      <c r="AG1922" s="80"/>
      <c r="AH1922" s="80"/>
      <c r="AI1922" s="80"/>
    </row>
    <row r="1923" spans="5:35" x14ac:dyDescent="0.25">
      <c r="E1923" s="16"/>
      <c r="F1923" s="16"/>
      <c r="H1923" s="16"/>
      <c r="AG1923" s="80"/>
      <c r="AH1923" s="80"/>
      <c r="AI1923" s="80"/>
    </row>
    <row r="1924" spans="5:35" x14ac:dyDescent="0.25">
      <c r="E1924" s="16"/>
      <c r="F1924" s="16"/>
      <c r="H1924" s="16"/>
      <c r="AG1924" s="80"/>
      <c r="AH1924" s="80"/>
      <c r="AI1924" s="80"/>
    </row>
    <row r="1925" spans="5:35" x14ac:dyDescent="0.25">
      <c r="E1925" s="16"/>
      <c r="F1925" s="16"/>
      <c r="H1925" s="16"/>
      <c r="AG1925" s="80"/>
      <c r="AH1925" s="80"/>
      <c r="AI1925" s="80"/>
    </row>
    <row r="1926" spans="5:35" x14ac:dyDescent="0.25">
      <c r="E1926" s="16"/>
      <c r="F1926" s="16"/>
      <c r="H1926" s="16"/>
      <c r="AG1926" s="80"/>
      <c r="AH1926" s="80"/>
      <c r="AI1926" s="80"/>
    </row>
    <row r="1927" spans="5:35" x14ac:dyDescent="0.25">
      <c r="E1927" s="16"/>
      <c r="F1927" s="16"/>
      <c r="H1927" s="16"/>
      <c r="AG1927" s="80"/>
      <c r="AH1927" s="80"/>
      <c r="AI1927" s="80"/>
    </row>
    <row r="1928" spans="5:35" x14ac:dyDescent="0.25">
      <c r="E1928" s="16"/>
      <c r="F1928" s="16"/>
      <c r="H1928" s="16"/>
      <c r="AG1928" s="80"/>
      <c r="AH1928" s="80"/>
      <c r="AI1928" s="80"/>
    </row>
    <row r="1929" spans="5:35" x14ac:dyDescent="0.25">
      <c r="E1929" s="16"/>
      <c r="F1929" s="16"/>
      <c r="H1929" s="16"/>
      <c r="AG1929" s="80"/>
      <c r="AH1929" s="80"/>
      <c r="AI1929" s="80"/>
    </row>
    <row r="1930" spans="5:35" x14ac:dyDescent="0.25">
      <c r="E1930" s="16"/>
      <c r="F1930" s="16"/>
      <c r="H1930" s="16"/>
      <c r="AG1930" s="80"/>
      <c r="AH1930" s="80"/>
      <c r="AI1930" s="80"/>
    </row>
    <row r="1931" spans="5:35" x14ac:dyDescent="0.25">
      <c r="E1931" s="16"/>
      <c r="F1931" s="16"/>
      <c r="H1931" s="16"/>
      <c r="AG1931" s="80"/>
      <c r="AH1931" s="80"/>
      <c r="AI1931" s="80"/>
    </row>
    <row r="1932" spans="5:35" x14ac:dyDescent="0.25">
      <c r="E1932" s="16"/>
      <c r="F1932" s="16"/>
      <c r="H1932" s="16"/>
      <c r="AG1932" s="80"/>
      <c r="AH1932" s="80"/>
      <c r="AI1932" s="80"/>
    </row>
    <row r="1933" spans="5:35" x14ac:dyDescent="0.25">
      <c r="E1933" s="16"/>
      <c r="F1933" s="16"/>
      <c r="H1933" s="16"/>
      <c r="AG1933" s="80"/>
      <c r="AH1933" s="80"/>
      <c r="AI1933" s="80"/>
    </row>
    <row r="1934" spans="5:35" x14ac:dyDescent="0.25">
      <c r="E1934" s="16"/>
      <c r="F1934" s="16"/>
      <c r="H1934" s="16"/>
      <c r="AG1934" s="80"/>
      <c r="AH1934" s="80"/>
      <c r="AI1934" s="80"/>
    </row>
    <row r="1935" spans="5:35" x14ac:dyDescent="0.25">
      <c r="E1935" s="16"/>
      <c r="F1935" s="16"/>
      <c r="H1935" s="16"/>
      <c r="AG1935" s="80"/>
      <c r="AH1935" s="80"/>
      <c r="AI1935" s="80"/>
    </row>
    <row r="1936" spans="5:35" x14ac:dyDescent="0.25">
      <c r="E1936" s="16"/>
      <c r="F1936" s="16"/>
      <c r="H1936" s="16"/>
      <c r="AG1936" s="80"/>
      <c r="AH1936" s="80"/>
      <c r="AI1936" s="80"/>
    </row>
    <row r="1937" spans="5:35" x14ac:dyDescent="0.25">
      <c r="E1937" s="16"/>
      <c r="F1937" s="16"/>
      <c r="H1937" s="16"/>
      <c r="AG1937" s="80"/>
      <c r="AH1937" s="80"/>
      <c r="AI1937" s="80"/>
    </row>
    <row r="1938" spans="5:35" x14ac:dyDescent="0.25">
      <c r="E1938" s="16"/>
      <c r="F1938" s="16"/>
      <c r="H1938" s="16"/>
      <c r="AG1938" s="80"/>
      <c r="AH1938" s="80"/>
      <c r="AI1938" s="80"/>
    </row>
    <row r="1939" spans="5:35" x14ac:dyDescent="0.25">
      <c r="E1939" s="16"/>
      <c r="F1939" s="16"/>
      <c r="H1939" s="16"/>
      <c r="AG1939" s="80"/>
      <c r="AH1939" s="80"/>
      <c r="AI1939" s="80"/>
    </row>
    <row r="1940" spans="5:35" x14ac:dyDescent="0.25">
      <c r="E1940" s="16"/>
      <c r="F1940" s="16"/>
      <c r="H1940" s="16"/>
      <c r="AG1940" s="80"/>
      <c r="AH1940" s="80"/>
      <c r="AI1940" s="80"/>
    </row>
    <row r="1941" spans="5:35" x14ac:dyDescent="0.25">
      <c r="E1941" s="16"/>
      <c r="F1941" s="16"/>
      <c r="H1941" s="16"/>
      <c r="AG1941" s="80"/>
      <c r="AH1941" s="80"/>
      <c r="AI1941" s="80"/>
    </row>
    <row r="1942" spans="5:35" x14ac:dyDescent="0.25">
      <c r="E1942" s="16"/>
      <c r="F1942" s="16"/>
      <c r="H1942" s="16"/>
      <c r="AG1942" s="80"/>
      <c r="AH1942" s="80"/>
      <c r="AI1942" s="80"/>
    </row>
    <row r="1943" spans="5:35" x14ac:dyDescent="0.25">
      <c r="E1943" s="16"/>
      <c r="F1943" s="16"/>
      <c r="H1943" s="16"/>
      <c r="AG1943" s="80"/>
      <c r="AH1943" s="80"/>
      <c r="AI1943" s="80"/>
    </row>
    <row r="1944" spans="5:35" x14ac:dyDescent="0.25">
      <c r="E1944" s="16"/>
      <c r="F1944" s="16"/>
      <c r="H1944" s="16"/>
      <c r="AG1944" s="80"/>
      <c r="AH1944" s="80"/>
      <c r="AI1944" s="80"/>
    </row>
    <row r="1945" spans="5:35" x14ac:dyDescent="0.25">
      <c r="E1945" s="16"/>
      <c r="F1945" s="16"/>
      <c r="H1945" s="16"/>
      <c r="AG1945" s="80"/>
      <c r="AH1945" s="80"/>
      <c r="AI1945" s="80"/>
    </row>
    <row r="1946" spans="5:35" x14ac:dyDescent="0.25">
      <c r="E1946" s="16"/>
      <c r="F1946" s="16"/>
      <c r="H1946" s="16"/>
      <c r="AG1946" s="80"/>
      <c r="AH1946" s="80"/>
      <c r="AI1946" s="80"/>
    </row>
    <row r="1947" spans="5:35" x14ac:dyDescent="0.25">
      <c r="E1947" s="16"/>
      <c r="F1947" s="16"/>
      <c r="H1947" s="16"/>
      <c r="AG1947" s="80"/>
      <c r="AH1947" s="80"/>
      <c r="AI1947" s="80"/>
    </row>
    <row r="1948" spans="5:35" x14ac:dyDescent="0.25">
      <c r="E1948" s="16"/>
      <c r="F1948" s="16"/>
      <c r="H1948" s="16"/>
      <c r="AG1948" s="80"/>
      <c r="AH1948" s="80"/>
      <c r="AI1948" s="80"/>
    </row>
    <row r="1949" spans="5:35" x14ac:dyDescent="0.25">
      <c r="E1949" s="16"/>
      <c r="F1949" s="16"/>
      <c r="H1949" s="16"/>
      <c r="AG1949" s="80"/>
      <c r="AH1949" s="80"/>
      <c r="AI1949" s="80"/>
    </row>
    <row r="1950" spans="5:35" x14ac:dyDescent="0.25">
      <c r="E1950" s="16"/>
      <c r="F1950" s="16"/>
      <c r="H1950" s="16"/>
      <c r="AG1950" s="80"/>
      <c r="AH1950" s="80"/>
      <c r="AI1950" s="80"/>
    </row>
    <row r="1951" spans="5:35" x14ac:dyDescent="0.25">
      <c r="E1951" s="16"/>
      <c r="F1951" s="16"/>
      <c r="H1951" s="16"/>
      <c r="AG1951" s="80"/>
      <c r="AH1951" s="80"/>
      <c r="AI1951" s="80"/>
    </row>
    <row r="1952" spans="5:35" x14ac:dyDescent="0.25">
      <c r="E1952" s="16"/>
      <c r="F1952" s="16"/>
      <c r="H1952" s="16"/>
      <c r="AG1952" s="80"/>
      <c r="AH1952" s="80"/>
      <c r="AI1952" s="80"/>
    </row>
    <row r="1953" spans="5:35" x14ac:dyDescent="0.25">
      <c r="E1953" s="16"/>
      <c r="F1953" s="16"/>
      <c r="H1953" s="16"/>
      <c r="AG1953" s="80"/>
      <c r="AH1953" s="80"/>
      <c r="AI1953" s="80"/>
    </row>
    <row r="1954" spans="5:35" x14ac:dyDescent="0.25">
      <c r="E1954" s="16"/>
      <c r="F1954" s="16"/>
      <c r="H1954" s="16"/>
      <c r="AG1954" s="80"/>
      <c r="AH1954" s="80"/>
      <c r="AI1954" s="80"/>
    </row>
    <row r="1955" spans="5:35" x14ac:dyDescent="0.25">
      <c r="E1955" s="16"/>
      <c r="F1955" s="16"/>
      <c r="H1955" s="16"/>
      <c r="AG1955" s="80"/>
      <c r="AH1955" s="80"/>
      <c r="AI1955" s="80"/>
    </row>
    <row r="1956" spans="5:35" x14ac:dyDescent="0.25">
      <c r="E1956" s="16"/>
      <c r="F1956" s="16"/>
      <c r="H1956" s="16"/>
      <c r="AG1956" s="80"/>
      <c r="AH1956" s="80"/>
      <c r="AI1956" s="80"/>
    </row>
    <row r="1957" spans="5:35" x14ac:dyDescent="0.25">
      <c r="E1957" s="16"/>
      <c r="F1957" s="16"/>
      <c r="H1957" s="16"/>
      <c r="AG1957" s="80"/>
      <c r="AH1957" s="80"/>
      <c r="AI1957" s="80"/>
    </row>
    <row r="1958" spans="5:35" x14ac:dyDescent="0.25">
      <c r="E1958" s="16"/>
      <c r="F1958" s="16"/>
      <c r="H1958" s="16"/>
      <c r="AG1958" s="80"/>
      <c r="AH1958" s="80"/>
      <c r="AI1958" s="80"/>
    </row>
    <row r="1959" spans="5:35" x14ac:dyDescent="0.25">
      <c r="E1959" s="16"/>
      <c r="F1959" s="16"/>
      <c r="H1959" s="16"/>
      <c r="AG1959" s="80"/>
      <c r="AH1959" s="80"/>
      <c r="AI1959" s="80"/>
    </row>
    <row r="1960" spans="5:35" x14ac:dyDescent="0.25">
      <c r="E1960" s="16"/>
      <c r="F1960" s="16"/>
      <c r="H1960" s="16"/>
      <c r="AG1960" s="80"/>
      <c r="AH1960" s="80"/>
      <c r="AI1960" s="80"/>
    </row>
    <row r="1961" spans="5:35" x14ac:dyDescent="0.25">
      <c r="E1961" s="16"/>
      <c r="F1961" s="16"/>
      <c r="H1961" s="16"/>
      <c r="AG1961" s="80"/>
      <c r="AH1961" s="80"/>
      <c r="AI1961" s="80"/>
    </row>
    <row r="1962" spans="5:35" x14ac:dyDescent="0.25">
      <c r="E1962" s="16"/>
      <c r="F1962" s="16"/>
      <c r="H1962" s="16"/>
      <c r="AG1962" s="80"/>
      <c r="AH1962" s="80"/>
      <c r="AI1962" s="80"/>
    </row>
    <row r="1963" spans="5:35" x14ac:dyDescent="0.25">
      <c r="E1963" s="16"/>
      <c r="F1963" s="16"/>
      <c r="H1963" s="16"/>
      <c r="AG1963" s="80"/>
      <c r="AH1963" s="80"/>
      <c r="AI1963" s="80"/>
    </row>
    <row r="1964" spans="5:35" x14ac:dyDescent="0.25">
      <c r="E1964" s="16"/>
      <c r="F1964" s="16"/>
      <c r="H1964" s="16"/>
      <c r="AG1964" s="80"/>
      <c r="AH1964" s="80"/>
      <c r="AI1964" s="80"/>
    </row>
    <row r="1965" spans="5:35" x14ac:dyDescent="0.25">
      <c r="E1965" s="16"/>
      <c r="F1965" s="16"/>
      <c r="H1965" s="16"/>
      <c r="AG1965" s="80"/>
      <c r="AH1965" s="80"/>
      <c r="AI1965" s="80"/>
    </row>
    <row r="1966" spans="5:35" x14ac:dyDescent="0.25">
      <c r="E1966" s="16"/>
      <c r="F1966" s="16"/>
      <c r="H1966" s="16"/>
      <c r="AG1966" s="80"/>
      <c r="AH1966" s="80"/>
      <c r="AI1966" s="80"/>
    </row>
    <row r="1967" spans="5:35" x14ac:dyDescent="0.25">
      <c r="E1967" s="16"/>
      <c r="F1967" s="16"/>
      <c r="H1967" s="16"/>
      <c r="AG1967" s="80"/>
      <c r="AH1967" s="80"/>
      <c r="AI1967" s="80"/>
    </row>
    <row r="1968" spans="5:35" x14ac:dyDescent="0.25">
      <c r="E1968" s="16"/>
      <c r="F1968" s="16"/>
      <c r="H1968" s="16"/>
      <c r="AG1968" s="80"/>
      <c r="AH1968" s="80"/>
      <c r="AI1968" s="80"/>
    </row>
    <row r="1969" spans="5:35" x14ac:dyDescent="0.25">
      <c r="E1969" s="16"/>
      <c r="F1969" s="16"/>
      <c r="H1969" s="16"/>
      <c r="AG1969" s="80"/>
      <c r="AH1969" s="80"/>
      <c r="AI1969" s="80"/>
    </row>
    <row r="1970" spans="5:35" x14ac:dyDescent="0.25">
      <c r="E1970" s="16"/>
      <c r="F1970" s="16"/>
      <c r="H1970" s="16"/>
      <c r="AG1970" s="80"/>
      <c r="AH1970" s="80"/>
      <c r="AI1970" s="80"/>
    </row>
    <row r="1971" spans="5:35" x14ac:dyDescent="0.25">
      <c r="E1971" s="16"/>
      <c r="F1971" s="16"/>
      <c r="H1971" s="16"/>
      <c r="AG1971" s="80"/>
      <c r="AH1971" s="80"/>
      <c r="AI1971" s="80"/>
    </row>
    <row r="1972" spans="5:35" x14ac:dyDescent="0.25">
      <c r="E1972" s="16"/>
      <c r="F1972" s="16"/>
      <c r="H1972" s="16"/>
      <c r="AG1972" s="80"/>
      <c r="AH1972" s="80"/>
      <c r="AI1972" s="80"/>
    </row>
    <row r="1973" spans="5:35" x14ac:dyDescent="0.25">
      <c r="E1973" s="16"/>
      <c r="F1973" s="16"/>
      <c r="H1973" s="16"/>
      <c r="AG1973" s="80"/>
      <c r="AH1973" s="80"/>
      <c r="AI1973" s="80"/>
    </row>
    <row r="1974" spans="5:35" x14ac:dyDescent="0.25">
      <c r="E1974" s="16"/>
      <c r="F1974" s="16"/>
      <c r="H1974" s="16"/>
      <c r="AG1974" s="80"/>
      <c r="AH1974" s="80"/>
      <c r="AI1974" s="80"/>
    </row>
    <row r="1975" spans="5:35" x14ac:dyDescent="0.25">
      <c r="E1975" s="16"/>
      <c r="F1975" s="16"/>
      <c r="H1975" s="16"/>
      <c r="AG1975" s="80"/>
      <c r="AH1975" s="80"/>
      <c r="AI1975" s="80"/>
    </row>
    <row r="1976" spans="5:35" x14ac:dyDescent="0.25">
      <c r="E1976" s="16"/>
      <c r="F1976" s="16"/>
      <c r="H1976" s="16"/>
      <c r="AG1976" s="80"/>
      <c r="AH1976" s="80"/>
      <c r="AI1976" s="80"/>
    </row>
    <row r="1977" spans="5:35" x14ac:dyDescent="0.25">
      <c r="E1977" s="16"/>
      <c r="F1977" s="16"/>
      <c r="H1977" s="16"/>
      <c r="AG1977" s="80"/>
      <c r="AH1977" s="80"/>
      <c r="AI1977" s="80"/>
    </row>
    <row r="1978" spans="5:35" x14ac:dyDescent="0.25">
      <c r="E1978" s="16"/>
      <c r="F1978" s="16"/>
      <c r="H1978" s="16"/>
      <c r="AG1978" s="80"/>
      <c r="AH1978" s="80"/>
      <c r="AI1978" s="80"/>
    </row>
    <row r="1979" spans="5:35" x14ac:dyDescent="0.25">
      <c r="E1979" s="16"/>
      <c r="F1979" s="16"/>
      <c r="H1979" s="16"/>
      <c r="AG1979" s="80"/>
      <c r="AH1979" s="80"/>
      <c r="AI1979" s="80"/>
    </row>
    <row r="1980" spans="5:35" x14ac:dyDescent="0.25">
      <c r="E1980" s="16"/>
      <c r="F1980" s="16"/>
      <c r="H1980" s="16"/>
      <c r="AG1980" s="80"/>
      <c r="AH1980" s="80"/>
      <c r="AI1980" s="80"/>
    </row>
    <row r="1981" spans="5:35" x14ac:dyDescent="0.25">
      <c r="E1981" s="16"/>
      <c r="F1981" s="16"/>
      <c r="H1981" s="16"/>
      <c r="AG1981" s="80"/>
      <c r="AH1981" s="80"/>
      <c r="AI1981" s="80"/>
    </row>
    <row r="1982" spans="5:35" x14ac:dyDescent="0.25">
      <c r="E1982" s="16"/>
      <c r="F1982" s="16"/>
      <c r="H1982" s="16"/>
      <c r="AG1982" s="80"/>
      <c r="AH1982" s="80"/>
      <c r="AI1982" s="80"/>
    </row>
    <row r="1983" spans="5:35" x14ac:dyDescent="0.25">
      <c r="E1983" s="16"/>
      <c r="F1983" s="16"/>
      <c r="H1983" s="16"/>
      <c r="AG1983" s="80"/>
      <c r="AH1983" s="80"/>
      <c r="AI1983" s="80"/>
    </row>
    <row r="1984" spans="5:35" x14ac:dyDescent="0.25">
      <c r="E1984" s="16"/>
      <c r="F1984" s="16"/>
      <c r="H1984" s="16"/>
      <c r="AG1984" s="80"/>
      <c r="AH1984" s="80"/>
      <c r="AI1984" s="80"/>
    </row>
    <row r="1985" spans="5:35" x14ac:dyDescent="0.25">
      <c r="E1985" s="16"/>
      <c r="F1985" s="16"/>
      <c r="H1985" s="16"/>
      <c r="AG1985" s="80"/>
      <c r="AH1985" s="80"/>
      <c r="AI1985" s="80"/>
    </row>
    <row r="1986" spans="5:35" x14ac:dyDescent="0.25">
      <c r="E1986" s="16"/>
      <c r="F1986" s="16"/>
      <c r="H1986" s="16"/>
      <c r="AG1986" s="80"/>
      <c r="AH1986" s="80"/>
      <c r="AI1986" s="80"/>
    </row>
    <row r="1987" spans="5:35" x14ac:dyDescent="0.25">
      <c r="E1987" s="16"/>
      <c r="F1987" s="16"/>
      <c r="H1987" s="16"/>
      <c r="AG1987" s="80"/>
      <c r="AH1987" s="80"/>
      <c r="AI1987" s="80"/>
    </row>
    <row r="1988" spans="5:35" x14ac:dyDescent="0.25">
      <c r="E1988" s="16"/>
      <c r="F1988" s="16"/>
      <c r="H1988" s="16"/>
      <c r="AG1988" s="80"/>
      <c r="AH1988" s="80"/>
      <c r="AI1988" s="80"/>
    </row>
    <row r="1989" spans="5:35" x14ac:dyDescent="0.25">
      <c r="E1989" s="16"/>
      <c r="F1989" s="16"/>
      <c r="H1989" s="16"/>
      <c r="AG1989" s="80"/>
      <c r="AH1989" s="80"/>
      <c r="AI1989" s="80"/>
    </row>
    <row r="1990" spans="5:35" x14ac:dyDescent="0.25">
      <c r="E1990" s="16"/>
      <c r="F1990" s="16"/>
      <c r="H1990" s="16"/>
      <c r="AG1990" s="80"/>
      <c r="AH1990" s="80"/>
      <c r="AI1990" s="80"/>
    </row>
    <row r="1991" spans="5:35" x14ac:dyDescent="0.25">
      <c r="E1991" s="16"/>
      <c r="F1991" s="16"/>
      <c r="H1991" s="16"/>
      <c r="AG1991" s="80"/>
      <c r="AH1991" s="80"/>
      <c r="AI1991" s="80"/>
    </row>
    <row r="1992" spans="5:35" x14ac:dyDescent="0.25">
      <c r="E1992" s="16"/>
      <c r="F1992" s="16"/>
      <c r="H1992" s="16"/>
      <c r="AG1992" s="80"/>
      <c r="AH1992" s="80"/>
      <c r="AI1992" s="80"/>
    </row>
    <row r="1993" spans="5:35" x14ac:dyDescent="0.25">
      <c r="E1993" s="16"/>
      <c r="F1993" s="16"/>
      <c r="H1993" s="16"/>
      <c r="AG1993" s="80"/>
      <c r="AH1993" s="80"/>
      <c r="AI1993" s="80"/>
    </row>
    <row r="1994" spans="5:35" x14ac:dyDescent="0.25">
      <c r="E1994" s="16"/>
      <c r="F1994" s="16"/>
      <c r="H1994" s="16"/>
      <c r="AG1994" s="80"/>
      <c r="AH1994" s="80"/>
      <c r="AI1994" s="80"/>
    </row>
    <row r="1995" spans="5:35" x14ac:dyDescent="0.25">
      <c r="E1995" s="16"/>
      <c r="F1995" s="16"/>
      <c r="H1995" s="16"/>
      <c r="AG1995" s="80"/>
      <c r="AH1995" s="80"/>
      <c r="AI1995" s="80"/>
    </row>
    <row r="1996" spans="5:35" x14ac:dyDescent="0.25">
      <c r="E1996" s="16"/>
      <c r="F1996" s="16"/>
      <c r="H1996" s="16"/>
      <c r="AG1996" s="80"/>
      <c r="AH1996" s="80"/>
      <c r="AI1996" s="80"/>
    </row>
    <row r="1997" spans="5:35" x14ac:dyDescent="0.25">
      <c r="E1997" s="16"/>
      <c r="F1997" s="16"/>
      <c r="H1997" s="16"/>
      <c r="AG1997" s="80"/>
      <c r="AH1997" s="80"/>
      <c r="AI1997" s="80"/>
    </row>
    <row r="1998" spans="5:35" x14ac:dyDescent="0.25">
      <c r="E1998" s="16"/>
      <c r="F1998" s="16"/>
      <c r="H1998" s="16"/>
      <c r="AG1998" s="80"/>
      <c r="AH1998" s="80"/>
      <c r="AI1998" s="80"/>
    </row>
    <row r="1999" spans="5:35" x14ac:dyDescent="0.25">
      <c r="E1999" s="16"/>
      <c r="F1999" s="16"/>
      <c r="H1999" s="16"/>
      <c r="AG1999" s="80"/>
      <c r="AH1999" s="80"/>
      <c r="AI1999" s="80"/>
    </row>
    <row r="2000" spans="5:35" x14ac:dyDescent="0.25">
      <c r="E2000" s="16"/>
      <c r="F2000" s="16"/>
      <c r="H2000" s="16"/>
      <c r="AG2000" s="80"/>
      <c r="AH2000" s="80"/>
      <c r="AI2000" s="80"/>
    </row>
    <row r="2001" spans="5:35" x14ac:dyDescent="0.25">
      <c r="E2001" s="16"/>
      <c r="F2001" s="16"/>
      <c r="H2001" s="16"/>
      <c r="AG2001" s="80"/>
      <c r="AH2001" s="80"/>
      <c r="AI2001" s="80"/>
    </row>
    <row r="2002" spans="5:35" x14ac:dyDescent="0.25">
      <c r="E2002" s="16"/>
      <c r="F2002" s="16"/>
      <c r="H2002" s="16"/>
      <c r="AG2002" s="80"/>
      <c r="AH2002" s="80"/>
      <c r="AI2002" s="80"/>
    </row>
    <row r="2003" spans="5:35" x14ac:dyDescent="0.25">
      <c r="E2003" s="16"/>
      <c r="F2003" s="16"/>
      <c r="H2003" s="16"/>
      <c r="AG2003" s="80"/>
      <c r="AH2003" s="80"/>
      <c r="AI2003" s="80"/>
    </row>
    <row r="2004" spans="5:35" x14ac:dyDescent="0.25">
      <c r="E2004" s="16"/>
      <c r="F2004" s="16"/>
      <c r="H2004" s="16"/>
      <c r="AG2004" s="80"/>
      <c r="AH2004" s="80"/>
      <c r="AI2004" s="80"/>
    </row>
    <row r="2005" spans="5:35" x14ac:dyDescent="0.25">
      <c r="E2005" s="16"/>
      <c r="F2005" s="16"/>
      <c r="H2005" s="16"/>
      <c r="AG2005" s="80"/>
      <c r="AH2005" s="80"/>
      <c r="AI2005" s="80"/>
    </row>
    <row r="2006" spans="5:35" x14ac:dyDescent="0.25">
      <c r="E2006" s="16"/>
      <c r="F2006" s="16"/>
      <c r="H2006" s="16"/>
      <c r="AG2006" s="80"/>
      <c r="AH2006" s="80"/>
      <c r="AI2006" s="80"/>
    </row>
    <row r="2007" spans="5:35" x14ac:dyDescent="0.25">
      <c r="E2007" s="16"/>
      <c r="F2007" s="16"/>
      <c r="H2007" s="16"/>
      <c r="AG2007" s="80"/>
      <c r="AH2007" s="80"/>
      <c r="AI2007" s="80"/>
    </row>
    <row r="2008" spans="5:35" x14ac:dyDescent="0.25">
      <c r="E2008" s="16"/>
      <c r="F2008" s="16"/>
      <c r="H2008" s="16"/>
      <c r="AG2008" s="80"/>
      <c r="AH2008" s="80"/>
      <c r="AI2008" s="80"/>
    </row>
    <row r="2009" spans="5:35" x14ac:dyDescent="0.25">
      <c r="E2009" s="16"/>
      <c r="F2009" s="16"/>
      <c r="H2009" s="16"/>
      <c r="AG2009" s="80"/>
      <c r="AH2009" s="80"/>
      <c r="AI2009" s="80"/>
    </row>
    <row r="2010" spans="5:35" x14ac:dyDescent="0.25">
      <c r="E2010" s="16"/>
      <c r="F2010" s="16"/>
      <c r="H2010" s="16"/>
      <c r="AG2010" s="80"/>
      <c r="AH2010" s="80"/>
      <c r="AI2010" s="80"/>
    </row>
    <row r="2011" spans="5:35" x14ac:dyDescent="0.25">
      <c r="E2011" s="16"/>
      <c r="F2011" s="16"/>
      <c r="H2011" s="16"/>
      <c r="AG2011" s="80"/>
      <c r="AH2011" s="80"/>
      <c r="AI2011" s="80"/>
    </row>
    <row r="2012" spans="5:35" x14ac:dyDescent="0.25">
      <c r="E2012" s="16"/>
      <c r="F2012" s="16"/>
      <c r="H2012" s="16"/>
      <c r="AG2012" s="80"/>
      <c r="AH2012" s="80"/>
      <c r="AI2012" s="80"/>
    </row>
    <row r="2013" spans="5:35" x14ac:dyDescent="0.25">
      <c r="E2013" s="16"/>
      <c r="F2013" s="16"/>
      <c r="H2013" s="16"/>
      <c r="AG2013" s="80"/>
      <c r="AH2013" s="80"/>
      <c r="AI2013" s="80"/>
    </row>
    <row r="2014" spans="5:35" x14ac:dyDescent="0.25">
      <c r="E2014" s="16"/>
      <c r="F2014" s="16"/>
      <c r="H2014" s="16"/>
      <c r="AG2014" s="80"/>
      <c r="AH2014" s="80"/>
      <c r="AI2014" s="80"/>
    </row>
    <row r="2015" spans="5:35" x14ac:dyDescent="0.25">
      <c r="E2015" s="16"/>
      <c r="F2015" s="16"/>
      <c r="H2015" s="16"/>
      <c r="AG2015" s="80"/>
      <c r="AH2015" s="80"/>
      <c r="AI2015" s="80"/>
    </row>
    <row r="2016" spans="5:35" x14ac:dyDescent="0.25">
      <c r="E2016" s="16"/>
      <c r="F2016" s="16"/>
      <c r="H2016" s="16"/>
      <c r="AG2016" s="80"/>
      <c r="AH2016" s="80"/>
      <c r="AI2016" s="80"/>
    </row>
    <row r="2017" spans="5:35" x14ac:dyDescent="0.25">
      <c r="E2017" s="16"/>
      <c r="F2017" s="16"/>
      <c r="H2017" s="16"/>
      <c r="AG2017" s="80"/>
      <c r="AH2017" s="80"/>
      <c r="AI2017" s="80"/>
    </row>
    <row r="2018" spans="5:35" x14ac:dyDescent="0.25">
      <c r="E2018" s="16"/>
      <c r="F2018" s="16"/>
      <c r="H2018" s="16"/>
      <c r="AG2018" s="80"/>
      <c r="AH2018" s="80"/>
      <c r="AI2018" s="80"/>
    </row>
    <row r="2019" spans="5:35" x14ac:dyDescent="0.25">
      <c r="E2019" s="16"/>
      <c r="F2019" s="16"/>
      <c r="H2019" s="16"/>
      <c r="AG2019" s="80"/>
      <c r="AH2019" s="80"/>
      <c r="AI2019" s="80"/>
    </row>
    <row r="2020" spans="5:35" x14ac:dyDescent="0.25">
      <c r="E2020" s="16"/>
      <c r="F2020" s="16"/>
      <c r="H2020" s="16"/>
      <c r="AG2020" s="80"/>
      <c r="AH2020" s="80"/>
      <c r="AI2020" s="80"/>
    </row>
    <row r="2021" spans="5:35" x14ac:dyDescent="0.25">
      <c r="E2021" s="16"/>
      <c r="F2021" s="16"/>
      <c r="H2021" s="16"/>
      <c r="AG2021" s="80"/>
      <c r="AH2021" s="80"/>
      <c r="AI2021" s="80"/>
    </row>
    <row r="2022" spans="5:35" x14ac:dyDescent="0.25">
      <c r="E2022" s="16"/>
      <c r="F2022" s="16"/>
      <c r="H2022" s="16"/>
      <c r="AG2022" s="80"/>
      <c r="AH2022" s="80"/>
      <c r="AI2022" s="80"/>
    </row>
    <row r="2023" spans="5:35" x14ac:dyDescent="0.25">
      <c r="E2023" s="16"/>
      <c r="F2023" s="16"/>
      <c r="H2023" s="16"/>
      <c r="AG2023" s="80"/>
      <c r="AH2023" s="80"/>
      <c r="AI2023" s="80"/>
    </row>
    <row r="2024" spans="5:35" x14ac:dyDescent="0.25">
      <c r="E2024" s="16"/>
      <c r="F2024" s="16"/>
      <c r="H2024" s="16"/>
      <c r="AG2024" s="80"/>
      <c r="AH2024" s="80"/>
      <c r="AI2024" s="80"/>
    </row>
    <row r="2025" spans="5:35" x14ac:dyDescent="0.25">
      <c r="E2025" s="16"/>
      <c r="F2025" s="16"/>
      <c r="H2025" s="16"/>
      <c r="AG2025" s="80"/>
      <c r="AH2025" s="80"/>
      <c r="AI2025" s="80"/>
    </row>
    <row r="2026" spans="5:35" x14ac:dyDescent="0.25">
      <c r="E2026" s="16"/>
      <c r="F2026" s="16"/>
      <c r="H2026" s="16"/>
      <c r="AG2026" s="80"/>
      <c r="AH2026" s="80"/>
      <c r="AI2026" s="80"/>
    </row>
    <row r="2027" spans="5:35" x14ac:dyDescent="0.25">
      <c r="E2027" s="16"/>
      <c r="F2027" s="16"/>
      <c r="H2027" s="16"/>
      <c r="AG2027" s="80"/>
      <c r="AH2027" s="80"/>
      <c r="AI2027" s="80"/>
    </row>
    <row r="2028" spans="5:35" x14ac:dyDescent="0.25">
      <c r="E2028" s="16"/>
      <c r="F2028" s="16"/>
      <c r="H2028" s="16"/>
      <c r="AG2028" s="80"/>
      <c r="AH2028" s="80"/>
      <c r="AI2028" s="80"/>
    </row>
    <row r="2029" spans="5:35" x14ac:dyDescent="0.25">
      <c r="E2029" s="16"/>
      <c r="F2029" s="16"/>
      <c r="H2029" s="16"/>
      <c r="AG2029" s="80"/>
      <c r="AH2029" s="80"/>
      <c r="AI2029" s="80"/>
    </row>
    <row r="2030" spans="5:35" x14ac:dyDescent="0.25">
      <c r="E2030" s="16"/>
      <c r="F2030" s="16"/>
      <c r="H2030" s="16"/>
      <c r="AG2030" s="80"/>
      <c r="AH2030" s="80"/>
      <c r="AI2030" s="80"/>
    </row>
    <row r="2031" spans="5:35" x14ac:dyDescent="0.25">
      <c r="E2031" s="16"/>
      <c r="F2031" s="16"/>
      <c r="H2031" s="16"/>
      <c r="AG2031" s="80"/>
      <c r="AH2031" s="80"/>
      <c r="AI2031" s="80"/>
    </row>
    <row r="2032" spans="5:35" x14ac:dyDescent="0.25">
      <c r="E2032" s="16"/>
      <c r="F2032" s="16"/>
      <c r="H2032" s="16"/>
      <c r="AG2032" s="80"/>
      <c r="AH2032" s="80"/>
      <c r="AI2032" s="80"/>
    </row>
    <row r="2033" spans="5:35" x14ac:dyDescent="0.25">
      <c r="E2033" s="16"/>
      <c r="F2033" s="16"/>
      <c r="H2033" s="16"/>
      <c r="AG2033" s="80"/>
      <c r="AH2033" s="80"/>
      <c r="AI2033" s="80"/>
    </row>
    <row r="2034" spans="5:35" x14ac:dyDescent="0.25">
      <c r="E2034" s="16"/>
      <c r="F2034" s="16"/>
      <c r="H2034" s="16"/>
      <c r="AG2034" s="80"/>
      <c r="AH2034" s="80"/>
      <c r="AI2034" s="80"/>
    </row>
    <row r="2035" spans="5:35" x14ac:dyDescent="0.25">
      <c r="E2035" s="16"/>
      <c r="F2035" s="16"/>
      <c r="H2035" s="16"/>
      <c r="AG2035" s="80"/>
      <c r="AH2035" s="80"/>
      <c r="AI2035" s="80"/>
    </row>
    <row r="2036" spans="5:35" x14ac:dyDescent="0.25">
      <c r="E2036" s="16"/>
      <c r="F2036" s="16"/>
      <c r="H2036" s="16"/>
      <c r="AG2036" s="80"/>
      <c r="AH2036" s="80"/>
      <c r="AI2036" s="80"/>
    </row>
    <row r="2037" spans="5:35" x14ac:dyDescent="0.25">
      <c r="E2037" s="16"/>
      <c r="F2037" s="16"/>
      <c r="H2037" s="16"/>
      <c r="AG2037" s="80"/>
      <c r="AH2037" s="80"/>
      <c r="AI2037" s="80"/>
    </row>
    <row r="2038" spans="5:35" x14ac:dyDescent="0.25">
      <c r="E2038" s="16"/>
      <c r="F2038" s="16"/>
      <c r="H2038" s="16"/>
      <c r="AG2038" s="80"/>
      <c r="AH2038" s="80"/>
      <c r="AI2038" s="80"/>
    </row>
    <row r="2039" spans="5:35" x14ac:dyDescent="0.25">
      <c r="E2039" s="16"/>
      <c r="F2039" s="16"/>
      <c r="H2039" s="16"/>
      <c r="AG2039" s="80"/>
      <c r="AH2039" s="80"/>
      <c r="AI2039" s="80"/>
    </row>
    <row r="2040" spans="5:35" x14ac:dyDescent="0.25">
      <c r="E2040" s="16"/>
      <c r="F2040" s="16"/>
      <c r="H2040" s="16"/>
      <c r="AG2040" s="80"/>
      <c r="AH2040" s="80"/>
      <c r="AI2040" s="80"/>
    </row>
    <row r="2041" spans="5:35" x14ac:dyDescent="0.25">
      <c r="E2041" s="16"/>
      <c r="F2041" s="16"/>
      <c r="H2041" s="16"/>
      <c r="AG2041" s="80"/>
      <c r="AH2041" s="80"/>
      <c r="AI2041" s="80"/>
    </row>
    <row r="2042" spans="5:35" x14ac:dyDescent="0.25">
      <c r="E2042" s="16"/>
      <c r="F2042" s="16"/>
      <c r="H2042" s="16"/>
      <c r="AG2042" s="80"/>
      <c r="AH2042" s="80"/>
      <c r="AI2042" s="80"/>
    </row>
    <row r="2043" spans="5:35" x14ac:dyDescent="0.25">
      <c r="E2043" s="16"/>
      <c r="F2043" s="16"/>
      <c r="H2043" s="16"/>
      <c r="AG2043" s="80"/>
      <c r="AH2043" s="80"/>
      <c r="AI2043" s="80"/>
    </row>
    <row r="2044" spans="5:35" x14ac:dyDescent="0.25">
      <c r="E2044" s="16"/>
      <c r="F2044" s="16"/>
      <c r="H2044" s="16"/>
      <c r="AG2044" s="80"/>
      <c r="AH2044" s="80"/>
      <c r="AI2044" s="80"/>
    </row>
    <row r="2045" spans="5:35" x14ac:dyDescent="0.25">
      <c r="E2045" s="16"/>
      <c r="F2045" s="16"/>
      <c r="H2045" s="16"/>
      <c r="AG2045" s="80"/>
      <c r="AH2045" s="80"/>
      <c r="AI2045" s="80"/>
    </row>
    <row r="2046" spans="5:35" x14ac:dyDescent="0.25">
      <c r="E2046" s="16"/>
      <c r="F2046" s="16"/>
      <c r="H2046" s="16"/>
      <c r="AG2046" s="80"/>
      <c r="AH2046" s="80"/>
      <c r="AI2046" s="80"/>
    </row>
    <row r="2047" spans="5:35" x14ac:dyDescent="0.25">
      <c r="E2047" s="16"/>
      <c r="F2047" s="16"/>
      <c r="H2047" s="16"/>
      <c r="AG2047" s="80"/>
      <c r="AH2047" s="80"/>
      <c r="AI2047" s="80"/>
    </row>
    <row r="2048" spans="5:35" x14ac:dyDescent="0.25">
      <c r="E2048" s="16"/>
      <c r="F2048" s="16"/>
      <c r="H2048" s="16"/>
      <c r="AG2048" s="80"/>
      <c r="AH2048" s="80"/>
      <c r="AI2048" s="80"/>
    </row>
    <row r="2049" spans="5:35" x14ac:dyDescent="0.25">
      <c r="E2049" s="16"/>
      <c r="F2049" s="16"/>
      <c r="H2049" s="16"/>
      <c r="AG2049" s="80"/>
      <c r="AH2049" s="80"/>
      <c r="AI2049" s="80"/>
    </row>
    <row r="2050" spans="5:35" x14ac:dyDescent="0.25">
      <c r="E2050" s="16"/>
      <c r="F2050" s="16"/>
      <c r="H2050" s="16"/>
      <c r="AG2050" s="80"/>
      <c r="AH2050" s="80"/>
      <c r="AI2050" s="80"/>
    </row>
    <row r="2051" spans="5:35" x14ac:dyDescent="0.25">
      <c r="E2051" s="16"/>
      <c r="F2051" s="16"/>
      <c r="H2051" s="16"/>
      <c r="AG2051" s="80"/>
      <c r="AH2051" s="80"/>
      <c r="AI2051" s="80"/>
    </row>
    <row r="2052" spans="5:35" x14ac:dyDescent="0.25">
      <c r="E2052" s="16"/>
      <c r="F2052" s="16"/>
      <c r="H2052" s="16"/>
      <c r="AG2052" s="80"/>
      <c r="AH2052" s="80"/>
      <c r="AI2052" s="80"/>
    </row>
    <row r="2053" spans="5:35" x14ac:dyDescent="0.25">
      <c r="E2053" s="16"/>
      <c r="F2053" s="16"/>
      <c r="H2053" s="16"/>
      <c r="AG2053" s="80"/>
      <c r="AH2053" s="80"/>
      <c r="AI2053" s="80"/>
    </row>
    <row r="2054" spans="5:35" x14ac:dyDescent="0.25">
      <c r="E2054" s="16"/>
      <c r="F2054" s="16"/>
      <c r="H2054" s="16"/>
      <c r="AG2054" s="80"/>
      <c r="AH2054" s="80"/>
      <c r="AI2054" s="80"/>
    </row>
    <row r="2055" spans="5:35" x14ac:dyDescent="0.25">
      <c r="E2055" s="16"/>
      <c r="F2055" s="16"/>
      <c r="H2055" s="16"/>
      <c r="AG2055" s="80"/>
      <c r="AH2055" s="80"/>
      <c r="AI2055" s="80"/>
    </row>
    <row r="2056" spans="5:35" x14ac:dyDescent="0.25">
      <c r="E2056" s="16"/>
      <c r="F2056" s="16"/>
      <c r="H2056" s="16"/>
      <c r="AG2056" s="80"/>
      <c r="AH2056" s="80"/>
      <c r="AI2056" s="80"/>
    </row>
    <row r="2057" spans="5:35" x14ac:dyDescent="0.25">
      <c r="E2057" s="16"/>
      <c r="F2057" s="16"/>
      <c r="H2057" s="16"/>
      <c r="AG2057" s="80"/>
      <c r="AH2057" s="80"/>
      <c r="AI2057" s="80"/>
    </row>
    <row r="2058" spans="5:35" x14ac:dyDescent="0.25">
      <c r="E2058" s="16"/>
      <c r="F2058" s="16"/>
      <c r="H2058" s="16"/>
      <c r="AG2058" s="80"/>
      <c r="AH2058" s="80"/>
      <c r="AI2058" s="80"/>
    </row>
    <row r="2059" spans="5:35" x14ac:dyDescent="0.25">
      <c r="E2059" s="16"/>
      <c r="F2059" s="16"/>
      <c r="H2059" s="16"/>
      <c r="AG2059" s="80"/>
      <c r="AH2059" s="80"/>
      <c r="AI2059" s="80"/>
    </row>
    <row r="2060" spans="5:35" x14ac:dyDescent="0.25">
      <c r="E2060" s="16"/>
      <c r="F2060" s="16"/>
      <c r="H2060" s="16"/>
      <c r="AG2060" s="80"/>
      <c r="AH2060" s="80"/>
      <c r="AI2060" s="80"/>
    </row>
    <row r="2061" spans="5:35" x14ac:dyDescent="0.25">
      <c r="E2061" s="16"/>
      <c r="F2061" s="16"/>
      <c r="H2061" s="16"/>
      <c r="AG2061" s="80"/>
      <c r="AH2061" s="80"/>
      <c r="AI2061" s="80"/>
    </row>
    <row r="2062" spans="5:35" x14ac:dyDescent="0.25">
      <c r="E2062" s="16"/>
      <c r="F2062" s="16"/>
      <c r="H2062" s="16"/>
      <c r="AG2062" s="80"/>
      <c r="AH2062" s="80"/>
      <c r="AI2062" s="80"/>
    </row>
    <row r="2063" spans="5:35" x14ac:dyDescent="0.25">
      <c r="E2063" s="16"/>
      <c r="F2063" s="16"/>
      <c r="H2063" s="16"/>
      <c r="AG2063" s="80"/>
      <c r="AH2063" s="80"/>
      <c r="AI2063" s="80"/>
    </row>
    <row r="2064" spans="5:35" x14ac:dyDescent="0.25">
      <c r="E2064" s="16"/>
      <c r="F2064" s="16"/>
      <c r="H2064" s="16"/>
      <c r="AG2064" s="80"/>
      <c r="AH2064" s="80"/>
      <c r="AI2064" s="80"/>
    </row>
    <row r="2065" spans="5:35" x14ac:dyDescent="0.25">
      <c r="E2065" s="16"/>
      <c r="F2065" s="16"/>
      <c r="H2065" s="16"/>
      <c r="AG2065" s="80"/>
      <c r="AH2065" s="80"/>
      <c r="AI2065" s="80"/>
    </row>
    <row r="2066" spans="5:35" x14ac:dyDescent="0.25">
      <c r="E2066" s="16"/>
      <c r="F2066" s="16"/>
      <c r="H2066" s="16"/>
      <c r="AG2066" s="80"/>
      <c r="AH2066" s="80"/>
      <c r="AI2066" s="80"/>
    </row>
    <row r="2067" spans="5:35" x14ac:dyDescent="0.25">
      <c r="E2067" s="16"/>
      <c r="F2067" s="16"/>
      <c r="H2067" s="16"/>
      <c r="AG2067" s="80"/>
      <c r="AH2067" s="80"/>
      <c r="AI2067" s="80"/>
    </row>
    <row r="2068" spans="5:35" x14ac:dyDescent="0.25">
      <c r="E2068" s="16"/>
      <c r="F2068" s="16"/>
      <c r="H2068" s="16"/>
      <c r="AG2068" s="80"/>
      <c r="AH2068" s="80"/>
      <c r="AI2068" s="80"/>
    </row>
    <row r="2069" spans="5:35" x14ac:dyDescent="0.25">
      <c r="E2069" s="16"/>
      <c r="F2069" s="16"/>
      <c r="H2069" s="16"/>
      <c r="AG2069" s="80"/>
      <c r="AH2069" s="80"/>
      <c r="AI2069" s="80"/>
    </row>
    <row r="2070" spans="5:35" x14ac:dyDescent="0.25">
      <c r="E2070" s="16"/>
      <c r="F2070" s="16"/>
      <c r="H2070" s="16"/>
      <c r="AG2070" s="80"/>
      <c r="AH2070" s="80"/>
      <c r="AI2070" s="80"/>
    </row>
    <row r="2071" spans="5:35" x14ac:dyDescent="0.25">
      <c r="E2071" s="16"/>
      <c r="F2071" s="16"/>
      <c r="H2071" s="16"/>
      <c r="AG2071" s="80"/>
      <c r="AH2071" s="80"/>
      <c r="AI2071" s="80"/>
    </row>
    <row r="2072" spans="5:35" x14ac:dyDescent="0.25">
      <c r="E2072" s="16"/>
      <c r="F2072" s="16"/>
      <c r="H2072" s="16"/>
      <c r="AG2072" s="80"/>
      <c r="AH2072" s="80"/>
      <c r="AI2072" s="80"/>
    </row>
    <row r="2073" spans="5:35" x14ac:dyDescent="0.25">
      <c r="E2073" s="16"/>
      <c r="F2073" s="16"/>
      <c r="H2073" s="16"/>
      <c r="AG2073" s="80"/>
      <c r="AH2073" s="80"/>
      <c r="AI2073" s="80"/>
    </row>
    <row r="2074" spans="5:35" x14ac:dyDescent="0.25">
      <c r="E2074" s="16"/>
      <c r="F2074" s="16"/>
      <c r="H2074" s="16"/>
      <c r="AG2074" s="80"/>
      <c r="AH2074" s="80"/>
      <c r="AI2074" s="80"/>
    </row>
    <row r="2075" spans="5:35" x14ac:dyDescent="0.25">
      <c r="E2075" s="16"/>
      <c r="F2075" s="16"/>
      <c r="H2075" s="16"/>
      <c r="AG2075" s="80"/>
      <c r="AH2075" s="80"/>
      <c r="AI2075" s="80"/>
    </row>
    <row r="2076" spans="5:35" x14ac:dyDescent="0.25">
      <c r="E2076" s="16"/>
      <c r="F2076" s="16"/>
      <c r="H2076" s="16"/>
      <c r="AG2076" s="80"/>
      <c r="AH2076" s="80"/>
      <c r="AI2076" s="80"/>
    </row>
    <row r="2077" spans="5:35" x14ac:dyDescent="0.25">
      <c r="E2077" s="16"/>
      <c r="F2077" s="16"/>
      <c r="H2077" s="16"/>
      <c r="AG2077" s="80"/>
      <c r="AH2077" s="80"/>
      <c r="AI2077" s="80"/>
    </row>
    <row r="2078" spans="5:35" x14ac:dyDescent="0.25">
      <c r="E2078" s="16"/>
      <c r="F2078" s="16"/>
      <c r="H2078" s="16"/>
      <c r="AG2078" s="80"/>
      <c r="AH2078" s="80"/>
      <c r="AI2078" s="80"/>
    </row>
    <row r="2079" spans="5:35" x14ac:dyDescent="0.25">
      <c r="E2079" s="16"/>
      <c r="F2079" s="16"/>
      <c r="H2079" s="16"/>
      <c r="AG2079" s="80"/>
      <c r="AH2079" s="80"/>
      <c r="AI2079" s="80"/>
    </row>
    <row r="2080" spans="5:35" x14ac:dyDescent="0.25">
      <c r="E2080" s="16"/>
      <c r="F2080" s="16"/>
      <c r="H2080" s="16"/>
      <c r="AG2080" s="80"/>
      <c r="AH2080" s="80"/>
      <c r="AI2080" s="80"/>
    </row>
    <row r="2081" spans="5:35" x14ac:dyDescent="0.25">
      <c r="E2081" s="16"/>
      <c r="F2081" s="16"/>
      <c r="H2081" s="16"/>
      <c r="AG2081" s="80"/>
      <c r="AH2081" s="80"/>
      <c r="AI2081" s="80"/>
    </row>
    <row r="2082" spans="5:35" x14ac:dyDescent="0.25">
      <c r="E2082" s="16"/>
      <c r="F2082" s="16"/>
      <c r="H2082" s="16"/>
      <c r="AG2082" s="80"/>
      <c r="AH2082" s="80"/>
      <c r="AI2082" s="80"/>
    </row>
    <row r="2083" spans="5:35" x14ac:dyDescent="0.25">
      <c r="E2083" s="16"/>
      <c r="F2083" s="16"/>
      <c r="H2083" s="16"/>
      <c r="AG2083" s="80"/>
      <c r="AH2083" s="80"/>
      <c r="AI2083" s="80"/>
    </row>
    <row r="2084" spans="5:35" x14ac:dyDescent="0.25">
      <c r="E2084" s="16"/>
      <c r="F2084" s="16"/>
      <c r="H2084" s="16"/>
      <c r="AG2084" s="80"/>
      <c r="AH2084" s="80"/>
      <c r="AI2084" s="80"/>
    </row>
    <row r="2085" spans="5:35" x14ac:dyDescent="0.25">
      <c r="E2085" s="16"/>
      <c r="F2085" s="16"/>
      <c r="H2085" s="16"/>
      <c r="AG2085" s="80"/>
      <c r="AH2085" s="80"/>
      <c r="AI2085" s="80"/>
    </row>
    <row r="2086" spans="5:35" x14ac:dyDescent="0.25">
      <c r="E2086" s="16"/>
      <c r="F2086" s="16"/>
      <c r="H2086" s="16"/>
      <c r="AG2086" s="80"/>
      <c r="AH2086" s="80"/>
      <c r="AI2086" s="80"/>
    </row>
    <row r="2087" spans="5:35" x14ac:dyDescent="0.25">
      <c r="E2087" s="16"/>
      <c r="F2087" s="16"/>
      <c r="H2087" s="16"/>
      <c r="AG2087" s="80"/>
      <c r="AH2087" s="80"/>
      <c r="AI2087" s="80"/>
    </row>
    <row r="2088" spans="5:35" x14ac:dyDescent="0.25">
      <c r="E2088" s="16"/>
      <c r="F2088" s="16"/>
      <c r="H2088" s="16"/>
      <c r="AG2088" s="80"/>
      <c r="AH2088" s="80"/>
      <c r="AI2088" s="80"/>
    </row>
    <row r="2089" spans="5:35" x14ac:dyDescent="0.25">
      <c r="E2089" s="16"/>
      <c r="F2089" s="16"/>
      <c r="H2089" s="16"/>
      <c r="AG2089" s="80"/>
      <c r="AH2089" s="80"/>
      <c r="AI2089" s="80"/>
    </row>
    <row r="2090" spans="5:35" x14ac:dyDescent="0.25">
      <c r="E2090" s="16"/>
      <c r="F2090" s="16"/>
      <c r="H2090" s="16"/>
      <c r="AG2090" s="80"/>
      <c r="AH2090" s="80"/>
      <c r="AI2090" s="80"/>
    </row>
    <row r="2091" spans="5:35" x14ac:dyDescent="0.25">
      <c r="E2091" s="16"/>
      <c r="F2091" s="16"/>
      <c r="H2091" s="16"/>
      <c r="AG2091" s="80"/>
      <c r="AH2091" s="80"/>
      <c r="AI2091" s="80"/>
    </row>
    <row r="2092" spans="5:35" x14ac:dyDescent="0.25">
      <c r="E2092" s="16"/>
      <c r="F2092" s="16"/>
      <c r="H2092" s="16"/>
      <c r="AG2092" s="80"/>
      <c r="AH2092" s="80"/>
      <c r="AI2092" s="80"/>
    </row>
    <row r="2093" spans="5:35" x14ac:dyDescent="0.25">
      <c r="E2093" s="16"/>
      <c r="F2093" s="16"/>
      <c r="H2093" s="16"/>
      <c r="AG2093" s="80"/>
      <c r="AH2093" s="80"/>
      <c r="AI2093" s="80"/>
    </row>
    <row r="2094" spans="5:35" x14ac:dyDescent="0.25">
      <c r="E2094" s="16"/>
      <c r="F2094" s="16"/>
      <c r="H2094" s="16"/>
      <c r="AG2094" s="80"/>
      <c r="AH2094" s="80"/>
      <c r="AI2094" s="80"/>
    </row>
    <row r="2095" spans="5:35" x14ac:dyDescent="0.25">
      <c r="E2095" s="16"/>
      <c r="F2095" s="16"/>
      <c r="H2095" s="16"/>
      <c r="AG2095" s="80"/>
      <c r="AH2095" s="80"/>
      <c r="AI2095" s="80"/>
    </row>
    <row r="2096" spans="5:35" x14ac:dyDescent="0.25">
      <c r="E2096" s="16"/>
      <c r="F2096" s="16"/>
      <c r="H2096" s="16"/>
      <c r="AG2096" s="80"/>
      <c r="AH2096" s="80"/>
      <c r="AI2096" s="80"/>
    </row>
    <row r="2097" spans="5:35" x14ac:dyDescent="0.25">
      <c r="E2097" s="16"/>
      <c r="F2097" s="16"/>
      <c r="H2097" s="16"/>
      <c r="AG2097" s="80"/>
      <c r="AH2097" s="80"/>
      <c r="AI2097" s="80"/>
    </row>
    <row r="2098" spans="5:35" x14ac:dyDescent="0.25">
      <c r="E2098" s="16"/>
      <c r="F2098" s="16"/>
      <c r="H2098" s="16"/>
      <c r="AG2098" s="80"/>
      <c r="AH2098" s="80"/>
      <c r="AI2098" s="80"/>
    </row>
    <row r="2099" spans="5:35" x14ac:dyDescent="0.25">
      <c r="E2099" s="16"/>
      <c r="F2099" s="16"/>
      <c r="H2099" s="16"/>
      <c r="AG2099" s="80"/>
      <c r="AH2099" s="80"/>
      <c r="AI2099" s="80"/>
    </row>
    <row r="2100" spans="5:35" x14ac:dyDescent="0.25">
      <c r="E2100" s="16"/>
      <c r="F2100" s="16"/>
      <c r="H2100" s="16"/>
      <c r="AG2100" s="80"/>
      <c r="AH2100" s="80"/>
      <c r="AI2100" s="80"/>
    </row>
    <row r="2101" spans="5:35" x14ac:dyDescent="0.25">
      <c r="E2101" s="16"/>
      <c r="F2101" s="16"/>
      <c r="H2101" s="16"/>
      <c r="AG2101" s="80"/>
      <c r="AH2101" s="80"/>
      <c r="AI2101" s="80"/>
    </row>
    <row r="2102" spans="5:35" x14ac:dyDescent="0.25">
      <c r="E2102" s="16"/>
      <c r="F2102" s="16"/>
      <c r="H2102" s="16"/>
      <c r="AG2102" s="80"/>
      <c r="AH2102" s="80"/>
      <c r="AI2102" s="80"/>
    </row>
    <row r="2103" spans="5:35" x14ac:dyDescent="0.25">
      <c r="E2103" s="16"/>
      <c r="F2103" s="16"/>
      <c r="H2103" s="16"/>
      <c r="AG2103" s="80"/>
      <c r="AH2103" s="80"/>
      <c r="AI2103" s="80"/>
    </row>
    <row r="2104" spans="5:35" x14ac:dyDescent="0.25">
      <c r="E2104" s="16"/>
      <c r="F2104" s="16"/>
      <c r="H2104" s="16"/>
      <c r="AG2104" s="80"/>
      <c r="AH2104" s="80"/>
      <c r="AI2104" s="80"/>
    </row>
    <row r="2105" spans="5:35" x14ac:dyDescent="0.25">
      <c r="E2105" s="16"/>
      <c r="F2105" s="16"/>
      <c r="H2105" s="16"/>
      <c r="AG2105" s="80"/>
      <c r="AH2105" s="80"/>
      <c r="AI2105" s="80"/>
    </row>
    <row r="2106" spans="5:35" x14ac:dyDescent="0.25">
      <c r="E2106" s="16"/>
      <c r="F2106" s="16"/>
      <c r="H2106" s="16"/>
      <c r="AG2106" s="80"/>
      <c r="AH2106" s="80"/>
      <c r="AI2106" s="80"/>
    </row>
    <row r="2107" spans="5:35" x14ac:dyDescent="0.25">
      <c r="E2107" s="16"/>
      <c r="F2107" s="16"/>
      <c r="H2107" s="16"/>
      <c r="AG2107" s="80"/>
      <c r="AH2107" s="80"/>
      <c r="AI2107" s="80"/>
    </row>
    <row r="2108" spans="5:35" x14ac:dyDescent="0.25">
      <c r="E2108" s="16"/>
      <c r="F2108" s="16"/>
      <c r="H2108" s="16"/>
      <c r="AG2108" s="80"/>
      <c r="AH2108" s="80"/>
      <c r="AI2108" s="80"/>
    </row>
    <row r="2109" spans="5:35" x14ac:dyDescent="0.25">
      <c r="E2109" s="16"/>
      <c r="F2109" s="16"/>
      <c r="H2109" s="16"/>
      <c r="AG2109" s="80"/>
      <c r="AH2109" s="80"/>
      <c r="AI2109" s="80"/>
    </row>
    <row r="2110" spans="5:35" x14ac:dyDescent="0.25">
      <c r="E2110" s="16"/>
      <c r="F2110" s="16"/>
      <c r="H2110" s="16"/>
      <c r="AG2110" s="80"/>
      <c r="AH2110" s="80"/>
      <c r="AI2110" s="80"/>
    </row>
    <row r="2111" spans="5:35" x14ac:dyDescent="0.25">
      <c r="E2111" s="16"/>
      <c r="F2111" s="16"/>
      <c r="H2111" s="16"/>
      <c r="AG2111" s="80"/>
      <c r="AH2111" s="80"/>
      <c r="AI2111" s="80"/>
    </row>
    <row r="2112" spans="5:35" x14ac:dyDescent="0.25">
      <c r="E2112" s="16"/>
      <c r="F2112" s="16"/>
      <c r="H2112" s="16"/>
      <c r="AG2112" s="80"/>
      <c r="AH2112" s="80"/>
      <c r="AI2112" s="80"/>
    </row>
    <row r="2113" spans="5:35" x14ac:dyDescent="0.25">
      <c r="E2113" s="16"/>
      <c r="F2113" s="16"/>
      <c r="H2113" s="16"/>
      <c r="AG2113" s="80"/>
      <c r="AH2113" s="80"/>
      <c r="AI2113" s="80"/>
    </row>
    <row r="2114" spans="5:35" x14ac:dyDescent="0.25">
      <c r="E2114" s="16"/>
      <c r="F2114" s="16"/>
      <c r="H2114" s="16"/>
      <c r="AG2114" s="80"/>
      <c r="AH2114" s="80"/>
      <c r="AI2114" s="80"/>
    </row>
    <row r="2115" spans="5:35" x14ac:dyDescent="0.25">
      <c r="E2115" s="16"/>
      <c r="F2115" s="16"/>
      <c r="H2115" s="16"/>
      <c r="AG2115" s="80"/>
      <c r="AH2115" s="80"/>
      <c r="AI2115" s="80"/>
    </row>
    <row r="2116" spans="5:35" x14ac:dyDescent="0.25">
      <c r="E2116" s="16"/>
      <c r="F2116" s="16"/>
      <c r="H2116" s="16"/>
      <c r="AG2116" s="80"/>
      <c r="AH2116" s="80"/>
      <c r="AI2116" s="80"/>
    </row>
    <row r="2117" spans="5:35" x14ac:dyDescent="0.25">
      <c r="E2117" s="16"/>
      <c r="F2117" s="16"/>
      <c r="H2117" s="16"/>
      <c r="AG2117" s="80"/>
      <c r="AH2117" s="80"/>
      <c r="AI2117" s="80"/>
    </row>
    <row r="2118" spans="5:35" x14ac:dyDescent="0.25">
      <c r="E2118" s="16"/>
      <c r="F2118" s="16"/>
      <c r="H2118" s="16"/>
      <c r="AG2118" s="80"/>
      <c r="AH2118" s="80"/>
      <c r="AI2118" s="80"/>
    </row>
    <row r="2119" spans="5:35" x14ac:dyDescent="0.25">
      <c r="E2119" s="16"/>
      <c r="F2119" s="16"/>
      <c r="H2119" s="16"/>
      <c r="AG2119" s="80"/>
      <c r="AH2119" s="80"/>
      <c r="AI2119" s="80"/>
    </row>
    <row r="2120" spans="5:35" x14ac:dyDescent="0.25">
      <c r="E2120" s="16"/>
      <c r="F2120" s="16"/>
      <c r="H2120" s="16"/>
      <c r="AG2120" s="80"/>
      <c r="AH2120" s="80"/>
      <c r="AI2120" s="80"/>
    </row>
    <row r="2121" spans="5:35" x14ac:dyDescent="0.25">
      <c r="E2121" s="16"/>
      <c r="F2121" s="16"/>
      <c r="H2121" s="16"/>
      <c r="AG2121" s="80"/>
      <c r="AH2121" s="80"/>
      <c r="AI2121" s="80"/>
    </row>
    <row r="2122" spans="5:35" x14ac:dyDescent="0.25">
      <c r="E2122" s="16"/>
      <c r="F2122" s="16"/>
      <c r="H2122" s="16"/>
      <c r="AG2122" s="80"/>
      <c r="AH2122" s="80"/>
      <c r="AI2122" s="80"/>
    </row>
    <row r="2123" spans="5:35" x14ac:dyDescent="0.25">
      <c r="E2123" s="16"/>
      <c r="F2123" s="16"/>
      <c r="H2123" s="16"/>
      <c r="AG2123" s="80"/>
      <c r="AH2123" s="80"/>
      <c r="AI2123" s="80"/>
    </row>
    <row r="2124" spans="5:35" x14ac:dyDescent="0.25">
      <c r="E2124" s="16"/>
      <c r="F2124" s="16"/>
      <c r="H2124" s="16"/>
      <c r="AG2124" s="80"/>
      <c r="AH2124" s="80"/>
      <c r="AI2124" s="80"/>
    </row>
    <row r="2125" spans="5:35" x14ac:dyDescent="0.25">
      <c r="E2125" s="16"/>
      <c r="F2125" s="16"/>
      <c r="H2125" s="16"/>
      <c r="AG2125" s="80"/>
      <c r="AH2125" s="80"/>
      <c r="AI2125" s="80"/>
    </row>
    <row r="2126" spans="5:35" x14ac:dyDescent="0.25">
      <c r="E2126" s="16"/>
      <c r="F2126" s="16"/>
      <c r="H2126" s="16"/>
      <c r="AG2126" s="80"/>
      <c r="AH2126" s="80"/>
      <c r="AI2126" s="80"/>
    </row>
    <row r="2127" spans="5:35" x14ac:dyDescent="0.25">
      <c r="E2127" s="16"/>
      <c r="F2127" s="16"/>
      <c r="H2127" s="16"/>
      <c r="AG2127" s="80"/>
      <c r="AH2127" s="80"/>
      <c r="AI2127" s="80"/>
    </row>
    <row r="2128" spans="5:35" x14ac:dyDescent="0.25">
      <c r="E2128" s="16"/>
      <c r="F2128" s="16"/>
      <c r="H2128" s="16"/>
      <c r="AG2128" s="80"/>
      <c r="AH2128" s="80"/>
      <c r="AI2128" s="80"/>
    </row>
    <row r="2129" spans="5:35" x14ac:dyDescent="0.25">
      <c r="E2129" s="16"/>
      <c r="F2129" s="16"/>
      <c r="H2129" s="16"/>
      <c r="AG2129" s="80"/>
      <c r="AH2129" s="80"/>
      <c r="AI2129" s="80"/>
    </row>
    <row r="2130" spans="5:35" x14ac:dyDescent="0.25">
      <c r="E2130" s="16"/>
      <c r="F2130" s="16"/>
      <c r="H2130" s="16"/>
      <c r="AG2130" s="80"/>
      <c r="AH2130" s="80"/>
      <c r="AI2130" s="80"/>
    </row>
    <row r="2131" spans="5:35" x14ac:dyDescent="0.25">
      <c r="E2131" s="16"/>
      <c r="F2131" s="16"/>
      <c r="H2131" s="16"/>
      <c r="AG2131" s="80"/>
      <c r="AH2131" s="80"/>
      <c r="AI2131" s="80"/>
    </row>
    <row r="2132" spans="5:35" x14ac:dyDescent="0.25">
      <c r="E2132" s="16"/>
      <c r="F2132" s="16"/>
      <c r="H2132" s="16"/>
      <c r="AG2132" s="80"/>
      <c r="AH2132" s="80"/>
      <c r="AI2132" s="80"/>
    </row>
    <row r="2133" spans="5:35" x14ac:dyDescent="0.25">
      <c r="E2133" s="16"/>
      <c r="F2133" s="16"/>
      <c r="H2133" s="16"/>
      <c r="AG2133" s="80"/>
      <c r="AH2133" s="80"/>
      <c r="AI2133" s="80"/>
    </row>
    <row r="2134" spans="5:35" x14ac:dyDescent="0.25">
      <c r="E2134" s="16"/>
      <c r="F2134" s="16"/>
      <c r="H2134" s="16"/>
      <c r="AG2134" s="80"/>
      <c r="AH2134" s="80"/>
      <c r="AI2134" s="80"/>
    </row>
    <row r="2135" spans="5:35" x14ac:dyDescent="0.25">
      <c r="E2135" s="16"/>
      <c r="F2135" s="16"/>
      <c r="H2135" s="16"/>
      <c r="AG2135" s="80"/>
      <c r="AH2135" s="80"/>
      <c r="AI2135" s="80"/>
    </row>
    <row r="2136" spans="5:35" x14ac:dyDescent="0.25">
      <c r="E2136" s="16"/>
      <c r="F2136" s="16"/>
      <c r="H2136" s="16"/>
      <c r="AG2136" s="80"/>
      <c r="AH2136" s="80"/>
      <c r="AI2136" s="80"/>
    </row>
    <row r="2137" spans="5:35" x14ac:dyDescent="0.25">
      <c r="E2137" s="16"/>
      <c r="F2137" s="16"/>
      <c r="H2137" s="16"/>
      <c r="AG2137" s="80"/>
      <c r="AH2137" s="80"/>
      <c r="AI2137" s="80"/>
    </row>
    <row r="2138" spans="5:35" x14ac:dyDescent="0.25">
      <c r="E2138" s="16"/>
      <c r="F2138" s="16"/>
      <c r="H2138" s="16"/>
      <c r="AG2138" s="80"/>
      <c r="AH2138" s="80"/>
      <c r="AI2138" s="80"/>
    </row>
    <row r="2139" spans="5:35" x14ac:dyDescent="0.25">
      <c r="E2139" s="16"/>
      <c r="F2139" s="16"/>
      <c r="H2139" s="16"/>
      <c r="AG2139" s="80"/>
      <c r="AH2139" s="80"/>
      <c r="AI2139" s="80"/>
    </row>
    <row r="2140" spans="5:35" x14ac:dyDescent="0.25">
      <c r="E2140" s="16"/>
      <c r="F2140" s="16"/>
      <c r="H2140" s="16"/>
      <c r="AG2140" s="80"/>
      <c r="AH2140" s="80"/>
      <c r="AI2140" s="80"/>
    </row>
    <row r="2141" spans="5:35" x14ac:dyDescent="0.25">
      <c r="E2141" s="16"/>
      <c r="F2141" s="16"/>
      <c r="H2141" s="16"/>
      <c r="AG2141" s="80"/>
      <c r="AH2141" s="80"/>
      <c r="AI2141" s="80"/>
    </row>
    <row r="2142" spans="5:35" x14ac:dyDescent="0.25">
      <c r="E2142" s="16"/>
      <c r="F2142" s="16"/>
      <c r="H2142" s="16"/>
      <c r="AG2142" s="80"/>
      <c r="AH2142" s="80"/>
      <c r="AI2142" s="80"/>
    </row>
    <row r="2143" spans="5:35" x14ac:dyDescent="0.25">
      <c r="E2143" s="16"/>
      <c r="F2143" s="16"/>
      <c r="H2143" s="16"/>
      <c r="AG2143" s="80"/>
      <c r="AH2143" s="80"/>
      <c r="AI2143" s="80"/>
    </row>
    <row r="2144" spans="5:35" x14ac:dyDescent="0.25">
      <c r="E2144" s="16"/>
      <c r="F2144" s="16"/>
      <c r="H2144" s="16"/>
      <c r="AG2144" s="80"/>
      <c r="AH2144" s="80"/>
      <c r="AI2144" s="80"/>
    </row>
    <row r="2145" spans="5:35" x14ac:dyDescent="0.25">
      <c r="E2145" s="16"/>
      <c r="F2145" s="16"/>
      <c r="H2145" s="16"/>
      <c r="AG2145" s="80"/>
      <c r="AH2145" s="80"/>
      <c r="AI2145" s="80"/>
    </row>
    <row r="2146" spans="5:35" x14ac:dyDescent="0.25">
      <c r="E2146" s="16"/>
      <c r="F2146" s="16"/>
      <c r="H2146" s="16"/>
      <c r="AG2146" s="80"/>
      <c r="AH2146" s="80"/>
      <c r="AI2146" s="80"/>
    </row>
    <row r="2147" spans="5:35" x14ac:dyDescent="0.25">
      <c r="E2147" s="16"/>
      <c r="F2147" s="16"/>
      <c r="H2147" s="16"/>
      <c r="AG2147" s="80"/>
      <c r="AH2147" s="80"/>
      <c r="AI2147" s="80"/>
    </row>
    <row r="2148" spans="5:35" x14ac:dyDescent="0.25">
      <c r="E2148" s="16"/>
      <c r="F2148" s="16"/>
      <c r="H2148" s="16"/>
      <c r="AG2148" s="80"/>
      <c r="AH2148" s="80"/>
      <c r="AI2148" s="80"/>
    </row>
    <row r="2149" spans="5:35" x14ac:dyDescent="0.25">
      <c r="E2149" s="16"/>
      <c r="F2149" s="16"/>
      <c r="H2149" s="16"/>
      <c r="AG2149" s="80"/>
      <c r="AH2149" s="80"/>
      <c r="AI2149" s="80"/>
    </row>
    <row r="2150" spans="5:35" x14ac:dyDescent="0.25">
      <c r="E2150" s="16"/>
      <c r="F2150" s="16"/>
      <c r="H2150" s="16"/>
      <c r="AG2150" s="80"/>
      <c r="AH2150" s="80"/>
      <c r="AI2150" s="80"/>
    </row>
    <row r="2151" spans="5:35" x14ac:dyDescent="0.25">
      <c r="E2151" s="16"/>
      <c r="F2151" s="16"/>
      <c r="H2151" s="16"/>
      <c r="AG2151" s="80"/>
      <c r="AH2151" s="80"/>
      <c r="AI2151" s="80"/>
    </row>
    <row r="2152" spans="5:35" x14ac:dyDescent="0.25">
      <c r="E2152" s="16"/>
      <c r="F2152" s="16"/>
      <c r="H2152" s="16"/>
      <c r="AG2152" s="80"/>
      <c r="AH2152" s="80"/>
      <c r="AI2152" s="80"/>
    </row>
    <row r="2153" spans="5:35" x14ac:dyDescent="0.25">
      <c r="E2153" s="16"/>
      <c r="F2153" s="16"/>
      <c r="H2153" s="16"/>
      <c r="AG2153" s="80"/>
      <c r="AH2153" s="80"/>
      <c r="AI2153" s="80"/>
    </row>
    <row r="2154" spans="5:35" x14ac:dyDescent="0.25">
      <c r="E2154" s="16"/>
      <c r="F2154" s="16"/>
      <c r="H2154" s="16"/>
      <c r="AG2154" s="80"/>
      <c r="AH2154" s="80"/>
      <c r="AI2154" s="80"/>
    </row>
    <row r="2155" spans="5:35" x14ac:dyDescent="0.25">
      <c r="E2155" s="16"/>
      <c r="F2155" s="16"/>
      <c r="H2155" s="16"/>
      <c r="AG2155" s="80"/>
      <c r="AH2155" s="80"/>
      <c r="AI2155" s="80"/>
    </row>
    <row r="2156" spans="5:35" x14ac:dyDescent="0.25">
      <c r="E2156" s="16"/>
      <c r="F2156" s="16"/>
      <c r="H2156" s="16"/>
      <c r="AG2156" s="80"/>
      <c r="AH2156" s="80"/>
      <c r="AI2156" s="80"/>
    </row>
    <row r="2157" spans="5:35" x14ac:dyDescent="0.25">
      <c r="E2157" s="16"/>
      <c r="F2157" s="16"/>
      <c r="H2157" s="16"/>
      <c r="AG2157" s="80"/>
      <c r="AH2157" s="80"/>
      <c r="AI2157" s="80"/>
    </row>
    <row r="2158" spans="5:35" x14ac:dyDescent="0.25">
      <c r="E2158" s="16"/>
      <c r="F2158" s="16"/>
      <c r="H2158" s="16"/>
      <c r="AG2158" s="80"/>
      <c r="AH2158" s="80"/>
      <c r="AI2158" s="80"/>
    </row>
    <row r="2159" spans="5:35" x14ac:dyDescent="0.25">
      <c r="E2159" s="16"/>
      <c r="F2159" s="16"/>
      <c r="H2159" s="16"/>
      <c r="AG2159" s="80"/>
      <c r="AH2159" s="80"/>
      <c r="AI2159" s="80"/>
    </row>
    <row r="2160" spans="5:35" x14ac:dyDescent="0.25">
      <c r="E2160" s="16"/>
      <c r="F2160" s="16"/>
      <c r="H2160" s="16"/>
      <c r="AG2160" s="80"/>
      <c r="AH2160" s="80"/>
      <c r="AI2160" s="80"/>
    </row>
    <row r="2161" spans="5:35" x14ac:dyDescent="0.25">
      <c r="E2161" s="16"/>
      <c r="F2161" s="16"/>
      <c r="H2161" s="16"/>
      <c r="AG2161" s="80"/>
      <c r="AH2161" s="80"/>
      <c r="AI2161" s="80"/>
    </row>
    <row r="2162" spans="5:35" x14ac:dyDescent="0.25">
      <c r="E2162" s="16"/>
      <c r="F2162" s="16"/>
      <c r="H2162" s="16"/>
      <c r="AG2162" s="80"/>
      <c r="AH2162" s="80"/>
      <c r="AI2162" s="80"/>
    </row>
    <row r="2163" spans="5:35" x14ac:dyDescent="0.25">
      <c r="E2163" s="16"/>
      <c r="F2163" s="16"/>
      <c r="H2163" s="16"/>
      <c r="AG2163" s="80"/>
      <c r="AH2163" s="80"/>
      <c r="AI2163" s="80"/>
    </row>
    <row r="2164" spans="5:35" x14ac:dyDescent="0.25">
      <c r="E2164" s="16"/>
      <c r="F2164" s="16"/>
      <c r="H2164" s="16"/>
      <c r="AG2164" s="80"/>
      <c r="AH2164" s="80"/>
      <c r="AI2164" s="80"/>
    </row>
    <row r="2165" spans="5:35" x14ac:dyDescent="0.25">
      <c r="E2165" s="16"/>
      <c r="F2165" s="16"/>
      <c r="H2165" s="16"/>
      <c r="AG2165" s="80"/>
      <c r="AH2165" s="80"/>
      <c r="AI2165" s="80"/>
    </row>
    <row r="2166" spans="5:35" x14ac:dyDescent="0.25">
      <c r="E2166" s="16"/>
      <c r="F2166" s="16"/>
      <c r="H2166" s="16"/>
      <c r="AG2166" s="80"/>
      <c r="AH2166" s="80"/>
      <c r="AI2166" s="80"/>
    </row>
    <row r="2167" spans="5:35" x14ac:dyDescent="0.25">
      <c r="E2167" s="16"/>
      <c r="F2167" s="16"/>
      <c r="H2167" s="16"/>
      <c r="AG2167" s="80"/>
      <c r="AH2167" s="80"/>
      <c r="AI2167" s="80"/>
    </row>
    <row r="2168" spans="5:35" x14ac:dyDescent="0.25">
      <c r="E2168" s="16"/>
      <c r="F2168" s="16"/>
      <c r="H2168" s="16"/>
      <c r="AG2168" s="80"/>
      <c r="AH2168" s="80"/>
      <c r="AI2168" s="80"/>
    </row>
    <row r="2169" spans="5:35" x14ac:dyDescent="0.25">
      <c r="E2169" s="16"/>
      <c r="F2169" s="16"/>
      <c r="H2169" s="16"/>
      <c r="AG2169" s="80"/>
      <c r="AH2169" s="80"/>
      <c r="AI2169" s="80"/>
    </row>
    <row r="2170" spans="5:35" x14ac:dyDescent="0.25">
      <c r="E2170" s="16"/>
      <c r="F2170" s="16"/>
      <c r="H2170" s="16"/>
      <c r="AG2170" s="80"/>
      <c r="AH2170" s="80"/>
      <c r="AI2170" s="80"/>
    </row>
    <row r="2171" spans="5:35" x14ac:dyDescent="0.25">
      <c r="E2171" s="16"/>
      <c r="F2171" s="16"/>
      <c r="H2171" s="16"/>
      <c r="AG2171" s="80"/>
      <c r="AH2171" s="80"/>
      <c r="AI2171" s="80"/>
    </row>
    <row r="2172" spans="5:35" x14ac:dyDescent="0.25">
      <c r="E2172" s="16"/>
      <c r="F2172" s="16"/>
      <c r="H2172" s="16"/>
      <c r="AG2172" s="80"/>
      <c r="AH2172" s="80"/>
      <c r="AI2172" s="80"/>
    </row>
    <row r="2173" spans="5:35" x14ac:dyDescent="0.25">
      <c r="E2173" s="16"/>
      <c r="F2173" s="16"/>
      <c r="H2173" s="16"/>
      <c r="AG2173" s="80"/>
      <c r="AH2173" s="80"/>
      <c r="AI2173" s="80"/>
    </row>
    <row r="2174" spans="5:35" x14ac:dyDescent="0.25">
      <c r="E2174" s="16"/>
      <c r="F2174" s="16"/>
      <c r="H2174" s="16"/>
      <c r="AG2174" s="80"/>
      <c r="AH2174" s="80"/>
      <c r="AI2174" s="80"/>
    </row>
    <row r="2175" spans="5:35" x14ac:dyDescent="0.25">
      <c r="E2175" s="16"/>
      <c r="F2175" s="16"/>
      <c r="H2175" s="16"/>
      <c r="AG2175" s="80"/>
      <c r="AH2175" s="80"/>
      <c r="AI2175" s="80"/>
    </row>
    <row r="2176" spans="5:35" x14ac:dyDescent="0.25">
      <c r="E2176" s="16"/>
      <c r="F2176" s="16"/>
      <c r="H2176" s="16"/>
      <c r="AG2176" s="80"/>
      <c r="AH2176" s="80"/>
      <c r="AI2176" s="80"/>
    </row>
    <row r="2177" spans="5:35" x14ac:dyDescent="0.25">
      <c r="E2177" s="16"/>
      <c r="F2177" s="16"/>
      <c r="H2177" s="16"/>
      <c r="AG2177" s="80"/>
      <c r="AH2177" s="80"/>
      <c r="AI2177" s="80"/>
    </row>
    <row r="2178" spans="5:35" x14ac:dyDescent="0.25">
      <c r="E2178" s="16"/>
      <c r="F2178" s="16"/>
      <c r="H2178" s="16"/>
      <c r="AG2178" s="80"/>
      <c r="AH2178" s="80"/>
      <c r="AI2178" s="80"/>
    </row>
    <row r="2179" spans="5:35" x14ac:dyDescent="0.25">
      <c r="E2179" s="16"/>
      <c r="F2179" s="16"/>
      <c r="H2179" s="16"/>
      <c r="AG2179" s="80"/>
      <c r="AH2179" s="80"/>
      <c r="AI2179" s="80"/>
    </row>
    <row r="2180" spans="5:35" x14ac:dyDescent="0.25">
      <c r="E2180" s="16"/>
      <c r="F2180" s="16"/>
      <c r="H2180" s="16"/>
      <c r="AG2180" s="80"/>
      <c r="AH2180" s="80"/>
      <c r="AI2180" s="80"/>
    </row>
    <row r="2181" spans="5:35" x14ac:dyDescent="0.25">
      <c r="E2181" s="16"/>
      <c r="F2181" s="16"/>
      <c r="H2181" s="16"/>
      <c r="AG2181" s="80"/>
      <c r="AH2181" s="80"/>
      <c r="AI2181" s="80"/>
    </row>
    <row r="2182" spans="5:35" x14ac:dyDescent="0.25">
      <c r="E2182" s="16"/>
      <c r="F2182" s="16"/>
      <c r="H2182" s="16"/>
      <c r="AG2182" s="80"/>
      <c r="AH2182" s="80"/>
      <c r="AI2182" s="80"/>
    </row>
    <row r="2183" spans="5:35" x14ac:dyDescent="0.25">
      <c r="E2183" s="16"/>
      <c r="F2183" s="16"/>
      <c r="H2183" s="16"/>
      <c r="AG2183" s="80"/>
      <c r="AH2183" s="80"/>
      <c r="AI2183" s="80"/>
    </row>
    <row r="2184" spans="5:35" x14ac:dyDescent="0.25">
      <c r="E2184" s="16"/>
      <c r="F2184" s="16"/>
      <c r="H2184" s="16"/>
      <c r="AG2184" s="80"/>
      <c r="AH2184" s="80"/>
      <c r="AI2184" s="80"/>
    </row>
    <row r="2185" spans="5:35" x14ac:dyDescent="0.25">
      <c r="E2185" s="16"/>
      <c r="F2185" s="16"/>
      <c r="H2185" s="16"/>
      <c r="AG2185" s="80"/>
      <c r="AH2185" s="80"/>
      <c r="AI2185" s="80"/>
    </row>
    <row r="2186" spans="5:35" x14ac:dyDescent="0.25">
      <c r="E2186" s="16"/>
      <c r="F2186" s="16"/>
      <c r="H2186" s="16"/>
      <c r="AG2186" s="80"/>
      <c r="AH2186" s="80"/>
      <c r="AI2186" s="80"/>
    </row>
    <row r="2187" spans="5:35" x14ac:dyDescent="0.25">
      <c r="E2187" s="16"/>
      <c r="F2187" s="16"/>
      <c r="H2187" s="16"/>
      <c r="AG2187" s="80"/>
      <c r="AH2187" s="80"/>
      <c r="AI2187" s="80"/>
    </row>
    <row r="2188" spans="5:35" x14ac:dyDescent="0.25">
      <c r="E2188" s="16"/>
      <c r="F2188" s="16"/>
      <c r="H2188" s="16"/>
      <c r="AG2188" s="80"/>
      <c r="AH2188" s="80"/>
      <c r="AI2188" s="80"/>
    </row>
    <row r="2189" spans="5:35" x14ac:dyDescent="0.25">
      <c r="E2189" s="16"/>
      <c r="F2189" s="16"/>
      <c r="H2189" s="16"/>
      <c r="AG2189" s="80"/>
      <c r="AH2189" s="80"/>
      <c r="AI2189" s="80"/>
    </row>
    <row r="2190" spans="5:35" x14ac:dyDescent="0.25">
      <c r="E2190" s="16"/>
      <c r="F2190" s="16"/>
      <c r="H2190" s="16"/>
      <c r="AG2190" s="80"/>
      <c r="AH2190" s="80"/>
      <c r="AI2190" s="80"/>
    </row>
    <row r="2191" spans="5:35" x14ac:dyDescent="0.25">
      <c r="E2191" s="16"/>
      <c r="F2191" s="16"/>
      <c r="H2191" s="16"/>
      <c r="AG2191" s="80"/>
      <c r="AH2191" s="80"/>
      <c r="AI2191" s="80"/>
    </row>
    <row r="2192" spans="5:35" x14ac:dyDescent="0.25">
      <c r="E2192" s="16"/>
      <c r="F2192" s="16"/>
      <c r="H2192" s="16"/>
      <c r="AG2192" s="80"/>
      <c r="AH2192" s="80"/>
      <c r="AI2192" s="80"/>
    </row>
    <row r="2193" spans="5:35" x14ac:dyDescent="0.25">
      <c r="E2193" s="16"/>
      <c r="F2193" s="16"/>
      <c r="H2193" s="16"/>
      <c r="AG2193" s="80"/>
      <c r="AH2193" s="80"/>
      <c r="AI2193" s="80"/>
    </row>
    <row r="2194" spans="5:35" x14ac:dyDescent="0.25">
      <c r="E2194" s="16"/>
      <c r="F2194" s="16"/>
      <c r="H2194" s="16"/>
      <c r="AG2194" s="80"/>
      <c r="AH2194" s="80"/>
      <c r="AI2194" s="80"/>
    </row>
    <row r="2195" spans="5:35" x14ac:dyDescent="0.25">
      <c r="E2195" s="16"/>
      <c r="F2195" s="16"/>
      <c r="H2195" s="16"/>
      <c r="AG2195" s="80"/>
      <c r="AH2195" s="80"/>
      <c r="AI2195" s="80"/>
    </row>
    <row r="2196" spans="5:35" x14ac:dyDescent="0.25">
      <c r="E2196" s="16"/>
      <c r="F2196" s="16"/>
      <c r="H2196" s="16"/>
      <c r="AG2196" s="80"/>
      <c r="AH2196" s="80"/>
      <c r="AI2196" s="80"/>
    </row>
    <row r="2197" spans="5:35" x14ac:dyDescent="0.25">
      <c r="E2197" s="16"/>
      <c r="F2197" s="16"/>
      <c r="H2197" s="16"/>
      <c r="AG2197" s="80"/>
      <c r="AH2197" s="80"/>
      <c r="AI2197" s="80"/>
    </row>
    <row r="2198" spans="5:35" x14ac:dyDescent="0.25">
      <c r="E2198" s="16"/>
      <c r="F2198" s="16"/>
      <c r="H2198" s="16"/>
      <c r="AG2198" s="80"/>
      <c r="AH2198" s="80"/>
      <c r="AI2198" s="80"/>
    </row>
    <row r="2199" spans="5:35" x14ac:dyDescent="0.25">
      <c r="E2199" s="16"/>
      <c r="F2199" s="16"/>
      <c r="H2199" s="16"/>
      <c r="AG2199" s="80"/>
      <c r="AH2199" s="80"/>
      <c r="AI2199" s="80"/>
    </row>
    <row r="2200" spans="5:35" x14ac:dyDescent="0.25">
      <c r="E2200" s="16"/>
      <c r="F2200" s="16"/>
      <c r="H2200" s="16"/>
      <c r="AG2200" s="80"/>
      <c r="AH2200" s="80"/>
      <c r="AI2200" s="80"/>
    </row>
    <row r="2201" spans="5:35" x14ac:dyDescent="0.25">
      <c r="E2201" s="16"/>
      <c r="F2201" s="16"/>
      <c r="H2201" s="16"/>
      <c r="AG2201" s="80"/>
      <c r="AH2201" s="80"/>
      <c r="AI2201" s="80"/>
    </row>
    <row r="2202" spans="5:35" x14ac:dyDescent="0.25">
      <c r="E2202" s="16"/>
      <c r="F2202" s="16"/>
      <c r="H2202" s="16"/>
      <c r="AG2202" s="80"/>
      <c r="AH2202" s="80"/>
      <c r="AI2202" s="80"/>
    </row>
    <row r="2203" spans="5:35" x14ac:dyDescent="0.25">
      <c r="E2203" s="16"/>
      <c r="F2203" s="16"/>
      <c r="H2203" s="16"/>
      <c r="AG2203" s="80"/>
      <c r="AH2203" s="80"/>
      <c r="AI2203" s="80"/>
    </row>
    <row r="2204" spans="5:35" x14ac:dyDescent="0.25">
      <c r="E2204" s="16"/>
      <c r="F2204" s="16"/>
      <c r="H2204" s="16"/>
      <c r="AG2204" s="80"/>
      <c r="AH2204" s="80"/>
      <c r="AI2204" s="80"/>
    </row>
    <row r="2205" spans="5:35" x14ac:dyDescent="0.25">
      <c r="E2205" s="16"/>
      <c r="F2205" s="16"/>
      <c r="H2205" s="16"/>
      <c r="AG2205" s="80"/>
      <c r="AH2205" s="80"/>
      <c r="AI2205" s="80"/>
    </row>
    <row r="2206" spans="5:35" x14ac:dyDescent="0.25">
      <c r="E2206" s="16"/>
      <c r="F2206" s="16"/>
      <c r="H2206" s="16"/>
      <c r="AG2206" s="80"/>
      <c r="AH2206" s="80"/>
      <c r="AI2206" s="80"/>
    </row>
    <row r="2207" spans="5:35" x14ac:dyDescent="0.25">
      <c r="E2207" s="16"/>
      <c r="F2207" s="16"/>
      <c r="H2207" s="16"/>
      <c r="AG2207" s="80"/>
      <c r="AH2207" s="80"/>
      <c r="AI2207" s="80"/>
    </row>
    <row r="2208" spans="5:35" x14ac:dyDescent="0.25">
      <c r="E2208" s="16"/>
      <c r="F2208" s="16"/>
      <c r="H2208" s="16"/>
      <c r="AG2208" s="80"/>
      <c r="AH2208" s="80"/>
      <c r="AI2208" s="80"/>
    </row>
    <row r="2209" spans="5:35" x14ac:dyDescent="0.25">
      <c r="E2209" s="16"/>
      <c r="F2209" s="16"/>
      <c r="H2209" s="16"/>
      <c r="AG2209" s="80"/>
      <c r="AH2209" s="80"/>
      <c r="AI2209" s="80"/>
    </row>
    <row r="2210" spans="5:35" x14ac:dyDescent="0.25">
      <c r="E2210" s="16"/>
      <c r="F2210" s="16"/>
      <c r="H2210" s="16"/>
      <c r="AG2210" s="80"/>
      <c r="AH2210" s="80"/>
      <c r="AI2210" s="80"/>
    </row>
    <row r="2211" spans="5:35" x14ac:dyDescent="0.25">
      <c r="E2211" s="16"/>
      <c r="F2211" s="16"/>
      <c r="H2211" s="16"/>
      <c r="AG2211" s="80"/>
      <c r="AH2211" s="80"/>
      <c r="AI2211" s="80"/>
    </row>
    <row r="2212" spans="5:35" x14ac:dyDescent="0.25">
      <c r="E2212" s="16"/>
      <c r="F2212" s="16"/>
      <c r="H2212" s="16"/>
      <c r="AG2212" s="80"/>
      <c r="AH2212" s="80"/>
      <c r="AI2212" s="80"/>
    </row>
    <row r="2213" spans="5:35" x14ac:dyDescent="0.25">
      <c r="E2213" s="16"/>
      <c r="F2213" s="16"/>
      <c r="H2213" s="16"/>
      <c r="AG2213" s="80"/>
      <c r="AH2213" s="80"/>
      <c r="AI2213" s="80"/>
    </row>
    <row r="2214" spans="5:35" x14ac:dyDescent="0.25">
      <c r="E2214" s="16"/>
      <c r="F2214" s="16"/>
      <c r="H2214" s="16"/>
      <c r="AG2214" s="80"/>
      <c r="AH2214" s="80"/>
      <c r="AI2214" s="80"/>
    </row>
    <row r="2215" spans="5:35" x14ac:dyDescent="0.25">
      <c r="E2215" s="16"/>
      <c r="F2215" s="16"/>
      <c r="H2215" s="16"/>
      <c r="AG2215" s="80"/>
      <c r="AH2215" s="80"/>
      <c r="AI2215" s="80"/>
    </row>
    <row r="2216" spans="5:35" x14ac:dyDescent="0.25">
      <c r="E2216" s="16"/>
      <c r="F2216" s="16"/>
      <c r="H2216" s="16"/>
      <c r="AG2216" s="80"/>
      <c r="AH2216" s="80"/>
      <c r="AI2216" s="80"/>
    </row>
    <row r="2217" spans="5:35" x14ac:dyDescent="0.25">
      <c r="E2217" s="16"/>
      <c r="F2217" s="16"/>
      <c r="H2217" s="16"/>
      <c r="AG2217" s="80"/>
      <c r="AH2217" s="80"/>
      <c r="AI2217" s="80"/>
    </row>
    <row r="2218" spans="5:35" x14ac:dyDescent="0.25">
      <c r="E2218" s="16"/>
      <c r="F2218" s="16"/>
      <c r="H2218" s="16"/>
      <c r="AG2218" s="80"/>
      <c r="AH2218" s="80"/>
      <c r="AI2218" s="80"/>
    </row>
    <row r="2219" spans="5:35" x14ac:dyDescent="0.25">
      <c r="E2219" s="16"/>
      <c r="F2219" s="16"/>
      <c r="H2219" s="16"/>
      <c r="AG2219" s="80"/>
      <c r="AH2219" s="80"/>
      <c r="AI2219" s="80"/>
    </row>
    <row r="2220" spans="5:35" x14ac:dyDescent="0.25">
      <c r="E2220" s="16"/>
      <c r="F2220" s="16"/>
      <c r="H2220" s="16"/>
      <c r="AG2220" s="80"/>
      <c r="AH2220" s="80"/>
      <c r="AI2220" s="80"/>
    </row>
    <row r="2221" spans="5:35" x14ac:dyDescent="0.25">
      <c r="E2221" s="16"/>
      <c r="F2221" s="16"/>
      <c r="H2221" s="16"/>
      <c r="AG2221" s="80"/>
      <c r="AH2221" s="80"/>
      <c r="AI2221" s="80"/>
    </row>
    <row r="2222" spans="5:35" x14ac:dyDescent="0.25">
      <c r="E2222" s="16"/>
      <c r="F2222" s="16"/>
      <c r="H2222" s="16"/>
      <c r="AG2222" s="80"/>
      <c r="AH2222" s="80"/>
      <c r="AI2222" s="80"/>
    </row>
    <row r="2223" spans="5:35" x14ac:dyDescent="0.25">
      <c r="E2223" s="16"/>
      <c r="F2223" s="16"/>
      <c r="H2223" s="16"/>
      <c r="AG2223" s="80"/>
      <c r="AH2223" s="80"/>
      <c r="AI2223" s="80"/>
    </row>
    <row r="2224" spans="5:35" x14ac:dyDescent="0.25">
      <c r="E2224" s="16"/>
      <c r="F2224" s="16"/>
      <c r="H2224" s="16"/>
      <c r="AG2224" s="80"/>
      <c r="AH2224" s="80"/>
      <c r="AI2224" s="80"/>
    </row>
    <row r="2225" spans="5:35" x14ac:dyDescent="0.25">
      <c r="E2225" s="16"/>
      <c r="F2225" s="16"/>
      <c r="H2225" s="16"/>
      <c r="AG2225" s="80"/>
      <c r="AH2225" s="80"/>
      <c r="AI2225" s="80"/>
    </row>
    <row r="2226" spans="5:35" x14ac:dyDescent="0.25">
      <c r="E2226" s="16"/>
      <c r="F2226" s="16"/>
      <c r="H2226" s="16"/>
      <c r="AG2226" s="80"/>
      <c r="AH2226" s="80"/>
      <c r="AI2226" s="80"/>
    </row>
    <row r="2227" spans="5:35" x14ac:dyDescent="0.25">
      <c r="E2227" s="16"/>
      <c r="F2227" s="16"/>
      <c r="H2227" s="16"/>
      <c r="AG2227" s="80"/>
      <c r="AH2227" s="80"/>
      <c r="AI2227" s="80"/>
    </row>
    <row r="2228" spans="5:35" x14ac:dyDescent="0.25">
      <c r="E2228" s="16"/>
      <c r="F2228" s="16"/>
      <c r="H2228" s="16"/>
      <c r="AG2228" s="80"/>
      <c r="AH2228" s="80"/>
      <c r="AI2228" s="80"/>
    </row>
    <row r="2229" spans="5:35" x14ac:dyDescent="0.25">
      <c r="E2229" s="16"/>
      <c r="F2229" s="16"/>
      <c r="H2229" s="16"/>
      <c r="AG2229" s="80"/>
      <c r="AH2229" s="80"/>
      <c r="AI2229" s="80"/>
    </row>
    <row r="2230" spans="5:35" x14ac:dyDescent="0.25">
      <c r="E2230" s="16"/>
      <c r="F2230" s="16"/>
      <c r="H2230" s="16"/>
      <c r="AG2230" s="80"/>
      <c r="AH2230" s="80"/>
      <c r="AI2230" s="80"/>
    </row>
    <row r="2231" spans="5:35" x14ac:dyDescent="0.25">
      <c r="E2231" s="16"/>
      <c r="F2231" s="16"/>
      <c r="H2231" s="16"/>
      <c r="AG2231" s="80"/>
      <c r="AH2231" s="80"/>
      <c r="AI2231" s="80"/>
    </row>
    <row r="2232" spans="5:35" x14ac:dyDescent="0.25">
      <c r="E2232" s="16"/>
      <c r="F2232" s="16"/>
      <c r="H2232" s="16"/>
      <c r="AG2232" s="80"/>
      <c r="AH2232" s="80"/>
      <c r="AI2232" s="80"/>
    </row>
    <row r="2233" spans="5:35" x14ac:dyDescent="0.25">
      <c r="E2233" s="16"/>
      <c r="F2233" s="16"/>
      <c r="H2233" s="16"/>
      <c r="AG2233" s="80"/>
      <c r="AH2233" s="80"/>
      <c r="AI2233" s="80"/>
    </row>
    <row r="2234" spans="5:35" x14ac:dyDescent="0.25">
      <c r="E2234" s="16"/>
      <c r="F2234" s="16"/>
      <c r="H2234" s="16"/>
      <c r="AG2234" s="80"/>
      <c r="AH2234" s="80"/>
      <c r="AI2234" s="80"/>
    </row>
    <row r="2235" spans="5:35" x14ac:dyDescent="0.25">
      <c r="E2235" s="16"/>
      <c r="F2235" s="16"/>
      <c r="H2235" s="16"/>
      <c r="AG2235" s="80"/>
      <c r="AH2235" s="80"/>
      <c r="AI2235" s="80"/>
    </row>
    <row r="2236" spans="5:35" x14ac:dyDescent="0.25">
      <c r="E2236" s="16"/>
      <c r="F2236" s="16"/>
      <c r="H2236" s="16"/>
      <c r="AG2236" s="80"/>
      <c r="AH2236" s="80"/>
      <c r="AI2236" s="80"/>
    </row>
    <row r="2237" spans="5:35" x14ac:dyDescent="0.25">
      <c r="E2237" s="16"/>
      <c r="F2237" s="16"/>
      <c r="H2237" s="16"/>
      <c r="AG2237" s="80"/>
      <c r="AH2237" s="80"/>
      <c r="AI2237" s="80"/>
    </row>
    <row r="2238" spans="5:35" x14ac:dyDescent="0.25">
      <c r="E2238" s="16"/>
      <c r="F2238" s="16"/>
      <c r="H2238" s="16"/>
      <c r="AG2238" s="80"/>
      <c r="AH2238" s="80"/>
      <c r="AI2238" s="80"/>
    </row>
    <row r="2239" spans="5:35" x14ac:dyDescent="0.25">
      <c r="E2239" s="16"/>
      <c r="F2239" s="16"/>
      <c r="H2239" s="16"/>
      <c r="AG2239" s="80"/>
      <c r="AH2239" s="80"/>
      <c r="AI2239" s="80"/>
    </row>
    <row r="2240" spans="5:35" x14ac:dyDescent="0.25">
      <c r="E2240" s="16"/>
      <c r="F2240" s="16"/>
      <c r="H2240" s="16"/>
      <c r="AG2240" s="80"/>
      <c r="AH2240" s="80"/>
      <c r="AI2240" s="80"/>
    </row>
    <row r="2241" spans="5:35" x14ac:dyDescent="0.25">
      <c r="E2241" s="16"/>
      <c r="F2241" s="16"/>
      <c r="H2241" s="16"/>
      <c r="AG2241" s="80"/>
      <c r="AH2241" s="80"/>
      <c r="AI2241" s="80"/>
    </row>
    <row r="2242" spans="5:35" x14ac:dyDescent="0.25">
      <c r="E2242" s="16"/>
      <c r="F2242" s="16"/>
      <c r="H2242" s="16"/>
      <c r="AG2242" s="80"/>
      <c r="AH2242" s="80"/>
      <c r="AI2242" s="80"/>
    </row>
    <row r="2243" spans="5:35" x14ac:dyDescent="0.25">
      <c r="E2243" s="16"/>
      <c r="F2243" s="16"/>
      <c r="H2243" s="16"/>
      <c r="AG2243" s="80"/>
      <c r="AH2243" s="80"/>
      <c r="AI2243" s="80"/>
    </row>
    <row r="2244" spans="5:35" x14ac:dyDescent="0.25">
      <c r="E2244" s="16"/>
      <c r="F2244" s="16"/>
      <c r="H2244" s="16"/>
      <c r="AG2244" s="80"/>
      <c r="AH2244" s="80"/>
      <c r="AI2244" s="80"/>
    </row>
    <row r="2245" spans="5:35" x14ac:dyDescent="0.25">
      <c r="E2245" s="16"/>
      <c r="F2245" s="16"/>
      <c r="H2245" s="16"/>
      <c r="AG2245" s="80"/>
      <c r="AH2245" s="80"/>
      <c r="AI2245" s="80"/>
    </row>
    <row r="2246" spans="5:35" x14ac:dyDescent="0.25">
      <c r="E2246" s="16"/>
      <c r="F2246" s="16"/>
      <c r="H2246" s="16"/>
      <c r="AG2246" s="80"/>
      <c r="AH2246" s="80"/>
      <c r="AI2246" s="80"/>
    </row>
    <row r="2247" spans="5:35" x14ac:dyDescent="0.25">
      <c r="E2247" s="16"/>
      <c r="F2247" s="16"/>
      <c r="H2247" s="16"/>
      <c r="AG2247" s="80"/>
      <c r="AH2247" s="80"/>
      <c r="AI2247" s="80"/>
    </row>
    <row r="2248" spans="5:35" x14ac:dyDescent="0.25">
      <c r="E2248" s="16"/>
      <c r="F2248" s="16"/>
      <c r="H2248" s="16"/>
      <c r="AG2248" s="80"/>
      <c r="AH2248" s="80"/>
      <c r="AI2248" s="80"/>
    </row>
    <row r="2249" spans="5:35" x14ac:dyDescent="0.25">
      <c r="E2249" s="16"/>
      <c r="F2249" s="16"/>
      <c r="H2249" s="16"/>
      <c r="AG2249" s="80"/>
      <c r="AH2249" s="80"/>
      <c r="AI2249" s="80"/>
    </row>
    <row r="2250" spans="5:35" x14ac:dyDescent="0.25">
      <c r="E2250" s="16"/>
      <c r="F2250" s="16"/>
      <c r="H2250" s="16"/>
      <c r="AG2250" s="80"/>
      <c r="AH2250" s="80"/>
      <c r="AI2250" s="80"/>
    </row>
    <row r="2251" spans="5:35" x14ac:dyDescent="0.25">
      <c r="E2251" s="16"/>
      <c r="F2251" s="16"/>
      <c r="H2251" s="16"/>
      <c r="AG2251" s="80"/>
      <c r="AH2251" s="80"/>
      <c r="AI2251" s="80"/>
    </row>
    <row r="2252" spans="5:35" x14ac:dyDescent="0.25">
      <c r="E2252" s="16"/>
      <c r="F2252" s="16"/>
      <c r="H2252" s="16"/>
      <c r="AG2252" s="80"/>
      <c r="AH2252" s="80"/>
      <c r="AI2252" s="80"/>
    </row>
    <row r="2253" spans="5:35" x14ac:dyDescent="0.25">
      <c r="E2253" s="16"/>
      <c r="F2253" s="16"/>
      <c r="H2253" s="16"/>
      <c r="AG2253" s="80"/>
      <c r="AH2253" s="80"/>
      <c r="AI2253" s="80"/>
    </row>
    <row r="2254" spans="5:35" x14ac:dyDescent="0.25">
      <c r="E2254" s="16"/>
      <c r="F2254" s="16"/>
      <c r="H2254" s="16"/>
      <c r="AG2254" s="80"/>
      <c r="AH2254" s="80"/>
      <c r="AI2254" s="80"/>
    </row>
    <row r="2255" spans="5:35" x14ac:dyDescent="0.25">
      <c r="E2255" s="16"/>
      <c r="F2255" s="16"/>
      <c r="H2255" s="16"/>
      <c r="AG2255" s="80"/>
      <c r="AH2255" s="80"/>
      <c r="AI2255" s="80"/>
    </row>
    <row r="2256" spans="5:35" x14ac:dyDescent="0.25">
      <c r="E2256" s="16"/>
      <c r="F2256" s="16"/>
      <c r="H2256" s="16"/>
      <c r="AG2256" s="80"/>
      <c r="AH2256" s="80"/>
      <c r="AI2256" s="80"/>
    </row>
    <row r="2257" spans="5:35" x14ac:dyDescent="0.25">
      <c r="E2257" s="16"/>
      <c r="F2257" s="16"/>
      <c r="H2257" s="16"/>
      <c r="AG2257" s="80"/>
      <c r="AH2257" s="80"/>
      <c r="AI2257" s="80"/>
    </row>
    <row r="2258" spans="5:35" x14ac:dyDescent="0.25">
      <c r="E2258" s="16"/>
      <c r="F2258" s="16"/>
      <c r="H2258" s="16"/>
      <c r="AG2258" s="80"/>
      <c r="AH2258" s="80"/>
      <c r="AI2258" s="80"/>
    </row>
    <row r="2259" spans="5:35" x14ac:dyDescent="0.25">
      <c r="E2259" s="16"/>
      <c r="F2259" s="16"/>
      <c r="H2259" s="16"/>
      <c r="AG2259" s="80"/>
      <c r="AH2259" s="80"/>
      <c r="AI2259" s="80"/>
    </row>
    <row r="2260" spans="5:35" x14ac:dyDescent="0.25">
      <c r="E2260" s="16"/>
      <c r="F2260" s="16"/>
      <c r="H2260" s="16"/>
      <c r="AG2260" s="80"/>
      <c r="AH2260" s="80"/>
      <c r="AI2260" s="80"/>
    </row>
    <row r="2261" spans="5:35" x14ac:dyDescent="0.25">
      <c r="E2261" s="16"/>
      <c r="F2261" s="16"/>
      <c r="H2261" s="16"/>
      <c r="AG2261" s="80"/>
      <c r="AH2261" s="80"/>
      <c r="AI2261" s="80"/>
    </row>
    <row r="2262" spans="5:35" x14ac:dyDescent="0.25">
      <c r="E2262" s="16"/>
      <c r="F2262" s="16"/>
      <c r="H2262" s="16"/>
      <c r="AG2262" s="80"/>
      <c r="AH2262" s="80"/>
      <c r="AI2262" s="80"/>
    </row>
    <row r="2263" spans="5:35" x14ac:dyDescent="0.25">
      <c r="E2263" s="16"/>
      <c r="F2263" s="16"/>
      <c r="H2263" s="16"/>
      <c r="AG2263" s="80"/>
      <c r="AH2263" s="80"/>
      <c r="AI2263" s="80"/>
    </row>
    <row r="2264" spans="5:35" x14ac:dyDescent="0.25">
      <c r="E2264" s="16"/>
      <c r="F2264" s="16"/>
      <c r="H2264" s="16"/>
      <c r="AG2264" s="80"/>
      <c r="AH2264" s="80"/>
      <c r="AI2264" s="80"/>
    </row>
    <row r="2265" spans="5:35" x14ac:dyDescent="0.25">
      <c r="E2265" s="16"/>
      <c r="F2265" s="16"/>
      <c r="H2265" s="16"/>
      <c r="AG2265" s="80"/>
      <c r="AH2265" s="80"/>
      <c r="AI2265" s="80"/>
    </row>
    <row r="2266" spans="5:35" x14ac:dyDescent="0.25">
      <c r="E2266" s="16"/>
      <c r="F2266" s="16"/>
      <c r="H2266" s="16"/>
      <c r="AG2266" s="80"/>
      <c r="AH2266" s="80"/>
      <c r="AI2266" s="80"/>
    </row>
    <row r="2267" spans="5:35" x14ac:dyDescent="0.25">
      <c r="E2267" s="16"/>
      <c r="F2267" s="16"/>
      <c r="H2267" s="16"/>
      <c r="AG2267" s="80"/>
      <c r="AH2267" s="80"/>
      <c r="AI2267" s="80"/>
    </row>
    <row r="2268" spans="5:35" x14ac:dyDescent="0.25">
      <c r="E2268" s="16"/>
      <c r="F2268" s="16"/>
      <c r="H2268" s="16"/>
      <c r="AG2268" s="80"/>
      <c r="AH2268" s="80"/>
      <c r="AI2268" s="80"/>
    </row>
    <row r="2269" spans="5:35" x14ac:dyDescent="0.25">
      <c r="E2269" s="16"/>
      <c r="F2269" s="16"/>
      <c r="H2269" s="16"/>
      <c r="AG2269" s="80"/>
      <c r="AH2269" s="80"/>
      <c r="AI2269" s="80"/>
    </row>
    <row r="2270" spans="5:35" x14ac:dyDescent="0.25">
      <c r="E2270" s="16"/>
      <c r="F2270" s="16"/>
      <c r="H2270" s="16"/>
      <c r="AG2270" s="80"/>
      <c r="AH2270" s="80"/>
      <c r="AI2270" s="80"/>
    </row>
    <row r="2271" spans="5:35" x14ac:dyDescent="0.25">
      <c r="E2271" s="16"/>
      <c r="F2271" s="16"/>
      <c r="H2271" s="16"/>
      <c r="AG2271" s="80"/>
      <c r="AH2271" s="80"/>
      <c r="AI2271" s="80"/>
    </row>
    <row r="2272" spans="5:35" x14ac:dyDescent="0.25">
      <c r="E2272" s="16"/>
      <c r="F2272" s="16"/>
      <c r="H2272" s="16"/>
      <c r="AG2272" s="80"/>
      <c r="AH2272" s="80"/>
      <c r="AI2272" s="80"/>
    </row>
    <row r="2273" spans="5:35" x14ac:dyDescent="0.25">
      <c r="E2273" s="16"/>
      <c r="F2273" s="16"/>
      <c r="H2273" s="16"/>
      <c r="AG2273" s="80"/>
      <c r="AH2273" s="80"/>
      <c r="AI2273" s="80"/>
    </row>
    <row r="2274" spans="5:35" x14ac:dyDescent="0.25">
      <c r="E2274" s="16"/>
      <c r="F2274" s="16"/>
      <c r="H2274" s="16"/>
      <c r="AG2274" s="80"/>
      <c r="AH2274" s="80"/>
      <c r="AI2274" s="80"/>
    </row>
    <row r="2275" spans="5:35" x14ac:dyDescent="0.25">
      <c r="E2275" s="16"/>
      <c r="F2275" s="16"/>
      <c r="H2275" s="16"/>
      <c r="AG2275" s="80"/>
      <c r="AH2275" s="80"/>
      <c r="AI2275" s="80"/>
    </row>
    <row r="2276" spans="5:35" x14ac:dyDescent="0.25">
      <c r="E2276" s="16"/>
      <c r="F2276" s="16"/>
      <c r="H2276" s="16"/>
      <c r="AG2276" s="80"/>
      <c r="AH2276" s="80"/>
      <c r="AI2276" s="80"/>
    </row>
    <row r="2277" spans="5:35" x14ac:dyDescent="0.25">
      <c r="E2277" s="16"/>
      <c r="F2277" s="16"/>
      <c r="H2277" s="16"/>
      <c r="AG2277" s="80"/>
      <c r="AH2277" s="80"/>
      <c r="AI2277" s="80"/>
    </row>
    <row r="2278" spans="5:35" x14ac:dyDescent="0.25">
      <c r="E2278" s="16"/>
      <c r="F2278" s="16"/>
      <c r="H2278" s="16"/>
      <c r="AG2278" s="80"/>
      <c r="AH2278" s="80"/>
      <c r="AI2278" s="80"/>
    </row>
    <row r="2279" spans="5:35" x14ac:dyDescent="0.25">
      <c r="E2279" s="16"/>
      <c r="F2279" s="16"/>
      <c r="H2279" s="16"/>
      <c r="AG2279" s="80"/>
      <c r="AH2279" s="80"/>
      <c r="AI2279" s="80"/>
    </row>
    <row r="2280" spans="5:35" x14ac:dyDescent="0.25">
      <c r="E2280" s="16"/>
      <c r="F2280" s="16"/>
      <c r="H2280" s="16"/>
      <c r="AG2280" s="80"/>
      <c r="AH2280" s="80"/>
      <c r="AI2280" s="80"/>
    </row>
    <row r="2281" spans="5:35" x14ac:dyDescent="0.25">
      <c r="E2281" s="16"/>
      <c r="F2281" s="16"/>
      <c r="H2281" s="16"/>
      <c r="AG2281" s="80"/>
      <c r="AH2281" s="80"/>
      <c r="AI2281" s="80"/>
    </row>
    <row r="2282" spans="5:35" x14ac:dyDescent="0.25">
      <c r="E2282" s="16"/>
      <c r="F2282" s="16"/>
      <c r="H2282" s="16"/>
      <c r="AG2282" s="80"/>
      <c r="AH2282" s="80"/>
      <c r="AI2282" s="80"/>
    </row>
    <row r="2283" spans="5:35" x14ac:dyDescent="0.25">
      <c r="E2283" s="16"/>
      <c r="F2283" s="16"/>
      <c r="H2283" s="16"/>
      <c r="AG2283" s="80"/>
      <c r="AH2283" s="80"/>
      <c r="AI2283" s="80"/>
    </row>
    <row r="2284" spans="5:35" x14ac:dyDescent="0.25">
      <c r="E2284" s="16"/>
      <c r="F2284" s="16"/>
      <c r="H2284" s="16"/>
      <c r="AG2284" s="80"/>
      <c r="AH2284" s="80"/>
      <c r="AI2284" s="80"/>
    </row>
    <row r="2285" spans="5:35" x14ac:dyDescent="0.25">
      <c r="E2285" s="16"/>
      <c r="F2285" s="16"/>
      <c r="H2285" s="16"/>
      <c r="AG2285" s="80"/>
      <c r="AH2285" s="80"/>
      <c r="AI2285" s="80"/>
    </row>
    <row r="2286" spans="5:35" x14ac:dyDescent="0.25">
      <c r="E2286" s="16"/>
      <c r="F2286" s="16"/>
      <c r="H2286" s="16"/>
      <c r="AG2286" s="80"/>
      <c r="AH2286" s="80"/>
      <c r="AI2286" s="80"/>
    </row>
    <row r="2287" spans="5:35" x14ac:dyDescent="0.25">
      <c r="E2287" s="16"/>
      <c r="F2287" s="16"/>
      <c r="H2287" s="16"/>
      <c r="AG2287" s="80"/>
      <c r="AH2287" s="80"/>
      <c r="AI2287" s="80"/>
    </row>
    <row r="2288" spans="5:35" x14ac:dyDescent="0.25">
      <c r="E2288" s="16"/>
      <c r="F2288" s="16"/>
      <c r="H2288" s="16"/>
      <c r="AG2288" s="80"/>
      <c r="AH2288" s="80"/>
      <c r="AI2288" s="80"/>
    </row>
    <row r="2289" spans="5:35" x14ac:dyDescent="0.25">
      <c r="E2289" s="16"/>
      <c r="F2289" s="16"/>
      <c r="H2289" s="16"/>
      <c r="AG2289" s="80"/>
      <c r="AH2289" s="80"/>
      <c r="AI2289" s="80"/>
    </row>
    <row r="2290" spans="5:35" x14ac:dyDescent="0.25">
      <c r="E2290" s="16"/>
      <c r="F2290" s="16"/>
      <c r="H2290" s="16"/>
      <c r="AG2290" s="80"/>
      <c r="AH2290" s="80"/>
      <c r="AI2290" s="80"/>
    </row>
    <row r="2291" spans="5:35" x14ac:dyDescent="0.25">
      <c r="E2291" s="16"/>
      <c r="F2291" s="16"/>
      <c r="H2291" s="16"/>
      <c r="AG2291" s="80"/>
      <c r="AH2291" s="80"/>
      <c r="AI2291" s="80"/>
    </row>
    <row r="2292" spans="5:35" x14ac:dyDescent="0.25">
      <c r="E2292" s="16"/>
      <c r="F2292" s="16"/>
      <c r="H2292" s="16"/>
      <c r="AG2292" s="80"/>
      <c r="AH2292" s="80"/>
      <c r="AI2292" s="80"/>
    </row>
    <row r="2293" spans="5:35" x14ac:dyDescent="0.25">
      <c r="E2293" s="16"/>
      <c r="F2293" s="16"/>
      <c r="H2293" s="16"/>
      <c r="AG2293" s="80"/>
      <c r="AH2293" s="80"/>
      <c r="AI2293" s="80"/>
    </row>
    <row r="2294" spans="5:35" x14ac:dyDescent="0.25">
      <c r="E2294" s="16"/>
      <c r="F2294" s="16"/>
      <c r="H2294" s="16"/>
      <c r="AG2294" s="80"/>
      <c r="AH2294" s="80"/>
      <c r="AI2294" s="80"/>
    </row>
    <row r="2295" spans="5:35" x14ac:dyDescent="0.25">
      <c r="E2295" s="16"/>
      <c r="F2295" s="16"/>
      <c r="H2295" s="16"/>
      <c r="AG2295" s="80"/>
      <c r="AH2295" s="80"/>
      <c r="AI2295" s="80"/>
    </row>
    <row r="2296" spans="5:35" x14ac:dyDescent="0.25">
      <c r="E2296" s="16"/>
      <c r="F2296" s="16"/>
      <c r="H2296" s="16"/>
      <c r="AG2296" s="80"/>
      <c r="AH2296" s="80"/>
      <c r="AI2296" s="80"/>
    </row>
    <row r="2297" spans="5:35" x14ac:dyDescent="0.25">
      <c r="E2297" s="16"/>
      <c r="F2297" s="16"/>
      <c r="H2297" s="16"/>
      <c r="AG2297" s="80"/>
      <c r="AH2297" s="80"/>
      <c r="AI2297" s="80"/>
    </row>
    <row r="2298" spans="5:35" x14ac:dyDescent="0.25">
      <c r="E2298" s="16"/>
      <c r="F2298" s="16"/>
      <c r="H2298" s="16"/>
      <c r="AG2298" s="80"/>
      <c r="AH2298" s="80"/>
      <c r="AI2298" s="80"/>
    </row>
    <row r="2299" spans="5:35" x14ac:dyDescent="0.25">
      <c r="E2299" s="16"/>
      <c r="F2299" s="16"/>
      <c r="H2299" s="16"/>
      <c r="AG2299" s="80"/>
      <c r="AH2299" s="80"/>
      <c r="AI2299" s="80"/>
    </row>
    <row r="2300" spans="5:35" x14ac:dyDescent="0.25">
      <c r="E2300" s="16"/>
      <c r="F2300" s="16"/>
      <c r="H2300" s="16"/>
      <c r="AG2300" s="80"/>
      <c r="AH2300" s="80"/>
      <c r="AI2300" s="80"/>
    </row>
    <row r="2301" spans="5:35" x14ac:dyDescent="0.25">
      <c r="E2301" s="16"/>
      <c r="F2301" s="16"/>
      <c r="H2301" s="16"/>
      <c r="AG2301" s="80"/>
      <c r="AH2301" s="80"/>
      <c r="AI2301" s="80"/>
    </row>
    <row r="2302" spans="5:35" x14ac:dyDescent="0.25">
      <c r="E2302" s="16"/>
      <c r="F2302" s="16"/>
      <c r="H2302" s="16"/>
      <c r="AG2302" s="80"/>
      <c r="AH2302" s="80"/>
      <c r="AI2302" s="80"/>
    </row>
    <row r="2303" spans="5:35" x14ac:dyDescent="0.25">
      <c r="E2303" s="16"/>
      <c r="F2303" s="16"/>
      <c r="H2303" s="16"/>
      <c r="AG2303" s="80"/>
      <c r="AH2303" s="80"/>
      <c r="AI2303" s="80"/>
    </row>
    <row r="2304" spans="5:35" x14ac:dyDescent="0.25">
      <c r="E2304" s="16"/>
      <c r="F2304" s="16"/>
      <c r="H2304" s="16"/>
      <c r="AG2304" s="80"/>
      <c r="AH2304" s="80"/>
      <c r="AI2304" s="80"/>
    </row>
    <row r="2305" spans="5:35" x14ac:dyDescent="0.25">
      <c r="E2305" s="16"/>
      <c r="F2305" s="16"/>
      <c r="H2305" s="16"/>
      <c r="AG2305" s="80"/>
      <c r="AH2305" s="80"/>
      <c r="AI2305" s="80"/>
    </row>
    <row r="2306" spans="5:35" x14ac:dyDescent="0.25">
      <c r="E2306" s="16"/>
      <c r="F2306" s="16"/>
      <c r="H2306" s="16"/>
      <c r="AG2306" s="80"/>
      <c r="AH2306" s="80"/>
      <c r="AI2306" s="80"/>
    </row>
    <row r="2307" spans="5:35" x14ac:dyDescent="0.25">
      <c r="E2307" s="16"/>
      <c r="F2307" s="16"/>
      <c r="H2307" s="16"/>
      <c r="AG2307" s="80"/>
      <c r="AH2307" s="80"/>
      <c r="AI2307" s="80"/>
    </row>
    <row r="2308" spans="5:35" x14ac:dyDescent="0.25">
      <c r="E2308" s="16"/>
      <c r="F2308" s="16"/>
      <c r="H2308" s="16"/>
      <c r="AG2308" s="80"/>
      <c r="AH2308" s="80"/>
      <c r="AI2308" s="80"/>
    </row>
    <row r="2309" spans="5:35" x14ac:dyDescent="0.25">
      <c r="E2309" s="16"/>
      <c r="F2309" s="16"/>
      <c r="H2309" s="16"/>
      <c r="AG2309" s="80"/>
      <c r="AH2309" s="80"/>
      <c r="AI2309" s="80"/>
    </row>
    <row r="2310" spans="5:35" x14ac:dyDescent="0.25">
      <c r="E2310" s="16"/>
      <c r="F2310" s="16"/>
      <c r="H2310" s="16"/>
      <c r="AG2310" s="80"/>
      <c r="AH2310" s="80"/>
      <c r="AI2310" s="80"/>
    </row>
    <row r="2311" spans="5:35" x14ac:dyDescent="0.25">
      <c r="E2311" s="16"/>
      <c r="F2311" s="16"/>
      <c r="H2311" s="16"/>
      <c r="AG2311" s="80"/>
      <c r="AH2311" s="80"/>
      <c r="AI2311" s="80"/>
    </row>
    <row r="2312" spans="5:35" x14ac:dyDescent="0.25">
      <c r="E2312" s="16"/>
      <c r="F2312" s="16"/>
      <c r="H2312" s="16"/>
      <c r="AG2312" s="80"/>
      <c r="AH2312" s="80"/>
      <c r="AI2312" s="80"/>
    </row>
    <row r="2313" spans="5:35" x14ac:dyDescent="0.25">
      <c r="E2313" s="16"/>
      <c r="F2313" s="16"/>
      <c r="H2313" s="16"/>
      <c r="AG2313" s="80"/>
      <c r="AH2313" s="80"/>
      <c r="AI2313" s="80"/>
    </row>
    <row r="2314" spans="5:35" x14ac:dyDescent="0.25">
      <c r="E2314" s="16"/>
      <c r="F2314" s="16"/>
      <c r="H2314" s="16"/>
      <c r="AG2314" s="80"/>
      <c r="AH2314" s="80"/>
      <c r="AI2314" s="80"/>
    </row>
    <row r="2315" spans="5:35" x14ac:dyDescent="0.25">
      <c r="E2315" s="16"/>
      <c r="F2315" s="16"/>
      <c r="H2315" s="16"/>
      <c r="AG2315" s="80"/>
      <c r="AH2315" s="80"/>
      <c r="AI2315" s="80"/>
    </row>
    <row r="2316" spans="5:35" x14ac:dyDescent="0.25">
      <c r="E2316" s="16"/>
      <c r="F2316" s="16"/>
      <c r="H2316" s="16"/>
      <c r="AG2316" s="80"/>
      <c r="AH2316" s="80"/>
      <c r="AI2316" s="80"/>
    </row>
    <row r="2317" spans="5:35" x14ac:dyDescent="0.25">
      <c r="E2317" s="16"/>
      <c r="F2317" s="16"/>
      <c r="H2317" s="16"/>
      <c r="AG2317" s="80"/>
      <c r="AH2317" s="80"/>
      <c r="AI2317" s="80"/>
    </row>
    <row r="2318" spans="5:35" x14ac:dyDescent="0.25">
      <c r="E2318" s="16"/>
      <c r="F2318" s="16"/>
      <c r="H2318" s="16"/>
      <c r="AG2318" s="80"/>
      <c r="AH2318" s="80"/>
      <c r="AI2318" s="80"/>
    </row>
    <row r="2319" spans="5:35" x14ac:dyDescent="0.25">
      <c r="E2319" s="16"/>
      <c r="F2319" s="16"/>
      <c r="H2319" s="16"/>
      <c r="AG2319" s="80"/>
      <c r="AH2319" s="80"/>
      <c r="AI2319" s="80"/>
    </row>
    <row r="2320" spans="5:35" x14ac:dyDescent="0.25">
      <c r="E2320" s="16"/>
      <c r="F2320" s="16"/>
      <c r="H2320" s="16"/>
      <c r="AG2320" s="80"/>
      <c r="AH2320" s="80"/>
      <c r="AI2320" s="80"/>
    </row>
    <row r="2321" spans="5:35" x14ac:dyDescent="0.25">
      <c r="E2321" s="16"/>
      <c r="F2321" s="16"/>
      <c r="H2321" s="16"/>
      <c r="AG2321" s="80"/>
      <c r="AH2321" s="80"/>
      <c r="AI2321" s="80"/>
    </row>
    <row r="2322" spans="5:35" x14ac:dyDescent="0.25">
      <c r="E2322" s="16"/>
      <c r="F2322" s="16"/>
      <c r="H2322" s="16"/>
      <c r="AG2322" s="80"/>
      <c r="AH2322" s="80"/>
      <c r="AI2322" s="80"/>
    </row>
    <row r="2323" spans="5:35" x14ac:dyDescent="0.25">
      <c r="E2323" s="16"/>
      <c r="F2323" s="16"/>
      <c r="H2323" s="16"/>
      <c r="AG2323" s="80"/>
      <c r="AH2323" s="80"/>
      <c r="AI2323" s="80"/>
    </row>
    <row r="2324" spans="5:35" x14ac:dyDescent="0.25">
      <c r="E2324" s="16"/>
      <c r="F2324" s="16"/>
      <c r="H2324" s="16"/>
      <c r="AG2324" s="80"/>
      <c r="AH2324" s="80"/>
      <c r="AI2324" s="80"/>
    </row>
    <row r="2325" spans="5:35" x14ac:dyDescent="0.25">
      <c r="E2325" s="16"/>
      <c r="F2325" s="16"/>
      <c r="H2325" s="16"/>
      <c r="AG2325" s="80"/>
      <c r="AH2325" s="80"/>
      <c r="AI2325" s="80"/>
    </row>
    <row r="2326" spans="5:35" x14ac:dyDescent="0.25">
      <c r="E2326" s="16"/>
      <c r="F2326" s="16"/>
      <c r="H2326" s="16"/>
      <c r="AG2326" s="80"/>
      <c r="AH2326" s="80"/>
      <c r="AI2326" s="80"/>
    </row>
    <row r="2327" spans="5:35" x14ac:dyDescent="0.25">
      <c r="E2327" s="16"/>
      <c r="F2327" s="16"/>
      <c r="H2327" s="16"/>
      <c r="AG2327" s="80"/>
      <c r="AH2327" s="80"/>
      <c r="AI2327" s="80"/>
    </row>
    <row r="2328" spans="5:35" x14ac:dyDescent="0.25">
      <c r="E2328" s="16"/>
      <c r="F2328" s="16"/>
      <c r="H2328" s="16"/>
      <c r="AG2328" s="80"/>
      <c r="AH2328" s="80"/>
      <c r="AI2328" s="80"/>
    </row>
    <row r="2329" spans="5:35" x14ac:dyDescent="0.25">
      <c r="E2329" s="16"/>
      <c r="F2329" s="16"/>
      <c r="H2329" s="16"/>
      <c r="AG2329" s="80"/>
      <c r="AH2329" s="80"/>
      <c r="AI2329" s="80"/>
    </row>
    <row r="2330" spans="5:35" x14ac:dyDescent="0.25">
      <c r="E2330" s="16"/>
      <c r="F2330" s="16"/>
      <c r="H2330" s="16"/>
      <c r="AG2330" s="80"/>
      <c r="AH2330" s="80"/>
      <c r="AI2330" s="80"/>
    </row>
    <row r="2331" spans="5:35" x14ac:dyDescent="0.25">
      <c r="E2331" s="16"/>
      <c r="F2331" s="16"/>
      <c r="H2331" s="16"/>
      <c r="AG2331" s="80"/>
      <c r="AH2331" s="80"/>
      <c r="AI2331" s="80"/>
    </row>
    <row r="2332" spans="5:35" x14ac:dyDescent="0.25">
      <c r="E2332" s="16"/>
      <c r="F2332" s="16"/>
      <c r="H2332" s="16"/>
      <c r="AG2332" s="80"/>
      <c r="AH2332" s="80"/>
      <c r="AI2332" s="80"/>
    </row>
    <row r="2333" spans="5:35" x14ac:dyDescent="0.25">
      <c r="E2333" s="16"/>
      <c r="F2333" s="16"/>
      <c r="H2333" s="16"/>
      <c r="AG2333" s="80"/>
      <c r="AH2333" s="80"/>
      <c r="AI2333" s="80"/>
    </row>
    <row r="2334" spans="5:35" x14ac:dyDescent="0.25">
      <c r="E2334" s="16"/>
      <c r="F2334" s="16"/>
      <c r="H2334" s="16"/>
      <c r="AG2334" s="80"/>
      <c r="AH2334" s="80"/>
      <c r="AI2334" s="80"/>
    </row>
    <row r="2335" spans="5:35" x14ac:dyDescent="0.25">
      <c r="E2335" s="16"/>
      <c r="F2335" s="16"/>
      <c r="H2335" s="16"/>
      <c r="AG2335" s="80"/>
      <c r="AH2335" s="80"/>
      <c r="AI2335" s="80"/>
    </row>
    <row r="2336" spans="5:35" x14ac:dyDescent="0.25">
      <c r="E2336" s="16"/>
      <c r="F2336" s="16"/>
      <c r="H2336" s="16"/>
      <c r="AG2336" s="80"/>
      <c r="AH2336" s="80"/>
      <c r="AI2336" s="80"/>
    </row>
    <row r="2337" spans="5:35" x14ac:dyDescent="0.25">
      <c r="E2337" s="16"/>
      <c r="F2337" s="16"/>
      <c r="H2337" s="16"/>
      <c r="AG2337" s="80"/>
      <c r="AH2337" s="80"/>
      <c r="AI2337" s="80"/>
    </row>
    <row r="2338" spans="5:35" x14ac:dyDescent="0.25">
      <c r="E2338" s="16"/>
      <c r="F2338" s="16"/>
      <c r="H2338" s="16"/>
      <c r="AG2338" s="80"/>
      <c r="AH2338" s="80"/>
      <c r="AI2338" s="80"/>
    </row>
    <row r="2339" spans="5:35" x14ac:dyDescent="0.25">
      <c r="E2339" s="16"/>
      <c r="F2339" s="16"/>
      <c r="H2339" s="16"/>
      <c r="AG2339" s="80"/>
      <c r="AH2339" s="80"/>
      <c r="AI2339" s="80"/>
    </row>
    <row r="2340" spans="5:35" x14ac:dyDescent="0.25">
      <c r="E2340" s="16"/>
      <c r="F2340" s="16"/>
      <c r="H2340" s="16"/>
      <c r="AG2340" s="80"/>
      <c r="AH2340" s="80"/>
      <c r="AI2340" s="80"/>
    </row>
    <row r="2341" spans="5:35" x14ac:dyDescent="0.25">
      <c r="E2341" s="16"/>
      <c r="F2341" s="16"/>
      <c r="H2341" s="16"/>
      <c r="AG2341" s="80"/>
      <c r="AH2341" s="80"/>
      <c r="AI2341" s="80"/>
    </row>
    <row r="2342" spans="5:35" x14ac:dyDescent="0.25">
      <c r="E2342" s="16"/>
      <c r="F2342" s="16"/>
      <c r="H2342" s="16"/>
      <c r="AG2342" s="80"/>
      <c r="AH2342" s="80"/>
      <c r="AI2342" s="80"/>
    </row>
    <row r="2343" spans="5:35" x14ac:dyDescent="0.25">
      <c r="E2343" s="16"/>
      <c r="F2343" s="16"/>
      <c r="H2343" s="16"/>
      <c r="AG2343" s="80"/>
      <c r="AH2343" s="80"/>
      <c r="AI2343" s="80"/>
    </row>
    <row r="2344" spans="5:35" x14ac:dyDescent="0.25">
      <c r="E2344" s="16"/>
      <c r="F2344" s="16"/>
      <c r="H2344" s="16"/>
      <c r="AG2344" s="80"/>
      <c r="AH2344" s="80"/>
      <c r="AI2344" s="80"/>
    </row>
    <row r="2345" spans="5:35" x14ac:dyDescent="0.25">
      <c r="E2345" s="16"/>
      <c r="F2345" s="16"/>
      <c r="H2345" s="16"/>
      <c r="AG2345" s="80"/>
      <c r="AH2345" s="80"/>
      <c r="AI2345" s="80"/>
    </row>
    <row r="2346" spans="5:35" x14ac:dyDescent="0.25">
      <c r="E2346" s="16"/>
      <c r="F2346" s="16"/>
      <c r="H2346" s="16"/>
      <c r="AG2346" s="80"/>
      <c r="AH2346" s="80"/>
      <c r="AI2346" s="80"/>
    </row>
    <row r="2347" spans="5:35" x14ac:dyDescent="0.25">
      <c r="E2347" s="16"/>
      <c r="F2347" s="16"/>
      <c r="H2347" s="16"/>
      <c r="AG2347" s="80"/>
      <c r="AH2347" s="80"/>
      <c r="AI2347" s="80"/>
    </row>
    <row r="2348" spans="5:35" x14ac:dyDescent="0.25">
      <c r="E2348" s="16"/>
      <c r="F2348" s="16"/>
      <c r="H2348" s="16"/>
      <c r="AG2348" s="80"/>
      <c r="AH2348" s="80"/>
      <c r="AI2348" s="80"/>
    </row>
    <row r="2349" spans="5:35" x14ac:dyDescent="0.25">
      <c r="E2349" s="16"/>
      <c r="F2349" s="16"/>
      <c r="H2349" s="16"/>
      <c r="AG2349" s="80"/>
      <c r="AH2349" s="80"/>
      <c r="AI2349" s="80"/>
    </row>
    <row r="2350" spans="5:35" x14ac:dyDescent="0.25">
      <c r="E2350" s="16"/>
      <c r="F2350" s="16"/>
      <c r="H2350" s="16"/>
      <c r="AG2350" s="80"/>
      <c r="AH2350" s="80"/>
      <c r="AI2350" s="80"/>
    </row>
    <row r="2351" spans="5:35" x14ac:dyDescent="0.25">
      <c r="E2351" s="16"/>
      <c r="F2351" s="16"/>
      <c r="H2351" s="16"/>
      <c r="AG2351" s="80"/>
      <c r="AH2351" s="80"/>
      <c r="AI2351" s="80"/>
    </row>
    <row r="2352" spans="5:35" x14ac:dyDescent="0.25">
      <c r="E2352" s="16"/>
      <c r="F2352" s="16"/>
      <c r="H2352" s="16"/>
      <c r="AG2352" s="80"/>
      <c r="AH2352" s="80"/>
      <c r="AI2352" s="80"/>
    </row>
    <row r="2353" spans="5:35" x14ac:dyDescent="0.25">
      <c r="E2353" s="16"/>
      <c r="F2353" s="16"/>
      <c r="H2353" s="16"/>
      <c r="AG2353" s="80"/>
      <c r="AH2353" s="80"/>
      <c r="AI2353" s="80"/>
    </row>
    <row r="2354" spans="5:35" x14ac:dyDescent="0.25">
      <c r="E2354" s="16"/>
      <c r="F2354" s="16"/>
      <c r="H2354" s="16"/>
      <c r="AG2354" s="80"/>
      <c r="AH2354" s="80"/>
      <c r="AI2354" s="80"/>
    </row>
    <row r="2355" spans="5:35" x14ac:dyDescent="0.25">
      <c r="E2355" s="16"/>
      <c r="F2355" s="16"/>
      <c r="H2355" s="16"/>
      <c r="AG2355" s="80"/>
      <c r="AH2355" s="80"/>
      <c r="AI2355" s="80"/>
    </row>
    <row r="2356" spans="5:35" x14ac:dyDescent="0.25">
      <c r="E2356" s="16"/>
      <c r="F2356" s="16"/>
      <c r="H2356" s="16"/>
      <c r="AG2356" s="80"/>
      <c r="AH2356" s="80"/>
      <c r="AI2356" s="80"/>
    </row>
    <row r="2357" spans="5:35" x14ac:dyDescent="0.25">
      <c r="E2357" s="16"/>
      <c r="F2357" s="16"/>
      <c r="H2357" s="16"/>
      <c r="AG2357" s="80"/>
      <c r="AH2357" s="80"/>
      <c r="AI2357" s="80"/>
    </row>
    <row r="2358" spans="5:35" x14ac:dyDescent="0.25">
      <c r="E2358" s="16"/>
      <c r="F2358" s="16"/>
      <c r="H2358" s="16"/>
      <c r="AG2358" s="80"/>
      <c r="AH2358" s="80"/>
      <c r="AI2358" s="80"/>
    </row>
    <row r="2359" spans="5:35" x14ac:dyDescent="0.25">
      <c r="E2359" s="16"/>
      <c r="F2359" s="16"/>
      <c r="H2359" s="16"/>
      <c r="AG2359" s="80"/>
      <c r="AH2359" s="80"/>
      <c r="AI2359" s="80"/>
    </row>
    <row r="2360" spans="5:35" x14ac:dyDescent="0.25">
      <c r="E2360" s="16"/>
      <c r="F2360" s="16"/>
      <c r="H2360" s="16"/>
      <c r="AG2360" s="80"/>
      <c r="AH2360" s="80"/>
      <c r="AI2360" s="80"/>
    </row>
    <row r="2361" spans="5:35" x14ac:dyDescent="0.25">
      <c r="E2361" s="16"/>
      <c r="F2361" s="16"/>
      <c r="H2361" s="16"/>
      <c r="AG2361" s="80"/>
      <c r="AH2361" s="80"/>
      <c r="AI2361" s="80"/>
    </row>
    <row r="2362" spans="5:35" x14ac:dyDescent="0.25">
      <c r="E2362" s="16"/>
      <c r="F2362" s="16"/>
      <c r="H2362" s="16"/>
      <c r="AG2362" s="80"/>
      <c r="AH2362" s="80"/>
      <c r="AI2362" s="80"/>
    </row>
    <row r="2363" spans="5:35" x14ac:dyDescent="0.25">
      <c r="E2363" s="16"/>
      <c r="F2363" s="16"/>
      <c r="H2363" s="16"/>
      <c r="AG2363" s="80"/>
      <c r="AH2363" s="80"/>
      <c r="AI2363" s="80"/>
    </row>
    <row r="2364" spans="5:35" x14ac:dyDescent="0.25">
      <c r="E2364" s="16"/>
      <c r="F2364" s="16"/>
      <c r="H2364" s="16"/>
      <c r="AG2364" s="80"/>
      <c r="AH2364" s="80"/>
      <c r="AI2364" s="80"/>
    </row>
    <row r="2365" spans="5:35" x14ac:dyDescent="0.25">
      <c r="E2365" s="16"/>
      <c r="F2365" s="16"/>
      <c r="H2365" s="16"/>
      <c r="AG2365" s="80"/>
      <c r="AH2365" s="80"/>
      <c r="AI2365" s="80"/>
    </row>
    <row r="2366" spans="5:35" x14ac:dyDescent="0.25">
      <c r="E2366" s="16"/>
      <c r="F2366" s="16"/>
      <c r="H2366" s="16"/>
      <c r="AG2366" s="80"/>
      <c r="AH2366" s="80"/>
      <c r="AI2366" s="80"/>
    </row>
    <row r="2367" spans="5:35" x14ac:dyDescent="0.25">
      <c r="E2367" s="16"/>
      <c r="F2367" s="16"/>
      <c r="H2367" s="16"/>
      <c r="AG2367" s="80"/>
      <c r="AH2367" s="80"/>
      <c r="AI2367" s="80"/>
    </row>
    <row r="2368" spans="5:35" x14ac:dyDescent="0.25">
      <c r="E2368" s="16"/>
      <c r="F2368" s="16"/>
      <c r="H2368" s="16"/>
      <c r="AG2368" s="80"/>
      <c r="AH2368" s="80"/>
      <c r="AI2368" s="80"/>
    </row>
    <row r="2369" spans="5:35" x14ac:dyDescent="0.25">
      <c r="E2369" s="16"/>
      <c r="F2369" s="16"/>
      <c r="H2369" s="16"/>
      <c r="AG2369" s="80"/>
      <c r="AH2369" s="80"/>
      <c r="AI2369" s="80"/>
    </row>
    <row r="2370" spans="5:35" x14ac:dyDescent="0.25">
      <c r="E2370" s="16"/>
      <c r="F2370" s="16"/>
      <c r="H2370" s="16"/>
      <c r="AG2370" s="80"/>
      <c r="AH2370" s="80"/>
      <c r="AI2370" s="80"/>
    </row>
    <row r="2371" spans="5:35" x14ac:dyDescent="0.25">
      <c r="E2371" s="16"/>
      <c r="F2371" s="16"/>
      <c r="H2371" s="16"/>
      <c r="AG2371" s="80"/>
      <c r="AH2371" s="80"/>
      <c r="AI2371" s="80"/>
    </row>
    <row r="2372" spans="5:35" x14ac:dyDescent="0.25">
      <c r="E2372" s="16"/>
      <c r="F2372" s="16"/>
      <c r="H2372" s="16"/>
      <c r="AG2372" s="80"/>
      <c r="AH2372" s="80"/>
      <c r="AI2372" s="80"/>
    </row>
    <row r="2373" spans="5:35" x14ac:dyDescent="0.25">
      <c r="E2373" s="16"/>
      <c r="F2373" s="16"/>
      <c r="H2373" s="16"/>
      <c r="AG2373" s="80"/>
      <c r="AH2373" s="80"/>
      <c r="AI2373" s="80"/>
    </row>
    <row r="2374" spans="5:35" x14ac:dyDescent="0.25">
      <c r="E2374" s="16"/>
      <c r="F2374" s="16"/>
      <c r="H2374" s="16"/>
      <c r="AG2374" s="80"/>
      <c r="AH2374" s="80"/>
      <c r="AI2374" s="80"/>
    </row>
    <row r="2375" spans="5:35" x14ac:dyDescent="0.25">
      <c r="E2375" s="16"/>
      <c r="F2375" s="16"/>
      <c r="H2375" s="16"/>
      <c r="AG2375" s="80"/>
      <c r="AH2375" s="80"/>
      <c r="AI2375" s="80"/>
    </row>
    <row r="2376" spans="5:35" x14ac:dyDescent="0.25">
      <c r="E2376" s="16"/>
      <c r="F2376" s="16"/>
      <c r="H2376" s="16"/>
      <c r="AG2376" s="80"/>
      <c r="AH2376" s="80"/>
      <c r="AI2376" s="80"/>
    </row>
    <row r="2377" spans="5:35" x14ac:dyDescent="0.25">
      <c r="E2377" s="16"/>
      <c r="F2377" s="16"/>
      <c r="H2377" s="16"/>
      <c r="AG2377" s="80"/>
      <c r="AH2377" s="80"/>
      <c r="AI2377" s="80"/>
    </row>
    <row r="2378" spans="5:35" x14ac:dyDescent="0.25">
      <c r="E2378" s="16"/>
      <c r="F2378" s="16"/>
      <c r="H2378" s="16"/>
      <c r="AG2378" s="80"/>
      <c r="AH2378" s="80"/>
      <c r="AI2378" s="80"/>
    </row>
    <row r="2379" spans="5:35" x14ac:dyDescent="0.25">
      <c r="E2379" s="16"/>
      <c r="F2379" s="16"/>
      <c r="H2379" s="16"/>
      <c r="AG2379" s="80"/>
      <c r="AH2379" s="80"/>
      <c r="AI2379" s="80"/>
    </row>
    <row r="2380" spans="5:35" x14ac:dyDescent="0.25">
      <c r="E2380" s="16"/>
      <c r="F2380" s="16"/>
      <c r="H2380" s="16"/>
      <c r="AG2380" s="80"/>
      <c r="AH2380" s="80"/>
      <c r="AI2380" s="80"/>
    </row>
    <row r="2381" spans="5:35" x14ac:dyDescent="0.25">
      <c r="E2381" s="16"/>
      <c r="F2381" s="16"/>
      <c r="H2381" s="16"/>
      <c r="AG2381" s="80"/>
      <c r="AH2381" s="80"/>
      <c r="AI2381" s="80"/>
    </row>
    <row r="2382" spans="5:35" x14ac:dyDescent="0.25">
      <c r="E2382" s="16"/>
      <c r="F2382" s="16"/>
      <c r="H2382" s="16"/>
      <c r="AG2382" s="80"/>
      <c r="AH2382" s="80"/>
      <c r="AI2382" s="80"/>
    </row>
    <row r="2383" spans="5:35" x14ac:dyDescent="0.25">
      <c r="E2383" s="16"/>
      <c r="F2383" s="16"/>
      <c r="H2383" s="16"/>
      <c r="AG2383" s="80"/>
      <c r="AH2383" s="80"/>
      <c r="AI2383" s="80"/>
    </row>
    <row r="2384" spans="5:35" x14ac:dyDescent="0.25">
      <c r="E2384" s="16"/>
      <c r="F2384" s="16"/>
      <c r="H2384" s="16"/>
      <c r="AG2384" s="80"/>
      <c r="AH2384" s="80"/>
      <c r="AI2384" s="80"/>
    </row>
    <row r="2385" spans="5:35" x14ac:dyDescent="0.25">
      <c r="E2385" s="16"/>
      <c r="F2385" s="16"/>
      <c r="H2385" s="16"/>
      <c r="AG2385" s="80"/>
      <c r="AH2385" s="80"/>
      <c r="AI2385" s="80"/>
    </row>
    <row r="2386" spans="5:35" x14ac:dyDescent="0.25">
      <c r="E2386" s="16"/>
      <c r="F2386" s="16"/>
      <c r="H2386" s="16"/>
      <c r="AG2386" s="80"/>
      <c r="AH2386" s="80"/>
      <c r="AI2386" s="80"/>
    </row>
    <row r="2387" spans="5:35" x14ac:dyDescent="0.25">
      <c r="E2387" s="16"/>
      <c r="F2387" s="16"/>
      <c r="H2387" s="16"/>
      <c r="AG2387" s="80"/>
      <c r="AH2387" s="80"/>
      <c r="AI2387" s="80"/>
    </row>
    <row r="2388" spans="5:35" x14ac:dyDescent="0.25">
      <c r="E2388" s="16"/>
      <c r="F2388" s="16"/>
      <c r="H2388" s="16"/>
      <c r="AG2388" s="80"/>
      <c r="AH2388" s="80"/>
      <c r="AI2388" s="80"/>
    </row>
    <row r="2389" spans="5:35" x14ac:dyDescent="0.25">
      <c r="E2389" s="16"/>
      <c r="F2389" s="16"/>
      <c r="H2389" s="16"/>
      <c r="AG2389" s="80"/>
      <c r="AH2389" s="80"/>
      <c r="AI2389" s="80"/>
    </row>
    <row r="2390" spans="5:35" x14ac:dyDescent="0.25">
      <c r="E2390" s="16"/>
      <c r="F2390" s="16"/>
      <c r="H2390" s="16"/>
      <c r="AG2390" s="80"/>
      <c r="AH2390" s="80"/>
      <c r="AI2390" s="80"/>
    </row>
    <row r="2391" spans="5:35" x14ac:dyDescent="0.25">
      <c r="E2391" s="16"/>
      <c r="F2391" s="16"/>
      <c r="H2391" s="16"/>
      <c r="AG2391" s="80"/>
      <c r="AH2391" s="80"/>
      <c r="AI2391" s="80"/>
    </row>
    <row r="2392" spans="5:35" x14ac:dyDescent="0.25">
      <c r="E2392" s="16"/>
      <c r="F2392" s="16"/>
      <c r="H2392" s="16"/>
      <c r="AG2392" s="80"/>
      <c r="AH2392" s="80"/>
      <c r="AI2392" s="80"/>
    </row>
    <row r="2393" spans="5:35" x14ac:dyDescent="0.25">
      <c r="E2393" s="16"/>
      <c r="F2393" s="16"/>
      <c r="H2393" s="16"/>
      <c r="AG2393" s="80"/>
      <c r="AH2393" s="80"/>
      <c r="AI2393" s="80"/>
    </row>
    <row r="2394" spans="5:35" x14ac:dyDescent="0.25">
      <c r="E2394" s="16"/>
      <c r="F2394" s="16"/>
      <c r="H2394" s="16"/>
      <c r="AG2394" s="80"/>
      <c r="AH2394" s="80"/>
      <c r="AI2394" s="80"/>
    </row>
    <row r="2395" spans="5:35" x14ac:dyDescent="0.25">
      <c r="E2395" s="16"/>
      <c r="F2395" s="16"/>
      <c r="H2395" s="16"/>
      <c r="AG2395" s="80"/>
      <c r="AH2395" s="80"/>
      <c r="AI2395" s="80"/>
    </row>
    <row r="2396" spans="5:35" x14ac:dyDescent="0.25">
      <c r="E2396" s="16"/>
      <c r="F2396" s="16"/>
      <c r="H2396" s="16"/>
      <c r="AG2396" s="80"/>
      <c r="AH2396" s="80"/>
      <c r="AI2396" s="80"/>
    </row>
    <row r="2397" spans="5:35" x14ac:dyDescent="0.25">
      <c r="E2397" s="16"/>
      <c r="F2397" s="16"/>
      <c r="H2397" s="16"/>
      <c r="AG2397" s="80"/>
      <c r="AH2397" s="80"/>
      <c r="AI2397" s="80"/>
    </row>
    <row r="2398" spans="5:35" x14ac:dyDescent="0.25">
      <c r="E2398" s="16"/>
      <c r="F2398" s="16"/>
      <c r="H2398" s="16"/>
      <c r="AG2398" s="80"/>
      <c r="AH2398" s="80"/>
      <c r="AI2398" s="80"/>
    </row>
    <row r="2399" spans="5:35" x14ac:dyDescent="0.25">
      <c r="E2399" s="16"/>
      <c r="F2399" s="16"/>
      <c r="H2399" s="16"/>
      <c r="AG2399" s="80"/>
      <c r="AH2399" s="80"/>
      <c r="AI2399" s="80"/>
    </row>
    <row r="2400" spans="5:35" x14ac:dyDescent="0.25">
      <c r="E2400" s="16"/>
      <c r="F2400" s="16"/>
      <c r="H2400" s="16"/>
      <c r="AG2400" s="80"/>
      <c r="AH2400" s="80"/>
      <c r="AI2400" s="80"/>
    </row>
    <row r="2401" spans="5:35" x14ac:dyDescent="0.25">
      <c r="E2401" s="16"/>
      <c r="F2401" s="16"/>
      <c r="H2401" s="16"/>
      <c r="AG2401" s="80"/>
      <c r="AH2401" s="80"/>
      <c r="AI2401" s="80"/>
    </row>
    <row r="2402" spans="5:35" x14ac:dyDescent="0.25">
      <c r="E2402" s="16"/>
      <c r="F2402" s="16"/>
      <c r="H2402" s="16"/>
      <c r="AG2402" s="80"/>
      <c r="AH2402" s="80"/>
      <c r="AI2402" s="80"/>
    </row>
    <row r="2403" spans="5:35" x14ac:dyDescent="0.25">
      <c r="E2403" s="16"/>
      <c r="F2403" s="16"/>
      <c r="H2403" s="16"/>
      <c r="AG2403" s="80"/>
      <c r="AH2403" s="80"/>
      <c r="AI2403" s="80"/>
    </row>
    <row r="2404" spans="5:35" x14ac:dyDescent="0.25">
      <c r="E2404" s="16"/>
      <c r="F2404" s="16"/>
      <c r="H2404" s="16"/>
      <c r="AG2404" s="80"/>
      <c r="AH2404" s="80"/>
      <c r="AI2404" s="80"/>
    </row>
    <row r="2405" spans="5:35" x14ac:dyDescent="0.25">
      <c r="E2405" s="16"/>
      <c r="F2405" s="16"/>
      <c r="H2405" s="16"/>
      <c r="AG2405" s="80"/>
      <c r="AH2405" s="80"/>
      <c r="AI2405" s="80"/>
    </row>
    <row r="2406" spans="5:35" x14ac:dyDescent="0.25">
      <c r="E2406" s="16"/>
      <c r="F2406" s="16"/>
      <c r="H2406" s="16"/>
      <c r="AG2406" s="80"/>
      <c r="AH2406" s="80"/>
      <c r="AI2406" s="80"/>
    </row>
    <row r="2407" spans="5:35" x14ac:dyDescent="0.25">
      <c r="E2407" s="16"/>
      <c r="F2407" s="16"/>
      <c r="H2407" s="16"/>
      <c r="AG2407" s="80"/>
      <c r="AH2407" s="80"/>
      <c r="AI2407" s="80"/>
    </row>
    <row r="2408" spans="5:35" x14ac:dyDescent="0.25">
      <c r="E2408" s="16"/>
      <c r="F2408" s="16"/>
      <c r="H2408" s="16"/>
      <c r="AG2408" s="80"/>
      <c r="AH2408" s="80"/>
      <c r="AI2408" s="80"/>
    </row>
    <row r="2409" spans="5:35" x14ac:dyDescent="0.25">
      <c r="E2409" s="16"/>
      <c r="F2409" s="16"/>
      <c r="H2409" s="16"/>
      <c r="AG2409" s="80"/>
      <c r="AH2409" s="80"/>
      <c r="AI2409" s="80"/>
    </row>
    <row r="2410" spans="5:35" x14ac:dyDescent="0.25">
      <c r="E2410" s="16"/>
      <c r="F2410" s="16"/>
      <c r="H2410" s="16"/>
      <c r="AG2410" s="80"/>
      <c r="AH2410" s="80"/>
      <c r="AI2410" s="80"/>
    </row>
    <row r="2411" spans="5:35" x14ac:dyDescent="0.25">
      <c r="E2411" s="16"/>
      <c r="F2411" s="16"/>
      <c r="H2411" s="16"/>
      <c r="AG2411" s="80"/>
      <c r="AH2411" s="80"/>
      <c r="AI2411" s="80"/>
    </row>
    <row r="2412" spans="5:35" x14ac:dyDescent="0.25">
      <c r="E2412" s="16"/>
      <c r="F2412" s="16"/>
      <c r="H2412" s="16"/>
      <c r="AG2412" s="80"/>
      <c r="AH2412" s="80"/>
      <c r="AI2412" s="80"/>
    </row>
    <row r="2413" spans="5:35" x14ac:dyDescent="0.25">
      <c r="E2413" s="16"/>
      <c r="F2413" s="16"/>
      <c r="H2413" s="16"/>
      <c r="AG2413" s="80"/>
      <c r="AH2413" s="80"/>
      <c r="AI2413" s="80"/>
    </row>
    <row r="2414" spans="5:35" x14ac:dyDescent="0.25">
      <c r="E2414" s="16"/>
      <c r="F2414" s="16"/>
      <c r="H2414" s="16"/>
      <c r="AG2414" s="80"/>
      <c r="AH2414" s="80"/>
      <c r="AI2414" s="80"/>
    </row>
    <row r="2415" spans="5:35" x14ac:dyDescent="0.25">
      <c r="E2415" s="16"/>
      <c r="F2415" s="16"/>
      <c r="H2415" s="16"/>
      <c r="AG2415" s="80"/>
      <c r="AH2415" s="80"/>
      <c r="AI2415" s="80"/>
    </row>
    <row r="2416" spans="5:35" x14ac:dyDescent="0.25">
      <c r="E2416" s="16"/>
      <c r="F2416" s="16"/>
      <c r="H2416" s="16"/>
      <c r="AG2416" s="80"/>
      <c r="AH2416" s="80"/>
      <c r="AI2416" s="80"/>
    </row>
    <row r="2417" spans="5:35" x14ac:dyDescent="0.25">
      <c r="E2417" s="16"/>
      <c r="F2417" s="16"/>
      <c r="H2417" s="16"/>
      <c r="AG2417" s="80"/>
      <c r="AH2417" s="80"/>
      <c r="AI2417" s="80"/>
    </row>
    <row r="2418" spans="5:35" x14ac:dyDescent="0.25">
      <c r="E2418" s="16"/>
      <c r="F2418" s="16"/>
      <c r="H2418" s="16"/>
      <c r="AG2418" s="80"/>
      <c r="AH2418" s="80"/>
      <c r="AI2418" s="80"/>
    </row>
    <row r="2419" spans="5:35" x14ac:dyDescent="0.25">
      <c r="E2419" s="16"/>
      <c r="F2419" s="16"/>
      <c r="H2419" s="16"/>
      <c r="AG2419" s="80"/>
      <c r="AH2419" s="80"/>
      <c r="AI2419" s="80"/>
    </row>
    <row r="2420" spans="5:35" x14ac:dyDescent="0.25">
      <c r="E2420" s="16"/>
      <c r="F2420" s="16"/>
      <c r="H2420" s="16"/>
      <c r="AG2420" s="80"/>
      <c r="AH2420" s="80"/>
      <c r="AI2420" s="80"/>
    </row>
    <row r="2421" spans="5:35" x14ac:dyDescent="0.25">
      <c r="E2421" s="16"/>
      <c r="F2421" s="16"/>
      <c r="H2421" s="16"/>
      <c r="AG2421" s="80"/>
      <c r="AH2421" s="80"/>
      <c r="AI2421" s="80"/>
    </row>
    <row r="2422" spans="5:35" x14ac:dyDescent="0.25">
      <c r="E2422" s="16"/>
      <c r="F2422" s="16"/>
      <c r="H2422" s="16"/>
      <c r="AG2422" s="80"/>
      <c r="AH2422" s="80"/>
      <c r="AI2422" s="80"/>
    </row>
    <row r="2423" spans="5:35" x14ac:dyDescent="0.25">
      <c r="E2423" s="16"/>
      <c r="F2423" s="16"/>
      <c r="H2423" s="16"/>
      <c r="AG2423" s="80"/>
      <c r="AH2423" s="80"/>
      <c r="AI2423" s="80"/>
    </row>
    <row r="2424" spans="5:35" x14ac:dyDescent="0.25">
      <c r="E2424" s="16"/>
      <c r="F2424" s="16"/>
      <c r="H2424" s="16"/>
      <c r="AG2424" s="80"/>
      <c r="AH2424" s="80"/>
      <c r="AI2424" s="80"/>
    </row>
    <row r="2425" spans="5:35" x14ac:dyDescent="0.25">
      <c r="E2425" s="16"/>
      <c r="F2425" s="16"/>
      <c r="H2425" s="16"/>
      <c r="AG2425" s="80"/>
      <c r="AH2425" s="80"/>
      <c r="AI2425" s="80"/>
    </row>
    <row r="2426" spans="5:35" x14ac:dyDescent="0.25">
      <c r="E2426" s="16"/>
      <c r="F2426" s="16"/>
      <c r="H2426" s="16"/>
      <c r="AG2426" s="80"/>
      <c r="AH2426" s="80"/>
      <c r="AI2426" s="80"/>
    </row>
    <row r="2427" spans="5:35" x14ac:dyDescent="0.25">
      <c r="E2427" s="16"/>
      <c r="F2427" s="16"/>
      <c r="H2427" s="16"/>
      <c r="AG2427" s="80"/>
      <c r="AH2427" s="80"/>
      <c r="AI2427" s="80"/>
    </row>
    <row r="2428" spans="5:35" x14ac:dyDescent="0.25">
      <c r="E2428" s="16"/>
      <c r="F2428" s="16"/>
      <c r="H2428" s="16"/>
      <c r="AG2428" s="80"/>
      <c r="AH2428" s="80"/>
      <c r="AI2428" s="80"/>
    </row>
    <row r="2429" spans="5:35" x14ac:dyDescent="0.25">
      <c r="E2429" s="16"/>
      <c r="F2429" s="16"/>
      <c r="H2429" s="16"/>
      <c r="AG2429" s="80"/>
      <c r="AH2429" s="80"/>
      <c r="AI2429" s="80"/>
    </row>
    <row r="2430" spans="5:35" x14ac:dyDescent="0.25">
      <c r="E2430" s="16"/>
      <c r="F2430" s="16"/>
      <c r="H2430" s="16"/>
      <c r="AG2430" s="80"/>
      <c r="AH2430" s="80"/>
      <c r="AI2430" s="80"/>
    </row>
    <row r="2431" spans="5:35" x14ac:dyDescent="0.25">
      <c r="E2431" s="16"/>
      <c r="F2431" s="16"/>
      <c r="H2431" s="16"/>
      <c r="AG2431" s="80"/>
      <c r="AH2431" s="80"/>
      <c r="AI2431" s="80"/>
    </row>
    <row r="2432" spans="5:35" x14ac:dyDescent="0.25">
      <c r="E2432" s="16"/>
      <c r="F2432" s="16"/>
      <c r="H2432" s="16"/>
      <c r="AG2432" s="80"/>
      <c r="AH2432" s="80"/>
      <c r="AI2432" s="80"/>
    </row>
    <row r="2433" spans="5:35" x14ac:dyDescent="0.25">
      <c r="E2433" s="16"/>
      <c r="F2433" s="16"/>
      <c r="H2433" s="16"/>
      <c r="AG2433" s="80"/>
      <c r="AH2433" s="80"/>
      <c r="AI2433" s="80"/>
    </row>
    <row r="2434" spans="5:35" x14ac:dyDescent="0.25">
      <c r="E2434" s="16"/>
      <c r="F2434" s="16"/>
      <c r="H2434" s="16"/>
      <c r="AG2434" s="80"/>
      <c r="AH2434" s="80"/>
      <c r="AI2434" s="80"/>
    </row>
    <row r="2435" spans="5:35" x14ac:dyDescent="0.25">
      <c r="E2435" s="16"/>
      <c r="F2435" s="16"/>
      <c r="H2435" s="16"/>
      <c r="AG2435" s="80"/>
      <c r="AH2435" s="80"/>
      <c r="AI2435" s="80"/>
    </row>
    <row r="2436" spans="5:35" x14ac:dyDescent="0.25">
      <c r="E2436" s="16"/>
      <c r="F2436" s="16"/>
      <c r="H2436" s="16"/>
      <c r="AG2436" s="80"/>
      <c r="AH2436" s="80"/>
      <c r="AI2436" s="80"/>
    </row>
    <row r="2437" spans="5:35" x14ac:dyDescent="0.25">
      <c r="E2437" s="16"/>
      <c r="F2437" s="16"/>
      <c r="H2437" s="16"/>
      <c r="AG2437" s="80"/>
      <c r="AH2437" s="80"/>
      <c r="AI2437" s="80"/>
    </row>
    <row r="2438" spans="5:35" x14ac:dyDescent="0.25">
      <c r="E2438" s="16"/>
      <c r="F2438" s="16"/>
      <c r="H2438" s="16"/>
      <c r="AG2438" s="80"/>
      <c r="AH2438" s="80"/>
      <c r="AI2438" s="80"/>
    </row>
    <row r="2439" spans="5:35" x14ac:dyDescent="0.25">
      <c r="E2439" s="16"/>
      <c r="F2439" s="16"/>
      <c r="H2439" s="16"/>
      <c r="AG2439" s="80"/>
      <c r="AH2439" s="80"/>
      <c r="AI2439" s="80"/>
    </row>
    <row r="2440" spans="5:35" x14ac:dyDescent="0.25">
      <c r="E2440" s="16"/>
      <c r="F2440" s="16"/>
      <c r="H2440" s="16"/>
      <c r="AG2440" s="80"/>
      <c r="AH2440" s="80"/>
      <c r="AI2440" s="80"/>
    </row>
    <row r="2441" spans="5:35" x14ac:dyDescent="0.25">
      <c r="E2441" s="16"/>
      <c r="F2441" s="16"/>
      <c r="H2441" s="16"/>
      <c r="AG2441" s="80"/>
      <c r="AH2441" s="80"/>
      <c r="AI2441" s="80"/>
    </row>
    <row r="2442" spans="5:35" x14ac:dyDescent="0.25">
      <c r="E2442" s="16"/>
      <c r="F2442" s="16"/>
      <c r="H2442" s="16"/>
      <c r="AG2442" s="80"/>
      <c r="AH2442" s="80"/>
      <c r="AI2442" s="80"/>
    </row>
    <row r="2443" spans="5:35" x14ac:dyDescent="0.25">
      <c r="E2443" s="16"/>
      <c r="F2443" s="16"/>
      <c r="H2443" s="16"/>
      <c r="AG2443" s="80"/>
      <c r="AH2443" s="80"/>
      <c r="AI2443" s="80"/>
    </row>
    <row r="2444" spans="5:35" x14ac:dyDescent="0.25">
      <c r="E2444" s="16"/>
      <c r="F2444" s="16"/>
      <c r="H2444" s="16"/>
      <c r="AG2444" s="80"/>
      <c r="AH2444" s="80"/>
      <c r="AI2444" s="80"/>
    </row>
    <row r="2445" spans="5:35" x14ac:dyDescent="0.25">
      <c r="E2445" s="16"/>
      <c r="F2445" s="16"/>
      <c r="H2445" s="16"/>
      <c r="AG2445" s="80"/>
      <c r="AH2445" s="80"/>
      <c r="AI2445" s="80"/>
    </row>
    <row r="2446" spans="5:35" x14ac:dyDescent="0.25">
      <c r="E2446" s="16"/>
      <c r="F2446" s="16"/>
      <c r="H2446" s="16"/>
      <c r="AG2446" s="80"/>
      <c r="AH2446" s="80"/>
      <c r="AI2446" s="80"/>
    </row>
    <row r="2447" spans="5:35" x14ac:dyDescent="0.25">
      <c r="E2447" s="16"/>
      <c r="F2447" s="16"/>
      <c r="H2447" s="16"/>
      <c r="AG2447" s="80"/>
      <c r="AH2447" s="80"/>
      <c r="AI2447" s="80"/>
    </row>
    <row r="2448" spans="5:35" x14ac:dyDescent="0.25">
      <c r="E2448" s="16"/>
      <c r="F2448" s="16"/>
      <c r="H2448" s="16"/>
      <c r="AG2448" s="80"/>
      <c r="AH2448" s="80"/>
      <c r="AI2448" s="80"/>
    </row>
    <row r="2449" spans="5:35" x14ac:dyDescent="0.25">
      <c r="E2449" s="16"/>
      <c r="F2449" s="16"/>
      <c r="H2449" s="16"/>
      <c r="AG2449" s="80"/>
      <c r="AH2449" s="80"/>
      <c r="AI2449" s="80"/>
    </row>
    <row r="2450" spans="5:35" x14ac:dyDescent="0.25">
      <c r="E2450" s="16"/>
      <c r="F2450" s="16"/>
      <c r="H2450" s="16"/>
      <c r="AG2450" s="80"/>
      <c r="AH2450" s="80"/>
      <c r="AI2450" s="80"/>
    </row>
    <row r="2451" spans="5:35" x14ac:dyDescent="0.25">
      <c r="E2451" s="16"/>
      <c r="F2451" s="16"/>
      <c r="H2451" s="16"/>
      <c r="AG2451" s="80"/>
      <c r="AH2451" s="80"/>
      <c r="AI2451" s="80"/>
    </row>
    <row r="2452" spans="5:35" x14ac:dyDescent="0.25">
      <c r="E2452" s="16"/>
      <c r="F2452" s="16"/>
      <c r="H2452" s="16"/>
      <c r="AG2452" s="80"/>
      <c r="AH2452" s="80"/>
      <c r="AI2452" s="80"/>
    </row>
    <row r="2453" spans="5:35" x14ac:dyDescent="0.25">
      <c r="E2453" s="16"/>
      <c r="F2453" s="16"/>
      <c r="H2453" s="16"/>
      <c r="AG2453" s="80"/>
      <c r="AH2453" s="80"/>
      <c r="AI2453" s="80"/>
    </row>
    <row r="2454" spans="5:35" x14ac:dyDescent="0.25">
      <c r="E2454" s="16"/>
      <c r="F2454" s="16"/>
      <c r="H2454" s="16"/>
      <c r="AG2454" s="80"/>
      <c r="AH2454" s="80"/>
      <c r="AI2454" s="80"/>
    </row>
    <row r="2455" spans="5:35" x14ac:dyDescent="0.25">
      <c r="E2455" s="16"/>
      <c r="F2455" s="16"/>
      <c r="H2455" s="16"/>
      <c r="AG2455" s="80"/>
      <c r="AH2455" s="80"/>
      <c r="AI2455" s="80"/>
    </row>
    <row r="2456" spans="5:35" x14ac:dyDescent="0.25">
      <c r="E2456" s="16"/>
      <c r="F2456" s="16"/>
      <c r="H2456" s="16"/>
      <c r="AG2456" s="80"/>
      <c r="AH2456" s="80"/>
      <c r="AI2456" s="80"/>
    </row>
    <row r="2457" spans="5:35" x14ac:dyDescent="0.25">
      <c r="E2457" s="16"/>
      <c r="F2457" s="16"/>
      <c r="H2457" s="16"/>
      <c r="AG2457" s="80"/>
      <c r="AH2457" s="80"/>
      <c r="AI2457" s="80"/>
    </row>
    <row r="2458" spans="5:35" x14ac:dyDescent="0.25">
      <c r="E2458" s="16"/>
      <c r="F2458" s="16"/>
      <c r="H2458" s="16"/>
      <c r="AG2458" s="80"/>
      <c r="AH2458" s="80"/>
      <c r="AI2458" s="80"/>
    </row>
    <row r="2459" spans="5:35" x14ac:dyDescent="0.25">
      <c r="E2459" s="16"/>
      <c r="F2459" s="16"/>
      <c r="H2459" s="16"/>
      <c r="AG2459" s="80"/>
      <c r="AH2459" s="80"/>
      <c r="AI2459" s="80"/>
    </row>
    <row r="2460" spans="5:35" x14ac:dyDescent="0.25">
      <c r="E2460" s="16"/>
      <c r="F2460" s="16"/>
      <c r="H2460" s="16"/>
      <c r="AG2460" s="80"/>
      <c r="AH2460" s="80"/>
      <c r="AI2460" s="80"/>
    </row>
    <row r="2461" spans="5:35" x14ac:dyDescent="0.25">
      <c r="E2461" s="16"/>
      <c r="F2461" s="16"/>
      <c r="H2461" s="16"/>
      <c r="AG2461" s="80"/>
      <c r="AH2461" s="80"/>
      <c r="AI2461" s="80"/>
    </row>
    <row r="2462" spans="5:35" x14ac:dyDescent="0.25">
      <c r="E2462" s="16"/>
      <c r="F2462" s="16"/>
      <c r="H2462" s="16"/>
      <c r="AG2462" s="80"/>
      <c r="AH2462" s="80"/>
      <c r="AI2462" s="80"/>
    </row>
    <row r="2463" spans="5:35" x14ac:dyDescent="0.25">
      <c r="E2463" s="16"/>
      <c r="F2463" s="16"/>
      <c r="H2463" s="16"/>
      <c r="AG2463" s="80"/>
      <c r="AH2463" s="80"/>
      <c r="AI2463" s="80"/>
    </row>
    <row r="2464" spans="5:35" x14ac:dyDescent="0.25">
      <c r="E2464" s="16"/>
      <c r="F2464" s="16"/>
      <c r="H2464" s="16"/>
      <c r="AG2464" s="80"/>
      <c r="AH2464" s="80"/>
      <c r="AI2464" s="80"/>
    </row>
    <row r="2465" spans="5:35" x14ac:dyDescent="0.25">
      <c r="E2465" s="16"/>
      <c r="F2465" s="16"/>
      <c r="H2465" s="16"/>
      <c r="AG2465" s="80"/>
      <c r="AH2465" s="80"/>
      <c r="AI2465" s="80"/>
    </row>
    <row r="2466" spans="5:35" x14ac:dyDescent="0.25">
      <c r="E2466" s="16"/>
      <c r="F2466" s="16"/>
      <c r="H2466" s="16"/>
      <c r="AG2466" s="80"/>
      <c r="AH2466" s="80"/>
      <c r="AI2466" s="80"/>
    </row>
    <row r="2467" spans="5:35" x14ac:dyDescent="0.25">
      <c r="E2467" s="16"/>
      <c r="F2467" s="16"/>
      <c r="H2467" s="16"/>
      <c r="AG2467" s="80"/>
      <c r="AH2467" s="80"/>
      <c r="AI2467" s="80"/>
    </row>
    <row r="2468" spans="5:35" x14ac:dyDescent="0.25">
      <c r="E2468" s="16"/>
      <c r="F2468" s="16"/>
      <c r="H2468" s="16"/>
      <c r="AG2468" s="80"/>
      <c r="AH2468" s="80"/>
      <c r="AI2468" s="80"/>
    </row>
    <row r="2469" spans="5:35" x14ac:dyDescent="0.25">
      <c r="E2469" s="16"/>
      <c r="F2469" s="16"/>
      <c r="H2469" s="16"/>
      <c r="AG2469" s="80"/>
      <c r="AH2469" s="80"/>
      <c r="AI2469" s="80"/>
    </row>
    <row r="2470" spans="5:35" x14ac:dyDescent="0.25">
      <c r="E2470" s="16"/>
      <c r="F2470" s="16"/>
      <c r="H2470" s="16"/>
      <c r="AG2470" s="80"/>
      <c r="AH2470" s="80"/>
      <c r="AI2470" s="80"/>
    </row>
    <row r="2471" spans="5:35" x14ac:dyDescent="0.25">
      <c r="E2471" s="16"/>
      <c r="F2471" s="16"/>
      <c r="H2471" s="16"/>
      <c r="AG2471" s="80"/>
      <c r="AH2471" s="80"/>
      <c r="AI2471" s="80"/>
    </row>
    <row r="2472" spans="5:35" x14ac:dyDescent="0.25">
      <c r="E2472" s="16"/>
      <c r="F2472" s="16"/>
      <c r="H2472" s="16"/>
      <c r="AG2472" s="80"/>
      <c r="AH2472" s="80"/>
      <c r="AI2472" s="80"/>
    </row>
    <row r="2473" spans="5:35" x14ac:dyDescent="0.25">
      <c r="E2473" s="16"/>
      <c r="F2473" s="16"/>
      <c r="H2473" s="16"/>
      <c r="AG2473" s="80"/>
      <c r="AH2473" s="80"/>
      <c r="AI2473" s="80"/>
    </row>
    <row r="2474" spans="5:35" x14ac:dyDescent="0.25">
      <c r="E2474" s="16"/>
      <c r="F2474" s="16"/>
      <c r="H2474" s="16"/>
      <c r="AG2474" s="80"/>
      <c r="AH2474" s="80"/>
      <c r="AI2474" s="80"/>
    </row>
    <row r="2475" spans="5:35" x14ac:dyDescent="0.25">
      <c r="E2475" s="16"/>
      <c r="F2475" s="16"/>
      <c r="H2475" s="16"/>
      <c r="AG2475" s="80"/>
      <c r="AH2475" s="80"/>
      <c r="AI2475" s="80"/>
    </row>
    <row r="2476" spans="5:35" x14ac:dyDescent="0.25">
      <c r="E2476" s="16"/>
      <c r="F2476" s="16"/>
      <c r="H2476" s="16"/>
      <c r="AG2476" s="80"/>
      <c r="AH2476" s="80"/>
      <c r="AI2476" s="80"/>
    </row>
    <row r="2477" spans="5:35" x14ac:dyDescent="0.25">
      <c r="E2477" s="16"/>
      <c r="F2477" s="16"/>
      <c r="H2477" s="16"/>
      <c r="AG2477" s="80"/>
      <c r="AH2477" s="80"/>
      <c r="AI2477" s="80"/>
    </row>
    <row r="2478" spans="5:35" x14ac:dyDescent="0.25">
      <c r="E2478" s="16"/>
      <c r="F2478" s="16"/>
      <c r="H2478" s="16"/>
      <c r="AG2478" s="80"/>
      <c r="AH2478" s="80"/>
      <c r="AI2478" s="80"/>
    </row>
    <row r="2479" spans="5:35" x14ac:dyDescent="0.25">
      <c r="E2479" s="16"/>
      <c r="F2479" s="16"/>
      <c r="H2479" s="16"/>
      <c r="AG2479" s="80"/>
      <c r="AH2479" s="80"/>
      <c r="AI2479" s="80"/>
    </row>
    <row r="2480" spans="5:35" x14ac:dyDescent="0.25">
      <c r="E2480" s="16"/>
      <c r="F2480" s="16"/>
      <c r="H2480" s="16"/>
      <c r="AG2480" s="80"/>
      <c r="AH2480" s="80"/>
      <c r="AI2480" s="80"/>
    </row>
    <row r="2481" spans="5:35" x14ac:dyDescent="0.25">
      <c r="E2481" s="16"/>
      <c r="F2481" s="16"/>
      <c r="H2481" s="16"/>
      <c r="AG2481" s="80"/>
      <c r="AH2481" s="80"/>
      <c r="AI2481" s="80"/>
    </row>
    <row r="2482" spans="5:35" x14ac:dyDescent="0.25">
      <c r="E2482" s="16"/>
      <c r="F2482" s="16"/>
      <c r="H2482" s="16"/>
      <c r="AG2482" s="80"/>
      <c r="AH2482" s="80"/>
      <c r="AI2482" s="80"/>
    </row>
    <row r="2483" spans="5:35" x14ac:dyDescent="0.25">
      <c r="E2483" s="16"/>
      <c r="F2483" s="16"/>
      <c r="H2483" s="16"/>
      <c r="AG2483" s="80"/>
      <c r="AH2483" s="80"/>
      <c r="AI2483" s="80"/>
    </row>
    <row r="2484" spans="5:35" x14ac:dyDescent="0.25">
      <c r="E2484" s="16"/>
      <c r="F2484" s="16"/>
      <c r="H2484" s="16"/>
      <c r="AG2484" s="80"/>
      <c r="AH2484" s="80"/>
      <c r="AI2484" s="80"/>
    </row>
    <row r="2485" spans="5:35" x14ac:dyDescent="0.25">
      <c r="E2485" s="16"/>
      <c r="F2485" s="16"/>
      <c r="H2485" s="16"/>
      <c r="AG2485" s="80"/>
      <c r="AH2485" s="80"/>
      <c r="AI2485" s="80"/>
    </row>
    <row r="2486" spans="5:35" x14ac:dyDescent="0.25">
      <c r="E2486" s="16"/>
      <c r="F2486" s="16"/>
      <c r="H2486" s="16"/>
      <c r="AG2486" s="80"/>
      <c r="AH2486" s="80"/>
      <c r="AI2486" s="80"/>
    </row>
    <row r="2487" spans="5:35" x14ac:dyDescent="0.25">
      <c r="E2487" s="16"/>
      <c r="F2487" s="16"/>
      <c r="H2487" s="16"/>
      <c r="AG2487" s="80"/>
      <c r="AH2487" s="80"/>
      <c r="AI2487" s="80"/>
    </row>
    <row r="2488" spans="5:35" x14ac:dyDescent="0.25">
      <c r="E2488" s="16"/>
      <c r="F2488" s="16"/>
      <c r="H2488" s="16"/>
      <c r="AG2488" s="80"/>
      <c r="AH2488" s="80"/>
      <c r="AI2488" s="80"/>
    </row>
    <row r="2489" spans="5:35" x14ac:dyDescent="0.25">
      <c r="E2489" s="16"/>
      <c r="F2489" s="16"/>
      <c r="H2489" s="16"/>
      <c r="AG2489" s="80"/>
      <c r="AH2489" s="80"/>
      <c r="AI2489" s="80"/>
    </row>
    <row r="2490" spans="5:35" x14ac:dyDescent="0.25">
      <c r="E2490" s="16"/>
      <c r="F2490" s="16"/>
      <c r="H2490" s="16"/>
      <c r="AG2490" s="80"/>
      <c r="AH2490" s="80"/>
      <c r="AI2490" s="80"/>
    </row>
    <row r="2491" spans="5:35" x14ac:dyDescent="0.25">
      <c r="E2491" s="16"/>
      <c r="F2491" s="16"/>
      <c r="H2491" s="16"/>
      <c r="AG2491" s="80"/>
      <c r="AH2491" s="80"/>
      <c r="AI2491" s="80"/>
    </row>
    <row r="2492" spans="5:35" x14ac:dyDescent="0.25">
      <c r="E2492" s="16"/>
      <c r="F2492" s="16"/>
      <c r="H2492" s="16"/>
      <c r="AG2492" s="80"/>
      <c r="AH2492" s="80"/>
      <c r="AI2492" s="80"/>
    </row>
    <row r="2493" spans="5:35" x14ac:dyDescent="0.25">
      <c r="E2493" s="16"/>
      <c r="F2493" s="16"/>
      <c r="H2493" s="16"/>
      <c r="AG2493" s="80"/>
      <c r="AH2493" s="80"/>
      <c r="AI2493" s="80"/>
    </row>
    <row r="2494" spans="5:35" x14ac:dyDescent="0.25">
      <c r="E2494" s="16"/>
      <c r="F2494" s="16"/>
      <c r="H2494" s="16"/>
      <c r="AG2494" s="80"/>
      <c r="AH2494" s="80"/>
      <c r="AI2494" s="80"/>
    </row>
    <row r="2495" spans="5:35" x14ac:dyDescent="0.25">
      <c r="E2495" s="16"/>
      <c r="F2495" s="16"/>
      <c r="H2495" s="16"/>
      <c r="AG2495" s="80"/>
      <c r="AH2495" s="80"/>
      <c r="AI2495" s="80"/>
    </row>
    <row r="2496" spans="5:35" x14ac:dyDescent="0.25">
      <c r="E2496" s="16"/>
      <c r="F2496" s="16"/>
      <c r="H2496" s="16"/>
      <c r="AG2496" s="80"/>
      <c r="AH2496" s="80"/>
      <c r="AI2496" s="80"/>
    </row>
    <row r="2497" spans="5:35" x14ac:dyDescent="0.25">
      <c r="E2497" s="16"/>
      <c r="F2497" s="16"/>
      <c r="H2497" s="16"/>
      <c r="AG2497" s="80"/>
      <c r="AH2497" s="80"/>
      <c r="AI2497" s="80"/>
    </row>
    <row r="2498" spans="5:35" x14ac:dyDescent="0.25">
      <c r="E2498" s="16"/>
      <c r="F2498" s="16"/>
      <c r="H2498" s="16"/>
      <c r="AG2498" s="80"/>
      <c r="AH2498" s="80"/>
      <c r="AI2498" s="80"/>
    </row>
    <row r="2499" spans="5:35" x14ac:dyDescent="0.25">
      <c r="E2499" s="16"/>
      <c r="F2499" s="16"/>
      <c r="H2499" s="16"/>
      <c r="AG2499" s="80"/>
      <c r="AH2499" s="80"/>
      <c r="AI2499" s="80"/>
    </row>
    <row r="2500" spans="5:35" x14ac:dyDescent="0.25">
      <c r="E2500" s="16"/>
      <c r="F2500" s="16"/>
      <c r="H2500" s="16"/>
      <c r="AG2500" s="80"/>
      <c r="AH2500" s="80"/>
      <c r="AI2500" s="80"/>
    </row>
    <row r="2501" spans="5:35" x14ac:dyDescent="0.25">
      <c r="E2501" s="16"/>
      <c r="F2501" s="16"/>
      <c r="H2501" s="16"/>
      <c r="AG2501" s="80"/>
      <c r="AH2501" s="80"/>
      <c r="AI2501" s="80"/>
    </row>
    <row r="2502" spans="5:35" x14ac:dyDescent="0.25">
      <c r="E2502" s="16"/>
      <c r="F2502" s="16"/>
      <c r="H2502" s="16"/>
      <c r="AG2502" s="80"/>
      <c r="AH2502" s="80"/>
      <c r="AI2502" s="80"/>
    </row>
    <row r="2503" spans="5:35" x14ac:dyDescent="0.25">
      <c r="E2503" s="16"/>
      <c r="F2503" s="16"/>
      <c r="H2503" s="16"/>
      <c r="AG2503" s="80"/>
      <c r="AH2503" s="80"/>
      <c r="AI2503" s="80"/>
    </row>
    <row r="2504" spans="5:35" x14ac:dyDescent="0.25">
      <c r="E2504" s="16"/>
      <c r="F2504" s="16"/>
      <c r="H2504" s="16"/>
      <c r="AG2504" s="80"/>
      <c r="AH2504" s="80"/>
      <c r="AI2504" s="80"/>
    </row>
    <row r="2505" spans="5:35" x14ac:dyDescent="0.25">
      <c r="E2505" s="16"/>
      <c r="F2505" s="16"/>
      <c r="H2505" s="16"/>
      <c r="AG2505" s="80"/>
      <c r="AH2505" s="80"/>
      <c r="AI2505" s="80"/>
    </row>
    <row r="2506" spans="5:35" x14ac:dyDescent="0.25">
      <c r="E2506" s="16"/>
      <c r="F2506" s="16"/>
      <c r="H2506" s="16"/>
      <c r="AG2506" s="80"/>
      <c r="AH2506" s="80"/>
      <c r="AI2506" s="80"/>
    </row>
    <row r="2507" spans="5:35" x14ac:dyDescent="0.25">
      <c r="E2507" s="16"/>
      <c r="F2507" s="16"/>
      <c r="H2507" s="16"/>
      <c r="AG2507" s="80"/>
      <c r="AH2507" s="80"/>
      <c r="AI2507" s="80"/>
    </row>
    <row r="2508" spans="5:35" x14ac:dyDescent="0.25">
      <c r="E2508" s="16"/>
      <c r="F2508" s="16"/>
      <c r="H2508" s="16"/>
      <c r="AG2508" s="80"/>
      <c r="AH2508" s="80"/>
      <c r="AI2508" s="80"/>
    </row>
    <row r="2509" spans="5:35" x14ac:dyDescent="0.25">
      <c r="E2509" s="16"/>
      <c r="F2509" s="16"/>
      <c r="H2509" s="16"/>
      <c r="AG2509" s="80"/>
      <c r="AH2509" s="80"/>
      <c r="AI2509" s="80"/>
    </row>
    <row r="2510" spans="5:35" x14ac:dyDescent="0.25">
      <c r="E2510" s="16"/>
      <c r="F2510" s="16"/>
      <c r="H2510" s="16"/>
      <c r="AG2510" s="80"/>
      <c r="AH2510" s="80"/>
      <c r="AI2510" s="80"/>
    </row>
    <row r="2511" spans="5:35" x14ac:dyDescent="0.25">
      <c r="E2511" s="16"/>
      <c r="F2511" s="16"/>
      <c r="H2511" s="16"/>
      <c r="AG2511" s="80"/>
      <c r="AH2511" s="80"/>
      <c r="AI2511" s="80"/>
    </row>
    <row r="2512" spans="5:35" x14ac:dyDescent="0.25">
      <c r="E2512" s="16"/>
      <c r="F2512" s="16"/>
      <c r="H2512" s="16"/>
      <c r="AG2512" s="80"/>
      <c r="AH2512" s="80"/>
      <c r="AI2512" s="80"/>
    </row>
    <row r="2513" spans="5:35" x14ac:dyDescent="0.25">
      <c r="E2513" s="16"/>
      <c r="F2513" s="16"/>
      <c r="H2513" s="16"/>
      <c r="AG2513" s="80"/>
      <c r="AH2513" s="80"/>
      <c r="AI2513" s="80"/>
    </row>
    <row r="2514" spans="5:35" x14ac:dyDescent="0.25">
      <c r="E2514" s="16"/>
      <c r="F2514" s="16"/>
      <c r="H2514" s="16"/>
      <c r="AG2514" s="80"/>
      <c r="AH2514" s="80"/>
      <c r="AI2514" s="80"/>
    </row>
    <row r="2515" spans="5:35" x14ac:dyDescent="0.25">
      <c r="E2515" s="16"/>
      <c r="F2515" s="16"/>
      <c r="H2515" s="16"/>
      <c r="AG2515" s="80"/>
      <c r="AH2515" s="80"/>
      <c r="AI2515" s="80"/>
    </row>
    <row r="2516" spans="5:35" x14ac:dyDescent="0.25">
      <c r="E2516" s="16"/>
      <c r="F2516" s="16"/>
      <c r="H2516" s="16"/>
      <c r="AG2516" s="80"/>
      <c r="AH2516" s="80"/>
      <c r="AI2516" s="80"/>
    </row>
    <row r="2517" spans="5:35" x14ac:dyDescent="0.25">
      <c r="E2517" s="16"/>
      <c r="F2517" s="16"/>
      <c r="H2517" s="16"/>
      <c r="AG2517" s="80"/>
      <c r="AH2517" s="80"/>
      <c r="AI2517" s="80"/>
    </row>
    <row r="2518" spans="5:35" x14ac:dyDescent="0.25">
      <c r="E2518" s="16"/>
      <c r="F2518" s="16"/>
      <c r="H2518" s="16"/>
      <c r="AG2518" s="80"/>
      <c r="AH2518" s="80"/>
      <c r="AI2518" s="80"/>
    </row>
    <row r="2519" spans="5:35" x14ac:dyDescent="0.25">
      <c r="E2519" s="16"/>
      <c r="F2519" s="16"/>
      <c r="H2519" s="16"/>
      <c r="AG2519" s="80"/>
      <c r="AH2519" s="80"/>
      <c r="AI2519" s="80"/>
    </row>
    <row r="2520" spans="5:35" x14ac:dyDescent="0.25">
      <c r="E2520" s="16"/>
      <c r="F2520" s="16"/>
      <c r="H2520" s="16"/>
      <c r="AG2520" s="80"/>
      <c r="AH2520" s="80"/>
      <c r="AI2520" s="80"/>
    </row>
    <row r="2521" spans="5:35" x14ac:dyDescent="0.25">
      <c r="E2521" s="16"/>
      <c r="F2521" s="16"/>
      <c r="H2521" s="16"/>
      <c r="AG2521" s="80"/>
      <c r="AH2521" s="80"/>
      <c r="AI2521" s="80"/>
    </row>
    <row r="2522" spans="5:35" x14ac:dyDescent="0.25">
      <c r="E2522" s="16"/>
      <c r="F2522" s="16"/>
      <c r="H2522" s="16"/>
      <c r="AG2522" s="80"/>
      <c r="AH2522" s="80"/>
      <c r="AI2522" s="80"/>
    </row>
    <row r="2523" spans="5:35" x14ac:dyDescent="0.25">
      <c r="E2523" s="16"/>
      <c r="F2523" s="16"/>
      <c r="H2523" s="16"/>
      <c r="AG2523" s="80"/>
      <c r="AH2523" s="80"/>
      <c r="AI2523" s="80"/>
    </row>
    <row r="2524" spans="5:35" x14ac:dyDescent="0.25">
      <c r="E2524" s="16"/>
      <c r="F2524" s="16"/>
      <c r="H2524" s="16"/>
      <c r="AG2524" s="80"/>
      <c r="AH2524" s="80"/>
      <c r="AI2524" s="80"/>
    </row>
    <row r="2525" spans="5:35" x14ac:dyDescent="0.25">
      <c r="E2525" s="16"/>
      <c r="F2525" s="16"/>
      <c r="H2525" s="16"/>
      <c r="AG2525" s="80"/>
      <c r="AH2525" s="80"/>
      <c r="AI2525" s="80"/>
    </row>
    <row r="2526" spans="5:35" x14ac:dyDescent="0.25">
      <c r="E2526" s="16"/>
      <c r="F2526" s="16"/>
      <c r="H2526" s="16"/>
      <c r="AG2526" s="80"/>
      <c r="AH2526" s="80"/>
      <c r="AI2526" s="80"/>
    </row>
    <row r="2527" spans="5:35" x14ac:dyDescent="0.25">
      <c r="E2527" s="16"/>
      <c r="F2527" s="16"/>
      <c r="H2527" s="16"/>
      <c r="AG2527" s="80"/>
      <c r="AH2527" s="80"/>
      <c r="AI2527" s="80"/>
    </row>
    <row r="2528" spans="5:35" x14ac:dyDescent="0.25">
      <c r="E2528" s="16"/>
      <c r="F2528" s="16"/>
      <c r="H2528" s="16"/>
      <c r="AG2528" s="80"/>
      <c r="AH2528" s="80"/>
      <c r="AI2528" s="80"/>
    </row>
    <row r="2529" spans="5:35" x14ac:dyDescent="0.25">
      <c r="E2529" s="16"/>
      <c r="F2529" s="16"/>
      <c r="H2529" s="16"/>
      <c r="AG2529" s="80"/>
      <c r="AH2529" s="80"/>
      <c r="AI2529" s="80"/>
    </row>
    <row r="2530" spans="5:35" x14ac:dyDescent="0.25">
      <c r="E2530" s="16"/>
      <c r="F2530" s="16"/>
      <c r="H2530" s="16"/>
      <c r="AG2530" s="80"/>
      <c r="AH2530" s="80"/>
      <c r="AI2530" s="80"/>
    </row>
    <row r="2531" spans="5:35" x14ac:dyDescent="0.25">
      <c r="E2531" s="16"/>
      <c r="F2531" s="16"/>
      <c r="H2531" s="16"/>
      <c r="AG2531" s="80"/>
      <c r="AH2531" s="80"/>
      <c r="AI2531" s="80"/>
    </row>
    <row r="2532" spans="5:35" x14ac:dyDescent="0.25">
      <c r="E2532" s="16"/>
      <c r="F2532" s="16"/>
      <c r="H2532" s="16"/>
      <c r="AG2532" s="80"/>
      <c r="AH2532" s="80"/>
      <c r="AI2532" s="80"/>
    </row>
    <row r="2533" spans="5:35" x14ac:dyDescent="0.25">
      <c r="E2533" s="16"/>
      <c r="F2533" s="16"/>
      <c r="H2533" s="16"/>
      <c r="AG2533" s="80"/>
      <c r="AH2533" s="80"/>
      <c r="AI2533" s="80"/>
    </row>
    <row r="2534" spans="5:35" x14ac:dyDescent="0.25">
      <c r="E2534" s="16"/>
      <c r="F2534" s="16"/>
      <c r="H2534" s="16"/>
      <c r="AG2534" s="80"/>
      <c r="AH2534" s="80"/>
      <c r="AI2534" s="80"/>
    </row>
    <row r="2535" spans="5:35" x14ac:dyDescent="0.25">
      <c r="E2535" s="16"/>
      <c r="F2535" s="16"/>
      <c r="H2535" s="16"/>
      <c r="AG2535" s="80"/>
      <c r="AH2535" s="80"/>
      <c r="AI2535" s="80"/>
    </row>
    <row r="2536" spans="5:35" x14ac:dyDescent="0.25">
      <c r="E2536" s="16"/>
      <c r="F2536" s="16"/>
      <c r="H2536" s="16"/>
      <c r="AG2536" s="80"/>
      <c r="AH2536" s="80"/>
      <c r="AI2536" s="80"/>
    </row>
    <row r="2537" spans="5:35" x14ac:dyDescent="0.25">
      <c r="E2537" s="16"/>
      <c r="F2537" s="16"/>
      <c r="H2537" s="16"/>
      <c r="AG2537" s="80"/>
      <c r="AH2537" s="80"/>
      <c r="AI2537" s="80"/>
    </row>
    <row r="2538" spans="5:35" x14ac:dyDescent="0.25">
      <c r="E2538" s="16"/>
      <c r="F2538" s="16"/>
      <c r="H2538" s="16"/>
      <c r="AG2538" s="80"/>
      <c r="AH2538" s="80"/>
      <c r="AI2538" s="80"/>
    </row>
    <row r="2539" spans="5:35" x14ac:dyDescent="0.25">
      <c r="E2539" s="16"/>
      <c r="F2539" s="16"/>
      <c r="H2539" s="16"/>
      <c r="AG2539" s="80"/>
      <c r="AH2539" s="80"/>
      <c r="AI2539" s="80"/>
    </row>
    <row r="2540" spans="5:35" x14ac:dyDescent="0.25">
      <c r="E2540" s="16"/>
      <c r="F2540" s="16"/>
      <c r="H2540" s="16"/>
      <c r="AG2540" s="80"/>
      <c r="AH2540" s="80"/>
      <c r="AI2540" s="80"/>
    </row>
    <row r="2541" spans="5:35" x14ac:dyDescent="0.25">
      <c r="E2541" s="16"/>
      <c r="F2541" s="16"/>
      <c r="H2541" s="16"/>
      <c r="AG2541" s="80"/>
      <c r="AH2541" s="80"/>
      <c r="AI2541" s="80"/>
    </row>
    <row r="2542" spans="5:35" x14ac:dyDescent="0.25">
      <c r="E2542" s="16"/>
      <c r="F2542" s="16"/>
      <c r="H2542" s="16"/>
      <c r="AG2542" s="80"/>
      <c r="AH2542" s="80"/>
      <c r="AI2542" s="80"/>
    </row>
    <row r="2543" spans="5:35" x14ac:dyDescent="0.25">
      <c r="E2543" s="16"/>
      <c r="F2543" s="16"/>
      <c r="H2543" s="16"/>
      <c r="AG2543" s="80"/>
      <c r="AH2543" s="80"/>
      <c r="AI2543" s="80"/>
    </row>
    <row r="2544" spans="5:35" x14ac:dyDescent="0.25">
      <c r="E2544" s="16"/>
      <c r="F2544" s="16"/>
      <c r="H2544" s="16"/>
      <c r="AG2544" s="80"/>
      <c r="AH2544" s="80"/>
      <c r="AI2544" s="80"/>
    </row>
    <row r="2545" spans="5:35" x14ac:dyDescent="0.25">
      <c r="E2545" s="16"/>
      <c r="F2545" s="16"/>
      <c r="H2545" s="16"/>
      <c r="AG2545" s="80"/>
      <c r="AH2545" s="80"/>
      <c r="AI2545" s="80"/>
    </row>
    <row r="2546" spans="5:35" x14ac:dyDescent="0.25">
      <c r="E2546" s="16"/>
      <c r="F2546" s="16"/>
      <c r="H2546" s="16"/>
      <c r="AG2546" s="80"/>
      <c r="AH2546" s="80"/>
      <c r="AI2546" s="80"/>
    </row>
    <row r="2547" spans="5:35" x14ac:dyDescent="0.25">
      <c r="E2547" s="16"/>
      <c r="F2547" s="16"/>
      <c r="H2547" s="16"/>
      <c r="AG2547" s="80"/>
      <c r="AH2547" s="80"/>
      <c r="AI2547" s="80"/>
    </row>
    <row r="2548" spans="5:35" x14ac:dyDescent="0.25">
      <c r="E2548" s="16"/>
      <c r="F2548" s="16"/>
      <c r="H2548" s="16"/>
      <c r="AG2548" s="80"/>
      <c r="AH2548" s="80"/>
      <c r="AI2548" s="80"/>
    </row>
    <row r="2549" spans="5:35" x14ac:dyDescent="0.25">
      <c r="E2549" s="16"/>
      <c r="F2549" s="16"/>
      <c r="H2549" s="16"/>
      <c r="AG2549" s="80"/>
      <c r="AH2549" s="80"/>
      <c r="AI2549" s="80"/>
    </row>
    <row r="2550" spans="5:35" x14ac:dyDescent="0.25">
      <c r="E2550" s="16"/>
      <c r="F2550" s="16"/>
      <c r="H2550" s="16"/>
      <c r="AG2550" s="80"/>
      <c r="AH2550" s="80"/>
      <c r="AI2550" s="80"/>
    </row>
    <row r="2551" spans="5:35" x14ac:dyDescent="0.25">
      <c r="E2551" s="16"/>
      <c r="F2551" s="16"/>
      <c r="H2551" s="16"/>
      <c r="AG2551" s="80"/>
      <c r="AH2551" s="80"/>
      <c r="AI2551" s="80"/>
    </row>
    <row r="2552" spans="5:35" x14ac:dyDescent="0.25">
      <c r="E2552" s="16"/>
      <c r="F2552" s="16"/>
      <c r="H2552" s="16"/>
      <c r="AG2552" s="80"/>
      <c r="AH2552" s="80"/>
      <c r="AI2552" s="80"/>
    </row>
    <row r="2553" spans="5:35" x14ac:dyDescent="0.25">
      <c r="E2553" s="16"/>
      <c r="F2553" s="16"/>
      <c r="H2553" s="16"/>
      <c r="AG2553" s="80"/>
      <c r="AH2553" s="80"/>
      <c r="AI2553" s="80"/>
    </row>
    <row r="2554" spans="5:35" x14ac:dyDescent="0.25">
      <c r="E2554" s="16"/>
      <c r="F2554" s="16"/>
      <c r="H2554" s="16"/>
      <c r="AG2554" s="80"/>
      <c r="AH2554" s="80"/>
      <c r="AI2554" s="80"/>
    </row>
    <row r="2555" spans="5:35" x14ac:dyDescent="0.25">
      <c r="E2555" s="16"/>
      <c r="F2555" s="16"/>
      <c r="H2555" s="16"/>
      <c r="AG2555" s="80"/>
      <c r="AH2555" s="80"/>
      <c r="AI2555" s="80"/>
    </row>
    <row r="2556" spans="5:35" x14ac:dyDescent="0.25">
      <c r="E2556" s="16"/>
      <c r="F2556" s="16"/>
      <c r="H2556" s="16"/>
      <c r="AG2556" s="80"/>
      <c r="AH2556" s="80"/>
      <c r="AI2556" s="80"/>
    </row>
    <row r="2557" spans="5:35" x14ac:dyDescent="0.25">
      <c r="E2557" s="16"/>
      <c r="F2557" s="16"/>
      <c r="H2557" s="16"/>
      <c r="AG2557" s="80"/>
      <c r="AH2557" s="80"/>
      <c r="AI2557" s="80"/>
    </row>
    <row r="2558" spans="5:35" x14ac:dyDescent="0.25">
      <c r="E2558" s="16"/>
      <c r="F2558" s="16"/>
      <c r="H2558" s="16"/>
      <c r="AG2558" s="80"/>
      <c r="AH2558" s="80"/>
      <c r="AI2558" s="80"/>
    </row>
    <row r="2559" spans="5:35" x14ac:dyDescent="0.25">
      <c r="E2559" s="16"/>
      <c r="F2559" s="16"/>
      <c r="H2559" s="16"/>
      <c r="AG2559" s="80"/>
      <c r="AH2559" s="80"/>
      <c r="AI2559" s="80"/>
    </row>
    <row r="2560" spans="5:35" x14ac:dyDescent="0.25">
      <c r="E2560" s="16"/>
      <c r="F2560" s="16"/>
      <c r="H2560" s="16"/>
      <c r="AG2560" s="80"/>
      <c r="AH2560" s="80"/>
      <c r="AI2560" s="80"/>
    </row>
    <row r="2561" spans="5:35" x14ac:dyDescent="0.25">
      <c r="E2561" s="16"/>
      <c r="F2561" s="16"/>
      <c r="H2561" s="16"/>
      <c r="AG2561" s="80"/>
      <c r="AH2561" s="80"/>
      <c r="AI2561" s="80"/>
    </row>
    <row r="2562" spans="5:35" x14ac:dyDescent="0.25">
      <c r="E2562" s="16"/>
      <c r="F2562" s="16"/>
      <c r="H2562" s="16"/>
      <c r="AG2562" s="80"/>
      <c r="AH2562" s="80"/>
      <c r="AI2562" s="80"/>
    </row>
    <row r="2563" spans="5:35" x14ac:dyDescent="0.25">
      <c r="E2563" s="16"/>
      <c r="F2563" s="16"/>
      <c r="H2563" s="16"/>
      <c r="AG2563" s="80"/>
      <c r="AH2563" s="80"/>
      <c r="AI2563" s="80"/>
    </row>
    <row r="2564" spans="5:35" x14ac:dyDescent="0.25">
      <c r="E2564" s="16"/>
      <c r="F2564" s="16"/>
      <c r="H2564" s="16"/>
      <c r="AG2564" s="80"/>
      <c r="AH2564" s="80"/>
      <c r="AI2564" s="80"/>
    </row>
    <row r="2565" spans="5:35" x14ac:dyDescent="0.25">
      <c r="E2565" s="16"/>
      <c r="F2565" s="16"/>
      <c r="H2565" s="16"/>
      <c r="AG2565" s="80"/>
      <c r="AH2565" s="80"/>
      <c r="AI2565" s="80"/>
    </row>
    <row r="2566" spans="5:35" x14ac:dyDescent="0.25">
      <c r="E2566" s="16"/>
      <c r="F2566" s="16"/>
      <c r="H2566" s="16"/>
      <c r="AG2566" s="80"/>
      <c r="AH2566" s="80"/>
      <c r="AI2566" s="80"/>
    </row>
    <row r="2567" spans="5:35" x14ac:dyDescent="0.25">
      <c r="E2567" s="16"/>
      <c r="F2567" s="16"/>
      <c r="H2567" s="16"/>
      <c r="AG2567" s="80"/>
      <c r="AH2567" s="80"/>
      <c r="AI2567" s="80"/>
    </row>
    <row r="2568" spans="5:35" x14ac:dyDescent="0.25">
      <c r="E2568" s="16"/>
      <c r="F2568" s="16"/>
      <c r="H2568" s="16"/>
      <c r="AG2568" s="80"/>
      <c r="AH2568" s="80"/>
      <c r="AI2568" s="80"/>
    </row>
    <row r="2569" spans="5:35" x14ac:dyDescent="0.25">
      <c r="E2569" s="16"/>
      <c r="F2569" s="16"/>
      <c r="H2569" s="16"/>
      <c r="AG2569" s="80"/>
      <c r="AH2569" s="80"/>
      <c r="AI2569" s="80"/>
    </row>
    <row r="2570" spans="5:35" x14ac:dyDescent="0.25">
      <c r="E2570" s="16"/>
      <c r="F2570" s="16"/>
      <c r="H2570" s="16"/>
      <c r="AG2570" s="80"/>
      <c r="AH2570" s="80"/>
      <c r="AI2570" s="80"/>
    </row>
    <row r="2571" spans="5:35" x14ac:dyDescent="0.25">
      <c r="E2571" s="16"/>
      <c r="F2571" s="16"/>
      <c r="H2571" s="16"/>
      <c r="AG2571" s="80"/>
      <c r="AH2571" s="80"/>
      <c r="AI2571" s="80"/>
    </row>
    <row r="2572" spans="5:35" x14ac:dyDescent="0.25">
      <c r="E2572" s="16"/>
      <c r="F2572" s="16"/>
      <c r="H2572" s="16"/>
      <c r="AG2572" s="80"/>
      <c r="AH2572" s="80"/>
      <c r="AI2572" s="80"/>
    </row>
    <row r="2573" spans="5:35" x14ac:dyDescent="0.25">
      <c r="E2573" s="16"/>
      <c r="F2573" s="16"/>
      <c r="H2573" s="16"/>
      <c r="AG2573" s="80"/>
      <c r="AH2573" s="80"/>
      <c r="AI2573" s="80"/>
    </row>
    <row r="2574" spans="5:35" x14ac:dyDescent="0.25">
      <c r="E2574" s="16"/>
      <c r="F2574" s="16"/>
      <c r="H2574" s="16"/>
      <c r="AG2574" s="80"/>
      <c r="AH2574" s="80"/>
      <c r="AI2574" s="80"/>
    </row>
    <row r="2575" spans="5:35" x14ac:dyDescent="0.25">
      <c r="E2575" s="16"/>
      <c r="F2575" s="16"/>
      <c r="H2575" s="16"/>
      <c r="AG2575" s="80"/>
      <c r="AH2575" s="80"/>
      <c r="AI2575" s="80"/>
    </row>
    <row r="2576" spans="5:35" x14ac:dyDescent="0.25">
      <c r="E2576" s="16"/>
      <c r="F2576" s="16"/>
      <c r="H2576" s="16"/>
      <c r="AG2576" s="80"/>
      <c r="AH2576" s="80"/>
      <c r="AI2576" s="80"/>
    </row>
    <row r="2577" spans="5:35" x14ac:dyDescent="0.25">
      <c r="E2577" s="16"/>
      <c r="F2577" s="16"/>
      <c r="H2577" s="16"/>
      <c r="AG2577" s="80"/>
      <c r="AH2577" s="80"/>
      <c r="AI2577" s="80"/>
    </row>
    <row r="2578" spans="5:35" x14ac:dyDescent="0.25">
      <c r="E2578" s="16"/>
      <c r="F2578" s="16"/>
      <c r="H2578" s="16"/>
      <c r="AG2578" s="80"/>
      <c r="AH2578" s="80"/>
      <c r="AI2578" s="80"/>
    </row>
    <row r="2579" spans="5:35" x14ac:dyDescent="0.25">
      <c r="E2579" s="16"/>
      <c r="F2579" s="16"/>
      <c r="H2579" s="16"/>
      <c r="AG2579" s="80"/>
      <c r="AH2579" s="80"/>
      <c r="AI2579" s="80"/>
    </row>
    <row r="2580" spans="5:35" x14ac:dyDescent="0.25">
      <c r="E2580" s="16"/>
      <c r="F2580" s="16"/>
      <c r="H2580" s="16"/>
      <c r="AG2580" s="80"/>
      <c r="AH2580" s="80"/>
      <c r="AI2580" s="80"/>
    </row>
    <row r="2581" spans="5:35" x14ac:dyDescent="0.25">
      <c r="E2581" s="16"/>
      <c r="F2581" s="16"/>
      <c r="H2581" s="16"/>
      <c r="AG2581" s="80"/>
      <c r="AH2581" s="80"/>
      <c r="AI2581" s="80"/>
    </row>
    <row r="2582" spans="5:35" x14ac:dyDescent="0.25">
      <c r="E2582" s="16"/>
      <c r="F2582" s="16"/>
      <c r="H2582" s="16"/>
      <c r="AG2582" s="80"/>
      <c r="AH2582" s="80"/>
      <c r="AI2582" s="80"/>
    </row>
    <row r="2583" spans="5:35" x14ac:dyDescent="0.25">
      <c r="E2583" s="16"/>
      <c r="F2583" s="16"/>
      <c r="H2583" s="16"/>
      <c r="AG2583" s="80"/>
      <c r="AH2583" s="80"/>
      <c r="AI2583" s="80"/>
    </row>
    <row r="2584" spans="5:35" x14ac:dyDescent="0.25">
      <c r="E2584" s="16"/>
      <c r="F2584" s="16"/>
      <c r="H2584" s="16"/>
      <c r="AG2584" s="80"/>
      <c r="AH2584" s="80"/>
      <c r="AI2584" s="80"/>
    </row>
    <row r="2585" spans="5:35" x14ac:dyDescent="0.25">
      <c r="E2585" s="16"/>
      <c r="F2585" s="16"/>
      <c r="H2585" s="16"/>
      <c r="AG2585" s="80"/>
      <c r="AH2585" s="80"/>
      <c r="AI2585" s="80"/>
    </row>
    <row r="2586" spans="5:35" x14ac:dyDescent="0.25">
      <c r="E2586" s="16"/>
      <c r="F2586" s="16"/>
      <c r="H2586" s="16"/>
      <c r="AG2586" s="80"/>
      <c r="AH2586" s="80"/>
      <c r="AI2586" s="80"/>
    </row>
    <row r="2587" spans="5:35" x14ac:dyDescent="0.25">
      <c r="E2587" s="16"/>
      <c r="F2587" s="16"/>
      <c r="H2587" s="16"/>
      <c r="AG2587" s="80"/>
      <c r="AH2587" s="80"/>
      <c r="AI2587" s="80"/>
    </row>
    <row r="2588" spans="5:35" x14ac:dyDescent="0.25">
      <c r="E2588" s="16"/>
      <c r="F2588" s="16"/>
      <c r="H2588" s="16"/>
      <c r="AG2588" s="80"/>
      <c r="AH2588" s="80"/>
      <c r="AI2588" s="80"/>
    </row>
    <row r="2589" spans="5:35" x14ac:dyDescent="0.25">
      <c r="E2589" s="16"/>
      <c r="F2589" s="16"/>
      <c r="H2589" s="16"/>
      <c r="AG2589" s="80"/>
      <c r="AH2589" s="80"/>
      <c r="AI2589" s="80"/>
    </row>
    <row r="2590" spans="5:35" x14ac:dyDescent="0.25">
      <c r="E2590" s="16"/>
      <c r="F2590" s="16"/>
      <c r="H2590" s="16"/>
      <c r="AG2590" s="80"/>
      <c r="AH2590" s="80"/>
      <c r="AI2590" s="80"/>
    </row>
    <row r="2591" spans="5:35" x14ac:dyDescent="0.25">
      <c r="E2591" s="16"/>
      <c r="F2591" s="16"/>
      <c r="H2591" s="16"/>
      <c r="AG2591" s="80"/>
      <c r="AH2591" s="80"/>
      <c r="AI2591" s="80"/>
    </row>
    <row r="2592" spans="5:35" x14ac:dyDescent="0.25">
      <c r="E2592" s="16"/>
      <c r="F2592" s="16"/>
      <c r="H2592" s="16"/>
      <c r="AG2592" s="80"/>
      <c r="AH2592" s="80"/>
      <c r="AI2592" s="80"/>
    </row>
    <row r="2593" spans="5:35" x14ac:dyDescent="0.25">
      <c r="E2593" s="16"/>
      <c r="F2593" s="16"/>
      <c r="H2593" s="16"/>
      <c r="AG2593" s="80"/>
      <c r="AH2593" s="80"/>
      <c r="AI2593" s="80"/>
    </row>
    <row r="2594" spans="5:35" x14ac:dyDescent="0.25">
      <c r="E2594" s="16"/>
      <c r="F2594" s="16"/>
      <c r="H2594" s="16"/>
      <c r="AG2594" s="80"/>
      <c r="AH2594" s="80"/>
      <c r="AI2594" s="80"/>
    </row>
    <row r="2595" spans="5:35" x14ac:dyDescent="0.25">
      <c r="E2595" s="16"/>
      <c r="F2595" s="16"/>
      <c r="H2595" s="16"/>
      <c r="AG2595" s="80"/>
      <c r="AH2595" s="80"/>
      <c r="AI2595" s="80"/>
    </row>
    <row r="2596" spans="5:35" x14ac:dyDescent="0.25">
      <c r="E2596" s="16"/>
      <c r="F2596" s="16"/>
      <c r="H2596" s="16"/>
      <c r="AG2596" s="80"/>
      <c r="AH2596" s="80"/>
      <c r="AI2596" s="80"/>
    </row>
    <row r="2597" spans="5:35" x14ac:dyDescent="0.25">
      <c r="E2597" s="16"/>
      <c r="F2597" s="16"/>
      <c r="H2597" s="16"/>
      <c r="AG2597" s="80"/>
      <c r="AH2597" s="80"/>
      <c r="AI2597" s="80"/>
    </row>
    <row r="2598" spans="5:35" x14ac:dyDescent="0.25">
      <c r="E2598" s="16"/>
      <c r="F2598" s="16"/>
      <c r="H2598" s="16"/>
      <c r="AG2598" s="80"/>
      <c r="AH2598" s="80"/>
      <c r="AI2598" s="80"/>
    </row>
    <row r="2599" spans="5:35" x14ac:dyDescent="0.25">
      <c r="E2599" s="16"/>
      <c r="F2599" s="16"/>
      <c r="H2599" s="16"/>
      <c r="AG2599" s="80"/>
      <c r="AH2599" s="80"/>
      <c r="AI2599" s="80"/>
    </row>
    <row r="2600" spans="5:35" x14ac:dyDescent="0.25">
      <c r="E2600" s="16"/>
      <c r="F2600" s="16"/>
      <c r="H2600" s="16"/>
      <c r="AG2600" s="80"/>
      <c r="AH2600" s="80"/>
      <c r="AI2600" s="80"/>
    </row>
    <row r="2601" spans="5:35" x14ac:dyDescent="0.25">
      <c r="E2601" s="16"/>
      <c r="F2601" s="16"/>
      <c r="H2601" s="16"/>
      <c r="AG2601" s="80"/>
      <c r="AH2601" s="80"/>
      <c r="AI2601" s="80"/>
    </row>
    <row r="2602" spans="5:35" x14ac:dyDescent="0.25">
      <c r="E2602" s="16"/>
      <c r="F2602" s="16"/>
      <c r="H2602" s="16"/>
      <c r="AG2602" s="80"/>
      <c r="AH2602" s="80"/>
      <c r="AI2602" s="80"/>
    </row>
    <row r="2603" spans="5:35" x14ac:dyDescent="0.25">
      <c r="E2603" s="16"/>
      <c r="F2603" s="16"/>
      <c r="H2603" s="16"/>
      <c r="AG2603" s="80"/>
      <c r="AH2603" s="80"/>
      <c r="AI2603" s="80"/>
    </row>
    <row r="2604" spans="5:35" x14ac:dyDescent="0.25">
      <c r="E2604" s="16"/>
      <c r="F2604" s="16"/>
      <c r="H2604" s="16"/>
      <c r="AG2604" s="80"/>
      <c r="AH2604" s="80"/>
      <c r="AI2604" s="80"/>
    </row>
    <row r="2605" spans="5:35" x14ac:dyDescent="0.25">
      <c r="E2605" s="16"/>
      <c r="F2605" s="16"/>
      <c r="H2605" s="16"/>
      <c r="AG2605" s="80"/>
      <c r="AH2605" s="80"/>
      <c r="AI2605" s="80"/>
    </row>
    <row r="2606" spans="5:35" x14ac:dyDescent="0.25">
      <c r="E2606" s="16"/>
      <c r="F2606" s="16"/>
      <c r="H2606" s="16"/>
      <c r="AG2606" s="80"/>
      <c r="AH2606" s="80"/>
      <c r="AI2606" s="80"/>
    </row>
    <row r="2607" spans="5:35" x14ac:dyDescent="0.25">
      <c r="E2607" s="16"/>
      <c r="F2607" s="16"/>
      <c r="H2607" s="16"/>
      <c r="AG2607" s="80"/>
      <c r="AH2607" s="80"/>
      <c r="AI2607" s="80"/>
    </row>
    <row r="2608" spans="5:35" x14ac:dyDescent="0.25">
      <c r="E2608" s="16"/>
      <c r="F2608" s="16"/>
      <c r="H2608" s="16"/>
      <c r="AG2608" s="80"/>
      <c r="AH2608" s="80"/>
      <c r="AI2608" s="80"/>
    </row>
    <row r="2609" spans="5:35" x14ac:dyDescent="0.25">
      <c r="E2609" s="16"/>
      <c r="F2609" s="16"/>
      <c r="H2609" s="16"/>
      <c r="AG2609" s="80"/>
      <c r="AH2609" s="80"/>
      <c r="AI2609" s="80"/>
    </row>
    <row r="2610" spans="5:35" x14ac:dyDescent="0.25">
      <c r="E2610" s="16"/>
      <c r="F2610" s="16"/>
      <c r="H2610" s="16"/>
      <c r="AG2610" s="80"/>
      <c r="AH2610" s="80"/>
      <c r="AI2610" s="80"/>
    </row>
    <row r="2611" spans="5:35" x14ac:dyDescent="0.25">
      <c r="E2611" s="16"/>
      <c r="F2611" s="16"/>
      <c r="H2611" s="16"/>
      <c r="AG2611" s="80"/>
      <c r="AH2611" s="80"/>
      <c r="AI2611" s="80"/>
    </row>
    <row r="2612" spans="5:35" x14ac:dyDescent="0.25">
      <c r="E2612" s="16"/>
      <c r="F2612" s="16"/>
      <c r="H2612" s="16"/>
      <c r="AG2612" s="80"/>
      <c r="AH2612" s="80"/>
      <c r="AI2612" s="80"/>
    </row>
    <row r="2613" spans="5:35" x14ac:dyDescent="0.25">
      <c r="E2613" s="16"/>
      <c r="F2613" s="16"/>
      <c r="H2613" s="16"/>
      <c r="AG2613" s="80"/>
      <c r="AH2613" s="80"/>
      <c r="AI2613" s="80"/>
    </row>
    <row r="2614" spans="5:35" x14ac:dyDescent="0.25">
      <c r="E2614" s="16"/>
      <c r="F2614" s="16"/>
      <c r="H2614" s="16"/>
      <c r="AG2614" s="80"/>
      <c r="AH2614" s="80"/>
      <c r="AI2614" s="80"/>
    </row>
    <row r="2615" spans="5:35" x14ac:dyDescent="0.25">
      <c r="E2615" s="16"/>
      <c r="F2615" s="16"/>
      <c r="H2615" s="16"/>
      <c r="AG2615" s="80"/>
      <c r="AH2615" s="80"/>
      <c r="AI2615" s="80"/>
    </row>
    <row r="2616" spans="5:35" x14ac:dyDescent="0.25">
      <c r="E2616" s="16"/>
      <c r="F2616" s="16"/>
      <c r="H2616" s="16"/>
      <c r="AG2616" s="80"/>
      <c r="AH2616" s="80"/>
      <c r="AI2616" s="80"/>
    </row>
    <row r="2617" spans="5:35" x14ac:dyDescent="0.25">
      <c r="E2617" s="16"/>
      <c r="F2617" s="16"/>
      <c r="H2617" s="16"/>
      <c r="AG2617" s="80"/>
      <c r="AH2617" s="80"/>
      <c r="AI2617" s="80"/>
    </row>
    <row r="2618" spans="5:35" x14ac:dyDescent="0.25">
      <c r="E2618" s="16"/>
      <c r="F2618" s="16"/>
      <c r="H2618" s="16"/>
      <c r="AG2618" s="80"/>
      <c r="AH2618" s="80"/>
      <c r="AI2618" s="80"/>
    </row>
    <row r="2619" spans="5:35" x14ac:dyDescent="0.25">
      <c r="E2619" s="16"/>
      <c r="F2619" s="16"/>
      <c r="H2619" s="16"/>
      <c r="AG2619" s="80"/>
      <c r="AH2619" s="80"/>
      <c r="AI2619" s="80"/>
    </row>
    <row r="2620" spans="5:35" x14ac:dyDescent="0.25">
      <c r="E2620" s="16"/>
      <c r="F2620" s="16"/>
      <c r="H2620" s="16"/>
      <c r="AG2620" s="80"/>
      <c r="AH2620" s="80"/>
      <c r="AI2620" s="80"/>
    </row>
    <row r="2621" spans="5:35" x14ac:dyDescent="0.25">
      <c r="E2621" s="16"/>
      <c r="F2621" s="16"/>
      <c r="H2621" s="16"/>
      <c r="AG2621" s="80"/>
      <c r="AH2621" s="80"/>
      <c r="AI2621" s="80"/>
    </row>
    <row r="2622" spans="5:35" x14ac:dyDescent="0.25">
      <c r="E2622" s="16"/>
      <c r="F2622" s="16"/>
      <c r="H2622" s="16"/>
      <c r="AG2622" s="80"/>
      <c r="AH2622" s="80"/>
      <c r="AI2622" s="80"/>
    </row>
    <row r="2623" spans="5:35" x14ac:dyDescent="0.25">
      <c r="E2623" s="16"/>
      <c r="F2623" s="16"/>
      <c r="H2623" s="16"/>
      <c r="AG2623" s="80"/>
      <c r="AH2623" s="80"/>
      <c r="AI2623" s="80"/>
    </row>
    <row r="2624" spans="5:35" x14ac:dyDescent="0.25">
      <c r="E2624" s="16"/>
      <c r="F2624" s="16"/>
      <c r="H2624" s="16"/>
      <c r="AG2624" s="80"/>
      <c r="AH2624" s="80"/>
      <c r="AI2624" s="80"/>
    </row>
    <row r="2625" spans="5:35" x14ac:dyDescent="0.25">
      <c r="E2625" s="16"/>
      <c r="F2625" s="16"/>
      <c r="H2625" s="16"/>
      <c r="AG2625" s="80"/>
      <c r="AH2625" s="80"/>
      <c r="AI2625" s="80"/>
    </row>
    <row r="2626" spans="5:35" x14ac:dyDescent="0.25">
      <c r="E2626" s="16"/>
      <c r="F2626" s="16"/>
      <c r="H2626" s="16"/>
      <c r="AG2626" s="80"/>
      <c r="AH2626" s="80"/>
      <c r="AI2626" s="80"/>
    </row>
    <row r="2627" spans="5:35" x14ac:dyDescent="0.25">
      <c r="E2627" s="16"/>
      <c r="F2627" s="16"/>
      <c r="H2627" s="16"/>
      <c r="AG2627" s="80"/>
      <c r="AH2627" s="80"/>
      <c r="AI2627" s="80"/>
    </row>
    <row r="2628" spans="5:35" x14ac:dyDescent="0.25">
      <c r="E2628" s="16"/>
      <c r="F2628" s="16"/>
      <c r="H2628" s="16"/>
      <c r="AG2628" s="80"/>
      <c r="AH2628" s="80"/>
      <c r="AI2628" s="80"/>
    </row>
    <row r="2629" spans="5:35" x14ac:dyDescent="0.25">
      <c r="E2629" s="16"/>
      <c r="F2629" s="16"/>
      <c r="H2629" s="16"/>
      <c r="AG2629" s="80"/>
      <c r="AH2629" s="80"/>
      <c r="AI2629" s="80"/>
    </row>
    <row r="2630" spans="5:35" x14ac:dyDescent="0.25">
      <c r="E2630" s="16"/>
      <c r="F2630" s="16"/>
      <c r="H2630" s="16"/>
      <c r="AG2630" s="80"/>
      <c r="AH2630" s="80"/>
      <c r="AI2630" s="80"/>
    </row>
    <row r="2631" spans="5:35" x14ac:dyDescent="0.25">
      <c r="E2631" s="16"/>
      <c r="F2631" s="16"/>
      <c r="H2631" s="16"/>
      <c r="AG2631" s="80"/>
      <c r="AH2631" s="80"/>
      <c r="AI2631" s="80"/>
    </row>
    <row r="2632" spans="5:35" x14ac:dyDescent="0.25">
      <c r="E2632" s="16"/>
      <c r="F2632" s="16"/>
      <c r="H2632" s="16"/>
      <c r="AG2632" s="80"/>
      <c r="AH2632" s="80"/>
      <c r="AI2632" s="80"/>
    </row>
    <row r="2633" spans="5:35" x14ac:dyDescent="0.25">
      <c r="E2633" s="16"/>
      <c r="F2633" s="16"/>
      <c r="H2633" s="16"/>
      <c r="AG2633" s="80"/>
      <c r="AH2633" s="80"/>
      <c r="AI2633" s="80"/>
    </row>
    <row r="2634" spans="5:35" x14ac:dyDescent="0.25">
      <c r="E2634" s="16"/>
      <c r="F2634" s="16"/>
      <c r="H2634" s="16"/>
      <c r="AG2634" s="80"/>
      <c r="AH2634" s="80"/>
      <c r="AI2634" s="80"/>
    </row>
    <row r="2635" spans="5:35" x14ac:dyDescent="0.25">
      <c r="E2635" s="16"/>
      <c r="F2635" s="16"/>
      <c r="H2635" s="16"/>
      <c r="AG2635" s="80"/>
      <c r="AH2635" s="80"/>
      <c r="AI2635" s="80"/>
    </row>
    <row r="2636" spans="5:35" x14ac:dyDescent="0.25">
      <c r="E2636" s="16"/>
      <c r="F2636" s="16"/>
      <c r="H2636" s="16"/>
      <c r="AG2636" s="80"/>
      <c r="AH2636" s="80"/>
      <c r="AI2636" s="80"/>
    </row>
    <row r="2637" spans="5:35" x14ac:dyDescent="0.25">
      <c r="E2637" s="16"/>
      <c r="F2637" s="16"/>
      <c r="H2637" s="16"/>
      <c r="AG2637" s="80"/>
      <c r="AH2637" s="80"/>
      <c r="AI2637" s="80"/>
    </row>
    <row r="2638" spans="5:35" x14ac:dyDescent="0.25">
      <c r="E2638" s="16"/>
      <c r="F2638" s="16"/>
      <c r="H2638" s="16"/>
      <c r="AG2638" s="80"/>
      <c r="AH2638" s="80"/>
      <c r="AI2638" s="80"/>
    </row>
    <row r="2639" spans="5:35" x14ac:dyDescent="0.25">
      <c r="E2639" s="16"/>
      <c r="F2639" s="16"/>
      <c r="H2639" s="16"/>
      <c r="AG2639" s="80"/>
      <c r="AH2639" s="80"/>
      <c r="AI2639" s="80"/>
    </row>
    <row r="2640" spans="5:35" x14ac:dyDescent="0.25">
      <c r="E2640" s="16"/>
      <c r="F2640" s="16"/>
      <c r="H2640" s="16"/>
      <c r="AG2640" s="80"/>
      <c r="AH2640" s="80"/>
      <c r="AI2640" s="80"/>
    </row>
    <row r="2641" spans="5:35" x14ac:dyDescent="0.25">
      <c r="E2641" s="16"/>
      <c r="F2641" s="16"/>
      <c r="H2641" s="16"/>
      <c r="AG2641" s="80"/>
      <c r="AH2641" s="80"/>
      <c r="AI2641" s="80"/>
    </row>
    <row r="2642" spans="5:35" x14ac:dyDescent="0.25">
      <c r="E2642" s="16"/>
      <c r="F2642" s="16"/>
      <c r="H2642" s="16"/>
      <c r="AG2642" s="80"/>
      <c r="AH2642" s="80"/>
      <c r="AI2642" s="80"/>
    </row>
    <row r="2643" spans="5:35" x14ac:dyDescent="0.25">
      <c r="E2643" s="16"/>
      <c r="F2643" s="16"/>
      <c r="H2643" s="16"/>
      <c r="AG2643" s="80"/>
      <c r="AH2643" s="80"/>
      <c r="AI2643" s="80"/>
    </row>
    <row r="2644" spans="5:35" x14ac:dyDescent="0.25">
      <c r="E2644" s="16"/>
      <c r="F2644" s="16"/>
      <c r="H2644" s="16"/>
      <c r="AG2644" s="80"/>
      <c r="AH2644" s="80"/>
      <c r="AI2644" s="80"/>
    </row>
    <row r="2645" spans="5:35" x14ac:dyDescent="0.25">
      <c r="E2645" s="16"/>
      <c r="F2645" s="16"/>
      <c r="H2645" s="16"/>
      <c r="AG2645" s="80"/>
      <c r="AH2645" s="80"/>
      <c r="AI2645" s="80"/>
    </row>
    <row r="2646" spans="5:35" x14ac:dyDescent="0.25">
      <c r="E2646" s="16"/>
      <c r="F2646" s="16"/>
      <c r="H2646" s="16"/>
      <c r="AG2646" s="80"/>
      <c r="AH2646" s="80"/>
      <c r="AI2646" s="80"/>
    </row>
    <row r="2647" spans="5:35" x14ac:dyDescent="0.25">
      <c r="E2647" s="16"/>
      <c r="F2647" s="16"/>
      <c r="H2647" s="16"/>
      <c r="AG2647" s="80"/>
      <c r="AH2647" s="80"/>
      <c r="AI2647" s="80"/>
    </row>
    <row r="2648" spans="5:35" x14ac:dyDescent="0.25">
      <c r="E2648" s="16"/>
      <c r="F2648" s="16"/>
      <c r="H2648" s="16"/>
      <c r="AG2648" s="80"/>
      <c r="AH2648" s="80"/>
      <c r="AI2648" s="80"/>
    </row>
    <row r="2649" spans="5:35" x14ac:dyDescent="0.25">
      <c r="E2649" s="16"/>
      <c r="F2649" s="16"/>
      <c r="H2649" s="16"/>
      <c r="AG2649" s="80"/>
      <c r="AH2649" s="80"/>
      <c r="AI2649" s="80"/>
    </row>
    <row r="2650" spans="5:35" x14ac:dyDescent="0.25">
      <c r="E2650" s="16"/>
      <c r="F2650" s="16"/>
      <c r="H2650" s="16"/>
      <c r="AG2650" s="80"/>
      <c r="AH2650" s="80"/>
      <c r="AI2650" s="80"/>
    </row>
    <row r="2651" spans="5:35" x14ac:dyDescent="0.25">
      <c r="E2651" s="16"/>
      <c r="F2651" s="16"/>
      <c r="H2651" s="16"/>
      <c r="AG2651" s="80"/>
      <c r="AH2651" s="80"/>
      <c r="AI2651" s="80"/>
    </row>
    <row r="2652" spans="5:35" x14ac:dyDescent="0.25">
      <c r="E2652" s="16"/>
      <c r="F2652" s="16"/>
      <c r="H2652" s="16"/>
      <c r="AG2652" s="80"/>
      <c r="AH2652" s="80"/>
      <c r="AI2652" s="80"/>
    </row>
    <row r="2653" spans="5:35" x14ac:dyDescent="0.25">
      <c r="E2653" s="16"/>
      <c r="F2653" s="16"/>
      <c r="H2653" s="16"/>
      <c r="AG2653" s="80"/>
      <c r="AH2653" s="80"/>
      <c r="AI2653" s="80"/>
    </row>
    <row r="2654" spans="5:35" x14ac:dyDescent="0.25">
      <c r="E2654" s="16"/>
      <c r="F2654" s="16"/>
      <c r="H2654" s="16"/>
      <c r="AG2654" s="80"/>
      <c r="AH2654" s="80"/>
      <c r="AI2654" s="80"/>
    </row>
    <row r="2655" spans="5:35" x14ac:dyDescent="0.25">
      <c r="E2655" s="16"/>
      <c r="F2655" s="16"/>
      <c r="H2655" s="16"/>
      <c r="AG2655" s="80"/>
      <c r="AH2655" s="80"/>
      <c r="AI2655" s="80"/>
    </row>
    <row r="2656" spans="5:35" x14ac:dyDescent="0.25">
      <c r="E2656" s="16"/>
      <c r="F2656" s="16"/>
      <c r="H2656" s="16"/>
      <c r="AG2656" s="80"/>
      <c r="AH2656" s="80"/>
      <c r="AI2656" s="80"/>
    </row>
    <row r="2657" spans="5:35" x14ac:dyDescent="0.25">
      <c r="E2657" s="16"/>
      <c r="F2657" s="16"/>
      <c r="H2657" s="16"/>
      <c r="AG2657" s="80"/>
      <c r="AH2657" s="80"/>
      <c r="AI2657" s="80"/>
    </row>
    <row r="2658" spans="5:35" x14ac:dyDescent="0.25">
      <c r="E2658" s="16"/>
      <c r="F2658" s="16"/>
      <c r="H2658" s="16"/>
      <c r="AG2658" s="80"/>
      <c r="AH2658" s="80"/>
      <c r="AI2658" s="80"/>
    </row>
    <row r="2659" spans="5:35" x14ac:dyDescent="0.25">
      <c r="E2659" s="16"/>
      <c r="F2659" s="16"/>
      <c r="H2659" s="16"/>
      <c r="AG2659" s="80"/>
      <c r="AH2659" s="80"/>
      <c r="AI2659" s="80"/>
    </row>
    <row r="2660" spans="5:35" x14ac:dyDescent="0.25">
      <c r="E2660" s="16"/>
      <c r="F2660" s="16"/>
      <c r="H2660" s="16"/>
      <c r="AG2660" s="80"/>
      <c r="AH2660" s="80"/>
      <c r="AI2660" s="80"/>
    </row>
    <row r="2661" spans="5:35" x14ac:dyDescent="0.25">
      <c r="E2661" s="16"/>
      <c r="F2661" s="16"/>
      <c r="H2661" s="16"/>
      <c r="AG2661" s="80"/>
      <c r="AH2661" s="80"/>
      <c r="AI2661" s="80"/>
    </row>
    <row r="2662" spans="5:35" x14ac:dyDescent="0.25">
      <c r="E2662" s="16"/>
      <c r="F2662" s="16"/>
      <c r="H2662" s="16"/>
      <c r="AG2662" s="80"/>
      <c r="AH2662" s="80"/>
      <c r="AI2662" s="80"/>
    </row>
    <row r="2663" spans="5:35" x14ac:dyDescent="0.25">
      <c r="E2663" s="16"/>
      <c r="F2663" s="16"/>
      <c r="H2663" s="16"/>
      <c r="AG2663" s="80"/>
      <c r="AH2663" s="80"/>
      <c r="AI2663" s="80"/>
    </row>
    <row r="2664" spans="5:35" x14ac:dyDescent="0.25">
      <c r="E2664" s="16"/>
      <c r="F2664" s="16"/>
      <c r="H2664" s="16"/>
      <c r="AG2664" s="80"/>
      <c r="AH2664" s="80"/>
      <c r="AI2664" s="80"/>
    </row>
    <row r="2665" spans="5:35" x14ac:dyDescent="0.25">
      <c r="E2665" s="16"/>
      <c r="F2665" s="16"/>
      <c r="H2665" s="16"/>
      <c r="AG2665" s="80"/>
      <c r="AH2665" s="80"/>
      <c r="AI2665" s="80"/>
    </row>
    <row r="2666" spans="5:35" x14ac:dyDescent="0.25">
      <c r="E2666" s="16"/>
      <c r="F2666" s="16"/>
      <c r="H2666" s="16"/>
      <c r="AG2666" s="80"/>
      <c r="AH2666" s="80"/>
      <c r="AI2666" s="80"/>
    </row>
    <row r="2667" spans="5:35" x14ac:dyDescent="0.25">
      <c r="E2667" s="16"/>
      <c r="F2667" s="16"/>
      <c r="H2667" s="16"/>
      <c r="AG2667" s="80"/>
      <c r="AH2667" s="80"/>
      <c r="AI2667" s="80"/>
    </row>
    <row r="2668" spans="5:35" x14ac:dyDescent="0.25">
      <c r="E2668" s="16"/>
      <c r="F2668" s="16"/>
      <c r="H2668" s="16"/>
      <c r="AG2668" s="80"/>
      <c r="AH2668" s="80"/>
      <c r="AI2668" s="80"/>
    </row>
    <row r="2669" spans="5:35" x14ac:dyDescent="0.25">
      <c r="E2669" s="16"/>
      <c r="F2669" s="16"/>
      <c r="H2669" s="16"/>
      <c r="AG2669" s="80"/>
      <c r="AH2669" s="80"/>
      <c r="AI2669" s="80"/>
    </row>
    <row r="2670" spans="5:35" x14ac:dyDescent="0.25">
      <c r="E2670" s="16"/>
      <c r="F2670" s="16"/>
      <c r="H2670" s="16"/>
      <c r="AG2670" s="80"/>
      <c r="AH2670" s="80"/>
      <c r="AI2670" s="80"/>
    </row>
    <row r="2671" spans="5:35" x14ac:dyDescent="0.25">
      <c r="E2671" s="16"/>
      <c r="F2671" s="16"/>
      <c r="H2671" s="16"/>
      <c r="AG2671" s="80"/>
      <c r="AH2671" s="80"/>
      <c r="AI2671" s="80"/>
    </row>
    <row r="2672" spans="5:35" x14ac:dyDescent="0.25">
      <c r="E2672" s="16"/>
      <c r="F2672" s="16"/>
      <c r="H2672" s="16"/>
      <c r="AG2672" s="80"/>
      <c r="AH2672" s="80"/>
      <c r="AI2672" s="80"/>
    </row>
    <row r="2673" spans="5:35" x14ac:dyDescent="0.25">
      <c r="E2673" s="16"/>
      <c r="F2673" s="16"/>
      <c r="H2673" s="16"/>
      <c r="AG2673" s="80"/>
      <c r="AH2673" s="80"/>
      <c r="AI2673" s="80"/>
    </row>
    <row r="2674" spans="5:35" x14ac:dyDescent="0.25">
      <c r="E2674" s="16"/>
      <c r="F2674" s="16"/>
      <c r="H2674" s="16"/>
      <c r="AG2674" s="80"/>
      <c r="AH2674" s="80"/>
      <c r="AI2674" s="80"/>
    </row>
    <row r="2675" spans="5:35" x14ac:dyDescent="0.25">
      <c r="E2675" s="16"/>
      <c r="F2675" s="16"/>
      <c r="H2675" s="16"/>
      <c r="AG2675" s="80"/>
      <c r="AH2675" s="80"/>
      <c r="AI2675" s="80"/>
    </row>
    <row r="2676" spans="5:35" x14ac:dyDescent="0.25">
      <c r="E2676" s="16"/>
      <c r="F2676" s="16"/>
      <c r="H2676" s="16"/>
      <c r="AG2676" s="80"/>
      <c r="AH2676" s="80"/>
      <c r="AI2676" s="80"/>
    </row>
    <row r="2677" spans="5:35" x14ac:dyDescent="0.25">
      <c r="E2677" s="16"/>
      <c r="F2677" s="16"/>
      <c r="H2677" s="16"/>
      <c r="AG2677" s="80"/>
      <c r="AH2677" s="80"/>
      <c r="AI2677" s="80"/>
    </row>
    <row r="2678" spans="5:35" x14ac:dyDescent="0.25">
      <c r="E2678" s="16"/>
      <c r="F2678" s="16"/>
      <c r="H2678" s="16"/>
      <c r="AG2678" s="80"/>
      <c r="AH2678" s="80"/>
      <c r="AI2678" s="80"/>
    </row>
    <row r="2679" spans="5:35" x14ac:dyDescent="0.25">
      <c r="E2679" s="16"/>
      <c r="F2679" s="16"/>
      <c r="H2679" s="16"/>
      <c r="AG2679" s="80"/>
      <c r="AH2679" s="80"/>
      <c r="AI2679" s="80"/>
    </row>
    <row r="2680" spans="5:35" x14ac:dyDescent="0.25">
      <c r="E2680" s="16"/>
      <c r="F2680" s="16"/>
      <c r="H2680" s="16"/>
      <c r="AG2680" s="80"/>
      <c r="AH2680" s="80"/>
      <c r="AI2680" s="80"/>
    </row>
    <row r="2681" spans="5:35" x14ac:dyDescent="0.25">
      <c r="E2681" s="16"/>
      <c r="F2681" s="16"/>
      <c r="H2681" s="16"/>
      <c r="AG2681" s="80"/>
      <c r="AH2681" s="80"/>
      <c r="AI2681" s="80"/>
    </row>
    <row r="2682" spans="5:35" x14ac:dyDescent="0.25">
      <c r="E2682" s="16"/>
      <c r="F2682" s="16"/>
      <c r="H2682" s="16"/>
      <c r="AG2682" s="80"/>
      <c r="AH2682" s="80"/>
      <c r="AI2682" s="80"/>
    </row>
    <row r="2683" spans="5:35" x14ac:dyDescent="0.25">
      <c r="E2683" s="16"/>
      <c r="F2683" s="16"/>
      <c r="H2683" s="16"/>
      <c r="AG2683" s="80"/>
      <c r="AH2683" s="80"/>
      <c r="AI2683" s="80"/>
    </row>
    <row r="2684" spans="5:35" x14ac:dyDescent="0.25">
      <c r="E2684" s="16"/>
      <c r="F2684" s="16"/>
      <c r="H2684" s="16"/>
      <c r="AG2684" s="80"/>
      <c r="AH2684" s="80"/>
      <c r="AI2684" s="80"/>
    </row>
    <row r="2685" spans="5:35" x14ac:dyDescent="0.25">
      <c r="E2685" s="16"/>
      <c r="F2685" s="16"/>
      <c r="H2685" s="16"/>
      <c r="AG2685" s="80"/>
      <c r="AH2685" s="80"/>
      <c r="AI2685" s="80"/>
    </row>
    <row r="2686" spans="5:35" x14ac:dyDescent="0.25">
      <c r="E2686" s="16"/>
      <c r="F2686" s="16"/>
      <c r="H2686" s="16"/>
      <c r="AG2686" s="80"/>
      <c r="AH2686" s="80"/>
      <c r="AI2686" s="80"/>
    </row>
    <row r="2687" spans="5:35" x14ac:dyDescent="0.25">
      <c r="E2687" s="16"/>
      <c r="F2687" s="16"/>
      <c r="H2687" s="16"/>
      <c r="AG2687" s="80"/>
      <c r="AH2687" s="80"/>
      <c r="AI2687" s="80"/>
    </row>
    <row r="2688" spans="5:35" x14ac:dyDescent="0.25">
      <c r="E2688" s="16"/>
      <c r="F2688" s="16"/>
      <c r="H2688" s="16"/>
      <c r="AG2688" s="80"/>
      <c r="AH2688" s="80"/>
      <c r="AI2688" s="80"/>
    </row>
    <row r="2689" spans="5:35" x14ac:dyDescent="0.25">
      <c r="E2689" s="16"/>
      <c r="F2689" s="16"/>
      <c r="H2689" s="16"/>
      <c r="AG2689" s="80"/>
      <c r="AH2689" s="80"/>
      <c r="AI2689" s="80"/>
    </row>
    <row r="2690" spans="5:35" x14ac:dyDescent="0.25">
      <c r="E2690" s="16"/>
      <c r="F2690" s="16"/>
      <c r="H2690" s="16"/>
      <c r="AG2690" s="80"/>
      <c r="AH2690" s="80"/>
      <c r="AI2690" s="80"/>
    </row>
    <row r="2691" spans="5:35" x14ac:dyDescent="0.25">
      <c r="E2691" s="16"/>
      <c r="F2691" s="16"/>
      <c r="H2691" s="16"/>
      <c r="AG2691" s="80"/>
      <c r="AH2691" s="80"/>
      <c r="AI2691" s="80"/>
    </row>
    <row r="2692" spans="5:35" x14ac:dyDescent="0.25">
      <c r="E2692" s="16"/>
      <c r="F2692" s="16"/>
      <c r="H2692" s="16"/>
      <c r="AG2692" s="80"/>
      <c r="AH2692" s="80"/>
      <c r="AI2692" s="80"/>
    </row>
    <row r="2693" spans="5:35" x14ac:dyDescent="0.25">
      <c r="E2693" s="16"/>
      <c r="F2693" s="16"/>
      <c r="H2693" s="16"/>
      <c r="AG2693" s="80"/>
      <c r="AH2693" s="80"/>
      <c r="AI2693" s="80"/>
    </row>
    <row r="2694" spans="5:35" x14ac:dyDescent="0.25">
      <c r="E2694" s="16"/>
      <c r="F2694" s="16"/>
      <c r="H2694" s="16"/>
      <c r="AG2694" s="80"/>
      <c r="AH2694" s="80"/>
      <c r="AI2694" s="80"/>
    </row>
    <row r="2695" spans="5:35" x14ac:dyDescent="0.25">
      <c r="E2695" s="16"/>
      <c r="F2695" s="16"/>
      <c r="H2695" s="16"/>
      <c r="AG2695" s="80"/>
      <c r="AH2695" s="80"/>
      <c r="AI2695" s="80"/>
    </row>
    <row r="2696" spans="5:35" x14ac:dyDescent="0.25">
      <c r="E2696" s="16"/>
      <c r="F2696" s="16"/>
      <c r="H2696" s="16"/>
      <c r="AG2696" s="80"/>
      <c r="AH2696" s="80"/>
      <c r="AI2696" s="80"/>
    </row>
    <row r="2697" spans="5:35" x14ac:dyDescent="0.25">
      <c r="E2697" s="16"/>
      <c r="F2697" s="16"/>
      <c r="H2697" s="16"/>
      <c r="AG2697" s="80"/>
      <c r="AH2697" s="80"/>
      <c r="AI2697" s="80"/>
    </row>
    <row r="2698" spans="5:35" x14ac:dyDescent="0.25">
      <c r="E2698" s="16"/>
      <c r="F2698" s="16"/>
      <c r="H2698" s="16"/>
      <c r="AG2698" s="80"/>
      <c r="AH2698" s="80"/>
      <c r="AI2698" s="80"/>
    </row>
    <row r="2699" spans="5:35" x14ac:dyDescent="0.25">
      <c r="E2699" s="16"/>
      <c r="F2699" s="16"/>
      <c r="H2699" s="16"/>
      <c r="AG2699" s="80"/>
      <c r="AH2699" s="80"/>
      <c r="AI2699" s="80"/>
    </row>
    <row r="2700" spans="5:35" x14ac:dyDescent="0.25">
      <c r="E2700" s="16"/>
      <c r="F2700" s="16"/>
      <c r="H2700" s="16"/>
      <c r="AG2700" s="80"/>
      <c r="AH2700" s="80"/>
      <c r="AI2700" s="80"/>
    </row>
    <row r="2701" spans="5:35" x14ac:dyDescent="0.25">
      <c r="E2701" s="16"/>
      <c r="F2701" s="16"/>
      <c r="H2701" s="16"/>
      <c r="AG2701" s="80"/>
      <c r="AH2701" s="80"/>
      <c r="AI2701" s="80"/>
    </row>
    <row r="2702" spans="5:35" x14ac:dyDescent="0.25">
      <c r="E2702" s="16"/>
      <c r="F2702" s="16"/>
      <c r="H2702" s="16"/>
      <c r="AG2702" s="80"/>
      <c r="AH2702" s="80"/>
      <c r="AI2702" s="80"/>
    </row>
    <row r="2703" spans="5:35" x14ac:dyDescent="0.25">
      <c r="E2703" s="16"/>
      <c r="F2703" s="16"/>
      <c r="H2703" s="16"/>
      <c r="AG2703" s="80"/>
      <c r="AH2703" s="80"/>
      <c r="AI2703" s="80"/>
    </row>
    <row r="2704" spans="5:35" x14ac:dyDescent="0.25">
      <c r="E2704" s="16"/>
      <c r="F2704" s="16"/>
      <c r="H2704" s="16"/>
      <c r="AG2704" s="80"/>
      <c r="AH2704" s="80"/>
      <c r="AI2704" s="80"/>
    </row>
    <row r="2705" spans="5:35" x14ac:dyDescent="0.25">
      <c r="E2705" s="16"/>
      <c r="F2705" s="16"/>
      <c r="H2705" s="16"/>
      <c r="AG2705" s="80"/>
      <c r="AH2705" s="80"/>
      <c r="AI2705" s="80"/>
    </row>
    <row r="2706" spans="5:35" x14ac:dyDescent="0.25">
      <c r="E2706" s="16"/>
      <c r="F2706" s="16"/>
      <c r="H2706" s="16"/>
      <c r="AG2706" s="80"/>
      <c r="AH2706" s="80"/>
      <c r="AI2706" s="80"/>
    </row>
    <row r="2707" spans="5:35" x14ac:dyDescent="0.25">
      <c r="E2707" s="16"/>
      <c r="F2707" s="16"/>
      <c r="H2707" s="16"/>
      <c r="AG2707" s="80"/>
      <c r="AH2707" s="80"/>
      <c r="AI2707" s="80"/>
    </row>
    <row r="2708" spans="5:35" x14ac:dyDescent="0.25">
      <c r="E2708" s="16"/>
      <c r="F2708" s="16"/>
      <c r="H2708" s="16"/>
      <c r="AG2708" s="80"/>
      <c r="AH2708" s="80"/>
      <c r="AI2708" s="80"/>
    </row>
    <row r="2709" spans="5:35" x14ac:dyDescent="0.25">
      <c r="E2709" s="16"/>
      <c r="F2709" s="16"/>
      <c r="H2709" s="16"/>
      <c r="AG2709" s="80"/>
      <c r="AH2709" s="80"/>
      <c r="AI2709" s="80"/>
    </row>
    <row r="2710" spans="5:35" x14ac:dyDescent="0.25">
      <c r="E2710" s="16"/>
      <c r="F2710" s="16"/>
      <c r="H2710" s="16"/>
      <c r="AG2710" s="80"/>
      <c r="AH2710" s="80"/>
      <c r="AI2710" s="80"/>
    </row>
    <row r="2711" spans="5:35" x14ac:dyDescent="0.25">
      <c r="E2711" s="16"/>
      <c r="F2711" s="16"/>
      <c r="H2711" s="16"/>
      <c r="AG2711" s="80"/>
      <c r="AH2711" s="80"/>
      <c r="AI2711" s="80"/>
    </row>
    <row r="2712" spans="5:35" x14ac:dyDescent="0.25">
      <c r="E2712" s="16"/>
      <c r="F2712" s="16"/>
      <c r="H2712" s="16"/>
      <c r="AG2712" s="80"/>
      <c r="AH2712" s="80"/>
      <c r="AI2712" s="80"/>
    </row>
    <row r="2713" spans="5:35" x14ac:dyDescent="0.25">
      <c r="E2713" s="16"/>
      <c r="F2713" s="16"/>
      <c r="H2713" s="16"/>
      <c r="AG2713" s="80"/>
      <c r="AH2713" s="80"/>
      <c r="AI2713" s="80"/>
    </row>
    <row r="2714" spans="5:35" x14ac:dyDescent="0.25">
      <c r="E2714" s="16"/>
      <c r="F2714" s="16"/>
      <c r="H2714" s="16"/>
      <c r="AG2714" s="80"/>
      <c r="AH2714" s="80"/>
      <c r="AI2714" s="80"/>
    </row>
    <row r="2715" spans="5:35" x14ac:dyDescent="0.25">
      <c r="E2715" s="16"/>
      <c r="F2715" s="16"/>
      <c r="H2715" s="16"/>
      <c r="AG2715" s="80"/>
      <c r="AH2715" s="80"/>
      <c r="AI2715" s="80"/>
    </row>
    <row r="2716" spans="5:35" x14ac:dyDescent="0.25">
      <c r="E2716" s="16"/>
      <c r="F2716" s="16"/>
      <c r="H2716" s="16"/>
      <c r="AG2716" s="80"/>
      <c r="AH2716" s="80"/>
      <c r="AI2716" s="80"/>
    </row>
    <row r="2717" spans="5:35" x14ac:dyDescent="0.25">
      <c r="E2717" s="16"/>
      <c r="F2717" s="16"/>
      <c r="H2717" s="16"/>
      <c r="AG2717" s="80"/>
      <c r="AH2717" s="80"/>
      <c r="AI2717" s="80"/>
    </row>
    <row r="2718" spans="5:35" x14ac:dyDescent="0.25">
      <c r="E2718" s="16"/>
      <c r="F2718" s="16"/>
      <c r="H2718" s="16"/>
      <c r="AG2718" s="80"/>
      <c r="AH2718" s="80"/>
      <c r="AI2718" s="80"/>
    </row>
    <row r="2719" spans="5:35" x14ac:dyDescent="0.25">
      <c r="E2719" s="16"/>
      <c r="F2719" s="16"/>
      <c r="H2719" s="16"/>
      <c r="AG2719" s="80"/>
      <c r="AH2719" s="80"/>
      <c r="AI2719" s="80"/>
    </row>
    <row r="2720" spans="5:35" x14ac:dyDescent="0.25">
      <c r="E2720" s="16"/>
      <c r="F2720" s="16"/>
      <c r="H2720" s="16"/>
      <c r="AG2720" s="80"/>
      <c r="AH2720" s="80"/>
      <c r="AI2720" s="80"/>
    </row>
    <row r="2721" spans="5:35" x14ac:dyDescent="0.25">
      <c r="E2721" s="16"/>
      <c r="F2721" s="16"/>
      <c r="H2721" s="16"/>
      <c r="AG2721" s="80"/>
      <c r="AH2721" s="80"/>
      <c r="AI2721" s="80"/>
    </row>
    <row r="2722" spans="5:35" x14ac:dyDescent="0.25">
      <c r="E2722" s="16"/>
      <c r="F2722" s="16"/>
      <c r="H2722" s="16"/>
      <c r="AG2722" s="80"/>
      <c r="AH2722" s="80"/>
      <c r="AI2722" s="80"/>
    </row>
    <row r="2723" spans="5:35" x14ac:dyDescent="0.25">
      <c r="E2723" s="16"/>
      <c r="F2723" s="16"/>
      <c r="H2723" s="16"/>
      <c r="AG2723" s="80"/>
      <c r="AH2723" s="80"/>
      <c r="AI2723" s="80"/>
    </row>
    <row r="2724" spans="5:35" x14ac:dyDescent="0.25">
      <c r="E2724" s="16"/>
      <c r="F2724" s="16"/>
      <c r="H2724" s="16"/>
      <c r="AG2724" s="80"/>
      <c r="AH2724" s="80"/>
      <c r="AI2724" s="80"/>
    </row>
    <row r="2725" spans="5:35" x14ac:dyDescent="0.25">
      <c r="E2725" s="16"/>
      <c r="F2725" s="16"/>
      <c r="H2725" s="16"/>
      <c r="AG2725" s="80"/>
      <c r="AH2725" s="80"/>
      <c r="AI2725" s="80"/>
    </row>
    <row r="2726" spans="5:35" x14ac:dyDescent="0.25">
      <c r="E2726" s="16"/>
      <c r="F2726" s="16"/>
      <c r="H2726" s="16"/>
      <c r="AG2726" s="80"/>
      <c r="AH2726" s="80"/>
      <c r="AI2726" s="80"/>
    </row>
    <row r="2727" spans="5:35" x14ac:dyDescent="0.25">
      <c r="E2727" s="16"/>
      <c r="F2727" s="16"/>
      <c r="H2727" s="16"/>
      <c r="AG2727" s="80"/>
      <c r="AH2727" s="80"/>
      <c r="AI2727" s="80"/>
    </row>
    <row r="2728" spans="5:35" x14ac:dyDescent="0.25">
      <c r="E2728" s="16"/>
      <c r="F2728" s="16"/>
      <c r="H2728" s="16"/>
      <c r="AG2728" s="80"/>
      <c r="AH2728" s="80"/>
      <c r="AI2728" s="80"/>
    </row>
    <row r="2729" spans="5:35" x14ac:dyDescent="0.25">
      <c r="E2729" s="16"/>
      <c r="F2729" s="16"/>
      <c r="H2729" s="16"/>
      <c r="AG2729" s="80"/>
      <c r="AH2729" s="80"/>
      <c r="AI2729" s="80"/>
    </row>
    <row r="2730" spans="5:35" x14ac:dyDescent="0.25">
      <c r="E2730" s="16"/>
      <c r="F2730" s="16"/>
      <c r="H2730" s="16"/>
      <c r="AG2730" s="80"/>
      <c r="AH2730" s="80"/>
      <c r="AI2730" s="80"/>
    </row>
    <row r="2731" spans="5:35" x14ac:dyDescent="0.25">
      <c r="E2731" s="16"/>
      <c r="F2731" s="16"/>
      <c r="H2731" s="16"/>
      <c r="AG2731" s="80"/>
      <c r="AH2731" s="80"/>
      <c r="AI2731" s="80"/>
    </row>
    <row r="2732" spans="5:35" x14ac:dyDescent="0.25">
      <c r="E2732" s="16"/>
      <c r="F2732" s="16"/>
      <c r="H2732" s="16"/>
      <c r="AG2732" s="80"/>
      <c r="AH2732" s="80"/>
      <c r="AI2732" s="80"/>
    </row>
    <row r="2733" spans="5:35" x14ac:dyDescent="0.25">
      <c r="E2733" s="16"/>
      <c r="F2733" s="16"/>
      <c r="H2733" s="16"/>
      <c r="AG2733" s="80"/>
      <c r="AH2733" s="80"/>
      <c r="AI2733" s="80"/>
    </row>
    <row r="2734" spans="5:35" x14ac:dyDescent="0.25">
      <c r="E2734" s="16"/>
      <c r="F2734" s="16"/>
      <c r="H2734" s="16"/>
      <c r="AG2734" s="80"/>
      <c r="AH2734" s="80"/>
      <c r="AI2734" s="80"/>
    </row>
    <row r="2735" spans="5:35" x14ac:dyDescent="0.25">
      <c r="E2735" s="16"/>
      <c r="F2735" s="16"/>
      <c r="H2735" s="16"/>
      <c r="AG2735" s="80"/>
      <c r="AH2735" s="80"/>
      <c r="AI2735" s="80"/>
    </row>
    <row r="2736" spans="5:35" x14ac:dyDescent="0.25">
      <c r="E2736" s="16"/>
      <c r="F2736" s="16"/>
      <c r="H2736" s="16"/>
      <c r="AG2736" s="80"/>
      <c r="AH2736" s="80"/>
      <c r="AI2736" s="80"/>
    </row>
    <row r="2737" spans="5:35" x14ac:dyDescent="0.25">
      <c r="E2737" s="16"/>
      <c r="F2737" s="16"/>
      <c r="H2737" s="16"/>
      <c r="AG2737" s="80"/>
      <c r="AH2737" s="80"/>
      <c r="AI2737" s="80"/>
    </row>
    <row r="2738" spans="5:35" x14ac:dyDescent="0.25">
      <c r="E2738" s="16"/>
      <c r="F2738" s="16"/>
      <c r="H2738" s="16"/>
      <c r="AG2738" s="80"/>
      <c r="AH2738" s="80"/>
      <c r="AI2738" s="80"/>
    </row>
    <row r="2739" spans="5:35" x14ac:dyDescent="0.25">
      <c r="E2739" s="16"/>
      <c r="F2739" s="16"/>
      <c r="H2739" s="16"/>
      <c r="AG2739" s="80"/>
      <c r="AH2739" s="80"/>
      <c r="AI2739" s="80"/>
    </row>
    <row r="2740" spans="5:35" x14ac:dyDescent="0.25">
      <c r="E2740" s="16"/>
      <c r="F2740" s="16"/>
      <c r="H2740" s="16"/>
      <c r="AG2740" s="80"/>
      <c r="AH2740" s="80"/>
      <c r="AI2740" s="80"/>
    </row>
    <row r="2741" spans="5:35" x14ac:dyDescent="0.25">
      <c r="E2741" s="16"/>
      <c r="F2741" s="16"/>
      <c r="H2741" s="16"/>
      <c r="AG2741" s="80"/>
      <c r="AH2741" s="80"/>
      <c r="AI2741" s="80"/>
    </row>
    <row r="2742" spans="5:35" x14ac:dyDescent="0.25">
      <c r="E2742" s="16"/>
      <c r="F2742" s="16"/>
      <c r="H2742" s="16"/>
      <c r="AG2742" s="80"/>
      <c r="AH2742" s="80"/>
      <c r="AI2742" s="80"/>
    </row>
    <row r="2743" spans="5:35" x14ac:dyDescent="0.25">
      <c r="E2743" s="16"/>
      <c r="F2743" s="16"/>
      <c r="H2743" s="16"/>
      <c r="AG2743" s="80"/>
      <c r="AH2743" s="80"/>
      <c r="AI2743" s="80"/>
    </row>
    <row r="2744" spans="5:35" x14ac:dyDescent="0.25">
      <c r="E2744" s="16"/>
      <c r="F2744" s="16"/>
      <c r="H2744" s="16"/>
      <c r="AG2744" s="80"/>
      <c r="AH2744" s="80"/>
      <c r="AI2744" s="80"/>
    </row>
    <row r="2745" spans="5:35" x14ac:dyDescent="0.25">
      <c r="E2745" s="16"/>
      <c r="F2745" s="16"/>
      <c r="H2745" s="16"/>
      <c r="AG2745" s="80"/>
      <c r="AH2745" s="80"/>
      <c r="AI2745" s="80"/>
    </row>
    <row r="2746" spans="5:35" x14ac:dyDescent="0.25">
      <c r="E2746" s="16"/>
      <c r="F2746" s="16"/>
      <c r="H2746" s="16"/>
      <c r="AG2746" s="80"/>
      <c r="AH2746" s="80"/>
      <c r="AI2746" s="80"/>
    </row>
    <row r="2747" spans="5:35" x14ac:dyDescent="0.25">
      <c r="E2747" s="16"/>
      <c r="F2747" s="16"/>
      <c r="H2747" s="16"/>
      <c r="AG2747" s="80"/>
      <c r="AH2747" s="80"/>
      <c r="AI2747" s="80"/>
    </row>
    <row r="2748" spans="5:35" x14ac:dyDescent="0.25">
      <c r="E2748" s="16"/>
      <c r="F2748" s="16"/>
      <c r="H2748" s="16"/>
      <c r="AG2748" s="80"/>
      <c r="AH2748" s="80"/>
      <c r="AI2748" s="80"/>
    </row>
    <row r="2749" spans="5:35" x14ac:dyDescent="0.25">
      <c r="E2749" s="16"/>
      <c r="F2749" s="16"/>
      <c r="H2749" s="16"/>
      <c r="AG2749" s="80"/>
      <c r="AH2749" s="80"/>
      <c r="AI2749" s="80"/>
    </row>
    <row r="2750" spans="5:35" x14ac:dyDescent="0.25">
      <c r="E2750" s="16"/>
      <c r="F2750" s="16"/>
      <c r="H2750" s="16"/>
      <c r="AG2750" s="80"/>
      <c r="AH2750" s="80"/>
      <c r="AI2750" s="80"/>
    </row>
    <row r="2751" spans="5:35" x14ac:dyDescent="0.25">
      <c r="E2751" s="16"/>
      <c r="F2751" s="16"/>
      <c r="H2751" s="16"/>
      <c r="AG2751" s="80"/>
      <c r="AH2751" s="80"/>
      <c r="AI2751" s="80"/>
    </row>
    <row r="2752" spans="5:35" x14ac:dyDescent="0.25">
      <c r="E2752" s="16"/>
      <c r="F2752" s="16"/>
      <c r="H2752" s="16"/>
      <c r="AG2752" s="80"/>
      <c r="AH2752" s="80"/>
      <c r="AI2752" s="80"/>
    </row>
    <row r="2753" spans="5:35" x14ac:dyDescent="0.25">
      <c r="E2753" s="16"/>
      <c r="F2753" s="16"/>
      <c r="H2753" s="16"/>
      <c r="AG2753" s="80"/>
      <c r="AH2753" s="80"/>
      <c r="AI2753" s="80"/>
    </row>
    <row r="2754" spans="5:35" x14ac:dyDescent="0.25">
      <c r="E2754" s="16"/>
      <c r="F2754" s="16"/>
      <c r="H2754" s="16"/>
      <c r="AG2754" s="80"/>
      <c r="AH2754" s="80"/>
      <c r="AI2754" s="80"/>
    </row>
    <row r="2755" spans="5:35" x14ac:dyDescent="0.25">
      <c r="E2755" s="16"/>
      <c r="F2755" s="16"/>
      <c r="H2755" s="16"/>
      <c r="AG2755" s="80"/>
      <c r="AH2755" s="80"/>
      <c r="AI2755" s="80"/>
    </row>
    <row r="2756" spans="5:35" x14ac:dyDescent="0.25">
      <c r="E2756" s="16"/>
      <c r="F2756" s="16"/>
      <c r="H2756" s="16"/>
      <c r="AG2756" s="80"/>
      <c r="AH2756" s="80"/>
      <c r="AI2756" s="80"/>
    </row>
    <row r="2757" spans="5:35" x14ac:dyDescent="0.25">
      <c r="E2757" s="16"/>
      <c r="F2757" s="16"/>
      <c r="H2757" s="16"/>
      <c r="AG2757" s="80"/>
      <c r="AH2757" s="80"/>
      <c r="AI2757" s="80"/>
    </row>
    <row r="2758" spans="5:35" x14ac:dyDescent="0.25">
      <c r="E2758" s="16"/>
      <c r="F2758" s="16"/>
      <c r="H2758" s="16"/>
      <c r="AG2758" s="80"/>
      <c r="AH2758" s="80"/>
      <c r="AI2758" s="80"/>
    </row>
    <row r="2759" spans="5:35" x14ac:dyDescent="0.25">
      <c r="E2759" s="16"/>
      <c r="F2759" s="16"/>
      <c r="H2759" s="16"/>
      <c r="AG2759" s="80"/>
      <c r="AH2759" s="80"/>
      <c r="AI2759" s="80"/>
    </row>
    <row r="2760" spans="5:35" x14ac:dyDescent="0.25">
      <c r="E2760" s="16"/>
      <c r="F2760" s="16"/>
      <c r="H2760" s="16"/>
      <c r="AG2760" s="80"/>
      <c r="AH2760" s="80"/>
      <c r="AI2760" s="80"/>
    </row>
    <row r="2761" spans="5:35" x14ac:dyDescent="0.25">
      <c r="E2761" s="16"/>
      <c r="F2761" s="16"/>
      <c r="H2761" s="16"/>
      <c r="AG2761" s="80"/>
      <c r="AH2761" s="80"/>
      <c r="AI2761" s="80"/>
    </row>
    <row r="2762" spans="5:35" x14ac:dyDescent="0.25">
      <c r="E2762" s="16"/>
      <c r="F2762" s="16"/>
      <c r="H2762" s="16"/>
      <c r="AG2762" s="80"/>
      <c r="AH2762" s="80"/>
      <c r="AI2762" s="80"/>
    </row>
    <row r="2763" spans="5:35" x14ac:dyDescent="0.25">
      <c r="E2763" s="16"/>
      <c r="F2763" s="16"/>
      <c r="H2763" s="16"/>
      <c r="AG2763" s="80"/>
      <c r="AH2763" s="80"/>
      <c r="AI2763" s="80"/>
    </row>
    <row r="2764" spans="5:35" x14ac:dyDescent="0.25">
      <c r="E2764" s="16"/>
      <c r="F2764" s="16"/>
      <c r="H2764" s="16"/>
      <c r="AG2764" s="80"/>
      <c r="AH2764" s="80"/>
      <c r="AI2764" s="80"/>
    </row>
    <row r="2765" spans="5:35" x14ac:dyDescent="0.25">
      <c r="E2765" s="16"/>
      <c r="F2765" s="16"/>
      <c r="H2765" s="16"/>
      <c r="AG2765" s="80"/>
      <c r="AH2765" s="80"/>
      <c r="AI2765" s="80"/>
    </row>
    <row r="2766" spans="5:35" x14ac:dyDescent="0.25">
      <c r="E2766" s="16"/>
      <c r="F2766" s="16"/>
      <c r="H2766" s="16"/>
      <c r="AG2766" s="80"/>
      <c r="AH2766" s="80"/>
      <c r="AI2766" s="80"/>
    </row>
    <row r="2767" spans="5:35" x14ac:dyDescent="0.25">
      <c r="E2767" s="16"/>
      <c r="F2767" s="16"/>
      <c r="H2767" s="16"/>
      <c r="AG2767" s="80"/>
      <c r="AH2767" s="80"/>
      <c r="AI2767" s="80"/>
    </row>
    <row r="2768" spans="5:35" x14ac:dyDescent="0.25">
      <c r="E2768" s="16"/>
      <c r="F2768" s="16"/>
      <c r="H2768" s="16"/>
      <c r="AG2768" s="80"/>
      <c r="AH2768" s="80"/>
      <c r="AI2768" s="80"/>
    </row>
    <row r="2769" spans="5:35" x14ac:dyDescent="0.25">
      <c r="E2769" s="16"/>
      <c r="F2769" s="16"/>
      <c r="H2769" s="16"/>
      <c r="AG2769" s="80"/>
      <c r="AH2769" s="80"/>
      <c r="AI2769" s="80"/>
    </row>
    <row r="2770" spans="5:35" x14ac:dyDescent="0.25">
      <c r="E2770" s="16"/>
      <c r="F2770" s="16"/>
      <c r="H2770" s="16"/>
      <c r="AG2770" s="80"/>
      <c r="AH2770" s="80"/>
      <c r="AI2770" s="80"/>
    </row>
    <row r="2771" spans="5:35" x14ac:dyDescent="0.25">
      <c r="E2771" s="16"/>
      <c r="F2771" s="16"/>
      <c r="H2771" s="16"/>
      <c r="AG2771" s="80"/>
      <c r="AH2771" s="80"/>
      <c r="AI2771" s="80"/>
    </row>
    <row r="2772" spans="5:35" x14ac:dyDescent="0.25">
      <c r="E2772" s="16"/>
      <c r="F2772" s="16"/>
      <c r="H2772" s="16"/>
      <c r="AG2772" s="80"/>
      <c r="AH2772" s="80"/>
      <c r="AI2772" s="80"/>
    </row>
    <row r="2773" spans="5:35" x14ac:dyDescent="0.25">
      <c r="E2773" s="16"/>
      <c r="F2773" s="16"/>
      <c r="H2773" s="16"/>
      <c r="AG2773" s="80"/>
      <c r="AH2773" s="80"/>
      <c r="AI2773" s="80"/>
    </row>
    <row r="2774" spans="5:35" x14ac:dyDescent="0.25">
      <c r="E2774" s="16"/>
      <c r="F2774" s="16"/>
      <c r="H2774" s="16"/>
      <c r="AG2774" s="80"/>
      <c r="AH2774" s="80"/>
      <c r="AI2774" s="80"/>
    </row>
    <row r="2775" spans="5:35" x14ac:dyDescent="0.25">
      <c r="E2775" s="16"/>
      <c r="F2775" s="16"/>
      <c r="H2775" s="16"/>
      <c r="AG2775" s="80"/>
      <c r="AH2775" s="80"/>
      <c r="AI2775" s="80"/>
    </row>
    <row r="2776" spans="5:35" x14ac:dyDescent="0.25">
      <c r="E2776" s="16"/>
      <c r="F2776" s="16"/>
      <c r="H2776" s="16"/>
      <c r="AG2776" s="80"/>
      <c r="AH2776" s="80"/>
      <c r="AI2776" s="80"/>
    </row>
    <row r="2777" spans="5:35" x14ac:dyDescent="0.25">
      <c r="E2777" s="16"/>
      <c r="F2777" s="16"/>
      <c r="H2777" s="16"/>
      <c r="AG2777" s="80"/>
      <c r="AH2777" s="80"/>
      <c r="AI2777" s="80"/>
    </row>
    <row r="2778" spans="5:35" x14ac:dyDescent="0.25">
      <c r="E2778" s="16"/>
      <c r="F2778" s="16"/>
      <c r="H2778" s="16"/>
      <c r="AG2778" s="80"/>
      <c r="AH2778" s="80"/>
      <c r="AI2778" s="80"/>
    </row>
    <row r="2779" spans="5:35" x14ac:dyDescent="0.25">
      <c r="E2779" s="16"/>
      <c r="F2779" s="16"/>
      <c r="H2779" s="16"/>
      <c r="AG2779" s="80"/>
      <c r="AH2779" s="80"/>
      <c r="AI2779" s="80"/>
    </row>
    <row r="2780" spans="5:35" x14ac:dyDescent="0.25">
      <c r="E2780" s="16"/>
      <c r="F2780" s="16"/>
      <c r="H2780" s="16"/>
      <c r="AG2780" s="80"/>
      <c r="AH2780" s="80"/>
      <c r="AI2780" s="80"/>
    </row>
    <row r="2781" spans="5:35" x14ac:dyDescent="0.25">
      <c r="E2781" s="16"/>
      <c r="F2781" s="16"/>
      <c r="H2781" s="16"/>
      <c r="AG2781" s="80"/>
      <c r="AH2781" s="80"/>
      <c r="AI2781" s="80"/>
    </row>
    <row r="2782" spans="5:35" x14ac:dyDescent="0.25">
      <c r="E2782" s="16"/>
      <c r="F2782" s="16"/>
      <c r="H2782" s="16"/>
      <c r="AG2782" s="80"/>
      <c r="AH2782" s="80"/>
      <c r="AI2782" s="80"/>
    </row>
    <row r="2783" spans="5:35" x14ac:dyDescent="0.25">
      <c r="E2783" s="16"/>
      <c r="F2783" s="16"/>
      <c r="H2783" s="16"/>
      <c r="AG2783" s="80"/>
      <c r="AH2783" s="80"/>
      <c r="AI2783" s="80"/>
    </row>
    <row r="2784" spans="5:35" x14ac:dyDescent="0.25">
      <c r="E2784" s="16"/>
      <c r="F2784" s="16"/>
      <c r="H2784" s="16"/>
      <c r="AG2784" s="80"/>
      <c r="AH2784" s="80"/>
      <c r="AI2784" s="80"/>
    </row>
    <row r="2785" spans="5:35" x14ac:dyDescent="0.25">
      <c r="E2785" s="16"/>
      <c r="F2785" s="16"/>
      <c r="H2785" s="16"/>
      <c r="AG2785" s="80"/>
      <c r="AH2785" s="80"/>
      <c r="AI2785" s="80"/>
    </row>
    <row r="2786" spans="5:35" x14ac:dyDescent="0.25">
      <c r="E2786" s="16"/>
      <c r="F2786" s="16"/>
      <c r="H2786" s="16"/>
      <c r="AG2786" s="80"/>
      <c r="AH2786" s="80"/>
      <c r="AI2786" s="80"/>
    </row>
    <row r="2787" spans="5:35" x14ac:dyDescent="0.25">
      <c r="E2787" s="16"/>
      <c r="F2787" s="16"/>
      <c r="H2787" s="16"/>
      <c r="AG2787" s="80"/>
      <c r="AH2787" s="80"/>
      <c r="AI2787" s="80"/>
    </row>
    <row r="2788" spans="5:35" x14ac:dyDescent="0.25">
      <c r="E2788" s="16"/>
      <c r="F2788" s="16"/>
      <c r="H2788" s="16"/>
      <c r="AG2788" s="80"/>
      <c r="AH2788" s="80"/>
      <c r="AI2788" s="80"/>
    </row>
    <row r="2789" spans="5:35" x14ac:dyDescent="0.25">
      <c r="E2789" s="16"/>
      <c r="F2789" s="16"/>
      <c r="H2789" s="16"/>
      <c r="AG2789" s="80"/>
      <c r="AH2789" s="80"/>
      <c r="AI2789" s="80"/>
    </row>
    <row r="2790" spans="5:35" x14ac:dyDescent="0.25">
      <c r="E2790" s="16"/>
      <c r="F2790" s="16"/>
      <c r="H2790" s="16"/>
      <c r="AG2790" s="80"/>
      <c r="AH2790" s="80"/>
      <c r="AI2790" s="80"/>
    </row>
    <row r="2791" spans="5:35" x14ac:dyDescent="0.25">
      <c r="E2791" s="16"/>
      <c r="F2791" s="16"/>
      <c r="H2791" s="16"/>
      <c r="AG2791" s="80"/>
      <c r="AH2791" s="80"/>
      <c r="AI2791" s="80"/>
    </row>
    <row r="2792" spans="5:35" x14ac:dyDescent="0.25">
      <c r="E2792" s="16"/>
      <c r="F2792" s="16"/>
      <c r="H2792" s="16"/>
      <c r="AG2792" s="80"/>
      <c r="AH2792" s="80"/>
      <c r="AI2792" s="80"/>
    </row>
    <row r="2793" spans="5:35" x14ac:dyDescent="0.25">
      <c r="E2793" s="16"/>
      <c r="F2793" s="16"/>
      <c r="H2793" s="16"/>
      <c r="AG2793" s="80"/>
      <c r="AH2793" s="80"/>
      <c r="AI2793" s="80"/>
    </row>
    <row r="2794" spans="5:35" x14ac:dyDescent="0.25">
      <c r="E2794" s="16"/>
      <c r="F2794" s="16"/>
      <c r="H2794" s="16"/>
      <c r="AG2794" s="80"/>
      <c r="AH2794" s="80"/>
      <c r="AI2794" s="80"/>
    </row>
    <row r="2795" spans="5:35" x14ac:dyDescent="0.25">
      <c r="E2795" s="16"/>
      <c r="F2795" s="16"/>
      <c r="H2795" s="16"/>
      <c r="AG2795" s="80"/>
      <c r="AH2795" s="80"/>
      <c r="AI2795" s="80"/>
    </row>
    <row r="2796" spans="5:35" x14ac:dyDescent="0.25">
      <c r="E2796" s="16"/>
      <c r="F2796" s="16"/>
      <c r="H2796" s="16"/>
      <c r="AG2796" s="80"/>
      <c r="AH2796" s="80"/>
      <c r="AI2796" s="80"/>
    </row>
    <row r="2797" spans="5:35" x14ac:dyDescent="0.25">
      <c r="E2797" s="16"/>
      <c r="F2797" s="16"/>
      <c r="H2797" s="16"/>
      <c r="AG2797" s="80"/>
      <c r="AH2797" s="80"/>
      <c r="AI2797" s="80"/>
    </row>
    <row r="2798" spans="5:35" x14ac:dyDescent="0.25">
      <c r="E2798" s="16"/>
      <c r="F2798" s="16"/>
      <c r="H2798" s="16"/>
      <c r="AG2798" s="80"/>
      <c r="AH2798" s="80"/>
      <c r="AI2798" s="80"/>
    </row>
    <row r="2799" spans="5:35" x14ac:dyDescent="0.25">
      <c r="E2799" s="16"/>
      <c r="F2799" s="16"/>
      <c r="H2799" s="16"/>
      <c r="AG2799" s="80"/>
      <c r="AH2799" s="80"/>
      <c r="AI2799" s="80"/>
    </row>
    <row r="2800" spans="5:35" x14ac:dyDescent="0.25">
      <c r="E2800" s="16"/>
      <c r="F2800" s="16"/>
      <c r="H2800" s="16"/>
      <c r="AG2800" s="80"/>
      <c r="AH2800" s="80"/>
      <c r="AI2800" s="80"/>
    </row>
    <row r="2801" spans="5:35" x14ac:dyDescent="0.25">
      <c r="E2801" s="16"/>
      <c r="F2801" s="16"/>
      <c r="H2801" s="16"/>
      <c r="AG2801" s="80"/>
      <c r="AH2801" s="80"/>
      <c r="AI2801" s="80"/>
    </row>
    <row r="2802" spans="5:35" x14ac:dyDescent="0.25">
      <c r="E2802" s="16"/>
      <c r="F2802" s="16"/>
      <c r="H2802" s="16"/>
      <c r="AG2802" s="80"/>
      <c r="AH2802" s="80"/>
      <c r="AI2802" s="80"/>
    </row>
    <row r="2803" spans="5:35" x14ac:dyDescent="0.25">
      <c r="E2803" s="16"/>
      <c r="F2803" s="16"/>
      <c r="H2803" s="16"/>
      <c r="AG2803" s="80"/>
      <c r="AH2803" s="80"/>
      <c r="AI2803" s="80"/>
    </row>
    <row r="2804" spans="5:35" x14ac:dyDescent="0.25">
      <c r="E2804" s="16"/>
      <c r="F2804" s="16"/>
      <c r="H2804" s="16"/>
      <c r="AG2804" s="80"/>
      <c r="AH2804" s="80"/>
      <c r="AI2804" s="80"/>
    </row>
    <row r="2805" spans="5:35" x14ac:dyDescent="0.25">
      <c r="E2805" s="16"/>
      <c r="F2805" s="16"/>
      <c r="H2805" s="16"/>
      <c r="AG2805" s="80"/>
      <c r="AH2805" s="80"/>
      <c r="AI2805" s="80"/>
    </row>
    <row r="2806" spans="5:35" x14ac:dyDescent="0.25">
      <c r="E2806" s="16"/>
      <c r="F2806" s="16"/>
      <c r="H2806" s="16"/>
      <c r="AG2806" s="80"/>
      <c r="AH2806" s="80"/>
      <c r="AI2806" s="80"/>
    </row>
    <row r="2807" spans="5:35" x14ac:dyDescent="0.25">
      <c r="E2807" s="16"/>
      <c r="F2807" s="16"/>
      <c r="H2807" s="16"/>
      <c r="AG2807" s="80"/>
      <c r="AH2807" s="80"/>
      <c r="AI2807" s="80"/>
    </row>
    <row r="2808" spans="5:35" x14ac:dyDescent="0.25">
      <c r="E2808" s="16"/>
      <c r="F2808" s="16"/>
      <c r="H2808" s="16"/>
      <c r="AG2808" s="80"/>
      <c r="AH2808" s="80"/>
      <c r="AI2808" s="80"/>
    </row>
    <row r="2809" spans="5:35" x14ac:dyDescent="0.25">
      <c r="E2809" s="16"/>
      <c r="F2809" s="16"/>
      <c r="H2809" s="16"/>
      <c r="AG2809" s="80"/>
      <c r="AH2809" s="80"/>
      <c r="AI2809" s="80"/>
    </row>
    <row r="2810" spans="5:35" x14ac:dyDescent="0.25">
      <c r="E2810" s="16"/>
      <c r="F2810" s="16"/>
      <c r="H2810" s="16"/>
      <c r="AG2810" s="80"/>
      <c r="AH2810" s="80"/>
      <c r="AI2810" s="80"/>
    </row>
    <row r="2811" spans="5:35" x14ac:dyDescent="0.25">
      <c r="E2811" s="16"/>
      <c r="F2811" s="16"/>
      <c r="H2811" s="16"/>
      <c r="AG2811" s="80"/>
      <c r="AH2811" s="80"/>
      <c r="AI2811" s="80"/>
    </row>
    <row r="2812" spans="5:35" x14ac:dyDescent="0.25">
      <c r="E2812" s="16"/>
      <c r="F2812" s="16"/>
      <c r="H2812" s="16"/>
      <c r="AG2812" s="80"/>
      <c r="AH2812" s="80"/>
      <c r="AI2812" s="80"/>
    </row>
    <row r="2813" spans="5:35" x14ac:dyDescent="0.25">
      <c r="E2813" s="16"/>
      <c r="F2813" s="16"/>
      <c r="H2813" s="16"/>
      <c r="AG2813" s="80"/>
      <c r="AH2813" s="80"/>
      <c r="AI2813" s="80"/>
    </row>
    <row r="2814" spans="5:35" x14ac:dyDescent="0.25">
      <c r="E2814" s="16"/>
      <c r="F2814" s="16"/>
      <c r="H2814" s="16"/>
      <c r="AG2814" s="80"/>
      <c r="AH2814" s="80"/>
      <c r="AI2814" s="80"/>
    </row>
    <row r="2815" spans="5:35" x14ac:dyDescent="0.25">
      <c r="E2815" s="16"/>
      <c r="F2815" s="16"/>
      <c r="H2815" s="16"/>
      <c r="AG2815" s="80"/>
      <c r="AH2815" s="80"/>
      <c r="AI2815" s="80"/>
    </row>
    <row r="2816" spans="5:35" x14ac:dyDescent="0.25">
      <c r="E2816" s="16"/>
      <c r="F2816" s="16"/>
      <c r="H2816" s="16"/>
      <c r="AG2816" s="80"/>
      <c r="AH2816" s="80"/>
      <c r="AI2816" s="80"/>
    </row>
    <row r="2817" spans="5:35" x14ac:dyDescent="0.25">
      <c r="E2817" s="16"/>
      <c r="F2817" s="16"/>
      <c r="H2817" s="16"/>
      <c r="AG2817" s="80"/>
      <c r="AH2817" s="80"/>
      <c r="AI2817" s="80"/>
    </row>
    <row r="2818" spans="5:35" x14ac:dyDescent="0.25">
      <c r="E2818" s="16"/>
      <c r="F2818" s="16"/>
      <c r="H2818" s="16"/>
      <c r="AG2818" s="80"/>
      <c r="AH2818" s="80"/>
      <c r="AI2818" s="80"/>
    </row>
    <row r="2819" spans="5:35" x14ac:dyDescent="0.25">
      <c r="E2819" s="16"/>
      <c r="F2819" s="16"/>
      <c r="H2819" s="16"/>
      <c r="AG2819" s="80"/>
      <c r="AH2819" s="80"/>
      <c r="AI2819" s="80"/>
    </row>
    <row r="2820" spans="5:35" x14ac:dyDescent="0.25">
      <c r="E2820" s="16"/>
      <c r="F2820" s="16"/>
      <c r="H2820" s="16"/>
      <c r="AG2820" s="80"/>
      <c r="AH2820" s="80"/>
      <c r="AI2820" s="80"/>
    </row>
    <row r="2821" spans="5:35" x14ac:dyDescent="0.25">
      <c r="E2821" s="16"/>
      <c r="F2821" s="16"/>
      <c r="H2821" s="16"/>
      <c r="AG2821" s="80"/>
      <c r="AH2821" s="80"/>
      <c r="AI2821" s="80"/>
    </row>
    <row r="2822" spans="5:35" x14ac:dyDescent="0.25">
      <c r="E2822" s="16"/>
      <c r="F2822" s="16"/>
      <c r="H2822" s="16"/>
      <c r="AG2822" s="80"/>
      <c r="AH2822" s="80"/>
      <c r="AI2822" s="80"/>
    </row>
    <row r="2823" spans="5:35" x14ac:dyDescent="0.25">
      <c r="E2823" s="16"/>
      <c r="F2823" s="16"/>
      <c r="H2823" s="16"/>
      <c r="AG2823" s="80"/>
      <c r="AH2823" s="80"/>
      <c r="AI2823" s="80"/>
    </row>
    <row r="2824" spans="5:35" x14ac:dyDescent="0.25">
      <c r="E2824" s="16"/>
      <c r="F2824" s="16"/>
      <c r="H2824" s="16"/>
      <c r="AG2824" s="80"/>
      <c r="AH2824" s="80"/>
      <c r="AI2824" s="80"/>
    </row>
    <row r="2825" spans="5:35" x14ac:dyDescent="0.25">
      <c r="E2825" s="16"/>
      <c r="F2825" s="16"/>
      <c r="H2825" s="16"/>
      <c r="AG2825" s="80"/>
      <c r="AH2825" s="80"/>
      <c r="AI2825" s="80"/>
    </row>
    <row r="2826" spans="5:35" x14ac:dyDescent="0.25">
      <c r="E2826" s="16"/>
      <c r="F2826" s="16"/>
      <c r="H2826" s="16"/>
      <c r="AG2826" s="80"/>
      <c r="AH2826" s="80"/>
      <c r="AI2826" s="80"/>
    </row>
    <row r="2827" spans="5:35" x14ac:dyDescent="0.25">
      <c r="E2827" s="16"/>
      <c r="F2827" s="16"/>
      <c r="H2827" s="16"/>
      <c r="AG2827" s="80"/>
      <c r="AH2827" s="80"/>
      <c r="AI2827" s="80"/>
    </row>
    <row r="2828" spans="5:35" x14ac:dyDescent="0.25">
      <c r="E2828" s="16"/>
      <c r="F2828" s="16"/>
      <c r="H2828" s="16"/>
      <c r="AG2828" s="80"/>
      <c r="AH2828" s="80"/>
      <c r="AI2828" s="80"/>
    </row>
    <row r="2829" spans="5:35" x14ac:dyDescent="0.25">
      <c r="E2829" s="16"/>
      <c r="F2829" s="16"/>
      <c r="H2829" s="16"/>
      <c r="AG2829" s="80"/>
      <c r="AH2829" s="80"/>
      <c r="AI2829" s="80"/>
    </row>
    <row r="2830" spans="5:35" x14ac:dyDescent="0.25">
      <c r="E2830" s="16"/>
      <c r="F2830" s="16"/>
      <c r="H2830" s="16"/>
      <c r="AG2830" s="80"/>
      <c r="AH2830" s="80"/>
      <c r="AI2830" s="80"/>
    </row>
    <row r="2831" spans="5:35" x14ac:dyDescent="0.25">
      <c r="E2831" s="16"/>
      <c r="F2831" s="16"/>
      <c r="H2831" s="16"/>
      <c r="AG2831" s="80"/>
      <c r="AH2831" s="80"/>
      <c r="AI2831" s="80"/>
    </row>
    <row r="2832" spans="5:35" x14ac:dyDescent="0.25">
      <c r="E2832" s="16"/>
      <c r="F2832" s="16"/>
      <c r="H2832" s="16"/>
      <c r="AG2832" s="80"/>
      <c r="AH2832" s="80"/>
      <c r="AI2832" s="80"/>
    </row>
    <row r="2833" spans="5:35" x14ac:dyDescent="0.25">
      <c r="E2833" s="16"/>
      <c r="F2833" s="16"/>
      <c r="H2833" s="16"/>
      <c r="AG2833" s="80"/>
      <c r="AH2833" s="80"/>
      <c r="AI2833" s="80"/>
    </row>
    <row r="2834" spans="5:35" x14ac:dyDescent="0.25">
      <c r="E2834" s="16"/>
      <c r="F2834" s="16"/>
      <c r="H2834" s="16"/>
      <c r="AG2834" s="80"/>
      <c r="AH2834" s="80"/>
      <c r="AI2834" s="80"/>
    </row>
    <row r="2835" spans="5:35" x14ac:dyDescent="0.25">
      <c r="E2835" s="16"/>
      <c r="F2835" s="16"/>
      <c r="H2835" s="16"/>
      <c r="AG2835" s="80"/>
      <c r="AH2835" s="80"/>
      <c r="AI2835" s="80"/>
    </row>
    <row r="2836" spans="5:35" x14ac:dyDescent="0.25">
      <c r="E2836" s="16"/>
      <c r="F2836" s="16"/>
      <c r="H2836" s="16"/>
      <c r="AG2836" s="80"/>
      <c r="AH2836" s="80"/>
      <c r="AI2836" s="80"/>
    </row>
    <row r="2837" spans="5:35" x14ac:dyDescent="0.25">
      <c r="E2837" s="16"/>
      <c r="F2837" s="16"/>
      <c r="H2837" s="16"/>
      <c r="AG2837" s="80"/>
      <c r="AH2837" s="80"/>
      <c r="AI2837" s="80"/>
    </row>
    <row r="2838" spans="5:35" x14ac:dyDescent="0.25">
      <c r="E2838" s="16"/>
      <c r="F2838" s="16"/>
      <c r="H2838" s="16"/>
      <c r="AG2838" s="80"/>
      <c r="AH2838" s="80"/>
      <c r="AI2838" s="80"/>
    </row>
    <row r="2839" spans="5:35" x14ac:dyDescent="0.25">
      <c r="E2839" s="16"/>
      <c r="F2839" s="16"/>
      <c r="H2839" s="16"/>
      <c r="AG2839" s="80"/>
      <c r="AH2839" s="80"/>
      <c r="AI2839" s="80"/>
    </row>
    <row r="2840" spans="5:35" x14ac:dyDescent="0.25">
      <c r="E2840" s="16"/>
      <c r="F2840" s="16"/>
      <c r="H2840" s="16"/>
      <c r="AG2840" s="80"/>
      <c r="AH2840" s="80"/>
      <c r="AI2840" s="80"/>
    </row>
    <row r="2841" spans="5:35" x14ac:dyDescent="0.25">
      <c r="E2841" s="16"/>
      <c r="F2841" s="16"/>
      <c r="H2841" s="16"/>
      <c r="AG2841" s="80"/>
      <c r="AH2841" s="80"/>
      <c r="AI2841" s="80"/>
    </row>
    <row r="2842" spans="5:35" x14ac:dyDescent="0.25">
      <c r="E2842" s="16"/>
      <c r="F2842" s="16"/>
      <c r="H2842" s="16"/>
      <c r="AG2842" s="80"/>
      <c r="AH2842" s="80"/>
      <c r="AI2842" s="80"/>
    </row>
    <row r="2843" spans="5:35" x14ac:dyDescent="0.25">
      <c r="E2843" s="16"/>
      <c r="F2843" s="16"/>
      <c r="H2843" s="16"/>
      <c r="AG2843" s="80"/>
      <c r="AH2843" s="80"/>
      <c r="AI2843" s="80"/>
    </row>
    <row r="2844" spans="5:35" x14ac:dyDescent="0.25">
      <c r="E2844" s="16"/>
      <c r="F2844" s="16"/>
      <c r="H2844" s="16"/>
      <c r="AG2844" s="80"/>
      <c r="AH2844" s="80"/>
      <c r="AI2844" s="80"/>
    </row>
    <row r="2845" spans="5:35" x14ac:dyDescent="0.25">
      <c r="E2845" s="16"/>
      <c r="F2845" s="16"/>
      <c r="H2845" s="16"/>
      <c r="AG2845" s="80"/>
      <c r="AH2845" s="80"/>
      <c r="AI2845" s="80"/>
    </row>
    <row r="2846" spans="5:35" x14ac:dyDescent="0.25">
      <c r="E2846" s="16"/>
      <c r="F2846" s="16"/>
      <c r="H2846" s="16"/>
      <c r="AG2846" s="80"/>
      <c r="AH2846" s="80"/>
      <c r="AI2846" s="80"/>
    </row>
    <row r="2847" spans="5:35" x14ac:dyDescent="0.25">
      <c r="E2847" s="16"/>
      <c r="F2847" s="16"/>
      <c r="H2847" s="16"/>
      <c r="AG2847" s="80"/>
      <c r="AH2847" s="80"/>
      <c r="AI2847" s="80"/>
    </row>
    <row r="2848" spans="5:35" x14ac:dyDescent="0.25">
      <c r="E2848" s="16"/>
      <c r="F2848" s="16"/>
      <c r="H2848" s="16"/>
      <c r="AG2848" s="80"/>
      <c r="AH2848" s="80"/>
      <c r="AI2848" s="80"/>
    </row>
    <row r="2849" spans="5:35" x14ac:dyDescent="0.25">
      <c r="E2849" s="16"/>
      <c r="F2849" s="16"/>
      <c r="H2849" s="16"/>
      <c r="AG2849" s="80"/>
      <c r="AH2849" s="80"/>
      <c r="AI2849" s="80"/>
    </row>
    <row r="2850" spans="5:35" x14ac:dyDescent="0.25">
      <c r="E2850" s="16"/>
      <c r="F2850" s="16"/>
      <c r="H2850" s="16"/>
      <c r="AG2850" s="80"/>
      <c r="AH2850" s="80"/>
      <c r="AI2850" s="80"/>
    </row>
    <row r="2851" spans="5:35" x14ac:dyDescent="0.25">
      <c r="E2851" s="16"/>
      <c r="F2851" s="16"/>
      <c r="H2851" s="16"/>
      <c r="AG2851" s="80"/>
      <c r="AH2851" s="80"/>
      <c r="AI2851" s="80"/>
    </row>
    <row r="2852" spans="5:35" x14ac:dyDescent="0.25">
      <c r="E2852" s="16"/>
      <c r="F2852" s="16"/>
      <c r="H2852" s="16"/>
      <c r="AG2852" s="80"/>
      <c r="AH2852" s="80"/>
      <c r="AI2852" s="80"/>
    </row>
    <row r="2853" spans="5:35" x14ac:dyDescent="0.25">
      <c r="E2853" s="16"/>
      <c r="F2853" s="16"/>
      <c r="H2853" s="16"/>
      <c r="AG2853" s="80"/>
      <c r="AH2853" s="80"/>
      <c r="AI2853" s="80"/>
    </row>
    <row r="2854" spans="5:35" x14ac:dyDescent="0.25">
      <c r="E2854" s="16"/>
      <c r="F2854" s="16"/>
      <c r="H2854" s="16"/>
      <c r="AG2854" s="80"/>
      <c r="AH2854" s="80"/>
      <c r="AI2854" s="80"/>
    </row>
    <row r="2855" spans="5:35" x14ac:dyDescent="0.25">
      <c r="E2855" s="16"/>
      <c r="F2855" s="16"/>
      <c r="H2855" s="16"/>
      <c r="AG2855" s="80"/>
      <c r="AH2855" s="80"/>
      <c r="AI2855" s="80"/>
    </row>
    <row r="2856" spans="5:35" x14ac:dyDescent="0.25">
      <c r="E2856" s="16"/>
      <c r="F2856" s="16"/>
      <c r="H2856" s="16"/>
      <c r="AG2856" s="80"/>
      <c r="AH2856" s="80"/>
      <c r="AI2856" s="80"/>
    </row>
    <row r="2857" spans="5:35" x14ac:dyDescent="0.25">
      <c r="E2857" s="16"/>
      <c r="F2857" s="16"/>
      <c r="H2857" s="16"/>
      <c r="AG2857" s="80"/>
      <c r="AH2857" s="80"/>
      <c r="AI2857" s="80"/>
    </row>
    <row r="2858" spans="5:35" x14ac:dyDescent="0.25">
      <c r="E2858" s="16"/>
      <c r="F2858" s="16"/>
      <c r="H2858" s="16"/>
      <c r="AG2858" s="80"/>
      <c r="AH2858" s="80"/>
      <c r="AI2858" s="80"/>
    </row>
    <row r="2859" spans="5:35" x14ac:dyDescent="0.25">
      <c r="E2859" s="16"/>
      <c r="F2859" s="16"/>
      <c r="H2859" s="16"/>
      <c r="AG2859" s="80"/>
      <c r="AH2859" s="80"/>
      <c r="AI2859" s="80"/>
    </row>
    <row r="2860" spans="5:35" x14ac:dyDescent="0.25">
      <c r="E2860" s="16"/>
      <c r="F2860" s="16"/>
      <c r="H2860" s="16"/>
      <c r="AG2860" s="80"/>
      <c r="AH2860" s="80"/>
      <c r="AI2860" s="80"/>
    </row>
    <row r="2861" spans="5:35" x14ac:dyDescent="0.25">
      <c r="E2861" s="16"/>
      <c r="F2861" s="16"/>
      <c r="H2861" s="16"/>
      <c r="AG2861" s="80"/>
      <c r="AH2861" s="80"/>
      <c r="AI2861" s="80"/>
    </row>
    <row r="2862" spans="5:35" x14ac:dyDescent="0.25">
      <c r="E2862" s="16"/>
      <c r="F2862" s="16"/>
      <c r="H2862" s="16"/>
      <c r="AG2862" s="80"/>
      <c r="AH2862" s="80"/>
      <c r="AI2862" s="80"/>
    </row>
    <row r="2863" spans="5:35" x14ac:dyDescent="0.25">
      <c r="E2863" s="16"/>
      <c r="F2863" s="16"/>
      <c r="H2863" s="16"/>
      <c r="AG2863" s="80"/>
      <c r="AH2863" s="80"/>
      <c r="AI2863" s="80"/>
    </row>
    <row r="2864" spans="5:35" x14ac:dyDescent="0.25">
      <c r="E2864" s="16"/>
      <c r="F2864" s="16"/>
      <c r="H2864" s="16"/>
      <c r="AG2864" s="80"/>
      <c r="AH2864" s="80"/>
      <c r="AI2864" s="80"/>
    </row>
    <row r="2865" spans="5:35" x14ac:dyDescent="0.25">
      <c r="E2865" s="16"/>
      <c r="F2865" s="16"/>
      <c r="H2865" s="16"/>
      <c r="AG2865" s="80"/>
      <c r="AH2865" s="80"/>
      <c r="AI2865" s="80"/>
    </row>
    <row r="2866" spans="5:35" x14ac:dyDescent="0.25">
      <c r="E2866" s="16"/>
      <c r="F2866" s="16"/>
      <c r="H2866" s="16"/>
      <c r="AG2866" s="80"/>
      <c r="AH2866" s="80"/>
      <c r="AI2866" s="80"/>
    </row>
    <row r="2867" spans="5:35" x14ac:dyDescent="0.25">
      <c r="E2867" s="16"/>
      <c r="F2867" s="16"/>
      <c r="H2867" s="16"/>
      <c r="AG2867" s="80"/>
      <c r="AH2867" s="80"/>
      <c r="AI2867" s="80"/>
    </row>
    <row r="2868" spans="5:35" x14ac:dyDescent="0.25">
      <c r="E2868" s="16"/>
      <c r="F2868" s="16"/>
      <c r="H2868" s="16"/>
      <c r="AG2868" s="80"/>
      <c r="AH2868" s="80"/>
      <c r="AI2868" s="80"/>
    </row>
    <row r="2869" spans="5:35" x14ac:dyDescent="0.25">
      <c r="E2869" s="16"/>
      <c r="F2869" s="16"/>
      <c r="H2869" s="16"/>
      <c r="AG2869" s="80"/>
      <c r="AH2869" s="80"/>
      <c r="AI2869" s="80"/>
    </row>
    <row r="2870" spans="5:35" x14ac:dyDescent="0.25">
      <c r="E2870" s="16"/>
      <c r="F2870" s="16"/>
      <c r="H2870" s="16"/>
      <c r="AG2870" s="80"/>
      <c r="AH2870" s="80"/>
      <c r="AI2870" s="80"/>
    </row>
    <row r="2871" spans="5:35" x14ac:dyDescent="0.25">
      <c r="E2871" s="16"/>
      <c r="F2871" s="16"/>
      <c r="H2871" s="16"/>
      <c r="AG2871" s="80"/>
      <c r="AH2871" s="80"/>
      <c r="AI2871" s="80"/>
    </row>
    <row r="2872" spans="5:35" x14ac:dyDescent="0.25">
      <c r="E2872" s="16"/>
      <c r="F2872" s="16"/>
      <c r="H2872" s="16"/>
      <c r="AG2872" s="80"/>
      <c r="AH2872" s="80"/>
      <c r="AI2872" s="80"/>
    </row>
    <row r="2873" spans="5:35" x14ac:dyDescent="0.25">
      <c r="E2873" s="16"/>
      <c r="F2873" s="16"/>
      <c r="H2873" s="16"/>
      <c r="AG2873" s="80"/>
      <c r="AH2873" s="80"/>
      <c r="AI2873" s="80"/>
    </row>
    <row r="2874" spans="5:35" x14ac:dyDescent="0.25">
      <c r="E2874" s="16"/>
      <c r="F2874" s="16"/>
      <c r="H2874" s="16"/>
      <c r="AG2874" s="80"/>
      <c r="AH2874" s="80"/>
      <c r="AI2874" s="80"/>
    </row>
    <row r="2875" spans="5:35" x14ac:dyDescent="0.25">
      <c r="E2875" s="16"/>
      <c r="F2875" s="16"/>
      <c r="H2875" s="16"/>
      <c r="AG2875" s="80"/>
      <c r="AH2875" s="80"/>
      <c r="AI2875" s="80"/>
    </row>
    <row r="2876" spans="5:35" x14ac:dyDescent="0.25">
      <c r="E2876" s="16"/>
      <c r="F2876" s="16"/>
      <c r="H2876" s="16"/>
      <c r="AG2876" s="80"/>
      <c r="AH2876" s="80"/>
      <c r="AI2876" s="80"/>
    </row>
    <row r="2877" spans="5:35" x14ac:dyDescent="0.25">
      <c r="E2877" s="16"/>
      <c r="F2877" s="16"/>
      <c r="H2877" s="16"/>
      <c r="AG2877" s="80"/>
      <c r="AH2877" s="80"/>
      <c r="AI2877" s="80"/>
    </row>
    <row r="2878" spans="5:35" x14ac:dyDescent="0.25">
      <c r="E2878" s="16"/>
      <c r="F2878" s="16"/>
      <c r="H2878" s="16"/>
      <c r="AG2878" s="80"/>
      <c r="AH2878" s="80"/>
      <c r="AI2878" s="80"/>
    </row>
    <row r="2879" spans="5:35" x14ac:dyDescent="0.25">
      <c r="E2879" s="16"/>
      <c r="F2879" s="16"/>
      <c r="H2879" s="16"/>
      <c r="AG2879" s="80"/>
      <c r="AH2879" s="80"/>
      <c r="AI2879" s="80"/>
    </row>
    <row r="2880" spans="5:35" x14ac:dyDescent="0.25">
      <c r="E2880" s="16"/>
      <c r="F2880" s="16"/>
      <c r="H2880" s="16"/>
      <c r="AG2880" s="80"/>
      <c r="AH2880" s="80"/>
      <c r="AI2880" s="80"/>
    </row>
    <row r="2881" spans="5:35" x14ac:dyDescent="0.25">
      <c r="E2881" s="16"/>
      <c r="F2881" s="16"/>
      <c r="H2881" s="16"/>
      <c r="AG2881" s="80"/>
      <c r="AH2881" s="80"/>
      <c r="AI2881" s="80"/>
    </row>
    <row r="2882" spans="5:35" x14ac:dyDescent="0.25">
      <c r="E2882" s="16"/>
      <c r="F2882" s="16"/>
      <c r="H2882" s="16"/>
      <c r="AG2882" s="80"/>
      <c r="AH2882" s="80"/>
      <c r="AI2882" s="80"/>
    </row>
    <row r="2883" spans="5:35" x14ac:dyDescent="0.25">
      <c r="E2883" s="16"/>
      <c r="F2883" s="16"/>
      <c r="H2883" s="16"/>
      <c r="AG2883" s="80"/>
      <c r="AH2883" s="80"/>
      <c r="AI2883" s="80"/>
    </row>
    <row r="2884" spans="5:35" x14ac:dyDescent="0.25">
      <c r="E2884" s="16"/>
      <c r="F2884" s="16"/>
      <c r="H2884" s="16"/>
      <c r="AG2884" s="80"/>
      <c r="AH2884" s="80"/>
      <c r="AI2884" s="80"/>
    </row>
    <row r="2885" spans="5:35" x14ac:dyDescent="0.25">
      <c r="E2885" s="16"/>
      <c r="F2885" s="16"/>
      <c r="H2885" s="16"/>
      <c r="AG2885" s="80"/>
      <c r="AH2885" s="80"/>
      <c r="AI2885" s="80"/>
    </row>
    <row r="2886" spans="5:35" x14ac:dyDescent="0.25">
      <c r="E2886" s="16"/>
      <c r="F2886" s="16"/>
      <c r="H2886" s="16"/>
      <c r="AG2886" s="80"/>
      <c r="AH2886" s="80"/>
      <c r="AI2886" s="80"/>
    </row>
    <row r="2887" spans="5:35" x14ac:dyDescent="0.25">
      <c r="E2887" s="16"/>
      <c r="F2887" s="16"/>
      <c r="H2887" s="16"/>
      <c r="AG2887" s="80"/>
      <c r="AH2887" s="80"/>
      <c r="AI2887" s="80"/>
    </row>
    <row r="2888" spans="5:35" x14ac:dyDescent="0.25">
      <c r="E2888" s="16"/>
      <c r="F2888" s="16"/>
      <c r="H2888" s="16"/>
      <c r="AG2888" s="80"/>
      <c r="AH2888" s="80"/>
      <c r="AI2888" s="80"/>
    </row>
    <row r="2889" spans="5:35" x14ac:dyDescent="0.25">
      <c r="E2889" s="16"/>
      <c r="F2889" s="16"/>
      <c r="H2889" s="16"/>
      <c r="AG2889" s="80"/>
      <c r="AH2889" s="80"/>
      <c r="AI2889" s="80"/>
    </row>
    <row r="2890" spans="5:35" x14ac:dyDescent="0.25">
      <c r="E2890" s="16"/>
      <c r="F2890" s="16"/>
      <c r="H2890" s="16"/>
      <c r="AG2890" s="80"/>
      <c r="AH2890" s="80"/>
      <c r="AI2890" s="80"/>
    </row>
    <row r="2891" spans="5:35" x14ac:dyDescent="0.25">
      <c r="E2891" s="16"/>
      <c r="F2891" s="16"/>
      <c r="H2891" s="16"/>
      <c r="AG2891" s="80"/>
      <c r="AH2891" s="80"/>
      <c r="AI2891" s="80"/>
    </row>
    <row r="2892" spans="5:35" x14ac:dyDescent="0.25">
      <c r="E2892" s="16"/>
      <c r="F2892" s="16"/>
      <c r="H2892" s="16"/>
      <c r="AG2892" s="80"/>
      <c r="AH2892" s="80"/>
      <c r="AI2892" s="80"/>
    </row>
    <row r="2893" spans="5:35" x14ac:dyDescent="0.25">
      <c r="E2893" s="16"/>
      <c r="F2893" s="16"/>
      <c r="H2893" s="16"/>
      <c r="AG2893" s="80"/>
      <c r="AH2893" s="80"/>
      <c r="AI2893" s="80"/>
    </row>
    <row r="2894" spans="5:35" x14ac:dyDescent="0.25">
      <c r="E2894" s="16"/>
      <c r="F2894" s="16"/>
      <c r="H2894" s="16"/>
      <c r="AG2894" s="80"/>
      <c r="AH2894" s="80"/>
      <c r="AI2894" s="80"/>
    </row>
    <row r="2895" spans="5:35" x14ac:dyDescent="0.25">
      <c r="E2895" s="16"/>
      <c r="F2895" s="16"/>
      <c r="H2895" s="16"/>
      <c r="AG2895" s="80"/>
      <c r="AH2895" s="80"/>
      <c r="AI2895" s="80"/>
    </row>
    <row r="2896" spans="5:35" x14ac:dyDescent="0.25">
      <c r="E2896" s="16"/>
      <c r="F2896" s="16"/>
      <c r="H2896" s="16"/>
      <c r="AG2896" s="80"/>
      <c r="AH2896" s="80"/>
      <c r="AI2896" s="80"/>
    </row>
    <row r="2897" spans="5:35" x14ac:dyDescent="0.25">
      <c r="E2897" s="16"/>
      <c r="F2897" s="16"/>
      <c r="H2897" s="16"/>
      <c r="AG2897" s="80"/>
      <c r="AH2897" s="80"/>
      <c r="AI2897" s="80"/>
    </row>
    <row r="2898" spans="5:35" x14ac:dyDescent="0.25">
      <c r="E2898" s="16"/>
      <c r="F2898" s="16"/>
      <c r="H2898" s="16"/>
      <c r="AG2898" s="80"/>
      <c r="AH2898" s="80"/>
      <c r="AI2898" s="80"/>
    </row>
    <row r="2899" spans="5:35" x14ac:dyDescent="0.25">
      <c r="E2899" s="16"/>
      <c r="F2899" s="16"/>
      <c r="H2899" s="16"/>
      <c r="AG2899" s="80"/>
      <c r="AH2899" s="80"/>
      <c r="AI2899" s="80"/>
    </row>
    <row r="2900" spans="5:35" x14ac:dyDescent="0.25">
      <c r="E2900" s="16"/>
      <c r="F2900" s="16"/>
      <c r="H2900" s="16"/>
      <c r="AG2900" s="80"/>
      <c r="AH2900" s="80"/>
      <c r="AI2900" s="80"/>
    </row>
    <row r="2901" spans="5:35" x14ac:dyDescent="0.25">
      <c r="E2901" s="16"/>
      <c r="F2901" s="16"/>
      <c r="H2901" s="16"/>
      <c r="AG2901" s="80"/>
      <c r="AH2901" s="80"/>
      <c r="AI2901" s="80"/>
    </row>
    <row r="2902" spans="5:35" x14ac:dyDescent="0.25">
      <c r="E2902" s="16"/>
      <c r="F2902" s="16"/>
      <c r="H2902" s="16"/>
      <c r="AG2902" s="80"/>
      <c r="AH2902" s="80"/>
      <c r="AI2902" s="80"/>
    </row>
    <row r="2903" spans="5:35" x14ac:dyDescent="0.25">
      <c r="E2903" s="16"/>
      <c r="F2903" s="16"/>
      <c r="H2903" s="16"/>
      <c r="AG2903" s="80"/>
      <c r="AH2903" s="80"/>
      <c r="AI2903" s="80"/>
    </row>
    <row r="2904" spans="5:35" x14ac:dyDescent="0.25">
      <c r="E2904" s="16"/>
      <c r="F2904" s="16"/>
      <c r="H2904" s="16"/>
      <c r="AG2904" s="80"/>
      <c r="AH2904" s="80"/>
      <c r="AI2904" s="80"/>
    </row>
    <row r="2905" spans="5:35" x14ac:dyDescent="0.25">
      <c r="E2905" s="16"/>
      <c r="F2905" s="16"/>
      <c r="H2905" s="16"/>
      <c r="AG2905" s="80"/>
      <c r="AH2905" s="80"/>
      <c r="AI2905" s="80"/>
    </row>
    <row r="2906" spans="5:35" x14ac:dyDescent="0.25">
      <c r="E2906" s="16"/>
      <c r="F2906" s="16"/>
      <c r="H2906" s="16"/>
      <c r="AG2906" s="80"/>
      <c r="AH2906" s="80"/>
      <c r="AI2906" s="80"/>
    </row>
    <row r="2907" spans="5:35" x14ac:dyDescent="0.25">
      <c r="E2907" s="16"/>
      <c r="F2907" s="16"/>
      <c r="H2907" s="16"/>
      <c r="AG2907" s="80"/>
      <c r="AH2907" s="80"/>
      <c r="AI2907" s="80"/>
    </row>
    <row r="2908" spans="5:35" x14ac:dyDescent="0.25">
      <c r="E2908" s="16"/>
      <c r="F2908" s="16"/>
      <c r="H2908" s="16"/>
      <c r="AG2908" s="80"/>
      <c r="AH2908" s="80"/>
      <c r="AI2908" s="80"/>
    </row>
    <row r="2909" spans="5:35" x14ac:dyDescent="0.25">
      <c r="E2909" s="16"/>
      <c r="F2909" s="16"/>
      <c r="H2909" s="16"/>
      <c r="AG2909" s="80"/>
      <c r="AH2909" s="80"/>
      <c r="AI2909" s="80"/>
    </row>
    <row r="2910" spans="5:35" x14ac:dyDescent="0.25">
      <c r="E2910" s="16"/>
      <c r="F2910" s="16"/>
      <c r="H2910" s="16"/>
      <c r="AG2910" s="80"/>
      <c r="AH2910" s="80"/>
      <c r="AI2910" s="80"/>
    </row>
    <row r="2911" spans="5:35" x14ac:dyDescent="0.25">
      <c r="E2911" s="16"/>
      <c r="F2911" s="16"/>
      <c r="H2911" s="16"/>
      <c r="AG2911" s="80"/>
      <c r="AH2911" s="80"/>
      <c r="AI2911" s="80"/>
    </row>
    <row r="2912" spans="5:35" x14ac:dyDescent="0.25">
      <c r="E2912" s="16"/>
      <c r="F2912" s="16"/>
      <c r="H2912" s="16"/>
      <c r="AG2912" s="80"/>
      <c r="AH2912" s="80"/>
      <c r="AI2912" s="80"/>
    </row>
    <row r="2913" spans="5:35" x14ac:dyDescent="0.25">
      <c r="E2913" s="16"/>
      <c r="F2913" s="16"/>
      <c r="H2913" s="16"/>
      <c r="AG2913" s="80"/>
      <c r="AH2913" s="80"/>
      <c r="AI2913" s="80"/>
    </row>
    <row r="2914" spans="5:35" x14ac:dyDescent="0.25">
      <c r="E2914" s="16"/>
      <c r="F2914" s="16"/>
      <c r="H2914" s="16"/>
      <c r="AG2914" s="80"/>
      <c r="AH2914" s="80"/>
      <c r="AI2914" s="80"/>
    </row>
    <row r="2915" spans="5:35" x14ac:dyDescent="0.25">
      <c r="E2915" s="16"/>
      <c r="F2915" s="16"/>
      <c r="H2915" s="16"/>
      <c r="AG2915" s="80"/>
      <c r="AH2915" s="80"/>
      <c r="AI2915" s="80"/>
    </row>
    <row r="2916" spans="5:35" x14ac:dyDescent="0.25">
      <c r="E2916" s="16"/>
      <c r="F2916" s="16"/>
      <c r="H2916" s="16"/>
      <c r="AG2916" s="80"/>
      <c r="AH2916" s="80"/>
      <c r="AI2916" s="80"/>
    </row>
    <row r="2917" spans="5:35" x14ac:dyDescent="0.25">
      <c r="E2917" s="16"/>
      <c r="F2917" s="16"/>
      <c r="H2917" s="16"/>
      <c r="AG2917" s="80"/>
      <c r="AH2917" s="80"/>
      <c r="AI2917" s="80"/>
    </row>
    <row r="2918" spans="5:35" x14ac:dyDescent="0.25">
      <c r="E2918" s="16"/>
      <c r="F2918" s="16"/>
      <c r="H2918" s="16"/>
      <c r="AG2918" s="80"/>
      <c r="AH2918" s="80"/>
      <c r="AI2918" s="80"/>
    </row>
    <row r="2919" spans="5:35" x14ac:dyDescent="0.25">
      <c r="E2919" s="16"/>
      <c r="F2919" s="16"/>
      <c r="H2919" s="16"/>
      <c r="AG2919" s="80"/>
      <c r="AH2919" s="80"/>
      <c r="AI2919" s="80"/>
    </row>
    <row r="2920" spans="5:35" x14ac:dyDescent="0.25">
      <c r="E2920" s="16"/>
      <c r="F2920" s="16"/>
      <c r="H2920" s="16"/>
      <c r="AG2920" s="80"/>
      <c r="AH2920" s="80"/>
      <c r="AI2920" s="80"/>
    </row>
    <row r="2921" spans="5:35" x14ac:dyDescent="0.25">
      <c r="E2921" s="16"/>
      <c r="F2921" s="16"/>
      <c r="H2921" s="16"/>
      <c r="AG2921" s="80"/>
      <c r="AH2921" s="80"/>
      <c r="AI2921" s="80"/>
    </row>
    <row r="2922" spans="5:35" x14ac:dyDescent="0.25">
      <c r="E2922" s="16"/>
      <c r="F2922" s="16"/>
      <c r="H2922" s="16"/>
      <c r="AG2922" s="80"/>
      <c r="AH2922" s="80"/>
      <c r="AI2922" s="80"/>
    </row>
    <row r="2923" spans="5:35" x14ac:dyDescent="0.25">
      <c r="E2923" s="16"/>
      <c r="F2923" s="16"/>
      <c r="H2923" s="16"/>
      <c r="AG2923" s="80"/>
      <c r="AH2923" s="80"/>
      <c r="AI2923" s="80"/>
    </row>
    <row r="2924" spans="5:35" x14ac:dyDescent="0.25">
      <c r="E2924" s="16"/>
      <c r="F2924" s="16"/>
      <c r="H2924" s="16"/>
      <c r="AG2924" s="80"/>
      <c r="AH2924" s="80"/>
      <c r="AI2924" s="80"/>
    </row>
    <row r="2925" spans="5:35" x14ac:dyDescent="0.25">
      <c r="E2925" s="16"/>
      <c r="F2925" s="16"/>
      <c r="H2925" s="16"/>
      <c r="AG2925" s="80"/>
      <c r="AH2925" s="80"/>
      <c r="AI2925" s="80"/>
    </row>
    <row r="2926" spans="5:35" x14ac:dyDescent="0.25">
      <c r="E2926" s="16"/>
      <c r="F2926" s="16"/>
      <c r="H2926" s="16"/>
      <c r="AG2926" s="80"/>
      <c r="AH2926" s="80"/>
      <c r="AI2926" s="80"/>
    </row>
    <row r="2927" spans="5:35" x14ac:dyDescent="0.25">
      <c r="E2927" s="16"/>
      <c r="F2927" s="16"/>
      <c r="H2927" s="16"/>
      <c r="AG2927" s="80"/>
      <c r="AH2927" s="80"/>
      <c r="AI2927" s="80"/>
    </row>
    <row r="2928" spans="5:35" x14ac:dyDescent="0.25">
      <c r="E2928" s="16"/>
      <c r="F2928" s="16"/>
      <c r="H2928" s="16"/>
      <c r="AG2928" s="80"/>
      <c r="AH2928" s="80"/>
      <c r="AI2928" s="80"/>
    </row>
    <row r="2929" spans="5:35" x14ac:dyDescent="0.25">
      <c r="E2929" s="16"/>
      <c r="F2929" s="16"/>
      <c r="H2929" s="16"/>
      <c r="AG2929" s="80"/>
      <c r="AH2929" s="80"/>
      <c r="AI2929" s="80"/>
    </row>
    <row r="2930" spans="5:35" x14ac:dyDescent="0.25">
      <c r="E2930" s="16"/>
      <c r="F2930" s="16"/>
      <c r="H2930" s="16"/>
      <c r="AG2930" s="80"/>
      <c r="AH2930" s="80"/>
      <c r="AI2930" s="80"/>
    </row>
    <row r="2931" spans="5:35" x14ac:dyDescent="0.25">
      <c r="E2931" s="16"/>
      <c r="F2931" s="16"/>
      <c r="H2931" s="16"/>
      <c r="AG2931" s="80"/>
      <c r="AH2931" s="80"/>
      <c r="AI2931" s="80"/>
    </row>
    <row r="2932" spans="5:35" x14ac:dyDescent="0.25">
      <c r="E2932" s="16"/>
      <c r="F2932" s="16"/>
      <c r="H2932" s="16"/>
      <c r="AG2932" s="80"/>
      <c r="AH2932" s="80"/>
      <c r="AI2932" s="80"/>
    </row>
    <row r="2933" spans="5:35" x14ac:dyDescent="0.25">
      <c r="E2933" s="16"/>
      <c r="F2933" s="16"/>
      <c r="H2933" s="16"/>
      <c r="AG2933" s="80"/>
      <c r="AH2933" s="80"/>
      <c r="AI2933" s="80"/>
    </row>
    <row r="2934" spans="5:35" x14ac:dyDescent="0.25">
      <c r="E2934" s="16"/>
      <c r="F2934" s="16"/>
      <c r="H2934" s="16"/>
      <c r="AG2934" s="80"/>
      <c r="AH2934" s="80"/>
      <c r="AI2934" s="80"/>
    </row>
    <row r="2935" spans="5:35" x14ac:dyDescent="0.25">
      <c r="E2935" s="16"/>
      <c r="F2935" s="16"/>
      <c r="H2935" s="16"/>
      <c r="AG2935" s="80"/>
      <c r="AH2935" s="80"/>
      <c r="AI2935" s="80"/>
    </row>
    <row r="2936" spans="5:35" x14ac:dyDescent="0.25">
      <c r="E2936" s="16"/>
      <c r="F2936" s="16"/>
      <c r="H2936" s="16"/>
      <c r="AG2936" s="80"/>
      <c r="AH2936" s="80"/>
      <c r="AI2936" s="80"/>
    </row>
    <row r="2937" spans="5:35" x14ac:dyDescent="0.25">
      <c r="E2937" s="16"/>
      <c r="F2937" s="16"/>
      <c r="H2937" s="16"/>
      <c r="AG2937" s="80"/>
      <c r="AH2937" s="80"/>
      <c r="AI2937" s="80"/>
    </row>
    <row r="2938" spans="5:35" x14ac:dyDescent="0.25">
      <c r="E2938" s="16"/>
      <c r="F2938" s="16"/>
      <c r="H2938" s="16"/>
      <c r="AG2938" s="80"/>
      <c r="AH2938" s="80"/>
      <c r="AI2938" s="80"/>
    </row>
    <row r="2939" spans="5:35" x14ac:dyDescent="0.25">
      <c r="E2939" s="16"/>
      <c r="F2939" s="16"/>
      <c r="H2939" s="16"/>
      <c r="AG2939" s="80"/>
      <c r="AH2939" s="80"/>
      <c r="AI2939" s="80"/>
    </row>
    <row r="2940" spans="5:35" x14ac:dyDescent="0.25">
      <c r="E2940" s="16"/>
      <c r="F2940" s="16"/>
      <c r="H2940" s="16"/>
      <c r="AG2940" s="80"/>
      <c r="AH2940" s="80"/>
      <c r="AI2940" s="80"/>
    </row>
    <row r="2941" spans="5:35" x14ac:dyDescent="0.25">
      <c r="E2941" s="16"/>
      <c r="F2941" s="16"/>
      <c r="H2941" s="16"/>
      <c r="AG2941" s="80"/>
      <c r="AH2941" s="80"/>
      <c r="AI2941" s="80"/>
    </row>
    <row r="2942" spans="5:35" x14ac:dyDescent="0.25">
      <c r="E2942" s="16"/>
      <c r="F2942" s="16"/>
      <c r="H2942" s="16"/>
      <c r="AG2942" s="80"/>
      <c r="AH2942" s="80"/>
      <c r="AI2942" s="80"/>
    </row>
    <row r="2943" spans="5:35" x14ac:dyDescent="0.25">
      <c r="E2943" s="16"/>
      <c r="F2943" s="16"/>
      <c r="H2943" s="16"/>
      <c r="AG2943" s="80"/>
      <c r="AH2943" s="80"/>
      <c r="AI2943" s="80"/>
    </row>
    <row r="2944" spans="5:35" x14ac:dyDescent="0.25">
      <c r="E2944" s="16"/>
      <c r="F2944" s="16"/>
      <c r="H2944" s="16"/>
      <c r="AG2944" s="80"/>
      <c r="AH2944" s="80"/>
      <c r="AI2944" s="80"/>
    </row>
    <row r="2945" spans="5:35" x14ac:dyDescent="0.25">
      <c r="E2945" s="16"/>
      <c r="F2945" s="16"/>
      <c r="H2945" s="16"/>
      <c r="AG2945" s="80"/>
      <c r="AH2945" s="80"/>
      <c r="AI2945" s="80"/>
    </row>
    <row r="2946" spans="5:35" x14ac:dyDescent="0.25">
      <c r="E2946" s="16"/>
      <c r="F2946" s="16"/>
      <c r="H2946" s="16"/>
      <c r="AG2946" s="80"/>
      <c r="AH2946" s="80"/>
      <c r="AI2946" s="80"/>
    </row>
    <row r="2947" spans="5:35" x14ac:dyDescent="0.25">
      <c r="E2947" s="16"/>
      <c r="F2947" s="16"/>
      <c r="H2947" s="16"/>
      <c r="AG2947" s="80"/>
      <c r="AH2947" s="80"/>
      <c r="AI2947" s="80"/>
    </row>
    <row r="2948" spans="5:35" x14ac:dyDescent="0.25">
      <c r="E2948" s="16"/>
      <c r="F2948" s="16"/>
      <c r="H2948" s="16"/>
      <c r="AG2948" s="80"/>
      <c r="AH2948" s="80"/>
      <c r="AI2948" s="80"/>
    </row>
    <row r="2949" spans="5:35" x14ac:dyDescent="0.25">
      <c r="E2949" s="16"/>
      <c r="F2949" s="16"/>
      <c r="H2949" s="16"/>
      <c r="AG2949" s="80"/>
      <c r="AH2949" s="80"/>
      <c r="AI2949" s="80"/>
    </row>
    <row r="2950" spans="5:35" x14ac:dyDescent="0.25">
      <c r="E2950" s="16"/>
      <c r="F2950" s="16"/>
      <c r="H2950" s="16"/>
      <c r="AG2950" s="80"/>
      <c r="AH2950" s="80"/>
      <c r="AI2950" s="80"/>
    </row>
    <row r="2951" spans="5:35" x14ac:dyDescent="0.25">
      <c r="E2951" s="16"/>
      <c r="F2951" s="16"/>
      <c r="H2951" s="16"/>
      <c r="AG2951" s="80"/>
      <c r="AH2951" s="80"/>
      <c r="AI2951" s="80"/>
    </row>
    <row r="2952" spans="5:35" x14ac:dyDescent="0.25">
      <c r="E2952" s="16"/>
      <c r="F2952" s="16"/>
      <c r="H2952" s="16"/>
      <c r="AG2952" s="80"/>
      <c r="AH2952" s="80"/>
      <c r="AI2952" s="80"/>
    </row>
    <row r="2953" spans="5:35" x14ac:dyDescent="0.25">
      <c r="E2953" s="16"/>
      <c r="F2953" s="16"/>
      <c r="H2953" s="16"/>
      <c r="AG2953" s="80"/>
      <c r="AH2953" s="80"/>
      <c r="AI2953" s="80"/>
    </row>
    <row r="2954" spans="5:35" x14ac:dyDescent="0.25">
      <c r="E2954" s="16"/>
      <c r="F2954" s="16"/>
      <c r="H2954" s="16"/>
      <c r="AG2954" s="80"/>
      <c r="AH2954" s="80"/>
      <c r="AI2954" s="80"/>
    </row>
    <row r="2955" spans="5:35" x14ac:dyDescent="0.25">
      <c r="E2955" s="16"/>
      <c r="F2955" s="16"/>
      <c r="H2955" s="16"/>
      <c r="AG2955" s="80"/>
      <c r="AH2955" s="80"/>
      <c r="AI2955" s="80"/>
    </row>
    <row r="2956" spans="5:35" x14ac:dyDescent="0.25">
      <c r="E2956" s="16"/>
      <c r="F2956" s="16"/>
      <c r="H2956" s="16"/>
      <c r="AG2956" s="80"/>
      <c r="AH2956" s="80"/>
      <c r="AI2956" s="80"/>
    </row>
    <row r="2957" spans="5:35" x14ac:dyDescent="0.25">
      <c r="E2957" s="16"/>
      <c r="F2957" s="16"/>
      <c r="H2957" s="16"/>
      <c r="AG2957" s="80"/>
      <c r="AH2957" s="80"/>
      <c r="AI2957" s="80"/>
    </row>
    <row r="2958" spans="5:35" x14ac:dyDescent="0.25">
      <c r="E2958" s="16"/>
      <c r="F2958" s="16"/>
      <c r="H2958" s="16"/>
      <c r="AG2958" s="80"/>
      <c r="AH2958" s="80"/>
      <c r="AI2958" s="80"/>
    </row>
    <row r="2959" spans="5:35" x14ac:dyDescent="0.25">
      <c r="E2959" s="16"/>
      <c r="F2959" s="16"/>
      <c r="H2959" s="16"/>
      <c r="AG2959" s="80"/>
      <c r="AH2959" s="80"/>
      <c r="AI2959" s="80"/>
    </row>
    <row r="2960" spans="5:35" x14ac:dyDescent="0.25">
      <c r="E2960" s="16"/>
      <c r="F2960" s="16"/>
      <c r="H2960" s="16"/>
      <c r="AG2960" s="80"/>
      <c r="AH2960" s="80"/>
      <c r="AI2960" s="80"/>
    </row>
    <row r="2961" spans="5:35" x14ac:dyDescent="0.25">
      <c r="E2961" s="16"/>
      <c r="F2961" s="16"/>
      <c r="H2961" s="16"/>
      <c r="AG2961" s="80"/>
      <c r="AH2961" s="80"/>
      <c r="AI2961" s="80"/>
    </row>
    <row r="2962" spans="5:35" x14ac:dyDescent="0.25">
      <c r="E2962" s="16"/>
      <c r="F2962" s="16"/>
      <c r="H2962" s="16"/>
      <c r="AG2962" s="80"/>
      <c r="AH2962" s="80"/>
      <c r="AI2962" s="80"/>
    </row>
    <row r="2963" spans="5:35" x14ac:dyDescent="0.25">
      <c r="E2963" s="16"/>
      <c r="F2963" s="16"/>
      <c r="H2963" s="16"/>
      <c r="AG2963" s="80"/>
      <c r="AH2963" s="80"/>
      <c r="AI2963" s="80"/>
    </row>
    <row r="2964" spans="5:35" x14ac:dyDescent="0.25">
      <c r="E2964" s="16"/>
      <c r="F2964" s="16"/>
      <c r="H2964" s="16"/>
      <c r="AG2964" s="80"/>
      <c r="AH2964" s="80"/>
      <c r="AI2964" s="80"/>
    </row>
    <row r="2965" spans="5:35" x14ac:dyDescent="0.25">
      <c r="E2965" s="16"/>
      <c r="F2965" s="16"/>
      <c r="H2965" s="16"/>
      <c r="AG2965" s="80"/>
      <c r="AH2965" s="80"/>
      <c r="AI2965" s="80"/>
    </row>
    <row r="2966" spans="5:35" x14ac:dyDescent="0.25">
      <c r="E2966" s="16"/>
      <c r="F2966" s="16"/>
      <c r="H2966" s="16"/>
      <c r="AG2966" s="80"/>
      <c r="AH2966" s="80"/>
      <c r="AI2966" s="80"/>
    </row>
    <row r="2967" spans="5:35" x14ac:dyDescent="0.25">
      <c r="E2967" s="16"/>
      <c r="F2967" s="16"/>
      <c r="H2967" s="16"/>
      <c r="AG2967" s="80"/>
      <c r="AH2967" s="80"/>
      <c r="AI2967" s="80"/>
    </row>
    <row r="2968" spans="5:35" x14ac:dyDescent="0.25">
      <c r="E2968" s="16"/>
      <c r="F2968" s="16"/>
      <c r="H2968" s="16"/>
      <c r="AG2968" s="80"/>
      <c r="AH2968" s="80"/>
      <c r="AI2968" s="80"/>
    </row>
    <row r="2969" spans="5:35" x14ac:dyDescent="0.25">
      <c r="E2969" s="16"/>
      <c r="F2969" s="16"/>
      <c r="H2969" s="16"/>
      <c r="AG2969" s="80"/>
      <c r="AH2969" s="80"/>
      <c r="AI2969" s="80"/>
    </row>
    <row r="2970" spans="5:35" x14ac:dyDescent="0.25">
      <c r="E2970" s="16"/>
      <c r="F2970" s="16"/>
      <c r="H2970" s="16"/>
      <c r="AG2970" s="80"/>
      <c r="AH2970" s="80"/>
      <c r="AI2970" s="80"/>
    </row>
    <row r="2971" spans="5:35" x14ac:dyDescent="0.25">
      <c r="E2971" s="16"/>
      <c r="F2971" s="16"/>
      <c r="H2971" s="16"/>
      <c r="AG2971" s="80"/>
      <c r="AH2971" s="80"/>
      <c r="AI2971" s="80"/>
    </row>
    <row r="2972" spans="5:35" x14ac:dyDescent="0.25">
      <c r="E2972" s="16"/>
      <c r="F2972" s="16"/>
      <c r="H2972" s="16"/>
      <c r="AG2972" s="80"/>
      <c r="AH2972" s="80"/>
      <c r="AI2972" s="80"/>
    </row>
    <row r="2973" spans="5:35" x14ac:dyDescent="0.25">
      <c r="E2973" s="16"/>
      <c r="F2973" s="16"/>
      <c r="H2973" s="16"/>
      <c r="AG2973" s="80"/>
      <c r="AH2973" s="80"/>
      <c r="AI2973" s="80"/>
    </row>
    <row r="2974" spans="5:35" x14ac:dyDescent="0.25">
      <c r="E2974" s="16"/>
      <c r="F2974" s="16"/>
      <c r="H2974" s="16"/>
      <c r="AG2974" s="80"/>
      <c r="AH2974" s="80"/>
      <c r="AI2974" s="80"/>
    </row>
    <row r="2975" spans="5:35" x14ac:dyDescent="0.25">
      <c r="E2975" s="16"/>
      <c r="F2975" s="16"/>
      <c r="H2975" s="16"/>
      <c r="AG2975" s="80"/>
      <c r="AH2975" s="80"/>
      <c r="AI2975" s="80"/>
    </row>
    <row r="2976" spans="5:35" x14ac:dyDescent="0.25">
      <c r="E2976" s="16"/>
      <c r="F2976" s="16"/>
      <c r="H2976" s="16"/>
      <c r="AG2976" s="80"/>
      <c r="AH2976" s="80"/>
      <c r="AI2976" s="80"/>
    </row>
    <row r="2977" spans="5:35" x14ac:dyDescent="0.25">
      <c r="E2977" s="16"/>
      <c r="F2977" s="16"/>
      <c r="H2977" s="16"/>
      <c r="AG2977" s="80"/>
      <c r="AH2977" s="80"/>
      <c r="AI2977" s="80"/>
    </row>
    <row r="2978" spans="5:35" x14ac:dyDescent="0.25">
      <c r="E2978" s="16"/>
      <c r="F2978" s="16"/>
      <c r="H2978" s="16"/>
      <c r="AG2978" s="80"/>
      <c r="AH2978" s="80"/>
      <c r="AI2978" s="80"/>
    </row>
    <row r="2979" spans="5:35" x14ac:dyDescent="0.25">
      <c r="E2979" s="16"/>
      <c r="F2979" s="16"/>
      <c r="H2979" s="16"/>
      <c r="AG2979" s="80"/>
      <c r="AH2979" s="80"/>
      <c r="AI2979" s="80"/>
    </row>
    <row r="2980" spans="5:35" x14ac:dyDescent="0.25">
      <c r="E2980" s="16"/>
      <c r="F2980" s="16"/>
      <c r="H2980" s="16"/>
      <c r="AG2980" s="80"/>
      <c r="AH2980" s="80"/>
      <c r="AI2980" s="80"/>
    </row>
    <row r="2981" spans="5:35" x14ac:dyDescent="0.25">
      <c r="E2981" s="16"/>
      <c r="F2981" s="16"/>
      <c r="H2981" s="16"/>
      <c r="AG2981" s="80"/>
      <c r="AH2981" s="80"/>
      <c r="AI2981" s="80"/>
    </row>
    <row r="2982" spans="5:35" x14ac:dyDescent="0.25">
      <c r="E2982" s="16"/>
      <c r="F2982" s="16"/>
      <c r="H2982" s="16"/>
      <c r="AG2982" s="80"/>
      <c r="AH2982" s="80"/>
      <c r="AI2982" s="80"/>
    </row>
    <row r="2983" spans="5:35" x14ac:dyDescent="0.25">
      <c r="E2983" s="16"/>
      <c r="F2983" s="16"/>
      <c r="H2983" s="16"/>
      <c r="AG2983" s="80"/>
      <c r="AH2983" s="80"/>
      <c r="AI2983" s="80"/>
    </row>
    <row r="2984" spans="5:35" x14ac:dyDescent="0.25">
      <c r="E2984" s="16"/>
      <c r="F2984" s="16"/>
      <c r="H2984" s="16"/>
      <c r="AG2984" s="80"/>
      <c r="AH2984" s="80"/>
      <c r="AI2984" s="80"/>
    </row>
    <row r="2985" spans="5:35" x14ac:dyDescent="0.25">
      <c r="E2985" s="16"/>
      <c r="F2985" s="16"/>
      <c r="H2985" s="16"/>
      <c r="AG2985" s="80"/>
      <c r="AH2985" s="80"/>
      <c r="AI2985" s="80"/>
    </row>
    <row r="2986" spans="5:35" x14ac:dyDescent="0.25">
      <c r="E2986" s="16"/>
      <c r="F2986" s="16"/>
      <c r="H2986" s="16"/>
      <c r="AG2986" s="80"/>
      <c r="AH2986" s="80"/>
      <c r="AI2986" s="80"/>
    </row>
    <row r="2987" spans="5:35" x14ac:dyDescent="0.25">
      <c r="E2987" s="16"/>
      <c r="F2987" s="16"/>
      <c r="H2987" s="16"/>
      <c r="AG2987" s="80"/>
      <c r="AH2987" s="80"/>
      <c r="AI2987" s="80"/>
    </row>
    <row r="2988" spans="5:35" x14ac:dyDescent="0.25">
      <c r="E2988" s="16"/>
      <c r="F2988" s="16"/>
      <c r="H2988" s="16"/>
      <c r="AG2988" s="80"/>
      <c r="AH2988" s="80"/>
      <c r="AI2988" s="80"/>
    </row>
    <row r="2989" spans="5:35" x14ac:dyDescent="0.25">
      <c r="E2989" s="16"/>
      <c r="F2989" s="16"/>
      <c r="H2989" s="16"/>
      <c r="AG2989" s="80"/>
      <c r="AH2989" s="80"/>
      <c r="AI2989" s="80"/>
    </row>
    <row r="2990" spans="5:35" x14ac:dyDescent="0.25">
      <c r="E2990" s="16"/>
      <c r="F2990" s="16"/>
      <c r="H2990" s="16"/>
      <c r="AG2990" s="80"/>
      <c r="AH2990" s="80"/>
      <c r="AI2990" s="80"/>
    </row>
    <row r="2991" spans="5:35" x14ac:dyDescent="0.25">
      <c r="E2991" s="16"/>
      <c r="F2991" s="16"/>
      <c r="H2991" s="16"/>
      <c r="AG2991" s="80"/>
      <c r="AH2991" s="80"/>
      <c r="AI2991" s="80"/>
    </row>
    <row r="2992" spans="5:35" x14ac:dyDescent="0.25">
      <c r="E2992" s="16"/>
      <c r="F2992" s="16"/>
      <c r="H2992" s="16"/>
      <c r="AG2992" s="80"/>
      <c r="AH2992" s="80"/>
      <c r="AI2992" s="80"/>
    </row>
    <row r="2993" spans="5:35" x14ac:dyDescent="0.25">
      <c r="E2993" s="16"/>
      <c r="F2993" s="16"/>
      <c r="H2993" s="16"/>
      <c r="AG2993" s="80"/>
      <c r="AH2993" s="80"/>
      <c r="AI2993" s="80"/>
    </row>
    <row r="2994" spans="5:35" x14ac:dyDescent="0.25">
      <c r="E2994" s="16"/>
      <c r="F2994" s="16"/>
      <c r="H2994" s="16"/>
      <c r="AG2994" s="80"/>
      <c r="AH2994" s="80"/>
      <c r="AI2994" s="80"/>
    </row>
    <row r="2995" spans="5:35" x14ac:dyDescent="0.25">
      <c r="E2995" s="16"/>
      <c r="F2995" s="16"/>
      <c r="H2995" s="16"/>
      <c r="AG2995" s="80"/>
      <c r="AH2995" s="80"/>
      <c r="AI2995" s="80"/>
    </row>
    <row r="2996" spans="5:35" x14ac:dyDescent="0.25">
      <c r="E2996" s="16"/>
      <c r="F2996" s="16"/>
      <c r="H2996" s="16"/>
      <c r="AG2996" s="80"/>
      <c r="AH2996" s="80"/>
      <c r="AI2996" s="80"/>
    </row>
    <row r="2997" spans="5:35" x14ac:dyDescent="0.25">
      <c r="E2997" s="16"/>
      <c r="F2997" s="16"/>
      <c r="H2997" s="16"/>
      <c r="AG2997" s="80"/>
      <c r="AH2997" s="80"/>
      <c r="AI2997" s="80"/>
    </row>
    <row r="2998" spans="5:35" x14ac:dyDescent="0.25">
      <c r="E2998" s="16"/>
      <c r="F2998" s="16"/>
      <c r="H2998" s="16"/>
      <c r="AG2998" s="80"/>
      <c r="AH2998" s="80"/>
      <c r="AI2998" s="80"/>
    </row>
    <row r="2999" spans="5:35" x14ac:dyDescent="0.25">
      <c r="E2999" s="16"/>
      <c r="F2999" s="16"/>
      <c r="H2999" s="16"/>
      <c r="AG2999" s="80"/>
      <c r="AH2999" s="80"/>
      <c r="AI2999" s="80"/>
    </row>
    <row r="3000" spans="5:35" x14ac:dyDescent="0.25">
      <c r="E3000" s="16"/>
      <c r="F3000" s="16"/>
      <c r="H3000" s="16"/>
      <c r="AG3000" s="80"/>
      <c r="AH3000" s="80"/>
      <c r="AI3000" s="80"/>
    </row>
    <row r="3001" spans="5:35" x14ac:dyDescent="0.25">
      <c r="E3001" s="16"/>
      <c r="F3001" s="16"/>
      <c r="H3001" s="16"/>
      <c r="AG3001" s="80"/>
      <c r="AH3001" s="80"/>
      <c r="AI3001" s="80"/>
    </row>
    <row r="3002" spans="5:35" x14ac:dyDescent="0.25">
      <c r="E3002" s="16"/>
      <c r="F3002" s="16"/>
      <c r="H3002" s="16"/>
      <c r="AG3002" s="80"/>
      <c r="AH3002" s="80"/>
      <c r="AI3002" s="80"/>
    </row>
    <row r="3003" spans="5:35" x14ac:dyDescent="0.25">
      <c r="E3003" s="16"/>
      <c r="F3003" s="16"/>
      <c r="H3003" s="16"/>
      <c r="AG3003" s="80"/>
      <c r="AH3003" s="80"/>
      <c r="AI3003" s="80"/>
    </row>
    <row r="3004" spans="5:35" x14ac:dyDescent="0.25">
      <c r="E3004" s="16"/>
      <c r="F3004" s="16"/>
      <c r="H3004" s="16"/>
      <c r="AG3004" s="80"/>
      <c r="AH3004" s="80"/>
      <c r="AI3004" s="80"/>
    </row>
    <row r="3005" spans="5:35" x14ac:dyDescent="0.25">
      <c r="E3005" s="16"/>
      <c r="F3005" s="16"/>
      <c r="H3005" s="16"/>
      <c r="AG3005" s="80"/>
      <c r="AH3005" s="80"/>
      <c r="AI3005" s="80"/>
    </row>
    <row r="3006" spans="5:35" x14ac:dyDescent="0.25">
      <c r="E3006" s="16"/>
      <c r="F3006" s="16"/>
      <c r="H3006" s="16"/>
      <c r="AG3006" s="80"/>
      <c r="AH3006" s="80"/>
      <c r="AI3006" s="80"/>
    </row>
    <row r="3007" spans="5:35" x14ac:dyDescent="0.25">
      <c r="E3007" s="16"/>
      <c r="F3007" s="16"/>
      <c r="H3007" s="16"/>
      <c r="AG3007" s="80"/>
      <c r="AH3007" s="80"/>
      <c r="AI3007" s="80"/>
    </row>
    <row r="3008" spans="5:35" x14ac:dyDescent="0.25">
      <c r="E3008" s="16"/>
      <c r="F3008" s="16"/>
      <c r="H3008" s="16"/>
      <c r="AG3008" s="80"/>
      <c r="AH3008" s="80"/>
      <c r="AI3008" s="80"/>
    </row>
    <row r="3009" spans="5:35" x14ac:dyDescent="0.25">
      <c r="E3009" s="16"/>
      <c r="F3009" s="16"/>
      <c r="H3009" s="16"/>
      <c r="AG3009" s="80"/>
      <c r="AH3009" s="80"/>
      <c r="AI3009" s="80"/>
    </row>
    <row r="3010" spans="5:35" x14ac:dyDescent="0.25">
      <c r="E3010" s="16"/>
      <c r="F3010" s="16"/>
      <c r="H3010" s="16"/>
      <c r="AG3010" s="80"/>
      <c r="AH3010" s="80"/>
      <c r="AI3010" s="80"/>
    </row>
    <row r="3011" spans="5:35" x14ac:dyDescent="0.25">
      <c r="E3011" s="16"/>
      <c r="F3011" s="16"/>
      <c r="H3011" s="16"/>
      <c r="AG3011" s="80"/>
      <c r="AH3011" s="80"/>
      <c r="AI3011" s="80"/>
    </row>
    <row r="3012" spans="5:35" x14ac:dyDescent="0.25">
      <c r="E3012" s="16"/>
      <c r="F3012" s="16"/>
      <c r="H3012" s="16"/>
      <c r="AG3012" s="80"/>
      <c r="AH3012" s="80"/>
      <c r="AI3012" s="80"/>
    </row>
    <row r="3013" spans="5:35" x14ac:dyDescent="0.25">
      <c r="E3013" s="16"/>
      <c r="F3013" s="16"/>
      <c r="H3013" s="16"/>
      <c r="AG3013" s="80"/>
      <c r="AH3013" s="80"/>
      <c r="AI3013" s="80"/>
    </row>
    <row r="3014" spans="5:35" x14ac:dyDescent="0.25">
      <c r="E3014" s="16"/>
      <c r="F3014" s="16"/>
      <c r="H3014" s="16"/>
      <c r="AG3014" s="80"/>
      <c r="AH3014" s="80"/>
      <c r="AI3014" s="80"/>
    </row>
    <row r="3015" spans="5:35" x14ac:dyDescent="0.25">
      <c r="E3015" s="16"/>
      <c r="F3015" s="16"/>
      <c r="H3015" s="16"/>
      <c r="AG3015" s="80"/>
      <c r="AH3015" s="80"/>
      <c r="AI3015" s="80"/>
    </row>
    <row r="3016" spans="5:35" x14ac:dyDescent="0.25">
      <c r="E3016" s="16"/>
      <c r="F3016" s="16"/>
      <c r="H3016" s="16"/>
      <c r="AG3016" s="80"/>
      <c r="AH3016" s="80"/>
      <c r="AI3016" s="80"/>
    </row>
    <row r="3017" spans="5:35" x14ac:dyDescent="0.25">
      <c r="E3017" s="16"/>
      <c r="F3017" s="16"/>
      <c r="H3017" s="16"/>
      <c r="AG3017" s="80"/>
      <c r="AH3017" s="80"/>
      <c r="AI3017" s="80"/>
    </row>
    <row r="3018" spans="5:35" x14ac:dyDescent="0.25">
      <c r="E3018" s="16"/>
      <c r="F3018" s="16"/>
      <c r="H3018" s="16"/>
      <c r="AG3018" s="80"/>
      <c r="AH3018" s="80"/>
      <c r="AI3018" s="80"/>
    </row>
    <row r="3019" spans="5:35" x14ac:dyDescent="0.25">
      <c r="E3019" s="16"/>
      <c r="F3019" s="16"/>
      <c r="H3019" s="16"/>
      <c r="AG3019" s="80"/>
      <c r="AH3019" s="80"/>
      <c r="AI3019" s="80"/>
    </row>
    <row r="3020" spans="5:35" x14ac:dyDescent="0.25">
      <c r="E3020" s="16"/>
      <c r="F3020" s="16"/>
      <c r="H3020" s="16"/>
      <c r="AG3020" s="80"/>
      <c r="AH3020" s="80"/>
      <c r="AI3020" s="80"/>
    </row>
    <row r="3021" spans="5:35" x14ac:dyDescent="0.25">
      <c r="E3021" s="16"/>
      <c r="F3021" s="16"/>
      <c r="H3021" s="16"/>
      <c r="AG3021" s="80"/>
      <c r="AH3021" s="80"/>
      <c r="AI3021" s="80"/>
    </row>
    <row r="3022" spans="5:35" x14ac:dyDescent="0.25">
      <c r="E3022" s="16"/>
      <c r="F3022" s="16"/>
      <c r="H3022" s="16"/>
      <c r="AG3022" s="80"/>
      <c r="AH3022" s="80"/>
      <c r="AI3022" s="80"/>
    </row>
    <row r="3023" spans="5:35" x14ac:dyDescent="0.25">
      <c r="E3023" s="16"/>
      <c r="F3023" s="16"/>
      <c r="H3023" s="16"/>
      <c r="AG3023" s="80"/>
      <c r="AH3023" s="80"/>
      <c r="AI3023" s="80"/>
    </row>
    <row r="3024" spans="5:35" x14ac:dyDescent="0.25">
      <c r="E3024" s="16"/>
      <c r="F3024" s="16"/>
      <c r="H3024" s="16"/>
      <c r="AG3024" s="80"/>
      <c r="AH3024" s="80"/>
      <c r="AI3024" s="80"/>
    </row>
    <row r="3025" spans="5:35" x14ac:dyDescent="0.25">
      <c r="E3025" s="16"/>
      <c r="F3025" s="16"/>
      <c r="H3025" s="16"/>
      <c r="AG3025" s="80"/>
      <c r="AH3025" s="80"/>
      <c r="AI3025" s="80"/>
    </row>
    <row r="3026" spans="5:35" x14ac:dyDescent="0.25">
      <c r="E3026" s="16"/>
      <c r="F3026" s="16"/>
      <c r="H3026" s="16"/>
      <c r="AG3026" s="80"/>
      <c r="AH3026" s="80"/>
      <c r="AI3026" s="80"/>
    </row>
    <row r="3027" spans="5:35" x14ac:dyDescent="0.25">
      <c r="E3027" s="16"/>
      <c r="F3027" s="16"/>
      <c r="H3027" s="16"/>
      <c r="AG3027" s="80"/>
      <c r="AH3027" s="80"/>
      <c r="AI3027" s="80"/>
    </row>
    <row r="3028" spans="5:35" x14ac:dyDescent="0.25">
      <c r="E3028" s="16"/>
      <c r="F3028" s="16"/>
      <c r="H3028" s="16"/>
      <c r="AG3028" s="80"/>
      <c r="AH3028" s="80"/>
      <c r="AI3028" s="80"/>
    </row>
    <row r="3029" spans="5:35" x14ac:dyDescent="0.25">
      <c r="E3029" s="16"/>
      <c r="F3029" s="16"/>
      <c r="H3029" s="16"/>
      <c r="AG3029" s="80"/>
      <c r="AH3029" s="80"/>
      <c r="AI3029" s="80"/>
    </row>
    <row r="3030" spans="5:35" x14ac:dyDescent="0.25">
      <c r="E3030" s="16"/>
      <c r="F3030" s="16"/>
      <c r="H3030" s="16"/>
      <c r="AG3030" s="80"/>
      <c r="AH3030" s="80"/>
      <c r="AI3030" s="80"/>
    </row>
    <row r="3031" spans="5:35" x14ac:dyDescent="0.25">
      <c r="E3031" s="16"/>
      <c r="F3031" s="16"/>
      <c r="H3031" s="16"/>
      <c r="AG3031" s="80"/>
      <c r="AH3031" s="80"/>
      <c r="AI3031" s="80"/>
    </row>
    <row r="3032" spans="5:35" x14ac:dyDescent="0.25">
      <c r="E3032" s="16"/>
      <c r="F3032" s="16"/>
      <c r="H3032" s="16"/>
      <c r="AG3032" s="80"/>
      <c r="AH3032" s="80"/>
      <c r="AI3032" s="80"/>
    </row>
    <row r="3033" spans="5:35" x14ac:dyDescent="0.25">
      <c r="E3033" s="16"/>
      <c r="F3033" s="16"/>
      <c r="H3033" s="16"/>
      <c r="AG3033" s="80"/>
      <c r="AH3033" s="80"/>
      <c r="AI3033" s="80"/>
    </row>
    <row r="3034" spans="5:35" x14ac:dyDescent="0.25">
      <c r="E3034" s="16"/>
      <c r="F3034" s="16"/>
      <c r="H3034" s="16"/>
      <c r="AG3034" s="80"/>
      <c r="AH3034" s="80"/>
      <c r="AI3034" s="80"/>
    </row>
    <row r="3035" spans="5:35" x14ac:dyDescent="0.25">
      <c r="E3035" s="16"/>
      <c r="F3035" s="16"/>
      <c r="H3035" s="16"/>
      <c r="AG3035" s="80"/>
      <c r="AH3035" s="80"/>
      <c r="AI3035" s="80"/>
    </row>
    <row r="3036" spans="5:35" x14ac:dyDescent="0.25">
      <c r="E3036" s="16"/>
      <c r="F3036" s="16"/>
      <c r="H3036" s="16"/>
      <c r="AG3036" s="80"/>
      <c r="AH3036" s="80"/>
      <c r="AI3036" s="80"/>
    </row>
    <row r="3037" spans="5:35" x14ac:dyDescent="0.25">
      <c r="E3037" s="16"/>
      <c r="F3037" s="16"/>
      <c r="H3037" s="16"/>
      <c r="AG3037" s="80"/>
      <c r="AH3037" s="80"/>
      <c r="AI3037" s="80"/>
    </row>
    <row r="3038" spans="5:35" x14ac:dyDescent="0.25">
      <c r="E3038" s="16"/>
      <c r="F3038" s="16"/>
      <c r="H3038" s="16"/>
      <c r="AG3038" s="80"/>
      <c r="AH3038" s="80"/>
      <c r="AI3038" s="80"/>
    </row>
    <row r="3039" spans="5:35" x14ac:dyDescent="0.25">
      <c r="E3039" s="16"/>
      <c r="F3039" s="16"/>
      <c r="H3039" s="16"/>
      <c r="AG3039" s="80"/>
      <c r="AH3039" s="80"/>
      <c r="AI3039" s="80"/>
    </row>
    <row r="3040" spans="5:35" x14ac:dyDescent="0.25">
      <c r="E3040" s="16"/>
      <c r="F3040" s="16"/>
      <c r="H3040" s="16"/>
      <c r="AG3040" s="80"/>
      <c r="AH3040" s="80"/>
      <c r="AI3040" s="80"/>
    </row>
    <row r="3041" spans="5:35" x14ac:dyDescent="0.25">
      <c r="E3041" s="16"/>
      <c r="F3041" s="16"/>
      <c r="H3041" s="16"/>
      <c r="AG3041" s="80"/>
      <c r="AH3041" s="80"/>
      <c r="AI3041" s="80"/>
    </row>
    <row r="3042" spans="5:35" x14ac:dyDescent="0.25">
      <c r="E3042" s="16"/>
      <c r="F3042" s="16"/>
      <c r="H3042" s="16"/>
      <c r="AG3042" s="80"/>
      <c r="AH3042" s="80"/>
      <c r="AI3042" s="80"/>
    </row>
    <row r="3043" spans="5:35" x14ac:dyDescent="0.25">
      <c r="E3043" s="16"/>
      <c r="F3043" s="16"/>
      <c r="H3043" s="16"/>
      <c r="AG3043" s="80"/>
      <c r="AH3043" s="80"/>
      <c r="AI3043" s="80"/>
    </row>
    <row r="3044" spans="5:35" x14ac:dyDescent="0.25">
      <c r="E3044" s="16"/>
      <c r="F3044" s="16"/>
      <c r="H3044" s="16"/>
      <c r="AG3044" s="80"/>
      <c r="AH3044" s="80"/>
      <c r="AI3044" s="80"/>
    </row>
    <row r="3045" spans="5:35" x14ac:dyDescent="0.25">
      <c r="E3045" s="16"/>
      <c r="F3045" s="16"/>
      <c r="H3045" s="16"/>
      <c r="AG3045" s="80"/>
      <c r="AH3045" s="80"/>
      <c r="AI3045" s="80"/>
    </row>
    <row r="3046" spans="5:35" x14ac:dyDescent="0.25">
      <c r="E3046" s="16"/>
      <c r="F3046" s="16"/>
      <c r="H3046" s="16"/>
      <c r="AG3046" s="80"/>
      <c r="AH3046" s="80"/>
      <c r="AI3046" s="80"/>
    </row>
    <row r="3047" spans="5:35" x14ac:dyDescent="0.25">
      <c r="E3047" s="16"/>
      <c r="F3047" s="16"/>
      <c r="H3047" s="16"/>
      <c r="AG3047" s="80"/>
      <c r="AH3047" s="80"/>
      <c r="AI3047" s="80"/>
    </row>
    <row r="3048" spans="5:35" x14ac:dyDescent="0.25">
      <c r="E3048" s="16"/>
      <c r="F3048" s="16"/>
      <c r="H3048" s="16"/>
      <c r="AG3048" s="80"/>
      <c r="AH3048" s="80"/>
      <c r="AI3048" s="80"/>
    </row>
    <row r="3049" spans="5:35" x14ac:dyDescent="0.25">
      <c r="E3049" s="16"/>
      <c r="F3049" s="16"/>
      <c r="H3049" s="16"/>
      <c r="AG3049" s="80"/>
      <c r="AH3049" s="80"/>
      <c r="AI3049" s="80"/>
    </row>
    <row r="3050" spans="5:35" x14ac:dyDescent="0.25">
      <c r="E3050" s="16"/>
      <c r="F3050" s="16"/>
      <c r="H3050" s="16"/>
      <c r="AG3050" s="80"/>
      <c r="AH3050" s="80"/>
      <c r="AI3050" s="80"/>
    </row>
    <row r="3051" spans="5:35" x14ac:dyDescent="0.25">
      <c r="E3051" s="16"/>
      <c r="F3051" s="16"/>
      <c r="H3051" s="16"/>
      <c r="AG3051" s="80"/>
      <c r="AH3051" s="80"/>
      <c r="AI3051" s="80"/>
    </row>
    <row r="3052" spans="5:35" x14ac:dyDescent="0.25">
      <c r="E3052" s="16"/>
      <c r="F3052" s="16"/>
      <c r="H3052" s="16"/>
      <c r="AG3052" s="80"/>
      <c r="AH3052" s="80"/>
      <c r="AI3052" s="80"/>
    </row>
    <row r="3053" spans="5:35" x14ac:dyDescent="0.25">
      <c r="E3053" s="16"/>
      <c r="F3053" s="16"/>
      <c r="H3053" s="16"/>
      <c r="AG3053" s="80"/>
      <c r="AH3053" s="80"/>
      <c r="AI3053" s="80"/>
    </row>
    <row r="3054" spans="5:35" x14ac:dyDescent="0.25">
      <c r="E3054" s="16"/>
      <c r="F3054" s="16"/>
      <c r="H3054" s="16"/>
      <c r="AG3054" s="80"/>
      <c r="AH3054" s="80"/>
      <c r="AI3054" s="80"/>
    </row>
    <row r="3055" spans="5:35" x14ac:dyDescent="0.25">
      <c r="E3055" s="16"/>
      <c r="F3055" s="16"/>
      <c r="H3055" s="16"/>
      <c r="AG3055" s="80"/>
      <c r="AH3055" s="80"/>
      <c r="AI3055" s="80"/>
    </row>
    <row r="3056" spans="5:35" x14ac:dyDescent="0.25">
      <c r="E3056" s="16"/>
      <c r="F3056" s="16"/>
      <c r="H3056" s="16"/>
      <c r="AG3056" s="80"/>
      <c r="AH3056" s="80"/>
      <c r="AI3056" s="80"/>
    </row>
    <row r="3057" spans="5:35" x14ac:dyDescent="0.25">
      <c r="E3057" s="16"/>
      <c r="F3057" s="16"/>
      <c r="H3057" s="16"/>
      <c r="AG3057" s="80"/>
      <c r="AH3057" s="80"/>
      <c r="AI3057" s="80"/>
    </row>
    <row r="3058" spans="5:35" x14ac:dyDescent="0.25">
      <c r="E3058" s="16"/>
      <c r="F3058" s="16"/>
      <c r="H3058" s="16"/>
      <c r="AG3058" s="80"/>
      <c r="AH3058" s="80"/>
      <c r="AI3058" s="80"/>
    </row>
    <row r="3059" spans="5:35" x14ac:dyDescent="0.25">
      <c r="E3059" s="16"/>
      <c r="F3059" s="16"/>
      <c r="H3059" s="16"/>
      <c r="AG3059" s="80"/>
      <c r="AH3059" s="80"/>
      <c r="AI3059" s="80"/>
    </row>
    <row r="3060" spans="5:35" x14ac:dyDescent="0.25">
      <c r="E3060" s="16"/>
      <c r="F3060" s="16"/>
      <c r="H3060" s="16"/>
      <c r="AG3060" s="80"/>
      <c r="AH3060" s="80"/>
      <c r="AI3060" s="80"/>
    </row>
    <row r="3061" spans="5:35" x14ac:dyDescent="0.25">
      <c r="E3061" s="16"/>
      <c r="F3061" s="16"/>
      <c r="H3061" s="16"/>
      <c r="AG3061" s="80"/>
      <c r="AH3061" s="80"/>
      <c r="AI3061" s="80"/>
    </row>
    <row r="3062" spans="5:35" x14ac:dyDescent="0.25">
      <c r="E3062" s="16"/>
      <c r="F3062" s="16"/>
      <c r="H3062" s="16"/>
      <c r="AG3062" s="80"/>
      <c r="AH3062" s="80"/>
      <c r="AI3062" s="80"/>
    </row>
    <row r="3063" spans="5:35" x14ac:dyDescent="0.25">
      <c r="E3063" s="16"/>
      <c r="F3063" s="16"/>
      <c r="H3063" s="16"/>
      <c r="AG3063" s="80"/>
      <c r="AH3063" s="80"/>
      <c r="AI3063" s="80"/>
    </row>
    <row r="3064" spans="5:35" x14ac:dyDescent="0.25">
      <c r="E3064" s="16"/>
      <c r="F3064" s="16"/>
      <c r="H3064" s="16"/>
      <c r="AG3064" s="80"/>
      <c r="AH3064" s="80"/>
      <c r="AI3064" s="80"/>
    </row>
    <row r="3065" spans="5:35" x14ac:dyDescent="0.25">
      <c r="E3065" s="16"/>
      <c r="F3065" s="16"/>
      <c r="H3065" s="16"/>
      <c r="AG3065" s="80"/>
      <c r="AH3065" s="80"/>
      <c r="AI3065" s="80"/>
    </row>
    <row r="3066" spans="5:35" x14ac:dyDescent="0.25">
      <c r="E3066" s="16"/>
      <c r="F3066" s="16"/>
      <c r="H3066" s="16"/>
      <c r="AG3066" s="80"/>
      <c r="AH3066" s="80"/>
      <c r="AI3066" s="80"/>
    </row>
    <row r="3067" spans="5:35" x14ac:dyDescent="0.25">
      <c r="E3067" s="16"/>
      <c r="F3067" s="16"/>
      <c r="H3067" s="16"/>
      <c r="AG3067" s="80"/>
      <c r="AH3067" s="80"/>
      <c r="AI3067" s="80"/>
    </row>
    <row r="3068" spans="5:35" x14ac:dyDescent="0.25">
      <c r="E3068" s="16"/>
      <c r="F3068" s="16"/>
      <c r="H3068" s="16"/>
      <c r="AG3068" s="80"/>
      <c r="AH3068" s="80"/>
      <c r="AI3068" s="80"/>
    </row>
    <row r="3069" spans="5:35" x14ac:dyDescent="0.25">
      <c r="E3069" s="16"/>
      <c r="F3069" s="16"/>
      <c r="H3069" s="16"/>
      <c r="AG3069" s="80"/>
      <c r="AH3069" s="80"/>
      <c r="AI3069" s="80"/>
    </row>
    <row r="3070" spans="5:35" x14ac:dyDescent="0.25">
      <c r="E3070" s="16"/>
      <c r="F3070" s="16"/>
      <c r="H3070" s="16"/>
      <c r="AG3070" s="80"/>
      <c r="AH3070" s="80"/>
      <c r="AI3070" s="80"/>
    </row>
    <row r="3071" spans="5:35" x14ac:dyDescent="0.25">
      <c r="E3071" s="16"/>
      <c r="F3071" s="16"/>
      <c r="H3071" s="16"/>
      <c r="AG3071" s="80"/>
      <c r="AH3071" s="80"/>
      <c r="AI3071" s="80"/>
    </row>
    <row r="3072" spans="5:35" x14ac:dyDescent="0.25">
      <c r="E3072" s="16"/>
      <c r="F3072" s="16"/>
      <c r="H3072" s="16"/>
      <c r="AG3072" s="80"/>
      <c r="AH3072" s="80"/>
      <c r="AI3072" s="80"/>
    </row>
    <row r="3073" spans="5:35" x14ac:dyDescent="0.25">
      <c r="E3073" s="16"/>
      <c r="F3073" s="16"/>
      <c r="H3073" s="16"/>
      <c r="AG3073" s="80"/>
      <c r="AH3073" s="80"/>
      <c r="AI3073" s="80"/>
    </row>
    <row r="3074" spans="5:35" x14ac:dyDescent="0.25">
      <c r="E3074" s="16"/>
      <c r="F3074" s="16"/>
      <c r="H3074" s="16"/>
      <c r="AG3074" s="80"/>
      <c r="AH3074" s="80"/>
      <c r="AI3074" s="80"/>
    </row>
    <row r="3075" spans="5:35" x14ac:dyDescent="0.25">
      <c r="E3075" s="16"/>
      <c r="F3075" s="16"/>
      <c r="H3075" s="16"/>
      <c r="AG3075" s="80"/>
      <c r="AH3075" s="80"/>
      <c r="AI3075" s="80"/>
    </row>
    <row r="3076" spans="5:35" x14ac:dyDescent="0.25">
      <c r="E3076" s="16"/>
      <c r="F3076" s="16"/>
      <c r="H3076" s="16"/>
      <c r="AG3076" s="80"/>
      <c r="AH3076" s="80"/>
      <c r="AI3076" s="80"/>
    </row>
    <row r="3077" spans="5:35" x14ac:dyDescent="0.25">
      <c r="E3077" s="16"/>
      <c r="F3077" s="16"/>
      <c r="H3077" s="16"/>
      <c r="AG3077" s="80"/>
      <c r="AH3077" s="80"/>
      <c r="AI3077" s="80"/>
    </row>
    <row r="3078" spans="5:35" x14ac:dyDescent="0.25">
      <c r="E3078" s="16"/>
      <c r="F3078" s="16"/>
      <c r="H3078" s="16"/>
      <c r="AG3078" s="80"/>
      <c r="AH3078" s="80"/>
      <c r="AI3078" s="80"/>
    </row>
    <row r="3079" spans="5:35" x14ac:dyDescent="0.25">
      <c r="E3079" s="16"/>
      <c r="F3079" s="16"/>
      <c r="H3079" s="16"/>
      <c r="AG3079" s="80"/>
      <c r="AH3079" s="80"/>
      <c r="AI3079" s="80"/>
    </row>
    <row r="3080" spans="5:35" x14ac:dyDescent="0.25">
      <c r="E3080" s="16"/>
      <c r="F3080" s="16"/>
      <c r="H3080" s="16"/>
      <c r="AG3080" s="80"/>
      <c r="AH3080" s="80"/>
      <c r="AI3080" s="80"/>
    </row>
    <row r="3081" spans="5:35" x14ac:dyDescent="0.25">
      <c r="E3081" s="16"/>
      <c r="F3081" s="16"/>
      <c r="H3081" s="16"/>
      <c r="AG3081" s="80"/>
      <c r="AH3081" s="80"/>
      <c r="AI3081" s="80"/>
    </row>
    <row r="3082" spans="5:35" x14ac:dyDescent="0.25">
      <c r="E3082" s="16"/>
      <c r="F3082" s="16"/>
      <c r="H3082" s="16"/>
      <c r="AG3082" s="80"/>
      <c r="AH3082" s="80"/>
      <c r="AI3082" s="80"/>
    </row>
    <row r="3083" spans="5:35" x14ac:dyDescent="0.25">
      <c r="E3083" s="16"/>
      <c r="F3083" s="16"/>
      <c r="H3083" s="16"/>
      <c r="AG3083" s="80"/>
      <c r="AH3083" s="80"/>
      <c r="AI3083" s="80"/>
    </row>
    <row r="3084" spans="5:35" x14ac:dyDescent="0.25">
      <c r="E3084" s="16"/>
      <c r="F3084" s="16"/>
      <c r="H3084" s="16"/>
      <c r="AG3084" s="80"/>
      <c r="AH3084" s="80"/>
      <c r="AI3084" s="80"/>
    </row>
    <row r="3085" spans="5:35" x14ac:dyDescent="0.25">
      <c r="E3085" s="16"/>
      <c r="F3085" s="16"/>
      <c r="H3085" s="16"/>
      <c r="AG3085" s="80"/>
      <c r="AH3085" s="80"/>
      <c r="AI3085" s="80"/>
    </row>
    <row r="3086" spans="5:35" x14ac:dyDescent="0.25">
      <c r="E3086" s="16"/>
      <c r="F3086" s="16"/>
      <c r="H3086" s="16"/>
      <c r="AG3086" s="80"/>
      <c r="AH3086" s="80"/>
      <c r="AI3086" s="80"/>
    </row>
    <row r="3087" spans="5:35" x14ac:dyDescent="0.25">
      <c r="E3087" s="16"/>
      <c r="F3087" s="16"/>
      <c r="H3087" s="16"/>
      <c r="AG3087" s="80"/>
      <c r="AH3087" s="80"/>
      <c r="AI3087" s="80"/>
    </row>
    <row r="3088" spans="5:35" x14ac:dyDescent="0.25">
      <c r="E3088" s="16"/>
      <c r="F3088" s="16"/>
      <c r="H3088" s="16"/>
      <c r="AG3088" s="80"/>
      <c r="AH3088" s="80"/>
      <c r="AI3088" s="80"/>
    </row>
    <row r="3089" spans="5:35" x14ac:dyDescent="0.25">
      <c r="E3089" s="16"/>
      <c r="F3089" s="16"/>
      <c r="H3089" s="16"/>
      <c r="AG3089" s="80"/>
      <c r="AH3089" s="80"/>
      <c r="AI3089" s="80"/>
    </row>
    <row r="3090" spans="5:35" x14ac:dyDescent="0.25">
      <c r="E3090" s="16"/>
      <c r="F3090" s="16"/>
      <c r="H3090" s="16"/>
      <c r="AG3090" s="80"/>
      <c r="AH3090" s="80"/>
      <c r="AI3090" s="80"/>
    </row>
    <row r="3091" spans="5:35" x14ac:dyDescent="0.25">
      <c r="E3091" s="16"/>
      <c r="F3091" s="16"/>
      <c r="H3091" s="16"/>
      <c r="AG3091" s="80"/>
      <c r="AH3091" s="80"/>
      <c r="AI3091" s="80"/>
    </row>
    <row r="3092" spans="5:35" x14ac:dyDescent="0.25">
      <c r="E3092" s="16"/>
      <c r="F3092" s="16"/>
      <c r="H3092" s="16"/>
      <c r="AG3092" s="80"/>
      <c r="AH3092" s="80"/>
      <c r="AI3092" s="80"/>
    </row>
    <row r="3093" spans="5:35" x14ac:dyDescent="0.25">
      <c r="E3093" s="16"/>
      <c r="F3093" s="16"/>
      <c r="H3093" s="16"/>
      <c r="AG3093" s="80"/>
      <c r="AH3093" s="80"/>
      <c r="AI3093" s="80"/>
    </row>
    <row r="3094" spans="5:35" x14ac:dyDescent="0.25">
      <c r="E3094" s="16"/>
      <c r="F3094" s="16"/>
      <c r="H3094" s="16"/>
      <c r="AG3094" s="80"/>
      <c r="AH3094" s="80"/>
      <c r="AI3094" s="80"/>
    </row>
    <row r="3095" spans="5:35" x14ac:dyDescent="0.25">
      <c r="E3095" s="16"/>
      <c r="F3095" s="16"/>
      <c r="H3095" s="16"/>
      <c r="AG3095" s="80"/>
      <c r="AH3095" s="80"/>
      <c r="AI3095" s="80"/>
    </row>
    <row r="3096" spans="5:35" x14ac:dyDescent="0.25">
      <c r="E3096" s="16"/>
      <c r="F3096" s="16"/>
      <c r="H3096" s="16"/>
      <c r="AG3096" s="80"/>
      <c r="AH3096" s="80"/>
      <c r="AI3096" s="80"/>
    </row>
    <row r="3097" spans="5:35" x14ac:dyDescent="0.25">
      <c r="E3097" s="16"/>
      <c r="F3097" s="16"/>
      <c r="H3097" s="16"/>
      <c r="AG3097" s="80"/>
      <c r="AH3097" s="80"/>
      <c r="AI3097" s="80"/>
    </row>
    <row r="3098" spans="5:35" x14ac:dyDescent="0.25">
      <c r="E3098" s="16"/>
      <c r="F3098" s="16"/>
      <c r="H3098" s="16"/>
      <c r="AG3098" s="80"/>
      <c r="AH3098" s="80"/>
      <c r="AI3098" s="80"/>
    </row>
    <row r="3099" spans="5:35" x14ac:dyDescent="0.25">
      <c r="E3099" s="16"/>
      <c r="F3099" s="16"/>
      <c r="H3099" s="16"/>
      <c r="AG3099" s="80"/>
      <c r="AH3099" s="80"/>
      <c r="AI3099" s="80"/>
    </row>
    <row r="3100" spans="5:35" x14ac:dyDescent="0.25">
      <c r="E3100" s="16"/>
      <c r="F3100" s="16"/>
      <c r="H3100" s="16"/>
      <c r="AG3100" s="80"/>
      <c r="AH3100" s="80"/>
      <c r="AI3100" s="80"/>
    </row>
    <row r="3101" spans="5:35" x14ac:dyDescent="0.25">
      <c r="E3101" s="16"/>
      <c r="F3101" s="16"/>
      <c r="H3101" s="16"/>
      <c r="AG3101" s="80"/>
      <c r="AH3101" s="80"/>
      <c r="AI3101" s="80"/>
    </row>
    <row r="3102" spans="5:35" x14ac:dyDescent="0.25">
      <c r="E3102" s="16"/>
      <c r="F3102" s="16"/>
      <c r="H3102" s="16"/>
      <c r="AG3102" s="80"/>
      <c r="AH3102" s="80"/>
      <c r="AI3102" s="80"/>
    </row>
    <row r="3103" spans="5:35" x14ac:dyDescent="0.25">
      <c r="E3103" s="16"/>
      <c r="F3103" s="16"/>
      <c r="H3103" s="16"/>
      <c r="AG3103" s="80"/>
      <c r="AH3103" s="80"/>
      <c r="AI3103" s="80"/>
    </row>
    <row r="3104" spans="5:35" x14ac:dyDescent="0.25">
      <c r="E3104" s="16"/>
      <c r="F3104" s="16"/>
      <c r="H3104" s="16"/>
      <c r="AG3104" s="80"/>
      <c r="AH3104" s="80"/>
      <c r="AI3104" s="80"/>
    </row>
    <row r="3105" spans="5:35" x14ac:dyDescent="0.25">
      <c r="E3105" s="16"/>
      <c r="F3105" s="16"/>
      <c r="H3105" s="16"/>
      <c r="AG3105" s="80"/>
      <c r="AH3105" s="80"/>
      <c r="AI3105" s="80"/>
    </row>
    <row r="3106" spans="5:35" x14ac:dyDescent="0.25">
      <c r="E3106" s="16"/>
      <c r="F3106" s="16"/>
      <c r="H3106" s="16"/>
      <c r="AG3106" s="80"/>
      <c r="AH3106" s="80"/>
      <c r="AI3106" s="80"/>
    </row>
    <row r="3107" spans="5:35" x14ac:dyDescent="0.25">
      <c r="E3107" s="16"/>
      <c r="F3107" s="16"/>
      <c r="H3107" s="16"/>
      <c r="AG3107" s="80"/>
      <c r="AH3107" s="80"/>
      <c r="AI3107" s="80"/>
    </row>
    <row r="3108" spans="5:35" x14ac:dyDescent="0.25">
      <c r="E3108" s="16"/>
      <c r="F3108" s="16"/>
      <c r="H3108" s="16"/>
      <c r="AG3108" s="80"/>
      <c r="AH3108" s="80"/>
      <c r="AI3108" s="80"/>
    </row>
    <row r="3109" spans="5:35" x14ac:dyDescent="0.25">
      <c r="E3109" s="16"/>
      <c r="F3109" s="16"/>
      <c r="H3109" s="16"/>
      <c r="AG3109" s="80"/>
      <c r="AH3109" s="80"/>
      <c r="AI3109" s="80"/>
    </row>
    <row r="3110" spans="5:35" x14ac:dyDescent="0.25">
      <c r="E3110" s="16"/>
      <c r="F3110" s="16"/>
      <c r="H3110" s="16"/>
      <c r="AG3110" s="80"/>
      <c r="AH3110" s="80"/>
      <c r="AI3110" s="80"/>
    </row>
    <row r="3111" spans="5:35" x14ac:dyDescent="0.25">
      <c r="E3111" s="16"/>
      <c r="F3111" s="16"/>
      <c r="H3111" s="16"/>
      <c r="AG3111" s="80"/>
      <c r="AH3111" s="80"/>
      <c r="AI3111" s="80"/>
    </row>
    <row r="3112" spans="5:35" x14ac:dyDescent="0.25">
      <c r="E3112" s="16"/>
      <c r="F3112" s="16"/>
      <c r="H3112" s="16"/>
      <c r="AG3112" s="80"/>
      <c r="AH3112" s="80"/>
      <c r="AI3112" s="80"/>
    </row>
    <row r="3113" spans="5:35" x14ac:dyDescent="0.25">
      <c r="E3113" s="16"/>
      <c r="F3113" s="16"/>
      <c r="H3113" s="16"/>
      <c r="AG3113" s="80"/>
      <c r="AH3113" s="80"/>
      <c r="AI3113" s="80"/>
    </row>
    <row r="3114" spans="5:35" x14ac:dyDescent="0.25">
      <c r="E3114" s="16"/>
      <c r="F3114" s="16"/>
      <c r="H3114" s="16"/>
      <c r="AG3114" s="80"/>
      <c r="AH3114" s="80"/>
      <c r="AI3114" s="80"/>
    </row>
    <row r="3115" spans="5:35" x14ac:dyDescent="0.25">
      <c r="E3115" s="16"/>
      <c r="F3115" s="16"/>
      <c r="H3115" s="16"/>
      <c r="AG3115" s="80"/>
      <c r="AH3115" s="80"/>
      <c r="AI3115" s="80"/>
    </row>
    <row r="3116" spans="5:35" x14ac:dyDescent="0.25">
      <c r="E3116" s="16"/>
      <c r="F3116" s="16"/>
      <c r="H3116" s="16"/>
      <c r="AG3116" s="80"/>
      <c r="AH3116" s="80"/>
      <c r="AI3116" s="80"/>
    </row>
    <row r="3117" spans="5:35" x14ac:dyDescent="0.25">
      <c r="E3117" s="16"/>
      <c r="F3117" s="16"/>
      <c r="H3117" s="16"/>
      <c r="AG3117" s="80"/>
      <c r="AH3117" s="80"/>
      <c r="AI3117" s="80"/>
    </row>
    <row r="3118" spans="5:35" x14ac:dyDescent="0.25">
      <c r="E3118" s="16"/>
      <c r="F3118" s="16"/>
      <c r="H3118" s="16"/>
      <c r="AG3118" s="80"/>
      <c r="AH3118" s="80"/>
      <c r="AI3118" s="80"/>
    </row>
    <row r="3119" spans="5:35" x14ac:dyDescent="0.25">
      <c r="E3119" s="16"/>
      <c r="F3119" s="16"/>
      <c r="H3119" s="16"/>
      <c r="AG3119" s="80"/>
      <c r="AH3119" s="80"/>
      <c r="AI3119" s="80"/>
    </row>
    <row r="3120" spans="5:35" x14ac:dyDescent="0.25">
      <c r="E3120" s="16"/>
      <c r="F3120" s="16"/>
      <c r="H3120" s="16"/>
      <c r="AG3120" s="80"/>
      <c r="AH3120" s="80"/>
      <c r="AI3120" s="80"/>
    </row>
    <row r="3121" spans="5:35" x14ac:dyDescent="0.25">
      <c r="E3121" s="16"/>
      <c r="F3121" s="16"/>
      <c r="H3121" s="16"/>
      <c r="AG3121" s="80"/>
      <c r="AH3121" s="80"/>
      <c r="AI3121" s="80"/>
    </row>
    <row r="3122" spans="5:35" x14ac:dyDescent="0.25">
      <c r="E3122" s="16"/>
      <c r="F3122" s="16"/>
      <c r="H3122" s="16"/>
      <c r="AG3122" s="80"/>
      <c r="AH3122" s="80"/>
      <c r="AI3122" s="80"/>
    </row>
    <row r="3123" spans="5:35" x14ac:dyDescent="0.25">
      <c r="E3123" s="16"/>
      <c r="F3123" s="16"/>
      <c r="H3123" s="16"/>
      <c r="AG3123" s="80"/>
      <c r="AH3123" s="80"/>
      <c r="AI3123" s="80"/>
    </row>
    <row r="3124" spans="5:35" x14ac:dyDescent="0.25">
      <c r="E3124" s="16"/>
      <c r="F3124" s="16"/>
      <c r="H3124" s="16"/>
      <c r="AG3124" s="80"/>
      <c r="AH3124" s="80"/>
      <c r="AI3124" s="80"/>
    </row>
    <row r="3125" spans="5:35" x14ac:dyDescent="0.25">
      <c r="E3125" s="16"/>
      <c r="F3125" s="16"/>
      <c r="H3125" s="16"/>
      <c r="AG3125" s="80"/>
      <c r="AH3125" s="80"/>
      <c r="AI3125" s="80"/>
    </row>
    <row r="3126" spans="5:35" x14ac:dyDescent="0.25">
      <c r="E3126" s="16"/>
      <c r="F3126" s="16"/>
      <c r="H3126" s="16"/>
      <c r="AG3126" s="80"/>
      <c r="AH3126" s="80"/>
      <c r="AI3126" s="80"/>
    </row>
    <row r="3127" spans="5:35" x14ac:dyDescent="0.25">
      <c r="E3127" s="16"/>
      <c r="F3127" s="16"/>
      <c r="H3127" s="16"/>
      <c r="AG3127" s="80"/>
      <c r="AH3127" s="80"/>
      <c r="AI3127" s="80"/>
    </row>
    <row r="3128" spans="5:35" x14ac:dyDescent="0.25">
      <c r="E3128" s="16"/>
      <c r="F3128" s="16"/>
      <c r="H3128" s="16"/>
      <c r="AG3128" s="80"/>
      <c r="AH3128" s="80"/>
      <c r="AI3128" s="80"/>
    </row>
    <row r="3129" spans="5:35" x14ac:dyDescent="0.25">
      <c r="E3129" s="16"/>
      <c r="F3129" s="16"/>
      <c r="H3129" s="16"/>
      <c r="AG3129" s="80"/>
      <c r="AH3129" s="80"/>
      <c r="AI3129" s="80"/>
    </row>
    <row r="3130" spans="5:35" x14ac:dyDescent="0.25">
      <c r="E3130" s="16"/>
      <c r="F3130" s="16"/>
      <c r="H3130" s="16"/>
      <c r="AG3130" s="80"/>
      <c r="AH3130" s="80"/>
      <c r="AI3130" s="80"/>
    </row>
    <row r="3131" spans="5:35" x14ac:dyDescent="0.25">
      <c r="E3131" s="16"/>
      <c r="F3131" s="16"/>
      <c r="H3131" s="16"/>
      <c r="AG3131" s="80"/>
      <c r="AH3131" s="80"/>
      <c r="AI3131" s="80"/>
    </row>
    <row r="3132" spans="5:35" x14ac:dyDescent="0.25">
      <c r="E3132" s="16"/>
      <c r="F3132" s="16"/>
      <c r="H3132" s="16"/>
      <c r="AG3132" s="80"/>
      <c r="AH3132" s="80"/>
      <c r="AI3132" s="80"/>
    </row>
    <row r="3133" spans="5:35" x14ac:dyDescent="0.25">
      <c r="E3133" s="16"/>
      <c r="F3133" s="16"/>
      <c r="H3133" s="16"/>
      <c r="AG3133" s="80"/>
      <c r="AH3133" s="80"/>
      <c r="AI3133" s="80"/>
    </row>
    <row r="3134" spans="5:35" x14ac:dyDescent="0.25">
      <c r="E3134" s="16"/>
      <c r="F3134" s="16"/>
      <c r="H3134" s="16"/>
      <c r="AG3134" s="80"/>
      <c r="AH3134" s="80"/>
      <c r="AI3134" s="80"/>
    </row>
    <row r="3135" spans="5:35" x14ac:dyDescent="0.25">
      <c r="E3135" s="16"/>
      <c r="F3135" s="16"/>
      <c r="H3135" s="16"/>
      <c r="AG3135" s="80"/>
      <c r="AH3135" s="80"/>
      <c r="AI3135" s="80"/>
    </row>
    <row r="3136" spans="5:35" x14ac:dyDescent="0.25">
      <c r="E3136" s="16"/>
      <c r="F3136" s="16"/>
      <c r="H3136" s="16"/>
      <c r="AG3136" s="80"/>
      <c r="AH3136" s="80"/>
      <c r="AI3136" s="80"/>
    </row>
    <row r="3137" spans="5:35" x14ac:dyDescent="0.25">
      <c r="E3137" s="16"/>
      <c r="F3137" s="16"/>
      <c r="H3137" s="16"/>
      <c r="AG3137" s="80"/>
      <c r="AH3137" s="80"/>
      <c r="AI3137" s="80"/>
    </row>
    <row r="3138" spans="5:35" x14ac:dyDescent="0.25">
      <c r="E3138" s="16"/>
      <c r="F3138" s="16"/>
      <c r="H3138" s="16"/>
      <c r="AG3138" s="80"/>
      <c r="AH3138" s="80"/>
      <c r="AI3138" s="80"/>
    </row>
    <row r="3139" spans="5:35" x14ac:dyDescent="0.25">
      <c r="E3139" s="16"/>
      <c r="F3139" s="16"/>
      <c r="H3139" s="16"/>
      <c r="AG3139" s="80"/>
      <c r="AH3139" s="80"/>
      <c r="AI3139" s="80"/>
    </row>
    <row r="3140" spans="5:35" x14ac:dyDescent="0.25">
      <c r="E3140" s="16"/>
      <c r="F3140" s="16"/>
      <c r="H3140" s="16"/>
      <c r="AG3140" s="80"/>
      <c r="AH3140" s="80"/>
      <c r="AI3140" s="80"/>
    </row>
    <row r="3141" spans="5:35" x14ac:dyDescent="0.25">
      <c r="E3141" s="16"/>
      <c r="F3141" s="16"/>
      <c r="H3141" s="16"/>
      <c r="AG3141" s="80"/>
      <c r="AH3141" s="80"/>
      <c r="AI3141" s="80"/>
    </row>
    <row r="3142" spans="5:35" x14ac:dyDescent="0.25">
      <c r="E3142" s="16"/>
      <c r="F3142" s="16"/>
      <c r="H3142" s="16"/>
      <c r="AG3142" s="80"/>
      <c r="AH3142" s="80"/>
      <c r="AI3142" s="80"/>
    </row>
    <row r="3143" spans="5:35" x14ac:dyDescent="0.25">
      <c r="E3143" s="16"/>
      <c r="F3143" s="16"/>
      <c r="H3143" s="16"/>
      <c r="AG3143" s="80"/>
      <c r="AH3143" s="80"/>
      <c r="AI3143" s="80"/>
    </row>
    <row r="3144" spans="5:35" x14ac:dyDescent="0.25">
      <c r="E3144" s="16"/>
      <c r="F3144" s="16"/>
      <c r="H3144" s="16"/>
      <c r="AG3144" s="80"/>
      <c r="AH3144" s="80"/>
      <c r="AI3144" s="80"/>
    </row>
    <row r="3145" spans="5:35" x14ac:dyDescent="0.25">
      <c r="E3145" s="16"/>
      <c r="F3145" s="16"/>
      <c r="H3145" s="16"/>
      <c r="AG3145" s="80"/>
      <c r="AH3145" s="80"/>
      <c r="AI3145" s="80"/>
    </row>
    <row r="3146" spans="5:35" x14ac:dyDescent="0.25">
      <c r="E3146" s="16"/>
      <c r="F3146" s="16"/>
      <c r="H3146" s="16"/>
      <c r="AG3146" s="80"/>
      <c r="AH3146" s="80"/>
      <c r="AI3146" s="80"/>
    </row>
    <row r="3147" spans="5:35" x14ac:dyDescent="0.25">
      <c r="E3147" s="16"/>
      <c r="F3147" s="16"/>
      <c r="H3147" s="16"/>
      <c r="AG3147" s="80"/>
      <c r="AH3147" s="80"/>
      <c r="AI3147" s="80"/>
    </row>
    <row r="3148" spans="5:35" x14ac:dyDescent="0.25">
      <c r="E3148" s="16"/>
      <c r="F3148" s="16"/>
      <c r="H3148" s="16"/>
      <c r="AG3148" s="80"/>
      <c r="AH3148" s="80"/>
      <c r="AI3148" s="80"/>
    </row>
    <row r="3149" spans="5:35" x14ac:dyDescent="0.25">
      <c r="E3149" s="16"/>
      <c r="F3149" s="16"/>
      <c r="H3149" s="16"/>
      <c r="AG3149" s="80"/>
      <c r="AH3149" s="80"/>
      <c r="AI3149" s="80"/>
    </row>
    <row r="3150" spans="5:35" x14ac:dyDescent="0.25">
      <c r="E3150" s="16"/>
      <c r="F3150" s="16"/>
      <c r="H3150" s="16"/>
      <c r="AG3150" s="80"/>
      <c r="AH3150" s="80"/>
      <c r="AI3150" s="80"/>
    </row>
    <row r="3151" spans="5:35" x14ac:dyDescent="0.25">
      <c r="E3151" s="16"/>
      <c r="F3151" s="16"/>
      <c r="H3151" s="16"/>
      <c r="AG3151" s="80"/>
      <c r="AH3151" s="80"/>
      <c r="AI3151" s="80"/>
    </row>
    <row r="3152" spans="5:35" x14ac:dyDescent="0.25">
      <c r="E3152" s="16"/>
      <c r="F3152" s="16"/>
      <c r="H3152" s="16"/>
      <c r="AG3152" s="80"/>
      <c r="AH3152" s="80"/>
      <c r="AI3152" s="80"/>
    </row>
    <row r="3153" spans="5:35" x14ac:dyDescent="0.25">
      <c r="E3153" s="16"/>
      <c r="F3153" s="16"/>
      <c r="H3153" s="16"/>
      <c r="AG3153" s="80"/>
      <c r="AH3153" s="80"/>
      <c r="AI3153" s="80"/>
    </row>
    <row r="3154" spans="5:35" x14ac:dyDescent="0.25">
      <c r="E3154" s="16"/>
      <c r="F3154" s="16"/>
      <c r="H3154" s="16"/>
      <c r="AG3154" s="80"/>
      <c r="AH3154" s="80"/>
      <c r="AI3154" s="80"/>
    </row>
    <row r="3155" spans="5:35" x14ac:dyDescent="0.25">
      <c r="E3155" s="16"/>
      <c r="F3155" s="16"/>
      <c r="H3155" s="16"/>
      <c r="AG3155" s="80"/>
      <c r="AH3155" s="80"/>
      <c r="AI3155" s="80"/>
    </row>
    <row r="3156" spans="5:35" x14ac:dyDescent="0.25">
      <c r="E3156" s="16"/>
      <c r="F3156" s="16"/>
      <c r="H3156" s="16"/>
      <c r="AG3156" s="80"/>
      <c r="AH3156" s="80"/>
      <c r="AI3156" s="80"/>
    </row>
    <row r="3157" spans="5:35" x14ac:dyDescent="0.25">
      <c r="E3157" s="16"/>
      <c r="F3157" s="16"/>
      <c r="H3157" s="16"/>
      <c r="AG3157" s="80"/>
      <c r="AH3157" s="80"/>
      <c r="AI3157" s="80"/>
    </row>
    <row r="3158" spans="5:35" x14ac:dyDescent="0.25">
      <c r="E3158" s="16"/>
      <c r="F3158" s="16"/>
      <c r="H3158" s="16"/>
      <c r="AG3158" s="80"/>
      <c r="AH3158" s="80"/>
      <c r="AI3158" s="80"/>
    </row>
    <row r="3159" spans="5:35" x14ac:dyDescent="0.25">
      <c r="E3159" s="16"/>
      <c r="F3159" s="16"/>
      <c r="H3159" s="16"/>
      <c r="AG3159" s="80"/>
      <c r="AH3159" s="80"/>
      <c r="AI3159" s="80"/>
    </row>
    <row r="3160" spans="5:35" x14ac:dyDescent="0.25">
      <c r="E3160" s="16"/>
      <c r="F3160" s="16"/>
      <c r="H3160" s="16"/>
      <c r="AG3160" s="80"/>
      <c r="AH3160" s="80"/>
      <c r="AI3160" s="80"/>
    </row>
    <row r="3161" spans="5:35" x14ac:dyDescent="0.25">
      <c r="E3161" s="16"/>
      <c r="F3161" s="16"/>
      <c r="H3161" s="16"/>
      <c r="AG3161" s="80"/>
      <c r="AH3161" s="80"/>
      <c r="AI3161" s="80"/>
    </row>
    <row r="3162" spans="5:35" x14ac:dyDescent="0.25">
      <c r="E3162" s="16"/>
      <c r="F3162" s="16"/>
      <c r="H3162" s="16"/>
      <c r="AG3162" s="80"/>
      <c r="AH3162" s="80"/>
      <c r="AI3162" s="80"/>
    </row>
    <row r="3163" spans="5:35" x14ac:dyDescent="0.25">
      <c r="E3163" s="16"/>
      <c r="F3163" s="16"/>
      <c r="H3163" s="16"/>
      <c r="AG3163" s="80"/>
      <c r="AH3163" s="80"/>
      <c r="AI3163" s="80"/>
    </row>
    <row r="3164" spans="5:35" x14ac:dyDescent="0.25">
      <c r="E3164" s="16"/>
      <c r="F3164" s="16"/>
      <c r="H3164" s="16"/>
      <c r="AG3164" s="80"/>
      <c r="AH3164" s="80"/>
      <c r="AI3164" s="80"/>
    </row>
    <row r="3165" spans="5:35" x14ac:dyDescent="0.25">
      <c r="E3165" s="16"/>
      <c r="F3165" s="16"/>
      <c r="H3165" s="16"/>
      <c r="AG3165" s="80"/>
      <c r="AH3165" s="80"/>
      <c r="AI3165" s="80"/>
    </row>
    <row r="3166" spans="5:35" x14ac:dyDescent="0.25">
      <c r="E3166" s="16"/>
      <c r="F3166" s="16"/>
      <c r="H3166" s="16"/>
      <c r="AG3166" s="80"/>
      <c r="AH3166" s="80"/>
      <c r="AI3166" s="80"/>
    </row>
    <row r="3167" spans="5:35" x14ac:dyDescent="0.25">
      <c r="E3167" s="16"/>
      <c r="F3167" s="16"/>
      <c r="H3167" s="16"/>
      <c r="AG3167" s="80"/>
      <c r="AH3167" s="80"/>
      <c r="AI3167" s="80"/>
    </row>
    <row r="3168" spans="5:35" x14ac:dyDescent="0.25">
      <c r="E3168" s="16"/>
      <c r="F3168" s="16"/>
      <c r="H3168" s="16"/>
      <c r="AG3168" s="80"/>
      <c r="AH3168" s="80"/>
      <c r="AI3168" s="80"/>
    </row>
    <row r="3169" spans="5:35" x14ac:dyDescent="0.25">
      <c r="E3169" s="16"/>
      <c r="F3169" s="16"/>
      <c r="H3169" s="16"/>
      <c r="AG3169" s="80"/>
      <c r="AH3169" s="80"/>
      <c r="AI3169" s="80"/>
    </row>
    <row r="3170" spans="5:35" x14ac:dyDescent="0.25">
      <c r="E3170" s="16"/>
      <c r="F3170" s="16"/>
      <c r="H3170" s="16"/>
      <c r="AG3170" s="80"/>
      <c r="AH3170" s="80"/>
      <c r="AI3170" s="80"/>
    </row>
    <row r="3171" spans="5:35" x14ac:dyDescent="0.25">
      <c r="E3171" s="16"/>
      <c r="F3171" s="16"/>
      <c r="H3171" s="16"/>
      <c r="AG3171" s="80"/>
      <c r="AH3171" s="80"/>
      <c r="AI3171" s="80"/>
    </row>
    <row r="3172" spans="5:35" x14ac:dyDescent="0.25">
      <c r="E3172" s="16"/>
      <c r="F3172" s="16"/>
      <c r="H3172" s="16"/>
      <c r="AG3172" s="80"/>
      <c r="AH3172" s="80"/>
      <c r="AI3172" s="80"/>
    </row>
    <row r="3173" spans="5:35" x14ac:dyDescent="0.25">
      <c r="E3173" s="16"/>
      <c r="F3173" s="16"/>
      <c r="H3173" s="16"/>
      <c r="AG3173" s="80"/>
      <c r="AH3173" s="80"/>
      <c r="AI3173" s="80"/>
    </row>
    <row r="3174" spans="5:35" x14ac:dyDescent="0.25">
      <c r="E3174" s="16"/>
      <c r="F3174" s="16"/>
      <c r="H3174" s="16"/>
      <c r="AG3174" s="80"/>
      <c r="AH3174" s="80"/>
      <c r="AI3174" s="80"/>
    </row>
    <row r="3175" spans="5:35" x14ac:dyDescent="0.25">
      <c r="E3175" s="16"/>
      <c r="F3175" s="16"/>
      <c r="H3175" s="16"/>
      <c r="AG3175" s="80"/>
      <c r="AH3175" s="80"/>
      <c r="AI3175" s="80"/>
    </row>
    <row r="3176" spans="5:35" x14ac:dyDescent="0.25">
      <c r="E3176" s="16"/>
      <c r="F3176" s="16"/>
      <c r="H3176" s="16"/>
      <c r="AG3176" s="80"/>
      <c r="AH3176" s="80"/>
      <c r="AI3176" s="80"/>
    </row>
    <row r="3177" spans="5:35" x14ac:dyDescent="0.25">
      <c r="E3177" s="16"/>
      <c r="F3177" s="16"/>
      <c r="H3177" s="16"/>
      <c r="AG3177" s="80"/>
      <c r="AH3177" s="80"/>
      <c r="AI3177" s="80"/>
    </row>
    <row r="3178" spans="5:35" x14ac:dyDescent="0.25">
      <c r="E3178" s="16"/>
      <c r="F3178" s="16"/>
      <c r="H3178" s="16"/>
      <c r="AG3178" s="80"/>
      <c r="AH3178" s="80"/>
      <c r="AI3178" s="80"/>
    </row>
    <row r="3179" spans="5:35" x14ac:dyDescent="0.25">
      <c r="E3179" s="16"/>
      <c r="F3179" s="16"/>
      <c r="H3179" s="16"/>
      <c r="AG3179" s="80"/>
      <c r="AH3179" s="80"/>
      <c r="AI3179" s="80"/>
    </row>
    <row r="3180" spans="5:35" x14ac:dyDescent="0.25">
      <c r="E3180" s="16"/>
      <c r="F3180" s="16"/>
      <c r="H3180" s="16"/>
      <c r="AG3180" s="80"/>
      <c r="AH3180" s="80"/>
      <c r="AI3180" s="80"/>
    </row>
    <row r="3181" spans="5:35" x14ac:dyDescent="0.25">
      <c r="E3181" s="16"/>
      <c r="F3181" s="16"/>
      <c r="H3181" s="16"/>
      <c r="AG3181" s="80"/>
      <c r="AH3181" s="80"/>
      <c r="AI3181" s="80"/>
    </row>
    <row r="3182" spans="5:35" x14ac:dyDescent="0.25">
      <c r="E3182" s="16"/>
      <c r="F3182" s="16"/>
      <c r="H3182" s="16"/>
      <c r="AG3182" s="80"/>
      <c r="AH3182" s="80"/>
      <c r="AI3182" s="80"/>
    </row>
    <row r="3183" spans="5:35" x14ac:dyDescent="0.25">
      <c r="E3183" s="16"/>
      <c r="F3183" s="16"/>
      <c r="H3183" s="16"/>
      <c r="AG3183" s="80"/>
      <c r="AH3183" s="80"/>
      <c r="AI3183" s="80"/>
    </row>
    <row r="3184" spans="5:35" x14ac:dyDescent="0.25">
      <c r="E3184" s="16"/>
      <c r="F3184" s="16"/>
      <c r="H3184" s="16"/>
      <c r="AG3184" s="80"/>
      <c r="AH3184" s="80"/>
      <c r="AI3184" s="80"/>
    </row>
    <row r="3185" spans="5:35" x14ac:dyDescent="0.25">
      <c r="E3185" s="16"/>
      <c r="F3185" s="16"/>
      <c r="H3185" s="16"/>
      <c r="AG3185" s="80"/>
      <c r="AH3185" s="80"/>
      <c r="AI3185" s="80"/>
    </row>
    <row r="3186" spans="5:35" x14ac:dyDescent="0.25">
      <c r="E3186" s="16"/>
      <c r="F3186" s="16"/>
      <c r="H3186" s="16"/>
      <c r="AG3186" s="80"/>
      <c r="AH3186" s="80"/>
      <c r="AI3186" s="80"/>
    </row>
    <row r="3187" spans="5:35" x14ac:dyDescent="0.25">
      <c r="E3187" s="16"/>
      <c r="F3187" s="16"/>
      <c r="H3187" s="16"/>
      <c r="AG3187" s="80"/>
      <c r="AH3187" s="80"/>
      <c r="AI3187" s="80"/>
    </row>
    <row r="3188" spans="5:35" x14ac:dyDescent="0.25">
      <c r="E3188" s="16"/>
      <c r="F3188" s="16"/>
      <c r="H3188" s="16"/>
      <c r="AG3188" s="80"/>
      <c r="AH3188" s="80"/>
      <c r="AI3188" s="80"/>
    </row>
    <row r="3189" spans="5:35" x14ac:dyDescent="0.25">
      <c r="E3189" s="16"/>
      <c r="F3189" s="16"/>
      <c r="H3189" s="16"/>
      <c r="AG3189" s="80"/>
      <c r="AH3189" s="80"/>
      <c r="AI3189" s="80"/>
    </row>
    <row r="3190" spans="5:35" x14ac:dyDescent="0.25">
      <c r="E3190" s="16"/>
      <c r="F3190" s="16"/>
      <c r="H3190" s="16"/>
      <c r="AG3190" s="80"/>
      <c r="AH3190" s="80"/>
      <c r="AI3190" s="80"/>
    </row>
    <row r="3191" spans="5:35" x14ac:dyDescent="0.25">
      <c r="E3191" s="16"/>
      <c r="F3191" s="16"/>
      <c r="H3191" s="16"/>
      <c r="AG3191" s="80"/>
      <c r="AH3191" s="80"/>
      <c r="AI3191" s="80"/>
    </row>
    <row r="3192" spans="5:35" x14ac:dyDescent="0.25">
      <c r="E3192" s="16"/>
      <c r="F3192" s="16"/>
      <c r="H3192" s="16"/>
      <c r="AG3192" s="80"/>
      <c r="AH3192" s="80"/>
      <c r="AI3192" s="80"/>
    </row>
    <row r="3193" spans="5:35" x14ac:dyDescent="0.25">
      <c r="E3193" s="16"/>
      <c r="F3193" s="16"/>
      <c r="H3193" s="16"/>
      <c r="AG3193" s="80"/>
      <c r="AH3193" s="80"/>
      <c r="AI3193" s="80"/>
    </row>
    <row r="3194" spans="5:35" x14ac:dyDescent="0.25">
      <c r="E3194" s="16"/>
      <c r="F3194" s="16"/>
      <c r="H3194" s="16"/>
      <c r="AG3194" s="80"/>
      <c r="AH3194" s="80"/>
      <c r="AI3194" s="80"/>
    </row>
    <row r="3195" spans="5:35" x14ac:dyDescent="0.25">
      <c r="E3195" s="16"/>
      <c r="F3195" s="16"/>
      <c r="H3195" s="16"/>
      <c r="AG3195" s="80"/>
      <c r="AH3195" s="80"/>
      <c r="AI3195" s="80"/>
    </row>
    <row r="3196" spans="5:35" x14ac:dyDescent="0.25">
      <c r="E3196" s="16"/>
      <c r="F3196" s="16"/>
      <c r="H3196" s="16"/>
      <c r="AG3196" s="80"/>
      <c r="AH3196" s="80"/>
      <c r="AI3196" s="80"/>
    </row>
    <row r="3197" spans="5:35" x14ac:dyDescent="0.25">
      <c r="E3197" s="16"/>
      <c r="F3197" s="16"/>
      <c r="H3197" s="16"/>
      <c r="AG3197" s="80"/>
      <c r="AH3197" s="80"/>
      <c r="AI3197" s="80"/>
    </row>
    <row r="3198" spans="5:35" x14ac:dyDescent="0.25">
      <c r="E3198" s="16"/>
      <c r="F3198" s="16"/>
      <c r="H3198" s="16"/>
      <c r="AG3198" s="80"/>
      <c r="AH3198" s="80"/>
      <c r="AI3198" s="80"/>
    </row>
    <row r="3199" spans="5:35" x14ac:dyDescent="0.25">
      <c r="E3199" s="16"/>
      <c r="F3199" s="16"/>
      <c r="H3199" s="16"/>
      <c r="AG3199" s="80"/>
      <c r="AH3199" s="80"/>
      <c r="AI3199" s="80"/>
    </row>
    <row r="3200" spans="5:35" x14ac:dyDescent="0.25">
      <c r="E3200" s="16"/>
      <c r="F3200" s="16"/>
      <c r="H3200" s="16"/>
      <c r="AG3200" s="80"/>
      <c r="AH3200" s="80"/>
      <c r="AI3200" s="80"/>
    </row>
    <row r="3201" spans="5:35" x14ac:dyDescent="0.25">
      <c r="E3201" s="16"/>
      <c r="F3201" s="16"/>
      <c r="H3201" s="16"/>
      <c r="AG3201" s="80"/>
      <c r="AH3201" s="80"/>
      <c r="AI3201" s="80"/>
    </row>
    <row r="3202" spans="5:35" x14ac:dyDescent="0.25">
      <c r="E3202" s="16"/>
      <c r="F3202" s="16"/>
      <c r="H3202" s="16"/>
      <c r="AG3202" s="80"/>
      <c r="AH3202" s="80"/>
      <c r="AI3202" s="80"/>
    </row>
    <row r="3203" spans="5:35" x14ac:dyDescent="0.25">
      <c r="E3203" s="16"/>
      <c r="F3203" s="16"/>
      <c r="H3203" s="16"/>
      <c r="AG3203" s="80"/>
      <c r="AH3203" s="80"/>
      <c r="AI3203" s="80"/>
    </row>
    <row r="3204" spans="5:35" x14ac:dyDescent="0.25">
      <c r="E3204" s="16"/>
      <c r="F3204" s="16"/>
      <c r="H3204" s="16"/>
      <c r="AG3204" s="80"/>
      <c r="AH3204" s="80"/>
      <c r="AI3204" s="80"/>
    </row>
    <row r="3205" spans="5:35" x14ac:dyDescent="0.25">
      <c r="E3205" s="16"/>
      <c r="F3205" s="16"/>
      <c r="H3205" s="16"/>
      <c r="AG3205" s="80"/>
      <c r="AH3205" s="80"/>
      <c r="AI3205" s="80"/>
    </row>
    <row r="3206" spans="5:35" x14ac:dyDescent="0.25">
      <c r="E3206" s="16"/>
      <c r="F3206" s="16"/>
      <c r="H3206" s="16"/>
      <c r="AG3206" s="80"/>
      <c r="AH3206" s="80"/>
      <c r="AI3206" s="80"/>
    </row>
    <row r="3207" spans="5:35" x14ac:dyDescent="0.25">
      <c r="E3207" s="16"/>
      <c r="F3207" s="16"/>
      <c r="H3207" s="16"/>
      <c r="AG3207" s="80"/>
      <c r="AH3207" s="80"/>
      <c r="AI3207" s="80"/>
    </row>
    <row r="3208" spans="5:35" x14ac:dyDescent="0.25">
      <c r="E3208" s="16"/>
      <c r="F3208" s="16"/>
      <c r="H3208" s="16"/>
      <c r="AG3208" s="80"/>
      <c r="AH3208" s="80"/>
      <c r="AI3208" s="80"/>
    </row>
    <row r="3209" spans="5:35" x14ac:dyDescent="0.25">
      <c r="E3209" s="16"/>
      <c r="F3209" s="16"/>
      <c r="H3209" s="16"/>
      <c r="AG3209" s="80"/>
      <c r="AH3209" s="80"/>
      <c r="AI3209" s="80"/>
    </row>
    <row r="3210" spans="5:35" x14ac:dyDescent="0.25">
      <c r="E3210" s="16"/>
      <c r="F3210" s="16"/>
      <c r="H3210" s="16"/>
      <c r="AG3210" s="80"/>
      <c r="AH3210" s="80"/>
      <c r="AI3210" s="80"/>
    </row>
    <row r="3211" spans="5:35" x14ac:dyDescent="0.25">
      <c r="E3211" s="16"/>
      <c r="F3211" s="16"/>
      <c r="H3211" s="16"/>
      <c r="AG3211" s="80"/>
      <c r="AH3211" s="80"/>
      <c r="AI3211" s="80"/>
    </row>
    <row r="3212" spans="5:35" x14ac:dyDescent="0.25">
      <c r="E3212" s="16"/>
      <c r="F3212" s="16"/>
      <c r="H3212" s="16"/>
      <c r="AG3212" s="80"/>
      <c r="AH3212" s="80"/>
      <c r="AI3212" s="80"/>
    </row>
    <row r="3213" spans="5:35" x14ac:dyDescent="0.25">
      <c r="E3213" s="16"/>
      <c r="F3213" s="16"/>
      <c r="H3213" s="16"/>
      <c r="AG3213" s="80"/>
      <c r="AH3213" s="80"/>
      <c r="AI3213" s="80"/>
    </row>
    <row r="3214" spans="5:35" x14ac:dyDescent="0.25">
      <c r="E3214" s="16"/>
      <c r="F3214" s="16"/>
      <c r="H3214" s="16"/>
      <c r="AG3214" s="80"/>
      <c r="AH3214" s="80"/>
      <c r="AI3214" s="80"/>
    </row>
    <row r="3215" spans="5:35" x14ac:dyDescent="0.25">
      <c r="E3215" s="16"/>
      <c r="F3215" s="16"/>
      <c r="H3215" s="16"/>
      <c r="AG3215" s="80"/>
      <c r="AH3215" s="80"/>
      <c r="AI3215" s="80"/>
    </row>
    <row r="3216" spans="5:35" x14ac:dyDescent="0.25">
      <c r="E3216" s="16"/>
      <c r="F3216" s="16"/>
      <c r="H3216" s="16"/>
      <c r="AG3216" s="80"/>
      <c r="AH3216" s="80"/>
      <c r="AI3216" s="80"/>
    </row>
    <row r="3217" spans="5:35" x14ac:dyDescent="0.25">
      <c r="E3217" s="16"/>
      <c r="F3217" s="16"/>
      <c r="H3217" s="16"/>
      <c r="AG3217" s="80"/>
      <c r="AH3217" s="80"/>
      <c r="AI3217" s="80"/>
    </row>
    <row r="3218" spans="5:35" x14ac:dyDescent="0.25">
      <c r="E3218" s="16"/>
      <c r="F3218" s="16"/>
      <c r="H3218" s="16"/>
      <c r="AG3218" s="80"/>
      <c r="AH3218" s="80"/>
      <c r="AI3218" s="80"/>
    </row>
    <row r="3219" spans="5:35" x14ac:dyDescent="0.25">
      <c r="E3219" s="16"/>
      <c r="F3219" s="16"/>
      <c r="H3219" s="16"/>
      <c r="AG3219" s="80"/>
      <c r="AH3219" s="80"/>
      <c r="AI3219" s="80"/>
    </row>
    <row r="3220" spans="5:35" x14ac:dyDescent="0.25">
      <c r="E3220" s="16"/>
      <c r="F3220" s="16"/>
      <c r="H3220" s="16"/>
      <c r="AG3220" s="80"/>
      <c r="AH3220" s="80"/>
      <c r="AI3220" s="80"/>
    </row>
    <row r="3221" spans="5:35" x14ac:dyDescent="0.25">
      <c r="E3221" s="16"/>
      <c r="F3221" s="16"/>
      <c r="H3221" s="16"/>
      <c r="AG3221" s="80"/>
      <c r="AH3221" s="80"/>
      <c r="AI3221" s="80"/>
    </row>
    <row r="3222" spans="5:35" x14ac:dyDescent="0.25">
      <c r="E3222" s="16"/>
      <c r="F3222" s="16"/>
      <c r="H3222" s="16"/>
      <c r="AG3222" s="80"/>
      <c r="AH3222" s="80"/>
      <c r="AI3222" s="80"/>
    </row>
    <row r="3223" spans="5:35" x14ac:dyDescent="0.25">
      <c r="E3223" s="16"/>
      <c r="F3223" s="16"/>
      <c r="H3223" s="16"/>
      <c r="AG3223" s="80"/>
      <c r="AH3223" s="80"/>
      <c r="AI3223" s="80"/>
    </row>
    <row r="3224" spans="5:35" x14ac:dyDescent="0.25">
      <c r="E3224" s="16"/>
      <c r="F3224" s="16"/>
      <c r="H3224" s="16"/>
      <c r="AG3224" s="80"/>
      <c r="AH3224" s="80"/>
      <c r="AI3224" s="80"/>
    </row>
    <row r="3225" spans="5:35" x14ac:dyDescent="0.25">
      <c r="E3225" s="16"/>
      <c r="F3225" s="16"/>
      <c r="H3225" s="16"/>
      <c r="AG3225" s="80"/>
      <c r="AH3225" s="80"/>
      <c r="AI3225" s="80"/>
    </row>
    <row r="3226" spans="5:35" x14ac:dyDescent="0.25">
      <c r="E3226" s="16"/>
      <c r="F3226" s="16"/>
      <c r="H3226" s="16"/>
      <c r="AG3226" s="80"/>
      <c r="AH3226" s="80"/>
      <c r="AI3226" s="80"/>
    </row>
    <row r="3227" spans="5:35" x14ac:dyDescent="0.25">
      <c r="E3227" s="16"/>
      <c r="F3227" s="16"/>
      <c r="H3227" s="16"/>
      <c r="AG3227" s="80"/>
      <c r="AH3227" s="80"/>
      <c r="AI3227" s="80"/>
    </row>
    <row r="3228" spans="5:35" x14ac:dyDescent="0.25">
      <c r="E3228" s="16"/>
      <c r="F3228" s="16"/>
      <c r="H3228" s="16"/>
      <c r="AG3228" s="80"/>
      <c r="AH3228" s="80"/>
      <c r="AI3228" s="80"/>
    </row>
    <row r="3229" spans="5:35" x14ac:dyDescent="0.25">
      <c r="E3229" s="16"/>
      <c r="F3229" s="16"/>
      <c r="H3229" s="16"/>
      <c r="AG3229" s="80"/>
      <c r="AH3229" s="80"/>
      <c r="AI3229" s="80"/>
    </row>
    <row r="3230" spans="5:35" x14ac:dyDescent="0.25">
      <c r="E3230" s="16"/>
      <c r="F3230" s="16"/>
      <c r="H3230" s="16"/>
      <c r="AG3230" s="80"/>
      <c r="AH3230" s="80"/>
      <c r="AI3230" s="80"/>
    </row>
    <row r="3231" spans="5:35" x14ac:dyDescent="0.25">
      <c r="E3231" s="16"/>
      <c r="F3231" s="16"/>
      <c r="H3231" s="16"/>
      <c r="AG3231" s="80"/>
      <c r="AH3231" s="80"/>
      <c r="AI3231" s="80"/>
    </row>
    <row r="3232" spans="5:35" x14ac:dyDescent="0.25">
      <c r="E3232" s="16"/>
      <c r="F3232" s="16"/>
      <c r="H3232" s="16"/>
      <c r="AG3232" s="80"/>
      <c r="AH3232" s="80"/>
      <c r="AI3232" s="80"/>
    </row>
    <row r="3233" spans="5:35" x14ac:dyDescent="0.25">
      <c r="E3233" s="16"/>
      <c r="F3233" s="16"/>
      <c r="H3233" s="16"/>
      <c r="AG3233" s="80"/>
      <c r="AH3233" s="80"/>
      <c r="AI3233" s="80"/>
    </row>
    <row r="3234" spans="5:35" x14ac:dyDescent="0.25">
      <c r="E3234" s="16"/>
      <c r="F3234" s="16"/>
      <c r="H3234" s="16"/>
      <c r="AG3234" s="80"/>
      <c r="AH3234" s="80"/>
      <c r="AI3234" s="80"/>
    </row>
    <row r="3235" spans="5:35" x14ac:dyDescent="0.25">
      <c r="E3235" s="16"/>
      <c r="F3235" s="16"/>
      <c r="H3235" s="16"/>
      <c r="AG3235" s="80"/>
      <c r="AH3235" s="80"/>
      <c r="AI3235" s="80"/>
    </row>
    <row r="3236" spans="5:35" x14ac:dyDescent="0.25">
      <c r="E3236" s="16"/>
      <c r="F3236" s="16"/>
      <c r="H3236" s="16"/>
      <c r="AG3236" s="80"/>
      <c r="AH3236" s="80"/>
      <c r="AI3236" s="80"/>
    </row>
    <row r="3237" spans="5:35" x14ac:dyDescent="0.25">
      <c r="E3237" s="16"/>
      <c r="F3237" s="16"/>
      <c r="H3237" s="16"/>
      <c r="AG3237" s="80"/>
      <c r="AH3237" s="80"/>
      <c r="AI3237" s="80"/>
    </row>
    <row r="3238" spans="5:35" x14ac:dyDescent="0.25">
      <c r="E3238" s="16"/>
      <c r="F3238" s="16"/>
      <c r="H3238" s="16"/>
      <c r="AG3238" s="80"/>
      <c r="AH3238" s="80"/>
      <c r="AI3238" s="80"/>
    </row>
    <row r="3239" spans="5:35" x14ac:dyDescent="0.25">
      <c r="E3239" s="16"/>
      <c r="F3239" s="16"/>
      <c r="H3239" s="16"/>
      <c r="AG3239" s="80"/>
      <c r="AH3239" s="80"/>
      <c r="AI3239" s="80"/>
    </row>
    <row r="3240" spans="5:35" x14ac:dyDescent="0.25">
      <c r="E3240" s="16"/>
      <c r="F3240" s="16"/>
      <c r="H3240" s="16"/>
      <c r="AG3240" s="80"/>
      <c r="AH3240" s="80"/>
      <c r="AI3240" s="80"/>
    </row>
    <row r="3241" spans="5:35" x14ac:dyDescent="0.25">
      <c r="E3241" s="16"/>
      <c r="F3241" s="16"/>
      <c r="H3241" s="16"/>
      <c r="AG3241" s="80"/>
      <c r="AH3241" s="80"/>
      <c r="AI3241" s="80"/>
    </row>
    <row r="3242" spans="5:35" x14ac:dyDescent="0.25">
      <c r="E3242" s="16"/>
      <c r="F3242" s="16"/>
      <c r="H3242" s="16"/>
      <c r="AG3242" s="80"/>
      <c r="AH3242" s="80"/>
      <c r="AI3242" s="80"/>
    </row>
    <row r="3243" spans="5:35" x14ac:dyDescent="0.25">
      <c r="E3243" s="16"/>
      <c r="F3243" s="16"/>
      <c r="H3243" s="16"/>
      <c r="AG3243" s="80"/>
      <c r="AH3243" s="80"/>
      <c r="AI3243" s="80"/>
    </row>
    <row r="3244" spans="5:35" x14ac:dyDescent="0.25">
      <c r="E3244" s="16"/>
      <c r="F3244" s="16"/>
      <c r="H3244" s="16"/>
      <c r="AG3244" s="80"/>
      <c r="AH3244" s="80"/>
      <c r="AI3244" s="80"/>
    </row>
    <row r="3245" spans="5:35" x14ac:dyDescent="0.25">
      <c r="E3245" s="16"/>
      <c r="F3245" s="16"/>
      <c r="H3245" s="16"/>
      <c r="AG3245" s="80"/>
      <c r="AH3245" s="80"/>
      <c r="AI3245" s="80"/>
    </row>
    <row r="3246" spans="5:35" x14ac:dyDescent="0.25">
      <c r="E3246" s="16"/>
      <c r="F3246" s="16"/>
      <c r="H3246" s="16"/>
      <c r="AG3246" s="80"/>
      <c r="AH3246" s="80"/>
      <c r="AI3246" s="80"/>
    </row>
    <row r="3247" spans="5:35" x14ac:dyDescent="0.25">
      <c r="E3247" s="16"/>
      <c r="F3247" s="16"/>
      <c r="H3247" s="16"/>
      <c r="AG3247" s="80"/>
      <c r="AH3247" s="80"/>
      <c r="AI3247" s="80"/>
    </row>
    <row r="3248" spans="5:35" x14ac:dyDescent="0.25">
      <c r="E3248" s="16"/>
      <c r="F3248" s="16"/>
      <c r="H3248" s="16"/>
      <c r="AG3248" s="80"/>
      <c r="AH3248" s="80"/>
      <c r="AI3248" s="80"/>
    </row>
    <row r="3249" spans="5:35" x14ac:dyDescent="0.25">
      <c r="E3249" s="16"/>
      <c r="F3249" s="16"/>
      <c r="H3249" s="16"/>
      <c r="AG3249" s="80"/>
      <c r="AH3249" s="80"/>
      <c r="AI3249" s="80"/>
    </row>
    <row r="3250" spans="5:35" x14ac:dyDescent="0.25">
      <c r="E3250" s="16"/>
      <c r="F3250" s="16"/>
      <c r="H3250" s="16"/>
      <c r="AG3250" s="80"/>
      <c r="AH3250" s="80"/>
      <c r="AI3250" s="80"/>
    </row>
    <row r="3251" spans="5:35" x14ac:dyDescent="0.25">
      <c r="E3251" s="16"/>
      <c r="F3251" s="16"/>
      <c r="H3251" s="16"/>
      <c r="AG3251" s="80"/>
      <c r="AH3251" s="80"/>
      <c r="AI3251" s="80"/>
    </row>
    <row r="3252" spans="5:35" x14ac:dyDescent="0.25">
      <c r="E3252" s="16"/>
      <c r="F3252" s="16"/>
      <c r="H3252" s="16"/>
      <c r="AG3252" s="80"/>
      <c r="AH3252" s="80"/>
      <c r="AI3252" s="80"/>
    </row>
    <row r="3253" spans="5:35" x14ac:dyDescent="0.25">
      <c r="E3253" s="16"/>
      <c r="F3253" s="16"/>
      <c r="H3253" s="16"/>
      <c r="AG3253" s="80"/>
      <c r="AH3253" s="80"/>
      <c r="AI3253" s="80"/>
    </row>
    <row r="3254" spans="5:35" x14ac:dyDescent="0.25">
      <c r="E3254" s="16"/>
      <c r="F3254" s="16"/>
      <c r="H3254" s="16"/>
      <c r="AG3254" s="80"/>
      <c r="AH3254" s="80"/>
      <c r="AI3254" s="80"/>
    </row>
    <row r="3255" spans="5:35" x14ac:dyDescent="0.25">
      <c r="E3255" s="16"/>
      <c r="F3255" s="16"/>
      <c r="H3255" s="16"/>
      <c r="AG3255" s="80"/>
      <c r="AH3255" s="80"/>
      <c r="AI3255" s="80"/>
    </row>
    <row r="3256" spans="5:35" x14ac:dyDescent="0.25">
      <c r="E3256" s="16"/>
      <c r="F3256" s="16"/>
      <c r="H3256" s="16"/>
      <c r="AG3256" s="80"/>
      <c r="AH3256" s="80"/>
      <c r="AI3256" s="80"/>
    </row>
    <row r="3257" spans="5:35" x14ac:dyDescent="0.25">
      <c r="E3257" s="16"/>
      <c r="F3257" s="16"/>
      <c r="H3257" s="16"/>
      <c r="AG3257" s="80"/>
      <c r="AH3257" s="80"/>
      <c r="AI3257" s="80"/>
    </row>
    <row r="3258" spans="5:35" x14ac:dyDescent="0.25">
      <c r="E3258" s="16"/>
      <c r="F3258" s="16"/>
      <c r="H3258" s="16"/>
      <c r="AG3258" s="80"/>
      <c r="AH3258" s="80"/>
      <c r="AI3258" s="80"/>
    </row>
    <row r="3259" spans="5:35" x14ac:dyDescent="0.25">
      <c r="E3259" s="16"/>
      <c r="F3259" s="16"/>
      <c r="H3259" s="16"/>
      <c r="AG3259" s="80"/>
      <c r="AH3259" s="80"/>
      <c r="AI3259" s="80"/>
    </row>
    <row r="3260" spans="5:35" x14ac:dyDescent="0.25">
      <c r="E3260" s="16"/>
      <c r="F3260" s="16"/>
      <c r="H3260" s="16"/>
      <c r="AG3260" s="80"/>
      <c r="AH3260" s="80"/>
      <c r="AI3260" s="80"/>
    </row>
    <row r="3261" spans="5:35" x14ac:dyDescent="0.25">
      <c r="E3261" s="16"/>
      <c r="F3261" s="16"/>
      <c r="H3261" s="16"/>
      <c r="AG3261" s="80"/>
      <c r="AH3261" s="80"/>
      <c r="AI3261" s="80"/>
    </row>
    <row r="3262" spans="5:35" x14ac:dyDescent="0.25">
      <c r="E3262" s="16"/>
      <c r="F3262" s="16"/>
      <c r="H3262" s="16"/>
      <c r="AG3262" s="80"/>
      <c r="AH3262" s="80"/>
      <c r="AI3262" s="80"/>
    </row>
    <row r="3263" spans="5:35" x14ac:dyDescent="0.25">
      <c r="E3263" s="16"/>
      <c r="F3263" s="16"/>
      <c r="H3263" s="16"/>
      <c r="AG3263" s="80"/>
      <c r="AH3263" s="80"/>
      <c r="AI3263" s="80"/>
    </row>
    <row r="3264" spans="5:35" x14ac:dyDescent="0.25">
      <c r="E3264" s="16"/>
      <c r="F3264" s="16"/>
      <c r="H3264" s="16"/>
      <c r="AG3264" s="80"/>
      <c r="AH3264" s="80"/>
      <c r="AI3264" s="80"/>
    </row>
    <row r="3265" spans="5:35" x14ac:dyDescent="0.25">
      <c r="E3265" s="16"/>
      <c r="F3265" s="16"/>
      <c r="H3265" s="16"/>
      <c r="AG3265" s="80"/>
      <c r="AH3265" s="80"/>
      <c r="AI3265" s="80"/>
    </row>
    <row r="3266" spans="5:35" x14ac:dyDescent="0.25">
      <c r="E3266" s="16"/>
      <c r="F3266" s="16"/>
      <c r="H3266" s="16"/>
      <c r="AG3266" s="80"/>
      <c r="AH3266" s="80"/>
      <c r="AI3266" s="80"/>
    </row>
    <row r="3267" spans="5:35" x14ac:dyDescent="0.25">
      <c r="E3267" s="16"/>
      <c r="F3267" s="16"/>
      <c r="H3267" s="16"/>
      <c r="AG3267" s="80"/>
      <c r="AH3267" s="80"/>
      <c r="AI3267" s="80"/>
    </row>
    <row r="3268" spans="5:35" x14ac:dyDescent="0.25">
      <c r="E3268" s="16"/>
      <c r="F3268" s="16"/>
      <c r="H3268" s="16"/>
      <c r="AG3268" s="80"/>
      <c r="AH3268" s="80"/>
      <c r="AI3268" s="80"/>
    </row>
    <row r="3269" spans="5:35" x14ac:dyDescent="0.25">
      <c r="E3269" s="16"/>
      <c r="F3269" s="16"/>
      <c r="H3269" s="16"/>
      <c r="AG3269" s="80"/>
      <c r="AH3269" s="80"/>
      <c r="AI3269" s="80"/>
    </row>
    <row r="3270" spans="5:35" x14ac:dyDescent="0.25">
      <c r="E3270" s="16"/>
      <c r="F3270" s="16"/>
      <c r="H3270" s="16"/>
      <c r="AG3270" s="80"/>
      <c r="AH3270" s="80"/>
      <c r="AI3270" s="80"/>
    </row>
    <row r="3271" spans="5:35" x14ac:dyDescent="0.25">
      <c r="E3271" s="16"/>
      <c r="F3271" s="16"/>
      <c r="H3271" s="16"/>
      <c r="AG3271" s="80"/>
      <c r="AH3271" s="80"/>
      <c r="AI3271" s="80"/>
    </row>
    <row r="3272" spans="5:35" x14ac:dyDescent="0.25">
      <c r="E3272" s="16"/>
      <c r="F3272" s="16"/>
      <c r="H3272" s="16"/>
      <c r="AG3272" s="80"/>
      <c r="AH3272" s="80"/>
      <c r="AI3272" s="80"/>
    </row>
    <row r="3273" spans="5:35" x14ac:dyDescent="0.25">
      <c r="E3273" s="16"/>
      <c r="F3273" s="16"/>
      <c r="H3273" s="16"/>
      <c r="AG3273" s="80"/>
      <c r="AH3273" s="80"/>
      <c r="AI3273" s="80"/>
    </row>
    <row r="3274" spans="5:35" x14ac:dyDescent="0.25">
      <c r="E3274" s="16"/>
      <c r="F3274" s="16"/>
      <c r="H3274" s="16"/>
      <c r="AG3274" s="80"/>
      <c r="AH3274" s="80"/>
      <c r="AI3274" s="80"/>
    </row>
    <row r="3275" spans="5:35" x14ac:dyDescent="0.25">
      <c r="E3275" s="16"/>
      <c r="F3275" s="16"/>
      <c r="H3275" s="16"/>
      <c r="AG3275" s="80"/>
      <c r="AH3275" s="80"/>
      <c r="AI3275" s="80"/>
    </row>
    <row r="3276" spans="5:35" x14ac:dyDescent="0.25">
      <c r="E3276" s="16"/>
      <c r="F3276" s="16"/>
      <c r="H3276" s="16"/>
      <c r="AG3276" s="80"/>
      <c r="AH3276" s="80"/>
      <c r="AI3276" s="80"/>
    </row>
    <row r="3277" spans="5:35" x14ac:dyDescent="0.25">
      <c r="E3277" s="16"/>
      <c r="F3277" s="16"/>
      <c r="H3277" s="16"/>
      <c r="AG3277" s="80"/>
      <c r="AH3277" s="80"/>
      <c r="AI3277" s="80"/>
    </row>
    <row r="3278" spans="5:35" x14ac:dyDescent="0.25">
      <c r="E3278" s="16"/>
      <c r="F3278" s="16"/>
      <c r="H3278" s="16"/>
      <c r="AG3278" s="80"/>
      <c r="AH3278" s="80"/>
      <c r="AI3278" s="80"/>
    </row>
    <row r="3279" spans="5:35" x14ac:dyDescent="0.25">
      <c r="E3279" s="16"/>
      <c r="F3279" s="16"/>
      <c r="H3279" s="16"/>
      <c r="AG3279" s="80"/>
      <c r="AH3279" s="80"/>
      <c r="AI3279" s="80"/>
    </row>
    <row r="3280" spans="5:35" x14ac:dyDescent="0.25">
      <c r="E3280" s="16"/>
      <c r="F3280" s="16"/>
      <c r="H3280" s="16"/>
      <c r="AG3280" s="80"/>
      <c r="AH3280" s="80"/>
      <c r="AI3280" s="80"/>
    </row>
    <row r="3281" spans="5:35" x14ac:dyDescent="0.25">
      <c r="E3281" s="16"/>
      <c r="F3281" s="16"/>
      <c r="H3281" s="16"/>
      <c r="AG3281" s="80"/>
      <c r="AH3281" s="80"/>
      <c r="AI3281" s="80"/>
    </row>
    <row r="3282" spans="5:35" x14ac:dyDescent="0.25">
      <c r="E3282" s="16"/>
      <c r="F3282" s="16"/>
      <c r="H3282" s="16"/>
      <c r="AG3282" s="80"/>
      <c r="AH3282" s="80"/>
      <c r="AI3282" s="80"/>
    </row>
    <row r="3283" spans="5:35" x14ac:dyDescent="0.25">
      <c r="E3283" s="16"/>
      <c r="F3283" s="16"/>
      <c r="H3283" s="16"/>
      <c r="AG3283" s="80"/>
      <c r="AH3283" s="80"/>
      <c r="AI3283" s="80"/>
    </row>
    <row r="3284" spans="5:35" x14ac:dyDescent="0.25">
      <c r="E3284" s="16"/>
      <c r="F3284" s="16"/>
      <c r="H3284" s="16"/>
      <c r="AG3284" s="80"/>
      <c r="AH3284" s="80"/>
      <c r="AI3284" s="80"/>
    </row>
    <row r="3285" spans="5:35" x14ac:dyDescent="0.25">
      <c r="E3285" s="16"/>
      <c r="F3285" s="16"/>
      <c r="H3285" s="16"/>
      <c r="AG3285" s="80"/>
      <c r="AH3285" s="80"/>
      <c r="AI3285" s="80"/>
    </row>
    <row r="3286" spans="5:35" x14ac:dyDescent="0.25">
      <c r="E3286" s="16"/>
      <c r="F3286" s="16"/>
      <c r="H3286" s="16"/>
      <c r="AG3286" s="80"/>
      <c r="AH3286" s="80"/>
      <c r="AI3286" s="80"/>
    </row>
    <row r="3287" spans="5:35" x14ac:dyDescent="0.25">
      <c r="E3287" s="16"/>
      <c r="F3287" s="16"/>
      <c r="H3287" s="16"/>
      <c r="AG3287" s="80"/>
      <c r="AH3287" s="80"/>
      <c r="AI3287" s="80"/>
    </row>
    <row r="3288" spans="5:35" x14ac:dyDescent="0.25">
      <c r="E3288" s="16"/>
      <c r="F3288" s="16"/>
      <c r="H3288" s="16"/>
      <c r="AG3288" s="80"/>
      <c r="AH3288" s="80"/>
      <c r="AI3288" s="80"/>
    </row>
    <row r="3289" spans="5:35" x14ac:dyDescent="0.25">
      <c r="E3289" s="16"/>
      <c r="F3289" s="16"/>
      <c r="H3289" s="16"/>
      <c r="AG3289" s="80"/>
      <c r="AH3289" s="80"/>
      <c r="AI3289" s="80"/>
    </row>
    <row r="3290" spans="5:35" x14ac:dyDescent="0.25">
      <c r="E3290" s="16"/>
      <c r="F3290" s="16"/>
      <c r="H3290" s="16"/>
      <c r="AG3290" s="80"/>
      <c r="AH3290" s="80"/>
      <c r="AI3290" s="80"/>
    </row>
    <row r="3291" spans="5:35" x14ac:dyDescent="0.25">
      <c r="E3291" s="16"/>
      <c r="F3291" s="16"/>
      <c r="H3291" s="16"/>
      <c r="AG3291" s="80"/>
      <c r="AH3291" s="80"/>
      <c r="AI3291" s="80"/>
    </row>
    <row r="3292" spans="5:35" x14ac:dyDescent="0.25">
      <c r="E3292" s="16"/>
      <c r="F3292" s="16"/>
      <c r="H3292" s="16"/>
      <c r="AG3292" s="80"/>
      <c r="AH3292" s="80"/>
      <c r="AI3292" s="80"/>
    </row>
    <row r="3293" spans="5:35" x14ac:dyDescent="0.25">
      <c r="E3293" s="16"/>
      <c r="F3293" s="16"/>
      <c r="H3293" s="16"/>
      <c r="AG3293" s="80"/>
      <c r="AH3293" s="80"/>
      <c r="AI3293" s="80"/>
    </row>
    <row r="3294" spans="5:35" x14ac:dyDescent="0.25">
      <c r="E3294" s="16"/>
      <c r="F3294" s="16"/>
      <c r="H3294" s="16"/>
      <c r="AG3294" s="80"/>
      <c r="AH3294" s="80"/>
      <c r="AI3294" s="80"/>
    </row>
    <row r="3295" spans="5:35" x14ac:dyDescent="0.25">
      <c r="E3295" s="16"/>
      <c r="F3295" s="16"/>
      <c r="H3295" s="16"/>
      <c r="AG3295" s="80"/>
      <c r="AH3295" s="80"/>
      <c r="AI3295" s="80"/>
    </row>
    <row r="3296" spans="5:35" x14ac:dyDescent="0.25">
      <c r="E3296" s="16"/>
      <c r="F3296" s="16"/>
      <c r="H3296" s="16"/>
      <c r="AG3296" s="80"/>
      <c r="AH3296" s="80"/>
      <c r="AI3296" s="80"/>
    </row>
    <row r="3297" spans="5:35" x14ac:dyDescent="0.25">
      <c r="E3297" s="16"/>
      <c r="F3297" s="16"/>
      <c r="H3297" s="16"/>
      <c r="AG3297" s="80"/>
      <c r="AH3297" s="80"/>
      <c r="AI3297" s="80"/>
    </row>
    <row r="3298" spans="5:35" x14ac:dyDescent="0.25">
      <c r="E3298" s="16"/>
      <c r="F3298" s="16"/>
      <c r="H3298" s="16"/>
      <c r="AG3298" s="80"/>
      <c r="AH3298" s="80"/>
      <c r="AI3298" s="80"/>
    </row>
    <row r="3299" spans="5:35" x14ac:dyDescent="0.25">
      <c r="E3299" s="16"/>
      <c r="F3299" s="16"/>
      <c r="H3299" s="16"/>
      <c r="AG3299" s="80"/>
      <c r="AH3299" s="80"/>
      <c r="AI3299" s="80"/>
    </row>
    <row r="3300" spans="5:35" x14ac:dyDescent="0.25">
      <c r="E3300" s="16"/>
      <c r="F3300" s="16"/>
      <c r="H3300" s="16"/>
      <c r="AG3300" s="80"/>
      <c r="AH3300" s="80"/>
      <c r="AI3300" s="80"/>
    </row>
    <row r="3301" spans="5:35" x14ac:dyDescent="0.25">
      <c r="E3301" s="16"/>
      <c r="F3301" s="16"/>
      <c r="H3301" s="16"/>
      <c r="AG3301" s="80"/>
      <c r="AH3301" s="80"/>
      <c r="AI3301" s="80"/>
    </row>
    <row r="3302" spans="5:35" x14ac:dyDescent="0.25">
      <c r="E3302" s="16"/>
      <c r="F3302" s="16"/>
      <c r="H3302" s="16"/>
      <c r="AG3302" s="80"/>
      <c r="AH3302" s="80"/>
      <c r="AI3302" s="80"/>
    </row>
    <row r="3303" spans="5:35" x14ac:dyDescent="0.25">
      <c r="E3303" s="16"/>
      <c r="F3303" s="16"/>
      <c r="H3303" s="16"/>
      <c r="AG3303" s="80"/>
      <c r="AH3303" s="80"/>
      <c r="AI3303" s="80"/>
    </row>
    <row r="3304" spans="5:35" x14ac:dyDescent="0.25">
      <c r="E3304" s="16"/>
      <c r="F3304" s="16"/>
      <c r="H3304" s="16"/>
      <c r="AG3304" s="80"/>
      <c r="AH3304" s="80"/>
      <c r="AI3304" s="80"/>
    </row>
    <row r="3305" spans="5:35" x14ac:dyDescent="0.25">
      <c r="E3305" s="16"/>
      <c r="F3305" s="16"/>
      <c r="H3305" s="16"/>
      <c r="AG3305" s="80"/>
      <c r="AH3305" s="80"/>
      <c r="AI3305" s="80"/>
    </row>
    <row r="3306" spans="5:35" x14ac:dyDescent="0.25">
      <c r="E3306" s="16"/>
      <c r="F3306" s="16"/>
      <c r="H3306" s="16"/>
      <c r="AG3306" s="80"/>
      <c r="AH3306" s="80"/>
      <c r="AI3306" s="80"/>
    </row>
    <row r="3307" spans="5:35" x14ac:dyDescent="0.25">
      <c r="E3307" s="16"/>
      <c r="F3307" s="16"/>
      <c r="H3307" s="16"/>
      <c r="AG3307" s="80"/>
      <c r="AH3307" s="80"/>
      <c r="AI3307" s="80"/>
    </row>
    <row r="3308" spans="5:35" x14ac:dyDescent="0.25">
      <c r="E3308" s="16"/>
      <c r="F3308" s="16"/>
      <c r="H3308" s="16"/>
      <c r="AG3308" s="80"/>
      <c r="AH3308" s="80"/>
      <c r="AI3308" s="80"/>
    </row>
    <row r="3309" spans="5:35" x14ac:dyDescent="0.25">
      <c r="E3309" s="16"/>
      <c r="F3309" s="16"/>
      <c r="H3309" s="16"/>
      <c r="AG3309" s="80"/>
      <c r="AH3309" s="80"/>
      <c r="AI3309" s="80"/>
    </row>
    <row r="3310" spans="5:35" x14ac:dyDescent="0.25">
      <c r="E3310" s="16"/>
      <c r="F3310" s="16"/>
      <c r="H3310" s="16"/>
      <c r="AG3310" s="80"/>
      <c r="AH3310" s="80"/>
      <c r="AI3310" s="80"/>
    </row>
    <row r="3311" spans="5:35" x14ac:dyDescent="0.25">
      <c r="E3311" s="16"/>
      <c r="F3311" s="16"/>
      <c r="H3311" s="16"/>
      <c r="AG3311" s="80"/>
      <c r="AH3311" s="80"/>
      <c r="AI3311" s="80"/>
    </row>
    <row r="3312" spans="5:35" x14ac:dyDescent="0.25">
      <c r="E3312" s="16"/>
      <c r="F3312" s="16"/>
      <c r="H3312" s="16"/>
      <c r="AG3312" s="80"/>
      <c r="AH3312" s="80"/>
      <c r="AI3312" s="80"/>
    </row>
    <row r="3313" spans="5:35" x14ac:dyDescent="0.25">
      <c r="E3313" s="16"/>
      <c r="F3313" s="16"/>
      <c r="H3313" s="16"/>
      <c r="AG3313" s="80"/>
      <c r="AH3313" s="80"/>
      <c r="AI3313" s="80"/>
    </row>
    <row r="3314" spans="5:35" x14ac:dyDescent="0.25">
      <c r="E3314" s="16"/>
      <c r="F3314" s="16"/>
      <c r="H3314" s="16"/>
      <c r="AG3314" s="80"/>
      <c r="AH3314" s="80"/>
      <c r="AI3314" s="80"/>
    </row>
    <row r="3315" spans="5:35" x14ac:dyDescent="0.25">
      <c r="E3315" s="16"/>
      <c r="F3315" s="16"/>
      <c r="H3315" s="16"/>
      <c r="AG3315" s="80"/>
      <c r="AH3315" s="80"/>
      <c r="AI3315" s="80"/>
    </row>
    <row r="3316" spans="5:35" x14ac:dyDescent="0.25">
      <c r="E3316" s="16"/>
      <c r="F3316" s="16"/>
      <c r="H3316" s="16"/>
      <c r="AG3316" s="80"/>
      <c r="AH3316" s="80"/>
      <c r="AI3316" s="80"/>
    </row>
    <row r="3317" spans="5:35" x14ac:dyDescent="0.25">
      <c r="E3317" s="16"/>
      <c r="F3317" s="16"/>
      <c r="H3317" s="16"/>
      <c r="AG3317" s="80"/>
      <c r="AH3317" s="80"/>
      <c r="AI3317" s="80"/>
    </row>
    <row r="3318" spans="5:35" x14ac:dyDescent="0.25">
      <c r="E3318" s="16"/>
      <c r="F3318" s="16"/>
      <c r="H3318" s="16"/>
      <c r="AG3318" s="80"/>
      <c r="AH3318" s="80"/>
      <c r="AI3318" s="80"/>
    </row>
    <row r="3319" spans="5:35" x14ac:dyDescent="0.25">
      <c r="E3319" s="16"/>
      <c r="F3319" s="16"/>
      <c r="H3319" s="16"/>
      <c r="AG3319" s="80"/>
      <c r="AH3319" s="80"/>
      <c r="AI3319" s="80"/>
    </row>
    <row r="3320" spans="5:35" x14ac:dyDescent="0.25">
      <c r="E3320" s="16"/>
      <c r="F3320" s="16"/>
      <c r="H3320" s="16"/>
      <c r="AG3320" s="80"/>
      <c r="AH3320" s="80"/>
      <c r="AI3320" s="80"/>
    </row>
    <row r="3321" spans="5:35" x14ac:dyDescent="0.25">
      <c r="E3321" s="16"/>
      <c r="F3321" s="16"/>
      <c r="H3321" s="16"/>
      <c r="AG3321" s="80"/>
      <c r="AH3321" s="80"/>
      <c r="AI3321" s="80"/>
    </row>
    <row r="3322" spans="5:35" x14ac:dyDescent="0.25">
      <c r="E3322" s="16"/>
      <c r="F3322" s="16"/>
      <c r="H3322" s="16"/>
      <c r="AG3322" s="80"/>
      <c r="AH3322" s="80"/>
      <c r="AI3322" s="80"/>
    </row>
    <row r="3323" spans="5:35" x14ac:dyDescent="0.25">
      <c r="E3323" s="16"/>
      <c r="F3323" s="16"/>
      <c r="H3323" s="16"/>
      <c r="AG3323" s="80"/>
      <c r="AH3323" s="80"/>
      <c r="AI3323" s="80"/>
    </row>
    <row r="3324" spans="5:35" x14ac:dyDescent="0.25">
      <c r="E3324" s="16"/>
      <c r="F3324" s="16"/>
      <c r="H3324" s="16"/>
      <c r="AG3324" s="80"/>
      <c r="AH3324" s="80"/>
      <c r="AI3324" s="80"/>
    </row>
    <row r="3325" spans="5:35" x14ac:dyDescent="0.25">
      <c r="E3325" s="16"/>
      <c r="F3325" s="16"/>
      <c r="H3325" s="16"/>
      <c r="AG3325" s="80"/>
      <c r="AH3325" s="80"/>
      <c r="AI3325" s="80"/>
    </row>
    <row r="3326" spans="5:35" x14ac:dyDescent="0.25">
      <c r="E3326" s="16"/>
      <c r="F3326" s="16"/>
      <c r="H3326" s="16"/>
      <c r="AG3326" s="80"/>
      <c r="AH3326" s="80"/>
      <c r="AI3326" s="80"/>
    </row>
    <row r="3327" spans="5:35" x14ac:dyDescent="0.25">
      <c r="E3327" s="16"/>
      <c r="F3327" s="16"/>
      <c r="H3327" s="16"/>
      <c r="AG3327" s="80"/>
      <c r="AH3327" s="80"/>
      <c r="AI3327" s="80"/>
    </row>
    <row r="3328" spans="5:35" x14ac:dyDescent="0.25">
      <c r="E3328" s="16"/>
      <c r="F3328" s="16"/>
      <c r="H3328" s="16"/>
      <c r="AG3328" s="80"/>
      <c r="AH3328" s="80"/>
      <c r="AI3328" s="80"/>
    </row>
    <row r="3329" spans="5:35" x14ac:dyDescent="0.25">
      <c r="E3329" s="16"/>
      <c r="F3329" s="16"/>
      <c r="H3329" s="16"/>
      <c r="AG3329" s="80"/>
      <c r="AH3329" s="80"/>
      <c r="AI3329" s="80"/>
    </row>
    <row r="3330" spans="5:35" x14ac:dyDescent="0.25">
      <c r="E3330" s="16"/>
      <c r="F3330" s="16"/>
      <c r="H3330" s="16"/>
      <c r="AG3330" s="80"/>
      <c r="AH3330" s="80"/>
      <c r="AI3330" s="80"/>
    </row>
    <row r="3331" spans="5:35" x14ac:dyDescent="0.25">
      <c r="E3331" s="16"/>
      <c r="F3331" s="16"/>
      <c r="H3331" s="16"/>
      <c r="AG3331" s="80"/>
      <c r="AH3331" s="80"/>
      <c r="AI3331" s="80"/>
    </row>
    <row r="3332" spans="5:35" x14ac:dyDescent="0.25">
      <c r="E3332" s="16"/>
      <c r="F3332" s="16"/>
      <c r="H3332" s="16"/>
      <c r="AG3332" s="80"/>
      <c r="AH3332" s="80"/>
      <c r="AI3332" s="80"/>
    </row>
    <row r="3333" spans="5:35" x14ac:dyDescent="0.25">
      <c r="E3333" s="16"/>
      <c r="F3333" s="16"/>
      <c r="H3333" s="16"/>
      <c r="AG3333" s="80"/>
      <c r="AH3333" s="80"/>
      <c r="AI3333" s="80"/>
    </row>
    <row r="3334" spans="5:35" x14ac:dyDescent="0.25">
      <c r="E3334" s="16"/>
      <c r="F3334" s="16"/>
      <c r="H3334" s="16"/>
      <c r="AG3334" s="80"/>
      <c r="AH3334" s="80"/>
      <c r="AI3334" s="80"/>
    </row>
    <row r="3335" spans="5:35" x14ac:dyDescent="0.25">
      <c r="E3335" s="16"/>
      <c r="F3335" s="16"/>
      <c r="H3335" s="16"/>
      <c r="AG3335" s="80"/>
      <c r="AH3335" s="80"/>
      <c r="AI3335" s="80"/>
    </row>
    <row r="3336" spans="5:35" x14ac:dyDescent="0.25">
      <c r="E3336" s="16"/>
      <c r="F3336" s="16"/>
      <c r="H3336" s="16"/>
      <c r="AG3336" s="80"/>
      <c r="AH3336" s="80"/>
      <c r="AI3336" s="80"/>
    </row>
    <row r="3337" spans="5:35" x14ac:dyDescent="0.25">
      <c r="E3337" s="16"/>
      <c r="F3337" s="16"/>
      <c r="H3337" s="16"/>
      <c r="AG3337" s="80"/>
      <c r="AH3337" s="80"/>
      <c r="AI3337" s="80"/>
    </row>
    <row r="3338" spans="5:35" x14ac:dyDescent="0.25">
      <c r="E3338" s="16"/>
      <c r="F3338" s="16"/>
      <c r="H3338" s="16"/>
      <c r="AG3338" s="80"/>
      <c r="AH3338" s="80"/>
      <c r="AI3338" s="80"/>
    </row>
    <row r="3339" spans="5:35" x14ac:dyDescent="0.25">
      <c r="E3339" s="16"/>
      <c r="F3339" s="16"/>
      <c r="H3339" s="16"/>
      <c r="AG3339" s="80"/>
      <c r="AH3339" s="80"/>
      <c r="AI3339" s="80"/>
    </row>
    <row r="3340" spans="5:35" x14ac:dyDescent="0.25">
      <c r="E3340" s="16"/>
      <c r="F3340" s="16"/>
      <c r="H3340" s="16"/>
      <c r="AG3340" s="80"/>
      <c r="AH3340" s="80"/>
      <c r="AI3340" s="80"/>
    </row>
    <row r="3341" spans="5:35" x14ac:dyDescent="0.25">
      <c r="E3341" s="16"/>
      <c r="F3341" s="16"/>
      <c r="H3341" s="16"/>
      <c r="AG3341" s="80"/>
      <c r="AH3341" s="80"/>
      <c r="AI3341" s="80"/>
    </row>
    <row r="3342" spans="5:35" x14ac:dyDescent="0.25">
      <c r="E3342" s="16"/>
      <c r="F3342" s="16"/>
      <c r="H3342" s="16"/>
      <c r="AG3342" s="80"/>
      <c r="AH3342" s="80"/>
      <c r="AI3342" s="80"/>
    </row>
    <row r="3343" spans="5:35" x14ac:dyDescent="0.25">
      <c r="E3343" s="16"/>
      <c r="F3343" s="16"/>
      <c r="H3343" s="16"/>
      <c r="AG3343" s="80"/>
      <c r="AH3343" s="80"/>
      <c r="AI3343" s="80"/>
    </row>
    <row r="3344" spans="5:35" x14ac:dyDescent="0.25">
      <c r="E3344" s="16"/>
      <c r="F3344" s="16"/>
      <c r="H3344" s="16"/>
      <c r="AG3344" s="80"/>
      <c r="AH3344" s="80"/>
      <c r="AI3344" s="80"/>
    </row>
    <row r="3345" spans="5:35" x14ac:dyDescent="0.25">
      <c r="E3345" s="16"/>
      <c r="F3345" s="16"/>
      <c r="H3345" s="16"/>
      <c r="AG3345" s="80"/>
      <c r="AH3345" s="80"/>
      <c r="AI3345" s="80"/>
    </row>
    <row r="3346" spans="5:35" x14ac:dyDescent="0.25">
      <c r="E3346" s="16"/>
      <c r="F3346" s="16"/>
      <c r="H3346" s="16"/>
      <c r="AG3346" s="80"/>
      <c r="AH3346" s="80"/>
      <c r="AI3346" s="80"/>
    </row>
    <row r="3347" spans="5:35" x14ac:dyDescent="0.25">
      <c r="E3347" s="16"/>
      <c r="F3347" s="16"/>
      <c r="H3347" s="16"/>
      <c r="AG3347" s="80"/>
      <c r="AH3347" s="80"/>
      <c r="AI3347" s="80"/>
    </row>
    <row r="3348" spans="5:35" x14ac:dyDescent="0.25">
      <c r="E3348" s="16"/>
      <c r="F3348" s="16"/>
      <c r="H3348" s="16"/>
      <c r="AG3348" s="80"/>
      <c r="AH3348" s="80"/>
      <c r="AI3348" s="80"/>
    </row>
    <row r="3349" spans="5:35" x14ac:dyDescent="0.25">
      <c r="E3349" s="16"/>
      <c r="F3349" s="16"/>
      <c r="H3349" s="16"/>
      <c r="AG3349" s="80"/>
      <c r="AH3349" s="80"/>
      <c r="AI3349" s="80"/>
    </row>
    <row r="3350" spans="5:35" x14ac:dyDescent="0.25">
      <c r="E3350" s="16"/>
      <c r="F3350" s="16"/>
      <c r="H3350" s="16"/>
      <c r="AG3350" s="80"/>
      <c r="AH3350" s="80"/>
      <c r="AI3350" s="80"/>
    </row>
    <row r="3351" spans="5:35" x14ac:dyDescent="0.25">
      <c r="E3351" s="16"/>
      <c r="F3351" s="16"/>
      <c r="H3351" s="16"/>
      <c r="AG3351" s="80"/>
      <c r="AH3351" s="80"/>
      <c r="AI3351" s="80"/>
    </row>
    <row r="3352" spans="5:35" x14ac:dyDescent="0.25">
      <c r="E3352" s="16"/>
      <c r="F3352" s="16"/>
      <c r="H3352" s="16"/>
      <c r="AG3352" s="80"/>
      <c r="AH3352" s="80"/>
      <c r="AI3352" s="80"/>
    </row>
    <row r="3353" spans="5:35" x14ac:dyDescent="0.25">
      <c r="E3353" s="16"/>
      <c r="F3353" s="16"/>
      <c r="H3353" s="16"/>
      <c r="AG3353" s="80"/>
      <c r="AH3353" s="80"/>
      <c r="AI3353" s="80"/>
    </row>
    <row r="3354" spans="5:35" x14ac:dyDescent="0.25">
      <c r="E3354" s="16"/>
      <c r="F3354" s="16"/>
      <c r="H3354" s="16"/>
      <c r="AG3354" s="80"/>
      <c r="AH3354" s="80"/>
      <c r="AI3354" s="80"/>
    </row>
    <row r="3355" spans="5:35" x14ac:dyDescent="0.25">
      <c r="E3355" s="16"/>
      <c r="F3355" s="16"/>
      <c r="H3355" s="16"/>
      <c r="AG3355" s="80"/>
      <c r="AH3355" s="80"/>
      <c r="AI3355" s="80"/>
    </row>
    <row r="3356" spans="5:35" x14ac:dyDescent="0.25">
      <c r="E3356" s="16"/>
      <c r="F3356" s="16"/>
      <c r="H3356" s="16"/>
      <c r="AG3356" s="80"/>
      <c r="AH3356" s="80"/>
      <c r="AI3356" s="80"/>
    </row>
    <row r="3357" spans="5:35" x14ac:dyDescent="0.25">
      <c r="E3357" s="16"/>
      <c r="F3357" s="16"/>
      <c r="H3357" s="16"/>
      <c r="AG3357" s="80"/>
      <c r="AH3357" s="80"/>
      <c r="AI3357" s="80"/>
    </row>
    <row r="3358" spans="5:35" x14ac:dyDescent="0.25">
      <c r="E3358" s="16"/>
      <c r="F3358" s="16"/>
      <c r="H3358" s="16"/>
      <c r="AG3358" s="80"/>
      <c r="AH3358" s="80"/>
      <c r="AI3358" s="80"/>
    </row>
    <row r="3359" spans="5:35" x14ac:dyDescent="0.25">
      <c r="E3359" s="16"/>
      <c r="F3359" s="16"/>
      <c r="H3359" s="16"/>
      <c r="AG3359" s="80"/>
      <c r="AH3359" s="80"/>
      <c r="AI3359" s="80"/>
    </row>
    <row r="3360" spans="5:35" x14ac:dyDescent="0.25">
      <c r="E3360" s="16"/>
      <c r="F3360" s="16"/>
      <c r="H3360" s="16"/>
      <c r="AG3360" s="80"/>
      <c r="AH3360" s="80"/>
      <c r="AI3360" s="80"/>
    </row>
    <row r="3361" spans="5:35" x14ac:dyDescent="0.25">
      <c r="E3361" s="16"/>
      <c r="F3361" s="16"/>
      <c r="H3361" s="16"/>
      <c r="AG3361" s="80"/>
      <c r="AH3361" s="80"/>
      <c r="AI3361" s="80"/>
    </row>
    <row r="3362" spans="5:35" x14ac:dyDescent="0.25">
      <c r="E3362" s="16"/>
      <c r="F3362" s="16"/>
      <c r="H3362" s="16"/>
      <c r="AG3362" s="80"/>
      <c r="AH3362" s="80"/>
      <c r="AI3362" s="80"/>
    </row>
    <row r="3363" spans="5:35" x14ac:dyDescent="0.25">
      <c r="E3363" s="16"/>
      <c r="F3363" s="16"/>
      <c r="H3363" s="16"/>
      <c r="AG3363" s="80"/>
      <c r="AH3363" s="80"/>
      <c r="AI3363" s="80"/>
    </row>
    <row r="3364" spans="5:35" x14ac:dyDescent="0.25">
      <c r="E3364" s="16"/>
      <c r="F3364" s="16"/>
      <c r="H3364" s="16"/>
      <c r="AG3364" s="80"/>
      <c r="AH3364" s="80"/>
      <c r="AI3364" s="80"/>
    </row>
    <row r="3365" spans="5:35" x14ac:dyDescent="0.25">
      <c r="E3365" s="16"/>
      <c r="F3365" s="16"/>
      <c r="H3365" s="16"/>
      <c r="AG3365" s="80"/>
      <c r="AH3365" s="80"/>
      <c r="AI3365" s="80"/>
    </row>
    <row r="3366" spans="5:35" x14ac:dyDescent="0.25">
      <c r="E3366" s="16"/>
      <c r="F3366" s="16"/>
      <c r="H3366" s="16"/>
      <c r="AG3366" s="80"/>
      <c r="AH3366" s="80"/>
      <c r="AI3366" s="80"/>
    </row>
    <row r="3367" spans="5:35" x14ac:dyDescent="0.25">
      <c r="E3367" s="16"/>
      <c r="F3367" s="16"/>
      <c r="H3367" s="16"/>
      <c r="AG3367" s="80"/>
      <c r="AH3367" s="80"/>
      <c r="AI3367" s="80"/>
    </row>
    <row r="3368" spans="5:35" x14ac:dyDescent="0.25">
      <c r="E3368" s="16"/>
      <c r="F3368" s="16"/>
      <c r="H3368" s="16"/>
      <c r="AG3368" s="80"/>
      <c r="AH3368" s="80"/>
      <c r="AI3368" s="80"/>
    </row>
    <row r="3369" spans="5:35" x14ac:dyDescent="0.25">
      <c r="E3369" s="16"/>
      <c r="F3369" s="16"/>
      <c r="H3369" s="16"/>
      <c r="AG3369" s="80"/>
      <c r="AH3369" s="80"/>
      <c r="AI3369" s="80"/>
    </row>
    <row r="3370" spans="5:35" x14ac:dyDescent="0.25">
      <c r="E3370" s="16"/>
      <c r="F3370" s="16"/>
      <c r="H3370" s="16"/>
      <c r="AG3370" s="80"/>
      <c r="AH3370" s="80"/>
      <c r="AI3370" s="80"/>
    </row>
    <row r="3371" spans="5:35" x14ac:dyDescent="0.25">
      <c r="E3371" s="16"/>
      <c r="F3371" s="16"/>
      <c r="H3371" s="16"/>
      <c r="AG3371" s="80"/>
      <c r="AH3371" s="80"/>
      <c r="AI3371" s="80"/>
    </row>
    <row r="3372" spans="5:35" x14ac:dyDescent="0.25">
      <c r="E3372" s="16"/>
      <c r="F3372" s="16"/>
      <c r="H3372" s="16"/>
      <c r="AG3372" s="80"/>
      <c r="AH3372" s="80"/>
      <c r="AI3372" s="80"/>
    </row>
    <row r="3373" spans="5:35" x14ac:dyDescent="0.25">
      <c r="E3373" s="16"/>
      <c r="F3373" s="16"/>
      <c r="H3373" s="16"/>
      <c r="AG3373" s="80"/>
      <c r="AH3373" s="80"/>
      <c r="AI3373" s="80"/>
    </row>
    <row r="3374" spans="5:35" x14ac:dyDescent="0.25">
      <c r="E3374" s="16"/>
      <c r="F3374" s="16"/>
      <c r="H3374" s="16"/>
      <c r="AG3374" s="80"/>
      <c r="AH3374" s="80"/>
      <c r="AI3374" s="80"/>
    </row>
    <row r="3375" spans="5:35" x14ac:dyDescent="0.25">
      <c r="E3375" s="16"/>
      <c r="F3375" s="16"/>
      <c r="H3375" s="16"/>
      <c r="AG3375" s="80"/>
      <c r="AH3375" s="80"/>
      <c r="AI3375" s="80"/>
    </row>
    <row r="3376" spans="5:35" x14ac:dyDescent="0.25">
      <c r="E3376" s="16"/>
      <c r="F3376" s="16"/>
      <c r="H3376" s="16"/>
      <c r="AG3376" s="80"/>
      <c r="AH3376" s="80"/>
      <c r="AI3376" s="80"/>
    </row>
    <row r="3377" spans="5:35" x14ac:dyDescent="0.25">
      <c r="E3377" s="16"/>
      <c r="F3377" s="16"/>
      <c r="H3377" s="16"/>
      <c r="AG3377" s="80"/>
      <c r="AH3377" s="80"/>
      <c r="AI3377" s="80"/>
    </row>
    <row r="3378" spans="5:35" x14ac:dyDescent="0.25">
      <c r="E3378" s="16"/>
      <c r="F3378" s="16"/>
      <c r="H3378" s="16"/>
      <c r="AG3378" s="80"/>
      <c r="AH3378" s="80"/>
      <c r="AI3378" s="80"/>
    </row>
    <row r="3379" spans="5:35" x14ac:dyDescent="0.25">
      <c r="E3379" s="16"/>
      <c r="F3379" s="16"/>
      <c r="H3379" s="16"/>
      <c r="AG3379" s="80"/>
      <c r="AH3379" s="80"/>
      <c r="AI3379" s="80"/>
    </row>
    <row r="3380" spans="5:35" x14ac:dyDescent="0.25">
      <c r="E3380" s="16"/>
      <c r="F3380" s="16"/>
      <c r="H3380" s="16"/>
      <c r="AG3380" s="80"/>
      <c r="AH3380" s="80"/>
      <c r="AI3380" s="80"/>
    </row>
    <row r="3381" spans="5:35" x14ac:dyDescent="0.25">
      <c r="E3381" s="16"/>
      <c r="F3381" s="16"/>
      <c r="H3381" s="16"/>
      <c r="AG3381" s="80"/>
      <c r="AH3381" s="80"/>
      <c r="AI3381" s="80"/>
    </row>
    <row r="3382" spans="5:35" x14ac:dyDescent="0.25">
      <c r="E3382" s="16"/>
      <c r="F3382" s="16"/>
      <c r="H3382" s="16"/>
      <c r="AG3382" s="80"/>
      <c r="AH3382" s="80"/>
      <c r="AI3382" s="80"/>
    </row>
    <row r="3383" spans="5:35" x14ac:dyDescent="0.25">
      <c r="E3383" s="16"/>
      <c r="F3383" s="16"/>
      <c r="H3383" s="16"/>
      <c r="AG3383" s="80"/>
      <c r="AH3383" s="80"/>
      <c r="AI3383" s="80"/>
    </row>
    <row r="3384" spans="5:35" x14ac:dyDescent="0.25">
      <c r="E3384" s="16"/>
      <c r="F3384" s="16"/>
      <c r="H3384" s="16"/>
      <c r="AG3384" s="80"/>
      <c r="AH3384" s="80"/>
      <c r="AI3384" s="80"/>
    </row>
    <row r="3385" spans="5:35" x14ac:dyDescent="0.25">
      <c r="E3385" s="16"/>
      <c r="F3385" s="16"/>
      <c r="H3385" s="16"/>
      <c r="AG3385" s="80"/>
      <c r="AH3385" s="80"/>
      <c r="AI3385" s="80"/>
    </row>
    <row r="3386" spans="5:35" x14ac:dyDescent="0.25">
      <c r="E3386" s="16"/>
      <c r="F3386" s="16"/>
      <c r="H3386" s="16"/>
      <c r="AG3386" s="80"/>
      <c r="AH3386" s="80"/>
      <c r="AI3386" s="80"/>
    </row>
    <row r="3387" spans="5:35" x14ac:dyDescent="0.25">
      <c r="E3387" s="16"/>
      <c r="F3387" s="16"/>
      <c r="H3387" s="16"/>
      <c r="AG3387" s="80"/>
      <c r="AH3387" s="80"/>
      <c r="AI3387" s="80"/>
    </row>
    <row r="3388" spans="5:35" x14ac:dyDescent="0.25">
      <c r="E3388" s="16"/>
      <c r="F3388" s="16"/>
      <c r="H3388" s="16"/>
      <c r="AG3388" s="80"/>
      <c r="AH3388" s="80"/>
      <c r="AI3388" s="80"/>
    </row>
    <row r="3389" spans="5:35" x14ac:dyDescent="0.25">
      <c r="E3389" s="16"/>
      <c r="F3389" s="16"/>
      <c r="H3389" s="16"/>
      <c r="AG3389" s="80"/>
      <c r="AH3389" s="80"/>
      <c r="AI3389" s="80"/>
    </row>
    <row r="3390" spans="5:35" x14ac:dyDescent="0.25">
      <c r="E3390" s="16"/>
      <c r="F3390" s="16"/>
      <c r="H3390" s="16"/>
      <c r="AG3390" s="80"/>
      <c r="AH3390" s="80"/>
      <c r="AI3390" s="80"/>
    </row>
    <row r="3391" spans="5:35" x14ac:dyDescent="0.25">
      <c r="E3391" s="16"/>
      <c r="F3391" s="16"/>
      <c r="H3391" s="16"/>
      <c r="AG3391" s="80"/>
      <c r="AH3391" s="80"/>
      <c r="AI3391" s="80"/>
    </row>
    <row r="3392" spans="5:35" x14ac:dyDescent="0.25">
      <c r="E3392" s="16"/>
      <c r="F3392" s="16"/>
      <c r="H3392" s="16"/>
      <c r="AG3392" s="80"/>
      <c r="AH3392" s="80"/>
      <c r="AI3392" s="80"/>
    </row>
    <row r="3393" spans="5:35" x14ac:dyDescent="0.25">
      <c r="E3393" s="16"/>
      <c r="F3393" s="16"/>
      <c r="H3393" s="16"/>
      <c r="AG3393" s="80"/>
      <c r="AH3393" s="80"/>
      <c r="AI3393" s="80"/>
    </row>
    <row r="3394" spans="5:35" x14ac:dyDescent="0.25">
      <c r="E3394" s="16"/>
      <c r="F3394" s="16"/>
      <c r="H3394" s="16"/>
      <c r="AG3394" s="80"/>
      <c r="AH3394" s="80"/>
      <c r="AI3394" s="80"/>
    </row>
    <row r="3395" spans="5:35" x14ac:dyDescent="0.25">
      <c r="E3395" s="16"/>
      <c r="F3395" s="16"/>
      <c r="H3395" s="16"/>
      <c r="AG3395" s="80"/>
      <c r="AH3395" s="80"/>
      <c r="AI3395" s="80"/>
    </row>
    <row r="3396" spans="5:35" x14ac:dyDescent="0.25">
      <c r="E3396" s="16"/>
      <c r="F3396" s="16"/>
      <c r="H3396" s="16"/>
      <c r="AG3396" s="80"/>
      <c r="AH3396" s="80"/>
      <c r="AI3396" s="80"/>
    </row>
    <row r="3397" spans="5:35" x14ac:dyDescent="0.25">
      <c r="E3397" s="16"/>
      <c r="F3397" s="16"/>
      <c r="H3397" s="16"/>
      <c r="AG3397" s="80"/>
      <c r="AH3397" s="80"/>
      <c r="AI3397" s="80"/>
    </row>
    <row r="3398" spans="5:35" x14ac:dyDescent="0.25">
      <c r="E3398" s="16"/>
      <c r="F3398" s="16"/>
      <c r="H3398" s="16"/>
      <c r="AG3398" s="80"/>
      <c r="AH3398" s="80"/>
      <c r="AI3398" s="80"/>
    </row>
    <row r="3399" spans="5:35" x14ac:dyDescent="0.25">
      <c r="E3399" s="16"/>
      <c r="F3399" s="16"/>
      <c r="H3399" s="16"/>
      <c r="AG3399" s="80"/>
      <c r="AH3399" s="80"/>
      <c r="AI3399" s="80"/>
    </row>
    <row r="3400" spans="5:35" x14ac:dyDescent="0.25">
      <c r="E3400" s="16"/>
      <c r="F3400" s="16"/>
      <c r="H3400" s="16"/>
      <c r="AG3400" s="80"/>
      <c r="AH3400" s="80"/>
      <c r="AI3400" s="80"/>
    </row>
    <row r="3401" spans="5:35" x14ac:dyDescent="0.25">
      <c r="E3401" s="16"/>
      <c r="F3401" s="16"/>
      <c r="H3401" s="16"/>
      <c r="AG3401" s="80"/>
      <c r="AH3401" s="80"/>
      <c r="AI3401" s="80"/>
    </row>
    <row r="3402" spans="5:35" x14ac:dyDescent="0.25">
      <c r="E3402" s="16"/>
      <c r="F3402" s="16"/>
      <c r="H3402" s="16"/>
      <c r="AG3402" s="80"/>
      <c r="AH3402" s="80"/>
      <c r="AI3402" s="80"/>
    </row>
    <row r="3403" spans="5:35" x14ac:dyDescent="0.25">
      <c r="E3403" s="16"/>
      <c r="F3403" s="16"/>
      <c r="H3403" s="16"/>
      <c r="AG3403" s="80"/>
      <c r="AH3403" s="80"/>
      <c r="AI3403" s="80"/>
    </row>
    <row r="3404" spans="5:35" x14ac:dyDescent="0.25">
      <c r="E3404" s="16"/>
      <c r="F3404" s="16"/>
      <c r="H3404" s="16"/>
      <c r="AG3404" s="80"/>
      <c r="AH3404" s="80"/>
      <c r="AI3404" s="80"/>
    </row>
    <row r="3405" spans="5:35" x14ac:dyDescent="0.25">
      <c r="E3405" s="16"/>
      <c r="F3405" s="16"/>
      <c r="H3405" s="16"/>
      <c r="AG3405" s="80"/>
      <c r="AH3405" s="80"/>
      <c r="AI3405" s="80"/>
    </row>
    <row r="3406" spans="5:35" x14ac:dyDescent="0.25">
      <c r="E3406" s="16"/>
      <c r="F3406" s="16"/>
      <c r="H3406" s="16"/>
      <c r="AG3406" s="80"/>
      <c r="AH3406" s="80"/>
      <c r="AI3406" s="80"/>
    </row>
    <row r="3407" spans="5:35" x14ac:dyDescent="0.25">
      <c r="E3407" s="16"/>
      <c r="F3407" s="16"/>
      <c r="H3407" s="16"/>
      <c r="AG3407" s="80"/>
      <c r="AH3407" s="80"/>
      <c r="AI3407" s="80"/>
    </row>
    <row r="3408" spans="5:35" x14ac:dyDescent="0.25">
      <c r="E3408" s="16"/>
      <c r="F3408" s="16"/>
      <c r="H3408" s="16"/>
      <c r="AG3408" s="80"/>
      <c r="AH3408" s="80"/>
      <c r="AI3408" s="80"/>
    </row>
    <row r="3409" spans="5:35" x14ac:dyDescent="0.25">
      <c r="E3409" s="16"/>
      <c r="F3409" s="16"/>
      <c r="H3409" s="16"/>
      <c r="AG3409" s="80"/>
      <c r="AH3409" s="80"/>
      <c r="AI3409" s="80"/>
    </row>
    <row r="3410" spans="5:35" x14ac:dyDescent="0.25">
      <c r="E3410" s="16"/>
      <c r="F3410" s="16"/>
      <c r="H3410" s="16"/>
      <c r="AG3410" s="80"/>
      <c r="AH3410" s="80"/>
      <c r="AI3410" s="80"/>
    </row>
    <row r="3411" spans="5:35" x14ac:dyDescent="0.25">
      <c r="E3411" s="16"/>
      <c r="F3411" s="16"/>
      <c r="H3411" s="16"/>
      <c r="AG3411" s="80"/>
      <c r="AH3411" s="80"/>
      <c r="AI3411" s="80"/>
    </row>
    <row r="3412" spans="5:35" x14ac:dyDescent="0.25">
      <c r="E3412" s="16"/>
      <c r="F3412" s="16"/>
      <c r="H3412" s="16"/>
      <c r="AG3412" s="80"/>
      <c r="AH3412" s="80"/>
      <c r="AI3412" s="80"/>
    </row>
    <row r="3413" spans="5:35" x14ac:dyDescent="0.25">
      <c r="E3413" s="16"/>
      <c r="F3413" s="16"/>
      <c r="H3413" s="16"/>
      <c r="AG3413" s="80"/>
      <c r="AH3413" s="80"/>
      <c r="AI3413" s="80"/>
    </row>
    <row r="3414" spans="5:35" x14ac:dyDescent="0.25">
      <c r="E3414" s="16"/>
      <c r="F3414" s="16"/>
      <c r="H3414" s="16"/>
      <c r="AG3414" s="80"/>
      <c r="AH3414" s="80"/>
      <c r="AI3414" s="80"/>
    </row>
    <row r="3415" spans="5:35" x14ac:dyDescent="0.25">
      <c r="E3415" s="16"/>
      <c r="F3415" s="16"/>
      <c r="H3415" s="16"/>
      <c r="AG3415" s="80"/>
      <c r="AH3415" s="80"/>
      <c r="AI3415" s="80"/>
    </row>
    <row r="3416" spans="5:35" x14ac:dyDescent="0.25">
      <c r="E3416" s="16"/>
      <c r="F3416" s="16"/>
      <c r="H3416" s="16"/>
      <c r="AG3416" s="80"/>
      <c r="AH3416" s="80"/>
      <c r="AI3416" s="80"/>
    </row>
    <row r="3417" spans="5:35" x14ac:dyDescent="0.25">
      <c r="E3417" s="16"/>
      <c r="F3417" s="16"/>
      <c r="H3417" s="16"/>
      <c r="AG3417" s="80"/>
      <c r="AH3417" s="80"/>
      <c r="AI3417" s="80"/>
    </row>
    <row r="3418" spans="5:35" x14ac:dyDescent="0.25">
      <c r="E3418" s="16"/>
      <c r="F3418" s="16"/>
      <c r="H3418" s="16"/>
      <c r="AG3418" s="80"/>
      <c r="AH3418" s="80"/>
      <c r="AI3418" s="80"/>
    </row>
    <row r="3419" spans="5:35" x14ac:dyDescent="0.25">
      <c r="E3419" s="16"/>
      <c r="F3419" s="16"/>
      <c r="H3419" s="16"/>
      <c r="AG3419" s="80"/>
      <c r="AH3419" s="80"/>
      <c r="AI3419" s="80"/>
    </row>
    <row r="3420" spans="5:35" x14ac:dyDescent="0.25">
      <c r="E3420" s="16"/>
      <c r="F3420" s="16"/>
      <c r="H3420" s="16"/>
      <c r="AG3420" s="80"/>
      <c r="AH3420" s="80"/>
      <c r="AI3420" s="80"/>
    </row>
    <row r="3421" spans="5:35" x14ac:dyDescent="0.25">
      <c r="E3421" s="16"/>
      <c r="F3421" s="16"/>
      <c r="H3421" s="16"/>
      <c r="AG3421" s="80"/>
      <c r="AH3421" s="80"/>
      <c r="AI3421" s="80"/>
    </row>
    <row r="3422" spans="5:35" x14ac:dyDescent="0.25">
      <c r="E3422" s="16"/>
      <c r="F3422" s="16"/>
      <c r="H3422" s="16"/>
      <c r="AG3422" s="80"/>
      <c r="AH3422" s="80"/>
      <c r="AI3422" s="80"/>
    </row>
    <row r="3423" spans="5:35" x14ac:dyDescent="0.25">
      <c r="E3423" s="16"/>
      <c r="F3423" s="16"/>
      <c r="H3423" s="16"/>
      <c r="AG3423" s="80"/>
      <c r="AH3423" s="80"/>
      <c r="AI3423" s="80"/>
    </row>
    <row r="3424" spans="5:35" x14ac:dyDescent="0.25">
      <c r="E3424" s="16"/>
      <c r="F3424" s="16"/>
      <c r="H3424" s="16"/>
      <c r="AG3424" s="80"/>
      <c r="AH3424" s="80"/>
      <c r="AI3424" s="80"/>
    </row>
    <row r="3425" spans="5:35" x14ac:dyDescent="0.25">
      <c r="E3425" s="16"/>
      <c r="F3425" s="16"/>
      <c r="H3425" s="16"/>
      <c r="AG3425" s="80"/>
      <c r="AH3425" s="80"/>
      <c r="AI3425" s="80"/>
    </row>
    <row r="3426" spans="5:35" x14ac:dyDescent="0.25">
      <c r="E3426" s="16"/>
      <c r="F3426" s="16"/>
      <c r="H3426" s="16"/>
      <c r="AG3426" s="80"/>
      <c r="AH3426" s="80"/>
      <c r="AI3426" s="80"/>
    </row>
    <row r="3427" spans="5:35" x14ac:dyDescent="0.25">
      <c r="E3427" s="16"/>
      <c r="F3427" s="16"/>
      <c r="H3427" s="16"/>
      <c r="AG3427" s="80"/>
      <c r="AH3427" s="80"/>
      <c r="AI3427" s="80"/>
    </row>
    <row r="3428" spans="5:35" x14ac:dyDescent="0.25">
      <c r="E3428" s="16"/>
      <c r="F3428" s="16"/>
      <c r="H3428" s="16"/>
      <c r="AG3428" s="80"/>
      <c r="AH3428" s="80"/>
      <c r="AI3428" s="80"/>
    </row>
    <row r="3429" spans="5:35" x14ac:dyDescent="0.25">
      <c r="E3429" s="16"/>
      <c r="F3429" s="16"/>
      <c r="H3429" s="16"/>
      <c r="AG3429" s="80"/>
      <c r="AH3429" s="80"/>
      <c r="AI3429" s="80"/>
    </row>
    <row r="3430" spans="5:35" x14ac:dyDescent="0.25">
      <c r="E3430" s="16"/>
      <c r="F3430" s="16"/>
      <c r="H3430" s="16"/>
      <c r="AG3430" s="80"/>
      <c r="AH3430" s="80"/>
      <c r="AI3430" s="80"/>
    </row>
    <row r="3431" spans="5:35" x14ac:dyDescent="0.25">
      <c r="E3431" s="16"/>
      <c r="F3431" s="16"/>
      <c r="H3431" s="16"/>
      <c r="AG3431" s="80"/>
      <c r="AH3431" s="80"/>
      <c r="AI3431" s="80"/>
    </row>
    <row r="3432" spans="5:35" x14ac:dyDescent="0.25">
      <c r="E3432" s="16"/>
      <c r="F3432" s="16"/>
      <c r="H3432" s="16"/>
      <c r="AG3432" s="80"/>
      <c r="AH3432" s="80"/>
      <c r="AI3432" s="80"/>
    </row>
    <row r="3433" spans="5:35" x14ac:dyDescent="0.25">
      <c r="E3433" s="16"/>
      <c r="F3433" s="16"/>
      <c r="H3433" s="16"/>
      <c r="AG3433" s="80"/>
      <c r="AH3433" s="80"/>
      <c r="AI3433" s="80"/>
    </row>
    <row r="3434" spans="5:35" x14ac:dyDescent="0.25">
      <c r="E3434" s="16"/>
      <c r="F3434" s="16"/>
      <c r="H3434" s="16"/>
      <c r="AG3434" s="80"/>
      <c r="AH3434" s="80"/>
      <c r="AI3434" s="80"/>
    </row>
    <row r="3435" spans="5:35" x14ac:dyDescent="0.25">
      <c r="E3435" s="16"/>
      <c r="F3435" s="16"/>
      <c r="H3435" s="16"/>
      <c r="AG3435" s="80"/>
      <c r="AH3435" s="80"/>
      <c r="AI3435" s="80"/>
    </row>
    <row r="3436" spans="5:35" x14ac:dyDescent="0.25">
      <c r="E3436" s="16"/>
      <c r="F3436" s="16"/>
      <c r="H3436" s="16"/>
      <c r="AG3436" s="80"/>
      <c r="AH3436" s="80"/>
      <c r="AI3436" s="80"/>
    </row>
    <row r="3437" spans="5:35" x14ac:dyDescent="0.25">
      <c r="E3437" s="16"/>
      <c r="F3437" s="16"/>
      <c r="H3437" s="16"/>
      <c r="AG3437" s="80"/>
      <c r="AH3437" s="80"/>
      <c r="AI3437" s="80"/>
    </row>
    <row r="3438" spans="5:35" x14ac:dyDescent="0.25">
      <c r="E3438" s="16"/>
      <c r="F3438" s="16"/>
      <c r="H3438" s="16"/>
      <c r="AG3438" s="80"/>
      <c r="AH3438" s="80"/>
      <c r="AI3438" s="80"/>
    </row>
    <row r="3439" spans="5:35" x14ac:dyDescent="0.25">
      <c r="E3439" s="16"/>
      <c r="F3439" s="16"/>
      <c r="H3439" s="16"/>
      <c r="AG3439" s="80"/>
      <c r="AH3439" s="80"/>
      <c r="AI3439" s="80"/>
    </row>
    <row r="3440" spans="5:35" x14ac:dyDescent="0.25">
      <c r="E3440" s="16"/>
      <c r="F3440" s="16"/>
      <c r="H3440" s="16"/>
      <c r="AG3440" s="80"/>
      <c r="AH3440" s="80"/>
      <c r="AI3440" s="80"/>
    </row>
    <row r="3441" spans="5:35" x14ac:dyDescent="0.25">
      <c r="E3441" s="16"/>
      <c r="F3441" s="16"/>
      <c r="H3441" s="16"/>
      <c r="AG3441" s="80"/>
      <c r="AH3441" s="80"/>
      <c r="AI3441" s="80"/>
    </row>
    <row r="3442" spans="5:35" x14ac:dyDescent="0.25">
      <c r="E3442" s="16"/>
      <c r="F3442" s="16"/>
      <c r="H3442" s="16"/>
      <c r="AG3442" s="80"/>
      <c r="AH3442" s="80"/>
      <c r="AI3442" s="80"/>
    </row>
    <row r="3443" spans="5:35" x14ac:dyDescent="0.25">
      <c r="E3443" s="16"/>
      <c r="F3443" s="16"/>
      <c r="H3443" s="16"/>
      <c r="AG3443" s="80"/>
      <c r="AH3443" s="80"/>
      <c r="AI3443" s="80"/>
    </row>
    <row r="3444" spans="5:35" x14ac:dyDescent="0.25">
      <c r="E3444" s="16"/>
      <c r="F3444" s="16"/>
      <c r="H3444" s="16"/>
      <c r="AG3444" s="80"/>
      <c r="AH3444" s="80"/>
      <c r="AI3444" s="80"/>
    </row>
    <row r="3445" spans="5:35" x14ac:dyDescent="0.25">
      <c r="E3445" s="16"/>
      <c r="F3445" s="16"/>
      <c r="H3445" s="16"/>
      <c r="AG3445" s="80"/>
      <c r="AH3445" s="80"/>
      <c r="AI3445" s="80"/>
    </row>
    <row r="3446" spans="5:35" x14ac:dyDescent="0.25">
      <c r="E3446" s="16"/>
      <c r="F3446" s="16"/>
      <c r="H3446" s="16"/>
      <c r="AG3446" s="80"/>
      <c r="AH3446" s="80"/>
      <c r="AI3446" s="80"/>
    </row>
    <row r="3447" spans="5:35" x14ac:dyDescent="0.25">
      <c r="E3447" s="16"/>
      <c r="F3447" s="16"/>
      <c r="H3447" s="16"/>
      <c r="AG3447" s="80"/>
      <c r="AH3447" s="80"/>
      <c r="AI3447" s="80"/>
    </row>
    <row r="3448" spans="5:35" x14ac:dyDescent="0.25">
      <c r="E3448" s="16"/>
      <c r="F3448" s="16"/>
      <c r="H3448" s="16"/>
      <c r="AG3448" s="80"/>
      <c r="AH3448" s="80"/>
      <c r="AI3448" s="80"/>
    </row>
    <row r="3449" spans="5:35" x14ac:dyDescent="0.25">
      <c r="E3449" s="16"/>
      <c r="F3449" s="16"/>
      <c r="H3449" s="16"/>
      <c r="AG3449" s="80"/>
      <c r="AH3449" s="80"/>
      <c r="AI3449" s="80"/>
    </row>
    <row r="3450" spans="5:35" x14ac:dyDescent="0.25">
      <c r="E3450" s="16"/>
      <c r="F3450" s="16"/>
      <c r="H3450" s="16"/>
      <c r="AG3450" s="80"/>
      <c r="AH3450" s="80"/>
      <c r="AI3450" s="80"/>
    </row>
    <row r="3451" spans="5:35" x14ac:dyDescent="0.25">
      <c r="E3451" s="16"/>
      <c r="F3451" s="16"/>
      <c r="H3451" s="16"/>
      <c r="AG3451" s="80"/>
      <c r="AH3451" s="80"/>
      <c r="AI3451" s="80"/>
    </row>
    <row r="3452" spans="5:35" x14ac:dyDescent="0.25">
      <c r="E3452" s="16"/>
      <c r="F3452" s="16"/>
      <c r="H3452" s="16"/>
      <c r="AG3452" s="80"/>
      <c r="AH3452" s="80"/>
      <c r="AI3452" s="80"/>
    </row>
    <row r="3453" spans="5:35" x14ac:dyDescent="0.25">
      <c r="E3453" s="16"/>
      <c r="F3453" s="16"/>
      <c r="H3453" s="16"/>
      <c r="AG3453" s="80"/>
      <c r="AH3453" s="80"/>
      <c r="AI3453" s="80"/>
    </row>
    <row r="3454" spans="5:35" x14ac:dyDescent="0.25">
      <c r="E3454" s="16"/>
      <c r="F3454" s="16"/>
      <c r="H3454" s="16"/>
      <c r="AG3454" s="80"/>
      <c r="AH3454" s="80"/>
      <c r="AI3454" s="80"/>
    </row>
    <row r="3455" spans="5:35" x14ac:dyDescent="0.25">
      <c r="E3455" s="16"/>
      <c r="F3455" s="16"/>
      <c r="H3455" s="16"/>
      <c r="AG3455" s="80"/>
      <c r="AH3455" s="80"/>
      <c r="AI3455" s="80"/>
    </row>
    <row r="3456" spans="5:35" x14ac:dyDescent="0.25">
      <c r="E3456" s="16"/>
      <c r="F3456" s="16"/>
      <c r="H3456" s="16"/>
      <c r="AG3456" s="80"/>
      <c r="AH3456" s="80"/>
      <c r="AI3456" s="80"/>
    </row>
    <row r="3457" spans="5:35" x14ac:dyDescent="0.25">
      <c r="E3457" s="16"/>
      <c r="F3457" s="16"/>
      <c r="H3457" s="16"/>
      <c r="AG3457" s="80"/>
      <c r="AH3457" s="80"/>
      <c r="AI3457" s="80"/>
    </row>
    <row r="3458" spans="5:35" x14ac:dyDescent="0.25">
      <c r="E3458" s="16"/>
      <c r="F3458" s="16"/>
      <c r="H3458" s="16"/>
      <c r="AG3458" s="80"/>
      <c r="AH3458" s="80"/>
      <c r="AI3458" s="80"/>
    </row>
    <row r="3459" spans="5:35" x14ac:dyDescent="0.25">
      <c r="E3459" s="16"/>
      <c r="F3459" s="16"/>
      <c r="H3459" s="16"/>
      <c r="AG3459" s="80"/>
      <c r="AH3459" s="80"/>
      <c r="AI3459" s="80"/>
    </row>
    <row r="3460" spans="5:35" x14ac:dyDescent="0.25">
      <c r="E3460" s="16"/>
      <c r="F3460" s="16"/>
      <c r="H3460" s="16"/>
      <c r="AG3460" s="80"/>
      <c r="AH3460" s="80"/>
      <c r="AI3460" s="80"/>
    </row>
    <row r="3461" spans="5:35" x14ac:dyDescent="0.25">
      <c r="E3461" s="16"/>
      <c r="F3461" s="16"/>
      <c r="H3461" s="16"/>
      <c r="AG3461" s="80"/>
      <c r="AH3461" s="80"/>
      <c r="AI3461" s="80"/>
    </row>
    <row r="3462" spans="5:35" x14ac:dyDescent="0.25">
      <c r="E3462" s="16"/>
      <c r="F3462" s="16"/>
      <c r="H3462" s="16"/>
      <c r="AG3462" s="80"/>
      <c r="AH3462" s="80"/>
      <c r="AI3462" s="80"/>
    </row>
    <row r="3463" spans="5:35" x14ac:dyDescent="0.25">
      <c r="E3463" s="16"/>
      <c r="F3463" s="16"/>
      <c r="H3463" s="16"/>
      <c r="AG3463" s="80"/>
      <c r="AH3463" s="80"/>
      <c r="AI3463" s="80"/>
    </row>
    <row r="3464" spans="5:35" x14ac:dyDescent="0.25">
      <c r="E3464" s="16"/>
      <c r="F3464" s="16"/>
      <c r="H3464" s="16"/>
      <c r="AG3464" s="80"/>
      <c r="AH3464" s="80"/>
      <c r="AI3464" s="80"/>
    </row>
    <row r="3465" spans="5:35" x14ac:dyDescent="0.25">
      <c r="E3465" s="16"/>
      <c r="F3465" s="16"/>
      <c r="H3465" s="16"/>
      <c r="AG3465" s="80"/>
      <c r="AH3465" s="80"/>
      <c r="AI3465" s="80"/>
    </row>
    <row r="3466" spans="5:35" x14ac:dyDescent="0.25">
      <c r="E3466" s="16"/>
      <c r="F3466" s="16"/>
      <c r="H3466" s="16"/>
      <c r="AG3466" s="80"/>
      <c r="AH3466" s="80"/>
      <c r="AI3466" s="80"/>
    </row>
    <row r="3467" spans="5:35" x14ac:dyDescent="0.25">
      <c r="E3467" s="16"/>
      <c r="F3467" s="16"/>
      <c r="H3467" s="16"/>
      <c r="AG3467" s="80"/>
      <c r="AH3467" s="80"/>
      <c r="AI3467" s="80"/>
    </row>
    <row r="3468" spans="5:35" x14ac:dyDescent="0.25">
      <c r="E3468" s="16"/>
      <c r="F3468" s="16"/>
      <c r="H3468" s="16"/>
      <c r="AG3468" s="80"/>
      <c r="AH3468" s="80"/>
      <c r="AI3468" s="80"/>
    </row>
    <row r="3469" spans="5:35" x14ac:dyDescent="0.25">
      <c r="E3469" s="16"/>
      <c r="F3469" s="16"/>
      <c r="H3469" s="16"/>
      <c r="AG3469" s="80"/>
      <c r="AH3469" s="80"/>
      <c r="AI3469" s="80"/>
    </row>
    <row r="3470" spans="5:35" x14ac:dyDescent="0.25">
      <c r="E3470" s="16"/>
      <c r="F3470" s="16"/>
      <c r="H3470" s="16"/>
      <c r="AG3470" s="80"/>
      <c r="AH3470" s="80"/>
      <c r="AI3470" s="80"/>
    </row>
    <row r="3471" spans="5:35" x14ac:dyDescent="0.25">
      <c r="E3471" s="16"/>
      <c r="F3471" s="16"/>
      <c r="H3471" s="16"/>
      <c r="AG3471" s="80"/>
      <c r="AH3471" s="80"/>
      <c r="AI3471" s="80"/>
    </row>
    <row r="3472" spans="5:35" x14ac:dyDescent="0.25">
      <c r="E3472" s="16"/>
      <c r="F3472" s="16"/>
      <c r="H3472" s="16"/>
      <c r="AG3472" s="80"/>
      <c r="AH3472" s="80"/>
      <c r="AI3472" s="80"/>
    </row>
    <row r="3473" spans="5:35" x14ac:dyDescent="0.25">
      <c r="E3473" s="16"/>
      <c r="F3473" s="16"/>
      <c r="H3473" s="16"/>
      <c r="AG3473" s="80"/>
      <c r="AH3473" s="80"/>
      <c r="AI3473" s="80"/>
    </row>
    <row r="3474" spans="5:35" x14ac:dyDescent="0.25">
      <c r="E3474" s="16"/>
      <c r="F3474" s="16"/>
      <c r="H3474" s="16"/>
      <c r="AG3474" s="80"/>
      <c r="AH3474" s="80"/>
      <c r="AI3474" s="80"/>
    </row>
    <row r="3475" spans="5:35" x14ac:dyDescent="0.25">
      <c r="E3475" s="16"/>
      <c r="F3475" s="16"/>
      <c r="H3475" s="16"/>
      <c r="AG3475" s="80"/>
      <c r="AH3475" s="80"/>
      <c r="AI3475" s="80"/>
    </row>
    <row r="3476" spans="5:35" x14ac:dyDescent="0.25">
      <c r="E3476" s="16"/>
      <c r="F3476" s="16"/>
      <c r="H3476" s="16"/>
      <c r="AG3476" s="80"/>
      <c r="AH3476" s="80"/>
      <c r="AI3476" s="80"/>
    </row>
    <row r="3477" spans="5:35" x14ac:dyDescent="0.25">
      <c r="E3477" s="16"/>
      <c r="F3477" s="16"/>
      <c r="H3477" s="16"/>
      <c r="AG3477" s="80"/>
      <c r="AH3477" s="80"/>
      <c r="AI3477" s="80"/>
    </row>
    <row r="3478" spans="5:35" x14ac:dyDescent="0.25">
      <c r="E3478" s="16"/>
      <c r="F3478" s="16"/>
      <c r="H3478" s="16"/>
      <c r="AG3478" s="80"/>
      <c r="AH3478" s="80"/>
      <c r="AI3478" s="80"/>
    </row>
    <row r="3479" spans="5:35" x14ac:dyDescent="0.25">
      <c r="E3479" s="16"/>
      <c r="F3479" s="16"/>
      <c r="H3479" s="16"/>
      <c r="AG3479" s="80"/>
      <c r="AH3479" s="80"/>
      <c r="AI3479" s="80"/>
    </row>
    <row r="3480" spans="5:35" x14ac:dyDescent="0.25">
      <c r="E3480" s="16"/>
      <c r="F3480" s="16"/>
      <c r="H3480" s="16"/>
      <c r="AG3480" s="80"/>
      <c r="AH3480" s="80"/>
      <c r="AI3480" s="80"/>
    </row>
    <row r="3481" spans="5:35" x14ac:dyDescent="0.25">
      <c r="E3481" s="16"/>
      <c r="F3481" s="16"/>
      <c r="H3481" s="16"/>
      <c r="AG3481" s="80"/>
      <c r="AH3481" s="80"/>
      <c r="AI3481" s="80"/>
    </row>
    <row r="3482" spans="5:35" x14ac:dyDescent="0.25">
      <c r="E3482" s="16"/>
      <c r="F3482" s="16"/>
      <c r="H3482" s="16"/>
      <c r="AG3482" s="80"/>
      <c r="AH3482" s="80"/>
      <c r="AI3482" s="80"/>
    </row>
    <row r="3483" spans="5:35" x14ac:dyDescent="0.25">
      <c r="E3483" s="16"/>
      <c r="F3483" s="16"/>
      <c r="H3483" s="16"/>
      <c r="AG3483" s="80"/>
      <c r="AH3483" s="80"/>
      <c r="AI3483" s="80"/>
    </row>
    <row r="3484" spans="5:35" x14ac:dyDescent="0.25">
      <c r="E3484" s="16"/>
      <c r="F3484" s="16"/>
      <c r="H3484" s="16"/>
      <c r="AG3484" s="80"/>
      <c r="AH3484" s="80"/>
      <c r="AI3484" s="80"/>
    </row>
    <row r="3485" spans="5:35" x14ac:dyDescent="0.25">
      <c r="E3485" s="16"/>
      <c r="F3485" s="16"/>
      <c r="H3485" s="16"/>
      <c r="AG3485" s="80"/>
      <c r="AH3485" s="80"/>
      <c r="AI3485" s="80"/>
    </row>
    <row r="3486" spans="5:35" x14ac:dyDescent="0.25">
      <c r="E3486" s="16"/>
      <c r="F3486" s="16"/>
      <c r="H3486" s="16"/>
      <c r="AG3486" s="80"/>
      <c r="AH3486" s="80"/>
      <c r="AI3486" s="80"/>
    </row>
    <row r="3487" spans="5:35" x14ac:dyDescent="0.25">
      <c r="E3487" s="16"/>
      <c r="F3487" s="16"/>
      <c r="H3487" s="16"/>
      <c r="AG3487" s="80"/>
      <c r="AH3487" s="80"/>
      <c r="AI3487" s="80"/>
    </row>
    <row r="3488" spans="5:35" x14ac:dyDescent="0.25">
      <c r="E3488" s="16"/>
      <c r="F3488" s="16"/>
      <c r="H3488" s="16"/>
      <c r="AG3488" s="80"/>
      <c r="AH3488" s="80"/>
      <c r="AI3488" s="80"/>
    </row>
    <row r="3489" spans="5:35" x14ac:dyDescent="0.25">
      <c r="E3489" s="16"/>
      <c r="F3489" s="16"/>
      <c r="H3489" s="16"/>
      <c r="AG3489" s="80"/>
      <c r="AH3489" s="80"/>
      <c r="AI3489" s="80"/>
    </row>
    <row r="3490" spans="5:35" x14ac:dyDescent="0.25">
      <c r="E3490" s="16"/>
      <c r="F3490" s="16"/>
      <c r="H3490" s="16"/>
      <c r="AG3490" s="80"/>
      <c r="AH3490" s="80"/>
      <c r="AI3490" s="80"/>
    </row>
    <row r="3491" spans="5:35" x14ac:dyDescent="0.25">
      <c r="E3491" s="16"/>
      <c r="F3491" s="16"/>
      <c r="H3491" s="16"/>
      <c r="AG3491" s="80"/>
      <c r="AH3491" s="80"/>
      <c r="AI3491" s="80"/>
    </row>
    <row r="3492" spans="5:35" x14ac:dyDescent="0.25">
      <c r="E3492" s="16"/>
      <c r="F3492" s="16"/>
      <c r="H3492" s="16"/>
      <c r="AG3492" s="80"/>
      <c r="AH3492" s="80"/>
      <c r="AI3492" s="80"/>
    </row>
    <row r="3493" spans="5:35" x14ac:dyDescent="0.25">
      <c r="E3493" s="16"/>
      <c r="F3493" s="16"/>
      <c r="H3493" s="16"/>
      <c r="AG3493" s="80"/>
      <c r="AH3493" s="80"/>
      <c r="AI3493" s="80"/>
    </row>
    <row r="3494" spans="5:35" x14ac:dyDescent="0.25">
      <c r="E3494" s="16"/>
      <c r="F3494" s="16"/>
      <c r="H3494" s="16"/>
      <c r="AG3494" s="80"/>
      <c r="AH3494" s="80"/>
      <c r="AI3494" s="80"/>
    </row>
    <row r="3495" spans="5:35" x14ac:dyDescent="0.25">
      <c r="E3495" s="16"/>
      <c r="F3495" s="16"/>
      <c r="H3495" s="16"/>
      <c r="AG3495" s="80"/>
      <c r="AH3495" s="80"/>
      <c r="AI3495" s="80"/>
    </row>
    <row r="3496" spans="5:35" x14ac:dyDescent="0.25">
      <c r="E3496" s="16"/>
      <c r="F3496" s="16"/>
      <c r="H3496" s="16"/>
      <c r="AG3496" s="80"/>
      <c r="AH3496" s="80"/>
      <c r="AI3496" s="80"/>
    </row>
    <row r="3497" spans="5:35" x14ac:dyDescent="0.25">
      <c r="E3497" s="16"/>
      <c r="F3497" s="16"/>
      <c r="H3497" s="16"/>
      <c r="AG3497" s="80"/>
      <c r="AH3497" s="80"/>
      <c r="AI3497" s="80"/>
    </row>
    <row r="3498" spans="5:35" x14ac:dyDescent="0.25">
      <c r="E3498" s="16"/>
      <c r="F3498" s="16"/>
      <c r="H3498" s="16"/>
      <c r="AG3498" s="80"/>
      <c r="AH3498" s="80"/>
      <c r="AI3498" s="80"/>
    </row>
    <row r="3499" spans="5:35" x14ac:dyDescent="0.25">
      <c r="E3499" s="16"/>
      <c r="F3499" s="16"/>
      <c r="H3499" s="16"/>
      <c r="AG3499" s="80"/>
      <c r="AH3499" s="80"/>
      <c r="AI3499" s="80"/>
    </row>
    <row r="3500" spans="5:35" x14ac:dyDescent="0.25">
      <c r="E3500" s="16"/>
      <c r="F3500" s="16"/>
      <c r="H3500" s="16"/>
      <c r="AG3500" s="80"/>
      <c r="AH3500" s="80"/>
      <c r="AI3500" s="80"/>
    </row>
    <row r="3501" spans="5:35" x14ac:dyDescent="0.25">
      <c r="E3501" s="16"/>
      <c r="F3501" s="16"/>
      <c r="H3501" s="16"/>
      <c r="AG3501" s="80"/>
      <c r="AH3501" s="80"/>
      <c r="AI3501" s="80"/>
    </row>
    <row r="3502" spans="5:35" x14ac:dyDescent="0.25">
      <c r="E3502" s="16"/>
      <c r="F3502" s="16"/>
      <c r="H3502" s="16"/>
      <c r="AG3502" s="80"/>
      <c r="AH3502" s="80"/>
      <c r="AI3502" s="80"/>
    </row>
    <row r="3503" spans="5:35" x14ac:dyDescent="0.25">
      <c r="E3503" s="16"/>
      <c r="F3503" s="16"/>
      <c r="H3503" s="16"/>
      <c r="AG3503" s="80"/>
      <c r="AH3503" s="80"/>
      <c r="AI3503" s="80"/>
    </row>
    <row r="3504" spans="5:35" x14ac:dyDescent="0.25">
      <c r="E3504" s="16"/>
      <c r="F3504" s="16"/>
      <c r="H3504" s="16"/>
      <c r="AG3504" s="80"/>
      <c r="AH3504" s="80"/>
      <c r="AI3504" s="80"/>
    </row>
    <row r="3505" spans="5:35" x14ac:dyDescent="0.25">
      <c r="E3505" s="16"/>
      <c r="F3505" s="16"/>
      <c r="H3505" s="16"/>
      <c r="AG3505" s="80"/>
      <c r="AH3505" s="80"/>
      <c r="AI3505" s="80"/>
    </row>
    <row r="3506" spans="5:35" x14ac:dyDescent="0.25">
      <c r="E3506" s="16"/>
      <c r="F3506" s="16"/>
      <c r="H3506" s="16"/>
      <c r="AG3506" s="80"/>
      <c r="AH3506" s="80"/>
      <c r="AI3506" s="80"/>
    </row>
    <row r="3507" spans="5:35" x14ac:dyDescent="0.25">
      <c r="E3507" s="16"/>
      <c r="F3507" s="16"/>
      <c r="H3507" s="16"/>
      <c r="AG3507" s="80"/>
      <c r="AH3507" s="80"/>
      <c r="AI3507" s="80"/>
    </row>
    <row r="3508" spans="5:35" x14ac:dyDescent="0.25">
      <c r="E3508" s="16"/>
      <c r="F3508" s="16"/>
      <c r="H3508" s="16"/>
      <c r="AG3508" s="80"/>
      <c r="AH3508" s="80"/>
      <c r="AI3508" s="80"/>
    </row>
    <row r="3509" spans="5:35" x14ac:dyDescent="0.25">
      <c r="E3509" s="16"/>
      <c r="F3509" s="16"/>
      <c r="H3509" s="16"/>
      <c r="AG3509" s="80"/>
      <c r="AH3509" s="80"/>
      <c r="AI3509" s="80"/>
    </row>
    <row r="3510" spans="5:35" x14ac:dyDescent="0.25">
      <c r="E3510" s="16"/>
      <c r="F3510" s="16"/>
      <c r="H3510" s="16"/>
      <c r="AG3510" s="80"/>
      <c r="AH3510" s="80"/>
      <c r="AI3510" s="80"/>
    </row>
    <row r="3511" spans="5:35" x14ac:dyDescent="0.25">
      <c r="E3511" s="16"/>
      <c r="F3511" s="16"/>
      <c r="H3511" s="16"/>
      <c r="AG3511" s="80"/>
      <c r="AH3511" s="80"/>
      <c r="AI3511" s="80"/>
    </row>
    <row r="3512" spans="5:35" x14ac:dyDescent="0.25">
      <c r="E3512" s="16"/>
      <c r="F3512" s="16"/>
      <c r="H3512" s="16"/>
      <c r="AG3512" s="80"/>
      <c r="AH3512" s="80"/>
      <c r="AI3512" s="80"/>
    </row>
    <row r="3513" spans="5:35" x14ac:dyDescent="0.25">
      <c r="E3513" s="16"/>
      <c r="F3513" s="16"/>
      <c r="H3513" s="16"/>
      <c r="AG3513" s="80"/>
      <c r="AH3513" s="80"/>
      <c r="AI3513" s="80"/>
    </row>
    <row r="3514" spans="5:35" x14ac:dyDescent="0.25">
      <c r="E3514" s="16"/>
      <c r="F3514" s="16"/>
      <c r="H3514" s="16"/>
      <c r="AG3514" s="80"/>
      <c r="AH3514" s="80"/>
      <c r="AI3514" s="80"/>
    </row>
    <row r="3515" spans="5:35" x14ac:dyDescent="0.25">
      <c r="E3515" s="16"/>
      <c r="F3515" s="16"/>
      <c r="H3515" s="16"/>
      <c r="AG3515" s="80"/>
      <c r="AH3515" s="80"/>
      <c r="AI3515" s="80"/>
    </row>
    <row r="3516" spans="5:35" x14ac:dyDescent="0.25">
      <c r="E3516" s="16"/>
      <c r="F3516" s="16"/>
      <c r="H3516" s="16"/>
      <c r="AG3516" s="80"/>
      <c r="AH3516" s="80"/>
      <c r="AI3516" s="80"/>
    </row>
    <row r="3517" spans="5:35" x14ac:dyDescent="0.25">
      <c r="E3517" s="16"/>
      <c r="F3517" s="16"/>
      <c r="H3517" s="16"/>
      <c r="AG3517" s="80"/>
      <c r="AH3517" s="80"/>
      <c r="AI3517" s="80"/>
    </row>
    <row r="3518" spans="5:35" x14ac:dyDescent="0.25">
      <c r="E3518" s="16"/>
      <c r="F3518" s="16"/>
      <c r="H3518" s="16"/>
      <c r="AG3518" s="80"/>
      <c r="AH3518" s="80"/>
      <c r="AI3518" s="80"/>
    </row>
    <row r="3519" spans="5:35" x14ac:dyDescent="0.25">
      <c r="E3519" s="16"/>
      <c r="F3519" s="16"/>
      <c r="H3519" s="16"/>
      <c r="AG3519" s="80"/>
      <c r="AH3519" s="80"/>
      <c r="AI3519" s="80"/>
    </row>
    <row r="3520" spans="5:35" x14ac:dyDescent="0.25">
      <c r="E3520" s="16"/>
      <c r="F3520" s="16"/>
      <c r="H3520" s="16"/>
      <c r="AG3520" s="80"/>
      <c r="AH3520" s="80"/>
      <c r="AI3520" s="80"/>
    </row>
    <row r="3521" spans="5:35" x14ac:dyDescent="0.25">
      <c r="E3521" s="16"/>
      <c r="F3521" s="16"/>
      <c r="H3521" s="16"/>
      <c r="AG3521" s="80"/>
      <c r="AH3521" s="80"/>
      <c r="AI3521" s="80"/>
    </row>
    <row r="3522" spans="5:35" x14ac:dyDescent="0.25">
      <c r="E3522" s="16"/>
      <c r="F3522" s="16"/>
      <c r="H3522" s="16"/>
      <c r="AG3522" s="80"/>
      <c r="AH3522" s="80"/>
      <c r="AI3522" s="80"/>
    </row>
    <row r="3523" spans="5:35" x14ac:dyDescent="0.25">
      <c r="E3523" s="16"/>
      <c r="F3523" s="16"/>
      <c r="H3523" s="16"/>
      <c r="AG3523" s="80"/>
      <c r="AH3523" s="80"/>
      <c r="AI3523" s="80"/>
    </row>
    <row r="3524" spans="5:35" x14ac:dyDescent="0.25">
      <c r="E3524" s="16"/>
      <c r="F3524" s="16"/>
      <c r="H3524" s="16"/>
      <c r="AG3524" s="80"/>
      <c r="AH3524" s="80"/>
      <c r="AI3524" s="80"/>
    </row>
    <row r="3525" spans="5:35" x14ac:dyDescent="0.25">
      <c r="E3525" s="16"/>
      <c r="F3525" s="16"/>
      <c r="H3525" s="16"/>
      <c r="AG3525" s="80"/>
      <c r="AH3525" s="80"/>
      <c r="AI3525" s="80"/>
    </row>
    <row r="3526" spans="5:35" x14ac:dyDescent="0.25">
      <c r="E3526" s="16"/>
      <c r="F3526" s="16"/>
      <c r="H3526" s="16"/>
      <c r="AG3526" s="80"/>
      <c r="AH3526" s="80"/>
      <c r="AI3526" s="80"/>
    </row>
    <row r="3527" spans="5:35" x14ac:dyDescent="0.25">
      <c r="E3527" s="16"/>
      <c r="F3527" s="16"/>
      <c r="H3527" s="16"/>
      <c r="AG3527" s="80"/>
      <c r="AH3527" s="80"/>
      <c r="AI3527" s="80"/>
    </row>
    <row r="3528" spans="5:35" x14ac:dyDescent="0.25">
      <c r="E3528" s="16"/>
      <c r="F3528" s="16"/>
      <c r="H3528" s="16"/>
      <c r="AG3528" s="80"/>
      <c r="AH3528" s="80"/>
      <c r="AI3528" s="80"/>
    </row>
    <row r="3529" spans="5:35" x14ac:dyDescent="0.25">
      <c r="E3529" s="16"/>
      <c r="F3529" s="16"/>
      <c r="H3529" s="16"/>
      <c r="AG3529" s="80"/>
      <c r="AH3529" s="80"/>
      <c r="AI3529" s="80"/>
    </row>
    <row r="3530" spans="5:35" x14ac:dyDescent="0.25">
      <c r="E3530" s="16"/>
      <c r="F3530" s="16"/>
      <c r="H3530" s="16"/>
      <c r="AG3530" s="80"/>
      <c r="AH3530" s="80"/>
      <c r="AI3530" s="80"/>
    </row>
    <row r="3531" spans="5:35" x14ac:dyDescent="0.25">
      <c r="E3531" s="16"/>
      <c r="F3531" s="16"/>
      <c r="H3531" s="16"/>
      <c r="AG3531" s="80"/>
      <c r="AH3531" s="80"/>
      <c r="AI3531" s="80"/>
    </row>
    <row r="3532" spans="5:35" x14ac:dyDescent="0.25">
      <c r="E3532" s="16"/>
      <c r="F3532" s="16"/>
      <c r="H3532" s="16"/>
      <c r="AG3532" s="80"/>
      <c r="AH3532" s="80"/>
      <c r="AI3532" s="80"/>
    </row>
    <row r="3533" spans="5:35" x14ac:dyDescent="0.25">
      <c r="E3533" s="16"/>
      <c r="F3533" s="16"/>
      <c r="H3533" s="16"/>
      <c r="AG3533" s="80"/>
      <c r="AH3533" s="80"/>
      <c r="AI3533" s="80"/>
    </row>
    <row r="3534" spans="5:35" x14ac:dyDescent="0.25">
      <c r="E3534" s="16"/>
      <c r="F3534" s="16"/>
      <c r="H3534" s="16"/>
      <c r="AG3534" s="80"/>
      <c r="AH3534" s="80"/>
      <c r="AI3534" s="80"/>
    </row>
    <row r="3535" spans="5:35" x14ac:dyDescent="0.25">
      <c r="E3535" s="16"/>
      <c r="F3535" s="16"/>
      <c r="H3535" s="16"/>
      <c r="AG3535" s="80"/>
      <c r="AH3535" s="80"/>
      <c r="AI3535" s="80"/>
    </row>
    <row r="3536" spans="5:35" x14ac:dyDescent="0.25">
      <c r="E3536" s="16"/>
      <c r="F3536" s="16"/>
      <c r="H3536" s="16"/>
      <c r="AG3536" s="80"/>
      <c r="AH3536" s="80"/>
      <c r="AI3536" s="80"/>
    </row>
    <row r="3537" spans="5:35" x14ac:dyDescent="0.25">
      <c r="E3537" s="16"/>
      <c r="F3537" s="16"/>
      <c r="H3537" s="16"/>
      <c r="AG3537" s="80"/>
      <c r="AH3537" s="80"/>
      <c r="AI3537" s="80"/>
    </row>
    <row r="3538" spans="5:35" x14ac:dyDescent="0.25">
      <c r="E3538" s="16"/>
      <c r="F3538" s="16"/>
      <c r="H3538" s="16"/>
      <c r="AG3538" s="80"/>
      <c r="AH3538" s="80"/>
      <c r="AI3538" s="80"/>
    </row>
    <row r="3539" spans="5:35" x14ac:dyDescent="0.25">
      <c r="E3539" s="16"/>
      <c r="F3539" s="16"/>
      <c r="H3539" s="16"/>
      <c r="AG3539" s="80"/>
      <c r="AH3539" s="80"/>
      <c r="AI3539" s="80"/>
    </row>
    <row r="3540" spans="5:35" x14ac:dyDescent="0.25">
      <c r="E3540" s="16"/>
      <c r="F3540" s="16"/>
      <c r="H3540" s="16"/>
      <c r="AG3540" s="80"/>
      <c r="AH3540" s="80"/>
      <c r="AI3540" s="80"/>
    </row>
    <row r="3541" spans="5:35" x14ac:dyDescent="0.25">
      <c r="E3541" s="16"/>
      <c r="F3541" s="16"/>
      <c r="H3541" s="16"/>
      <c r="AG3541" s="80"/>
      <c r="AH3541" s="80"/>
      <c r="AI3541" s="80"/>
    </row>
    <row r="3542" spans="5:35" x14ac:dyDescent="0.25">
      <c r="E3542" s="16"/>
      <c r="F3542" s="16"/>
      <c r="H3542" s="16"/>
      <c r="AG3542" s="80"/>
      <c r="AH3542" s="80"/>
      <c r="AI3542" s="80"/>
    </row>
    <row r="3543" spans="5:35" x14ac:dyDescent="0.25">
      <c r="E3543" s="16"/>
      <c r="F3543" s="16"/>
      <c r="H3543" s="16"/>
      <c r="AG3543" s="80"/>
      <c r="AH3543" s="80"/>
      <c r="AI3543" s="80"/>
    </row>
    <row r="3544" spans="5:35" x14ac:dyDescent="0.25">
      <c r="E3544" s="16"/>
      <c r="F3544" s="16"/>
      <c r="H3544" s="16"/>
      <c r="AG3544" s="80"/>
      <c r="AH3544" s="80"/>
      <c r="AI3544" s="80"/>
    </row>
    <row r="3545" spans="5:35" x14ac:dyDescent="0.25">
      <c r="E3545" s="16"/>
      <c r="F3545" s="16"/>
      <c r="H3545" s="16"/>
      <c r="AG3545" s="80"/>
      <c r="AH3545" s="80"/>
      <c r="AI3545" s="80"/>
    </row>
    <row r="3546" spans="5:35" x14ac:dyDescent="0.25">
      <c r="E3546" s="16"/>
      <c r="F3546" s="16"/>
      <c r="H3546" s="16"/>
      <c r="AG3546" s="80"/>
      <c r="AH3546" s="80"/>
      <c r="AI3546" s="80"/>
    </row>
    <row r="3547" spans="5:35" x14ac:dyDescent="0.25">
      <c r="E3547" s="16"/>
      <c r="F3547" s="16"/>
      <c r="H3547" s="16"/>
      <c r="AG3547" s="80"/>
      <c r="AH3547" s="80"/>
      <c r="AI3547" s="80"/>
    </row>
    <row r="3548" spans="5:35" x14ac:dyDescent="0.25">
      <c r="E3548" s="16"/>
      <c r="F3548" s="16"/>
      <c r="H3548" s="16"/>
      <c r="AG3548" s="80"/>
      <c r="AH3548" s="80"/>
      <c r="AI3548" s="80"/>
    </row>
    <row r="3549" spans="5:35" x14ac:dyDescent="0.25">
      <c r="E3549" s="16"/>
      <c r="F3549" s="16"/>
      <c r="H3549" s="16"/>
      <c r="AG3549" s="80"/>
      <c r="AH3549" s="80"/>
      <c r="AI3549" s="80"/>
    </row>
    <row r="3550" spans="5:35" x14ac:dyDescent="0.25">
      <c r="E3550" s="16"/>
      <c r="F3550" s="16"/>
      <c r="H3550" s="16"/>
      <c r="AG3550" s="80"/>
      <c r="AH3550" s="80"/>
      <c r="AI3550" s="80"/>
    </row>
    <row r="3551" spans="5:35" x14ac:dyDescent="0.25">
      <c r="E3551" s="16"/>
      <c r="F3551" s="16"/>
      <c r="H3551" s="16"/>
      <c r="AG3551" s="80"/>
      <c r="AH3551" s="80"/>
      <c r="AI3551" s="80"/>
    </row>
    <row r="3552" spans="5:35" x14ac:dyDescent="0.25">
      <c r="E3552" s="16"/>
      <c r="F3552" s="16"/>
      <c r="H3552" s="16"/>
      <c r="AG3552" s="80"/>
      <c r="AH3552" s="80"/>
      <c r="AI3552" s="80"/>
    </row>
    <row r="3553" spans="5:35" x14ac:dyDescent="0.25">
      <c r="E3553" s="16"/>
      <c r="F3553" s="16"/>
      <c r="H3553" s="16"/>
      <c r="AG3553" s="80"/>
      <c r="AH3553" s="80"/>
      <c r="AI3553" s="80"/>
    </row>
    <row r="3554" spans="5:35" x14ac:dyDescent="0.25">
      <c r="E3554" s="16"/>
      <c r="F3554" s="16"/>
      <c r="H3554" s="16"/>
      <c r="AG3554" s="80"/>
      <c r="AH3554" s="80"/>
      <c r="AI3554" s="80"/>
    </row>
    <row r="3555" spans="5:35" x14ac:dyDescent="0.25">
      <c r="E3555" s="16"/>
      <c r="F3555" s="16"/>
      <c r="H3555" s="16"/>
      <c r="AG3555" s="80"/>
      <c r="AH3555" s="80"/>
      <c r="AI3555" s="80"/>
    </row>
    <row r="3556" spans="5:35" x14ac:dyDescent="0.25">
      <c r="E3556" s="16"/>
      <c r="F3556" s="16"/>
      <c r="H3556" s="16"/>
      <c r="AG3556" s="80"/>
      <c r="AH3556" s="80"/>
      <c r="AI3556" s="80"/>
    </row>
    <row r="3557" spans="5:35" x14ac:dyDescent="0.25">
      <c r="E3557" s="16"/>
      <c r="F3557" s="16"/>
      <c r="H3557" s="16"/>
      <c r="AG3557" s="80"/>
      <c r="AH3557" s="80"/>
      <c r="AI3557" s="80"/>
    </row>
    <row r="3558" spans="5:35" x14ac:dyDescent="0.25">
      <c r="E3558" s="16"/>
      <c r="F3558" s="16"/>
      <c r="H3558" s="16"/>
      <c r="AG3558" s="80"/>
      <c r="AH3558" s="80"/>
      <c r="AI3558" s="80"/>
    </row>
    <row r="3559" spans="5:35" x14ac:dyDescent="0.25">
      <c r="E3559" s="16"/>
      <c r="F3559" s="16"/>
      <c r="H3559" s="16"/>
      <c r="AG3559" s="80"/>
      <c r="AH3559" s="80"/>
      <c r="AI3559" s="80"/>
    </row>
    <row r="3560" spans="5:35" x14ac:dyDescent="0.25">
      <c r="E3560" s="16"/>
      <c r="F3560" s="16"/>
      <c r="H3560" s="16"/>
      <c r="AG3560" s="80"/>
      <c r="AH3560" s="80"/>
      <c r="AI3560" s="80"/>
    </row>
    <row r="3561" spans="5:35" x14ac:dyDescent="0.25">
      <c r="E3561" s="16"/>
      <c r="F3561" s="16"/>
      <c r="H3561" s="16"/>
      <c r="AG3561" s="80"/>
      <c r="AH3561" s="80"/>
      <c r="AI3561" s="80"/>
    </row>
    <row r="3562" spans="5:35" x14ac:dyDescent="0.25">
      <c r="E3562" s="16"/>
      <c r="F3562" s="16"/>
      <c r="H3562" s="16"/>
      <c r="AG3562" s="80"/>
      <c r="AH3562" s="80"/>
      <c r="AI3562" s="80"/>
    </row>
    <row r="3563" spans="5:35" x14ac:dyDescent="0.25">
      <c r="E3563" s="16"/>
      <c r="F3563" s="16"/>
      <c r="H3563" s="16"/>
      <c r="AG3563" s="80"/>
      <c r="AH3563" s="80"/>
      <c r="AI3563" s="80"/>
    </row>
    <row r="3564" spans="5:35" x14ac:dyDescent="0.25">
      <c r="E3564" s="16"/>
      <c r="F3564" s="16"/>
      <c r="H3564" s="16"/>
      <c r="AG3564" s="80"/>
      <c r="AH3564" s="80"/>
      <c r="AI3564" s="80"/>
    </row>
    <row r="3565" spans="5:35" x14ac:dyDescent="0.25">
      <c r="E3565" s="16"/>
      <c r="F3565" s="16"/>
      <c r="H3565" s="16"/>
      <c r="AG3565" s="80"/>
      <c r="AH3565" s="80"/>
      <c r="AI3565" s="80"/>
    </row>
    <row r="3566" spans="5:35" x14ac:dyDescent="0.25">
      <c r="E3566" s="16"/>
      <c r="F3566" s="16"/>
      <c r="H3566" s="16"/>
      <c r="AG3566" s="80"/>
      <c r="AH3566" s="80"/>
      <c r="AI3566" s="80"/>
    </row>
    <row r="3567" spans="5:35" x14ac:dyDescent="0.25">
      <c r="E3567" s="16"/>
      <c r="F3567" s="16"/>
      <c r="H3567" s="16"/>
      <c r="AG3567" s="80"/>
      <c r="AH3567" s="80"/>
      <c r="AI3567" s="80"/>
    </row>
    <row r="3568" spans="5:35" x14ac:dyDescent="0.25">
      <c r="E3568" s="16"/>
      <c r="F3568" s="16"/>
      <c r="H3568" s="16"/>
      <c r="AG3568" s="80"/>
      <c r="AH3568" s="80"/>
      <c r="AI3568" s="80"/>
    </row>
    <row r="3569" spans="5:35" x14ac:dyDescent="0.25">
      <c r="E3569" s="16"/>
      <c r="F3569" s="16"/>
      <c r="H3569" s="16"/>
      <c r="AG3569" s="80"/>
      <c r="AH3569" s="80"/>
      <c r="AI3569" s="80"/>
    </row>
    <row r="3570" spans="5:35" x14ac:dyDescent="0.25">
      <c r="E3570" s="16"/>
      <c r="F3570" s="16"/>
      <c r="H3570" s="16"/>
      <c r="AG3570" s="80"/>
      <c r="AH3570" s="80"/>
      <c r="AI3570" s="80"/>
    </row>
    <row r="3571" spans="5:35" x14ac:dyDescent="0.25">
      <c r="E3571" s="16"/>
      <c r="F3571" s="16"/>
      <c r="H3571" s="16"/>
      <c r="AG3571" s="80"/>
      <c r="AH3571" s="80"/>
      <c r="AI3571" s="80"/>
    </row>
    <row r="3572" spans="5:35" x14ac:dyDescent="0.25">
      <c r="E3572" s="16"/>
      <c r="F3572" s="16"/>
      <c r="H3572" s="16"/>
      <c r="AG3572" s="80"/>
      <c r="AH3572" s="80"/>
      <c r="AI3572" s="80"/>
    </row>
    <row r="3573" spans="5:35" x14ac:dyDescent="0.25">
      <c r="E3573" s="16"/>
      <c r="F3573" s="16"/>
      <c r="H3573" s="16"/>
      <c r="AG3573" s="80"/>
      <c r="AH3573" s="80"/>
      <c r="AI3573" s="80"/>
    </row>
    <row r="3574" spans="5:35" x14ac:dyDescent="0.25">
      <c r="E3574" s="16"/>
      <c r="F3574" s="16"/>
      <c r="H3574" s="16"/>
      <c r="AG3574" s="80"/>
      <c r="AH3574" s="80"/>
      <c r="AI3574" s="80"/>
    </row>
    <row r="3575" spans="5:35" x14ac:dyDescent="0.25">
      <c r="E3575" s="16"/>
      <c r="F3575" s="16"/>
      <c r="H3575" s="16"/>
      <c r="AG3575" s="80"/>
      <c r="AH3575" s="80"/>
      <c r="AI3575" s="80"/>
    </row>
    <row r="3576" spans="5:35" x14ac:dyDescent="0.25">
      <c r="E3576" s="16"/>
      <c r="F3576" s="16"/>
      <c r="H3576" s="16"/>
      <c r="AG3576" s="80"/>
      <c r="AH3576" s="80"/>
      <c r="AI3576" s="80"/>
    </row>
    <row r="3577" spans="5:35" x14ac:dyDescent="0.25">
      <c r="E3577" s="16"/>
      <c r="F3577" s="16"/>
      <c r="H3577" s="16"/>
      <c r="AG3577" s="80"/>
      <c r="AH3577" s="80"/>
      <c r="AI3577" s="80"/>
    </row>
    <row r="3578" spans="5:35" x14ac:dyDescent="0.25">
      <c r="E3578" s="16"/>
      <c r="F3578" s="16"/>
      <c r="H3578" s="16"/>
      <c r="AG3578" s="80"/>
      <c r="AH3578" s="80"/>
      <c r="AI3578" s="80"/>
    </row>
    <row r="3579" spans="5:35" x14ac:dyDescent="0.25">
      <c r="E3579" s="16"/>
      <c r="F3579" s="16"/>
      <c r="H3579" s="16"/>
      <c r="AG3579" s="80"/>
      <c r="AH3579" s="80"/>
      <c r="AI3579" s="80"/>
    </row>
    <row r="3580" spans="5:35" x14ac:dyDescent="0.25">
      <c r="E3580" s="16"/>
      <c r="F3580" s="16"/>
      <c r="H3580" s="16"/>
      <c r="AG3580" s="80"/>
      <c r="AH3580" s="80"/>
      <c r="AI3580" s="80"/>
    </row>
    <row r="3581" spans="5:35" x14ac:dyDescent="0.25">
      <c r="E3581" s="16"/>
      <c r="F3581" s="16"/>
      <c r="H3581" s="16"/>
      <c r="AG3581" s="80"/>
      <c r="AH3581" s="80"/>
      <c r="AI3581" s="80"/>
    </row>
    <row r="3582" spans="5:35" x14ac:dyDescent="0.25">
      <c r="E3582" s="16"/>
      <c r="F3582" s="16"/>
      <c r="H3582" s="16"/>
      <c r="AG3582" s="80"/>
      <c r="AH3582" s="80"/>
      <c r="AI3582" s="80"/>
    </row>
    <row r="3583" spans="5:35" x14ac:dyDescent="0.25">
      <c r="E3583" s="16"/>
      <c r="F3583" s="16"/>
      <c r="H3583" s="16"/>
      <c r="AG3583" s="80"/>
      <c r="AH3583" s="80"/>
      <c r="AI3583" s="80"/>
    </row>
    <row r="3584" spans="5:35" x14ac:dyDescent="0.25">
      <c r="E3584" s="16"/>
      <c r="F3584" s="16"/>
      <c r="H3584" s="16"/>
      <c r="AG3584" s="80"/>
      <c r="AH3584" s="80"/>
      <c r="AI3584" s="80"/>
    </row>
    <row r="3585" spans="5:35" x14ac:dyDescent="0.25">
      <c r="E3585" s="16"/>
      <c r="F3585" s="16"/>
      <c r="H3585" s="16"/>
      <c r="AG3585" s="80"/>
      <c r="AH3585" s="80"/>
      <c r="AI3585" s="80"/>
    </row>
    <row r="3586" spans="5:35" x14ac:dyDescent="0.25">
      <c r="E3586" s="16"/>
      <c r="F3586" s="16"/>
      <c r="H3586" s="16"/>
      <c r="AG3586" s="80"/>
      <c r="AH3586" s="80"/>
      <c r="AI3586" s="80"/>
    </row>
    <row r="3587" spans="5:35" x14ac:dyDescent="0.25">
      <c r="E3587" s="16"/>
      <c r="F3587" s="16"/>
      <c r="H3587" s="16"/>
      <c r="AG3587" s="80"/>
      <c r="AH3587" s="80"/>
      <c r="AI3587" s="80"/>
    </row>
    <row r="3588" spans="5:35" x14ac:dyDescent="0.25">
      <c r="E3588" s="16"/>
      <c r="F3588" s="16"/>
      <c r="H3588" s="16"/>
      <c r="AG3588" s="80"/>
      <c r="AH3588" s="80"/>
      <c r="AI3588" s="80"/>
    </row>
    <row r="3589" spans="5:35" x14ac:dyDescent="0.25">
      <c r="E3589" s="16"/>
      <c r="F3589" s="16"/>
      <c r="H3589" s="16"/>
      <c r="AG3589" s="80"/>
      <c r="AH3589" s="80"/>
      <c r="AI3589" s="80"/>
    </row>
    <row r="3590" spans="5:35" x14ac:dyDescent="0.25">
      <c r="E3590" s="16"/>
      <c r="F3590" s="16"/>
      <c r="H3590" s="16"/>
      <c r="AG3590" s="80"/>
      <c r="AH3590" s="80"/>
      <c r="AI3590" s="80"/>
    </row>
    <row r="3591" spans="5:35" x14ac:dyDescent="0.25">
      <c r="E3591" s="16"/>
      <c r="F3591" s="16"/>
      <c r="H3591" s="16"/>
      <c r="AG3591" s="80"/>
      <c r="AH3591" s="80"/>
      <c r="AI3591" s="80"/>
    </row>
    <row r="3592" spans="5:35" x14ac:dyDescent="0.25">
      <c r="E3592" s="16"/>
      <c r="F3592" s="16"/>
      <c r="H3592" s="16"/>
      <c r="AG3592" s="80"/>
      <c r="AH3592" s="80"/>
      <c r="AI3592" s="80"/>
    </row>
    <row r="3593" spans="5:35" x14ac:dyDescent="0.25">
      <c r="E3593" s="16"/>
      <c r="F3593" s="16"/>
      <c r="H3593" s="16"/>
      <c r="AG3593" s="80"/>
      <c r="AH3593" s="80"/>
      <c r="AI3593" s="80"/>
    </row>
    <row r="3594" spans="5:35" x14ac:dyDescent="0.25">
      <c r="E3594" s="16"/>
      <c r="F3594" s="16"/>
      <c r="H3594" s="16"/>
      <c r="AG3594" s="80"/>
      <c r="AH3594" s="80"/>
      <c r="AI3594" s="80"/>
    </row>
    <row r="3595" spans="5:35" x14ac:dyDescent="0.25">
      <c r="E3595" s="16"/>
      <c r="F3595" s="16"/>
      <c r="H3595" s="16"/>
      <c r="AG3595" s="80"/>
      <c r="AH3595" s="80"/>
      <c r="AI3595" s="80"/>
    </row>
    <row r="3596" spans="5:35" x14ac:dyDescent="0.25">
      <c r="E3596" s="16"/>
      <c r="F3596" s="16"/>
      <c r="H3596" s="16"/>
      <c r="AG3596" s="80"/>
      <c r="AH3596" s="80"/>
      <c r="AI3596" s="80"/>
    </row>
    <row r="3597" spans="5:35" x14ac:dyDescent="0.25">
      <c r="E3597" s="16"/>
      <c r="F3597" s="16"/>
      <c r="H3597" s="16"/>
      <c r="AG3597" s="80"/>
      <c r="AH3597" s="80"/>
      <c r="AI3597" s="80"/>
    </row>
    <row r="3598" spans="5:35" x14ac:dyDescent="0.25">
      <c r="E3598" s="16"/>
      <c r="F3598" s="16"/>
      <c r="H3598" s="16"/>
      <c r="AG3598" s="80"/>
      <c r="AH3598" s="80"/>
      <c r="AI3598" s="80"/>
    </row>
    <row r="3599" spans="5:35" x14ac:dyDescent="0.25">
      <c r="E3599" s="16"/>
      <c r="F3599" s="16"/>
      <c r="H3599" s="16"/>
      <c r="AG3599" s="80"/>
      <c r="AH3599" s="80"/>
      <c r="AI3599" s="80"/>
    </row>
    <row r="3600" spans="5:35" x14ac:dyDescent="0.25">
      <c r="E3600" s="16"/>
      <c r="F3600" s="16"/>
      <c r="H3600" s="16"/>
      <c r="AG3600" s="80"/>
      <c r="AH3600" s="80"/>
      <c r="AI3600" s="80"/>
    </row>
    <row r="3601" spans="5:35" x14ac:dyDescent="0.25">
      <c r="E3601" s="16"/>
      <c r="F3601" s="16"/>
      <c r="H3601" s="16"/>
      <c r="AG3601" s="80"/>
      <c r="AH3601" s="80"/>
      <c r="AI3601" s="80"/>
    </row>
    <row r="3602" spans="5:35" x14ac:dyDescent="0.25">
      <c r="E3602" s="16"/>
      <c r="F3602" s="16"/>
      <c r="H3602" s="16"/>
      <c r="AG3602" s="80"/>
      <c r="AH3602" s="80"/>
      <c r="AI3602" s="80"/>
    </row>
    <row r="3603" spans="5:35" x14ac:dyDescent="0.25">
      <c r="E3603" s="16"/>
      <c r="F3603" s="16"/>
      <c r="H3603" s="16"/>
      <c r="AG3603" s="80"/>
      <c r="AH3603" s="80"/>
      <c r="AI3603" s="80"/>
    </row>
    <row r="3604" spans="5:35" x14ac:dyDescent="0.25">
      <c r="E3604" s="16"/>
      <c r="F3604" s="16"/>
      <c r="H3604" s="16"/>
      <c r="AG3604" s="80"/>
      <c r="AH3604" s="80"/>
      <c r="AI3604" s="80"/>
    </row>
    <row r="3605" spans="5:35" x14ac:dyDescent="0.25">
      <c r="E3605" s="16"/>
      <c r="F3605" s="16"/>
      <c r="H3605" s="16"/>
      <c r="AG3605" s="80"/>
      <c r="AH3605" s="80"/>
      <c r="AI3605" s="80"/>
    </row>
    <row r="3606" spans="5:35" x14ac:dyDescent="0.25">
      <c r="E3606" s="16"/>
      <c r="F3606" s="16"/>
      <c r="H3606" s="16"/>
      <c r="AG3606" s="80"/>
      <c r="AH3606" s="80"/>
      <c r="AI3606" s="80"/>
    </row>
    <row r="3607" spans="5:35" x14ac:dyDescent="0.25">
      <c r="E3607" s="16"/>
      <c r="F3607" s="16"/>
      <c r="H3607" s="16"/>
      <c r="AG3607" s="80"/>
      <c r="AH3607" s="80"/>
      <c r="AI3607" s="80"/>
    </row>
    <row r="3608" spans="5:35" x14ac:dyDescent="0.25">
      <c r="E3608" s="16"/>
      <c r="F3608" s="16"/>
      <c r="H3608" s="16"/>
      <c r="AG3608" s="80"/>
      <c r="AH3608" s="80"/>
      <c r="AI3608" s="80"/>
    </row>
    <row r="3609" spans="5:35" x14ac:dyDescent="0.25">
      <c r="E3609" s="16"/>
      <c r="F3609" s="16"/>
      <c r="H3609" s="16"/>
      <c r="AG3609" s="80"/>
      <c r="AH3609" s="80"/>
      <c r="AI3609" s="80"/>
    </row>
    <row r="3610" spans="5:35" x14ac:dyDescent="0.25">
      <c r="E3610" s="16"/>
      <c r="F3610" s="16"/>
      <c r="H3610" s="16"/>
      <c r="AG3610" s="80"/>
      <c r="AH3610" s="80"/>
      <c r="AI3610" s="80"/>
    </row>
    <row r="3611" spans="5:35" x14ac:dyDescent="0.25">
      <c r="E3611" s="16"/>
      <c r="F3611" s="16"/>
      <c r="H3611" s="16"/>
      <c r="AG3611" s="80"/>
      <c r="AH3611" s="80"/>
      <c r="AI3611" s="80"/>
    </row>
    <row r="3612" spans="5:35" x14ac:dyDescent="0.25">
      <c r="E3612" s="16"/>
      <c r="F3612" s="16"/>
      <c r="H3612" s="16"/>
      <c r="AG3612" s="80"/>
      <c r="AH3612" s="80"/>
      <c r="AI3612" s="80"/>
    </row>
    <row r="3613" spans="5:35" x14ac:dyDescent="0.25">
      <c r="E3613" s="16"/>
      <c r="F3613" s="16"/>
      <c r="H3613" s="16"/>
      <c r="AG3613" s="80"/>
      <c r="AH3613" s="80"/>
      <c r="AI3613" s="80"/>
    </row>
    <row r="3614" spans="5:35" x14ac:dyDescent="0.25">
      <c r="E3614" s="16"/>
      <c r="F3614" s="16"/>
      <c r="H3614" s="16"/>
      <c r="AG3614" s="80"/>
      <c r="AH3614" s="80"/>
      <c r="AI3614" s="80"/>
    </row>
    <row r="3615" spans="5:35" x14ac:dyDescent="0.25">
      <c r="E3615" s="16"/>
      <c r="F3615" s="16"/>
      <c r="H3615" s="16"/>
      <c r="AG3615" s="80"/>
      <c r="AH3615" s="80"/>
      <c r="AI3615" s="80"/>
    </row>
    <row r="3616" spans="5:35" x14ac:dyDescent="0.25">
      <c r="E3616" s="16"/>
      <c r="F3616" s="16"/>
      <c r="H3616" s="16"/>
      <c r="AG3616" s="80"/>
      <c r="AH3616" s="80"/>
      <c r="AI3616" s="80"/>
    </row>
    <row r="3617" spans="5:35" x14ac:dyDescent="0.25">
      <c r="E3617" s="16"/>
      <c r="F3617" s="16"/>
      <c r="H3617" s="16"/>
      <c r="AG3617" s="80"/>
      <c r="AH3617" s="80"/>
      <c r="AI3617" s="80"/>
    </row>
    <row r="3618" spans="5:35" x14ac:dyDescent="0.25">
      <c r="E3618" s="16"/>
      <c r="F3618" s="16"/>
      <c r="H3618" s="16"/>
      <c r="AG3618" s="80"/>
      <c r="AH3618" s="80"/>
      <c r="AI3618" s="80"/>
    </row>
    <row r="3619" spans="5:35" x14ac:dyDescent="0.25">
      <c r="E3619" s="16"/>
      <c r="F3619" s="16"/>
      <c r="H3619" s="16"/>
      <c r="AG3619" s="80"/>
      <c r="AH3619" s="80"/>
      <c r="AI3619" s="80"/>
    </row>
    <row r="3620" spans="5:35" x14ac:dyDescent="0.25">
      <c r="E3620" s="16"/>
      <c r="F3620" s="16"/>
      <c r="H3620" s="16"/>
      <c r="AG3620" s="80"/>
      <c r="AH3620" s="80"/>
      <c r="AI3620" s="80"/>
    </row>
    <row r="3621" spans="5:35" x14ac:dyDescent="0.25">
      <c r="E3621" s="16"/>
      <c r="F3621" s="16"/>
      <c r="H3621" s="16"/>
      <c r="AG3621" s="80"/>
      <c r="AH3621" s="80"/>
      <c r="AI3621" s="80"/>
    </row>
    <row r="3622" spans="5:35" x14ac:dyDescent="0.25">
      <c r="E3622" s="16"/>
      <c r="F3622" s="16"/>
      <c r="H3622" s="16"/>
      <c r="AG3622" s="80"/>
      <c r="AH3622" s="80"/>
      <c r="AI3622" s="80"/>
    </row>
    <row r="3623" spans="5:35" x14ac:dyDescent="0.25">
      <c r="E3623" s="16"/>
      <c r="F3623" s="16"/>
      <c r="H3623" s="16"/>
      <c r="AG3623" s="80"/>
      <c r="AH3623" s="80"/>
      <c r="AI3623" s="80"/>
    </row>
    <row r="3624" spans="5:35" x14ac:dyDescent="0.25">
      <c r="E3624" s="16"/>
      <c r="F3624" s="16"/>
      <c r="H3624" s="16"/>
      <c r="AG3624" s="80"/>
      <c r="AH3624" s="80"/>
      <c r="AI3624" s="80"/>
    </row>
    <row r="3625" spans="5:35" x14ac:dyDescent="0.25">
      <c r="E3625" s="16"/>
      <c r="F3625" s="16"/>
      <c r="H3625" s="16"/>
      <c r="AG3625" s="80"/>
      <c r="AH3625" s="80"/>
      <c r="AI3625" s="80"/>
    </row>
    <row r="3626" spans="5:35" x14ac:dyDescent="0.25">
      <c r="E3626" s="16"/>
      <c r="F3626" s="16"/>
      <c r="H3626" s="16"/>
      <c r="AG3626" s="80"/>
      <c r="AH3626" s="80"/>
      <c r="AI3626" s="80"/>
    </row>
    <row r="3627" spans="5:35" x14ac:dyDescent="0.25">
      <c r="E3627" s="16"/>
      <c r="F3627" s="16"/>
      <c r="H3627" s="16"/>
      <c r="AG3627" s="80"/>
      <c r="AH3627" s="80"/>
      <c r="AI3627" s="80"/>
    </row>
    <row r="3628" spans="5:35" x14ac:dyDescent="0.25">
      <c r="E3628" s="16"/>
      <c r="F3628" s="16"/>
      <c r="H3628" s="16"/>
      <c r="AG3628" s="80"/>
      <c r="AH3628" s="80"/>
      <c r="AI3628" s="80"/>
    </row>
    <row r="3629" spans="5:35" x14ac:dyDescent="0.25">
      <c r="E3629" s="16"/>
      <c r="F3629" s="16"/>
      <c r="H3629" s="16"/>
      <c r="AG3629" s="80"/>
      <c r="AH3629" s="80"/>
      <c r="AI3629" s="80"/>
    </row>
    <row r="3630" spans="5:35" x14ac:dyDescent="0.25">
      <c r="E3630" s="16"/>
      <c r="F3630" s="16"/>
      <c r="H3630" s="16"/>
      <c r="AG3630" s="80"/>
      <c r="AH3630" s="80"/>
      <c r="AI3630" s="80"/>
    </row>
    <row r="3631" spans="5:35" x14ac:dyDescent="0.25">
      <c r="E3631" s="16"/>
      <c r="F3631" s="16"/>
      <c r="H3631" s="16"/>
      <c r="AG3631" s="80"/>
      <c r="AH3631" s="80"/>
      <c r="AI3631" s="80"/>
    </row>
    <row r="3632" spans="5:35" x14ac:dyDescent="0.25">
      <c r="E3632" s="16"/>
      <c r="F3632" s="16"/>
      <c r="H3632" s="16"/>
      <c r="AG3632" s="80"/>
      <c r="AH3632" s="80"/>
      <c r="AI3632" s="80"/>
    </row>
    <row r="3633" spans="5:35" x14ac:dyDescent="0.25">
      <c r="E3633" s="16"/>
      <c r="F3633" s="16"/>
      <c r="H3633" s="16"/>
      <c r="AG3633" s="80"/>
      <c r="AH3633" s="80"/>
      <c r="AI3633" s="80"/>
    </row>
    <row r="3634" spans="5:35" x14ac:dyDescent="0.25">
      <c r="E3634" s="16"/>
      <c r="F3634" s="16"/>
      <c r="H3634" s="16"/>
      <c r="AG3634" s="80"/>
      <c r="AH3634" s="80"/>
      <c r="AI3634" s="80"/>
    </row>
    <row r="3635" spans="5:35" x14ac:dyDescent="0.25">
      <c r="E3635" s="16"/>
      <c r="F3635" s="16"/>
      <c r="H3635" s="16"/>
      <c r="AG3635" s="80"/>
      <c r="AH3635" s="80"/>
      <c r="AI3635" s="80"/>
    </row>
    <row r="3636" spans="5:35" x14ac:dyDescent="0.25">
      <c r="E3636" s="16"/>
      <c r="F3636" s="16"/>
      <c r="H3636" s="16"/>
      <c r="AG3636" s="80"/>
      <c r="AH3636" s="80"/>
      <c r="AI3636" s="80"/>
    </row>
    <row r="3637" spans="5:35" x14ac:dyDescent="0.25">
      <c r="E3637" s="16"/>
      <c r="F3637" s="16"/>
      <c r="H3637" s="16"/>
      <c r="AG3637" s="80"/>
      <c r="AH3637" s="80"/>
      <c r="AI3637" s="80"/>
    </row>
    <row r="3638" spans="5:35" x14ac:dyDescent="0.25">
      <c r="E3638" s="16"/>
      <c r="F3638" s="16"/>
      <c r="H3638" s="16"/>
      <c r="AG3638" s="80"/>
      <c r="AH3638" s="80"/>
      <c r="AI3638" s="80"/>
    </row>
    <row r="3639" spans="5:35" x14ac:dyDescent="0.25">
      <c r="E3639" s="16"/>
      <c r="F3639" s="16"/>
      <c r="H3639" s="16"/>
      <c r="AG3639" s="80"/>
      <c r="AH3639" s="80"/>
      <c r="AI3639" s="80"/>
    </row>
    <row r="3640" spans="5:35" x14ac:dyDescent="0.25">
      <c r="E3640" s="16"/>
      <c r="F3640" s="16"/>
      <c r="H3640" s="16"/>
      <c r="AG3640" s="80"/>
      <c r="AH3640" s="80"/>
      <c r="AI3640" s="80"/>
    </row>
    <row r="3641" spans="5:35" x14ac:dyDescent="0.25">
      <c r="E3641" s="16"/>
      <c r="F3641" s="16"/>
      <c r="H3641" s="16"/>
      <c r="AG3641" s="80"/>
      <c r="AH3641" s="80"/>
      <c r="AI3641" s="80"/>
    </row>
    <row r="3642" spans="5:35" x14ac:dyDescent="0.25">
      <c r="E3642" s="16"/>
      <c r="F3642" s="16"/>
      <c r="H3642" s="16"/>
      <c r="AG3642" s="80"/>
      <c r="AH3642" s="80"/>
      <c r="AI3642" s="80"/>
    </row>
    <row r="3643" spans="5:35" x14ac:dyDescent="0.25">
      <c r="E3643" s="16"/>
      <c r="F3643" s="16"/>
      <c r="H3643" s="16"/>
      <c r="AG3643" s="80"/>
      <c r="AH3643" s="80"/>
      <c r="AI3643" s="80"/>
    </row>
    <row r="3644" spans="5:35" x14ac:dyDescent="0.25">
      <c r="E3644" s="16"/>
      <c r="F3644" s="16"/>
      <c r="H3644" s="16"/>
      <c r="AG3644" s="80"/>
      <c r="AH3644" s="80"/>
      <c r="AI3644" s="80"/>
    </row>
    <row r="3645" spans="5:35" x14ac:dyDescent="0.25">
      <c r="E3645" s="16"/>
      <c r="F3645" s="16"/>
      <c r="H3645" s="16"/>
      <c r="AG3645" s="80"/>
      <c r="AH3645" s="80"/>
      <c r="AI3645" s="80"/>
    </row>
    <row r="3646" spans="5:35" x14ac:dyDescent="0.25">
      <c r="E3646" s="16"/>
      <c r="F3646" s="16"/>
      <c r="H3646" s="16"/>
      <c r="AG3646" s="80"/>
      <c r="AH3646" s="80"/>
      <c r="AI3646" s="80"/>
    </row>
    <row r="3647" spans="5:35" x14ac:dyDescent="0.25">
      <c r="E3647" s="16"/>
      <c r="F3647" s="16"/>
      <c r="H3647" s="16"/>
      <c r="AG3647" s="80"/>
      <c r="AH3647" s="80"/>
      <c r="AI3647" s="80"/>
    </row>
    <row r="3648" spans="5:35" x14ac:dyDescent="0.25">
      <c r="E3648" s="16"/>
      <c r="F3648" s="16"/>
      <c r="H3648" s="16"/>
      <c r="AG3648" s="80"/>
      <c r="AH3648" s="80"/>
      <c r="AI3648" s="80"/>
    </row>
    <row r="3649" spans="5:35" x14ac:dyDescent="0.25">
      <c r="E3649" s="16"/>
      <c r="F3649" s="16"/>
      <c r="H3649" s="16"/>
      <c r="AG3649" s="80"/>
      <c r="AH3649" s="80"/>
      <c r="AI3649" s="80"/>
    </row>
    <row r="3650" spans="5:35" x14ac:dyDescent="0.25">
      <c r="E3650" s="16"/>
      <c r="F3650" s="16"/>
      <c r="H3650" s="16"/>
      <c r="AG3650" s="80"/>
      <c r="AH3650" s="80"/>
      <c r="AI3650" s="80"/>
    </row>
    <row r="3651" spans="5:35" x14ac:dyDescent="0.25">
      <c r="E3651" s="16"/>
      <c r="F3651" s="16"/>
      <c r="H3651" s="16"/>
      <c r="AG3651" s="80"/>
      <c r="AH3651" s="80"/>
      <c r="AI3651" s="80"/>
    </row>
    <row r="3652" spans="5:35" x14ac:dyDescent="0.25">
      <c r="E3652" s="16"/>
      <c r="F3652" s="16"/>
      <c r="H3652" s="16"/>
      <c r="AG3652" s="80"/>
      <c r="AH3652" s="80"/>
      <c r="AI3652" s="80"/>
    </row>
    <row r="3653" spans="5:35" x14ac:dyDescent="0.25">
      <c r="E3653" s="16"/>
      <c r="F3653" s="16"/>
      <c r="H3653" s="16"/>
      <c r="AG3653" s="80"/>
      <c r="AH3653" s="80"/>
      <c r="AI3653" s="80"/>
    </row>
    <row r="3654" spans="5:35" x14ac:dyDescent="0.25">
      <c r="E3654" s="16"/>
      <c r="F3654" s="16"/>
      <c r="H3654" s="16"/>
      <c r="AG3654" s="80"/>
      <c r="AH3654" s="80"/>
      <c r="AI3654" s="80"/>
    </row>
    <row r="3655" spans="5:35" x14ac:dyDescent="0.25">
      <c r="E3655" s="16"/>
      <c r="F3655" s="16"/>
      <c r="H3655" s="16"/>
      <c r="AG3655" s="80"/>
      <c r="AH3655" s="80"/>
      <c r="AI3655" s="80"/>
    </row>
    <row r="3656" spans="5:35" x14ac:dyDescent="0.25">
      <c r="E3656" s="16"/>
      <c r="F3656" s="16"/>
      <c r="H3656" s="16"/>
      <c r="AG3656" s="80"/>
      <c r="AH3656" s="80"/>
      <c r="AI3656" s="80"/>
    </row>
    <row r="3657" spans="5:35" x14ac:dyDescent="0.25">
      <c r="E3657" s="16"/>
      <c r="F3657" s="16"/>
      <c r="H3657" s="16"/>
      <c r="AG3657" s="80"/>
      <c r="AH3657" s="80"/>
      <c r="AI3657" s="80"/>
    </row>
    <row r="3658" spans="5:35" x14ac:dyDescent="0.25">
      <c r="E3658" s="16"/>
      <c r="F3658" s="16"/>
      <c r="H3658" s="16"/>
      <c r="AG3658" s="80"/>
      <c r="AH3658" s="80"/>
      <c r="AI3658" s="80"/>
    </row>
    <row r="3659" spans="5:35" x14ac:dyDescent="0.25">
      <c r="E3659" s="16"/>
      <c r="F3659" s="16"/>
      <c r="H3659" s="16"/>
      <c r="AG3659" s="80"/>
      <c r="AH3659" s="80"/>
      <c r="AI3659" s="80"/>
    </row>
    <row r="3660" spans="5:35" x14ac:dyDescent="0.25">
      <c r="E3660" s="16"/>
      <c r="F3660" s="16"/>
      <c r="H3660" s="16"/>
      <c r="AG3660" s="80"/>
      <c r="AH3660" s="80"/>
      <c r="AI3660" s="80"/>
    </row>
    <row r="3661" spans="5:35" x14ac:dyDescent="0.25">
      <c r="E3661" s="16"/>
      <c r="F3661" s="16"/>
      <c r="H3661" s="16"/>
      <c r="AG3661" s="80"/>
      <c r="AH3661" s="80"/>
      <c r="AI3661" s="80"/>
    </row>
    <row r="3662" spans="5:35" x14ac:dyDescent="0.25">
      <c r="E3662" s="16"/>
      <c r="F3662" s="16"/>
      <c r="H3662" s="16"/>
      <c r="AG3662" s="80"/>
      <c r="AH3662" s="80"/>
      <c r="AI3662" s="80"/>
    </row>
    <row r="3663" spans="5:35" x14ac:dyDescent="0.25">
      <c r="E3663" s="16"/>
      <c r="F3663" s="16"/>
      <c r="H3663" s="16"/>
      <c r="AG3663" s="80"/>
      <c r="AH3663" s="80"/>
      <c r="AI3663" s="80"/>
    </row>
    <row r="3664" spans="5:35" x14ac:dyDescent="0.25">
      <c r="E3664" s="16"/>
      <c r="F3664" s="16"/>
      <c r="H3664" s="16"/>
      <c r="AG3664" s="80"/>
      <c r="AH3664" s="80"/>
      <c r="AI3664" s="80"/>
    </row>
    <row r="3665" spans="5:35" x14ac:dyDescent="0.25">
      <c r="E3665" s="16"/>
      <c r="F3665" s="16"/>
      <c r="H3665" s="16"/>
      <c r="AG3665" s="80"/>
      <c r="AH3665" s="80"/>
      <c r="AI3665" s="80"/>
    </row>
    <row r="3666" spans="5:35" x14ac:dyDescent="0.25">
      <c r="E3666" s="16"/>
      <c r="F3666" s="16"/>
      <c r="H3666" s="16"/>
      <c r="AG3666" s="80"/>
      <c r="AH3666" s="80"/>
      <c r="AI3666" s="80"/>
    </row>
    <row r="3667" spans="5:35" x14ac:dyDescent="0.25">
      <c r="E3667" s="16"/>
      <c r="F3667" s="16"/>
      <c r="H3667" s="16"/>
      <c r="AG3667" s="80"/>
      <c r="AH3667" s="80"/>
      <c r="AI3667" s="80"/>
    </row>
    <row r="3668" spans="5:35" x14ac:dyDescent="0.25">
      <c r="E3668" s="16"/>
      <c r="F3668" s="16"/>
      <c r="H3668" s="16"/>
      <c r="AG3668" s="80"/>
      <c r="AH3668" s="80"/>
      <c r="AI3668" s="80"/>
    </row>
    <row r="3669" spans="5:35" x14ac:dyDescent="0.25">
      <c r="E3669" s="16"/>
      <c r="F3669" s="16"/>
      <c r="H3669" s="16"/>
      <c r="AG3669" s="80"/>
      <c r="AH3669" s="80"/>
      <c r="AI3669" s="80"/>
    </row>
    <row r="3670" spans="5:35" x14ac:dyDescent="0.25">
      <c r="E3670" s="16"/>
      <c r="F3670" s="16"/>
      <c r="H3670" s="16"/>
      <c r="AG3670" s="80"/>
      <c r="AH3670" s="80"/>
      <c r="AI3670" s="80"/>
    </row>
    <row r="3671" spans="5:35" x14ac:dyDescent="0.25">
      <c r="E3671" s="16"/>
      <c r="F3671" s="16"/>
      <c r="H3671" s="16"/>
      <c r="AG3671" s="80"/>
      <c r="AH3671" s="80"/>
      <c r="AI3671" s="80"/>
    </row>
    <row r="3672" spans="5:35" x14ac:dyDescent="0.25">
      <c r="E3672" s="16"/>
      <c r="F3672" s="16"/>
      <c r="H3672" s="16"/>
      <c r="AG3672" s="80"/>
      <c r="AH3672" s="80"/>
      <c r="AI3672" s="80"/>
    </row>
    <row r="3673" spans="5:35" x14ac:dyDescent="0.25">
      <c r="E3673" s="16"/>
      <c r="F3673" s="16"/>
      <c r="H3673" s="16"/>
      <c r="AG3673" s="80"/>
      <c r="AH3673" s="80"/>
      <c r="AI3673" s="80"/>
    </row>
    <row r="3674" spans="5:35" x14ac:dyDescent="0.25">
      <c r="E3674" s="16"/>
      <c r="F3674" s="16"/>
      <c r="H3674" s="16"/>
      <c r="AG3674" s="80"/>
      <c r="AH3674" s="80"/>
      <c r="AI3674" s="80"/>
    </row>
    <row r="3675" spans="5:35" x14ac:dyDescent="0.25">
      <c r="E3675" s="16"/>
      <c r="F3675" s="16"/>
      <c r="H3675" s="16"/>
      <c r="AG3675" s="80"/>
      <c r="AH3675" s="80"/>
      <c r="AI3675" s="80"/>
    </row>
    <row r="3676" spans="5:35" x14ac:dyDescent="0.25">
      <c r="E3676" s="16"/>
      <c r="F3676" s="16"/>
      <c r="H3676" s="16"/>
      <c r="AG3676" s="80"/>
      <c r="AH3676" s="80"/>
      <c r="AI3676" s="80"/>
    </row>
    <row r="3677" spans="5:35" x14ac:dyDescent="0.25">
      <c r="E3677" s="16"/>
      <c r="F3677" s="16"/>
      <c r="H3677" s="16"/>
      <c r="AG3677" s="80"/>
      <c r="AH3677" s="80"/>
      <c r="AI3677" s="80"/>
    </row>
    <row r="3678" spans="5:35" x14ac:dyDescent="0.25">
      <c r="E3678" s="16"/>
      <c r="F3678" s="16"/>
      <c r="H3678" s="16"/>
      <c r="AG3678" s="80"/>
      <c r="AH3678" s="80"/>
      <c r="AI3678" s="80"/>
    </row>
    <row r="3679" spans="5:35" x14ac:dyDescent="0.25">
      <c r="E3679" s="16"/>
      <c r="F3679" s="16"/>
      <c r="H3679" s="16"/>
      <c r="AG3679" s="80"/>
      <c r="AH3679" s="80"/>
      <c r="AI3679" s="80"/>
    </row>
    <row r="3680" spans="5:35" x14ac:dyDescent="0.25">
      <c r="E3680" s="16"/>
      <c r="F3680" s="16"/>
      <c r="H3680" s="16"/>
      <c r="AG3680" s="80"/>
      <c r="AH3680" s="80"/>
      <c r="AI3680" s="80"/>
    </row>
    <row r="3681" spans="5:35" x14ac:dyDescent="0.25">
      <c r="E3681" s="16"/>
      <c r="F3681" s="16"/>
      <c r="H3681" s="16"/>
      <c r="AG3681" s="80"/>
      <c r="AH3681" s="80"/>
      <c r="AI3681" s="80"/>
    </row>
    <row r="3682" spans="5:35" x14ac:dyDescent="0.25">
      <c r="E3682" s="16"/>
      <c r="F3682" s="16"/>
      <c r="H3682" s="16"/>
      <c r="AG3682" s="80"/>
      <c r="AH3682" s="80"/>
      <c r="AI3682" s="80"/>
    </row>
    <row r="3683" spans="5:35" x14ac:dyDescent="0.25">
      <c r="E3683" s="16"/>
      <c r="F3683" s="16"/>
      <c r="H3683" s="16"/>
      <c r="AG3683" s="80"/>
      <c r="AH3683" s="80"/>
      <c r="AI3683" s="80"/>
    </row>
    <row r="3684" spans="5:35" x14ac:dyDescent="0.25">
      <c r="E3684" s="16"/>
      <c r="F3684" s="16"/>
      <c r="H3684" s="16"/>
      <c r="AG3684" s="80"/>
      <c r="AH3684" s="80"/>
      <c r="AI3684" s="80"/>
    </row>
    <row r="3685" spans="5:35" x14ac:dyDescent="0.25">
      <c r="E3685" s="16"/>
      <c r="F3685" s="16"/>
      <c r="H3685" s="16"/>
      <c r="AG3685" s="80"/>
      <c r="AH3685" s="80"/>
      <c r="AI3685" s="80"/>
    </row>
    <row r="3686" spans="5:35" x14ac:dyDescent="0.25">
      <c r="E3686" s="16"/>
      <c r="F3686" s="16"/>
      <c r="H3686" s="16"/>
      <c r="AG3686" s="80"/>
      <c r="AH3686" s="80"/>
      <c r="AI3686" s="80"/>
    </row>
    <row r="3687" spans="5:35" x14ac:dyDescent="0.25">
      <c r="E3687" s="16"/>
      <c r="F3687" s="16"/>
      <c r="H3687" s="16"/>
      <c r="AG3687" s="80"/>
      <c r="AH3687" s="80"/>
      <c r="AI3687" s="80"/>
    </row>
    <row r="3688" spans="5:35" x14ac:dyDescent="0.25">
      <c r="E3688" s="16"/>
      <c r="F3688" s="16"/>
      <c r="H3688" s="16"/>
      <c r="AG3688" s="80"/>
      <c r="AH3688" s="80"/>
      <c r="AI3688" s="80"/>
    </row>
    <row r="3689" spans="5:35" x14ac:dyDescent="0.25">
      <c r="E3689" s="16"/>
      <c r="F3689" s="16"/>
      <c r="H3689" s="16"/>
      <c r="AG3689" s="80"/>
      <c r="AH3689" s="80"/>
      <c r="AI3689" s="80"/>
    </row>
    <row r="3690" spans="5:35" x14ac:dyDescent="0.25">
      <c r="E3690" s="16"/>
      <c r="F3690" s="16"/>
      <c r="H3690" s="16"/>
      <c r="AG3690" s="80"/>
      <c r="AH3690" s="80"/>
      <c r="AI3690" s="80"/>
    </row>
    <row r="3691" spans="5:35" x14ac:dyDescent="0.25">
      <c r="E3691" s="16"/>
      <c r="F3691" s="16"/>
      <c r="H3691" s="16"/>
      <c r="AG3691" s="80"/>
      <c r="AH3691" s="80"/>
      <c r="AI3691" s="80"/>
    </row>
    <row r="3692" spans="5:35" x14ac:dyDescent="0.25">
      <c r="E3692" s="16"/>
      <c r="F3692" s="16"/>
      <c r="H3692" s="16"/>
      <c r="AG3692" s="80"/>
      <c r="AH3692" s="80"/>
      <c r="AI3692" s="80"/>
    </row>
    <row r="3693" spans="5:35" x14ac:dyDescent="0.25">
      <c r="E3693" s="16"/>
      <c r="F3693" s="16"/>
      <c r="H3693" s="16"/>
      <c r="AG3693" s="80"/>
      <c r="AH3693" s="80"/>
      <c r="AI3693" s="80"/>
    </row>
    <row r="3694" spans="5:35" x14ac:dyDescent="0.25">
      <c r="E3694" s="16"/>
      <c r="F3694" s="16"/>
      <c r="H3694" s="16"/>
      <c r="AG3694" s="80"/>
      <c r="AH3694" s="80"/>
      <c r="AI3694" s="80"/>
    </row>
    <row r="3695" spans="5:35" x14ac:dyDescent="0.25">
      <c r="E3695" s="16"/>
      <c r="F3695" s="16"/>
      <c r="H3695" s="16"/>
      <c r="AG3695" s="80"/>
      <c r="AH3695" s="80"/>
      <c r="AI3695" s="80"/>
    </row>
    <row r="3696" spans="5:35" x14ac:dyDescent="0.25">
      <c r="E3696" s="16"/>
      <c r="F3696" s="16"/>
      <c r="H3696" s="16"/>
      <c r="AG3696" s="80"/>
      <c r="AH3696" s="80"/>
      <c r="AI3696" s="80"/>
    </row>
    <row r="3697" spans="5:35" x14ac:dyDescent="0.25">
      <c r="E3697" s="16"/>
      <c r="F3697" s="16"/>
      <c r="H3697" s="16"/>
      <c r="AG3697" s="80"/>
      <c r="AH3697" s="80"/>
      <c r="AI3697" s="80"/>
    </row>
    <row r="3698" spans="5:35" x14ac:dyDescent="0.25">
      <c r="E3698" s="16"/>
      <c r="F3698" s="16"/>
      <c r="H3698" s="16"/>
      <c r="AG3698" s="80"/>
      <c r="AH3698" s="80"/>
      <c r="AI3698" s="80"/>
    </row>
    <row r="3699" spans="5:35" x14ac:dyDescent="0.25">
      <c r="E3699" s="16"/>
      <c r="F3699" s="16"/>
      <c r="H3699" s="16"/>
      <c r="AG3699" s="80"/>
      <c r="AH3699" s="80"/>
      <c r="AI3699" s="80"/>
    </row>
    <row r="3700" spans="5:35" x14ac:dyDescent="0.25">
      <c r="E3700" s="16"/>
      <c r="F3700" s="16"/>
      <c r="H3700" s="16"/>
      <c r="AG3700" s="80"/>
      <c r="AH3700" s="80"/>
      <c r="AI3700" s="80"/>
    </row>
    <row r="3701" spans="5:35" x14ac:dyDescent="0.25">
      <c r="E3701" s="16"/>
      <c r="F3701" s="16"/>
      <c r="H3701" s="16"/>
      <c r="AG3701" s="80"/>
      <c r="AH3701" s="80"/>
      <c r="AI3701" s="80"/>
    </row>
    <row r="3702" spans="5:35" x14ac:dyDescent="0.25">
      <c r="E3702" s="16"/>
      <c r="F3702" s="16"/>
      <c r="H3702" s="16"/>
      <c r="AG3702" s="80"/>
      <c r="AH3702" s="80"/>
      <c r="AI3702" s="80"/>
    </row>
    <row r="3703" spans="5:35" x14ac:dyDescent="0.25">
      <c r="E3703" s="16"/>
      <c r="F3703" s="16"/>
      <c r="H3703" s="16"/>
      <c r="AG3703" s="80"/>
      <c r="AH3703" s="80"/>
      <c r="AI3703" s="80"/>
    </row>
    <row r="3704" spans="5:35" x14ac:dyDescent="0.25">
      <c r="E3704" s="16"/>
      <c r="F3704" s="16"/>
      <c r="H3704" s="16"/>
      <c r="AG3704" s="80"/>
      <c r="AH3704" s="80"/>
      <c r="AI3704" s="80"/>
    </row>
    <row r="3705" spans="5:35" x14ac:dyDescent="0.25">
      <c r="E3705" s="16"/>
      <c r="F3705" s="16"/>
      <c r="H3705" s="16"/>
      <c r="AG3705" s="80"/>
      <c r="AH3705" s="80"/>
      <c r="AI3705" s="80"/>
    </row>
    <row r="3706" spans="5:35" x14ac:dyDescent="0.25">
      <c r="E3706" s="16"/>
      <c r="F3706" s="16"/>
      <c r="H3706" s="16"/>
      <c r="AG3706" s="80"/>
      <c r="AH3706" s="80"/>
      <c r="AI3706" s="80"/>
    </row>
    <row r="3707" spans="5:35" x14ac:dyDescent="0.25">
      <c r="E3707" s="16"/>
      <c r="F3707" s="16"/>
      <c r="H3707" s="16"/>
      <c r="AG3707" s="80"/>
      <c r="AH3707" s="80"/>
      <c r="AI3707" s="80"/>
    </row>
    <row r="3708" spans="5:35" x14ac:dyDescent="0.25">
      <c r="E3708" s="16"/>
      <c r="F3708" s="16"/>
      <c r="H3708" s="16"/>
      <c r="AG3708" s="80"/>
      <c r="AH3708" s="80"/>
      <c r="AI3708" s="80"/>
    </row>
    <row r="3709" spans="5:35" x14ac:dyDescent="0.25">
      <c r="E3709" s="16"/>
      <c r="F3709" s="16"/>
      <c r="H3709" s="16"/>
      <c r="AG3709" s="80"/>
      <c r="AH3709" s="80"/>
      <c r="AI3709" s="80"/>
    </row>
    <row r="3710" spans="5:35" x14ac:dyDescent="0.25">
      <c r="E3710" s="16"/>
      <c r="F3710" s="16"/>
      <c r="H3710" s="16"/>
      <c r="AG3710" s="80"/>
      <c r="AH3710" s="80"/>
      <c r="AI3710" s="80"/>
    </row>
    <row r="3711" spans="5:35" x14ac:dyDescent="0.25">
      <c r="E3711" s="16"/>
      <c r="F3711" s="16"/>
      <c r="H3711" s="16"/>
      <c r="AG3711" s="80"/>
      <c r="AH3711" s="80"/>
      <c r="AI3711" s="80"/>
    </row>
    <row r="3712" spans="5:35" x14ac:dyDescent="0.25">
      <c r="E3712" s="16"/>
      <c r="F3712" s="16"/>
      <c r="H3712" s="16"/>
      <c r="AG3712" s="80"/>
      <c r="AH3712" s="80"/>
      <c r="AI3712" s="80"/>
    </row>
    <row r="3713" spans="5:35" x14ac:dyDescent="0.25">
      <c r="E3713" s="16"/>
      <c r="F3713" s="16"/>
      <c r="H3713" s="16"/>
      <c r="AG3713" s="80"/>
      <c r="AH3713" s="80"/>
      <c r="AI3713" s="80"/>
    </row>
    <row r="3714" spans="5:35" x14ac:dyDescent="0.25">
      <c r="E3714" s="16"/>
      <c r="F3714" s="16"/>
      <c r="H3714" s="16"/>
      <c r="AG3714" s="80"/>
      <c r="AH3714" s="80"/>
      <c r="AI3714" s="80"/>
    </row>
    <row r="3715" spans="5:35" x14ac:dyDescent="0.25">
      <c r="E3715" s="16"/>
      <c r="F3715" s="16"/>
      <c r="H3715" s="16"/>
      <c r="AG3715" s="80"/>
      <c r="AH3715" s="80"/>
      <c r="AI3715" s="80"/>
    </row>
    <row r="3716" spans="5:35" x14ac:dyDescent="0.25">
      <c r="E3716" s="16"/>
      <c r="F3716" s="16"/>
      <c r="H3716" s="16"/>
      <c r="AG3716" s="80"/>
      <c r="AH3716" s="80"/>
      <c r="AI3716" s="80"/>
    </row>
    <row r="3717" spans="5:35" x14ac:dyDescent="0.25">
      <c r="E3717" s="16"/>
      <c r="F3717" s="16"/>
      <c r="H3717" s="16"/>
      <c r="AG3717" s="80"/>
      <c r="AH3717" s="80"/>
      <c r="AI3717" s="80"/>
    </row>
    <row r="3718" spans="5:35" x14ac:dyDescent="0.25">
      <c r="E3718" s="16"/>
      <c r="F3718" s="16"/>
      <c r="H3718" s="16"/>
      <c r="AG3718" s="80"/>
      <c r="AH3718" s="80"/>
      <c r="AI3718" s="80"/>
    </row>
    <row r="3719" spans="5:35" x14ac:dyDescent="0.25">
      <c r="E3719" s="16"/>
      <c r="F3719" s="16"/>
      <c r="H3719" s="16"/>
      <c r="AG3719" s="80"/>
      <c r="AH3719" s="80"/>
      <c r="AI3719" s="80"/>
    </row>
    <row r="3720" spans="5:35" x14ac:dyDescent="0.25">
      <c r="E3720" s="16"/>
      <c r="F3720" s="16"/>
      <c r="H3720" s="16"/>
      <c r="AG3720" s="80"/>
      <c r="AH3720" s="80"/>
      <c r="AI3720" s="80"/>
    </row>
    <row r="3721" spans="5:35" x14ac:dyDescent="0.25">
      <c r="E3721" s="16"/>
      <c r="F3721" s="16"/>
      <c r="H3721" s="16"/>
      <c r="AG3721" s="80"/>
      <c r="AH3721" s="80"/>
      <c r="AI3721" s="80"/>
    </row>
    <row r="3722" spans="5:35" x14ac:dyDescent="0.25">
      <c r="E3722" s="16"/>
      <c r="F3722" s="16"/>
      <c r="H3722" s="16"/>
      <c r="AG3722" s="80"/>
      <c r="AH3722" s="80"/>
      <c r="AI3722" s="80"/>
    </row>
    <row r="3723" spans="5:35" x14ac:dyDescent="0.25">
      <c r="E3723" s="16"/>
      <c r="F3723" s="16"/>
      <c r="H3723" s="16"/>
      <c r="AG3723" s="80"/>
      <c r="AH3723" s="80"/>
      <c r="AI3723" s="80"/>
    </row>
    <row r="3724" spans="5:35" x14ac:dyDescent="0.25">
      <c r="E3724" s="16"/>
      <c r="F3724" s="16"/>
      <c r="H3724" s="16"/>
      <c r="AG3724" s="80"/>
      <c r="AH3724" s="80"/>
      <c r="AI3724" s="80"/>
    </row>
    <row r="3725" spans="5:35" x14ac:dyDescent="0.25">
      <c r="E3725" s="16"/>
      <c r="F3725" s="16"/>
      <c r="H3725" s="16"/>
      <c r="AG3725" s="80"/>
      <c r="AH3725" s="80"/>
      <c r="AI3725" s="80"/>
    </row>
    <row r="3726" spans="5:35" x14ac:dyDescent="0.25">
      <c r="E3726" s="16"/>
      <c r="F3726" s="16"/>
      <c r="H3726" s="16"/>
      <c r="AG3726" s="80"/>
      <c r="AH3726" s="80"/>
      <c r="AI3726" s="80"/>
    </row>
    <row r="3727" spans="5:35" x14ac:dyDescent="0.25">
      <c r="E3727" s="16"/>
      <c r="F3727" s="16"/>
      <c r="H3727" s="16"/>
      <c r="AG3727" s="80"/>
      <c r="AH3727" s="80"/>
      <c r="AI3727" s="80"/>
    </row>
    <row r="3728" spans="5:35" x14ac:dyDescent="0.25">
      <c r="E3728" s="16"/>
      <c r="F3728" s="16"/>
      <c r="H3728" s="16"/>
      <c r="AG3728" s="80"/>
      <c r="AH3728" s="80"/>
      <c r="AI3728" s="80"/>
    </row>
    <row r="3729" spans="5:35" x14ac:dyDescent="0.25">
      <c r="E3729" s="16"/>
      <c r="F3729" s="16"/>
      <c r="H3729" s="16"/>
      <c r="AG3729" s="80"/>
      <c r="AH3729" s="80"/>
      <c r="AI3729" s="80"/>
    </row>
    <row r="3730" spans="5:35" x14ac:dyDescent="0.25">
      <c r="E3730" s="16"/>
      <c r="F3730" s="16"/>
      <c r="H3730" s="16"/>
      <c r="AG3730" s="80"/>
      <c r="AH3730" s="80"/>
      <c r="AI3730" s="80"/>
    </row>
    <row r="3731" spans="5:35" x14ac:dyDescent="0.25">
      <c r="E3731" s="16"/>
      <c r="F3731" s="16"/>
      <c r="H3731" s="16"/>
      <c r="AG3731" s="80"/>
      <c r="AH3731" s="80"/>
      <c r="AI3731" s="80"/>
    </row>
    <row r="3732" spans="5:35" x14ac:dyDescent="0.25">
      <c r="E3732" s="16"/>
      <c r="F3732" s="16"/>
      <c r="H3732" s="16"/>
      <c r="AG3732" s="80"/>
      <c r="AH3732" s="80"/>
      <c r="AI3732" s="80"/>
    </row>
    <row r="3733" spans="5:35" x14ac:dyDescent="0.25">
      <c r="E3733" s="16"/>
      <c r="F3733" s="16"/>
      <c r="H3733" s="16"/>
      <c r="AG3733" s="80"/>
      <c r="AH3733" s="80"/>
      <c r="AI3733" s="80"/>
    </row>
    <row r="3734" spans="5:35" x14ac:dyDescent="0.25">
      <c r="E3734" s="16"/>
      <c r="F3734" s="16"/>
      <c r="H3734" s="16"/>
      <c r="AG3734" s="80"/>
      <c r="AH3734" s="80"/>
      <c r="AI3734" s="80"/>
    </row>
    <row r="3735" spans="5:35" x14ac:dyDescent="0.25">
      <c r="E3735" s="16"/>
      <c r="F3735" s="16"/>
      <c r="H3735" s="16"/>
      <c r="AG3735" s="80"/>
      <c r="AH3735" s="80"/>
      <c r="AI3735" s="80"/>
    </row>
    <row r="3736" spans="5:35" x14ac:dyDescent="0.25">
      <c r="E3736" s="16"/>
      <c r="F3736" s="16"/>
      <c r="H3736" s="16"/>
      <c r="AG3736" s="80"/>
      <c r="AH3736" s="80"/>
      <c r="AI3736" s="80"/>
    </row>
    <row r="3737" spans="5:35" x14ac:dyDescent="0.25">
      <c r="E3737" s="16"/>
      <c r="F3737" s="16"/>
      <c r="H3737" s="16"/>
      <c r="AG3737" s="80"/>
      <c r="AH3737" s="80"/>
      <c r="AI3737" s="80"/>
    </row>
    <row r="3738" spans="5:35" x14ac:dyDescent="0.25">
      <c r="E3738" s="16"/>
      <c r="F3738" s="16"/>
      <c r="H3738" s="16"/>
      <c r="AG3738" s="80"/>
      <c r="AH3738" s="80"/>
      <c r="AI3738" s="80"/>
    </row>
    <row r="3739" spans="5:35" x14ac:dyDescent="0.25">
      <c r="E3739" s="16"/>
      <c r="F3739" s="16"/>
      <c r="H3739" s="16"/>
      <c r="AG3739" s="80"/>
      <c r="AH3739" s="80"/>
      <c r="AI3739" s="80"/>
    </row>
    <row r="3740" spans="5:35" x14ac:dyDescent="0.25">
      <c r="E3740" s="16"/>
      <c r="F3740" s="16"/>
      <c r="H3740" s="16"/>
      <c r="AG3740" s="80"/>
      <c r="AH3740" s="80"/>
      <c r="AI3740" s="80"/>
    </row>
    <row r="3741" spans="5:35" x14ac:dyDescent="0.25">
      <c r="E3741" s="16"/>
      <c r="F3741" s="16"/>
      <c r="H3741" s="16"/>
      <c r="AG3741" s="80"/>
      <c r="AH3741" s="80"/>
      <c r="AI3741" s="80"/>
    </row>
    <row r="3742" spans="5:35" x14ac:dyDescent="0.25">
      <c r="E3742" s="16"/>
      <c r="F3742" s="16"/>
      <c r="H3742" s="16"/>
      <c r="AG3742" s="80"/>
      <c r="AH3742" s="80"/>
      <c r="AI3742" s="80"/>
    </row>
    <row r="3743" spans="5:35" x14ac:dyDescent="0.25">
      <c r="E3743" s="16"/>
      <c r="F3743" s="16"/>
      <c r="H3743" s="16"/>
      <c r="AG3743" s="80"/>
      <c r="AH3743" s="80"/>
      <c r="AI3743" s="80"/>
    </row>
    <row r="3744" spans="5:35" x14ac:dyDescent="0.25">
      <c r="E3744" s="16"/>
      <c r="F3744" s="16"/>
      <c r="H3744" s="16"/>
      <c r="AG3744" s="80"/>
      <c r="AH3744" s="80"/>
      <c r="AI3744" s="80"/>
    </row>
    <row r="3745" spans="5:35" x14ac:dyDescent="0.25">
      <c r="E3745" s="16"/>
      <c r="F3745" s="16"/>
      <c r="H3745" s="16"/>
      <c r="AG3745" s="80"/>
      <c r="AH3745" s="80"/>
      <c r="AI3745" s="80"/>
    </row>
    <row r="3746" spans="5:35" x14ac:dyDescent="0.25">
      <c r="E3746" s="16"/>
      <c r="F3746" s="16"/>
      <c r="H3746" s="16"/>
      <c r="AG3746" s="80"/>
      <c r="AH3746" s="80"/>
      <c r="AI3746" s="80"/>
    </row>
    <row r="3747" spans="5:35" x14ac:dyDescent="0.25">
      <c r="E3747" s="16"/>
      <c r="F3747" s="16"/>
      <c r="H3747" s="16"/>
      <c r="AG3747" s="80"/>
      <c r="AH3747" s="80"/>
      <c r="AI3747" s="80"/>
    </row>
    <row r="3748" spans="5:35" x14ac:dyDescent="0.25">
      <c r="E3748" s="16"/>
      <c r="F3748" s="16"/>
      <c r="H3748" s="16"/>
      <c r="AG3748" s="80"/>
      <c r="AH3748" s="80"/>
      <c r="AI3748" s="80"/>
    </row>
    <row r="3749" spans="5:35" x14ac:dyDescent="0.25">
      <c r="E3749" s="16"/>
      <c r="F3749" s="16"/>
      <c r="H3749" s="16"/>
      <c r="AG3749" s="80"/>
      <c r="AH3749" s="80"/>
      <c r="AI3749" s="80"/>
    </row>
    <row r="3750" spans="5:35" x14ac:dyDescent="0.25">
      <c r="E3750" s="16"/>
      <c r="F3750" s="16"/>
      <c r="H3750" s="16"/>
      <c r="AG3750" s="80"/>
      <c r="AH3750" s="80"/>
      <c r="AI3750" s="80"/>
    </row>
    <row r="3751" spans="5:35" x14ac:dyDescent="0.25">
      <c r="E3751" s="16"/>
      <c r="F3751" s="16"/>
      <c r="H3751" s="16"/>
      <c r="AG3751" s="80"/>
      <c r="AH3751" s="80"/>
      <c r="AI3751" s="80"/>
    </row>
    <row r="3752" spans="5:35" x14ac:dyDescent="0.25">
      <c r="E3752" s="16"/>
      <c r="F3752" s="16"/>
      <c r="H3752" s="16"/>
      <c r="AG3752" s="80"/>
      <c r="AH3752" s="80"/>
      <c r="AI3752" s="80"/>
    </row>
    <row r="3753" spans="5:35" x14ac:dyDescent="0.25">
      <c r="E3753" s="16"/>
      <c r="F3753" s="16"/>
      <c r="H3753" s="16"/>
      <c r="AG3753" s="80"/>
      <c r="AH3753" s="80"/>
      <c r="AI3753" s="80"/>
    </row>
    <row r="3754" spans="5:35" x14ac:dyDescent="0.25">
      <c r="E3754" s="16"/>
      <c r="F3754" s="16"/>
      <c r="H3754" s="16"/>
      <c r="AG3754" s="80"/>
      <c r="AH3754" s="80"/>
      <c r="AI3754" s="80"/>
    </row>
    <row r="3755" spans="5:35" x14ac:dyDescent="0.25">
      <c r="E3755" s="16"/>
      <c r="F3755" s="16"/>
      <c r="H3755" s="16"/>
      <c r="AG3755" s="80"/>
      <c r="AH3755" s="80"/>
      <c r="AI3755" s="80"/>
    </row>
    <row r="3756" spans="5:35" x14ac:dyDescent="0.25">
      <c r="E3756" s="16"/>
      <c r="F3756" s="16"/>
      <c r="H3756" s="16"/>
      <c r="AG3756" s="80"/>
      <c r="AH3756" s="80"/>
      <c r="AI3756" s="80"/>
    </row>
    <row r="3757" spans="5:35" x14ac:dyDescent="0.25">
      <c r="E3757" s="16"/>
      <c r="F3757" s="16"/>
      <c r="H3757" s="16"/>
      <c r="AG3757" s="80"/>
      <c r="AH3757" s="80"/>
      <c r="AI3757" s="80"/>
    </row>
    <row r="3758" spans="5:35" x14ac:dyDescent="0.25">
      <c r="E3758" s="16"/>
      <c r="F3758" s="16"/>
      <c r="H3758" s="16"/>
      <c r="AG3758" s="80"/>
      <c r="AH3758" s="80"/>
      <c r="AI3758" s="80"/>
    </row>
    <row r="3759" spans="5:35" x14ac:dyDescent="0.25">
      <c r="E3759" s="16"/>
      <c r="F3759" s="16"/>
      <c r="H3759" s="16"/>
      <c r="AG3759" s="80"/>
      <c r="AH3759" s="80"/>
      <c r="AI3759" s="80"/>
    </row>
    <row r="3760" spans="5:35" x14ac:dyDescent="0.25">
      <c r="E3760" s="16"/>
      <c r="F3760" s="16"/>
      <c r="H3760" s="16"/>
      <c r="AG3760" s="80"/>
      <c r="AH3760" s="80"/>
      <c r="AI3760" s="80"/>
    </row>
    <row r="3761" spans="5:35" x14ac:dyDescent="0.25">
      <c r="E3761" s="16"/>
      <c r="F3761" s="16"/>
      <c r="H3761" s="16"/>
      <c r="AG3761" s="80"/>
      <c r="AH3761" s="80"/>
      <c r="AI3761" s="80"/>
    </row>
    <row r="3762" spans="5:35" x14ac:dyDescent="0.25">
      <c r="E3762" s="16"/>
      <c r="F3762" s="16"/>
      <c r="H3762" s="16"/>
      <c r="AG3762" s="80"/>
      <c r="AH3762" s="80"/>
      <c r="AI3762" s="80"/>
    </row>
    <row r="3763" spans="5:35" x14ac:dyDescent="0.25">
      <c r="E3763" s="16"/>
      <c r="F3763" s="16"/>
      <c r="H3763" s="16"/>
      <c r="AG3763" s="80"/>
      <c r="AH3763" s="80"/>
      <c r="AI3763" s="80"/>
    </row>
    <row r="3764" spans="5:35" x14ac:dyDescent="0.25">
      <c r="E3764" s="16"/>
      <c r="F3764" s="16"/>
      <c r="H3764" s="16"/>
      <c r="AG3764" s="80"/>
      <c r="AH3764" s="80"/>
      <c r="AI3764" s="80"/>
    </row>
    <row r="3765" spans="5:35" x14ac:dyDescent="0.25">
      <c r="E3765" s="16"/>
      <c r="F3765" s="16"/>
      <c r="H3765" s="16"/>
      <c r="AG3765" s="80"/>
      <c r="AH3765" s="80"/>
      <c r="AI3765" s="80"/>
    </row>
    <row r="3766" spans="5:35" x14ac:dyDescent="0.25">
      <c r="E3766" s="16"/>
      <c r="F3766" s="16"/>
      <c r="H3766" s="16"/>
      <c r="AG3766" s="80"/>
      <c r="AH3766" s="80"/>
      <c r="AI3766" s="80"/>
    </row>
    <row r="3767" spans="5:35" x14ac:dyDescent="0.25">
      <c r="E3767" s="16"/>
      <c r="F3767" s="16"/>
      <c r="H3767" s="16"/>
      <c r="AG3767" s="80"/>
      <c r="AH3767" s="80"/>
      <c r="AI3767" s="80"/>
    </row>
    <row r="3768" spans="5:35" x14ac:dyDescent="0.25">
      <c r="E3768" s="16"/>
      <c r="F3768" s="16"/>
      <c r="H3768" s="16"/>
      <c r="AG3768" s="80"/>
      <c r="AH3768" s="80"/>
      <c r="AI3768" s="80"/>
    </row>
    <row r="3769" spans="5:35" x14ac:dyDescent="0.25">
      <c r="E3769" s="16"/>
      <c r="F3769" s="16"/>
      <c r="H3769" s="16"/>
      <c r="AG3769" s="80"/>
      <c r="AH3769" s="80"/>
      <c r="AI3769" s="80"/>
    </row>
    <row r="3770" spans="5:35" x14ac:dyDescent="0.25">
      <c r="E3770" s="16"/>
      <c r="F3770" s="16"/>
      <c r="H3770" s="16"/>
      <c r="AG3770" s="80"/>
      <c r="AH3770" s="80"/>
      <c r="AI3770" s="80"/>
    </row>
    <row r="3771" spans="5:35" x14ac:dyDescent="0.25">
      <c r="E3771" s="16"/>
      <c r="F3771" s="16"/>
      <c r="H3771" s="16"/>
      <c r="AG3771" s="80"/>
      <c r="AH3771" s="80"/>
      <c r="AI3771" s="80"/>
    </row>
    <row r="3772" spans="5:35" x14ac:dyDescent="0.25">
      <c r="E3772" s="16"/>
      <c r="F3772" s="16"/>
      <c r="H3772" s="16"/>
      <c r="AG3772" s="80"/>
      <c r="AH3772" s="80"/>
      <c r="AI3772" s="80"/>
    </row>
    <row r="3773" spans="5:35" x14ac:dyDescent="0.25">
      <c r="E3773" s="16"/>
      <c r="F3773" s="16"/>
      <c r="H3773" s="16"/>
      <c r="AG3773" s="80"/>
      <c r="AH3773" s="80"/>
      <c r="AI3773" s="80"/>
    </row>
    <row r="3774" spans="5:35" x14ac:dyDescent="0.25">
      <c r="E3774" s="16"/>
      <c r="F3774" s="16"/>
      <c r="H3774" s="16"/>
      <c r="AG3774" s="80"/>
      <c r="AH3774" s="80"/>
      <c r="AI3774" s="80"/>
    </row>
    <row r="3775" spans="5:35" x14ac:dyDescent="0.25">
      <c r="E3775" s="16"/>
      <c r="F3775" s="16"/>
      <c r="H3775" s="16"/>
      <c r="AG3775" s="80"/>
      <c r="AH3775" s="80"/>
      <c r="AI3775" s="80"/>
    </row>
    <row r="3776" spans="5:35" x14ac:dyDescent="0.25">
      <c r="E3776" s="16"/>
      <c r="F3776" s="16"/>
      <c r="H3776" s="16"/>
      <c r="AG3776" s="80"/>
      <c r="AH3776" s="80"/>
      <c r="AI3776" s="80"/>
    </row>
    <row r="3777" spans="5:35" x14ac:dyDescent="0.25">
      <c r="E3777" s="16"/>
      <c r="F3777" s="16"/>
      <c r="H3777" s="16"/>
      <c r="AG3777" s="80"/>
      <c r="AH3777" s="80"/>
      <c r="AI3777" s="80"/>
    </row>
    <row r="3778" spans="5:35" x14ac:dyDescent="0.25">
      <c r="E3778" s="16"/>
      <c r="F3778" s="16"/>
      <c r="H3778" s="16"/>
      <c r="AG3778" s="80"/>
      <c r="AH3778" s="80"/>
      <c r="AI3778" s="80"/>
    </row>
    <row r="3779" spans="5:35" x14ac:dyDescent="0.25">
      <c r="E3779" s="16"/>
      <c r="F3779" s="16"/>
      <c r="H3779" s="16"/>
      <c r="AG3779" s="80"/>
      <c r="AH3779" s="80"/>
      <c r="AI3779" s="80"/>
    </row>
    <row r="3780" spans="5:35" x14ac:dyDescent="0.25">
      <c r="E3780" s="16"/>
      <c r="F3780" s="16"/>
      <c r="H3780" s="16"/>
      <c r="AG3780" s="80"/>
      <c r="AH3780" s="80"/>
      <c r="AI3780" s="80"/>
    </row>
    <row r="3781" spans="5:35" x14ac:dyDescent="0.25">
      <c r="E3781" s="16"/>
      <c r="F3781" s="16"/>
      <c r="H3781" s="16"/>
      <c r="AG3781" s="80"/>
      <c r="AH3781" s="80"/>
      <c r="AI3781" s="80"/>
    </row>
    <row r="3782" spans="5:35" x14ac:dyDescent="0.25">
      <c r="E3782" s="16"/>
      <c r="F3782" s="16"/>
      <c r="H3782" s="16"/>
      <c r="AG3782" s="80"/>
      <c r="AH3782" s="80"/>
      <c r="AI3782" s="80"/>
    </row>
    <row r="3783" spans="5:35" x14ac:dyDescent="0.25">
      <c r="E3783" s="16"/>
      <c r="F3783" s="16"/>
      <c r="H3783" s="16"/>
      <c r="AG3783" s="80"/>
      <c r="AH3783" s="80"/>
      <c r="AI3783" s="80"/>
    </row>
    <row r="3784" spans="5:35" x14ac:dyDescent="0.25">
      <c r="E3784" s="16"/>
      <c r="F3784" s="16"/>
      <c r="H3784" s="16"/>
      <c r="AG3784" s="80"/>
      <c r="AH3784" s="80"/>
      <c r="AI3784" s="80"/>
    </row>
    <row r="3785" spans="5:35" x14ac:dyDescent="0.25">
      <c r="E3785" s="16"/>
      <c r="F3785" s="16"/>
      <c r="H3785" s="16"/>
      <c r="AG3785" s="80"/>
      <c r="AH3785" s="80"/>
      <c r="AI3785" s="80"/>
    </row>
    <row r="3786" spans="5:35" x14ac:dyDescent="0.25">
      <c r="E3786" s="16"/>
      <c r="F3786" s="16"/>
      <c r="H3786" s="16"/>
      <c r="AG3786" s="80"/>
      <c r="AH3786" s="80"/>
      <c r="AI3786" s="80"/>
    </row>
    <row r="3787" spans="5:35" x14ac:dyDescent="0.25">
      <c r="E3787" s="16"/>
      <c r="F3787" s="16"/>
      <c r="H3787" s="16"/>
      <c r="AG3787" s="80"/>
      <c r="AH3787" s="80"/>
      <c r="AI3787" s="80"/>
    </row>
    <row r="3788" spans="5:35" x14ac:dyDescent="0.25">
      <c r="E3788" s="16"/>
      <c r="F3788" s="16"/>
      <c r="H3788" s="16"/>
      <c r="AG3788" s="80"/>
      <c r="AH3788" s="80"/>
      <c r="AI3788" s="80"/>
    </row>
    <row r="3789" spans="5:35" x14ac:dyDescent="0.25">
      <c r="E3789" s="16"/>
      <c r="F3789" s="16"/>
      <c r="H3789" s="16"/>
      <c r="AG3789" s="80"/>
      <c r="AH3789" s="80"/>
      <c r="AI3789" s="80"/>
    </row>
    <row r="3790" spans="5:35" x14ac:dyDescent="0.25">
      <c r="E3790" s="16"/>
      <c r="F3790" s="16"/>
      <c r="H3790" s="16"/>
      <c r="AG3790" s="80"/>
      <c r="AH3790" s="80"/>
      <c r="AI3790" s="80"/>
    </row>
    <row r="3791" spans="5:35" x14ac:dyDescent="0.25">
      <c r="E3791" s="16"/>
      <c r="F3791" s="16"/>
      <c r="H3791" s="16"/>
      <c r="AG3791" s="80"/>
      <c r="AH3791" s="80"/>
      <c r="AI3791" s="80"/>
    </row>
    <row r="3792" spans="5:35" x14ac:dyDescent="0.25">
      <c r="E3792" s="16"/>
      <c r="F3792" s="16"/>
      <c r="H3792" s="16"/>
      <c r="AG3792" s="80"/>
      <c r="AH3792" s="80"/>
      <c r="AI3792" s="80"/>
    </row>
    <row r="3793" spans="5:35" x14ac:dyDescent="0.25">
      <c r="E3793" s="16"/>
      <c r="F3793" s="16"/>
      <c r="H3793" s="16"/>
      <c r="AG3793" s="80"/>
      <c r="AH3793" s="80"/>
      <c r="AI3793" s="80"/>
    </row>
    <row r="3794" spans="5:35" x14ac:dyDescent="0.25">
      <c r="E3794" s="16"/>
      <c r="F3794" s="16"/>
      <c r="H3794" s="16"/>
      <c r="AG3794" s="80"/>
      <c r="AH3794" s="80"/>
      <c r="AI3794" s="80"/>
    </row>
    <row r="3795" spans="5:35" x14ac:dyDescent="0.25">
      <c r="E3795" s="16"/>
      <c r="F3795" s="16"/>
      <c r="H3795" s="16"/>
      <c r="AG3795" s="80"/>
      <c r="AH3795" s="80"/>
      <c r="AI3795" s="80"/>
    </row>
    <row r="3796" spans="5:35" x14ac:dyDescent="0.25">
      <c r="E3796" s="16"/>
      <c r="F3796" s="16"/>
      <c r="H3796" s="16"/>
      <c r="AG3796" s="80"/>
      <c r="AH3796" s="80"/>
      <c r="AI3796" s="80"/>
    </row>
    <row r="3797" spans="5:35" x14ac:dyDescent="0.25">
      <c r="E3797" s="16"/>
      <c r="F3797" s="16"/>
      <c r="H3797" s="16"/>
      <c r="AG3797" s="80"/>
      <c r="AH3797" s="80"/>
      <c r="AI3797" s="80"/>
    </row>
    <row r="3798" spans="5:35" x14ac:dyDescent="0.25">
      <c r="E3798" s="16"/>
      <c r="F3798" s="16"/>
      <c r="H3798" s="16"/>
      <c r="AG3798" s="80"/>
      <c r="AH3798" s="80"/>
      <c r="AI3798" s="80"/>
    </row>
    <row r="3799" spans="5:35" x14ac:dyDescent="0.25">
      <c r="E3799" s="16"/>
      <c r="F3799" s="16"/>
      <c r="H3799" s="16"/>
      <c r="AG3799" s="80"/>
      <c r="AH3799" s="80"/>
      <c r="AI3799" s="80"/>
    </row>
    <row r="3800" spans="5:35" x14ac:dyDescent="0.25">
      <c r="E3800" s="16"/>
      <c r="F3800" s="16"/>
      <c r="H3800" s="16"/>
      <c r="AG3800" s="80"/>
      <c r="AH3800" s="80"/>
      <c r="AI3800" s="80"/>
    </row>
    <row r="3801" spans="5:35" x14ac:dyDescent="0.25">
      <c r="E3801" s="16"/>
      <c r="F3801" s="16"/>
      <c r="H3801" s="16"/>
      <c r="AG3801" s="80"/>
      <c r="AH3801" s="80"/>
      <c r="AI3801" s="80"/>
    </row>
    <row r="3802" spans="5:35" x14ac:dyDescent="0.25">
      <c r="E3802" s="16"/>
      <c r="F3802" s="16"/>
      <c r="H3802" s="16"/>
      <c r="AG3802" s="80"/>
      <c r="AH3802" s="80"/>
      <c r="AI3802" s="80"/>
    </row>
    <row r="3803" spans="5:35" x14ac:dyDescent="0.25">
      <c r="E3803" s="16"/>
      <c r="F3803" s="16"/>
      <c r="H3803" s="16"/>
      <c r="AG3803" s="80"/>
      <c r="AH3803" s="80"/>
      <c r="AI3803" s="80"/>
    </row>
    <row r="3804" spans="5:35" x14ac:dyDescent="0.25">
      <c r="E3804" s="16"/>
      <c r="F3804" s="16"/>
      <c r="H3804" s="16"/>
      <c r="AG3804" s="80"/>
      <c r="AH3804" s="80"/>
      <c r="AI3804" s="80"/>
    </row>
    <row r="3805" spans="5:35" x14ac:dyDescent="0.25">
      <c r="E3805" s="16"/>
      <c r="F3805" s="16"/>
      <c r="H3805" s="16"/>
      <c r="AG3805" s="80"/>
      <c r="AH3805" s="80"/>
      <c r="AI3805" s="80"/>
    </row>
    <row r="3806" spans="5:35" x14ac:dyDescent="0.25">
      <c r="E3806" s="16"/>
      <c r="F3806" s="16"/>
      <c r="H3806" s="16"/>
      <c r="AG3806" s="80"/>
      <c r="AH3806" s="80"/>
      <c r="AI3806" s="80"/>
    </row>
    <row r="3807" spans="5:35" x14ac:dyDescent="0.25">
      <c r="E3807" s="16"/>
      <c r="F3807" s="16"/>
      <c r="H3807" s="16"/>
      <c r="AG3807" s="80"/>
      <c r="AH3807" s="80"/>
      <c r="AI3807" s="80"/>
    </row>
    <row r="3808" spans="5:35" x14ac:dyDescent="0.25">
      <c r="E3808" s="16"/>
      <c r="F3808" s="16"/>
      <c r="H3808" s="16"/>
      <c r="AG3808" s="80"/>
      <c r="AH3808" s="80"/>
      <c r="AI3808" s="80"/>
    </row>
    <row r="3809" spans="5:35" x14ac:dyDescent="0.25">
      <c r="E3809" s="16"/>
      <c r="F3809" s="16"/>
      <c r="H3809" s="16"/>
      <c r="AG3809" s="80"/>
      <c r="AH3809" s="80"/>
      <c r="AI3809" s="80"/>
    </row>
    <row r="3810" spans="5:35" x14ac:dyDescent="0.25">
      <c r="E3810" s="16"/>
      <c r="F3810" s="16"/>
      <c r="H3810" s="16"/>
      <c r="AG3810" s="80"/>
      <c r="AH3810" s="80"/>
      <c r="AI3810" s="80"/>
    </row>
    <row r="3811" spans="5:35" x14ac:dyDescent="0.25">
      <c r="E3811" s="16"/>
      <c r="F3811" s="16"/>
      <c r="H3811" s="16"/>
      <c r="AG3811" s="80"/>
      <c r="AH3811" s="80"/>
      <c r="AI3811" s="80"/>
    </row>
    <row r="3812" spans="5:35" x14ac:dyDescent="0.25">
      <c r="E3812" s="16"/>
      <c r="F3812" s="16"/>
      <c r="H3812" s="16"/>
      <c r="AG3812" s="80"/>
      <c r="AH3812" s="80"/>
      <c r="AI3812" s="80"/>
    </row>
    <row r="3813" spans="5:35" x14ac:dyDescent="0.25">
      <c r="E3813" s="16"/>
      <c r="F3813" s="16"/>
      <c r="H3813" s="16"/>
      <c r="AG3813" s="80"/>
      <c r="AH3813" s="80"/>
      <c r="AI3813" s="80"/>
    </row>
    <row r="3814" spans="5:35" x14ac:dyDescent="0.25">
      <c r="E3814" s="16"/>
      <c r="F3814" s="16"/>
      <c r="H3814" s="16"/>
      <c r="AG3814" s="80"/>
      <c r="AH3814" s="80"/>
      <c r="AI3814" s="80"/>
    </row>
    <row r="3815" spans="5:35" x14ac:dyDescent="0.25">
      <c r="E3815" s="16"/>
      <c r="F3815" s="16"/>
      <c r="H3815" s="16"/>
      <c r="AG3815" s="80"/>
      <c r="AH3815" s="80"/>
      <c r="AI3815" s="80"/>
    </row>
    <row r="3816" spans="5:35" x14ac:dyDescent="0.25">
      <c r="E3816" s="16"/>
      <c r="F3816" s="16"/>
      <c r="H3816" s="16"/>
      <c r="AG3816" s="80"/>
      <c r="AH3816" s="80"/>
      <c r="AI3816" s="80"/>
    </row>
    <row r="3817" spans="5:35" x14ac:dyDescent="0.25">
      <c r="E3817" s="16"/>
      <c r="F3817" s="16"/>
      <c r="H3817" s="16"/>
      <c r="AG3817" s="80"/>
      <c r="AH3817" s="80"/>
      <c r="AI3817" s="80"/>
    </row>
    <row r="3818" spans="5:35" x14ac:dyDescent="0.25">
      <c r="E3818" s="16"/>
      <c r="F3818" s="16"/>
      <c r="H3818" s="16"/>
      <c r="AG3818" s="80"/>
      <c r="AH3818" s="80"/>
      <c r="AI3818" s="80"/>
    </row>
    <row r="3819" spans="5:35" x14ac:dyDescent="0.25">
      <c r="E3819" s="16"/>
      <c r="F3819" s="16"/>
      <c r="H3819" s="16"/>
      <c r="AG3819" s="80"/>
      <c r="AH3819" s="80"/>
      <c r="AI3819" s="80"/>
    </row>
    <row r="3820" spans="5:35" x14ac:dyDescent="0.25">
      <c r="E3820" s="16"/>
      <c r="F3820" s="16"/>
      <c r="H3820" s="16"/>
      <c r="AG3820" s="80"/>
      <c r="AH3820" s="80"/>
      <c r="AI3820" s="80"/>
    </row>
    <row r="3821" spans="5:35" x14ac:dyDescent="0.25">
      <c r="E3821" s="16"/>
      <c r="F3821" s="16"/>
      <c r="H3821" s="16"/>
      <c r="AG3821" s="80"/>
      <c r="AH3821" s="80"/>
      <c r="AI3821" s="80"/>
    </row>
    <row r="3822" spans="5:35" x14ac:dyDescent="0.25">
      <c r="E3822" s="16"/>
      <c r="F3822" s="16"/>
      <c r="H3822" s="16"/>
      <c r="AG3822" s="80"/>
      <c r="AH3822" s="80"/>
      <c r="AI3822" s="80"/>
    </row>
    <row r="3823" spans="5:35" x14ac:dyDescent="0.25">
      <c r="E3823" s="16"/>
      <c r="F3823" s="16"/>
      <c r="H3823" s="16"/>
      <c r="AG3823" s="80"/>
      <c r="AH3823" s="80"/>
      <c r="AI3823" s="80"/>
    </row>
    <row r="3824" spans="5:35" x14ac:dyDescent="0.25">
      <c r="E3824" s="16"/>
      <c r="F3824" s="16"/>
      <c r="H3824" s="16"/>
      <c r="AG3824" s="80"/>
      <c r="AH3824" s="80"/>
      <c r="AI3824" s="80"/>
    </row>
    <row r="3825" spans="5:35" x14ac:dyDescent="0.25">
      <c r="E3825" s="16"/>
      <c r="F3825" s="16"/>
      <c r="H3825" s="16"/>
      <c r="AG3825" s="80"/>
      <c r="AH3825" s="80"/>
      <c r="AI3825" s="80"/>
    </row>
    <row r="3826" spans="5:35" x14ac:dyDescent="0.25">
      <c r="E3826" s="16"/>
      <c r="F3826" s="16"/>
      <c r="H3826" s="16"/>
      <c r="AG3826" s="80"/>
      <c r="AH3826" s="80"/>
      <c r="AI3826" s="80"/>
    </row>
    <row r="3827" spans="5:35" x14ac:dyDescent="0.25">
      <c r="E3827" s="16"/>
      <c r="F3827" s="16"/>
      <c r="H3827" s="16"/>
      <c r="AG3827" s="80"/>
      <c r="AH3827" s="80"/>
      <c r="AI3827" s="80"/>
    </row>
    <row r="3828" spans="5:35" x14ac:dyDescent="0.25">
      <c r="E3828" s="16"/>
      <c r="F3828" s="16"/>
      <c r="H3828" s="16"/>
      <c r="AG3828" s="80"/>
      <c r="AH3828" s="80"/>
      <c r="AI3828" s="80"/>
    </row>
    <row r="3829" spans="5:35" x14ac:dyDescent="0.25">
      <c r="E3829" s="16"/>
      <c r="F3829" s="16"/>
      <c r="H3829" s="16"/>
      <c r="AG3829" s="80"/>
      <c r="AH3829" s="80"/>
      <c r="AI3829" s="80"/>
    </row>
    <row r="3830" spans="5:35" x14ac:dyDescent="0.25">
      <c r="E3830" s="16"/>
      <c r="F3830" s="16"/>
      <c r="H3830" s="16"/>
      <c r="AG3830" s="80"/>
      <c r="AH3830" s="80"/>
      <c r="AI3830" s="80"/>
    </row>
    <row r="3831" spans="5:35" x14ac:dyDescent="0.25">
      <c r="E3831" s="16"/>
      <c r="F3831" s="16"/>
      <c r="H3831" s="16"/>
      <c r="AG3831" s="80"/>
      <c r="AH3831" s="80"/>
      <c r="AI3831" s="80"/>
    </row>
    <row r="3832" spans="5:35" x14ac:dyDescent="0.25">
      <c r="E3832" s="16"/>
      <c r="F3832" s="16"/>
      <c r="H3832" s="16"/>
      <c r="AG3832" s="80"/>
      <c r="AH3832" s="80"/>
      <c r="AI3832" s="80"/>
    </row>
    <row r="3833" spans="5:35" x14ac:dyDescent="0.25">
      <c r="E3833" s="16"/>
      <c r="F3833" s="16"/>
      <c r="H3833" s="16"/>
      <c r="AG3833" s="80"/>
      <c r="AH3833" s="80"/>
      <c r="AI3833" s="80"/>
    </row>
    <row r="3834" spans="5:35" x14ac:dyDescent="0.25">
      <c r="E3834" s="16"/>
      <c r="F3834" s="16"/>
      <c r="H3834" s="16"/>
      <c r="AG3834" s="80"/>
      <c r="AH3834" s="80"/>
      <c r="AI3834" s="80"/>
    </row>
    <row r="3835" spans="5:35" x14ac:dyDescent="0.25">
      <c r="E3835" s="16"/>
      <c r="F3835" s="16"/>
      <c r="H3835" s="16"/>
      <c r="AG3835" s="80"/>
      <c r="AH3835" s="80"/>
      <c r="AI3835" s="80"/>
    </row>
    <row r="3836" spans="5:35" x14ac:dyDescent="0.25">
      <c r="E3836" s="16"/>
      <c r="F3836" s="16"/>
      <c r="H3836" s="16"/>
      <c r="AG3836" s="80"/>
      <c r="AH3836" s="80"/>
      <c r="AI3836" s="80"/>
    </row>
    <row r="3837" spans="5:35" x14ac:dyDescent="0.25">
      <c r="E3837" s="16"/>
      <c r="F3837" s="16"/>
      <c r="H3837" s="16"/>
      <c r="AG3837" s="80"/>
      <c r="AH3837" s="80"/>
      <c r="AI3837" s="80"/>
    </row>
    <row r="3838" spans="5:35" x14ac:dyDescent="0.25">
      <c r="E3838" s="16"/>
      <c r="F3838" s="16"/>
      <c r="H3838" s="16"/>
      <c r="AG3838" s="80"/>
      <c r="AH3838" s="80"/>
      <c r="AI3838" s="80"/>
    </row>
    <row r="3839" spans="5:35" x14ac:dyDescent="0.25">
      <c r="E3839" s="16"/>
      <c r="F3839" s="16"/>
      <c r="H3839" s="16"/>
      <c r="AG3839" s="80"/>
      <c r="AH3839" s="80"/>
      <c r="AI3839" s="80"/>
    </row>
    <row r="3840" spans="5:35" x14ac:dyDescent="0.25">
      <c r="E3840" s="16"/>
      <c r="F3840" s="16"/>
      <c r="H3840" s="16"/>
      <c r="AG3840" s="80"/>
      <c r="AH3840" s="80"/>
      <c r="AI3840" s="80"/>
    </row>
    <row r="3841" spans="5:35" x14ac:dyDescent="0.25">
      <c r="E3841" s="16"/>
      <c r="F3841" s="16"/>
      <c r="H3841" s="16"/>
      <c r="AG3841" s="80"/>
      <c r="AH3841" s="80"/>
      <c r="AI3841" s="80"/>
    </row>
    <row r="3842" spans="5:35" x14ac:dyDescent="0.25">
      <c r="E3842" s="16"/>
      <c r="F3842" s="16"/>
      <c r="H3842" s="16"/>
      <c r="AG3842" s="80"/>
      <c r="AH3842" s="80"/>
      <c r="AI3842" s="80"/>
    </row>
    <row r="3843" spans="5:35" x14ac:dyDescent="0.25">
      <c r="E3843" s="16"/>
      <c r="F3843" s="16"/>
      <c r="H3843" s="16"/>
      <c r="AG3843" s="80"/>
      <c r="AH3843" s="80"/>
      <c r="AI3843" s="80"/>
    </row>
    <row r="3844" spans="5:35" x14ac:dyDescent="0.25">
      <c r="E3844" s="16"/>
      <c r="F3844" s="16"/>
      <c r="H3844" s="16"/>
      <c r="AG3844" s="80"/>
      <c r="AH3844" s="80"/>
      <c r="AI3844" s="80"/>
    </row>
    <row r="3845" spans="5:35" x14ac:dyDescent="0.25">
      <c r="E3845" s="16"/>
      <c r="F3845" s="16"/>
      <c r="H3845" s="16"/>
      <c r="AG3845" s="80"/>
      <c r="AH3845" s="80"/>
      <c r="AI3845" s="80"/>
    </row>
    <row r="3846" spans="5:35" x14ac:dyDescent="0.25">
      <c r="E3846" s="16"/>
      <c r="F3846" s="16"/>
      <c r="H3846" s="16"/>
      <c r="AG3846" s="80"/>
      <c r="AH3846" s="80"/>
      <c r="AI3846" s="80"/>
    </row>
    <row r="3847" spans="5:35" x14ac:dyDescent="0.25">
      <c r="E3847" s="16"/>
      <c r="F3847" s="16"/>
      <c r="H3847" s="16"/>
      <c r="AG3847" s="80"/>
      <c r="AH3847" s="80"/>
      <c r="AI3847" s="80"/>
    </row>
    <row r="3848" spans="5:35" x14ac:dyDescent="0.25">
      <c r="E3848" s="16"/>
      <c r="F3848" s="16"/>
      <c r="H3848" s="16"/>
      <c r="AG3848" s="80"/>
      <c r="AH3848" s="80"/>
      <c r="AI3848" s="80"/>
    </row>
    <row r="3849" spans="5:35" x14ac:dyDescent="0.25">
      <c r="E3849" s="16"/>
      <c r="F3849" s="16"/>
      <c r="H3849" s="16"/>
      <c r="AG3849" s="80"/>
      <c r="AH3849" s="80"/>
      <c r="AI3849" s="80"/>
    </row>
    <row r="3850" spans="5:35" x14ac:dyDescent="0.25">
      <c r="E3850" s="16"/>
      <c r="F3850" s="16"/>
      <c r="H3850" s="16"/>
      <c r="AG3850" s="80"/>
      <c r="AH3850" s="80"/>
      <c r="AI3850" s="80"/>
    </row>
    <row r="3851" spans="5:35" x14ac:dyDescent="0.25">
      <c r="E3851" s="16"/>
      <c r="F3851" s="16"/>
      <c r="H3851" s="16"/>
      <c r="AG3851" s="80"/>
      <c r="AH3851" s="80"/>
      <c r="AI3851" s="80"/>
    </row>
    <row r="3852" spans="5:35" x14ac:dyDescent="0.25">
      <c r="E3852" s="16"/>
      <c r="F3852" s="16"/>
      <c r="H3852" s="16"/>
      <c r="AG3852" s="80"/>
      <c r="AH3852" s="80"/>
      <c r="AI3852" s="80"/>
    </row>
    <row r="3853" spans="5:35" x14ac:dyDescent="0.25">
      <c r="E3853" s="16"/>
      <c r="F3853" s="16"/>
      <c r="H3853" s="16"/>
      <c r="AG3853" s="80"/>
      <c r="AH3853" s="80"/>
      <c r="AI3853" s="80"/>
    </row>
    <row r="3854" spans="5:35" x14ac:dyDescent="0.25">
      <c r="E3854" s="16"/>
      <c r="F3854" s="16"/>
      <c r="H3854" s="16"/>
      <c r="AG3854" s="80"/>
      <c r="AH3854" s="80"/>
      <c r="AI3854" s="80"/>
    </row>
    <row r="3855" spans="5:35" x14ac:dyDescent="0.25">
      <c r="E3855" s="16"/>
      <c r="F3855" s="16"/>
      <c r="H3855" s="16"/>
      <c r="AG3855" s="80"/>
      <c r="AH3855" s="80"/>
      <c r="AI3855" s="80"/>
    </row>
    <row r="3856" spans="5:35" x14ac:dyDescent="0.25">
      <c r="E3856" s="16"/>
      <c r="F3856" s="16"/>
      <c r="H3856" s="16"/>
      <c r="AG3856" s="80"/>
      <c r="AH3856" s="80"/>
      <c r="AI3856" s="80"/>
    </row>
    <row r="3857" spans="5:35" x14ac:dyDescent="0.25">
      <c r="E3857" s="16"/>
      <c r="F3857" s="16"/>
      <c r="H3857" s="16"/>
      <c r="AG3857" s="80"/>
      <c r="AH3857" s="80"/>
      <c r="AI3857" s="80"/>
    </row>
    <row r="3858" spans="5:35" x14ac:dyDescent="0.25">
      <c r="E3858" s="16"/>
      <c r="F3858" s="16"/>
      <c r="H3858" s="16"/>
      <c r="AG3858" s="80"/>
      <c r="AH3858" s="80"/>
      <c r="AI3858" s="80"/>
    </row>
    <row r="3859" spans="5:35" x14ac:dyDescent="0.25">
      <c r="E3859" s="16"/>
      <c r="F3859" s="16"/>
      <c r="H3859" s="16"/>
      <c r="AG3859" s="80"/>
      <c r="AH3859" s="80"/>
      <c r="AI3859" s="80"/>
    </row>
    <row r="3860" spans="5:35" x14ac:dyDescent="0.25">
      <c r="E3860" s="16"/>
      <c r="F3860" s="16"/>
      <c r="H3860" s="16"/>
      <c r="AG3860" s="80"/>
      <c r="AH3860" s="80"/>
      <c r="AI3860" s="80"/>
    </row>
    <row r="3861" spans="5:35" x14ac:dyDescent="0.25">
      <c r="E3861" s="16"/>
      <c r="F3861" s="16"/>
      <c r="H3861" s="16"/>
      <c r="AG3861" s="80"/>
      <c r="AH3861" s="80"/>
      <c r="AI3861" s="80"/>
    </row>
    <row r="3862" spans="5:35" x14ac:dyDescent="0.25">
      <c r="E3862" s="16"/>
      <c r="F3862" s="16"/>
      <c r="H3862" s="16"/>
      <c r="AG3862" s="80"/>
      <c r="AH3862" s="80"/>
      <c r="AI3862" s="80"/>
    </row>
    <row r="3863" spans="5:35" x14ac:dyDescent="0.25">
      <c r="E3863" s="16"/>
      <c r="F3863" s="16"/>
      <c r="H3863" s="16"/>
      <c r="AG3863" s="80"/>
      <c r="AH3863" s="80"/>
      <c r="AI3863" s="80"/>
    </row>
    <row r="3864" spans="5:35" x14ac:dyDescent="0.25">
      <c r="E3864" s="16"/>
      <c r="F3864" s="16"/>
      <c r="H3864" s="16"/>
      <c r="AG3864" s="80"/>
      <c r="AH3864" s="80"/>
      <c r="AI3864" s="80"/>
    </row>
    <row r="3865" spans="5:35" x14ac:dyDescent="0.25">
      <c r="E3865" s="16"/>
      <c r="F3865" s="16"/>
      <c r="H3865" s="16"/>
      <c r="AG3865" s="80"/>
      <c r="AH3865" s="80"/>
      <c r="AI3865" s="80"/>
    </row>
    <row r="3866" spans="5:35" x14ac:dyDescent="0.25">
      <c r="E3866" s="16"/>
      <c r="F3866" s="16"/>
      <c r="H3866" s="16"/>
      <c r="AG3866" s="80"/>
      <c r="AH3866" s="80"/>
      <c r="AI3866" s="80"/>
    </row>
    <row r="3867" spans="5:35" x14ac:dyDescent="0.25">
      <c r="E3867" s="16"/>
      <c r="F3867" s="16"/>
      <c r="H3867" s="16"/>
      <c r="AG3867" s="80"/>
      <c r="AH3867" s="80"/>
      <c r="AI3867" s="80"/>
    </row>
    <row r="3868" spans="5:35" x14ac:dyDescent="0.25">
      <c r="E3868" s="16"/>
      <c r="F3868" s="16"/>
      <c r="H3868" s="16"/>
      <c r="AG3868" s="80"/>
      <c r="AH3868" s="80"/>
      <c r="AI3868" s="80"/>
    </row>
    <row r="3869" spans="5:35" x14ac:dyDescent="0.25">
      <c r="E3869" s="16"/>
      <c r="F3869" s="16"/>
      <c r="H3869" s="16"/>
      <c r="AG3869" s="80"/>
      <c r="AH3869" s="80"/>
      <c r="AI3869" s="80"/>
    </row>
    <row r="3870" spans="5:35" x14ac:dyDescent="0.25">
      <c r="E3870" s="16"/>
      <c r="F3870" s="16"/>
      <c r="H3870" s="16"/>
      <c r="AG3870" s="80"/>
      <c r="AH3870" s="80"/>
      <c r="AI3870" s="80"/>
    </row>
    <row r="3871" spans="5:35" x14ac:dyDescent="0.25">
      <c r="E3871" s="16"/>
      <c r="F3871" s="16"/>
      <c r="H3871" s="16"/>
      <c r="AG3871" s="80"/>
      <c r="AH3871" s="80"/>
      <c r="AI3871" s="80"/>
    </row>
    <row r="3872" spans="5:35" x14ac:dyDescent="0.25">
      <c r="E3872" s="16"/>
      <c r="F3872" s="16"/>
      <c r="H3872" s="16"/>
      <c r="AG3872" s="80"/>
      <c r="AH3872" s="80"/>
      <c r="AI3872" s="80"/>
    </row>
    <row r="3873" spans="5:35" x14ac:dyDescent="0.25">
      <c r="E3873" s="16"/>
      <c r="F3873" s="16"/>
      <c r="H3873" s="16"/>
      <c r="AG3873" s="80"/>
      <c r="AH3873" s="80"/>
      <c r="AI3873" s="80"/>
    </row>
    <row r="3874" spans="5:35" x14ac:dyDescent="0.25">
      <c r="E3874" s="16"/>
      <c r="F3874" s="16"/>
      <c r="H3874" s="16"/>
      <c r="AG3874" s="80"/>
      <c r="AH3874" s="80"/>
      <c r="AI3874" s="80"/>
    </row>
    <row r="3875" spans="5:35" x14ac:dyDescent="0.25">
      <c r="E3875" s="16"/>
      <c r="F3875" s="16"/>
      <c r="H3875" s="16"/>
      <c r="AG3875" s="80"/>
      <c r="AH3875" s="80"/>
      <c r="AI3875" s="80"/>
    </row>
    <row r="3876" spans="5:35" x14ac:dyDescent="0.25">
      <c r="E3876" s="16"/>
      <c r="F3876" s="16"/>
      <c r="H3876" s="16"/>
      <c r="AG3876" s="80"/>
      <c r="AH3876" s="80"/>
      <c r="AI3876" s="80"/>
    </row>
    <row r="3877" spans="5:35" x14ac:dyDescent="0.25">
      <c r="E3877" s="16"/>
      <c r="F3877" s="16"/>
      <c r="H3877" s="16"/>
      <c r="AG3877" s="80"/>
      <c r="AH3877" s="80"/>
      <c r="AI3877" s="80"/>
    </row>
    <row r="3878" spans="5:35" x14ac:dyDescent="0.25">
      <c r="E3878" s="16"/>
      <c r="F3878" s="16"/>
      <c r="H3878" s="16"/>
      <c r="AG3878" s="80"/>
      <c r="AH3878" s="80"/>
      <c r="AI3878" s="80"/>
    </row>
    <row r="3879" spans="5:35" x14ac:dyDescent="0.25">
      <c r="E3879" s="16"/>
      <c r="F3879" s="16"/>
      <c r="H3879" s="16"/>
      <c r="AG3879" s="80"/>
      <c r="AH3879" s="80"/>
      <c r="AI3879" s="80"/>
    </row>
    <row r="3880" spans="5:35" x14ac:dyDescent="0.25">
      <c r="E3880" s="16"/>
      <c r="F3880" s="16"/>
      <c r="H3880" s="16"/>
      <c r="AG3880" s="80"/>
      <c r="AH3880" s="80"/>
      <c r="AI3880" s="80"/>
    </row>
    <row r="3881" spans="5:35" x14ac:dyDescent="0.25">
      <c r="E3881" s="16"/>
      <c r="F3881" s="16"/>
      <c r="H3881" s="16"/>
      <c r="AG3881" s="80"/>
      <c r="AH3881" s="80"/>
      <c r="AI3881" s="80"/>
    </row>
    <row r="3882" spans="5:35" x14ac:dyDescent="0.25">
      <c r="E3882" s="16"/>
      <c r="F3882" s="16"/>
      <c r="H3882" s="16"/>
      <c r="AG3882" s="80"/>
      <c r="AH3882" s="80"/>
      <c r="AI3882" s="80"/>
    </row>
    <row r="3883" spans="5:35" x14ac:dyDescent="0.25">
      <c r="E3883" s="16"/>
      <c r="F3883" s="16"/>
      <c r="H3883" s="16"/>
      <c r="AG3883" s="80"/>
      <c r="AH3883" s="80"/>
      <c r="AI3883" s="80"/>
    </row>
    <row r="3884" spans="5:35" x14ac:dyDescent="0.25">
      <c r="E3884" s="16"/>
      <c r="F3884" s="16"/>
      <c r="H3884" s="16"/>
      <c r="AG3884" s="80"/>
      <c r="AH3884" s="80"/>
      <c r="AI3884" s="80"/>
    </row>
    <row r="3885" spans="5:35" x14ac:dyDescent="0.25">
      <c r="E3885" s="16"/>
      <c r="F3885" s="16"/>
      <c r="H3885" s="16"/>
      <c r="AG3885" s="80"/>
      <c r="AH3885" s="80"/>
      <c r="AI3885" s="80"/>
    </row>
    <row r="3886" spans="5:35" x14ac:dyDescent="0.25">
      <c r="E3886" s="16"/>
      <c r="F3886" s="16"/>
      <c r="H3886" s="16"/>
      <c r="AG3886" s="80"/>
      <c r="AH3886" s="80"/>
      <c r="AI3886" s="80"/>
    </row>
    <row r="3887" spans="5:35" x14ac:dyDescent="0.25">
      <c r="E3887" s="16"/>
      <c r="F3887" s="16"/>
      <c r="H3887" s="16"/>
      <c r="AG3887" s="80"/>
      <c r="AH3887" s="80"/>
      <c r="AI3887" s="80"/>
    </row>
    <row r="3888" spans="5:35" x14ac:dyDescent="0.25">
      <c r="E3888" s="16"/>
      <c r="F3888" s="16"/>
      <c r="H3888" s="16"/>
      <c r="AG3888" s="80"/>
      <c r="AH3888" s="80"/>
      <c r="AI3888" s="80"/>
    </row>
    <row r="3889" spans="5:35" x14ac:dyDescent="0.25">
      <c r="E3889" s="16"/>
      <c r="F3889" s="16"/>
      <c r="H3889" s="16"/>
      <c r="AG3889" s="80"/>
      <c r="AH3889" s="80"/>
      <c r="AI3889" s="80"/>
    </row>
    <row r="3890" spans="5:35" x14ac:dyDescent="0.25">
      <c r="E3890" s="16"/>
      <c r="F3890" s="16"/>
      <c r="H3890" s="16"/>
      <c r="AG3890" s="80"/>
      <c r="AH3890" s="80"/>
      <c r="AI3890" s="80"/>
    </row>
    <row r="3891" spans="5:35" x14ac:dyDescent="0.25">
      <c r="E3891" s="16"/>
      <c r="F3891" s="16"/>
      <c r="H3891" s="16"/>
      <c r="AG3891" s="80"/>
      <c r="AH3891" s="80"/>
      <c r="AI3891" s="80"/>
    </row>
    <row r="3892" spans="5:35" x14ac:dyDescent="0.25">
      <c r="E3892" s="16"/>
      <c r="F3892" s="16"/>
      <c r="H3892" s="16"/>
      <c r="AG3892" s="80"/>
      <c r="AH3892" s="80"/>
      <c r="AI3892" s="80"/>
    </row>
    <row r="3893" spans="5:35" x14ac:dyDescent="0.25">
      <c r="E3893" s="16"/>
      <c r="F3893" s="16"/>
      <c r="H3893" s="16"/>
      <c r="AG3893" s="80"/>
      <c r="AH3893" s="80"/>
      <c r="AI3893" s="80"/>
    </row>
    <row r="3894" spans="5:35" x14ac:dyDescent="0.25">
      <c r="E3894" s="16"/>
      <c r="F3894" s="16"/>
      <c r="H3894" s="16"/>
      <c r="AG3894" s="80"/>
      <c r="AH3894" s="80"/>
      <c r="AI3894" s="80"/>
    </row>
    <row r="3895" spans="5:35" x14ac:dyDescent="0.25">
      <c r="E3895" s="16"/>
      <c r="F3895" s="16"/>
      <c r="H3895" s="16"/>
      <c r="AG3895" s="80"/>
      <c r="AH3895" s="80"/>
      <c r="AI3895" s="80"/>
    </row>
    <row r="3896" spans="5:35" x14ac:dyDescent="0.25">
      <c r="E3896" s="16"/>
      <c r="F3896" s="16"/>
      <c r="H3896" s="16"/>
      <c r="AG3896" s="80"/>
      <c r="AH3896" s="80"/>
      <c r="AI3896" s="80"/>
    </row>
    <row r="3897" spans="5:35" x14ac:dyDescent="0.25">
      <c r="E3897" s="16"/>
      <c r="F3897" s="16"/>
      <c r="H3897" s="16"/>
      <c r="AG3897" s="80"/>
      <c r="AH3897" s="80"/>
      <c r="AI3897" s="80"/>
    </row>
    <row r="3898" spans="5:35" x14ac:dyDescent="0.25">
      <c r="E3898" s="16"/>
      <c r="F3898" s="16"/>
      <c r="H3898" s="16"/>
      <c r="AG3898" s="80"/>
      <c r="AH3898" s="80"/>
      <c r="AI3898" s="80"/>
    </row>
    <row r="3899" spans="5:35" x14ac:dyDescent="0.25">
      <c r="E3899" s="16"/>
      <c r="F3899" s="16"/>
      <c r="H3899" s="16"/>
      <c r="AG3899" s="80"/>
      <c r="AH3899" s="80"/>
      <c r="AI3899" s="80"/>
    </row>
    <row r="3900" spans="5:35" x14ac:dyDescent="0.25">
      <c r="E3900" s="16"/>
      <c r="F3900" s="16"/>
      <c r="H3900" s="16"/>
      <c r="AG3900" s="80"/>
      <c r="AH3900" s="80"/>
      <c r="AI3900" s="80"/>
    </row>
    <row r="3901" spans="5:35" x14ac:dyDescent="0.25">
      <c r="E3901" s="16"/>
      <c r="F3901" s="16"/>
      <c r="H3901" s="16"/>
      <c r="AG3901" s="80"/>
      <c r="AH3901" s="80"/>
      <c r="AI3901" s="80"/>
    </row>
    <row r="3902" spans="5:35" x14ac:dyDescent="0.25">
      <c r="E3902" s="16"/>
      <c r="F3902" s="16"/>
      <c r="H3902" s="16"/>
      <c r="AG3902" s="80"/>
      <c r="AH3902" s="80"/>
      <c r="AI3902" s="80"/>
    </row>
    <row r="3903" spans="5:35" x14ac:dyDescent="0.25">
      <c r="E3903" s="16"/>
      <c r="F3903" s="16"/>
      <c r="H3903" s="16"/>
      <c r="AG3903" s="80"/>
      <c r="AH3903" s="80"/>
      <c r="AI3903" s="80"/>
    </row>
    <row r="3904" spans="5:35" x14ac:dyDescent="0.25">
      <c r="E3904" s="16"/>
      <c r="F3904" s="16"/>
      <c r="H3904" s="16"/>
      <c r="AG3904" s="80"/>
      <c r="AH3904" s="80"/>
      <c r="AI3904" s="80"/>
    </row>
    <row r="3905" spans="5:35" x14ac:dyDescent="0.25">
      <c r="E3905" s="16"/>
      <c r="F3905" s="16"/>
      <c r="H3905" s="16"/>
      <c r="AG3905" s="80"/>
      <c r="AH3905" s="80"/>
      <c r="AI3905" s="80"/>
    </row>
    <row r="3906" spans="5:35" x14ac:dyDescent="0.25">
      <c r="E3906" s="16"/>
      <c r="F3906" s="16"/>
      <c r="H3906" s="16"/>
      <c r="AG3906" s="80"/>
      <c r="AH3906" s="80"/>
      <c r="AI3906" s="80"/>
    </row>
    <row r="3907" spans="5:35" x14ac:dyDescent="0.25">
      <c r="E3907" s="16"/>
      <c r="F3907" s="16"/>
      <c r="H3907" s="16"/>
      <c r="AG3907" s="80"/>
      <c r="AH3907" s="80"/>
      <c r="AI3907" s="80"/>
    </row>
    <row r="3908" spans="5:35" x14ac:dyDescent="0.25">
      <c r="E3908" s="16"/>
      <c r="F3908" s="16"/>
      <c r="H3908" s="16"/>
      <c r="AG3908" s="80"/>
      <c r="AH3908" s="80"/>
      <c r="AI3908" s="80"/>
    </row>
    <row r="3909" spans="5:35" x14ac:dyDescent="0.25">
      <c r="E3909" s="16"/>
      <c r="F3909" s="16"/>
      <c r="H3909" s="16"/>
      <c r="AG3909" s="80"/>
      <c r="AH3909" s="80"/>
      <c r="AI3909" s="80"/>
    </row>
    <row r="3910" spans="5:35" x14ac:dyDescent="0.25">
      <c r="E3910" s="16"/>
      <c r="F3910" s="16"/>
      <c r="H3910" s="16"/>
      <c r="AG3910" s="80"/>
      <c r="AH3910" s="80"/>
      <c r="AI3910" s="80"/>
    </row>
    <row r="3911" spans="5:35" x14ac:dyDescent="0.25">
      <c r="E3911" s="16"/>
      <c r="F3911" s="16"/>
      <c r="H3911" s="16"/>
      <c r="AG3911" s="80"/>
      <c r="AH3911" s="80"/>
      <c r="AI3911" s="80"/>
    </row>
    <row r="3912" spans="5:35" x14ac:dyDescent="0.25">
      <c r="E3912" s="16"/>
      <c r="F3912" s="16"/>
      <c r="H3912" s="16"/>
      <c r="AG3912" s="80"/>
      <c r="AH3912" s="80"/>
      <c r="AI3912" s="80"/>
    </row>
    <row r="3913" spans="5:35" x14ac:dyDescent="0.25">
      <c r="E3913" s="16"/>
      <c r="F3913" s="16"/>
      <c r="H3913" s="16"/>
      <c r="AG3913" s="80"/>
      <c r="AH3913" s="80"/>
      <c r="AI3913" s="80"/>
    </row>
    <row r="3914" spans="5:35" x14ac:dyDescent="0.25">
      <c r="E3914" s="16"/>
      <c r="F3914" s="16"/>
      <c r="H3914" s="16"/>
      <c r="AG3914" s="80"/>
      <c r="AH3914" s="80"/>
      <c r="AI3914" s="80"/>
    </row>
    <row r="3915" spans="5:35" x14ac:dyDescent="0.25">
      <c r="E3915" s="16"/>
      <c r="F3915" s="16"/>
      <c r="H3915" s="16"/>
      <c r="AG3915" s="80"/>
      <c r="AH3915" s="80"/>
      <c r="AI3915" s="80"/>
    </row>
    <row r="3916" spans="5:35" x14ac:dyDescent="0.25">
      <c r="E3916" s="16"/>
      <c r="F3916" s="16"/>
      <c r="H3916" s="16"/>
      <c r="AG3916" s="80"/>
      <c r="AH3916" s="80"/>
      <c r="AI3916" s="80"/>
    </row>
    <row r="3917" spans="5:35" x14ac:dyDescent="0.25">
      <c r="E3917" s="16"/>
      <c r="F3917" s="16"/>
      <c r="H3917" s="16"/>
      <c r="AG3917" s="80"/>
      <c r="AH3917" s="80"/>
      <c r="AI3917" s="80"/>
    </row>
    <row r="3918" spans="5:35" x14ac:dyDescent="0.25">
      <c r="E3918" s="16"/>
      <c r="F3918" s="16"/>
      <c r="H3918" s="16"/>
      <c r="AG3918" s="80"/>
      <c r="AH3918" s="80"/>
      <c r="AI3918" s="80"/>
    </row>
    <row r="3919" spans="5:35" x14ac:dyDescent="0.25">
      <c r="E3919" s="16"/>
      <c r="F3919" s="16"/>
      <c r="H3919" s="16"/>
      <c r="AG3919" s="80"/>
      <c r="AH3919" s="80"/>
      <c r="AI3919" s="80"/>
    </row>
    <row r="3920" spans="5:35" x14ac:dyDescent="0.25">
      <c r="E3920" s="16"/>
      <c r="F3920" s="16"/>
      <c r="H3920" s="16"/>
      <c r="AG3920" s="80"/>
      <c r="AH3920" s="80"/>
      <c r="AI3920" s="80"/>
    </row>
    <row r="3921" spans="5:35" x14ac:dyDescent="0.25">
      <c r="E3921" s="16"/>
      <c r="F3921" s="16"/>
      <c r="H3921" s="16"/>
      <c r="AG3921" s="80"/>
      <c r="AH3921" s="80"/>
      <c r="AI3921" s="80"/>
    </row>
    <row r="3922" spans="5:35" x14ac:dyDescent="0.25">
      <c r="E3922" s="16"/>
      <c r="F3922" s="16"/>
      <c r="H3922" s="16"/>
      <c r="AG3922" s="80"/>
      <c r="AH3922" s="80"/>
      <c r="AI3922" s="80"/>
    </row>
    <row r="3923" spans="5:35" x14ac:dyDescent="0.25">
      <c r="E3923" s="16"/>
      <c r="F3923" s="16"/>
      <c r="H3923" s="16"/>
      <c r="AG3923" s="80"/>
      <c r="AH3923" s="80"/>
      <c r="AI3923" s="80"/>
    </row>
    <row r="3924" spans="5:35" x14ac:dyDescent="0.25">
      <c r="E3924" s="16"/>
      <c r="F3924" s="16"/>
      <c r="H3924" s="16"/>
      <c r="AG3924" s="80"/>
      <c r="AH3924" s="80"/>
      <c r="AI3924" s="80"/>
    </row>
    <row r="3925" spans="5:35" x14ac:dyDescent="0.25">
      <c r="E3925" s="16"/>
      <c r="F3925" s="16"/>
      <c r="H3925" s="16"/>
      <c r="AG3925" s="80"/>
      <c r="AH3925" s="80"/>
      <c r="AI3925" s="80"/>
    </row>
    <row r="3926" spans="5:35" x14ac:dyDescent="0.25">
      <c r="E3926" s="16"/>
      <c r="F3926" s="16"/>
      <c r="H3926" s="16"/>
      <c r="AG3926" s="80"/>
      <c r="AH3926" s="80"/>
      <c r="AI3926" s="80"/>
    </row>
    <row r="3927" spans="5:35" x14ac:dyDescent="0.25">
      <c r="E3927" s="16"/>
      <c r="F3927" s="16"/>
      <c r="H3927" s="16"/>
      <c r="AG3927" s="80"/>
      <c r="AH3927" s="80"/>
      <c r="AI3927" s="80"/>
    </row>
    <row r="3928" spans="5:35" x14ac:dyDescent="0.25">
      <c r="E3928" s="16"/>
      <c r="F3928" s="16"/>
      <c r="H3928" s="16"/>
      <c r="AG3928" s="80"/>
      <c r="AH3928" s="80"/>
      <c r="AI3928" s="80"/>
    </row>
    <row r="3929" spans="5:35" x14ac:dyDescent="0.25">
      <c r="E3929" s="16"/>
      <c r="F3929" s="16"/>
      <c r="H3929" s="16"/>
      <c r="AG3929" s="80"/>
      <c r="AH3929" s="80"/>
      <c r="AI3929" s="80"/>
    </row>
    <row r="3930" spans="5:35" x14ac:dyDescent="0.25">
      <c r="E3930" s="16"/>
      <c r="F3930" s="16"/>
      <c r="H3930" s="16"/>
      <c r="AG3930" s="80"/>
      <c r="AH3930" s="80"/>
      <c r="AI3930" s="80"/>
    </row>
    <row r="3931" spans="5:35" x14ac:dyDescent="0.25">
      <c r="E3931" s="16"/>
      <c r="F3931" s="16"/>
      <c r="H3931" s="16"/>
      <c r="AG3931" s="80"/>
      <c r="AH3931" s="80"/>
      <c r="AI3931" s="80"/>
    </row>
    <row r="3932" spans="5:35" x14ac:dyDescent="0.25">
      <c r="E3932" s="16"/>
      <c r="F3932" s="16"/>
      <c r="H3932" s="16"/>
      <c r="AG3932" s="80"/>
      <c r="AH3932" s="80"/>
      <c r="AI3932" s="80"/>
    </row>
    <row r="3933" spans="5:35" x14ac:dyDescent="0.25">
      <c r="E3933" s="16"/>
      <c r="F3933" s="16"/>
      <c r="H3933" s="16"/>
      <c r="AG3933" s="80"/>
      <c r="AH3933" s="80"/>
      <c r="AI3933" s="80"/>
    </row>
    <row r="3934" spans="5:35" x14ac:dyDescent="0.25">
      <c r="E3934" s="16"/>
      <c r="F3934" s="16"/>
      <c r="H3934" s="16"/>
      <c r="AG3934" s="80"/>
      <c r="AH3934" s="80"/>
      <c r="AI3934" s="80"/>
    </row>
    <row r="3935" spans="5:35" x14ac:dyDescent="0.25">
      <c r="E3935" s="16"/>
      <c r="F3935" s="16"/>
      <c r="H3935" s="16"/>
      <c r="AG3935" s="80"/>
      <c r="AH3935" s="80"/>
      <c r="AI3935" s="80"/>
    </row>
    <row r="3936" spans="5:35" x14ac:dyDescent="0.25">
      <c r="E3936" s="16"/>
      <c r="F3936" s="16"/>
      <c r="H3936" s="16"/>
      <c r="AG3936" s="80"/>
      <c r="AH3936" s="80"/>
      <c r="AI3936" s="80"/>
    </row>
    <row r="3937" spans="5:35" x14ac:dyDescent="0.25">
      <c r="E3937" s="16"/>
      <c r="F3937" s="16"/>
      <c r="H3937" s="16"/>
      <c r="AG3937" s="80"/>
      <c r="AH3937" s="80"/>
      <c r="AI3937" s="80"/>
    </row>
    <row r="3938" spans="5:35" x14ac:dyDescent="0.25">
      <c r="E3938" s="16"/>
      <c r="F3938" s="16"/>
      <c r="H3938" s="16"/>
      <c r="AG3938" s="80"/>
      <c r="AH3938" s="80"/>
      <c r="AI3938" s="80"/>
    </row>
    <row r="3939" spans="5:35" x14ac:dyDescent="0.25">
      <c r="E3939" s="16"/>
      <c r="F3939" s="16"/>
      <c r="H3939" s="16"/>
      <c r="AG3939" s="80"/>
      <c r="AH3939" s="80"/>
      <c r="AI3939" s="80"/>
    </row>
    <row r="3940" spans="5:35" x14ac:dyDescent="0.25">
      <c r="E3940" s="16"/>
      <c r="F3940" s="16"/>
      <c r="H3940" s="16"/>
      <c r="AG3940" s="80"/>
      <c r="AH3940" s="80"/>
      <c r="AI3940" s="80"/>
    </row>
    <row r="3941" spans="5:35" x14ac:dyDescent="0.25">
      <c r="E3941" s="16"/>
      <c r="F3941" s="16"/>
      <c r="H3941" s="16"/>
      <c r="AG3941" s="80"/>
      <c r="AH3941" s="80"/>
      <c r="AI3941" s="80"/>
    </row>
    <row r="3942" spans="5:35" x14ac:dyDescent="0.25">
      <c r="E3942" s="16"/>
      <c r="F3942" s="16"/>
      <c r="H3942" s="16"/>
      <c r="AG3942" s="80"/>
      <c r="AH3942" s="80"/>
      <c r="AI3942" s="80"/>
    </row>
    <row r="3943" spans="5:35" x14ac:dyDescent="0.25">
      <c r="E3943" s="16"/>
      <c r="F3943" s="16"/>
      <c r="H3943" s="16"/>
      <c r="AG3943" s="80"/>
      <c r="AH3943" s="80"/>
      <c r="AI3943" s="80"/>
    </row>
    <row r="3944" spans="5:35" x14ac:dyDescent="0.25">
      <c r="E3944" s="16"/>
      <c r="F3944" s="16"/>
      <c r="H3944" s="16"/>
      <c r="AG3944" s="80"/>
      <c r="AH3944" s="80"/>
      <c r="AI3944" s="80"/>
    </row>
    <row r="3945" spans="5:35" x14ac:dyDescent="0.25">
      <c r="E3945" s="16"/>
      <c r="F3945" s="16"/>
      <c r="H3945" s="16"/>
      <c r="AG3945" s="80"/>
      <c r="AH3945" s="80"/>
      <c r="AI3945" s="80"/>
    </row>
    <row r="3946" spans="5:35" x14ac:dyDescent="0.25">
      <c r="E3946" s="16"/>
      <c r="F3946" s="16"/>
      <c r="H3946" s="16"/>
      <c r="AG3946" s="80"/>
      <c r="AH3946" s="80"/>
      <c r="AI3946" s="80"/>
    </row>
    <row r="3947" spans="5:35" x14ac:dyDescent="0.25">
      <c r="E3947" s="16"/>
      <c r="F3947" s="16"/>
      <c r="H3947" s="16"/>
      <c r="AG3947" s="80"/>
      <c r="AH3947" s="80"/>
      <c r="AI3947" s="80"/>
    </row>
    <row r="3948" spans="5:35" x14ac:dyDescent="0.25">
      <c r="E3948" s="16"/>
      <c r="F3948" s="16"/>
      <c r="H3948" s="16"/>
      <c r="AG3948" s="80"/>
      <c r="AH3948" s="80"/>
      <c r="AI3948" s="80"/>
    </row>
    <row r="3949" spans="5:35" x14ac:dyDescent="0.25">
      <c r="E3949" s="16"/>
      <c r="F3949" s="16"/>
      <c r="H3949" s="16"/>
      <c r="AG3949" s="80"/>
      <c r="AH3949" s="80"/>
      <c r="AI3949" s="80"/>
    </row>
    <row r="3950" spans="5:35" x14ac:dyDescent="0.25">
      <c r="E3950" s="16"/>
      <c r="F3950" s="16"/>
      <c r="H3950" s="16"/>
      <c r="AG3950" s="80"/>
      <c r="AH3950" s="80"/>
      <c r="AI3950" s="80"/>
    </row>
    <row r="3951" spans="5:35" x14ac:dyDescent="0.25">
      <c r="E3951" s="16"/>
      <c r="F3951" s="16"/>
      <c r="H3951" s="16"/>
      <c r="AG3951" s="80"/>
      <c r="AH3951" s="80"/>
      <c r="AI3951" s="80"/>
    </row>
    <row r="3952" spans="5:35" x14ac:dyDescent="0.25">
      <c r="E3952" s="16"/>
      <c r="F3952" s="16"/>
      <c r="H3952" s="16"/>
      <c r="AG3952" s="80"/>
      <c r="AH3952" s="80"/>
      <c r="AI3952" s="80"/>
    </row>
    <row r="3953" spans="5:35" x14ac:dyDescent="0.25">
      <c r="E3953" s="16"/>
      <c r="F3953" s="16"/>
      <c r="H3953" s="16"/>
      <c r="AG3953" s="80"/>
      <c r="AH3953" s="80"/>
      <c r="AI3953" s="80"/>
    </row>
    <row r="3954" spans="5:35" x14ac:dyDescent="0.25">
      <c r="E3954" s="16"/>
      <c r="F3954" s="16"/>
      <c r="H3954" s="16"/>
      <c r="AG3954" s="80"/>
      <c r="AH3954" s="80"/>
      <c r="AI3954" s="80"/>
    </row>
    <row r="3955" spans="5:35" x14ac:dyDescent="0.25">
      <c r="E3955" s="16"/>
      <c r="F3955" s="16"/>
      <c r="H3955" s="16"/>
      <c r="AG3955" s="80"/>
      <c r="AH3955" s="80"/>
      <c r="AI3955" s="80"/>
    </row>
    <row r="3956" spans="5:35" x14ac:dyDescent="0.25">
      <c r="E3956" s="16"/>
      <c r="F3956" s="16"/>
      <c r="H3956" s="16"/>
      <c r="AG3956" s="80"/>
      <c r="AH3956" s="80"/>
      <c r="AI3956" s="80"/>
    </row>
    <row r="3957" spans="5:35" x14ac:dyDescent="0.25">
      <c r="E3957" s="16"/>
      <c r="F3957" s="16"/>
      <c r="H3957" s="16"/>
      <c r="AG3957" s="80"/>
      <c r="AH3957" s="80"/>
      <c r="AI3957" s="80"/>
    </row>
    <row r="3958" spans="5:35" x14ac:dyDescent="0.25">
      <c r="E3958" s="16"/>
      <c r="F3958" s="16"/>
      <c r="H3958" s="16"/>
      <c r="AG3958" s="80"/>
      <c r="AH3958" s="80"/>
      <c r="AI3958" s="80"/>
    </row>
    <row r="3959" spans="5:35" x14ac:dyDescent="0.25">
      <c r="E3959" s="16"/>
      <c r="F3959" s="16"/>
      <c r="H3959" s="16"/>
      <c r="AG3959" s="80"/>
      <c r="AH3959" s="80"/>
      <c r="AI3959" s="80"/>
    </row>
    <row r="3960" spans="5:35" x14ac:dyDescent="0.25">
      <c r="E3960" s="16"/>
      <c r="F3960" s="16"/>
      <c r="H3960" s="16"/>
      <c r="AG3960" s="80"/>
      <c r="AH3960" s="80"/>
      <c r="AI3960" s="80"/>
    </row>
    <row r="3961" spans="5:35" x14ac:dyDescent="0.25">
      <c r="E3961" s="16"/>
      <c r="F3961" s="16"/>
      <c r="H3961" s="16"/>
      <c r="AG3961" s="80"/>
      <c r="AH3961" s="80"/>
      <c r="AI3961" s="80"/>
    </row>
    <row r="3962" spans="5:35" x14ac:dyDescent="0.25">
      <c r="E3962" s="16"/>
      <c r="F3962" s="16"/>
      <c r="H3962" s="16"/>
      <c r="AG3962" s="80"/>
      <c r="AH3962" s="80"/>
      <c r="AI3962" s="80"/>
    </row>
    <row r="3963" spans="5:35" x14ac:dyDescent="0.25">
      <c r="E3963" s="16"/>
      <c r="F3963" s="16"/>
      <c r="H3963" s="16"/>
      <c r="AG3963" s="80"/>
      <c r="AH3963" s="80"/>
      <c r="AI3963" s="80"/>
    </row>
    <row r="3964" spans="5:35" x14ac:dyDescent="0.25">
      <c r="E3964" s="16"/>
      <c r="F3964" s="16"/>
      <c r="H3964" s="16"/>
      <c r="AG3964" s="80"/>
      <c r="AH3964" s="80"/>
      <c r="AI3964" s="80"/>
    </row>
    <row r="3965" spans="5:35" x14ac:dyDescent="0.25">
      <c r="E3965" s="16"/>
      <c r="F3965" s="16"/>
      <c r="H3965" s="16"/>
      <c r="AG3965" s="80"/>
      <c r="AH3965" s="80"/>
      <c r="AI3965" s="80"/>
    </row>
    <row r="3966" spans="5:35" x14ac:dyDescent="0.25">
      <c r="E3966" s="16"/>
      <c r="F3966" s="16"/>
      <c r="H3966" s="16"/>
      <c r="AG3966" s="80"/>
      <c r="AH3966" s="80"/>
      <c r="AI3966" s="80"/>
    </row>
    <row r="3967" spans="5:35" x14ac:dyDescent="0.25">
      <c r="E3967" s="16"/>
      <c r="F3967" s="16"/>
      <c r="H3967" s="16"/>
      <c r="AG3967" s="80"/>
      <c r="AH3967" s="80"/>
      <c r="AI3967" s="80"/>
    </row>
    <row r="3968" spans="5:35" x14ac:dyDescent="0.25">
      <c r="E3968" s="16"/>
      <c r="F3968" s="16"/>
      <c r="H3968" s="16"/>
      <c r="AG3968" s="80"/>
      <c r="AH3968" s="80"/>
      <c r="AI3968" s="80"/>
    </row>
    <row r="3969" spans="5:35" x14ac:dyDescent="0.25">
      <c r="E3969" s="16"/>
      <c r="F3969" s="16"/>
      <c r="H3969" s="16"/>
      <c r="AG3969" s="80"/>
      <c r="AH3969" s="80"/>
      <c r="AI3969" s="80"/>
    </row>
    <row r="3970" spans="5:35" x14ac:dyDescent="0.25">
      <c r="E3970" s="16"/>
      <c r="F3970" s="16"/>
      <c r="H3970" s="16"/>
      <c r="AG3970" s="80"/>
      <c r="AH3970" s="80"/>
      <c r="AI3970" s="80"/>
    </row>
    <row r="3971" spans="5:35" x14ac:dyDescent="0.25">
      <c r="E3971" s="16"/>
      <c r="F3971" s="16"/>
      <c r="H3971" s="16"/>
      <c r="AG3971" s="80"/>
      <c r="AH3971" s="80"/>
      <c r="AI3971" s="80"/>
    </row>
    <row r="3972" spans="5:35" x14ac:dyDescent="0.25">
      <c r="E3972" s="16"/>
      <c r="F3972" s="16"/>
      <c r="H3972" s="16"/>
      <c r="AG3972" s="80"/>
      <c r="AH3972" s="80"/>
      <c r="AI3972" s="80"/>
    </row>
    <row r="3973" spans="5:35" x14ac:dyDescent="0.25">
      <c r="E3973" s="16"/>
      <c r="F3973" s="16"/>
      <c r="H3973" s="16"/>
      <c r="AG3973" s="80"/>
      <c r="AH3973" s="80"/>
      <c r="AI3973" s="80"/>
    </row>
    <row r="3974" spans="5:35" x14ac:dyDescent="0.25">
      <c r="E3974" s="16"/>
      <c r="F3974" s="16"/>
      <c r="H3974" s="16"/>
      <c r="AG3974" s="80"/>
      <c r="AH3974" s="80"/>
      <c r="AI3974" s="80"/>
    </row>
    <row r="3975" spans="5:35" x14ac:dyDescent="0.25">
      <c r="E3975" s="16"/>
      <c r="F3975" s="16"/>
      <c r="H3975" s="16"/>
      <c r="AG3975" s="80"/>
      <c r="AH3975" s="80"/>
      <c r="AI3975" s="80"/>
    </row>
    <row r="3976" spans="5:35" x14ac:dyDescent="0.25">
      <c r="E3976" s="16"/>
      <c r="F3976" s="16"/>
      <c r="H3976" s="16"/>
      <c r="AG3976" s="80"/>
      <c r="AH3976" s="80"/>
      <c r="AI3976" s="80"/>
    </row>
    <row r="3977" spans="5:35" x14ac:dyDescent="0.25">
      <c r="E3977" s="16"/>
      <c r="F3977" s="16"/>
      <c r="H3977" s="16"/>
      <c r="AG3977" s="80"/>
      <c r="AH3977" s="80"/>
      <c r="AI3977" s="80"/>
    </row>
    <row r="3978" spans="5:35" x14ac:dyDescent="0.25">
      <c r="E3978" s="16"/>
      <c r="F3978" s="16"/>
      <c r="H3978" s="16"/>
      <c r="AG3978" s="80"/>
      <c r="AH3978" s="80"/>
      <c r="AI3978" s="80"/>
    </row>
    <row r="3979" spans="5:35" x14ac:dyDescent="0.25">
      <c r="E3979" s="16"/>
      <c r="F3979" s="16"/>
      <c r="H3979" s="16"/>
      <c r="AG3979" s="80"/>
      <c r="AH3979" s="80"/>
      <c r="AI3979" s="80"/>
    </row>
    <row r="3980" spans="5:35" x14ac:dyDescent="0.25">
      <c r="E3980" s="16"/>
      <c r="F3980" s="16"/>
      <c r="H3980" s="16"/>
      <c r="AG3980" s="80"/>
      <c r="AH3980" s="80"/>
      <c r="AI3980" s="80"/>
    </row>
    <row r="3981" spans="5:35" x14ac:dyDescent="0.25">
      <c r="E3981" s="16"/>
      <c r="F3981" s="16"/>
      <c r="H3981" s="16"/>
      <c r="AG3981" s="80"/>
      <c r="AH3981" s="80"/>
      <c r="AI3981" s="80"/>
    </row>
    <row r="3982" spans="5:35" x14ac:dyDescent="0.25">
      <c r="E3982" s="16"/>
      <c r="F3982" s="16"/>
      <c r="H3982" s="16"/>
      <c r="AG3982" s="80"/>
      <c r="AH3982" s="80"/>
      <c r="AI3982" s="80"/>
    </row>
    <row r="3983" spans="5:35" x14ac:dyDescent="0.25">
      <c r="E3983" s="16"/>
      <c r="F3983" s="16"/>
      <c r="H3983" s="16"/>
      <c r="AG3983" s="80"/>
      <c r="AH3983" s="80"/>
      <c r="AI3983" s="80"/>
    </row>
    <row r="3984" spans="5:35" x14ac:dyDescent="0.25">
      <c r="E3984" s="16"/>
      <c r="F3984" s="16"/>
      <c r="H3984" s="16"/>
      <c r="AG3984" s="80"/>
      <c r="AH3984" s="80"/>
      <c r="AI3984" s="80"/>
    </row>
    <row r="3985" spans="5:35" x14ac:dyDescent="0.25">
      <c r="E3985" s="16"/>
      <c r="F3985" s="16"/>
      <c r="H3985" s="16"/>
      <c r="AG3985" s="80"/>
      <c r="AH3985" s="80"/>
      <c r="AI3985" s="80"/>
    </row>
    <row r="3986" spans="5:35" x14ac:dyDescent="0.25">
      <c r="E3986" s="16"/>
      <c r="F3986" s="16"/>
      <c r="H3986" s="16"/>
      <c r="AG3986" s="80"/>
      <c r="AH3986" s="80"/>
      <c r="AI3986" s="80"/>
    </row>
    <row r="3987" spans="5:35" x14ac:dyDescent="0.25">
      <c r="E3987" s="16"/>
      <c r="F3987" s="16"/>
      <c r="H3987" s="16"/>
      <c r="AG3987" s="80"/>
      <c r="AH3987" s="80"/>
      <c r="AI3987" s="80"/>
    </row>
    <row r="3988" spans="5:35" x14ac:dyDescent="0.25">
      <c r="E3988" s="16"/>
      <c r="F3988" s="16"/>
      <c r="H3988" s="16"/>
      <c r="AG3988" s="80"/>
      <c r="AH3988" s="80"/>
      <c r="AI3988" s="80"/>
    </row>
    <row r="3989" spans="5:35" x14ac:dyDescent="0.25">
      <c r="E3989" s="16"/>
      <c r="F3989" s="16"/>
      <c r="H3989" s="16"/>
      <c r="AG3989" s="80"/>
      <c r="AH3989" s="80"/>
      <c r="AI3989" s="80"/>
    </row>
    <row r="3990" spans="5:35" x14ac:dyDescent="0.25">
      <c r="E3990" s="16"/>
      <c r="F3990" s="16"/>
      <c r="H3990" s="16"/>
      <c r="AG3990" s="80"/>
      <c r="AH3990" s="80"/>
      <c r="AI3990" s="80"/>
    </row>
    <row r="3991" spans="5:35" x14ac:dyDescent="0.25">
      <c r="E3991" s="16"/>
      <c r="F3991" s="16"/>
      <c r="H3991" s="16"/>
      <c r="AG3991" s="80"/>
      <c r="AH3991" s="80"/>
      <c r="AI3991" s="80"/>
    </row>
    <row r="3992" spans="5:35" x14ac:dyDescent="0.25">
      <c r="E3992" s="16"/>
      <c r="F3992" s="16"/>
      <c r="H3992" s="16"/>
      <c r="AG3992" s="80"/>
      <c r="AH3992" s="80"/>
      <c r="AI3992" s="80"/>
    </row>
    <row r="3993" spans="5:35" x14ac:dyDescent="0.25">
      <c r="E3993" s="16"/>
      <c r="F3993" s="16"/>
      <c r="H3993" s="16"/>
      <c r="AG3993" s="80"/>
      <c r="AH3993" s="80"/>
      <c r="AI3993" s="80"/>
    </row>
    <row r="3994" spans="5:35" x14ac:dyDescent="0.25">
      <c r="E3994" s="16"/>
      <c r="F3994" s="16"/>
      <c r="H3994" s="16"/>
      <c r="AG3994" s="80"/>
      <c r="AH3994" s="80"/>
      <c r="AI3994" s="80"/>
    </row>
    <row r="3995" spans="5:35" x14ac:dyDescent="0.25">
      <c r="E3995" s="16"/>
      <c r="F3995" s="16"/>
      <c r="H3995" s="16"/>
      <c r="AG3995" s="80"/>
      <c r="AH3995" s="80"/>
      <c r="AI3995" s="80"/>
    </row>
    <row r="3996" spans="5:35" x14ac:dyDescent="0.25">
      <c r="E3996" s="16"/>
      <c r="F3996" s="16"/>
      <c r="H3996" s="16"/>
      <c r="AG3996" s="80"/>
      <c r="AH3996" s="80"/>
      <c r="AI3996" s="80"/>
    </row>
    <row r="3997" spans="5:35" x14ac:dyDescent="0.25">
      <c r="E3997" s="16"/>
      <c r="F3997" s="16"/>
      <c r="H3997" s="16"/>
      <c r="AG3997" s="80"/>
      <c r="AH3997" s="80"/>
      <c r="AI3997" s="80"/>
    </row>
    <row r="3998" spans="5:35" x14ac:dyDescent="0.25">
      <c r="E3998" s="16"/>
      <c r="F3998" s="16"/>
      <c r="H3998" s="16"/>
      <c r="AG3998" s="80"/>
      <c r="AH3998" s="80"/>
      <c r="AI3998" s="80"/>
    </row>
    <row r="3999" spans="5:35" x14ac:dyDescent="0.25">
      <c r="E3999" s="16"/>
      <c r="F3999" s="16"/>
      <c r="H3999" s="16"/>
      <c r="AG3999" s="80"/>
      <c r="AH3999" s="80"/>
      <c r="AI3999" s="80"/>
    </row>
    <row r="4000" spans="5:35" x14ac:dyDescent="0.25">
      <c r="E4000" s="16"/>
      <c r="F4000" s="16"/>
      <c r="H4000" s="16"/>
      <c r="AG4000" s="80"/>
      <c r="AH4000" s="80"/>
      <c r="AI4000" s="80"/>
    </row>
    <row r="4001" spans="5:35" x14ac:dyDescent="0.25">
      <c r="E4001" s="16"/>
      <c r="F4001" s="16"/>
      <c r="H4001" s="16"/>
      <c r="AG4001" s="80"/>
      <c r="AH4001" s="80"/>
      <c r="AI4001" s="80"/>
    </row>
    <row r="4002" spans="5:35" x14ac:dyDescent="0.25">
      <c r="E4002" s="16"/>
      <c r="F4002" s="16"/>
      <c r="H4002" s="16"/>
      <c r="AG4002" s="80"/>
      <c r="AH4002" s="80"/>
      <c r="AI4002" s="80"/>
    </row>
    <row r="4003" spans="5:35" x14ac:dyDescent="0.25">
      <c r="E4003" s="16"/>
      <c r="F4003" s="16"/>
      <c r="H4003" s="16"/>
      <c r="AG4003" s="80"/>
      <c r="AH4003" s="80"/>
      <c r="AI4003" s="80"/>
    </row>
    <row r="4004" spans="5:35" x14ac:dyDescent="0.25">
      <c r="E4004" s="16"/>
      <c r="F4004" s="16"/>
      <c r="H4004" s="16"/>
      <c r="AG4004" s="80"/>
      <c r="AH4004" s="80"/>
      <c r="AI4004" s="80"/>
    </row>
    <row r="4005" spans="5:35" x14ac:dyDescent="0.25">
      <c r="E4005" s="16"/>
      <c r="F4005" s="16"/>
      <c r="H4005" s="16"/>
      <c r="AG4005" s="80"/>
      <c r="AH4005" s="80"/>
      <c r="AI4005" s="80"/>
    </row>
    <row r="4006" spans="5:35" x14ac:dyDescent="0.25">
      <c r="E4006" s="16"/>
      <c r="F4006" s="16"/>
      <c r="H4006" s="16"/>
      <c r="AG4006" s="80"/>
      <c r="AH4006" s="80"/>
      <c r="AI4006" s="80"/>
    </row>
    <row r="4007" spans="5:35" x14ac:dyDescent="0.25">
      <c r="E4007" s="16"/>
      <c r="F4007" s="16"/>
      <c r="H4007" s="16"/>
      <c r="AG4007" s="80"/>
      <c r="AH4007" s="80"/>
      <c r="AI4007" s="80"/>
    </row>
    <row r="4008" spans="5:35" x14ac:dyDescent="0.25">
      <c r="E4008" s="16"/>
      <c r="F4008" s="16"/>
      <c r="H4008" s="16"/>
      <c r="AG4008" s="80"/>
      <c r="AH4008" s="80"/>
      <c r="AI4008" s="80"/>
    </row>
    <row r="4009" spans="5:35" x14ac:dyDescent="0.25">
      <c r="E4009" s="16"/>
      <c r="F4009" s="16"/>
      <c r="H4009" s="16"/>
      <c r="AG4009" s="80"/>
      <c r="AH4009" s="80"/>
      <c r="AI4009" s="80"/>
    </row>
    <row r="4010" spans="5:35" x14ac:dyDescent="0.25">
      <c r="E4010" s="16"/>
      <c r="F4010" s="16"/>
      <c r="H4010" s="16"/>
      <c r="AG4010" s="80"/>
      <c r="AH4010" s="80"/>
      <c r="AI4010" s="80"/>
    </row>
    <row r="4011" spans="5:35" x14ac:dyDescent="0.25">
      <c r="E4011" s="16"/>
      <c r="F4011" s="16"/>
      <c r="H4011" s="16"/>
      <c r="AG4011" s="80"/>
      <c r="AH4011" s="80"/>
      <c r="AI4011" s="80"/>
    </row>
    <row r="4012" spans="5:35" x14ac:dyDescent="0.25">
      <c r="E4012" s="16"/>
      <c r="F4012" s="16"/>
      <c r="H4012" s="16"/>
      <c r="AG4012" s="80"/>
      <c r="AH4012" s="80"/>
      <c r="AI4012" s="80"/>
    </row>
    <row r="4013" spans="5:35" x14ac:dyDescent="0.25">
      <c r="E4013" s="16"/>
      <c r="F4013" s="16"/>
      <c r="H4013" s="16"/>
      <c r="AG4013" s="80"/>
      <c r="AH4013" s="80"/>
      <c r="AI4013" s="80"/>
    </row>
    <row r="4014" spans="5:35" x14ac:dyDescent="0.25">
      <c r="E4014" s="16"/>
      <c r="F4014" s="16"/>
      <c r="H4014" s="16"/>
      <c r="AG4014" s="80"/>
      <c r="AH4014" s="80"/>
      <c r="AI4014" s="80"/>
    </row>
    <row r="4015" spans="5:35" x14ac:dyDescent="0.25">
      <c r="E4015" s="16"/>
      <c r="F4015" s="16"/>
      <c r="H4015" s="16"/>
      <c r="AG4015" s="80"/>
      <c r="AH4015" s="80"/>
      <c r="AI4015" s="80"/>
    </row>
    <row r="4016" spans="5:35" x14ac:dyDescent="0.25">
      <c r="E4016" s="16"/>
      <c r="F4016" s="16"/>
      <c r="H4016" s="16"/>
      <c r="AG4016" s="80"/>
      <c r="AH4016" s="80"/>
      <c r="AI4016" s="80"/>
    </row>
    <row r="4017" spans="5:35" x14ac:dyDescent="0.25">
      <c r="E4017" s="16"/>
      <c r="F4017" s="16"/>
      <c r="H4017" s="16"/>
      <c r="AG4017" s="80"/>
      <c r="AH4017" s="80"/>
      <c r="AI4017" s="80"/>
    </row>
    <row r="4018" spans="5:35" x14ac:dyDescent="0.25">
      <c r="E4018" s="16"/>
      <c r="F4018" s="16"/>
      <c r="H4018" s="16"/>
      <c r="AG4018" s="80"/>
      <c r="AH4018" s="80"/>
      <c r="AI4018" s="80"/>
    </row>
    <row r="4019" spans="5:35" x14ac:dyDescent="0.25">
      <c r="E4019" s="16"/>
      <c r="F4019" s="16"/>
      <c r="H4019" s="16"/>
      <c r="AG4019" s="80"/>
      <c r="AH4019" s="80"/>
      <c r="AI4019" s="80"/>
    </row>
    <row r="4020" spans="5:35" x14ac:dyDescent="0.25">
      <c r="E4020" s="16"/>
      <c r="F4020" s="16"/>
      <c r="H4020" s="16"/>
      <c r="AG4020" s="80"/>
      <c r="AH4020" s="80"/>
      <c r="AI4020" s="80"/>
    </row>
    <row r="4021" spans="5:35" x14ac:dyDescent="0.25">
      <c r="E4021" s="16"/>
      <c r="F4021" s="16"/>
      <c r="H4021" s="16"/>
      <c r="AG4021" s="80"/>
      <c r="AH4021" s="80"/>
      <c r="AI4021" s="80"/>
    </row>
    <row r="4022" spans="5:35" x14ac:dyDescent="0.25">
      <c r="E4022" s="16"/>
      <c r="F4022" s="16"/>
      <c r="H4022" s="16"/>
      <c r="AG4022" s="80"/>
      <c r="AH4022" s="80"/>
      <c r="AI4022" s="80"/>
    </row>
    <row r="4023" spans="5:35" x14ac:dyDescent="0.25">
      <c r="E4023" s="16"/>
      <c r="F4023" s="16"/>
      <c r="H4023" s="16"/>
      <c r="AG4023" s="80"/>
      <c r="AH4023" s="80"/>
      <c r="AI4023" s="80"/>
    </row>
    <row r="4024" spans="5:35" x14ac:dyDescent="0.25">
      <c r="E4024" s="16"/>
      <c r="F4024" s="16"/>
      <c r="H4024" s="16"/>
      <c r="AG4024" s="80"/>
      <c r="AH4024" s="80"/>
      <c r="AI4024" s="80"/>
    </row>
    <row r="4025" spans="5:35" x14ac:dyDescent="0.25">
      <c r="E4025" s="16"/>
      <c r="F4025" s="16"/>
      <c r="H4025" s="16"/>
      <c r="AG4025" s="80"/>
      <c r="AH4025" s="80"/>
      <c r="AI4025" s="80"/>
    </row>
    <row r="4026" spans="5:35" x14ac:dyDescent="0.25">
      <c r="E4026" s="16"/>
      <c r="F4026" s="16"/>
      <c r="H4026" s="16"/>
      <c r="AG4026" s="80"/>
      <c r="AH4026" s="80"/>
      <c r="AI4026" s="80"/>
    </row>
    <row r="4027" spans="5:35" x14ac:dyDescent="0.25">
      <c r="E4027" s="16"/>
      <c r="F4027" s="16"/>
      <c r="H4027" s="16"/>
      <c r="AG4027" s="80"/>
      <c r="AH4027" s="80"/>
      <c r="AI4027" s="80"/>
    </row>
    <row r="4028" spans="5:35" x14ac:dyDescent="0.25">
      <c r="E4028" s="16"/>
      <c r="F4028" s="16"/>
      <c r="H4028" s="16"/>
      <c r="AG4028" s="80"/>
      <c r="AH4028" s="80"/>
      <c r="AI4028" s="80"/>
    </row>
    <row r="4029" spans="5:35" x14ac:dyDescent="0.25">
      <c r="E4029" s="16"/>
      <c r="F4029" s="16"/>
      <c r="H4029" s="16"/>
      <c r="AG4029" s="80"/>
      <c r="AH4029" s="80"/>
      <c r="AI4029" s="80"/>
    </row>
    <row r="4030" spans="5:35" x14ac:dyDescent="0.25">
      <c r="E4030" s="16"/>
      <c r="F4030" s="16"/>
      <c r="H4030" s="16"/>
      <c r="AG4030" s="80"/>
      <c r="AH4030" s="80"/>
      <c r="AI4030" s="80"/>
    </row>
    <row r="4031" spans="5:35" x14ac:dyDescent="0.25">
      <c r="E4031" s="16"/>
      <c r="F4031" s="16"/>
      <c r="H4031" s="16"/>
      <c r="AG4031" s="80"/>
      <c r="AH4031" s="80"/>
      <c r="AI4031" s="80"/>
    </row>
    <row r="4032" spans="5:35" x14ac:dyDescent="0.25">
      <c r="E4032" s="16"/>
      <c r="F4032" s="16"/>
      <c r="H4032" s="16"/>
      <c r="AG4032" s="80"/>
      <c r="AH4032" s="80"/>
      <c r="AI4032" s="80"/>
    </row>
    <row r="4033" spans="5:35" x14ac:dyDescent="0.25">
      <c r="E4033" s="16"/>
      <c r="F4033" s="16"/>
      <c r="H4033" s="16"/>
      <c r="AG4033" s="80"/>
      <c r="AH4033" s="80"/>
      <c r="AI4033" s="80"/>
    </row>
    <row r="4034" spans="5:35" x14ac:dyDescent="0.25">
      <c r="E4034" s="16"/>
      <c r="F4034" s="16"/>
      <c r="H4034" s="16"/>
      <c r="AG4034" s="80"/>
      <c r="AH4034" s="80"/>
      <c r="AI4034" s="80"/>
    </row>
    <row r="4035" spans="5:35" x14ac:dyDescent="0.25">
      <c r="E4035" s="16"/>
      <c r="F4035" s="16"/>
      <c r="H4035" s="16"/>
      <c r="AG4035" s="80"/>
      <c r="AH4035" s="80"/>
      <c r="AI4035" s="80"/>
    </row>
    <row r="4036" spans="5:35" x14ac:dyDescent="0.25">
      <c r="E4036" s="16"/>
      <c r="F4036" s="16"/>
      <c r="H4036" s="16"/>
      <c r="AG4036" s="80"/>
      <c r="AH4036" s="80"/>
      <c r="AI4036" s="80"/>
    </row>
    <row r="4037" spans="5:35" x14ac:dyDescent="0.25">
      <c r="E4037" s="16"/>
      <c r="F4037" s="16"/>
      <c r="H4037" s="16"/>
      <c r="AG4037" s="80"/>
      <c r="AH4037" s="80"/>
      <c r="AI4037" s="80"/>
    </row>
    <row r="4038" spans="5:35" x14ac:dyDescent="0.25">
      <c r="E4038" s="16"/>
      <c r="F4038" s="16"/>
      <c r="H4038" s="16"/>
      <c r="AG4038" s="80"/>
      <c r="AH4038" s="80"/>
      <c r="AI4038" s="80"/>
    </row>
    <row r="4039" spans="5:35" x14ac:dyDescent="0.25">
      <c r="E4039" s="16"/>
      <c r="F4039" s="16"/>
      <c r="H4039" s="16"/>
      <c r="AG4039" s="80"/>
      <c r="AH4039" s="80"/>
      <c r="AI4039" s="80"/>
    </row>
    <row r="4040" spans="5:35" x14ac:dyDescent="0.25">
      <c r="E4040" s="16"/>
      <c r="F4040" s="16"/>
      <c r="H4040" s="16"/>
      <c r="AG4040" s="80"/>
      <c r="AH4040" s="80"/>
      <c r="AI4040" s="80"/>
    </row>
    <row r="4041" spans="5:35" x14ac:dyDescent="0.25">
      <c r="E4041" s="16"/>
      <c r="F4041" s="16"/>
      <c r="H4041" s="16"/>
      <c r="AG4041" s="80"/>
      <c r="AH4041" s="80"/>
      <c r="AI4041" s="80"/>
    </row>
    <row r="4042" spans="5:35" x14ac:dyDescent="0.25">
      <c r="E4042" s="16"/>
      <c r="F4042" s="16"/>
      <c r="H4042" s="16"/>
      <c r="AG4042" s="80"/>
      <c r="AH4042" s="80"/>
      <c r="AI4042" s="80"/>
    </row>
    <row r="4043" spans="5:35" x14ac:dyDescent="0.25">
      <c r="E4043" s="16"/>
      <c r="F4043" s="16"/>
      <c r="H4043" s="16"/>
      <c r="AG4043" s="80"/>
      <c r="AH4043" s="80"/>
      <c r="AI4043" s="80"/>
    </row>
    <row r="4044" spans="5:35" x14ac:dyDescent="0.25">
      <c r="E4044" s="16"/>
      <c r="F4044" s="16"/>
      <c r="H4044" s="16"/>
      <c r="AG4044" s="80"/>
      <c r="AH4044" s="80"/>
      <c r="AI4044" s="80"/>
    </row>
    <row r="4045" spans="5:35" x14ac:dyDescent="0.25">
      <c r="E4045" s="16"/>
      <c r="F4045" s="16"/>
      <c r="H4045" s="16"/>
      <c r="AG4045" s="80"/>
      <c r="AH4045" s="80"/>
      <c r="AI4045" s="80"/>
    </row>
    <row r="4046" spans="5:35" x14ac:dyDescent="0.25">
      <c r="E4046" s="16"/>
      <c r="F4046" s="16"/>
      <c r="H4046" s="16"/>
      <c r="AG4046" s="80"/>
      <c r="AH4046" s="80"/>
      <c r="AI4046" s="80"/>
    </row>
    <row r="4047" spans="5:35" x14ac:dyDescent="0.25">
      <c r="E4047" s="16"/>
      <c r="F4047" s="16"/>
      <c r="H4047" s="16"/>
      <c r="AG4047" s="80"/>
      <c r="AH4047" s="80"/>
      <c r="AI4047" s="80"/>
    </row>
    <row r="4048" spans="5:35" x14ac:dyDescent="0.25">
      <c r="E4048" s="16"/>
      <c r="F4048" s="16"/>
      <c r="H4048" s="16"/>
      <c r="AG4048" s="80"/>
      <c r="AH4048" s="80"/>
      <c r="AI4048" s="80"/>
    </row>
    <row r="4049" spans="5:35" x14ac:dyDescent="0.25">
      <c r="E4049" s="16"/>
      <c r="F4049" s="16"/>
      <c r="H4049" s="16"/>
      <c r="AG4049" s="80"/>
      <c r="AH4049" s="80"/>
      <c r="AI4049" s="80"/>
    </row>
    <row r="4050" spans="5:35" x14ac:dyDescent="0.25">
      <c r="E4050" s="16"/>
      <c r="F4050" s="16"/>
      <c r="H4050" s="16"/>
      <c r="AG4050" s="80"/>
      <c r="AH4050" s="80"/>
      <c r="AI4050" s="80"/>
    </row>
    <row r="4051" spans="5:35" x14ac:dyDescent="0.25">
      <c r="E4051" s="16"/>
      <c r="F4051" s="16"/>
      <c r="H4051" s="16"/>
      <c r="AG4051" s="80"/>
      <c r="AH4051" s="80"/>
      <c r="AI4051" s="80"/>
    </row>
    <row r="4052" spans="5:35" x14ac:dyDescent="0.25">
      <c r="E4052" s="16"/>
      <c r="F4052" s="16"/>
      <c r="H4052" s="16"/>
      <c r="AG4052" s="80"/>
      <c r="AH4052" s="80"/>
      <c r="AI4052" s="80"/>
    </row>
    <row r="4053" spans="5:35" x14ac:dyDescent="0.25">
      <c r="E4053" s="16"/>
      <c r="F4053" s="16"/>
      <c r="H4053" s="16"/>
      <c r="AG4053" s="80"/>
      <c r="AH4053" s="80"/>
      <c r="AI4053" s="80"/>
    </row>
    <row r="4054" spans="5:35" x14ac:dyDescent="0.25">
      <c r="E4054" s="16"/>
      <c r="F4054" s="16"/>
      <c r="H4054" s="16"/>
      <c r="AG4054" s="80"/>
      <c r="AH4054" s="80"/>
      <c r="AI4054" s="80"/>
    </row>
    <row r="4055" spans="5:35" x14ac:dyDescent="0.25">
      <c r="E4055" s="16"/>
      <c r="F4055" s="16"/>
      <c r="H4055" s="16"/>
      <c r="AG4055" s="80"/>
      <c r="AH4055" s="80"/>
      <c r="AI4055" s="80"/>
    </row>
    <row r="4056" spans="5:35" x14ac:dyDescent="0.25">
      <c r="E4056" s="16"/>
      <c r="F4056" s="16"/>
      <c r="H4056" s="16"/>
      <c r="AG4056" s="80"/>
      <c r="AH4056" s="80"/>
      <c r="AI4056" s="80"/>
    </row>
    <row r="4057" spans="5:35" x14ac:dyDescent="0.25">
      <c r="E4057" s="16"/>
      <c r="F4057" s="16"/>
      <c r="H4057" s="16"/>
      <c r="AG4057" s="80"/>
      <c r="AH4057" s="80"/>
      <c r="AI4057" s="80"/>
    </row>
    <row r="4058" spans="5:35" x14ac:dyDescent="0.25">
      <c r="E4058" s="16"/>
      <c r="F4058" s="16"/>
      <c r="H4058" s="16"/>
      <c r="AG4058" s="80"/>
      <c r="AH4058" s="80"/>
      <c r="AI4058" s="80"/>
    </row>
    <row r="4059" spans="5:35" x14ac:dyDescent="0.25">
      <c r="E4059" s="16"/>
      <c r="F4059" s="16"/>
      <c r="H4059" s="16"/>
      <c r="AG4059" s="80"/>
      <c r="AH4059" s="80"/>
      <c r="AI4059" s="80"/>
    </row>
    <row r="4060" spans="5:35" x14ac:dyDescent="0.25">
      <c r="E4060" s="16"/>
      <c r="F4060" s="16"/>
      <c r="H4060" s="16"/>
      <c r="AG4060" s="80"/>
      <c r="AH4060" s="80"/>
      <c r="AI4060" s="80"/>
    </row>
    <row r="4061" spans="5:35" x14ac:dyDescent="0.25">
      <c r="E4061" s="16"/>
      <c r="F4061" s="16"/>
      <c r="H4061" s="16"/>
      <c r="AG4061" s="80"/>
      <c r="AH4061" s="80"/>
      <c r="AI4061" s="80"/>
    </row>
    <row r="4062" spans="5:35" x14ac:dyDescent="0.25">
      <c r="E4062" s="16"/>
      <c r="F4062" s="16"/>
      <c r="H4062" s="16"/>
      <c r="AG4062" s="80"/>
      <c r="AH4062" s="80"/>
      <c r="AI4062" s="80"/>
    </row>
    <row r="4063" spans="5:35" x14ac:dyDescent="0.25">
      <c r="E4063" s="16"/>
      <c r="F4063" s="16"/>
      <c r="H4063" s="16"/>
      <c r="AG4063" s="80"/>
      <c r="AH4063" s="80"/>
      <c r="AI4063" s="80"/>
    </row>
    <row r="4064" spans="5:35" x14ac:dyDescent="0.25">
      <c r="E4064" s="16"/>
      <c r="F4064" s="16"/>
      <c r="H4064" s="16"/>
      <c r="AG4064" s="80"/>
      <c r="AH4064" s="80"/>
      <c r="AI4064" s="80"/>
    </row>
    <row r="4065" spans="5:35" x14ac:dyDescent="0.25">
      <c r="E4065" s="16"/>
      <c r="F4065" s="16"/>
      <c r="H4065" s="16"/>
      <c r="AG4065" s="80"/>
      <c r="AH4065" s="80"/>
      <c r="AI4065" s="80"/>
    </row>
    <row r="4066" spans="5:35" x14ac:dyDescent="0.25">
      <c r="E4066" s="16"/>
      <c r="F4066" s="16"/>
      <c r="H4066" s="16"/>
      <c r="AG4066" s="80"/>
      <c r="AH4066" s="80"/>
      <c r="AI4066" s="80"/>
    </row>
    <row r="4067" spans="5:35" x14ac:dyDescent="0.25">
      <c r="E4067" s="16"/>
      <c r="F4067" s="16"/>
      <c r="H4067" s="16"/>
      <c r="AG4067" s="80"/>
      <c r="AH4067" s="80"/>
      <c r="AI4067" s="80"/>
    </row>
    <row r="4068" spans="5:35" x14ac:dyDescent="0.25">
      <c r="E4068" s="16"/>
      <c r="F4068" s="16"/>
      <c r="H4068" s="16"/>
      <c r="AG4068" s="80"/>
      <c r="AH4068" s="80"/>
      <c r="AI4068" s="80"/>
    </row>
    <row r="4069" spans="5:35" x14ac:dyDescent="0.25">
      <c r="E4069" s="16"/>
      <c r="F4069" s="16"/>
      <c r="H4069" s="16"/>
      <c r="AG4069" s="80"/>
      <c r="AH4069" s="80"/>
      <c r="AI4069" s="80"/>
    </row>
    <row r="4070" spans="5:35" x14ac:dyDescent="0.25">
      <c r="E4070" s="16"/>
      <c r="F4070" s="16"/>
      <c r="H4070" s="16"/>
      <c r="AG4070" s="80"/>
      <c r="AH4070" s="80"/>
      <c r="AI4070" s="80"/>
    </row>
    <row r="4071" spans="5:35" x14ac:dyDescent="0.25">
      <c r="E4071" s="16"/>
      <c r="F4071" s="16"/>
      <c r="H4071" s="16"/>
      <c r="AG4071" s="80"/>
      <c r="AH4071" s="80"/>
      <c r="AI4071" s="80"/>
    </row>
    <row r="4072" spans="5:35" x14ac:dyDescent="0.25">
      <c r="E4072" s="16"/>
      <c r="F4072" s="16"/>
      <c r="H4072" s="16"/>
      <c r="AG4072" s="80"/>
      <c r="AH4072" s="80"/>
      <c r="AI4072" s="80"/>
    </row>
    <row r="4073" spans="5:35" x14ac:dyDescent="0.25">
      <c r="E4073" s="16"/>
      <c r="F4073" s="16"/>
      <c r="H4073" s="16"/>
      <c r="AG4073" s="80"/>
      <c r="AH4073" s="80"/>
      <c r="AI4073" s="80"/>
    </row>
    <row r="4074" spans="5:35" x14ac:dyDescent="0.25">
      <c r="E4074" s="16"/>
      <c r="F4074" s="16"/>
      <c r="H4074" s="16"/>
      <c r="AG4074" s="80"/>
      <c r="AH4074" s="80"/>
      <c r="AI4074" s="80"/>
    </row>
    <row r="4075" spans="5:35" x14ac:dyDescent="0.25">
      <c r="E4075" s="16"/>
      <c r="F4075" s="16"/>
      <c r="H4075" s="16"/>
      <c r="AG4075" s="80"/>
      <c r="AH4075" s="80"/>
      <c r="AI4075" s="80"/>
    </row>
    <row r="4076" spans="5:35" x14ac:dyDescent="0.25">
      <c r="E4076" s="16"/>
      <c r="F4076" s="16"/>
      <c r="H4076" s="16"/>
      <c r="AG4076" s="80"/>
      <c r="AH4076" s="80"/>
      <c r="AI4076" s="80"/>
    </row>
    <row r="4077" spans="5:35" x14ac:dyDescent="0.25">
      <c r="E4077" s="16"/>
      <c r="F4077" s="16"/>
      <c r="H4077" s="16"/>
      <c r="AG4077" s="80"/>
      <c r="AH4077" s="80"/>
      <c r="AI4077" s="80"/>
    </row>
    <row r="4078" spans="5:35" x14ac:dyDescent="0.25">
      <c r="E4078" s="16"/>
      <c r="F4078" s="16"/>
      <c r="H4078" s="16"/>
      <c r="AG4078" s="80"/>
      <c r="AH4078" s="80"/>
      <c r="AI4078" s="80"/>
    </row>
    <row r="4079" spans="5:35" x14ac:dyDescent="0.25">
      <c r="E4079" s="16"/>
      <c r="F4079" s="16"/>
      <c r="H4079" s="16"/>
      <c r="AG4079" s="80"/>
      <c r="AH4079" s="80"/>
      <c r="AI4079" s="80"/>
    </row>
    <row r="4080" spans="5:35" x14ac:dyDescent="0.25">
      <c r="E4080" s="16"/>
      <c r="F4080" s="16"/>
      <c r="H4080" s="16"/>
      <c r="AG4080" s="80"/>
      <c r="AH4080" s="80"/>
      <c r="AI4080" s="80"/>
    </row>
    <row r="4081" spans="5:35" x14ac:dyDescent="0.25">
      <c r="E4081" s="16"/>
      <c r="F4081" s="16"/>
      <c r="H4081" s="16"/>
      <c r="AG4081" s="80"/>
      <c r="AH4081" s="80"/>
      <c r="AI4081" s="80"/>
    </row>
    <row r="4082" spans="5:35" x14ac:dyDescent="0.25">
      <c r="E4082" s="16"/>
      <c r="F4082" s="16"/>
      <c r="H4082" s="16"/>
      <c r="AG4082" s="80"/>
      <c r="AH4082" s="80"/>
      <c r="AI4082" s="80"/>
    </row>
    <row r="4083" spans="5:35" x14ac:dyDescent="0.25">
      <c r="E4083" s="16"/>
      <c r="F4083" s="16"/>
      <c r="H4083" s="16"/>
      <c r="AG4083" s="80"/>
      <c r="AH4083" s="80"/>
      <c r="AI4083" s="80"/>
    </row>
    <row r="4084" spans="5:35" x14ac:dyDescent="0.25">
      <c r="E4084" s="16"/>
      <c r="F4084" s="16"/>
      <c r="H4084" s="16"/>
      <c r="AG4084" s="80"/>
      <c r="AH4084" s="80"/>
      <c r="AI4084" s="80"/>
    </row>
    <row r="4085" spans="5:35" x14ac:dyDescent="0.25">
      <c r="E4085" s="16"/>
      <c r="F4085" s="16"/>
      <c r="H4085" s="16"/>
      <c r="AG4085" s="80"/>
      <c r="AH4085" s="80"/>
      <c r="AI4085" s="80"/>
    </row>
    <row r="4086" spans="5:35" x14ac:dyDescent="0.25">
      <c r="E4086" s="16"/>
      <c r="F4086" s="16"/>
      <c r="H4086" s="16"/>
      <c r="AG4086" s="80"/>
      <c r="AH4086" s="80"/>
      <c r="AI4086" s="80"/>
    </row>
    <row r="4087" spans="5:35" x14ac:dyDescent="0.25">
      <c r="E4087" s="16"/>
      <c r="F4087" s="16"/>
      <c r="H4087" s="16"/>
      <c r="AG4087" s="80"/>
      <c r="AH4087" s="80"/>
      <c r="AI4087" s="80"/>
    </row>
    <row r="4088" spans="5:35" x14ac:dyDescent="0.25">
      <c r="E4088" s="16"/>
      <c r="F4088" s="16"/>
      <c r="H4088" s="16"/>
      <c r="AG4088" s="80"/>
      <c r="AH4088" s="80"/>
      <c r="AI4088" s="80"/>
    </row>
    <row r="4089" spans="5:35" x14ac:dyDescent="0.25">
      <c r="E4089" s="16"/>
      <c r="F4089" s="16"/>
      <c r="H4089" s="16"/>
      <c r="AG4089" s="80"/>
      <c r="AH4089" s="80"/>
      <c r="AI4089" s="80"/>
    </row>
    <row r="4090" spans="5:35" x14ac:dyDescent="0.25">
      <c r="E4090" s="16"/>
      <c r="F4090" s="16"/>
      <c r="H4090" s="16"/>
      <c r="AG4090" s="80"/>
      <c r="AH4090" s="80"/>
      <c r="AI4090" s="80"/>
    </row>
    <row r="4091" spans="5:35" x14ac:dyDescent="0.25">
      <c r="E4091" s="16"/>
      <c r="F4091" s="16"/>
      <c r="H4091" s="16"/>
      <c r="AG4091" s="80"/>
      <c r="AH4091" s="80"/>
      <c r="AI4091" s="80"/>
    </row>
    <row r="4092" spans="5:35" x14ac:dyDescent="0.25">
      <c r="E4092" s="16"/>
      <c r="F4092" s="16"/>
      <c r="H4092" s="16"/>
      <c r="AG4092" s="80"/>
      <c r="AH4092" s="80"/>
      <c r="AI4092" s="80"/>
    </row>
    <row r="4093" spans="5:35" x14ac:dyDescent="0.25">
      <c r="E4093" s="16"/>
      <c r="F4093" s="16"/>
      <c r="H4093" s="16"/>
      <c r="AG4093" s="80"/>
      <c r="AH4093" s="80"/>
      <c r="AI4093" s="80"/>
    </row>
    <row r="4094" spans="5:35" x14ac:dyDescent="0.25">
      <c r="E4094" s="16"/>
      <c r="F4094" s="16"/>
      <c r="H4094" s="16"/>
      <c r="AG4094" s="80"/>
      <c r="AH4094" s="80"/>
      <c r="AI4094" s="80"/>
    </row>
    <row r="4095" spans="5:35" x14ac:dyDescent="0.25">
      <c r="E4095" s="16"/>
      <c r="F4095" s="16"/>
      <c r="H4095" s="16"/>
      <c r="AG4095" s="80"/>
      <c r="AH4095" s="80"/>
      <c r="AI4095" s="80"/>
    </row>
    <row r="4096" spans="5:35" x14ac:dyDescent="0.25">
      <c r="E4096" s="16"/>
      <c r="F4096" s="16"/>
      <c r="H4096" s="16"/>
      <c r="AG4096" s="80"/>
      <c r="AH4096" s="80"/>
      <c r="AI4096" s="80"/>
    </row>
    <row r="4097" spans="5:35" x14ac:dyDescent="0.25">
      <c r="E4097" s="16"/>
      <c r="F4097" s="16"/>
      <c r="H4097" s="16"/>
      <c r="AG4097" s="80"/>
      <c r="AH4097" s="80"/>
      <c r="AI4097" s="80"/>
    </row>
    <row r="4098" spans="5:35" x14ac:dyDescent="0.25">
      <c r="E4098" s="16"/>
      <c r="F4098" s="16"/>
      <c r="H4098" s="16"/>
      <c r="AG4098" s="80"/>
      <c r="AH4098" s="80"/>
      <c r="AI4098" s="80"/>
    </row>
    <row r="4099" spans="5:35" x14ac:dyDescent="0.25">
      <c r="E4099" s="16"/>
      <c r="F4099" s="16"/>
      <c r="H4099" s="16"/>
      <c r="AG4099" s="80"/>
      <c r="AH4099" s="80"/>
      <c r="AI4099" s="80"/>
    </row>
    <row r="4100" spans="5:35" x14ac:dyDescent="0.25">
      <c r="E4100" s="16"/>
      <c r="F4100" s="16"/>
      <c r="H4100" s="16"/>
      <c r="AG4100" s="80"/>
      <c r="AH4100" s="80"/>
      <c r="AI4100" s="80"/>
    </row>
    <row r="4101" spans="5:35" x14ac:dyDescent="0.25">
      <c r="E4101" s="16"/>
      <c r="F4101" s="16"/>
      <c r="H4101" s="16"/>
      <c r="AG4101" s="80"/>
      <c r="AH4101" s="80"/>
      <c r="AI4101" s="80"/>
    </row>
    <row r="4102" spans="5:35" x14ac:dyDescent="0.25">
      <c r="E4102" s="16"/>
      <c r="F4102" s="16"/>
      <c r="H4102" s="16"/>
      <c r="AG4102" s="80"/>
      <c r="AH4102" s="80"/>
      <c r="AI4102" s="80"/>
    </row>
    <row r="4103" spans="5:35" x14ac:dyDescent="0.25">
      <c r="E4103" s="16"/>
      <c r="F4103" s="16"/>
      <c r="H4103" s="16"/>
      <c r="AG4103" s="80"/>
      <c r="AH4103" s="80"/>
      <c r="AI4103" s="80"/>
    </row>
    <row r="4104" spans="5:35" x14ac:dyDescent="0.25">
      <c r="E4104" s="16"/>
      <c r="F4104" s="16"/>
      <c r="H4104" s="16"/>
      <c r="AG4104" s="80"/>
      <c r="AH4104" s="80"/>
      <c r="AI4104" s="80"/>
    </row>
    <row r="4105" spans="5:35" x14ac:dyDescent="0.25">
      <c r="E4105" s="16"/>
      <c r="F4105" s="16"/>
      <c r="H4105" s="16"/>
      <c r="AG4105" s="80"/>
      <c r="AH4105" s="80"/>
      <c r="AI4105" s="80"/>
    </row>
    <row r="4106" spans="5:35" x14ac:dyDescent="0.25">
      <c r="E4106" s="16"/>
      <c r="F4106" s="16"/>
      <c r="H4106" s="16"/>
      <c r="AG4106" s="80"/>
      <c r="AH4106" s="80"/>
      <c r="AI4106" s="80"/>
    </row>
    <row r="4107" spans="5:35" x14ac:dyDescent="0.25">
      <c r="E4107" s="16"/>
      <c r="F4107" s="16"/>
      <c r="H4107" s="16"/>
      <c r="AG4107" s="80"/>
      <c r="AH4107" s="80"/>
      <c r="AI4107" s="80"/>
    </row>
    <row r="4108" spans="5:35" x14ac:dyDescent="0.25">
      <c r="E4108" s="16"/>
      <c r="F4108" s="16"/>
      <c r="H4108" s="16"/>
      <c r="AG4108" s="80"/>
      <c r="AH4108" s="80"/>
      <c r="AI4108" s="80"/>
    </row>
    <row r="4109" spans="5:35" x14ac:dyDescent="0.25">
      <c r="E4109" s="16"/>
      <c r="F4109" s="16"/>
      <c r="H4109" s="16"/>
      <c r="AG4109" s="80"/>
      <c r="AH4109" s="80"/>
      <c r="AI4109" s="80"/>
    </row>
    <row r="4110" spans="5:35" x14ac:dyDescent="0.25">
      <c r="E4110" s="16"/>
      <c r="F4110" s="16"/>
      <c r="H4110" s="16"/>
      <c r="AG4110" s="80"/>
      <c r="AH4110" s="80"/>
      <c r="AI4110" s="80"/>
    </row>
    <row r="4111" spans="5:35" x14ac:dyDescent="0.25">
      <c r="E4111" s="16"/>
      <c r="F4111" s="16"/>
      <c r="H4111" s="16"/>
      <c r="AG4111" s="80"/>
      <c r="AH4111" s="80"/>
      <c r="AI4111" s="80"/>
    </row>
    <row r="4112" spans="5:35" x14ac:dyDescent="0.25">
      <c r="E4112" s="16"/>
      <c r="F4112" s="16"/>
      <c r="H4112" s="16"/>
      <c r="AG4112" s="80"/>
      <c r="AH4112" s="80"/>
      <c r="AI4112" s="80"/>
    </row>
    <row r="4113" spans="5:35" x14ac:dyDescent="0.25">
      <c r="E4113" s="16"/>
      <c r="F4113" s="16"/>
      <c r="H4113" s="16"/>
      <c r="AG4113" s="80"/>
      <c r="AH4113" s="80"/>
      <c r="AI4113" s="80"/>
    </row>
    <row r="4114" spans="5:35" x14ac:dyDescent="0.25">
      <c r="E4114" s="16"/>
      <c r="F4114" s="16"/>
      <c r="H4114" s="16"/>
      <c r="AG4114" s="80"/>
      <c r="AH4114" s="80"/>
      <c r="AI4114" s="80"/>
    </row>
    <row r="4115" spans="5:35" x14ac:dyDescent="0.25">
      <c r="E4115" s="16"/>
      <c r="F4115" s="16"/>
      <c r="H4115" s="16"/>
      <c r="AG4115" s="80"/>
      <c r="AH4115" s="80"/>
      <c r="AI4115" s="80"/>
    </row>
    <row r="4116" spans="5:35" x14ac:dyDescent="0.25">
      <c r="E4116" s="16"/>
      <c r="F4116" s="16"/>
      <c r="H4116" s="16"/>
      <c r="AG4116" s="80"/>
      <c r="AH4116" s="80"/>
      <c r="AI4116" s="80"/>
    </row>
    <row r="4117" spans="5:35" x14ac:dyDescent="0.25">
      <c r="E4117" s="16"/>
      <c r="F4117" s="16"/>
      <c r="H4117" s="16"/>
      <c r="AG4117" s="80"/>
      <c r="AH4117" s="80"/>
      <c r="AI4117" s="80"/>
    </row>
    <row r="4118" spans="5:35" x14ac:dyDescent="0.25">
      <c r="E4118" s="16"/>
      <c r="F4118" s="16"/>
      <c r="H4118" s="16"/>
      <c r="AG4118" s="80"/>
      <c r="AH4118" s="80"/>
      <c r="AI4118" s="80"/>
    </row>
    <row r="4119" spans="5:35" x14ac:dyDescent="0.25">
      <c r="E4119" s="16"/>
      <c r="F4119" s="16"/>
      <c r="H4119" s="16"/>
      <c r="AG4119" s="80"/>
      <c r="AH4119" s="80"/>
      <c r="AI4119" s="80"/>
    </row>
    <row r="4120" spans="5:35" x14ac:dyDescent="0.25">
      <c r="E4120" s="16"/>
      <c r="F4120" s="16"/>
      <c r="H4120" s="16"/>
      <c r="AG4120" s="80"/>
      <c r="AH4120" s="80"/>
      <c r="AI4120" s="80"/>
    </row>
    <row r="4121" spans="5:35" x14ac:dyDescent="0.25">
      <c r="E4121" s="16"/>
      <c r="F4121" s="16"/>
      <c r="H4121" s="16"/>
      <c r="AG4121" s="80"/>
      <c r="AH4121" s="80"/>
      <c r="AI4121" s="80"/>
    </row>
    <row r="4122" spans="5:35" x14ac:dyDescent="0.25">
      <c r="E4122" s="16"/>
      <c r="F4122" s="16"/>
      <c r="H4122" s="16"/>
      <c r="AG4122" s="80"/>
      <c r="AH4122" s="80"/>
      <c r="AI4122" s="80"/>
    </row>
    <row r="4123" spans="5:35" x14ac:dyDescent="0.25">
      <c r="E4123" s="16"/>
      <c r="F4123" s="16"/>
      <c r="H4123" s="16"/>
      <c r="AG4123" s="80"/>
      <c r="AH4123" s="80"/>
      <c r="AI4123" s="80"/>
    </row>
    <row r="4124" spans="5:35" x14ac:dyDescent="0.25">
      <c r="E4124" s="16"/>
      <c r="F4124" s="16"/>
      <c r="H4124" s="16"/>
      <c r="AG4124" s="80"/>
      <c r="AH4124" s="80"/>
      <c r="AI4124" s="80"/>
    </row>
    <row r="4125" spans="5:35" x14ac:dyDescent="0.25">
      <c r="E4125" s="16"/>
      <c r="F4125" s="16"/>
      <c r="H4125" s="16"/>
      <c r="AG4125" s="80"/>
      <c r="AH4125" s="80"/>
      <c r="AI4125" s="80"/>
    </row>
    <row r="4126" spans="5:35" x14ac:dyDescent="0.25">
      <c r="E4126" s="16"/>
      <c r="F4126" s="16"/>
      <c r="H4126" s="16"/>
      <c r="AG4126" s="80"/>
      <c r="AH4126" s="80"/>
      <c r="AI4126" s="80"/>
    </row>
    <row r="4127" spans="5:35" x14ac:dyDescent="0.25">
      <c r="E4127" s="16"/>
      <c r="F4127" s="16"/>
      <c r="H4127" s="16"/>
      <c r="AG4127" s="80"/>
      <c r="AH4127" s="80"/>
      <c r="AI4127" s="80"/>
    </row>
    <row r="4128" spans="5:35" x14ac:dyDescent="0.25">
      <c r="E4128" s="16"/>
      <c r="F4128" s="16"/>
      <c r="H4128" s="16"/>
      <c r="AG4128" s="80"/>
      <c r="AH4128" s="80"/>
      <c r="AI4128" s="80"/>
    </row>
    <row r="4129" spans="5:35" x14ac:dyDescent="0.25">
      <c r="E4129" s="16"/>
      <c r="F4129" s="16"/>
      <c r="H4129" s="16"/>
      <c r="AG4129" s="80"/>
      <c r="AH4129" s="80"/>
      <c r="AI4129" s="80"/>
    </row>
    <row r="4130" spans="5:35" x14ac:dyDescent="0.25">
      <c r="E4130" s="16"/>
      <c r="F4130" s="16"/>
      <c r="H4130" s="16"/>
      <c r="AG4130" s="80"/>
      <c r="AH4130" s="80"/>
      <c r="AI4130" s="80"/>
    </row>
    <row r="4131" spans="5:35" x14ac:dyDescent="0.25">
      <c r="E4131" s="16"/>
      <c r="F4131" s="16"/>
      <c r="H4131" s="16"/>
      <c r="AG4131" s="80"/>
      <c r="AH4131" s="80"/>
      <c r="AI4131" s="80"/>
    </row>
    <row r="4132" spans="5:35" x14ac:dyDescent="0.25">
      <c r="E4132" s="16"/>
      <c r="F4132" s="16"/>
      <c r="H4132" s="16"/>
      <c r="AG4132" s="80"/>
      <c r="AH4132" s="80"/>
      <c r="AI4132" s="80"/>
    </row>
    <row r="4133" spans="5:35" x14ac:dyDescent="0.25">
      <c r="E4133" s="16"/>
      <c r="F4133" s="16"/>
      <c r="H4133" s="16"/>
      <c r="AG4133" s="80"/>
      <c r="AH4133" s="80"/>
      <c r="AI4133" s="80"/>
    </row>
    <row r="4134" spans="5:35" x14ac:dyDescent="0.25">
      <c r="E4134" s="16"/>
      <c r="F4134" s="16"/>
      <c r="H4134" s="16"/>
      <c r="AG4134" s="80"/>
      <c r="AH4134" s="80"/>
      <c r="AI4134" s="80"/>
    </row>
    <row r="4135" spans="5:35" x14ac:dyDescent="0.25">
      <c r="E4135" s="16"/>
      <c r="F4135" s="16"/>
      <c r="H4135" s="16"/>
      <c r="AG4135" s="80"/>
      <c r="AH4135" s="80"/>
      <c r="AI4135" s="80"/>
    </row>
    <row r="4136" spans="5:35" x14ac:dyDescent="0.25">
      <c r="E4136" s="16"/>
      <c r="F4136" s="16"/>
      <c r="H4136" s="16"/>
      <c r="AG4136" s="80"/>
      <c r="AH4136" s="80"/>
      <c r="AI4136" s="80"/>
    </row>
    <row r="4137" spans="5:35" x14ac:dyDescent="0.25">
      <c r="E4137" s="16"/>
      <c r="F4137" s="16"/>
      <c r="H4137" s="16"/>
      <c r="AG4137" s="80"/>
      <c r="AH4137" s="80"/>
      <c r="AI4137" s="80"/>
    </row>
    <row r="4138" spans="5:35" x14ac:dyDescent="0.25">
      <c r="E4138" s="16"/>
      <c r="F4138" s="16"/>
      <c r="H4138" s="16"/>
      <c r="AG4138" s="80"/>
      <c r="AH4138" s="80"/>
      <c r="AI4138" s="80"/>
    </row>
    <row r="4139" spans="5:35" x14ac:dyDescent="0.25">
      <c r="E4139" s="16"/>
      <c r="F4139" s="16"/>
      <c r="H4139" s="16"/>
      <c r="AG4139" s="80"/>
      <c r="AH4139" s="80"/>
      <c r="AI4139" s="80"/>
    </row>
    <row r="4140" spans="5:35" x14ac:dyDescent="0.25">
      <c r="E4140" s="16"/>
      <c r="F4140" s="16"/>
      <c r="H4140" s="16"/>
      <c r="AG4140" s="80"/>
      <c r="AH4140" s="80"/>
      <c r="AI4140" s="80"/>
    </row>
    <row r="4141" spans="5:35" x14ac:dyDescent="0.25">
      <c r="E4141" s="16"/>
      <c r="F4141" s="16"/>
      <c r="H4141" s="16"/>
      <c r="AG4141" s="80"/>
      <c r="AH4141" s="80"/>
      <c r="AI4141" s="80"/>
    </row>
    <row r="4142" spans="5:35" x14ac:dyDescent="0.25">
      <c r="E4142" s="16"/>
      <c r="F4142" s="16"/>
      <c r="H4142" s="16"/>
      <c r="AG4142" s="80"/>
      <c r="AH4142" s="80"/>
      <c r="AI4142" s="80"/>
    </row>
    <row r="4143" spans="5:35" x14ac:dyDescent="0.25">
      <c r="E4143" s="16"/>
      <c r="F4143" s="16"/>
      <c r="H4143" s="16"/>
      <c r="AG4143" s="80"/>
      <c r="AH4143" s="80"/>
      <c r="AI4143" s="80"/>
    </row>
    <row r="4144" spans="5:35" x14ac:dyDescent="0.25">
      <c r="E4144" s="16"/>
      <c r="F4144" s="16"/>
      <c r="H4144" s="16"/>
      <c r="AG4144" s="80"/>
      <c r="AH4144" s="80"/>
      <c r="AI4144" s="80"/>
    </row>
    <row r="4145" spans="5:35" x14ac:dyDescent="0.25">
      <c r="E4145" s="16"/>
      <c r="F4145" s="16"/>
      <c r="H4145" s="16"/>
      <c r="AG4145" s="80"/>
      <c r="AH4145" s="80"/>
      <c r="AI4145" s="80"/>
    </row>
    <row r="4146" spans="5:35" x14ac:dyDescent="0.25">
      <c r="E4146" s="16"/>
      <c r="F4146" s="16"/>
      <c r="H4146" s="16"/>
      <c r="AG4146" s="80"/>
      <c r="AH4146" s="80"/>
      <c r="AI4146" s="80"/>
    </row>
    <row r="4147" spans="5:35" x14ac:dyDescent="0.25">
      <c r="E4147" s="16"/>
      <c r="F4147" s="16"/>
      <c r="H4147" s="16"/>
      <c r="AG4147" s="80"/>
      <c r="AH4147" s="80"/>
      <c r="AI4147" s="80"/>
    </row>
    <row r="4148" spans="5:35" x14ac:dyDescent="0.25">
      <c r="E4148" s="16"/>
      <c r="F4148" s="16"/>
      <c r="H4148" s="16"/>
      <c r="AG4148" s="80"/>
      <c r="AH4148" s="80"/>
      <c r="AI4148" s="80"/>
    </row>
    <row r="4149" spans="5:35" x14ac:dyDescent="0.25">
      <c r="E4149" s="16"/>
      <c r="F4149" s="16"/>
      <c r="H4149" s="16"/>
      <c r="AG4149" s="80"/>
      <c r="AH4149" s="80"/>
      <c r="AI4149" s="80"/>
    </row>
    <row r="4150" spans="5:35" x14ac:dyDescent="0.25">
      <c r="E4150" s="16"/>
      <c r="F4150" s="16"/>
      <c r="H4150" s="16"/>
      <c r="AG4150" s="80"/>
      <c r="AH4150" s="80"/>
      <c r="AI4150" s="80"/>
    </row>
    <row r="4151" spans="5:35" x14ac:dyDescent="0.25">
      <c r="E4151" s="16"/>
      <c r="F4151" s="16"/>
      <c r="H4151" s="16"/>
      <c r="AG4151" s="80"/>
      <c r="AH4151" s="80"/>
      <c r="AI4151" s="80"/>
    </row>
    <row r="4152" spans="5:35" x14ac:dyDescent="0.25">
      <c r="E4152" s="16"/>
      <c r="F4152" s="16"/>
      <c r="H4152" s="16"/>
      <c r="AG4152" s="80"/>
      <c r="AH4152" s="80"/>
      <c r="AI4152" s="80"/>
    </row>
    <row r="4153" spans="5:35" x14ac:dyDescent="0.25">
      <c r="E4153" s="16"/>
      <c r="F4153" s="16"/>
      <c r="H4153" s="16"/>
      <c r="AG4153" s="80"/>
      <c r="AH4153" s="80"/>
      <c r="AI4153" s="80"/>
    </row>
    <row r="4154" spans="5:35" x14ac:dyDescent="0.25">
      <c r="E4154" s="16"/>
      <c r="F4154" s="16"/>
      <c r="H4154" s="16"/>
      <c r="AG4154" s="80"/>
      <c r="AH4154" s="80"/>
      <c r="AI4154" s="80"/>
    </row>
    <row r="4155" spans="5:35" x14ac:dyDescent="0.25">
      <c r="E4155" s="16"/>
      <c r="F4155" s="16"/>
      <c r="H4155" s="16"/>
      <c r="AG4155" s="80"/>
      <c r="AH4155" s="80"/>
      <c r="AI4155" s="80"/>
    </row>
    <row r="4156" spans="5:35" x14ac:dyDescent="0.25">
      <c r="E4156" s="16"/>
      <c r="F4156" s="16"/>
      <c r="H4156" s="16"/>
      <c r="AG4156" s="80"/>
      <c r="AH4156" s="80"/>
      <c r="AI4156" s="80"/>
    </row>
    <row r="4157" spans="5:35" x14ac:dyDescent="0.25">
      <c r="E4157" s="16"/>
      <c r="F4157" s="16"/>
      <c r="H4157" s="16"/>
      <c r="AG4157" s="80"/>
      <c r="AH4157" s="80"/>
      <c r="AI4157" s="80"/>
    </row>
    <row r="4158" spans="5:35" x14ac:dyDescent="0.25">
      <c r="E4158" s="16"/>
      <c r="F4158" s="16"/>
      <c r="H4158" s="16"/>
      <c r="AG4158" s="80"/>
      <c r="AH4158" s="80"/>
      <c r="AI4158" s="80"/>
    </row>
    <row r="4159" spans="5:35" x14ac:dyDescent="0.25">
      <c r="E4159" s="16"/>
      <c r="F4159" s="16"/>
      <c r="H4159" s="16"/>
      <c r="AG4159" s="80"/>
      <c r="AH4159" s="80"/>
      <c r="AI4159" s="80"/>
    </row>
    <row r="4160" spans="5:35" x14ac:dyDescent="0.25">
      <c r="E4160" s="16"/>
      <c r="F4160" s="16"/>
      <c r="H4160" s="16"/>
      <c r="AG4160" s="80"/>
      <c r="AH4160" s="80"/>
      <c r="AI4160" s="80"/>
    </row>
    <row r="4161" spans="5:35" x14ac:dyDescent="0.25">
      <c r="E4161" s="16"/>
      <c r="F4161" s="16"/>
      <c r="H4161" s="16"/>
      <c r="AG4161" s="80"/>
      <c r="AH4161" s="80"/>
      <c r="AI4161" s="80"/>
    </row>
    <row r="4162" spans="5:35" x14ac:dyDescent="0.25">
      <c r="E4162" s="16"/>
      <c r="F4162" s="16"/>
      <c r="H4162" s="16"/>
      <c r="AG4162" s="80"/>
      <c r="AH4162" s="80"/>
      <c r="AI4162" s="80"/>
    </row>
    <row r="4163" spans="5:35" x14ac:dyDescent="0.25">
      <c r="E4163" s="16"/>
      <c r="F4163" s="16"/>
      <c r="H4163" s="16"/>
      <c r="AG4163" s="80"/>
      <c r="AH4163" s="80"/>
      <c r="AI4163" s="80"/>
    </row>
    <row r="4164" spans="5:35" x14ac:dyDescent="0.25">
      <c r="E4164" s="16"/>
      <c r="F4164" s="16"/>
      <c r="H4164" s="16"/>
      <c r="AG4164" s="80"/>
      <c r="AH4164" s="80"/>
      <c r="AI4164" s="80"/>
    </row>
    <row r="4165" spans="5:35" x14ac:dyDescent="0.25">
      <c r="E4165" s="16"/>
      <c r="F4165" s="16"/>
      <c r="H4165" s="16"/>
      <c r="AG4165" s="80"/>
      <c r="AH4165" s="80"/>
      <c r="AI4165" s="80"/>
    </row>
    <row r="4166" spans="5:35" x14ac:dyDescent="0.25">
      <c r="E4166" s="16"/>
      <c r="F4166" s="16"/>
      <c r="H4166" s="16"/>
      <c r="AG4166" s="80"/>
      <c r="AH4166" s="80"/>
      <c r="AI4166" s="80"/>
    </row>
    <row r="4167" spans="5:35" x14ac:dyDescent="0.25">
      <c r="E4167" s="16"/>
      <c r="F4167" s="16"/>
      <c r="H4167" s="16"/>
      <c r="AG4167" s="80"/>
      <c r="AH4167" s="80"/>
      <c r="AI4167" s="80"/>
    </row>
    <row r="4168" spans="5:35" x14ac:dyDescent="0.25">
      <c r="E4168" s="16"/>
      <c r="F4168" s="16"/>
      <c r="H4168" s="16"/>
      <c r="AG4168" s="80"/>
      <c r="AH4168" s="80"/>
      <c r="AI4168" s="80"/>
    </row>
    <row r="4169" spans="5:35" x14ac:dyDescent="0.25">
      <c r="E4169" s="16"/>
      <c r="F4169" s="16"/>
      <c r="H4169" s="16"/>
      <c r="AG4169" s="80"/>
      <c r="AH4169" s="80"/>
      <c r="AI4169" s="80"/>
    </row>
    <row r="4170" spans="5:35" x14ac:dyDescent="0.25">
      <c r="E4170" s="16"/>
      <c r="F4170" s="16"/>
      <c r="H4170" s="16"/>
      <c r="AG4170" s="80"/>
      <c r="AH4170" s="80"/>
      <c r="AI4170" s="80"/>
    </row>
    <row r="4171" spans="5:35" x14ac:dyDescent="0.25">
      <c r="E4171" s="16"/>
      <c r="F4171" s="16"/>
      <c r="H4171" s="16"/>
      <c r="AG4171" s="80"/>
      <c r="AH4171" s="80"/>
      <c r="AI4171" s="80"/>
    </row>
    <row r="4172" spans="5:35" x14ac:dyDescent="0.25">
      <c r="E4172" s="16"/>
      <c r="F4172" s="16"/>
      <c r="H4172" s="16"/>
      <c r="AG4172" s="80"/>
      <c r="AH4172" s="80"/>
      <c r="AI4172" s="80"/>
    </row>
    <row r="4173" spans="5:35" x14ac:dyDescent="0.25">
      <c r="E4173" s="16"/>
      <c r="F4173" s="16"/>
      <c r="H4173" s="16"/>
      <c r="AG4173" s="80"/>
      <c r="AH4173" s="80"/>
      <c r="AI4173" s="80"/>
    </row>
    <row r="4174" spans="5:35" x14ac:dyDescent="0.25">
      <c r="E4174" s="16"/>
      <c r="F4174" s="16"/>
      <c r="H4174" s="16"/>
      <c r="AG4174" s="80"/>
      <c r="AH4174" s="80"/>
      <c r="AI4174" s="80"/>
    </row>
    <row r="4175" spans="5:35" x14ac:dyDescent="0.25">
      <c r="E4175" s="16"/>
      <c r="F4175" s="16"/>
      <c r="H4175" s="16"/>
      <c r="AG4175" s="80"/>
      <c r="AH4175" s="80"/>
      <c r="AI4175" s="80"/>
    </row>
    <row r="4176" spans="5:35" x14ac:dyDescent="0.25">
      <c r="E4176" s="16"/>
      <c r="F4176" s="16"/>
      <c r="H4176" s="16"/>
      <c r="AG4176" s="80"/>
      <c r="AH4176" s="80"/>
      <c r="AI4176" s="80"/>
    </row>
    <row r="4177" spans="5:35" x14ac:dyDescent="0.25">
      <c r="E4177" s="16"/>
      <c r="F4177" s="16"/>
      <c r="H4177" s="16"/>
      <c r="AG4177" s="80"/>
      <c r="AH4177" s="80"/>
      <c r="AI4177" s="80"/>
    </row>
    <row r="4178" spans="5:35" x14ac:dyDescent="0.25">
      <c r="E4178" s="16"/>
      <c r="F4178" s="16"/>
      <c r="H4178" s="16"/>
      <c r="AG4178" s="80"/>
      <c r="AH4178" s="80"/>
      <c r="AI4178" s="80"/>
    </row>
    <row r="4179" spans="5:35" x14ac:dyDescent="0.25">
      <c r="E4179" s="16"/>
      <c r="F4179" s="16"/>
      <c r="H4179" s="16"/>
      <c r="AG4179" s="80"/>
      <c r="AH4179" s="80"/>
      <c r="AI4179" s="80"/>
    </row>
    <row r="4180" spans="5:35" x14ac:dyDescent="0.25">
      <c r="E4180" s="16"/>
      <c r="F4180" s="16"/>
      <c r="H4180" s="16"/>
      <c r="AG4180" s="80"/>
      <c r="AH4180" s="80"/>
      <c r="AI4180" s="80"/>
    </row>
    <row r="4181" spans="5:35" x14ac:dyDescent="0.25">
      <c r="E4181" s="16"/>
      <c r="F4181" s="16"/>
      <c r="H4181" s="16"/>
      <c r="AG4181" s="80"/>
      <c r="AH4181" s="80"/>
      <c r="AI4181" s="80"/>
    </row>
    <row r="4182" spans="5:35" x14ac:dyDescent="0.25">
      <c r="E4182" s="16"/>
      <c r="F4182" s="16"/>
      <c r="H4182" s="16"/>
      <c r="AG4182" s="80"/>
      <c r="AH4182" s="80"/>
      <c r="AI4182" s="80"/>
    </row>
    <row r="4183" spans="5:35" x14ac:dyDescent="0.25">
      <c r="E4183" s="16"/>
      <c r="F4183" s="16"/>
      <c r="H4183" s="16"/>
      <c r="AG4183" s="80"/>
      <c r="AH4183" s="80"/>
      <c r="AI4183" s="80"/>
    </row>
    <row r="4184" spans="5:35" x14ac:dyDescent="0.25">
      <c r="E4184" s="16"/>
      <c r="F4184" s="16"/>
      <c r="H4184" s="16"/>
      <c r="AG4184" s="80"/>
      <c r="AH4184" s="80"/>
      <c r="AI4184" s="80"/>
    </row>
    <row r="4185" spans="5:35" x14ac:dyDescent="0.25">
      <c r="E4185" s="16"/>
      <c r="F4185" s="16"/>
      <c r="H4185" s="16"/>
      <c r="AG4185" s="80"/>
      <c r="AH4185" s="80"/>
      <c r="AI4185" s="80"/>
    </row>
    <row r="4186" spans="5:35" x14ac:dyDescent="0.25">
      <c r="E4186" s="16"/>
      <c r="F4186" s="16"/>
      <c r="H4186" s="16"/>
      <c r="AG4186" s="80"/>
      <c r="AH4186" s="80"/>
      <c r="AI4186" s="80"/>
    </row>
    <row r="4187" spans="5:35" x14ac:dyDescent="0.25">
      <c r="E4187" s="16"/>
      <c r="F4187" s="16"/>
      <c r="H4187" s="16"/>
      <c r="AG4187" s="80"/>
      <c r="AH4187" s="80"/>
      <c r="AI4187" s="80"/>
    </row>
    <row r="4188" spans="5:35" x14ac:dyDescent="0.25">
      <c r="E4188" s="16"/>
      <c r="F4188" s="16"/>
      <c r="H4188" s="16"/>
      <c r="AG4188" s="80"/>
      <c r="AH4188" s="80"/>
      <c r="AI4188" s="80"/>
    </row>
    <row r="4189" spans="5:35" x14ac:dyDescent="0.25">
      <c r="E4189" s="16"/>
      <c r="F4189" s="16"/>
      <c r="H4189" s="16"/>
      <c r="AG4189" s="80"/>
      <c r="AH4189" s="80"/>
      <c r="AI4189" s="80"/>
    </row>
    <row r="4190" spans="5:35" x14ac:dyDescent="0.25">
      <c r="E4190" s="16"/>
      <c r="F4190" s="16"/>
      <c r="H4190" s="16"/>
      <c r="AG4190" s="80"/>
      <c r="AH4190" s="80"/>
      <c r="AI4190" s="80"/>
    </row>
    <row r="4191" spans="5:35" x14ac:dyDescent="0.25">
      <c r="E4191" s="16"/>
      <c r="F4191" s="16"/>
      <c r="H4191" s="16"/>
      <c r="AG4191" s="80"/>
      <c r="AH4191" s="80"/>
      <c r="AI4191" s="80"/>
    </row>
    <row r="4192" spans="5:35" x14ac:dyDescent="0.25">
      <c r="E4192" s="16"/>
      <c r="F4192" s="16"/>
      <c r="H4192" s="16"/>
      <c r="AG4192" s="80"/>
      <c r="AH4192" s="80"/>
      <c r="AI4192" s="80"/>
    </row>
    <row r="4193" spans="5:35" x14ac:dyDescent="0.25">
      <c r="E4193" s="16"/>
      <c r="F4193" s="16"/>
      <c r="H4193" s="16"/>
      <c r="AG4193" s="80"/>
      <c r="AH4193" s="80"/>
      <c r="AI4193" s="80"/>
    </row>
    <row r="4194" spans="5:35" x14ac:dyDescent="0.25">
      <c r="E4194" s="16"/>
      <c r="F4194" s="16"/>
      <c r="H4194" s="16"/>
      <c r="AG4194" s="80"/>
      <c r="AH4194" s="80"/>
      <c r="AI4194" s="80"/>
    </row>
    <row r="4195" spans="5:35" x14ac:dyDescent="0.25">
      <c r="E4195" s="16"/>
      <c r="F4195" s="16"/>
      <c r="H4195" s="16"/>
      <c r="AG4195" s="80"/>
      <c r="AH4195" s="80"/>
      <c r="AI4195" s="80"/>
    </row>
    <row r="4196" spans="5:35" x14ac:dyDescent="0.25">
      <c r="E4196" s="16"/>
      <c r="F4196" s="16"/>
      <c r="H4196" s="16"/>
      <c r="AG4196" s="80"/>
      <c r="AH4196" s="80"/>
      <c r="AI4196" s="80"/>
    </row>
    <row r="4197" spans="5:35" x14ac:dyDescent="0.25">
      <c r="E4197" s="16"/>
      <c r="F4197" s="16"/>
      <c r="H4197" s="16"/>
      <c r="AG4197" s="80"/>
      <c r="AH4197" s="80"/>
      <c r="AI4197" s="80"/>
    </row>
    <row r="4198" spans="5:35" x14ac:dyDescent="0.25">
      <c r="E4198" s="16"/>
      <c r="F4198" s="16"/>
      <c r="H4198" s="16"/>
      <c r="AG4198" s="80"/>
      <c r="AH4198" s="80"/>
      <c r="AI4198" s="80"/>
    </row>
    <row r="4199" spans="5:35" x14ac:dyDescent="0.25">
      <c r="E4199" s="16"/>
      <c r="F4199" s="16"/>
      <c r="H4199" s="16"/>
      <c r="AG4199" s="80"/>
      <c r="AH4199" s="80"/>
      <c r="AI4199" s="80"/>
    </row>
    <row r="4200" spans="5:35" x14ac:dyDescent="0.25">
      <c r="E4200" s="16"/>
      <c r="F4200" s="16"/>
      <c r="H4200" s="16"/>
      <c r="AG4200" s="80"/>
      <c r="AH4200" s="80"/>
      <c r="AI4200" s="80"/>
    </row>
    <row r="4201" spans="5:35" x14ac:dyDescent="0.25">
      <c r="E4201" s="16"/>
      <c r="F4201" s="16"/>
      <c r="H4201" s="16"/>
      <c r="AG4201" s="80"/>
      <c r="AH4201" s="80"/>
      <c r="AI4201" s="80"/>
    </row>
    <row r="4202" spans="5:35" x14ac:dyDescent="0.25">
      <c r="E4202" s="16"/>
      <c r="F4202" s="16"/>
      <c r="H4202" s="16"/>
      <c r="AG4202" s="80"/>
      <c r="AH4202" s="80"/>
      <c r="AI4202" s="80"/>
    </row>
    <row r="4203" spans="5:35" x14ac:dyDescent="0.25">
      <c r="E4203" s="16"/>
      <c r="F4203" s="16"/>
      <c r="H4203" s="16"/>
      <c r="AG4203" s="80"/>
      <c r="AH4203" s="80"/>
      <c r="AI4203" s="80"/>
    </row>
    <row r="4204" spans="5:35" x14ac:dyDescent="0.25">
      <c r="E4204" s="16"/>
      <c r="F4204" s="16"/>
      <c r="H4204" s="16"/>
      <c r="AG4204" s="80"/>
      <c r="AH4204" s="80"/>
      <c r="AI4204" s="80"/>
    </row>
    <row r="4205" spans="5:35" x14ac:dyDescent="0.25">
      <c r="E4205" s="16"/>
      <c r="F4205" s="16"/>
      <c r="H4205" s="16"/>
      <c r="AG4205" s="80"/>
      <c r="AH4205" s="80"/>
      <c r="AI4205" s="80"/>
    </row>
    <row r="4206" spans="5:35" x14ac:dyDescent="0.25">
      <c r="E4206" s="16"/>
      <c r="F4206" s="16"/>
      <c r="H4206" s="16"/>
      <c r="AG4206" s="80"/>
      <c r="AH4206" s="80"/>
      <c r="AI4206" s="80"/>
    </row>
    <row r="4207" spans="5:35" x14ac:dyDescent="0.25">
      <c r="E4207" s="16"/>
      <c r="F4207" s="16"/>
      <c r="H4207" s="16"/>
      <c r="AG4207" s="80"/>
      <c r="AH4207" s="80"/>
      <c r="AI4207" s="80"/>
    </row>
    <row r="4208" spans="5:35" x14ac:dyDescent="0.25">
      <c r="E4208" s="16"/>
      <c r="F4208" s="16"/>
      <c r="H4208" s="16"/>
      <c r="AG4208" s="80"/>
      <c r="AH4208" s="80"/>
      <c r="AI4208" s="80"/>
    </row>
    <row r="4209" spans="5:35" x14ac:dyDescent="0.25">
      <c r="E4209" s="16"/>
      <c r="F4209" s="16"/>
      <c r="H4209" s="16"/>
      <c r="AG4209" s="80"/>
      <c r="AH4209" s="80"/>
      <c r="AI4209" s="80"/>
    </row>
    <row r="4210" spans="5:35" x14ac:dyDescent="0.25">
      <c r="E4210" s="16"/>
      <c r="F4210" s="16"/>
      <c r="H4210" s="16"/>
      <c r="AG4210" s="80"/>
      <c r="AH4210" s="80"/>
      <c r="AI4210" s="80"/>
    </row>
    <row r="4211" spans="5:35" x14ac:dyDescent="0.25">
      <c r="E4211" s="16"/>
      <c r="F4211" s="16"/>
      <c r="H4211" s="16"/>
      <c r="AG4211" s="80"/>
      <c r="AH4211" s="80"/>
      <c r="AI4211" s="80"/>
    </row>
    <row r="4212" spans="5:35" x14ac:dyDescent="0.25">
      <c r="E4212" s="16"/>
      <c r="F4212" s="16"/>
      <c r="H4212" s="16"/>
      <c r="AG4212" s="80"/>
      <c r="AH4212" s="80"/>
      <c r="AI4212" s="80"/>
    </row>
    <row r="4213" spans="5:35" x14ac:dyDescent="0.25">
      <c r="E4213" s="16"/>
      <c r="F4213" s="16"/>
      <c r="H4213" s="16"/>
      <c r="AG4213" s="80"/>
      <c r="AH4213" s="80"/>
      <c r="AI4213" s="80"/>
    </row>
    <row r="4214" spans="5:35" x14ac:dyDescent="0.25">
      <c r="E4214" s="16"/>
      <c r="F4214" s="16"/>
      <c r="H4214" s="16"/>
      <c r="AG4214" s="80"/>
      <c r="AH4214" s="80"/>
      <c r="AI4214" s="80"/>
    </row>
    <row r="4215" spans="5:35" x14ac:dyDescent="0.25">
      <c r="E4215" s="16"/>
      <c r="F4215" s="16"/>
      <c r="H4215" s="16"/>
      <c r="AG4215" s="80"/>
      <c r="AH4215" s="80"/>
      <c r="AI4215" s="80"/>
    </row>
    <row r="4216" spans="5:35" x14ac:dyDescent="0.25">
      <c r="E4216" s="16"/>
      <c r="F4216" s="16"/>
      <c r="H4216" s="16"/>
      <c r="AG4216" s="80"/>
      <c r="AH4216" s="80"/>
      <c r="AI4216" s="80"/>
    </row>
    <row r="4217" spans="5:35" x14ac:dyDescent="0.25">
      <c r="E4217" s="16"/>
      <c r="F4217" s="16"/>
      <c r="H4217" s="16"/>
      <c r="AG4217" s="80"/>
      <c r="AH4217" s="80"/>
      <c r="AI4217" s="80"/>
    </row>
    <row r="4218" spans="5:35" x14ac:dyDescent="0.25">
      <c r="E4218" s="16"/>
      <c r="F4218" s="16"/>
      <c r="H4218" s="16"/>
      <c r="AG4218" s="80"/>
      <c r="AH4218" s="80"/>
      <c r="AI4218" s="80"/>
    </row>
    <row r="4219" spans="5:35" x14ac:dyDescent="0.25">
      <c r="E4219" s="16"/>
      <c r="F4219" s="16"/>
      <c r="H4219" s="16"/>
      <c r="AG4219" s="80"/>
      <c r="AH4219" s="80"/>
      <c r="AI4219" s="80"/>
    </row>
    <row r="4220" spans="5:35" x14ac:dyDescent="0.25">
      <c r="E4220" s="16"/>
      <c r="F4220" s="16"/>
      <c r="H4220" s="16"/>
      <c r="AG4220" s="80"/>
      <c r="AH4220" s="80"/>
      <c r="AI4220" s="80"/>
    </row>
    <row r="4221" spans="5:35" x14ac:dyDescent="0.25">
      <c r="E4221" s="16"/>
      <c r="F4221" s="16"/>
      <c r="H4221" s="16"/>
      <c r="AG4221" s="80"/>
      <c r="AH4221" s="80"/>
      <c r="AI4221" s="80"/>
    </row>
    <row r="4222" spans="5:35" x14ac:dyDescent="0.25">
      <c r="E4222" s="16"/>
      <c r="F4222" s="16"/>
      <c r="H4222" s="16"/>
      <c r="AG4222" s="80"/>
      <c r="AH4222" s="80"/>
      <c r="AI4222" s="80"/>
    </row>
    <row r="4223" spans="5:35" x14ac:dyDescent="0.25">
      <c r="E4223" s="16"/>
      <c r="F4223" s="16"/>
      <c r="H4223" s="16"/>
      <c r="AG4223" s="80"/>
      <c r="AH4223" s="80"/>
      <c r="AI4223" s="80"/>
    </row>
    <row r="4224" spans="5:35" x14ac:dyDescent="0.25">
      <c r="E4224" s="16"/>
      <c r="F4224" s="16"/>
      <c r="H4224" s="16"/>
      <c r="AG4224" s="80"/>
      <c r="AH4224" s="80"/>
      <c r="AI4224" s="80"/>
    </row>
    <row r="4225" spans="5:35" x14ac:dyDescent="0.25">
      <c r="E4225" s="16"/>
      <c r="F4225" s="16"/>
      <c r="H4225" s="16"/>
      <c r="AG4225" s="80"/>
      <c r="AH4225" s="80"/>
      <c r="AI4225" s="80"/>
    </row>
    <row r="4226" spans="5:35" x14ac:dyDescent="0.25">
      <c r="E4226" s="16"/>
      <c r="F4226" s="16"/>
      <c r="H4226" s="16"/>
      <c r="AG4226" s="80"/>
      <c r="AH4226" s="80"/>
      <c r="AI4226" s="80"/>
    </row>
    <row r="4227" spans="5:35" x14ac:dyDescent="0.25">
      <c r="E4227" s="16"/>
      <c r="F4227" s="16"/>
      <c r="H4227" s="16"/>
      <c r="AG4227" s="80"/>
      <c r="AH4227" s="80"/>
      <c r="AI4227" s="80"/>
    </row>
    <row r="4228" spans="5:35" x14ac:dyDescent="0.25">
      <c r="E4228" s="16"/>
      <c r="F4228" s="16"/>
      <c r="H4228" s="16"/>
      <c r="AG4228" s="80"/>
      <c r="AH4228" s="80"/>
      <c r="AI4228" s="80"/>
    </row>
    <row r="4229" spans="5:35" x14ac:dyDescent="0.25">
      <c r="E4229" s="16"/>
      <c r="F4229" s="16"/>
      <c r="H4229" s="16"/>
      <c r="AG4229" s="80"/>
      <c r="AH4229" s="80"/>
      <c r="AI4229" s="80"/>
    </row>
    <row r="4230" spans="5:35" x14ac:dyDescent="0.25">
      <c r="E4230" s="16"/>
      <c r="F4230" s="16"/>
      <c r="H4230" s="16"/>
      <c r="AG4230" s="80"/>
      <c r="AH4230" s="80"/>
      <c r="AI4230" s="80"/>
    </row>
    <row r="4231" spans="5:35" x14ac:dyDescent="0.25">
      <c r="E4231" s="16"/>
      <c r="F4231" s="16"/>
      <c r="H4231" s="16"/>
      <c r="AG4231" s="80"/>
      <c r="AH4231" s="80"/>
      <c r="AI4231" s="80"/>
    </row>
    <row r="4232" spans="5:35" x14ac:dyDescent="0.25">
      <c r="E4232" s="16"/>
      <c r="F4232" s="16"/>
      <c r="H4232" s="16"/>
      <c r="AG4232" s="80"/>
      <c r="AH4232" s="80"/>
      <c r="AI4232" s="80"/>
    </row>
    <row r="4233" spans="5:35" x14ac:dyDescent="0.25">
      <c r="E4233" s="16"/>
      <c r="F4233" s="16"/>
      <c r="H4233" s="16"/>
      <c r="AG4233" s="80"/>
      <c r="AH4233" s="80"/>
      <c r="AI4233" s="80"/>
    </row>
    <row r="4234" spans="5:35" x14ac:dyDescent="0.25">
      <c r="E4234" s="16"/>
      <c r="F4234" s="16"/>
      <c r="H4234" s="16"/>
      <c r="AG4234" s="80"/>
      <c r="AH4234" s="80"/>
      <c r="AI4234" s="80"/>
    </row>
    <row r="4235" spans="5:35" x14ac:dyDescent="0.25">
      <c r="E4235" s="16"/>
      <c r="F4235" s="16"/>
      <c r="H4235" s="16"/>
      <c r="AG4235" s="80"/>
      <c r="AH4235" s="80"/>
      <c r="AI4235" s="80"/>
    </row>
    <row r="4236" spans="5:35" x14ac:dyDescent="0.25">
      <c r="E4236" s="16"/>
      <c r="F4236" s="16"/>
      <c r="H4236" s="16"/>
      <c r="AG4236" s="80"/>
      <c r="AH4236" s="80"/>
      <c r="AI4236" s="80"/>
    </row>
    <row r="4237" spans="5:35" x14ac:dyDescent="0.25">
      <c r="E4237" s="16"/>
      <c r="F4237" s="16"/>
      <c r="H4237" s="16"/>
      <c r="AG4237" s="80"/>
      <c r="AH4237" s="80"/>
      <c r="AI4237" s="80"/>
    </row>
    <row r="4238" spans="5:35" x14ac:dyDescent="0.25">
      <c r="E4238" s="16"/>
      <c r="F4238" s="16"/>
      <c r="H4238" s="16"/>
      <c r="AG4238" s="80"/>
      <c r="AH4238" s="80"/>
      <c r="AI4238" s="80"/>
    </row>
    <row r="4239" spans="5:35" x14ac:dyDescent="0.25">
      <c r="E4239" s="16"/>
      <c r="F4239" s="16"/>
      <c r="H4239" s="16"/>
      <c r="AG4239" s="80"/>
      <c r="AH4239" s="80"/>
      <c r="AI4239" s="80"/>
    </row>
    <row r="4240" spans="5:35" x14ac:dyDescent="0.25">
      <c r="E4240" s="16"/>
      <c r="F4240" s="16"/>
      <c r="H4240" s="16"/>
      <c r="AG4240" s="80"/>
      <c r="AH4240" s="80"/>
      <c r="AI4240" s="80"/>
    </row>
    <row r="4241" spans="5:35" x14ac:dyDescent="0.25">
      <c r="E4241" s="16"/>
      <c r="F4241" s="16"/>
      <c r="H4241" s="16"/>
      <c r="AG4241" s="80"/>
      <c r="AH4241" s="80"/>
      <c r="AI4241" s="80"/>
    </row>
    <row r="4242" spans="5:35" x14ac:dyDescent="0.25">
      <c r="E4242" s="16"/>
      <c r="F4242" s="16"/>
      <c r="H4242" s="16"/>
      <c r="AG4242" s="80"/>
      <c r="AH4242" s="80"/>
      <c r="AI4242" s="80"/>
    </row>
    <row r="4243" spans="5:35" x14ac:dyDescent="0.25">
      <c r="E4243" s="16"/>
      <c r="F4243" s="16"/>
      <c r="H4243" s="16"/>
      <c r="AG4243" s="80"/>
      <c r="AH4243" s="80"/>
      <c r="AI4243" s="80"/>
    </row>
    <row r="4244" spans="5:35" x14ac:dyDescent="0.25">
      <c r="E4244" s="16"/>
      <c r="F4244" s="16"/>
      <c r="H4244" s="16"/>
      <c r="AG4244" s="80"/>
      <c r="AH4244" s="80"/>
      <c r="AI4244" s="80"/>
    </row>
    <row r="4245" spans="5:35" x14ac:dyDescent="0.25">
      <c r="E4245" s="16"/>
      <c r="F4245" s="16"/>
      <c r="H4245" s="16"/>
      <c r="AG4245" s="80"/>
      <c r="AH4245" s="80"/>
      <c r="AI4245" s="80"/>
    </row>
    <row r="4246" spans="5:35" x14ac:dyDescent="0.25">
      <c r="E4246" s="16"/>
      <c r="F4246" s="16"/>
      <c r="H4246" s="16"/>
      <c r="AG4246" s="80"/>
      <c r="AH4246" s="80"/>
      <c r="AI4246" s="80"/>
    </row>
    <row r="4247" spans="5:35" x14ac:dyDescent="0.25">
      <c r="E4247" s="16"/>
      <c r="F4247" s="16"/>
      <c r="H4247" s="16"/>
      <c r="AG4247" s="80"/>
      <c r="AH4247" s="80"/>
      <c r="AI4247" s="80"/>
    </row>
    <row r="4248" spans="5:35" x14ac:dyDescent="0.25">
      <c r="E4248" s="16"/>
      <c r="F4248" s="16"/>
      <c r="H4248" s="16"/>
      <c r="AG4248" s="80"/>
      <c r="AH4248" s="80"/>
      <c r="AI4248" s="80"/>
    </row>
    <row r="4249" spans="5:35" x14ac:dyDescent="0.25">
      <c r="E4249" s="16"/>
      <c r="F4249" s="16"/>
      <c r="H4249" s="16"/>
      <c r="AG4249" s="80"/>
      <c r="AH4249" s="80"/>
      <c r="AI4249" s="80"/>
    </row>
    <row r="4250" spans="5:35" x14ac:dyDescent="0.25">
      <c r="E4250" s="16"/>
      <c r="F4250" s="16"/>
      <c r="H4250" s="16"/>
      <c r="AG4250" s="80"/>
      <c r="AH4250" s="80"/>
      <c r="AI4250" s="80"/>
    </row>
    <row r="4251" spans="5:35" x14ac:dyDescent="0.25">
      <c r="E4251" s="16"/>
      <c r="F4251" s="16"/>
      <c r="H4251" s="16"/>
      <c r="AG4251" s="80"/>
      <c r="AH4251" s="80"/>
      <c r="AI4251" s="80"/>
    </row>
    <row r="4252" spans="5:35" x14ac:dyDescent="0.25">
      <c r="E4252" s="16"/>
      <c r="F4252" s="16"/>
      <c r="H4252" s="16"/>
      <c r="AG4252" s="80"/>
      <c r="AH4252" s="80"/>
      <c r="AI4252" s="80"/>
    </row>
    <row r="4253" spans="5:35" x14ac:dyDescent="0.25">
      <c r="E4253" s="16"/>
      <c r="F4253" s="16"/>
      <c r="H4253" s="16"/>
      <c r="AG4253" s="80"/>
      <c r="AH4253" s="80"/>
      <c r="AI4253" s="80"/>
    </row>
    <row r="4254" spans="5:35" x14ac:dyDescent="0.25">
      <c r="E4254" s="16"/>
      <c r="F4254" s="16"/>
      <c r="H4254" s="16"/>
      <c r="AG4254" s="80"/>
      <c r="AH4254" s="80"/>
      <c r="AI4254" s="80"/>
    </row>
    <row r="4255" spans="5:35" x14ac:dyDescent="0.25">
      <c r="E4255" s="16"/>
      <c r="F4255" s="16"/>
      <c r="H4255" s="16"/>
      <c r="AG4255" s="80"/>
      <c r="AH4255" s="80"/>
      <c r="AI4255" s="80"/>
    </row>
    <row r="4256" spans="5:35" x14ac:dyDescent="0.25">
      <c r="E4256" s="16"/>
      <c r="F4256" s="16"/>
      <c r="H4256" s="16"/>
      <c r="AG4256" s="80"/>
      <c r="AH4256" s="80"/>
      <c r="AI4256" s="80"/>
    </row>
    <row r="4257" spans="5:35" x14ac:dyDescent="0.25">
      <c r="E4257" s="16"/>
      <c r="F4257" s="16"/>
      <c r="H4257" s="16"/>
      <c r="AG4257" s="80"/>
      <c r="AH4257" s="80"/>
      <c r="AI4257" s="80"/>
    </row>
    <row r="4258" spans="5:35" x14ac:dyDescent="0.25">
      <c r="E4258" s="16"/>
      <c r="F4258" s="16"/>
      <c r="H4258" s="16"/>
      <c r="AG4258" s="80"/>
      <c r="AH4258" s="80"/>
      <c r="AI4258" s="80"/>
    </row>
    <row r="4259" spans="5:35" x14ac:dyDescent="0.25">
      <c r="E4259" s="16"/>
      <c r="F4259" s="16"/>
      <c r="H4259" s="16"/>
      <c r="AG4259" s="80"/>
      <c r="AH4259" s="80"/>
      <c r="AI4259" s="80"/>
    </row>
    <row r="4260" spans="5:35" x14ac:dyDescent="0.25">
      <c r="E4260" s="16"/>
      <c r="F4260" s="16"/>
      <c r="H4260" s="16"/>
      <c r="AG4260" s="80"/>
      <c r="AH4260" s="80"/>
      <c r="AI4260" s="80"/>
    </row>
    <row r="4261" spans="5:35" x14ac:dyDescent="0.25">
      <c r="E4261" s="16"/>
      <c r="F4261" s="16"/>
      <c r="H4261" s="16"/>
      <c r="AG4261" s="80"/>
      <c r="AH4261" s="80"/>
      <c r="AI4261" s="80"/>
    </row>
    <row r="4262" spans="5:35" x14ac:dyDescent="0.25">
      <c r="E4262" s="16"/>
      <c r="F4262" s="16"/>
      <c r="H4262" s="16"/>
      <c r="AG4262" s="80"/>
      <c r="AH4262" s="80"/>
      <c r="AI4262" s="80"/>
    </row>
    <row r="4263" spans="5:35" x14ac:dyDescent="0.25">
      <c r="E4263" s="16"/>
      <c r="F4263" s="16"/>
      <c r="H4263" s="16"/>
      <c r="AG4263" s="80"/>
      <c r="AH4263" s="80"/>
      <c r="AI4263" s="80"/>
    </row>
    <row r="4264" spans="5:35" x14ac:dyDescent="0.25">
      <c r="E4264" s="16"/>
      <c r="F4264" s="16"/>
      <c r="H4264" s="16"/>
      <c r="AG4264" s="80"/>
      <c r="AH4264" s="80"/>
      <c r="AI4264" s="80"/>
    </row>
    <row r="4265" spans="5:35" x14ac:dyDescent="0.25">
      <c r="E4265" s="16"/>
      <c r="F4265" s="16"/>
      <c r="H4265" s="16"/>
      <c r="AG4265" s="80"/>
      <c r="AH4265" s="80"/>
      <c r="AI4265" s="80"/>
    </row>
    <row r="4266" spans="5:35" x14ac:dyDescent="0.25">
      <c r="E4266" s="16"/>
      <c r="F4266" s="16"/>
      <c r="H4266" s="16"/>
      <c r="AG4266" s="80"/>
      <c r="AH4266" s="80"/>
      <c r="AI4266" s="80"/>
    </row>
    <row r="4267" spans="5:35" x14ac:dyDescent="0.25">
      <c r="E4267" s="16"/>
      <c r="F4267" s="16"/>
      <c r="H4267" s="16"/>
      <c r="AG4267" s="80"/>
      <c r="AH4267" s="80"/>
      <c r="AI4267" s="80"/>
    </row>
    <row r="4268" spans="5:35" x14ac:dyDescent="0.25">
      <c r="E4268" s="16"/>
      <c r="F4268" s="16"/>
      <c r="H4268" s="16"/>
      <c r="AG4268" s="80"/>
      <c r="AH4268" s="80"/>
      <c r="AI4268" s="80"/>
    </row>
    <row r="4269" spans="5:35" x14ac:dyDescent="0.25">
      <c r="E4269" s="16"/>
      <c r="F4269" s="16"/>
      <c r="H4269" s="16"/>
      <c r="AG4269" s="80"/>
      <c r="AH4269" s="80"/>
      <c r="AI4269" s="80"/>
    </row>
    <row r="4270" spans="5:35" x14ac:dyDescent="0.25">
      <c r="E4270" s="16"/>
      <c r="F4270" s="16"/>
      <c r="H4270" s="16"/>
      <c r="AG4270" s="80"/>
      <c r="AH4270" s="80"/>
      <c r="AI4270" s="80"/>
    </row>
    <row r="4271" spans="5:35" x14ac:dyDescent="0.25">
      <c r="E4271" s="16"/>
      <c r="F4271" s="16"/>
      <c r="H4271" s="16"/>
      <c r="AG4271" s="80"/>
      <c r="AH4271" s="80"/>
      <c r="AI4271" s="80"/>
    </row>
    <row r="4272" spans="5:35" x14ac:dyDescent="0.25">
      <c r="E4272" s="16"/>
      <c r="F4272" s="16"/>
      <c r="H4272" s="16"/>
      <c r="AG4272" s="80"/>
      <c r="AH4272" s="80"/>
      <c r="AI4272" s="80"/>
    </row>
    <row r="4273" spans="5:35" x14ac:dyDescent="0.25">
      <c r="E4273" s="16"/>
      <c r="F4273" s="16"/>
      <c r="H4273" s="16"/>
      <c r="AG4273" s="80"/>
      <c r="AH4273" s="80"/>
      <c r="AI4273" s="80"/>
    </row>
    <row r="4274" spans="5:35" x14ac:dyDescent="0.25">
      <c r="E4274" s="16"/>
      <c r="F4274" s="16"/>
      <c r="H4274" s="16"/>
      <c r="AG4274" s="80"/>
      <c r="AH4274" s="80"/>
      <c r="AI4274" s="80"/>
    </row>
    <row r="4275" spans="5:35" x14ac:dyDescent="0.25">
      <c r="E4275" s="16"/>
      <c r="F4275" s="16"/>
      <c r="H4275" s="16"/>
      <c r="AG4275" s="80"/>
      <c r="AH4275" s="80"/>
      <c r="AI4275" s="80"/>
    </row>
    <row r="4276" spans="5:35" x14ac:dyDescent="0.25">
      <c r="E4276" s="16"/>
      <c r="F4276" s="16"/>
      <c r="H4276" s="16"/>
      <c r="AG4276" s="80"/>
      <c r="AH4276" s="80"/>
      <c r="AI4276" s="80"/>
    </row>
    <row r="4277" spans="5:35" x14ac:dyDescent="0.25">
      <c r="E4277" s="16"/>
      <c r="F4277" s="16"/>
      <c r="H4277" s="16"/>
      <c r="AG4277" s="80"/>
      <c r="AH4277" s="80"/>
      <c r="AI4277" s="80"/>
    </row>
    <row r="4278" spans="5:35" x14ac:dyDescent="0.25">
      <c r="E4278" s="16"/>
      <c r="F4278" s="16"/>
      <c r="H4278" s="16"/>
      <c r="AG4278" s="80"/>
      <c r="AH4278" s="80"/>
      <c r="AI4278" s="80"/>
    </row>
    <row r="4279" spans="5:35" x14ac:dyDescent="0.25">
      <c r="E4279" s="16"/>
      <c r="F4279" s="16"/>
      <c r="H4279" s="16"/>
      <c r="AG4279" s="80"/>
      <c r="AH4279" s="80"/>
      <c r="AI4279" s="80"/>
    </row>
    <row r="4280" spans="5:35" x14ac:dyDescent="0.25">
      <c r="E4280" s="16"/>
      <c r="F4280" s="16"/>
      <c r="H4280" s="16"/>
      <c r="AG4280" s="80"/>
      <c r="AH4280" s="80"/>
      <c r="AI4280" s="80"/>
    </row>
    <row r="4281" spans="5:35" x14ac:dyDescent="0.25">
      <c r="E4281" s="16"/>
      <c r="F4281" s="16"/>
      <c r="H4281" s="16"/>
      <c r="AG4281" s="80"/>
      <c r="AH4281" s="80"/>
      <c r="AI4281" s="80"/>
    </row>
    <row r="4282" spans="5:35" x14ac:dyDescent="0.25">
      <c r="E4282" s="16"/>
      <c r="F4282" s="16"/>
      <c r="H4282" s="16"/>
      <c r="AG4282" s="80"/>
      <c r="AH4282" s="80"/>
      <c r="AI4282" s="80"/>
    </row>
    <row r="4283" spans="5:35" x14ac:dyDescent="0.25">
      <c r="E4283" s="16"/>
      <c r="F4283" s="16"/>
      <c r="H4283" s="16"/>
      <c r="AG4283" s="80"/>
      <c r="AH4283" s="80"/>
      <c r="AI4283" s="80"/>
    </row>
    <row r="4284" spans="5:35" x14ac:dyDescent="0.25">
      <c r="E4284" s="16"/>
      <c r="F4284" s="16"/>
      <c r="H4284" s="16"/>
      <c r="AG4284" s="80"/>
      <c r="AH4284" s="80"/>
      <c r="AI4284" s="80"/>
    </row>
    <row r="4285" spans="5:35" x14ac:dyDescent="0.25">
      <c r="E4285" s="16"/>
      <c r="F4285" s="16"/>
      <c r="H4285" s="16"/>
      <c r="AG4285" s="80"/>
      <c r="AH4285" s="80"/>
      <c r="AI4285" s="80"/>
    </row>
    <row r="4286" spans="5:35" x14ac:dyDescent="0.25">
      <c r="E4286" s="16"/>
      <c r="F4286" s="16"/>
      <c r="H4286" s="16"/>
      <c r="AG4286" s="80"/>
      <c r="AH4286" s="80"/>
      <c r="AI4286" s="80"/>
    </row>
    <row r="4287" spans="5:35" x14ac:dyDescent="0.25">
      <c r="E4287" s="16"/>
      <c r="F4287" s="16"/>
      <c r="H4287" s="16"/>
      <c r="AG4287" s="80"/>
      <c r="AH4287" s="80"/>
      <c r="AI4287" s="80"/>
    </row>
    <row r="4288" spans="5:35" x14ac:dyDescent="0.25">
      <c r="E4288" s="16"/>
      <c r="F4288" s="16"/>
      <c r="H4288" s="16"/>
      <c r="AG4288" s="80"/>
      <c r="AH4288" s="80"/>
      <c r="AI4288" s="80"/>
    </row>
    <row r="4289" spans="5:35" x14ac:dyDescent="0.25">
      <c r="E4289" s="16"/>
      <c r="F4289" s="16"/>
      <c r="H4289" s="16"/>
      <c r="AG4289" s="80"/>
      <c r="AH4289" s="80"/>
      <c r="AI4289" s="80"/>
    </row>
    <row r="4290" spans="5:35" x14ac:dyDescent="0.25">
      <c r="E4290" s="16"/>
      <c r="F4290" s="16"/>
      <c r="H4290" s="16"/>
      <c r="AG4290" s="80"/>
      <c r="AH4290" s="80"/>
      <c r="AI4290" s="80"/>
    </row>
    <row r="4291" spans="5:35" x14ac:dyDescent="0.25">
      <c r="E4291" s="16"/>
      <c r="F4291" s="16"/>
      <c r="H4291" s="16"/>
      <c r="AG4291" s="80"/>
      <c r="AH4291" s="80"/>
      <c r="AI4291" s="80"/>
    </row>
    <row r="4292" spans="5:35" x14ac:dyDescent="0.25">
      <c r="E4292" s="16"/>
      <c r="F4292" s="16"/>
      <c r="H4292" s="16"/>
      <c r="AG4292" s="80"/>
      <c r="AH4292" s="80"/>
      <c r="AI4292" s="80"/>
    </row>
    <row r="4293" spans="5:35" x14ac:dyDescent="0.25">
      <c r="E4293" s="16"/>
      <c r="F4293" s="16"/>
      <c r="H4293" s="16"/>
      <c r="AG4293" s="80"/>
      <c r="AH4293" s="80"/>
      <c r="AI4293" s="80"/>
    </row>
    <row r="4294" spans="5:35" x14ac:dyDescent="0.25">
      <c r="E4294" s="16"/>
      <c r="F4294" s="16"/>
      <c r="H4294" s="16"/>
      <c r="AG4294" s="80"/>
      <c r="AH4294" s="80"/>
      <c r="AI4294" s="80"/>
    </row>
    <row r="4295" spans="5:35" x14ac:dyDescent="0.25">
      <c r="E4295" s="16"/>
      <c r="F4295" s="16"/>
      <c r="H4295" s="16"/>
      <c r="AG4295" s="80"/>
      <c r="AH4295" s="80"/>
      <c r="AI4295" s="80"/>
    </row>
    <row r="4296" spans="5:35" x14ac:dyDescent="0.25">
      <c r="E4296" s="16"/>
      <c r="F4296" s="16"/>
      <c r="H4296" s="16"/>
      <c r="AG4296" s="80"/>
      <c r="AH4296" s="80"/>
      <c r="AI4296" s="80"/>
    </row>
    <row r="4297" spans="5:35" x14ac:dyDescent="0.25">
      <c r="E4297" s="16"/>
      <c r="F4297" s="16"/>
      <c r="H4297" s="16"/>
      <c r="AG4297" s="80"/>
      <c r="AH4297" s="80"/>
      <c r="AI4297" s="80"/>
    </row>
    <row r="4298" spans="5:35" x14ac:dyDescent="0.25">
      <c r="E4298" s="16"/>
      <c r="F4298" s="16"/>
      <c r="H4298" s="16"/>
      <c r="AG4298" s="80"/>
      <c r="AH4298" s="80"/>
      <c r="AI4298" s="80"/>
    </row>
    <row r="4299" spans="5:35" x14ac:dyDescent="0.25">
      <c r="E4299" s="16"/>
      <c r="F4299" s="16"/>
      <c r="H4299" s="16"/>
      <c r="AG4299" s="80"/>
      <c r="AH4299" s="80"/>
      <c r="AI4299" s="80"/>
    </row>
    <row r="4300" spans="5:35" x14ac:dyDescent="0.25">
      <c r="E4300" s="16"/>
      <c r="F4300" s="16"/>
      <c r="H4300" s="16"/>
      <c r="AG4300" s="80"/>
      <c r="AH4300" s="80"/>
      <c r="AI4300" s="80"/>
    </row>
    <row r="4301" spans="5:35" x14ac:dyDescent="0.25">
      <c r="E4301" s="16"/>
      <c r="F4301" s="16"/>
      <c r="H4301" s="16"/>
      <c r="AG4301" s="80"/>
      <c r="AH4301" s="80"/>
      <c r="AI4301" s="80"/>
    </row>
    <row r="4302" spans="5:35" x14ac:dyDescent="0.25">
      <c r="E4302" s="16"/>
      <c r="F4302" s="16"/>
      <c r="H4302" s="16"/>
      <c r="AG4302" s="80"/>
      <c r="AH4302" s="80"/>
      <c r="AI4302" s="80"/>
    </row>
    <row r="4303" spans="5:35" x14ac:dyDescent="0.25">
      <c r="E4303" s="16"/>
      <c r="F4303" s="16"/>
      <c r="H4303" s="16"/>
      <c r="AG4303" s="80"/>
      <c r="AH4303" s="80"/>
      <c r="AI4303" s="80"/>
    </row>
    <row r="4304" spans="5:35" x14ac:dyDescent="0.25">
      <c r="E4304" s="16"/>
      <c r="F4304" s="16"/>
      <c r="H4304" s="16"/>
      <c r="AG4304" s="80"/>
      <c r="AH4304" s="80"/>
      <c r="AI4304" s="80"/>
    </row>
    <row r="4305" spans="5:35" x14ac:dyDescent="0.25">
      <c r="E4305" s="16"/>
      <c r="F4305" s="16"/>
      <c r="H4305" s="16"/>
      <c r="AG4305" s="80"/>
      <c r="AH4305" s="80"/>
      <c r="AI4305" s="80"/>
    </row>
    <row r="4306" spans="5:35" x14ac:dyDescent="0.25">
      <c r="E4306" s="16"/>
      <c r="F4306" s="16"/>
      <c r="H4306" s="16"/>
      <c r="AG4306" s="80"/>
      <c r="AH4306" s="80"/>
      <c r="AI4306" s="80"/>
    </row>
    <row r="4307" spans="5:35" x14ac:dyDescent="0.25">
      <c r="E4307" s="16"/>
      <c r="F4307" s="16"/>
      <c r="H4307" s="16"/>
      <c r="AG4307" s="80"/>
      <c r="AH4307" s="80"/>
      <c r="AI4307" s="80"/>
    </row>
    <row r="4308" spans="5:35" x14ac:dyDescent="0.25">
      <c r="E4308" s="16"/>
      <c r="F4308" s="16"/>
      <c r="H4308" s="16"/>
      <c r="AG4308" s="80"/>
      <c r="AH4308" s="80"/>
      <c r="AI4308" s="80"/>
    </row>
    <row r="4309" spans="5:35" x14ac:dyDescent="0.25">
      <c r="E4309" s="16"/>
      <c r="F4309" s="16"/>
      <c r="H4309" s="16"/>
      <c r="AG4309" s="80"/>
      <c r="AH4309" s="80"/>
      <c r="AI4309" s="80"/>
    </row>
    <row r="4310" spans="5:35" x14ac:dyDescent="0.25">
      <c r="E4310" s="16"/>
      <c r="F4310" s="16"/>
      <c r="H4310" s="16"/>
      <c r="AG4310" s="80"/>
      <c r="AH4310" s="80"/>
      <c r="AI4310" s="80"/>
    </row>
    <row r="4311" spans="5:35" x14ac:dyDescent="0.25">
      <c r="E4311" s="16"/>
      <c r="F4311" s="16"/>
      <c r="H4311" s="16"/>
      <c r="AG4311" s="80"/>
      <c r="AH4311" s="80"/>
      <c r="AI4311" s="80"/>
    </row>
    <row r="4312" spans="5:35" x14ac:dyDescent="0.25">
      <c r="E4312" s="16"/>
      <c r="F4312" s="16"/>
      <c r="H4312" s="16"/>
      <c r="AG4312" s="80"/>
      <c r="AH4312" s="80"/>
      <c r="AI4312" s="80"/>
    </row>
    <row r="4313" spans="5:35" x14ac:dyDescent="0.25">
      <c r="E4313" s="16"/>
      <c r="F4313" s="16"/>
      <c r="H4313" s="16"/>
      <c r="AG4313" s="80"/>
      <c r="AH4313" s="80"/>
      <c r="AI4313" s="80"/>
    </row>
    <row r="4314" spans="5:35" x14ac:dyDescent="0.25">
      <c r="E4314" s="16"/>
      <c r="F4314" s="16"/>
      <c r="H4314" s="16"/>
      <c r="AG4314" s="80"/>
      <c r="AH4314" s="80"/>
      <c r="AI4314" s="80"/>
    </row>
    <row r="4315" spans="5:35" x14ac:dyDescent="0.25">
      <c r="E4315" s="16"/>
      <c r="F4315" s="16"/>
      <c r="H4315" s="16"/>
      <c r="AG4315" s="80"/>
      <c r="AH4315" s="80"/>
      <c r="AI4315" s="80"/>
    </row>
    <row r="4316" spans="5:35" x14ac:dyDescent="0.25">
      <c r="E4316" s="16"/>
      <c r="F4316" s="16"/>
      <c r="H4316" s="16"/>
      <c r="AG4316" s="80"/>
      <c r="AH4316" s="80"/>
      <c r="AI4316" s="80"/>
    </row>
    <row r="4317" spans="5:35" x14ac:dyDescent="0.25">
      <c r="E4317" s="16"/>
      <c r="F4317" s="16"/>
      <c r="H4317" s="16"/>
      <c r="AG4317" s="80"/>
      <c r="AH4317" s="80"/>
      <c r="AI4317" s="80"/>
    </row>
    <row r="4318" spans="5:35" x14ac:dyDescent="0.25">
      <c r="E4318" s="16"/>
      <c r="F4318" s="16"/>
      <c r="H4318" s="16"/>
      <c r="AG4318" s="80"/>
      <c r="AH4318" s="80"/>
      <c r="AI4318" s="80"/>
    </row>
    <row r="4319" spans="5:35" x14ac:dyDescent="0.25">
      <c r="E4319" s="16"/>
      <c r="F4319" s="16"/>
      <c r="H4319" s="16"/>
      <c r="AG4319" s="80"/>
      <c r="AH4319" s="80"/>
      <c r="AI4319" s="80"/>
    </row>
    <row r="4320" spans="5:35" x14ac:dyDescent="0.25">
      <c r="E4320" s="16"/>
      <c r="F4320" s="16"/>
      <c r="H4320" s="16"/>
      <c r="AG4320" s="80"/>
      <c r="AH4320" s="80"/>
      <c r="AI4320" s="80"/>
    </row>
    <row r="4321" spans="5:35" x14ac:dyDescent="0.25">
      <c r="E4321" s="16"/>
      <c r="F4321" s="16"/>
      <c r="H4321" s="16"/>
      <c r="AG4321" s="80"/>
      <c r="AH4321" s="80"/>
      <c r="AI4321" s="80"/>
    </row>
    <row r="4322" spans="5:35" x14ac:dyDescent="0.25">
      <c r="E4322" s="16"/>
      <c r="F4322" s="16"/>
      <c r="H4322" s="16"/>
      <c r="AG4322" s="80"/>
      <c r="AH4322" s="80"/>
      <c r="AI4322" s="80"/>
    </row>
    <row r="4323" spans="5:35" x14ac:dyDescent="0.25">
      <c r="E4323" s="16"/>
      <c r="F4323" s="16"/>
      <c r="H4323" s="16"/>
      <c r="AG4323" s="80"/>
      <c r="AH4323" s="80"/>
      <c r="AI4323" s="80"/>
    </row>
    <row r="4324" spans="5:35" x14ac:dyDescent="0.25">
      <c r="E4324" s="16"/>
      <c r="F4324" s="16"/>
      <c r="H4324" s="16"/>
      <c r="AG4324" s="80"/>
      <c r="AH4324" s="80"/>
      <c r="AI4324" s="80"/>
    </row>
    <row r="4325" spans="5:35" x14ac:dyDescent="0.25">
      <c r="E4325" s="16"/>
      <c r="F4325" s="16"/>
      <c r="H4325" s="16"/>
      <c r="AG4325" s="80"/>
      <c r="AH4325" s="80"/>
      <c r="AI4325" s="80"/>
    </row>
    <row r="4326" spans="5:35" x14ac:dyDescent="0.25">
      <c r="E4326" s="16"/>
      <c r="F4326" s="16"/>
      <c r="H4326" s="16"/>
      <c r="AG4326" s="80"/>
      <c r="AH4326" s="80"/>
      <c r="AI4326" s="80"/>
    </row>
    <row r="4327" spans="5:35" x14ac:dyDescent="0.25">
      <c r="E4327" s="16"/>
      <c r="F4327" s="16"/>
      <c r="H4327" s="16"/>
      <c r="AG4327" s="80"/>
      <c r="AH4327" s="80"/>
      <c r="AI4327" s="80"/>
    </row>
    <row r="4328" spans="5:35" x14ac:dyDescent="0.25">
      <c r="E4328" s="16"/>
      <c r="F4328" s="16"/>
      <c r="H4328" s="16"/>
      <c r="AG4328" s="80"/>
      <c r="AH4328" s="80"/>
      <c r="AI4328" s="80"/>
    </row>
    <row r="4329" spans="5:35" x14ac:dyDescent="0.25">
      <c r="E4329" s="16"/>
      <c r="F4329" s="16"/>
      <c r="H4329" s="16"/>
      <c r="AG4329" s="80"/>
      <c r="AH4329" s="80"/>
      <c r="AI4329" s="80"/>
    </row>
    <row r="4330" spans="5:35" x14ac:dyDescent="0.25">
      <c r="E4330" s="16"/>
      <c r="F4330" s="16"/>
      <c r="H4330" s="16"/>
      <c r="AG4330" s="80"/>
      <c r="AH4330" s="80"/>
      <c r="AI4330" s="80"/>
    </row>
    <row r="4331" spans="5:35" x14ac:dyDescent="0.25">
      <c r="E4331" s="16"/>
      <c r="F4331" s="16"/>
      <c r="H4331" s="16"/>
      <c r="AG4331" s="80"/>
      <c r="AH4331" s="80"/>
      <c r="AI4331" s="80"/>
    </row>
    <row r="4332" spans="5:35" x14ac:dyDescent="0.25">
      <c r="E4332" s="16"/>
      <c r="F4332" s="16"/>
      <c r="H4332" s="16"/>
      <c r="AG4332" s="80"/>
      <c r="AH4332" s="80"/>
      <c r="AI4332" s="80"/>
    </row>
    <row r="4333" spans="5:35" x14ac:dyDescent="0.25">
      <c r="E4333" s="16"/>
      <c r="F4333" s="16"/>
      <c r="H4333" s="16"/>
      <c r="AG4333" s="80"/>
      <c r="AH4333" s="80"/>
      <c r="AI4333" s="80"/>
    </row>
    <row r="4334" spans="5:35" x14ac:dyDescent="0.25">
      <c r="E4334" s="16"/>
      <c r="F4334" s="16"/>
      <c r="H4334" s="16"/>
      <c r="AG4334" s="80"/>
      <c r="AH4334" s="80"/>
      <c r="AI4334" s="80"/>
    </row>
    <row r="4335" spans="5:35" x14ac:dyDescent="0.25">
      <c r="E4335" s="16"/>
      <c r="F4335" s="16"/>
      <c r="H4335" s="16"/>
      <c r="AG4335" s="80"/>
      <c r="AH4335" s="80"/>
      <c r="AI4335" s="80"/>
    </row>
    <row r="4336" spans="5:35" x14ac:dyDescent="0.25">
      <c r="E4336" s="16"/>
      <c r="F4336" s="16"/>
      <c r="H4336" s="16"/>
      <c r="AG4336" s="80"/>
      <c r="AH4336" s="80"/>
      <c r="AI4336" s="80"/>
    </row>
    <row r="4337" spans="5:35" x14ac:dyDescent="0.25">
      <c r="E4337" s="16"/>
      <c r="F4337" s="16"/>
      <c r="H4337" s="16"/>
      <c r="AG4337" s="80"/>
      <c r="AH4337" s="80"/>
      <c r="AI4337" s="80"/>
    </row>
    <row r="4338" spans="5:35" x14ac:dyDescent="0.25">
      <c r="E4338" s="16"/>
      <c r="F4338" s="16"/>
      <c r="H4338" s="16"/>
      <c r="AG4338" s="80"/>
      <c r="AH4338" s="80"/>
      <c r="AI4338" s="80"/>
    </row>
    <row r="4339" spans="5:35" x14ac:dyDescent="0.25">
      <c r="E4339" s="16"/>
      <c r="F4339" s="16"/>
      <c r="H4339" s="16"/>
      <c r="AG4339" s="80"/>
      <c r="AH4339" s="80"/>
      <c r="AI4339" s="80"/>
    </row>
    <row r="4340" spans="5:35" x14ac:dyDescent="0.25">
      <c r="E4340" s="16"/>
      <c r="F4340" s="16"/>
      <c r="H4340" s="16"/>
      <c r="AG4340" s="80"/>
      <c r="AH4340" s="80"/>
      <c r="AI4340" s="80"/>
    </row>
    <row r="4341" spans="5:35" x14ac:dyDescent="0.25">
      <c r="E4341" s="16"/>
      <c r="F4341" s="16"/>
      <c r="H4341" s="16"/>
      <c r="AG4341" s="80"/>
      <c r="AH4341" s="80"/>
      <c r="AI4341" s="80"/>
    </row>
    <row r="4342" spans="5:35" x14ac:dyDescent="0.25">
      <c r="E4342" s="16"/>
      <c r="F4342" s="16"/>
      <c r="H4342" s="16"/>
      <c r="AG4342" s="80"/>
      <c r="AH4342" s="80"/>
      <c r="AI4342" s="80"/>
    </row>
    <row r="4343" spans="5:35" x14ac:dyDescent="0.25">
      <c r="E4343" s="16"/>
      <c r="F4343" s="16"/>
      <c r="H4343" s="16"/>
      <c r="AG4343" s="80"/>
      <c r="AH4343" s="80"/>
      <c r="AI4343" s="80"/>
    </row>
    <row r="4344" spans="5:35" x14ac:dyDescent="0.25">
      <c r="E4344" s="16"/>
      <c r="F4344" s="16"/>
      <c r="H4344" s="16"/>
      <c r="AG4344" s="80"/>
      <c r="AH4344" s="80"/>
      <c r="AI4344" s="80"/>
    </row>
    <row r="4345" spans="5:35" x14ac:dyDescent="0.25">
      <c r="E4345" s="16"/>
      <c r="F4345" s="16"/>
      <c r="H4345" s="16"/>
      <c r="AG4345" s="80"/>
      <c r="AH4345" s="80"/>
      <c r="AI4345" s="80"/>
    </row>
    <row r="4346" spans="5:35" x14ac:dyDescent="0.25">
      <c r="E4346" s="16"/>
      <c r="F4346" s="16"/>
      <c r="H4346" s="16"/>
      <c r="AG4346" s="80"/>
      <c r="AH4346" s="80"/>
      <c r="AI4346" s="80"/>
    </row>
    <row r="4347" spans="5:35" x14ac:dyDescent="0.25">
      <c r="E4347" s="16"/>
      <c r="F4347" s="16"/>
      <c r="H4347" s="16"/>
      <c r="AG4347" s="80"/>
      <c r="AH4347" s="80"/>
      <c r="AI4347" s="80"/>
    </row>
    <row r="4348" spans="5:35" x14ac:dyDescent="0.25">
      <c r="E4348" s="16"/>
      <c r="F4348" s="16"/>
      <c r="H4348" s="16"/>
      <c r="AG4348" s="80"/>
      <c r="AH4348" s="80"/>
      <c r="AI4348" s="80"/>
    </row>
    <row r="4349" spans="5:35" x14ac:dyDescent="0.25">
      <c r="E4349" s="16"/>
      <c r="F4349" s="16"/>
      <c r="H4349" s="16"/>
      <c r="AG4349" s="80"/>
      <c r="AH4349" s="80"/>
      <c r="AI4349" s="80"/>
    </row>
    <row r="4350" spans="5:35" x14ac:dyDescent="0.25">
      <c r="E4350" s="16"/>
      <c r="F4350" s="16"/>
      <c r="H4350" s="16"/>
      <c r="AG4350" s="80"/>
      <c r="AH4350" s="80"/>
      <c r="AI4350" s="80"/>
    </row>
    <row r="4351" spans="5:35" x14ac:dyDescent="0.25">
      <c r="E4351" s="16"/>
      <c r="F4351" s="16"/>
      <c r="H4351" s="16"/>
      <c r="AG4351" s="80"/>
      <c r="AH4351" s="80"/>
      <c r="AI4351" s="80"/>
    </row>
    <row r="4352" spans="5:35" x14ac:dyDescent="0.25">
      <c r="E4352" s="16"/>
      <c r="F4352" s="16"/>
      <c r="H4352" s="16"/>
      <c r="AG4352" s="80"/>
      <c r="AH4352" s="80"/>
      <c r="AI4352" s="80"/>
    </row>
    <row r="4353" spans="5:35" x14ac:dyDescent="0.25">
      <c r="E4353" s="16"/>
      <c r="F4353" s="16"/>
      <c r="H4353" s="16"/>
      <c r="AG4353" s="80"/>
      <c r="AH4353" s="80"/>
      <c r="AI4353" s="80"/>
    </row>
    <row r="4354" spans="5:35" x14ac:dyDescent="0.25">
      <c r="E4354" s="16"/>
      <c r="F4354" s="16"/>
      <c r="H4354" s="16"/>
      <c r="AG4354" s="80"/>
      <c r="AH4354" s="80"/>
      <c r="AI4354" s="80"/>
    </row>
    <row r="4355" spans="5:35" x14ac:dyDescent="0.25">
      <c r="E4355" s="16"/>
      <c r="F4355" s="16"/>
      <c r="H4355" s="16"/>
      <c r="AG4355" s="80"/>
      <c r="AH4355" s="80"/>
      <c r="AI4355" s="80"/>
    </row>
    <row r="4356" spans="5:35" x14ac:dyDescent="0.25">
      <c r="E4356" s="16"/>
      <c r="F4356" s="16"/>
      <c r="H4356" s="16"/>
      <c r="AG4356" s="80"/>
      <c r="AH4356" s="80"/>
      <c r="AI4356" s="80"/>
    </row>
    <row r="4357" spans="5:35" x14ac:dyDescent="0.25">
      <c r="E4357" s="16"/>
      <c r="F4357" s="16"/>
      <c r="H4357" s="16"/>
      <c r="AG4357" s="80"/>
      <c r="AH4357" s="80"/>
      <c r="AI4357" s="80"/>
    </row>
    <row r="4358" spans="5:35" x14ac:dyDescent="0.25">
      <c r="E4358" s="16"/>
      <c r="F4358" s="16"/>
      <c r="H4358" s="16"/>
      <c r="AG4358" s="80"/>
      <c r="AH4358" s="80"/>
      <c r="AI4358" s="80"/>
    </row>
    <row r="4359" spans="5:35" x14ac:dyDescent="0.25">
      <c r="E4359" s="16"/>
      <c r="F4359" s="16"/>
      <c r="H4359" s="16"/>
      <c r="AG4359" s="80"/>
      <c r="AH4359" s="80"/>
      <c r="AI4359" s="80"/>
    </row>
    <row r="4360" spans="5:35" x14ac:dyDescent="0.25">
      <c r="E4360" s="16"/>
      <c r="F4360" s="16"/>
      <c r="H4360" s="16"/>
      <c r="AG4360" s="80"/>
      <c r="AH4360" s="80"/>
      <c r="AI4360" s="80"/>
    </row>
    <row r="4361" spans="5:35" x14ac:dyDescent="0.25">
      <c r="E4361" s="16"/>
      <c r="F4361" s="16"/>
      <c r="H4361" s="16"/>
      <c r="AG4361" s="80"/>
      <c r="AH4361" s="80"/>
      <c r="AI4361" s="80"/>
    </row>
    <row r="4362" spans="5:35" x14ac:dyDescent="0.25">
      <c r="E4362" s="16"/>
      <c r="F4362" s="16"/>
      <c r="H4362" s="16"/>
      <c r="AG4362" s="80"/>
      <c r="AH4362" s="80"/>
      <c r="AI4362" s="80"/>
    </row>
    <row r="4363" spans="5:35" x14ac:dyDescent="0.25">
      <c r="E4363" s="16"/>
      <c r="F4363" s="16"/>
      <c r="H4363" s="16"/>
      <c r="AG4363" s="80"/>
      <c r="AH4363" s="80"/>
      <c r="AI4363" s="80"/>
    </row>
    <row r="4364" spans="5:35" x14ac:dyDescent="0.25">
      <c r="E4364" s="16"/>
      <c r="F4364" s="16"/>
      <c r="H4364" s="16"/>
      <c r="AG4364" s="80"/>
      <c r="AH4364" s="80"/>
      <c r="AI4364" s="80"/>
    </row>
    <row r="4365" spans="5:35" x14ac:dyDescent="0.25">
      <c r="E4365" s="16"/>
      <c r="F4365" s="16"/>
      <c r="H4365" s="16"/>
      <c r="AG4365" s="80"/>
      <c r="AH4365" s="80"/>
      <c r="AI4365" s="80"/>
    </row>
    <row r="4366" spans="5:35" x14ac:dyDescent="0.25">
      <c r="E4366" s="16"/>
      <c r="F4366" s="16"/>
      <c r="H4366" s="16"/>
      <c r="AG4366" s="80"/>
      <c r="AH4366" s="80"/>
      <c r="AI4366" s="80"/>
    </row>
    <row r="4367" spans="5:35" x14ac:dyDescent="0.25">
      <c r="E4367" s="16"/>
      <c r="F4367" s="16"/>
      <c r="H4367" s="16"/>
      <c r="AG4367" s="80"/>
      <c r="AH4367" s="80"/>
      <c r="AI4367" s="80"/>
    </row>
    <row r="4368" spans="5:35" x14ac:dyDescent="0.25">
      <c r="E4368" s="16"/>
      <c r="F4368" s="16"/>
      <c r="H4368" s="16"/>
      <c r="AG4368" s="80"/>
      <c r="AH4368" s="80"/>
      <c r="AI4368" s="80"/>
    </row>
    <row r="4369" spans="5:35" x14ac:dyDescent="0.25">
      <c r="E4369" s="16"/>
      <c r="F4369" s="16"/>
      <c r="H4369" s="16"/>
      <c r="AG4369" s="80"/>
      <c r="AH4369" s="80"/>
      <c r="AI4369" s="80"/>
    </row>
    <row r="4370" spans="5:35" x14ac:dyDescent="0.25">
      <c r="E4370" s="16"/>
      <c r="F4370" s="16"/>
      <c r="H4370" s="16"/>
      <c r="AG4370" s="80"/>
      <c r="AH4370" s="80"/>
      <c r="AI4370" s="80"/>
    </row>
    <row r="4371" spans="5:35" x14ac:dyDescent="0.25">
      <c r="E4371" s="16"/>
      <c r="F4371" s="16"/>
      <c r="H4371" s="16"/>
      <c r="AG4371" s="80"/>
      <c r="AH4371" s="80"/>
      <c r="AI4371" s="80"/>
    </row>
    <row r="4372" spans="5:35" x14ac:dyDescent="0.25">
      <c r="E4372" s="16"/>
      <c r="F4372" s="16"/>
      <c r="H4372" s="16"/>
      <c r="AG4372" s="80"/>
      <c r="AH4372" s="80"/>
      <c r="AI4372" s="80"/>
    </row>
    <row r="4373" spans="5:35" x14ac:dyDescent="0.25">
      <c r="E4373" s="16"/>
      <c r="F4373" s="16"/>
      <c r="H4373" s="16"/>
      <c r="AG4373" s="80"/>
      <c r="AH4373" s="80"/>
      <c r="AI4373" s="80"/>
    </row>
    <row r="4374" spans="5:35" x14ac:dyDescent="0.25">
      <c r="E4374" s="16"/>
      <c r="F4374" s="16"/>
      <c r="H4374" s="16"/>
      <c r="AG4374" s="80"/>
      <c r="AH4374" s="80"/>
      <c r="AI4374" s="80"/>
    </row>
    <row r="4375" spans="5:35" x14ac:dyDescent="0.25">
      <c r="E4375" s="16"/>
      <c r="F4375" s="16"/>
      <c r="H4375" s="16"/>
      <c r="AG4375" s="80"/>
      <c r="AH4375" s="80"/>
      <c r="AI4375" s="80"/>
    </row>
    <row r="4376" spans="5:35" x14ac:dyDescent="0.25">
      <c r="E4376" s="16"/>
      <c r="F4376" s="16"/>
      <c r="H4376" s="16"/>
      <c r="AG4376" s="80"/>
      <c r="AH4376" s="80"/>
      <c r="AI4376" s="80"/>
    </row>
    <row r="4377" spans="5:35" x14ac:dyDescent="0.25">
      <c r="E4377" s="16"/>
      <c r="F4377" s="16"/>
      <c r="H4377" s="16"/>
      <c r="AG4377" s="80"/>
      <c r="AH4377" s="80"/>
      <c r="AI4377" s="80"/>
    </row>
    <row r="4378" spans="5:35" x14ac:dyDescent="0.25">
      <c r="E4378" s="16"/>
      <c r="F4378" s="16"/>
      <c r="H4378" s="16"/>
      <c r="AG4378" s="80"/>
      <c r="AH4378" s="80"/>
      <c r="AI4378" s="80"/>
    </row>
    <row r="4379" spans="5:35" x14ac:dyDescent="0.25">
      <c r="E4379" s="16"/>
      <c r="F4379" s="16"/>
      <c r="H4379" s="16"/>
      <c r="AG4379" s="80"/>
      <c r="AH4379" s="80"/>
      <c r="AI4379" s="80"/>
    </row>
    <row r="4380" spans="5:35" x14ac:dyDescent="0.25">
      <c r="E4380" s="16"/>
      <c r="F4380" s="16"/>
      <c r="H4380" s="16"/>
      <c r="AG4380" s="80"/>
      <c r="AH4380" s="80"/>
      <c r="AI4380" s="80"/>
    </row>
    <row r="4381" spans="5:35" x14ac:dyDescent="0.25">
      <c r="E4381" s="16"/>
      <c r="F4381" s="16"/>
      <c r="H4381" s="16"/>
      <c r="AG4381" s="80"/>
      <c r="AH4381" s="80"/>
      <c r="AI4381" s="80"/>
    </row>
    <row r="4382" spans="5:35" x14ac:dyDescent="0.25">
      <c r="E4382" s="16"/>
      <c r="F4382" s="16"/>
      <c r="H4382" s="16"/>
      <c r="AG4382" s="80"/>
      <c r="AH4382" s="80"/>
      <c r="AI4382" s="80"/>
    </row>
    <row r="4383" spans="5:35" x14ac:dyDescent="0.25">
      <c r="E4383" s="16"/>
      <c r="F4383" s="16"/>
      <c r="H4383" s="16"/>
      <c r="AG4383" s="80"/>
      <c r="AH4383" s="80"/>
      <c r="AI4383" s="80"/>
    </row>
    <row r="4384" spans="5:35" x14ac:dyDescent="0.25">
      <c r="E4384" s="16"/>
      <c r="F4384" s="16"/>
      <c r="H4384" s="16"/>
      <c r="AG4384" s="80"/>
      <c r="AH4384" s="80"/>
      <c r="AI4384" s="80"/>
    </row>
    <row r="4385" spans="5:35" x14ac:dyDescent="0.25">
      <c r="E4385" s="16"/>
      <c r="F4385" s="16"/>
      <c r="H4385" s="16"/>
      <c r="AG4385" s="80"/>
      <c r="AH4385" s="80"/>
      <c r="AI4385" s="80"/>
    </row>
    <row r="4386" spans="5:35" x14ac:dyDescent="0.25">
      <c r="E4386" s="16"/>
      <c r="F4386" s="16"/>
      <c r="H4386" s="16"/>
      <c r="AG4386" s="80"/>
      <c r="AH4386" s="80"/>
      <c r="AI4386" s="80"/>
    </row>
    <row r="4387" spans="5:35" x14ac:dyDescent="0.25">
      <c r="E4387" s="16"/>
      <c r="F4387" s="16"/>
      <c r="H4387" s="16"/>
      <c r="AG4387" s="80"/>
      <c r="AH4387" s="80"/>
      <c r="AI4387" s="80"/>
    </row>
    <row r="4388" spans="5:35" x14ac:dyDescent="0.25">
      <c r="E4388" s="16"/>
      <c r="F4388" s="16"/>
      <c r="H4388" s="16"/>
      <c r="AG4388" s="80"/>
      <c r="AH4388" s="80"/>
      <c r="AI4388" s="80"/>
    </row>
    <row r="4389" spans="5:35" x14ac:dyDescent="0.25">
      <c r="E4389" s="16"/>
      <c r="F4389" s="16"/>
      <c r="H4389" s="16"/>
      <c r="AG4389" s="80"/>
      <c r="AH4389" s="80"/>
      <c r="AI4389" s="80"/>
    </row>
    <row r="4390" spans="5:35" x14ac:dyDescent="0.25">
      <c r="E4390" s="16"/>
      <c r="F4390" s="16"/>
      <c r="H4390" s="16"/>
      <c r="AG4390" s="80"/>
      <c r="AH4390" s="80"/>
      <c r="AI4390" s="80"/>
    </row>
    <row r="4391" spans="5:35" x14ac:dyDescent="0.25">
      <c r="E4391" s="16"/>
      <c r="F4391" s="16"/>
      <c r="H4391" s="16"/>
      <c r="AG4391" s="80"/>
      <c r="AH4391" s="80"/>
      <c r="AI4391" s="80"/>
    </row>
    <row r="4392" spans="5:35" x14ac:dyDescent="0.25">
      <c r="E4392" s="16"/>
      <c r="F4392" s="16"/>
      <c r="H4392" s="16"/>
      <c r="AG4392" s="80"/>
      <c r="AH4392" s="80"/>
      <c r="AI4392" s="80"/>
    </row>
    <row r="4393" spans="5:35" x14ac:dyDescent="0.25">
      <c r="E4393" s="16"/>
      <c r="F4393" s="16"/>
      <c r="H4393" s="16"/>
      <c r="AG4393" s="80"/>
      <c r="AH4393" s="80"/>
      <c r="AI4393" s="80"/>
    </row>
    <row r="4394" spans="5:35" x14ac:dyDescent="0.25">
      <c r="E4394" s="16"/>
      <c r="F4394" s="16"/>
      <c r="H4394" s="16"/>
      <c r="AG4394" s="80"/>
      <c r="AH4394" s="80"/>
      <c r="AI4394" s="80"/>
    </row>
    <row r="4395" spans="5:35" x14ac:dyDescent="0.25">
      <c r="E4395" s="16"/>
      <c r="F4395" s="16"/>
      <c r="H4395" s="16"/>
      <c r="AG4395" s="80"/>
      <c r="AH4395" s="80"/>
      <c r="AI4395" s="80"/>
    </row>
    <row r="4396" spans="5:35" x14ac:dyDescent="0.25">
      <c r="E4396" s="16"/>
      <c r="F4396" s="16"/>
      <c r="H4396" s="16"/>
      <c r="AG4396" s="80"/>
      <c r="AH4396" s="80"/>
      <c r="AI4396" s="80"/>
    </row>
    <row r="4397" spans="5:35" x14ac:dyDescent="0.25">
      <c r="E4397" s="16"/>
      <c r="F4397" s="16"/>
      <c r="H4397" s="16"/>
      <c r="AG4397" s="80"/>
      <c r="AH4397" s="80"/>
      <c r="AI4397" s="80"/>
    </row>
    <row r="4398" spans="5:35" x14ac:dyDescent="0.25">
      <c r="E4398" s="16"/>
      <c r="F4398" s="16"/>
      <c r="H4398" s="16"/>
      <c r="AG4398" s="80"/>
      <c r="AH4398" s="80"/>
      <c r="AI4398" s="80"/>
    </row>
    <row r="4399" spans="5:35" x14ac:dyDescent="0.25">
      <c r="E4399" s="16"/>
      <c r="F4399" s="16"/>
      <c r="H4399" s="16"/>
      <c r="AG4399" s="80"/>
      <c r="AH4399" s="80"/>
      <c r="AI4399" s="80"/>
    </row>
    <row r="4400" spans="5:35" x14ac:dyDescent="0.25">
      <c r="E4400" s="16"/>
      <c r="F4400" s="16"/>
      <c r="H4400" s="16"/>
      <c r="AG4400" s="80"/>
      <c r="AH4400" s="80"/>
      <c r="AI4400" s="80"/>
    </row>
    <row r="4401" spans="5:35" x14ac:dyDescent="0.25">
      <c r="E4401" s="16"/>
      <c r="F4401" s="16"/>
      <c r="H4401" s="16"/>
      <c r="AG4401" s="80"/>
      <c r="AH4401" s="80"/>
      <c r="AI4401" s="80"/>
    </row>
    <row r="4402" spans="5:35" x14ac:dyDescent="0.25">
      <c r="E4402" s="16"/>
      <c r="F4402" s="16"/>
      <c r="H4402" s="16"/>
      <c r="AG4402" s="80"/>
      <c r="AH4402" s="80"/>
      <c r="AI4402" s="80"/>
    </row>
    <row r="4403" spans="5:35" x14ac:dyDescent="0.25">
      <c r="E4403" s="16"/>
      <c r="F4403" s="16"/>
      <c r="H4403" s="16"/>
      <c r="AG4403" s="80"/>
      <c r="AH4403" s="80"/>
      <c r="AI4403" s="80"/>
    </row>
    <row r="4404" spans="5:35" x14ac:dyDescent="0.25">
      <c r="E4404" s="16"/>
      <c r="F4404" s="16"/>
      <c r="H4404" s="16"/>
      <c r="AG4404" s="80"/>
      <c r="AH4404" s="80"/>
      <c r="AI4404" s="80"/>
    </row>
    <row r="4405" spans="5:35" x14ac:dyDescent="0.25">
      <c r="E4405" s="16"/>
      <c r="F4405" s="16"/>
      <c r="H4405" s="16"/>
      <c r="AG4405" s="80"/>
      <c r="AH4405" s="80"/>
      <c r="AI4405" s="80"/>
    </row>
    <row r="4406" spans="5:35" x14ac:dyDescent="0.25">
      <c r="E4406" s="16"/>
      <c r="F4406" s="16"/>
      <c r="H4406" s="16"/>
      <c r="AG4406" s="80"/>
      <c r="AH4406" s="80"/>
      <c r="AI4406" s="80"/>
    </row>
    <row r="4407" spans="5:35" x14ac:dyDescent="0.25">
      <c r="E4407" s="16"/>
      <c r="F4407" s="16"/>
      <c r="H4407" s="16"/>
      <c r="AG4407" s="80"/>
      <c r="AH4407" s="80"/>
      <c r="AI4407" s="80"/>
    </row>
    <row r="4408" spans="5:35" x14ac:dyDescent="0.25">
      <c r="E4408" s="16"/>
      <c r="F4408" s="16"/>
      <c r="H4408" s="16"/>
      <c r="AG4408" s="80"/>
      <c r="AH4408" s="80"/>
      <c r="AI4408" s="80"/>
    </row>
    <row r="4409" spans="5:35" x14ac:dyDescent="0.25">
      <c r="E4409" s="16"/>
      <c r="F4409" s="16"/>
      <c r="H4409" s="16"/>
      <c r="AG4409" s="80"/>
      <c r="AH4409" s="80"/>
      <c r="AI4409" s="80"/>
    </row>
    <row r="4410" spans="5:35" x14ac:dyDescent="0.25">
      <c r="E4410" s="16"/>
      <c r="F4410" s="16"/>
      <c r="H4410" s="16"/>
      <c r="AG4410" s="80"/>
      <c r="AH4410" s="80"/>
      <c r="AI4410" s="80"/>
    </row>
    <row r="4411" spans="5:35" x14ac:dyDescent="0.25">
      <c r="E4411" s="16"/>
      <c r="F4411" s="16"/>
      <c r="H4411" s="16"/>
      <c r="AG4411" s="80"/>
      <c r="AH4411" s="80"/>
      <c r="AI4411" s="80"/>
    </row>
    <row r="4412" spans="5:35" x14ac:dyDescent="0.25">
      <c r="E4412" s="16"/>
      <c r="F4412" s="16"/>
      <c r="H4412" s="16"/>
      <c r="AG4412" s="80"/>
      <c r="AH4412" s="80"/>
      <c r="AI4412" s="80"/>
    </row>
    <row r="4413" spans="5:35" x14ac:dyDescent="0.25">
      <c r="E4413" s="16"/>
      <c r="F4413" s="16"/>
      <c r="H4413" s="16"/>
      <c r="AG4413" s="80"/>
      <c r="AH4413" s="80"/>
      <c r="AI4413" s="80"/>
    </row>
    <row r="4414" spans="5:35" x14ac:dyDescent="0.25">
      <c r="E4414" s="16"/>
      <c r="F4414" s="16"/>
      <c r="H4414" s="16"/>
      <c r="AG4414" s="80"/>
      <c r="AH4414" s="80"/>
      <c r="AI4414" s="80"/>
    </row>
    <row r="4415" spans="5:35" x14ac:dyDescent="0.25">
      <c r="E4415" s="16"/>
      <c r="F4415" s="16"/>
      <c r="H4415" s="16"/>
      <c r="AG4415" s="80"/>
      <c r="AH4415" s="80"/>
      <c r="AI4415" s="80"/>
    </row>
    <row r="4416" spans="5:35" x14ac:dyDescent="0.25">
      <c r="E4416" s="16"/>
      <c r="F4416" s="16"/>
      <c r="H4416" s="16"/>
      <c r="AG4416" s="80"/>
      <c r="AH4416" s="80"/>
      <c r="AI4416" s="80"/>
    </row>
    <row r="4417" spans="5:35" x14ac:dyDescent="0.25">
      <c r="E4417" s="16"/>
      <c r="F4417" s="16"/>
      <c r="H4417" s="16"/>
      <c r="AG4417" s="80"/>
      <c r="AH4417" s="80"/>
      <c r="AI4417" s="80"/>
    </row>
    <row r="4418" spans="5:35" x14ac:dyDescent="0.25">
      <c r="E4418" s="16"/>
      <c r="F4418" s="16"/>
      <c r="H4418" s="16"/>
      <c r="AG4418" s="80"/>
      <c r="AH4418" s="80"/>
      <c r="AI4418" s="80"/>
    </row>
    <row r="4419" spans="5:35" x14ac:dyDescent="0.25">
      <c r="E4419" s="16"/>
      <c r="F4419" s="16"/>
      <c r="H4419" s="16"/>
      <c r="AG4419" s="80"/>
      <c r="AH4419" s="80"/>
      <c r="AI4419" s="80"/>
    </row>
    <row r="4420" spans="5:35" x14ac:dyDescent="0.25">
      <c r="E4420" s="16"/>
      <c r="F4420" s="16"/>
      <c r="H4420" s="16"/>
      <c r="AG4420" s="80"/>
      <c r="AH4420" s="80"/>
      <c r="AI4420" s="80"/>
    </row>
    <row r="4421" spans="5:35" x14ac:dyDescent="0.25">
      <c r="E4421" s="16"/>
      <c r="F4421" s="16"/>
      <c r="H4421" s="16"/>
      <c r="AG4421" s="80"/>
      <c r="AH4421" s="80"/>
      <c r="AI4421" s="80"/>
    </row>
    <row r="4422" spans="5:35" x14ac:dyDescent="0.25">
      <c r="E4422" s="16"/>
      <c r="F4422" s="16"/>
      <c r="H4422" s="16"/>
      <c r="AG4422" s="80"/>
      <c r="AH4422" s="80"/>
      <c r="AI4422" s="80"/>
    </row>
    <row r="4423" spans="5:35" x14ac:dyDescent="0.25">
      <c r="E4423" s="16"/>
      <c r="F4423" s="16"/>
      <c r="H4423" s="16"/>
      <c r="AG4423" s="80"/>
      <c r="AH4423" s="80"/>
      <c r="AI4423" s="80"/>
    </row>
    <row r="4424" spans="5:35" x14ac:dyDescent="0.25">
      <c r="E4424" s="16"/>
      <c r="F4424" s="16"/>
      <c r="H4424" s="16"/>
      <c r="AG4424" s="80"/>
      <c r="AH4424" s="80"/>
      <c r="AI4424" s="80"/>
    </row>
    <row r="4425" spans="5:35" x14ac:dyDescent="0.25">
      <c r="E4425" s="16"/>
      <c r="F4425" s="16"/>
      <c r="H4425" s="16"/>
      <c r="AG4425" s="80"/>
      <c r="AH4425" s="80"/>
      <c r="AI4425" s="80"/>
    </row>
    <row r="4426" spans="5:35" x14ac:dyDescent="0.25">
      <c r="E4426" s="16"/>
      <c r="F4426" s="16"/>
      <c r="H4426" s="16"/>
      <c r="AG4426" s="80"/>
      <c r="AH4426" s="80"/>
      <c r="AI4426" s="80"/>
    </row>
    <row r="4427" spans="5:35" x14ac:dyDescent="0.25">
      <c r="E4427" s="16"/>
      <c r="F4427" s="16"/>
      <c r="H4427" s="16"/>
      <c r="AG4427" s="80"/>
      <c r="AH4427" s="80"/>
      <c r="AI4427" s="80"/>
    </row>
    <row r="4428" spans="5:35" x14ac:dyDescent="0.25">
      <c r="E4428" s="16"/>
      <c r="F4428" s="16"/>
      <c r="H4428" s="16"/>
      <c r="AG4428" s="80"/>
      <c r="AH4428" s="80"/>
      <c r="AI4428" s="80"/>
    </row>
    <row r="4429" spans="5:35" x14ac:dyDescent="0.25">
      <c r="E4429" s="16"/>
      <c r="F4429" s="16"/>
      <c r="H4429" s="16"/>
      <c r="AG4429" s="80"/>
      <c r="AH4429" s="80"/>
      <c r="AI4429" s="80"/>
    </row>
    <row r="4430" spans="5:35" x14ac:dyDescent="0.25">
      <c r="E4430" s="16"/>
      <c r="F4430" s="16"/>
      <c r="H4430" s="16"/>
      <c r="AG4430" s="80"/>
      <c r="AH4430" s="80"/>
      <c r="AI4430" s="80"/>
    </row>
    <row r="4431" spans="5:35" x14ac:dyDescent="0.25">
      <c r="E4431" s="16"/>
      <c r="F4431" s="16"/>
      <c r="H4431" s="16"/>
      <c r="AG4431" s="80"/>
      <c r="AH4431" s="80"/>
      <c r="AI4431" s="80"/>
    </row>
    <row r="4432" spans="5:35" x14ac:dyDescent="0.25">
      <c r="E4432" s="16"/>
      <c r="F4432" s="16"/>
      <c r="H4432" s="16"/>
      <c r="AG4432" s="80"/>
      <c r="AH4432" s="80"/>
      <c r="AI4432" s="80"/>
    </row>
    <row r="4433" spans="5:35" x14ac:dyDescent="0.25">
      <c r="E4433" s="16"/>
      <c r="F4433" s="16"/>
      <c r="H4433" s="16"/>
      <c r="AG4433" s="80"/>
      <c r="AH4433" s="80"/>
      <c r="AI4433" s="80"/>
    </row>
    <row r="4434" spans="5:35" x14ac:dyDescent="0.25">
      <c r="E4434" s="16"/>
      <c r="F4434" s="16"/>
      <c r="H4434" s="16"/>
      <c r="AG4434" s="80"/>
      <c r="AH4434" s="80"/>
      <c r="AI4434" s="80"/>
    </row>
    <row r="4435" spans="5:35" x14ac:dyDescent="0.25">
      <c r="E4435" s="16"/>
      <c r="F4435" s="16"/>
      <c r="H4435" s="16"/>
      <c r="AG4435" s="80"/>
      <c r="AH4435" s="80"/>
      <c r="AI4435" s="80"/>
    </row>
    <row r="4436" spans="5:35" x14ac:dyDescent="0.25">
      <c r="E4436" s="16"/>
      <c r="F4436" s="16"/>
      <c r="H4436" s="16"/>
      <c r="AG4436" s="80"/>
      <c r="AH4436" s="80"/>
      <c r="AI4436" s="80"/>
    </row>
    <row r="4437" spans="5:35" x14ac:dyDescent="0.25">
      <c r="E4437" s="16"/>
      <c r="F4437" s="16"/>
      <c r="H4437" s="16"/>
      <c r="AG4437" s="80"/>
      <c r="AH4437" s="80"/>
      <c r="AI4437" s="80"/>
    </row>
    <row r="4438" spans="5:35" x14ac:dyDescent="0.25">
      <c r="E4438" s="16"/>
      <c r="F4438" s="16"/>
      <c r="H4438" s="16"/>
      <c r="AG4438" s="80"/>
      <c r="AH4438" s="80"/>
      <c r="AI4438" s="80"/>
    </row>
    <row r="4439" spans="5:35" x14ac:dyDescent="0.25">
      <c r="E4439" s="16"/>
      <c r="F4439" s="16"/>
      <c r="H4439" s="16"/>
      <c r="AG4439" s="80"/>
      <c r="AH4439" s="80"/>
      <c r="AI4439" s="80"/>
    </row>
    <row r="4440" spans="5:35" x14ac:dyDescent="0.25">
      <c r="E4440" s="16"/>
      <c r="F4440" s="16"/>
      <c r="H4440" s="16"/>
      <c r="AG4440" s="80"/>
      <c r="AH4440" s="80"/>
      <c r="AI4440" s="80"/>
    </row>
    <row r="4441" spans="5:35" x14ac:dyDescent="0.25">
      <c r="E4441" s="16"/>
      <c r="F4441" s="16"/>
      <c r="H4441" s="16"/>
      <c r="AG4441" s="80"/>
      <c r="AH4441" s="80"/>
      <c r="AI4441" s="80"/>
    </row>
    <row r="4442" spans="5:35" x14ac:dyDescent="0.25">
      <c r="E4442" s="16"/>
      <c r="F4442" s="16"/>
      <c r="H4442" s="16"/>
      <c r="AG4442" s="80"/>
      <c r="AH4442" s="80"/>
      <c r="AI4442" s="80"/>
    </row>
    <row r="4443" spans="5:35" x14ac:dyDescent="0.25">
      <c r="E4443" s="16"/>
      <c r="F4443" s="16"/>
      <c r="H4443" s="16"/>
      <c r="AG4443" s="80"/>
      <c r="AH4443" s="80"/>
      <c r="AI4443" s="80"/>
    </row>
    <row r="4444" spans="5:35" x14ac:dyDescent="0.25">
      <c r="E4444" s="16"/>
      <c r="F4444" s="16"/>
      <c r="H4444" s="16"/>
      <c r="AG4444" s="80"/>
      <c r="AH4444" s="80"/>
      <c r="AI4444" s="80"/>
    </row>
    <row r="4445" spans="5:35" x14ac:dyDescent="0.25">
      <c r="E4445" s="16"/>
      <c r="F4445" s="16"/>
      <c r="H4445" s="16"/>
      <c r="AG4445" s="80"/>
      <c r="AH4445" s="80"/>
      <c r="AI4445" s="80"/>
    </row>
    <row r="4446" spans="5:35" x14ac:dyDescent="0.25">
      <c r="E4446" s="16"/>
      <c r="F4446" s="16"/>
      <c r="H4446" s="16"/>
      <c r="AG4446" s="80"/>
      <c r="AH4446" s="80"/>
      <c r="AI4446" s="80"/>
    </row>
    <row r="4447" spans="5:35" x14ac:dyDescent="0.25">
      <c r="E4447" s="16"/>
      <c r="F4447" s="16"/>
      <c r="H4447" s="16"/>
      <c r="AG4447" s="80"/>
      <c r="AH4447" s="80"/>
      <c r="AI4447" s="80"/>
    </row>
    <row r="4448" spans="5:35" x14ac:dyDescent="0.25">
      <c r="E4448" s="16"/>
      <c r="F4448" s="16"/>
      <c r="H4448" s="16"/>
      <c r="AG4448" s="80"/>
      <c r="AH4448" s="80"/>
      <c r="AI4448" s="80"/>
    </row>
    <row r="4449" spans="5:35" x14ac:dyDescent="0.25">
      <c r="E4449" s="16"/>
      <c r="F4449" s="16"/>
      <c r="H4449" s="16"/>
      <c r="AG4449" s="80"/>
      <c r="AH4449" s="80"/>
      <c r="AI4449" s="80"/>
    </row>
    <row r="4450" spans="5:35" x14ac:dyDescent="0.25">
      <c r="E4450" s="16"/>
      <c r="F4450" s="16"/>
      <c r="H4450" s="16"/>
      <c r="AG4450" s="80"/>
      <c r="AH4450" s="80"/>
      <c r="AI4450" s="80"/>
    </row>
    <row r="4451" spans="5:35" x14ac:dyDescent="0.25">
      <c r="E4451" s="16"/>
      <c r="F4451" s="16"/>
      <c r="H4451" s="16"/>
      <c r="AG4451" s="80"/>
      <c r="AH4451" s="80"/>
      <c r="AI4451" s="80"/>
    </row>
    <row r="4452" spans="5:35" x14ac:dyDescent="0.25">
      <c r="E4452" s="16"/>
      <c r="F4452" s="16"/>
      <c r="H4452" s="16"/>
      <c r="AG4452" s="80"/>
      <c r="AH4452" s="80"/>
      <c r="AI4452" s="80"/>
    </row>
    <row r="4453" spans="5:35" x14ac:dyDescent="0.25">
      <c r="E4453" s="16"/>
      <c r="F4453" s="16"/>
      <c r="H4453" s="16"/>
      <c r="AG4453" s="80"/>
      <c r="AH4453" s="80"/>
      <c r="AI4453" s="80"/>
    </row>
    <row r="4454" spans="5:35" x14ac:dyDescent="0.25">
      <c r="E4454" s="16"/>
      <c r="F4454" s="16"/>
      <c r="H4454" s="16"/>
      <c r="AG4454" s="80"/>
      <c r="AH4454" s="80"/>
      <c r="AI4454" s="80"/>
    </row>
    <row r="4455" spans="5:35" x14ac:dyDescent="0.25">
      <c r="E4455" s="16"/>
      <c r="F4455" s="16"/>
      <c r="H4455" s="16"/>
      <c r="AG4455" s="80"/>
      <c r="AH4455" s="80"/>
      <c r="AI4455" s="80"/>
    </row>
    <row r="4456" spans="5:35" x14ac:dyDescent="0.25">
      <c r="E4456" s="16"/>
      <c r="F4456" s="16"/>
      <c r="H4456" s="16"/>
      <c r="AG4456" s="80"/>
      <c r="AH4456" s="80"/>
      <c r="AI4456" s="80"/>
    </row>
    <row r="4457" spans="5:35" x14ac:dyDescent="0.25">
      <c r="E4457" s="16"/>
      <c r="F4457" s="16"/>
      <c r="H4457" s="16"/>
      <c r="AG4457" s="80"/>
      <c r="AH4457" s="80"/>
      <c r="AI4457" s="80"/>
    </row>
    <row r="4458" spans="5:35" x14ac:dyDescent="0.25">
      <c r="E4458" s="16"/>
      <c r="F4458" s="16"/>
      <c r="H4458" s="16"/>
      <c r="AG4458" s="80"/>
      <c r="AH4458" s="80"/>
      <c r="AI4458" s="80"/>
    </row>
    <row r="4459" spans="5:35" x14ac:dyDescent="0.25">
      <c r="E4459" s="16"/>
      <c r="F4459" s="16"/>
      <c r="H4459" s="16"/>
      <c r="AG4459" s="80"/>
      <c r="AH4459" s="80"/>
      <c r="AI4459" s="80"/>
    </row>
    <row r="4460" spans="5:35" x14ac:dyDescent="0.25">
      <c r="E4460" s="16"/>
      <c r="F4460" s="16"/>
      <c r="H4460" s="16"/>
      <c r="AG4460" s="80"/>
      <c r="AH4460" s="80"/>
      <c r="AI4460" s="80"/>
    </row>
    <row r="4461" spans="5:35" x14ac:dyDescent="0.25">
      <c r="E4461" s="16"/>
      <c r="F4461" s="16"/>
      <c r="H4461" s="16"/>
      <c r="AG4461" s="80"/>
      <c r="AH4461" s="80"/>
      <c r="AI4461" s="80"/>
    </row>
    <row r="4462" spans="5:35" x14ac:dyDescent="0.25">
      <c r="E4462" s="16"/>
      <c r="F4462" s="16"/>
      <c r="H4462" s="16"/>
      <c r="AG4462" s="80"/>
      <c r="AH4462" s="80"/>
      <c r="AI4462" s="80"/>
    </row>
    <row r="4463" spans="5:35" x14ac:dyDescent="0.25">
      <c r="E4463" s="16"/>
      <c r="F4463" s="16"/>
      <c r="H4463" s="16"/>
      <c r="AG4463" s="80"/>
      <c r="AH4463" s="80"/>
      <c r="AI4463" s="80"/>
    </row>
    <row r="4464" spans="5:35" x14ac:dyDescent="0.25">
      <c r="E4464" s="16"/>
      <c r="F4464" s="16"/>
      <c r="H4464" s="16"/>
      <c r="AG4464" s="80"/>
      <c r="AH4464" s="80"/>
      <c r="AI4464" s="80"/>
    </row>
    <row r="4465" spans="5:35" x14ac:dyDescent="0.25">
      <c r="E4465" s="16"/>
      <c r="F4465" s="16"/>
      <c r="H4465" s="16"/>
      <c r="AG4465" s="80"/>
      <c r="AH4465" s="80"/>
      <c r="AI4465" s="80"/>
    </row>
    <row r="4466" spans="5:35" x14ac:dyDescent="0.25">
      <c r="E4466" s="16"/>
      <c r="F4466" s="16"/>
      <c r="H4466" s="16"/>
      <c r="AG4466" s="80"/>
      <c r="AH4466" s="80"/>
      <c r="AI4466" s="80"/>
    </row>
    <row r="4467" spans="5:35" x14ac:dyDescent="0.25">
      <c r="E4467" s="16"/>
      <c r="F4467" s="16"/>
      <c r="H4467" s="16"/>
      <c r="AG4467" s="80"/>
      <c r="AH4467" s="80"/>
      <c r="AI4467" s="80"/>
    </row>
    <row r="4468" spans="5:35" x14ac:dyDescent="0.25">
      <c r="E4468" s="16"/>
      <c r="F4468" s="16"/>
      <c r="H4468" s="16"/>
      <c r="AG4468" s="80"/>
      <c r="AH4468" s="80"/>
      <c r="AI4468" s="80"/>
    </row>
    <row r="4469" spans="5:35" x14ac:dyDescent="0.25">
      <c r="E4469" s="16"/>
      <c r="F4469" s="16"/>
      <c r="H4469" s="16"/>
      <c r="AG4469" s="80"/>
      <c r="AH4469" s="80"/>
      <c r="AI4469" s="80"/>
    </row>
    <row r="4470" spans="5:35" x14ac:dyDescent="0.25">
      <c r="E4470" s="16"/>
      <c r="F4470" s="16"/>
      <c r="H4470" s="16"/>
      <c r="AG4470" s="80"/>
      <c r="AH4470" s="80"/>
      <c r="AI4470" s="80"/>
    </row>
    <row r="4471" spans="5:35" x14ac:dyDescent="0.25">
      <c r="E4471" s="16"/>
      <c r="F4471" s="16"/>
      <c r="H4471" s="16"/>
      <c r="AG4471" s="80"/>
      <c r="AH4471" s="80"/>
      <c r="AI4471" s="80"/>
    </row>
    <row r="4472" spans="5:35" x14ac:dyDescent="0.25">
      <c r="E4472" s="16"/>
      <c r="F4472" s="16"/>
      <c r="H4472" s="16"/>
      <c r="AG4472" s="80"/>
      <c r="AH4472" s="80"/>
      <c r="AI4472" s="80"/>
    </row>
    <row r="4473" spans="5:35" x14ac:dyDescent="0.25">
      <c r="E4473" s="16"/>
      <c r="F4473" s="16"/>
      <c r="H4473" s="16"/>
      <c r="AG4473" s="80"/>
      <c r="AH4473" s="80"/>
      <c r="AI4473" s="80"/>
    </row>
    <row r="4474" spans="5:35" x14ac:dyDescent="0.25">
      <c r="E4474" s="16"/>
      <c r="F4474" s="16"/>
      <c r="H4474" s="16"/>
      <c r="AG4474" s="80"/>
      <c r="AH4474" s="80"/>
      <c r="AI4474" s="80"/>
    </row>
    <row r="4475" spans="5:35" x14ac:dyDescent="0.25">
      <c r="E4475" s="16"/>
      <c r="F4475" s="16"/>
      <c r="H4475" s="16"/>
      <c r="AG4475" s="80"/>
      <c r="AH4475" s="80"/>
      <c r="AI4475" s="80"/>
    </row>
    <row r="4476" spans="5:35" x14ac:dyDescent="0.25">
      <c r="E4476" s="16"/>
      <c r="F4476" s="16"/>
      <c r="H4476" s="16"/>
      <c r="AG4476" s="80"/>
      <c r="AH4476" s="80"/>
      <c r="AI4476" s="80"/>
    </row>
    <row r="4477" spans="5:35" x14ac:dyDescent="0.25">
      <c r="E4477" s="16"/>
      <c r="F4477" s="16"/>
      <c r="H4477" s="16"/>
      <c r="AG4477" s="80"/>
      <c r="AH4477" s="80"/>
      <c r="AI4477" s="80"/>
    </row>
    <row r="4478" spans="5:35" x14ac:dyDescent="0.25">
      <c r="E4478" s="16"/>
      <c r="F4478" s="16"/>
      <c r="H4478" s="16"/>
      <c r="AG4478" s="80"/>
      <c r="AH4478" s="80"/>
      <c r="AI4478" s="80"/>
    </row>
    <row r="4479" spans="5:35" x14ac:dyDescent="0.25">
      <c r="E4479" s="16"/>
      <c r="F4479" s="16"/>
      <c r="H4479" s="16"/>
      <c r="AG4479" s="80"/>
      <c r="AH4479" s="80"/>
      <c r="AI4479" s="80"/>
    </row>
    <row r="4480" spans="5:35" x14ac:dyDescent="0.25">
      <c r="E4480" s="16"/>
      <c r="F4480" s="16"/>
      <c r="H4480" s="16"/>
      <c r="AG4480" s="80"/>
      <c r="AH4480" s="80"/>
      <c r="AI4480" s="80"/>
    </row>
    <row r="4481" spans="5:35" x14ac:dyDescent="0.25">
      <c r="E4481" s="16"/>
      <c r="F4481" s="16"/>
      <c r="H4481" s="16"/>
      <c r="AG4481" s="80"/>
      <c r="AH4481" s="80"/>
      <c r="AI4481" s="80"/>
    </row>
    <row r="4482" spans="5:35" x14ac:dyDescent="0.25">
      <c r="E4482" s="16"/>
      <c r="F4482" s="16"/>
      <c r="H4482" s="16"/>
      <c r="AG4482" s="80"/>
      <c r="AH4482" s="80"/>
      <c r="AI4482" s="80"/>
    </row>
    <row r="4483" spans="5:35" x14ac:dyDescent="0.25">
      <c r="E4483" s="16"/>
      <c r="F4483" s="16"/>
      <c r="H4483" s="16"/>
      <c r="AG4483" s="80"/>
      <c r="AH4483" s="80"/>
      <c r="AI4483" s="80"/>
    </row>
    <row r="4484" spans="5:35" x14ac:dyDescent="0.25">
      <c r="E4484" s="16"/>
      <c r="F4484" s="16"/>
      <c r="H4484" s="16"/>
      <c r="AG4484" s="80"/>
      <c r="AH4484" s="80"/>
      <c r="AI4484" s="80"/>
    </row>
    <row r="4485" spans="5:35" x14ac:dyDescent="0.25">
      <c r="E4485" s="16"/>
      <c r="F4485" s="16"/>
      <c r="H4485" s="16"/>
      <c r="AG4485" s="80"/>
      <c r="AH4485" s="80"/>
      <c r="AI4485" s="80"/>
    </row>
    <row r="4486" spans="5:35" x14ac:dyDescent="0.25">
      <c r="E4486" s="16"/>
      <c r="F4486" s="16"/>
      <c r="H4486" s="16"/>
      <c r="AG4486" s="80"/>
      <c r="AH4486" s="80"/>
      <c r="AI4486" s="80"/>
    </row>
    <row r="4487" spans="5:35" x14ac:dyDescent="0.25">
      <c r="E4487" s="16"/>
      <c r="F4487" s="16"/>
      <c r="H4487" s="16"/>
      <c r="AG4487" s="80"/>
      <c r="AH4487" s="80"/>
      <c r="AI4487" s="80"/>
    </row>
    <row r="4488" spans="5:35" x14ac:dyDescent="0.25">
      <c r="E4488" s="16"/>
      <c r="F4488" s="16"/>
      <c r="H4488" s="16"/>
      <c r="AG4488" s="80"/>
      <c r="AH4488" s="80"/>
      <c r="AI4488" s="80"/>
    </row>
    <row r="4489" spans="5:35" x14ac:dyDescent="0.25">
      <c r="E4489" s="16"/>
      <c r="F4489" s="16"/>
      <c r="H4489" s="16"/>
      <c r="AG4489" s="80"/>
      <c r="AH4489" s="80"/>
      <c r="AI4489" s="80"/>
    </row>
    <row r="4490" spans="5:35" x14ac:dyDescent="0.25">
      <c r="E4490" s="16"/>
      <c r="F4490" s="16"/>
      <c r="H4490" s="16"/>
      <c r="AG4490" s="80"/>
      <c r="AH4490" s="80"/>
      <c r="AI4490" s="80"/>
    </row>
    <row r="4491" spans="5:35" x14ac:dyDescent="0.25">
      <c r="E4491" s="16"/>
      <c r="F4491" s="16"/>
      <c r="H4491" s="16"/>
      <c r="AG4491" s="80"/>
      <c r="AH4491" s="80"/>
      <c r="AI4491" s="80"/>
    </row>
    <row r="4492" spans="5:35" x14ac:dyDescent="0.25">
      <c r="E4492" s="16"/>
      <c r="F4492" s="16"/>
      <c r="H4492" s="16"/>
      <c r="AG4492" s="80"/>
      <c r="AH4492" s="80"/>
      <c r="AI4492" s="80"/>
    </row>
    <row r="4493" spans="5:35" x14ac:dyDescent="0.25">
      <c r="E4493" s="16"/>
      <c r="F4493" s="16"/>
      <c r="H4493" s="16"/>
      <c r="AG4493" s="80"/>
      <c r="AH4493" s="80"/>
      <c r="AI4493" s="80"/>
    </row>
    <row r="4494" spans="5:35" x14ac:dyDescent="0.25">
      <c r="E4494" s="16"/>
      <c r="F4494" s="16"/>
      <c r="H4494" s="16"/>
      <c r="AG4494" s="80"/>
      <c r="AH4494" s="80"/>
      <c r="AI4494" s="80"/>
    </row>
    <row r="4495" spans="5:35" x14ac:dyDescent="0.25">
      <c r="E4495" s="16"/>
      <c r="F4495" s="16"/>
      <c r="H4495" s="16"/>
      <c r="AG4495" s="80"/>
      <c r="AH4495" s="80"/>
      <c r="AI4495" s="80"/>
    </row>
    <row r="4496" spans="5:35" x14ac:dyDescent="0.25">
      <c r="E4496" s="16"/>
      <c r="F4496" s="16"/>
      <c r="H4496" s="16"/>
      <c r="AG4496" s="80"/>
      <c r="AH4496" s="80"/>
      <c r="AI4496" s="80"/>
    </row>
    <row r="4497" spans="5:35" x14ac:dyDescent="0.25">
      <c r="E4497" s="16"/>
      <c r="F4497" s="16"/>
      <c r="H4497" s="16"/>
      <c r="AG4497" s="80"/>
      <c r="AH4497" s="80"/>
      <c r="AI4497" s="80"/>
    </row>
    <row r="4498" spans="5:35" x14ac:dyDescent="0.25">
      <c r="E4498" s="16"/>
      <c r="F4498" s="16"/>
      <c r="H4498" s="16"/>
      <c r="AG4498" s="80"/>
      <c r="AH4498" s="80"/>
      <c r="AI4498" s="80"/>
    </row>
    <row r="4499" spans="5:35" x14ac:dyDescent="0.25">
      <c r="E4499" s="16"/>
      <c r="F4499" s="16"/>
      <c r="H4499" s="16"/>
      <c r="AG4499" s="80"/>
      <c r="AH4499" s="80"/>
      <c r="AI4499" s="80"/>
    </row>
    <row r="4500" spans="5:35" x14ac:dyDescent="0.25">
      <c r="E4500" s="16"/>
      <c r="F4500" s="16"/>
      <c r="H4500" s="16"/>
      <c r="AG4500" s="80"/>
      <c r="AH4500" s="80"/>
      <c r="AI4500" s="80"/>
    </row>
    <row r="4501" spans="5:35" x14ac:dyDescent="0.25">
      <c r="E4501" s="16"/>
      <c r="F4501" s="16"/>
      <c r="H4501" s="16"/>
      <c r="AG4501" s="80"/>
      <c r="AH4501" s="80"/>
      <c r="AI4501" s="80"/>
    </row>
    <row r="4502" spans="5:35" x14ac:dyDescent="0.25">
      <c r="E4502" s="16"/>
      <c r="F4502" s="16"/>
      <c r="H4502" s="16"/>
      <c r="AG4502" s="80"/>
      <c r="AH4502" s="80"/>
      <c r="AI4502" s="80"/>
    </row>
    <row r="4503" spans="5:35" x14ac:dyDescent="0.25">
      <c r="E4503" s="16"/>
      <c r="F4503" s="16"/>
      <c r="H4503" s="16"/>
      <c r="AG4503" s="80"/>
      <c r="AH4503" s="80"/>
      <c r="AI4503" s="80"/>
    </row>
    <row r="4504" spans="5:35" x14ac:dyDescent="0.25">
      <c r="E4504" s="16"/>
      <c r="F4504" s="16"/>
      <c r="H4504" s="16"/>
      <c r="AG4504" s="80"/>
      <c r="AH4504" s="80"/>
      <c r="AI4504" s="80"/>
    </row>
    <row r="4505" spans="5:35" x14ac:dyDescent="0.25">
      <c r="E4505" s="16"/>
      <c r="F4505" s="16"/>
      <c r="H4505" s="16"/>
      <c r="AG4505" s="80"/>
      <c r="AH4505" s="80"/>
      <c r="AI4505" s="80"/>
    </row>
    <row r="4506" spans="5:35" x14ac:dyDescent="0.25">
      <c r="E4506" s="16"/>
      <c r="F4506" s="16"/>
      <c r="H4506" s="16"/>
      <c r="AG4506" s="80"/>
      <c r="AH4506" s="80"/>
      <c r="AI4506" s="80"/>
    </row>
    <row r="4507" spans="5:35" x14ac:dyDescent="0.25">
      <c r="E4507" s="16"/>
      <c r="F4507" s="16"/>
      <c r="H4507" s="16"/>
      <c r="AG4507" s="80"/>
      <c r="AH4507" s="80"/>
      <c r="AI4507" s="80"/>
    </row>
    <row r="4508" spans="5:35" x14ac:dyDescent="0.25">
      <c r="E4508" s="16"/>
      <c r="F4508" s="16"/>
      <c r="H4508" s="16"/>
      <c r="AG4508" s="80"/>
      <c r="AH4508" s="80"/>
      <c r="AI4508" s="80"/>
    </row>
    <row r="4509" spans="5:35" x14ac:dyDescent="0.25">
      <c r="E4509" s="16"/>
      <c r="F4509" s="16"/>
      <c r="H4509" s="16"/>
      <c r="AG4509" s="80"/>
      <c r="AH4509" s="80"/>
      <c r="AI4509" s="80"/>
    </row>
    <row r="4510" spans="5:35" x14ac:dyDescent="0.25">
      <c r="E4510" s="16"/>
      <c r="F4510" s="16"/>
      <c r="H4510" s="16"/>
      <c r="AG4510" s="80"/>
      <c r="AH4510" s="80"/>
      <c r="AI4510" s="80"/>
    </row>
    <row r="4511" spans="5:35" x14ac:dyDescent="0.25">
      <c r="E4511" s="16"/>
      <c r="F4511" s="16"/>
      <c r="H4511" s="16"/>
      <c r="AG4511" s="80"/>
      <c r="AH4511" s="80"/>
      <c r="AI4511" s="80"/>
    </row>
    <row r="4512" spans="5:35" x14ac:dyDescent="0.25">
      <c r="E4512" s="16"/>
      <c r="F4512" s="16"/>
      <c r="H4512" s="16"/>
      <c r="AG4512" s="80"/>
      <c r="AH4512" s="80"/>
      <c r="AI4512" s="80"/>
    </row>
    <row r="4513" spans="5:35" x14ac:dyDescent="0.25">
      <c r="E4513" s="16"/>
      <c r="F4513" s="16"/>
      <c r="H4513" s="16"/>
      <c r="AG4513" s="80"/>
      <c r="AH4513" s="80"/>
      <c r="AI4513" s="80"/>
    </row>
    <row r="4514" spans="5:35" x14ac:dyDescent="0.25">
      <c r="E4514" s="16"/>
      <c r="F4514" s="16"/>
      <c r="H4514" s="16"/>
      <c r="AG4514" s="80"/>
      <c r="AH4514" s="80"/>
      <c r="AI4514" s="80"/>
    </row>
    <row r="4515" spans="5:35" x14ac:dyDescent="0.25">
      <c r="E4515" s="16"/>
      <c r="F4515" s="16"/>
      <c r="H4515" s="16"/>
      <c r="AG4515" s="80"/>
      <c r="AH4515" s="80"/>
      <c r="AI4515" s="80"/>
    </row>
    <row r="4516" spans="5:35" x14ac:dyDescent="0.25">
      <c r="E4516" s="16"/>
      <c r="F4516" s="16"/>
      <c r="H4516" s="16"/>
      <c r="AG4516" s="80"/>
      <c r="AH4516" s="80"/>
      <c r="AI4516" s="80"/>
    </row>
    <row r="4517" spans="5:35" x14ac:dyDescent="0.25">
      <c r="E4517" s="16"/>
      <c r="F4517" s="16"/>
      <c r="H4517" s="16"/>
      <c r="AG4517" s="80"/>
      <c r="AH4517" s="80"/>
      <c r="AI4517" s="80"/>
    </row>
    <row r="4518" spans="5:35" x14ac:dyDescent="0.25">
      <c r="E4518" s="16"/>
      <c r="F4518" s="16"/>
      <c r="H4518" s="16"/>
      <c r="AG4518" s="80"/>
      <c r="AH4518" s="80"/>
      <c r="AI4518" s="80"/>
    </row>
    <row r="4519" spans="5:35" x14ac:dyDescent="0.25">
      <c r="E4519" s="16"/>
      <c r="F4519" s="16"/>
      <c r="H4519" s="16"/>
      <c r="AG4519" s="80"/>
      <c r="AH4519" s="80"/>
      <c r="AI4519" s="80"/>
    </row>
    <row r="4520" spans="5:35" x14ac:dyDescent="0.25">
      <c r="E4520" s="16"/>
      <c r="F4520" s="16"/>
      <c r="H4520" s="16"/>
      <c r="AG4520" s="80"/>
      <c r="AH4520" s="80"/>
      <c r="AI4520" s="80"/>
    </row>
    <row r="4521" spans="5:35" x14ac:dyDescent="0.25">
      <c r="E4521" s="16"/>
      <c r="F4521" s="16"/>
      <c r="H4521" s="16"/>
      <c r="AG4521" s="80"/>
      <c r="AH4521" s="80"/>
      <c r="AI4521" s="80"/>
    </row>
    <row r="4522" spans="5:35" x14ac:dyDescent="0.25">
      <c r="E4522" s="16"/>
      <c r="F4522" s="16"/>
      <c r="H4522" s="16"/>
      <c r="AG4522" s="80"/>
      <c r="AH4522" s="80"/>
      <c r="AI4522" s="80"/>
    </row>
    <row r="4523" spans="5:35" x14ac:dyDescent="0.25">
      <c r="E4523" s="16"/>
      <c r="F4523" s="16"/>
      <c r="H4523" s="16"/>
      <c r="AG4523" s="80"/>
      <c r="AH4523" s="80"/>
      <c r="AI4523" s="80"/>
    </row>
    <row r="4524" spans="5:35" x14ac:dyDescent="0.25">
      <c r="E4524" s="16"/>
      <c r="F4524" s="16"/>
      <c r="H4524" s="16"/>
      <c r="AG4524" s="80"/>
      <c r="AH4524" s="80"/>
      <c r="AI4524" s="80"/>
    </row>
    <row r="4525" spans="5:35" x14ac:dyDescent="0.25">
      <c r="E4525" s="16"/>
      <c r="F4525" s="16"/>
      <c r="H4525" s="16"/>
      <c r="AG4525" s="80"/>
      <c r="AH4525" s="80"/>
      <c r="AI4525" s="80"/>
    </row>
    <row r="4526" spans="5:35" x14ac:dyDescent="0.25">
      <c r="E4526" s="16"/>
      <c r="F4526" s="16"/>
      <c r="H4526" s="16"/>
      <c r="AG4526" s="80"/>
      <c r="AH4526" s="80"/>
      <c r="AI4526" s="80"/>
    </row>
    <row r="4527" spans="5:35" x14ac:dyDescent="0.25">
      <c r="E4527" s="16"/>
      <c r="F4527" s="16"/>
      <c r="H4527" s="16"/>
      <c r="AG4527" s="80"/>
      <c r="AH4527" s="80"/>
      <c r="AI4527" s="80"/>
    </row>
    <row r="4528" spans="5:35" x14ac:dyDescent="0.25">
      <c r="E4528" s="16"/>
      <c r="F4528" s="16"/>
      <c r="H4528" s="16"/>
      <c r="AG4528" s="80"/>
      <c r="AH4528" s="80"/>
      <c r="AI4528" s="80"/>
    </row>
    <row r="4529" spans="5:35" x14ac:dyDescent="0.25">
      <c r="E4529" s="16"/>
      <c r="F4529" s="16"/>
      <c r="H4529" s="16"/>
      <c r="AG4529" s="80"/>
      <c r="AH4529" s="80"/>
      <c r="AI4529" s="80"/>
    </row>
    <row r="4530" spans="5:35" x14ac:dyDescent="0.25">
      <c r="E4530" s="16"/>
      <c r="F4530" s="16"/>
      <c r="H4530" s="16"/>
      <c r="AG4530" s="80"/>
      <c r="AH4530" s="80"/>
      <c r="AI4530" s="80"/>
    </row>
    <row r="4531" spans="5:35" x14ac:dyDescent="0.25">
      <c r="E4531" s="16"/>
      <c r="F4531" s="16"/>
      <c r="H4531" s="16"/>
      <c r="AG4531" s="80"/>
      <c r="AH4531" s="80"/>
      <c r="AI4531" s="80"/>
    </row>
    <row r="4532" spans="5:35" x14ac:dyDescent="0.25">
      <c r="E4532" s="16"/>
      <c r="F4532" s="16"/>
      <c r="H4532" s="16"/>
      <c r="AG4532" s="80"/>
      <c r="AH4532" s="80"/>
      <c r="AI4532" s="80"/>
    </row>
    <row r="4533" spans="5:35" x14ac:dyDescent="0.25">
      <c r="E4533" s="16"/>
      <c r="F4533" s="16"/>
      <c r="H4533" s="16"/>
      <c r="AG4533" s="80"/>
      <c r="AH4533" s="80"/>
      <c r="AI4533" s="80"/>
    </row>
    <row r="4534" spans="5:35" x14ac:dyDescent="0.25">
      <c r="E4534" s="16"/>
      <c r="F4534" s="16"/>
      <c r="H4534" s="16"/>
      <c r="AG4534" s="80"/>
      <c r="AH4534" s="80"/>
      <c r="AI4534" s="80"/>
    </row>
    <row r="4535" spans="5:35" x14ac:dyDescent="0.25">
      <c r="E4535" s="16"/>
      <c r="F4535" s="16"/>
      <c r="H4535" s="16"/>
      <c r="AG4535" s="80"/>
      <c r="AH4535" s="80"/>
      <c r="AI4535" s="80"/>
    </row>
    <row r="4536" spans="5:35" x14ac:dyDescent="0.25">
      <c r="E4536" s="16"/>
      <c r="F4536" s="16"/>
      <c r="H4536" s="16"/>
      <c r="AG4536" s="80"/>
      <c r="AH4536" s="80"/>
      <c r="AI4536" s="80"/>
    </row>
    <row r="4537" spans="5:35" x14ac:dyDescent="0.25">
      <c r="E4537" s="16"/>
      <c r="F4537" s="16"/>
      <c r="H4537" s="16"/>
      <c r="AG4537" s="80"/>
      <c r="AH4537" s="80"/>
      <c r="AI4537" s="80"/>
    </row>
    <row r="4538" spans="5:35" x14ac:dyDescent="0.25">
      <c r="E4538" s="16"/>
      <c r="F4538" s="16"/>
      <c r="H4538" s="16"/>
      <c r="AG4538" s="80"/>
      <c r="AH4538" s="80"/>
      <c r="AI4538" s="80"/>
    </row>
    <row r="4539" spans="5:35" x14ac:dyDescent="0.25">
      <c r="E4539" s="16"/>
      <c r="F4539" s="16"/>
      <c r="H4539" s="16"/>
      <c r="AG4539" s="80"/>
      <c r="AH4539" s="80"/>
      <c r="AI4539" s="80"/>
    </row>
    <row r="4540" spans="5:35" x14ac:dyDescent="0.25">
      <c r="E4540" s="16"/>
      <c r="F4540" s="16"/>
      <c r="H4540" s="16"/>
      <c r="AG4540" s="80"/>
      <c r="AH4540" s="80"/>
      <c r="AI4540" s="80"/>
    </row>
    <row r="4541" spans="5:35" x14ac:dyDescent="0.25">
      <c r="E4541" s="16"/>
      <c r="F4541" s="16"/>
      <c r="H4541" s="16"/>
      <c r="AG4541" s="80"/>
      <c r="AH4541" s="80"/>
      <c r="AI4541" s="80"/>
    </row>
    <row r="4542" spans="5:35" x14ac:dyDescent="0.25">
      <c r="E4542" s="16"/>
      <c r="F4542" s="16"/>
      <c r="H4542" s="16"/>
      <c r="AG4542" s="80"/>
      <c r="AH4542" s="80"/>
      <c r="AI4542" s="80"/>
    </row>
    <row r="4543" spans="5:35" x14ac:dyDescent="0.25">
      <c r="E4543" s="16"/>
      <c r="F4543" s="16"/>
      <c r="H4543" s="16"/>
      <c r="AG4543" s="80"/>
      <c r="AH4543" s="80"/>
      <c r="AI4543" s="80"/>
    </row>
    <row r="4544" spans="5:35" x14ac:dyDescent="0.25">
      <c r="E4544" s="16"/>
      <c r="F4544" s="16"/>
      <c r="H4544" s="16"/>
      <c r="AG4544" s="80"/>
      <c r="AH4544" s="80"/>
      <c r="AI4544" s="80"/>
    </row>
    <row r="4545" spans="5:35" x14ac:dyDescent="0.25">
      <c r="E4545" s="16"/>
      <c r="F4545" s="16"/>
      <c r="H4545" s="16"/>
      <c r="AG4545" s="80"/>
      <c r="AH4545" s="80"/>
      <c r="AI4545" s="80"/>
    </row>
    <row r="4546" spans="5:35" x14ac:dyDescent="0.25">
      <c r="E4546" s="16"/>
      <c r="F4546" s="16"/>
      <c r="H4546" s="16"/>
      <c r="AG4546" s="80"/>
      <c r="AH4546" s="80"/>
      <c r="AI4546" s="80"/>
    </row>
    <row r="4547" spans="5:35" x14ac:dyDescent="0.25">
      <c r="E4547" s="16"/>
      <c r="F4547" s="16"/>
      <c r="H4547" s="16"/>
      <c r="AG4547" s="80"/>
      <c r="AH4547" s="80"/>
      <c r="AI4547" s="80"/>
    </row>
    <row r="4548" spans="5:35" x14ac:dyDescent="0.25">
      <c r="E4548" s="16"/>
      <c r="F4548" s="16"/>
      <c r="H4548" s="16"/>
      <c r="AG4548" s="80"/>
      <c r="AH4548" s="80"/>
      <c r="AI4548" s="80"/>
    </row>
    <row r="4549" spans="5:35" x14ac:dyDescent="0.25">
      <c r="E4549" s="16"/>
      <c r="F4549" s="16"/>
      <c r="H4549" s="16"/>
      <c r="AG4549" s="80"/>
      <c r="AH4549" s="80"/>
      <c r="AI4549" s="80"/>
    </row>
    <row r="4550" spans="5:35" x14ac:dyDescent="0.25">
      <c r="E4550" s="16"/>
      <c r="F4550" s="16"/>
      <c r="H4550" s="16"/>
      <c r="AG4550" s="80"/>
      <c r="AH4550" s="80"/>
      <c r="AI4550" s="80"/>
    </row>
    <row r="4551" spans="5:35" x14ac:dyDescent="0.25">
      <c r="E4551" s="16"/>
      <c r="F4551" s="16"/>
      <c r="H4551" s="16"/>
      <c r="AG4551" s="80"/>
      <c r="AH4551" s="80"/>
      <c r="AI4551" s="80"/>
    </row>
    <row r="4552" spans="5:35" x14ac:dyDescent="0.25">
      <c r="E4552" s="16"/>
      <c r="F4552" s="16"/>
      <c r="H4552" s="16"/>
      <c r="AG4552" s="80"/>
      <c r="AH4552" s="80"/>
      <c r="AI4552" s="80"/>
    </row>
    <row r="4553" spans="5:35" x14ac:dyDescent="0.25">
      <c r="E4553" s="16"/>
      <c r="F4553" s="16"/>
      <c r="H4553" s="16"/>
      <c r="AG4553" s="80"/>
      <c r="AH4553" s="80"/>
      <c r="AI4553" s="80"/>
    </row>
    <row r="4554" spans="5:35" x14ac:dyDescent="0.25">
      <c r="E4554" s="16"/>
      <c r="F4554" s="16"/>
      <c r="H4554" s="16"/>
      <c r="AG4554" s="80"/>
      <c r="AH4554" s="80"/>
      <c r="AI4554" s="80"/>
    </row>
    <row r="4555" spans="5:35" x14ac:dyDescent="0.25">
      <c r="E4555" s="16"/>
      <c r="F4555" s="16"/>
      <c r="H4555" s="16"/>
      <c r="AG4555" s="80"/>
      <c r="AH4555" s="80"/>
      <c r="AI4555" s="80"/>
    </row>
    <row r="4556" spans="5:35" x14ac:dyDescent="0.25">
      <c r="E4556" s="16"/>
      <c r="F4556" s="16"/>
      <c r="H4556" s="16"/>
      <c r="AG4556" s="80"/>
      <c r="AH4556" s="80"/>
      <c r="AI4556" s="80"/>
    </row>
    <row r="4557" spans="5:35" x14ac:dyDescent="0.25">
      <c r="E4557" s="16"/>
      <c r="F4557" s="16"/>
      <c r="H4557" s="16"/>
      <c r="AG4557" s="80"/>
      <c r="AH4557" s="80"/>
      <c r="AI4557" s="80"/>
    </row>
    <row r="4558" spans="5:35" x14ac:dyDescent="0.25">
      <c r="E4558" s="16"/>
      <c r="F4558" s="16"/>
      <c r="H4558" s="16"/>
      <c r="AG4558" s="80"/>
      <c r="AH4558" s="80"/>
      <c r="AI4558" s="80"/>
    </row>
    <row r="4559" spans="5:35" x14ac:dyDescent="0.25">
      <c r="E4559" s="16"/>
      <c r="F4559" s="16"/>
      <c r="H4559" s="16"/>
      <c r="AG4559" s="80"/>
      <c r="AH4559" s="80"/>
      <c r="AI4559" s="80"/>
    </row>
    <row r="4560" spans="5:35" x14ac:dyDescent="0.25">
      <c r="E4560" s="16"/>
      <c r="F4560" s="16"/>
      <c r="H4560" s="16"/>
      <c r="AG4560" s="80"/>
      <c r="AH4560" s="80"/>
      <c r="AI4560" s="80"/>
    </row>
    <row r="4561" spans="5:35" x14ac:dyDescent="0.25">
      <c r="E4561" s="16"/>
      <c r="F4561" s="16"/>
      <c r="H4561" s="16"/>
      <c r="AG4561" s="80"/>
      <c r="AH4561" s="80"/>
      <c r="AI4561" s="80"/>
    </row>
    <row r="4562" spans="5:35" x14ac:dyDescent="0.25">
      <c r="E4562" s="16"/>
      <c r="F4562" s="16"/>
      <c r="H4562" s="16"/>
      <c r="AG4562" s="80"/>
      <c r="AH4562" s="80"/>
      <c r="AI4562" s="80"/>
    </row>
    <row r="4563" spans="5:35" x14ac:dyDescent="0.25">
      <c r="E4563" s="16"/>
      <c r="F4563" s="16"/>
      <c r="H4563" s="16"/>
      <c r="AG4563" s="80"/>
      <c r="AH4563" s="80"/>
      <c r="AI4563" s="80"/>
    </row>
    <row r="4564" spans="5:35" x14ac:dyDescent="0.25">
      <c r="E4564" s="16"/>
      <c r="F4564" s="16"/>
      <c r="H4564" s="16"/>
      <c r="AG4564" s="80"/>
      <c r="AH4564" s="80"/>
      <c r="AI4564" s="80"/>
    </row>
    <row r="4565" spans="5:35" x14ac:dyDescent="0.25">
      <c r="E4565" s="16"/>
      <c r="F4565" s="16"/>
      <c r="H4565" s="16"/>
      <c r="AG4565" s="80"/>
      <c r="AH4565" s="80"/>
      <c r="AI4565" s="80"/>
    </row>
    <row r="4566" spans="5:35" x14ac:dyDescent="0.25">
      <c r="E4566" s="16"/>
      <c r="F4566" s="16"/>
      <c r="H4566" s="16"/>
      <c r="AG4566" s="80"/>
      <c r="AH4566" s="80"/>
      <c r="AI4566" s="80"/>
    </row>
    <row r="4567" spans="5:35" x14ac:dyDescent="0.25">
      <c r="E4567" s="16"/>
      <c r="F4567" s="16"/>
      <c r="H4567" s="16"/>
      <c r="AG4567" s="80"/>
      <c r="AH4567" s="80"/>
      <c r="AI4567" s="80"/>
    </row>
    <row r="4568" spans="5:35" x14ac:dyDescent="0.25">
      <c r="E4568" s="16"/>
      <c r="F4568" s="16"/>
      <c r="H4568" s="16"/>
      <c r="AG4568" s="80"/>
      <c r="AH4568" s="80"/>
      <c r="AI4568" s="80"/>
    </row>
    <row r="4569" spans="5:35" x14ac:dyDescent="0.25">
      <c r="E4569" s="16"/>
      <c r="F4569" s="16"/>
      <c r="H4569" s="16"/>
      <c r="AG4569" s="80"/>
      <c r="AH4569" s="80"/>
      <c r="AI4569" s="80"/>
    </row>
    <row r="4570" spans="5:35" x14ac:dyDescent="0.25">
      <c r="E4570" s="16"/>
      <c r="F4570" s="16"/>
      <c r="H4570" s="16"/>
      <c r="AG4570" s="80"/>
      <c r="AH4570" s="80"/>
      <c r="AI4570" s="80"/>
    </row>
    <row r="4571" spans="5:35" x14ac:dyDescent="0.25">
      <c r="E4571" s="16"/>
      <c r="F4571" s="16"/>
      <c r="H4571" s="16"/>
      <c r="AG4571" s="80"/>
      <c r="AH4571" s="80"/>
      <c r="AI4571" s="80"/>
    </row>
    <row r="4572" spans="5:35" x14ac:dyDescent="0.25">
      <c r="E4572" s="16"/>
      <c r="F4572" s="16"/>
      <c r="H4572" s="16"/>
      <c r="AG4572" s="80"/>
      <c r="AH4572" s="80"/>
      <c r="AI4572" s="80"/>
    </row>
    <row r="4573" spans="5:35" x14ac:dyDescent="0.25">
      <c r="E4573" s="16"/>
      <c r="F4573" s="16"/>
      <c r="H4573" s="16"/>
      <c r="AG4573" s="80"/>
      <c r="AH4573" s="80"/>
      <c r="AI4573" s="80"/>
    </row>
    <row r="4574" spans="5:35" x14ac:dyDescent="0.25">
      <c r="E4574" s="16"/>
      <c r="F4574" s="16"/>
      <c r="H4574" s="16"/>
      <c r="AG4574" s="80"/>
      <c r="AH4574" s="80"/>
      <c r="AI4574" s="80"/>
    </row>
    <row r="4575" spans="5:35" x14ac:dyDescent="0.25">
      <c r="E4575" s="16"/>
      <c r="F4575" s="16"/>
      <c r="H4575" s="16"/>
      <c r="AG4575" s="80"/>
      <c r="AH4575" s="80"/>
      <c r="AI4575" s="80"/>
    </row>
    <row r="4576" spans="5:35" x14ac:dyDescent="0.25">
      <c r="E4576" s="16"/>
      <c r="F4576" s="16"/>
      <c r="H4576" s="16"/>
      <c r="AG4576" s="80"/>
      <c r="AH4576" s="80"/>
      <c r="AI4576" s="80"/>
    </row>
    <row r="4577" spans="5:35" x14ac:dyDescent="0.25">
      <c r="E4577" s="16"/>
      <c r="F4577" s="16"/>
      <c r="H4577" s="16"/>
      <c r="AG4577" s="80"/>
      <c r="AH4577" s="80"/>
      <c r="AI4577" s="80"/>
    </row>
    <row r="4578" spans="5:35" x14ac:dyDescent="0.25">
      <c r="E4578" s="16"/>
      <c r="F4578" s="16"/>
      <c r="H4578" s="16"/>
      <c r="AG4578" s="80"/>
      <c r="AH4578" s="80"/>
      <c r="AI4578" s="80"/>
    </row>
    <row r="4579" spans="5:35" x14ac:dyDescent="0.25">
      <c r="E4579" s="16"/>
      <c r="F4579" s="16"/>
      <c r="H4579" s="16"/>
      <c r="AG4579" s="80"/>
      <c r="AH4579" s="80"/>
      <c r="AI4579" s="80"/>
    </row>
    <row r="4580" spans="5:35" x14ac:dyDescent="0.25">
      <c r="E4580" s="16"/>
      <c r="F4580" s="16"/>
      <c r="H4580" s="16"/>
      <c r="AG4580" s="80"/>
      <c r="AH4580" s="80"/>
      <c r="AI4580" s="80"/>
    </row>
    <row r="4581" spans="5:35" x14ac:dyDescent="0.25">
      <c r="E4581" s="16"/>
      <c r="F4581" s="16"/>
      <c r="H4581" s="16"/>
      <c r="AG4581" s="80"/>
      <c r="AH4581" s="80"/>
      <c r="AI4581" s="80"/>
    </row>
    <row r="4582" spans="5:35" x14ac:dyDescent="0.25">
      <c r="E4582" s="16"/>
      <c r="F4582" s="16"/>
      <c r="H4582" s="16"/>
      <c r="AG4582" s="80"/>
      <c r="AH4582" s="80"/>
      <c r="AI4582" s="80"/>
    </row>
    <row r="4583" spans="5:35" x14ac:dyDescent="0.25">
      <c r="E4583" s="16"/>
      <c r="F4583" s="16"/>
      <c r="H4583" s="16"/>
      <c r="AG4583" s="80"/>
      <c r="AH4583" s="80"/>
      <c r="AI4583" s="80"/>
    </row>
    <row r="4584" spans="5:35" x14ac:dyDescent="0.25">
      <c r="E4584" s="16"/>
      <c r="F4584" s="16"/>
      <c r="H4584" s="16"/>
      <c r="AG4584" s="80"/>
      <c r="AH4584" s="80"/>
      <c r="AI4584" s="80"/>
    </row>
    <row r="4585" spans="5:35" x14ac:dyDescent="0.25">
      <c r="E4585" s="16"/>
      <c r="F4585" s="16"/>
      <c r="H4585" s="16"/>
      <c r="AG4585" s="80"/>
      <c r="AH4585" s="80"/>
      <c r="AI4585" s="80"/>
    </row>
    <row r="4586" spans="5:35" x14ac:dyDescent="0.25">
      <c r="E4586" s="16"/>
      <c r="F4586" s="16"/>
      <c r="H4586" s="16"/>
      <c r="AG4586" s="80"/>
      <c r="AH4586" s="80"/>
      <c r="AI4586" s="80"/>
    </row>
    <row r="4587" spans="5:35" x14ac:dyDescent="0.25">
      <c r="E4587" s="16"/>
      <c r="F4587" s="16"/>
      <c r="H4587" s="16"/>
      <c r="AG4587" s="80"/>
      <c r="AH4587" s="80"/>
      <c r="AI4587" s="80"/>
    </row>
    <row r="4588" spans="5:35" x14ac:dyDescent="0.25">
      <c r="E4588" s="16"/>
      <c r="F4588" s="16"/>
      <c r="H4588" s="16"/>
      <c r="AG4588" s="80"/>
      <c r="AH4588" s="80"/>
      <c r="AI4588" s="80"/>
    </row>
    <row r="4589" spans="5:35" x14ac:dyDescent="0.25">
      <c r="E4589" s="16"/>
      <c r="F4589" s="16"/>
      <c r="H4589" s="16"/>
      <c r="AG4589" s="80"/>
      <c r="AH4589" s="80"/>
      <c r="AI4589" s="80"/>
    </row>
    <row r="4590" spans="5:35" x14ac:dyDescent="0.25">
      <c r="E4590" s="16"/>
      <c r="F4590" s="16"/>
      <c r="H4590" s="16"/>
      <c r="AG4590" s="80"/>
      <c r="AH4590" s="80"/>
      <c r="AI4590" s="80"/>
    </row>
    <row r="4591" spans="5:35" x14ac:dyDescent="0.25">
      <c r="E4591" s="16"/>
      <c r="F4591" s="16"/>
      <c r="H4591" s="16"/>
      <c r="AG4591" s="80"/>
      <c r="AH4591" s="80"/>
      <c r="AI4591" s="80"/>
    </row>
    <row r="4592" spans="5:35" x14ac:dyDescent="0.25">
      <c r="E4592" s="16"/>
      <c r="F4592" s="16"/>
      <c r="H4592" s="16"/>
      <c r="AG4592" s="80"/>
      <c r="AH4592" s="80"/>
      <c r="AI4592" s="80"/>
    </row>
    <row r="4593" spans="5:35" x14ac:dyDescent="0.25">
      <c r="E4593" s="16"/>
      <c r="F4593" s="16"/>
      <c r="H4593" s="16"/>
      <c r="AG4593" s="80"/>
      <c r="AH4593" s="80"/>
      <c r="AI4593" s="80"/>
    </row>
    <row r="4594" spans="5:35" x14ac:dyDescent="0.25">
      <c r="E4594" s="16"/>
      <c r="F4594" s="16"/>
      <c r="H4594" s="16"/>
      <c r="AG4594" s="80"/>
      <c r="AH4594" s="80"/>
      <c r="AI4594" s="80"/>
    </row>
    <row r="4595" spans="5:35" x14ac:dyDescent="0.25">
      <c r="E4595" s="16"/>
      <c r="F4595" s="16"/>
      <c r="H4595" s="16"/>
      <c r="AG4595" s="80"/>
      <c r="AH4595" s="80"/>
      <c r="AI4595" s="80"/>
    </row>
    <row r="4596" spans="5:35" x14ac:dyDescent="0.25">
      <c r="E4596" s="16"/>
      <c r="F4596" s="16"/>
      <c r="H4596" s="16"/>
      <c r="AG4596" s="80"/>
      <c r="AH4596" s="80"/>
      <c r="AI4596" s="80"/>
    </row>
    <row r="4597" spans="5:35" x14ac:dyDescent="0.25">
      <c r="E4597" s="16"/>
      <c r="F4597" s="16"/>
      <c r="H4597" s="16"/>
      <c r="AG4597" s="80"/>
      <c r="AH4597" s="80"/>
      <c r="AI4597" s="80"/>
    </row>
    <row r="4598" spans="5:35" x14ac:dyDescent="0.25">
      <c r="E4598" s="16"/>
      <c r="F4598" s="16"/>
      <c r="H4598" s="16"/>
      <c r="AG4598" s="80"/>
      <c r="AH4598" s="80"/>
      <c r="AI4598" s="80"/>
    </row>
    <row r="4599" spans="5:35" x14ac:dyDescent="0.25">
      <c r="E4599" s="16"/>
      <c r="F4599" s="16"/>
      <c r="H4599" s="16"/>
      <c r="AG4599" s="80"/>
      <c r="AH4599" s="80"/>
      <c r="AI4599" s="80"/>
    </row>
    <row r="4600" spans="5:35" x14ac:dyDescent="0.25">
      <c r="E4600" s="16"/>
      <c r="F4600" s="16"/>
      <c r="H4600" s="16"/>
      <c r="AG4600" s="80"/>
      <c r="AH4600" s="80"/>
      <c r="AI4600" s="80"/>
    </row>
    <row r="4601" spans="5:35" x14ac:dyDescent="0.25">
      <c r="E4601" s="16"/>
      <c r="F4601" s="16"/>
      <c r="H4601" s="16"/>
      <c r="AG4601" s="80"/>
      <c r="AH4601" s="80"/>
      <c r="AI4601" s="80"/>
    </row>
    <row r="4602" spans="5:35" x14ac:dyDescent="0.25">
      <c r="E4602" s="16"/>
      <c r="F4602" s="16"/>
      <c r="H4602" s="16"/>
      <c r="AG4602" s="80"/>
      <c r="AH4602" s="80"/>
      <c r="AI4602" s="80"/>
    </row>
    <row r="4603" spans="5:35" x14ac:dyDescent="0.25">
      <c r="E4603" s="16"/>
      <c r="F4603" s="16"/>
      <c r="H4603" s="16"/>
      <c r="AG4603" s="80"/>
      <c r="AH4603" s="80"/>
      <c r="AI4603" s="80"/>
    </row>
    <row r="4604" spans="5:35" x14ac:dyDescent="0.25">
      <c r="E4604" s="16"/>
      <c r="F4604" s="16"/>
      <c r="H4604" s="16"/>
      <c r="AG4604" s="80"/>
      <c r="AH4604" s="80"/>
      <c r="AI4604" s="80"/>
    </row>
    <row r="4605" spans="5:35" x14ac:dyDescent="0.25">
      <c r="E4605" s="16"/>
      <c r="F4605" s="16"/>
      <c r="H4605" s="16"/>
      <c r="AG4605" s="80"/>
      <c r="AH4605" s="80"/>
      <c r="AI4605" s="80"/>
    </row>
    <row r="4606" spans="5:35" x14ac:dyDescent="0.25">
      <c r="E4606" s="16"/>
      <c r="F4606" s="16"/>
      <c r="H4606" s="16"/>
      <c r="AG4606" s="80"/>
      <c r="AH4606" s="80"/>
      <c r="AI4606" s="80"/>
    </row>
    <row r="4607" spans="5:35" x14ac:dyDescent="0.25">
      <c r="E4607" s="16"/>
      <c r="F4607" s="16"/>
      <c r="H4607" s="16"/>
      <c r="AG4607" s="80"/>
      <c r="AH4607" s="80"/>
      <c r="AI4607" s="80"/>
    </row>
    <row r="4608" spans="5:35" x14ac:dyDescent="0.25">
      <c r="E4608" s="16"/>
      <c r="F4608" s="16"/>
      <c r="H4608" s="16"/>
      <c r="AG4608" s="80"/>
      <c r="AH4608" s="80"/>
      <c r="AI4608" s="80"/>
    </row>
    <row r="4609" spans="5:35" x14ac:dyDescent="0.25">
      <c r="E4609" s="16"/>
      <c r="F4609" s="16"/>
      <c r="H4609" s="16"/>
      <c r="AG4609" s="80"/>
      <c r="AH4609" s="80"/>
      <c r="AI4609" s="80"/>
    </row>
    <row r="4610" spans="5:35" x14ac:dyDescent="0.25">
      <c r="E4610" s="16"/>
      <c r="F4610" s="16"/>
      <c r="H4610" s="16"/>
      <c r="AG4610" s="80"/>
      <c r="AH4610" s="80"/>
      <c r="AI4610" s="80"/>
    </row>
    <row r="4611" spans="5:35" x14ac:dyDescent="0.25">
      <c r="E4611" s="16"/>
      <c r="F4611" s="16"/>
      <c r="H4611" s="16"/>
      <c r="AG4611" s="80"/>
      <c r="AH4611" s="80"/>
      <c r="AI4611" s="80"/>
    </row>
    <row r="4612" spans="5:35" x14ac:dyDescent="0.25">
      <c r="E4612" s="16"/>
      <c r="F4612" s="16"/>
      <c r="H4612" s="16"/>
      <c r="AG4612" s="80"/>
      <c r="AH4612" s="80"/>
      <c r="AI4612" s="80"/>
    </row>
    <row r="4613" spans="5:35" x14ac:dyDescent="0.25">
      <c r="E4613" s="16"/>
      <c r="F4613" s="16"/>
      <c r="H4613" s="16"/>
      <c r="AG4613" s="80"/>
      <c r="AH4613" s="80"/>
      <c r="AI4613" s="80"/>
    </row>
    <row r="4614" spans="5:35" x14ac:dyDescent="0.25">
      <c r="E4614" s="16"/>
      <c r="F4614" s="16"/>
      <c r="H4614" s="16"/>
      <c r="AG4614" s="80"/>
      <c r="AH4614" s="80"/>
      <c r="AI4614" s="80"/>
    </row>
    <row r="4615" spans="5:35" x14ac:dyDescent="0.25">
      <c r="E4615" s="16"/>
      <c r="F4615" s="16"/>
      <c r="H4615" s="16"/>
      <c r="AG4615" s="80"/>
      <c r="AH4615" s="80"/>
      <c r="AI4615" s="80"/>
    </row>
    <row r="4616" spans="5:35" x14ac:dyDescent="0.25">
      <c r="E4616" s="16"/>
      <c r="F4616" s="16"/>
      <c r="H4616" s="16"/>
      <c r="AG4616" s="80"/>
      <c r="AH4616" s="80"/>
      <c r="AI4616" s="80"/>
    </row>
    <row r="4617" spans="5:35" x14ac:dyDescent="0.25">
      <c r="E4617" s="16"/>
      <c r="F4617" s="16"/>
      <c r="H4617" s="16"/>
      <c r="AG4617" s="80"/>
      <c r="AH4617" s="80"/>
      <c r="AI4617" s="80"/>
    </row>
    <row r="4618" spans="5:35" x14ac:dyDescent="0.25">
      <c r="E4618" s="16"/>
      <c r="F4618" s="16"/>
      <c r="H4618" s="16"/>
      <c r="AG4618" s="80"/>
      <c r="AH4618" s="80"/>
      <c r="AI4618" s="80"/>
    </row>
    <row r="4619" spans="5:35" x14ac:dyDescent="0.25">
      <c r="E4619" s="16"/>
      <c r="F4619" s="16"/>
      <c r="H4619" s="16"/>
      <c r="AG4619" s="80"/>
      <c r="AH4619" s="80"/>
      <c r="AI4619" s="80"/>
    </row>
    <row r="4620" spans="5:35" x14ac:dyDescent="0.25">
      <c r="E4620" s="16"/>
      <c r="F4620" s="16"/>
      <c r="H4620" s="16"/>
      <c r="AG4620" s="80"/>
      <c r="AH4620" s="80"/>
      <c r="AI4620" s="80"/>
    </row>
    <row r="4621" spans="5:35" x14ac:dyDescent="0.25">
      <c r="E4621" s="16"/>
      <c r="F4621" s="16"/>
      <c r="H4621" s="16"/>
      <c r="AG4621" s="80"/>
      <c r="AH4621" s="80"/>
      <c r="AI4621" s="80"/>
    </row>
    <row r="4622" spans="5:35" x14ac:dyDescent="0.25">
      <c r="E4622" s="16"/>
      <c r="F4622" s="16"/>
      <c r="H4622" s="16"/>
      <c r="AG4622" s="80"/>
      <c r="AH4622" s="80"/>
      <c r="AI4622" s="80"/>
    </row>
    <row r="4623" spans="5:35" x14ac:dyDescent="0.25">
      <c r="E4623" s="16"/>
      <c r="F4623" s="16"/>
      <c r="H4623" s="16"/>
      <c r="AG4623" s="80"/>
      <c r="AH4623" s="80"/>
      <c r="AI4623" s="80"/>
    </row>
    <row r="4624" spans="5:35" x14ac:dyDescent="0.25">
      <c r="E4624" s="16"/>
      <c r="F4624" s="16"/>
      <c r="H4624" s="16"/>
      <c r="AG4624" s="80"/>
      <c r="AH4624" s="80"/>
      <c r="AI4624" s="80"/>
    </row>
    <row r="4625" spans="5:35" x14ac:dyDescent="0.25">
      <c r="E4625" s="16"/>
      <c r="F4625" s="16"/>
      <c r="H4625" s="16"/>
      <c r="AG4625" s="80"/>
      <c r="AH4625" s="80"/>
      <c r="AI4625" s="80"/>
    </row>
    <row r="4626" spans="5:35" x14ac:dyDescent="0.25">
      <c r="E4626" s="16"/>
      <c r="F4626" s="16"/>
      <c r="H4626" s="16"/>
      <c r="AG4626" s="80"/>
      <c r="AH4626" s="80"/>
      <c r="AI4626" s="80"/>
    </row>
    <row r="4627" spans="5:35" x14ac:dyDescent="0.25">
      <c r="E4627" s="16"/>
      <c r="F4627" s="16"/>
      <c r="H4627" s="16"/>
      <c r="AG4627" s="80"/>
      <c r="AH4627" s="80"/>
      <c r="AI4627" s="80"/>
    </row>
    <row r="4628" spans="5:35" x14ac:dyDescent="0.25">
      <c r="E4628" s="16"/>
      <c r="F4628" s="16"/>
      <c r="H4628" s="16"/>
      <c r="AG4628" s="80"/>
      <c r="AH4628" s="80"/>
      <c r="AI4628" s="80"/>
    </row>
    <row r="4629" spans="5:35" x14ac:dyDescent="0.25">
      <c r="E4629" s="16"/>
      <c r="F4629" s="16"/>
      <c r="H4629" s="16"/>
      <c r="AG4629" s="80"/>
      <c r="AH4629" s="80"/>
      <c r="AI4629" s="80"/>
    </row>
    <row r="4630" spans="5:35" x14ac:dyDescent="0.25">
      <c r="E4630" s="16"/>
      <c r="F4630" s="16"/>
      <c r="H4630" s="16"/>
      <c r="AG4630" s="80"/>
      <c r="AH4630" s="80"/>
      <c r="AI4630" s="80"/>
    </row>
    <row r="4631" spans="5:35" x14ac:dyDescent="0.25">
      <c r="E4631" s="16"/>
      <c r="F4631" s="16"/>
      <c r="H4631" s="16"/>
      <c r="AG4631" s="80"/>
      <c r="AH4631" s="80"/>
      <c r="AI4631" s="80"/>
    </row>
    <row r="4632" spans="5:35" x14ac:dyDescent="0.25">
      <c r="E4632" s="16"/>
      <c r="F4632" s="16"/>
      <c r="H4632" s="16"/>
      <c r="AG4632" s="80"/>
      <c r="AH4632" s="80"/>
      <c r="AI4632" s="80"/>
    </row>
    <row r="4633" spans="5:35" x14ac:dyDescent="0.25">
      <c r="E4633" s="16"/>
      <c r="F4633" s="16"/>
      <c r="H4633" s="16"/>
      <c r="AG4633" s="80"/>
      <c r="AH4633" s="80"/>
      <c r="AI4633" s="80"/>
    </row>
    <row r="4634" spans="5:35" x14ac:dyDescent="0.25">
      <c r="E4634" s="16"/>
      <c r="F4634" s="16"/>
      <c r="H4634" s="16"/>
      <c r="AG4634" s="80"/>
      <c r="AH4634" s="80"/>
      <c r="AI4634" s="80"/>
    </row>
    <row r="4635" spans="5:35" x14ac:dyDescent="0.25">
      <c r="E4635" s="16"/>
      <c r="F4635" s="16"/>
      <c r="H4635" s="16"/>
      <c r="AG4635" s="80"/>
      <c r="AH4635" s="80"/>
      <c r="AI4635" s="80"/>
    </row>
    <row r="4636" spans="5:35" x14ac:dyDescent="0.25">
      <c r="E4636" s="16"/>
      <c r="F4636" s="16"/>
      <c r="H4636" s="16"/>
      <c r="AG4636" s="80"/>
      <c r="AH4636" s="80"/>
      <c r="AI4636" s="80"/>
    </row>
    <row r="4637" spans="5:35" x14ac:dyDescent="0.25">
      <c r="E4637" s="16"/>
      <c r="F4637" s="16"/>
      <c r="H4637" s="16"/>
      <c r="AG4637" s="80"/>
      <c r="AH4637" s="80"/>
      <c r="AI4637" s="80"/>
    </row>
    <row r="4638" spans="5:35" x14ac:dyDescent="0.25">
      <c r="E4638" s="16"/>
      <c r="F4638" s="16"/>
      <c r="H4638" s="16"/>
      <c r="AG4638" s="80"/>
      <c r="AH4638" s="80"/>
      <c r="AI4638" s="80"/>
    </row>
    <row r="4639" spans="5:35" x14ac:dyDescent="0.25">
      <c r="E4639" s="16"/>
      <c r="F4639" s="16"/>
      <c r="H4639" s="16"/>
      <c r="AG4639" s="80"/>
      <c r="AH4639" s="80"/>
      <c r="AI4639" s="80"/>
    </row>
    <row r="4640" spans="5:35" x14ac:dyDescent="0.25">
      <c r="E4640" s="16"/>
      <c r="F4640" s="16"/>
      <c r="H4640" s="16"/>
      <c r="AG4640" s="80"/>
      <c r="AH4640" s="80"/>
      <c r="AI4640" s="80"/>
    </row>
    <row r="4641" spans="5:35" x14ac:dyDescent="0.25">
      <c r="E4641" s="16"/>
      <c r="F4641" s="16"/>
      <c r="H4641" s="16"/>
      <c r="AG4641" s="80"/>
      <c r="AH4641" s="80"/>
      <c r="AI4641" s="80"/>
    </row>
    <row r="4642" spans="5:35" x14ac:dyDescent="0.25">
      <c r="E4642" s="16"/>
      <c r="F4642" s="16"/>
      <c r="H4642" s="16"/>
      <c r="AG4642" s="80"/>
      <c r="AH4642" s="80"/>
      <c r="AI4642" s="80"/>
    </row>
    <row r="4643" spans="5:35" x14ac:dyDescent="0.25">
      <c r="E4643" s="16"/>
      <c r="F4643" s="16"/>
      <c r="H4643" s="16"/>
      <c r="AG4643" s="80"/>
      <c r="AH4643" s="80"/>
      <c r="AI4643" s="80"/>
    </row>
    <row r="4644" spans="5:35" x14ac:dyDescent="0.25">
      <c r="E4644" s="16"/>
      <c r="F4644" s="16"/>
      <c r="H4644" s="16"/>
      <c r="AG4644" s="80"/>
      <c r="AH4644" s="80"/>
      <c r="AI4644" s="80"/>
    </row>
    <row r="4645" spans="5:35" x14ac:dyDescent="0.25">
      <c r="E4645" s="16"/>
      <c r="F4645" s="16"/>
      <c r="H4645" s="16"/>
      <c r="AG4645" s="80"/>
      <c r="AH4645" s="80"/>
      <c r="AI4645" s="80"/>
    </row>
    <row r="4646" spans="5:35" x14ac:dyDescent="0.25">
      <c r="E4646" s="16"/>
      <c r="F4646" s="16"/>
      <c r="H4646" s="16"/>
      <c r="AG4646" s="80"/>
      <c r="AH4646" s="80"/>
      <c r="AI4646" s="80"/>
    </row>
    <row r="4647" spans="5:35" x14ac:dyDescent="0.25">
      <c r="E4647" s="16"/>
      <c r="F4647" s="16"/>
      <c r="H4647" s="16"/>
      <c r="AG4647" s="80"/>
      <c r="AH4647" s="80"/>
      <c r="AI4647" s="80"/>
    </row>
    <row r="4648" spans="5:35" x14ac:dyDescent="0.25">
      <c r="E4648" s="16"/>
      <c r="F4648" s="16"/>
      <c r="H4648" s="16"/>
      <c r="AG4648" s="80"/>
      <c r="AH4648" s="80"/>
      <c r="AI4648" s="80"/>
    </row>
    <row r="4649" spans="5:35" x14ac:dyDescent="0.25">
      <c r="E4649" s="16"/>
      <c r="F4649" s="16"/>
      <c r="H4649" s="16"/>
      <c r="AG4649" s="80"/>
      <c r="AH4649" s="80"/>
      <c r="AI4649" s="80"/>
    </row>
    <row r="4650" spans="5:35" x14ac:dyDescent="0.25">
      <c r="E4650" s="16"/>
      <c r="F4650" s="16"/>
      <c r="H4650" s="16"/>
      <c r="AG4650" s="80"/>
      <c r="AH4650" s="80"/>
      <c r="AI4650" s="80"/>
    </row>
    <row r="4651" spans="5:35" x14ac:dyDescent="0.25">
      <c r="E4651" s="16"/>
      <c r="F4651" s="16"/>
      <c r="H4651" s="16"/>
      <c r="AG4651" s="80"/>
      <c r="AH4651" s="80"/>
      <c r="AI4651" s="80"/>
    </row>
    <row r="4652" spans="5:35" x14ac:dyDescent="0.25">
      <c r="E4652" s="16"/>
      <c r="F4652" s="16"/>
      <c r="H4652" s="16"/>
      <c r="AG4652" s="80"/>
      <c r="AH4652" s="80"/>
      <c r="AI4652" s="80"/>
    </row>
    <row r="4653" spans="5:35" x14ac:dyDescent="0.25">
      <c r="E4653" s="16"/>
      <c r="F4653" s="16"/>
      <c r="H4653" s="16"/>
      <c r="AG4653" s="80"/>
      <c r="AH4653" s="80"/>
      <c r="AI4653" s="80"/>
    </row>
    <row r="4654" spans="5:35" x14ac:dyDescent="0.25">
      <c r="E4654" s="16"/>
      <c r="F4654" s="16"/>
      <c r="H4654" s="16"/>
      <c r="AG4654" s="80"/>
      <c r="AH4654" s="80"/>
      <c r="AI4654" s="80"/>
    </row>
    <row r="4655" spans="5:35" x14ac:dyDescent="0.25">
      <c r="E4655" s="16"/>
      <c r="F4655" s="16"/>
      <c r="H4655" s="16"/>
      <c r="AG4655" s="80"/>
      <c r="AH4655" s="80"/>
      <c r="AI4655" s="80"/>
    </row>
    <row r="4656" spans="5:35" x14ac:dyDescent="0.25">
      <c r="E4656" s="16"/>
      <c r="F4656" s="16"/>
      <c r="H4656" s="16"/>
      <c r="AG4656" s="80"/>
      <c r="AH4656" s="80"/>
      <c r="AI4656" s="80"/>
    </row>
    <row r="4657" spans="5:35" x14ac:dyDescent="0.25">
      <c r="E4657" s="16"/>
      <c r="F4657" s="16"/>
      <c r="H4657" s="16"/>
      <c r="AG4657" s="80"/>
      <c r="AH4657" s="80"/>
      <c r="AI4657" s="80"/>
    </row>
    <row r="4658" spans="5:35" x14ac:dyDescent="0.25">
      <c r="E4658" s="16"/>
      <c r="F4658" s="16"/>
      <c r="H4658" s="16"/>
      <c r="AG4658" s="80"/>
      <c r="AH4658" s="80"/>
      <c r="AI4658" s="80"/>
    </row>
    <row r="4659" spans="5:35" x14ac:dyDescent="0.25">
      <c r="E4659" s="16"/>
      <c r="F4659" s="16"/>
      <c r="H4659" s="16"/>
      <c r="AG4659" s="80"/>
      <c r="AH4659" s="80"/>
      <c r="AI4659" s="80"/>
    </row>
    <row r="4660" spans="5:35" x14ac:dyDescent="0.25">
      <c r="E4660" s="16"/>
      <c r="F4660" s="16"/>
      <c r="H4660" s="16"/>
      <c r="AG4660" s="80"/>
      <c r="AH4660" s="80"/>
      <c r="AI4660" s="80"/>
    </row>
    <row r="4661" spans="5:35" x14ac:dyDescent="0.25">
      <c r="E4661" s="16"/>
      <c r="F4661" s="16"/>
      <c r="H4661" s="16"/>
      <c r="AG4661" s="80"/>
      <c r="AH4661" s="80"/>
      <c r="AI4661" s="80"/>
    </row>
    <row r="4662" spans="5:35" x14ac:dyDescent="0.25">
      <c r="E4662" s="16"/>
      <c r="F4662" s="16"/>
      <c r="H4662" s="16"/>
      <c r="AG4662" s="80"/>
      <c r="AH4662" s="80"/>
      <c r="AI4662" s="80"/>
    </row>
    <row r="4663" spans="5:35" x14ac:dyDescent="0.25">
      <c r="E4663" s="16"/>
      <c r="F4663" s="16"/>
      <c r="H4663" s="16"/>
      <c r="AG4663" s="80"/>
      <c r="AH4663" s="80"/>
      <c r="AI4663" s="80"/>
    </row>
    <row r="4664" spans="5:35" x14ac:dyDescent="0.25">
      <c r="E4664" s="16"/>
      <c r="F4664" s="16"/>
      <c r="H4664" s="16"/>
      <c r="AG4664" s="80"/>
      <c r="AH4664" s="80"/>
      <c r="AI4664" s="80"/>
    </row>
    <row r="4665" spans="5:35" x14ac:dyDescent="0.25">
      <c r="E4665" s="16"/>
      <c r="F4665" s="16"/>
      <c r="H4665" s="16"/>
      <c r="AG4665" s="80"/>
      <c r="AH4665" s="80"/>
      <c r="AI4665" s="80"/>
    </row>
    <row r="4666" spans="5:35" x14ac:dyDescent="0.25">
      <c r="E4666" s="16"/>
      <c r="F4666" s="16"/>
      <c r="H4666" s="16"/>
      <c r="AG4666" s="80"/>
      <c r="AH4666" s="80"/>
      <c r="AI4666" s="80"/>
    </row>
    <row r="4667" spans="5:35" x14ac:dyDescent="0.25">
      <c r="E4667" s="16"/>
      <c r="F4667" s="16"/>
      <c r="H4667" s="16"/>
      <c r="AG4667" s="80"/>
      <c r="AH4667" s="80"/>
      <c r="AI4667" s="80"/>
    </row>
    <row r="4668" spans="5:35" x14ac:dyDescent="0.25">
      <c r="E4668" s="16"/>
      <c r="F4668" s="16"/>
      <c r="H4668" s="16"/>
      <c r="AG4668" s="80"/>
      <c r="AH4668" s="80"/>
      <c r="AI4668" s="80"/>
    </row>
    <row r="4669" spans="5:35" x14ac:dyDescent="0.25">
      <c r="E4669" s="16"/>
      <c r="F4669" s="16"/>
      <c r="H4669" s="16"/>
      <c r="AG4669" s="80"/>
      <c r="AH4669" s="80"/>
      <c r="AI4669" s="80"/>
    </row>
    <row r="4670" spans="5:35" x14ac:dyDescent="0.25">
      <c r="E4670" s="16"/>
      <c r="F4670" s="16"/>
      <c r="H4670" s="16"/>
      <c r="AG4670" s="80"/>
      <c r="AH4670" s="80"/>
      <c r="AI4670" s="80"/>
    </row>
    <row r="4671" spans="5:35" x14ac:dyDescent="0.25">
      <c r="E4671" s="16"/>
      <c r="F4671" s="16"/>
      <c r="H4671" s="16"/>
      <c r="AG4671" s="80"/>
      <c r="AH4671" s="80"/>
      <c r="AI4671" s="80"/>
    </row>
    <row r="4672" spans="5:35" x14ac:dyDescent="0.25">
      <c r="E4672" s="16"/>
      <c r="F4672" s="16"/>
      <c r="H4672" s="16"/>
      <c r="AG4672" s="80"/>
      <c r="AH4672" s="80"/>
      <c r="AI4672" s="80"/>
    </row>
    <row r="4673" spans="5:35" x14ac:dyDescent="0.25">
      <c r="E4673" s="16"/>
      <c r="F4673" s="16"/>
      <c r="H4673" s="16"/>
      <c r="AG4673" s="80"/>
      <c r="AH4673" s="80"/>
      <c r="AI4673" s="80"/>
    </row>
    <row r="4674" spans="5:35" x14ac:dyDescent="0.25">
      <c r="E4674" s="16"/>
      <c r="F4674" s="16"/>
      <c r="H4674" s="16"/>
      <c r="AG4674" s="80"/>
      <c r="AH4674" s="80"/>
      <c r="AI4674" s="80"/>
    </row>
    <row r="4675" spans="5:35" x14ac:dyDescent="0.25">
      <c r="E4675" s="16"/>
      <c r="F4675" s="16"/>
      <c r="H4675" s="16"/>
      <c r="AG4675" s="80"/>
      <c r="AH4675" s="80"/>
      <c r="AI4675" s="80"/>
    </row>
    <row r="4676" spans="5:35" x14ac:dyDescent="0.25">
      <c r="E4676" s="16"/>
      <c r="F4676" s="16"/>
      <c r="H4676" s="16"/>
      <c r="AG4676" s="80"/>
      <c r="AH4676" s="80"/>
      <c r="AI4676" s="80"/>
    </row>
    <row r="4677" spans="5:35" x14ac:dyDescent="0.25">
      <c r="E4677" s="16"/>
      <c r="F4677" s="16"/>
      <c r="H4677" s="16"/>
      <c r="AG4677" s="80"/>
      <c r="AH4677" s="80"/>
      <c r="AI4677" s="80"/>
    </row>
    <row r="4678" spans="5:35" x14ac:dyDescent="0.25">
      <c r="E4678" s="16"/>
      <c r="F4678" s="16"/>
      <c r="H4678" s="16"/>
      <c r="AG4678" s="80"/>
      <c r="AH4678" s="80"/>
      <c r="AI4678" s="80"/>
    </row>
    <row r="4679" spans="5:35" x14ac:dyDescent="0.25">
      <c r="E4679" s="16"/>
      <c r="F4679" s="16"/>
      <c r="H4679" s="16"/>
      <c r="AG4679" s="80"/>
      <c r="AH4679" s="80"/>
      <c r="AI4679" s="80"/>
    </row>
    <row r="4680" spans="5:35" x14ac:dyDescent="0.25">
      <c r="E4680" s="16"/>
      <c r="F4680" s="16"/>
      <c r="H4680" s="16"/>
      <c r="AG4680" s="80"/>
      <c r="AH4680" s="80"/>
      <c r="AI4680" s="80"/>
    </row>
    <row r="4681" spans="5:35" x14ac:dyDescent="0.25">
      <c r="E4681" s="16"/>
      <c r="F4681" s="16"/>
      <c r="H4681" s="16"/>
      <c r="AG4681" s="80"/>
      <c r="AH4681" s="80"/>
      <c r="AI4681" s="80"/>
    </row>
    <row r="4682" spans="5:35" x14ac:dyDescent="0.25">
      <c r="E4682" s="16"/>
      <c r="F4682" s="16"/>
      <c r="H4682" s="16"/>
      <c r="AG4682" s="80"/>
      <c r="AH4682" s="80"/>
      <c r="AI4682" s="80"/>
    </row>
    <row r="4683" spans="5:35" x14ac:dyDescent="0.25">
      <c r="E4683" s="16"/>
      <c r="F4683" s="16"/>
      <c r="H4683" s="16"/>
      <c r="AG4683" s="80"/>
      <c r="AH4683" s="80"/>
      <c r="AI4683" s="80"/>
    </row>
    <row r="4684" spans="5:35" x14ac:dyDescent="0.25">
      <c r="E4684" s="16"/>
      <c r="F4684" s="16"/>
      <c r="H4684" s="16"/>
      <c r="AG4684" s="80"/>
      <c r="AH4684" s="80"/>
      <c r="AI4684" s="80"/>
    </row>
    <row r="4685" spans="5:35" x14ac:dyDescent="0.25">
      <c r="E4685" s="16"/>
      <c r="F4685" s="16"/>
      <c r="H4685" s="16"/>
      <c r="AG4685" s="80"/>
      <c r="AH4685" s="80"/>
      <c r="AI4685" s="80"/>
    </row>
    <row r="4686" spans="5:35" x14ac:dyDescent="0.25">
      <c r="E4686" s="16"/>
      <c r="F4686" s="16"/>
      <c r="H4686" s="16"/>
      <c r="AG4686" s="80"/>
      <c r="AH4686" s="80"/>
      <c r="AI4686" s="80"/>
    </row>
    <row r="4687" spans="5:35" x14ac:dyDescent="0.25">
      <c r="E4687" s="16"/>
      <c r="F4687" s="16"/>
      <c r="H4687" s="16"/>
      <c r="AG4687" s="80"/>
      <c r="AH4687" s="80"/>
      <c r="AI4687" s="80"/>
    </row>
    <row r="4688" spans="5:35" x14ac:dyDescent="0.25">
      <c r="E4688" s="16"/>
      <c r="F4688" s="16"/>
      <c r="H4688" s="16"/>
      <c r="AG4688" s="80"/>
      <c r="AH4688" s="80"/>
      <c r="AI4688" s="80"/>
    </row>
    <row r="4689" spans="5:35" x14ac:dyDescent="0.25">
      <c r="E4689" s="16"/>
      <c r="F4689" s="16"/>
      <c r="H4689" s="16"/>
      <c r="AG4689" s="80"/>
      <c r="AH4689" s="80"/>
      <c r="AI4689" s="80"/>
    </row>
    <row r="4690" spans="5:35" x14ac:dyDescent="0.25">
      <c r="E4690" s="16"/>
      <c r="F4690" s="16"/>
      <c r="H4690" s="16"/>
      <c r="AG4690" s="80"/>
      <c r="AH4690" s="80"/>
      <c r="AI4690" s="80"/>
    </row>
    <row r="4691" spans="5:35" x14ac:dyDescent="0.25">
      <c r="E4691" s="16"/>
      <c r="F4691" s="16"/>
      <c r="H4691" s="16"/>
      <c r="AG4691" s="80"/>
      <c r="AH4691" s="80"/>
      <c r="AI4691" s="80"/>
    </row>
    <row r="4692" spans="5:35" x14ac:dyDescent="0.25">
      <c r="E4692" s="16"/>
      <c r="F4692" s="16"/>
      <c r="H4692" s="16"/>
      <c r="AG4692" s="80"/>
      <c r="AH4692" s="80"/>
      <c r="AI4692" s="80"/>
    </row>
    <row r="4693" spans="5:35" x14ac:dyDescent="0.25">
      <c r="E4693" s="16"/>
      <c r="F4693" s="16"/>
      <c r="H4693" s="16"/>
      <c r="AG4693" s="80"/>
      <c r="AH4693" s="80"/>
      <c r="AI4693" s="80"/>
    </row>
    <row r="4694" spans="5:35" x14ac:dyDescent="0.25">
      <c r="E4694" s="16"/>
      <c r="F4694" s="16"/>
      <c r="H4694" s="16"/>
      <c r="AG4694" s="80"/>
      <c r="AH4694" s="80"/>
      <c r="AI4694" s="80"/>
    </row>
    <row r="4695" spans="5:35" x14ac:dyDescent="0.25">
      <c r="E4695" s="16"/>
      <c r="F4695" s="16"/>
      <c r="H4695" s="16"/>
      <c r="AG4695" s="80"/>
      <c r="AH4695" s="80"/>
      <c r="AI4695" s="80"/>
    </row>
    <row r="4696" spans="5:35" x14ac:dyDescent="0.25">
      <c r="E4696" s="16"/>
      <c r="F4696" s="16"/>
      <c r="H4696" s="16"/>
      <c r="AG4696" s="80"/>
      <c r="AH4696" s="80"/>
      <c r="AI4696" s="80"/>
    </row>
    <row r="4697" spans="5:35" x14ac:dyDescent="0.25">
      <c r="E4697" s="16"/>
      <c r="F4697" s="16"/>
      <c r="H4697" s="16"/>
      <c r="AG4697" s="80"/>
      <c r="AH4697" s="80"/>
      <c r="AI4697" s="80"/>
    </row>
    <row r="4698" spans="5:35" x14ac:dyDescent="0.25">
      <c r="E4698" s="16"/>
      <c r="F4698" s="16"/>
      <c r="H4698" s="16"/>
      <c r="AG4698" s="80"/>
      <c r="AH4698" s="80"/>
      <c r="AI4698" s="80"/>
    </row>
    <row r="4699" spans="5:35" x14ac:dyDescent="0.25">
      <c r="E4699" s="16"/>
      <c r="F4699" s="16"/>
      <c r="H4699" s="16"/>
      <c r="AG4699" s="80"/>
      <c r="AH4699" s="80"/>
      <c r="AI4699" s="80"/>
    </row>
    <row r="4700" spans="5:35" x14ac:dyDescent="0.25">
      <c r="E4700" s="16"/>
      <c r="F4700" s="16"/>
      <c r="H4700" s="16"/>
      <c r="AG4700" s="80"/>
      <c r="AH4700" s="80"/>
      <c r="AI4700" s="80"/>
    </row>
    <row r="4701" spans="5:35" x14ac:dyDescent="0.25">
      <c r="E4701" s="16"/>
      <c r="F4701" s="16"/>
      <c r="H4701" s="16"/>
      <c r="AG4701" s="80"/>
      <c r="AH4701" s="80"/>
      <c r="AI4701" s="80"/>
    </row>
    <row r="4702" spans="5:35" x14ac:dyDescent="0.25">
      <c r="E4702" s="16"/>
      <c r="F4702" s="16"/>
      <c r="H4702" s="16"/>
      <c r="AG4702" s="80"/>
      <c r="AH4702" s="80"/>
      <c r="AI4702" s="80"/>
    </row>
    <row r="4703" spans="5:35" x14ac:dyDescent="0.25">
      <c r="E4703" s="16"/>
      <c r="F4703" s="16"/>
      <c r="H4703" s="16"/>
      <c r="AG4703" s="80"/>
      <c r="AH4703" s="80"/>
      <c r="AI4703" s="80"/>
    </row>
    <row r="4704" spans="5:35" x14ac:dyDescent="0.25">
      <c r="E4704" s="16"/>
      <c r="F4704" s="16"/>
      <c r="H4704" s="16"/>
      <c r="AG4704" s="80"/>
      <c r="AH4704" s="80"/>
      <c r="AI4704" s="80"/>
    </row>
    <row r="4705" spans="5:35" x14ac:dyDescent="0.25">
      <c r="E4705" s="16"/>
      <c r="F4705" s="16"/>
      <c r="H4705" s="16"/>
      <c r="AG4705" s="80"/>
      <c r="AH4705" s="80"/>
      <c r="AI4705" s="80"/>
    </row>
    <row r="4706" spans="5:35" x14ac:dyDescent="0.25">
      <c r="E4706" s="16"/>
      <c r="F4706" s="16"/>
      <c r="H4706" s="16"/>
      <c r="AG4706" s="80"/>
      <c r="AH4706" s="80"/>
      <c r="AI4706" s="80"/>
    </row>
    <row r="4707" spans="5:35" x14ac:dyDescent="0.25">
      <c r="E4707" s="16"/>
      <c r="F4707" s="16"/>
      <c r="H4707" s="16"/>
      <c r="AG4707" s="80"/>
      <c r="AH4707" s="80"/>
      <c r="AI4707" s="80"/>
    </row>
    <row r="4708" spans="5:35" x14ac:dyDescent="0.25">
      <c r="E4708" s="16"/>
      <c r="F4708" s="16"/>
      <c r="H4708" s="16"/>
      <c r="AG4708" s="80"/>
      <c r="AH4708" s="80"/>
      <c r="AI4708" s="80"/>
    </row>
    <row r="4709" spans="5:35" x14ac:dyDescent="0.25">
      <c r="E4709" s="16"/>
      <c r="F4709" s="16"/>
      <c r="H4709" s="16"/>
      <c r="AG4709" s="80"/>
      <c r="AH4709" s="80"/>
      <c r="AI4709" s="80"/>
    </row>
    <row r="4710" spans="5:35" x14ac:dyDescent="0.25">
      <c r="E4710" s="16"/>
      <c r="F4710" s="16"/>
      <c r="H4710" s="16"/>
      <c r="AG4710" s="80"/>
      <c r="AH4710" s="80"/>
      <c r="AI4710" s="80"/>
    </row>
    <row r="4711" spans="5:35" x14ac:dyDescent="0.25">
      <c r="E4711" s="16"/>
      <c r="F4711" s="16"/>
      <c r="H4711" s="16"/>
      <c r="AG4711" s="80"/>
      <c r="AH4711" s="80"/>
      <c r="AI4711" s="80"/>
    </row>
    <row r="4712" spans="5:35" x14ac:dyDescent="0.25">
      <c r="E4712" s="16"/>
      <c r="F4712" s="16"/>
      <c r="H4712" s="16"/>
      <c r="AG4712" s="80"/>
      <c r="AH4712" s="80"/>
      <c r="AI4712" s="80"/>
    </row>
    <row r="4713" spans="5:35" x14ac:dyDescent="0.25">
      <c r="E4713" s="16"/>
      <c r="F4713" s="16"/>
      <c r="H4713" s="16"/>
      <c r="AG4713" s="80"/>
      <c r="AH4713" s="80"/>
      <c r="AI4713" s="80"/>
    </row>
    <row r="4714" spans="5:35" x14ac:dyDescent="0.25">
      <c r="E4714" s="16"/>
      <c r="F4714" s="16"/>
      <c r="H4714" s="16"/>
      <c r="AG4714" s="80"/>
      <c r="AH4714" s="80"/>
      <c r="AI4714" s="80"/>
    </row>
    <row r="4715" spans="5:35" x14ac:dyDescent="0.25">
      <c r="E4715" s="16"/>
      <c r="F4715" s="16"/>
      <c r="H4715" s="16"/>
      <c r="AG4715" s="80"/>
      <c r="AH4715" s="80"/>
      <c r="AI4715" s="80"/>
    </row>
    <row r="4716" spans="5:35" x14ac:dyDescent="0.25">
      <c r="E4716" s="16"/>
      <c r="F4716" s="16"/>
      <c r="H4716" s="16"/>
      <c r="AG4716" s="80"/>
      <c r="AH4716" s="80"/>
      <c r="AI4716" s="80"/>
    </row>
    <row r="4717" spans="5:35" x14ac:dyDescent="0.25">
      <c r="E4717" s="16"/>
      <c r="F4717" s="16"/>
      <c r="H4717" s="16"/>
      <c r="AG4717" s="80"/>
      <c r="AH4717" s="80"/>
      <c r="AI4717" s="80"/>
    </row>
    <row r="4718" spans="5:35" x14ac:dyDescent="0.25">
      <c r="E4718" s="16"/>
      <c r="F4718" s="16"/>
      <c r="H4718" s="16"/>
      <c r="AG4718" s="80"/>
      <c r="AH4718" s="80"/>
      <c r="AI4718" s="80"/>
    </row>
    <row r="4719" spans="5:35" x14ac:dyDescent="0.25">
      <c r="E4719" s="16"/>
      <c r="F4719" s="16"/>
      <c r="H4719" s="16"/>
      <c r="AG4719" s="80"/>
      <c r="AH4719" s="80"/>
      <c r="AI4719" s="80"/>
    </row>
    <row r="4720" spans="5:35" x14ac:dyDescent="0.25">
      <c r="E4720" s="16"/>
      <c r="F4720" s="16"/>
      <c r="H4720" s="16"/>
      <c r="AG4720" s="80"/>
      <c r="AH4720" s="80"/>
      <c r="AI4720" s="80"/>
    </row>
    <row r="4721" spans="5:35" x14ac:dyDescent="0.25">
      <c r="E4721" s="16"/>
      <c r="F4721" s="16"/>
      <c r="H4721" s="16"/>
      <c r="AG4721" s="80"/>
      <c r="AH4721" s="80"/>
      <c r="AI4721" s="80"/>
    </row>
    <row r="4722" spans="5:35" x14ac:dyDescent="0.25">
      <c r="E4722" s="16"/>
      <c r="F4722" s="16"/>
      <c r="H4722" s="16"/>
      <c r="AG4722" s="80"/>
      <c r="AH4722" s="80"/>
      <c r="AI4722" s="80"/>
    </row>
    <row r="4723" spans="5:35" x14ac:dyDescent="0.25">
      <c r="E4723" s="16"/>
      <c r="F4723" s="16"/>
      <c r="H4723" s="16"/>
      <c r="AG4723" s="80"/>
      <c r="AH4723" s="80"/>
      <c r="AI4723" s="80"/>
    </row>
    <row r="4724" spans="5:35" x14ac:dyDescent="0.25">
      <c r="E4724" s="16"/>
      <c r="F4724" s="16"/>
      <c r="H4724" s="16"/>
      <c r="AG4724" s="80"/>
      <c r="AH4724" s="80"/>
      <c r="AI4724" s="80"/>
    </row>
    <row r="4725" spans="5:35" x14ac:dyDescent="0.25">
      <c r="E4725" s="16"/>
      <c r="F4725" s="16"/>
      <c r="H4725" s="16"/>
      <c r="AG4725" s="80"/>
      <c r="AH4725" s="80"/>
      <c r="AI4725" s="80"/>
    </row>
    <row r="4726" spans="5:35" x14ac:dyDescent="0.25">
      <c r="E4726" s="16"/>
      <c r="F4726" s="16"/>
      <c r="H4726" s="16"/>
      <c r="AG4726" s="80"/>
      <c r="AH4726" s="80"/>
      <c r="AI4726" s="80"/>
    </row>
    <row r="4727" spans="5:35" x14ac:dyDescent="0.25">
      <c r="E4727" s="16"/>
      <c r="F4727" s="16"/>
      <c r="H4727" s="16"/>
      <c r="AG4727" s="80"/>
      <c r="AH4727" s="80"/>
      <c r="AI4727" s="80"/>
    </row>
    <row r="4728" spans="5:35" x14ac:dyDescent="0.25">
      <c r="E4728" s="16"/>
      <c r="F4728" s="16"/>
      <c r="H4728" s="16"/>
      <c r="AG4728" s="80"/>
      <c r="AH4728" s="80"/>
      <c r="AI4728" s="80"/>
    </row>
    <row r="4729" spans="5:35" x14ac:dyDescent="0.25">
      <c r="E4729" s="16"/>
      <c r="F4729" s="16"/>
      <c r="H4729" s="16"/>
      <c r="AG4729" s="80"/>
      <c r="AH4729" s="80"/>
      <c r="AI4729" s="80"/>
    </row>
    <row r="4730" spans="5:35" x14ac:dyDescent="0.25">
      <c r="E4730" s="16"/>
      <c r="F4730" s="16"/>
      <c r="H4730" s="16"/>
      <c r="AG4730" s="80"/>
      <c r="AH4730" s="80"/>
      <c r="AI4730" s="80"/>
    </row>
    <row r="4731" spans="5:35" x14ac:dyDescent="0.25">
      <c r="E4731" s="16"/>
      <c r="F4731" s="16"/>
      <c r="H4731" s="16"/>
      <c r="AG4731" s="80"/>
      <c r="AH4731" s="80"/>
      <c r="AI4731" s="80"/>
    </row>
    <row r="4732" spans="5:35" x14ac:dyDescent="0.25">
      <c r="E4732" s="16"/>
      <c r="F4732" s="16"/>
      <c r="H4732" s="16"/>
      <c r="AG4732" s="80"/>
      <c r="AH4732" s="80"/>
      <c r="AI4732" s="80"/>
    </row>
    <row r="4733" spans="5:35" x14ac:dyDescent="0.25">
      <c r="E4733" s="16"/>
      <c r="F4733" s="16"/>
      <c r="H4733" s="16"/>
      <c r="AG4733" s="80"/>
      <c r="AH4733" s="80"/>
      <c r="AI4733" s="80"/>
    </row>
    <row r="4734" spans="5:35" x14ac:dyDescent="0.25">
      <c r="E4734" s="16"/>
      <c r="F4734" s="16"/>
      <c r="H4734" s="16"/>
      <c r="AG4734" s="80"/>
      <c r="AH4734" s="80"/>
      <c r="AI4734" s="80"/>
    </row>
    <row r="4735" spans="5:35" x14ac:dyDescent="0.25">
      <c r="E4735" s="16"/>
      <c r="F4735" s="16"/>
      <c r="H4735" s="16"/>
      <c r="AG4735" s="80"/>
      <c r="AH4735" s="80"/>
      <c r="AI4735" s="80"/>
    </row>
    <row r="4736" spans="5:35" x14ac:dyDescent="0.25">
      <c r="E4736" s="16"/>
      <c r="F4736" s="16"/>
      <c r="H4736" s="16"/>
      <c r="AG4736" s="80"/>
      <c r="AH4736" s="80"/>
      <c r="AI4736" s="80"/>
    </row>
    <row r="4737" spans="5:35" x14ac:dyDescent="0.25">
      <c r="E4737" s="16"/>
      <c r="F4737" s="16"/>
      <c r="H4737" s="16"/>
      <c r="AG4737" s="80"/>
      <c r="AH4737" s="80"/>
      <c r="AI4737" s="80"/>
    </row>
    <row r="4738" spans="5:35" x14ac:dyDescent="0.25">
      <c r="E4738" s="16"/>
      <c r="F4738" s="16"/>
      <c r="H4738" s="16"/>
      <c r="AG4738" s="80"/>
      <c r="AH4738" s="80"/>
      <c r="AI4738" s="80"/>
    </row>
    <row r="4739" spans="5:35" x14ac:dyDescent="0.25">
      <c r="E4739" s="16"/>
      <c r="F4739" s="16"/>
      <c r="H4739" s="16"/>
      <c r="AG4739" s="80"/>
      <c r="AH4739" s="80"/>
      <c r="AI4739" s="80"/>
    </row>
    <row r="4740" spans="5:35" x14ac:dyDescent="0.25">
      <c r="E4740" s="16"/>
      <c r="F4740" s="16"/>
      <c r="H4740" s="16"/>
      <c r="AG4740" s="80"/>
      <c r="AH4740" s="80"/>
      <c r="AI4740" s="80"/>
    </row>
    <row r="4741" spans="5:35" x14ac:dyDescent="0.25">
      <c r="E4741" s="16"/>
      <c r="F4741" s="16"/>
      <c r="H4741" s="16"/>
      <c r="AG4741" s="80"/>
      <c r="AH4741" s="80"/>
      <c r="AI4741" s="80"/>
    </row>
    <row r="4742" spans="5:35" x14ac:dyDescent="0.25">
      <c r="E4742" s="16"/>
      <c r="F4742" s="16"/>
      <c r="H4742" s="16"/>
      <c r="AG4742" s="80"/>
      <c r="AH4742" s="80"/>
      <c r="AI4742" s="80"/>
    </row>
    <row r="4743" spans="5:35" x14ac:dyDescent="0.25">
      <c r="E4743" s="16"/>
      <c r="F4743" s="16"/>
      <c r="H4743" s="16"/>
      <c r="AG4743" s="80"/>
      <c r="AH4743" s="80"/>
      <c r="AI4743" s="80"/>
    </row>
    <row r="4744" spans="5:35" x14ac:dyDescent="0.25">
      <c r="E4744" s="16"/>
      <c r="F4744" s="16"/>
      <c r="H4744" s="16"/>
      <c r="AG4744" s="80"/>
      <c r="AH4744" s="80"/>
      <c r="AI4744" s="80"/>
    </row>
    <row r="4745" spans="5:35" x14ac:dyDescent="0.25">
      <c r="E4745" s="16"/>
      <c r="F4745" s="16"/>
      <c r="H4745" s="16"/>
      <c r="AG4745" s="80"/>
      <c r="AH4745" s="80"/>
      <c r="AI4745" s="80"/>
    </row>
    <row r="4746" spans="5:35" x14ac:dyDescent="0.25">
      <c r="E4746" s="16"/>
      <c r="F4746" s="16"/>
      <c r="H4746" s="16"/>
      <c r="AG4746" s="80"/>
      <c r="AH4746" s="80"/>
      <c r="AI4746" s="80"/>
    </row>
    <row r="4747" spans="5:35" x14ac:dyDescent="0.25">
      <c r="E4747" s="16"/>
      <c r="F4747" s="16"/>
      <c r="H4747" s="16"/>
      <c r="AG4747" s="80"/>
      <c r="AH4747" s="80"/>
      <c r="AI4747" s="80"/>
    </row>
    <row r="4748" spans="5:35" x14ac:dyDescent="0.25">
      <c r="E4748" s="16"/>
      <c r="F4748" s="16"/>
      <c r="H4748" s="16"/>
      <c r="AG4748" s="80"/>
      <c r="AH4748" s="80"/>
      <c r="AI4748" s="80"/>
    </row>
    <row r="4749" spans="5:35" x14ac:dyDescent="0.25">
      <c r="E4749" s="16"/>
      <c r="F4749" s="16"/>
      <c r="H4749" s="16"/>
      <c r="AG4749" s="80"/>
      <c r="AH4749" s="80"/>
      <c r="AI4749" s="80"/>
    </row>
    <row r="4750" spans="5:35" x14ac:dyDescent="0.25">
      <c r="E4750" s="16"/>
      <c r="F4750" s="16"/>
      <c r="H4750" s="16"/>
      <c r="AG4750" s="80"/>
      <c r="AH4750" s="80"/>
      <c r="AI4750" s="80"/>
    </row>
    <row r="4751" spans="5:35" x14ac:dyDescent="0.25">
      <c r="E4751" s="16"/>
      <c r="F4751" s="16"/>
      <c r="H4751" s="16"/>
      <c r="AG4751" s="80"/>
      <c r="AH4751" s="80"/>
      <c r="AI4751" s="80"/>
    </row>
    <row r="4752" spans="5:35" x14ac:dyDescent="0.25">
      <c r="E4752" s="16"/>
      <c r="F4752" s="16"/>
      <c r="H4752" s="16"/>
      <c r="AG4752" s="80"/>
      <c r="AH4752" s="80"/>
      <c r="AI4752" s="80"/>
    </row>
    <row r="4753" spans="5:35" x14ac:dyDescent="0.25">
      <c r="E4753" s="16"/>
      <c r="F4753" s="16"/>
      <c r="H4753" s="16"/>
      <c r="AG4753" s="80"/>
      <c r="AH4753" s="80"/>
      <c r="AI4753" s="80"/>
    </row>
    <row r="4754" spans="5:35" x14ac:dyDescent="0.25">
      <c r="E4754" s="16"/>
      <c r="F4754" s="16"/>
      <c r="H4754" s="16"/>
      <c r="AG4754" s="80"/>
      <c r="AH4754" s="80"/>
      <c r="AI4754" s="80"/>
    </row>
    <row r="4755" spans="5:35" x14ac:dyDescent="0.25">
      <c r="E4755" s="16"/>
      <c r="F4755" s="16"/>
      <c r="H4755" s="16"/>
      <c r="AG4755" s="80"/>
      <c r="AH4755" s="80"/>
      <c r="AI4755" s="80"/>
    </row>
    <row r="4756" spans="5:35" x14ac:dyDescent="0.25">
      <c r="E4756" s="16"/>
      <c r="F4756" s="16"/>
      <c r="H4756" s="16"/>
      <c r="AG4756" s="80"/>
      <c r="AH4756" s="80"/>
      <c r="AI4756" s="80"/>
    </row>
    <row r="4757" spans="5:35" x14ac:dyDescent="0.25">
      <c r="E4757" s="16"/>
      <c r="F4757" s="16"/>
      <c r="H4757" s="16"/>
      <c r="AG4757" s="80"/>
      <c r="AH4757" s="80"/>
      <c r="AI4757" s="80"/>
    </row>
    <row r="4758" spans="5:35" x14ac:dyDescent="0.25">
      <c r="E4758" s="16"/>
      <c r="F4758" s="16"/>
      <c r="H4758" s="16"/>
      <c r="AG4758" s="80"/>
      <c r="AH4758" s="80"/>
      <c r="AI4758" s="80"/>
    </row>
    <row r="4759" spans="5:35" x14ac:dyDescent="0.25">
      <c r="E4759" s="16"/>
      <c r="F4759" s="16"/>
      <c r="H4759" s="16"/>
      <c r="AG4759" s="80"/>
      <c r="AH4759" s="80"/>
      <c r="AI4759" s="80"/>
    </row>
    <row r="4760" spans="5:35" x14ac:dyDescent="0.25">
      <c r="E4760" s="16"/>
      <c r="F4760" s="16"/>
      <c r="H4760" s="16"/>
      <c r="AG4760" s="80"/>
      <c r="AH4760" s="80"/>
      <c r="AI4760" s="80"/>
    </row>
    <row r="4761" spans="5:35" x14ac:dyDescent="0.25">
      <c r="E4761" s="16"/>
      <c r="F4761" s="16"/>
      <c r="H4761" s="16"/>
      <c r="AG4761" s="80"/>
      <c r="AH4761" s="80"/>
      <c r="AI4761" s="80"/>
    </row>
    <row r="4762" spans="5:35" x14ac:dyDescent="0.25">
      <c r="E4762" s="16"/>
      <c r="F4762" s="16"/>
      <c r="H4762" s="16"/>
      <c r="AG4762" s="80"/>
      <c r="AH4762" s="80"/>
      <c r="AI4762" s="80"/>
    </row>
    <row r="4763" spans="5:35" x14ac:dyDescent="0.25">
      <c r="E4763" s="16"/>
      <c r="F4763" s="16"/>
      <c r="H4763" s="16"/>
      <c r="AG4763" s="80"/>
      <c r="AH4763" s="80"/>
      <c r="AI4763" s="80"/>
    </row>
    <row r="4764" spans="5:35" x14ac:dyDescent="0.25">
      <c r="E4764" s="16"/>
      <c r="F4764" s="16"/>
      <c r="H4764" s="16"/>
      <c r="AG4764" s="80"/>
      <c r="AH4764" s="80"/>
      <c r="AI4764" s="80"/>
    </row>
    <row r="4765" spans="5:35" x14ac:dyDescent="0.25">
      <c r="E4765" s="16"/>
      <c r="F4765" s="16"/>
      <c r="H4765" s="16"/>
      <c r="AG4765" s="80"/>
      <c r="AH4765" s="80"/>
      <c r="AI4765" s="80"/>
    </row>
    <row r="4766" spans="5:35" x14ac:dyDescent="0.25">
      <c r="E4766" s="16"/>
      <c r="F4766" s="16"/>
      <c r="H4766" s="16"/>
      <c r="AG4766" s="80"/>
      <c r="AH4766" s="80"/>
      <c r="AI4766" s="80"/>
    </row>
    <row r="4767" spans="5:35" x14ac:dyDescent="0.25">
      <c r="E4767" s="16"/>
      <c r="F4767" s="16"/>
      <c r="H4767" s="16"/>
      <c r="AG4767" s="80"/>
      <c r="AH4767" s="80"/>
      <c r="AI4767" s="80"/>
    </row>
    <row r="4768" spans="5:35" x14ac:dyDescent="0.25">
      <c r="E4768" s="16"/>
      <c r="F4768" s="16"/>
      <c r="H4768" s="16"/>
      <c r="AG4768" s="80"/>
      <c r="AH4768" s="80"/>
      <c r="AI4768" s="80"/>
    </row>
    <row r="4769" spans="5:35" x14ac:dyDescent="0.25">
      <c r="E4769" s="16"/>
      <c r="F4769" s="16"/>
      <c r="H4769" s="16"/>
      <c r="AG4769" s="80"/>
      <c r="AH4769" s="80"/>
      <c r="AI4769" s="80"/>
    </row>
    <row r="4770" spans="5:35" x14ac:dyDescent="0.25">
      <c r="E4770" s="16"/>
      <c r="F4770" s="16"/>
      <c r="H4770" s="16"/>
      <c r="AG4770" s="80"/>
      <c r="AH4770" s="80"/>
      <c r="AI4770" s="80"/>
    </row>
    <row r="4771" spans="5:35" x14ac:dyDescent="0.25">
      <c r="E4771" s="16"/>
      <c r="F4771" s="16"/>
      <c r="H4771" s="16"/>
      <c r="AG4771" s="80"/>
      <c r="AH4771" s="80"/>
      <c r="AI4771" s="80"/>
    </row>
    <row r="4772" spans="5:35" x14ac:dyDescent="0.25">
      <c r="E4772" s="16"/>
      <c r="F4772" s="16"/>
      <c r="H4772" s="16"/>
      <c r="AG4772" s="80"/>
      <c r="AH4772" s="80"/>
      <c r="AI4772" s="80"/>
    </row>
    <row r="4773" spans="5:35" x14ac:dyDescent="0.25">
      <c r="E4773" s="16"/>
      <c r="F4773" s="16"/>
      <c r="H4773" s="16"/>
      <c r="AG4773" s="80"/>
      <c r="AH4773" s="80"/>
      <c r="AI4773" s="80"/>
    </row>
    <row r="4774" spans="5:35" x14ac:dyDescent="0.25">
      <c r="E4774" s="16"/>
      <c r="F4774" s="16"/>
      <c r="H4774" s="16"/>
      <c r="AG4774" s="80"/>
      <c r="AH4774" s="80"/>
      <c r="AI4774" s="80"/>
    </row>
    <row r="4775" spans="5:35" x14ac:dyDescent="0.25">
      <c r="E4775" s="16"/>
      <c r="F4775" s="16"/>
      <c r="H4775" s="16"/>
      <c r="AG4775" s="80"/>
      <c r="AH4775" s="80"/>
      <c r="AI4775" s="80"/>
    </row>
    <row r="4776" spans="5:35" x14ac:dyDescent="0.25">
      <c r="E4776" s="16"/>
      <c r="F4776" s="16"/>
      <c r="H4776" s="16"/>
      <c r="AG4776" s="80"/>
      <c r="AH4776" s="80"/>
      <c r="AI4776" s="80"/>
    </row>
    <row r="4777" spans="5:35" x14ac:dyDescent="0.25">
      <c r="E4777" s="16"/>
      <c r="F4777" s="16"/>
      <c r="H4777" s="16"/>
      <c r="AG4777" s="80"/>
      <c r="AH4777" s="80"/>
      <c r="AI4777" s="80"/>
    </row>
    <row r="4778" spans="5:35" x14ac:dyDescent="0.25">
      <c r="E4778" s="16"/>
      <c r="F4778" s="16"/>
      <c r="H4778" s="16"/>
      <c r="AG4778" s="80"/>
      <c r="AH4778" s="80"/>
      <c r="AI4778" s="80"/>
    </row>
    <row r="4779" spans="5:35" x14ac:dyDescent="0.25">
      <c r="E4779" s="16"/>
      <c r="F4779" s="16"/>
      <c r="H4779" s="16"/>
      <c r="AG4779" s="80"/>
      <c r="AH4779" s="80"/>
      <c r="AI4779" s="80"/>
    </row>
    <row r="4780" spans="5:35" x14ac:dyDescent="0.25">
      <c r="E4780" s="16"/>
      <c r="F4780" s="16"/>
      <c r="H4780" s="16"/>
      <c r="AG4780" s="80"/>
      <c r="AH4780" s="80"/>
      <c r="AI4780" s="80"/>
    </row>
    <row r="4781" spans="5:35" x14ac:dyDescent="0.25">
      <c r="E4781" s="16"/>
      <c r="F4781" s="16"/>
      <c r="H4781" s="16"/>
      <c r="AG4781" s="80"/>
      <c r="AH4781" s="80"/>
      <c r="AI4781" s="80"/>
    </row>
    <row r="4782" spans="5:35" x14ac:dyDescent="0.25">
      <c r="E4782" s="16"/>
      <c r="F4782" s="16"/>
      <c r="H4782" s="16"/>
      <c r="AG4782" s="80"/>
      <c r="AH4782" s="80"/>
      <c r="AI4782" s="80"/>
    </row>
    <row r="4783" spans="5:35" x14ac:dyDescent="0.25">
      <c r="E4783" s="16"/>
      <c r="F4783" s="16"/>
      <c r="H4783" s="16"/>
      <c r="AG4783" s="80"/>
      <c r="AH4783" s="80"/>
      <c r="AI4783" s="80"/>
    </row>
    <row r="4784" spans="5:35" x14ac:dyDescent="0.25">
      <c r="E4784" s="16"/>
      <c r="F4784" s="16"/>
      <c r="H4784" s="16"/>
      <c r="AG4784" s="80"/>
      <c r="AH4784" s="80"/>
      <c r="AI4784" s="80"/>
    </row>
    <row r="4785" spans="5:35" x14ac:dyDescent="0.25">
      <c r="E4785" s="16"/>
      <c r="F4785" s="16"/>
      <c r="H4785" s="16"/>
      <c r="AG4785" s="80"/>
      <c r="AH4785" s="80"/>
      <c r="AI4785" s="80"/>
    </row>
    <row r="4786" spans="5:35" x14ac:dyDescent="0.25">
      <c r="E4786" s="16"/>
      <c r="F4786" s="16"/>
      <c r="H4786" s="16"/>
      <c r="AG4786" s="80"/>
      <c r="AH4786" s="80"/>
      <c r="AI4786" s="80"/>
    </row>
    <row r="4787" spans="5:35" x14ac:dyDescent="0.25">
      <c r="E4787" s="16"/>
      <c r="F4787" s="16"/>
      <c r="H4787" s="16"/>
      <c r="AG4787" s="80"/>
      <c r="AH4787" s="80"/>
      <c r="AI4787" s="80"/>
    </row>
    <row r="4788" spans="5:35" x14ac:dyDescent="0.25">
      <c r="E4788" s="16"/>
      <c r="F4788" s="16"/>
      <c r="H4788" s="16"/>
      <c r="AG4788" s="80"/>
      <c r="AH4788" s="80"/>
      <c r="AI4788" s="80"/>
    </row>
    <row r="4789" spans="5:35" x14ac:dyDescent="0.25">
      <c r="E4789" s="16"/>
      <c r="F4789" s="16"/>
      <c r="H4789" s="16"/>
      <c r="AG4789" s="80"/>
      <c r="AH4789" s="80"/>
      <c r="AI4789" s="80"/>
    </row>
    <row r="4790" spans="5:35" x14ac:dyDescent="0.25">
      <c r="E4790" s="16"/>
      <c r="F4790" s="16"/>
      <c r="H4790" s="16"/>
      <c r="AG4790" s="80"/>
      <c r="AH4790" s="80"/>
      <c r="AI4790" s="80"/>
    </row>
    <row r="4791" spans="5:35" x14ac:dyDescent="0.25">
      <c r="E4791" s="16"/>
      <c r="F4791" s="16"/>
      <c r="H4791" s="16"/>
      <c r="AG4791" s="80"/>
      <c r="AH4791" s="80"/>
      <c r="AI4791" s="80"/>
    </row>
    <row r="4792" spans="5:35" x14ac:dyDescent="0.25">
      <c r="E4792" s="16"/>
      <c r="F4792" s="16"/>
      <c r="H4792" s="16"/>
      <c r="AG4792" s="80"/>
      <c r="AH4792" s="80"/>
      <c r="AI4792" s="80"/>
    </row>
    <row r="4793" spans="5:35" x14ac:dyDescent="0.25">
      <c r="E4793" s="16"/>
      <c r="F4793" s="16"/>
      <c r="H4793" s="16"/>
      <c r="AG4793" s="80"/>
      <c r="AH4793" s="80"/>
      <c r="AI4793" s="80"/>
    </row>
    <row r="4794" spans="5:35" x14ac:dyDescent="0.25">
      <c r="E4794" s="16"/>
      <c r="F4794" s="16"/>
      <c r="H4794" s="16"/>
      <c r="AG4794" s="80"/>
      <c r="AH4794" s="80"/>
      <c r="AI4794" s="80"/>
    </row>
    <row r="4795" spans="5:35" x14ac:dyDescent="0.25">
      <c r="E4795" s="16"/>
      <c r="F4795" s="16"/>
      <c r="H4795" s="16"/>
      <c r="AG4795" s="80"/>
      <c r="AH4795" s="80"/>
      <c r="AI4795" s="80"/>
    </row>
    <row r="4796" spans="5:35" x14ac:dyDescent="0.25">
      <c r="E4796" s="16"/>
      <c r="F4796" s="16"/>
      <c r="H4796" s="16"/>
      <c r="AG4796" s="80"/>
      <c r="AH4796" s="80"/>
      <c r="AI4796" s="80"/>
    </row>
    <row r="4797" spans="5:35" x14ac:dyDescent="0.25">
      <c r="E4797" s="16"/>
      <c r="F4797" s="16"/>
      <c r="H4797" s="16"/>
      <c r="AG4797" s="80"/>
      <c r="AH4797" s="80"/>
      <c r="AI4797" s="80"/>
    </row>
    <row r="4798" spans="5:35" x14ac:dyDescent="0.25">
      <c r="E4798" s="16"/>
      <c r="F4798" s="16"/>
      <c r="H4798" s="16"/>
      <c r="AG4798" s="80"/>
      <c r="AH4798" s="80"/>
      <c r="AI4798" s="80"/>
    </row>
    <row r="4799" spans="5:35" x14ac:dyDescent="0.25">
      <c r="E4799" s="16"/>
      <c r="F4799" s="16"/>
      <c r="H4799" s="16"/>
      <c r="AG4799" s="80"/>
      <c r="AH4799" s="80"/>
      <c r="AI4799" s="80"/>
    </row>
    <row r="4800" spans="5:35" x14ac:dyDescent="0.25">
      <c r="E4800" s="16"/>
      <c r="F4800" s="16"/>
      <c r="H4800" s="16"/>
      <c r="AG4800" s="80"/>
      <c r="AH4800" s="80"/>
      <c r="AI4800" s="80"/>
    </row>
    <row r="4801" spans="5:35" x14ac:dyDescent="0.25">
      <c r="E4801" s="16"/>
      <c r="F4801" s="16"/>
      <c r="H4801" s="16"/>
      <c r="AG4801" s="80"/>
      <c r="AH4801" s="80"/>
      <c r="AI4801" s="80"/>
    </row>
    <row r="4802" spans="5:35" x14ac:dyDescent="0.25">
      <c r="E4802" s="16"/>
      <c r="F4802" s="16"/>
      <c r="H4802" s="16"/>
      <c r="AG4802" s="80"/>
      <c r="AH4802" s="80"/>
      <c r="AI4802" s="80"/>
    </row>
    <row r="4803" spans="5:35" x14ac:dyDescent="0.25">
      <c r="E4803" s="16"/>
      <c r="F4803" s="16"/>
      <c r="H4803" s="16"/>
      <c r="AG4803" s="80"/>
      <c r="AH4803" s="80"/>
      <c r="AI4803" s="80"/>
    </row>
    <row r="4804" spans="5:35" x14ac:dyDescent="0.25">
      <c r="E4804" s="16"/>
      <c r="F4804" s="16"/>
      <c r="H4804" s="16"/>
      <c r="AG4804" s="80"/>
      <c r="AH4804" s="80"/>
      <c r="AI4804" s="80"/>
    </row>
    <row r="4805" spans="5:35" x14ac:dyDescent="0.25">
      <c r="E4805" s="16"/>
      <c r="F4805" s="16"/>
      <c r="H4805" s="16"/>
      <c r="AG4805" s="80"/>
      <c r="AH4805" s="80"/>
      <c r="AI4805" s="80"/>
    </row>
    <row r="4806" spans="5:35" x14ac:dyDescent="0.25">
      <c r="E4806" s="16"/>
      <c r="F4806" s="16"/>
      <c r="H4806" s="16"/>
      <c r="AG4806" s="80"/>
      <c r="AH4806" s="80"/>
      <c r="AI4806" s="80"/>
    </row>
    <row r="4807" spans="5:35" x14ac:dyDescent="0.25">
      <c r="E4807" s="16"/>
      <c r="F4807" s="16"/>
      <c r="H4807" s="16"/>
      <c r="AG4807" s="80"/>
      <c r="AH4807" s="80"/>
      <c r="AI4807" s="80"/>
    </row>
    <row r="4808" spans="5:35" x14ac:dyDescent="0.25">
      <c r="E4808" s="16"/>
      <c r="F4808" s="16"/>
      <c r="H4808" s="16"/>
      <c r="AG4808" s="80"/>
      <c r="AH4808" s="80"/>
      <c r="AI4808" s="80"/>
    </row>
    <row r="4809" spans="5:35" x14ac:dyDescent="0.25">
      <c r="E4809" s="16"/>
      <c r="F4809" s="16"/>
      <c r="H4809" s="16"/>
      <c r="AG4809" s="80"/>
      <c r="AH4809" s="80"/>
      <c r="AI4809" s="80"/>
    </row>
    <row r="4810" spans="5:35" x14ac:dyDescent="0.25">
      <c r="E4810" s="16"/>
      <c r="F4810" s="16"/>
      <c r="H4810" s="16"/>
      <c r="AG4810" s="80"/>
      <c r="AH4810" s="80"/>
      <c r="AI4810" s="80"/>
    </row>
    <row r="4811" spans="5:35" x14ac:dyDescent="0.25">
      <c r="E4811" s="16"/>
      <c r="F4811" s="16"/>
      <c r="H4811" s="16"/>
      <c r="AG4811" s="80"/>
      <c r="AH4811" s="80"/>
      <c r="AI4811" s="80"/>
    </row>
    <row r="4812" spans="5:35" x14ac:dyDescent="0.25">
      <c r="E4812" s="16"/>
      <c r="F4812" s="16"/>
      <c r="H4812" s="16"/>
      <c r="AG4812" s="80"/>
      <c r="AH4812" s="80"/>
      <c r="AI4812" s="80"/>
    </row>
    <row r="4813" spans="5:35" x14ac:dyDescent="0.25">
      <c r="E4813" s="16"/>
      <c r="F4813" s="16"/>
      <c r="H4813" s="16"/>
      <c r="AG4813" s="80"/>
      <c r="AH4813" s="80"/>
      <c r="AI4813" s="80"/>
    </row>
    <row r="4814" spans="5:35" x14ac:dyDescent="0.25">
      <c r="E4814" s="16"/>
      <c r="F4814" s="16"/>
      <c r="H4814" s="16"/>
      <c r="AG4814" s="80"/>
      <c r="AH4814" s="80"/>
      <c r="AI4814" s="80"/>
    </row>
    <row r="4815" spans="5:35" x14ac:dyDescent="0.25">
      <c r="E4815" s="16"/>
      <c r="F4815" s="16"/>
      <c r="H4815" s="16"/>
      <c r="AG4815" s="80"/>
      <c r="AH4815" s="80"/>
      <c r="AI4815" s="80"/>
    </row>
    <row r="4816" spans="5:35" x14ac:dyDescent="0.25">
      <c r="E4816" s="16"/>
      <c r="F4816" s="16"/>
      <c r="H4816" s="16"/>
      <c r="AG4816" s="80"/>
      <c r="AH4816" s="80"/>
      <c r="AI4816" s="80"/>
    </row>
    <row r="4817" spans="5:35" x14ac:dyDescent="0.25">
      <c r="E4817" s="16"/>
      <c r="F4817" s="16"/>
      <c r="H4817" s="16"/>
      <c r="AG4817" s="80"/>
      <c r="AH4817" s="80"/>
      <c r="AI4817" s="80"/>
    </row>
    <row r="4818" spans="5:35" x14ac:dyDescent="0.25">
      <c r="E4818" s="16"/>
      <c r="F4818" s="16"/>
      <c r="H4818" s="16"/>
      <c r="AG4818" s="80"/>
      <c r="AH4818" s="80"/>
      <c r="AI4818" s="80"/>
    </row>
    <row r="4819" spans="5:35" x14ac:dyDescent="0.25">
      <c r="E4819" s="16"/>
      <c r="F4819" s="16"/>
      <c r="H4819" s="16"/>
      <c r="AG4819" s="80"/>
      <c r="AH4819" s="80"/>
      <c r="AI4819" s="80"/>
    </row>
    <row r="4820" spans="5:35" x14ac:dyDescent="0.25">
      <c r="E4820" s="16"/>
      <c r="F4820" s="16"/>
      <c r="H4820" s="16"/>
      <c r="AG4820" s="80"/>
      <c r="AH4820" s="80"/>
      <c r="AI4820" s="80"/>
    </row>
    <row r="4821" spans="5:35" x14ac:dyDescent="0.25">
      <c r="E4821" s="16"/>
      <c r="F4821" s="16"/>
      <c r="H4821" s="16"/>
      <c r="AG4821" s="80"/>
      <c r="AH4821" s="80"/>
      <c r="AI4821" s="80"/>
    </row>
    <row r="4822" spans="5:35" x14ac:dyDescent="0.25">
      <c r="E4822" s="16"/>
      <c r="F4822" s="16"/>
      <c r="H4822" s="16"/>
      <c r="AG4822" s="80"/>
      <c r="AH4822" s="80"/>
      <c r="AI4822" s="80"/>
    </row>
    <row r="4823" spans="5:35" x14ac:dyDescent="0.25">
      <c r="E4823" s="16"/>
      <c r="F4823" s="16"/>
      <c r="H4823" s="16"/>
      <c r="AG4823" s="80"/>
      <c r="AH4823" s="80"/>
      <c r="AI4823" s="80"/>
    </row>
    <row r="4824" spans="5:35" x14ac:dyDescent="0.25">
      <c r="E4824" s="16"/>
      <c r="F4824" s="16"/>
      <c r="H4824" s="16"/>
      <c r="AG4824" s="80"/>
      <c r="AH4824" s="80"/>
      <c r="AI4824" s="80"/>
    </row>
    <row r="4825" spans="5:35" x14ac:dyDescent="0.25">
      <c r="E4825" s="16"/>
      <c r="F4825" s="16"/>
      <c r="H4825" s="16"/>
      <c r="AG4825" s="80"/>
      <c r="AH4825" s="80"/>
      <c r="AI4825" s="80"/>
    </row>
    <row r="4826" spans="5:35" x14ac:dyDescent="0.25">
      <c r="E4826" s="16"/>
      <c r="F4826" s="16"/>
      <c r="H4826" s="16"/>
      <c r="AG4826" s="80"/>
      <c r="AH4826" s="80"/>
      <c r="AI4826" s="80"/>
    </row>
    <row r="4827" spans="5:35" x14ac:dyDescent="0.25">
      <c r="E4827" s="16"/>
      <c r="F4827" s="16"/>
      <c r="H4827" s="16"/>
      <c r="AG4827" s="80"/>
      <c r="AH4827" s="80"/>
      <c r="AI4827" s="80"/>
    </row>
    <row r="4828" spans="5:35" x14ac:dyDescent="0.25">
      <c r="E4828" s="16"/>
      <c r="F4828" s="16"/>
      <c r="H4828" s="16"/>
      <c r="AG4828" s="80"/>
      <c r="AH4828" s="80"/>
      <c r="AI4828" s="80"/>
    </row>
    <row r="4829" spans="5:35" x14ac:dyDescent="0.25">
      <c r="E4829" s="16"/>
      <c r="F4829" s="16"/>
      <c r="H4829" s="16"/>
      <c r="AG4829" s="80"/>
      <c r="AH4829" s="80"/>
      <c r="AI4829" s="80"/>
    </row>
    <row r="4830" spans="5:35" x14ac:dyDescent="0.25">
      <c r="E4830" s="16"/>
      <c r="F4830" s="16"/>
      <c r="H4830" s="16"/>
      <c r="AG4830" s="80"/>
      <c r="AH4830" s="80"/>
      <c r="AI4830" s="80"/>
    </row>
    <row r="4831" spans="5:35" x14ac:dyDescent="0.25">
      <c r="E4831" s="16"/>
      <c r="F4831" s="16"/>
      <c r="H4831" s="16"/>
      <c r="AG4831" s="80"/>
      <c r="AH4831" s="80"/>
      <c r="AI4831" s="80"/>
    </row>
    <row r="4832" spans="5:35" x14ac:dyDescent="0.25">
      <c r="E4832" s="16"/>
      <c r="F4832" s="16"/>
      <c r="H4832" s="16"/>
      <c r="AG4832" s="80"/>
      <c r="AH4832" s="80"/>
      <c r="AI4832" s="80"/>
    </row>
    <row r="4833" spans="5:35" x14ac:dyDescent="0.25">
      <c r="E4833" s="16"/>
      <c r="F4833" s="16"/>
      <c r="H4833" s="16"/>
      <c r="AG4833" s="80"/>
      <c r="AH4833" s="80"/>
      <c r="AI4833" s="80"/>
    </row>
    <row r="4834" spans="5:35" x14ac:dyDescent="0.25">
      <c r="E4834" s="16"/>
      <c r="F4834" s="16"/>
      <c r="H4834" s="16"/>
      <c r="AG4834" s="80"/>
      <c r="AH4834" s="80"/>
      <c r="AI4834" s="80"/>
    </row>
    <row r="4835" spans="5:35" x14ac:dyDescent="0.25">
      <c r="E4835" s="16"/>
      <c r="F4835" s="16"/>
      <c r="H4835" s="16"/>
      <c r="AG4835" s="80"/>
      <c r="AH4835" s="80"/>
      <c r="AI4835" s="80"/>
    </row>
    <row r="4836" spans="5:35" x14ac:dyDescent="0.25">
      <c r="E4836" s="16"/>
      <c r="F4836" s="16"/>
      <c r="H4836" s="16"/>
      <c r="AG4836" s="80"/>
      <c r="AH4836" s="80"/>
      <c r="AI4836" s="80"/>
    </row>
    <row r="4837" spans="5:35" x14ac:dyDescent="0.25">
      <c r="E4837" s="16"/>
      <c r="F4837" s="16"/>
      <c r="H4837" s="16"/>
      <c r="AG4837" s="80"/>
      <c r="AH4837" s="80"/>
      <c r="AI4837" s="80"/>
    </row>
    <row r="4838" spans="5:35" x14ac:dyDescent="0.25">
      <c r="E4838" s="16"/>
      <c r="F4838" s="16"/>
      <c r="H4838" s="16"/>
      <c r="AG4838" s="80"/>
      <c r="AH4838" s="80"/>
      <c r="AI4838" s="80"/>
    </row>
    <row r="4839" spans="5:35" x14ac:dyDescent="0.25">
      <c r="E4839" s="16"/>
      <c r="F4839" s="16"/>
      <c r="H4839" s="16"/>
      <c r="AG4839" s="80"/>
      <c r="AH4839" s="80"/>
      <c r="AI4839" s="80"/>
    </row>
    <row r="4840" spans="5:35" x14ac:dyDescent="0.25">
      <c r="E4840" s="16"/>
      <c r="F4840" s="16"/>
      <c r="H4840" s="16"/>
      <c r="AG4840" s="80"/>
      <c r="AH4840" s="80"/>
      <c r="AI4840" s="80"/>
    </row>
    <row r="4841" spans="5:35" x14ac:dyDescent="0.25">
      <c r="E4841" s="16"/>
      <c r="F4841" s="16"/>
      <c r="H4841" s="16"/>
      <c r="AG4841" s="80"/>
      <c r="AH4841" s="80"/>
      <c r="AI4841" s="80"/>
    </row>
    <row r="4842" spans="5:35" x14ac:dyDescent="0.25">
      <c r="E4842" s="16"/>
      <c r="F4842" s="16"/>
      <c r="H4842" s="16"/>
      <c r="AG4842" s="80"/>
      <c r="AH4842" s="80"/>
      <c r="AI4842" s="80"/>
    </row>
    <row r="4843" spans="5:35" x14ac:dyDescent="0.25">
      <c r="E4843" s="16"/>
      <c r="F4843" s="16"/>
      <c r="H4843" s="16"/>
      <c r="AG4843" s="80"/>
      <c r="AH4843" s="80"/>
      <c r="AI4843" s="80"/>
    </row>
    <row r="4844" spans="5:35" x14ac:dyDescent="0.25">
      <c r="E4844" s="16"/>
      <c r="F4844" s="16"/>
      <c r="H4844" s="16"/>
      <c r="AG4844" s="80"/>
      <c r="AH4844" s="80"/>
      <c r="AI4844" s="80"/>
    </row>
    <row r="4845" spans="5:35" x14ac:dyDescent="0.25">
      <c r="E4845" s="16"/>
      <c r="F4845" s="16"/>
      <c r="H4845" s="16"/>
      <c r="AG4845" s="80"/>
      <c r="AH4845" s="80"/>
      <c r="AI4845" s="80"/>
    </row>
    <row r="4846" spans="5:35" x14ac:dyDescent="0.25">
      <c r="E4846" s="16"/>
      <c r="F4846" s="16"/>
      <c r="H4846" s="16"/>
      <c r="AG4846" s="80"/>
      <c r="AH4846" s="80"/>
      <c r="AI4846" s="80"/>
    </row>
    <row r="4847" spans="5:35" x14ac:dyDescent="0.25">
      <c r="E4847" s="16"/>
      <c r="F4847" s="16"/>
      <c r="H4847" s="16"/>
      <c r="AG4847" s="80"/>
      <c r="AH4847" s="80"/>
      <c r="AI4847" s="80"/>
    </row>
    <row r="4848" spans="5:35" x14ac:dyDescent="0.25">
      <c r="E4848" s="16"/>
      <c r="F4848" s="16"/>
      <c r="H4848" s="16"/>
      <c r="AG4848" s="80"/>
      <c r="AH4848" s="80"/>
      <c r="AI4848" s="80"/>
    </row>
    <row r="4849" spans="5:35" x14ac:dyDescent="0.25">
      <c r="E4849" s="16"/>
      <c r="F4849" s="16"/>
      <c r="H4849" s="16"/>
      <c r="AG4849" s="80"/>
      <c r="AH4849" s="80"/>
      <c r="AI4849" s="80"/>
    </row>
    <row r="4850" spans="5:35" x14ac:dyDescent="0.25">
      <c r="E4850" s="16"/>
      <c r="F4850" s="16"/>
      <c r="H4850" s="16"/>
      <c r="AG4850" s="80"/>
      <c r="AH4850" s="80"/>
      <c r="AI4850" s="80"/>
    </row>
    <row r="4851" spans="5:35" x14ac:dyDescent="0.25">
      <c r="E4851" s="16"/>
      <c r="F4851" s="16"/>
      <c r="H4851" s="16"/>
      <c r="AG4851" s="80"/>
      <c r="AH4851" s="80"/>
      <c r="AI4851" s="80"/>
    </row>
    <row r="4852" spans="5:35" x14ac:dyDescent="0.25">
      <c r="E4852" s="16"/>
      <c r="F4852" s="16"/>
      <c r="H4852" s="16"/>
      <c r="AG4852" s="80"/>
      <c r="AH4852" s="80"/>
      <c r="AI4852" s="80"/>
    </row>
    <row r="4853" spans="5:35" x14ac:dyDescent="0.25">
      <c r="E4853" s="16"/>
      <c r="F4853" s="16"/>
      <c r="H4853" s="16"/>
      <c r="AG4853" s="80"/>
      <c r="AH4853" s="80"/>
      <c r="AI4853" s="80"/>
    </row>
    <row r="4854" spans="5:35" x14ac:dyDescent="0.25">
      <c r="E4854" s="16"/>
      <c r="F4854" s="16"/>
      <c r="H4854" s="16"/>
      <c r="AG4854" s="80"/>
      <c r="AH4854" s="80"/>
      <c r="AI4854" s="80"/>
    </row>
    <row r="4855" spans="5:35" x14ac:dyDescent="0.25">
      <c r="E4855" s="16"/>
      <c r="F4855" s="16"/>
      <c r="H4855" s="16"/>
      <c r="AG4855" s="80"/>
      <c r="AH4855" s="80"/>
      <c r="AI4855" s="80"/>
    </row>
    <row r="4856" spans="5:35" x14ac:dyDescent="0.25">
      <c r="E4856" s="16"/>
      <c r="F4856" s="16"/>
      <c r="H4856" s="16"/>
      <c r="AG4856" s="80"/>
      <c r="AH4856" s="80"/>
      <c r="AI4856" s="80"/>
    </row>
    <row r="4857" spans="5:35" x14ac:dyDescent="0.25">
      <c r="E4857" s="16"/>
      <c r="F4857" s="16"/>
      <c r="H4857" s="16"/>
      <c r="AG4857" s="80"/>
      <c r="AH4857" s="80"/>
      <c r="AI4857" s="80"/>
    </row>
    <row r="4858" spans="5:35" x14ac:dyDescent="0.25">
      <c r="E4858" s="16"/>
      <c r="F4858" s="16"/>
      <c r="H4858" s="16"/>
      <c r="AG4858" s="80"/>
      <c r="AH4858" s="80"/>
      <c r="AI4858" s="80"/>
    </row>
    <row r="4859" spans="5:35" x14ac:dyDescent="0.25">
      <c r="E4859" s="16"/>
      <c r="F4859" s="16"/>
      <c r="H4859" s="16"/>
      <c r="AG4859" s="80"/>
      <c r="AH4859" s="80"/>
      <c r="AI4859" s="80"/>
    </row>
    <row r="4860" spans="5:35" x14ac:dyDescent="0.25">
      <c r="E4860" s="16"/>
      <c r="F4860" s="16"/>
      <c r="H4860" s="16"/>
      <c r="AG4860" s="80"/>
      <c r="AH4860" s="80"/>
      <c r="AI4860" s="80"/>
    </row>
    <row r="4861" spans="5:35" x14ac:dyDescent="0.25">
      <c r="E4861" s="16"/>
      <c r="F4861" s="16"/>
      <c r="H4861" s="16"/>
      <c r="AG4861" s="80"/>
      <c r="AH4861" s="80"/>
      <c r="AI4861" s="80"/>
    </row>
    <row r="4862" spans="5:35" x14ac:dyDescent="0.25">
      <c r="E4862" s="16"/>
      <c r="F4862" s="16"/>
      <c r="H4862" s="16"/>
      <c r="AG4862" s="80"/>
      <c r="AH4862" s="80"/>
      <c r="AI4862" s="80"/>
    </row>
    <row r="4863" spans="5:35" x14ac:dyDescent="0.25">
      <c r="E4863" s="16"/>
      <c r="F4863" s="16"/>
      <c r="H4863" s="16"/>
      <c r="AG4863" s="80"/>
      <c r="AH4863" s="80"/>
      <c r="AI4863" s="80"/>
    </row>
    <row r="4864" spans="5:35" x14ac:dyDescent="0.25">
      <c r="E4864" s="16"/>
      <c r="F4864" s="16"/>
      <c r="H4864" s="16"/>
      <c r="AG4864" s="80"/>
      <c r="AH4864" s="80"/>
      <c r="AI4864" s="80"/>
    </row>
    <row r="4865" spans="5:35" x14ac:dyDescent="0.25">
      <c r="E4865" s="16"/>
      <c r="F4865" s="16"/>
      <c r="H4865" s="16"/>
      <c r="AG4865" s="80"/>
      <c r="AH4865" s="80"/>
      <c r="AI4865" s="80"/>
    </row>
    <row r="4866" spans="5:35" x14ac:dyDescent="0.25">
      <c r="E4866" s="16"/>
      <c r="F4866" s="16"/>
      <c r="H4866" s="16"/>
      <c r="AG4866" s="80"/>
      <c r="AH4866" s="80"/>
      <c r="AI4866" s="80"/>
    </row>
    <row r="4867" spans="5:35" x14ac:dyDescent="0.25">
      <c r="E4867" s="16"/>
      <c r="F4867" s="16"/>
      <c r="H4867" s="16"/>
      <c r="AG4867" s="80"/>
      <c r="AH4867" s="80"/>
      <c r="AI4867" s="80"/>
    </row>
    <row r="4868" spans="5:35" x14ac:dyDescent="0.25">
      <c r="E4868" s="16"/>
      <c r="F4868" s="16"/>
      <c r="H4868" s="16"/>
      <c r="AG4868" s="80"/>
      <c r="AH4868" s="80"/>
      <c r="AI4868" s="80"/>
    </row>
    <row r="4869" spans="5:35" x14ac:dyDescent="0.25">
      <c r="E4869" s="16"/>
      <c r="F4869" s="16"/>
      <c r="H4869" s="16"/>
      <c r="AG4869" s="80"/>
      <c r="AH4869" s="80"/>
      <c r="AI4869" s="80"/>
    </row>
    <row r="4870" spans="5:35" x14ac:dyDescent="0.25">
      <c r="E4870" s="16"/>
      <c r="F4870" s="16"/>
      <c r="H4870" s="16"/>
      <c r="AG4870" s="80"/>
      <c r="AH4870" s="80"/>
      <c r="AI4870" s="80"/>
    </row>
    <row r="4871" spans="5:35" x14ac:dyDescent="0.25">
      <c r="E4871" s="16"/>
      <c r="F4871" s="16"/>
      <c r="H4871" s="16"/>
      <c r="AG4871" s="80"/>
      <c r="AH4871" s="80"/>
      <c r="AI4871" s="80"/>
    </row>
    <row r="4872" spans="5:35" x14ac:dyDescent="0.25">
      <c r="E4872" s="16"/>
      <c r="F4872" s="16"/>
      <c r="H4872" s="16"/>
      <c r="AG4872" s="80"/>
      <c r="AH4872" s="80"/>
      <c r="AI4872" s="80"/>
    </row>
    <row r="4873" spans="5:35" x14ac:dyDescent="0.25">
      <c r="E4873" s="16"/>
      <c r="F4873" s="16"/>
      <c r="H4873" s="16"/>
      <c r="AG4873" s="80"/>
      <c r="AH4873" s="80"/>
      <c r="AI4873" s="80"/>
    </row>
    <row r="4874" spans="5:35" x14ac:dyDescent="0.25">
      <c r="E4874" s="16"/>
      <c r="F4874" s="16"/>
      <c r="H4874" s="16"/>
      <c r="AG4874" s="80"/>
      <c r="AH4874" s="80"/>
      <c r="AI4874" s="80"/>
    </row>
    <row r="4875" spans="5:35" x14ac:dyDescent="0.25">
      <c r="E4875" s="16"/>
      <c r="F4875" s="16"/>
      <c r="H4875" s="16"/>
      <c r="AG4875" s="80"/>
      <c r="AH4875" s="80"/>
      <c r="AI4875" s="80"/>
    </row>
    <row r="4876" spans="5:35" x14ac:dyDescent="0.25">
      <c r="E4876" s="16"/>
      <c r="F4876" s="16"/>
      <c r="H4876" s="16"/>
      <c r="AG4876" s="80"/>
      <c r="AH4876" s="80"/>
      <c r="AI4876" s="80"/>
    </row>
    <row r="4877" spans="5:35" x14ac:dyDescent="0.25">
      <c r="E4877" s="16"/>
      <c r="F4877" s="16"/>
      <c r="H4877" s="16"/>
      <c r="AG4877" s="80"/>
      <c r="AH4877" s="80"/>
      <c r="AI4877" s="80"/>
    </row>
    <row r="4878" spans="5:35" x14ac:dyDescent="0.25">
      <c r="E4878" s="16"/>
      <c r="F4878" s="16"/>
      <c r="H4878" s="16"/>
      <c r="AG4878" s="80"/>
      <c r="AH4878" s="80"/>
      <c r="AI4878" s="80"/>
    </row>
    <row r="4879" spans="5:35" x14ac:dyDescent="0.25">
      <c r="E4879" s="16"/>
      <c r="F4879" s="16"/>
      <c r="H4879" s="16"/>
      <c r="AG4879" s="80"/>
      <c r="AH4879" s="80"/>
      <c r="AI4879" s="80"/>
    </row>
    <row r="4880" spans="5:35" x14ac:dyDescent="0.25">
      <c r="E4880" s="16"/>
      <c r="F4880" s="16"/>
      <c r="H4880" s="16"/>
      <c r="AG4880" s="80"/>
      <c r="AH4880" s="80"/>
      <c r="AI4880" s="80"/>
    </row>
    <row r="4881" spans="5:35" x14ac:dyDescent="0.25">
      <c r="E4881" s="16"/>
      <c r="F4881" s="16"/>
      <c r="H4881" s="16"/>
      <c r="AG4881" s="80"/>
      <c r="AH4881" s="80"/>
      <c r="AI4881" s="80"/>
    </row>
    <row r="4882" spans="5:35" x14ac:dyDescent="0.25">
      <c r="E4882" s="16"/>
      <c r="F4882" s="16"/>
      <c r="H4882" s="16"/>
      <c r="AG4882" s="80"/>
      <c r="AH4882" s="80"/>
      <c r="AI4882" s="80"/>
    </row>
    <row r="4883" spans="5:35" x14ac:dyDescent="0.25">
      <c r="E4883" s="16"/>
      <c r="F4883" s="16"/>
      <c r="H4883" s="16"/>
      <c r="AG4883" s="80"/>
      <c r="AH4883" s="80"/>
      <c r="AI4883" s="80"/>
    </row>
    <row r="4884" spans="5:35" x14ac:dyDescent="0.25">
      <c r="E4884" s="16"/>
      <c r="F4884" s="16"/>
      <c r="H4884" s="16"/>
      <c r="AG4884" s="80"/>
      <c r="AH4884" s="80"/>
      <c r="AI4884" s="80"/>
    </row>
    <row r="4885" spans="5:35" x14ac:dyDescent="0.25">
      <c r="E4885" s="16"/>
      <c r="F4885" s="16"/>
      <c r="H4885" s="16"/>
      <c r="AG4885" s="80"/>
      <c r="AH4885" s="80"/>
      <c r="AI4885" s="80"/>
    </row>
    <row r="4886" spans="5:35" x14ac:dyDescent="0.25">
      <c r="E4886" s="16"/>
      <c r="F4886" s="16"/>
      <c r="H4886" s="16"/>
      <c r="AG4886" s="80"/>
      <c r="AH4886" s="80"/>
      <c r="AI4886" s="80"/>
    </row>
    <row r="4887" spans="5:35" x14ac:dyDescent="0.25">
      <c r="E4887" s="16"/>
      <c r="F4887" s="16"/>
      <c r="H4887" s="16"/>
      <c r="AG4887" s="80"/>
      <c r="AH4887" s="80"/>
      <c r="AI4887" s="80"/>
    </row>
    <row r="4888" spans="5:35" x14ac:dyDescent="0.25">
      <c r="E4888" s="16"/>
      <c r="F4888" s="16"/>
      <c r="H4888" s="16"/>
      <c r="AG4888" s="80"/>
      <c r="AH4888" s="80"/>
      <c r="AI4888" s="80"/>
    </row>
    <row r="4889" spans="5:35" x14ac:dyDescent="0.25">
      <c r="E4889" s="16"/>
      <c r="F4889" s="16"/>
      <c r="H4889" s="16"/>
      <c r="AG4889" s="80"/>
      <c r="AH4889" s="80"/>
      <c r="AI4889" s="80"/>
    </row>
    <row r="4890" spans="5:35" x14ac:dyDescent="0.25">
      <c r="E4890" s="16"/>
      <c r="F4890" s="16"/>
      <c r="H4890" s="16"/>
      <c r="AG4890" s="80"/>
      <c r="AH4890" s="80"/>
      <c r="AI4890" s="80"/>
    </row>
    <row r="4891" spans="5:35" x14ac:dyDescent="0.25">
      <c r="E4891" s="16"/>
      <c r="F4891" s="16"/>
      <c r="H4891" s="16"/>
      <c r="AG4891" s="80"/>
      <c r="AH4891" s="80"/>
      <c r="AI4891" s="80"/>
    </row>
    <row r="4892" spans="5:35" x14ac:dyDescent="0.25">
      <c r="E4892" s="16"/>
      <c r="F4892" s="16"/>
      <c r="H4892" s="16"/>
      <c r="AG4892" s="80"/>
      <c r="AH4892" s="80"/>
      <c r="AI4892" s="80"/>
    </row>
    <row r="4893" spans="5:35" x14ac:dyDescent="0.25">
      <c r="E4893" s="16"/>
      <c r="F4893" s="16"/>
      <c r="H4893" s="16"/>
      <c r="AG4893" s="80"/>
      <c r="AH4893" s="80"/>
      <c r="AI4893" s="80"/>
    </row>
    <row r="4894" spans="5:35" x14ac:dyDescent="0.25">
      <c r="E4894" s="16"/>
      <c r="F4894" s="16"/>
      <c r="H4894" s="16"/>
      <c r="AG4894" s="80"/>
      <c r="AH4894" s="80"/>
      <c r="AI4894" s="80"/>
    </row>
    <row r="4895" spans="5:35" x14ac:dyDescent="0.25">
      <c r="E4895" s="16"/>
      <c r="F4895" s="16"/>
      <c r="H4895" s="16"/>
      <c r="AG4895" s="80"/>
      <c r="AH4895" s="80"/>
      <c r="AI4895" s="80"/>
    </row>
    <row r="4896" spans="5:35" x14ac:dyDescent="0.25">
      <c r="E4896" s="16"/>
      <c r="F4896" s="16"/>
      <c r="H4896" s="16"/>
      <c r="AG4896" s="80"/>
      <c r="AH4896" s="80"/>
      <c r="AI4896" s="80"/>
    </row>
    <row r="4897" spans="5:35" x14ac:dyDescent="0.25">
      <c r="E4897" s="16"/>
      <c r="F4897" s="16"/>
      <c r="H4897" s="16"/>
      <c r="AG4897" s="80"/>
      <c r="AH4897" s="80"/>
      <c r="AI4897" s="80"/>
    </row>
    <row r="4898" spans="5:35" x14ac:dyDescent="0.25">
      <c r="E4898" s="16"/>
      <c r="F4898" s="16"/>
      <c r="H4898" s="16"/>
      <c r="AG4898" s="80"/>
      <c r="AH4898" s="80"/>
      <c r="AI4898" s="80"/>
    </row>
    <row r="4899" spans="5:35" x14ac:dyDescent="0.25">
      <c r="E4899" s="16"/>
      <c r="F4899" s="16"/>
      <c r="H4899" s="16"/>
      <c r="AG4899" s="80"/>
      <c r="AH4899" s="80"/>
      <c r="AI4899" s="80"/>
    </row>
    <row r="4900" spans="5:35" x14ac:dyDescent="0.25">
      <c r="E4900" s="16"/>
      <c r="F4900" s="16"/>
      <c r="H4900" s="16"/>
      <c r="AG4900" s="80"/>
      <c r="AH4900" s="80"/>
      <c r="AI4900" s="80"/>
    </row>
    <row r="4901" spans="5:35" x14ac:dyDescent="0.25">
      <c r="E4901" s="16"/>
      <c r="F4901" s="16"/>
      <c r="H4901" s="16"/>
      <c r="AG4901" s="80"/>
      <c r="AH4901" s="80"/>
      <c r="AI4901" s="80"/>
    </row>
    <row r="4902" spans="5:35" x14ac:dyDescent="0.25">
      <c r="E4902" s="16"/>
      <c r="F4902" s="16"/>
      <c r="H4902" s="16"/>
      <c r="AG4902" s="80"/>
      <c r="AH4902" s="80"/>
      <c r="AI4902" s="80"/>
    </row>
    <row r="4903" spans="5:35" x14ac:dyDescent="0.25">
      <c r="E4903" s="16"/>
      <c r="F4903" s="16"/>
      <c r="H4903" s="16"/>
      <c r="AG4903" s="80"/>
      <c r="AH4903" s="80"/>
      <c r="AI4903" s="80"/>
    </row>
    <row r="4904" spans="5:35" x14ac:dyDescent="0.25">
      <c r="E4904" s="16"/>
      <c r="F4904" s="16"/>
      <c r="H4904" s="16"/>
      <c r="AG4904" s="80"/>
      <c r="AH4904" s="80"/>
      <c r="AI4904" s="80"/>
    </row>
    <row r="4905" spans="5:35" x14ac:dyDescent="0.25">
      <c r="E4905" s="16"/>
      <c r="F4905" s="16"/>
      <c r="H4905" s="16"/>
      <c r="AG4905" s="80"/>
      <c r="AH4905" s="80"/>
      <c r="AI4905" s="80"/>
    </row>
    <row r="4906" spans="5:35" x14ac:dyDescent="0.25">
      <c r="E4906" s="16"/>
      <c r="F4906" s="16"/>
      <c r="H4906" s="16"/>
      <c r="AG4906" s="80"/>
      <c r="AH4906" s="80"/>
      <c r="AI4906" s="80"/>
    </row>
    <row r="4907" spans="5:35" x14ac:dyDescent="0.25">
      <c r="E4907" s="16"/>
      <c r="F4907" s="16"/>
      <c r="H4907" s="16"/>
      <c r="AG4907" s="80"/>
      <c r="AH4907" s="80"/>
      <c r="AI4907" s="80"/>
    </row>
    <row r="4908" spans="5:35" x14ac:dyDescent="0.25">
      <c r="E4908" s="16"/>
      <c r="F4908" s="16"/>
      <c r="H4908" s="16"/>
      <c r="AG4908" s="80"/>
      <c r="AH4908" s="80"/>
      <c r="AI4908" s="80"/>
    </row>
    <row r="4909" spans="5:35" x14ac:dyDescent="0.25">
      <c r="E4909" s="16"/>
      <c r="F4909" s="16"/>
      <c r="H4909" s="16"/>
      <c r="AG4909" s="80"/>
      <c r="AH4909" s="80"/>
      <c r="AI4909" s="80"/>
    </row>
    <row r="4910" spans="5:35" x14ac:dyDescent="0.25">
      <c r="E4910" s="16"/>
      <c r="F4910" s="16"/>
      <c r="H4910" s="16"/>
      <c r="AG4910" s="80"/>
      <c r="AH4910" s="80"/>
      <c r="AI4910" s="80"/>
    </row>
    <row r="4911" spans="5:35" x14ac:dyDescent="0.25">
      <c r="E4911" s="16"/>
      <c r="F4911" s="16"/>
      <c r="H4911" s="16"/>
      <c r="AG4911" s="80"/>
      <c r="AH4911" s="80"/>
      <c r="AI4911" s="80"/>
    </row>
    <row r="4912" spans="5:35" x14ac:dyDescent="0.25">
      <c r="E4912" s="16"/>
      <c r="F4912" s="16"/>
      <c r="H4912" s="16"/>
      <c r="AG4912" s="80"/>
      <c r="AH4912" s="80"/>
      <c r="AI4912" s="80"/>
    </row>
    <row r="4913" spans="5:35" x14ac:dyDescent="0.25">
      <c r="E4913" s="16"/>
      <c r="F4913" s="16"/>
      <c r="H4913" s="16"/>
      <c r="AG4913" s="80"/>
      <c r="AH4913" s="80"/>
      <c r="AI4913" s="80"/>
    </row>
    <row r="4914" spans="5:35" x14ac:dyDescent="0.25">
      <c r="E4914" s="16"/>
      <c r="F4914" s="16"/>
      <c r="H4914" s="16"/>
      <c r="AG4914" s="80"/>
      <c r="AH4914" s="80"/>
      <c r="AI4914" s="80"/>
    </row>
    <row r="4915" spans="5:35" x14ac:dyDescent="0.25">
      <c r="E4915" s="16"/>
      <c r="F4915" s="16"/>
      <c r="H4915" s="16"/>
      <c r="AG4915" s="80"/>
      <c r="AH4915" s="80"/>
      <c r="AI4915" s="80"/>
    </row>
    <row r="4916" spans="5:35" x14ac:dyDescent="0.25">
      <c r="E4916" s="16"/>
      <c r="F4916" s="16"/>
      <c r="H4916" s="16"/>
      <c r="AG4916" s="80"/>
      <c r="AH4916" s="80"/>
      <c r="AI4916" s="80"/>
    </row>
    <row r="4917" spans="5:35" x14ac:dyDescent="0.25">
      <c r="E4917" s="16"/>
      <c r="F4917" s="16"/>
      <c r="H4917" s="16"/>
      <c r="AG4917" s="80"/>
      <c r="AH4917" s="80"/>
      <c r="AI4917" s="80"/>
    </row>
    <row r="4918" spans="5:35" x14ac:dyDescent="0.25">
      <c r="E4918" s="16"/>
      <c r="F4918" s="16"/>
      <c r="H4918" s="16"/>
      <c r="AG4918" s="80"/>
      <c r="AH4918" s="80"/>
      <c r="AI4918" s="80"/>
    </row>
    <row r="4919" spans="5:35" x14ac:dyDescent="0.25">
      <c r="E4919" s="16"/>
      <c r="F4919" s="16"/>
      <c r="H4919" s="16"/>
      <c r="AG4919" s="80"/>
      <c r="AH4919" s="80"/>
      <c r="AI4919" s="80"/>
    </row>
    <row r="4920" spans="5:35" x14ac:dyDescent="0.25">
      <c r="E4920" s="16"/>
      <c r="F4920" s="16"/>
      <c r="H4920" s="16"/>
      <c r="AG4920" s="80"/>
      <c r="AH4920" s="80"/>
      <c r="AI4920" s="80"/>
    </row>
    <row r="4921" spans="5:35" x14ac:dyDescent="0.25">
      <c r="E4921" s="16"/>
      <c r="F4921" s="16"/>
      <c r="H4921" s="16"/>
      <c r="AG4921" s="80"/>
      <c r="AH4921" s="80"/>
      <c r="AI4921" s="80"/>
    </row>
    <row r="4922" spans="5:35" x14ac:dyDescent="0.25">
      <c r="E4922" s="16"/>
      <c r="F4922" s="16"/>
      <c r="H4922" s="16"/>
      <c r="AG4922" s="80"/>
      <c r="AH4922" s="80"/>
      <c r="AI4922" s="80"/>
    </row>
    <row r="4923" spans="5:35" x14ac:dyDescent="0.25">
      <c r="E4923" s="16"/>
      <c r="F4923" s="16"/>
      <c r="H4923" s="16"/>
      <c r="AG4923" s="80"/>
      <c r="AH4923" s="80"/>
      <c r="AI4923" s="80"/>
    </row>
    <row r="4924" spans="5:35" x14ac:dyDescent="0.25">
      <c r="E4924" s="16"/>
      <c r="F4924" s="16"/>
      <c r="H4924" s="16"/>
      <c r="AG4924" s="80"/>
      <c r="AH4924" s="80"/>
      <c r="AI4924" s="80"/>
    </row>
    <row r="4925" spans="5:35" x14ac:dyDescent="0.25">
      <c r="E4925" s="16"/>
      <c r="F4925" s="16"/>
      <c r="H4925" s="16"/>
      <c r="AG4925" s="80"/>
      <c r="AH4925" s="80"/>
      <c r="AI4925" s="80"/>
    </row>
    <row r="4926" spans="5:35" x14ac:dyDescent="0.25">
      <c r="E4926" s="16"/>
      <c r="F4926" s="16"/>
      <c r="H4926" s="16"/>
      <c r="AG4926" s="80"/>
      <c r="AH4926" s="80"/>
      <c r="AI4926" s="80"/>
    </row>
    <row r="4927" spans="5:35" x14ac:dyDescent="0.25">
      <c r="E4927" s="16"/>
      <c r="F4927" s="16"/>
      <c r="H4927" s="16"/>
      <c r="AG4927" s="80"/>
      <c r="AH4927" s="80"/>
      <c r="AI4927" s="80"/>
    </row>
    <row r="4928" spans="5:35" x14ac:dyDescent="0.25">
      <c r="E4928" s="16"/>
      <c r="F4928" s="16"/>
      <c r="H4928" s="16"/>
      <c r="AG4928" s="80"/>
      <c r="AH4928" s="80"/>
      <c r="AI4928" s="80"/>
    </row>
    <row r="4929" spans="5:35" x14ac:dyDescent="0.25">
      <c r="E4929" s="16"/>
      <c r="F4929" s="16"/>
      <c r="H4929" s="16"/>
      <c r="AG4929" s="80"/>
      <c r="AH4929" s="80"/>
      <c r="AI4929" s="80"/>
    </row>
    <row r="4930" spans="5:35" x14ac:dyDescent="0.25">
      <c r="E4930" s="16"/>
      <c r="F4930" s="16"/>
      <c r="H4930" s="16"/>
      <c r="AG4930" s="80"/>
      <c r="AH4930" s="80"/>
      <c r="AI4930" s="80"/>
    </row>
    <row r="4931" spans="5:35" x14ac:dyDescent="0.25">
      <c r="E4931" s="16"/>
      <c r="F4931" s="16"/>
      <c r="H4931" s="16"/>
      <c r="AG4931" s="80"/>
      <c r="AH4931" s="80"/>
      <c r="AI4931" s="80"/>
    </row>
    <row r="4932" spans="5:35" x14ac:dyDescent="0.25">
      <c r="E4932" s="16"/>
      <c r="F4932" s="16"/>
      <c r="H4932" s="16"/>
      <c r="AG4932" s="80"/>
      <c r="AH4932" s="80"/>
      <c r="AI4932" s="80"/>
    </row>
    <row r="4933" spans="5:35" x14ac:dyDescent="0.25">
      <c r="E4933" s="16"/>
      <c r="F4933" s="16"/>
      <c r="H4933" s="16"/>
      <c r="AG4933" s="80"/>
      <c r="AH4933" s="80"/>
      <c r="AI4933" s="80"/>
    </row>
    <row r="4934" spans="5:35" x14ac:dyDescent="0.25">
      <c r="E4934" s="16"/>
      <c r="F4934" s="16"/>
      <c r="H4934" s="16"/>
      <c r="AG4934" s="80"/>
      <c r="AH4934" s="80"/>
      <c r="AI4934" s="80"/>
    </row>
    <row r="4935" spans="5:35" x14ac:dyDescent="0.25">
      <c r="E4935" s="16"/>
      <c r="F4935" s="16"/>
      <c r="H4935" s="16"/>
      <c r="AG4935" s="80"/>
      <c r="AH4935" s="80"/>
      <c r="AI4935" s="80"/>
    </row>
    <row r="4936" spans="5:35" x14ac:dyDescent="0.25">
      <c r="E4936" s="16"/>
      <c r="F4936" s="16"/>
      <c r="H4936" s="16"/>
      <c r="AG4936" s="80"/>
      <c r="AH4936" s="80"/>
      <c r="AI4936" s="80"/>
    </row>
    <row r="4937" spans="5:35" x14ac:dyDescent="0.25">
      <c r="E4937" s="16"/>
      <c r="F4937" s="16"/>
      <c r="H4937" s="16"/>
      <c r="AG4937" s="80"/>
      <c r="AH4937" s="80"/>
      <c r="AI4937" s="80"/>
    </row>
    <row r="4938" spans="5:35" x14ac:dyDescent="0.25">
      <c r="E4938" s="16"/>
      <c r="F4938" s="16"/>
      <c r="H4938" s="16"/>
      <c r="AG4938" s="80"/>
      <c r="AH4938" s="80"/>
      <c r="AI4938" s="80"/>
    </row>
    <row r="4939" spans="5:35" x14ac:dyDescent="0.25">
      <c r="E4939" s="16"/>
      <c r="F4939" s="16"/>
      <c r="H4939" s="16"/>
      <c r="AG4939" s="80"/>
      <c r="AH4939" s="80"/>
      <c r="AI4939" s="80"/>
    </row>
    <row r="4940" spans="5:35" x14ac:dyDescent="0.25">
      <c r="E4940" s="16"/>
      <c r="F4940" s="16"/>
      <c r="H4940" s="16"/>
      <c r="AG4940" s="80"/>
      <c r="AH4940" s="80"/>
      <c r="AI4940" s="80"/>
    </row>
    <row r="4941" spans="5:35" x14ac:dyDescent="0.25">
      <c r="E4941" s="16"/>
      <c r="F4941" s="16"/>
      <c r="H4941" s="16"/>
      <c r="AG4941" s="80"/>
      <c r="AH4941" s="80"/>
      <c r="AI4941" s="80"/>
    </row>
    <row r="4942" spans="5:35" x14ac:dyDescent="0.25">
      <c r="E4942" s="16"/>
      <c r="F4942" s="16"/>
      <c r="H4942" s="16"/>
      <c r="AG4942" s="80"/>
      <c r="AH4942" s="80"/>
      <c r="AI4942" s="80"/>
    </row>
    <row r="4943" spans="5:35" x14ac:dyDescent="0.25">
      <c r="E4943" s="16"/>
      <c r="F4943" s="16"/>
      <c r="H4943" s="16"/>
      <c r="AG4943" s="80"/>
      <c r="AH4943" s="80"/>
      <c r="AI4943" s="80"/>
    </row>
    <row r="4944" spans="5:35" x14ac:dyDescent="0.25">
      <c r="E4944" s="16"/>
      <c r="F4944" s="16"/>
      <c r="H4944" s="16"/>
      <c r="AG4944" s="80"/>
      <c r="AH4944" s="80"/>
      <c r="AI4944" s="80"/>
    </row>
    <row r="4945" spans="5:35" x14ac:dyDescent="0.25">
      <c r="E4945" s="16"/>
      <c r="F4945" s="16"/>
      <c r="H4945" s="16"/>
      <c r="AG4945" s="80"/>
      <c r="AH4945" s="80"/>
      <c r="AI4945" s="80"/>
    </row>
    <row r="4946" spans="5:35" x14ac:dyDescent="0.25">
      <c r="E4946" s="16"/>
      <c r="F4946" s="16"/>
      <c r="H4946" s="16"/>
      <c r="AG4946" s="80"/>
      <c r="AH4946" s="80"/>
      <c r="AI4946" s="80"/>
    </row>
    <row r="4947" spans="5:35" x14ac:dyDescent="0.25">
      <c r="E4947" s="16"/>
      <c r="F4947" s="16"/>
      <c r="H4947" s="16"/>
      <c r="AG4947" s="80"/>
      <c r="AH4947" s="80"/>
      <c r="AI4947" s="80"/>
    </row>
    <row r="4948" spans="5:35" x14ac:dyDescent="0.25">
      <c r="E4948" s="16"/>
      <c r="F4948" s="16"/>
      <c r="H4948" s="16"/>
      <c r="AG4948" s="80"/>
      <c r="AH4948" s="80"/>
      <c r="AI4948" s="80"/>
    </row>
    <row r="4949" spans="5:35" x14ac:dyDescent="0.25">
      <c r="E4949" s="16"/>
      <c r="F4949" s="16"/>
      <c r="H4949" s="16"/>
      <c r="AG4949" s="80"/>
      <c r="AH4949" s="80"/>
      <c r="AI4949" s="80"/>
    </row>
    <row r="4950" spans="5:35" x14ac:dyDescent="0.25">
      <c r="E4950" s="16"/>
      <c r="F4950" s="16"/>
      <c r="H4950" s="16"/>
      <c r="AG4950" s="80"/>
      <c r="AH4950" s="80"/>
      <c r="AI4950" s="80"/>
    </row>
    <row r="4951" spans="5:35" x14ac:dyDescent="0.25">
      <c r="E4951" s="16"/>
      <c r="F4951" s="16"/>
      <c r="H4951" s="16"/>
      <c r="AG4951" s="80"/>
      <c r="AH4951" s="80"/>
      <c r="AI4951" s="80"/>
    </row>
    <row r="4952" spans="5:35" x14ac:dyDescent="0.25">
      <c r="E4952" s="16"/>
      <c r="F4952" s="16"/>
      <c r="H4952" s="16"/>
      <c r="AG4952" s="80"/>
      <c r="AH4952" s="80"/>
      <c r="AI4952" s="80"/>
    </row>
    <row r="4953" spans="5:35" x14ac:dyDescent="0.25">
      <c r="E4953" s="16"/>
      <c r="F4953" s="16"/>
      <c r="H4953" s="16"/>
      <c r="AG4953" s="80"/>
      <c r="AH4953" s="80"/>
      <c r="AI4953" s="80"/>
    </row>
    <row r="4954" spans="5:35" x14ac:dyDescent="0.25">
      <c r="E4954" s="16"/>
      <c r="F4954" s="16"/>
      <c r="H4954" s="16"/>
      <c r="AG4954" s="80"/>
      <c r="AH4954" s="80"/>
      <c r="AI4954" s="80"/>
    </row>
    <row r="4955" spans="5:35" x14ac:dyDescent="0.25">
      <c r="E4955" s="16"/>
      <c r="F4955" s="16"/>
      <c r="H4955" s="16"/>
      <c r="AG4955" s="80"/>
      <c r="AH4955" s="80"/>
      <c r="AI4955" s="80"/>
    </row>
    <row r="4956" spans="5:35" x14ac:dyDescent="0.25">
      <c r="E4956" s="16"/>
      <c r="F4956" s="16"/>
      <c r="H4956" s="16"/>
      <c r="AG4956" s="80"/>
      <c r="AH4956" s="80"/>
      <c r="AI4956" s="80"/>
    </row>
    <row r="4957" spans="5:35" x14ac:dyDescent="0.25">
      <c r="E4957" s="16"/>
      <c r="F4957" s="16"/>
      <c r="H4957" s="16"/>
      <c r="AG4957" s="80"/>
      <c r="AH4957" s="80"/>
      <c r="AI4957" s="80"/>
    </row>
    <row r="4958" spans="5:35" x14ac:dyDescent="0.25">
      <c r="E4958" s="16"/>
      <c r="F4958" s="16"/>
      <c r="H4958" s="16"/>
      <c r="AG4958" s="80"/>
      <c r="AH4958" s="80"/>
      <c r="AI4958" s="80"/>
    </row>
    <row r="4959" spans="5:35" x14ac:dyDescent="0.25">
      <c r="E4959" s="16"/>
      <c r="F4959" s="16"/>
      <c r="H4959" s="16"/>
      <c r="AG4959" s="80"/>
      <c r="AH4959" s="80"/>
      <c r="AI4959" s="80"/>
    </row>
    <row r="4960" spans="5:35" x14ac:dyDescent="0.25">
      <c r="E4960" s="16"/>
      <c r="F4960" s="16"/>
      <c r="H4960" s="16"/>
      <c r="AG4960" s="80"/>
      <c r="AH4960" s="80"/>
      <c r="AI4960" s="80"/>
    </row>
    <row r="4961" spans="5:35" x14ac:dyDescent="0.25">
      <c r="E4961" s="16"/>
      <c r="F4961" s="16"/>
      <c r="H4961" s="16"/>
      <c r="AG4961" s="80"/>
      <c r="AH4961" s="80"/>
      <c r="AI4961" s="80"/>
    </row>
    <row r="4962" spans="5:35" x14ac:dyDescent="0.25">
      <c r="E4962" s="16"/>
      <c r="F4962" s="16"/>
      <c r="H4962" s="16"/>
      <c r="AG4962" s="80"/>
      <c r="AH4962" s="80"/>
      <c r="AI4962" s="80"/>
    </row>
    <row r="4963" spans="5:35" x14ac:dyDescent="0.25">
      <c r="E4963" s="16"/>
      <c r="F4963" s="16"/>
      <c r="H4963" s="16"/>
      <c r="AG4963" s="80"/>
      <c r="AH4963" s="80"/>
      <c r="AI4963" s="80"/>
    </row>
    <row r="4964" spans="5:35" x14ac:dyDescent="0.25">
      <c r="E4964" s="16"/>
      <c r="F4964" s="16"/>
      <c r="H4964" s="16"/>
      <c r="AG4964" s="80"/>
      <c r="AH4964" s="80"/>
      <c r="AI4964" s="80"/>
    </row>
    <row r="4965" spans="5:35" x14ac:dyDescent="0.25">
      <c r="E4965" s="16"/>
      <c r="F4965" s="16"/>
      <c r="H4965" s="16"/>
      <c r="AG4965" s="80"/>
      <c r="AH4965" s="80"/>
      <c r="AI4965" s="80"/>
    </row>
    <row r="4966" spans="5:35" x14ac:dyDescent="0.25">
      <c r="E4966" s="16"/>
      <c r="F4966" s="16"/>
      <c r="H4966" s="16"/>
      <c r="AG4966" s="80"/>
      <c r="AH4966" s="80"/>
      <c r="AI4966" s="80"/>
    </row>
    <row r="4967" spans="5:35" x14ac:dyDescent="0.25">
      <c r="E4967" s="16"/>
      <c r="F4967" s="16"/>
      <c r="H4967" s="16"/>
      <c r="AG4967" s="80"/>
      <c r="AH4967" s="80"/>
      <c r="AI4967" s="80"/>
    </row>
    <row r="4968" spans="5:35" x14ac:dyDescent="0.25">
      <c r="E4968" s="16"/>
      <c r="F4968" s="16"/>
      <c r="H4968" s="16"/>
      <c r="AG4968" s="80"/>
      <c r="AH4968" s="80"/>
      <c r="AI4968" s="80"/>
    </row>
    <row r="4969" spans="5:35" x14ac:dyDescent="0.25">
      <c r="E4969" s="16"/>
      <c r="F4969" s="16"/>
      <c r="H4969" s="16"/>
      <c r="AG4969" s="80"/>
      <c r="AH4969" s="80"/>
      <c r="AI4969" s="80"/>
    </row>
    <row r="4970" spans="5:35" x14ac:dyDescent="0.25">
      <c r="E4970" s="16"/>
      <c r="F4970" s="16"/>
      <c r="H4970" s="16"/>
      <c r="AG4970" s="80"/>
      <c r="AH4970" s="80"/>
      <c r="AI4970" s="80"/>
    </row>
    <row r="4971" spans="5:35" x14ac:dyDescent="0.25">
      <c r="E4971" s="16"/>
      <c r="F4971" s="16"/>
      <c r="H4971" s="16"/>
      <c r="AG4971" s="80"/>
      <c r="AH4971" s="80"/>
      <c r="AI4971" s="80"/>
    </row>
    <row r="4972" spans="5:35" x14ac:dyDescent="0.25">
      <c r="E4972" s="16"/>
      <c r="F4972" s="16"/>
      <c r="H4972" s="16"/>
      <c r="AG4972" s="80"/>
      <c r="AH4972" s="80"/>
      <c r="AI4972" s="80"/>
    </row>
    <row r="4973" spans="5:35" x14ac:dyDescent="0.25">
      <c r="E4973" s="16"/>
      <c r="F4973" s="16"/>
      <c r="H4973" s="16"/>
      <c r="AG4973" s="80"/>
      <c r="AH4973" s="80"/>
      <c r="AI4973" s="80"/>
    </row>
    <row r="4974" spans="5:35" x14ac:dyDescent="0.25">
      <c r="E4974" s="16"/>
      <c r="F4974" s="16"/>
      <c r="H4974" s="16"/>
      <c r="AG4974" s="80"/>
      <c r="AH4974" s="80"/>
      <c r="AI4974" s="80"/>
    </row>
    <row r="4975" spans="5:35" x14ac:dyDescent="0.25">
      <c r="E4975" s="16"/>
      <c r="F4975" s="16"/>
      <c r="H4975" s="16"/>
      <c r="AG4975" s="80"/>
      <c r="AH4975" s="80"/>
      <c r="AI4975" s="80"/>
    </row>
    <row r="4976" spans="5:35" x14ac:dyDescent="0.25">
      <c r="E4976" s="16"/>
      <c r="F4976" s="16"/>
      <c r="H4976" s="16"/>
      <c r="AG4976" s="80"/>
      <c r="AH4976" s="80"/>
      <c r="AI4976" s="80"/>
    </row>
    <row r="4977" spans="5:35" x14ac:dyDescent="0.25">
      <c r="E4977" s="16"/>
      <c r="F4977" s="16"/>
      <c r="H4977" s="16"/>
      <c r="AG4977" s="80"/>
      <c r="AH4977" s="80"/>
      <c r="AI4977" s="80"/>
    </row>
    <row r="4978" spans="5:35" x14ac:dyDescent="0.25">
      <c r="E4978" s="16"/>
      <c r="F4978" s="16"/>
      <c r="H4978" s="16"/>
      <c r="AG4978" s="80"/>
      <c r="AH4978" s="80"/>
      <c r="AI4978" s="80"/>
    </row>
    <row r="4979" spans="5:35" x14ac:dyDescent="0.25">
      <c r="E4979" s="16"/>
      <c r="F4979" s="16"/>
      <c r="H4979" s="16"/>
      <c r="AG4979" s="80"/>
      <c r="AH4979" s="80"/>
      <c r="AI4979" s="80"/>
    </row>
    <row r="4980" spans="5:35" x14ac:dyDescent="0.25">
      <c r="E4980" s="16"/>
      <c r="F4980" s="16"/>
      <c r="H4980" s="16"/>
      <c r="AG4980" s="80"/>
      <c r="AH4980" s="80"/>
      <c r="AI4980" s="80"/>
    </row>
    <row r="4981" spans="5:35" x14ac:dyDescent="0.25">
      <c r="E4981" s="16"/>
      <c r="F4981" s="16"/>
      <c r="H4981" s="16"/>
      <c r="AG4981" s="80"/>
      <c r="AH4981" s="80"/>
      <c r="AI4981" s="80"/>
    </row>
    <row r="4982" spans="5:35" x14ac:dyDescent="0.25">
      <c r="E4982" s="16"/>
      <c r="F4982" s="16"/>
      <c r="H4982" s="16"/>
      <c r="AG4982" s="80"/>
      <c r="AH4982" s="80"/>
      <c r="AI4982" s="80"/>
    </row>
    <row r="4983" spans="5:35" x14ac:dyDescent="0.25">
      <c r="E4983" s="16"/>
      <c r="F4983" s="16"/>
      <c r="H4983" s="16"/>
      <c r="AG4983" s="80"/>
      <c r="AH4983" s="80"/>
      <c r="AI4983" s="80"/>
    </row>
    <row r="4984" spans="5:35" x14ac:dyDescent="0.25">
      <c r="E4984" s="16"/>
      <c r="F4984" s="16"/>
      <c r="H4984" s="16"/>
      <c r="AG4984" s="80"/>
      <c r="AH4984" s="80"/>
      <c r="AI4984" s="80"/>
    </row>
    <row r="4985" spans="5:35" x14ac:dyDescent="0.25">
      <c r="E4985" s="16"/>
      <c r="F4985" s="16"/>
      <c r="H4985" s="16"/>
      <c r="AG4985" s="80"/>
      <c r="AH4985" s="80"/>
      <c r="AI4985" s="80"/>
    </row>
    <row r="4986" spans="5:35" x14ac:dyDescent="0.25">
      <c r="E4986" s="16"/>
      <c r="F4986" s="16"/>
      <c r="H4986" s="16"/>
      <c r="AG4986" s="80"/>
      <c r="AH4986" s="80"/>
      <c r="AI4986" s="80"/>
    </row>
    <row r="4987" spans="5:35" x14ac:dyDescent="0.25">
      <c r="E4987" s="16"/>
      <c r="F4987" s="16"/>
      <c r="H4987" s="16"/>
      <c r="AG4987" s="80"/>
      <c r="AH4987" s="80"/>
      <c r="AI4987" s="80"/>
    </row>
    <row r="4988" spans="5:35" x14ac:dyDescent="0.25">
      <c r="E4988" s="16"/>
      <c r="F4988" s="16"/>
      <c r="H4988" s="16"/>
      <c r="AG4988" s="80"/>
      <c r="AH4988" s="80"/>
      <c r="AI4988" s="80"/>
    </row>
    <row r="4989" spans="5:35" x14ac:dyDescent="0.25">
      <c r="E4989" s="16"/>
      <c r="F4989" s="16"/>
      <c r="H4989" s="16"/>
      <c r="AG4989" s="80"/>
      <c r="AH4989" s="80"/>
      <c r="AI4989" s="80"/>
    </row>
    <row r="4990" spans="5:35" x14ac:dyDescent="0.25">
      <c r="E4990" s="16"/>
      <c r="F4990" s="16"/>
      <c r="H4990" s="16"/>
      <c r="AG4990" s="80"/>
      <c r="AH4990" s="80"/>
      <c r="AI4990" s="80"/>
    </row>
    <row r="4991" spans="5:35" x14ac:dyDescent="0.25">
      <c r="E4991" s="16"/>
      <c r="F4991" s="16"/>
      <c r="H4991" s="16"/>
      <c r="AG4991" s="80"/>
      <c r="AH4991" s="80"/>
      <c r="AI4991" s="80"/>
    </row>
    <row r="4992" spans="5:35" x14ac:dyDescent="0.25">
      <c r="E4992" s="16"/>
      <c r="F4992" s="16"/>
      <c r="H4992" s="16"/>
      <c r="AG4992" s="80"/>
      <c r="AH4992" s="80"/>
      <c r="AI4992" s="80"/>
    </row>
    <row r="4993" spans="5:35" x14ac:dyDescent="0.25">
      <c r="E4993" s="16"/>
      <c r="F4993" s="16"/>
      <c r="H4993" s="16"/>
      <c r="AG4993" s="80"/>
      <c r="AH4993" s="80"/>
      <c r="AI4993" s="80"/>
    </row>
    <row r="4994" spans="5:35" x14ac:dyDescent="0.25">
      <c r="E4994" s="16"/>
      <c r="F4994" s="16"/>
      <c r="H4994" s="16"/>
      <c r="AG4994" s="80"/>
      <c r="AH4994" s="80"/>
      <c r="AI4994" s="80"/>
    </row>
    <row r="4995" spans="5:35" x14ac:dyDescent="0.25">
      <c r="E4995" s="16"/>
      <c r="F4995" s="16"/>
      <c r="H4995" s="16"/>
      <c r="AG4995" s="80"/>
      <c r="AH4995" s="80"/>
      <c r="AI4995" s="80"/>
    </row>
    <row r="4996" spans="5:35" x14ac:dyDescent="0.25">
      <c r="E4996" s="16"/>
      <c r="F4996" s="16"/>
      <c r="H4996" s="16"/>
      <c r="AG4996" s="80"/>
      <c r="AH4996" s="80"/>
      <c r="AI4996" s="80"/>
    </row>
    <row r="4997" spans="5:35" x14ac:dyDescent="0.25">
      <c r="E4997" s="16"/>
      <c r="F4997" s="16"/>
      <c r="H4997" s="16"/>
      <c r="AG4997" s="80"/>
      <c r="AH4997" s="80"/>
      <c r="AI4997" s="80"/>
    </row>
    <row r="4998" spans="5:35" x14ac:dyDescent="0.25">
      <c r="E4998" s="16"/>
      <c r="F4998" s="16"/>
      <c r="H4998" s="16"/>
      <c r="AG4998" s="80"/>
      <c r="AH4998" s="80"/>
      <c r="AI4998" s="80"/>
    </row>
    <row r="4999" spans="5:35" x14ac:dyDescent="0.25">
      <c r="E4999" s="16"/>
      <c r="F4999" s="16"/>
      <c r="H4999" s="16"/>
      <c r="AG4999" s="80"/>
      <c r="AH4999" s="80"/>
      <c r="AI4999" s="80"/>
    </row>
    <row r="5000" spans="5:35" x14ac:dyDescent="0.25">
      <c r="E5000" s="16"/>
      <c r="F5000" s="16"/>
      <c r="H5000" s="16"/>
      <c r="AG5000" s="80"/>
      <c r="AH5000" s="80"/>
      <c r="AI5000" s="80"/>
    </row>
    <row r="5001" spans="5:35" x14ac:dyDescent="0.25">
      <c r="E5001" s="16"/>
      <c r="F5001" s="16"/>
      <c r="H5001" s="16"/>
      <c r="AG5001" s="80"/>
      <c r="AH5001" s="80"/>
      <c r="AI5001" s="80"/>
    </row>
    <row r="5002" spans="5:35" x14ac:dyDescent="0.25">
      <c r="E5002" s="16"/>
      <c r="F5002" s="16"/>
      <c r="H5002" s="16"/>
      <c r="AG5002" s="80"/>
      <c r="AH5002" s="80"/>
      <c r="AI5002" s="80"/>
    </row>
    <row r="5003" spans="5:35" x14ac:dyDescent="0.25">
      <c r="E5003" s="16"/>
      <c r="F5003" s="16"/>
      <c r="H5003" s="16"/>
      <c r="AG5003" s="80"/>
      <c r="AH5003" s="80"/>
      <c r="AI5003" s="80"/>
    </row>
    <row r="5004" spans="5:35" x14ac:dyDescent="0.25">
      <c r="E5004" s="16"/>
      <c r="F5004" s="16"/>
      <c r="H5004" s="16"/>
      <c r="AG5004" s="80"/>
      <c r="AH5004" s="80"/>
      <c r="AI5004" s="80"/>
    </row>
    <row r="5005" spans="5:35" x14ac:dyDescent="0.25">
      <c r="E5005" s="16"/>
      <c r="F5005" s="16"/>
      <c r="H5005" s="16"/>
      <c r="AG5005" s="80"/>
      <c r="AH5005" s="80"/>
      <c r="AI5005" s="80"/>
    </row>
    <row r="5006" spans="5:35" x14ac:dyDescent="0.25">
      <c r="E5006" s="16"/>
      <c r="F5006" s="16"/>
      <c r="H5006" s="16"/>
      <c r="AG5006" s="80"/>
      <c r="AH5006" s="80"/>
      <c r="AI5006" s="80"/>
    </row>
    <row r="5007" spans="5:35" x14ac:dyDescent="0.25">
      <c r="E5007" s="16"/>
      <c r="F5007" s="16"/>
      <c r="H5007" s="16"/>
      <c r="AG5007" s="80"/>
      <c r="AH5007" s="80"/>
      <c r="AI5007" s="80"/>
    </row>
    <row r="5008" spans="5:35" x14ac:dyDescent="0.25">
      <c r="E5008" s="16"/>
      <c r="F5008" s="16"/>
      <c r="H5008" s="16"/>
      <c r="AG5008" s="80"/>
      <c r="AH5008" s="80"/>
      <c r="AI5008" s="80"/>
    </row>
    <row r="5009" spans="5:35" x14ac:dyDescent="0.25">
      <c r="E5009" s="16"/>
      <c r="F5009" s="16"/>
      <c r="H5009" s="16"/>
      <c r="AG5009" s="80"/>
      <c r="AH5009" s="80"/>
      <c r="AI5009" s="80"/>
    </row>
    <row r="5010" spans="5:35" x14ac:dyDescent="0.25">
      <c r="E5010" s="16"/>
      <c r="F5010" s="16"/>
      <c r="H5010" s="16"/>
      <c r="AG5010" s="80"/>
      <c r="AH5010" s="80"/>
      <c r="AI5010" s="80"/>
    </row>
    <row r="5011" spans="5:35" x14ac:dyDescent="0.25">
      <c r="E5011" s="16"/>
      <c r="F5011" s="16"/>
      <c r="H5011" s="16"/>
      <c r="AG5011" s="80"/>
      <c r="AH5011" s="80"/>
      <c r="AI5011" s="80"/>
    </row>
    <row r="5012" spans="5:35" x14ac:dyDescent="0.25">
      <c r="E5012" s="16"/>
      <c r="F5012" s="16"/>
      <c r="H5012" s="16"/>
      <c r="AG5012" s="80"/>
      <c r="AH5012" s="80"/>
      <c r="AI5012" s="80"/>
    </row>
    <row r="5013" spans="5:35" x14ac:dyDescent="0.25">
      <c r="E5013" s="16"/>
      <c r="F5013" s="16"/>
      <c r="H5013" s="16"/>
      <c r="AG5013" s="80"/>
      <c r="AH5013" s="80"/>
      <c r="AI5013" s="80"/>
    </row>
    <row r="5014" spans="5:35" x14ac:dyDescent="0.25">
      <c r="E5014" s="16"/>
      <c r="F5014" s="16"/>
      <c r="H5014" s="16"/>
      <c r="AG5014" s="80"/>
      <c r="AH5014" s="80"/>
      <c r="AI5014" s="80"/>
    </row>
    <row r="5015" spans="5:35" x14ac:dyDescent="0.25">
      <c r="E5015" s="16"/>
      <c r="F5015" s="16"/>
      <c r="H5015" s="16"/>
      <c r="AG5015" s="80"/>
      <c r="AH5015" s="80"/>
      <c r="AI5015" s="80"/>
    </row>
    <row r="5016" spans="5:35" x14ac:dyDescent="0.25">
      <c r="E5016" s="16"/>
      <c r="F5016" s="16"/>
      <c r="H5016" s="16"/>
      <c r="AG5016" s="80"/>
      <c r="AH5016" s="80"/>
      <c r="AI5016" s="80"/>
    </row>
    <row r="5017" spans="5:35" x14ac:dyDescent="0.25">
      <c r="E5017" s="16"/>
      <c r="F5017" s="16"/>
      <c r="H5017" s="16"/>
      <c r="AG5017" s="80"/>
      <c r="AH5017" s="80"/>
      <c r="AI5017" s="80"/>
    </row>
    <row r="5018" spans="5:35" x14ac:dyDescent="0.25">
      <c r="E5018" s="16"/>
      <c r="F5018" s="16"/>
      <c r="H5018" s="16"/>
      <c r="AG5018" s="80"/>
      <c r="AH5018" s="80"/>
      <c r="AI5018" s="80"/>
    </row>
    <row r="5019" spans="5:35" x14ac:dyDescent="0.25">
      <c r="E5019" s="16"/>
      <c r="F5019" s="16"/>
      <c r="H5019" s="16"/>
      <c r="AG5019" s="80"/>
      <c r="AH5019" s="80"/>
      <c r="AI5019" s="80"/>
    </row>
    <row r="5020" spans="5:35" x14ac:dyDescent="0.25">
      <c r="E5020" s="16"/>
      <c r="F5020" s="16"/>
      <c r="H5020" s="16"/>
      <c r="AG5020" s="80"/>
      <c r="AH5020" s="80"/>
      <c r="AI5020" s="80"/>
    </row>
    <row r="5021" spans="5:35" x14ac:dyDescent="0.25">
      <c r="E5021" s="16"/>
      <c r="F5021" s="16"/>
      <c r="H5021" s="16"/>
      <c r="AG5021" s="80"/>
      <c r="AH5021" s="80"/>
      <c r="AI5021" s="80"/>
    </row>
    <row r="5022" spans="5:35" x14ac:dyDescent="0.25">
      <c r="E5022" s="16"/>
      <c r="F5022" s="16"/>
      <c r="H5022" s="16"/>
      <c r="AG5022" s="80"/>
      <c r="AH5022" s="80"/>
      <c r="AI5022" s="80"/>
    </row>
    <row r="5023" spans="5:35" x14ac:dyDescent="0.25">
      <c r="E5023" s="16"/>
      <c r="F5023" s="16"/>
      <c r="H5023" s="16"/>
      <c r="AG5023" s="80"/>
      <c r="AH5023" s="80"/>
      <c r="AI5023" s="80"/>
    </row>
    <row r="5024" spans="5:35" x14ac:dyDescent="0.25">
      <c r="E5024" s="16"/>
      <c r="F5024" s="16"/>
      <c r="H5024" s="16"/>
      <c r="AG5024" s="80"/>
      <c r="AH5024" s="80"/>
      <c r="AI5024" s="80"/>
    </row>
    <row r="5025" spans="5:35" x14ac:dyDescent="0.25">
      <c r="E5025" s="16"/>
      <c r="F5025" s="16"/>
      <c r="H5025" s="16"/>
      <c r="AG5025" s="80"/>
      <c r="AH5025" s="80"/>
      <c r="AI5025" s="80"/>
    </row>
    <row r="5026" spans="5:35" x14ac:dyDescent="0.25">
      <c r="E5026" s="16"/>
      <c r="F5026" s="16"/>
      <c r="H5026" s="16"/>
      <c r="AG5026" s="80"/>
      <c r="AH5026" s="80"/>
      <c r="AI5026" s="80"/>
    </row>
    <row r="5027" spans="5:35" x14ac:dyDescent="0.25">
      <c r="E5027" s="16"/>
      <c r="F5027" s="16"/>
      <c r="H5027" s="16"/>
      <c r="AG5027" s="80"/>
      <c r="AH5027" s="80"/>
      <c r="AI5027" s="80"/>
    </row>
    <row r="5028" spans="5:35" x14ac:dyDescent="0.25">
      <c r="E5028" s="16"/>
      <c r="F5028" s="16"/>
      <c r="H5028" s="16"/>
      <c r="AG5028" s="80"/>
      <c r="AH5028" s="80"/>
      <c r="AI5028" s="80"/>
    </row>
    <row r="5029" spans="5:35" x14ac:dyDescent="0.25">
      <c r="E5029" s="16"/>
      <c r="F5029" s="16"/>
      <c r="H5029" s="16"/>
      <c r="AG5029" s="80"/>
      <c r="AH5029" s="80"/>
      <c r="AI5029" s="80"/>
    </row>
    <row r="5030" spans="5:35" x14ac:dyDescent="0.25">
      <c r="E5030" s="16"/>
      <c r="F5030" s="16"/>
      <c r="H5030" s="16"/>
      <c r="AG5030" s="80"/>
      <c r="AH5030" s="80"/>
      <c r="AI5030" s="80"/>
    </row>
    <row r="5031" spans="5:35" x14ac:dyDescent="0.25">
      <c r="E5031" s="16"/>
      <c r="F5031" s="16"/>
      <c r="H5031" s="16"/>
      <c r="AG5031" s="80"/>
      <c r="AH5031" s="80"/>
      <c r="AI5031" s="80"/>
    </row>
    <row r="5032" spans="5:35" x14ac:dyDescent="0.25">
      <c r="E5032" s="16"/>
      <c r="F5032" s="16"/>
      <c r="H5032" s="16"/>
      <c r="AG5032" s="80"/>
      <c r="AH5032" s="80"/>
      <c r="AI5032" s="80"/>
    </row>
    <row r="5033" spans="5:35" x14ac:dyDescent="0.25">
      <c r="E5033" s="16"/>
      <c r="F5033" s="16"/>
      <c r="H5033" s="16"/>
      <c r="AG5033" s="80"/>
      <c r="AH5033" s="80"/>
      <c r="AI5033" s="80"/>
    </row>
    <row r="5034" spans="5:35" x14ac:dyDescent="0.25">
      <c r="E5034" s="16"/>
      <c r="F5034" s="16"/>
      <c r="H5034" s="16"/>
      <c r="AG5034" s="80"/>
      <c r="AH5034" s="80"/>
      <c r="AI5034" s="80"/>
    </row>
    <row r="5035" spans="5:35" x14ac:dyDescent="0.25">
      <c r="E5035" s="16"/>
      <c r="F5035" s="16"/>
      <c r="H5035" s="16"/>
      <c r="AG5035" s="80"/>
      <c r="AH5035" s="80"/>
      <c r="AI5035" s="80"/>
    </row>
    <row r="5036" spans="5:35" x14ac:dyDescent="0.25">
      <c r="E5036" s="16"/>
      <c r="F5036" s="16"/>
      <c r="H5036" s="16"/>
      <c r="AG5036" s="80"/>
      <c r="AH5036" s="80"/>
      <c r="AI5036" s="80"/>
    </row>
    <row r="5037" spans="5:35" x14ac:dyDescent="0.25">
      <c r="E5037" s="16"/>
      <c r="F5037" s="16"/>
      <c r="H5037" s="16"/>
      <c r="AG5037" s="80"/>
      <c r="AH5037" s="80"/>
      <c r="AI5037" s="80"/>
    </row>
    <row r="5038" spans="5:35" x14ac:dyDescent="0.25">
      <c r="E5038" s="16"/>
      <c r="F5038" s="16"/>
      <c r="H5038" s="16"/>
      <c r="AG5038" s="80"/>
      <c r="AH5038" s="80"/>
      <c r="AI5038" s="80"/>
    </row>
    <row r="5039" spans="5:35" x14ac:dyDescent="0.25">
      <c r="E5039" s="16"/>
      <c r="F5039" s="16"/>
      <c r="H5039" s="16"/>
      <c r="AG5039" s="80"/>
      <c r="AH5039" s="80"/>
      <c r="AI5039" s="80"/>
    </row>
    <row r="5040" spans="5:35" x14ac:dyDescent="0.25">
      <c r="E5040" s="16"/>
      <c r="F5040" s="16"/>
      <c r="H5040" s="16"/>
      <c r="AG5040" s="80"/>
      <c r="AH5040" s="80"/>
      <c r="AI5040" s="80"/>
    </row>
    <row r="5041" spans="5:35" x14ac:dyDescent="0.25">
      <c r="E5041" s="16"/>
      <c r="F5041" s="16"/>
      <c r="H5041" s="16"/>
      <c r="AG5041" s="80"/>
      <c r="AH5041" s="80"/>
      <c r="AI5041" s="80"/>
    </row>
    <row r="5042" spans="5:35" x14ac:dyDescent="0.25">
      <c r="E5042" s="16"/>
      <c r="F5042" s="16"/>
      <c r="H5042" s="16"/>
      <c r="AG5042" s="80"/>
      <c r="AH5042" s="80"/>
      <c r="AI5042" s="80"/>
    </row>
    <row r="5043" spans="5:35" x14ac:dyDescent="0.25">
      <c r="E5043" s="16"/>
      <c r="F5043" s="16"/>
      <c r="H5043" s="16"/>
      <c r="AG5043" s="80"/>
      <c r="AH5043" s="80"/>
      <c r="AI5043" s="80"/>
    </row>
    <row r="5044" spans="5:35" x14ac:dyDescent="0.25">
      <c r="E5044" s="16"/>
      <c r="F5044" s="16"/>
      <c r="H5044" s="16"/>
      <c r="AG5044" s="80"/>
      <c r="AH5044" s="80"/>
      <c r="AI5044" s="80"/>
    </row>
    <row r="5045" spans="5:35" x14ac:dyDescent="0.25">
      <c r="E5045" s="16"/>
      <c r="F5045" s="16"/>
      <c r="H5045" s="16"/>
      <c r="AG5045" s="80"/>
      <c r="AH5045" s="80"/>
      <c r="AI5045" s="80"/>
    </row>
    <row r="5046" spans="5:35" x14ac:dyDescent="0.25">
      <c r="E5046" s="16"/>
      <c r="F5046" s="16"/>
      <c r="H5046" s="16"/>
      <c r="AG5046" s="80"/>
      <c r="AH5046" s="80"/>
      <c r="AI5046" s="80"/>
    </row>
    <row r="5047" spans="5:35" x14ac:dyDescent="0.25">
      <c r="E5047" s="16"/>
      <c r="F5047" s="16"/>
      <c r="H5047" s="16"/>
      <c r="AG5047" s="80"/>
      <c r="AH5047" s="80"/>
      <c r="AI5047" s="80"/>
    </row>
    <row r="5048" spans="5:35" x14ac:dyDescent="0.25">
      <c r="E5048" s="16"/>
      <c r="F5048" s="16"/>
      <c r="H5048" s="16"/>
      <c r="AG5048" s="80"/>
      <c r="AH5048" s="80"/>
      <c r="AI5048" s="80"/>
    </row>
    <row r="5049" spans="5:35" x14ac:dyDescent="0.25">
      <c r="E5049" s="16"/>
      <c r="F5049" s="16"/>
      <c r="H5049" s="16"/>
      <c r="AG5049" s="80"/>
      <c r="AH5049" s="80"/>
      <c r="AI5049" s="80"/>
    </row>
    <row r="5050" spans="5:35" x14ac:dyDescent="0.25">
      <c r="E5050" s="16"/>
      <c r="F5050" s="16"/>
      <c r="H5050" s="16"/>
      <c r="AG5050" s="80"/>
      <c r="AH5050" s="80"/>
      <c r="AI5050" s="80"/>
    </row>
    <row r="5051" spans="5:35" x14ac:dyDescent="0.25">
      <c r="E5051" s="16"/>
      <c r="F5051" s="16"/>
      <c r="H5051" s="16"/>
      <c r="AG5051" s="80"/>
      <c r="AH5051" s="80"/>
      <c r="AI5051" s="80"/>
    </row>
    <row r="5052" spans="5:35" x14ac:dyDescent="0.25">
      <c r="E5052" s="16"/>
      <c r="F5052" s="16"/>
      <c r="H5052" s="16"/>
      <c r="AG5052" s="80"/>
      <c r="AH5052" s="80"/>
      <c r="AI5052" s="80"/>
    </row>
    <row r="5053" spans="5:35" x14ac:dyDescent="0.25">
      <c r="E5053" s="16"/>
      <c r="F5053" s="16"/>
      <c r="H5053" s="16"/>
      <c r="AG5053" s="80"/>
      <c r="AH5053" s="80"/>
      <c r="AI5053" s="80"/>
    </row>
    <row r="5054" spans="5:35" x14ac:dyDescent="0.25">
      <c r="E5054" s="16"/>
      <c r="F5054" s="16"/>
      <c r="H5054" s="16"/>
      <c r="AG5054" s="80"/>
      <c r="AH5054" s="80"/>
      <c r="AI5054" s="80"/>
    </row>
    <row r="5055" spans="5:35" x14ac:dyDescent="0.25">
      <c r="E5055" s="16"/>
      <c r="F5055" s="16"/>
      <c r="H5055" s="16"/>
      <c r="AG5055" s="80"/>
      <c r="AH5055" s="80"/>
      <c r="AI5055" s="80"/>
    </row>
    <row r="5056" spans="5:35" x14ac:dyDescent="0.25">
      <c r="E5056" s="16"/>
      <c r="F5056" s="16"/>
      <c r="H5056" s="16"/>
      <c r="AG5056" s="80"/>
      <c r="AH5056" s="80"/>
      <c r="AI5056" s="80"/>
    </row>
    <row r="5057" spans="5:35" x14ac:dyDescent="0.25">
      <c r="E5057" s="16"/>
      <c r="F5057" s="16"/>
      <c r="H5057" s="16"/>
      <c r="AG5057" s="80"/>
      <c r="AH5057" s="80"/>
      <c r="AI5057" s="80"/>
    </row>
    <row r="5058" spans="5:35" x14ac:dyDescent="0.25">
      <c r="E5058" s="16"/>
      <c r="F5058" s="16"/>
      <c r="H5058" s="16"/>
      <c r="AG5058" s="80"/>
      <c r="AH5058" s="80"/>
      <c r="AI5058" s="80"/>
    </row>
    <row r="5059" spans="5:35" x14ac:dyDescent="0.25">
      <c r="E5059" s="16"/>
      <c r="F5059" s="16"/>
      <c r="H5059" s="16"/>
      <c r="AG5059" s="80"/>
      <c r="AH5059" s="80"/>
      <c r="AI5059" s="80"/>
    </row>
    <row r="5060" spans="5:35" x14ac:dyDescent="0.25">
      <c r="E5060" s="16"/>
      <c r="F5060" s="16"/>
      <c r="H5060" s="16"/>
      <c r="AG5060" s="80"/>
      <c r="AH5060" s="80"/>
      <c r="AI5060" s="80"/>
    </row>
    <row r="5061" spans="5:35" x14ac:dyDescent="0.25">
      <c r="E5061" s="16"/>
      <c r="F5061" s="16"/>
      <c r="H5061" s="16"/>
      <c r="AG5061" s="80"/>
      <c r="AH5061" s="80"/>
      <c r="AI5061" s="80"/>
    </row>
    <row r="5062" spans="5:35" x14ac:dyDescent="0.25">
      <c r="E5062" s="16"/>
      <c r="F5062" s="16"/>
      <c r="H5062" s="16"/>
      <c r="AG5062" s="80"/>
      <c r="AH5062" s="80"/>
      <c r="AI5062" s="80"/>
    </row>
    <row r="5063" spans="5:35" x14ac:dyDescent="0.25">
      <c r="E5063" s="16"/>
      <c r="F5063" s="16"/>
      <c r="H5063" s="16"/>
      <c r="AG5063" s="80"/>
      <c r="AH5063" s="80"/>
      <c r="AI5063" s="80"/>
    </row>
    <row r="5064" spans="5:35" x14ac:dyDescent="0.25">
      <c r="E5064" s="16"/>
      <c r="F5064" s="16"/>
      <c r="H5064" s="16"/>
      <c r="AG5064" s="80"/>
      <c r="AH5064" s="80"/>
      <c r="AI5064" s="80"/>
    </row>
    <row r="5065" spans="5:35" x14ac:dyDescent="0.25">
      <c r="E5065" s="16"/>
      <c r="F5065" s="16"/>
      <c r="H5065" s="16"/>
      <c r="AG5065" s="80"/>
      <c r="AH5065" s="80"/>
      <c r="AI5065" s="80"/>
    </row>
    <row r="5066" spans="5:35" x14ac:dyDescent="0.25">
      <c r="E5066" s="16"/>
      <c r="F5066" s="16"/>
      <c r="H5066" s="16"/>
      <c r="AG5066" s="80"/>
      <c r="AH5066" s="80"/>
      <c r="AI5066" s="80"/>
    </row>
    <row r="5067" spans="5:35" x14ac:dyDescent="0.25">
      <c r="E5067" s="16"/>
      <c r="F5067" s="16"/>
      <c r="H5067" s="16"/>
      <c r="AG5067" s="80"/>
      <c r="AH5067" s="80"/>
      <c r="AI5067" s="80"/>
    </row>
    <row r="5068" spans="5:35" x14ac:dyDescent="0.25">
      <c r="E5068" s="16"/>
      <c r="F5068" s="16"/>
      <c r="H5068" s="16"/>
      <c r="AG5068" s="80"/>
      <c r="AH5068" s="80"/>
      <c r="AI5068" s="80"/>
    </row>
    <row r="5069" spans="5:35" x14ac:dyDescent="0.25">
      <c r="E5069" s="16"/>
      <c r="F5069" s="16"/>
      <c r="H5069" s="16"/>
      <c r="AG5069" s="80"/>
      <c r="AH5069" s="80"/>
      <c r="AI5069" s="80"/>
    </row>
    <row r="5070" spans="5:35" x14ac:dyDescent="0.25">
      <c r="E5070" s="16"/>
      <c r="F5070" s="16"/>
      <c r="H5070" s="16"/>
      <c r="AG5070" s="80"/>
      <c r="AH5070" s="80"/>
      <c r="AI5070" s="80"/>
    </row>
    <row r="5071" spans="5:35" x14ac:dyDescent="0.25">
      <c r="E5071" s="16"/>
      <c r="F5071" s="16"/>
      <c r="H5071" s="16"/>
      <c r="AG5071" s="80"/>
      <c r="AH5071" s="80"/>
      <c r="AI5071" s="80"/>
    </row>
    <row r="5072" spans="5:35" x14ac:dyDescent="0.25">
      <c r="E5072" s="16"/>
      <c r="F5072" s="16"/>
      <c r="H5072" s="16"/>
      <c r="AG5072" s="80"/>
      <c r="AH5072" s="80"/>
      <c r="AI5072" s="80"/>
    </row>
    <row r="5073" spans="5:35" x14ac:dyDescent="0.25">
      <c r="E5073" s="16"/>
      <c r="F5073" s="16"/>
      <c r="H5073" s="16"/>
      <c r="AG5073" s="80"/>
      <c r="AH5073" s="80"/>
      <c r="AI5073" s="80"/>
    </row>
    <row r="5074" spans="5:35" x14ac:dyDescent="0.25">
      <c r="E5074" s="16"/>
      <c r="F5074" s="16"/>
      <c r="H5074" s="16"/>
      <c r="AG5074" s="80"/>
      <c r="AH5074" s="80"/>
      <c r="AI5074" s="80"/>
    </row>
    <row r="5075" spans="5:35" x14ac:dyDescent="0.25">
      <c r="E5075" s="16"/>
      <c r="F5075" s="16"/>
      <c r="H5075" s="16"/>
      <c r="AG5075" s="80"/>
      <c r="AH5075" s="80"/>
      <c r="AI5075" s="80"/>
    </row>
    <row r="5076" spans="5:35" x14ac:dyDescent="0.25">
      <c r="E5076" s="16"/>
      <c r="F5076" s="16"/>
      <c r="H5076" s="16"/>
      <c r="AG5076" s="80"/>
      <c r="AH5076" s="80"/>
      <c r="AI5076" s="80"/>
    </row>
    <row r="5077" spans="5:35" x14ac:dyDescent="0.25">
      <c r="E5077" s="16"/>
      <c r="F5077" s="16"/>
      <c r="H5077" s="16"/>
      <c r="AG5077" s="80"/>
      <c r="AH5077" s="80"/>
      <c r="AI5077" s="80"/>
    </row>
    <row r="5078" spans="5:35" x14ac:dyDescent="0.25">
      <c r="E5078" s="16"/>
      <c r="F5078" s="16"/>
      <c r="H5078" s="16"/>
      <c r="AG5078" s="80"/>
      <c r="AH5078" s="80"/>
      <c r="AI5078" s="80"/>
    </row>
    <row r="5079" spans="5:35" x14ac:dyDescent="0.25">
      <c r="E5079" s="16"/>
      <c r="F5079" s="16"/>
      <c r="H5079" s="16"/>
      <c r="AG5079" s="80"/>
      <c r="AH5079" s="80"/>
      <c r="AI5079" s="80"/>
    </row>
    <row r="5080" spans="5:35" x14ac:dyDescent="0.25">
      <c r="E5080" s="16"/>
      <c r="F5080" s="16"/>
      <c r="H5080" s="16"/>
      <c r="AG5080" s="80"/>
      <c r="AH5080" s="80"/>
      <c r="AI5080" s="80"/>
    </row>
    <row r="5081" spans="5:35" x14ac:dyDescent="0.25">
      <c r="E5081" s="16"/>
      <c r="F5081" s="16"/>
      <c r="H5081" s="16"/>
      <c r="AG5081" s="80"/>
      <c r="AH5081" s="80"/>
      <c r="AI5081" s="80"/>
    </row>
    <row r="5082" spans="5:35" x14ac:dyDescent="0.25">
      <c r="E5082" s="16"/>
      <c r="F5082" s="16"/>
      <c r="H5082" s="16"/>
      <c r="AG5082" s="80"/>
      <c r="AH5082" s="80"/>
      <c r="AI5082" s="80"/>
    </row>
    <row r="5083" spans="5:35" x14ac:dyDescent="0.25">
      <c r="E5083" s="16"/>
      <c r="F5083" s="16"/>
      <c r="H5083" s="16"/>
      <c r="AG5083" s="80"/>
      <c r="AH5083" s="80"/>
      <c r="AI5083" s="80"/>
    </row>
    <row r="5084" spans="5:35" x14ac:dyDescent="0.25">
      <c r="E5084" s="16"/>
      <c r="F5084" s="16"/>
      <c r="H5084" s="16"/>
      <c r="AG5084" s="80"/>
      <c r="AH5084" s="80"/>
      <c r="AI5084" s="80"/>
    </row>
    <row r="5085" spans="5:35" x14ac:dyDescent="0.25">
      <c r="E5085" s="16"/>
      <c r="F5085" s="16"/>
      <c r="H5085" s="16"/>
      <c r="AG5085" s="80"/>
      <c r="AH5085" s="80"/>
      <c r="AI5085" s="80"/>
    </row>
    <row r="5086" spans="5:35" x14ac:dyDescent="0.25">
      <c r="E5086" s="16"/>
      <c r="F5086" s="16"/>
      <c r="H5086" s="16"/>
      <c r="AG5086" s="80"/>
      <c r="AH5086" s="80"/>
      <c r="AI5086" s="80"/>
    </row>
    <row r="5087" spans="5:35" x14ac:dyDescent="0.25">
      <c r="E5087" s="16"/>
      <c r="F5087" s="16"/>
      <c r="H5087" s="16"/>
      <c r="AG5087" s="80"/>
      <c r="AH5087" s="80"/>
      <c r="AI5087" s="80"/>
    </row>
    <row r="5088" spans="5:35" x14ac:dyDescent="0.25">
      <c r="E5088" s="16"/>
      <c r="F5088" s="16"/>
      <c r="H5088" s="16"/>
      <c r="AG5088" s="80"/>
      <c r="AH5088" s="80"/>
      <c r="AI5088" s="80"/>
    </row>
    <row r="5089" spans="5:35" x14ac:dyDescent="0.25">
      <c r="E5089" s="16"/>
      <c r="F5089" s="16"/>
      <c r="H5089" s="16"/>
      <c r="AG5089" s="80"/>
      <c r="AH5089" s="80"/>
      <c r="AI5089" s="80"/>
    </row>
    <row r="5090" spans="5:35" x14ac:dyDescent="0.25">
      <c r="E5090" s="16"/>
      <c r="F5090" s="16"/>
      <c r="H5090" s="16"/>
      <c r="AG5090" s="80"/>
      <c r="AH5090" s="80"/>
      <c r="AI5090" s="80"/>
    </row>
    <row r="5091" spans="5:35" x14ac:dyDescent="0.25">
      <c r="E5091" s="16"/>
      <c r="F5091" s="16"/>
      <c r="H5091" s="16"/>
      <c r="AG5091" s="80"/>
      <c r="AH5091" s="80"/>
      <c r="AI5091" s="80"/>
    </row>
    <row r="5092" spans="5:35" x14ac:dyDescent="0.25">
      <c r="E5092" s="16"/>
      <c r="F5092" s="16"/>
      <c r="H5092" s="16"/>
      <c r="AG5092" s="80"/>
      <c r="AH5092" s="80"/>
      <c r="AI5092" s="80"/>
    </row>
    <row r="5093" spans="5:35" x14ac:dyDescent="0.25">
      <c r="E5093" s="16"/>
      <c r="F5093" s="16"/>
      <c r="H5093" s="16"/>
      <c r="AG5093" s="80"/>
      <c r="AH5093" s="80"/>
      <c r="AI5093" s="80"/>
    </row>
    <row r="5094" spans="5:35" x14ac:dyDescent="0.25">
      <c r="E5094" s="16"/>
      <c r="F5094" s="16"/>
      <c r="H5094" s="16"/>
      <c r="AG5094" s="80"/>
      <c r="AH5094" s="80"/>
      <c r="AI5094" s="80"/>
    </row>
    <row r="5095" spans="5:35" x14ac:dyDescent="0.25">
      <c r="E5095" s="16"/>
      <c r="F5095" s="16"/>
      <c r="H5095" s="16"/>
      <c r="AG5095" s="80"/>
      <c r="AH5095" s="80"/>
      <c r="AI5095" s="80"/>
    </row>
    <row r="5096" spans="5:35" x14ac:dyDescent="0.25">
      <c r="E5096" s="16"/>
      <c r="F5096" s="16"/>
      <c r="H5096" s="16"/>
      <c r="AG5096" s="80"/>
      <c r="AH5096" s="80"/>
      <c r="AI5096" s="80"/>
    </row>
    <row r="5097" spans="5:35" x14ac:dyDescent="0.25">
      <c r="E5097" s="16"/>
      <c r="F5097" s="16"/>
      <c r="H5097" s="16"/>
      <c r="AG5097" s="80"/>
      <c r="AH5097" s="80"/>
      <c r="AI5097" s="80"/>
    </row>
    <row r="5098" spans="5:35" x14ac:dyDescent="0.25">
      <c r="E5098" s="16"/>
      <c r="F5098" s="16"/>
      <c r="H5098" s="16"/>
      <c r="AG5098" s="80"/>
      <c r="AH5098" s="80"/>
      <c r="AI5098" s="80"/>
    </row>
    <row r="5099" spans="5:35" x14ac:dyDescent="0.25">
      <c r="E5099" s="16"/>
      <c r="F5099" s="16"/>
      <c r="H5099" s="16"/>
      <c r="AG5099" s="80"/>
      <c r="AH5099" s="80"/>
      <c r="AI5099" s="80"/>
    </row>
    <row r="5100" spans="5:35" x14ac:dyDescent="0.25">
      <c r="E5100" s="16"/>
      <c r="F5100" s="16"/>
      <c r="H5100" s="16"/>
      <c r="AG5100" s="80"/>
      <c r="AH5100" s="80"/>
      <c r="AI5100" s="80"/>
    </row>
    <row r="5101" spans="5:35" x14ac:dyDescent="0.25">
      <c r="E5101" s="16"/>
      <c r="F5101" s="16"/>
      <c r="H5101" s="16"/>
      <c r="AG5101" s="80"/>
      <c r="AH5101" s="80"/>
      <c r="AI5101" s="80"/>
    </row>
    <row r="5102" spans="5:35" x14ac:dyDescent="0.25">
      <c r="E5102" s="16"/>
      <c r="F5102" s="16"/>
      <c r="H5102" s="16"/>
      <c r="AG5102" s="80"/>
      <c r="AH5102" s="80"/>
      <c r="AI5102" s="80"/>
    </row>
    <row r="5103" spans="5:35" x14ac:dyDescent="0.25">
      <c r="E5103" s="16"/>
      <c r="F5103" s="16"/>
      <c r="H5103" s="16"/>
      <c r="AG5103" s="80"/>
      <c r="AH5103" s="80"/>
      <c r="AI5103" s="80"/>
    </row>
    <row r="5104" spans="5:35" x14ac:dyDescent="0.25">
      <c r="E5104" s="16"/>
      <c r="F5104" s="16"/>
      <c r="H5104" s="16"/>
      <c r="AG5104" s="80"/>
      <c r="AH5104" s="80"/>
      <c r="AI5104" s="80"/>
    </row>
    <row r="5105" spans="5:35" x14ac:dyDescent="0.25">
      <c r="E5105" s="16"/>
      <c r="F5105" s="16"/>
      <c r="H5105" s="16"/>
      <c r="AG5105" s="80"/>
      <c r="AH5105" s="80"/>
      <c r="AI5105" s="80"/>
    </row>
    <row r="5106" spans="5:35" x14ac:dyDescent="0.25">
      <c r="E5106" s="16"/>
      <c r="F5106" s="16"/>
      <c r="H5106" s="16"/>
      <c r="AG5106" s="80"/>
      <c r="AH5106" s="80"/>
      <c r="AI5106" s="80"/>
    </row>
    <row r="5107" spans="5:35" x14ac:dyDescent="0.25">
      <c r="E5107" s="16"/>
      <c r="F5107" s="16"/>
      <c r="H5107" s="16"/>
      <c r="AG5107" s="80"/>
      <c r="AH5107" s="80"/>
      <c r="AI5107" s="80"/>
    </row>
    <row r="5108" spans="5:35" x14ac:dyDescent="0.25">
      <c r="E5108" s="16"/>
      <c r="F5108" s="16"/>
      <c r="H5108" s="16"/>
      <c r="AG5108" s="80"/>
      <c r="AH5108" s="80"/>
      <c r="AI5108" s="80"/>
    </row>
    <row r="5109" spans="5:35" x14ac:dyDescent="0.25">
      <c r="E5109" s="16"/>
      <c r="F5109" s="16"/>
      <c r="H5109" s="16"/>
      <c r="AG5109" s="80"/>
      <c r="AH5109" s="80"/>
      <c r="AI5109" s="80"/>
    </row>
    <row r="5110" spans="5:35" x14ac:dyDescent="0.25">
      <c r="E5110" s="16"/>
      <c r="F5110" s="16"/>
      <c r="H5110" s="16"/>
      <c r="AG5110" s="80"/>
      <c r="AH5110" s="80"/>
      <c r="AI5110" s="80"/>
    </row>
    <row r="5111" spans="5:35" x14ac:dyDescent="0.25">
      <c r="E5111" s="16"/>
      <c r="F5111" s="16"/>
      <c r="H5111" s="16"/>
      <c r="AG5111" s="80"/>
      <c r="AH5111" s="80"/>
      <c r="AI5111" s="80"/>
    </row>
    <row r="5112" spans="5:35" x14ac:dyDescent="0.25">
      <c r="E5112" s="16"/>
      <c r="F5112" s="16"/>
      <c r="H5112" s="16"/>
      <c r="AG5112" s="80"/>
      <c r="AH5112" s="80"/>
      <c r="AI5112" s="80"/>
    </row>
    <row r="5113" spans="5:35" x14ac:dyDescent="0.25">
      <c r="E5113" s="16"/>
      <c r="F5113" s="16"/>
      <c r="H5113" s="16"/>
      <c r="AG5113" s="80"/>
      <c r="AH5113" s="80"/>
      <c r="AI5113" s="80"/>
    </row>
    <row r="5114" spans="5:35" x14ac:dyDescent="0.25">
      <c r="E5114" s="16"/>
      <c r="F5114" s="16"/>
      <c r="H5114" s="16"/>
      <c r="AG5114" s="80"/>
      <c r="AH5114" s="80"/>
      <c r="AI5114" s="80"/>
    </row>
    <row r="5115" spans="5:35" x14ac:dyDescent="0.25">
      <c r="E5115" s="16"/>
      <c r="F5115" s="16"/>
      <c r="H5115" s="16"/>
      <c r="AG5115" s="80"/>
      <c r="AH5115" s="80"/>
      <c r="AI5115" s="80"/>
    </row>
    <row r="5116" spans="5:35" x14ac:dyDescent="0.25">
      <c r="E5116" s="16"/>
      <c r="F5116" s="16"/>
      <c r="H5116" s="16"/>
      <c r="AG5116" s="80"/>
      <c r="AH5116" s="80"/>
      <c r="AI5116" s="80"/>
    </row>
    <row r="5117" spans="5:35" x14ac:dyDescent="0.25">
      <c r="E5117" s="16"/>
      <c r="F5117" s="16"/>
      <c r="H5117" s="16"/>
      <c r="AG5117" s="80"/>
      <c r="AH5117" s="80"/>
      <c r="AI5117" s="80"/>
    </row>
    <row r="5118" spans="5:35" x14ac:dyDescent="0.25">
      <c r="E5118" s="16"/>
      <c r="F5118" s="16"/>
      <c r="H5118" s="16"/>
      <c r="AG5118" s="80"/>
      <c r="AH5118" s="80"/>
      <c r="AI5118" s="80"/>
    </row>
    <row r="5119" spans="5:35" x14ac:dyDescent="0.25">
      <c r="E5119" s="16"/>
      <c r="F5119" s="16"/>
      <c r="H5119" s="16"/>
      <c r="AG5119" s="80"/>
      <c r="AH5119" s="80"/>
      <c r="AI5119" s="80"/>
    </row>
    <row r="5120" spans="5:35" x14ac:dyDescent="0.25">
      <c r="E5120" s="16"/>
      <c r="F5120" s="16"/>
      <c r="H5120" s="16"/>
      <c r="AG5120" s="80"/>
      <c r="AH5120" s="80"/>
      <c r="AI5120" s="80"/>
    </row>
    <row r="5121" spans="5:35" x14ac:dyDescent="0.25">
      <c r="E5121" s="16"/>
      <c r="F5121" s="16"/>
      <c r="H5121" s="16"/>
      <c r="AG5121" s="80"/>
      <c r="AH5121" s="80"/>
      <c r="AI5121" s="80"/>
    </row>
    <row r="5122" spans="5:35" x14ac:dyDescent="0.25">
      <c r="E5122" s="16"/>
      <c r="F5122" s="16"/>
      <c r="H5122" s="16"/>
      <c r="AG5122" s="80"/>
      <c r="AH5122" s="80"/>
      <c r="AI5122" s="80"/>
    </row>
    <row r="5123" spans="5:35" x14ac:dyDescent="0.25">
      <c r="E5123" s="16"/>
      <c r="F5123" s="16"/>
      <c r="H5123" s="16"/>
      <c r="AG5123" s="80"/>
      <c r="AH5123" s="80"/>
      <c r="AI5123" s="80"/>
    </row>
    <row r="5124" spans="5:35" x14ac:dyDescent="0.25">
      <c r="E5124" s="16"/>
      <c r="F5124" s="16"/>
      <c r="H5124" s="16"/>
      <c r="AG5124" s="80"/>
      <c r="AH5124" s="80"/>
      <c r="AI5124" s="80"/>
    </row>
    <row r="5125" spans="5:35" x14ac:dyDescent="0.25">
      <c r="E5125" s="16"/>
      <c r="F5125" s="16"/>
      <c r="H5125" s="16"/>
      <c r="AG5125" s="80"/>
      <c r="AH5125" s="80"/>
      <c r="AI5125" s="80"/>
    </row>
    <row r="5126" spans="5:35" x14ac:dyDescent="0.25">
      <c r="E5126" s="16"/>
      <c r="F5126" s="16"/>
      <c r="H5126" s="16"/>
      <c r="AG5126" s="80"/>
      <c r="AH5126" s="80"/>
      <c r="AI5126" s="80"/>
    </row>
    <row r="5127" spans="5:35" x14ac:dyDescent="0.25">
      <c r="E5127" s="16"/>
      <c r="F5127" s="16"/>
      <c r="H5127" s="16"/>
      <c r="AG5127" s="80"/>
      <c r="AH5127" s="80"/>
      <c r="AI5127" s="80"/>
    </row>
    <row r="5128" spans="5:35" x14ac:dyDescent="0.25">
      <c r="E5128" s="16"/>
      <c r="F5128" s="16"/>
      <c r="H5128" s="16"/>
      <c r="AG5128" s="80"/>
      <c r="AH5128" s="80"/>
      <c r="AI5128" s="80"/>
    </row>
    <row r="5129" spans="5:35" x14ac:dyDescent="0.25">
      <c r="E5129" s="16"/>
      <c r="F5129" s="16"/>
      <c r="H5129" s="16"/>
      <c r="AG5129" s="80"/>
      <c r="AH5129" s="80"/>
      <c r="AI5129" s="80"/>
    </row>
    <row r="5130" spans="5:35" x14ac:dyDescent="0.25">
      <c r="E5130" s="16"/>
      <c r="F5130" s="16"/>
      <c r="H5130" s="16"/>
      <c r="AG5130" s="80"/>
      <c r="AH5130" s="80"/>
      <c r="AI5130" s="80"/>
    </row>
    <row r="5131" spans="5:35" x14ac:dyDescent="0.25">
      <c r="E5131" s="16"/>
      <c r="F5131" s="16"/>
      <c r="H5131" s="16"/>
      <c r="AG5131" s="80"/>
      <c r="AH5131" s="80"/>
      <c r="AI5131" s="80"/>
    </row>
    <row r="5132" spans="5:35" x14ac:dyDescent="0.25">
      <c r="E5132" s="16"/>
      <c r="F5132" s="16"/>
      <c r="H5132" s="16"/>
      <c r="AG5132" s="80"/>
      <c r="AH5132" s="80"/>
      <c r="AI5132" s="80"/>
    </row>
    <row r="5133" spans="5:35" x14ac:dyDescent="0.25">
      <c r="E5133" s="16"/>
      <c r="F5133" s="16"/>
      <c r="H5133" s="16"/>
      <c r="AG5133" s="80"/>
      <c r="AH5133" s="80"/>
      <c r="AI5133" s="80"/>
    </row>
    <row r="5134" spans="5:35" x14ac:dyDescent="0.25">
      <c r="E5134" s="16"/>
      <c r="F5134" s="16"/>
      <c r="H5134" s="16"/>
      <c r="AG5134" s="80"/>
      <c r="AH5134" s="80"/>
      <c r="AI5134" s="80"/>
    </row>
    <row r="5135" spans="5:35" x14ac:dyDescent="0.25">
      <c r="E5135" s="16"/>
      <c r="F5135" s="16"/>
      <c r="H5135" s="16"/>
      <c r="AG5135" s="80"/>
      <c r="AH5135" s="80"/>
      <c r="AI5135" s="80"/>
    </row>
    <row r="5136" spans="5:35" x14ac:dyDescent="0.25">
      <c r="E5136" s="16"/>
      <c r="F5136" s="16"/>
      <c r="H5136" s="16"/>
      <c r="AG5136" s="80"/>
      <c r="AH5136" s="80"/>
      <c r="AI5136" s="80"/>
    </row>
    <row r="5137" spans="5:35" x14ac:dyDescent="0.25">
      <c r="E5137" s="16"/>
      <c r="F5137" s="16"/>
      <c r="H5137" s="16"/>
      <c r="AG5137" s="80"/>
      <c r="AH5137" s="80"/>
      <c r="AI5137" s="80"/>
    </row>
    <row r="5138" spans="5:35" x14ac:dyDescent="0.25">
      <c r="E5138" s="16"/>
      <c r="F5138" s="16"/>
      <c r="H5138" s="16"/>
      <c r="AG5138" s="80"/>
      <c r="AH5138" s="80"/>
      <c r="AI5138" s="80"/>
    </row>
    <row r="5139" spans="5:35" x14ac:dyDescent="0.25">
      <c r="E5139" s="16"/>
      <c r="F5139" s="16"/>
      <c r="H5139" s="16"/>
      <c r="AG5139" s="80"/>
      <c r="AH5139" s="80"/>
      <c r="AI5139" s="80"/>
    </row>
    <row r="5140" spans="5:35" x14ac:dyDescent="0.25">
      <c r="E5140" s="16"/>
      <c r="F5140" s="16"/>
      <c r="H5140" s="16"/>
      <c r="AG5140" s="80"/>
      <c r="AH5140" s="80"/>
      <c r="AI5140" s="80"/>
    </row>
    <row r="5141" spans="5:35" x14ac:dyDescent="0.25">
      <c r="E5141" s="16"/>
      <c r="F5141" s="16"/>
      <c r="H5141" s="16"/>
      <c r="AG5141" s="80"/>
      <c r="AH5141" s="80"/>
      <c r="AI5141" s="80"/>
    </row>
    <row r="5142" spans="5:35" x14ac:dyDescent="0.25">
      <c r="E5142" s="16"/>
      <c r="F5142" s="16"/>
      <c r="H5142" s="16"/>
      <c r="AG5142" s="80"/>
      <c r="AH5142" s="80"/>
      <c r="AI5142" s="80"/>
    </row>
    <row r="5143" spans="5:35" x14ac:dyDescent="0.25">
      <c r="E5143" s="16"/>
      <c r="F5143" s="16"/>
      <c r="H5143" s="16"/>
      <c r="AG5143" s="80"/>
      <c r="AH5143" s="80"/>
      <c r="AI5143" s="80"/>
    </row>
    <row r="5144" spans="5:35" x14ac:dyDescent="0.25">
      <c r="E5144" s="16"/>
      <c r="F5144" s="16"/>
      <c r="H5144" s="16"/>
      <c r="AG5144" s="80"/>
      <c r="AH5144" s="80"/>
      <c r="AI5144" s="80"/>
    </row>
    <row r="5145" spans="5:35" x14ac:dyDescent="0.25">
      <c r="E5145" s="16"/>
      <c r="F5145" s="16"/>
      <c r="H5145" s="16"/>
      <c r="AG5145" s="80"/>
      <c r="AH5145" s="80"/>
      <c r="AI5145" s="80"/>
    </row>
    <row r="5146" spans="5:35" x14ac:dyDescent="0.25">
      <c r="E5146" s="16"/>
      <c r="F5146" s="16"/>
      <c r="H5146" s="16"/>
      <c r="AG5146" s="80"/>
      <c r="AH5146" s="80"/>
      <c r="AI5146" s="80"/>
    </row>
    <row r="5147" spans="5:35" x14ac:dyDescent="0.25">
      <c r="E5147" s="16"/>
      <c r="F5147" s="16"/>
      <c r="H5147" s="16"/>
      <c r="AG5147" s="80"/>
      <c r="AH5147" s="80"/>
      <c r="AI5147" s="80"/>
    </row>
    <row r="5148" spans="5:35" x14ac:dyDescent="0.25">
      <c r="E5148" s="16"/>
      <c r="F5148" s="16"/>
      <c r="H5148" s="16"/>
      <c r="AG5148" s="80"/>
      <c r="AH5148" s="80"/>
      <c r="AI5148" s="80"/>
    </row>
    <row r="5149" spans="5:35" x14ac:dyDescent="0.25">
      <c r="E5149" s="16"/>
      <c r="F5149" s="16"/>
      <c r="H5149" s="16"/>
      <c r="AG5149" s="80"/>
      <c r="AH5149" s="80"/>
      <c r="AI5149" s="80"/>
    </row>
    <row r="5150" spans="5:35" x14ac:dyDescent="0.25">
      <c r="E5150" s="16"/>
      <c r="F5150" s="16"/>
      <c r="H5150" s="16"/>
      <c r="AG5150" s="80"/>
      <c r="AH5150" s="80"/>
      <c r="AI5150" s="80"/>
    </row>
    <row r="5151" spans="5:35" x14ac:dyDescent="0.25">
      <c r="E5151" s="16"/>
      <c r="F5151" s="16"/>
      <c r="H5151" s="16"/>
      <c r="AG5151" s="80"/>
      <c r="AH5151" s="80"/>
      <c r="AI5151" s="80"/>
    </row>
    <row r="5152" spans="5:35" x14ac:dyDescent="0.25">
      <c r="E5152" s="16"/>
      <c r="F5152" s="16"/>
      <c r="H5152" s="16"/>
      <c r="AG5152" s="80"/>
      <c r="AH5152" s="80"/>
      <c r="AI5152" s="80"/>
    </row>
    <row r="5153" spans="5:35" x14ac:dyDescent="0.25">
      <c r="E5153" s="16"/>
      <c r="F5153" s="16"/>
      <c r="H5153" s="16"/>
      <c r="AG5153" s="80"/>
      <c r="AH5153" s="80"/>
      <c r="AI5153" s="80"/>
    </row>
    <row r="5154" spans="5:35" x14ac:dyDescent="0.25">
      <c r="E5154" s="16"/>
      <c r="F5154" s="16"/>
      <c r="H5154" s="16"/>
      <c r="AG5154" s="80"/>
      <c r="AH5154" s="80"/>
      <c r="AI5154" s="80"/>
    </row>
    <row r="5155" spans="5:35" x14ac:dyDescent="0.25">
      <c r="E5155" s="16"/>
      <c r="F5155" s="16"/>
      <c r="H5155" s="16"/>
      <c r="AG5155" s="80"/>
      <c r="AH5155" s="80"/>
      <c r="AI5155" s="80"/>
    </row>
    <row r="5156" spans="5:35" x14ac:dyDescent="0.25">
      <c r="E5156" s="16"/>
      <c r="F5156" s="16"/>
      <c r="H5156" s="16"/>
      <c r="AG5156" s="80"/>
      <c r="AH5156" s="80"/>
      <c r="AI5156" s="80"/>
    </row>
    <row r="5157" spans="5:35" x14ac:dyDescent="0.25">
      <c r="E5157" s="16"/>
      <c r="F5157" s="16"/>
      <c r="H5157" s="16"/>
      <c r="AG5157" s="80"/>
      <c r="AH5157" s="80"/>
      <c r="AI5157" s="80"/>
    </row>
    <row r="5158" spans="5:35" x14ac:dyDescent="0.25">
      <c r="E5158" s="16"/>
      <c r="F5158" s="16"/>
      <c r="H5158" s="16"/>
      <c r="AG5158" s="80"/>
      <c r="AH5158" s="80"/>
      <c r="AI5158" s="80"/>
    </row>
    <row r="5159" spans="5:35" x14ac:dyDescent="0.25">
      <c r="E5159" s="16"/>
      <c r="F5159" s="16"/>
      <c r="H5159" s="16"/>
      <c r="AG5159" s="80"/>
      <c r="AH5159" s="80"/>
      <c r="AI5159" s="80"/>
    </row>
    <row r="5160" spans="5:35" x14ac:dyDescent="0.25">
      <c r="E5160" s="16"/>
      <c r="F5160" s="16"/>
      <c r="H5160" s="16"/>
      <c r="AG5160" s="80"/>
      <c r="AH5160" s="80"/>
      <c r="AI5160" s="80"/>
    </row>
    <row r="5161" spans="5:35" x14ac:dyDescent="0.25">
      <c r="E5161" s="16"/>
      <c r="F5161" s="16"/>
      <c r="H5161" s="16"/>
      <c r="AG5161" s="80"/>
      <c r="AH5161" s="80"/>
      <c r="AI5161" s="80"/>
    </row>
    <row r="5162" spans="5:35" x14ac:dyDescent="0.25">
      <c r="E5162" s="16"/>
      <c r="F5162" s="16"/>
      <c r="H5162" s="16"/>
      <c r="AG5162" s="80"/>
      <c r="AH5162" s="80"/>
      <c r="AI5162" s="80"/>
    </row>
    <row r="5163" spans="5:35" x14ac:dyDescent="0.25">
      <c r="E5163" s="16"/>
      <c r="F5163" s="16"/>
      <c r="H5163" s="16"/>
      <c r="AG5163" s="80"/>
      <c r="AH5163" s="80"/>
      <c r="AI5163" s="80"/>
    </row>
    <row r="5164" spans="5:35" x14ac:dyDescent="0.25">
      <c r="E5164" s="16"/>
      <c r="F5164" s="16"/>
      <c r="H5164" s="16"/>
      <c r="AG5164" s="80"/>
      <c r="AH5164" s="80"/>
      <c r="AI5164" s="80"/>
    </row>
    <row r="5165" spans="5:35" x14ac:dyDescent="0.25">
      <c r="E5165" s="16"/>
      <c r="F5165" s="16"/>
      <c r="H5165" s="16"/>
      <c r="AG5165" s="80"/>
      <c r="AH5165" s="80"/>
      <c r="AI5165" s="80"/>
    </row>
    <row r="5166" spans="5:35" x14ac:dyDescent="0.25">
      <c r="E5166" s="16"/>
      <c r="F5166" s="16"/>
      <c r="H5166" s="16"/>
      <c r="AG5166" s="80"/>
      <c r="AH5166" s="80"/>
      <c r="AI5166" s="80"/>
    </row>
    <row r="5167" spans="5:35" x14ac:dyDescent="0.25">
      <c r="E5167" s="16"/>
      <c r="F5167" s="16"/>
      <c r="H5167" s="16"/>
      <c r="AG5167" s="80"/>
      <c r="AH5167" s="80"/>
      <c r="AI5167" s="80"/>
    </row>
    <row r="5168" spans="5:35" x14ac:dyDescent="0.25">
      <c r="E5168" s="16"/>
      <c r="F5168" s="16"/>
      <c r="H5168" s="16"/>
      <c r="AG5168" s="80"/>
      <c r="AH5168" s="80"/>
      <c r="AI5168" s="80"/>
    </row>
    <row r="5169" spans="5:35" x14ac:dyDescent="0.25">
      <c r="E5169" s="16"/>
      <c r="F5169" s="16"/>
      <c r="H5169" s="16"/>
      <c r="AG5169" s="80"/>
      <c r="AH5169" s="80"/>
      <c r="AI5169" s="80"/>
    </row>
    <row r="5170" spans="5:35" x14ac:dyDescent="0.25">
      <c r="E5170" s="16"/>
      <c r="F5170" s="16"/>
      <c r="H5170" s="16"/>
      <c r="AG5170" s="80"/>
      <c r="AH5170" s="80"/>
      <c r="AI5170" s="80"/>
    </row>
    <row r="5171" spans="5:35" x14ac:dyDescent="0.25">
      <c r="E5171" s="16"/>
      <c r="F5171" s="16"/>
      <c r="H5171" s="16"/>
      <c r="AG5171" s="80"/>
      <c r="AH5171" s="80"/>
      <c r="AI5171" s="80"/>
    </row>
    <row r="5172" spans="5:35" x14ac:dyDescent="0.25">
      <c r="E5172" s="16"/>
      <c r="F5172" s="16"/>
      <c r="H5172" s="16"/>
      <c r="AG5172" s="80"/>
      <c r="AH5172" s="80"/>
      <c r="AI5172" s="80"/>
    </row>
    <row r="5173" spans="5:35" x14ac:dyDescent="0.25">
      <c r="E5173" s="16"/>
      <c r="F5173" s="16"/>
      <c r="H5173" s="16"/>
      <c r="AG5173" s="80"/>
      <c r="AH5173" s="80"/>
      <c r="AI5173" s="80"/>
    </row>
    <row r="5174" spans="5:35" x14ac:dyDescent="0.25">
      <c r="E5174" s="16"/>
      <c r="F5174" s="16"/>
      <c r="H5174" s="16"/>
      <c r="AG5174" s="80"/>
      <c r="AH5174" s="80"/>
      <c r="AI5174" s="80"/>
    </row>
    <row r="5175" spans="5:35" x14ac:dyDescent="0.25">
      <c r="E5175" s="16"/>
      <c r="F5175" s="16"/>
      <c r="H5175" s="16"/>
      <c r="AG5175" s="80"/>
      <c r="AH5175" s="80"/>
      <c r="AI5175" s="80"/>
    </row>
    <row r="5176" spans="5:35" x14ac:dyDescent="0.25">
      <c r="E5176" s="16"/>
      <c r="F5176" s="16"/>
      <c r="H5176" s="16"/>
      <c r="AG5176" s="80"/>
      <c r="AH5176" s="80"/>
      <c r="AI5176" s="80"/>
    </row>
    <row r="5177" spans="5:35" x14ac:dyDescent="0.25">
      <c r="E5177" s="16"/>
      <c r="F5177" s="16"/>
      <c r="H5177" s="16"/>
      <c r="AG5177" s="80"/>
      <c r="AH5177" s="80"/>
      <c r="AI5177" s="80"/>
    </row>
    <row r="5178" spans="5:35" x14ac:dyDescent="0.25">
      <c r="E5178" s="16"/>
      <c r="F5178" s="16"/>
      <c r="H5178" s="16"/>
      <c r="AG5178" s="80"/>
      <c r="AH5178" s="80"/>
      <c r="AI5178" s="80"/>
    </row>
    <row r="5179" spans="5:35" x14ac:dyDescent="0.25">
      <c r="E5179" s="16"/>
      <c r="F5179" s="16"/>
      <c r="H5179" s="16"/>
      <c r="AG5179" s="80"/>
      <c r="AH5179" s="80"/>
      <c r="AI5179" s="80"/>
    </row>
    <row r="5180" spans="5:35" x14ac:dyDescent="0.25">
      <c r="E5180" s="16"/>
      <c r="F5180" s="16"/>
      <c r="H5180" s="16"/>
      <c r="AG5180" s="80"/>
      <c r="AH5180" s="80"/>
      <c r="AI5180" s="80"/>
    </row>
    <row r="5181" spans="5:35" x14ac:dyDescent="0.25">
      <c r="E5181" s="16"/>
      <c r="F5181" s="16"/>
      <c r="H5181" s="16"/>
      <c r="AG5181" s="80"/>
      <c r="AH5181" s="80"/>
      <c r="AI5181" s="80"/>
    </row>
    <row r="5182" spans="5:35" x14ac:dyDescent="0.25">
      <c r="E5182" s="16"/>
      <c r="F5182" s="16"/>
      <c r="H5182" s="16"/>
      <c r="AG5182" s="80"/>
      <c r="AH5182" s="80"/>
      <c r="AI5182" s="80"/>
    </row>
    <row r="5183" spans="5:35" x14ac:dyDescent="0.25">
      <c r="E5183" s="16"/>
      <c r="F5183" s="16"/>
      <c r="H5183" s="16"/>
      <c r="AG5183" s="80"/>
      <c r="AH5183" s="80"/>
      <c r="AI5183" s="80"/>
    </row>
    <row r="5184" spans="5:35" x14ac:dyDescent="0.25">
      <c r="E5184" s="16"/>
      <c r="F5184" s="16"/>
      <c r="H5184" s="16"/>
      <c r="AG5184" s="80"/>
      <c r="AH5184" s="80"/>
      <c r="AI5184" s="80"/>
    </row>
    <row r="5185" spans="5:35" x14ac:dyDescent="0.25">
      <c r="E5185" s="16"/>
      <c r="F5185" s="16"/>
      <c r="H5185" s="16"/>
      <c r="AG5185" s="80"/>
      <c r="AH5185" s="80"/>
      <c r="AI5185" s="80"/>
    </row>
    <row r="5186" spans="5:35" x14ac:dyDescent="0.25">
      <c r="E5186" s="16"/>
      <c r="F5186" s="16"/>
      <c r="H5186" s="16"/>
      <c r="AG5186" s="80"/>
      <c r="AH5186" s="80"/>
      <c r="AI5186" s="80"/>
    </row>
    <row r="5187" spans="5:35" x14ac:dyDescent="0.25">
      <c r="E5187" s="16"/>
      <c r="F5187" s="16"/>
      <c r="H5187" s="16"/>
      <c r="AG5187" s="80"/>
      <c r="AH5187" s="80"/>
      <c r="AI5187" s="80"/>
    </row>
    <row r="5188" spans="5:35" x14ac:dyDescent="0.25">
      <c r="E5188" s="16"/>
      <c r="F5188" s="16"/>
      <c r="H5188" s="16"/>
      <c r="AG5188" s="80"/>
      <c r="AH5188" s="80"/>
      <c r="AI5188" s="80"/>
    </row>
    <row r="5189" spans="5:35" x14ac:dyDescent="0.25">
      <c r="E5189" s="16"/>
      <c r="F5189" s="16"/>
      <c r="H5189" s="16"/>
      <c r="AG5189" s="80"/>
      <c r="AH5189" s="80"/>
      <c r="AI5189" s="80"/>
    </row>
    <row r="5190" spans="5:35" x14ac:dyDescent="0.25">
      <c r="E5190" s="16"/>
      <c r="F5190" s="16"/>
      <c r="H5190" s="16"/>
      <c r="AG5190" s="80"/>
      <c r="AH5190" s="80"/>
      <c r="AI5190" s="80"/>
    </row>
    <row r="5191" spans="5:35" x14ac:dyDescent="0.25">
      <c r="E5191" s="16"/>
      <c r="F5191" s="16"/>
      <c r="H5191" s="16"/>
      <c r="AG5191" s="80"/>
      <c r="AH5191" s="80"/>
      <c r="AI5191" s="80"/>
    </row>
    <row r="5192" spans="5:35" x14ac:dyDescent="0.25">
      <c r="E5192" s="16"/>
      <c r="F5192" s="16"/>
      <c r="H5192" s="16"/>
      <c r="AG5192" s="80"/>
      <c r="AH5192" s="80"/>
      <c r="AI5192" s="80"/>
    </row>
    <row r="5193" spans="5:35" x14ac:dyDescent="0.25">
      <c r="E5193" s="16"/>
      <c r="F5193" s="16"/>
      <c r="H5193" s="16"/>
      <c r="AG5193" s="80"/>
      <c r="AH5193" s="80"/>
      <c r="AI5193" s="80"/>
    </row>
    <row r="5194" spans="5:35" x14ac:dyDescent="0.25">
      <c r="E5194" s="16"/>
      <c r="F5194" s="16"/>
      <c r="H5194" s="16"/>
      <c r="AG5194" s="80"/>
      <c r="AH5194" s="80"/>
      <c r="AI5194" s="80"/>
    </row>
    <row r="5195" spans="5:35" x14ac:dyDescent="0.25">
      <c r="E5195" s="16"/>
      <c r="F5195" s="16"/>
      <c r="H5195" s="16"/>
      <c r="AG5195" s="80"/>
      <c r="AH5195" s="80"/>
      <c r="AI5195" s="80"/>
    </row>
    <row r="5196" spans="5:35" x14ac:dyDescent="0.25">
      <c r="E5196" s="16"/>
      <c r="F5196" s="16"/>
      <c r="H5196" s="16"/>
      <c r="AG5196" s="80"/>
      <c r="AH5196" s="80"/>
      <c r="AI5196" s="80"/>
    </row>
    <row r="5197" spans="5:35" x14ac:dyDescent="0.25">
      <c r="E5197" s="16"/>
      <c r="F5197" s="16"/>
      <c r="H5197" s="16"/>
      <c r="AG5197" s="80"/>
      <c r="AH5197" s="80"/>
      <c r="AI5197" s="80"/>
    </row>
    <row r="5198" spans="5:35" x14ac:dyDescent="0.25">
      <c r="E5198" s="16"/>
      <c r="F5198" s="16"/>
      <c r="H5198" s="16"/>
      <c r="AG5198" s="80"/>
      <c r="AH5198" s="80"/>
      <c r="AI5198" s="80"/>
    </row>
    <row r="5199" spans="5:35" x14ac:dyDescent="0.25">
      <c r="E5199" s="16"/>
      <c r="F5199" s="16"/>
      <c r="H5199" s="16"/>
      <c r="AG5199" s="80"/>
      <c r="AH5199" s="80"/>
      <c r="AI5199" s="80"/>
    </row>
    <row r="5200" spans="5:35" x14ac:dyDescent="0.25">
      <c r="E5200" s="16"/>
      <c r="F5200" s="16"/>
      <c r="H5200" s="16"/>
      <c r="AG5200" s="80"/>
      <c r="AH5200" s="80"/>
      <c r="AI5200" s="80"/>
    </row>
    <row r="5201" spans="5:35" x14ac:dyDescent="0.25">
      <c r="E5201" s="16"/>
      <c r="F5201" s="16"/>
      <c r="H5201" s="16"/>
      <c r="AG5201" s="80"/>
      <c r="AH5201" s="80"/>
      <c r="AI5201" s="80"/>
    </row>
    <row r="5202" spans="5:35" x14ac:dyDescent="0.25">
      <c r="E5202" s="16"/>
      <c r="F5202" s="16"/>
      <c r="H5202" s="16"/>
      <c r="AG5202" s="80"/>
      <c r="AH5202" s="80"/>
      <c r="AI5202" s="80"/>
    </row>
    <row r="5203" spans="5:35" x14ac:dyDescent="0.25">
      <c r="E5203" s="16"/>
      <c r="F5203" s="16"/>
      <c r="H5203" s="16"/>
      <c r="AG5203" s="80"/>
      <c r="AH5203" s="80"/>
      <c r="AI5203" s="80"/>
    </row>
    <row r="5204" spans="5:35" x14ac:dyDescent="0.25">
      <c r="E5204" s="16"/>
      <c r="F5204" s="16"/>
      <c r="H5204" s="16"/>
      <c r="AG5204" s="80"/>
      <c r="AH5204" s="80"/>
      <c r="AI5204" s="80"/>
    </row>
    <row r="5205" spans="5:35" x14ac:dyDescent="0.25">
      <c r="E5205" s="16"/>
      <c r="F5205" s="16"/>
      <c r="H5205" s="16"/>
      <c r="AG5205" s="80"/>
      <c r="AH5205" s="80"/>
      <c r="AI5205" s="80"/>
    </row>
    <row r="5206" spans="5:35" x14ac:dyDescent="0.25">
      <c r="E5206" s="16"/>
      <c r="F5206" s="16"/>
      <c r="H5206" s="16"/>
      <c r="AG5206" s="80"/>
      <c r="AH5206" s="80"/>
      <c r="AI5206" s="80"/>
    </row>
    <row r="5207" spans="5:35" x14ac:dyDescent="0.25">
      <c r="E5207" s="16"/>
      <c r="F5207" s="16"/>
      <c r="H5207" s="16"/>
      <c r="AG5207" s="80"/>
      <c r="AH5207" s="80"/>
      <c r="AI5207" s="80"/>
    </row>
    <row r="5208" spans="5:35" x14ac:dyDescent="0.25">
      <c r="E5208" s="16"/>
      <c r="F5208" s="16"/>
      <c r="H5208" s="16"/>
      <c r="AG5208" s="80"/>
      <c r="AH5208" s="80"/>
      <c r="AI5208" s="80"/>
    </row>
    <row r="5209" spans="5:35" x14ac:dyDescent="0.25">
      <c r="E5209" s="16"/>
      <c r="F5209" s="16"/>
      <c r="H5209" s="16"/>
      <c r="AG5209" s="80"/>
      <c r="AH5209" s="80"/>
      <c r="AI5209" s="80"/>
    </row>
    <row r="5210" spans="5:35" x14ac:dyDescent="0.25">
      <c r="E5210" s="16"/>
      <c r="F5210" s="16"/>
      <c r="H5210" s="16"/>
      <c r="AG5210" s="80"/>
      <c r="AH5210" s="80"/>
      <c r="AI5210" s="80"/>
    </row>
    <row r="5211" spans="5:35" x14ac:dyDescent="0.25">
      <c r="E5211" s="16"/>
      <c r="F5211" s="16"/>
      <c r="H5211" s="16"/>
      <c r="AG5211" s="80"/>
      <c r="AH5211" s="80"/>
      <c r="AI5211" s="80"/>
    </row>
    <row r="5212" spans="5:35" x14ac:dyDescent="0.25">
      <c r="E5212" s="16"/>
      <c r="F5212" s="16"/>
      <c r="H5212" s="16"/>
      <c r="AG5212" s="80"/>
      <c r="AH5212" s="80"/>
      <c r="AI5212" s="80"/>
    </row>
    <row r="5213" spans="5:35" x14ac:dyDescent="0.25">
      <c r="E5213" s="16"/>
      <c r="F5213" s="16"/>
      <c r="H5213" s="16"/>
      <c r="AG5213" s="80"/>
      <c r="AH5213" s="80"/>
      <c r="AI5213" s="80"/>
    </row>
    <row r="5214" spans="5:35" x14ac:dyDescent="0.25">
      <c r="E5214" s="16"/>
      <c r="F5214" s="16"/>
      <c r="H5214" s="16"/>
      <c r="AG5214" s="80"/>
      <c r="AH5214" s="80"/>
      <c r="AI5214" s="80"/>
    </row>
    <row r="5215" spans="5:35" x14ac:dyDescent="0.25">
      <c r="E5215" s="16"/>
      <c r="F5215" s="16"/>
      <c r="H5215" s="16"/>
      <c r="AG5215" s="80"/>
      <c r="AH5215" s="80"/>
      <c r="AI5215" s="80"/>
    </row>
    <row r="5216" spans="5:35" x14ac:dyDescent="0.25">
      <c r="E5216" s="16"/>
      <c r="F5216" s="16"/>
      <c r="H5216" s="16"/>
      <c r="AG5216" s="80"/>
      <c r="AH5216" s="80"/>
      <c r="AI5216" s="80"/>
    </row>
    <row r="5217" spans="5:35" x14ac:dyDescent="0.25">
      <c r="E5217" s="16"/>
      <c r="F5217" s="16"/>
      <c r="H5217" s="16"/>
      <c r="AG5217" s="80"/>
      <c r="AH5217" s="80"/>
      <c r="AI5217" s="80"/>
    </row>
    <row r="5218" spans="5:35" x14ac:dyDescent="0.25">
      <c r="E5218" s="16"/>
      <c r="F5218" s="16"/>
      <c r="H5218" s="16"/>
      <c r="AG5218" s="80"/>
      <c r="AH5218" s="80"/>
      <c r="AI5218" s="80"/>
    </row>
    <row r="5219" spans="5:35" x14ac:dyDescent="0.25">
      <c r="E5219" s="16"/>
      <c r="F5219" s="16"/>
      <c r="H5219" s="16"/>
      <c r="AG5219" s="80"/>
      <c r="AH5219" s="80"/>
      <c r="AI5219" s="80"/>
    </row>
    <row r="5220" spans="5:35" x14ac:dyDescent="0.25">
      <c r="E5220" s="16"/>
      <c r="F5220" s="16"/>
      <c r="H5220" s="16"/>
      <c r="AG5220" s="80"/>
      <c r="AH5220" s="80"/>
      <c r="AI5220" s="80"/>
    </row>
    <row r="5221" spans="5:35" x14ac:dyDescent="0.25">
      <c r="E5221" s="16"/>
      <c r="F5221" s="16"/>
      <c r="H5221" s="16"/>
      <c r="AG5221" s="80"/>
      <c r="AH5221" s="80"/>
      <c r="AI5221" s="80"/>
    </row>
    <row r="5222" spans="5:35" x14ac:dyDescent="0.25">
      <c r="E5222" s="16"/>
      <c r="F5222" s="16"/>
      <c r="H5222" s="16"/>
      <c r="AG5222" s="80"/>
      <c r="AH5222" s="80"/>
      <c r="AI5222" s="80"/>
    </row>
    <row r="5223" spans="5:35" x14ac:dyDescent="0.25">
      <c r="E5223" s="16"/>
      <c r="F5223" s="16"/>
      <c r="H5223" s="16"/>
      <c r="AG5223" s="80"/>
      <c r="AH5223" s="80"/>
      <c r="AI5223" s="80"/>
    </row>
    <row r="5224" spans="5:35" x14ac:dyDescent="0.25">
      <c r="E5224" s="16"/>
      <c r="F5224" s="16"/>
      <c r="H5224" s="16"/>
      <c r="AG5224" s="80"/>
      <c r="AH5224" s="80"/>
      <c r="AI5224" s="80"/>
    </row>
    <row r="5225" spans="5:35" x14ac:dyDescent="0.25">
      <c r="E5225" s="16"/>
      <c r="F5225" s="16"/>
      <c r="H5225" s="16"/>
      <c r="AG5225" s="80"/>
      <c r="AH5225" s="80"/>
      <c r="AI5225" s="80"/>
    </row>
    <row r="5226" spans="5:35" x14ac:dyDescent="0.25">
      <c r="E5226" s="16"/>
      <c r="F5226" s="16"/>
      <c r="H5226" s="16"/>
      <c r="AG5226" s="80"/>
      <c r="AH5226" s="80"/>
      <c r="AI5226" s="80"/>
    </row>
    <row r="5227" spans="5:35" x14ac:dyDescent="0.25">
      <c r="E5227" s="16"/>
      <c r="F5227" s="16"/>
      <c r="H5227" s="16"/>
      <c r="AG5227" s="80"/>
      <c r="AH5227" s="80"/>
      <c r="AI5227" s="80"/>
    </row>
    <row r="5228" spans="5:35" x14ac:dyDescent="0.25">
      <c r="E5228" s="16"/>
      <c r="F5228" s="16"/>
      <c r="H5228" s="16"/>
      <c r="AG5228" s="80"/>
      <c r="AH5228" s="80"/>
      <c r="AI5228" s="80"/>
    </row>
    <row r="5229" spans="5:35" x14ac:dyDescent="0.25">
      <c r="E5229" s="16"/>
      <c r="F5229" s="16"/>
      <c r="H5229" s="16"/>
      <c r="AG5229" s="80"/>
      <c r="AH5229" s="80"/>
      <c r="AI5229" s="80"/>
    </row>
    <row r="5230" spans="5:35" x14ac:dyDescent="0.25">
      <c r="E5230" s="16"/>
      <c r="F5230" s="16"/>
      <c r="H5230" s="16"/>
      <c r="AG5230" s="80"/>
      <c r="AH5230" s="80"/>
      <c r="AI5230" s="80"/>
    </row>
    <row r="5231" spans="5:35" x14ac:dyDescent="0.25">
      <c r="E5231" s="16"/>
      <c r="F5231" s="16"/>
      <c r="H5231" s="16"/>
      <c r="AG5231" s="80"/>
      <c r="AH5231" s="80"/>
      <c r="AI5231" s="80"/>
    </row>
    <row r="5232" spans="5:35" x14ac:dyDescent="0.25">
      <c r="E5232" s="16"/>
      <c r="F5232" s="16"/>
      <c r="H5232" s="16"/>
      <c r="AG5232" s="80"/>
      <c r="AH5232" s="80"/>
      <c r="AI5232" s="80"/>
    </row>
    <row r="5233" spans="5:35" x14ac:dyDescent="0.25">
      <c r="E5233" s="16"/>
      <c r="F5233" s="16"/>
      <c r="H5233" s="16"/>
      <c r="AG5233" s="80"/>
      <c r="AH5233" s="80"/>
      <c r="AI5233" s="80"/>
    </row>
    <row r="5234" spans="5:35" x14ac:dyDescent="0.25">
      <c r="E5234" s="16"/>
      <c r="F5234" s="16"/>
      <c r="H5234" s="16"/>
      <c r="AG5234" s="80"/>
      <c r="AH5234" s="80"/>
      <c r="AI5234" s="80"/>
    </row>
    <row r="5235" spans="5:35" x14ac:dyDescent="0.25">
      <c r="E5235" s="16"/>
      <c r="F5235" s="16"/>
      <c r="H5235" s="16"/>
      <c r="AG5235" s="80"/>
      <c r="AH5235" s="80"/>
      <c r="AI5235" s="80"/>
    </row>
    <row r="5236" spans="5:35" x14ac:dyDescent="0.25">
      <c r="E5236" s="16"/>
      <c r="F5236" s="16"/>
      <c r="H5236" s="16"/>
      <c r="AG5236" s="80"/>
      <c r="AH5236" s="80"/>
      <c r="AI5236" s="80"/>
    </row>
    <row r="5237" spans="5:35" x14ac:dyDescent="0.25">
      <c r="E5237" s="16"/>
      <c r="F5237" s="16"/>
      <c r="H5237" s="16"/>
      <c r="AG5237" s="80"/>
      <c r="AH5237" s="80"/>
      <c r="AI5237" s="80"/>
    </row>
    <row r="5238" spans="5:35" x14ac:dyDescent="0.25">
      <c r="E5238" s="16"/>
      <c r="F5238" s="16"/>
      <c r="H5238" s="16"/>
      <c r="AG5238" s="80"/>
      <c r="AH5238" s="80"/>
      <c r="AI5238" s="80"/>
    </row>
    <row r="5239" spans="5:35" x14ac:dyDescent="0.25">
      <c r="E5239" s="16"/>
      <c r="F5239" s="16"/>
      <c r="H5239" s="16"/>
      <c r="AG5239" s="80"/>
      <c r="AH5239" s="80"/>
      <c r="AI5239" s="80"/>
    </row>
    <row r="5240" spans="5:35" x14ac:dyDescent="0.25">
      <c r="E5240" s="16"/>
      <c r="F5240" s="16"/>
      <c r="H5240" s="16"/>
      <c r="AG5240" s="80"/>
      <c r="AH5240" s="80"/>
      <c r="AI5240" s="80"/>
    </row>
    <row r="5241" spans="5:35" x14ac:dyDescent="0.25">
      <c r="E5241" s="16"/>
      <c r="F5241" s="16"/>
      <c r="H5241" s="16"/>
      <c r="AG5241" s="80"/>
      <c r="AH5241" s="80"/>
      <c r="AI5241" s="80"/>
    </row>
    <row r="5242" spans="5:35" x14ac:dyDescent="0.25">
      <c r="E5242" s="16"/>
      <c r="F5242" s="16"/>
      <c r="H5242" s="16"/>
      <c r="AG5242" s="80"/>
      <c r="AH5242" s="80"/>
      <c r="AI5242" s="80"/>
    </row>
    <row r="5243" spans="5:35" x14ac:dyDescent="0.25">
      <c r="E5243" s="16"/>
      <c r="F5243" s="16"/>
      <c r="H5243" s="16"/>
      <c r="AG5243" s="80"/>
      <c r="AH5243" s="80"/>
      <c r="AI5243" s="80"/>
    </row>
    <row r="5244" spans="5:35" x14ac:dyDescent="0.25">
      <c r="E5244" s="16"/>
      <c r="F5244" s="16"/>
      <c r="H5244" s="16"/>
      <c r="AG5244" s="80"/>
      <c r="AH5244" s="80"/>
      <c r="AI5244" s="80"/>
    </row>
    <row r="5245" spans="5:35" x14ac:dyDescent="0.25">
      <c r="E5245" s="16"/>
      <c r="F5245" s="16"/>
      <c r="H5245" s="16"/>
      <c r="AG5245" s="80"/>
      <c r="AH5245" s="80"/>
      <c r="AI5245" s="80"/>
    </row>
    <row r="5246" spans="5:35" x14ac:dyDescent="0.25">
      <c r="E5246" s="16"/>
      <c r="F5246" s="16"/>
      <c r="H5246" s="16"/>
      <c r="AG5246" s="80"/>
      <c r="AH5246" s="80"/>
      <c r="AI5246" s="80"/>
    </row>
    <row r="5247" spans="5:35" x14ac:dyDescent="0.25">
      <c r="E5247" s="16"/>
      <c r="F5247" s="16"/>
      <c r="H5247" s="16"/>
      <c r="AG5247" s="80"/>
      <c r="AH5247" s="80"/>
      <c r="AI5247" s="80"/>
    </row>
    <row r="5248" spans="5:35" x14ac:dyDescent="0.25">
      <c r="E5248" s="16"/>
      <c r="F5248" s="16"/>
      <c r="H5248" s="16"/>
      <c r="AG5248" s="80"/>
      <c r="AH5248" s="80"/>
      <c r="AI5248" s="80"/>
    </row>
    <row r="5249" spans="5:35" x14ac:dyDescent="0.25">
      <c r="E5249" s="16"/>
      <c r="F5249" s="16"/>
      <c r="H5249" s="16"/>
      <c r="AG5249" s="80"/>
      <c r="AH5249" s="80"/>
      <c r="AI5249" s="80"/>
    </row>
    <row r="5250" spans="5:35" x14ac:dyDescent="0.25">
      <c r="E5250" s="16"/>
      <c r="F5250" s="16"/>
      <c r="H5250" s="16"/>
      <c r="AG5250" s="80"/>
      <c r="AH5250" s="80"/>
      <c r="AI5250" s="80"/>
    </row>
    <row r="5251" spans="5:35" x14ac:dyDescent="0.25">
      <c r="E5251" s="16"/>
      <c r="F5251" s="16"/>
      <c r="H5251" s="16"/>
      <c r="AG5251" s="80"/>
      <c r="AH5251" s="80"/>
      <c r="AI5251" s="80"/>
    </row>
    <row r="5252" spans="5:35" x14ac:dyDescent="0.25">
      <c r="E5252" s="16"/>
      <c r="F5252" s="16"/>
      <c r="H5252" s="16"/>
      <c r="AG5252" s="80"/>
      <c r="AH5252" s="80"/>
      <c r="AI5252" s="80"/>
    </row>
    <row r="5253" spans="5:35" x14ac:dyDescent="0.25">
      <c r="E5253" s="16"/>
      <c r="F5253" s="16"/>
      <c r="H5253" s="16"/>
      <c r="AG5253" s="80"/>
      <c r="AH5253" s="80"/>
      <c r="AI5253" s="80"/>
    </row>
    <row r="5254" spans="5:35" x14ac:dyDescent="0.25">
      <c r="E5254" s="16"/>
      <c r="F5254" s="16"/>
      <c r="H5254" s="16"/>
      <c r="AG5254" s="80"/>
      <c r="AH5254" s="80"/>
      <c r="AI5254" s="80"/>
    </row>
    <row r="5255" spans="5:35" x14ac:dyDescent="0.25">
      <c r="E5255" s="16"/>
      <c r="F5255" s="16"/>
      <c r="H5255" s="16"/>
      <c r="AG5255" s="80"/>
      <c r="AH5255" s="80"/>
      <c r="AI5255" s="80"/>
    </row>
    <row r="5256" spans="5:35" x14ac:dyDescent="0.25">
      <c r="E5256" s="16"/>
      <c r="F5256" s="16"/>
      <c r="H5256" s="16"/>
      <c r="AG5256" s="80"/>
      <c r="AH5256" s="80"/>
      <c r="AI5256" s="80"/>
    </row>
    <row r="5257" spans="5:35" x14ac:dyDescent="0.25">
      <c r="E5257" s="16"/>
      <c r="F5257" s="16"/>
      <c r="H5257" s="16"/>
      <c r="AG5257" s="80"/>
      <c r="AH5257" s="80"/>
      <c r="AI5257" s="80"/>
    </row>
    <row r="5258" spans="5:35" x14ac:dyDescent="0.25">
      <c r="E5258" s="16"/>
      <c r="F5258" s="16"/>
      <c r="H5258" s="16"/>
      <c r="AG5258" s="80"/>
      <c r="AH5258" s="80"/>
      <c r="AI5258" s="80"/>
    </row>
    <row r="5259" spans="5:35" x14ac:dyDescent="0.25">
      <c r="E5259" s="16"/>
      <c r="F5259" s="16"/>
      <c r="H5259" s="16"/>
      <c r="AG5259" s="80"/>
      <c r="AH5259" s="80"/>
      <c r="AI5259" s="80"/>
    </row>
    <row r="5260" spans="5:35" x14ac:dyDescent="0.25">
      <c r="E5260" s="16"/>
      <c r="F5260" s="16"/>
      <c r="H5260" s="16"/>
      <c r="AG5260" s="80"/>
      <c r="AH5260" s="80"/>
      <c r="AI5260" s="80"/>
    </row>
    <row r="5261" spans="5:35" x14ac:dyDescent="0.25">
      <c r="E5261" s="16"/>
      <c r="F5261" s="16"/>
      <c r="H5261" s="16"/>
      <c r="AG5261" s="80"/>
      <c r="AH5261" s="80"/>
      <c r="AI5261" s="80"/>
    </row>
    <row r="5262" spans="5:35" x14ac:dyDescent="0.25">
      <c r="E5262" s="16"/>
      <c r="F5262" s="16"/>
      <c r="H5262" s="16"/>
      <c r="AG5262" s="80"/>
      <c r="AH5262" s="80"/>
      <c r="AI5262" s="80"/>
    </row>
    <row r="5263" spans="5:35" x14ac:dyDescent="0.25">
      <c r="E5263" s="16"/>
      <c r="F5263" s="16"/>
      <c r="H5263" s="16"/>
      <c r="AG5263" s="80"/>
      <c r="AH5263" s="80"/>
      <c r="AI5263" s="80"/>
    </row>
    <row r="5264" spans="5:35" x14ac:dyDescent="0.25">
      <c r="E5264" s="16"/>
      <c r="F5264" s="16"/>
      <c r="H5264" s="16"/>
      <c r="AG5264" s="80"/>
      <c r="AH5264" s="80"/>
      <c r="AI5264" s="80"/>
    </row>
    <row r="5265" spans="5:35" x14ac:dyDescent="0.25">
      <c r="E5265" s="16"/>
      <c r="F5265" s="16"/>
      <c r="H5265" s="16"/>
      <c r="AG5265" s="80"/>
      <c r="AH5265" s="80"/>
      <c r="AI5265" s="80"/>
    </row>
    <row r="5266" spans="5:35" x14ac:dyDescent="0.25">
      <c r="E5266" s="16"/>
      <c r="F5266" s="16"/>
      <c r="H5266" s="16"/>
      <c r="AG5266" s="80"/>
      <c r="AH5266" s="80"/>
      <c r="AI5266" s="80"/>
    </row>
    <row r="5267" spans="5:35" x14ac:dyDescent="0.25">
      <c r="E5267" s="16"/>
      <c r="F5267" s="16"/>
      <c r="H5267" s="16"/>
      <c r="AG5267" s="80"/>
      <c r="AH5267" s="80"/>
      <c r="AI5267" s="80"/>
    </row>
    <row r="5268" spans="5:35" x14ac:dyDescent="0.25">
      <c r="E5268" s="16"/>
      <c r="F5268" s="16"/>
      <c r="H5268" s="16"/>
      <c r="AG5268" s="80"/>
      <c r="AH5268" s="80"/>
      <c r="AI5268" s="80"/>
    </row>
    <row r="5269" spans="5:35" x14ac:dyDescent="0.25">
      <c r="E5269" s="16"/>
      <c r="F5269" s="16"/>
      <c r="H5269" s="16"/>
      <c r="AG5269" s="80"/>
      <c r="AH5269" s="80"/>
      <c r="AI5269" s="80"/>
    </row>
    <row r="5270" spans="5:35" x14ac:dyDescent="0.25">
      <c r="E5270" s="16"/>
      <c r="F5270" s="16"/>
      <c r="H5270" s="16"/>
      <c r="AG5270" s="80"/>
      <c r="AH5270" s="80"/>
      <c r="AI5270" s="80"/>
    </row>
    <row r="5271" spans="5:35" x14ac:dyDescent="0.25">
      <c r="E5271" s="16"/>
      <c r="F5271" s="16"/>
      <c r="H5271" s="16"/>
      <c r="AG5271" s="80"/>
      <c r="AH5271" s="80"/>
      <c r="AI5271" s="80"/>
    </row>
    <row r="5272" spans="5:35" x14ac:dyDescent="0.25">
      <c r="E5272" s="16"/>
      <c r="F5272" s="16"/>
      <c r="H5272" s="16"/>
      <c r="AG5272" s="80"/>
      <c r="AH5272" s="80"/>
      <c r="AI5272" s="80"/>
    </row>
    <row r="5273" spans="5:35" x14ac:dyDescent="0.25">
      <c r="E5273" s="16"/>
      <c r="F5273" s="16"/>
      <c r="H5273" s="16"/>
      <c r="AG5273" s="80"/>
      <c r="AH5273" s="80"/>
      <c r="AI5273" s="80"/>
    </row>
    <row r="5274" spans="5:35" x14ac:dyDescent="0.25">
      <c r="E5274" s="16"/>
      <c r="F5274" s="16"/>
      <c r="H5274" s="16"/>
      <c r="AG5274" s="80"/>
      <c r="AH5274" s="80"/>
      <c r="AI5274" s="80"/>
    </row>
    <row r="5275" spans="5:35" x14ac:dyDescent="0.25">
      <c r="E5275" s="16"/>
      <c r="F5275" s="16"/>
      <c r="H5275" s="16"/>
      <c r="AG5275" s="80"/>
      <c r="AH5275" s="80"/>
      <c r="AI5275" s="80"/>
    </row>
    <row r="5276" spans="5:35" x14ac:dyDescent="0.25">
      <c r="E5276" s="16"/>
      <c r="F5276" s="16"/>
      <c r="H5276" s="16"/>
      <c r="AG5276" s="80"/>
      <c r="AH5276" s="80"/>
      <c r="AI5276" s="80"/>
    </row>
    <row r="5277" spans="5:35" x14ac:dyDescent="0.25">
      <c r="E5277" s="16"/>
      <c r="F5277" s="16"/>
      <c r="H5277" s="16"/>
      <c r="AG5277" s="80"/>
      <c r="AH5277" s="80"/>
      <c r="AI5277" s="80"/>
    </row>
    <row r="5278" spans="5:35" x14ac:dyDescent="0.25">
      <c r="E5278" s="16"/>
      <c r="F5278" s="16"/>
      <c r="H5278" s="16"/>
      <c r="AG5278" s="80"/>
      <c r="AH5278" s="80"/>
      <c r="AI5278" s="80"/>
    </row>
    <row r="5279" spans="5:35" x14ac:dyDescent="0.25">
      <c r="E5279" s="16"/>
      <c r="F5279" s="16"/>
      <c r="H5279" s="16"/>
      <c r="AG5279" s="80"/>
      <c r="AH5279" s="80"/>
      <c r="AI5279" s="80"/>
    </row>
    <row r="5280" spans="5:35" x14ac:dyDescent="0.25">
      <c r="E5280" s="16"/>
      <c r="F5280" s="16"/>
      <c r="H5280" s="16"/>
      <c r="AG5280" s="80"/>
      <c r="AH5280" s="80"/>
      <c r="AI5280" s="80"/>
    </row>
    <row r="5281" spans="5:35" x14ac:dyDescent="0.25">
      <c r="E5281" s="16"/>
      <c r="F5281" s="16"/>
      <c r="H5281" s="16"/>
      <c r="AG5281" s="80"/>
      <c r="AH5281" s="80"/>
      <c r="AI5281" s="80"/>
    </row>
    <row r="5282" spans="5:35" x14ac:dyDescent="0.25">
      <c r="E5282" s="16"/>
      <c r="F5282" s="16"/>
      <c r="H5282" s="16"/>
      <c r="AG5282" s="80"/>
      <c r="AH5282" s="80"/>
      <c r="AI5282" s="80"/>
    </row>
    <row r="5283" spans="5:35" x14ac:dyDescent="0.25">
      <c r="E5283" s="16"/>
      <c r="F5283" s="16"/>
      <c r="H5283" s="16"/>
      <c r="AG5283" s="80"/>
      <c r="AH5283" s="80"/>
      <c r="AI5283" s="80"/>
    </row>
    <row r="5284" spans="5:35" x14ac:dyDescent="0.25">
      <c r="E5284" s="16"/>
      <c r="F5284" s="16"/>
      <c r="H5284" s="16"/>
      <c r="AG5284" s="80"/>
      <c r="AH5284" s="80"/>
      <c r="AI5284" s="80"/>
    </row>
    <row r="5285" spans="5:35" x14ac:dyDescent="0.25">
      <c r="E5285" s="16"/>
      <c r="F5285" s="16"/>
      <c r="H5285" s="16"/>
      <c r="AG5285" s="80"/>
      <c r="AH5285" s="80"/>
      <c r="AI5285" s="80"/>
    </row>
    <row r="5286" spans="5:35" x14ac:dyDescent="0.25">
      <c r="E5286" s="16"/>
      <c r="F5286" s="16"/>
      <c r="H5286" s="16"/>
      <c r="AG5286" s="80"/>
      <c r="AH5286" s="80"/>
      <c r="AI5286" s="80"/>
    </row>
    <row r="5287" spans="5:35" x14ac:dyDescent="0.25">
      <c r="E5287" s="16"/>
      <c r="F5287" s="16"/>
      <c r="H5287" s="16"/>
      <c r="AG5287" s="80"/>
      <c r="AH5287" s="80"/>
      <c r="AI5287" s="80"/>
    </row>
    <row r="5288" spans="5:35" x14ac:dyDescent="0.25">
      <c r="E5288" s="16"/>
      <c r="F5288" s="16"/>
      <c r="H5288" s="16"/>
      <c r="AG5288" s="80"/>
      <c r="AH5288" s="80"/>
      <c r="AI5288" s="80"/>
    </row>
    <row r="5289" spans="5:35" x14ac:dyDescent="0.25">
      <c r="E5289" s="16"/>
      <c r="F5289" s="16"/>
      <c r="H5289" s="16"/>
      <c r="AG5289" s="80"/>
      <c r="AH5289" s="80"/>
      <c r="AI5289" s="80"/>
    </row>
    <row r="5290" spans="5:35" x14ac:dyDescent="0.25">
      <c r="E5290" s="16"/>
      <c r="F5290" s="16"/>
      <c r="H5290" s="16"/>
      <c r="AG5290" s="80"/>
      <c r="AH5290" s="80"/>
      <c r="AI5290" s="80"/>
    </row>
    <row r="5291" spans="5:35" x14ac:dyDescent="0.25">
      <c r="E5291" s="16"/>
      <c r="F5291" s="16"/>
      <c r="H5291" s="16"/>
      <c r="AG5291" s="80"/>
      <c r="AH5291" s="80"/>
      <c r="AI5291" s="80"/>
    </row>
    <row r="5292" spans="5:35" x14ac:dyDescent="0.25">
      <c r="E5292" s="16"/>
      <c r="F5292" s="16"/>
      <c r="H5292" s="16"/>
      <c r="AG5292" s="80"/>
      <c r="AH5292" s="80"/>
      <c r="AI5292" s="80"/>
    </row>
    <row r="5293" spans="5:35" x14ac:dyDescent="0.25">
      <c r="E5293" s="16"/>
      <c r="F5293" s="16"/>
      <c r="H5293" s="16"/>
      <c r="AG5293" s="80"/>
      <c r="AH5293" s="80"/>
      <c r="AI5293" s="80"/>
    </row>
    <row r="5294" spans="5:35" x14ac:dyDescent="0.25">
      <c r="E5294" s="16"/>
      <c r="F5294" s="16"/>
      <c r="H5294" s="16"/>
      <c r="AG5294" s="80"/>
      <c r="AH5294" s="80"/>
      <c r="AI5294" s="80"/>
    </row>
    <row r="5295" spans="5:35" x14ac:dyDescent="0.25">
      <c r="E5295" s="16"/>
      <c r="F5295" s="16"/>
      <c r="H5295" s="16"/>
      <c r="AG5295" s="80"/>
      <c r="AH5295" s="80"/>
      <c r="AI5295" s="80"/>
    </row>
    <row r="5296" spans="5:35" x14ac:dyDescent="0.25">
      <c r="E5296" s="16"/>
      <c r="F5296" s="16"/>
      <c r="H5296" s="16"/>
      <c r="AG5296" s="80"/>
      <c r="AH5296" s="80"/>
      <c r="AI5296" s="80"/>
    </row>
    <row r="5297" spans="5:35" x14ac:dyDescent="0.25">
      <c r="E5297" s="16"/>
      <c r="F5297" s="16"/>
      <c r="H5297" s="16"/>
      <c r="AG5297" s="80"/>
      <c r="AH5297" s="80"/>
      <c r="AI5297" s="80"/>
    </row>
    <row r="5298" spans="5:35" x14ac:dyDescent="0.25">
      <c r="E5298" s="16"/>
      <c r="F5298" s="16"/>
      <c r="H5298" s="16"/>
      <c r="AG5298" s="80"/>
      <c r="AH5298" s="80"/>
      <c r="AI5298" s="80"/>
    </row>
    <row r="5299" spans="5:35" x14ac:dyDescent="0.25">
      <c r="E5299" s="16"/>
      <c r="F5299" s="16"/>
      <c r="H5299" s="16"/>
      <c r="AG5299" s="80"/>
      <c r="AH5299" s="80"/>
      <c r="AI5299" s="80"/>
    </row>
    <row r="5300" spans="5:35" x14ac:dyDescent="0.25">
      <c r="E5300" s="16"/>
      <c r="F5300" s="16"/>
      <c r="H5300" s="16"/>
      <c r="AG5300" s="80"/>
      <c r="AH5300" s="80"/>
      <c r="AI5300" s="80"/>
    </row>
    <row r="5301" spans="5:35" x14ac:dyDescent="0.25">
      <c r="E5301" s="16"/>
      <c r="F5301" s="16"/>
      <c r="H5301" s="16"/>
      <c r="AG5301" s="80"/>
      <c r="AH5301" s="80"/>
      <c r="AI5301" s="80"/>
    </row>
    <row r="5302" spans="5:35" x14ac:dyDescent="0.25">
      <c r="E5302" s="16"/>
      <c r="F5302" s="16"/>
      <c r="H5302" s="16"/>
      <c r="AG5302" s="80"/>
      <c r="AH5302" s="80"/>
      <c r="AI5302" s="80"/>
    </row>
    <row r="5303" spans="5:35" x14ac:dyDescent="0.25">
      <c r="E5303" s="16"/>
      <c r="F5303" s="16"/>
      <c r="H5303" s="16"/>
      <c r="AG5303" s="80"/>
      <c r="AH5303" s="80"/>
      <c r="AI5303" s="80"/>
    </row>
    <row r="5304" spans="5:35" x14ac:dyDescent="0.25">
      <c r="E5304" s="16"/>
      <c r="F5304" s="16"/>
      <c r="H5304" s="16"/>
      <c r="AG5304" s="80"/>
      <c r="AH5304" s="80"/>
      <c r="AI5304" s="80"/>
    </row>
    <row r="5305" spans="5:35" x14ac:dyDescent="0.25">
      <c r="E5305" s="16"/>
      <c r="F5305" s="16"/>
      <c r="H5305" s="16"/>
      <c r="AG5305" s="80"/>
      <c r="AH5305" s="80"/>
      <c r="AI5305" s="80"/>
    </row>
    <row r="5306" spans="5:35" x14ac:dyDescent="0.25">
      <c r="E5306" s="16"/>
      <c r="F5306" s="16"/>
      <c r="H5306" s="16"/>
      <c r="AG5306" s="80"/>
      <c r="AH5306" s="80"/>
      <c r="AI5306" s="80"/>
    </row>
    <row r="5307" spans="5:35" x14ac:dyDescent="0.25">
      <c r="E5307" s="16"/>
      <c r="F5307" s="16"/>
      <c r="H5307" s="16"/>
      <c r="AG5307" s="80"/>
      <c r="AH5307" s="80"/>
      <c r="AI5307" s="80"/>
    </row>
    <row r="5308" spans="5:35" x14ac:dyDescent="0.25">
      <c r="E5308" s="16"/>
      <c r="F5308" s="16"/>
      <c r="H5308" s="16"/>
      <c r="AG5308" s="80"/>
      <c r="AH5308" s="80"/>
      <c r="AI5308" s="80"/>
    </row>
    <row r="5309" spans="5:35" x14ac:dyDescent="0.25">
      <c r="E5309" s="16"/>
      <c r="F5309" s="16"/>
      <c r="H5309" s="16"/>
      <c r="AG5309" s="80"/>
      <c r="AH5309" s="80"/>
      <c r="AI5309" s="80"/>
    </row>
    <row r="5310" spans="5:35" x14ac:dyDescent="0.25">
      <c r="E5310" s="16"/>
      <c r="F5310" s="16"/>
      <c r="H5310" s="16"/>
      <c r="AG5310" s="80"/>
      <c r="AH5310" s="80"/>
      <c r="AI5310" s="80"/>
    </row>
    <row r="5311" spans="5:35" x14ac:dyDescent="0.25">
      <c r="E5311" s="16"/>
      <c r="F5311" s="16"/>
      <c r="H5311" s="16"/>
      <c r="AG5311" s="80"/>
      <c r="AH5311" s="80"/>
      <c r="AI5311" s="80"/>
    </row>
    <row r="5312" spans="5:35" x14ac:dyDescent="0.25">
      <c r="E5312" s="16"/>
      <c r="F5312" s="16"/>
      <c r="H5312" s="16"/>
      <c r="AG5312" s="80"/>
      <c r="AH5312" s="80"/>
      <c r="AI5312" s="80"/>
    </row>
    <row r="5313" spans="5:35" x14ac:dyDescent="0.25">
      <c r="E5313" s="16"/>
      <c r="F5313" s="16"/>
      <c r="H5313" s="16"/>
      <c r="AG5313" s="80"/>
      <c r="AH5313" s="80"/>
      <c r="AI5313" s="80"/>
    </row>
    <row r="5314" spans="5:35" x14ac:dyDescent="0.25">
      <c r="E5314" s="16"/>
      <c r="F5314" s="16"/>
      <c r="H5314" s="16"/>
      <c r="AG5314" s="80"/>
      <c r="AH5314" s="80"/>
      <c r="AI5314" s="80"/>
    </row>
    <row r="5315" spans="5:35" x14ac:dyDescent="0.25">
      <c r="E5315" s="16"/>
      <c r="F5315" s="16"/>
      <c r="H5315" s="16"/>
      <c r="AG5315" s="80"/>
      <c r="AH5315" s="80"/>
      <c r="AI5315" s="80"/>
    </row>
    <row r="5316" spans="5:35" x14ac:dyDescent="0.25">
      <c r="E5316" s="16"/>
      <c r="F5316" s="16"/>
      <c r="H5316" s="16"/>
      <c r="AG5316" s="80"/>
      <c r="AH5316" s="80"/>
      <c r="AI5316" s="80"/>
    </row>
    <row r="5317" spans="5:35" x14ac:dyDescent="0.25">
      <c r="E5317" s="16"/>
      <c r="F5317" s="16"/>
      <c r="H5317" s="16"/>
      <c r="AG5317" s="80"/>
      <c r="AH5317" s="80"/>
      <c r="AI5317" s="80"/>
    </row>
    <row r="5318" spans="5:35" x14ac:dyDescent="0.25">
      <c r="E5318" s="16"/>
      <c r="F5318" s="16"/>
      <c r="H5318" s="16"/>
      <c r="AG5318" s="80"/>
      <c r="AH5318" s="80"/>
      <c r="AI5318" s="80"/>
    </row>
    <row r="5319" spans="5:35" x14ac:dyDescent="0.25">
      <c r="E5319" s="16"/>
      <c r="F5319" s="16"/>
      <c r="H5319" s="16"/>
      <c r="AG5319" s="80"/>
      <c r="AH5319" s="80"/>
      <c r="AI5319" s="80"/>
    </row>
    <row r="5320" spans="5:35" x14ac:dyDescent="0.25">
      <c r="E5320" s="16"/>
      <c r="F5320" s="16"/>
      <c r="H5320" s="16"/>
      <c r="AG5320" s="80"/>
      <c r="AH5320" s="80"/>
      <c r="AI5320" s="80"/>
    </row>
    <row r="5321" spans="5:35" x14ac:dyDescent="0.25">
      <c r="E5321" s="16"/>
      <c r="F5321" s="16"/>
      <c r="H5321" s="16"/>
      <c r="AG5321" s="80"/>
      <c r="AH5321" s="80"/>
      <c r="AI5321" s="80"/>
    </row>
    <row r="5322" spans="5:35" x14ac:dyDescent="0.25">
      <c r="E5322" s="16"/>
      <c r="F5322" s="16"/>
      <c r="H5322" s="16"/>
      <c r="AG5322" s="80"/>
      <c r="AH5322" s="80"/>
      <c r="AI5322" s="80"/>
    </row>
    <row r="5323" spans="5:35" x14ac:dyDescent="0.25">
      <c r="E5323" s="16"/>
      <c r="F5323" s="16"/>
      <c r="H5323" s="16"/>
      <c r="AG5323" s="80"/>
      <c r="AH5323" s="80"/>
      <c r="AI5323" s="80"/>
    </row>
    <row r="5324" spans="5:35" x14ac:dyDescent="0.25">
      <c r="E5324" s="16"/>
      <c r="F5324" s="16"/>
      <c r="H5324" s="16"/>
      <c r="AG5324" s="80"/>
      <c r="AH5324" s="80"/>
      <c r="AI5324" s="80"/>
    </row>
    <row r="5325" spans="5:35" x14ac:dyDescent="0.25">
      <c r="E5325" s="16"/>
      <c r="F5325" s="16"/>
      <c r="H5325" s="16"/>
      <c r="AG5325" s="80"/>
      <c r="AH5325" s="80"/>
      <c r="AI5325" s="80"/>
    </row>
    <row r="5326" spans="5:35" x14ac:dyDescent="0.25">
      <c r="E5326" s="16"/>
      <c r="F5326" s="16"/>
      <c r="H5326" s="16"/>
      <c r="AG5326" s="80"/>
      <c r="AH5326" s="80"/>
      <c r="AI5326" s="80"/>
    </row>
    <row r="5327" spans="5:35" x14ac:dyDescent="0.25">
      <c r="E5327" s="16"/>
      <c r="F5327" s="16"/>
      <c r="H5327" s="16"/>
      <c r="AG5327" s="80"/>
      <c r="AH5327" s="80"/>
      <c r="AI5327" s="80"/>
    </row>
    <row r="5328" spans="5:35" x14ac:dyDescent="0.25">
      <c r="E5328" s="16"/>
      <c r="F5328" s="16"/>
      <c r="H5328" s="16"/>
      <c r="AG5328" s="80"/>
      <c r="AH5328" s="80"/>
      <c r="AI5328" s="80"/>
    </row>
    <row r="5329" spans="5:35" x14ac:dyDescent="0.25">
      <c r="E5329" s="16"/>
      <c r="F5329" s="16"/>
      <c r="H5329" s="16"/>
      <c r="AG5329" s="80"/>
      <c r="AH5329" s="80"/>
      <c r="AI5329" s="80"/>
    </row>
    <row r="5330" spans="5:35" x14ac:dyDescent="0.25">
      <c r="E5330" s="16"/>
      <c r="F5330" s="16"/>
      <c r="H5330" s="16"/>
      <c r="AG5330" s="80"/>
      <c r="AH5330" s="80"/>
      <c r="AI5330" s="80"/>
    </row>
    <row r="5331" spans="5:35" x14ac:dyDescent="0.25">
      <c r="E5331" s="16"/>
      <c r="F5331" s="16"/>
      <c r="H5331" s="16"/>
      <c r="AG5331" s="80"/>
      <c r="AH5331" s="80"/>
      <c r="AI5331" s="80"/>
    </row>
    <row r="5332" spans="5:35" x14ac:dyDescent="0.25">
      <c r="E5332" s="16"/>
      <c r="F5332" s="16"/>
      <c r="H5332" s="16"/>
      <c r="AG5332" s="80"/>
      <c r="AH5332" s="80"/>
      <c r="AI5332" s="80"/>
    </row>
    <row r="5333" spans="5:35" x14ac:dyDescent="0.25">
      <c r="E5333" s="16"/>
      <c r="F5333" s="16"/>
      <c r="H5333" s="16"/>
      <c r="AG5333" s="80"/>
      <c r="AH5333" s="80"/>
      <c r="AI5333" s="80"/>
    </row>
    <row r="5334" spans="5:35" x14ac:dyDescent="0.25">
      <c r="E5334" s="16"/>
      <c r="F5334" s="16"/>
      <c r="H5334" s="16"/>
      <c r="AG5334" s="80"/>
      <c r="AH5334" s="80"/>
      <c r="AI5334" s="80"/>
    </row>
    <row r="5335" spans="5:35" x14ac:dyDescent="0.25">
      <c r="E5335" s="16"/>
      <c r="F5335" s="16"/>
      <c r="H5335" s="16"/>
      <c r="AG5335" s="80"/>
      <c r="AH5335" s="80"/>
      <c r="AI5335" s="80"/>
    </row>
    <row r="5336" spans="5:35" x14ac:dyDescent="0.25">
      <c r="E5336" s="16"/>
      <c r="F5336" s="16"/>
      <c r="H5336" s="16"/>
      <c r="AG5336" s="80"/>
      <c r="AH5336" s="80"/>
      <c r="AI5336" s="80"/>
    </row>
    <row r="5337" spans="5:35" x14ac:dyDescent="0.25">
      <c r="E5337" s="16"/>
      <c r="F5337" s="16"/>
      <c r="H5337" s="16"/>
      <c r="AG5337" s="80"/>
      <c r="AH5337" s="80"/>
      <c r="AI5337" s="80"/>
    </row>
    <row r="5338" spans="5:35" x14ac:dyDescent="0.25">
      <c r="E5338" s="16"/>
      <c r="F5338" s="16"/>
      <c r="H5338" s="16"/>
      <c r="AG5338" s="80"/>
      <c r="AH5338" s="80"/>
      <c r="AI5338" s="80"/>
    </row>
    <row r="5339" spans="5:35" x14ac:dyDescent="0.25">
      <c r="E5339" s="16"/>
      <c r="F5339" s="16"/>
      <c r="H5339" s="16"/>
      <c r="AG5339" s="80"/>
      <c r="AH5339" s="80"/>
      <c r="AI5339" s="80"/>
    </row>
    <row r="5340" spans="5:35" x14ac:dyDescent="0.25">
      <c r="E5340" s="16"/>
      <c r="F5340" s="16"/>
      <c r="H5340" s="16"/>
      <c r="AG5340" s="80"/>
      <c r="AH5340" s="80"/>
      <c r="AI5340" s="80"/>
    </row>
    <row r="5341" spans="5:35" x14ac:dyDescent="0.25">
      <c r="E5341" s="16"/>
      <c r="F5341" s="16"/>
      <c r="H5341" s="16"/>
      <c r="AG5341" s="80"/>
      <c r="AH5341" s="80"/>
      <c r="AI5341" s="80"/>
    </row>
    <row r="5342" spans="5:35" x14ac:dyDescent="0.25">
      <c r="E5342" s="16"/>
      <c r="F5342" s="16"/>
      <c r="H5342" s="16"/>
      <c r="AG5342" s="80"/>
      <c r="AH5342" s="80"/>
      <c r="AI5342" s="80"/>
    </row>
    <row r="5343" spans="5:35" x14ac:dyDescent="0.25">
      <c r="E5343" s="16"/>
      <c r="F5343" s="16"/>
      <c r="H5343" s="16"/>
      <c r="AG5343" s="80"/>
      <c r="AH5343" s="80"/>
      <c r="AI5343" s="80"/>
    </row>
    <row r="5344" spans="5:35" x14ac:dyDescent="0.25">
      <c r="E5344" s="16"/>
      <c r="F5344" s="16"/>
      <c r="H5344" s="16"/>
      <c r="AG5344" s="80"/>
      <c r="AH5344" s="80"/>
      <c r="AI5344" s="80"/>
    </row>
    <row r="5345" spans="5:35" x14ac:dyDescent="0.25">
      <c r="E5345" s="16"/>
      <c r="F5345" s="16"/>
      <c r="H5345" s="16"/>
      <c r="AG5345" s="80"/>
      <c r="AH5345" s="80"/>
      <c r="AI5345" s="80"/>
    </row>
    <row r="5346" spans="5:35" x14ac:dyDescent="0.25">
      <c r="E5346" s="16"/>
      <c r="F5346" s="16"/>
      <c r="H5346" s="16"/>
      <c r="AG5346" s="80"/>
      <c r="AH5346" s="80"/>
      <c r="AI5346" s="80"/>
    </row>
    <row r="5347" spans="5:35" x14ac:dyDescent="0.25">
      <c r="E5347" s="16"/>
      <c r="F5347" s="16"/>
      <c r="H5347" s="16"/>
      <c r="AG5347" s="80"/>
      <c r="AH5347" s="80"/>
      <c r="AI5347" s="80"/>
    </row>
    <row r="5348" spans="5:35" x14ac:dyDescent="0.25">
      <c r="E5348" s="16"/>
      <c r="F5348" s="16"/>
      <c r="H5348" s="16"/>
      <c r="AG5348" s="80"/>
      <c r="AH5348" s="80"/>
      <c r="AI5348" s="80"/>
    </row>
    <row r="5349" spans="5:35" x14ac:dyDescent="0.25">
      <c r="E5349" s="16"/>
      <c r="F5349" s="16"/>
      <c r="H5349" s="16"/>
      <c r="AG5349" s="80"/>
      <c r="AH5349" s="80"/>
      <c r="AI5349" s="80"/>
    </row>
    <row r="5350" spans="5:35" x14ac:dyDescent="0.25">
      <c r="E5350" s="16"/>
      <c r="F5350" s="16"/>
      <c r="H5350" s="16"/>
      <c r="AG5350" s="80"/>
      <c r="AH5350" s="80"/>
      <c r="AI5350" s="80"/>
    </row>
    <row r="5351" spans="5:35" x14ac:dyDescent="0.25">
      <c r="E5351" s="16"/>
      <c r="F5351" s="16"/>
      <c r="H5351" s="16"/>
      <c r="AG5351" s="80"/>
      <c r="AH5351" s="80"/>
      <c r="AI5351" s="80"/>
    </row>
    <row r="5352" spans="5:35" x14ac:dyDescent="0.25">
      <c r="E5352" s="16"/>
      <c r="F5352" s="16"/>
      <c r="H5352" s="16"/>
      <c r="AG5352" s="80"/>
      <c r="AH5352" s="80"/>
      <c r="AI5352" s="80"/>
    </row>
    <row r="5353" spans="5:35" x14ac:dyDescent="0.25">
      <c r="E5353" s="16"/>
      <c r="F5353" s="16"/>
      <c r="H5353" s="16"/>
      <c r="AG5353" s="80"/>
      <c r="AH5353" s="80"/>
      <c r="AI5353" s="80"/>
    </row>
    <row r="5354" spans="5:35" x14ac:dyDescent="0.25">
      <c r="E5354" s="16"/>
      <c r="F5354" s="16"/>
      <c r="H5354" s="16"/>
      <c r="AG5354" s="80"/>
      <c r="AH5354" s="80"/>
      <c r="AI5354" s="80"/>
    </row>
    <row r="5355" spans="5:35" x14ac:dyDescent="0.25">
      <c r="E5355" s="16"/>
      <c r="F5355" s="16"/>
      <c r="H5355" s="16"/>
      <c r="AG5355" s="80"/>
      <c r="AH5355" s="80"/>
      <c r="AI5355" s="80"/>
    </row>
    <row r="5356" spans="5:35" x14ac:dyDescent="0.25">
      <c r="E5356" s="16"/>
      <c r="F5356" s="16"/>
      <c r="H5356" s="16"/>
      <c r="AG5356" s="80"/>
      <c r="AH5356" s="80"/>
      <c r="AI5356" s="80"/>
    </row>
    <row r="5357" spans="5:35" x14ac:dyDescent="0.25">
      <c r="E5357" s="16"/>
      <c r="F5357" s="16"/>
      <c r="H5357" s="16"/>
      <c r="AG5357" s="80"/>
      <c r="AH5357" s="80"/>
      <c r="AI5357" s="80"/>
    </row>
    <row r="5358" spans="5:35" x14ac:dyDescent="0.25">
      <c r="E5358" s="16"/>
      <c r="F5358" s="16"/>
      <c r="H5358" s="16"/>
      <c r="AG5358" s="80"/>
      <c r="AH5358" s="80"/>
      <c r="AI5358" s="80"/>
    </row>
    <row r="5359" spans="5:35" x14ac:dyDescent="0.25">
      <c r="E5359" s="16"/>
      <c r="F5359" s="16"/>
      <c r="H5359" s="16"/>
      <c r="AG5359" s="80"/>
      <c r="AH5359" s="80"/>
      <c r="AI5359" s="80"/>
    </row>
    <row r="5360" spans="5:35" x14ac:dyDescent="0.25">
      <c r="E5360" s="16"/>
      <c r="F5360" s="16"/>
      <c r="H5360" s="16"/>
      <c r="AG5360" s="80"/>
      <c r="AH5360" s="80"/>
      <c r="AI5360" s="80"/>
    </row>
    <row r="5361" spans="5:35" x14ac:dyDescent="0.25">
      <c r="E5361" s="16"/>
      <c r="F5361" s="16"/>
      <c r="H5361" s="16"/>
      <c r="AG5361" s="80"/>
      <c r="AH5361" s="80"/>
      <c r="AI5361" s="80"/>
    </row>
    <row r="5362" spans="5:35" x14ac:dyDescent="0.25">
      <c r="E5362" s="16"/>
      <c r="F5362" s="16"/>
      <c r="H5362" s="16"/>
      <c r="AG5362" s="80"/>
      <c r="AH5362" s="80"/>
      <c r="AI5362" s="80"/>
    </row>
    <row r="5363" spans="5:35" x14ac:dyDescent="0.25">
      <c r="E5363" s="16"/>
      <c r="F5363" s="16"/>
      <c r="H5363" s="16"/>
      <c r="AG5363" s="80"/>
      <c r="AH5363" s="80"/>
      <c r="AI5363" s="80"/>
    </row>
    <row r="5364" spans="5:35" x14ac:dyDescent="0.25">
      <c r="E5364" s="16"/>
      <c r="F5364" s="16"/>
      <c r="H5364" s="16"/>
      <c r="AG5364" s="80"/>
      <c r="AH5364" s="80"/>
      <c r="AI5364" s="80"/>
    </row>
    <row r="5365" spans="5:35" x14ac:dyDescent="0.25">
      <c r="E5365" s="16"/>
      <c r="F5365" s="16"/>
      <c r="H5365" s="16"/>
      <c r="AG5365" s="80"/>
      <c r="AH5365" s="80"/>
      <c r="AI5365" s="80"/>
    </row>
    <row r="5366" spans="5:35" x14ac:dyDescent="0.25">
      <c r="E5366" s="16"/>
      <c r="F5366" s="16"/>
      <c r="H5366" s="16"/>
      <c r="AG5366" s="80"/>
      <c r="AH5366" s="80"/>
      <c r="AI5366" s="80"/>
    </row>
    <row r="5367" spans="5:35" x14ac:dyDescent="0.25">
      <c r="E5367" s="16"/>
      <c r="F5367" s="16"/>
      <c r="H5367" s="16"/>
      <c r="AG5367" s="80"/>
      <c r="AH5367" s="80"/>
      <c r="AI5367" s="80"/>
    </row>
    <row r="5368" spans="5:35" x14ac:dyDescent="0.25">
      <c r="E5368" s="16"/>
      <c r="F5368" s="16"/>
      <c r="H5368" s="16"/>
      <c r="AG5368" s="80"/>
      <c r="AH5368" s="80"/>
      <c r="AI5368" s="80"/>
    </row>
    <row r="5369" spans="5:35" x14ac:dyDescent="0.25">
      <c r="E5369" s="16"/>
      <c r="F5369" s="16"/>
      <c r="H5369" s="16"/>
      <c r="AG5369" s="80"/>
      <c r="AH5369" s="80"/>
      <c r="AI5369" s="80"/>
    </row>
    <row r="5370" spans="5:35" x14ac:dyDescent="0.25">
      <c r="E5370" s="16"/>
      <c r="F5370" s="16"/>
      <c r="H5370" s="16"/>
      <c r="AG5370" s="80"/>
      <c r="AH5370" s="80"/>
      <c r="AI5370" s="80"/>
    </row>
    <row r="5371" spans="5:35" x14ac:dyDescent="0.25">
      <c r="E5371" s="16"/>
      <c r="F5371" s="16"/>
      <c r="H5371" s="16"/>
      <c r="AG5371" s="80"/>
      <c r="AH5371" s="80"/>
      <c r="AI5371" s="80"/>
    </row>
    <row r="5372" spans="5:35" x14ac:dyDescent="0.25">
      <c r="E5372" s="16"/>
      <c r="F5372" s="16"/>
      <c r="H5372" s="16"/>
      <c r="AG5372" s="80"/>
      <c r="AH5372" s="80"/>
      <c r="AI5372" s="80"/>
    </row>
    <row r="5373" spans="5:35" x14ac:dyDescent="0.25">
      <c r="E5373" s="16"/>
      <c r="F5373" s="16"/>
      <c r="H5373" s="16"/>
      <c r="AG5373" s="80"/>
      <c r="AH5373" s="80"/>
      <c r="AI5373" s="80"/>
    </row>
    <row r="5374" spans="5:35" x14ac:dyDescent="0.25">
      <c r="E5374" s="16"/>
      <c r="F5374" s="16"/>
      <c r="H5374" s="16"/>
      <c r="AG5374" s="80"/>
      <c r="AH5374" s="80"/>
      <c r="AI5374" s="80"/>
    </row>
    <row r="5375" spans="5:35" x14ac:dyDescent="0.25">
      <c r="E5375" s="16"/>
      <c r="F5375" s="16"/>
      <c r="H5375" s="16"/>
      <c r="AG5375" s="80"/>
      <c r="AH5375" s="80"/>
      <c r="AI5375" s="80"/>
    </row>
    <row r="5376" spans="5:35" x14ac:dyDescent="0.25">
      <c r="E5376" s="16"/>
      <c r="F5376" s="16"/>
      <c r="H5376" s="16"/>
      <c r="AG5376" s="80"/>
      <c r="AH5376" s="80"/>
      <c r="AI5376" s="80"/>
    </row>
    <row r="5377" spans="5:35" x14ac:dyDescent="0.25">
      <c r="E5377" s="16"/>
      <c r="F5377" s="16"/>
      <c r="H5377" s="16"/>
      <c r="AG5377" s="80"/>
      <c r="AH5377" s="80"/>
      <c r="AI5377" s="80"/>
    </row>
    <row r="5378" spans="5:35" x14ac:dyDescent="0.25">
      <c r="E5378" s="16"/>
      <c r="F5378" s="16"/>
      <c r="H5378" s="16"/>
      <c r="AG5378" s="80"/>
      <c r="AH5378" s="80"/>
      <c r="AI5378" s="80"/>
    </row>
    <row r="5379" spans="5:35" x14ac:dyDescent="0.25">
      <c r="E5379" s="16"/>
      <c r="F5379" s="16"/>
      <c r="H5379" s="16"/>
      <c r="AG5379" s="80"/>
      <c r="AH5379" s="80"/>
      <c r="AI5379" s="80"/>
    </row>
    <row r="5380" spans="5:35" x14ac:dyDescent="0.25">
      <c r="E5380" s="16"/>
      <c r="F5380" s="16"/>
      <c r="H5380" s="16"/>
      <c r="AG5380" s="80"/>
      <c r="AH5380" s="80"/>
      <c r="AI5380" s="80"/>
    </row>
    <row r="5381" spans="5:35" x14ac:dyDescent="0.25">
      <c r="E5381" s="16"/>
      <c r="F5381" s="16"/>
      <c r="H5381" s="16"/>
      <c r="AG5381" s="80"/>
      <c r="AH5381" s="80"/>
      <c r="AI5381" s="80"/>
    </row>
    <row r="5382" spans="5:35" x14ac:dyDescent="0.25">
      <c r="E5382" s="16"/>
      <c r="F5382" s="16"/>
      <c r="H5382" s="16"/>
      <c r="AG5382" s="80"/>
      <c r="AH5382" s="80"/>
      <c r="AI5382" s="80"/>
    </row>
    <row r="5383" spans="5:35" x14ac:dyDescent="0.25">
      <c r="E5383" s="16"/>
      <c r="F5383" s="16"/>
      <c r="H5383" s="16"/>
      <c r="AG5383" s="80"/>
      <c r="AH5383" s="80"/>
      <c r="AI5383" s="80"/>
    </row>
    <row r="5384" spans="5:35" x14ac:dyDescent="0.25">
      <c r="E5384" s="16"/>
      <c r="F5384" s="16"/>
      <c r="H5384" s="16"/>
      <c r="AG5384" s="80"/>
      <c r="AH5384" s="80"/>
      <c r="AI5384" s="80"/>
    </row>
    <row r="5385" spans="5:35" x14ac:dyDescent="0.25">
      <c r="E5385" s="16"/>
      <c r="F5385" s="16"/>
      <c r="H5385" s="16"/>
      <c r="AG5385" s="80"/>
      <c r="AH5385" s="80"/>
      <c r="AI5385" s="80"/>
    </row>
    <row r="5386" spans="5:35" x14ac:dyDescent="0.25">
      <c r="E5386" s="16"/>
      <c r="F5386" s="16"/>
      <c r="H5386" s="16"/>
      <c r="AG5386" s="80"/>
      <c r="AH5386" s="80"/>
      <c r="AI5386" s="80"/>
    </row>
    <row r="5387" spans="5:35" x14ac:dyDescent="0.25">
      <c r="E5387" s="16"/>
      <c r="F5387" s="16"/>
      <c r="H5387" s="16"/>
      <c r="AG5387" s="80"/>
      <c r="AH5387" s="80"/>
      <c r="AI5387" s="80"/>
    </row>
    <row r="5388" spans="5:35" x14ac:dyDescent="0.25">
      <c r="E5388" s="16"/>
      <c r="F5388" s="16"/>
      <c r="H5388" s="16"/>
      <c r="AG5388" s="80"/>
      <c r="AH5388" s="80"/>
      <c r="AI5388" s="80"/>
    </row>
    <row r="5389" spans="5:35" x14ac:dyDescent="0.25">
      <c r="E5389" s="16"/>
      <c r="F5389" s="16"/>
      <c r="H5389" s="16"/>
      <c r="AG5389" s="80"/>
      <c r="AH5389" s="80"/>
      <c r="AI5389" s="80"/>
    </row>
    <row r="5390" spans="5:35" x14ac:dyDescent="0.25">
      <c r="E5390" s="16"/>
      <c r="F5390" s="16"/>
      <c r="H5390" s="16"/>
      <c r="AG5390" s="80"/>
      <c r="AH5390" s="80"/>
      <c r="AI5390" s="80"/>
    </row>
    <row r="5391" spans="5:35" x14ac:dyDescent="0.25">
      <c r="E5391" s="16"/>
      <c r="F5391" s="16"/>
      <c r="H5391" s="16"/>
      <c r="AG5391" s="80"/>
      <c r="AH5391" s="80"/>
      <c r="AI5391" s="80"/>
    </row>
    <row r="5392" spans="5:35" x14ac:dyDescent="0.25">
      <c r="E5392" s="16"/>
      <c r="F5392" s="16"/>
      <c r="H5392" s="16"/>
      <c r="AG5392" s="80"/>
      <c r="AH5392" s="80"/>
      <c r="AI5392" s="80"/>
    </row>
    <row r="5393" spans="5:35" x14ac:dyDescent="0.25">
      <c r="E5393" s="16"/>
      <c r="F5393" s="16"/>
      <c r="H5393" s="16"/>
      <c r="AG5393" s="80"/>
      <c r="AH5393" s="80"/>
      <c r="AI5393" s="80"/>
    </row>
    <row r="5394" spans="5:35" x14ac:dyDescent="0.25">
      <c r="E5394" s="16"/>
      <c r="F5394" s="16"/>
      <c r="H5394" s="16"/>
      <c r="AG5394" s="80"/>
      <c r="AH5394" s="80"/>
      <c r="AI5394" s="80"/>
    </row>
    <row r="5395" spans="5:35" x14ac:dyDescent="0.25">
      <c r="E5395" s="16"/>
      <c r="F5395" s="16"/>
      <c r="H5395" s="16"/>
      <c r="AG5395" s="80"/>
      <c r="AH5395" s="80"/>
      <c r="AI5395" s="80"/>
    </row>
    <row r="5396" spans="5:35" x14ac:dyDescent="0.25">
      <c r="E5396" s="16"/>
      <c r="F5396" s="16"/>
      <c r="H5396" s="16"/>
      <c r="AG5396" s="80"/>
      <c r="AH5396" s="80"/>
      <c r="AI5396" s="80"/>
    </row>
    <row r="5397" spans="5:35" x14ac:dyDescent="0.25">
      <c r="E5397" s="16"/>
      <c r="F5397" s="16"/>
      <c r="H5397" s="16"/>
      <c r="AG5397" s="80"/>
      <c r="AH5397" s="80"/>
      <c r="AI5397" s="80"/>
    </row>
    <row r="5398" spans="5:35" x14ac:dyDescent="0.25">
      <c r="E5398" s="16"/>
      <c r="F5398" s="16"/>
      <c r="H5398" s="16"/>
      <c r="AG5398" s="80"/>
      <c r="AH5398" s="80"/>
      <c r="AI5398" s="80"/>
    </row>
    <row r="5399" spans="5:35" x14ac:dyDescent="0.25">
      <c r="E5399" s="16"/>
      <c r="F5399" s="16"/>
      <c r="H5399" s="16"/>
      <c r="AG5399" s="80"/>
      <c r="AH5399" s="80"/>
      <c r="AI5399" s="80"/>
    </row>
    <row r="5400" spans="5:35" x14ac:dyDescent="0.25">
      <c r="E5400" s="16"/>
      <c r="F5400" s="16"/>
      <c r="H5400" s="16"/>
      <c r="AG5400" s="80"/>
      <c r="AH5400" s="80"/>
      <c r="AI5400" s="80"/>
    </row>
    <row r="5401" spans="5:35" x14ac:dyDescent="0.25">
      <c r="E5401" s="16"/>
      <c r="F5401" s="16"/>
      <c r="H5401" s="16"/>
      <c r="AG5401" s="80"/>
      <c r="AH5401" s="80"/>
      <c r="AI5401" s="80"/>
    </row>
    <row r="5402" spans="5:35" x14ac:dyDescent="0.25">
      <c r="E5402" s="16"/>
      <c r="F5402" s="16"/>
      <c r="H5402" s="16"/>
      <c r="AG5402" s="80"/>
      <c r="AH5402" s="80"/>
      <c r="AI5402" s="80"/>
    </row>
    <row r="5403" spans="5:35" x14ac:dyDescent="0.25">
      <c r="E5403" s="16"/>
      <c r="F5403" s="16"/>
      <c r="H5403" s="16"/>
      <c r="AG5403" s="80"/>
      <c r="AH5403" s="80"/>
      <c r="AI5403" s="80"/>
    </row>
    <row r="5404" spans="5:35" x14ac:dyDescent="0.25">
      <c r="E5404" s="16"/>
      <c r="F5404" s="16"/>
      <c r="H5404" s="16"/>
      <c r="AG5404" s="80"/>
      <c r="AH5404" s="80"/>
      <c r="AI5404" s="80"/>
    </row>
    <row r="5405" spans="5:35" x14ac:dyDescent="0.25">
      <c r="E5405" s="16"/>
      <c r="F5405" s="16"/>
      <c r="H5405" s="16"/>
      <c r="AG5405" s="80"/>
      <c r="AH5405" s="80"/>
      <c r="AI5405" s="80"/>
    </row>
    <row r="5406" spans="5:35" x14ac:dyDescent="0.25">
      <c r="E5406" s="16"/>
      <c r="F5406" s="16"/>
      <c r="H5406" s="16"/>
      <c r="AG5406" s="80"/>
      <c r="AH5406" s="80"/>
      <c r="AI5406" s="80"/>
    </row>
    <row r="5407" spans="5:35" x14ac:dyDescent="0.25">
      <c r="E5407" s="16"/>
      <c r="F5407" s="16"/>
      <c r="H5407" s="16"/>
      <c r="AG5407" s="80"/>
      <c r="AH5407" s="80"/>
      <c r="AI5407" s="80"/>
    </row>
    <row r="5408" spans="5:35" x14ac:dyDescent="0.25">
      <c r="E5408" s="16"/>
      <c r="F5408" s="16"/>
      <c r="H5408" s="16"/>
      <c r="AG5408" s="80"/>
      <c r="AH5408" s="80"/>
      <c r="AI5408" s="80"/>
    </row>
    <row r="5409" spans="5:35" x14ac:dyDescent="0.25">
      <c r="E5409" s="16"/>
      <c r="F5409" s="16"/>
      <c r="H5409" s="16"/>
      <c r="AG5409" s="80"/>
      <c r="AH5409" s="80"/>
      <c r="AI5409" s="80"/>
    </row>
    <row r="5410" spans="5:35" x14ac:dyDescent="0.25">
      <c r="E5410" s="16"/>
      <c r="F5410" s="16"/>
      <c r="H5410" s="16"/>
      <c r="AG5410" s="80"/>
      <c r="AH5410" s="80"/>
      <c r="AI5410" s="80"/>
    </row>
    <row r="5411" spans="5:35" x14ac:dyDescent="0.25">
      <c r="E5411" s="16"/>
      <c r="F5411" s="16"/>
      <c r="H5411" s="16"/>
      <c r="AG5411" s="80"/>
      <c r="AH5411" s="80"/>
      <c r="AI5411" s="80"/>
    </row>
    <row r="5412" spans="5:35" x14ac:dyDescent="0.25">
      <c r="E5412" s="16"/>
      <c r="F5412" s="16"/>
      <c r="H5412" s="16"/>
      <c r="AG5412" s="80"/>
      <c r="AH5412" s="80"/>
      <c r="AI5412" s="80"/>
    </row>
    <row r="5413" spans="5:35" x14ac:dyDescent="0.25">
      <c r="E5413" s="16"/>
      <c r="F5413" s="16"/>
      <c r="H5413" s="16"/>
      <c r="AG5413" s="80"/>
      <c r="AH5413" s="80"/>
      <c r="AI5413" s="80"/>
    </row>
    <row r="5414" spans="5:35" x14ac:dyDescent="0.25">
      <c r="E5414" s="16"/>
      <c r="F5414" s="16"/>
      <c r="H5414" s="16"/>
      <c r="AG5414" s="80"/>
      <c r="AH5414" s="80"/>
      <c r="AI5414" s="80"/>
    </row>
    <row r="5415" spans="5:35" x14ac:dyDescent="0.25">
      <c r="E5415" s="16"/>
      <c r="F5415" s="16"/>
      <c r="H5415" s="16"/>
      <c r="AG5415" s="80"/>
      <c r="AH5415" s="80"/>
      <c r="AI5415" s="80"/>
    </row>
    <row r="5416" spans="5:35" x14ac:dyDescent="0.25">
      <c r="E5416" s="16"/>
      <c r="F5416" s="16"/>
      <c r="H5416" s="16"/>
      <c r="AG5416" s="80"/>
      <c r="AH5416" s="80"/>
      <c r="AI5416" s="80"/>
    </row>
    <row r="5417" spans="5:35" x14ac:dyDescent="0.25">
      <c r="E5417" s="16"/>
      <c r="F5417" s="16"/>
      <c r="H5417" s="16"/>
      <c r="AG5417" s="80"/>
      <c r="AH5417" s="80"/>
      <c r="AI5417" s="80"/>
    </row>
    <row r="5418" spans="5:35" x14ac:dyDescent="0.25">
      <c r="E5418" s="16"/>
      <c r="F5418" s="16"/>
      <c r="H5418" s="16"/>
      <c r="AG5418" s="80"/>
      <c r="AH5418" s="80"/>
      <c r="AI5418" s="80"/>
    </row>
    <row r="5419" spans="5:35" x14ac:dyDescent="0.25">
      <c r="E5419" s="16"/>
      <c r="F5419" s="16"/>
      <c r="H5419" s="16"/>
      <c r="AG5419" s="80"/>
      <c r="AH5419" s="80"/>
      <c r="AI5419" s="80"/>
    </row>
    <row r="5420" spans="5:35" x14ac:dyDescent="0.25">
      <c r="E5420" s="16"/>
      <c r="F5420" s="16"/>
      <c r="H5420" s="16"/>
      <c r="AG5420" s="80"/>
      <c r="AH5420" s="80"/>
      <c r="AI5420" s="80"/>
    </row>
    <row r="5421" spans="5:35" x14ac:dyDescent="0.25">
      <c r="E5421" s="16"/>
      <c r="F5421" s="16"/>
      <c r="H5421" s="16"/>
      <c r="AG5421" s="80"/>
      <c r="AH5421" s="80"/>
      <c r="AI5421" s="80"/>
    </row>
    <row r="5422" spans="5:35" x14ac:dyDescent="0.25">
      <c r="E5422" s="16"/>
      <c r="F5422" s="16"/>
      <c r="H5422" s="16"/>
      <c r="AG5422" s="80"/>
      <c r="AH5422" s="80"/>
      <c r="AI5422" s="80"/>
    </row>
    <row r="5423" spans="5:35" x14ac:dyDescent="0.25">
      <c r="E5423" s="16"/>
      <c r="F5423" s="16"/>
      <c r="H5423" s="16"/>
      <c r="AG5423" s="80"/>
      <c r="AH5423" s="80"/>
      <c r="AI5423" s="80"/>
    </row>
    <row r="5424" spans="5:35" x14ac:dyDescent="0.25">
      <c r="E5424" s="16"/>
      <c r="F5424" s="16"/>
      <c r="H5424" s="16"/>
      <c r="AG5424" s="80"/>
      <c r="AH5424" s="80"/>
      <c r="AI5424" s="80"/>
    </row>
    <row r="5425" spans="5:35" x14ac:dyDescent="0.25">
      <c r="E5425" s="16"/>
      <c r="F5425" s="16"/>
      <c r="H5425" s="16"/>
      <c r="AG5425" s="80"/>
      <c r="AH5425" s="80"/>
      <c r="AI5425" s="80"/>
    </row>
    <row r="5426" spans="5:35" x14ac:dyDescent="0.25">
      <c r="E5426" s="16"/>
      <c r="F5426" s="16"/>
      <c r="H5426" s="16"/>
      <c r="AG5426" s="80"/>
      <c r="AH5426" s="80"/>
      <c r="AI5426" s="80"/>
    </row>
    <row r="5427" spans="5:35" x14ac:dyDescent="0.25">
      <c r="E5427" s="16"/>
      <c r="F5427" s="16"/>
      <c r="H5427" s="16"/>
      <c r="AG5427" s="80"/>
      <c r="AH5427" s="80"/>
      <c r="AI5427" s="80"/>
    </row>
    <row r="5428" spans="5:35" x14ac:dyDescent="0.25">
      <c r="E5428" s="16"/>
      <c r="F5428" s="16"/>
      <c r="H5428" s="16"/>
      <c r="AG5428" s="80"/>
      <c r="AH5428" s="80"/>
      <c r="AI5428" s="80"/>
    </row>
    <row r="5429" spans="5:35" x14ac:dyDescent="0.25">
      <c r="E5429" s="16"/>
      <c r="F5429" s="16"/>
      <c r="H5429" s="16"/>
      <c r="AG5429" s="80"/>
      <c r="AH5429" s="80"/>
      <c r="AI5429" s="80"/>
    </row>
    <row r="5430" spans="5:35" x14ac:dyDescent="0.25">
      <c r="E5430" s="16"/>
      <c r="F5430" s="16"/>
      <c r="H5430" s="16"/>
      <c r="AG5430" s="80"/>
      <c r="AH5430" s="80"/>
      <c r="AI5430" s="80"/>
    </row>
    <row r="5431" spans="5:35" x14ac:dyDescent="0.25">
      <c r="E5431" s="16"/>
      <c r="F5431" s="16"/>
      <c r="H5431" s="16"/>
      <c r="AG5431" s="80"/>
      <c r="AH5431" s="80"/>
      <c r="AI5431" s="80"/>
    </row>
    <row r="5432" spans="5:35" x14ac:dyDescent="0.25">
      <c r="E5432" s="16"/>
      <c r="F5432" s="16"/>
      <c r="H5432" s="16"/>
      <c r="AG5432" s="80"/>
      <c r="AH5432" s="80"/>
      <c r="AI5432" s="80"/>
    </row>
    <row r="5433" spans="5:35" x14ac:dyDescent="0.25">
      <c r="E5433" s="16"/>
      <c r="F5433" s="16"/>
      <c r="H5433" s="16"/>
      <c r="AG5433" s="80"/>
      <c r="AH5433" s="80"/>
      <c r="AI5433" s="80"/>
    </row>
    <row r="5434" spans="5:35" x14ac:dyDescent="0.25">
      <c r="E5434" s="16"/>
      <c r="F5434" s="16"/>
      <c r="H5434" s="16"/>
      <c r="AG5434" s="80"/>
      <c r="AH5434" s="80"/>
      <c r="AI5434" s="80"/>
    </row>
    <row r="5435" spans="5:35" x14ac:dyDescent="0.25">
      <c r="E5435" s="16"/>
      <c r="F5435" s="16"/>
      <c r="H5435" s="16"/>
      <c r="AG5435" s="80"/>
      <c r="AH5435" s="80"/>
      <c r="AI5435" s="80"/>
    </row>
    <row r="5436" spans="5:35" x14ac:dyDescent="0.25">
      <c r="E5436" s="16"/>
      <c r="F5436" s="16"/>
      <c r="H5436" s="16"/>
      <c r="AG5436" s="80"/>
      <c r="AH5436" s="80"/>
      <c r="AI5436" s="80"/>
    </row>
    <row r="5437" spans="5:35" x14ac:dyDescent="0.25">
      <c r="E5437" s="16"/>
      <c r="F5437" s="16"/>
      <c r="H5437" s="16"/>
      <c r="AG5437" s="80"/>
      <c r="AH5437" s="80"/>
      <c r="AI5437" s="80"/>
    </row>
    <row r="5438" spans="5:35" x14ac:dyDescent="0.25">
      <c r="E5438" s="16"/>
      <c r="F5438" s="16"/>
      <c r="H5438" s="16"/>
      <c r="AG5438" s="80"/>
      <c r="AH5438" s="80"/>
      <c r="AI5438" s="80"/>
    </row>
    <row r="5439" spans="5:35" x14ac:dyDescent="0.25">
      <c r="E5439" s="16"/>
      <c r="F5439" s="16"/>
      <c r="H5439" s="16"/>
      <c r="AG5439" s="80"/>
      <c r="AH5439" s="80"/>
      <c r="AI5439" s="80"/>
    </row>
    <row r="5440" spans="5:35" x14ac:dyDescent="0.25">
      <c r="E5440" s="16"/>
      <c r="F5440" s="16"/>
      <c r="H5440" s="16"/>
      <c r="AG5440" s="80"/>
      <c r="AH5440" s="80"/>
      <c r="AI5440" s="80"/>
    </row>
    <row r="5441" spans="5:35" x14ac:dyDescent="0.25">
      <c r="E5441" s="16"/>
      <c r="F5441" s="16"/>
      <c r="H5441" s="16"/>
      <c r="AG5441" s="80"/>
      <c r="AH5441" s="80"/>
      <c r="AI5441" s="80"/>
    </row>
    <row r="5442" spans="5:35" x14ac:dyDescent="0.25">
      <c r="E5442" s="16"/>
      <c r="F5442" s="16"/>
      <c r="H5442" s="16"/>
      <c r="AG5442" s="80"/>
      <c r="AH5442" s="80"/>
      <c r="AI5442" s="80"/>
    </row>
    <row r="5443" spans="5:35" x14ac:dyDescent="0.25">
      <c r="E5443" s="16"/>
      <c r="F5443" s="16"/>
      <c r="H5443" s="16"/>
      <c r="AG5443" s="80"/>
      <c r="AH5443" s="80"/>
      <c r="AI5443" s="80"/>
    </row>
    <row r="5444" spans="5:35" x14ac:dyDescent="0.25">
      <c r="E5444" s="16"/>
      <c r="F5444" s="16"/>
      <c r="H5444" s="16"/>
      <c r="AG5444" s="80"/>
      <c r="AH5444" s="80"/>
      <c r="AI5444" s="80"/>
    </row>
    <row r="5445" spans="5:35" x14ac:dyDescent="0.25">
      <c r="E5445" s="16"/>
      <c r="F5445" s="16"/>
      <c r="H5445" s="16"/>
      <c r="AG5445" s="80"/>
      <c r="AH5445" s="80"/>
      <c r="AI5445" s="80"/>
    </row>
    <row r="5446" spans="5:35" x14ac:dyDescent="0.25">
      <c r="E5446" s="16"/>
      <c r="F5446" s="16"/>
      <c r="H5446" s="16"/>
      <c r="AG5446" s="80"/>
      <c r="AH5446" s="80"/>
      <c r="AI5446" s="80"/>
    </row>
    <row r="5447" spans="5:35" x14ac:dyDescent="0.25">
      <c r="E5447" s="16"/>
      <c r="F5447" s="16"/>
      <c r="H5447" s="16"/>
      <c r="AG5447" s="80"/>
      <c r="AH5447" s="80"/>
      <c r="AI5447" s="80"/>
    </row>
    <row r="5448" spans="5:35" x14ac:dyDescent="0.25">
      <c r="E5448" s="16"/>
      <c r="F5448" s="16"/>
      <c r="H5448" s="16"/>
      <c r="AG5448" s="80"/>
      <c r="AH5448" s="80"/>
      <c r="AI5448" s="80"/>
    </row>
    <row r="5449" spans="5:35" x14ac:dyDescent="0.25">
      <c r="E5449" s="16"/>
      <c r="F5449" s="16"/>
      <c r="H5449" s="16"/>
      <c r="AG5449" s="80"/>
      <c r="AH5449" s="80"/>
      <c r="AI5449" s="80"/>
    </row>
    <row r="5450" spans="5:35" x14ac:dyDescent="0.25">
      <c r="E5450" s="16"/>
      <c r="F5450" s="16"/>
      <c r="H5450" s="16"/>
      <c r="AG5450" s="80"/>
      <c r="AH5450" s="80"/>
      <c r="AI5450" s="80"/>
    </row>
    <row r="5451" spans="5:35" x14ac:dyDescent="0.25">
      <c r="E5451" s="16"/>
      <c r="F5451" s="16"/>
      <c r="H5451" s="16"/>
      <c r="AG5451" s="80"/>
      <c r="AH5451" s="80"/>
      <c r="AI5451" s="80"/>
    </row>
    <row r="5452" spans="5:35" x14ac:dyDescent="0.25">
      <c r="E5452" s="16"/>
      <c r="F5452" s="16"/>
      <c r="H5452" s="16"/>
      <c r="AG5452" s="80"/>
      <c r="AH5452" s="80"/>
      <c r="AI5452" s="80"/>
    </row>
    <row r="5453" spans="5:35" x14ac:dyDescent="0.25">
      <c r="E5453" s="16"/>
      <c r="F5453" s="16"/>
      <c r="H5453" s="16"/>
      <c r="AG5453" s="80"/>
      <c r="AH5453" s="80"/>
      <c r="AI5453" s="80"/>
    </row>
    <row r="5454" spans="5:35" x14ac:dyDescent="0.25">
      <c r="E5454" s="16"/>
      <c r="F5454" s="16"/>
      <c r="H5454" s="16"/>
      <c r="AG5454" s="80"/>
      <c r="AH5454" s="80"/>
      <c r="AI5454" s="80"/>
    </row>
    <row r="5455" spans="5:35" x14ac:dyDescent="0.25">
      <c r="E5455" s="16"/>
      <c r="F5455" s="16"/>
      <c r="H5455" s="16"/>
      <c r="AG5455" s="80"/>
      <c r="AH5455" s="80"/>
      <c r="AI5455" s="80"/>
    </row>
    <row r="5456" spans="5:35" x14ac:dyDescent="0.25">
      <c r="E5456" s="16"/>
      <c r="F5456" s="16"/>
      <c r="H5456" s="16"/>
      <c r="AG5456" s="80"/>
      <c r="AH5456" s="80"/>
      <c r="AI5456" s="80"/>
    </row>
    <row r="5457" spans="5:35" x14ac:dyDescent="0.25">
      <c r="E5457" s="16"/>
      <c r="F5457" s="16"/>
      <c r="H5457" s="16"/>
      <c r="AG5457" s="80"/>
      <c r="AH5457" s="80"/>
      <c r="AI5457" s="80"/>
    </row>
    <row r="5458" spans="5:35" x14ac:dyDescent="0.25">
      <c r="E5458" s="16"/>
      <c r="F5458" s="16"/>
      <c r="H5458" s="16"/>
      <c r="AG5458" s="80"/>
      <c r="AH5458" s="80"/>
      <c r="AI5458" s="80"/>
    </row>
    <row r="5459" spans="5:35" x14ac:dyDescent="0.25">
      <c r="E5459" s="16"/>
      <c r="F5459" s="16"/>
      <c r="H5459" s="16"/>
      <c r="AG5459" s="80"/>
      <c r="AH5459" s="80"/>
      <c r="AI5459" s="80"/>
    </row>
    <row r="5460" spans="5:35" x14ac:dyDescent="0.25">
      <c r="E5460" s="16"/>
      <c r="F5460" s="16"/>
      <c r="H5460" s="16"/>
      <c r="AG5460" s="80"/>
      <c r="AH5460" s="80"/>
      <c r="AI5460" s="80"/>
    </row>
    <row r="5461" spans="5:35" x14ac:dyDescent="0.25">
      <c r="E5461" s="16"/>
      <c r="F5461" s="16"/>
      <c r="H5461" s="16"/>
      <c r="AG5461" s="80"/>
      <c r="AH5461" s="80"/>
      <c r="AI5461" s="80"/>
    </row>
    <row r="5462" spans="5:35" x14ac:dyDescent="0.25">
      <c r="E5462" s="16"/>
      <c r="F5462" s="16"/>
      <c r="H5462" s="16"/>
      <c r="AG5462" s="80"/>
      <c r="AH5462" s="80"/>
      <c r="AI5462" s="80"/>
    </row>
    <row r="5463" spans="5:35" x14ac:dyDescent="0.25">
      <c r="E5463" s="16"/>
      <c r="F5463" s="16"/>
      <c r="H5463" s="16"/>
      <c r="AG5463" s="80"/>
      <c r="AH5463" s="80"/>
      <c r="AI5463" s="80"/>
    </row>
    <row r="5464" spans="5:35" x14ac:dyDescent="0.25">
      <c r="E5464" s="16"/>
      <c r="F5464" s="16"/>
      <c r="H5464" s="16"/>
      <c r="AG5464" s="80"/>
      <c r="AH5464" s="80"/>
      <c r="AI5464" s="80"/>
    </row>
    <row r="5465" spans="5:35" x14ac:dyDescent="0.25">
      <c r="E5465" s="16"/>
      <c r="F5465" s="16"/>
      <c r="H5465" s="16"/>
      <c r="AG5465" s="80"/>
      <c r="AH5465" s="80"/>
      <c r="AI5465" s="80"/>
    </row>
    <row r="5466" spans="5:35" x14ac:dyDescent="0.25">
      <c r="E5466" s="16"/>
      <c r="F5466" s="16"/>
      <c r="H5466" s="16"/>
      <c r="AG5466" s="80"/>
      <c r="AH5466" s="80"/>
      <c r="AI5466" s="80"/>
    </row>
    <row r="5467" spans="5:35" x14ac:dyDescent="0.25">
      <c r="E5467" s="16"/>
      <c r="F5467" s="16"/>
      <c r="H5467" s="16"/>
      <c r="AG5467" s="80"/>
      <c r="AH5467" s="80"/>
      <c r="AI5467" s="80"/>
    </row>
    <row r="5468" spans="5:35" x14ac:dyDescent="0.25">
      <c r="E5468" s="16"/>
      <c r="F5468" s="16"/>
      <c r="H5468" s="16"/>
      <c r="AG5468" s="80"/>
      <c r="AH5468" s="80"/>
      <c r="AI5468" s="80"/>
    </row>
    <row r="5469" spans="5:35" x14ac:dyDescent="0.25">
      <c r="E5469" s="16"/>
      <c r="F5469" s="16"/>
      <c r="H5469" s="16"/>
      <c r="AG5469" s="80"/>
      <c r="AH5469" s="80"/>
      <c r="AI5469" s="80"/>
    </row>
    <row r="5470" spans="5:35" x14ac:dyDescent="0.25">
      <c r="E5470" s="16"/>
      <c r="F5470" s="16"/>
      <c r="H5470" s="16"/>
      <c r="AG5470" s="80"/>
      <c r="AH5470" s="80"/>
      <c r="AI5470" s="80"/>
    </row>
    <row r="5471" spans="5:35" x14ac:dyDescent="0.25">
      <c r="E5471" s="16"/>
      <c r="F5471" s="16"/>
      <c r="H5471" s="16"/>
      <c r="AG5471" s="80"/>
      <c r="AH5471" s="80"/>
      <c r="AI5471" s="80"/>
    </row>
    <row r="5472" spans="5:35" x14ac:dyDescent="0.25">
      <c r="E5472" s="16"/>
      <c r="F5472" s="16"/>
      <c r="H5472" s="16"/>
      <c r="AG5472" s="80"/>
      <c r="AH5472" s="80"/>
      <c r="AI5472" s="80"/>
    </row>
    <row r="5473" spans="5:35" x14ac:dyDescent="0.25">
      <c r="E5473" s="16"/>
      <c r="F5473" s="16"/>
      <c r="H5473" s="16"/>
      <c r="AG5473" s="80"/>
      <c r="AH5473" s="80"/>
      <c r="AI5473" s="80"/>
    </row>
    <row r="5474" spans="5:35" x14ac:dyDescent="0.25">
      <c r="E5474" s="16"/>
      <c r="F5474" s="16"/>
      <c r="H5474" s="16"/>
      <c r="AG5474" s="80"/>
      <c r="AH5474" s="80"/>
      <c r="AI5474" s="80"/>
    </row>
    <row r="5475" spans="5:35" x14ac:dyDescent="0.25">
      <c r="E5475" s="16"/>
      <c r="F5475" s="16"/>
      <c r="H5475" s="16"/>
      <c r="AG5475" s="80"/>
      <c r="AH5475" s="80"/>
      <c r="AI5475" s="80"/>
    </row>
    <row r="5476" spans="5:35" x14ac:dyDescent="0.25">
      <c r="E5476" s="16"/>
      <c r="F5476" s="16"/>
      <c r="H5476" s="16"/>
      <c r="AG5476" s="80"/>
      <c r="AH5476" s="80"/>
      <c r="AI5476" s="80"/>
    </row>
    <row r="5477" spans="5:35" x14ac:dyDescent="0.25">
      <c r="E5477" s="16"/>
      <c r="F5477" s="16"/>
      <c r="H5477" s="16"/>
      <c r="AG5477" s="80"/>
      <c r="AH5477" s="80"/>
      <c r="AI5477" s="80"/>
    </row>
    <row r="5478" spans="5:35" x14ac:dyDescent="0.25">
      <c r="E5478" s="16"/>
      <c r="F5478" s="16"/>
      <c r="H5478" s="16"/>
      <c r="AG5478" s="80"/>
      <c r="AH5478" s="80"/>
      <c r="AI5478" s="80"/>
    </row>
    <row r="5479" spans="5:35" x14ac:dyDescent="0.25">
      <c r="E5479" s="16"/>
      <c r="F5479" s="16"/>
      <c r="H5479" s="16"/>
      <c r="AG5479" s="80"/>
      <c r="AH5479" s="80"/>
      <c r="AI5479" s="80"/>
    </row>
    <row r="5480" spans="5:35" x14ac:dyDescent="0.25">
      <c r="E5480" s="16"/>
      <c r="F5480" s="16"/>
      <c r="H5480" s="16"/>
      <c r="AG5480" s="80"/>
      <c r="AH5480" s="80"/>
      <c r="AI5480" s="80"/>
    </row>
    <row r="5481" spans="5:35" x14ac:dyDescent="0.25">
      <c r="E5481" s="16"/>
      <c r="F5481" s="16"/>
      <c r="H5481" s="16"/>
      <c r="AG5481" s="80"/>
      <c r="AH5481" s="80"/>
      <c r="AI5481" s="80"/>
    </row>
    <row r="5482" spans="5:35" x14ac:dyDescent="0.25">
      <c r="E5482" s="16"/>
      <c r="F5482" s="16"/>
      <c r="H5482" s="16"/>
      <c r="AG5482" s="80"/>
      <c r="AH5482" s="80"/>
      <c r="AI5482" s="80"/>
    </row>
    <row r="5483" spans="5:35" x14ac:dyDescent="0.25">
      <c r="E5483" s="16"/>
      <c r="F5483" s="16"/>
      <c r="H5483" s="16"/>
      <c r="AG5483" s="80"/>
      <c r="AH5483" s="80"/>
      <c r="AI5483" s="80"/>
    </row>
    <row r="5484" spans="5:35" x14ac:dyDescent="0.25">
      <c r="E5484" s="16"/>
      <c r="F5484" s="16"/>
      <c r="H5484" s="16"/>
      <c r="AG5484" s="80"/>
      <c r="AH5484" s="80"/>
      <c r="AI5484" s="80"/>
    </row>
    <row r="5485" spans="5:35" x14ac:dyDescent="0.25">
      <c r="E5485" s="16"/>
      <c r="F5485" s="16"/>
      <c r="H5485" s="16"/>
      <c r="AG5485" s="80"/>
      <c r="AH5485" s="80"/>
      <c r="AI5485" s="80"/>
    </row>
    <row r="5486" spans="5:35" x14ac:dyDescent="0.25">
      <c r="E5486" s="16"/>
      <c r="F5486" s="16"/>
      <c r="H5486" s="16"/>
      <c r="AG5486" s="80"/>
      <c r="AH5486" s="80"/>
      <c r="AI5486" s="80"/>
    </row>
    <row r="5487" spans="5:35" x14ac:dyDescent="0.25">
      <c r="E5487" s="16"/>
      <c r="F5487" s="16"/>
      <c r="H5487" s="16"/>
      <c r="AG5487" s="80"/>
      <c r="AH5487" s="80"/>
      <c r="AI5487" s="80"/>
    </row>
    <row r="5488" spans="5:35" x14ac:dyDescent="0.25">
      <c r="E5488" s="16"/>
      <c r="F5488" s="16"/>
      <c r="H5488" s="16"/>
      <c r="AG5488" s="80"/>
      <c r="AH5488" s="80"/>
      <c r="AI5488" s="80"/>
    </row>
    <row r="5489" spans="5:35" x14ac:dyDescent="0.25">
      <c r="E5489" s="16"/>
      <c r="F5489" s="16"/>
      <c r="H5489" s="16"/>
      <c r="AG5489" s="80"/>
      <c r="AH5489" s="80"/>
      <c r="AI5489" s="80"/>
    </row>
    <row r="5490" spans="5:35" x14ac:dyDescent="0.25">
      <c r="E5490" s="16"/>
      <c r="F5490" s="16"/>
      <c r="H5490" s="16"/>
      <c r="AG5490" s="80"/>
      <c r="AH5490" s="80"/>
      <c r="AI5490" s="80"/>
    </row>
    <row r="5491" spans="5:35" x14ac:dyDescent="0.25">
      <c r="E5491" s="16"/>
      <c r="F5491" s="16"/>
      <c r="H5491" s="16"/>
      <c r="AG5491" s="80"/>
      <c r="AH5491" s="80"/>
      <c r="AI5491" s="80"/>
    </row>
    <row r="5492" spans="5:35" x14ac:dyDescent="0.25">
      <c r="E5492" s="16"/>
      <c r="F5492" s="16"/>
      <c r="H5492" s="16"/>
      <c r="AG5492" s="80"/>
      <c r="AH5492" s="80"/>
      <c r="AI5492" s="80"/>
    </row>
    <row r="5493" spans="5:35" x14ac:dyDescent="0.25">
      <c r="E5493" s="16"/>
      <c r="F5493" s="16"/>
      <c r="H5493" s="16"/>
      <c r="AG5493" s="80"/>
      <c r="AH5493" s="80"/>
      <c r="AI5493" s="80"/>
    </row>
    <row r="5494" spans="5:35" x14ac:dyDescent="0.25">
      <c r="E5494" s="16"/>
      <c r="F5494" s="16"/>
      <c r="H5494" s="16"/>
      <c r="AG5494" s="80"/>
      <c r="AH5494" s="80"/>
      <c r="AI5494" s="80"/>
    </row>
    <row r="5495" spans="5:35" x14ac:dyDescent="0.25">
      <c r="E5495" s="16"/>
      <c r="F5495" s="16"/>
      <c r="H5495" s="16"/>
      <c r="AG5495" s="80"/>
      <c r="AH5495" s="80"/>
      <c r="AI5495" s="80"/>
    </row>
    <row r="5496" spans="5:35" x14ac:dyDescent="0.25">
      <c r="E5496" s="16"/>
      <c r="F5496" s="16"/>
      <c r="H5496" s="16"/>
      <c r="AG5496" s="80"/>
      <c r="AH5496" s="80"/>
      <c r="AI5496" s="80"/>
    </row>
    <row r="5497" spans="5:35" x14ac:dyDescent="0.25">
      <c r="E5497" s="16"/>
      <c r="F5497" s="16"/>
      <c r="H5497" s="16"/>
      <c r="AG5497" s="80"/>
      <c r="AH5497" s="80"/>
      <c r="AI5497" s="80"/>
    </row>
    <row r="5498" spans="5:35" x14ac:dyDescent="0.25">
      <c r="E5498" s="16"/>
      <c r="F5498" s="16"/>
      <c r="H5498" s="16"/>
      <c r="AG5498" s="80"/>
      <c r="AH5498" s="80"/>
      <c r="AI5498" s="80"/>
    </row>
    <row r="5499" spans="5:35" x14ac:dyDescent="0.25">
      <c r="E5499" s="16"/>
      <c r="F5499" s="16"/>
      <c r="H5499" s="16"/>
      <c r="AG5499" s="80"/>
      <c r="AH5499" s="80"/>
      <c r="AI5499" s="80"/>
    </row>
    <row r="5500" spans="5:35" x14ac:dyDescent="0.25">
      <c r="E5500" s="16"/>
      <c r="F5500" s="16"/>
      <c r="H5500" s="16"/>
      <c r="AG5500" s="80"/>
      <c r="AH5500" s="80"/>
      <c r="AI5500" s="80"/>
    </row>
    <row r="5501" spans="5:35" x14ac:dyDescent="0.25">
      <c r="E5501" s="16"/>
      <c r="F5501" s="16"/>
      <c r="H5501" s="16"/>
      <c r="AG5501" s="80"/>
      <c r="AH5501" s="80"/>
      <c r="AI5501" s="80"/>
    </row>
    <row r="5502" spans="5:35" x14ac:dyDescent="0.25">
      <c r="E5502" s="16"/>
      <c r="F5502" s="16"/>
      <c r="H5502" s="16"/>
      <c r="AG5502" s="80"/>
      <c r="AH5502" s="80"/>
      <c r="AI5502" s="80"/>
    </row>
    <row r="5503" spans="5:35" x14ac:dyDescent="0.25">
      <c r="E5503" s="16"/>
      <c r="F5503" s="16"/>
      <c r="H5503" s="16"/>
      <c r="AG5503" s="80"/>
      <c r="AH5503" s="80"/>
      <c r="AI5503" s="80"/>
    </row>
    <row r="5504" spans="5:35" x14ac:dyDescent="0.25">
      <c r="E5504" s="16"/>
      <c r="F5504" s="16"/>
      <c r="H5504" s="16"/>
      <c r="AG5504" s="80"/>
      <c r="AH5504" s="80"/>
      <c r="AI5504" s="80"/>
    </row>
    <row r="5505" spans="5:35" x14ac:dyDescent="0.25">
      <c r="E5505" s="16"/>
      <c r="F5505" s="16"/>
      <c r="H5505" s="16"/>
      <c r="AG5505" s="80"/>
      <c r="AH5505" s="80"/>
      <c r="AI5505" s="80"/>
    </row>
    <row r="5506" spans="5:35" x14ac:dyDescent="0.25">
      <c r="E5506" s="16"/>
      <c r="F5506" s="16"/>
      <c r="H5506" s="16"/>
      <c r="AG5506" s="80"/>
      <c r="AH5506" s="80"/>
      <c r="AI5506" s="80"/>
    </row>
    <row r="5507" spans="5:35" x14ac:dyDescent="0.25">
      <c r="E5507" s="16"/>
      <c r="F5507" s="16"/>
      <c r="H5507" s="16"/>
      <c r="AG5507" s="80"/>
      <c r="AH5507" s="80"/>
      <c r="AI5507" s="80"/>
    </row>
    <row r="5508" spans="5:35" x14ac:dyDescent="0.25">
      <c r="E5508" s="16"/>
      <c r="F5508" s="16"/>
      <c r="H5508" s="16"/>
      <c r="AG5508" s="80"/>
      <c r="AH5508" s="80"/>
      <c r="AI5508" s="80"/>
    </row>
    <row r="5509" spans="5:35" x14ac:dyDescent="0.25">
      <c r="E5509" s="16"/>
      <c r="F5509" s="16"/>
      <c r="H5509" s="16"/>
      <c r="AG5509" s="80"/>
      <c r="AH5509" s="80"/>
      <c r="AI5509" s="80"/>
    </row>
    <row r="5510" spans="5:35" x14ac:dyDescent="0.25">
      <c r="E5510" s="16"/>
      <c r="F5510" s="16"/>
      <c r="H5510" s="16"/>
      <c r="AG5510" s="80"/>
      <c r="AH5510" s="80"/>
      <c r="AI5510" s="80"/>
    </row>
    <row r="5511" spans="5:35" x14ac:dyDescent="0.25">
      <c r="E5511" s="16"/>
      <c r="F5511" s="16"/>
      <c r="H5511" s="16"/>
      <c r="AG5511" s="80"/>
      <c r="AH5511" s="80"/>
      <c r="AI5511" s="80"/>
    </row>
    <row r="5512" spans="5:35" x14ac:dyDescent="0.25">
      <c r="E5512" s="16"/>
      <c r="F5512" s="16"/>
      <c r="H5512" s="16"/>
      <c r="AG5512" s="80"/>
      <c r="AH5512" s="80"/>
      <c r="AI5512" s="80"/>
    </row>
    <row r="5513" spans="5:35" x14ac:dyDescent="0.25">
      <c r="E5513" s="16"/>
      <c r="F5513" s="16"/>
      <c r="H5513" s="16"/>
      <c r="AG5513" s="80"/>
      <c r="AH5513" s="80"/>
      <c r="AI5513" s="80"/>
    </row>
    <row r="5514" spans="5:35" x14ac:dyDescent="0.25">
      <c r="E5514" s="16"/>
      <c r="F5514" s="16"/>
      <c r="H5514" s="16"/>
      <c r="AG5514" s="80"/>
      <c r="AH5514" s="80"/>
      <c r="AI5514" s="80"/>
    </row>
    <row r="5515" spans="5:35" x14ac:dyDescent="0.25">
      <c r="E5515" s="16"/>
      <c r="F5515" s="16"/>
      <c r="H5515" s="16"/>
      <c r="AG5515" s="80"/>
      <c r="AH5515" s="80"/>
      <c r="AI5515" s="80"/>
    </row>
    <row r="5516" spans="5:35" x14ac:dyDescent="0.25">
      <c r="E5516" s="16"/>
      <c r="F5516" s="16"/>
      <c r="H5516" s="16"/>
      <c r="AG5516" s="80"/>
      <c r="AH5516" s="80"/>
      <c r="AI5516" s="80"/>
    </row>
    <row r="5517" spans="5:35" x14ac:dyDescent="0.25">
      <c r="E5517" s="16"/>
      <c r="F5517" s="16"/>
      <c r="H5517" s="16"/>
      <c r="AG5517" s="80"/>
      <c r="AH5517" s="80"/>
      <c r="AI5517" s="80"/>
    </row>
    <row r="5518" spans="5:35" x14ac:dyDescent="0.25">
      <c r="E5518" s="16"/>
      <c r="F5518" s="16"/>
      <c r="H5518" s="16"/>
      <c r="AG5518" s="80"/>
      <c r="AH5518" s="80"/>
      <c r="AI5518" s="80"/>
    </row>
    <row r="5519" spans="5:35" x14ac:dyDescent="0.25">
      <c r="E5519" s="16"/>
      <c r="F5519" s="16"/>
      <c r="H5519" s="16"/>
      <c r="AG5519" s="80"/>
      <c r="AH5519" s="80"/>
      <c r="AI5519" s="80"/>
    </row>
    <row r="5520" spans="5:35" x14ac:dyDescent="0.25">
      <c r="E5520" s="16"/>
      <c r="F5520" s="16"/>
      <c r="H5520" s="16"/>
      <c r="AG5520" s="80"/>
      <c r="AH5520" s="80"/>
      <c r="AI5520" s="80"/>
    </row>
    <row r="5521" spans="5:35" x14ac:dyDescent="0.25">
      <c r="E5521" s="16"/>
      <c r="F5521" s="16"/>
      <c r="H5521" s="16"/>
      <c r="AG5521" s="80"/>
      <c r="AH5521" s="80"/>
      <c r="AI5521" s="80"/>
    </row>
    <row r="5522" spans="5:35" x14ac:dyDescent="0.25">
      <c r="E5522" s="16"/>
      <c r="F5522" s="16"/>
      <c r="H5522" s="16"/>
      <c r="AG5522" s="80"/>
      <c r="AH5522" s="80"/>
      <c r="AI5522" s="80"/>
    </row>
    <row r="5523" spans="5:35" x14ac:dyDescent="0.25">
      <c r="E5523" s="16"/>
      <c r="F5523" s="16"/>
      <c r="H5523" s="16"/>
      <c r="AG5523" s="80"/>
      <c r="AH5523" s="80"/>
      <c r="AI5523" s="80"/>
    </row>
    <row r="5524" spans="5:35" x14ac:dyDescent="0.25">
      <c r="E5524" s="16"/>
      <c r="F5524" s="16"/>
      <c r="H5524" s="16"/>
      <c r="AG5524" s="80"/>
      <c r="AH5524" s="80"/>
      <c r="AI5524" s="80"/>
    </row>
    <row r="5525" spans="5:35" x14ac:dyDescent="0.25">
      <c r="E5525" s="16"/>
      <c r="F5525" s="16"/>
      <c r="H5525" s="16"/>
      <c r="AG5525" s="80"/>
      <c r="AH5525" s="80"/>
      <c r="AI5525" s="80"/>
    </row>
    <row r="5526" spans="5:35" x14ac:dyDescent="0.25">
      <c r="E5526" s="16"/>
      <c r="F5526" s="16"/>
      <c r="H5526" s="16"/>
      <c r="AG5526" s="80"/>
      <c r="AH5526" s="80"/>
      <c r="AI5526" s="80"/>
    </row>
    <row r="5527" spans="5:35" x14ac:dyDescent="0.25">
      <c r="E5527" s="16"/>
      <c r="F5527" s="16"/>
      <c r="H5527" s="16"/>
      <c r="AG5527" s="80"/>
      <c r="AH5527" s="80"/>
      <c r="AI5527" s="80"/>
    </row>
    <row r="5528" spans="5:35" x14ac:dyDescent="0.25">
      <c r="E5528" s="16"/>
      <c r="F5528" s="16"/>
      <c r="H5528" s="16"/>
      <c r="AG5528" s="80"/>
      <c r="AH5528" s="80"/>
      <c r="AI5528" s="80"/>
    </row>
    <row r="5529" spans="5:35" x14ac:dyDescent="0.25">
      <c r="E5529" s="16"/>
      <c r="F5529" s="16"/>
      <c r="H5529" s="16"/>
      <c r="AG5529" s="80"/>
      <c r="AH5529" s="80"/>
      <c r="AI5529" s="80"/>
    </row>
    <row r="5530" spans="5:35" x14ac:dyDescent="0.25">
      <c r="E5530" s="16"/>
      <c r="F5530" s="16"/>
      <c r="H5530" s="16"/>
      <c r="AG5530" s="80"/>
      <c r="AH5530" s="80"/>
      <c r="AI5530" s="80"/>
    </row>
    <row r="5531" spans="5:35" x14ac:dyDescent="0.25">
      <c r="E5531" s="16"/>
      <c r="F5531" s="16"/>
      <c r="H5531" s="16"/>
      <c r="AG5531" s="80"/>
      <c r="AH5531" s="80"/>
      <c r="AI5531" s="80"/>
    </row>
    <row r="5532" spans="5:35" x14ac:dyDescent="0.25">
      <c r="E5532" s="16"/>
      <c r="F5532" s="16"/>
      <c r="H5532" s="16"/>
      <c r="AG5532" s="80"/>
      <c r="AH5532" s="80"/>
      <c r="AI5532" s="80"/>
    </row>
    <row r="5533" spans="5:35" x14ac:dyDescent="0.25">
      <c r="E5533" s="16"/>
      <c r="F5533" s="16"/>
      <c r="H5533" s="16"/>
      <c r="AG5533" s="80"/>
      <c r="AH5533" s="80"/>
      <c r="AI5533" s="80"/>
    </row>
    <row r="5534" spans="5:35" x14ac:dyDescent="0.25">
      <c r="E5534" s="16"/>
      <c r="F5534" s="16"/>
      <c r="H5534" s="16"/>
      <c r="AG5534" s="80"/>
      <c r="AH5534" s="80"/>
      <c r="AI5534" s="80"/>
    </row>
    <row r="5535" spans="5:35" x14ac:dyDescent="0.25">
      <c r="E5535" s="16"/>
      <c r="F5535" s="16"/>
      <c r="H5535" s="16"/>
      <c r="AG5535" s="80"/>
      <c r="AH5535" s="80"/>
      <c r="AI5535" s="80"/>
    </row>
    <row r="5536" spans="5:35" x14ac:dyDescent="0.25">
      <c r="E5536" s="16"/>
      <c r="F5536" s="16"/>
      <c r="H5536" s="16"/>
      <c r="AG5536" s="80"/>
      <c r="AH5536" s="80"/>
      <c r="AI5536" s="80"/>
    </row>
    <row r="5537" spans="5:35" x14ac:dyDescent="0.25">
      <c r="E5537" s="16"/>
      <c r="F5537" s="16"/>
      <c r="H5537" s="16"/>
      <c r="AG5537" s="80"/>
      <c r="AH5537" s="80"/>
      <c r="AI5537" s="80"/>
    </row>
    <row r="5538" spans="5:35" x14ac:dyDescent="0.25">
      <c r="E5538" s="16"/>
      <c r="F5538" s="16"/>
      <c r="H5538" s="16"/>
      <c r="AG5538" s="80"/>
      <c r="AH5538" s="80"/>
      <c r="AI5538" s="80"/>
    </row>
    <row r="5539" spans="5:35" x14ac:dyDescent="0.25">
      <c r="E5539" s="16"/>
      <c r="F5539" s="16"/>
      <c r="H5539" s="16"/>
      <c r="AG5539" s="80"/>
      <c r="AH5539" s="80"/>
      <c r="AI5539" s="80"/>
    </row>
    <row r="5540" spans="5:35" x14ac:dyDescent="0.25">
      <c r="E5540" s="16"/>
      <c r="F5540" s="16"/>
      <c r="H5540" s="16"/>
      <c r="AG5540" s="80"/>
      <c r="AH5540" s="80"/>
      <c r="AI5540" s="80"/>
    </row>
    <row r="5541" spans="5:35" x14ac:dyDescent="0.25">
      <c r="E5541" s="16"/>
      <c r="F5541" s="16"/>
      <c r="H5541" s="16"/>
      <c r="AG5541" s="80"/>
      <c r="AH5541" s="80"/>
      <c r="AI5541" s="80"/>
    </row>
    <row r="5542" spans="5:35" x14ac:dyDescent="0.25">
      <c r="E5542" s="16"/>
      <c r="F5542" s="16"/>
      <c r="H5542" s="16"/>
      <c r="AG5542" s="80"/>
      <c r="AH5542" s="80"/>
      <c r="AI5542" s="80"/>
    </row>
    <row r="5543" spans="5:35" x14ac:dyDescent="0.25">
      <c r="E5543" s="16"/>
      <c r="F5543" s="16"/>
      <c r="H5543" s="16"/>
      <c r="AG5543" s="80"/>
      <c r="AH5543" s="80"/>
      <c r="AI5543" s="80"/>
    </row>
    <row r="5544" spans="5:35" x14ac:dyDescent="0.25">
      <c r="E5544" s="16"/>
      <c r="F5544" s="16"/>
      <c r="H5544" s="16"/>
      <c r="AG5544" s="80"/>
      <c r="AH5544" s="80"/>
      <c r="AI5544" s="80"/>
    </row>
    <row r="5545" spans="5:35" x14ac:dyDescent="0.25">
      <c r="E5545" s="16"/>
      <c r="F5545" s="16"/>
      <c r="H5545" s="16"/>
      <c r="AG5545" s="80"/>
      <c r="AH5545" s="80"/>
      <c r="AI5545" s="80"/>
    </row>
    <row r="5546" spans="5:35" x14ac:dyDescent="0.25">
      <c r="E5546" s="16"/>
      <c r="F5546" s="16"/>
      <c r="H5546" s="16"/>
      <c r="AG5546" s="80"/>
      <c r="AH5546" s="80"/>
      <c r="AI5546" s="80"/>
    </row>
    <row r="5547" spans="5:35" x14ac:dyDescent="0.25">
      <c r="E5547" s="16"/>
      <c r="F5547" s="16"/>
      <c r="H5547" s="16"/>
      <c r="AG5547" s="80"/>
      <c r="AH5547" s="80"/>
      <c r="AI5547" s="80"/>
    </row>
    <row r="5548" spans="5:35" x14ac:dyDescent="0.25">
      <c r="E5548" s="16"/>
      <c r="F5548" s="16"/>
      <c r="H5548" s="16"/>
      <c r="AG5548" s="80"/>
      <c r="AH5548" s="80"/>
      <c r="AI5548" s="80"/>
    </row>
    <row r="5549" spans="5:35" x14ac:dyDescent="0.25">
      <c r="E5549" s="16"/>
      <c r="F5549" s="16"/>
      <c r="H5549" s="16"/>
      <c r="AG5549" s="80"/>
      <c r="AH5549" s="80"/>
      <c r="AI5549" s="80"/>
    </row>
    <row r="5550" spans="5:35" x14ac:dyDescent="0.25">
      <c r="E5550" s="16"/>
      <c r="F5550" s="16"/>
      <c r="H5550" s="16"/>
      <c r="AG5550" s="80"/>
      <c r="AH5550" s="80"/>
      <c r="AI5550" s="80"/>
    </row>
    <row r="5551" spans="5:35" x14ac:dyDescent="0.25">
      <c r="E5551" s="16"/>
      <c r="F5551" s="16"/>
      <c r="H5551" s="16"/>
      <c r="AG5551" s="80"/>
      <c r="AH5551" s="80"/>
      <c r="AI5551" s="80"/>
    </row>
    <row r="5552" spans="5:35" x14ac:dyDescent="0.25">
      <c r="E5552" s="16"/>
      <c r="F5552" s="16"/>
      <c r="H5552" s="16"/>
      <c r="AG5552" s="80"/>
      <c r="AH5552" s="80"/>
      <c r="AI5552" s="80"/>
    </row>
    <row r="5553" spans="5:35" x14ac:dyDescent="0.25">
      <c r="E5553" s="16"/>
      <c r="F5553" s="16"/>
      <c r="H5553" s="16"/>
      <c r="AG5553" s="80"/>
      <c r="AH5553" s="80"/>
      <c r="AI5553" s="80"/>
    </row>
    <row r="5554" spans="5:35" x14ac:dyDescent="0.25">
      <c r="E5554" s="16"/>
      <c r="F5554" s="16"/>
      <c r="H5554" s="16"/>
      <c r="AG5554" s="80"/>
      <c r="AH5554" s="80"/>
      <c r="AI5554" s="80"/>
    </row>
    <row r="5555" spans="5:35" x14ac:dyDescent="0.25">
      <c r="E5555" s="16"/>
      <c r="F5555" s="16"/>
      <c r="H5555" s="16"/>
      <c r="AG5555" s="80"/>
      <c r="AH5555" s="80"/>
      <c r="AI5555" s="80"/>
    </row>
    <row r="5556" spans="5:35" x14ac:dyDescent="0.25">
      <c r="E5556" s="16"/>
      <c r="F5556" s="16"/>
      <c r="H5556" s="16"/>
      <c r="AG5556" s="80"/>
      <c r="AH5556" s="80"/>
      <c r="AI5556" s="80"/>
    </row>
    <row r="5557" spans="5:35" x14ac:dyDescent="0.25">
      <c r="E5557" s="16"/>
      <c r="F5557" s="16"/>
      <c r="H5557" s="16"/>
      <c r="AG5557" s="80"/>
      <c r="AH5557" s="80"/>
      <c r="AI5557" s="80"/>
    </row>
    <row r="5558" spans="5:35" x14ac:dyDescent="0.25">
      <c r="E5558" s="16"/>
      <c r="F5558" s="16"/>
      <c r="H5558" s="16"/>
      <c r="AG5558" s="80"/>
      <c r="AH5558" s="80"/>
      <c r="AI5558" s="80"/>
    </row>
    <row r="5559" spans="5:35" x14ac:dyDescent="0.25">
      <c r="E5559" s="16"/>
      <c r="F5559" s="16"/>
      <c r="H5559" s="16"/>
      <c r="AG5559" s="80"/>
      <c r="AH5559" s="80"/>
      <c r="AI5559" s="80"/>
    </row>
    <row r="5560" spans="5:35" x14ac:dyDescent="0.25">
      <c r="E5560" s="16"/>
      <c r="F5560" s="16"/>
      <c r="H5560" s="16"/>
      <c r="AG5560" s="80"/>
      <c r="AH5560" s="80"/>
      <c r="AI5560" s="80"/>
    </row>
    <row r="5561" spans="5:35" x14ac:dyDescent="0.25">
      <c r="E5561" s="16"/>
      <c r="F5561" s="16"/>
      <c r="H5561" s="16"/>
      <c r="AG5561" s="80"/>
      <c r="AH5561" s="80"/>
      <c r="AI5561" s="80"/>
    </row>
    <row r="5562" spans="5:35" x14ac:dyDescent="0.25">
      <c r="E5562" s="16"/>
      <c r="F5562" s="16"/>
      <c r="H5562" s="16"/>
      <c r="AG5562" s="80"/>
      <c r="AH5562" s="80"/>
      <c r="AI5562" s="80"/>
    </row>
    <row r="5563" spans="5:35" x14ac:dyDescent="0.25">
      <c r="E5563" s="16"/>
      <c r="F5563" s="16"/>
      <c r="H5563" s="16"/>
      <c r="AG5563" s="80"/>
      <c r="AH5563" s="80"/>
      <c r="AI5563" s="80"/>
    </row>
    <row r="5564" spans="5:35" x14ac:dyDescent="0.25">
      <c r="E5564" s="16"/>
      <c r="F5564" s="16"/>
      <c r="H5564" s="16"/>
      <c r="AG5564" s="80"/>
      <c r="AH5564" s="80"/>
      <c r="AI5564" s="80"/>
    </row>
    <row r="5565" spans="5:35" x14ac:dyDescent="0.25">
      <c r="E5565" s="16"/>
      <c r="F5565" s="16"/>
      <c r="H5565" s="16"/>
      <c r="AG5565" s="80"/>
      <c r="AH5565" s="80"/>
      <c r="AI5565" s="80"/>
    </row>
    <row r="5566" spans="5:35" x14ac:dyDescent="0.25">
      <c r="E5566" s="16"/>
      <c r="F5566" s="16"/>
      <c r="H5566" s="16"/>
      <c r="AG5566" s="80"/>
      <c r="AH5566" s="80"/>
      <c r="AI5566" s="80"/>
    </row>
    <row r="5567" spans="5:35" x14ac:dyDescent="0.25">
      <c r="E5567" s="16"/>
      <c r="F5567" s="16"/>
      <c r="H5567" s="16"/>
      <c r="AG5567" s="80"/>
      <c r="AH5567" s="80"/>
      <c r="AI5567" s="80"/>
    </row>
    <row r="5568" spans="5:35" x14ac:dyDescent="0.25">
      <c r="E5568" s="16"/>
      <c r="F5568" s="16"/>
      <c r="H5568" s="16"/>
      <c r="AG5568" s="80"/>
      <c r="AH5568" s="80"/>
      <c r="AI5568" s="80"/>
    </row>
    <row r="5569" spans="5:35" x14ac:dyDescent="0.25">
      <c r="E5569" s="16"/>
      <c r="F5569" s="16"/>
      <c r="H5569" s="16"/>
      <c r="AG5569" s="80"/>
      <c r="AH5569" s="80"/>
      <c r="AI5569" s="80"/>
    </row>
    <row r="5570" spans="5:35" x14ac:dyDescent="0.25">
      <c r="E5570" s="16"/>
      <c r="F5570" s="16"/>
      <c r="H5570" s="16"/>
      <c r="AG5570" s="80"/>
      <c r="AH5570" s="80"/>
      <c r="AI5570" s="80"/>
    </row>
    <row r="5571" spans="5:35" x14ac:dyDescent="0.25">
      <c r="E5571" s="16"/>
      <c r="F5571" s="16"/>
      <c r="H5571" s="16"/>
      <c r="AG5571" s="80"/>
      <c r="AH5571" s="80"/>
      <c r="AI5571" s="80"/>
    </row>
    <row r="5572" spans="5:35" x14ac:dyDescent="0.25">
      <c r="E5572" s="16"/>
      <c r="F5572" s="16"/>
      <c r="H5572" s="16"/>
      <c r="AG5572" s="80"/>
      <c r="AH5572" s="80"/>
      <c r="AI5572" s="80"/>
    </row>
    <row r="5573" spans="5:35" x14ac:dyDescent="0.25">
      <c r="E5573" s="16"/>
      <c r="F5573" s="16"/>
      <c r="H5573" s="16"/>
      <c r="AG5573" s="80"/>
      <c r="AH5573" s="80"/>
      <c r="AI5573" s="80"/>
    </row>
    <row r="5574" spans="5:35" x14ac:dyDescent="0.25">
      <c r="E5574" s="16"/>
      <c r="F5574" s="16"/>
      <c r="H5574" s="16"/>
      <c r="AG5574" s="80"/>
      <c r="AH5574" s="80"/>
      <c r="AI5574" s="80"/>
    </row>
    <row r="5575" spans="5:35" x14ac:dyDescent="0.25">
      <c r="E5575" s="16"/>
      <c r="F5575" s="16"/>
      <c r="H5575" s="16"/>
      <c r="AG5575" s="80"/>
      <c r="AH5575" s="80"/>
      <c r="AI5575" s="80"/>
    </row>
    <row r="5576" spans="5:35" x14ac:dyDescent="0.25">
      <c r="E5576" s="16"/>
      <c r="F5576" s="16"/>
      <c r="H5576" s="16"/>
      <c r="AG5576" s="80"/>
      <c r="AH5576" s="80"/>
      <c r="AI5576" s="80"/>
    </row>
    <row r="5577" spans="5:35" x14ac:dyDescent="0.25">
      <c r="E5577" s="16"/>
      <c r="F5577" s="16"/>
      <c r="H5577" s="16"/>
      <c r="AG5577" s="80"/>
      <c r="AH5577" s="80"/>
      <c r="AI5577" s="80"/>
    </row>
    <row r="5578" spans="5:35" x14ac:dyDescent="0.25">
      <c r="E5578" s="16"/>
      <c r="F5578" s="16"/>
      <c r="H5578" s="16"/>
      <c r="AG5578" s="80"/>
      <c r="AH5578" s="80"/>
      <c r="AI5578" s="80"/>
    </row>
    <row r="5579" spans="5:35" x14ac:dyDescent="0.25">
      <c r="E5579" s="16"/>
      <c r="F5579" s="16"/>
      <c r="H5579" s="16"/>
      <c r="AG5579" s="80"/>
      <c r="AH5579" s="80"/>
      <c r="AI5579" s="80"/>
    </row>
    <row r="5580" spans="5:35" x14ac:dyDescent="0.25">
      <c r="E5580" s="16"/>
      <c r="F5580" s="16"/>
      <c r="H5580" s="16"/>
      <c r="AG5580" s="80"/>
      <c r="AH5580" s="80"/>
      <c r="AI5580" s="80"/>
    </row>
    <row r="5581" spans="5:35" x14ac:dyDescent="0.25">
      <c r="E5581" s="16"/>
      <c r="F5581" s="16"/>
      <c r="H5581" s="16"/>
      <c r="AG5581" s="80"/>
      <c r="AH5581" s="80"/>
      <c r="AI5581" s="80"/>
    </row>
    <row r="5582" spans="5:35" x14ac:dyDescent="0.25">
      <c r="E5582" s="16"/>
      <c r="F5582" s="16"/>
      <c r="H5582" s="16"/>
      <c r="AG5582" s="80"/>
      <c r="AH5582" s="80"/>
      <c r="AI5582" s="80"/>
    </row>
    <row r="5583" spans="5:35" x14ac:dyDescent="0.25">
      <c r="E5583" s="16"/>
      <c r="F5583" s="16"/>
      <c r="H5583" s="16"/>
      <c r="AG5583" s="80"/>
      <c r="AH5583" s="80"/>
      <c r="AI5583" s="80"/>
    </row>
    <row r="5584" spans="5:35" x14ac:dyDescent="0.25">
      <c r="E5584" s="16"/>
      <c r="F5584" s="16"/>
      <c r="H5584" s="16"/>
      <c r="AG5584" s="80"/>
      <c r="AH5584" s="80"/>
      <c r="AI5584" s="80"/>
    </row>
    <row r="5585" spans="5:35" x14ac:dyDescent="0.25">
      <c r="E5585" s="16"/>
      <c r="F5585" s="16"/>
      <c r="H5585" s="16"/>
      <c r="AG5585" s="80"/>
      <c r="AH5585" s="80"/>
      <c r="AI5585" s="80"/>
    </row>
    <row r="5586" spans="5:35" x14ac:dyDescent="0.25">
      <c r="E5586" s="16"/>
      <c r="F5586" s="16"/>
      <c r="H5586" s="16"/>
      <c r="AG5586" s="80"/>
      <c r="AH5586" s="80"/>
      <c r="AI5586" s="80"/>
    </row>
    <row r="5587" spans="5:35" x14ac:dyDescent="0.25">
      <c r="E5587" s="16"/>
      <c r="F5587" s="16"/>
      <c r="H5587" s="16"/>
      <c r="AG5587" s="80"/>
      <c r="AH5587" s="80"/>
      <c r="AI5587" s="80"/>
    </row>
    <row r="5588" spans="5:35" x14ac:dyDescent="0.25">
      <c r="E5588" s="16"/>
      <c r="F5588" s="16"/>
      <c r="H5588" s="16"/>
      <c r="AG5588" s="80"/>
      <c r="AH5588" s="80"/>
      <c r="AI5588" s="80"/>
    </row>
    <row r="5589" spans="5:35" x14ac:dyDescent="0.25">
      <c r="E5589" s="16"/>
      <c r="F5589" s="16"/>
      <c r="H5589" s="16"/>
      <c r="AG5589" s="80"/>
      <c r="AH5589" s="80"/>
      <c r="AI5589" s="80"/>
    </row>
    <row r="5590" spans="5:35" x14ac:dyDescent="0.25">
      <c r="E5590" s="16"/>
      <c r="F5590" s="16"/>
      <c r="H5590" s="16"/>
      <c r="AG5590" s="80"/>
      <c r="AH5590" s="80"/>
      <c r="AI5590" s="80"/>
    </row>
    <row r="5591" spans="5:35" x14ac:dyDescent="0.25">
      <c r="E5591" s="16"/>
      <c r="F5591" s="16"/>
      <c r="H5591" s="16"/>
      <c r="AG5591" s="80"/>
      <c r="AH5591" s="80"/>
      <c r="AI5591" s="80"/>
    </row>
    <row r="5592" spans="5:35" x14ac:dyDescent="0.25">
      <c r="E5592" s="16"/>
      <c r="F5592" s="16"/>
      <c r="H5592" s="16"/>
      <c r="AG5592" s="80"/>
      <c r="AH5592" s="80"/>
      <c r="AI5592" s="80"/>
    </row>
    <row r="5593" spans="5:35" x14ac:dyDescent="0.25">
      <c r="E5593" s="16"/>
      <c r="F5593" s="16"/>
      <c r="H5593" s="16"/>
      <c r="AG5593" s="80"/>
      <c r="AH5593" s="80"/>
      <c r="AI5593" s="80"/>
    </row>
    <row r="5594" spans="5:35" x14ac:dyDescent="0.25">
      <c r="E5594" s="16"/>
      <c r="F5594" s="16"/>
      <c r="H5594" s="16"/>
      <c r="AG5594" s="80"/>
      <c r="AH5594" s="80"/>
      <c r="AI5594" s="80"/>
    </row>
    <row r="5595" spans="5:35" x14ac:dyDescent="0.25">
      <c r="E5595" s="16"/>
      <c r="F5595" s="16"/>
      <c r="H5595" s="16"/>
      <c r="AG5595" s="80"/>
      <c r="AH5595" s="80"/>
      <c r="AI5595" s="80"/>
    </row>
    <row r="5596" spans="5:35" x14ac:dyDescent="0.25">
      <c r="E5596" s="16"/>
      <c r="F5596" s="16"/>
      <c r="H5596" s="16"/>
      <c r="AG5596" s="80"/>
      <c r="AH5596" s="80"/>
      <c r="AI5596" s="80"/>
    </row>
    <row r="5597" spans="5:35" x14ac:dyDescent="0.25">
      <c r="E5597" s="16"/>
      <c r="F5597" s="16"/>
      <c r="H5597" s="16"/>
      <c r="AG5597" s="80"/>
      <c r="AH5597" s="80"/>
      <c r="AI5597" s="80"/>
    </row>
    <row r="5598" spans="5:35" x14ac:dyDescent="0.25">
      <c r="E5598" s="16"/>
      <c r="F5598" s="16"/>
      <c r="H5598" s="16"/>
      <c r="AG5598" s="80"/>
      <c r="AH5598" s="80"/>
      <c r="AI5598" s="80"/>
    </row>
    <row r="5599" spans="5:35" x14ac:dyDescent="0.25">
      <c r="E5599" s="16"/>
      <c r="F5599" s="16"/>
      <c r="H5599" s="16"/>
      <c r="AG5599" s="80"/>
      <c r="AH5599" s="80"/>
      <c r="AI5599" s="80"/>
    </row>
    <row r="5600" spans="5:35" x14ac:dyDescent="0.25">
      <c r="E5600" s="16"/>
      <c r="F5600" s="16"/>
      <c r="H5600" s="16"/>
      <c r="AG5600" s="80"/>
      <c r="AH5600" s="80"/>
      <c r="AI5600" s="80"/>
    </row>
    <row r="5601" spans="5:35" x14ac:dyDescent="0.25">
      <c r="E5601" s="16"/>
      <c r="F5601" s="16"/>
      <c r="H5601" s="16"/>
      <c r="AG5601" s="80"/>
      <c r="AH5601" s="80"/>
      <c r="AI5601" s="80"/>
    </row>
    <row r="5602" spans="5:35" x14ac:dyDescent="0.25">
      <c r="E5602" s="16"/>
      <c r="F5602" s="16"/>
      <c r="H5602" s="16"/>
      <c r="AG5602" s="80"/>
      <c r="AH5602" s="80"/>
      <c r="AI5602" s="80"/>
    </row>
    <row r="5603" spans="5:35" x14ac:dyDescent="0.25">
      <c r="E5603" s="16"/>
      <c r="F5603" s="16"/>
      <c r="H5603" s="16"/>
      <c r="AG5603" s="80"/>
      <c r="AH5603" s="80"/>
      <c r="AI5603" s="80"/>
    </row>
    <row r="5604" spans="5:35" x14ac:dyDescent="0.25">
      <c r="E5604" s="16"/>
      <c r="F5604" s="16"/>
      <c r="H5604" s="16"/>
      <c r="AG5604" s="80"/>
      <c r="AH5604" s="80"/>
      <c r="AI5604" s="80"/>
    </row>
    <row r="5605" spans="5:35" x14ac:dyDescent="0.25">
      <c r="E5605" s="16"/>
      <c r="F5605" s="16"/>
      <c r="H5605" s="16"/>
      <c r="AG5605" s="80"/>
      <c r="AH5605" s="80"/>
      <c r="AI5605" s="80"/>
    </row>
    <row r="5606" spans="5:35" x14ac:dyDescent="0.25">
      <c r="E5606" s="16"/>
      <c r="F5606" s="16"/>
      <c r="H5606" s="16"/>
      <c r="AG5606" s="80"/>
      <c r="AH5606" s="80"/>
      <c r="AI5606" s="80"/>
    </row>
    <row r="5607" spans="5:35" x14ac:dyDescent="0.25">
      <c r="E5607" s="16"/>
      <c r="F5607" s="16"/>
      <c r="H5607" s="16"/>
      <c r="AG5607" s="80"/>
      <c r="AH5607" s="80"/>
      <c r="AI5607" s="80"/>
    </row>
    <row r="5608" spans="5:35" x14ac:dyDescent="0.25">
      <c r="E5608" s="16"/>
      <c r="F5608" s="16"/>
      <c r="H5608" s="16"/>
      <c r="AG5608" s="80"/>
      <c r="AH5608" s="80"/>
      <c r="AI5608" s="80"/>
    </row>
    <row r="5609" spans="5:35" x14ac:dyDescent="0.25">
      <c r="E5609" s="16"/>
      <c r="F5609" s="16"/>
      <c r="H5609" s="16"/>
      <c r="AG5609" s="80"/>
      <c r="AH5609" s="80"/>
      <c r="AI5609" s="80"/>
    </row>
    <row r="5610" spans="5:35" x14ac:dyDescent="0.25">
      <c r="E5610" s="16"/>
      <c r="F5610" s="16"/>
      <c r="H5610" s="16"/>
      <c r="AG5610" s="80"/>
      <c r="AH5610" s="80"/>
      <c r="AI5610" s="80"/>
    </row>
    <row r="5611" spans="5:35" x14ac:dyDescent="0.25">
      <c r="E5611" s="16"/>
      <c r="F5611" s="16"/>
      <c r="H5611" s="16"/>
      <c r="AG5611" s="80"/>
      <c r="AH5611" s="80"/>
      <c r="AI5611" s="80"/>
    </row>
    <row r="5612" spans="5:35" x14ac:dyDescent="0.25">
      <c r="E5612" s="16"/>
      <c r="F5612" s="16"/>
      <c r="H5612" s="16"/>
      <c r="AG5612" s="80"/>
      <c r="AH5612" s="80"/>
      <c r="AI5612" s="80"/>
    </row>
    <row r="5613" spans="5:35" x14ac:dyDescent="0.25">
      <c r="E5613" s="16"/>
      <c r="F5613" s="16"/>
      <c r="H5613" s="16"/>
      <c r="AG5613" s="80"/>
      <c r="AH5613" s="80"/>
      <c r="AI5613" s="80"/>
    </row>
    <row r="5614" spans="5:35" x14ac:dyDescent="0.25">
      <c r="E5614" s="16"/>
      <c r="F5614" s="16"/>
      <c r="H5614" s="16"/>
      <c r="AG5614" s="80"/>
      <c r="AH5614" s="80"/>
      <c r="AI5614" s="80"/>
    </row>
    <row r="5615" spans="5:35" x14ac:dyDescent="0.25">
      <c r="E5615" s="16"/>
      <c r="F5615" s="16"/>
      <c r="H5615" s="16"/>
      <c r="AG5615" s="80"/>
      <c r="AH5615" s="80"/>
      <c r="AI5615" s="80"/>
    </row>
    <row r="5616" spans="5:35" x14ac:dyDescent="0.25">
      <c r="E5616" s="16"/>
      <c r="F5616" s="16"/>
      <c r="H5616" s="16"/>
      <c r="AG5616" s="80"/>
      <c r="AH5616" s="80"/>
      <c r="AI5616" s="80"/>
    </row>
    <row r="5617" spans="5:35" x14ac:dyDescent="0.25">
      <c r="E5617" s="16"/>
      <c r="F5617" s="16"/>
      <c r="H5617" s="16"/>
      <c r="AG5617" s="80"/>
      <c r="AH5617" s="80"/>
      <c r="AI5617" s="80"/>
    </row>
    <row r="5618" spans="5:35" x14ac:dyDescent="0.25">
      <c r="E5618" s="16"/>
      <c r="F5618" s="16"/>
      <c r="H5618" s="16"/>
      <c r="AG5618" s="80"/>
      <c r="AH5618" s="80"/>
      <c r="AI5618" s="80"/>
    </row>
    <row r="5619" spans="5:35" x14ac:dyDescent="0.25">
      <c r="E5619" s="16"/>
      <c r="F5619" s="16"/>
      <c r="H5619" s="16"/>
      <c r="AG5619" s="80"/>
      <c r="AH5619" s="80"/>
      <c r="AI5619" s="80"/>
    </row>
    <row r="5620" spans="5:35" x14ac:dyDescent="0.25">
      <c r="E5620" s="16"/>
      <c r="F5620" s="16"/>
      <c r="H5620" s="16"/>
      <c r="AG5620" s="80"/>
      <c r="AH5620" s="80"/>
      <c r="AI5620" s="80"/>
    </row>
    <row r="5621" spans="5:35" x14ac:dyDescent="0.25">
      <c r="E5621" s="16"/>
      <c r="F5621" s="16"/>
      <c r="H5621" s="16"/>
      <c r="AG5621" s="80"/>
      <c r="AH5621" s="80"/>
      <c r="AI5621" s="80"/>
    </row>
    <row r="5622" spans="5:35" x14ac:dyDescent="0.25">
      <c r="E5622" s="16"/>
      <c r="F5622" s="16"/>
      <c r="H5622" s="16"/>
      <c r="AG5622" s="80"/>
      <c r="AH5622" s="80"/>
      <c r="AI5622" s="80"/>
    </row>
    <row r="5623" spans="5:35" x14ac:dyDescent="0.25">
      <c r="E5623" s="16"/>
      <c r="F5623" s="16"/>
      <c r="H5623" s="16"/>
      <c r="AG5623" s="80"/>
      <c r="AH5623" s="80"/>
      <c r="AI5623" s="80"/>
    </row>
    <row r="5624" spans="5:35" x14ac:dyDescent="0.25">
      <c r="E5624" s="16"/>
      <c r="F5624" s="16"/>
      <c r="H5624" s="16"/>
      <c r="AG5624" s="80"/>
      <c r="AH5624" s="80"/>
      <c r="AI5624" s="80"/>
    </row>
    <row r="5625" spans="5:35" x14ac:dyDescent="0.25">
      <c r="E5625" s="16"/>
      <c r="F5625" s="16"/>
      <c r="H5625" s="16"/>
      <c r="AG5625" s="80"/>
      <c r="AH5625" s="80"/>
      <c r="AI5625" s="80"/>
    </row>
    <row r="5626" spans="5:35" x14ac:dyDescent="0.25">
      <c r="E5626" s="16"/>
      <c r="F5626" s="16"/>
      <c r="H5626" s="16"/>
      <c r="AG5626" s="80"/>
      <c r="AH5626" s="80"/>
      <c r="AI5626" s="80"/>
    </row>
    <row r="5627" spans="5:35" x14ac:dyDescent="0.25">
      <c r="E5627" s="16"/>
      <c r="F5627" s="16"/>
      <c r="H5627" s="16"/>
      <c r="AG5627" s="80"/>
      <c r="AH5627" s="80"/>
      <c r="AI5627" s="80"/>
    </row>
    <row r="5628" spans="5:35" x14ac:dyDescent="0.25">
      <c r="E5628" s="16"/>
      <c r="F5628" s="16"/>
      <c r="H5628" s="16"/>
      <c r="AG5628" s="80"/>
      <c r="AH5628" s="80"/>
      <c r="AI5628" s="80"/>
    </row>
    <row r="5629" spans="5:35" x14ac:dyDescent="0.25">
      <c r="E5629" s="16"/>
      <c r="F5629" s="16"/>
      <c r="H5629" s="16"/>
      <c r="AG5629" s="80"/>
      <c r="AH5629" s="80"/>
      <c r="AI5629" s="80"/>
    </row>
    <row r="5630" spans="5:35" x14ac:dyDescent="0.25">
      <c r="E5630" s="16"/>
      <c r="F5630" s="16"/>
      <c r="H5630" s="16"/>
      <c r="AG5630" s="80"/>
      <c r="AH5630" s="80"/>
      <c r="AI5630" s="80"/>
    </row>
    <row r="5631" spans="5:35" x14ac:dyDescent="0.25">
      <c r="E5631" s="16"/>
      <c r="F5631" s="16"/>
      <c r="H5631" s="16"/>
      <c r="AG5631" s="80"/>
      <c r="AH5631" s="80"/>
      <c r="AI5631" s="80"/>
    </row>
    <row r="5632" spans="5:35" x14ac:dyDescent="0.25">
      <c r="E5632" s="16"/>
      <c r="F5632" s="16"/>
      <c r="H5632" s="16"/>
      <c r="AG5632" s="80"/>
      <c r="AH5632" s="80"/>
      <c r="AI5632" s="80"/>
    </row>
    <row r="5633" spans="5:35" x14ac:dyDescent="0.25">
      <c r="E5633" s="16"/>
      <c r="F5633" s="16"/>
      <c r="H5633" s="16"/>
      <c r="AG5633" s="80"/>
      <c r="AH5633" s="80"/>
      <c r="AI5633" s="80"/>
    </row>
    <row r="5634" spans="5:35" x14ac:dyDescent="0.25">
      <c r="E5634" s="16"/>
      <c r="F5634" s="16"/>
      <c r="H5634" s="16"/>
      <c r="AG5634" s="80"/>
      <c r="AH5634" s="80"/>
      <c r="AI5634" s="80"/>
    </row>
    <row r="5635" spans="5:35" x14ac:dyDescent="0.25">
      <c r="E5635" s="16"/>
      <c r="F5635" s="16"/>
      <c r="H5635" s="16"/>
      <c r="AG5635" s="80"/>
      <c r="AH5635" s="80"/>
      <c r="AI5635" s="80"/>
    </row>
    <row r="5636" spans="5:35" x14ac:dyDescent="0.25">
      <c r="E5636" s="16"/>
      <c r="F5636" s="16"/>
      <c r="H5636" s="16"/>
      <c r="AG5636" s="80"/>
      <c r="AH5636" s="80"/>
      <c r="AI5636" s="80"/>
    </row>
    <row r="5637" spans="5:35" x14ac:dyDescent="0.25">
      <c r="E5637" s="16"/>
      <c r="F5637" s="16"/>
      <c r="H5637" s="16"/>
      <c r="AG5637" s="80"/>
      <c r="AH5637" s="80"/>
      <c r="AI5637" s="80"/>
    </row>
    <row r="5638" spans="5:35" x14ac:dyDescent="0.25">
      <c r="E5638" s="16"/>
      <c r="F5638" s="16"/>
      <c r="H5638" s="16"/>
      <c r="AG5638" s="80"/>
      <c r="AH5638" s="80"/>
      <c r="AI5638" s="80"/>
    </row>
    <row r="5639" spans="5:35" x14ac:dyDescent="0.25">
      <c r="E5639" s="16"/>
      <c r="F5639" s="16"/>
      <c r="H5639" s="16"/>
      <c r="AG5639" s="80"/>
      <c r="AH5639" s="80"/>
      <c r="AI5639" s="80"/>
    </row>
    <row r="5640" spans="5:35" x14ac:dyDescent="0.25">
      <c r="E5640" s="16"/>
      <c r="F5640" s="16"/>
      <c r="H5640" s="16"/>
      <c r="AG5640" s="80"/>
      <c r="AH5640" s="80"/>
      <c r="AI5640" s="80"/>
    </row>
    <row r="5641" spans="5:35" x14ac:dyDescent="0.25">
      <c r="E5641" s="16"/>
      <c r="F5641" s="16"/>
      <c r="H5641" s="16"/>
      <c r="AG5641" s="80"/>
      <c r="AH5641" s="80"/>
      <c r="AI5641" s="80"/>
    </row>
    <row r="5642" spans="5:35" x14ac:dyDescent="0.25">
      <c r="E5642" s="16"/>
      <c r="F5642" s="16"/>
      <c r="H5642" s="16"/>
      <c r="AG5642" s="80"/>
      <c r="AH5642" s="80"/>
      <c r="AI5642" s="80"/>
    </row>
    <row r="5643" spans="5:35" x14ac:dyDescent="0.25">
      <c r="E5643" s="16"/>
      <c r="F5643" s="16"/>
      <c r="H5643" s="16"/>
      <c r="AG5643" s="80"/>
      <c r="AH5643" s="80"/>
      <c r="AI5643" s="80"/>
    </row>
    <row r="5644" spans="5:35" x14ac:dyDescent="0.25">
      <c r="E5644" s="16"/>
      <c r="F5644" s="16"/>
      <c r="H5644" s="16"/>
      <c r="AG5644" s="80"/>
      <c r="AH5644" s="80"/>
      <c r="AI5644" s="80"/>
    </row>
    <row r="5645" spans="5:35" x14ac:dyDescent="0.25">
      <c r="E5645" s="16"/>
      <c r="F5645" s="16"/>
      <c r="H5645" s="16"/>
      <c r="AG5645" s="80"/>
      <c r="AH5645" s="80"/>
      <c r="AI5645" s="80"/>
    </row>
    <row r="5646" spans="5:35" x14ac:dyDescent="0.25">
      <c r="E5646" s="16"/>
      <c r="F5646" s="16"/>
      <c r="H5646" s="16"/>
      <c r="AG5646" s="80"/>
      <c r="AH5646" s="80"/>
      <c r="AI5646" s="80"/>
    </row>
    <row r="5647" spans="5:35" x14ac:dyDescent="0.25">
      <c r="E5647" s="16"/>
      <c r="F5647" s="16"/>
      <c r="H5647" s="16"/>
      <c r="AG5647" s="80"/>
      <c r="AH5647" s="80"/>
      <c r="AI5647" s="80"/>
    </row>
    <row r="5648" spans="5:35" x14ac:dyDescent="0.25">
      <c r="E5648" s="16"/>
      <c r="F5648" s="16"/>
      <c r="H5648" s="16"/>
      <c r="AG5648" s="80"/>
      <c r="AH5648" s="80"/>
      <c r="AI5648" s="80"/>
    </row>
    <row r="5649" spans="5:35" x14ac:dyDescent="0.25">
      <c r="E5649" s="16"/>
      <c r="F5649" s="16"/>
      <c r="H5649" s="16"/>
      <c r="AG5649" s="80"/>
      <c r="AH5649" s="80"/>
      <c r="AI5649" s="80"/>
    </row>
    <row r="5650" spans="5:35" x14ac:dyDescent="0.25">
      <c r="E5650" s="16"/>
      <c r="F5650" s="16"/>
      <c r="H5650" s="16"/>
      <c r="AG5650" s="80"/>
      <c r="AH5650" s="80"/>
      <c r="AI5650" s="80"/>
    </row>
    <row r="5651" spans="5:35" x14ac:dyDescent="0.25">
      <c r="E5651" s="16"/>
      <c r="F5651" s="16"/>
      <c r="H5651" s="16"/>
      <c r="AG5651" s="80"/>
      <c r="AH5651" s="80"/>
      <c r="AI5651" s="80"/>
    </row>
    <row r="5652" spans="5:35" x14ac:dyDescent="0.25">
      <c r="E5652" s="16"/>
      <c r="F5652" s="16"/>
      <c r="H5652" s="16"/>
      <c r="AG5652" s="80"/>
      <c r="AH5652" s="80"/>
      <c r="AI5652" s="80"/>
    </row>
    <row r="5653" spans="5:35" x14ac:dyDescent="0.25">
      <c r="E5653" s="16"/>
      <c r="F5653" s="16"/>
      <c r="H5653" s="16"/>
      <c r="AG5653" s="80"/>
      <c r="AH5653" s="80"/>
      <c r="AI5653" s="80"/>
    </row>
    <row r="5654" spans="5:35" x14ac:dyDescent="0.25">
      <c r="E5654" s="16"/>
      <c r="F5654" s="16"/>
      <c r="H5654" s="16"/>
      <c r="AG5654" s="80"/>
      <c r="AH5654" s="80"/>
      <c r="AI5654" s="80"/>
    </row>
    <row r="5655" spans="5:35" x14ac:dyDescent="0.25">
      <c r="E5655" s="16"/>
      <c r="F5655" s="16"/>
      <c r="H5655" s="16"/>
      <c r="AG5655" s="80"/>
      <c r="AH5655" s="80"/>
      <c r="AI5655" s="80"/>
    </row>
    <row r="5656" spans="5:35" x14ac:dyDescent="0.25">
      <c r="E5656" s="16"/>
      <c r="F5656" s="16"/>
      <c r="H5656" s="16"/>
      <c r="AG5656" s="80"/>
      <c r="AH5656" s="80"/>
      <c r="AI5656" s="80"/>
    </row>
    <row r="5657" spans="5:35" x14ac:dyDescent="0.25">
      <c r="E5657" s="16"/>
      <c r="F5657" s="16"/>
      <c r="H5657" s="16"/>
      <c r="AG5657" s="80"/>
      <c r="AH5657" s="80"/>
      <c r="AI5657" s="80"/>
    </row>
    <row r="5658" spans="5:35" x14ac:dyDescent="0.25">
      <c r="E5658" s="16"/>
      <c r="F5658" s="16"/>
      <c r="H5658" s="16"/>
      <c r="AG5658" s="80"/>
      <c r="AH5658" s="80"/>
      <c r="AI5658" s="80"/>
    </row>
    <row r="5659" spans="5:35" x14ac:dyDescent="0.25">
      <c r="E5659" s="16"/>
      <c r="F5659" s="16"/>
      <c r="H5659" s="16"/>
      <c r="AG5659" s="80"/>
      <c r="AH5659" s="80"/>
      <c r="AI5659" s="80"/>
    </row>
    <row r="5660" spans="5:35" x14ac:dyDescent="0.25">
      <c r="E5660" s="16"/>
      <c r="F5660" s="16"/>
      <c r="H5660" s="16"/>
      <c r="AG5660" s="80"/>
      <c r="AH5660" s="80"/>
      <c r="AI5660" s="80"/>
    </row>
    <row r="5661" spans="5:35" x14ac:dyDescent="0.25">
      <c r="E5661" s="16"/>
      <c r="F5661" s="16"/>
      <c r="H5661" s="16"/>
      <c r="AG5661" s="80"/>
      <c r="AH5661" s="80"/>
      <c r="AI5661" s="80"/>
    </row>
    <row r="5662" spans="5:35" x14ac:dyDescent="0.25">
      <c r="E5662" s="16"/>
      <c r="F5662" s="16"/>
      <c r="H5662" s="16"/>
      <c r="AG5662" s="80"/>
      <c r="AH5662" s="80"/>
      <c r="AI5662" s="80"/>
    </row>
    <row r="5663" spans="5:35" x14ac:dyDescent="0.25">
      <c r="E5663" s="16"/>
      <c r="F5663" s="16"/>
      <c r="H5663" s="16"/>
      <c r="AG5663" s="80"/>
      <c r="AH5663" s="80"/>
      <c r="AI5663" s="80"/>
    </row>
    <row r="5664" spans="5:35" x14ac:dyDescent="0.25">
      <c r="E5664" s="16"/>
      <c r="F5664" s="16"/>
      <c r="H5664" s="16"/>
      <c r="AG5664" s="80"/>
      <c r="AH5664" s="80"/>
      <c r="AI5664" s="80"/>
    </row>
    <row r="5665" spans="5:35" x14ac:dyDescent="0.25">
      <c r="E5665" s="16"/>
      <c r="F5665" s="16"/>
      <c r="H5665" s="16"/>
      <c r="AG5665" s="80"/>
      <c r="AH5665" s="80"/>
      <c r="AI5665" s="80"/>
    </row>
    <row r="5666" spans="5:35" x14ac:dyDescent="0.25">
      <c r="E5666" s="16"/>
      <c r="F5666" s="16"/>
      <c r="H5666" s="16"/>
      <c r="AG5666" s="80"/>
      <c r="AH5666" s="80"/>
      <c r="AI5666" s="80"/>
    </row>
    <row r="5667" spans="5:35" x14ac:dyDescent="0.25">
      <c r="E5667" s="16"/>
      <c r="F5667" s="16"/>
      <c r="H5667" s="16"/>
      <c r="AG5667" s="80"/>
      <c r="AH5667" s="80"/>
      <c r="AI5667" s="80"/>
    </row>
    <row r="5668" spans="5:35" x14ac:dyDescent="0.25">
      <c r="E5668" s="16"/>
      <c r="F5668" s="16"/>
      <c r="H5668" s="16"/>
      <c r="AG5668" s="80"/>
      <c r="AH5668" s="80"/>
      <c r="AI5668" s="80"/>
    </row>
    <row r="5669" spans="5:35" x14ac:dyDescent="0.25">
      <c r="E5669" s="16"/>
      <c r="F5669" s="16"/>
      <c r="H5669" s="16"/>
      <c r="AG5669" s="80"/>
      <c r="AH5669" s="80"/>
      <c r="AI5669" s="80"/>
    </row>
    <row r="5670" spans="5:35" x14ac:dyDescent="0.25">
      <c r="E5670" s="16"/>
      <c r="F5670" s="16"/>
      <c r="H5670" s="16"/>
      <c r="AG5670" s="80"/>
      <c r="AH5670" s="80"/>
      <c r="AI5670" s="80"/>
    </row>
    <row r="5671" spans="5:35" x14ac:dyDescent="0.25">
      <c r="E5671" s="16"/>
      <c r="F5671" s="16"/>
      <c r="H5671" s="16"/>
      <c r="AG5671" s="80"/>
      <c r="AH5671" s="80"/>
      <c r="AI5671" s="80"/>
    </row>
    <row r="5672" spans="5:35" x14ac:dyDescent="0.25">
      <c r="E5672" s="16"/>
      <c r="F5672" s="16"/>
      <c r="H5672" s="16"/>
      <c r="AG5672" s="80"/>
      <c r="AH5672" s="80"/>
      <c r="AI5672" s="80"/>
    </row>
    <row r="5673" spans="5:35" x14ac:dyDescent="0.25">
      <c r="E5673" s="16"/>
      <c r="F5673" s="16"/>
      <c r="H5673" s="16"/>
      <c r="AG5673" s="80"/>
      <c r="AH5673" s="80"/>
      <c r="AI5673" s="80"/>
    </row>
    <row r="5674" spans="5:35" x14ac:dyDescent="0.25">
      <c r="E5674" s="16"/>
      <c r="F5674" s="16"/>
      <c r="H5674" s="16"/>
      <c r="AG5674" s="80"/>
      <c r="AH5674" s="80"/>
      <c r="AI5674" s="80"/>
    </row>
    <row r="5675" spans="5:35" x14ac:dyDescent="0.25">
      <c r="E5675" s="16"/>
      <c r="F5675" s="16"/>
      <c r="H5675" s="16"/>
      <c r="AG5675" s="80"/>
      <c r="AH5675" s="80"/>
      <c r="AI5675" s="80"/>
    </row>
    <row r="5676" spans="5:35" x14ac:dyDescent="0.25">
      <c r="E5676" s="16"/>
      <c r="F5676" s="16"/>
      <c r="H5676" s="16"/>
      <c r="AG5676" s="80"/>
      <c r="AH5676" s="80"/>
      <c r="AI5676" s="80"/>
    </row>
    <row r="5677" spans="5:35" x14ac:dyDescent="0.25">
      <c r="E5677" s="16"/>
      <c r="F5677" s="16"/>
      <c r="H5677" s="16"/>
      <c r="AG5677" s="80"/>
      <c r="AH5677" s="80"/>
      <c r="AI5677" s="80"/>
    </row>
    <row r="5678" spans="5:35" x14ac:dyDescent="0.25">
      <c r="E5678" s="16"/>
      <c r="F5678" s="16"/>
      <c r="H5678" s="16"/>
      <c r="AG5678" s="80"/>
      <c r="AH5678" s="80"/>
      <c r="AI5678" s="80"/>
    </row>
    <row r="5679" spans="5:35" x14ac:dyDescent="0.25">
      <c r="E5679" s="16"/>
      <c r="F5679" s="16"/>
      <c r="H5679" s="16"/>
      <c r="AG5679" s="80"/>
      <c r="AH5679" s="80"/>
      <c r="AI5679" s="80"/>
    </row>
    <row r="5680" spans="5:35" x14ac:dyDescent="0.25">
      <c r="E5680" s="16"/>
      <c r="F5680" s="16"/>
      <c r="H5680" s="16"/>
      <c r="AG5680" s="80"/>
      <c r="AH5680" s="80"/>
      <c r="AI5680" s="80"/>
    </row>
    <row r="5681" spans="5:35" x14ac:dyDescent="0.25">
      <c r="E5681" s="16"/>
      <c r="F5681" s="16"/>
      <c r="H5681" s="16"/>
      <c r="AG5681" s="80"/>
      <c r="AH5681" s="80"/>
      <c r="AI5681" s="80"/>
    </row>
    <row r="5682" spans="5:35" x14ac:dyDescent="0.25">
      <c r="E5682" s="16"/>
      <c r="F5682" s="16"/>
      <c r="H5682" s="16"/>
      <c r="AG5682" s="80"/>
      <c r="AH5682" s="80"/>
      <c r="AI5682" s="80"/>
    </row>
    <row r="5683" spans="5:35" x14ac:dyDescent="0.25">
      <c r="E5683" s="16"/>
      <c r="F5683" s="16"/>
      <c r="H5683" s="16"/>
      <c r="AG5683" s="80"/>
      <c r="AH5683" s="80"/>
      <c r="AI5683" s="80"/>
    </row>
    <row r="5684" spans="5:35" x14ac:dyDescent="0.25">
      <c r="E5684" s="16"/>
      <c r="F5684" s="16"/>
      <c r="H5684" s="16"/>
      <c r="AG5684" s="80"/>
      <c r="AH5684" s="80"/>
      <c r="AI5684" s="80"/>
    </row>
    <row r="5685" spans="5:35" x14ac:dyDescent="0.25">
      <c r="E5685" s="16"/>
      <c r="F5685" s="16"/>
      <c r="H5685" s="16"/>
      <c r="AG5685" s="80"/>
      <c r="AH5685" s="80"/>
      <c r="AI5685" s="80"/>
    </row>
    <row r="5686" spans="5:35" x14ac:dyDescent="0.25">
      <c r="E5686" s="16"/>
      <c r="F5686" s="16"/>
      <c r="H5686" s="16"/>
      <c r="AG5686" s="80"/>
      <c r="AH5686" s="80"/>
      <c r="AI5686" s="80"/>
    </row>
    <row r="5687" spans="5:35" x14ac:dyDescent="0.25">
      <c r="E5687" s="16"/>
      <c r="F5687" s="16"/>
      <c r="H5687" s="16"/>
      <c r="AG5687" s="80"/>
      <c r="AH5687" s="80"/>
      <c r="AI5687" s="80"/>
    </row>
    <row r="5688" spans="5:35" x14ac:dyDescent="0.25">
      <c r="E5688" s="16"/>
      <c r="F5688" s="16"/>
      <c r="H5688" s="16"/>
      <c r="AG5688" s="80"/>
      <c r="AH5688" s="80"/>
      <c r="AI5688" s="80"/>
    </row>
    <row r="5689" spans="5:35" x14ac:dyDescent="0.25">
      <c r="E5689" s="16"/>
      <c r="F5689" s="16"/>
      <c r="H5689" s="16"/>
      <c r="AG5689" s="80"/>
      <c r="AH5689" s="80"/>
      <c r="AI5689" s="80"/>
    </row>
    <row r="5690" spans="5:35" x14ac:dyDescent="0.25">
      <c r="E5690" s="16"/>
      <c r="F5690" s="16"/>
      <c r="H5690" s="16"/>
      <c r="AG5690" s="80"/>
      <c r="AH5690" s="80"/>
      <c r="AI5690" s="80"/>
    </row>
    <row r="5691" spans="5:35" x14ac:dyDescent="0.25">
      <c r="E5691" s="16"/>
      <c r="F5691" s="16"/>
      <c r="H5691" s="16"/>
      <c r="AG5691" s="80"/>
      <c r="AH5691" s="80"/>
      <c r="AI5691" s="80"/>
    </row>
    <row r="5692" spans="5:35" x14ac:dyDescent="0.25">
      <c r="E5692" s="16"/>
      <c r="F5692" s="16"/>
      <c r="H5692" s="16"/>
      <c r="AG5692" s="80"/>
      <c r="AH5692" s="80"/>
      <c r="AI5692" s="80"/>
    </row>
    <row r="5693" spans="5:35" x14ac:dyDescent="0.25">
      <c r="E5693" s="16"/>
      <c r="F5693" s="16"/>
      <c r="H5693" s="16"/>
      <c r="AG5693" s="80"/>
      <c r="AH5693" s="80"/>
      <c r="AI5693" s="80"/>
    </row>
    <row r="5694" spans="5:35" x14ac:dyDescent="0.25">
      <c r="E5694" s="16"/>
      <c r="F5694" s="16"/>
      <c r="H5694" s="16"/>
      <c r="AG5694" s="80"/>
      <c r="AH5694" s="80"/>
      <c r="AI5694" s="80"/>
    </row>
    <row r="5695" spans="5:35" x14ac:dyDescent="0.25">
      <c r="E5695" s="16"/>
      <c r="F5695" s="16"/>
      <c r="H5695" s="16"/>
      <c r="AG5695" s="80"/>
      <c r="AH5695" s="80"/>
      <c r="AI5695" s="80"/>
    </row>
    <row r="5696" spans="5:35" x14ac:dyDescent="0.25">
      <c r="E5696" s="16"/>
      <c r="F5696" s="16"/>
      <c r="H5696" s="16"/>
      <c r="AG5696" s="80"/>
      <c r="AH5696" s="80"/>
      <c r="AI5696" s="80"/>
    </row>
    <row r="5697" spans="5:35" x14ac:dyDescent="0.25">
      <c r="E5697" s="16"/>
      <c r="F5697" s="16"/>
      <c r="H5697" s="16"/>
      <c r="AG5697" s="80"/>
      <c r="AH5697" s="80"/>
      <c r="AI5697" s="80"/>
    </row>
    <row r="5698" spans="5:35" x14ac:dyDescent="0.25">
      <c r="E5698" s="16"/>
      <c r="F5698" s="16"/>
      <c r="H5698" s="16"/>
      <c r="AG5698" s="80"/>
      <c r="AH5698" s="80"/>
      <c r="AI5698" s="80"/>
    </row>
    <row r="5699" spans="5:35" x14ac:dyDescent="0.25">
      <c r="E5699" s="16"/>
      <c r="F5699" s="16"/>
      <c r="H5699" s="16"/>
      <c r="AG5699" s="80"/>
      <c r="AH5699" s="80"/>
      <c r="AI5699" s="80"/>
    </row>
    <row r="5700" spans="5:35" x14ac:dyDescent="0.25">
      <c r="E5700" s="16"/>
      <c r="F5700" s="16"/>
      <c r="H5700" s="16"/>
      <c r="AG5700" s="80"/>
      <c r="AH5700" s="80"/>
      <c r="AI5700" s="80"/>
    </row>
    <row r="5701" spans="5:35" x14ac:dyDescent="0.25">
      <c r="E5701" s="16"/>
      <c r="F5701" s="16"/>
      <c r="H5701" s="16"/>
      <c r="AG5701" s="80"/>
      <c r="AH5701" s="80"/>
      <c r="AI5701" s="80"/>
    </row>
    <row r="5702" spans="5:35" x14ac:dyDescent="0.25">
      <c r="E5702" s="16"/>
      <c r="F5702" s="16"/>
      <c r="H5702" s="16"/>
      <c r="AG5702" s="80"/>
      <c r="AH5702" s="80"/>
      <c r="AI5702" s="80"/>
    </row>
    <row r="5703" spans="5:35" x14ac:dyDescent="0.25">
      <c r="E5703" s="16"/>
      <c r="F5703" s="16"/>
      <c r="H5703" s="16"/>
      <c r="AG5703" s="80"/>
      <c r="AH5703" s="80"/>
      <c r="AI5703" s="80"/>
    </row>
    <row r="5704" spans="5:35" x14ac:dyDescent="0.25">
      <c r="E5704" s="16"/>
      <c r="F5704" s="16"/>
      <c r="H5704" s="16"/>
      <c r="AG5704" s="80"/>
      <c r="AH5704" s="80"/>
      <c r="AI5704" s="80"/>
    </row>
    <row r="5705" spans="5:35" x14ac:dyDescent="0.25">
      <c r="E5705" s="16"/>
      <c r="F5705" s="16"/>
      <c r="H5705" s="16"/>
      <c r="AG5705" s="80"/>
      <c r="AH5705" s="80"/>
      <c r="AI5705" s="80"/>
    </row>
    <row r="5706" spans="5:35" x14ac:dyDescent="0.25">
      <c r="E5706" s="16"/>
      <c r="F5706" s="16"/>
      <c r="H5706" s="16"/>
      <c r="AG5706" s="80"/>
      <c r="AH5706" s="80"/>
      <c r="AI5706" s="80"/>
    </row>
    <row r="5707" spans="5:35" x14ac:dyDescent="0.25">
      <c r="E5707" s="16"/>
      <c r="F5707" s="16"/>
      <c r="H5707" s="16"/>
      <c r="AG5707" s="80"/>
      <c r="AH5707" s="80"/>
      <c r="AI5707" s="80"/>
    </row>
    <row r="5708" spans="5:35" x14ac:dyDescent="0.25">
      <c r="E5708" s="16"/>
      <c r="F5708" s="16"/>
      <c r="H5708" s="16"/>
      <c r="AG5708" s="80"/>
      <c r="AH5708" s="80"/>
      <c r="AI5708" s="80"/>
    </row>
    <row r="5709" spans="5:35" x14ac:dyDescent="0.25">
      <c r="E5709" s="16"/>
      <c r="F5709" s="16"/>
      <c r="H5709" s="16"/>
      <c r="AG5709" s="80"/>
      <c r="AH5709" s="80"/>
      <c r="AI5709" s="80"/>
    </row>
    <row r="5710" spans="5:35" x14ac:dyDescent="0.25">
      <c r="E5710" s="16"/>
      <c r="F5710" s="16"/>
      <c r="H5710" s="16"/>
      <c r="AG5710" s="80"/>
      <c r="AH5710" s="80"/>
      <c r="AI5710" s="80"/>
    </row>
    <row r="5711" spans="5:35" x14ac:dyDescent="0.25">
      <c r="E5711" s="16"/>
      <c r="F5711" s="16"/>
      <c r="H5711" s="16"/>
      <c r="AG5711" s="80"/>
      <c r="AH5711" s="80"/>
      <c r="AI5711" s="80"/>
    </row>
    <row r="5712" spans="5:35" x14ac:dyDescent="0.25">
      <c r="E5712" s="16"/>
      <c r="F5712" s="16"/>
      <c r="H5712" s="16"/>
      <c r="AG5712" s="80"/>
      <c r="AH5712" s="80"/>
      <c r="AI5712" s="80"/>
    </row>
    <row r="5713" spans="5:35" x14ac:dyDescent="0.25">
      <c r="E5713" s="16"/>
      <c r="F5713" s="16"/>
      <c r="H5713" s="16"/>
      <c r="AG5713" s="80"/>
      <c r="AH5713" s="80"/>
      <c r="AI5713" s="80"/>
    </row>
    <row r="5714" spans="5:35" x14ac:dyDescent="0.25">
      <c r="E5714" s="16"/>
      <c r="F5714" s="16"/>
      <c r="H5714" s="16"/>
      <c r="AG5714" s="80"/>
      <c r="AH5714" s="80"/>
      <c r="AI5714" s="80"/>
    </row>
    <row r="5715" spans="5:35" x14ac:dyDescent="0.25">
      <c r="E5715" s="16"/>
      <c r="F5715" s="16"/>
      <c r="H5715" s="16"/>
      <c r="AG5715" s="80"/>
      <c r="AH5715" s="80"/>
      <c r="AI5715" s="80"/>
    </row>
    <row r="5716" spans="5:35" x14ac:dyDescent="0.25">
      <c r="E5716" s="16"/>
      <c r="F5716" s="16"/>
      <c r="H5716" s="16"/>
      <c r="AG5716" s="80"/>
      <c r="AH5716" s="80"/>
      <c r="AI5716" s="80"/>
    </row>
    <row r="5717" spans="5:35" x14ac:dyDescent="0.25">
      <c r="E5717" s="16"/>
      <c r="F5717" s="16"/>
      <c r="H5717" s="16"/>
      <c r="AG5717" s="80"/>
      <c r="AH5717" s="80"/>
      <c r="AI5717" s="80"/>
    </row>
    <row r="5718" spans="5:35" x14ac:dyDescent="0.25">
      <c r="E5718" s="16"/>
      <c r="F5718" s="16"/>
      <c r="H5718" s="16"/>
      <c r="AG5718" s="80"/>
      <c r="AH5718" s="80"/>
      <c r="AI5718" s="80"/>
    </row>
    <row r="5719" spans="5:35" x14ac:dyDescent="0.25">
      <c r="E5719" s="16"/>
      <c r="F5719" s="16"/>
      <c r="H5719" s="16"/>
      <c r="AG5719" s="80"/>
      <c r="AH5719" s="80"/>
      <c r="AI5719" s="80"/>
    </row>
    <row r="5720" spans="5:35" x14ac:dyDescent="0.25">
      <c r="E5720" s="16"/>
      <c r="F5720" s="16"/>
      <c r="H5720" s="16"/>
      <c r="AG5720" s="80"/>
      <c r="AH5720" s="80"/>
      <c r="AI5720" s="80"/>
    </row>
    <row r="5721" spans="5:35" x14ac:dyDescent="0.25">
      <c r="E5721" s="16"/>
      <c r="F5721" s="16"/>
      <c r="H5721" s="16"/>
      <c r="AG5721" s="80"/>
      <c r="AH5721" s="80"/>
      <c r="AI5721" s="80"/>
    </row>
    <row r="5722" spans="5:35" x14ac:dyDescent="0.25">
      <c r="E5722" s="16"/>
      <c r="F5722" s="16"/>
      <c r="H5722" s="16"/>
      <c r="AG5722" s="80"/>
      <c r="AH5722" s="80"/>
      <c r="AI5722" s="80"/>
    </row>
    <row r="5723" spans="5:35" x14ac:dyDescent="0.25">
      <c r="E5723" s="16"/>
      <c r="F5723" s="16"/>
      <c r="H5723" s="16"/>
      <c r="AG5723" s="80"/>
      <c r="AH5723" s="80"/>
      <c r="AI5723" s="80"/>
    </row>
    <row r="5724" spans="5:35" x14ac:dyDescent="0.25">
      <c r="E5724" s="16"/>
      <c r="F5724" s="16"/>
      <c r="H5724" s="16"/>
      <c r="AG5724" s="80"/>
      <c r="AH5724" s="80"/>
      <c r="AI5724" s="80"/>
    </row>
    <row r="5725" spans="5:35" x14ac:dyDescent="0.25">
      <c r="E5725" s="16"/>
      <c r="F5725" s="16"/>
      <c r="H5725" s="16"/>
      <c r="AG5725" s="80"/>
      <c r="AH5725" s="80"/>
      <c r="AI5725" s="80"/>
    </row>
    <row r="5726" spans="5:35" x14ac:dyDescent="0.25">
      <c r="E5726" s="16"/>
      <c r="F5726" s="16"/>
      <c r="H5726" s="16"/>
      <c r="AG5726" s="80"/>
      <c r="AH5726" s="80"/>
      <c r="AI5726" s="80"/>
    </row>
    <row r="5727" spans="5:35" x14ac:dyDescent="0.25">
      <c r="E5727" s="16"/>
      <c r="F5727" s="16"/>
      <c r="H5727" s="16"/>
      <c r="AG5727" s="80"/>
      <c r="AH5727" s="80"/>
      <c r="AI5727" s="80"/>
    </row>
    <row r="5728" spans="5:35" x14ac:dyDescent="0.25">
      <c r="E5728" s="16"/>
      <c r="F5728" s="16"/>
      <c r="H5728" s="16"/>
      <c r="AG5728" s="80"/>
      <c r="AH5728" s="80"/>
      <c r="AI5728" s="80"/>
    </row>
    <row r="5729" spans="5:35" x14ac:dyDescent="0.25">
      <c r="E5729" s="16"/>
      <c r="F5729" s="16"/>
      <c r="H5729" s="16"/>
      <c r="AG5729" s="80"/>
      <c r="AH5729" s="80"/>
      <c r="AI5729" s="80"/>
    </row>
    <row r="5730" spans="5:35" x14ac:dyDescent="0.25">
      <c r="E5730" s="16"/>
      <c r="F5730" s="16"/>
      <c r="H5730" s="16"/>
      <c r="AG5730" s="80"/>
      <c r="AH5730" s="80"/>
      <c r="AI5730" s="80"/>
    </row>
    <row r="5731" spans="5:35" x14ac:dyDescent="0.25">
      <c r="E5731" s="16"/>
      <c r="F5731" s="16"/>
      <c r="H5731" s="16"/>
      <c r="AG5731" s="80"/>
      <c r="AH5731" s="80"/>
      <c r="AI5731" s="80"/>
    </row>
    <row r="5732" spans="5:35" x14ac:dyDescent="0.25">
      <c r="E5732" s="16"/>
      <c r="F5732" s="16"/>
      <c r="H5732" s="16"/>
      <c r="AG5732" s="80"/>
      <c r="AH5732" s="80"/>
      <c r="AI5732" s="80"/>
    </row>
    <row r="5733" spans="5:35" x14ac:dyDescent="0.25">
      <c r="E5733" s="16"/>
      <c r="F5733" s="16"/>
      <c r="H5733" s="16"/>
      <c r="AG5733" s="80"/>
      <c r="AH5733" s="80"/>
      <c r="AI5733" s="80"/>
    </row>
    <row r="5734" spans="5:35" x14ac:dyDescent="0.25">
      <c r="E5734" s="16"/>
      <c r="F5734" s="16"/>
      <c r="H5734" s="16"/>
      <c r="AG5734" s="80"/>
      <c r="AH5734" s="80"/>
      <c r="AI5734" s="80"/>
    </row>
    <row r="5735" spans="5:35" x14ac:dyDescent="0.25">
      <c r="E5735" s="16"/>
      <c r="F5735" s="16"/>
      <c r="H5735" s="16"/>
      <c r="AG5735" s="80"/>
      <c r="AH5735" s="80"/>
      <c r="AI5735" s="80"/>
    </row>
    <row r="5736" spans="5:35" x14ac:dyDescent="0.25">
      <c r="E5736" s="16"/>
      <c r="F5736" s="16"/>
      <c r="H5736" s="16"/>
      <c r="AG5736" s="80"/>
      <c r="AH5736" s="80"/>
      <c r="AI5736" s="80"/>
    </row>
    <row r="5737" spans="5:35" x14ac:dyDescent="0.25">
      <c r="E5737" s="16"/>
      <c r="F5737" s="16"/>
      <c r="H5737" s="16"/>
      <c r="AG5737" s="80"/>
      <c r="AH5737" s="80"/>
      <c r="AI5737" s="80"/>
    </row>
    <row r="5738" spans="5:35" x14ac:dyDescent="0.25">
      <c r="E5738" s="16"/>
      <c r="F5738" s="16"/>
      <c r="H5738" s="16"/>
      <c r="AG5738" s="80"/>
      <c r="AH5738" s="80"/>
      <c r="AI5738" s="80"/>
    </row>
    <row r="5739" spans="5:35" x14ac:dyDescent="0.25">
      <c r="E5739" s="16"/>
      <c r="F5739" s="16"/>
      <c r="H5739" s="16"/>
      <c r="AG5739" s="80"/>
      <c r="AH5739" s="80"/>
      <c r="AI5739" s="80"/>
    </row>
    <row r="5740" spans="5:35" x14ac:dyDescent="0.25">
      <c r="E5740" s="16"/>
      <c r="F5740" s="16"/>
      <c r="H5740" s="16"/>
      <c r="AG5740" s="80"/>
      <c r="AH5740" s="80"/>
      <c r="AI5740" s="80"/>
    </row>
    <row r="5741" spans="5:35" x14ac:dyDescent="0.25">
      <c r="E5741" s="16"/>
      <c r="F5741" s="16"/>
      <c r="H5741" s="16"/>
      <c r="AG5741" s="80"/>
      <c r="AH5741" s="80"/>
      <c r="AI5741" s="80"/>
    </row>
    <row r="5742" spans="5:35" x14ac:dyDescent="0.25">
      <c r="E5742" s="16"/>
      <c r="F5742" s="16"/>
      <c r="H5742" s="16"/>
      <c r="AG5742" s="80"/>
      <c r="AH5742" s="80"/>
      <c r="AI5742" s="80"/>
    </row>
    <row r="5743" spans="5:35" x14ac:dyDescent="0.25">
      <c r="E5743" s="16"/>
      <c r="F5743" s="16"/>
      <c r="H5743" s="16"/>
      <c r="AG5743" s="80"/>
      <c r="AH5743" s="80"/>
      <c r="AI5743" s="80"/>
    </row>
    <row r="5744" spans="5:35" x14ac:dyDescent="0.25">
      <c r="E5744" s="16"/>
      <c r="F5744" s="16"/>
      <c r="H5744" s="16"/>
      <c r="AG5744" s="80"/>
      <c r="AH5744" s="80"/>
      <c r="AI5744" s="80"/>
    </row>
    <row r="5745" spans="5:35" x14ac:dyDescent="0.25">
      <c r="E5745" s="16"/>
      <c r="F5745" s="16"/>
      <c r="H5745" s="16"/>
      <c r="AG5745" s="80"/>
      <c r="AH5745" s="80"/>
      <c r="AI5745" s="80"/>
    </row>
    <row r="5746" spans="5:35" x14ac:dyDescent="0.25">
      <c r="E5746" s="16"/>
      <c r="F5746" s="16"/>
      <c r="H5746" s="16"/>
      <c r="AG5746" s="80"/>
      <c r="AH5746" s="80"/>
      <c r="AI5746" s="80"/>
    </row>
    <row r="5747" spans="5:35" x14ac:dyDescent="0.25">
      <c r="E5747" s="16"/>
      <c r="F5747" s="16"/>
      <c r="H5747" s="16"/>
      <c r="AG5747" s="80"/>
      <c r="AH5747" s="80"/>
      <c r="AI5747" s="80"/>
    </row>
    <row r="5748" spans="5:35" x14ac:dyDescent="0.25">
      <c r="E5748" s="16"/>
      <c r="F5748" s="16"/>
      <c r="H5748" s="16"/>
      <c r="AG5748" s="80"/>
      <c r="AH5748" s="80"/>
      <c r="AI5748" s="80"/>
    </row>
    <row r="5749" spans="5:35" x14ac:dyDescent="0.25">
      <c r="E5749" s="16"/>
      <c r="F5749" s="16"/>
      <c r="H5749" s="16"/>
      <c r="AG5749" s="80"/>
      <c r="AH5749" s="80"/>
      <c r="AI5749" s="80"/>
    </row>
    <row r="5750" spans="5:35" x14ac:dyDescent="0.25">
      <c r="E5750" s="16"/>
      <c r="F5750" s="16"/>
      <c r="H5750" s="16"/>
      <c r="AG5750" s="80"/>
      <c r="AH5750" s="80"/>
      <c r="AI5750" s="80"/>
    </row>
    <row r="5751" spans="5:35" x14ac:dyDescent="0.25">
      <c r="E5751" s="16"/>
      <c r="F5751" s="16"/>
      <c r="H5751" s="16"/>
      <c r="AG5751" s="80"/>
      <c r="AH5751" s="80"/>
      <c r="AI5751" s="80"/>
    </row>
    <row r="5752" spans="5:35" x14ac:dyDescent="0.25">
      <c r="E5752" s="16"/>
      <c r="F5752" s="16"/>
      <c r="H5752" s="16"/>
      <c r="AG5752" s="80"/>
      <c r="AH5752" s="80"/>
      <c r="AI5752" s="80"/>
    </row>
    <row r="5753" spans="5:35" x14ac:dyDescent="0.25">
      <c r="E5753" s="16"/>
      <c r="F5753" s="16"/>
      <c r="H5753" s="16"/>
      <c r="AG5753" s="80"/>
      <c r="AH5753" s="80"/>
      <c r="AI5753" s="80"/>
    </row>
    <row r="5754" spans="5:35" x14ac:dyDescent="0.25">
      <c r="E5754" s="16"/>
      <c r="F5754" s="16"/>
      <c r="H5754" s="16"/>
      <c r="AG5754" s="80"/>
      <c r="AH5754" s="80"/>
      <c r="AI5754" s="80"/>
    </row>
    <row r="5755" spans="5:35" x14ac:dyDescent="0.25">
      <c r="E5755" s="16"/>
      <c r="F5755" s="16"/>
      <c r="H5755" s="16"/>
      <c r="AG5755" s="80"/>
      <c r="AH5755" s="80"/>
      <c r="AI5755" s="80"/>
    </row>
    <row r="5756" spans="5:35" x14ac:dyDescent="0.25">
      <c r="E5756" s="16"/>
      <c r="F5756" s="16"/>
      <c r="H5756" s="16"/>
      <c r="AG5756" s="80"/>
      <c r="AH5756" s="80"/>
      <c r="AI5756" s="80"/>
    </row>
    <row r="5757" spans="5:35" x14ac:dyDescent="0.25">
      <c r="E5757" s="16"/>
      <c r="F5757" s="16"/>
      <c r="H5757" s="16"/>
      <c r="AG5757" s="80"/>
      <c r="AH5757" s="80"/>
      <c r="AI5757" s="80"/>
    </row>
    <row r="5758" spans="5:35" x14ac:dyDescent="0.25">
      <c r="E5758" s="16"/>
      <c r="F5758" s="16"/>
      <c r="H5758" s="16"/>
      <c r="AG5758" s="80"/>
      <c r="AH5758" s="80"/>
      <c r="AI5758" s="80"/>
    </row>
    <row r="5759" spans="5:35" x14ac:dyDescent="0.25">
      <c r="E5759" s="16"/>
      <c r="F5759" s="16"/>
      <c r="H5759" s="16"/>
      <c r="AG5759" s="80"/>
      <c r="AH5759" s="80"/>
      <c r="AI5759" s="80"/>
    </row>
    <row r="5760" spans="5:35" x14ac:dyDescent="0.25">
      <c r="E5760" s="16"/>
      <c r="F5760" s="16"/>
      <c r="H5760" s="16"/>
      <c r="AG5760" s="80"/>
      <c r="AH5760" s="80"/>
      <c r="AI5760" s="80"/>
    </row>
    <row r="5761" spans="5:35" x14ac:dyDescent="0.25">
      <c r="E5761" s="16"/>
      <c r="F5761" s="16"/>
      <c r="H5761" s="16"/>
      <c r="AG5761" s="80"/>
      <c r="AH5761" s="80"/>
      <c r="AI5761" s="80"/>
    </row>
    <row r="5762" spans="5:35" x14ac:dyDescent="0.25">
      <c r="E5762" s="16"/>
      <c r="F5762" s="16"/>
      <c r="H5762" s="16"/>
      <c r="AG5762" s="80"/>
      <c r="AH5762" s="80"/>
      <c r="AI5762" s="80"/>
    </row>
    <row r="5763" spans="5:35" x14ac:dyDescent="0.25">
      <c r="E5763" s="16"/>
      <c r="F5763" s="16"/>
      <c r="H5763" s="16"/>
      <c r="AG5763" s="80"/>
      <c r="AH5763" s="80"/>
      <c r="AI5763" s="80"/>
    </row>
    <row r="5764" spans="5:35" x14ac:dyDescent="0.25">
      <c r="E5764" s="16"/>
      <c r="F5764" s="16"/>
      <c r="H5764" s="16"/>
      <c r="AG5764" s="80"/>
      <c r="AH5764" s="80"/>
      <c r="AI5764" s="80"/>
    </row>
    <row r="5765" spans="5:35" x14ac:dyDescent="0.25">
      <c r="E5765" s="16"/>
      <c r="F5765" s="16"/>
      <c r="H5765" s="16"/>
      <c r="AG5765" s="80"/>
      <c r="AH5765" s="80"/>
      <c r="AI5765" s="80"/>
    </row>
    <row r="5766" spans="5:35" x14ac:dyDescent="0.25">
      <c r="E5766" s="16"/>
      <c r="F5766" s="16"/>
      <c r="H5766" s="16"/>
      <c r="AG5766" s="80"/>
      <c r="AH5766" s="80"/>
      <c r="AI5766" s="80"/>
    </row>
    <row r="5767" spans="5:35" x14ac:dyDescent="0.25">
      <c r="E5767" s="16"/>
      <c r="F5767" s="16"/>
      <c r="H5767" s="16"/>
      <c r="AG5767" s="80"/>
      <c r="AH5767" s="80"/>
      <c r="AI5767" s="80"/>
    </row>
    <row r="5768" spans="5:35" x14ac:dyDescent="0.25">
      <c r="E5768" s="16"/>
      <c r="F5768" s="16"/>
      <c r="H5768" s="16"/>
      <c r="AG5768" s="80"/>
      <c r="AH5768" s="80"/>
      <c r="AI5768" s="80"/>
    </row>
    <row r="5769" spans="5:35" x14ac:dyDescent="0.25">
      <c r="E5769" s="16"/>
      <c r="F5769" s="16"/>
      <c r="H5769" s="16"/>
      <c r="AG5769" s="80"/>
      <c r="AH5769" s="80"/>
      <c r="AI5769" s="80"/>
    </row>
    <row r="5770" spans="5:35" x14ac:dyDescent="0.25">
      <c r="E5770" s="16"/>
      <c r="F5770" s="16"/>
      <c r="H5770" s="16"/>
      <c r="AG5770" s="80"/>
      <c r="AH5770" s="80"/>
      <c r="AI5770" s="80"/>
    </row>
    <row r="5771" spans="5:35" x14ac:dyDescent="0.25">
      <c r="E5771" s="16"/>
      <c r="F5771" s="16"/>
      <c r="H5771" s="16"/>
      <c r="AG5771" s="80"/>
      <c r="AH5771" s="80"/>
      <c r="AI5771" s="80"/>
    </row>
    <row r="5772" spans="5:35" x14ac:dyDescent="0.25">
      <c r="E5772" s="16"/>
      <c r="F5772" s="16"/>
      <c r="H5772" s="16"/>
      <c r="AG5772" s="80"/>
      <c r="AH5772" s="80"/>
      <c r="AI5772" s="80"/>
    </row>
    <row r="5773" spans="5:35" x14ac:dyDescent="0.25">
      <c r="E5773" s="16"/>
      <c r="F5773" s="16"/>
      <c r="H5773" s="16"/>
      <c r="AG5773" s="80"/>
      <c r="AH5773" s="80"/>
      <c r="AI5773" s="80"/>
    </row>
    <row r="5774" spans="5:35" x14ac:dyDescent="0.25">
      <c r="E5774" s="16"/>
      <c r="F5774" s="16"/>
      <c r="H5774" s="16"/>
      <c r="AG5774" s="80"/>
      <c r="AH5774" s="80"/>
      <c r="AI5774" s="80"/>
    </row>
    <row r="5775" spans="5:35" x14ac:dyDescent="0.25">
      <c r="E5775" s="16"/>
      <c r="F5775" s="16"/>
      <c r="H5775" s="16"/>
      <c r="AG5775" s="80"/>
      <c r="AH5775" s="80"/>
      <c r="AI5775" s="80"/>
    </row>
    <row r="5776" spans="5:35" x14ac:dyDescent="0.25">
      <c r="E5776" s="16"/>
      <c r="F5776" s="16"/>
      <c r="H5776" s="16"/>
      <c r="AG5776" s="80"/>
      <c r="AH5776" s="80"/>
      <c r="AI5776" s="80"/>
    </row>
    <row r="5777" spans="5:35" x14ac:dyDescent="0.25">
      <c r="E5777" s="16"/>
      <c r="F5777" s="16"/>
      <c r="H5777" s="16"/>
      <c r="AG5777" s="80"/>
      <c r="AH5777" s="80"/>
      <c r="AI5777" s="80"/>
    </row>
    <row r="5778" spans="5:35" x14ac:dyDescent="0.25">
      <c r="E5778" s="16"/>
      <c r="F5778" s="16"/>
      <c r="H5778" s="16"/>
      <c r="AG5778" s="80"/>
      <c r="AH5778" s="80"/>
      <c r="AI5778" s="80"/>
    </row>
    <row r="5779" spans="5:35" x14ac:dyDescent="0.25">
      <c r="E5779" s="16"/>
      <c r="F5779" s="16"/>
      <c r="H5779" s="16"/>
      <c r="AG5779" s="80"/>
      <c r="AH5779" s="80"/>
      <c r="AI5779" s="80"/>
    </row>
    <row r="5780" spans="5:35" x14ac:dyDescent="0.25">
      <c r="E5780" s="16"/>
      <c r="F5780" s="16"/>
      <c r="H5780" s="16"/>
      <c r="AG5780" s="80"/>
      <c r="AH5780" s="80"/>
      <c r="AI5780" s="80"/>
    </row>
    <row r="5781" spans="5:35" x14ac:dyDescent="0.25">
      <c r="E5781" s="16"/>
      <c r="F5781" s="16"/>
      <c r="H5781" s="16"/>
      <c r="AG5781" s="80"/>
      <c r="AH5781" s="80"/>
      <c r="AI5781" s="80"/>
    </row>
    <row r="5782" spans="5:35" x14ac:dyDescent="0.25">
      <c r="E5782" s="16"/>
      <c r="F5782" s="16"/>
      <c r="H5782" s="16"/>
      <c r="AG5782" s="80"/>
      <c r="AH5782" s="80"/>
      <c r="AI5782" s="80"/>
    </row>
    <row r="5783" spans="5:35" x14ac:dyDescent="0.25">
      <c r="E5783" s="16"/>
      <c r="F5783" s="16"/>
      <c r="H5783" s="16"/>
      <c r="AG5783" s="80"/>
      <c r="AH5783" s="80"/>
      <c r="AI5783" s="80"/>
    </row>
    <row r="5784" spans="5:35" x14ac:dyDescent="0.25">
      <c r="E5784" s="16"/>
      <c r="F5784" s="16"/>
      <c r="H5784" s="16"/>
      <c r="AG5784" s="80"/>
      <c r="AH5784" s="80"/>
      <c r="AI5784" s="80"/>
    </row>
    <row r="5785" spans="5:35" x14ac:dyDescent="0.25">
      <c r="E5785" s="16"/>
      <c r="F5785" s="16"/>
      <c r="H5785" s="16"/>
      <c r="AG5785" s="80"/>
      <c r="AH5785" s="80"/>
      <c r="AI5785" s="80"/>
    </row>
    <row r="5786" spans="5:35" x14ac:dyDescent="0.25">
      <c r="E5786" s="16"/>
      <c r="F5786" s="16"/>
      <c r="H5786" s="16"/>
      <c r="AG5786" s="80"/>
      <c r="AH5786" s="80"/>
      <c r="AI5786" s="80"/>
    </row>
    <row r="5787" spans="5:35" x14ac:dyDescent="0.25">
      <c r="E5787" s="16"/>
      <c r="F5787" s="16"/>
      <c r="H5787" s="16"/>
      <c r="AG5787" s="80"/>
      <c r="AH5787" s="80"/>
      <c r="AI5787" s="80"/>
    </row>
    <row r="5788" spans="5:35" x14ac:dyDescent="0.25">
      <c r="E5788" s="16"/>
      <c r="F5788" s="16"/>
      <c r="H5788" s="16"/>
      <c r="AG5788" s="80"/>
      <c r="AH5788" s="80"/>
      <c r="AI5788" s="80"/>
    </row>
    <row r="5789" spans="5:35" x14ac:dyDescent="0.25">
      <c r="E5789" s="16"/>
      <c r="F5789" s="16"/>
      <c r="H5789" s="16"/>
      <c r="AG5789" s="80"/>
      <c r="AH5789" s="80"/>
      <c r="AI5789" s="80"/>
    </row>
    <row r="5790" spans="5:35" x14ac:dyDescent="0.25">
      <c r="E5790" s="16"/>
      <c r="F5790" s="16"/>
      <c r="H5790" s="16"/>
      <c r="AG5790" s="80"/>
      <c r="AH5790" s="80"/>
      <c r="AI5790" s="80"/>
    </row>
    <row r="5791" spans="5:35" x14ac:dyDescent="0.25">
      <c r="E5791" s="16"/>
      <c r="F5791" s="16"/>
      <c r="H5791" s="16"/>
      <c r="AG5791" s="80"/>
      <c r="AH5791" s="80"/>
      <c r="AI5791" s="80"/>
    </row>
    <row r="5792" spans="5:35" x14ac:dyDescent="0.25">
      <c r="E5792" s="16"/>
      <c r="F5792" s="16"/>
      <c r="H5792" s="16"/>
      <c r="AG5792" s="80"/>
      <c r="AH5792" s="80"/>
      <c r="AI5792" s="80"/>
    </row>
    <row r="5793" spans="5:35" x14ac:dyDescent="0.25">
      <c r="E5793" s="16"/>
      <c r="F5793" s="16"/>
      <c r="H5793" s="16"/>
      <c r="AG5793" s="80"/>
      <c r="AH5793" s="80"/>
      <c r="AI5793" s="80"/>
    </row>
    <row r="5794" spans="5:35" x14ac:dyDescent="0.25">
      <c r="E5794" s="16"/>
      <c r="F5794" s="16"/>
      <c r="H5794" s="16"/>
      <c r="AG5794" s="80"/>
      <c r="AH5794" s="80"/>
      <c r="AI5794" s="80"/>
    </row>
    <row r="5795" spans="5:35" x14ac:dyDescent="0.25">
      <c r="E5795" s="16"/>
      <c r="F5795" s="16"/>
      <c r="H5795" s="16"/>
      <c r="AG5795" s="80"/>
      <c r="AH5795" s="80"/>
      <c r="AI5795" s="80"/>
    </row>
    <row r="5796" spans="5:35" x14ac:dyDescent="0.25">
      <c r="E5796" s="16"/>
      <c r="F5796" s="16"/>
      <c r="H5796" s="16"/>
      <c r="AG5796" s="80"/>
      <c r="AH5796" s="80"/>
      <c r="AI5796" s="80"/>
    </row>
    <row r="5797" spans="5:35" x14ac:dyDescent="0.25">
      <c r="E5797" s="16"/>
      <c r="F5797" s="16"/>
      <c r="H5797" s="16"/>
      <c r="AG5797" s="80"/>
      <c r="AH5797" s="80"/>
      <c r="AI5797" s="80"/>
    </row>
    <row r="5798" spans="5:35" x14ac:dyDescent="0.25">
      <c r="E5798" s="16"/>
      <c r="F5798" s="16"/>
      <c r="H5798" s="16"/>
      <c r="AG5798" s="80"/>
      <c r="AH5798" s="80"/>
      <c r="AI5798" s="80"/>
    </row>
    <row r="5799" spans="5:35" x14ac:dyDescent="0.25">
      <c r="E5799" s="16"/>
      <c r="F5799" s="16"/>
      <c r="H5799" s="16"/>
      <c r="AG5799" s="80"/>
      <c r="AH5799" s="80"/>
      <c r="AI5799" s="80"/>
    </row>
    <row r="5800" spans="5:35" x14ac:dyDescent="0.25">
      <c r="E5800" s="16"/>
      <c r="F5800" s="16"/>
      <c r="H5800" s="16"/>
      <c r="AG5800" s="80"/>
      <c r="AH5800" s="80"/>
      <c r="AI5800" s="80"/>
    </row>
    <row r="5801" spans="5:35" x14ac:dyDescent="0.25">
      <c r="E5801" s="16"/>
      <c r="F5801" s="16"/>
      <c r="H5801" s="16"/>
      <c r="AG5801" s="80"/>
      <c r="AH5801" s="80"/>
      <c r="AI5801" s="80"/>
    </row>
    <row r="5802" spans="5:35" x14ac:dyDescent="0.25">
      <c r="E5802" s="16"/>
      <c r="F5802" s="16"/>
      <c r="H5802" s="16"/>
      <c r="AG5802" s="80"/>
      <c r="AH5802" s="80"/>
      <c r="AI5802" s="80"/>
    </row>
    <row r="5803" spans="5:35" x14ac:dyDescent="0.25">
      <c r="E5803" s="16"/>
      <c r="F5803" s="16"/>
      <c r="H5803" s="16"/>
      <c r="AG5803" s="80"/>
      <c r="AH5803" s="80"/>
      <c r="AI5803" s="80"/>
    </row>
    <row r="5804" spans="5:35" x14ac:dyDescent="0.25">
      <c r="E5804" s="16"/>
      <c r="F5804" s="16"/>
      <c r="H5804" s="16"/>
      <c r="AG5804" s="80"/>
      <c r="AH5804" s="80"/>
      <c r="AI5804" s="80"/>
    </row>
    <row r="5805" spans="5:35" x14ac:dyDescent="0.25">
      <c r="E5805" s="16"/>
      <c r="F5805" s="16"/>
      <c r="H5805" s="16"/>
      <c r="AG5805" s="80"/>
      <c r="AH5805" s="80"/>
      <c r="AI5805" s="80"/>
    </row>
    <row r="5806" spans="5:35" x14ac:dyDescent="0.25">
      <c r="E5806" s="16"/>
      <c r="F5806" s="16"/>
      <c r="H5806" s="16"/>
      <c r="AG5806" s="80"/>
      <c r="AH5806" s="80"/>
      <c r="AI5806" s="80"/>
    </row>
    <row r="5807" spans="5:35" x14ac:dyDescent="0.25">
      <c r="E5807" s="16"/>
      <c r="F5807" s="16"/>
      <c r="H5807" s="16"/>
      <c r="AG5807" s="80"/>
      <c r="AH5807" s="80"/>
      <c r="AI5807" s="80"/>
    </row>
    <row r="5808" spans="5:35" x14ac:dyDescent="0.25">
      <c r="E5808" s="16"/>
      <c r="F5808" s="16"/>
      <c r="H5808" s="16"/>
      <c r="AG5808" s="80"/>
      <c r="AH5808" s="80"/>
      <c r="AI5808" s="80"/>
    </row>
    <row r="5809" spans="5:35" x14ac:dyDescent="0.25">
      <c r="E5809" s="16"/>
      <c r="F5809" s="16"/>
      <c r="H5809" s="16"/>
      <c r="AG5809" s="80"/>
      <c r="AH5809" s="80"/>
      <c r="AI5809" s="80"/>
    </row>
    <row r="5810" spans="5:35" x14ac:dyDescent="0.25">
      <c r="E5810" s="16"/>
      <c r="F5810" s="16"/>
      <c r="H5810" s="16"/>
      <c r="AG5810" s="80"/>
      <c r="AH5810" s="80"/>
      <c r="AI5810" s="80"/>
    </row>
    <row r="5811" spans="5:35" x14ac:dyDescent="0.25">
      <c r="E5811" s="16"/>
      <c r="F5811" s="16"/>
      <c r="H5811" s="16"/>
      <c r="AG5811" s="80"/>
      <c r="AH5811" s="80"/>
      <c r="AI5811" s="80"/>
    </row>
    <row r="5812" spans="5:35" x14ac:dyDescent="0.25">
      <c r="E5812" s="16"/>
      <c r="F5812" s="16"/>
      <c r="H5812" s="16"/>
      <c r="AG5812" s="80"/>
      <c r="AH5812" s="80"/>
      <c r="AI5812" s="80"/>
    </row>
    <row r="5813" spans="5:35" x14ac:dyDescent="0.25">
      <c r="E5813" s="16"/>
      <c r="F5813" s="16"/>
      <c r="H5813" s="16"/>
      <c r="AG5813" s="80"/>
      <c r="AH5813" s="80"/>
      <c r="AI5813" s="80"/>
    </row>
    <row r="5814" spans="5:35" x14ac:dyDescent="0.25">
      <c r="E5814" s="16"/>
      <c r="F5814" s="16"/>
      <c r="H5814" s="16"/>
      <c r="AG5814" s="80"/>
      <c r="AH5814" s="80"/>
      <c r="AI5814" s="80"/>
    </row>
    <row r="5815" spans="5:35" x14ac:dyDescent="0.25">
      <c r="E5815" s="16"/>
      <c r="F5815" s="16"/>
      <c r="H5815" s="16"/>
      <c r="AG5815" s="80"/>
      <c r="AH5815" s="80"/>
      <c r="AI5815" s="80"/>
    </row>
    <row r="5816" spans="5:35" x14ac:dyDescent="0.25">
      <c r="E5816" s="16"/>
      <c r="F5816" s="16"/>
      <c r="H5816" s="16"/>
      <c r="AG5816" s="80"/>
      <c r="AH5816" s="80"/>
      <c r="AI5816" s="80"/>
    </row>
    <row r="5817" spans="5:35" x14ac:dyDescent="0.25">
      <c r="E5817" s="16"/>
      <c r="F5817" s="16"/>
      <c r="H5817" s="16"/>
      <c r="AG5817" s="80"/>
      <c r="AH5817" s="80"/>
      <c r="AI5817" s="80"/>
    </row>
    <row r="5818" spans="5:35" x14ac:dyDescent="0.25">
      <c r="E5818" s="16"/>
      <c r="F5818" s="16"/>
      <c r="H5818" s="16"/>
      <c r="AG5818" s="80"/>
      <c r="AH5818" s="80"/>
      <c r="AI5818" s="80"/>
    </row>
    <row r="5819" spans="5:35" x14ac:dyDescent="0.25">
      <c r="E5819" s="16"/>
      <c r="F5819" s="16"/>
      <c r="H5819" s="16"/>
      <c r="AG5819" s="80"/>
      <c r="AH5819" s="80"/>
      <c r="AI5819" s="80"/>
    </row>
    <row r="5820" spans="5:35" x14ac:dyDescent="0.25">
      <c r="E5820" s="16"/>
      <c r="F5820" s="16"/>
      <c r="H5820" s="16"/>
      <c r="AG5820" s="80"/>
      <c r="AH5820" s="80"/>
      <c r="AI5820" s="80"/>
    </row>
    <row r="5821" spans="5:35" x14ac:dyDescent="0.25">
      <c r="E5821" s="16"/>
      <c r="F5821" s="16"/>
      <c r="H5821" s="16"/>
      <c r="AG5821" s="80"/>
      <c r="AH5821" s="80"/>
      <c r="AI5821" s="80"/>
    </row>
    <row r="5822" spans="5:35" x14ac:dyDescent="0.25">
      <c r="E5822" s="16"/>
      <c r="F5822" s="16"/>
      <c r="H5822" s="16"/>
      <c r="AG5822" s="80"/>
      <c r="AH5822" s="80"/>
      <c r="AI5822" s="80"/>
    </row>
    <row r="5823" spans="5:35" x14ac:dyDescent="0.25">
      <c r="E5823" s="16"/>
      <c r="F5823" s="16"/>
      <c r="H5823" s="16"/>
      <c r="AG5823" s="80"/>
      <c r="AH5823" s="80"/>
      <c r="AI5823" s="80"/>
    </row>
    <row r="5824" spans="5:35" x14ac:dyDescent="0.25">
      <c r="E5824" s="16"/>
      <c r="F5824" s="16"/>
      <c r="H5824" s="16"/>
      <c r="AG5824" s="80"/>
      <c r="AH5824" s="80"/>
      <c r="AI5824" s="80"/>
    </row>
    <row r="5825" spans="5:35" x14ac:dyDescent="0.25">
      <c r="E5825" s="16"/>
      <c r="F5825" s="16"/>
      <c r="H5825" s="16"/>
      <c r="AG5825" s="80"/>
      <c r="AH5825" s="80"/>
      <c r="AI5825" s="80"/>
    </row>
    <row r="5826" spans="5:35" x14ac:dyDescent="0.25">
      <c r="E5826" s="16"/>
      <c r="F5826" s="16"/>
      <c r="H5826" s="16"/>
      <c r="AG5826" s="80"/>
      <c r="AH5826" s="80"/>
      <c r="AI5826" s="80"/>
    </row>
    <row r="5827" spans="5:35" x14ac:dyDescent="0.25">
      <c r="E5827" s="16"/>
      <c r="F5827" s="16"/>
      <c r="H5827" s="16"/>
      <c r="AG5827" s="80"/>
      <c r="AH5827" s="80"/>
      <c r="AI5827" s="80"/>
    </row>
    <row r="5828" spans="5:35" x14ac:dyDescent="0.25">
      <c r="E5828" s="16"/>
      <c r="F5828" s="16"/>
      <c r="H5828" s="16"/>
      <c r="AG5828" s="80"/>
      <c r="AH5828" s="80"/>
      <c r="AI5828" s="80"/>
    </row>
    <row r="5829" spans="5:35" x14ac:dyDescent="0.25">
      <c r="E5829" s="16"/>
      <c r="F5829" s="16"/>
      <c r="H5829" s="16"/>
      <c r="AG5829" s="80"/>
      <c r="AH5829" s="80"/>
      <c r="AI5829" s="80"/>
    </row>
    <row r="5830" spans="5:35" x14ac:dyDescent="0.25">
      <c r="E5830" s="16"/>
      <c r="F5830" s="16"/>
      <c r="H5830" s="16"/>
      <c r="AG5830" s="80"/>
      <c r="AH5830" s="80"/>
      <c r="AI5830" s="80"/>
    </row>
    <row r="5831" spans="5:35" x14ac:dyDescent="0.25">
      <c r="E5831" s="16"/>
      <c r="F5831" s="16"/>
      <c r="H5831" s="16"/>
      <c r="AG5831" s="80"/>
      <c r="AH5831" s="80"/>
      <c r="AI5831" s="80"/>
    </row>
    <row r="5832" spans="5:35" x14ac:dyDescent="0.25">
      <c r="E5832" s="16"/>
      <c r="F5832" s="16"/>
      <c r="H5832" s="16"/>
      <c r="AG5832" s="80"/>
      <c r="AH5832" s="80"/>
      <c r="AI5832" s="80"/>
    </row>
    <row r="5833" spans="5:35" x14ac:dyDescent="0.25">
      <c r="E5833" s="16"/>
      <c r="F5833" s="16"/>
      <c r="H5833" s="16"/>
      <c r="AG5833" s="80"/>
      <c r="AH5833" s="80"/>
      <c r="AI5833" s="80"/>
    </row>
    <row r="5834" spans="5:35" x14ac:dyDescent="0.25">
      <c r="E5834" s="16"/>
      <c r="F5834" s="16"/>
      <c r="H5834" s="16"/>
      <c r="AG5834" s="80"/>
      <c r="AH5834" s="80"/>
      <c r="AI5834" s="80"/>
    </row>
    <row r="5835" spans="5:35" x14ac:dyDescent="0.25">
      <c r="E5835" s="16"/>
      <c r="F5835" s="16"/>
      <c r="H5835" s="16"/>
      <c r="AG5835" s="80"/>
      <c r="AH5835" s="80"/>
      <c r="AI5835" s="80"/>
    </row>
    <row r="5836" spans="5:35" x14ac:dyDescent="0.25">
      <c r="E5836" s="16"/>
      <c r="F5836" s="16"/>
      <c r="H5836" s="16"/>
      <c r="AG5836" s="80"/>
      <c r="AH5836" s="80"/>
      <c r="AI5836" s="80"/>
    </row>
    <row r="5837" spans="5:35" x14ac:dyDescent="0.25">
      <c r="E5837" s="16"/>
      <c r="F5837" s="16"/>
      <c r="H5837" s="16"/>
      <c r="AG5837" s="80"/>
      <c r="AH5837" s="80"/>
      <c r="AI5837" s="80"/>
    </row>
    <row r="5838" spans="5:35" x14ac:dyDescent="0.25">
      <c r="E5838" s="16"/>
      <c r="F5838" s="16"/>
      <c r="H5838" s="16"/>
      <c r="AG5838" s="80"/>
      <c r="AH5838" s="80"/>
      <c r="AI5838" s="80"/>
    </row>
    <row r="5839" spans="5:35" x14ac:dyDescent="0.25">
      <c r="E5839" s="16"/>
      <c r="F5839" s="16"/>
      <c r="H5839" s="16"/>
      <c r="AG5839" s="80"/>
      <c r="AH5839" s="80"/>
      <c r="AI5839" s="80"/>
    </row>
    <row r="5840" spans="5:35" x14ac:dyDescent="0.25">
      <c r="E5840" s="16"/>
      <c r="F5840" s="16"/>
      <c r="H5840" s="16"/>
      <c r="AG5840" s="80"/>
      <c r="AH5840" s="80"/>
      <c r="AI5840" s="80"/>
    </row>
    <row r="5841" spans="5:35" x14ac:dyDescent="0.25">
      <c r="E5841" s="16"/>
      <c r="F5841" s="16"/>
      <c r="H5841" s="16"/>
      <c r="AG5841" s="80"/>
      <c r="AH5841" s="80"/>
      <c r="AI5841" s="80"/>
    </row>
    <row r="5842" spans="5:35" x14ac:dyDescent="0.25">
      <c r="E5842" s="16"/>
      <c r="F5842" s="16"/>
      <c r="H5842" s="16"/>
      <c r="AG5842" s="80"/>
      <c r="AH5842" s="80"/>
      <c r="AI5842" s="80"/>
    </row>
    <row r="5843" spans="5:35" x14ac:dyDescent="0.25">
      <c r="E5843" s="16"/>
      <c r="F5843" s="16"/>
      <c r="H5843" s="16"/>
      <c r="AG5843" s="80"/>
      <c r="AH5843" s="80"/>
      <c r="AI5843" s="80"/>
    </row>
    <row r="5844" spans="5:35" x14ac:dyDescent="0.25">
      <c r="E5844" s="16"/>
      <c r="F5844" s="16"/>
      <c r="H5844" s="16"/>
      <c r="AG5844" s="80"/>
      <c r="AH5844" s="80"/>
      <c r="AI5844" s="80"/>
    </row>
    <row r="5845" spans="5:35" x14ac:dyDescent="0.25">
      <c r="E5845" s="16"/>
      <c r="F5845" s="16"/>
      <c r="H5845" s="16"/>
      <c r="AG5845" s="80"/>
      <c r="AH5845" s="80"/>
      <c r="AI5845" s="80"/>
    </row>
    <row r="5846" spans="5:35" x14ac:dyDescent="0.25">
      <c r="E5846" s="16"/>
      <c r="F5846" s="16"/>
      <c r="H5846" s="16"/>
      <c r="AG5846" s="80"/>
      <c r="AH5846" s="80"/>
      <c r="AI5846" s="80"/>
    </row>
    <row r="5847" spans="5:35" x14ac:dyDescent="0.25">
      <c r="E5847" s="16"/>
      <c r="F5847" s="16"/>
      <c r="H5847" s="16"/>
      <c r="AG5847" s="80"/>
      <c r="AH5847" s="80"/>
      <c r="AI5847" s="80"/>
    </row>
    <row r="5848" spans="5:35" x14ac:dyDescent="0.25">
      <c r="E5848" s="16"/>
      <c r="F5848" s="16"/>
      <c r="H5848" s="16"/>
      <c r="AG5848" s="80"/>
      <c r="AH5848" s="80"/>
      <c r="AI5848" s="80"/>
    </row>
    <row r="5849" spans="5:35" x14ac:dyDescent="0.25">
      <c r="E5849" s="16"/>
      <c r="F5849" s="16"/>
      <c r="H5849" s="16"/>
      <c r="AG5849" s="80"/>
      <c r="AH5849" s="80"/>
      <c r="AI5849" s="80"/>
    </row>
    <row r="5850" spans="5:35" x14ac:dyDescent="0.25">
      <c r="E5850" s="16"/>
      <c r="F5850" s="16"/>
      <c r="H5850" s="16"/>
      <c r="AG5850" s="80"/>
      <c r="AH5850" s="80"/>
      <c r="AI5850" s="80"/>
    </row>
    <row r="5851" spans="5:35" x14ac:dyDescent="0.25">
      <c r="E5851" s="16"/>
      <c r="F5851" s="16"/>
      <c r="H5851" s="16"/>
      <c r="AG5851" s="80"/>
      <c r="AH5851" s="80"/>
      <c r="AI5851" s="80"/>
    </row>
    <row r="5852" spans="5:35" x14ac:dyDescent="0.25">
      <c r="E5852" s="16"/>
      <c r="F5852" s="16"/>
      <c r="H5852" s="16"/>
      <c r="AG5852" s="80"/>
      <c r="AH5852" s="80"/>
      <c r="AI5852" s="80"/>
    </row>
    <row r="5853" spans="5:35" x14ac:dyDescent="0.25">
      <c r="E5853" s="16"/>
      <c r="F5853" s="16"/>
      <c r="H5853" s="16"/>
      <c r="AG5853" s="80"/>
      <c r="AH5853" s="80"/>
      <c r="AI5853" s="80"/>
    </row>
    <row r="5854" spans="5:35" x14ac:dyDescent="0.25">
      <c r="E5854" s="16"/>
      <c r="F5854" s="16"/>
      <c r="H5854" s="16"/>
      <c r="AG5854" s="80"/>
      <c r="AH5854" s="80"/>
      <c r="AI5854" s="80"/>
    </row>
    <row r="5855" spans="5:35" x14ac:dyDescent="0.25">
      <c r="E5855" s="16"/>
      <c r="F5855" s="16"/>
      <c r="H5855" s="16"/>
      <c r="AG5855" s="80"/>
      <c r="AH5855" s="80"/>
      <c r="AI5855" s="80"/>
    </row>
    <row r="5856" spans="5:35" x14ac:dyDescent="0.25">
      <c r="E5856" s="16"/>
      <c r="F5856" s="16"/>
      <c r="H5856" s="16"/>
      <c r="AG5856" s="80"/>
      <c r="AH5856" s="80"/>
      <c r="AI5856" s="80"/>
    </row>
    <row r="5857" spans="5:35" x14ac:dyDescent="0.25">
      <c r="E5857" s="16"/>
      <c r="F5857" s="16"/>
      <c r="H5857" s="16"/>
      <c r="AG5857" s="80"/>
      <c r="AH5857" s="80"/>
      <c r="AI5857" s="80"/>
    </row>
    <row r="5858" spans="5:35" x14ac:dyDescent="0.25">
      <c r="E5858" s="16"/>
      <c r="F5858" s="16"/>
      <c r="H5858" s="16"/>
      <c r="AG5858" s="80"/>
      <c r="AH5858" s="80"/>
      <c r="AI5858" s="80"/>
    </row>
    <row r="5859" spans="5:35" x14ac:dyDescent="0.25">
      <c r="E5859" s="16"/>
      <c r="F5859" s="16"/>
      <c r="H5859" s="16"/>
      <c r="AG5859" s="80"/>
      <c r="AH5859" s="80"/>
      <c r="AI5859" s="80"/>
    </row>
    <row r="5860" spans="5:35" x14ac:dyDescent="0.25">
      <c r="E5860" s="16"/>
      <c r="F5860" s="16"/>
      <c r="H5860" s="16"/>
      <c r="AG5860" s="80"/>
      <c r="AH5860" s="80"/>
      <c r="AI5860" s="80"/>
    </row>
    <row r="5861" spans="5:35" x14ac:dyDescent="0.25">
      <c r="E5861" s="16"/>
      <c r="F5861" s="16"/>
      <c r="H5861" s="16"/>
      <c r="AG5861" s="80"/>
      <c r="AH5861" s="80"/>
      <c r="AI5861" s="80"/>
    </row>
    <row r="5862" spans="5:35" x14ac:dyDescent="0.25">
      <c r="E5862" s="16"/>
      <c r="F5862" s="16"/>
      <c r="H5862" s="16"/>
      <c r="AG5862" s="80"/>
      <c r="AH5862" s="80"/>
      <c r="AI5862" s="80"/>
    </row>
    <row r="5863" spans="5:35" x14ac:dyDescent="0.25">
      <c r="E5863" s="16"/>
      <c r="F5863" s="16"/>
      <c r="H5863" s="16"/>
      <c r="AG5863" s="80"/>
      <c r="AH5863" s="80"/>
      <c r="AI5863" s="80"/>
    </row>
    <row r="5864" spans="5:35" x14ac:dyDescent="0.25">
      <c r="E5864" s="16"/>
      <c r="F5864" s="16"/>
      <c r="H5864" s="16"/>
      <c r="AG5864" s="80"/>
      <c r="AH5864" s="80"/>
      <c r="AI5864" s="80"/>
    </row>
    <row r="5865" spans="5:35" x14ac:dyDescent="0.25">
      <c r="E5865" s="16"/>
      <c r="F5865" s="16"/>
      <c r="H5865" s="16"/>
      <c r="AG5865" s="80"/>
      <c r="AH5865" s="80"/>
      <c r="AI5865" s="80"/>
    </row>
    <row r="5866" spans="5:35" x14ac:dyDescent="0.25">
      <c r="E5866" s="16"/>
      <c r="F5866" s="16"/>
      <c r="H5866" s="16"/>
      <c r="AG5866" s="80"/>
      <c r="AH5866" s="80"/>
      <c r="AI5866" s="80"/>
    </row>
    <row r="5867" spans="5:35" x14ac:dyDescent="0.25">
      <c r="E5867" s="16"/>
      <c r="F5867" s="16"/>
      <c r="H5867" s="16"/>
      <c r="AG5867" s="80"/>
      <c r="AH5867" s="80"/>
      <c r="AI5867" s="80"/>
    </row>
    <row r="5868" spans="5:35" x14ac:dyDescent="0.25">
      <c r="E5868" s="16"/>
      <c r="F5868" s="16"/>
      <c r="H5868" s="16"/>
      <c r="AG5868" s="80"/>
      <c r="AH5868" s="80"/>
      <c r="AI5868" s="80"/>
    </row>
    <row r="5869" spans="5:35" x14ac:dyDescent="0.25">
      <c r="E5869" s="16"/>
      <c r="F5869" s="16"/>
      <c r="H5869" s="16"/>
      <c r="AG5869" s="80"/>
      <c r="AH5869" s="80"/>
      <c r="AI5869" s="80"/>
    </row>
    <row r="5870" spans="5:35" x14ac:dyDescent="0.25">
      <c r="E5870" s="16"/>
      <c r="F5870" s="16"/>
      <c r="H5870" s="16"/>
      <c r="AG5870" s="80"/>
      <c r="AH5870" s="80"/>
      <c r="AI5870" s="80"/>
    </row>
    <row r="5871" spans="5:35" x14ac:dyDescent="0.25">
      <c r="E5871" s="16"/>
      <c r="F5871" s="16"/>
      <c r="H5871" s="16"/>
      <c r="AG5871" s="80"/>
      <c r="AH5871" s="80"/>
      <c r="AI5871" s="80"/>
    </row>
    <row r="5872" spans="5:35" x14ac:dyDescent="0.25">
      <c r="E5872" s="16"/>
      <c r="F5872" s="16"/>
      <c r="H5872" s="16"/>
      <c r="AG5872" s="80"/>
      <c r="AH5872" s="80"/>
      <c r="AI5872" s="80"/>
    </row>
    <row r="5873" spans="5:35" x14ac:dyDescent="0.25">
      <c r="E5873" s="16"/>
      <c r="F5873" s="16"/>
      <c r="H5873" s="16"/>
      <c r="AG5873" s="80"/>
      <c r="AH5873" s="80"/>
      <c r="AI5873" s="80"/>
    </row>
    <row r="5874" spans="5:35" x14ac:dyDescent="0.25">
      <c r="E5874" s="16"/>
      <c r="F5874" s="16"/>
      <c r="H5874" s="16"/>
      <c r="AG5874" s="80"/>
      <c r="AH5874" s="80"/>
      <c r="AI5874" s="80"/>
    </row>
    <row r="5875" spans="5:35" x14ac:dyDescent="0.25">
      <c r="E5875" s="16"/>
      <c r="F5875" s="16"/>
      <c r="H5875" s="16"/>
      <c r="AG5875" s="80"/>
      <c r="AH5875" s="80"/>
      <c r="AI5875" s="80"/>
    </row>
    <row r="5876" spans="5:35" x14ac:dyDescent="0.25">
      <c r="E5876" s="16"/>
      <c r="F5876" s="16"/>
      <c r="H5876" s="16"/>
      <c r="AG5876" s="80"/>
      <c r="AH5876" s="80"/>
      <c r="AI5876" s="80"/>
    </row>
    <row r="5877" spans="5:35" x14ac:dyDescent="0.25">
      <c r="E5877" s="16"/>
      <c r="F5877" s="16"/>
      <c r="H5877" s="16"/>
      <c r="AG5877" s="80"/>
      <c r="AH5877" s="80"/>
      <c r="AI5877" s="80"/>
    </row>
    <row r="5878" spans="5:35" x14ac:dyDescent="0.25">
      <c r="E5878" s="16"/>
      <c r="F5878" s="16"/>
      <c r="H5878" s="16"/>
      <c r="AG5878" s="80"/>
      <c r="AH5878" s="80"/>
      <c r="AI5878" s="80"/>
    </row>
    <row r="5879" spans="5:35" x14ac:dyDescent="0.25">
      <c r="E5879" s="16"/>
      <c r="F5879" s="16"/>
      <c r="H5879" s="16"/>
      <c r="AG5879" s="80"/>
      <c r="AH5879" s="80"/>
      <c r="AI5879" s="80"/>
    </row>
    <row r="5880" spans="5:35" x14ac:dyDescent="0.25">
      <c r="E5880" s="16"/>
      <c r="F5880" s="16"/>
      <c r="H5880" s="16"/>
      <c r="AG5880" s="80"/>
      <c r="AH5880" s="80"/>
      <c r="AI5880" s="80"/>
    </row>
    <row r="5881" spans="5:35" x14ac:dyDescent="0.25">
      <c r="E5881" s="16"/>
      <c r="F5881" s="16"/>
      <c r="H5881" s="16"/>
      <c r="AG5881" s="80"/>
      <c r="AH5881" s="80"/>
      <c r="AI5881" s="80"/>
    </row>
    <row r="5882" spans="5:35" x14ac:dyDescent="0.25">
      <c r="E5882" s="16"/>
      <c r="F5882" s="16"/>
      <c r="H5882" s="16"/>
      <c r="AG5882" s="80"/>
      <c r="AH5882" s="80"/>
      <c r="AI5882" s="80"/>
    </row>
    <row r="5883" spans="5:35" x14ac:dyDescent="0.25">
      <c r="E5883" s="16"/>
      <c r="F5883" s="16"/>
      <c r="H5883" s="16"/>
      <c r="AG5883" s="80"/>
      <c r="AH5883" s="80"/>
      <c r="AI5883" s="80"/>
    </row>
    <row r="5884" spans="5:35" x14ac:dyDescent="0.25">
      <c r="E5884" s="16"/>
      <c r="F5884" s="16"/>
      <c r="H5884" s="16"/>
      <c r="AG5884" s="80"/>
      <c r="AH5884" s="80"/>
      <c r="AI5884" s="80"/>
    </row>
    <row r="5885" spans="5:35" x14ac:dyDescent="0.25">
      <c r="E5885" s="16"/>
      <c r="F5885" s="16"/>
      <c r="H5885" s="16"/>
      <c r="AG5885" s="80"/>
      <c r="AH5885" s="80"/>
      <c r="AI5885" s="80"/>
    </row>
    <row r="5886" spans="5:35" x14ac:dyDescent="0.25">
      <c r="E5886" s="16"/>
      <c r="F5886" s="16"/>
      <c r="H5886" s="16"/>
      <c r="AG5886" s="80"/>
      <c r="AH5886" s="80"/>
      <c r="AI5886" s="80"/>
    </row>
    <row r="5887" spans="5:35" x14ac:dyDescent="0.25">
      <c r="E5887" s="16"/>
      <c r="F5887" s="16"/>
      <c r="H5887" s="16"/>
      <c r="AG5887" s="80"/>
      <c r="AH5887" s="80"/>
      <c r="AI5887" s="80"/>
    </row>
    <row r="5888" spans="5:35" x14ac:dyDescent="0.25">
      <c r="E5888" s="16"/>
      <c r="F5888" s="16"/>
      <c r="H5888" s="16"/>
      <c r="AG5888" s="80"/>
      <c r="AH5888" s="80"/>
      <c r="AI5888" s="80"/>
    </row>
    <row r="5889" spans="5:35" x14ac:dyDescent="0.25">
      <c r="E5889" s="16"/>
      <c r="F5889" s="16"/>
      <c r="H5889" s="16"/>
      <c r="AG5889" s="80"/>
      <c r="AH5889" s="80"/>
      <c r="AI5889" s="80"/>
    </row>
    <row r="5890" spans="5:35" x14ac:dyDescent="0.25">
      <c r="E5890" s="16"/>
      <c r="F5890" s="16"/>
      <c r="H5890" s="16"/>
      <c r="AG5890" s="80"/>
      <c r="AH5890" s="80"/>
      <c r="AI5890" s="80"/>
    </row>
    <row r="5891" spans="5:35" x14ac:dyDescent="0.25">
      <c r="E5891" s="16"/>
      <c r="F5891" s="16"/>
      <c r="H5891" s="16"/>
      <c r="AG5891" s="80"/>
      <c r="AH5891" s="80"/>
      <c r="AI5891" s="80"/>
    </row>
    <row r="5892" spans="5:35" x14ac:dyDescent="0.25">
      <c r="E5892" s="16"/>
      <c r="F5892" s="16"/>
      <c r="H5892" s="16"/>
      <c r="AG5892" s="80"/>
      <c r="AH5892" s="80"/>
      <c r="AI5892" s="80"/>
    </row>
    <row r="5893" spans="5:35" x14ac:dyDescent="0.25">
      <c r="E5893" s="16"/>
      <c r="F5893" s="16"/>
      <c r="H5893" s="16"/>
      <c r="AG5893" s="80"/>
      <c r="AH5893" s="80"/>
      <c r="AI5893" s="80"/>
    </row>
    <row r="5894" spans="5:35" x14ac:dyDescent="0.25">
      <c r="E5894" s="16"/>
      <c r="F5894" s="16"/>
      <c r="H5894" s="16"/>
      <c r="AG5894" s="80"/>
      <c r="AH5894" s="80"/>
      <c r="AI5894" s="80"/>
    </row>
    <row r="5895" spans="5:35" x14ac:dyDescent="0.25">
      <c r="E5895" s="16"/>
      <c r="F5895" s="16"/>
      <c r="H5895" s="16"/>
      <c r="AG5895" s="80"/>
      <c r="AH5895" s="80"/>
      <c r="AI5895" s="80"/>
    </row>
    <row r="5896" spans="5:35" x14ac:dyDescent="0.25">
      <c r="E5896" s="16"/>
      <c r="F5896" s="16"/>
      <c r="H5896" s="16"/>
      <c r="AG5896" s="80"/>
      <c r="AH5896" s="80"/>
      <c r="AI5896" s="80"/>
    </row>
    <row r="5897" spans="5:35" x14ac:dyDescent="0.25">
      <c r="E5897" s="16"/>
      <c r="F5897" s="16"/>
      <c r="H5897" s="16"/>
      <c r="AG5897" s="80"/>
      <c r="AH5897" s="80"/>
      <c r="AI5897" s="80"/>
    </row>
    <row r="5898" spans="5:35" x14ac:dyDescent="0.25">
      <c r="E5898" s="16"/>
      <c r="F5898" s="16"/>
      <c r="H5898" s="16"/>
      <c r="AG5898" s="80"/>
      <c r="AH5898" s="80"/>
      <c r="AI5898" s="80"/>
    </row>
    <row r="5899" spans="5:35" x14ac:dyDescent="0.25">
      <c r="E5899" s="16"/>
      <c r="F5899" s="16"/>
      <c r="H5899" s="16"/>
      <c r="AG5899" s="80"/>
      <c r="AH5899" s="80"/>
      <c r="AI5899" s="80"/>
    </row>
    <row r="5900" spans="5:35" x14ac:dyDescent="0.25">
      <c r="E5900" s="16"/>
      <c r="F5900" s="16"/>
      <c r="H5900" s="16"/>
      <c r="AG5900" s="80"/>
      <c r="AH5900" s="80"/>
      <c r="AI5900" s="80"/>
    </row>
    <row r="5901" spans="5:35" x14ac:dyDescent="0.25">
      <c r="E5901" s="16"/>
      <c r="F5901" s="16"/>
      <c r="H5901" s="16"/>
      <c r="AG5901" s="80"/>
      <c r="AH5901" s="80"/>
      <c r="AI5901" s="80"/>
    </row>
    <row r="5902" spans="5:35" x14ac:dyDescent="0.25">
      <c r="E5902" s="16"/>
      <c r="F5902" s="16"/>
      <c r="H5902" s="16"/>
      <c r="AG5902" s="80"/>
      <c r="AH5902" s="80"/>
      <c r="AI5902" s="80"/>
    </row>
    <row r="5903" spans="5:35" x14ac:dyDescent="0.25">
      <c r="E5903" s="16"/>
      <c r="F5903" s="16"/>
      <c r="H5903" s="16"/>
      <c r="AG5903" s="80"/>
      <c r="AH5903" s="80"/>
      <c r="AI5903" s="80"/>
    </row>
    <row r="5904" spans="5:35" x14ac:dyDescent="0.25">
      <c r="E5904" s="16"/>
      <c r="F5904" s="16"/>
      <c r="H5904" s="16"/>
      <c r="AG5904" s="80"/>
      <c r="AH5904" s="80"/>
      <c r="AI5904" s="80"/>
    </row>
    <row r="5905" spans="5:35" x14ac:dyDescent="0.25">
      <c r="E5905" s="16"/>
      <c r="F5905" s="16"/>
      <c r="H5905" s="16"/>
      <c r="AG5905" s="80"/>
      <c r="AH5905" s="80"/>
      <c r="AI5905" s="80"/>
    </row>
    <row r="5906" spans="5:35" x14ac:dyDescent="0.25">
      <c r="E5906" s="16"/>
      <c r="F5906" s="16"/>
      <c r="H5906" s="16"/>
      <c r="AG5906" s="80"/>
      <c r="AH5906" s="80"/>
      <c r="AI5906" s="80"/>
    </row>
    <row r="5907" spans="5:35" x14ac:dyDescent="0.25">
      <c r="E5907" s="16"/>
      <c r="F5907" s="16"/>
      <c r="H5907" s="16"/>
      <c r="AG5907" s="80"/>
      <c r="AH5907" s="80"/>
      <c r="AI5907" s="80"/>
    </row>
    <row r="5908" spans="5:35" x14ac:dyDescent="0.25">
      <c r="E5908" s="16"/>
      <c r="F5908" s="16"/>
      <c r="H5908" s="16"/>
      <c r="AG5908" s="80"/>
      <c r="AH5908" s="80"/>
      <c r="AI5908" s="80"/>
    </row>
    <row r="5909" spans="5:35" x14ac:dyDescent="0.25">
      <c r="E5909" s="16"/>
      <c r="F5909" s="16"/>
      <c r="H5909" s="16"/>
      <c r="AG5909" s="80"/>
      <c r="AH5909" s="80"/>
      <c r="AI5909" s="80"/>
    </row>
    <row r="5910" spans="5:35" x14ac:dyDescent="0.25">
      <c r="E5910" s="16"/>
      <c r="F5910" s="16"/>
      <c r="H5910" s="16"/>
      <c r="AG5910" s="80"/>
      <c r="AH5910" s="80"/>
      <c r="AI5910" s="80"/>
    </row>
    <row r="5911" spans="5:35" x14ac:dyDescent="0.25">
      <c r="E5911" s="16"/>
      <c r="F5911" s="16"/>
      <c r="H5911" s="16"/>
      <c r="AG5911" s="80"/>
      <c r="AH5911" s="80"/>
      <c r="AI5911" s="80"/>
    </row>
    <row r="5912" spans="5:35" x14ac:dyDescent="0.25">
      <c r="E5912" s="16"/>
      <c r="F5912" s="16"/>
      <c r="H5912" s="16"/>
      <c r="AG5912" s="80"/>
      <c r="AH5912" s="80"/>
      <c r="AI5912" s="80"/>
    </row>
    <row r="5913" spans="5:35" x14ac:dyDescent="0.25">
      <c r="E5913" s="16"/>
      <c r="F5913" s="16"/>
      <c r="H5913" s="16"/>
      <c r="AG5913" s="80"/>
      <c r="AH5913" s="80"/>
      <c r="AI5913" s="80"/>
    </row>
    <row r="5914" spans="5:35" x14ac:dyDescent="0.25">
      <c r="E5914" s="16"/>
      <c r="F5914" s="16"/>
      <c r="H5914" s="16"/>
      <c r="AG5914" s="80"/>
      <c r="AH5914" s="80"/>
      <c r="AI5914" s="80"/>
    </row>
    <row r="5915" spans="5:35" x14ac:dyDescent="0.25">
      <c r="E5915" s="16"/>
      <c r="F5915" s="16"/>
      <c r="H5915" s="16"/>
      <c r="AG5915" s="80"/>
      <c r="AH5915" s="80"/>
      <c r="AI5915" s="80"/>
    </row>
    <row r="5916" spans="5:35" x14ac:dyDescent="0.25">
      <c r="E5916" s="16"/>
      <c r="F5916" s="16"/>
      <c r="H5916" s="16"/>
      <c r="AG5916" s="80"/>
      <c r="AH5916" s="80"/>
      <c r="AI5916" s="80"/>
    </row>
    <row r="5917" spans="5:35" x14ac:dyDescent="0.25">
      <c r="E5917" s="16"/>
      <c r="F5917" s="16"/>
      <c r="H5917" s="16"/>
      <c r="AG5917" s="80"/>
      <c r="AH5917" s="80"/>
      <c r="AI5917" s="80"/>
    </row>
    <row r="5918" spans="5:35" x14ac:dyDescent="0.25">
      <c r="E5918" s="16"/>
      <c r="F5918" s="16"/>
      <c r="H5918" s="16"/>
      <c r="AG5918" s="80"/>
      <c r="AH5918" s="80"/>
      <c r="AI5918" s="80"/>
    </row>
    <row r="5919" spans="5:35" x14ac:dyDescent="0.25">
      <c r="E5919" s="16"/>
      <c r="F5919" s="16"/>
      <c r="H5919" s="16"/>
      <c r="AG5919" s="80"/>
      <c r="AH5919" s="80"/>
      <c r="AI5919" s="80"/>
    </row>
    <row r="5920" spans="5:35" x14ac:dyDescent="0.25">
      <c r="E5920" s="16"/>
      <c r="F5920" s="16"/>
      <c r="H5920" s="16"/>
      <c r="AG5920" s="80"/>
      <c r="AH5920" s="80"/>
      <c r="AI5920" s="80"/>
    </row>
    <row r="5921" spans="5:35" x14ac:dyDescent="0.25">
      <c r="E5921" s="16"/>
      <c r="F5921" s="16"/>
      <c r="H5921" s="16"/>
      <c r="AG5921" s="80"/>
      <c r="AH5921" s="80"/>
      <c r="AI5921" s="80"/>
    </row>
    <row r="5922" spans="5:35" x14ac:dyDescent="0.25">
      <c r="E5922" s="16"/>
      <c r="F5922" s="16"/>
      <c r="H5922" s="16"/>
      <c r="AG5922" s="80"/>
      <c r="AH5922" s="80"/>
      <c r="AI5922" s="80"/>
    </row>
    <row r="5923" spans="5:35" x14ac:dyDescent="0.25">
      <c r="E5923" s="16"/>
      <c r="F5923" s="16"/>
      <c r="H5923" s="16"/>
      <c r="AG5923" s="80"/>
      <c r="AH5923" s="80"/>
      <c r="AI5923" s="80"/>
    </row>
    <row r="5924" spans="5:35" x14ac:dyDescent="0.25">
      <c r="E5924" s="16"/>
      <c r="F5924" s="16"/>
      <c r="H5924" s="16"/>
      <c r="AG5924" s="80"/>
      <c r="AH5924" s="80"/>
      <c r="AI5924" s="80"/>
    </row>
    <row r="5925" spans="5:35" x14ac:dyDescent="0.25">
      <c r="E5925" s="16"/>
      <c r="F5925" s="16"/>
      <c r="H5925" s="16"/>
      <c r="AG5925" s="80"/>
      <c r="AH5925" s="80"/>
      <c r="AI5925" s="80"/>
    </row>
    <row r="5926" spans="5:35" x14ac:dyDescent="0.25">
      <c r="E5926" s="16"/>
      <c r="F5926" s="16"/>
      <c r="H5926" s="16"/>
      <c r="AG5926" s="80"/>
      <c r="AH5926" s="80"/>
      <c r="AI5926" s="80"/>
    </row>
    <row r="5927" spans="5:35" x14ac:dyDescent="0.25">
      <c r="E5927" s="16"/>
      <c r="F5927" s="16"/>
      <c r="H5927" s="16"/>
      <c r="AG5927" s="80"/>
      <c r="AH5927" s="80"/>
      <c r="AI5927" s="80"/>
    </row>
    <row r="5928" spans="5:35" x14ac:dyDescent="0.25">
      <c r="E5928" s="16"/>
      <c r="F5928" s="16"/>
      <c r="H5928" s="16"/>
      <c r="AG5928" s="80"/>
      <c r="AH5928" s="80"/>
      <c r="AI5928" s="80"/>
    </row>
    <row r="5929" spans="5:35" x14ac:dyDescent="0.25">
      <c r="E5929" s="16"/>
      <c r="F5929" s="16"/>
      <c r="H5929" s="16"/>
      <c r="AG5929" s="80"/>
      <c r="AH5929" s="80"/>
      <c r="AI5929" s="80"/>
    </row>
    <row r="5930" spans="5:35" x14ac:dyDescent="0.25">
      <c r="E5930" s="16"/>
      <c r="F5930" s="16"/>
      <c r="H5930" s="16"/>
      <c r="AG5930" s="80"/>
      <c r="AH5930" s="80"/>
      <c r="AI5930" s="80"/>
    </row>
    <row r="5931" spans="5:35" x14ac:dyDescent="0.25">
      <c r="E5931" s="16"/>
      <c r="F5931" s="16"/>
      <c r="H5931" s="16"/>
      <c r="AG5931" s="80"/>
      <c r="AH5931" s="80"/>
      <c r="AI5931" s="80"/>
    </row>
    <row r="5932" spans="5:35" x14ac:dyDescent="0.25">
      <c r="E5932" s="16"/>
      <c r="F5932" s="16"/>
      <c r="H5932" s="16"/>
      <c r="AG5932" s="80"/>
      <c r="AH5932" s="80"/>
      <c r="AI5932" s="80"/>
    </row>
    <row r="5933" spans="5:35" x14ac:dyDescent="0.25">
      <c r="E5933" s="16"/>
      <c r="F5933" s="16"/>
      <c r="H5933" s="16"/>
      <c r="AG5933" s="80"/>
      <c r="AH5933" s="80"/>
      <c r="AI5933" s="80"/>
    </row>
    <row r="5934" spans="5:35" x14ac:dyDescent="0.25">
      <c r="E5934" s="16"/>
      <c r="F5934" s="16"/>
      <c r="H5934" s="16"/>
      <c r="AG5934" s="80"/>
      <c r="AH5934" s="80"/>
      <c r="AI5934" s="80"/>
    </row>
    <row r="5935" spans="5:35" x14ac:dyDescent="0.25">
      <c r="E5935" s="16"/>
      <c r="F5935" s="16"/>
      <c r="H5935" s="16"/>
      <c r="AG5935" s="80"/>
      <c r="AH5935" s="80"/>
      <c r="AI5935" s="80"/>
    </row>
    <row r="5936" spans="5:35" x14ac:dyDescent="0.25">
      <c r="E5936" s="16"/>
      <c r="F5936" s="16"/>
      <c r="H5936" s="16"/>
      <c r="AG5936" s="80"/>
      <c r="AH5936" s="80"/>
      <c r="AI5936" s="80"/>
    </row>
    <row r="5937" spans="5:35" x14ac:dyDescent="0.25">
      <c r="E5937" s="16"/>
      <c r="F5937" s="16"/>
      <c r="H5937" s="16"/>
      <c r="AG5937" s="80"/>
      <c r="AH5937" s="80"/>
      <c r="AI5937" s="80"/>
    </row>
    <row r="5938" spans="5:35" x14ac:dyDescent="0.25">
      <c r="E5938" s="16"/>
      <c r="F5938" s="16"/>
      <c r="H5938" s="16"/>
      <c r="AG5938" s="80"/>
      <c r="AH5938" s="80"/>
      <c r="AI5938" s="80"/>
    </row>
    <row r="5939" spans="5:35" x14ac:dyDescent="0.25">
      <c r="E5939" s="16"/>
      <c r="F5939" s="16"/>
      <c r="H5939" s="16"/>
      <c r="AG5939" s="80"/>
      <c r="AH5939" s="80"/>
      <c r="AI5939" s="80"/>
    </row>
    <row r="5940" spans="5:35" x14ac:dyDescent="0.25">
      <c r="E5940" s="16"/>
      <c r="F5940" s="16"/>
      <c r="H5940" s="16"/>
      <c r="AG5940" s="80"/>
      <c r="AH5940" s="80"/>
      <c r="AI5940" s="80"/>
    </row>
    <row r="5941" spans="5:35" x14ac:dyDescent="0.25">
      <c r="E5941" s="16"/>
      <c r="F5941" s="16"/>
      <c r="H5941" s="16"/>
      <c r="AG5941" s="80"/>
      <c r="AH5941" s="80"/>
      <c r="AI5941" s="80"/>
    </row>
    <row r="5942" spans="5:35" x14ac:dyDescent="0.25">
      <c r="E5942" s="16"/>
      <c r="F5942" s="16"/>
      <c r="H5942" s="16"/>
      <c r="AG5942" s="80"/>
      <c r="AH5942" s="80"/>
      <c r="AI5942" s="80"/>
    </row>
    <row r="5943" spans="5:35" x14ac:dyDescent="0.25">
      <c r="E5943" s="16"/>
      <c r="F5943" s="16"/>
      <c r="H5943" s="16"/>
      <c r="AG5943" s="80"/>
      <c r="AH5943" s="80"/>
      <c r="AI5943" s="80"/>
    </row>
    <row r="5944" spans="5:35" x14ac:dyDescent="0.25">
      <c r="E5944" s="16"/>
      <c r="F5944" s="16"/>
      <c r="H5944" s="16"/>
      <c r="AG5944" s="80"/>
      <c r="AH5944" s="80"/>
      <c r="AI5944" s="80"/>
    </row>
    <row r="5945" spans="5:35" x14ac:dyDescent="0.25">
      <c r="E5945" s="16"/>
      <c r="F5945" s="16"/>
      <c r="H5945" s="16"/>
      <c r="AG5945" s="80"/>
      <c r="AH5945" s="80"/>
      <c r="AI5945" s="80"/>
    </row>
    <row r="5946" spans="5:35" x14ac:dyDescent="0.25">
      <c r="E5946" s="16"/>
      <c r="F5946" s="16"/>
      <c r="H5946" s="16"/>
      <c r="AG5946" s="80"/>
      <c r="AH5946" s="80"/>
      <c r="AI5946" s="80"/>
    </row>
    <row r="5947" spans="5:35" x14ac:dyDescent="0.25">
      <c r="E5947" s="16"/>
      <c r="F5947" s="16"/>
      <c r="H5947" s="16"/>
      <c r="AG5947" s="80"/>
      <c r="AH5947" s="80"/>
      <c r="AI5947" s="80"/>
    </row>
    <row r="5948" spans="5:35" x14ac:dyDescent="0.25">
      <c r="E5948" s="16"/>
      <c r="F5948" s="16"/>
      <c r="H5948" s="16"/>
      <c r="AG5948" s="80"/>
      <c r="AH5948" s="80"/>
      <c r="AI5948" s="80"/>
    </row>
    <row r="5949" spans="5:35" x14ac:dyDescent="0.25">
      <c r="E5949" s="16"/>
      <c r="F5949" s="16"/>
      <c r="H5949" s="16"/>
      <c r="AG5949" s="80"/>
      <c r="AH5949" s="80"/>
      <c r="AI5949" s="80"/>
    </row>
    <row r="5950" spans="5:35" x14ac:dyDescent="0.25">
      <c r="E5950" s="16"/>
      <c r="F5950" s="16"/>
      <c r="H5950" s="16"/>
      <c r="AG5950" s="80"/>
      <c r="AH5950" s="80"/>
      <c r="AI5950" s="80"/>
    </row>
    <row r="5951" spans="5:35" x14ac:dyDescent="0.25">
      <c r="E5951" s="16"/>
      <c r="F5951" s="16"/>
      <c r="H5951" s="16"/>
      <c r="AG5951" s="80"/>
      <c r="AH5951" s="80"/>
      <c r="AI5951" s="80"/>
    </row>
    <row r="5952" spans="5:35" x14ac:dyDescent="0.25">
      <c r="E5952" s="16"/>
      <c r="F5952" s="16"/>
      <c r="H5952" s="16"/>
      <c r="AG5952" s="80"/>
      <c r="AH5952" s="80"/>
      <c r="AI5952" s="80"/>
    </row>
    <row r="5953" spans="5:35" x14ac:dyDescent="0.25">
      <c r="E5953" s="16"/>
      <c r="F5953" s="16"/>
      <c r="H5953" s="16"/>
      <c r="AG5953" s="80"/>
      <c r="AH5953" s="80"/>
      <c r="AI5953" s="80"/>
    </row>
    <row r="5954" spans="5:35" x14ac:dyDescent="0.25">
      <c r="E5954" s="16"/>
      <c r="F5954" s="16"/>
      <c r="H5954" s="16"/>
      <c r="AG5954" s="80"/>
      <c r="AH5954" s="80"/>
      <c r="AI5954" s="80"/>
    </row>
    <row r="5955" spans="5:35" x14ac:dyDescent="0.25">
      <c r="E5955" s="16"/>
      <c r="F5955" s="16"/>
      <c r="H5955" s="16"/>
      <c r="AG5955" s="80"/>
      <c r="AH5955" s="80"/>
      <c r="AI5955" s="80"/>
    </row>
    <row r="5956" spans="5:35" x14ac:dyDescent="0.25">
      <c r="E5956" s="16"/>
      <c r="F5956" s="16"/>
      <c r="H5956" s="16"/>
      <c r="AG5956" s="80"/>
      <c r="AH5956" s="80"/>
      <c r="AI5956" s="80"/>
    </row>
    <row r="5957" spans="5:35" x14ac:dyDescent="0.25">
      <c r="E5957" s="16"/>
      <c r="F5957" s="16"/>
      <c r="H5957" s="16"/>
      <c r="AG5957" s="80"/>
      <c r="AH5957" s="80"/>
      <c r="AI5957" s="80"/>
    </row>
    <row r="5958" spans="5:35" x14ac:dyDescent="0.25">
      <c r="E5958" s="16"/>
      <c r="F5958" s="16"/>
      <c r="H5958" s="16"/>
      <c r="AG5958" s="80"/>
      <c r="AH5958" s="80"/>
      <c r="AI5958" s="80"/>
    </row>
    <row r="5959" spans="5:35" x14ac:dyDescent="0.25">
      <c r="E5959" s="16"/>
      <c r="F5959" s="16"/>
      <c r="H5959" s="16"/>
      <c r="AG5959" s="80"/>
      <c r="AH5959" s="80"/>
      <c r="AI5959" s="80"/>
    </row>
    <row r="5960" spans="5:35" x14ac:dyDescent="0.25">
      <c r="E5960" s="16"/>
      <c r="F5960" s="16"/>
      <c r="H5960" s="16"/>
      <c r="AG5960" s="80"/>
      <c r="AH5960" s="80"/>
      <c r="AI5960" s="80"/>
    </row>
    <row r="5961" spans="5:35" x14ac:dyDescent="0.25">
      <c r="E5961" s="16"/>
      <c r="F5961" s="16"/>
      <c r="H5961" s="16"/>
      <c r="AG5961" s="80"/>
      <c r="AH5961" s="80"/>
      <c r="AI5961" s="80"/>
    </row>
    <row r="5962" spans="5:35" x14ac:dyDescent="0.25">
      <c r="E5962" s="16"/>
      <c r="F5962" s="16"/>
      <c r="H5962" s="16"/>
      <c r="AG5962" s="80"/>
      <c r="AH5962" s="80"/>
      <c r="AI5962" s="80"/>
    </row>
    <row r="5963" spans="5:35" x14ac:dyDescent="0.25">
      <c r="E5963" s="16"/>
      <c r="F5963" s="16"/>
      <c r="H5963" s="16"/>
      <c r="AG5963" s="80"/>
      <c r="AH5963" s="80"/>
      <c r="AI5963" s="80"/>
    </row>
    <row r="5964" spans="5:35" x14ac:dyDescent="0.25">
      <c r="E5964" s="16"/>
      <c r="F5964" s="16"/>
      <c r="H5964" s="16"/>
      <c r="AG5964" s="80"/>
      <c r="AH5964" s="80"/>
      <c r="AI5964" s="80"/>
    </row>
    <row r="5965" spans="5:35" x14ac:dyDescent="0.25">
      <c r="E5965" s="16"/>
      <c r="F5965" s="16"/>
      <c r="H5965" s="16"/>
      <c r="AG5965" s="80"/>
      <c r="AH5965" s="80"/>
      <c r="AI5965" s="80"/>
    </row>
    <row r="5966" spans="5:35" x14ac:dyDescent="0.25">
      <c r="E5966" s="16"/>
      <c r="F5966" s="16"/>
      <c r="H5966" s="16"/>
      <c r="AG5966" s="80"/>
      <c r="AH5966" s="80"/>
      <c r="AI5966" s="80"/>
    </row>
    <row r="5967" spans="5:35" x14ac:dyDescent="0.25">
      <c r="E5967" s="16"/>
      <c r="F5967" s="16"/>
      <c r="H5967" s="16"/>
      <c r="AG5967" s="80"/>
      <c r="AH5967" s="80"/>
      <c r="AI5967" s="80"/>
    </row>
    <row r="5968" spans="5:35" x14ac:dyDescent="0.25">
      <c r="E5968" s="16"/>
      <c r="F5968" s="16"/>
      <c r="H5968" s="16"/>
      <c r="AG5968" s="80"/>
      <c r="AH5968" s="80"/>
      <c r="AI5968" s="80"/>
    </row>
    <row r="5969" spans="5:35" x14ac:dyDescent="0.25">
      <c r="E5969" s="16"/>
      <c r="F5969" s="16"/>
      <c r="H5969" s="16"/>
      <c r="AG5969" s="80"/>
      <c r="AH5969" s="80"/>
      <c r="AI5969" s="80"/>
    </row>
    <row r="5970" spans="5:35" x14ac:dyDescent="0.25">
      <c r="E5970" s="16"/>
      <c r="F5970" s="16"/>
      <c r="H5970" s="16"/>
      <c r="AG5970" s="80"/>
      <c r="AH5970" s="80"/>
      <c r="AI5970" s="80"/>
    </row>
    <row r="5971" spans="5:35" x14ac:dyDescent="0.25">
      <c r="E5971" s="16"/>
      <c r="F5971" s="16"/>
      <c r="H5971" s="16"/>
      <c r="AG5971" s="80"/>
      <c r="AH5971" s="80"/>
      <c r="AI5971" s="80"/>
    </row>
    <row r="5972" spans="5:35" x14ac:dyDescent="0.25">
      <c r="E5972" s="16"/>
      <c r="F5972" s="16"/>
      <c r="H5972" s="16"/>
      <c r="AG5972" s="80"/>
      <c r="AH5972" s="80"/>
      <c r="AI5972" s="80"/>
    </row>
    <row r="5973" spans="5:35" x14ac:dyDescent="0.25">
      <c r="E5973" s="16"/>
      <c r="F5973" s="16"/>
      <c r="H5973" s="16"/>
      <c r="AG5973" s="80"/>
      <c r="AH5973" s="80"/>
      <c r="AI5973" s="80"/>
    </row>
    <row r="5974" spans="5:35" x14ac:dyDescent="0.25">
      <c r="E5974" s="16"/>
      <c r="F5974" s="16"/>
      <c r="H5974" s="16"/>
      <c r="AG5974" s="80"/>
      <c r="AH5974" s="80"/>
      <c r="AI5974" s="80"/>
    </row>
    <row r="5975" spans="5:35" x14ac:dyDescent="0.25">
      <c r="E5975" s="16"/>
      <c r="F5975" s="16"/>
      <c r="H5975" s="16"/>
      <c r="AG5975" s="80"/>
      <c r="AH5975" s="80"/>
      <c r="AI5975" s="80"/>
    </row>
    <row r="5976" spans="5:35" x14ac:dyDescent="0.25">
      <c r="E5976" s="16"/>
      <c r="F5976" s="16"/>
      <c r="H5976" s="16"/>
      <c r="AG5976" s="80"/>
      <c r="AH5976" s="80"/>
      <c r="AI5976" s="80"/>
    </row>
    <row r="5977" spans="5:35" x14ac:dyDescent="0.25">
      <c r="E5977" s="16"/>
      <c r="F5977" s="16"/>
      <c r="H5977" s="16"/>
      <c r="AG5977" s="80"/>
      <c r="AH5977" s="80"/>
      <c r="AI5977" s="80"/>
    </row>
    <row r="5978" spans="5:35" x14ac:dyDescent="0.25">
      <c r="E5978" s="16"/>
      <c r="F5978" s="16"/>
      <c r="H5978" s="16"/>
      <c r="AG5978" s="80"/>
      <c r="AH5978" s="80"/>
      <c r="AI5978" s="80"/>
    </row>
    <row r="5979" spans="5:35" x14ac:dyDescent="0.25">
      <c r="E5979" s="16"/>
      <c r="F5979" s="16"/>
      <c r="H5979" s="16"/>
      <c r="AG5979" s="80"/>
      <c r="AH5979" s="80"/>
      <c r="AI5979" s="80"/>
    </row>
    <row r="5980" spans="5:35" x14ac:dyDescent="0.25">
      <c r="E5980" s="16"/>
      <c r="F5980" s="16"/>
      <c r="H5980" s="16"/>
      <c r="AG5980" s="80"/>
      <c r="AH5980" s="80"/>
      <c r="AI5980" s="80"/>
    </row>
    <row r="5981" spans="5:35" x14ac:dyDescent="0.25">
      <c r="E5981" s="16"/>
      <c r="F5981" s="16"/>
      <c r="H5981" s="16"/>
      <c r="AG5981" s="80"/>
      <c r="AH5981" s="80"/>
      <c r="AI5981" s="80"/>
    </row>
    <row r="5982" spans="5:35" x14ac:dyDescent="0.25">
      <c r="E5982" s="16"/>
      <c r="F5982" s="16"/>
      <c r="H5982" s="16"/>
      <c r="AG5982" s="80"/>
      <c r="AH5982" s="80"/>
      <c r="AI5982" s="80"/>
    </row>
    <row r="5983" spans="5:35" x14ac:dyDescent="0.25">
      <c r="E5983" s="16"/>
      <c r="F5983" s="16"/>
      <c r="H5983" s="16"/>
      <c r="AG5983" s="80"/>
      <c r="AH5983" s="80"/>
      <c r="AI5983" s="80"/>
    </row>
    <row r="5984" spans="5:35" x14ac:dyDescent="0.25">
      <c r="E5984" s="16"/>
      <c r="F5984" s="16"/>
      <c r="H5984" s="16"/>
      <c r="AG5984" s="80"/>
      <c r="AH5984" s="80"/>
      <c r="AI5984" s="80"/>
    </row>
    <row r="5985" spans="5:35" x14ac:dyDescent="0.25">
      <c r="E5985" s="16"/>
      <c r="F5985" s="16"/>
      <c r="H5985" s="16"/>
      <c r="AG5985" s="80"/>
      <c r="AH5985" s="80"/>
      <c r="AI5985" s="80"/>
    </row>
    <row r="5986" spans="5:35" x14ac:dyDescent="0.25">
      <c r="E5986" s="16"/>
      <c r="F5986" s="16"/>
      <c r="H5986" s="16"/>
      <c r="AG5986" s="80"/>
      <c r="AH5986" s="80"/>
      <c r="AI5986" s="80"/>
    </row>
    <row r="5987" spans="5:35" x14ac:dyDescent="0.25">
      <c r="E5987" s="16"/>
      <c r="F5987" s="16"/>
      <c r="H5987" s="16"/>
      <c r="AG5987" s="80"/>
      <c r="AH5987" s="80"/>
      <c r="AI5987" s="80"/>
    </row>
    <row r="5988" spans="5:35" x14ac:dyDescent="0.25">
      <c r="E5988" s="16"/>
      <c r="F5988" s="16"/>
      <c r="H5988" s="16"/>
      <c r="AG5988" s="80"/>
      <c r="AH5988" s="80"/>
      <c r="AI5988" s="80"/>
    </row>
    <row r="5989" spans="5:35" x14ac:dyDescent="0.25">
      <c r="E5989" s="16"/>
      <c r="F5989" s="16"/>
      <c r="H5989" s="16"/>
      <c r="AG5989" s="80"/>
      <c r="AH5989" s="80"/>
      <c r="AI5989" s="80"/>
    </row>
    <row r="5990" spans="5:35" x14ac:dyDescent="0.25">
      <c r="E5990" s="16"/>
      <c r="F5990" s="16"/>
      <c r="H5990" s="16"/>
      <c r="AG5990" s="80"/>
      <c r="AH5990" s="80"/>
      <c r="AI5990" s="80"/>
    </row>
    <row r="5991" spans="5:35" x14ac:dyDescent="0.25">
      <c r="E5991" s="16"/>
      <c r="F5991" s="16"/>
      <c r="H5991" s="16"/>
      <c r="AG5991" s="80"/>
      <c r="AH5991" s="80"/>
      <c r="AI5991" s="80"/>
    </row>
    <row r="5992" spans="5:35" x14ac:dyDescent="0.25">
      <c r="E5992" s="16"/>
      <c r="F5992" s="16"/>
      <c r="H5992" s="16"/>
      <c r="AG5992" s="80"/>
      <c r="AH5992" s="80"/>
      <c r="AI5992" s="80"/>
    </row>
    <row r="5993" spans="5:35" x14ac:dyDescent="0.25">
      <c r="E5993" s="16"/>
      <c r="F5993" s="16"/>
      <c r="H5993" s="16"/>
      <c r="AG5993" s="80"/>
      <c r="AH5993" s="80"/>
      <c r="AI5993" s="80"/>
    </row>
    <row r="5994" spans="5:35" x14ac:dyDescent="0.25">
      <c r="E5994" s="16"/>
      <c r="F5994" s="16"/>
      <c r="H5994" s="16"/>
      <c r="AG5994" s="80"/>
      <c r="AH5994" s="80"/>
      <c r="AI5994" s="80"/>
    </row>
    <row r="5995" spans="5:35" x14ac:dyDescent="0.25">
      <c r="E5995" s="16"/>
      <c r="F5995" s="16"/>
      <c r="H5995" s="16"/>
      <c r="AG5995" s="80"/>
      <c r="AH5995" s="80"/>
      <c r="AI5995" s="80"/>
    </row>
    <row r="5996" spans="5:35" x14ac:dyDescent="0.25">
      <c r="E5996" s="16"/>
      <c r="F5996" s="16"/>
      <c r="H5996" s="16"/>
      <c r="AG5996" s="80"/>
      <c r="AH5996" s="80"/>
      <c r="AI5996" s="80"/>
    </row>
    <row r="5997" spans="5:35" x14ac:dyDescent="0.25">
      <c r="E5997" s="16"/>
      <c r="F5997" s="16"/>
      <c r="H5997" s="16"/>
      <c r="AG5997" s="80"/>
      <c r="AH5997" s="80"/>
      <c r="AI5997" s="80"/>
    </row>
    <row r="5998" spans="5:35" x14ac:dyDescent="0.25">
      <c r="E5998" s="16"/>
      <c r="F5998" s="16"/>
      <c r="H5998" s="16"/>
      <c r="AG5998" s="80"/>
      <c r="AH5998" s="80"/>
      <c r="AI5998" s="80"/>
    </row>
    <row r="5999" spans="5:35" x14ac:dyDescent="0.25">
      <c r="E5999" s="16"/>
      <c r="F5999" s="16"/>
      <c r="H5999" s="16"/>
      <c r="AG5999" s="80"/>
      <c r="AH5999" s="80"/>
      <c r="AI5999" s="80"/>
    </row>
    <row r="6000" spans="5:35" x14ac:dyDescent="0.25">
      <c r="E6000" s="16"/>
      <c r="F6000" s="16"/>
      <c r="H6000" s="16"/>
      <c r="AG6000" s="80"/>
      <c r="AH6000" s="80"/>
      <c r="AI6000" s="80"/>
    </row>
    <row r="6001" spans="5:35" x14ac:dyDescent="0.25">
      <c r="E6001" s="16"/>
      <c r="F6001" s="16"/>
      <c r="H6001" s="16"/>
      <c r="AG6001" s="80"/>
      <c r="AH6001" s="80"/>
      <c r="AI6001" s="80"/>
    </row>
    <row r="6002" spans="5:35" x14ac:dyDescent="0.25">
      <c r="E6002" s="16"/>
      <c r="F6002" s="16"/>
      <c r="H6002" s="16"/>
      <c r="AG6002" s="80"/>
      <c r="AH6002" s="80"/>
      <c r="AI6002" s="80"/>
    </row>
    <row r="6003" spans="5:35" x14ac:dyDescent="0.25">
      <c r="E6003" s="16"/>
      <c r="F6003" s="16"/>
      <c r="H6003" s="16"/>
      <c r="AG6003" s="80"/>
      <c r="AH6003" s="80"/>
      <c r="AI6003" s="80"/>
    </row>
    <row r="6004" spans="5:35" x14ac:dyDescent="0.25">
      <c r="E6004" s="16"/>
      <c r="F6004" s="16"/>
      <c r="H6004" s="16"/>
      <c r="AG6004" s="80"/>
      <c r="AH6004" s="80"/>
      <c r="AI6004" s="80"/>
    </row>
    <row r="6005" spans="5:35" x14ac:dyDescent="0.25">
      <c r="E6005" s="16"/>
      <c r="F6005" s="16"/>
      <c r="H6005" s="16"/>
      <c r="AG6005" s="80"/>
      <c r="AH6005" s="80"/>
      <c r="AI6005" s="80"/>
    </row>
    <row r="6006" spans="5:35" x14ac:dyDescent="0.25">
      <c r="E6006" s="16"/>
      <c r="F6006" s="16"/>
      <c r="H6006" s="16"/>
      <c r="AG6006" s="80"/>
      <c r="AH6006" s="80"/>
      <c r="AI6006" s="80"/>
    </row>
    <row r="6007" spans="5:35" x14ac:dyDescent="0.25">
      <c r="E6007" s="16"/>
      <c r="F6007" s="16"/>
      <c r="H6007" s="16"/>
      <c r="AG6007" s="80"/>
      <c r="AH6007" s="80"/>
      <c r="AI6007" s="80"/>
    </row>
    <row r="6008" spans="5:35" x14ac:dyDescent="0.25">
      <c r="E6008" s="16"/>
      <c r="F6008" s="16"/>
      <c r="H6008" s="16"/>
      <c r="AG6008" s="80"/>
      <c r="AH6008" s="80"/>
      <c r="AI6008" s="80"/>
    </row>
    <row r="6009" spans="5:35" x14ac:dyDescent="0.25">
      <c r="E6009" s="16"/>
      <c r="F6009" s="16"/>
      <c r="H6009" s="16"/>
      <c r="AG6009" s="80"/>
      <c r="AH6009" s="80"/>
      <c r="AI6009" s="80"/>
    </row>
    <row r="6010" spans="5:35" x14ac:dyDescent="0.25">
      <c r="E6010" s="16"/>
      <c r="F6010" s="16"/>
      <c r="H6010" s="16"/>
      <c r="AG6010" s="80"/>
      <c r="AH6010" s="80"/>
      <c r="AI6010" s="80"/>
    </row>
    <row r="6011" spans="5:35" x14ac:dyDescent="0.25">
      <c r="E6011" s="16"/>
      <c r="F6011" s="16"/>
      <c r="H6011" s="16"/>
      <c r="AG6011" s="80"/>
      <c r="AH6011" s="80"/>
      <c r="AI6011" s="80"/>
    </row>
    <row r="6012" spans="5:35" x14ac:dyDescent="0.25">
      <c r="E6012" s="16"/>
      <c r="F6012" s="16"/>
      <c r="H6012" s="16"/>
      <c r="AG6012" s="80"/>
      <c r="AH6012" s="80"/>
      <c r="AI6012" s="80"/>
    </row>
    <row r="6013" spans="5:35" x14ac:dyDescent="0.25">
      <c r="E6013" s="16"/>
      <c r="F6013" s="16"/>
      <c r="H6013" s="16"/>
      <c r="AG6013" s="80"/>
      <c r="AH6013" s="80"/>
      <c r="AI6013" s="80"/>
    </row>
    <row r="6014" spans="5:35" x14ac:dyDescent="0.25">
      <c r="E6014" s="16"/>
      <c r="F6014" s="16"/>
      <c r="H6014" s="16"/>
      <c r="AG6014" s="80"/>
      <c r="AH6014" s="80"/>
      <c r="AI6014" s="80"/>
    </row>
    <row r="6015" spans="5:35" x14ac:dyDescent="0.25">
      <c r="E6015" s="16"/>
      <c r="F6015" s="16"/>
      <c r="H6015" s="16"/>
      <c r="AG6015" s="80"/>
      <c r="AH6015" s="80"/>
      <c r="AI6015" s="80"/>
    </row>
    <row r="6016" spans="5:35" x14ac:dyDescent="0.25">
      <c r="E6016" s="16"/>
      <c r="F6016" s="16"/>
      <c r="H6016" s="16"/>
      <c r="AG6016" s="80"/>
      <c r="AH6016" s="80"/>
      <c r="AI6016" s="80"/>
    </row>
    <row r="6017" spans="5:35" x14ac:dyDescent="0.25">
      <c r="E6017" s="16"/>
      <c r="F6017" s="16"/>
      <c r="H6017" s="16"/>
      <c r="AG6017" s="80"/>
      <c r="AH6017" s="80"/>
      <c r="AI6017" s="80"/>
    </row>
    <row r="6018" spans="5:35" x14ac:dyDescent="0.25">
      <c r="E6018" s="16"/>
      <c r="F6018" s="16"/>
      <c r="H6018" s="16"/>
      <c r="AG6018" s="80"/>
      <c r="AH6018" s="80"/>
      <c r="AI6018" s="80"/>
    </row>
    <row r="6019" spans="5:35" x14ac:dyDescent="0.25">
      <c r="E6019" s="16"/>
      <c r="F6019" s="16"/>
      <c r="H6019" s="16"/>
      <c r="AG6019" s="80"/>
      <c r="AH6019" s="80"/>
      <c r="AI6019" s="80"/>
    </row>
    <row r="6020" spans="5:35" x14ac:dyDescent="0.25">
      <c r="E6020" s="16"/>
      <c r="F6020" s="16"/>
      <c r="H6020" s="16"/>
      <c r="AG6020" s="80"/>
      <c r="AH6020" s="80"/>
      <c r="AI6020" s="80"/>
    </row>
    <row r="6021" spans="5:35" x14ac:dyDescent="0.25">
      <c r="E6021" s="16"/>
      <c r="F6021" s="16"/>
      <c r="H6021" s="16"/>
      <c r="AG6021" s="80"/>
      <c r="AH6021" s="80"/>
      <c r="AI6021" s="80"/>
    </row>
    <row r="6022" spans="5:35" x14ac:dyDescent="0.25">
      <c r="E6022" s="16"/>
      <c r="F6022" s="16"/>
      <c r="H6022" s="16"/>
      <c r="AG6022" s="80"/>
      <c r="AH6022" s="80"/>
      <c r="AI6022" s="80"/>
    </row>
    <row r="6023" spans="5:35" x14ac:dyDescent="0.25">
      <c r="E6023" s="16"/>
      <c r="F6023" s="16"/>
      <c r="H6023" s="16"/>
      <c r="AG6023" s="80"/>
      <c r="AH6023" s="80"/>
      <c r="AI6023" s="80"/>
    </row>
    <row r="6024" spans="5:35" x14ac:dyDescent="0.25">
      <c r="E6024" s="16"/>
      <c r="F6024" s="16"/>
      <c r="H6024" s="16"/>
      <c r="AG6024" s="80"/>
      <c r="AH6024" s="80"/>
      <c r="AI6024" s="80"/>
    </row>
    <row r="6025" spans="5:35" x14ac:dyDescent="0.25">
      <c r="E6025" s="16"/>
      <c r="F6025" s="16"/>
      <c r="H6025" s="16"/>
      <c r="AG6025" s="80"/>
      <c r="AH6025" s="80"/>
      <c r="AI6025" s="80"/>
    </row>
    <row r="6026" spans="5:35" x14ac:dyDescent="0.25">
      <c r="E6026" s="16"/>
      <c r="F6026" s="16"/>
      <c r="H6026" s="16"/>
      <c r="AG6026" s="80"/>
      <c r="AH6026" s="80"/>
      <c r="AI6026" s="80"/>
    </row>
    <row r="6027" spans="5:35" x14ac:dyDescent="0.25">
      <c r="E6027" s="16"/>
      <c r="F6027" s="16"/>
      <c r="H6027" s="16"/>
      <c r="AG6027" s="80"/>
      <c r="AH6027" s="80"/>
      <c r="AI6027" s="80"/>
    </row>
    <row r="6028" spans="5:35" x14ac:dyDescent="0.25">
      <c r="E6028" s="16"/>
      <c r="F6028" s="16"/>
      <c r="H6028" s="16"/>
      <c r="AG6028" s="80"/>
      <c r="AH6028" s="80"/>
      <c r="AI6028" s="80"/>
    </row>
    <row r="6029" spans="5:35" x14ac:dyDescent="0.25">
      <c r="E6029" s="16"/>
      <c r="F6029" s="16"/>
      <c r="H6029" s="16"/>
      <c r="AG6029" s="80"/>
      <c r="AH6029" s="80"/>
      <c r="AI6029" s="80"/>
    </row>
    <row r="6030" spans="5:35" x14ac:dyDescent="0.25">
      <c r="E6030" s="16"/>
      <c r="F6030" s="16"/>
      <c r="H6030" s="16"/>
      <c r="AG6030" s="80"/>
      <c r="AH6030" s="80"/>
      <c r="AI6030" s="80"/>
    </row>
    <row r="6031" spans="5:35" x14ac:dyDescent="0.25">
      <c r="E6031" s="16"/>
      <c r="F6031" s="16"/>
      <c r="H6031" s="16"/>
      <c r="AG6031" s="80"/>
      <c r="AH6031" s="80"/>
      <c r="AI6031" s="80"/>
    </row>
    <row r="6032" spans="5:35" x14ac:dyDescent="0.25">
      <c r="E6032" s="16"/>
      <c r="F6032" s="16"/>
      <c r="H6032" s="16"/>
      <c r="AG6032" s="80"/>
      <c r="AH6032" s="80"/>
      <c r="AI6032" s="80"/>
    </row>
    <row r="6033" spans="5:35" x14ac:dyDescent="0.25">
      <c r="E6033" s="16"/>
      <c r="F6033" s="16"/>
      <c r="H6033" s="16"/>
      <c r="AG6033" s="80"/>
      <c r="AH6033" s="80"/>
      <c r="AI6033" s="80"/>
    </row>
    <row r="6034" spans="5:35" x14ac:dyDescent="0.25">
      <c r="E6034" s="16"/>
      <c r="F6034" s="16"/>
      <c r="H6034" s="16"/>
      <c r="AG6034" s="80"/>
      <c r="AH6034" s="80"/>
      <c r="AI6034" s="80"/>
    </row>
    <row r="6035" spans="5:35" x14ac:dyDescent="0.25">
      <c r="E6035" s="16"/>
      <c r="F6035" s="16"/>
      <c r="H6035" s="16"/>
      <c r="AG6035" s="80"/>
      <c r="AH6035" s="80"/>
      <c r="AI6035" s="80"/>
    </row>
    <row r="6036" spans="5:35" x14ac:dyDescent="0.25">
      <c r="E6036" s="16"/>
      <c r="F6036" s="16"/>
      <c r="H6036" s="16"/>
      <c r="AG6036" s="80"/>
      <c r="AH6036" s="80"/>
      <c r="AI6036" s="80"/>
    </row>
    <row r="6037" spans="5:35" x14ac:dyDescent="0.25">
      <c r="E6037" s="16"/>
      <c r="F6037" s="16"/>
      <c r="H6037" s="16"/>
      <c r="AG6037" s="80"/>
      <c r="AH6037" s="80"/>
      <c r="AI6037" s="80"/>
    </row>
    <row r="6038" spans="5:35" x14ac:dyDescent="0.25">
      <c r="E6038" s="16"/>
      <c r="F6038" s="16"/>
      <c r="H6038" s="16"/>
      <c r="AG6038" s="80"/>
      <c r="AH6038" s="80"/>
      <c r="AI6038" s="80"/>
    </row>
    <row r="6039" spans="5:35" x14ac:dyDescent="0.25">
      <c r="E6039" s="16"/>
      <c r="F6039" s="16"/>
      <c r="H6039" s="16"/>
      <c r="AG6039" s="80"/>
      <c r="AH6039" s="80"/>
      <c r="AI6039" s="80"/>
    </row>
    <row r="6040" spans="5:35" x14ac:dyDescent="0.25">
      <c r="E6040" s="16"/>
      <c r="F6040" s="16"/>
      <c r="H6040" s="16"/>
      <c r="AG6040" s="80"/>
      <c r="AH6040" s="80"/>
      <c r="AI6040" s="80"/>
    </row>
    <row r="6041" spans="5:35" x14ac:dyDescent="0.25">
      <c r="E6041" s="16"/>
      <c r="F6041" s="16"/>
      <c r="H6041" s="16"/>
      <c r="AG6041" s="80"/>
      <c r="AH6041" s="80"/>
      <c r="AI6041" s="80"/>
    </row>
    <row r="6042" spans="5:35" x14ac:dyDescent="0.25">
      <c r="E6042" s="16"/>
      <c r="F6042" s="16"/>
      <c r="H6042" s="16"/>
      <c r="AG6042" s="80"/>
      <c r="AH6042" s="80"/>
      <c r="AI6042" s="80"/>
    </row>
    <row r="6043" spans="5:35" x14ac:dyDescent="0.25">
      <c r="E6043" s="16"/>
      <c r="F6043" s="16"/>
      <c r="H6043" s="16"/>
      <c r="AG6043" s="80"/>
      <c r="AH6043" s="80"/>
      <c r="AI6043" s="80"/>
    </row>
    <row r="6044" spans="5:35" x14ac:dyDescent="0.25">
      <c r="E6044" s="16"/>
      <c r="F6044" s="16"/>
      <c r="H6044" s="16"/>
      <c r="AG6044" s="80"/>
      <c r="AH6044" s="80"/>
      <c r="AI6044" s="80"/>
    </row>
    <row r="6045" spans="5:35" x14ac:dyDescent="0.25">
      <c r="E6045" s="16"/>
      <c r="F6045" s="16"/>
      <c r="H6045" s="16"/>
      <c r="AG6045" s="80"/>
      <c r="AH6045" s="80"/>
      <c r="AI6045" s="80"/>
    </row>
    <row r="6046" spans="5:35" x14ac:dyDescent="0.25">
      <c r="E6046" s="16"/>
      <c r="F6046" s="16"/>
      <c r="H6046" s="16"/>
      <c r="AG6046" s="80"/>
      <c r="AH6046" s="80"/>
      <c r="AI6046" s="80"/>
    </row>
    <row r="6047" spans="5:35" x14ac:dyDescent="0.25">
      <c r="E6047" s="16"/>
      <c r="F6047" s="16"/>
      <c r="H6047" s="16"/>
      <c r="AG6047" s="80"/>
      <c r="AH6047" s="80"/>
      <c r="AI6047" s="80"/>
    </row>
    <row r="6048" spans="5:35" x14ac:dyDescent="0.25">
      <c r="E6048" s="16"/>
      <c r="F6048" s="16"/>
      <c r="H6048" s="16"/>
      <c r="AG6048" s="80"/>
      <c r="AH6048" s="80"/>
      <c r="AI6048" s="80"/>
    </row>
    <row r="6049" spans="5:35" x14ac:dyDescent="0.25">
      <c r="E6049" s="16"/>
      <c r="F6049" s="16"/>
      <c r="H6049" s="16"/>
      <c r="AG6049" s="80"/>
      <c r="AH6049" s="80"/>
      <c r="AI6049" s="80"/>
    </row>
    <row r="6050" spans="5:35" x14ac:dyDescent="0.25">
      <c r="E6050" s="16"/>
      <c r="F6050" s="16"/>
      <c r="H6050" s="16"/>
      <c r="AG6050" s="80"/>
      <c r="AH6050" s="80"/>
      <c r="AI6050" s="80"/>
    </row>
    <row r="6051" spans="5:35" x14ac:dyDescent="0.25">
      <c r="E6051" s="16"/>
      <c r="F6051" s="16"/>
      <c r="H6051" s="16"/>
      <c r="AG6051" s="80"/>
      <c r="AH6051" s="80"/>
      <c r="AI6051" s="80"/>
    </row>
    <row r="6052" spans="5:35" x14ac:dyDescent="0.25">
      <c r="E6052" s="16"/>
      <c r="F6052" s="16"/>
      <c r="H6052" s="16"/>
      <c r="AG6052" s="80"/>
      <c r="AH6052" s="80"/>
      <c r="AI6052" s="80"/>
    </row>
    <row r="6053" spans="5:35" x14ac:dyDescent="0.25">
      <c r="E6053" s="16"/>
      <c r="F6053" s="16"/>
      <c r="H6053" s="16"/>
      <c r="AG6053" s="80"/>
      <c r="AH6053" s="80"/>
      <c r="AI6053" s="80"/>
    </row>
    <row r="6054" spans="5:35" x14ac:dyDescent="0.25">
      <c r="E6054" s="16"/>
      <c r="F6054" s="16"/>
      <c r="H6054" s="16"/>
      <c r="AG6054" s="80"/>
      <c r="AH6054" s="80"/>
      <c r="AI6054" s="80"/>
    </row>
    <row r="6055" spans="5:35" x14ac:dyDescent="0.25">
      <c r="E6055" s="16"/>
      <c r="F6055" s="16"/>
      <c r="H6055" s="16"/>
      <c r="AG6055" s="80"/>
      <c r="AH6055" s="80"/>
      <c r="AI6055" s="80"/>
    </row>
    <row r="6056" spans="5:35" x14ac:dyDescent="0.25">
      <c r="E6056" s="16"/>
      <c r="F6056" s="16"/>
      <c r="H6056" s="16"/>
      <c r="AG6056" s="80"/>
      <c r="AH6056" s="80"/>
      <c r="AI6056" s="80"/>
    </row>
    <row r="6057" spans="5:35" x14ac:dyDescent="0.25">
      <c r="E6057" s="16"/>
      <c r="F6057" s="16"/>
      <c r="H6057" s="16"/>
      <c r="AG6057" s="80"/>
      <c r="AH6057" s="80"/>
      <c r="AI6057" s="80"/>
    </row>
    <row r="6058" spans="5:35" x14ac:dyDescent="0.25">
      <c r="E6058" s="16"/>
      <c r="F6058" s="16"/>
      <c r="H6058" s="16"/>
      <c r="AG6058" s="80"/>
      <c r="AH6058" s="80"/>
      <c r="AI6058" s="80"/>
    </row>
    <row r="6059" spans="5:35" x14ac:dyDescent="0.25">
      <c r="E6059" s="16"/>
      <c r="F6059" s="16"/>
      <c r="H6059" s="16"/>
      <c r="AG6059" s="80"/>
      <c r="AH6059" s="80"/>
      <c r="AI6059" s="80"/>
    </row>
    <row r="6060" spans="5:35" x14ac:dyDescent="0.25">
      <c r="E6060" s="16"/>
      <c r="F6060" s="16"/>
      <c r="H6060" s="16"/>
      <c r="AG6060" s="80"/>
      <c r="AH6060" s="80"/>
      <c r="AI6060" s="80"/>
    </row>
    <row r="6061" spans="5:35" x14ac:dyDescent="0.25">
      <c r="E6061" s="16"/>
      <c r="F6061" s="16"/>
      <c r="H6061" s="16"/>
      <c r="AG6061" s="80"/>
      <c r="AH6061" s="80"/>
      <c r="AI6061" s="80"/>
    </row>
    <row r="6062" spans="5:35" x14ac:dyDescent="0.25">
      <c r="E6062" s="16"/>
      <c r="F6062" s="16"/>
      <c r="H6062" s="16"/>
      <c r="AG6062" s="80"/>
      <c r="AH6062" s="80"/>
      <c r="AI6062" s="80"/>
    </row>
    <row r="6063" spans="5:35" x14ac:dyDescent="0.25">
      <c r="E6063" s="16"/>
      <c r="F6063" s="16"/>
      <c r="H6063" s="16"/>
      <c r="AG6063" s="80"/>
      <c r="AH6063" s="80"/>
      <c r="AI6063" s="80"/>
    </row>
    <row r="6064" spans="5:35" x14ac:dyDescent="0.25">
      <c r="E6064" s="16"/>
      <c r="F6064" s="16"/>
      <c r="H6064" s="16"/>
      <c r="AG6064" s="80"/>
      <c r="AH6064" s="80"/>
      <c r="AI6064" s="80"/>
    </row>
    <row r="6065" spans="5:35" x14ac:dyDescent="0.25">
      <c r="E6065" s="16"/>
      <c r="F6065" s="16"/>
      <c r="H6065" s="16"/>
      <c r="AG6065" s="80"/>
      <c r="AH6065" s="80"/>
      <c r="AI6065" s="80"/>
    </row>
    <row r="6066" spans="5:35" x14ac:dyDescent="0.25">
      <c r="E6066" s="16"/>
      <c r="F6066" s="16"/>
      <c r="H6066" s="16"/>
      <c r="AG6066" s="80"/>
      <c r="AH6066" s="80"/>
      <c r="AI6066" s="80"/>
    </row>
    <row r="6067" spans="5:35" x14ac:dyDescent="0.25">
      <c r="E6067" s="16"/>
      <c r="F6067" s="16"/>
      <c r="H6067" s="16"/>
      <c r="AG6067" s="80"/>
      <c r="AH6067" s="80"/>
      <c r="AI6067" s="80"/>
    </row>
    <row r="6068" spans="5:35" x14ac:dyDescent="0.25">
      <c r="E6068" s="16"/>
      <c r="F6068" s="16"/>
      <c r="H6068" s="16"/>
      <c r="AG6068" s="80"/>
      <c r="AH6068" s="80"/>
      <c r="AI6068" s="80"/>
    </row>
    <row r="6069" spans="5:35" x14ac:dyDescent="0.25">
      <c r="E6069" s="16"/>
      <c r="F6069" s="16"/>
      <c r="H6069" s="16"/>
      <c r="AG6069" s="80"/>
      <c r="AH6069" s="80"/>
      <c r="AI6069" s="80"/>
    </row>
    <row r="6070" spans="5:35" x14ac:dyDescent="0.25">
      <c r="E6070" s="16"/>
      <c r="F6070" s="16"/>
      <c r="H6070" s="16"/>
      <c r="AG6070" s="80"/>
      <c r="AH6070" s="80"/>
      <c r="AI6070" s="80"/>
    </row>
    <row r="6071" spans="5:35" x14ac:dyDescent="0.25">
      <c r="E6071" s="16"/>
      <c r="F6071" s="16"/>
      <c r="H6071" s="16"/>
      <c r="AG6071" s="80"/>
      <c r="AH6071" s="80"/>
      <c r="AI6071" s="80"/>
    </row>
    <row r="6072" spans="5:35" x14ac:dyDescent="0.25">
      <c r="E6072" s="16"/>
      <c r="F6072" s="16"/>
      <c r="H6072" s="16"/>
      <c r="AG6072" s="80"/>
      <c r="AH6072" s="80"/>
      <c r="AI6072" s="80"/>
    </row>
    <row r="6073" spans="5:35" x14ac:dyDescent="0.25">
      <c r="E6073" s="16"/>
      <c r="F6073" s="16"/>
      <c r="H6073" s="16"/>
      <c r="AG6073" s="80"/>
      <c r="AH6073" s="80"/>
      <c r="AI6073" s="80"/>
    </row>
    <row r="6074" spans="5:35" x14ac:dyDescent="0.25">
      <c r="E6074" s="16"/>
      <c r="F6074" s="16"/>
      <c r="H6074" s="16"/>
      <c r="AG6074" s="80"/>
      <c r="AH6074" s="80"/>
      <c r="AI6074" s="80"/>
    </row>
    <row r="6075" spans="5:35" x14ac:dyDescent="0.25">
      <c r="E6075" s="16"/>
      <c r="F6075" s="16"/>
      <c r="H6075" s="16"/>
      <c r="AG6075" s="80"/>
      <c r="AH6075" s="80"/>
      <c r="AI6075" s="80"/>
    </row>
    <row r="6076" spans="5:35" x14ac:dyDescent="0.25">
      <c r="E6076" s="16"/>
      <c r="F6076" s="16"/>
      <c r="H6076" s="16"/>
      <c r="AG6076" s="80"/>
      <c r="AH6076" s="80"/>
      <c r="AI6076" s="80"/>
    </row>
    <row r="6077" spans="5:35" x14ac:dyDescent="0.25">
      <c r="E6077" s="16"/>
      <c r="F6077" s="16"/>
      <c r="H6077" s="16"/>
      <c r="AG6077" s="80"/>
      <c r="AH6077" s="80"/>
      <c r="AI6077" s="80"/>
    </row>
    <row r="6078" spans="5:35" x14ac:dyDescent="0.25">
      <c r="E6078" s="16"/>
      <c r="F6078" s="16"/>
      <c r="H6078" s="16"/>
      <c r="AG6078" s="80"/>
      <c r="AH6078" s="80"/>
      <c r="AI6078" s="80"/>
    </row>
    <row r="6079" spans="5:35" x14ac:dyDescent="0.25">
      <c r="E6079" s="16"/>
      <c r="F6079" s="16"/>
      <c r="H6079" s="16"/>
      <c r="AG6079" s="80"/>
      <c r="AH6079" s="80"/>
      <c r="AI6079" s="80"/>
    </row>
    <row r="6080" spans="5:35" x14ac:dyDescent="0.25">
      <c r="E6080" s="16"/>
      <c r="F6080" s="16"/>
      <c r="H6080" s="16"/>
      <c r="AG6080" s="80"/>
      <c r="AH6080" s="80"/>
      <c r="AI6080" s="80"/>
    </row>
    <row r="6081" spans="5:35" x14ac:dyDescent="0.25">
      <c r="E6081" s="16"/>
      <c r="F6081" s="16"/>
      <c r="H6081" s="16"/>
      <c r="AG6081" s="80"/>
      <c r="AH6081" s="80"/>
      <c r="AI6081" s="80"/>
    </row>
    <row r="6082" spans="5:35" x14ac:dyDescent="0.25">
      <c r="E6082" s="16"/>
      <c r="F6082" s="16"/>
      <c r="H6082" s="16"/>
      <c r="AG6082" s="80"/>
      <c r="AH6082" s="80"/>
      <c r="AI6082" s="80"/>
    </row>
    <row r="6083" spans="5:35" x14ac:dyDescent="0.25">
      <c r="E6083" s="16"/>
      <c r="F6083" s="16"/>
      <c r="H6083" s="16"/>
      <c r="AG6083" s="80"/>
      <c r="AH6083" s="80"/>
      <c r="AI6083" s="80"/>
    </row>
    <row r="6084" spans="5:35" x14ac:dyDescent="0.25">
      <c r="E6084" s="16"/>
      <c r="F6084" s="16"/>
      <c r="H6084" s="16"/>
      <c r="AG6084" s="80"/>
      <c r="AH6084" s="80"/>
      <c r="AI6084" s="80"/>
    </row>
    <row r="6085" spans="5:35" x14ac:dyDescent="0.25">
      <c r="E6085" s="16"/>
      <c r="F6085" s="16"/>
      <c r="H6085" s="16"/>
      <c r="AG6085" s="80"/>
      <c r="AH6085" s="80"/>
      <c r="AI6085" s="80"/>
    </row>
    <row r="6086" spans="5:35" x14ac:dyDescent="0.25">
      <c r="E6086" s="16"/>
      <c r="F6086" s="16"/>
      <c r="H6086" s="16"/>
      <c r="AG6086" s="80"/>
      <c r="AH6086" s="80"/>
      <c r="AI6086" s="80"/>
    </row>
    <row r="6087" spans="5:35" x14ac:dyDescent="0.25">
      <c r="E6087" s="16"/>
      <c r="F6087" s="16"/>
      <c r="H6087" s="16"/>
      <c r="AG6087" s="80"/>
      <c r="AH6087" s="80"/>
      <c r="AI6087" s="80"/>
    </row>
    <row r="6088" spans="5:35" x14ac:dyDescent="0.25">
      <c r="E6088" s="16"/>
      <c r="F6088" s="16"/>
      <c r="H6088" s="16"/>
      <c r="AG6088" s="80"/>
      <c r="AH6088" s="80"/>
      <c r="AI6088" s="80"/>
    </row>
    <row r="6089" spans="5:35" x14ac:dyDescent="0.25">
      <c r="E6089" s="16"/>
      <c r="F6089" s="16"/>
      <c r="H6089" s="16"/>
      <c r="AG6089" s="80"/>
      <c r="AH6089" s="80"/>
      <c r="AI6089" s="80"/>
    </row>
    <row r="6090" spans="5:35" x14ac:dyDescent="0.25">
      <c r="E6090" s="16"/>
      <c r="F6090" s="16"/>
      <c r="H6090" s="16"/>
      <c r="AG6090" s="80"/>
      <c r="AH6090" s="80"/>
      <c r="AI6090" s="80"/>
    </row>
    <row r="6091" spans="5:35" x14ac:dyDescent="0.25">
      <c r="E6091" s="16"/>
      <c r="F6091" s="16"/>
      <c r="H6091" s="16"/>
      <c r="AG6091" s="80"/>
      <c r="AH6091" s="80"/>
      <c r="AI6091" s="80"/>
    </row>
    <row r="6092" spans="5:35" x14ac:dyDescent="0.25">
      <c r="E6092" s="16"/>
      <c r="F6092" s="16"/>
      <c r="H6092" s="16"/>
      <c r="AG6092" s="80"/>
      <c r="AH6092" s="80"/>
      <c r="AI6092" s="80"/>
    </row>
    <row r="6093" spans="5:35" x14ac:dyDescent="0.25">
      <c r="E6093" s="16"/>
      <c r="F6093" s="16"/>
      <c r="H6093" s="16"/>
      <c r="AG6093" s="80"/>
      <c r="AH6093" s="80"/>
      <c r="AI6093" s="80"/>
    </row>
    <row r="6094" spans="5:35" x14ac:dyDescent="0.25">
      <c r="E6094" s="16"/>
      <c r="F6094" s="16"/>
      <c r="H6094" s="16"/>
      <c r="AG6094" s="80"/>
      <c r="AH6094" s="80"/>
      <c r="AI6094" s="80"/>
    </row>
    <row r="6095" spans="5:35" x14ac:dyDescent="0.25">
      <c r="E6095" s="16"/>
      <c r="F6095" s="16"/>
      <c r="H6095" s="16"/>
      <c r="AG6095" s="80"/>
      <c r="AH6095" s="80"/>
      <c r="AI6095" s="80"/>
    </row>
    <row r="6096" spans="5:35" x14ac:dyDescent="0.25">
      <c r="E6096" s="16"/>
      <c r="F6096" s="16"/>
      <c r="H6096" s="16"/>
      <c r="AG6096" s="80"/>
      <c r="AH6096" s="80"/>
      <c r="AI6096" s="80"/>
    </row>
    <row r="6097" spans="5:35" x14ac:dyDescent="0.25">
      <c r="E6097" s="16"/>
      <c r="F6097" s="16"/>
      <c r="H6097" s="16"/>
      <c r="AG6097" s="80"/>
      <c r="AH6097" s="80"/>
      <c r="AI6097" s="80"/>
    </row>
    <row r="6098" spans="5:35" x14ac:dyDescent="0.25">
      <c r="E6098" s="16"/>
      <c r="F6098" s="16"/>
      <c r="H6098" s="16"/>
      <c r="AG6098" s="80"/>
      <c r="AH6098" s="80"/>
      <c r="AI6098" s="80"/>
    </row>
    <row r="6099" spans="5:35" x14ac:dyDescent="0.25">
      <c r="E6099" s="16"/>
      <c r="F6099" s="16"/>
      <c r="H6099" s="16"/>
      <c r="AG6099" s="80"/>
      <c r="AH6099" s="80"/>
      <c r="AI6099" s="80"/>
    </row>
    <row r="6100" spans="5:35" x14ac:dyDescent="0.25">
      <c r="E6100" s="16"/>
      <c r="F6100" s="16"/>
      <c r="H6100" s="16"/>
      <c r="AG6100" s="80"/>
      <c r="AH6100" s="80"/>
      <c r="AI6100" s="80"/>
    </row>
    <row r="6101" spans="5:35" x14ac:dyDescent="0.25">
      <c r="E6101" s="16"/>
      <c r="F6101" s="16"/>
      <c r="H6101" s="16"/>
      <c r="AG6101" s="80"/>
      <c r="AH6101" s="80"/>
      <c r="AI6101" s="80"/>
    </row>
    <row r="6102" spans="5:35" x14ac:dyDescent="0.25">
      <c r="E6102" s="16"/>
      <c r="F6102" s="16"/>
      <c r="H6102" s="16"/>
      <c r="AG6102" s="80"/>
      <c r="AH6102" s="80"/>
      <c r="AI6102" s="80"/>
    </row>
    <row r="6103" spans="5:35" x14ac:dyDescent="0.25">
      <c r="E6103" s="16"/>
      <c r="F6103" s="16"/>
      <c r="H6103" s="16"/>
      <c r="AG6103" s="80"/>
      <c r="AH6103" s="80"/>
      <c r="AI6103" s="80"/>
    </row>
    <row r="6104" spans="5:35" x14ac:dyDescent="0.25">
      <c r="E6104" s="16"/>
      <c r="F6104" s="16"/>
      <c r="H6104" s="16"/>
      <c r="AG6104" s="80"/>
      <c r="AH6104" s="80"/>
      <c r="AI6104" s="80"/>
    </row>
    <row r="6105" spans="5:35" x14ac:dyDescent="0.25">
      <c r="E6105" s="16"/>
      <c r="F6105" s="16"/>
      <c r="H6105" s="16"/>
      <c r="AG6105" s="80"/>
      <c r="AH6105" s="80"/>
      <c r="AI6105" s="80"/>
    </row>
    <row r="6106" spans="5:35" x14ac:dyDescent="0.25">
      <c r="E6106" s="16"/>
      <c r="F6106" s="16"/>
      <c r="H6106" s="16"/>
      <c r="AG6106" s="80"/>
      <c r="AH6106" s="80"/>
      <c r="AI6106" s="80"/>
    </row>
    <row r="6107" spans="5:35" x14ac:dyDescent="0.25">
      <c r="E6107" s="16"/>
      <c r="F6107" s="16"/>
      <c r="H6107" s="16"/>
      <c r="AG6107" s="80"/>
      <c r="AH6107" s="80"/>
      <c r="AI6107" s="80"/>
    </row>
    <row r="6108" spans="5:35" x14ac:dyDescent="0.25">
      <c r="E6108" s="16"/>
      <c r="F6108" s="16"/>
      <c r="H6108" s="16"/>
      <c r="AG6108" s="80"/>
      <c r="AH6108" s="80"/>
      <c r="AI6108" s="80"/>
    </row>
    <row r="6109" spans="5:35" x14ac:dyDescent="0.25">
      <c r="E6109" s="16"/>
      <c r="F6109" s="16"/>
      <c r="H6109" s="16"/>
      <c r="AG6109" s="80"/>
      <c r="AH6109" s="80"/>
      <c r="AI6109" s="80"/>
    </row>
    <row r="6110" spans="5:35" x14ac:dyDescent="0.25">
      <c r="E6110" s="16"/>
      <c r="F6110" s="16"/>
      <c r="H6110" s="16"/>
      <c r="AG6110" s="80"/>
      <c r="AH6110" s="80"/>
      <c r="AI6110" s="80"/>
    </row>
    <row r="6111" spans="5:35" x14ac:dyDescent="0.25">
      <c r="E6111" s="16"/>
      <c r="F6111" s="16"/>
      <c r="H6111" s="16"/>
      <c r="AG6111" s="80"/>
      <c r="AH6111" s="80"/>
      <c r="AI6111" s="80"/>
    </row>
    <row r="6112" spans="5:35" x14ac:dyDescent="0.25">
      <c r="E6112" s="16"/>
      <c r="F6112" s="16"/>
      <c r="H6112" s="16"/>
      <c r="AG6112" s="80"/>
      <c r="AH6112" s="80"/>
      <c r="AI6112" s="80"/>
    </row>
    <row r="6113" spans="5:35" x14ac:dyDescent="0.25">
      <c r="E6113" s="16"/>
      <c r="F6113" s="16"/>
      <c r="H6113" s="16"/>
      <c r="AG6113" s="80"/>
      <c r="AH6113" s="80"/>
      <c r="AI6113" s="80"/>
    </row>
    <row r="6114" spans="5:35" x14ac:dyDescent="0.25">
      <c r="E6114" s="16"/>
      <c r="F6114" s="16"/>
      <c r="H6114" s="16"/>
      <c r="AG6114" s="80"/>
      <c r="AH6114" s="80"/>
      <c r="AI6114" s="80"/>
    </row>
    <row r="6115" spans="5:35" x14ac:dyDescent="0.25">
      <c r="E6115" s="16"/>
      <c r="F6115" s="16"/>
      <c r="H6115" s="16"/>
      <c r="AG6115" s="80"/>
      <c r="AH6115" s="80"/>
      <c r="AI6115" s="80"/>
    </row>
    <row r="6116" spans="5:35" x14ac:dyDescent="0.25">
      <c r="E6116" s="16"/>
      <c r="F6116" s="16"/>
      <c r="H6116" s="16"/>
      <c r="AG6116" s="80"/>
      <c r="AH6116" s="80"/>
      <c r="AI6116" s="80"/>
    </row>
    <row r="6117" spans="5:35" x14ac:dyDescent="0.25">
      <c r="E6117" s="16"/>
      <c r="F6117" s="16"/>
      <c r="H6117" s="16"/>
      <c r="AG6117" s="80"/>
      <c r="AH6117" s="80"/>
      <c r="AI6117" s="80"/>
    </row>
    <row r="6118" spans="5:35" x14ac:dyDescent="0.25">
      <c r="E6118" s="16"/>
      <c r="F6118" s="16"/>
      <c r="H6118" s="16"/>
      <c r="AG6118" s="80"/>
      <c r="AH6118" s="80"/>
      <c r="AI6118" s="80"/>
    </row>
    <row r="6119" spans="5:35" x14ac:dyDescent="0.25">
      <c r="E6119" s="16"/>
      <c r="F6119" s="16"/>
      <c r="H6119" s="16"/>
      <c r="AG6119" s="80"/>
      <c r="AH6119" s="80"/>
      <c r="AI6119" s="80"/>
    </row>
    <row r="6120" spans="5:35" x14ac:dyDescent="0.25">
      <c r="E6120" s="16"/>
      <c r="F6120" s="16"/>
      <c r="H6120" s="16"/>
      <c r="AG6120" s="80"/>
      <c r="AH6120" s="80"/>
      <c r="AI6120" s="80"/>
    </row>
    <row r="6121" spans="5:35" x14ac:dyDescent="0.25">
      <c r="E6121" s="16"/>
      <c r="F6121" s="16"/>
      <c r="H6121" s="16"/>
      <c r="AG6121" s="80"/>
      <c r="AH6121" s="80"/>
      <c r="AI6121" s="80"/>
    </row>
    <row r="6122" spans="5:35" x14ac:dyDescent="0.25">
      <c r="E6122" s="16"/>
      <c r="F6122" s="16"/>
      <c r="H6122" s="16"/>
      <c r="AG6122" s="80"/>
      <c r="AH6122" s="80"/>
      <c r="AI6122" s="80"/>
    </row>
    <row r="6123" spans="5:35" x14ac:dyDescent="0.25">
      <c r="E6123" s="16"/>
      <c r="F6123" s="16"/>
      <c r="H6123" s="16"/>
      <c r="AG6123" s="80"/>
      <c r="AH6123" s="80"/>
      <c r="AI6123" s="80"/>
    </row>
    <row r="6124" spans="5:35" x14ac:dyDescent="0.25">
      <c r="E6124" s="16"/>
      <c r="F6124" s="16"/>
      <c r="H6124" s="16"/>
      <c r="AG6124" s="80"/>
      <c r="AH6124" s="80"/>
      <c r="AI6124" s="80"/>
    </row>
    <row r="6125" spans="5:35" x14ac:dyDescent="0.25">
      <c r="E6125" s="16"/>
      <c r="F6125" s="16"/>
      <c r="H6125" s="16"/>
      <c r="AG6125" s="80"/>
      <c r="AH6125" s="80"/>
      <c r="AI6125" s="80"/>
    </row>
    <row r="6126" spans="5:35" x14ac:dyDescent="0.25">
      <c r="E6126" s="16"/>
      <c r="F6126" s="16"/>
      <c r="H6126" s="16"/>
      <c r="AG6126" s="80"/>
      <c r="AH6126" s="80"/>
      <c r="AI6126" s="80"/>
    </row>
    <row r="6127" spans="5:35" x14ac:dyDescent="0.25">
      <c r="E6127" s="16"/>
      <c r="F6127" s="16"/>
      <c r="H6127" s="16"/>
      <c r="AG6127" s="80"/>
      <c r="AH6127" s="80"/>
      <c r="AI6127" s="80"/>
    </row>
    <row r="6128" spans="5:35" x14ac:dyDescent="0.25">
      <c r="E6128" s="16"/>
      <c r="F6128" s="16"/>
      <c r="H6128" s="16"/>
      <c r="AG6128" s="80"/>
      <c r="AH6128" s="80"/>
      <c r="AI6128" s="80"/>
    </row>
    <row r="6129" spans="5:35" x14ac:dyDescent="0.25">
      <c r="E6129" s="16"/>
      <c r="F6129" s="16"/>
      <c r="H6129" s="16"/>
      <c r="AG6129" s="80"/>
      <c r="AH6129" s="80"/>
      <c r="AI6129" s="80"/>
    </row>
    <row r="6130" spans="5:35" x14ac:dyDescent="0.25">
      <c r="E6130" s="16"/>
      <c r="F6130" s="16"/>
      <c r="H6130" s="16"/>
      <c r="AG6130" s="80"/>
      <c r="AH6130" s="80"/>
      <c r="AI6130" s="80"/>
    </row>
    <row r="6131" spans="5:35" x14ac:dyDescent="0.25">
      <c r="E6131" s="16"/>
      <c r="F6131" s="16"/>
      <c r="H6131" s="16"/>
      <c r="AG6131" s="80"/>
      <c r="AH6131" s="80"/>
      <c r="AI6131" s="80"/>
    </row>
    <row r="6132" spans="5:35" x14ac:dyDescent="0.25">
      <c r="E6132" s="16"/>
      <c r="F6132" s="16"/>
      <c r="H6132" s="16"/>
      <c r="AG6132" s="80"/>
      <c r="AH6132" s="80"/>
      <c r="AI6132" s="80"/>
    </row>
    <row r="6133" spans="5:35" x14ac:dyDescent="0.25">
      <c r="E6133" s="16"/>
      <c r="F6133" s="16"/>
      <c r="H6133" s="16"/>
      <c r="AG6133" s="80"/>
      <c r="AH6133" s="80"/>
      <c r="AI6133" s="80"/>
    </row>
    <row r="6134" spans="5:35" x14ac:dyDescent="0.25">
      <c r="E6134" s="16"/>
      <c r="F6134" s="16"/>
      <c r="H6134" s="16"/>
      <c r="AG6134" s="80"/>
      <c r="AH6134" s="80"/>
      <c r="AI6134" s="80"/>
    </row>
    <row r="6135" spans="5:35" x14ac:dyDescent="0.25">
      <c r="E6135" s="16"/>
      <c r="F6135" s="16"/>
      <c r="H6135" s="16"/>
      <c r="AG6135" s="80"/>
      <c r="AH6135" s="80"/>
      <c r="AI6135" s="80"/>
    </row>
    <row r="6136" spans="5:35" x14ac:dyDescent="0.25">
      <c r="E6136" s="16"/>
      <c r="F6136" s="16"/>
      <c r="H6136" s="16"/>
      <c r="AG6136" s="80"/>
      <c r="AH6136" s="80"/>
      <c r="AI6136" s="80"/>
    </row>
    <row r="6137" spans="5:35" x14ac:dyDescent="0.25">
      <c r="E6137" s="16"/>
      <c r="F6137" s="16"/>
      <c r="H6137" s="16"/>
      <c r="AG6137" s="80"/>
      <c r="AH6137" s="80"/>
      <c r="AI6137" s="80"/>
    </row>
    <row r="6138" spans="5:35" x14ac:dyDescent="0.25">
      <c r="E6138" s="16"/>
      <c r="F6138" s="16"/>
      <c r="H6138" s="16"/>
      <c r="AG6138" s="80"/>
      <c r="AH6138" s="80"/>
      <c r="AI6138" s="80"/>
    </row>
    <row r="6139" spans="5:35" x14ac:dyDescent="0.25">
      <c r="E6139" s="16"/>
      <c r="F6139" s="16"/>
      <c r="H6139" s="16"/>
      <c r="AG6139" s="80"/>
      <c r="AH6139" s="80"/>
      <c r="AI6139" s="80"/>
    </row>
    <row r="6140" spans="5:35" x14ac:dyDescent="0.25">
      <c r="E6140" s="16"/>
      <c r="F6140" s="16"/>
      <c r="H6140" s="16"/>
      <c r="AG6140" s="80"/>
      <c r="AH6140" s="80"/>
      <c r="AI6140" s="80"/>
    </row>
    <row r="6141" spans="5:35" x14ac:dyDescent="0.25">
      <c r="E6141" s="16"/>
      <c r="F6141" s="16"/>
      <c r="H6141" s="16"/>
      <c r="AG6141" s="80"/>
      <c r="AH6141" s="80"/>
      <c r="AI6141" s="80"/>
    </row>
    <row r="6142" spans="5:35" x14ac:dyDescent="0.25">
      <c r="E6142" s="16"/>
      <c r="F6142" s="16"/>
      <c r="H6142" s="16"/>
      <c r="AG6142" s="80"/>
      <c r="AH6142" s="80"/>
      <c r="AI6142" s="80"/>
    </row>
    <row r="6143" spans="5:35" x14ac:dyDescent="0.25">
      <c r="E6143" s="16"/>
      <c r="F6143" s="16"/>
      <c r="H6143" s="16"/>
      <c r="AG6143" s="80"/>
      <c r="AH6143" s="80"/>
      <c r="AI6143" s="80"/>
    </row>
    <row r="6144" spans="5:35" x14ac:dyDescent="0.25">
      <c r="E6144" s="16"/>
      <c r="F6144" s="16"/>
      <c r="H6144" s="16"/>
      <c r="AG6144" s="80"/>
      <c r="AH6144" s="80"/>
      <c r="AI6144" s="80"/>
    </row>
    <row r="6145" spans="5:35" x14ac:dyDescent="0.25">
      <c r="E6145" s="16"/>
      <c r="F6145" s="16"/>
      <c r="H6145" s="16"/>
      <c r="AG6145" s="80"/>
      <c r="AH6145" s="80"/>
      <c r="AI6145" s="80"/>
    </row>
    <row r="6146" spans="5:35" x14ac:dyDescent="0.25">
      <c r="E6146" s="16"/>
      <c r="F6146" s="16"/>
      <c r="H6146" s="16"/>
      <c r="AG6146" s="80"/>
      <c r="AH6146" s="80"/>
      <c r="AI6146" s="80"/>
    </row>
    <row r="6147" spans="5:35" x14ac:dyDescent="0.25">
      <c r="E6147" s="16"/>
      <c r="F6147" s="16"/>
      <c r="H6147" s="16"/>
      <c r="AG6147" s="80"/>
      <c r="AH6147" s="80"/>
      <c r="AI6147" s="80"/>
    </row>
    <row r="6148" spans="5:35" x14ac:dyDescent="0.25">
      <c r="E6148" s="16"/>
      <c r="F6148" s="16"/>
      <c r="H6148" s="16"/>
      <c r="AG6148" s="80"/>
      <c r="AH6148" s="80"/>
      <c r="AI6148" s="80"/>
    </row>
    <row r="6149" spans="5:35" x14ac:dyDescent="0.25">
      <c r="E6149" s="16"/>
      <c r="F6149" s="16"/>
      <c r="H6149" s="16"/>
      <c r="AG6149" s="80"/>
      <c r="AH6149" s="80"/>
      <c r="AI6149" s="80"/>
    </row>
    <row r="6150" spans="5:35" x14ac:dyDescent="0.25">
      <c r="E6150" s="16"/>
      <c r="F6150" s="16"/>
      <c r="H6150" s="16"/>
      <c r="AG6150" s="80"/>
      <c r="AH6150" s="80"/>
      <c r="AI6150" s="80"/>
    </row>
    <row r="6151" spans="5:35" x14ac:dyDescent="0.25">
      <c r="E6151" s="16"/>
      <c r="F6151" s="16"/>
      <c r="H6151" s="16"/>
      <c r="AG6151" s="80"/>
      <c r="AH6151" s="80"/>
      <c r="AI6151" s="80"/>
    </row>
    <row r="6152" spans="5:35" x14ac:dyDescent="0.25">
      <c r="E6152" s="16"/>
      <c r="F6152" s="16"/>
      <c r="H6152" s="16"/>
      <c r="AG6152" s="80"/>
      <c r="AH6152" s="80"/>
      <c r="AI6152" s="80"/>
    </row>
    <row r="6153" spans="5:35" x14ac:dyDescent="0.25">
      <c r="E6153" s="16"/>
      <c r="F6153" s="16"/>
      <c r="H6153" s="16"/>
      <c r="AG6153" s="80"/>
      <c r="AH6153" s="80"/>
      <c r="AI6153" s="80"/>
    </row>
    <row r="6154" spans="5:35" x14ac:dyDescent="0.25">
      <c r="E6154" s="16"/>
      <c r="F6154" s="16"/>
      <c r="H6154" s="16"/>
      <c r="AG6154" s="80"/>
      <c r="AH6154" s="80"/>
      <c r="AI6154" s="80"/>
    </row>
    <row r="6155" spans="5:35" x14ac:dyDescent="0.25">
      <c r="E6155" s="16"/>
      <c r="F6155" s="16"/>
      <c r="H6155" s="16"/>
      <c r="AG6155" s="80"/>
      <c r="AH6155" s="80"/>
      <c r="AI6155" s="80"/>
    </row>
    <row r="6156" spans="5:35" x14ac:dyDescent="0.25">
      <c r="E6156" s="16"/>
      <c r="F6156" s="16"/>
      <c r="H6156" s="16"/>
      <c r="AG6156" s="80"/>
      <c r="AH6156" s="80"/>
      <c r="AI6156" s="80"/>
    </row>
    <row r="6157" spans="5:35" x14ac:dyDescent="0.25">
      <c r="E6157" s="16"/>
      <c r="F6157" s="16"/>
      <c r="H6157" s="16"/>
      <c r="AG6157" s="80"/>
      <c r="AH6157" s="80"/>
      <c r="AI6157" s="80"/>
    </row>
    <row r="6158" spans="5:35" x14ac:dyDescent="0.25">
      <c r="E6158" s="16"/>
      <c r="F6158" s="16"/>
      <c r="H6158" s="16"/>
      <c r="AG6158" s="80"/>
      <c r="AH6158" s="80"/>
      <c r="AI6158" s="80"/>
    </row>
    <row r="6159" spans="5:35" x14ac:dyDescent="0.25">
      <c r="E6159" s="16"/>
      <c r="F6159" s="16"/>
      <c r="H6159" s="16"/>
      <c r="AG6159" s="80"/>
      <c r="AH6159" s="80"/>
      <c r="AI6159" s="80"/>
    </row>
    <row r="6160" spans="5:35" x14ac:dyDescent="0.25">
      <c r="E6160" s="16"/>
      <c r="F6160" s="16"/>
      <c r="H6160" s="16"/>
      <c r="AG6160" s="80"/>
      <c r="AH6160" s="80"/>
      <c r="AI6160" s="80"/>
    </row>
    <row r="6161" spans="5:35" x14ac:dyDescent="0.25">
      <c r="E6161" s="16"/>
      <c r="F6161" s="16"/>
      <c r="H6161" s="16"/>
      <c r="AG6161" s="80"/>
      <c r="AH6161" s="80"/>
      <c r="AI6161" s="80"/>
    </row>
    <row r="6162" spans="5:35" x14ac:dyDescent="0.25">
      <c r="E6162" s="16"/>
      <c r="F6162" s="16"/>
      <c r="H6162" s="16"/>
      <c r="AG6162" s="80"/>
      <c r="AH6162" s="80"/>
      <c r="AI6162" s="80"/>
    </row>
    <row r="6163" spans="5:35" x14ac:dyDescent="0.25">
      <c r="E6163" s="16"/>
      <c r="F6163" s="16"/>
      <c r="H6163" s="16"/>
      <c r="AG6163" s="80"/>
      <c r="AH6163" s="80"/>
      <c r="AI6163" s="80"/>
    </row>
    <row r="6164" spans="5:35" x14ac:dyDescent="0.25">
      <c r="E6164" s="16"/>
      <c r="F6164" s="16"/>
      <c r="H6164" s="16"/>
      <c r="AG6164" s="80"/>
      <c r="AH6164" s="80"/>
      <c r="AI6164" s="80"/>
    </row>
    <row r="6165" spans="5:35" x14ac:dyDescent="0.25">
      <c r="E6165" s="16"/>
      <c r="F6165" s="16"/>
      <c r="H6165" s="16"/>
      <c r="AG6165" s="80"/>
      <c r="AH6165" s="80"/>
      <c r="AI6165" s="80"/>
    </row>
    <row r="6166" spans="5:35" x14ac:dyDescent="0.25">
      <c r="E6166" s="16"/>
      <c r="F6166" s="16"/>
      <c r="H6166" s="16"/>
      <c r="AG6166" s="80"/>
      <c r="AH6166" s="80"/>
      <c r="AI6166" s="80"/>
    </row>
    <row r="6167" spans="5:35" x14ac:dyDescent="0.25">
      <c r="E6167" s="16"/>
      <c r="F6167" s="16"/>
      <c r="H6167" s="16"/>
      <c r="AG6167" s="80"/>
      <c r="AH6167" s="80"/>
      <c r="AI6167" s="80"/>
    </row>
    <row r="6168" spans="5:35" x14ac:dyDescent="0.25">
      <c r="E6168" s="16"/>
      <c r="F6168" s="16"/>
      <c r="H6168" s="16"/>
      <c r="AG6168" s="80"/>
      <c r="AH6168" s="80"/>
      <c r="AI6168" s="80"/>
    </row>
    <row r="6169" spans="5:35" x14ac:dyDescent="0.25">
      <c r="E6169" s="16"/>
      <c r="F6169" s="16"/>
      <c r="H6169" s="16"/>
      <c r="AG6169" s="80"/>
      <c r="AH6169" s="80"/>
      <c r="AI6169" s="80"/>
    </row>
    <row r="6170" spans="5:35" x14ac:dyDescent="0.25">
      <c r="E6170" s="16"/>
      <c r="F6170" s="16"/>
      <c r="H6170" s="16"/>
      <c r="AG6170" s="80"/>
      <c r="AH6170" s="80"/>
      <c r="AI6170" s="80"/>
    </row>
    <row r="6171" spans="5:35" x14ac:dyDescent="0.25">
      <c r="E6171" s="16"/>
      <c r="F6171" s="16"/>
      <c r="H6171" s="16"/>
      <c r="AG6171" s="80"/>
      <c r="AH6171" s="80"/>
      <c r="AI6171" s="80"/>
    </row>
    <row r="6172" spans="5:35" x14ac:dyDescent="0.25">
      <c r="E6172" s="16"/>
      <c r="F6172" s="16"/>
      <c r="H6172" s="16"/>
      <c r="AG6172" s="80"/>
      <c r="AH6172" s="80"/>
      <c r="AI6172" s="80"/>
    </row>
    <row r="6173" spans="5:35" x14ac:dyDescent="0.25">
      <c r="E6173" s="16"/>
      <c r="F6173" s="16"/>
      <c r="H6173" s="16"/>
      <c r="AG6173" s="80"/>
      <c r="AH6173" s="80"/>
      <c r="AI6173" s="80"/>
    </row>
    <row r="6174" spans="5:35" x14ac:dyDescent="0.25">
      <c r="E6174" s="16"/>
      <c r="F6174" s="16"/>
      <c r="H6174" s="16"/>
      <c r="AG6174" s="80"/>
      <c r="AH6174" s="80"/>
      <c r="AI6174" s="80"/>
    </row>
    <row r="6175" spans="5:35" x14ac:dyDescent="0.25">
      <c r="E6175" s="16"/>
      <c r="F6175" s="16"/>
      <c r="H6175" s="16"/>
      <c r="AG6175" s="80"/>
      <c r="AH6175" s="80"/>
      <c r="AI6175" s="80"/>
    </row>
    <row r="6176" spans="5:35" x14ac:dyDescent="0.25">
      <c r="E6176" s="16"/>
      <c r="F6176" s="16"/>
      <c r="H6176" s="16"/>
      <c r="AG6176" s="80"/>
      <c r="AH6176" s="80"/>
      <c r="AI6176" s="80"/>
    </row>
    <row r="6177" spans="5:35" x14ac:dyDescent="0.25">
      <c r="E6177" s="16"/>
      <c r="F6177" s="16"/>
      <c r="H6177" s="16"/>
      <c r="AG6177" s="80"/>
      <c r="AH6177" s="80"/>
      <c r="AI6177" s="80"/>
    </row>
    <row r="6178" spans="5:35" x14ac:dyDescent="0.25">
      <c r="E6178" s="16"/>
      <c r="F6178" s="16"/>
      <c r="H6178" s="16"/>
      <c r="AG6178" s="80"/>
      <c r="AH6178" s="80"/>
      <c r="AI6178" s="80"/>
    </row>
    <row r="6179" spans="5:35" x14ac:dyDescent="0.25">
      <c r="E6179" s="16"/>
      <c r="F6179" s="16"/>
      <c r="H6179" s="16"/>
      <c r="AG6179" s="80"/>
      <c r="AH6179" s="80"/>
      <c r="AI6179" s="80"/>
    </row>
    <row r="6180" spans="5:35" x14ac:dyDescent="0.25">
      <c r="E6180" s="16"/>
      <c r="F6180" s="16"/>
      <c r="H6180" s="16"/>
      <c r="AG6180" s="80"/>
      <c r="AH6180" s="80"/>
      <c r="AI6180" s="80"/>
    </row>
    <row r="6181" spans="5:35" x14ac:dyDescent="0.25">
      <c r="E6181" s="16"/>
      <c r="F6181" s="16"/>
      <c r="H6181" s="16"/>
      <c r="AG6181" s="80"/>
      <c r="AH6181" s="80"/>
      <c r="AI6181" s="80"/>
    </row>
    <row r="6182" spans="5:35" x14ac:dyDescent="0.25">
      <c r="E6182" s="16"/>
      <c r="F6182" s="16"/>
      <c r="H6182" s="16"/>
      <c r="AG6182" s="80"/>
      <c r="AH6182" s="80"/>
      <c r="AI6182" s="80"/>
    </row>
    <row r="6183" spans="5:35" x14ac:dyDescent="0.25">
      <c r="E6183" s="16"/>
      <c r="F6183" s="16"/>
      <c r="H6183" s="16"/>
      <c r="AG6183" s="80"/>
      <c r="AH6183" s="80"/>
      <c r="AI6183" s="80"/>
    </row>
    <row r="6184" spans="5:35" x14ac:dyDescent="0.25">
      <c r="E6184" s="16"/>
      <c r="F6184" s="16"/>
      <c r="H6184" s="16"/>
      <c r="AG6184" s="80"/>
      <c r="AH6184" s="80"/>
      <c r="AI6184" s="80"/>
    </row>
    <row r="6185" spans="5:35" x14ac:dyDescent="0.25">
      <c r="E6185" s="16"/>
      <c r="F6185" s="16"/>
      <c r="H6185" s="16"/>
      <c r="AG6185" s="80"/>
      <c r="AH6185" s="80"/>
      <c r="AI6185" s="80"/>
    </row>
    <row r="6186" spans="5:35" x14ac:dyDescent="0.25">
      <c r="E6186" s="16"/>
      <c r="F6186" s="16"/>
      <c r="H6186" s="16"/>
      <c r="AG6186" s="80"/>
      <c r="AH6186" s="80"/>
      <c r="AI6186" s="80"/>
    </row>
    <row r="6187" spans="5:35" x14ac:dyDescent="0.25">
      <c r="E6187" s="16"/>
      <c r="F6187" s="16"/>
      <c r="H6187" s="16"/>
      <c r="AG6187" s="80"/>
      <c r="AH6187" s="80"/>
      <c r="AI6187" s="80"/>
    </row>
    <row r="6188" spans="5:35" x14ac:dyDescent="0.25">
      <c r="E6188" s="16"/>
      <c r="F6188" s="16"/>
      <c r="H6188" s="16"/>
      <c r="AG6188" s="80"/>
      <c r="AH6188" s="80"/>
      <c r="AI6188" s="80"/>
    </row>
    <row r="6189" spans="5:35" x14ac:dyDescent="0.25">
      <c r="E6189" s="16"/>
      <c r="F6189" s="16"/>
      <c r="H6189" s="16"/>
      <c r="AG6189" s="80"/>
      <c r="AH6189" s="80"/>
      <c r="AI6189" s="80"/>
    </row>
    <row r="6190" spans="5:35" x14ac:dyDescent="0.25">
      <c r="E6190" s="16"/>
      <c r="F6190" s="16"/>
      <c r="H6190" s="16"/>
      <c r="AG6190" s="80"/>
      <c r="AH6190" s="80"/>
      <c r="AI6190" s="80"/>
    </row>
    <row r="6191" spans="5:35" x14ac:dyDescent="0.25">
      <c r="E6191" s="16"/>
      <c r="F6191" s="16"/>
      <c r="H6191" s="16"/>
      <c r="AG6191" s="80"/>
      <c r="AH6191" s="80"/>
      <c r="AI6191" s="80"/>
    </row>
    <row r="6192" spans="5:35" x14ac:dyDescent="0.25">
      <c r="E6192" s="16"/>
      <c r="F6192" s="16"/>
      <c r="H6192" s="16"/>
      <c r="AG6192" s="80"/>
      <c r="AH6192" s="80"/>
      <c r="AI6192" s="80"/>
    </row>
    <row r="6193" spans="5:35" x14ac:dyDescent="0.25">
      <c r="E6193" s="16"/>
      <c r="F6193" s="16"/>
      <c r="H6193" s="16"/>
      <c r="AG6193" s="80"/>
      <c r="AH6193" s="80"/>
      <c r="AI6193" s="80"/>
    </row>
    <row r="6194" spans="5:35" x14ac:dyDescent="0.25">
      <c r="E6194" s="16"/>
      <c r="F6194" s="16"/>
      <c r="H6194" s="16"/>
      <c r="AG6194" s="80"/>
      <c r="AH6194" s="80"/>
      <c r="AI6194" s="80"/>
    </row>
    <row r="6195" spans="5:35" x14ac:dyDescent="0.25">
      <c r="E6195" s="16"/>
      <c r="F6195" s="16"/>
      <c r="H6195" s="16"/>
      <c r="AG6195" s="80"/>
      <c r="AH6195" s="80"/>
      <c r="AI6195" s="80"/>
    </row>
    <row r="6196" spans="5:35" x14ac:dyDescent="0.25">
      <c r="E6196" s="16"/>
      <c r="F6196" s="16"/>
      <c r="H6196" s="16"/>
      <c r="AG6196" s="80"/>
      <c r="AH6196" s="80"/>
      <c r="AI6196" s="80"/>
    </row>
    <row r="6197" spans="5:35" x14ac:dyDescent="0.25">
      <c r="E6197" s="16"/>
      <c r="F6197" s="16"/>
      <c r="H6197" s="16"/>
      <c r="AG6197" s="80"/>
      <c r="AH6197" s="80"/>
      <c r="AI6197" s="80"/>
    </row>
    <row r="6198" spans="5:35" x14ac:dyDescent="0.25">
      <c r="E6198" s="16"/>
      <c r="F6198" s="16"/>
      <c r="H6198" s="16"/>
      <c r="AG6198" s="80"/>
      <c r="AH6198" s="80"/>
      <c r="AI6198" s="80"/>
    </row>
    <row r="6199" spans="5:35" x14ac:dyDescent="0.25">
      <c r="E6199" s="16"/>
      <c r="F6199" s="16"/>
      <c r="H6199" s="16"/>
      <c r="AG6199" s="80"/>
      <c r="AH6199" s="80"/>
      <c r="AI6199" s="80"/>
    </row>
    <row r="6200" spans="5:35" x14ac:dyDescent="0.25">
      <c r="E6200" s="16"/>
      <c r="F6200" s="16"/>
      <c r="H6200" s="16"/>
      <c r="AG6200" s="80"/>
      <c r="AH6200" s="80"/>
      <c r="AI6200" s="80"/>
    </row>
    <row r="6201" spans="5:35" x14ac:dyDescent="0.25">
      <c r="E6201" s="16"/>
      <c r="F6201" s="16"/>
      <c r="H6201" s="16"/>
      <c r="AG6201" s="80"/>
      <c r="AH6201" s="80"/>
      <c r="AI6201" s="80"/>
    </row>
    <row r="6202" spans="5:35" x14ac:dyDescent="0.25">
      <c r="E6202" s="16"/>
      <c r="F6202" s="16"/>
      <c r="H6202" s="16"/>
      <c r="AG6202" s="80"/>
      <c r="AH6202" s="80"/>
      <c r="AI6202" s="80"/>
    </row>
    <row r="6203" spans="5:35" x14ac:dyDescent="0.25">
      <c r="E6203" s="16"/>
      <c r="F6203" s="16"/>
      <c r="H6203" s="16"/>
      <c r="AG6203" s="80"/>
      <c r="AH6203" s="80"/>
      <c r="AI6203" s="80"/>
    </row>
    <row r="6204" spans="5:35" x14ac:dyDescent="0.25">
      <c r="E6204" s="16"/>
      <c r="F6204" s="16"/>
      <c r="H6204" s="16"/>
      <c r="AG6204" s="80"/>
      <c r="AH6204" s="80"/>
      <c r="AI6204" s="80"/>
    </row>
    <row r="6205" spans="5:35" x14ac:dyDescent="0.25">
      <c r="E6205" s="16"/>
      <c r="F6205" s="16"/>
      <c r="H6205" s="16"/>
      <c r="AG6205" s="80"/>
      <c r="AH6205" s="80"/>
      <c r="AI6205" s="80"/>
    </row>
    <row r="6206" spans="5:35" x14ac:dyDescent="0.25">
      <c r="E6206" s="16"/>
      <c r="F6206" s="16"/>
      <c r="H6206" s="16"/>
      <c r="AG6206" s="80"/>
      <c r="AH6206" s="80"/>
      <c r="AI6206" s="80"/>
    </row>
    <row r="6207" spans="5:35" x14ac:dyDescent="0.25">
      <c r="E6207" s="16"/>
      <c r="F6207" s="16"/>
      <c r="H6207" s="16"/>
      <c r="AG6207" s="80"/>
      <c r="AH6207" s="80"/>
      <c r="AI6207" s="80"/>
    </row>
    <row r="6208" spans="5:35" x14ac:dyDescent="0.25">
      <c r="E6208" s="16"/>
      <c r="F6208" s="16"/>
      <c r="H6208" s="16"/>
      <c r="AG6208" s="80"/>
      <c r="AH6208" s="80"/>
      <c r="AI6208" s="80"/>
    </row>
    <row r="6209" spans="5:35" x14ac:dyDescent="0.25">
      <c r="E6209" s="16"/>
      <c r="F6209" s="16"/>
      <c r="H6209" s="16"/>
      <c r="AG6209" s="80"/>
      <c r="AH6209" s="80"/>
      <c r="AI6209" s="80"/>
    </row>
    <row r="6210" spans="5:35" x14ac:dyDescent="0.25">
      <c r="E6210" s="16"/>
      <c r="F6210" s="16"/>
      <c r="H6210" s="16"/>
      <c r="AG6210" s="80"/>
      <c r="AH6210" s="80"/>
      <c r="AI6210" s="80"/>
    </row>
    <row r="6211" spans="5:35" x14ac:dyDescent="0.25">
      <c r="E6211" s="16"/>
      <c r="F6211" s="16"/>
      <c r="H6211" s="16"/>
      <c r="AG6211" s="80"/>
      <c r="AH6211" s="80"/>
      <c r="AI6211" s="80"/>
    </row>
    <row r="6212" spans="5:35" x14ac:dyDescent="0.25">
      <c r="E6212" s="16"/>
      <c r="F6212" s="16"/>
      <c r="H6212" s="16"/>
      <c r="AG6212" s="80"/>
      <c r="AH6212" s="80"/>
      <c r="AI6212" s="80"/>
    </row>
    <row r="6213" spans="5:35" x14ac:dyDescent="0.25">
      <c r="E6213" s="16"/>
      <c r="F6213" s="16"/>
      <c r="H6213" s="16"/>
      <c r="AG6213" s="80"/>
      <c r="AH6213" s="80"/>
      <c r="AI6213" s="80"/>
    </row>
    <row r="6214" spans="5:35" x14ac:dyDescent="0.25">
      <c r="E6214" s="16"/>
      <c r="F6214" s="16"/>
      <c r="H6214" s="16"/>
      <c r="AG6214" s="80"/>
      <c r="AH6214" s="80"/>
      <c r="AI6214" s="80"/>
    </row>
    <row r="6215" spans="5:35" x14ac:dyDescent="0.25">
      <c r="E6215" s="16"/>
      <c r="F6215" s="16"/>
      <c r="H6215" s="16"/>
      <c r="AG6215" s="80"/>
      <c r="AH6215" s="80"/>
      <c r="AI6215" s="80"/>
    </row>
    <row r="6216" spans="5:35" x14ac:dyDescent="0.25">
      <c r="E6216" s="16"/>
      <c r="F6216" s="16"/>
      <c r="H6216" s="16"/>
      <c r="AG6216" s="80"/>
      <c r="AH6216" s="80"/>
      <c r="AI6216" s="80"/>
    </row>
    <row r="6217" spans="5:35" x14ac:dyDescent="0.25">
      <c r="E6217" s="16"/>
      <c r="F6217" s="16"/>
      <c r="H6217" s="16"/>
      <c r="AG6217" s="80"/>
      <c r="AH6217" s="80"/>
      <c r="AI6217" s="80"/>
    </row>
    <row r="6218" spans="5:35" x14ac:dyDescent="0.25">
      <c r="E6218" s="16"/>
      <c r="F6218" s="16"/>
      <c r="H6218" s="16"/>
      <c r="AG6218" s="80"/>
      <c r="AH6218" s="80"/>
      <c r="AI6218" s="80"/>
    </row>
    <row r="6219" spans="5:35" x14ac:dyDescent="0.25">
      <c r="E6219" s="16"/>
      <c r="F6219" s="16"/>
      <c r="H6219" s="16"/>
      <c r="AG6219" s="80"/>
      <c r="AH6219" s="80"/>
      <c r="AI6219" s="80"/>
    </row>
    <row r="6220" spans="5:35" x14ac:dyDescent="0.25">
      <c r="E6220" s="16"/>
      <c r="F6220" s="16"/>
      <c r="H6220" s="16"/>
      <c r="AG6220" s="80"/>
      <c r="AH6220" s="80"/>
      <c r="AI6220" s="80"/>
    </row>
    <row r="6221" spans="5:35" x14ac:dyDescent="0.25">
      <c r="E6221" s="16"/>
      <c r="F6221" s="16"/>
      <c r="H6221" s="16"/>
      <c r="AG6221" s="80"/>
      <c r="AH6221" s="80"/>
      <c r="AI6221" s="80"/>
    </row>
    <row r="6222" spans="5:35" x14ac:dyDescent="0.25">
      <c r="E6222" s="16"/>
      <c r="F6222" s="16"/>
      <c r="H6222" s="16"/>
      <c r="AG6222" s="80"/>
      <c r="AH6222" s="80"/>
      <c r="AI6222" s="80"/>
    </row>
    <row r="6223" spans="5:35" x14ac:dyDescent="0.25">
      <c r="E6223" s="16"/>
      <c r="F6223" s="16"/>
      <c r="H6223" s="16"/>
      <c r="AG6223" s="80"/>
      <c r="AH6223" s="80"/>
      <c r="AI6223" s="80"/>
    </row>
    <row r="6224" spans="5:35" x14ac:dyDescent="0.25">
      <c r="E6224" s="16"/>
      <c r="F6224" s="16"/>
      <c r="H6224" s="16"/>
      <c r="AG6224" s="80"/>
      <c r="AH6224" s="80"/>
      <c r="AI6224" s="80"/>
    </row>
    <row r="6225" spans="5:35" x14ac:dyDescent="0.25">
      <c r="E6225" s="16"/>
      <c r="F6225" s="16"/>
      <c r="H6225" s="16"/>
      <c r="AG6225" s="80"/>
      <c r="AH6225" s="80"/>
      <c r="AI6225" s="80"/>
    </row>
    <row r="6226" spans="5:35" x14ac:dyDescent="0.25">
      <c r="E6226" s="16"/>
      <c r="F6226" s="16"/>
      <c r="H6226" s="16"/>
      <c r="AG6226" s="80"/>
      <c r="AH6226" s="80"/>
      <c r="AI6226" s="80"/>
    </row>
    <row r="6227" spans="5:35" x14ac:dyDescent="0.25">
      <c r="E6227" s="16"/>
      <c r="F6227" s="16"/>
      <c r="H6227" s="16"/>
      <c r="AG6227" s="80"/>
      <c r="AH6227" s="80"/>
      <c r="AI6227" s="80"/>
    </row>
    <row r="6228" spans="5:35" x14ac:dyDescent="0.25">
      <c r="E6228" s="16"/>
      <c r="F6228" s="16"/>
      <c r="H6228" s="16"/>
      <c r="AG6228" s="80"/>
      <c r="AH6228" s="80"/>
      <c r="AI6228" s="80"/>
    </row>
    <row r="6229" spans="5:35" x14ac:dyDescent="0.25">
      <c r="E6229" s="16"/>
      <c r="F6229" s="16"/>
      <c r="H6229" s="16"/>
      <c r="AG6229" s="80"/>
      <c r="AH6229" s="80"/>
      <c r="AI6229" s="80"/>
    </row>
    <row r="6230" spans="5:35" x14ac:dyDescent="0.25">
      <c r="E6230" s="16"/>
      <c r="F6230" s="16"/>
      <c r="H6230" s="16"/>
      <c r="AG6230" s="80"/>
      <c r="AH6230" s="80"/>
      <c r="AI6230" s="80"/>
    </row>
    <row r="6231" spans="5:35" x14ac:dyDescent="0.25">
      <c r="E6231" s="16"/>
      <c r="F6231" s="16"/>
      <c r="H6231" s="16"/>
      <c r="AG6231" s="80"/>
      <c r="AH6231" s="80"/>
      <c r="AI6231" s="80"/>
    </row>
    <row r="6232" spans="5:35" x14ac:dyDescent="0.25">
      <c r="E6232" s="16"/>
      <c r="F6232" s="16"/>
      <c r="H6232" s="16"/>
      <c r="AG6232" s="80"/>
      <c r="AH6232" s="80"/>
      <c r="AI6232" s="80"/>
    </row>
    <row r="6233" spans="5:35" x14ac:dyDescent="0.25">
      <c r="E6233" s="16"/>
      <c r="F6233" s="16"/>
      <c r="H6233" s="16"/>
      <c r="AG6233" s="80"/>
      <c r="AH6233" s="80"/>
      <c r="AI6233" s="80"/>
    </row>
    <row r="6234" spans="5:35" x14ac:dyDescent="0.25">
      <c r="E6234" s="16"/>
      <c r="F6234" s="16"/>
      <c r="H6234" s="16"/>
      <c r="AG6234" s="80"/>
      <c r="AH6234" s="80"/>
      <c r="AI6234" s="80"/>
    </row>
    <row r="6235" spans="5:35" x14ac:dyDescent="0.25">
      <c r="E6235" s="16"/>
      <c r="F6235" s="16"/>
      <c r="H6235" s="16"/>
      <c r="AG6235" s="80"/>
      <c r="AH6235" s="80"/>
      <c r="AI6235" s="80"/>
    </row>
    <row r="6236" spans="5:35" x14ac:dyDescent="0.25">
      <c r="E6236" s="16"/>
      <c r="F6236" s="16"/>
      <c r="H6236" s="16"/>
      <c r="AG6236" s="80"/>
      <c r="AH6236" s="80"/>
      <c r="AI6236" s="80"/>
    </row>
    <row r="6237" spans="5:35" x14ac:dyDescent="0.25">
      <c r="E6237" s="16"/>
      <c r="F6237" s="16"/>
      <c r="H6237" s="16"/>
      <c r="AG6237" s="80"/>
      <c r="AH6237" s="80"/>
      <c r="AI6237" s="80"/>
    </row>
    <row r="6238" spans="5:35" x14ac:dyDescent="0.25">
      <c r="E6238" s="16"/>
      <c r="F6238" s="16"/>
      <c r="H6238" s="16"/>
      <c r="AG6238" s="80"/>
      <c r="AH6238" s="80"/>
      <c r="AI6238" s="80"/>
    </row>
    <row r="6239" spans="5:35" x14ac:dyDescent="0.25">
      <c r="E6239" s="16"/>
      <c r="F6239" s="16"/>
      <c r="H6239" s="16"/>
      <c r="AG6239" s="80"/>
      <c r="AH6239" s="80"/>
      <c r="AI6239" s="80"/>
    </row>
    <row r="6240" spans="5:35" x14ac:dyDescent="0.25">
      <c r="E6240" s="16"/>
      <c r="F6240" s="16"/>
      <c r="H6240" s="16"/>
      <c r="AG6240" s="80"/>
      <c r="AH6240" s="80"/>
      <c r="AI6240" s="80"/>
    </row>
    <row r="6241" spans="5:35" x14ac:dyDescent="0.25">
      <c r="E6241" s="16"/>
      <c r="F6241" s="16"/>
      <c r="H6241" s="16"/>
      <c r="AG6241" s="80"/>
      <c r="AH6241" s="80"/>
      <c r="AI6241" s="80"/>
    </row>
    <row r="6242" spans="5:35" x14ac:dyDescent="0.25">
      <c r="E6242" s="16"/>
      <c r="F6242" s="16"/>
      <c r="H6242" s="16"/>
      <c r="AG6242" s="80"/>
      <c r="AH6242" s="80"/>
      <c r="AI6242" s="80"/>
    </row>
    <row r="6243" spans="5:35" x14ac:dyDescent="0.25">
      <c r="E6243" s="16"/>
      <c r="F6243" s="16"/>
      <c r="H6243" s="16"/>
      <c r="AG6243" s="80"/>
      <c r="AH6243" s="80"/>
      <c r="AI6243" s="80"/>
    </row>
    <row r="6244" spans="5:35" x14ac:dyDescent="0.25">
      <c r="E6244" s="16"/>
      <c r="F6244" s="16"/>
      <c r="H6244" s="16"/>
      <c r="AG6244" s="80"/>
      <c r="AH6244" s="80"/>
      <c r="AI6244" s="80"/>
    </row>
    <row r="6245" spans="5:35" x14ac:dyDescent="0.25">
      <c r="E6245" s="16"/>
      <c r="F6245" s="16"/>
      <c r="H6245" s="16"/>
      <c r="AG6245" s="80"/>
      <c r="AH6245" s="80"/>
      <c r="AI6245" s="80"/>
    </row>
    <row r="6246" spans="5:35" x14ac:dyDescent="0.25">
      <c r="E6246" s="16"/>
      <c r="F6246" s="16"/>
      <c r="H6246" s="16"/>
      <c r="AG6246" s="80"/>
      <c r="AH6246" s="80"/>
      <c r="AI6246" s="80"/>
    </row>
    <row r="6247" spans="5:35" x14ac:dyDescent="0.25">
      <c r="E6247" s="16"/>
      <c r="F6247" s="16"/>
      <c r="H6247" s="16"/>
      <c r="AG6247" s="80"/>
      <c r="AH6247" s="80"/>
      <c r="AI6247" s="80"/>
    </row>
    <row r="6248" spans="5:35" x14ac:dyDescent="0.25">
      <c r="E6248" s="16"/>
      <c r="F6248" s="16"/>
      <c r="H6248" s="16"/>
      <c r="AG6248" s="80"/>
      <c r="AH6248" s="80"/>
      <c r="AI6248" s="80"/>
    </row>
    <row r="6249" spans="5:35" x14ac:dyDescent="0.25">
      <c r="E6249" s="16"/>
      <c r="F6249" s="16"/>
      <c r="H6249" s="16"/>
      <c r="AG6249" s="80"/>
      <c r="AH6249" s="80"/>
      <c r="AI6249" s="80"/>
    </row>
    <row r="6250" spans="5:35" x14ac:dyDescent="0.25">
      <c r="E6250" s="16"/>
      <c r="F6250" s="16"/>
      <c r="H6250" s="16"/>
      <c r="AG6250" s="80"/>
      <c r="AH6250" s="80"/>
      <c r="AI6250" s="80"/>
    </row>
    <row r="6251" spans="5:35" x14ac:dyDescent="0.25">
      <c r="E6251" s="16"/>
      <c r="F6251" s="16"/>
      <c r="H6251" s="16"/>
      <c r="AG6251" s="80"/>
      <c r="AH6251" s="80"/>
      <c r="AI6251" s="80"/>
    </row>
    <row r="6252" spans="5:35" x14ac:dyDescent="0.25">
      <c r="E6252" s="16"/>
      <c r="F6252" s="16"/>
      <c r="H6252" s="16"/>
      <c r="AG6252" s="80"/>
      <c r="AH6252" s="80"/>
      <c r="AI6252" s="80"/>
    </row>
    <row r="6253" spans="5:35" x14ac:dyDescent="0.25">
      <c r="E6253" s="16"/>
      <c r="F6253" s="16"/>
      <c r="H6253" s="16"/>
      <c r="AG6253" s="80"/>
      <c r="AH6253" s="80"/>
      <c r="AI6253" s="80"/>
    </row>
    <row r="6254" spans="5:35" x14ac:dyDescent="0.25">
      <c r="E6254" s="16"/>
      <c r="F6254" s="16"/>
      <c r="H6254" s="16"/>
      <c r="AG6254" s="80"/>
      <c r="AH6254" s="80"/>
      <c r="AI6254" s="80"/>
    </row>
    <row r="6255" spans="5:35" x14ac:dyDescent="0.25">
      <c r="E6255" s="16"/>
      <c r="F6255" s="16"/>
      <c r="H6255" s="16"/>
      <c r="AG6255" s="80"/>
      <c r="AH6255" s="80"/>
      <c r="AI6255" s="80"/>
    </row>
    <row r="6256" spans="5:35" x14ac:dyDescent="0.25">
      <c r="E6256" s="16"/>
      <c r="F6256" s="16"/>
      <c r="H6256" s="16"/>
      <c r="AG6256" s="80"/>
      <c r="AH6256" s="80"/>
      <c r="AI6256" s="80"/>
    </row>
    <row r="6257" spans="5:35" x14ac:dyDescent="0.25">
      <c r="E6257" s="16"/>
      <c r="F6257" s="16"/>
      <c r="H6257" s="16"/>
      <c r="AG6257" s="80"/>
      <c r="AH6257" s="80"/>
      <c r="AI6257" s="80"/>
    </row>
    <row r="6258" spans="5:35" x14ac:dyDescent="0.25">
      <c r="E6258" s="16"/>
      <c r="F6258" s="16"/>
      <c r="H6258" s="16"/>
      <c r="AG6258" s="80"/>
      <c r="AH6258" s="80"/>
      <c r="AI6258" s="80"/>
    </row>
    <row r="6259" spans="5:35" x14ac:dyDescent="0.25">
      <c r="E6259" s="16"/>
      <c r="F6259" s="16"/>
      <c r="H6259" s="16"/>
      <c r="AG6259" s="80"/>
      <c r="AH6259" s="80"/>
      <c r="AI6259" s="80"/>
    </row>
    <row r="6260" spans="5:35" x14ac:dyDescent="0.25">
      <c r="E6260" s="16"/>
      <c r="F6260" s="16"/>
      <c r="H6260" s="16"/>
      <c r="AG6260" s="80"/>
      <c r="AH6260" s="80"/>
      <c r="AI6260" s="80"/>
    </row>
    <row r="6261" spans="5:35" x14ac:dyDescent="0.25">
      <c r="E6261" s="16"/>
      <c r="F6261" s="16"/>
      <c r="H6261" s="16"/>
      <c r="AG6261" s="80"/>
      <c r="AH6261" s="80"/>
      <c r="AI6261" s="80"/>
    </row>
    <row r="6262" spans="5:35" x14ac:dyDescent="0.25">
      <c r="E6262" s="16"/>
      <c r="F6262" s="16"/>
      <c r="H6262" s="16"/>
      <c r="AG6262" s="80"/>
      <c r="AH6262" s="80"/>
      <c r="AI6262" s="80"/>
    </row>
    <row r="6263" spans="5:35" x14ac:dyDescent="0.25">
      <c r="E6263" s="16"/>
      <c r="F6263" s="16"/>
      <c r="H6263" s="16"/>
      <c r="AG6263" s="80"/>
      <c r="AH6263" s="80"/>
      <c r="AI6263" s="80"/>
    </row>
    <row r="6264" spans="5:35" x14ac:dyDescent="0.25">
      <c r="E6264" s="16"/>
      <c r="F6264" s="16"/>
      <c r="H6264" s="16"/>
      <c r="AG6264" s="80"/>
      <c r="AH6264" s="80"/>
      <c r="AI6264" s="80"/>
    </row>
    <row r="6265" spans="5:35" x14ac:dyDescent="0.25">
      <c r="E6265" s="16"/>
      <c r="F6265" s="16"/>
      <c r="H6265" s="16"/>
      <c r="AG6265" s="80"/>
      <c r="AH6265" s="80"/>
      <c r="AI6265" s="80"/>
    </row>
    <row r="6266" spans="5:35" x14ac:dyDescent="0.25">
      <c r="E6266" s="16"/>
      <c r="F6266" s="16"/>
      <c r="H6266" s="16"/>
      <c r="AG6266" s="80"/>
      <c r="AH6266" s="80"/>
      <c r="AI6266" s="80"/>
    </row>
    <row r="6267" spans="5:35" x14ac:dyDescent="0.25">
      <c r="E6267" s="16"/>
      <c r="F6267" s="16"/>
      <c r="H6267" s="16"/>
      <c r="AG6267" s="80"/>
      <c r="AH6267" s="80"/>
      <c r="AI6267" s="80"/>
    </row>
    <row r="6268" spans="5:35" x14ac:dyDescent="0.25">
      <c r="E6268" s="16"/>
      <c r="F6268" s="16"/>
      <c r="H6268" s="16"/>
      <c r="AG6268" s="80"/>
      <c r="AH6268" s="80"/>
      <c r="AI6268" s="80"/>
    </row>
    <row r="6269" spans="5:35" x14ac:dyDescent="0.25">
      <c r="E6269" s="16"/>
      <c r="F6269" s="16"/>
      <c r="H6269" s="16"/>
      <c r="AG6269" s="80"/>
      <c r="AH6269" s="80"/>
      <c r="AI6269" s="80"/>
    </row>
    <row r="6270" spans="5:35" x14ac:dyDescent="0.25">
      <c r="E6270" s="16"/>
      <c r="F6270" s="16"/>
      <c r="H6270" s="16"/>
      <c r="AG6270" s="80"/>
      <c r="AH6270" s="80"/>
      <c r="AI6270" s="80"/>
    </row>
    <row r="6271" spans="5:35" x14ac:dyDescent="0.25">
      <c r="E6271" s="16"/>
      <c r="F6271" s="16"/>
      <c r="H6271" s="16"/>
      <c r="AG6271" s="80"/>
      <c r="AH6271" s="80"/>
      <c r="AI6271" s="80"/>
    </row>
    <row r="6272" spans="5:35" x14ac:dyDescent="0.25">
      <c r="E6272" s="16"/>
      <c r="F6272" s="16"/>
      <c r="H6272" s="16"/>
      <c r="AG6272" s="80"/>
      <c r="AH6272" s="80"/>
      <c r="AI6272" s="80"/>
    </row>
    <row r="6273" spans="5:35" x14ac:dyDescent="0.25">
      <c r="E6273" s="16"/>
      <c r="F6273" s="16"/>
      <c r="H6273" s="16"/>
      <c r="AG6273" s="80"/>
      <c r="AH6273" s="80"/>
      <c r="AI6273" s="80"/>
    </row>
    <row r="6274" spans="5:35" x14ac:dyDescent="0.25">
      <c r="E6274" s="16"/>
      <c r="F6274" s="16"/>
      <c r="H6274" s="16"/>
      <c r="AG6274" s="80"/>
      <c r="AH6274" s="80"/>
      <c r="AI6274" s="80"/>
    </row>
    <row r="6275" spans="5:35" x14ac:dyDescent="0.25">
      <c r="E6275" s="16"/>
      <c r="F6275" s="16"/>
      <c r="H6275" s="16"/>
      <c r="AG6275" s="80"/>
      <c r="AH6275" s="80"/>
      <c r="AI6275" s="80"/>
    </row>
    <row r="6276" spans="5:35" x14ac:dyDescent="0.25">
      <c r="E6276" s="16"/>
      <c r="F6276" s="16"/>
      <c r="H6276" s="16"/>
      <c r="AG6276" s="80"/>
      <c r="AH6276" s="80"/>
      <c r="AI6276" s="80"/>
    </row>
    <row r="6277" spans="5:35" x14ac:dyDescent="0.25">
      <c r="E6277" s="16"/>
      <c r="F6277" s="16"/>
      <c r="H6277" s="16"/>
      <c r="AG6277" s="80"/>
      <c r="AH6277" s="80"/>
      <c r="AI6277" s="80"/>
    </row>
    <row r="6278" spans="5:35" x14ac:dyDescent="0.25">
      <c r="E6278" s="16"/>
      <c r="F6278" s="16"/>
      <c r="H6278" s="16"/>
      <c r="AG6278" s="80"/>
      <c r="AH6278" s="80"/>
      <c r="AI6278" s="80"/>
    </row>
    <row r="6279" spans="5:35" x14ac:dyDescent="0.25">
      <c r="E6279" s="16"/>
      <c r="F6279" s="16"/>
      <c r="H6279" s="16"/>
      <c r="AG6279" s="80"/>
      <c r="AH6279" s="80"/>
      <c r="AI6279" s="80"/>
    </row>
    <row r="6280" spans="5:35" x14ac:dyDescent="0.25">
      <c r="E6280" s="16"/>
      <c r="F6280" s="16"/>
      <c r="H6280" s="16"/>
      <c r="AG6280" s="80"/>
      <c r="AH6280" s="80"/>
      <c r="AI6280" s="80"/>
    </row>
    <row r="6281" spans="5:35" x14ac:dyDescent="0.25">
      <c r="E6281" s="16"/>
      <c r="F6281" s="16"/>
      <c r="H6281" s="16"/>
      <c r="AG6281" s="80"/>
      <c r="AH6281" s="80"/>
      <c r="AI6281" s="80"/>
    </row>
    <row r="6282" spans="5:35" x14ac:dyDescent="0.25">
      <c r="E6282" s="16"/>
      <c r="F6282" s="16"/>
      <c r="H6282" s="16"/>
      <c r="AG6282" s="80"/>
      <c r="AH6282" s="80"/>
      <c r="AI6282" s="80"/>
    </row>
    <row r="6283" spans="5:35" x14ac:dyDescent="0.25">
      <c r="E6283" s="16"/>
      <c r="F6283" s="16"/>
      <c r="H6283" s="16"/>
      <c r="AG6283" s="80"/>
      <c r="AH6283" s="80"/>
      <c r="AI6283" s="80"/>
    </row>
    <row r="6284" spans="5:35" x14ac:dyDescent="0.25">
      <c r="E6284" s="16"/>
      <c r="F6284" s="16"/>
      <c r="H6284" s="16"/>
      <c r="AG6284" s="80"/>
      <c r="AH6284" s="80"/>
      <c r="AI6284" s="80"/>
    </row>
    <row r="6285" spans="5:35" x14ac:dyDescent="0.25">
      <c r="E6285" s="16"/>
      <c r="F6285" s="16"/>
      <c r="H6285" s="16"/>
      <c r="AG6285" s="80"/>
      <c r="AH6285" s="80"/>
      <c r="AI6285" s="80"/>
    </row>
    <row r="6286" spans="5:35" x14ac:dyDescent="0.25">
      <c r="E6286" s="16"/>
      <c r="F6286" s="16"/>
      <c r="H6286" s="16"/>
      <c r="AG6286" s="80"/>
      <c r="AH6286" s="80"/>
      <c r="AI6286" s="80"/>
    </row>
    <row r="6287" spans="5:35" x14ac:dyDescent="0.25">
      <c r="E6287" s="16"/>
      <c r="F6287" s="16"/>
      <c r="H6287" s="16"/>
      <c r="AG6287" s="80"/>
      <c r="AH6287" s="80"/>
      <c r="AI6287" s="80"/>
    </row>
    <row r="6288" spans="5:35" x14ac:dyDescent="0.25">
      <c r="E6288" s="16"/>
      <c r="F6288" s="16"/>
      <c r="H6288" s="16"/>
      <c r="AG6288" s="80"/>
      <c r="AH6288" s="80"/>
      <c r="AI6288" s="80"/>
    </row>
    <row r="6289" spans="5:35" x14ac:dyDescent="0.25">
      <c r="E6289" s="16"/>
      <c r="F6289" s="16"/>
      <c r="H6289" s="16"/>
      <c r="AG6289" s="80"/>
      <c r="AH6289" s="80"/>
      <c r="AI6289" s="80"/>
    </row>
    <row r="6290" spans="5:35" x14ac:dyDescent="0.25">
      <c r="E6290" s="16"/>
      <c r="F6290" s="16"/>
      <c r="H6290" s="16"/>
      <c r="AG6290" s="80"/>
      <c r="AH6290" s="80"/>
      <c r="AI6290" s="80"/>
    </row>
    <row r="6291" spans="5:35" x14ac:dyDescent="0.25">
      <c r="E6291" s="16"/>
      <c r="F6291" s="16"/>
      <c r="H6291" s="16"/>
      <c r="AG6291" s="80"/>
      <c r="AH6291" s="80"/>
      <c r="AI6291" s="80"/>
    </row>
    <row r="6292" spans="5:35" x14ac:dyDescent="0.25">
      <c r="E6292" s="16"/>
      <c r="F6292" s="16"/>
      <c r="H6292" s="16"/>
      <c r="AG6292" s="80"/>
      <c r="AH6292" s="80"/>
      <c r="AI6292" s="80"/>
    </row>
    <row r="6293" spans="5:35" x14ac:dyDescent="0.25">
      <c r="E6293" s="16"/>
      <c r="F6293" s="16"/>
      <c r="H6293" s="16"/>
      <c r="AG6293" s="80"/>
      <c r="AH6293" s="80"/>
      <c r="AI6293" s="80"/>
    </row>
    <row r="6294" spans="5:35" x14ac:dyDescent="0.25">
      <c r="E6294" s="16"/>
      <c r="F6294" s="16"/>
      <c r="H6294" s="16"/>
      <c r="AG6294" s="80"/>
      <c r="AH6294" s="80"/>
      <c r="AI6294" s="80"/>
    </row>
    <row r="6295" spans="5:35" x14ac:dyDescent="0.25">
      <c r="E6295" s="16"/>
      <c r="F6295" s="16"/>
      <c r="H6295" s="16"/>
      <c r="AG6295" s="80"/>
      <c r="AH6295" s="80"/>
      <c r="AI6295" s="80"/>
    </row>
    <row r="6296" spans="5:35" x14ac:dyDescent="0.25">
      <c r="E6296" s="16"/>
      <c r="F6296" s="16"/>
      <c r="H6296" s="16"/>
      <c r="AG6296" s="80"/>
      <c r="AH6296" s="80"/>
      <c r="AI6296" s="80"/>
    </row>
    <row r="6297" spans="5:35" x14ac:dyDescent="0.25">
      <c r="E6297" s="16"/>
      <c r="F6297" s="16"/>
      <c r="H6297" s="16"/>
      <c r="AG6297" s="80"/>
      <c r="AH6297" s="80"/>
      <c r="AI6297" s="80"/>
    </row>
    <row r="6298" spans="5:35" x14ac:dyDescent="0.25">
      <c r="E6298" s="16"/>
      <c r="F6298" s="16"/>
      <c r="H6298" s="16"/>
      <c r="AG6298" s="80"/>
      <c r="AH6298" s="80"/>
      <c r="AI6298" s="80"/>
    </row>
    <row r="6299" spans="5:35" x14ac:dyDescent="0.25">
      <c r="E6299" s="16"/>
      <c r="F6299" s="16"/>
      <c r="H6299" s="16"/>
      <c r="AG6299" s="80"/>
      <c r="AH6299" s="80"/>
      <c r="AI6299" s="80"/>
    </row>
    <row r="6300" spans="5:35" x14ac:dyDescent="0.25">
      <c r="E6300" s="16"/>
      <c r="F6300" s="16"/>
      <c r="H6300" s="16"/>
      <c r="AG6300" s="80"/>
      <c r="AH6300" s="80"/>
      <c r="AI6300" s="80"/>
    </row>
    <row r="6301" spans="5:35" x14ac:dyDescent="0.25">
      <c r="E6301" s="16"/>
      <c r="F6301" s="16"/>
      <c r="H6301" s="16"/>
      <c r="AG6301" s="80"/>
      <c r="AH6301" s="80"/>
      <c r="AI6301" s="80"/>
    </row>
    <row r="6302" spans="5:35" x14ac:dyDescent="0.25">
      <c r="E6302" s="16"/>
      <c r="F6302" s="16"/>
      <c r="H6302" s="16"/>
      <c r="AG6302" s="80"/>
      <c r="AH6302" s="80"/>
      <c r="AI6302" s="80"/>
    </row>
    <row r="6303" spans="5:35" x14ac:dyDescent="0.25">
      <c r="E6303" s="16"/>
      <c r="F6303" s="16"/>
      <c r="H6303" s="16"/>
      <c r="AG6303" s="80"/>
      <c r="AH6303" s="80"/>
      <c r="AI6303" s="80"/>
    </row>
    <row r="6304" spans="5:35" x14ac:dyDescent="0.25">
      <c r="E6304" s="16"/>
      <c r="F6304" s="16"/>
      <c r="H6304" s="16"/>
      <c r="AG6304" s="80"/>
      <c r="AH6304" s="80"/>
      <c r="AI6304" s="80"/>
    </row>
    <row r="6305" spans="5:35" x14ac:dyDescent="0.25">
      <c r="E6305" s="16"/>
      <c r="F6305" s="16"/>
      <c r="H6305" s="16"/>
      <c r="AG6305" s="80"/>
      <c r="AH6305" s="80"/>
      <c r="AI6305" s="80"/>
    </row>
    <row r="6306" spans="5:35" x14ac:dyDescent="0.25">
      <c r="E6306" s="16"/>
      <c r="F6306" s="16"/>
      <c r="H6306" s="16"/>
      <c r="AG6306" s="80"/>
      <c r="AH6306" s="80"/>
      <c r="AI6306" s="80"/>
    </row>
    <row r="6307" spans="5:35" x14ac:dyDescent="0.25">
      <c r="E6307" s="16"/>
      <c r="F6307" s="16"/>
      <c r="H6307" s="16"/>
      <c r="AG6307" s="80"/>
      <c r="AH6307" s="80"/>
      <c r="AI6307" s="80"/>
    </row>
    <row r="6308" spans="5:35" x14ac:dyDescent="0.25">
      <c r="E6308" s="16"/>
      <c r="F6308" s="16"/>
      <c r="H6308" s="16"/>
      <c r="AG6308" s="80"/>
      <c r="AH6308" s="80"/>
      <c r="AI6308" s="80"/>
    </row>
    <row r="6309" spans="5:35" x14ac:dyDescent="0.25">
      <c r="E6309" s="16"/>
      <c r="F6309" s="16"/>
      <c r="H6309" s="16"/>
      <c r="AG6309" s="80"/>
      <c r="AH6309" s="80"/>
      <c r="AI6309" s="80"/>
    </row>
    <row r="6310" spans="5:35" x14ac:dyDescent="0.25">
      <c r="E6310" s="16"/>
      <c r="F6310" s="16"/>
      <c r="H6310" s="16"/>
      <c r="AG6310" s="80"/>
      <c r="AH6310" s="80"/>
      <c r="AI6310" s="80"/>
    </row>
    <row r="6311" spans="5:35" x14ac:dyDescent="0.25">
      <c r="E6311" s="16"/>
      <c r="F6311" s="16"/>
      <c r="H6311" s="16"/>
      <c r="AG6311" s="80"/>
      <c r="AH6311" s="80"/>
      <c r="AI6311" s="80"/>
    </row>
    <row r="6312" spans="5:35" x14ac:dyDescent="0.25">
      <c r="E6312" s="16"/>
      <c r="F6312" s="16"/>
      <c r="H6312" s="16"/>
      <c r="AG6312" s="80"/>
      <c r="AH6312" s="80"/>
      <c r="AI6312" s="80"/>
    </row>
    <row r="6313" spans="5:35" x14ac:dyDescent="0.25">
      <c r="E6313" s="16"/>
      <c r="F6313" s="16"/>
      <c r="H6313" s="16"/>
      <c r="AG6313" s="80"/>
      <c r="AH6313" s="80"/>
      <c r="AI6313" s="80"/>
    </row>
    <row r="6314" spans="5:35" x14ac:dyDescent="0.25">
      <c r="E6314" s="16"/>
      <c r="F6314" s="16"/>
      <c r="H6314" s="16"/>
      <c r="AG6314" s="80"/>
      <c r="AH6314" s="80"/>
      <c r="AI6314" s="80"/>
    </row>
    <row r="6315" spans="5:35" x14ac:dyDescent="0.25">
      <c r="E6315" s="16"/>
      <c r="F6315" s="16"/>
      <c r="H6315" s="16"/>
      <c r="AG6315" s="80"/>
      <c r="AH6315" s="80"/>
      <c r="AI6315" s="80"/>
    </row>
    <row r="6316" spans="5:35" x14ac:dyDescent="0.25">
      <c r="E6316" s="16"/>
      <c r="F6316" s="16"/>
      <c r="H6316" s="16"/>
      <c r="AG6316" s="80"/>
      <c r="AH6316" s="80"/>
      <c r="AI6316" s="80"/>
    </row>
    <row r="6317" spans="5:35" x14ac:dyDescent="0.25">
      <c r="E6317" s="16"/>
      <c r="F6317" s="16"/>
      <c r="H6317" s="16"/>
      <c r="AG6317" s="80"/>
      <c r="AH6317" s="80"/>
      <c r="AI6317" s="80"/>
    </row>
    <row r="6318" spans="5:35" x14ac:dyDescent="0.25">
      <c r="E6318" s="16"/>
      <c r="F6318" s="16"/>
      <c r="H6318" s="16"/>
      <c r="AG6318" s="80"/>
      <c r="AH6318" s="80"/>
      <c r="AI6318" s="80"/>
    </row>
    <row r="6319" spans="5:35" x14ac:dyDescent="0.25">
      <c r="E6319" s="16"/>
      <c r="F6319" s="16"/>
      <c r="H6319" s="16"/>
      <c r="AG6319" s="80"/>
      <c r="AH6319" s="80"/>
      <c r="AI6319" s="80"/>
    </row>
    <row r="6320" spans="5:35" x14ac:dyDescent="0.25">
      <c r="E6320" s="16"/>
      <c r="F6320" s="16"/>
      <c r="H6320" s="16"/>
      <c r="AG6320" s="80"/>
      <c r="AH6320" s="80"/>
      <c r="AI6320" s="80"/>
    </row>
    <row r="6321" spans="5:35" x14ac:dyDescent="0.25">
      <c r="E6321" s="16"/>
      <c r="F6321" s="16"/>
      <c r="H6321" s="16"/>
      <c r="AG6321" s="80"/>
      <c r="AH6321" s="80"/>
      <c r="AI6321" s="80"/>
    </row>
    <row r="6322" spans="5:35" x14ac:dyDescent="0.25">
      <c r="E6322" s="16"/>
      <c r="F6322" s="16"/>
      <c r="H6322" s="16"/>
      <c r="AG6322" s="80"/>
      <c r="AH6322" s="80"/>
      <c r="AI6322" s="80"/>
    </row>
    <row r="6323" spans="5:35" x14ac:dyDescent="0.25">
      <c r="E6323" s="16"/>
      <c r="F6323" s="16"/>
      <c r="H6323" s="16"/>
      <c r="AG6323" s="80"/>
      <c r="AH6323" s="80"/>
      <c r="AI6323" s="80"/>
    </row>
    <row r="6324" spans="5:35" x14ac:dyDescent="0.25">
      <c r="E6324" s="16"/>
      <c r="F6324" s="16"/>
      <c r="H6324" s="16"/>
      <c r="AG6324" s="80"/>
      <c r="AH6324" s="80"/>
      <c r="AI6324" s="80"/>
    </row>
    <row r="6325" spans="5:35" x14ac:dyDescent="0.25">
      <c r="E6325" s="16"/>
      <c r="F6325" s="16"/>
      <c r="H6325" s="16"/>
      <c r="AG6325" s="80"/>
      <c r="AH6325" s="80"/>
      <c r="AI6325" s="80"/>
    </row>
    <row r="6326" spans="5:35" x14ac:dyDescent="0.25">
      <c r="E6326" s="16"/>
      <c r="F6326" s="16"/>
      <c r="H6326" s="16"/>
      <c r="AG6326" s="80"/>
      <c r="AH6326" s="80"/>
      <c r="AI6326" s="80"/>
    </row>
    <row r="6327" spans="5:35" x14ac:dyDescent="0.25">
      <c r="E6327" s="16"/>
      <c r="F6327" s="16"/>
      <c r="H6327" s="16"/>
      <c r="AG6327" s="80"/>
      <c r="AH6327" s="80"/>
      <c r="AI6327" s="80"/>
    </row>
    <row r="6328" spans="5:35" x14ac:dyDescent="0.25">
      <c r="E6328" s="16"/>
      <c r="F6328" s="16"/>
      <c r="H6328" s="16"/>
      <c r="AG6328" s="80"/>
      <c r="AH6328" s="80"/>
      <c r="AI6328" s="80"/>
    </row>
    <row r="6329" spans="5:35" x14ac:dyDescent="0.25">
      <c r="E6329" s="16"/>
      <c r="F6329" s="16"/>
      <c r="H6329" s="16"/>
      <c r="AG6329" s="80"/>
      <c r="AH6329" s="80"/>
      <c r="AI6329" s="80"/>
    </row>
    <row r="6330" spans="5:35" x14ac:dyDescent="0.25">
      <c r="E6330" s="16"/>
      <c r="F6330" s="16"/>
      <c r="H6330" s="16"/>
      <c r="AG6330" s="80"/>
      <c r="AH6330" s="80"/>
      <c r="AI6330" s="80"/>
    </row>
    <row r="6331" spans="5:35" x14ac:dyDescent="0.25">
      <c r="E6331" s="16"/>
      <c r="F6331" s="16"/>
      <c r="H6331" s="16"/>
      <c r="AG6331" s="80"/>
      <c r="AH6331" s="80"/>
      <c r="AI6331" s="80"/>
    </row>
    <row r="6332" spans="5:35" x14ac:dyDescent="0.25">
      <c r="E6332" s="16"/>
      <c r="F6332" s="16"/>
      <c r="H6332" s="16"/>
      <c r="AG6332" s="80"/>
      <c r="AH6332" s="80"/>
      <c r="AI6332" s="80"/>
    </row>
    <row r="6333" spans="5:35" x14ac:dyDescent="0.25">
      <c r="E6333" s="16"/>
      <c r="F6333" s="16"/>
      <c r="H6333" s="16"/>
      <c r="AG6333" s="80"/>
      <c r="AH6333" s="80"/>
      <c r="AI6333" s="80"/>
    </row>
    <row r="6334" spans="5:35" x14ac:dyDescent="0.25">
      <c r="E6334" s="16"/>
      <c r="F6334" s="16"/>
      <c r="H6334" s="16"/>
      <c r="AG6334" s="80"/>
      <c r="AH6334" s="80"/>
      <c r="AI6334" s="80"/>
    </row>
    <row r="6335" spans="5:35" x14ac:dyDescent="0.25">
      <c r="E6335" s="16"/>
      <c r="F6335" s="16"/>
      <c r="H6335" s="16"/>
      <c r="AG6335" s="80"/>
      <c r="AH6335" s="80"/>
      <c r="AI6335" s="80"/>
    </row>
    <row r="6336" spans="5:35" x14ac:dyDescent="0.25">
      <c r="E6336" s="16"/>
      <c r="F6336" s="16"/>
      <c r="H6336" s="16"/>
      <c r="AG6336" s="80"/>
      <c r="AH6336" s="80"/>
      <c r="AI6336" s="80"/>
    </row>
    <row r="6337" spans="5:35" x14ac:dyDescent="0.25">
      <c r="E6337" s="16"/>
      <c r="F6337" s="16"/>
      <c r="H6337" s="16"/>
      <c r="AG6337" s="80"/>
      <c r="AH6337" s="80"/>
      <c r="AI6337" s="80"/>
    </row>
    <row r="6338" spans="5:35" x14ac:dyDescent="0.25">
      <c r="E6338" s="16"/>
      <c r="F6338" s="16"/>
      <c r="H6338" s="16"/>
      <c r="AG6338" s="80"/>
      <c r="AH6338" s="80"/>
      <c r="AI6338" s="80"/>
    </row>
    <row r="6339" spans="5:35" x14ac:dyDescent="0.25">
      <c r="E6339" s="16"/>
      <c r="F6339" s="16"/>
      <c r="H6339" s="16"/>
      <c r="AG6339" s="80"/>
      <c r="AH6339" s="80"/>
      <c r="AI6339" s="80"/>
    </row>
    <row r="6340" spans="5:35" x14ac:dyDescent="0.25">
      <c r="E6340" s="16"/>
      <c r="F6340" s="16"/>
      <c r="H6340" s="16"/>
      <c r="AG6340" s="80"/>
      <c r="AH6340" s="80"/>
      <c r="AI6340" s="80"/>
    </row>
    <row r="6341" spans="5:35" x14ac:dyDescent="0.25">
      <c r="E6341" s="16"/>
      <c r="F6341" s="16"/>
      <c r="H6341" s="16"/>
      <c r="AG6341" s="80"/>
      <c r="AH6341" s="80"/>
      <c r="AI6341" s="80"/>
    </row>
    <row r="6342" spans="5:35" x14ac:dyDescent="0.25">
      <c r="E6342" s="16"/>
      <c r="F6342" s="16"/>
      <c r="H6342" s="16"/>
      <c r="AG6342" s="80"/>
      <c r="AH6342" s="80"/>
      <c r="AI6342" s="80"/>
    </row>
    <row r="6343" spans="5:35" x14ac:dyDescent="0.25">
      <c r="E6343" s="16"/>
      <c r="F6343" s="16"/>
      <c r="H6343" s="16"/>
      <c r="AG6343" s="80"/>
      <c r="AH6343" s="80"/>
      <c r="AI6343" s="80"/>
    </row>
    <row r="6344" spans="5:35" x14ac:dyDescent="0.25">
      <c r="E6344" s="16"/>
      <c r="F6344" s="16"/>
      <c r="H6344" s="16"/>
      <c r="AG6344" s="80"/>
      <c r="AH6344" s="80"/>
      <c r="AI6344" s="80"/>
    </row>
    <row r="6345" spans="5:35" x14ac:dyDescent="0.25">
      <c r="E6345" s="16"/>
      <c r="F6345" s="16"/>
      <c r="H6345" s="16"/>
      <c r="AG6345" s="80"/>
      <c r="AH6345" s="80"/>
      <c r="AI6345" s="80"/>
    </row>
    <row r="6346" spans="5:35" x14ac:dyDescent="0.25">
      <c r="E6346" s="16"/>
      <c r="F6346" s="16"/>
      <c r="H6346" s="16"/>
      <c r="AG6346" s="80"/>
      <c r="AH6346" s="80"/>
      <c r="AI6346" s="80"/>
    </row>
    <row r="6347" spans="5:35" x14ac:dyDescent="0.25">
      <c r="E6347" s="16"/>
      <c r="F6347" s="16"/>
      <c r="H6347" s="16"/>
      <c r="AG6347" s="80"/>
      <c r="AH6347" s="80"/>
      <c r="AI6347" s="80"/>
    </row>
    <row r="6348" spans="5:35" x14ac:dyDescent="0.25">
      <c r="E6348" s="16"/>
      <c r="F6348" s="16"/>
      <c r="H6348" s="16"/>
      <c r="AG6348" s="80"/>
      <c r="AH6348" s="80"/>
      <c r="AI6348" s="80"/>
    </row>
    <row r="6349" spans="5:35" x14ac:dyDescent="0.25">
      <c r="E6349" s="16"/>
      <c r="F6349" s="16"/>
      <c r="H6349" s="16"/>
      <c r="AG6349" s="80"/>
      <c r="AH6349" s="80"/>
      <c r="AI6349" s="80"/>
    </row>
    <row r="6350" spans="5:35" x14ac:dyDescent="0.25">
      <c r="E6350" s="16"/>
      <c r="F6350" s="16"/>
      <c r="H6350" s="16"/>
      <c r="AG6350" s="80"/>
      <c r="AH6350" s="80"/>
      <c r="AI6350" s="80"/>
    </row>
    <row r="6351" spans="5:35" x14ac:dyDescent="0.25">
      <c r="E6351" s="16"/>
      <c r="F6351" s="16"/>
      <c r="H6351" s="16"/>
      <c r="AG6351" s="80"/>
      <c r="AH6351" s="80"/>
      <c r="AI6351" s="80"/>
    </row>
    <row r="6352" spans="5:35" x14ac:dyDescent="0.25">
      <c r="E6352" s="16"/>
      <c r="F6352" s="16"/>
      <c r="H6352" s="16"/>
      <c r="AG6352" s="80"/>
      <c r="AH6352" s="80"/>
      <c r="AI6352" s="80"/>
    </row>
    <row r="6353" spans="5:35" x14ac:dyDescent="0.25">
      <c r="E6353" s="16"/>
      <c r="F6353" s="16"/>
      <c r="H6353" s="16"/>
      <c r="AG6353" s="80"/>
      <c r="AH6353" s="80"/>
      <c r="AI6353" s="80"/>
    </row>
    <row r="6354" spans="5:35" x14ac:dyDescent="0.25">
      <c r="E6354" s="16"/>
      <c r="F6354" s="16"/>
      <c r="H6354" s="16"/>
      <c r="AG6354" s="80"/>
      <c r="AH6354" s="80"/>
      <c r="AI6354" s="80"/>
    </row>
    <row r="6355" spans="5:35" x14ac:dyDescent="0.25">
      <c r="E6355" s="16"/>
      <c r="F6355" s="16"/>
      <c r="H6355" s="16"/>
      <c r="AG6355" s="80"/>
      <c r="AH6355" s="80"/>
      <c r="AI6355" s="80"/>
    </row>
    <row r="6356" spans="5:35" x14ac:dyDescent="0.25">
      <c r="E6356" s="16"/>
      <c r="F6356" s="16"/>
      <c r="H6356" s="16"/>
      <c r="AG6356" s="80"/>
      <c r="AH6356" s="80"/>
      <c r="AI6356" s="80"/>
    </row>
    <row r="6357" spans="5:35" x14ac:dyDescent="0.25">
      <c r="E6357" s="16"/>
      <c r="F6357" s="16"/>
      <c r="H6357" s="16"/>
      <c r="AG6357" s="80"/>
      <c r="AH6357" s="80"/>
      <c r="AI6357" s="80"/>
    </row>
    <row r="6358" spans="5:35" x14ac:dyDescent="0.25">
      <c r="E6358" s="16"/>
      <c r="F6358" s="16"/>
      <c r="H6358" s="16"/>
      <c r="AG6358" s="80"/>
      <c r="AH6358" s="80"/>
      <c r="AI6358" s="80"/>
    </row>
    <row r="6359" spans="5:35" x14ac:dyDescent="0.25">
      <c r="E6359" s="16"/>
      <c r="F6359" s="16"/>
      <c r="H6359" s="16"/>
      <c r="AG6359" s="80"/>
      <c r="AH6359" s="80"/>
      <c r="AI6359" s="80"/>
    </row>
    <row r="6360" spans="5:35" x14ac:dyDescent="0.25">
      <c r="E6360" s="16"/>
      <c r="F6360" s="16"/>
      <c r="H6360" s="16"/>
      <c r="AG6360" s="80"/>
      <c r="AH6360" s="80"/>
      <c r="AI6360" s="80"/>
    </row>
    <row r="6361" spans="5:35" x14ac:dyDescent="0.25">
      <c r="E6361" s="16"/>
      <c r="F6361" s="16"/>
      <c r="H6361" s="16"/>
      <c r="AG6361" s="80"/>
      <c r="AH6361" s="80"/>
      <c r="AI6361" s="80"/>
    </row>
    <row r="6362" spans="5:35" x14ac:dyDescent="0.25">
      <c r="E6362" s="16"/>
      <c r="F6362" s="16"/>
      <c r="H6362" s="16"/>
      <c r="AG6362" s="80"/>
      <c r="AH6362" s="80"/>
      <c r="AI6362" s="80"/>
    </row>
    <row r="6363" spans="5:35" x14ac:dyDescent="0.25">
      <c r="E6363" s="16"/>
      <c r="F6363" s="16"/>
      <c r="H6363" s="16"/>
      <c r="AG6363" s="80"/>
      <c r="AH6363" s="80"/>
      <c r="AI6363" s="80"/>
    </row>
    <row r="6364" spans="5:35" x14ac:dyDescent="0.25">
      <c r="E6364" s="16"/>
      <c r="F6364" s="16"/>
      <c r="H6364" s="16"/>
      <c r="AG6364" s="80"/>
      <c r="AH6364" s="80"/>
      <c r="AI6364" s="80"/>
    </row>
    <row r="6365" spans="5:35" x14ac:dyDescent="0.25">
      <c r="E6365" s="16"/>
      <c r="F6365" s="16"/>
      <c r="H6365" s="16"/>
      <c r="AG6365" s="80"/>
      <c r="AH6365" s="80"/>
      <c r="AI6365" s="80"/>
    </row>
    <row r="6366" spans="5:35" x14ac:dyDescent="0.25">
      <c r="E6366" s="16"/>
      <c r="F6366" s="16"/>
      <c r="H6366" s="16"/>
      <c r="AG6366" s="80"/>
      <c r="AH6366" s="80"/>
      <c r="AI6366" s="80"/>
    </row>
    <row r="6367" spans="5:35" x14ac:dyDescent="0.25">
      <c r="E6367" s="16"/>
      <c r="F6367" s="16"/>
      <c r="H6367" s="16"/>
      <c r="AG6367" s="80"/>
      <c r="AH6367" s="80"/>
      <c r="AI6367" s="80"/>
    </row>
    <row r="6368" spans="5:35" x14ac:dyDescent="0.25">
      <c r="E6368" s="16"/>
      <c r="F6368" s="16"/>
      <c r="H6368" s="16"/>
      <c r="AG6368" s="80"/>
      <c r="AH6368" s="80"/>
      <c r="AI6368" s="80"/>
    </row>
    <row r="6369" spans="5:35" x14ac:dyDescent="0.25">
      <c r="E6369" s="16"/>
      <c r="F6369" s="16"/>
      <c r="H6369" s="16"/>
      <c r="AG6369" s="80"/>
      <c r="AH6369" s="80"/>
      <c r="AI6369" s="80"/>
    </row>
    <row r="6370" spans="5:35" x14ac:dyDescent="0.25">
      <c r="E6370" s="16"/>
      <c r="F6370" s="16"/>
      <c r="H6370" s="16"/>
      <c r="AG6370" s="80"/>
      <c r="AH6370" s="80"/>
      <c r="AI6370" s="80"/>
    </row>
    <row r="6371" spans="5:35" x14ac:dyDescent="0.25">
      <c r="E6371" s="16"/>
      <c r="F6371" s="16"/>
      <c r="H6371" s="16"/>
      <c r="AG6371" s="80"/>
      <c r="AH6371" s="80"/>
      <c r="AI6371" s="80"/>
    </row>
    <row r="6372" spans="5:35" x14ac:dyDescent="0.25">
      <c r="E6372" s="16"/>
      <c r="F6372" s="16"/>
      <c r="H6372" s="16"/>
      <c r="AG6372" s="80"/>
      <c r="AH6372" s="80"/>
      <c r="AI6372" s="80"/>
    </row>
    <row r="6373" spans="5:35" x14ac:dyDescent="0.25">
      <c r="E6373" s="16"/>
      <c r="F6373" s="16"/>
      <c r="H6373" s="16"/>
      <c r="AG6373" s="80"/>
      <c r="AH6373" s="80"/>
      <c r="AI6373" s="80"/>
    </row>
    <row r="6374" spans="5:35" x14ac:dyDescent="0.25">
      <c r="E6374" s="16"/>
      <c r="F6374" s="16"/>
      <c r="H6374" s="16"/>
      <c r="AG6374" s="80"/>
      <c r="AH6374" s="80"/>
      <c r="AI6374" s="80"/>
    </row>
    <row r="6375" spans="5:35" x14ac:dyDescent="0.25">
      <c r="E6375" s="16"/>
      <c r="F6375" s="16"/>
      <c r="H6375" s="16"/>
      <c r="AG6375" s="80"/>
      <c r="AH6375" s="80"/>
      <c r="AI6375" s="80"/>
    </row>
    <row r="6376" spans="5:35" x14ac:dyDescent="0.25">
      <c r="E6376" s="16"/>
      <c r="F6376" s="16"/>
      <c r="H6376" s="16"/>
      <c r="AG6376" s="80"/>
      <c r="AH6376" s="80"/>
      <c r="AI6376" s="80"/>
    </row>
    <row r="6377" spans="5:35" x14ac:dyDescent="0.25">
      <c r="E6377" s="16"/>
      <c r="F6377" s="16"/>
      <c r="H6377" s="16"/>
      <c r="AG6377" s="80"/>
      <c r="AH6377" s="80"/>
      <c r="AI6377" s="80"/>
    </row>
    <row r="6378" spans="5:35" x14ac:dyDescent="0.25">
      <c r="E6378" s="16"/>
      <c r="F6378" s="16"/>
      <c r="H6378" s="16"/>
      <c r="AG6378" s="80"/>
      <c r="AH6378" s="80"/>
      <c r="AI6378" s="80"/>
    </row>
    <row r="6379" spans="5:35" x14ac:dyDescent="0.25">
      <c r="E6379" s="16"/>
      <c r="F6379" s="16"/>
      <c r="H6379" s="16"/>
      <c r="AG6379" s="80"/>
      <c r="AH6379" s="80"/>
      <c r="AI6379" s="80"/>
    </row>
    <row r="6380" spans="5:35" x14ac:dyDescent="0.25">
      <c r="E6380" s="16"/>
      <c r="F6380" s="16"/>
      <c r="H6380" s="16"/>
      <c r="AG6380" s="80"/>
      <c r="AH6380" s="80"/>
      <c r="AI6380" s="80"/>
    </row>
    <row r="6381" spans="5:35" x14ac:dyDescent="0.25">
      <c r="E6381" s="16"/>
      <c r="F6381" s="16"/>
      <c r="H6381" s="16"/>
      <c r="AG6381" s="80"/>
      <c r="AH6381" s="80"/>
      <c r="AI6381" s="80"/>
    </row>
    <row r="6382" spans="5:35" x14ac:dyDescent="0.25">
      <c r="E6382" s="16"/>
      <c r="F6382" s="16"/>
      <c r="H6382" s="16"/>
      <c r="AG6382" s="80"/>
      <c r="AH6382" s="80"/>
      <c r="AI6382" s="80"/>
    </row>
    <row r="6383" spans="5:35" x14ac:dyDescent="0.25">
      <c r="E6383" s="16"/>
      <c r="F6383" s="16"/>
      <c r="H6383" s="16"/>
      <c r="AG6383" s="80"/>
      <c r="AH6383" s="80"/>
      <c r="AI6383" s="80"/>
    </row>
    <row r="6384" spans="5:35" x14ac:dyDescent="0.25">
      <c r="E6384" s="16"/>
      <c r="F6384" s="16"/>
      <c r="H6384" s="16"/>
      <c r="AG6384" s="80"/>
      <c r="AH6384" s="80"/>
      <c r="AI6384" s="80"/>
    </row>
    <row r="6385" spans="5:35" x14ac:dyDescent="0.25">
      <c r="E6385" s="16"/>
      <c r="F6385" s="16"/>
      <c r="H6385" s="16"/>
      <c r="AG6385" s="80"/>
      <c r="AH6385" s="80"/>
      <c r="AI6385" s="80"/>
    </row>
    <row r="6386" spans="5:35" x14ac:dyDescent="0.25">
      <c r="E6386" s="16"/>
      <c r="F6386" s="16"/>
      <c r="H6386" s="16"/>
      <c r="AG6386" s="80"/>
      <c r="AH6386" s="80"/>
      <c r="AI6386" s="80"/>
    </row>
    <row r="6387" spans="5:35" x14ac:dyDescent="0.25">
      <c r="E6387" s="16"/>
      <c r="F6387" s="16"/>
      <c r="H6387" s="16"/>
      <c r="AG6387" s="80"/>
      <c r="AH6387" s="80"/>
      <c r="AI6387" s="80"/>
    </row>
    <row r="6388" spans="5:35" x14ac:dyDescent="0.25">
      <c r="E6388" s="16"/>
      <c r="F6388" s="16"/>
      <c r="H6388" s="16"/>
      <c r="AG6388" s="80"/>
      <c r="AH6388" s="80"/>
      <c r="AI6388" s="80"/>
    </row>
    <row r="6389" spans="5:35" x14ac:dyDescent="0.25">
      <c r="E6389" s="16"/>
      <c r="F6389" s="16"/>
      <c r="H6389" s="16"/>
      <c r="AG6389" s="80"/>
      <c r="AH6389" s="80"/>
      <c r="AI6389" s="80"/>
    </row>
    <row r="6390" spans="5:35" x14ac:dyDescent="0.25">
      <c r="E6390" s="16"/>
      <c r="F6390" s="16"/>
      <c r="H6390" s="16"/>
      <c r="AG6390" s="80"/>
      <c r="AH6390" s="80"/>
      <c r="AI6390" s="80"/>
    </row>
    <row r="6391" spans="5:35" x14ac:dyDescent="0.25">
      <c r="E6391" s="16"/>
      <c r="F6391" s="16"/>
      <c r="H6391" s="16"/>
      <c r="AG6391" s="80"/>
      <c r="AH6391" s="80"/>
      <c r="AI6391" s="80"/>
    </row>
    <row r="6392" spans="5:35" x14ac:dyDescent="0.25">
      <c r="E6392" s="16"/>
      <c r="F6392" s="16"/>
      <c r="H6392" s="16"/>
      <c r="AG6392" s="80"/>
      <c r="AH6392" s="80"/>
      <c r="AI6392" s="80"/>
    </row>
    <row r="6393" spans="5:35" x14ac:dyDescent="0.25">
      <c r="E6393" s="16"/>
      <c r="F6393" s="16"/>
      <c r="H6393" s="16"/>
      <c r="AG6393" s="80"/>
      <c r="AH6393" s="80"/>
      <c r="AI6393" s="80"/>
    </row>
    <row r="6394" spans="5:35" x14ac:dyDescent="0.25">
      <c r="E6394" s="16"/>
      <c r="F6394" s="16"/>
      <c r="H6394" s="16"/>
      <c r="AG6394" s="80"/>
      <c r="AH6394" s="80"/>
      <c r="AI6394" s="80"/>
    </row>
    <row r="6395" spans="5:35" x14ac:dyDescent="0.25">
      <c r="E6395" s="16"/>
      <c r="F6395" s="16"/>
      <c r="H6395" s="16"/>
      <c r="AG6395" s="80"/>
      <c r="AH6395" s="80"/>
      <c r="AI6395" s="80"/>
    </row>
    <row r="6396" spans="5:35" x14ac:dyDescent="0.25">
      <c r="E6396" s="16"/>
      <c r="F6396" s="16"/>
      <c r="H6396" s="16"/>
      <c r="AG6396" s="80"/>
      <c r="AH6396" s="80"/>
      <c r="AI6396" s="80"/>
    </row>
    <row r="6397" spans="5:35" x14ac:dyDescent="0.25">
      <c r="E6397" s="16"/>
      <c r="F6397" s="16"/>
      <c r="H6397" s="16"/>
      <c r="AG6397" s="80"/>
      <c r="AH6397" s="80"/>
      <c r="AI6397" s="80"/>
    </row>
    <row r="6398" spans="5:35" x14ac:dyDescent="0.25">
      <c r="E6398" s="16"/>
      <c r="F6398" s="16"/>
      <c r="H6398" s="16"/>
      <c r="AG6398" s="80"/>
      <c r="AH6398" s="80"/>
      <c r="AI6398" s="80"/>
    </row>
    <row r="6399" spans="5:35" x14ac:dyDescent="0.25">
      <c r="E6399" s="16"/>
      <c r="F6399" s="16"/>
      <c r="H6399" s="16"/>
      <c r="AG6399" s="80"/>
      <c r="AH6399" s="80"/>
      <c r="AI6399" s="80"/>
    </row>
    <row r="6400" spans="5:35" x14ac:dyDescent="0.25">
      <c r="E6400" s="16"/>
      <c r="F6400" s="16"/>
      <c r="H6400" s="16"/>
      <c r="AG6400" s="80"/>
      <c r="AH6400" s="80"/>
      <c r="AI6400" s="80"/>
    </row>
    <row r="6401" spans="5:35" x14ac:dyDescent="0.25">
      <c r="E6401" s="16"/>
      <c r="F6401" s="16"/>
      <c r="H6401" s="16"/>
      <c r="AG6401" s="80"/>
      <c r="AH6401" s="80"/>
      <c r="AI6401" s="80"/>
    </row>
    <row r="6402" spans="5:35" x14ac:dyDescent="0.25">
      <c r="E6402" s="16"/>
      <c r="F6402" s="16"/>
      <c r="H6402" s="16"/>
      <c r="AG6402" s="80"/>
      <c r="AH6402" s="80"/>
      <c r="AI6402" s="80"/>
    </row>
    <row r="6403" spans="5:35" x14ac:dyDescent="0.25">
      <c r="E6403" s="16"/>
      <c r="F6403" s="16"/>
      <c r="H6403" s="16"/>
      <c r="AG6403" s="80"/>
      <c r="AH6403" s="80"/>
      <c r="AI6403" s="80"/>
    </row>
    <row r="6404" spans="5:35" x14ac:dyDescent="0.25">
      <c r="E6404" s="16"/>
      <c r="F6404" s="16"/>
      <c r="H6404" s="16"/>
      <c r="AG6404" s="80"/>
      <c r="AH6404" s="80"/>
      <c r="AI6404" s="80"/>
    </row>
    <row r="6405" spans="5:35" x14ac:dyDescent="0.25">
      <c r="E6405" s="16"/>
      <c r="F6405" s="16"/>
      <c r="H6405" s="16"/>
      <c r="AG6405" s="80"/>
      <c r="AH6405" s="80"/>
      <c r="AI6405" s="80"/>
    </row>
    <row r="6406" spans="5:35" x14ac:dyDescent="0.25">
      <c r="E6406" s="16"/>
      <c r="F6406" s="16"/>
      <c r="H6406" s="16"/>
      <c r="AG6406" s="80"/>
      <c r="AH6406" s="80"/>
      <c r="AI6406" s="80"/>
    </row>
    <row r="6407" spans="5:35" x14ac:dyDescent="0.25">
      <c r="E6407" s="16"/>
      <c r="F6407" s="16"/>
      <c r="H6407" s="16"/>
      <c r="AG6407" s="80"/>
      <c r="AH6407" s="80"/>
      <c r="AI6407" s="80"/>
    </row>
    <row r="6408" spans="5:35" x14ac:dyDescent="0.25">
      <c r="E6408" s="16"/>
      <c r="F6408" s="16"/>
      <c r="H6408" s="16"/>
      <c r="AG6408" s="80"/>
      <c r="AH6408" s="80"/>
      <c r="AI6408" s="80"/>
    </row>
    <row r="6409" spans="5:35" x14ac:dyDescent="0.25">
      <c r="E6409" s="16"/>
      <c r="F6409" s="16"/>
      <c r="H6409" s="16"/>
      <c r="AG6409" s="80"/>
      <c r="AH6409" s="80"/>
      <c r="AI6409" s="80"/>
    </row>
    <row r="6410" spans="5:35" x14ac:dyDescent="0.25">
      <c r="E6410" s="16"/>
      <c r="F6410" s="16"/>
      <c r="H6410" s="16"/>
      <c r="AG6410" s="80"/>
      <c r="AH6410" s="80"/>
      <c r="AI6410" s="80"/>
    </row>
    <row r="6411" spans="5:35" x14ac:dyDescent="0.25">
      <c r="E6411" s="16"/>
      <c r="F6411" s="16"/>
      <c r="H6411" s="16"/>
      <c r="AG6411" s="80"/>
      <c r="AH6411" s="80"/>
      <c r="AI6411" s="80"/>
    </row>
    <row r="6412" spans="5:35" x14ac:dyDescent="0.25">
      <c r="E6412" s="16"/>
      <c r="F6412" s="16"/>
      <c r="H6412" s="16"/>
      <c r="AG6412" s="80"/>
      <c r="AH6412" s="80"/>
      <c r="AI6412" s="80"/>
    </row>
    <row r="6413" spans="5:35" x14ac:dyDescent="0.25">
      <c r="E6413" s="16"/>
      <c r="F6413" s="16"/>
      <c r="H6413" s="16"/>
      <c r="AG6413" s="80"/>
      <c r="AH6413" s="80"/>
      <c r="AI6413" s="80"/>
    </row>
    <row r="6414" spans="5:35" x14ac:dyDescent="0.25">
      <c r="E6414" s="16"/>
      <c r="F6414" s="16"/>
      <c r="H6414" s="16"/>
      <c r="AG6414" s="80"/>
      <c r="AH6414" s="80"/>
      <c r="AI6414" s="80"/>
    </row>
    <row r="6415" spans="5:35" x14ac:dyDescent="0.25">
      <c r="E6415" s="16"/>
      <c r="F6415" s="16"/>
      <c r="H6415" s="16"/>
      <c r="AG6415" s="80"/>
      <c r="AH6415" s="80"/>
      <c r="AI6415" s="80"/>
    </row>
    <row r="6416" spans="5:35" x14ac:dyDescent="0.25">
      <c r="E6416" s="16"/>
      <c r="F6416" s="16"/>
      <c r="H6416" s="16"/>
      <c r="AG6416" s="80"/>
      <c r="AH6416" s="80"/>
      <c r="AI6416" s="80"/>
    </row>
    <row r="6417" spans="5:35" x14ac:dyDescent="0.25">
      <c r="E6417" s="16"/>
      <c r="F6417" s="16"/>
      <c r="H6417" s="16"/>
      <c r="AG6417" s="80"/>
      <c r="AH6417" s="80"/>
      <c r="AI6417" s="80"/>
    </row>
    <row r="6418" spans="5:35" x14ac:dyDescent="0.25">
      <c r="E6418" s="16"/>
      <c r="F6418" s="16"/>
      <c r="H6418" s="16"/>
      <c r="AG6418" s="80"/>
      <c r="AH6418" s="80"/>
      <c r="AI6418" s="80"/>
    </row>
    <row r="6419" spans="5:35" x14ac:dyDescent="0.25">
      <c r="E6419" s="16"/>
      <c r="F6419" s="16"/>
      <c r="H6419" s="16"/>
      <c r="AG6419" s="80"/>
      <c r="AH6419" s="80"/>
      <c r="AI6419" s="80"/>
    </row>
    <row r="6420" spans="5:35" x14ac:dyDescent="0.25">
      <c r="E6420" s="16"/>
      <c r="F6420" s="16"/>
      <c r="H6420" s="16"/>
      <c r="AG6420" s="80"/>
      <c r="AH6420" s="80"/>
      <c r="AI6420" s="80"/>
    </row>
    <row r="6421" spans="5:35" x14ac:dyDescent="0.25">
      <c r="E6421" s="16"/>
      <c r="F6421" s="16"/>
      <c r="H6421" s="16"/>
      <c r="AG6421" s="80"/>
      <c r="AH6421" s="80"/>
      <c r="AI6421" s="80"/>
    </row>
    <row r="6422" spans="5:35" x14ac:dyDescent="0.25">
      <c r="E6422" s="16"/>
      <c r="F6422" s="16"/>
      <c r="H6422" s="16"/>
      <c r="AG6422" s="80"/>
      <c r="AH6422" s="80"/>
      <c r="AI6422" s="80"/>
    </row>
    <row r="6423" spans="5:35" x14ac:dyDescent="0.25">
      <c r="E6423" s="16"/>
      <c r="F6423" s="16"/>
      <c r="H6423" s="16"/>
      <c r="AG6423" s="80"/>
      <c r="AH6423" s="80"/>
      <c r="AI6423" s="80"/>
    </row>
    <row r="6424" spans="5:35" x14ac:dyDescent="0.25">
      <c r="E6424" s="16"/>
      <c r="F6424" s="16"/>
      <c r="H6424" s="16"/>
      <c r="AG6424" s="80"/>
      <c r="AH6424" s="80"/>
      <c r="AI6424" s="80"/>
    </row>
    <row r="6425" spans="5:35" x14ac:dyDescent="0.25">
      <c r="E6425" s="16"/>
      <c r="F6425" s="16"/>
      <c r="H6425" s="16"/>
      <c r="AG6425" s="80"/>
      <c r="AH6425" s="80"/>
      <c r="AI6425" s="80"/>
    </row>
    <row r="6426" spans="5:35" x14ac:dyDescent="0.25">
      <c r="E6426" s="16"/>
      <c r="F6426" s="16"/>
      <c r="H6426" s="16"/>
      <c r="AG6426" s="80"/>
      <c r="AH6426" s="80"/>
      <c r="AI6426" s="80"/>
    </row>
    <row r="6427" spans="5:35" x14ac:dyDescent="0.25">
      <c r="E6427" s="16"/>
      <c r="F6427" s="16"/>
      <c r="H6427" s="16"/>
      <c r="AG6427" s="80"/>
      <c r="AH6427" s="80"/>
      <c r="AI6427" s="80"/>
    </row>
    <row r="6428" spans="5:35" x14ac:dyDescent="0.25">
      <c r="E6428" s="16"/>
      <c r="F6428" s="16"/>
      <c r="H6428" s="16"/>
      <c r="AG6428" s="80"/>
      <c r="AH6428" s="80"/>
      <c r="AI6428" s="80"/>
    </row>
    <row r="6429" spans="5:35" x14ac:dyDescent="0.25">
      <c r="E6429" s="16"/>
      <c r="F6429" s="16"/>
      <c r="H6429" s="16"/>
      <c r="AG6429" s="80"/>
      <c r="AH6429" s="80"/>
      <c r="AI6429" s="80"/>
    </row>
    <row r="6430" spans="5:35" x14ac:dyDescent="0.25">
      <c r="E6430" s="16"/>
      <c r="F6430" s="16"/>
      <c r="H6430" s="16"/>
      <c r="AG6430" s="80"/>
      <c r="AH6430" s="80"/>
      <c r="AI6430" s="80"/>
    </row>
    <row r="6431" spans="5:35" x14ac:dyDescent="0.25">
      <c r="E6431" s="16"/>
      <c r="F6431" s="16"/>
      <c r="H6431" s="16"/>
      <c r="AG6431" s="80"/>
      <c r="AH6431" s="80"/>
      <c r="AI6431" s="80"/>
    </row>
    <row r="6432" spans="5:35" x14ac:dyDescent="0.25">
      <c r="E6432" s="16"/>
      <c r="F6432" s="16"/>
      <c r="H6432" s="16"/>
      <c r="AG6432" s="80"/>
      <c r="AH6432" s="80"/>
      <c r="AI6432" s="80"/>
    </row>
    <row r="6433" spans="5:35" x14ac:dyDescent="0.25">
      <c r="E6433" s="16"/>
      <c r="F6433" s="16"/>
      <c r="H6433" s="16"/>
      <c r="AG6433" s="80"/>
      <c r="AH6433" s="80"/>
      <c r="AI6433" s="80"/>
    </row>
    <row r="6434" spans="5:35" x14ac:dyDescent="0.25">
      <c r="E6434" s="16"/>
      <c r="F6434" s="16"/>
      <c r="H6434" s="16"/>
      <c r="AG6434" s="80"/>
      <c r="AH6434" s="80"/>
      <c r="AI6434" s="80"/>
    </row>
    <row r="6435" spans="5:35" x14ac:dyDescent="0.25">
      <c r="E6435" s="16"/>
      <c r="F6435" s="16"/>
      <c r="H6435" s="16"/>
      <c r="AG6435" s="80"/>
      <c r="AH6435" s="80"/>
      <c r="AI6435" s="80"/>
    </row>
    <row r="6436" spans="5:35" x14ac:dyDescent="0.25">
      <c r="E6436" s="16"/>
      <c r="F6436" s="16"/>
      <c r="H6436" s="16"/>
      <c r="AG6436" s="80"/>
      <c r="AH6436" s="80"/>
      <c r="AI6436" s="80"/>
    </row>
    <row r="6437" spans="5:35" x14ac:dyDescent="0.25">
      <c r="E6437" s="16"/>
      <c r="F6437" s="16"/>
      <c r="H6437" s="16"/>
      <c r="AG6437" s="80"/>
      <c r="AH6437" s="80"/>
      <c r="AI6437" s="80"/>
    </row>
    <row r="6438" spans="5:35" x14ac:dyDescent="0.25">
      <c r="E6438" s="16"/>
      <c r="F6438" s="16"/>
      <c r="H6438" s="16"/>
      <c r="AG6438" s="80"/>
      <c r="AH6438" s="80"/>
      <c r="AI6438" s="80"/>
    </row>
    <row r="6439" spans="5:35" x14ac:dyDescent="0.25">
      <c r="E6439" s="16"/>
      <c r="F6439" s="16"/>
      <c r="H6439" s="16"/>
      <c r="AG6439" s="80"/>
      <c r="AH6439" s="80"/>
      <c r="AI6439" s="80"/>
    </row>
    <row r="6440" spans="5:35" x14ac:dyDescent="0.25">
      <c r="E6440" s="16"/>
      <c r="F6440" s="16"/>
      <c r="H6440" s="16"/>
      <c r="AG6440" s="80"/>
      <c r="AH6440" s="80"/>
      <c r="AI6440" s="80"/>
    </row>
    <row r="6441" spans="5:35" x14ac:dyDescent="0.25">
      <c r="E6441" s="16"/>
      <c r="F6441" s="16"/>
      <c r="H6441" s="16"/>
      <c r="AG6441" s="80"/>
      <c r="AH6441" s="80"/>
      <c r="AI6441" s="80"/>
    </row>
    <row r="6442" spans="5:35" x14ac:dyDescent="0.25">
      <c r="E6442" s="16"/>
      <c r="F6442" s="16"/>
      <c r="H6442" s="16"/>
      <c r="AG6442" s="80"/>
      <c r="AH6442" s="80"/>
      <c r="AI6442" s="80"/>
    </row>
    <row r="6443" spans="5:35" x14ac:dyDescent="0.25">
      <c r="E6443" s="16"/>
      <c r="F6443" s="16"/>
      <c r="H6443" s="16"/>
      <c r="AG6443" s="80"/>
      <c r="AH6443" s="80"/>
      <c r="AI6443" s="80"/>
    </row>
    <row r="6444" spans="5:35" x14ac:dyDescent="0.25">
      <c r="E6444" s="16"/>
      <c r="F6444" s="16"/>
      <c r="H6444" s="16"/>
      <c r="AG6444" s="80"/>
      <c r="AH6444" s="80"/>
      <c r="AI6444" s="80"/>
    </row>
    <row r="6445" spans="5:35" x14ac:dyDescent="0.25">
      <c r="E6445" s="16"/>
      <c r="F6445" s="16"/>
      <c r="H6445" s="16"/>
      <c r="AG6445" s="80"/>
      <c r="AH6445" s="80"/>
      <c r="AI6445" s="80"/>
    </row>
    <row r="6446" spans="5:35" x14ac:dyDescent="0.25">
      <c r="E6446" s="16"/>
      <c r="F6446" s="16"/>
      <c r="H6446" s="16"/>
      <c r="AG6446" s="80"/>
      <c r="AH6446" s="80"/>
      <c r="AI6446" s="80"/>
    </row>
    <row r="6447" spans="5:35" x14ac:dyDescent="0.25">
      <c r="E6447" s="16"/>
      <c r="F6447" s="16"/>
      <c r="H6447" s="16"/>
      <c r="AG6447" s="80"/>
      <c r="AH6447" s="80"/>
      <c r="AI6447" s="80"/>
    </row>
    <row r="6448" spans="5:35" x14ac:dyDescent="0.25">
      <c r="E6448" s="16"/>
      <c r="F6448" s="16"/>
      <c r="H6448" s="16"/>
      <c r="AG6448" s="80"/>
      <c r="AH6448" s="80"/>
      <c r="AI6448" s="80"/>
    </row>
    <row r="6449" spans="5:35" x14ac:dyDescent="0.25">
      <c r="E6449" s="16"/>
      <c r="F6449" s="16"/>
      <c r="H6449" s="16"/>
      <c r="AG6449" s="80"/>
      <c r="AH6449" s="80"/>
      <c r="AI6449" s="80"/>
    </row>
    <row r="6450" spans="5:35" x14ac:dyDescent="0.25">
      <c r="E6450" s="16"/>
      <c r="F6450" s="16"/>
      <c r="H6450" s="16"/>
      <c r="AG6450" s="80"/>
      <c r="AH6450" s="80"/>
      <c r="AI6450" s="80"/>
    </row>
    <row r="6451" spans="5:35" x14ac:dyDescent="0.25">
      <c r="E6451" s="16"/>
      <c r="F6451" s="16"/>
      <c r="H6451" s="16"/>
      <c r="AG6451" s="80"/>
      <c r="AH6451" s="80"/>
      <c r="AI6451" s="80"/>
    </row>
    <row r="6452" spans="5:35" x14ac:dyDescent="0.25">
      <c r="E6452" s="16"/>
      <c r="F6452" s="16"/>
      <c r="H6452" s="16"/>
      <c r="AG6452" s="80"/>
      <c r="AH6452" s="80"/>
      <c r="AI6452" s="80"/>
    </row>
    <row r="6453" spans="5:35" x14ac:dyDescent="0.25">
      <c r="E6453" s="16"/>
      <c r="F6453" s="16"/>
      <c r="H6453" s="16"/>
      <c r="AG6453" s="80"/>
      <c r="AH6453" s="80"/>
      <c r="AI6453" s="80"/>
    </row>
    <row r="6454" spans="5:35" x14ac:dyDescent="0.25">
      <c r="E6454" s="16"/>
      <c r="F6454" s="16"/>
      <c r="H6454" s="16"/>
      <c r="AG6454" s="80"/>
      <c r="AH6454" s="80"/>
      <c r="AI6454" s="80"/>
    </row>
    <row r="6455" spans="5:35" x14ac:dyDescent="0.25">
      <c r="E6455" s="16"/>
      <c r="F6455" s="16"/>
      <c r="H6455" s="16"/>
      <c r="AG6455" s="80"/>
      <c r="AH6455" s="80"/>
      <c r="AI6455" s="80"/>
    </row>
    <row r="6456" spans="5:35" x14ac:dyDescent="0.25">
      <c r="E6456" s="16"/>
      <c r="F6456" s="16"/>
      <c r="H6456" s="16"/>
      <c r="AG6456" s="80"/>
      <c r="AH6456" s="80"/>
      <c r="AI6456" s="80"/>
    </row>
    <row r="6457" spans="5:35" x14ac:dyDescent="0.25">
      <c r="E6457" s="16"/>
      <c r="F6457" s="16"/>
      <c r="H6457" s="16"/>
      <c r="AG6457" s="80"/>
      <c r="AH6457" s="80"/>
      <c r="AI6457" s="80"/>
    </row>
    <row r="6458" spans="5:35" x14ac:dyDescent="0.25">
      <c r="E6458" s="16"/>
      <c r="F6458" s="16"/>
      <c r="H6458" s="16"/>
      <c r="AG6458" s="80"/>
      <c r="AH6458" s="80"/>
      <c r="AI6458" s="80"/>
    </row>
    <row r="6459" spans="5:35" x14ac:dyDescent="0.25">
      <c r="E6459" s="16"/>
      <c r="F6459" s="16"/>
      <c r="H6459" s="16"/>
      <c r="AG6459" s="80"/>
      <c r="AH6459" s="80"/>
      <c r="AI6459" s="80"/>
    </row>
    <row r="6460" spans="5:35" x14ac:dyDescent="0.25">
      <c r="E6460" s="16"/>
      <c r="F6460" s="16"/>
      <c r="H6460" s="16"/>
      <c r="AG6460" s="80"/>
      <c r="AH6460" s="80"/>
      <c r="AI6460" s="80"/>
    </row>
    <row r="6461" spans="5:35" x14ac:dyDescent="0.25">
      <c r="E6461" s="16"/>
      <c r="F6461" s="16"/>
      <c r="H6461" s="16"/>
      <c r="AG6461" s="80"/>
      <c r="AH6461" s="80"/>
      <c r="AI6461" s="80"/>
    </row>
    <row r="6462" spans="5:35" x14ac:dyDescent="0.25">
      <c r="E6462" s="16"/>
      <c r="F6462" s="16"/>
      <c r="H6462" s="16"/>
      <c r="AG6462" s="80"/>
      <c r="AH6462" s="80"/>
      <c r="AI6462" s="80"/>
    </row>
    <row r="6463" spans="5:35" x14ac:dyDescent="0.25">
      <c r="E6463" s="16"/>
      <c r="F6463" s="16"/>
      <c r="H6463" s="16"/>
      <c r="AG6463" s="80"/>
      <c r="AH6463" s="80"/>
      <c r="AI6463" s="80"/>
    </row>
    <row r="6464" spans="5:35" x14ac:dyDescent="0.25">
      <c r="E6464" s="16"/>
      <c r="F6464" s="16"/>
      <c r="H6464" s="16"/>
      <c r="AG6464" s="80"/>
      <c r="AH6464" s="80"/>
      <c r="AI6464" s="80"/>
    </row>
    <row r="6465" spans="5:35" x14ac:dyDescent="0.25">
      <c r="E6465" s="16"/>
      <c r="F6465" s="16"/>
      <c r="H6465" s="16"/>
      <c r="AG6465" s="80"/>
      <c r="AH6465" s="80"/>
      <c r="AI6465" s="80"/>
    </row>
    <row r="6466" spans="5:35" x14ac:dyDescent="0.25">
      <c r="E6466" s="16"/>
      <c r="F6466" s="16"/>
      <c r="H6466" s="16"/>
      <c r="AG6466" s="80"/>
      <c r="AH6466" s="80"/>
      <c r="AI6466" s="80"/>
    </row>
    <row r="6467" spans="5:35" x14ac:dyDescent="0.25">
      <c r="E6467" s="16"/>
      <c r="F6467" s="16"/>
      <c r="H6467" s="16"/>
      <c r="AG6467" s="80"/>
      <c r="AH6467" s="80"/>
      <c r="AI6467" s="80"/>
    </row>
    <row r="6468" spans="5:35" x14ac:dyDescent="0.25">
      <c r="E6468" s="16"/>
      <c r="F6468" s="16"/>
      <c r="H6468" s="16"/>
      <c r="AG6468" s="80"/>
      <c r="AH6468" s="80"/>
      <c r="AI6468" s="80"/>
    </row>
    <row r="6469" spans="5:35" x14ac:dyDescent="0.25">
      <c r="E6469" s="16"/>
      <c r="F6469" s="16"/>
      <c r="H6469" s="16"/>
      <c r="AG6469" s="80"/>
      <c r="AH6469" s="80"/>
      <c r="AI6469" s="80"/>
    </row>
    <row r="6470" spans="5:35" x14ac:dyDescent="0.25">
      <c r="E6470" s="16"/>
      <c r="F6470" s="16"/>
      <c r="H6470" s="16"/>
      <c r="AG6470" s="80"/>
      <c r="AH6470" s="80"/>
      <c r="AI6470" s="80"/>
    </row>
    <row r="6471" spans="5:35" x14ac:dyDescent="0.25">
      <c r="E6471" s="16"/>
      <c r="F6471" s="16"/>
      <c r="H6471" s="16"/>
      <c r="AG6471" s="80"/>
      <c r="AH6471" s="80"/>
      <c r="AI6471" s="80"/>
    </row>
    <row r="6472" spans="5:35" x14ac:dyDescent="0.25">
      <c r="E6472" s="16"/>
      <c r="F6472" s="16"/>
      <c r="H6472" s="16"/>
      <c r="AG6472" s="80"/>
      <c r="AH6472" s="80"/>
      <c r="AI6472" s="80"/>
    </row>
    <row r="6473" spans="5:35" x14ac:dyDescent="0.25">
      <c r="E6473" s="16"/>
      <c r="F6473" s="16"/>
      <c r="H6473" s="16"/>
      <c r="AG6473" s="80"/>
      <c r="AH6473" s="80"/>
      <c r="AI6473" s="80"/>
    </row>
    <row r="6474" spans="5:35" x14ac:dyDescent="0.25">
      <c r="E6474" s="16"/>
      <c r="F6474" s="16"/>
      <c r="H6474" s="16"/>
      <c r="AG6474" s="80"/>
      <c r="AH6474" s="80"/>
      <c r="AI6474" s="80"/>
    </row>
    <row r="6475" spans="5:35" x14ac:dyDescent="0.25">
      <c r="E6475" s="16"/>
      <c r="F6475" s="16"/>
      <c r="H6475" s="16"/>
      <c r="AG6475" s="80"/>
      <c r="AH6475" s="80"/>
      <c r="AI6475" s="80"/>
    </row>
    <row r="6476" spans="5:35" x14ac:dyDescent="0.25">
      <c r="E6476" s="16"/>
      <c r="F6476" s="16"/>
      <c r="H6476" s="16"/>
      <c r="AG6476" s="80"/>
      <c r="AH6476" s="80"/>
      <c r="AI6476" s="80"/>
    </row>
    <row r="6477" spans="5:35" x14ac:dyDescent="0.25">
      <c r="E6477" s="16"/>
      <c r="F6477" s="16"/>
      <c r="H6477" s="16"/>
      <c r="AG6477" s="80"/>
      <c r="AH6477" s="80"/>
      <c r="AI6477" s="80"/>
    </row>
    <row r="6478" spans="5:35" x14ac:dyDescent="0.25">
      <c r="E6478" s="16"/>
      <c r="F6478" s="16"/>
      <c r="H6478" s="16"/>
      <c r="AG6478" s="80"/>
      <c r="AH6478" s="80"/>
      <c r="AI6478" s="80"/>
    </row>
    <row r="6479" spans="5:35" x14ac:dyDescent="0.25">
      <c r="E6479" s="16"/>
      <c r="F6479" s="16"/>
      <c r="H6479" s="16"/>
      <c r="AG6479" s="80"/>
      <c r="AH6479" s="80"/>
      <c r="AI6479" s="80"/>
    </row>
    <row r="6480" spans="5:35" x14ac:dyDescent="0.25">
      <c r="E6480" s="16"/>
      <c r="F6480" s="16"/>
      <c r="H6480" s="16"/>
      <c r="AG6480" s="80"/>
      <c r="AH6480" s="80"/>
      <c r="AI6480" s="80"/>
    </row>
    <row r="6481" spans="5:35" x14ac:dyDescent="0.25">
      <c r="E6481" s="16"/>
      <c r="F6481" s="16"/>
      <c r="H6481" s="16"/>
      <c r="AG6481" s="80"/>
      <c r="AH6481" s="80"/>
      <c r="AI6481" s="80"/>
    </row>
    <row r="6482" spans="5:35" x14ac:dyDescent="0.25">
      <c r="E6482" s="16"/>
      <c r="F6482" s="16"/>
      <c r="H6482" s="16"/>
      <c r="AG6482" s="80"/>
      <c r="AH6482" s="80"/>
      <c r="AI6482" s="80"/>
    </row>
    <row r="6483" spans="5:35" x14ac:dyDescent="0.25">
      <c r="E6483" s="16"/>
      <c r="F6483" s="16"/>
      <c r="H6483" s="16"/>
      <c r="AG6483" s="80"/>
      <c r="AH6483" s="80"/>
      <c r="AI6483" s="80"/>
    </row>
    <row r="6484" spans="5:35" x14ac:dyDescent="0.25">
      <c r="E6484" s="16"/>
      <c r="F6484" s="16"/>
      <c r="H6484" s="16"/>
      <c r="AG6484" s="80"/>
      <c r="AH6484" s="80"/>
      <c r="AI6484" s="80"/>
    </row>
    <row r="6485" spans="5:35" x14ac:dyDescent="0.25">
      <c r="E6485" s="16"/>
      <c r="F6485" s="16"/>
      <c r="H6485" s="16"/>
      <c r="AG6485" s="80"/>
      <c r="AH6485" s="80"/>
      <c r="AI6485" s="80"/>
    </row>
    <row r="6486" spans="5:35" x14ac:dyDescent="0.25">
      <c r="E6486" s="16"/>
      <c r="F6486" s="16"/>
      <c r="H6486" s="16"/>
      <c r="AG6486" s="80"/>
      <c r="AH6486" s="80"/>
      <c r="AI6486" s="80"/>
    </row>
    <row r="6487" spans="5:35" x14ac:dyDescent="0.25">
      <c r="E6487" s="16"/>
      <c r="F6487" s="16"/>
      <c r="H6487" s="16"/>
      <c r="AG6487" s="80"/>
      <c r="AH6487" s="80"/>
      <c r="AI6487" s="80"/>
    </row>
    <row r="6488" spans="5:35" x14ac:dyDescent="0.25">
      <c r="E6488" s="16"/>
      <c r="F6488" s="16"/>
      <c r="H6488" s="16"/>
      <c r="AG6488" s="80"/>
      <c r="AH6488" s="80"/>
      <c r="AI6488" s="80"/>
    </row>
    <row r="6489" spans="5:35" x14ac:dyDescent="0.25">
      <c r="E6489" s="16"/>
      <c r="F6489" s="16"/>
      <c r="H6489" s="16"/>
      <c r="AG6489" s="80"/>
      <c r="AH6489" s="80"/>
      <c r="AI6489" s="80"/>
    </row>
    <row r="6490" spans="5:35" x14ac:dyDescent="0.25">
      <c r="E6490" s="16"/>
      <c r="F6490" s="16"/>
      <c r="H6490" s="16"/>
      <c r="AG6490" s="80"/>
      <c r="AH6490" s="80"/>
      <c r="AI6490" s="80"/>
    </row>
    <row r="6491" spans="5:35" x14ac:dyDescent="0.25">
      <c r="E6491" s="16"/>
      <c r="F6491" s="16"/>
      <c r="H6491" s="16"/>
      <c r="AG6491" s="80"/>
      <c r="AH6491" s="80"/>
      <c r="AI6491" s="80"/>
    </row>
    <row r="6492" spans="5:35" x14ac:dyDescent="0.25">
      <c r="E6492" s="16"/>
      <c r="F6492" s="16"/>
      <c r="H6492" s="16"/>
      <c r="AG6492" s="80"/>
      <c r="AH6492" s="80"/>
      <c r="AI6492" s="80"/>
    </row>
    <row r="6493" spans="5:35" x14ac:dyDescent="0.25">
      <c r="E6493" s="16"/>
      <c r="F6493" s="16"/>
      <c r="H6493" s="16"/>
      <c r="AG6493" s="80"/>
      <c r="AH6493" s="80"/>
      <c r="AI6493" s="80"/>
    </row>
    <row r="6494" spans="5:35" x14ac:dyDescent="0.25">
      <c r="E6494" s="16"/>
      <c r="F6494" s="16"/>
      <c r="H6494" s="16"/>
      <c r="AG6494" s="80"/>
      <c r="AH6494" s="80"/>
      <c r="AI6494" s="80"/>
    </row>
    <row r="6495" spans="5:35" x14ac:dyDescent="0.25">
      <c r="E6495" s="16"/>
      <c r="F6495" s="16"/>
      <c r="H6495" s="16"/>
      <c r="AG6495" s="80"/>
      <c r="AH6495" s="80"/>
      <c r="AI6495" s="80"/>
    </row>
    <row r="6496" spans="5:35" x14ac:dyDescent="0.25">
      <c r="E6496" s="16"/>
      <c r="F6496" s="16"/>
      <c r="H6496" s="16"/>
      <c r="AG6496" s="80"/>
      <c r="AH6496" s="80"/>
      <c r="AI6496" s="80"/>
    </row>
    <row r="6497" spans="5:35" x14ac:dyDescent="0.25">
      <c r="E6497" s="16"/>
      <c r="F6497" s="16"/>
      <c r="H6497" s="16"/>
      <c r="AG6497" s="80"/>
      <c r="AH6497" s="80"/>
      <c r="AI6497" s="80"/>
    </row>
    <row r="6498" spans="5:35" x14ac:dyDescent="0.25">
      <c r="E6498" s="16"/>
      <c r="F6498" s="16"/>
      <c r="H6498" s="16"/>
      <c r="AG6498" s="80"/>
      <c r="AH6498" s="80"/>
      <c r="AI6498" s="80"/>
    </row>
    <row r="6499" spans="5:35" x14ac:dyDescent="0.25">
      <c r="E6499" s="16"/>
      <c r="F6499" s="16"/>
      <c r="H6499" s="16"/>
      <c r="AG6499" s="80"/>
      <c r="AH6499" s="80"/>
      <c r="AI6499" s="80"/>
    </row>
    <row r="6500" spans="5:35" x14ac:dyDescent="0.25">
      <c r="E6500" s="16"/>
      <c r="F6500" s="16"/>
      <c r="H6500" s="16"/>
      <c r="AG6500" s="80"/>
      <c r="AH6500" s="80"/>
      <c r="AI6500" s="80"/>
    </row>
    <row r="6501" spans="5:35" x14ac:dyDescent="0.25">
      <c r="E6501" s="16"/>
      <c r="F6501" s="16"/>
      <c r="H6501" s="16"/>
      <c r="AG6501" s="80"/>
      <c r="AH6501" s="80"/>
      <c r="AI6501" s="80"/>
    </row>
    <row r="6502" spans="5:35" x14ac:dyDescent="0.25">
      <c r="E6502" s="16"/>
      <c r="F6502" s="16"/>
      <c r="H6502" s="16"/>
      <c r="AG6502" s="80"/>
      <c r="AH6502" s="80"/>
      <c r="AI6502" s="80"/>
    </row>
    <row r="6503" spans="5:35" x14ac:dyDescent="0.25">
      <c r="E6503" s="16"/>
      <c r="F6503" s="16"/>
      <c r="H6503" s="16"/>
      <c r="AG6503" s="80"/>
      <c r="AH6503" s="80"/>
      <c r="AI6503" s="80"/>
    </row>
    <row r="6504" spans="5:35" x14ac:dyDescent="0.25">
      <c r="E6504" s="16"/>
      <c r="F6504" s="16"/>
      <c r="H6504" s="16"/>
      <c r="AG6504" s="80"/>
      <c r="AH6504" s="80"/>
      <c r="AI6504" s="80"/>
    </row>
    <row r="6505" spans="5:35" x14ac:dyDescent="0.25">
      <c r="E6505" s="16"/>
      <c r="F6505" s="16"/>
      <c r="H6505" s="16"/>
      <c r="AG6505" s="80"/>
      <c r="AH6505" s="80"/>
      <c r="AI6505" s="80"/>
    </row>
    <row r="6506" spans="5:35" x14ac:dyDescent="0.25">
      <c r="E6506" s="16"/>
      <c r="F6506" s="16"/>
      <c r="H6506" s="16"/>
      <c r="AG6506" s="80"/>
      <c r="AH6506" s="80"/>
      <c r="AI6506" s="80"/>
    </row>
    <row r="6507" spans="5:35" x14ac:dyDescent="0.25">
      <c r="E6507" s="16"/>
      <c r="F6507" s="16"/>
      <c r="H6507" s="16"/>
      <c r="AG6507" s="80"/>
      <c r="AH6507" s="80"/>
      <c r="AI6507" s="80"/>
    </row>
    <row r="6508" spans="5:35" x14ac:dyDescent="0.25">
      <c r="E6508" s="16"/>
      <c r="F6508" s="16"/>
      <c r="H6508" s="16"/>
      <c r="AG6508" s="80"/>
      <c r="AH6508" s="80"/>
      <c r="AI6508" s="80"/>
    </row>
    <row r="6509" spans="5:35" x14ac:dyDescent="0.25">
      <c r="E6509" s="16"/>
      <c r="F6509" s="16"/>
      <c r="H6509" s="16"/>
      <c r="AG6509" s="80"/>
      <c r="AH6509" s="80"/>
      <c r="AI6509" s="80"/>
    </row>
    <row r="6510" spans="5:35" x14ac:dyDescent="0.25">
      <c r="E6510" s="16"/>
      <c r="F6510" s="16"/>
      <c r="H6510" s="16"/>
      <c r="AG6510" s="80"/>
      <c r="AH6510" s="80"/>
      <c r="AI6510" s="80"/>
    </row>
    <row r="6511" spans="5:35" x14ac:dyDescent="0.25">
      <c r="E6511" s="16"/>
      <c r="F6511" s="16"/>
      <c r="H6511" s="16"/>
      <c r="AG6511" s="80"/>
      <c r="AH6511" s="80"/>
      <c r="AI6511" s="80"/>
    </row>
    <row r="6512" spans="5:35" x14ac:dyDescent="0.25">
      <c r="E6512" s="16"/>
      <c r="F6512" s="16"/>
      <c r="H6512" s="16"/>
      <c r="AG6512" s="80"/>
      <c r="AH6512" s="80"/>
      <c r="AI6512" s="80"/>
    </row>
    <row r="6513" spans="5:35" x14ac:dyDescent="0.25">
      <c r="E6513" s="16"/>
      <c r="F6513" s="16"/>
      <c r="H6513" s="16"/>
      <c r="AG6513" s="80"/>
      <c r="AH6513" s="80"/>
      <c r="AI6513" s="80"/>
    </row>
    <row r="6514" spans="5:35" x14ac:dyDescent="0.25">
      <c r="E6514" s="16"/>
      <c r="F6514" s="16"/>
      <c r="H6514" s="16"/>
      <c r="AG6514" s="80"/>
      <c r="AH6514" s="80"/>
      <c r="AI6514" s="80"/>
    </row>
    <row r="6515" spans="5:35" x14ac:dyDescent="0.25">
      <c r="E6515" s="16"/>
      <c r="F6515" s="16"/>
      <c r="H6515" s="16"/>
      <c r="AG6515" s="80"/>
      <c r="AH6515" s="80"/>
      <c r="AI6515" s="80"/>
    </row>
    <row r="6516" spans="5:35" x14ac:dyDescent="0.25">
      <c r="E6516" s="16"/>
      <c r="F6516" s="16"/>
      <c r="H6516" s="16"/>
      <c r="AG6516" s="80"/>
      <c r="AH6516" s="80"/>
      <c r="AI6516" s="80"/>
    </row>
    <row r="6517" spans="5:35" x14ac:dyDescent="0.25">
      <c r="E6517" s="16"/>
      <c r="F6517" s="16"/>
      <c r="H6517" s="16"/>
      <c r="AG6517" s="80"/>
      <c r="AH6517" s="80"/>
      <c r="AI6517" s="80"/>
    </row>
    <row r="6518" spans="5:35" x14ac:dyDescent="0.25">
      <c r="E6518" s="16"/>
      <c r="F6518" s="16"/>
      <c r="H6518" s="16"/>
      <c r="AG6518" s="80"/>
      <c r="AH6518" s="80"/>
      <c r="AI6518" s="80"/>
    </row>
    <row r="6519" spans="5:35" x14ac:dyDescent="0.25">
      <c r="E6519" s="16"/>
      <c r="F6519" s="16"/>
      <c r="H6519" s="16"/>
      <c r="AG6519" s="80"/>
      <c r="AH6519" s="80"/>
      <c r="AI6519" s="80"/>
    </row>
    <row r="6520" spans="5:35" x14ac:dyDescent="0.25">
      <c r="E6520" s="16"/>
      <c r="F6520" s="16"/>
      <c r="H6520" s="16"/>
      <c r="AG6520" s="80"/>
      <c r="AH6520" s="80"/>
      <c r="AI6520" s="80"/>
    </row>
    <row r="6521" spans="5:35" x14ac:dyDescent="0.25">
      <c r="E6521" s="16"/>
      <c r="F6521" s="16"/>
      <c r="H6521" s="16"/>
      <c r="AG6521" s="80"/>
      <c r="AH6521" s="80"/>
      <c r="AI6521" s="80"/>
    </row>
    <row r="6522" spans="5:35" x14ac:dyDescent="0.25">
      <c r="E6522" s="16"/>
      <c r="F6522" s="16"/>
      <c r="H6522" s="16"/>
      <c r="AG6522" s="80"/>
      <c r="AH6522" s="80"/>
      <c r="AI6522" s="80"/>
    </row>
    <row r="6523" spans="5:35" x14ac:dyDescent="0.25">
      <c r="E6523" s="16"/>
      <c r="F6523" s="16"/>
      <c r="H6523" s="16"/>
      <c r="AG6523" s="80"/>
      <c r="AH6523" s="80"/>
      <c r="AI6523" s="80"/>
    </row>
    <row r="6524" spans="5:35" x14ac:dyDescent="0.25">
      <c r="E6524" s="16"/>
      <c r="F6524" s="16"/>
      <c r="H6524" s="16"/>
      <c r="AG6524" s="80"/>
      <c r="AH6524" s="80"/>
      <c r="AI6524" s="80"/>
    </row>
    <row r="6525" spans="5:35" x14ac:dyDescent="0.25">
      <c r="E6525" s="16"/>
      <c r="F6525" s="16"/>
      <c r="H6525" s="16"/>
      <c r="AG6525" s="80"/>
      <c r="AH6525" s="80"/>
      <c r="AI6525" s="80"/>
    </row>
    <row r="6526" spans="5:35" x14ac:dyDescent="0.25">
      <c r="E6526" s="16"/>
      <c r="F6526" s="16"/>
      <c r="H6526" s="16"/>
      <c r="AG6526" s="80"/>
      <c r="AH6526" s="80"/>
      <c r="AI6526" s="80"/>
    </row>
    <row r="6527" spans="5:35" x14ac:dyDescent="0.25">
      <c r="E6527" s="16"/>
      <c r="F6527" s="16"/>
      <c r="H6527" s="16"/>
      <c r="AG6527" s="80"/>
      <c r="AH6527" s="80"/>
      <c r="AI6527" s="80"/>
    </row>
    <row r="6528" spans="5:35" x14ac:dyDescent="0.25">
      <c r="E6528" s="16"/>
      <c r="F6528" s="16"/>
      <c r="H6528" s="16"/>
      <c r="AG6528" s="80"/>
      <c r="AH6528" s="80"/>
      <c r="AI6528" s="80"/>
    </row>
    <row r="6529" spans="5:35" x14ac:dyDescent="0.25">
      <c r="E6529" s="16"/>
      <c r="F6529" s="16"/>
      <c r="H6529" s="16"/>
      <c r="AG6529" s="80"/>
      <c r="AH6529" s="80"/>
      <c r="AI6529" s="80"/>
    </row>
    <row r="6530" spans="5:35" x14ac:dyDescent="0.25">
      <c r="E6530" s="16"/>
      <c r="F6530" s="16"/>
      <c r="H6530" s="16"/>
      <c r="AG6530" s="80"/>
      <c r="AH6530" s="80"/>
      <c r="AI6530" s="80"/>
    </row>
    <row r="6531" spans="5:35" x14ac:dyDescent="0.25">
      <c r="E6531" s="16"/>
      <c r="F6531" s="16"/>
      <c r="H6531" s="16"/>
      <c r="AG6531" s="80"/>
      <c r="AH6531" s="80"/>
      <c r="AI6531" s="80"/>
    </row>
    <row r="6532" spans="5:35" x14ac:dyDescent="0.25">
      <c r="E6532" s="16"/>
      <c r="F6532" s="16"/>
      <c r="H6532" s="16"/>
      <c r="AG6532" s="80"/>
      <c r="AH6532" s="80"/>
      <c r="AI6532" s="80"/>
    </row>
    <row r="6533" spans="5:35" x14ac:dyDescent="0.25">
      <c r="E6533" s="16"/>
      <c r="F6533" s="16"/>
      <c r="H6533" s="16"/>
      <c r="AG6533" s="80"/>
      <c r="AH6533" s="80"/>
      <c r="AI6533" s="80"/>
    </row>
    <row r="6534" spans="5:35" x14ac:dyDescent="0.25">
      <c r="E6534" s="16"/>
      <c r="F6534" s="16"/>
      <c r="H6534" s="16"/>
      <c r="AG6534" s="80"/>
      <c r="AH6534" s="80"/>
      <c r="AI6534" s="80"/>
    </row>
    <row r="6535" spans="5:35" x14ac:dyDescent="0.25">
      <c r="E6535" s="16"/>
      <c r="F6535" s="16"/>
      <c r="H6535" s="16"/>
      <c r="AG6535" s="80"/>
      <c r="AH6535" s="80"/>
      <c r="AI6535" s="80"/>
    </row>
    <row r="6536" spans="5:35" x14ac:dyDescent="0.25">
      <c r="E6536" s="16"/>
      <c r="F6536" s="16"/>
      <c r="H6536" s="16"/>
      <c r="AG6536" s="80"/>
      <c r="AH6536" s="80"/>
      <c r="AI6536" s="80"/>
    </row>
    <row r="6537" spans="5:35" x14ac:dyDescent="0.25">
      <c r="E6537" s="16"/>
      <c r="F6537" s="16"/>
      <c r="H6537" s="16"/>
      <c r="AG6537" s="80"/>
      <c r="AH6537" s="80"/>
      <c r="AI6537" s="80"/>
    </row>
    <row r="6538" spans="5:35" x14ac:dyDescent="0.25">
      <c r="E6538" s="16"/>
      <c r="F6538" s="16"/>
      <c r="H6538" s="16"/>
      <c r="AG6538" s="80"/>
      <c r="AH6538" s="80"/>
      <c r="AI6538" s="80"/>
    </row>
    <row r="6539" spans="5:35" x14ac:dyDescent="0.25">
      <c r="E6539" s="16"/>
      <c r="F6539" s="16"/>
      <c r="H6539" s="16"/>
      <c r="AG6539" s="80"/>
      <c r="AH6539" s="80"/>
      <c r="AI6539" s="80"/>
    </row>
    <row r="6540" spans="5:35" x14ac:dyDescent="0.25">
      <c r="E6540" s="16"/>
      <c r="F6540" s="16"/>
      <c r="H6540" s="16"/>
      <c r="AG6540" s="80"/>
      <c r="AH6540" s="80"/>
      <c r="AI6540" s="80"/>
    </row>
    <row r="6541" spans="5:35" x14ac:dyDescent="0.25">
      <c r="E6541" s="16"/>
      <c r="F6541" s="16"/>
      <c r="H6541" s="16"/>
      <c r="AG6541" s="80"/>
      <c r="AH6541" s="80"/>
      <c r="AI6541" s="80"/>
    </row>
    <row r="6542" spans="5:35" x14ac:dyDescent="0.25">
      <c r="E6542" s="16"/>
      <c r="F6542" s="16"/>
      <c r="H6542" s="16"/>
      <c r="AG6542" s="80"/>
      <c r="AH6542" s="80"/>
      <c r="AI6542" s="80"/>
    </row>
    <row r="6543" spans="5:35" x14ac:dyDescent="0.25">
      <c r="E6543" s="16"/>
      <c r="F6543" s="16"/>
      <c r="H6543" s="16"/>
      <c r="AG6543" s="80"/>
      <c r="AH6543" s="80"/>
      <c r="AI6543" s="80"/>
    </row>
    <row r="6544" spans="5:35" x14ac:dyDescent="0.25">
      <c r="E6544" s="16"/>
      <c r="F6544" s="16"/>
      <c r="H6544" s="16"/>
      <c r="AG6544" s="80"/>
      <c r="AH6544" s="80"/>
      <c r="AI6544" s="80"/>
    </row>
    <row r="6545" spans="5:35" x14ac:dyDescent="0.25">
      <c r="E6545" s="16"/>
      <c r="F6545" s="16"/>
      <c r="H6545" s="16"/>
      <c r="AG6545" s="80"/>
      <c r="AH6545" s="80"/>
      <c r="AI6545" s="80"/>
    </row>
    <row r="6546" spans="5:35" x14ac:dyDescent="0.25">
      <c r="E6546" s="16"/>
      <c r="F6546" s="16"/>
      <c r="H6546" s="16"/>
      <c r="AG6546" s="80"/>
      <c r="AH6546" s="80"/>
      <c r="AI6546" s="80"/>
    </row>
    <row r="6547" spans="5:35" x14ac:dyDescent="0.25">
      <c r="E6547" s="16"/>
      <c r="F6547" s="16"/>
      <c r="H6547" s="16"/>
      <c r="AG6547" s="80"/>
      <c r="AH6547" s="80"/>
      <c r="AI6547" s="80"/>
    </row>
    <row r="6548" spans="5:35" x14ac:dyDescent="0.25">
      <c r="E6548" s="16"/>
      <c r="F6548" s="16"/>
      <c r="H6548" s="16"/>
      <c r="AG6548" s="80"/>
      <c r="AH6548" s="80"/>
      <c r="AI6548" s="80"/>
    </row>
    <row r="6549" spans="5:35" x14ac:dyDescent="0.25">
      <c r="E6549" s="16"/>
      <c r="F6549" s="16"/>
      <c r="H6549" s="16"/>
      <c r="AG6549" s="80"/>
      <c r="AH6549" s="80"/>
      <c r="AI6549" s="80"/>
    </row>
    <row r="6550" spans="5:35" x14ac:dyDescent="0.25">
      <c r="E6550" s="16"/>
      <c r="F6550" s="16"/>
      <c r="H6550" s="16"/>
      <c r="AG6550" s="80"/>
      <c r="AH6550" s="80"/>
      <c r="AI6550" s="80"/>
    </row>
    <row r="6551" spans="5:35" x14ac:dyDescent="0.25">
      <c r="E6551" s="16"/>
      <c r="F6551" s="16"/>
      <c r="H6551" s="16"/>
      <c r="AG6551" s="80"/>
      <c r="AH6551" s="80"/>
      <c r="AI6551" s="80"/>
    </row>
    <row r="6552" spans="5:35" x14ac:dyDescent="0.25">
      <c r="E6552" s="16"/>
      <c r="F6552" s="16"/>
      <c r="H6552" s="16"/>
      <c r="AG6552" s="80"/>
      <c r="AH6552" s="80"/>
      <c r="AI6552" s="80"/>
    </row>
    <row r="6553" spans="5:35" x14ac:dyDescent="0.25">
      <c r="E6553" s="16"/>
      <c r="F6553" s="16"/>
      <c r="H6553" s="16"/>
      <c r="AG6553" s="80"/>
      <c r="AH6553" s="80"/>
      <c r="AI6553" s="80"/>
    </row>
    <row r="6554" spans="5:35" x14ac:dyDescent="0.25">
      <c r="E6554" s="16"/>
      <c r="F6554" s="16"/>
      <c r="H6554" s="16"/>
      <c r="AG6554" s="80"/>
      <c r="AH6554" s="80"/>
      <c r="AI6554" s="80"/>
    </row>
    <row r="6555" spans="5:35" x14ac:dyDescent="0.25">
      <c r="E6555" s="16"/>
      <c r="F6555" s="16"/>
      <c r="H6555" s="16"/>
      <c r="AG6555" s="80"/>
      <c r="AH6555" s="80"/>
      <c r="AI6555" s="80"/>
    </row>
    <row r="6556" spans="5:35" x14ac:dyDescent="0.25">
      <c r="E6556" s="16"/>
      <c r="F6556" s="16"/>
      <c r="H6556" s="16"/>
      <c r="AG6556" s="80"/>
      <c r="AH6556" s="80"/>
      <c r="AI6556" s="80"/>
    </row>
    <row r="6557" spans="5:35" x14ac:dyDescent="0.25">
      <c r="E6557" s="16"/>
      <c r="F6557" s="16"/>
      <c r="H6557" s="16"/>
      <c r="AG6557" s="80"/>
      <c r="AH6557" s="80"/>
      <c r="AI6557" s="80"/>
    </row>
    <row r="6558" spans="5:35" x14ac:dyDescent="0.25">
      <c r="E6558" s="16"/>
      <c r="F6558" s="16"/>
      <c r="H6558" s="16"/>
      <c r="AG6558" s="80"/>
      <c r="AH6558" s="80"/>
      <c r="AI6558" s="80"/>
    </row>
    <row r="6559" spans="5:35" x14ac:dyDescent="0.25">
      <c r="E6559" s="16"/>
      <c r="F6559" s="16"/>
      <c r="H6559" s="16"/>
      <c r="AG6559" s="80"/>
      <c r="AH6559" s="80"/>
      <c r="AI6559" s="80"/>
    </row>
    <row r="6560" spans="5:35" x14ac:dyDescent="0.25">
      <c r="E6560" s="16"/>
      <c r="F6560" s="16"/>
      <c r="H6560" s="16"/>
      <c r="AG6560" s="80"/>
      <c r="AH6560" s="80"/>
      <c r="AI6560" s="80"/>
    </row>
    <row r="6561" spans="5:35" x14ac:dyDescent="0.25">
      <c r="E6561" s="16"/>
      <c r="F6561" s="16"/>
      <c r="H6561" s="16"/>
      <c r="AG6561" s="80"/>
      <c r="AH6561" s="80"/>
      <c r="AI6561" s="80"/>
    </row>
    <row r="6562" spans="5:35" x14ac:dyDescent="0.25">
      <c r="E6562" s="16"/>
      <c r="F6562" s="16"/>
      <c r="H6562" s="16"/>
      <c r="AG6562" s="80"/>
      <c r="AH6562" s="80"/>
      <c r="AI6562" s="80"/>
    </row>
    <row r="6563" spans="5:35" x14ac:dyDescent="0.25">
      <c r="E6563" s="16"/>
      <c r="F6563" s="16"/>
      <c r="H6563" s="16"/>
      <c r="AG6563" s="80"/>
      <c r="AH6563" s="80"/>
      <c r="AI6563" s="80"/>
    </row>
    <row r="6564" spans="5:35" x14ac:dyDescent="0.25">
      <c r="E6564" s="16"/>
      <c r="F6564" s="16"/>
      <c r="H6564" s="16"/>
      <c r="AG6564" s="80"/>
      <c r="AH6564" s="80"/>
      <c r="AI6564" s="80"/>
    </row>
    <row r="6565" spans="5:35" x14ac:dyDescent="0.25">
      <c r="E6565" s="16"/>
      <c r="F6565" s="16"/>
      <c r="H6565" s="16"/>
      <c r="AG6565" s="80"/>
      <c r="AH6565" s="80"/>
      <c r="AI6565" s="80"/>
    </row>
    <row r="6566" spans="5:35" x14ac:dyDescent="0.25">
      <c r="E6566" s="16"/>
      <c r="F6566" s="16"/>
      <c r="H6566" s="16"/>
      <c r="AG6566" s="80"/>
      <c r="AH6566" s="80"/>
      <c r="AI6566" s="80"/>
    </row>
    <row r="6567" spans="5:35" x14ac:dyDescent="0.25">
      <c r="E6567" s="16"/>
      <c r="F6567" s="16"/>
      <c r="H6567" s="16"/>
      <c r="AG6567" s="80"/>
      <c r="AH6567" s="80"/>
      <c r="AI6567" s="80"/>
    </row>
    <row r="6568" spans="5:35" x14ac:dyDescent="0.25">
      <c r="E6568" s="16"/>
      <c r="F6568" s="16"/>
      <c r="H6568" s="16"/>
      <c r="AG6568" s="80"/>
      <c r="AH6568" s="80"/>
      <c r="AI6568" s="80"/>
    </row>
    <row r="6569" spans="5:35" x14ac:dyDescent="0.25">
      <c r="E6569" s="16"/>
      <c r="F6569" s="16"/>
      <c r="H6569" s="16"/>
      <c r="AG6569" s="80"/>
      <c r="AH6569" s="80"/>
      <c r="AI6569" s="80"/>
    </row>
    <row r="6570" spans="5:35" x14ac:dyDescent="0.25">
      <c r="E6570" s="16"/>
      <c r="F6570" s="16"/>
      <c r="H6570" s="16"/>
      <c r="AG6570" s="80"/>
      <c r="AH6570" s="80"/>
      <c r="AI6570" s="80"/>
    </row>
    <row r="6571" spans="5:35" x14ac:dyDescent="0.25">
      <c r="E6571" s="16"/>
      <c r="F6571" s="16"/>
      <c r="H6571" s="16"/>
      <c r="AG6571" s="80"/>
      <c r="AH6571" s="80"/>
      <c r="AI6571" s="80"/>
    </row>
    <row r="6572" spans="5:35" x14ac:dyDescent="0.25">
      <c r="E6572" s="16"/>
      <c r="F6572" s="16"/>
      <c r="H6572" s="16"/>
      <c r="AG6572" s="80"/>
      <c r="AH6572" s="80"/>
      <c r="AI6572" s="80"/>
    </row>
    <row r="6573" spans="5:35" x14ac:dyDescent="0.25">
      <c r="E6573" s="16"/>
      <c r="F6573" s="16"/>
      <c r="H6573" s="16"/>
      <c r="AG6573" s="80"/>
      <c r="AH6573" s="80"/>
      <c r="AI6573" s="80"/>
    </row>
    <row r="6574" spans="5:35" x14ac:dyDescent="0.25">
      <c r="E6574" s="16"/>
      <c r="F6574" s="16"/>
      <c r="H6574" s="16"/>
      <c r="AG6574" s="80"/>
      <c r="AH6574" s="80"/>
      <c r="AI6574" s="80"/>
    </row>
    <row r="6575" spans="5:35" x14ac:dyDescent="0.25">
      <c r="E6575" s="16"/>
      <c r="F6575" s="16"/>
      <c r="H6575" s="16"/>
      <c r="AG6575" s="80"/>
      <c r="AH6575" s="80"/>
      <c r="AI6575" s="80"/>
    </row>
    <row r="6576" spans="5:35" x14ac:dyDescent="0.25">
      <c r="E6576" s="16"/>
      <c r="F6576" s="16"/>
      <c r="H6576" s="16"/>
      <c r="AG6576" s="80"/>
      <c r="AH6576" s="80"/>
      <c r="AI6576" s="80"/>
    </row>
    <row r="6577" spans="5:35" x14ac:dyDescent="0.25">
      <c r="E6577" s="16"/>
      <c r="F6577" s="16"/>
      <c r="H6577" s="16"/>
      <c r="AG6577" s="80"/>
      <c r="AH6577" s="80"/>
      <c r="AI6577" s="80"/>
    </row>
    <row r="6578" spans="5:35" x14ac:dyDescent="0.25">
      <c r="E6578" s="16"/>
      <c r="F6578" s="16"/>
      <c r="H6578" s="16"/>
      <c r="AG6578" s="80"/>
      <c r="AH6578" s="80"/>
      <c r="AI6578" s="80"/>
    </row>
    <row r="6579" spans="5:35" x14ac:dyDescent="0.25">
      <c r="E6579" s="16"/>
      <c r="F6579" s="16"/>
      <c r="H6579" s="16"/>
      <c r="AG6579" s="80"/>
      <c r="AH6579" s="80"/>
      <c r="AI6579" s="80"/>
    </row>
    <row r="6580" spans="5:35" x14ac:dyDescent="0.25">
      <c r="E6580" s="16"/>
      <c r="F6580" s="16"/>
      <c r="H6580" s="16"/>
      <c r="AG6580" s="80"/>
      <c r="AH6580" s="80"/>
      <c r="AI6580" s="80"/>
    </row>
    <row r="6581" spans="5:35" x14ac:dyDescent="0.25">
      <c r="E6581" s="16"/>
      <c r="F6581" s="16"/>
      <c r="H6581" s="16"/>
      <c r="AG6581" s="80"/>
      <c r="AH6581" s="80"/>
      <c r="AI6581" s="80"/>
    </row>
    <row r="6582" spans="5:35" x14ac:dyDescent="0.25">
      <c r="E6582" s="16"/>
      <c r="F6582" s="16"/>
      <c r="H6582" s="16"/>
      <c r="AG6582" s="80"/>
      <c r="AH6582" s="80"/>
      <c r="AI6582" s="80"/>
    </row>
    <row r="6583" spans="5:35" x14ac:dyDescent="0.25">
      <c r="E6583" s="16"/>
      <c r="F6583" s="16"/>
      <c r="H6583" s="16"/>
      <c r="AG6583" s="80"/>
      <c r="AH6583" s="80"/>
      <c r="AI6583" s="80"/>
    </row>
    <row r="6584" spans="5:35" x14ac:dyDescent="0.25">
      <c r="E6584" s="16"/>
      <c r="F6584" s="16"/>
      <c r="H6584" s="16"/>
      <c r="AG6584" s="80"/>
      <c r="AH6584" s="80"/>
      <c r="AI6584" s="80"/>
    </row>
    <row r="6585" spans="5:35" x14ac:dyDescent="0.25">
      <c r="E6585" s="16"/>
      <c r="F6585" s="16"/>
      <c r="H6585" s="16"/>
      <c r="AG6585" s="80"/>
      <c r="AH6585" s="80"/>
      <c r="AI6585" s="80"/>
    </row>
    <row r="6586" spans="5:35" x14ac:dyDescent="0.25">
      <c r="E6586" s="16"/>
      <c r="F6586" s="16"/>
      <c r="H6586" s="16"/>
      <c r="AG6586" s="80"/>
      <c r="AH6586" s="80"/>
      <c r="AI6586" s="80"/>
    </row>
    <row r="6587" spans="5:35" x14ac:dyDescent="0.25">
      <c r="E6587" s="16"/>
      <c r="F6587" s="16"/>
      <c r="H6587" s="16"/>
      <c r="AG6587" s="80"/>
      <c r="AH6587" s="80"/>
      <c r="AI6587" s="80"/>
    </row>
    <row r="6588" spans="5:35" x14ac:dyDescent="0.25">
      <c r="E6588" s="16"/>
      <c r="F6588" s="16"/>
      <c r="H6588" s="16"/>
      <c r="AG6588" s="80"/>
      <c r="AH6588" s="80"/>
      <c r="AI6588" s="80"/>
    </row>
    <row r="6589" spans="5:35" x14ac:dyDescent="0.25">
      <c r="E6589" s="16"/>
      <c r="F6589" s="16"/>
      <c r="H6589" s="16"/>
      <c r="AG6589" s="80"/>
      <c r="AH6589" s="80"/>
      <c r="AI6589" s="80"/>
    </row>
    <row r="6590" spans="5:35" x14ac:dyDescent="0.25">
      <c r="E6590" s="16"/>
      <c r="F6590" s="16"/>
      <c r="H6590" s="16"/>
      <c r="AG6590" s="80"/>
      <c r="AH6590" s="80"/>
      <c r="AI6590" s="80"/>
    </row>
    <row r="6591" spans="5:35" x14ac:dyDescent="0.25">
      <c r="E6591" s="16"/>
      <c r="F6591" s="16"/>
      <c r="H6591" s="16"/>
      <c r="AG6591" s="80"/>
      <c r="AH6591" s="80"/>
      <c r="AI6591" s="80"/>
    </row>
    <row r="6592" spans="5:35" x14ac:dyDescent="0.25">
      <c r="E6592" s="16"/>
      <c r="F6592" s="16"/>
      <c r="H6592" s="16"/>
      <c r="AG6592" s="80"/>
      <c r="AH6592" s="80"/>
      <c r="AI6592" s="80"/>
    </row>
    <row r="6593" spans="5:35" x14ac:dyDescent="0.25">
      <c r="E6593" s="16"/>
      <c r="F6593" s="16"/>
      <c r="H6593" s="16"/>
      <c r="AG6593" s="80"/>
      <c r="AH6593" s="80"/>
      <c r="AI6593" s="80"/>
    </row>
    <row r="6594" spans="5:35" x14ac:dyDescent="0.25">
      <c r="E6594" s="16"/>
      <c r="F6594" s="16"/>
      <c r="H6594" s="16"/>
      <c r="AG6594" s="80"/>
      <c r="AH6594" s="80"/>
      <c r="AI6594" s="80"/>
    </row>
    <row r="6595" spans="5:35" x14ac:dyDescent="0.25">
      <c r="E6595" s="16"/>
      <c r="F6595" s="16"/>
      <c r="H6595" s="16"/>
      <c r="AG6595" s="80"/>
      <c r="AH6595" s="80"/>
      <c r="AI6595" s="80"/>
    </row>
    <row r="6596" spans="5:35" x14ac:dyDescent="0.25">
      <c r="E6596" s="16"/>
      <c r="F6596" s="16"/>
      <c r="H6596" s="16"/>
      <c r="AG6596" s="80"/>
      <c r="AH6596" s="80"/>
      <c r="AI6596" s="80"/>
    </row>
    <row r="6597" spans="5:35" x14ac:dyDescent="0.25">
      <c r="E6597" s="16"/>
      <c r="F6597" s="16"/>
      <c r="H6597" s="16"/>
      <c r="AG6597" s="80"/>
      <c r="AH6597" s="80"/>
      <c r="AI6597" s="80"/>
    </row>
    <row r="6598" spans="5:35" x14ac:dyDescent="0.25">
      <c r="E6598" s="16"/>
      <c r="F6598" s="16"/>
      <c r="H6598" s="16"/>
      <c r="AG6598" s="80"/>
      <c r="AH6598" s="80"/>
      <c r="AI6598" s="80"/>
    </row>
    <row r="6599" spans="5:35" x14ac:dyDescent="0.25">
      <c r="E6599" s="16"/>
      <c r="F6599" s="16"/>
      <c r="H6599" s="16"/>
      <c r="AG6599" s="80"/>
      <c r="AH6599" s="80"/>
      <c r="AI6599" s="80"/>
    </row>
    <row r="6600" spans="5:35" x14ac:dyDescent="0.25">
      <c r="E6600" s="16"/>
      <c r="F6600" s="16"/>
      <c r="H6600" s="16"/>
      <c r="AG6600" s="80"/>
      <c r="AH6600" s="80"/>
      <c r="AI6600" s="80"/>
    </row>
    <row r="6601" spans="5:35" x14ac:dyDescent="0.25">
      <c r="E6601" s="16"/>
      <c r="F6601" s="16"/>
      <c r="H6601" s="16"/>
      <c r="AG6601" s="80"/>
      <c r="AH6601" s="80"/>
      <c r="AI6601" s="80"/>
    </row>
    <row r="6602" spans="5:35" x14ac:dyDescent="0.25">
      <c r="E6602" s="16"/>
      <c r="F6602" s="16"/>
      <c r="H6602" s="16"/>
      <c r="AG6602" s="80"/>
      <c r="AH6602" s="80"/>
      <c r="AI6602" s="80"/>
    </row>
    <row r="6603" spans="5:35" x14ac:dyDescent="0.25">
      <c r="E6603" s="16"/>
      <c r="F6603" s="16"/>
      <c r="H6603" s="16"/>
      <c r="AG6603" s="80"/>
      <c r="AH6603" s="80"/>
      <c r="AI6603" s="80"/>
    </row>
    <row r="6604" spans="5:35" x14ac:dyDescent="0.25">
      <c r="E6604" s="16"/>
      <c r="F6604" s="16"/>
      <c r="H6604" s="16"/>
      <c r="AG6604" s="80"/>
      <c r="AH6604" s="80"/>
      <c r="AI6604" s="80"/>
    </row>
    <row r="6605" spans="5:35" x14ac:dyDescent="0.25">
      <c r="E6605" s="16"/>
      <c r="F6605" s="16"/>
      <c r="H6605" s="16"/>
      <c r="AG6605" s="80"/>
      <c r="AH6605" s="80"/>
      <c r="AI6605" s="80"/>
    </row>
    <row r="6606" spans="5:35" x14ac:dyDescent="0.25">
      <c r="E6606" s="16"/>
      <c r="F6606" s="16"/>
      <c r="H6606" s="16"/>
      <c r="AG6606" s="80"/>
      <c r="AH6606" s="80"/>
      <c r="AI6606" s="80"/>
    </row>
    <row r="6607" spans="5:35" x14ac:dyDescent="0.25">
      <c r="E6607" s="16"/>
      <c r="F6607" s="16"/>
      <c r="H6607" s="16"/>
      <c r="AG6607" s="80"/>
      <c r="AH6607" s="80"/>
      <c r="AI6607" s="80"/>
    </row>
    <row r="6608" spans="5:35" x14ac:dyDescent="0.25">
      <c r="E6608" s="16"/>
      <c r="F6608" s="16"/>
      <c r="H6608" s="16"/>
      <c r="AG6608" s="80"/>
      <c r="AH6608" s="80"/>
      <c r="AI6608" s="80"/>
    </row>
    <row r="6609" spans="5:35" x14ac:dyDescent="0.25">
      <c r="E6609" s="16"/>
      <c r="F6609" s="16"/>
      <c r="H6609" s="16"/>
      <c r="AG6609" s="80"/>
      <c r="AH6609" s="80"/>
      <c r="AI6609" s="80"/>
    </row>
    <row r="6610" spans="5:35" x14ac:dyDescent="0.25">
      <c r="E6610" s="16"/>
      <c r="F6610" s="16"/>
      <c r="H6610" s="16"/>
      <c r="AG6610" s="80"/>
      <c r="AH6610" s="80"/>
      <c r="AI6610" s="80"/>
    </row>
    <row r="6611" spans="5:35" x14ac:dyDescent="0.25">
      <c r="E6611" s="16"/>
      <c r="F6611" s="16"/>
      <c r="H6611" s="16"/>
      <c r="AG6611" s="80"/>
      <c r="AH6611" s="80"/>
      <c r="AI6611" s="80"/>
    </row>
    <row r="6612" spans="5:35" x14ac:dyDescent="0.25">
      <c r="E6612" s="16"/>
      <c r="F6612" s="16"/>
      <c r="H6612" s="16"/>
      <c r="AG6612" s="80"/>
      <c r="AH6612" s="80"/>
      <c r="AI6612" s="80"/>
    </row>
    <row r="6613" spans="5:35" x14ac:dyDescent="0.25">
      <c r="E6613" s="16"/>
      <c r="F6613" s="16"/>
      <c r="H6613" s="16"/>
      <c r="AG6613" s="80"/>
      <c r="AH6613" s="80"/>
      <c r="AI6613" s="80"/>
    </row>
    <row r="6614" spans="5:35" x14ac:dyDescent="0.25">
      <c r="E6614" s="16"/>
      <c r="F6614" s="16"/>
      <c r="H6614" s="16"/>
      <c r="AG6614" s="80"/>
      <c r="AH6614" s="80"/>
      <c r="AI6614" s="80"/>
    </row>
    <row r="6615" spans="5:35" x14ac:dyDescent="0.25">
      <c r="E6615" s="16"/>
      <c r="F6615" s="16"/>
      <c r="H6615" s="16"/>
      <c r="AG6615" s="80"/>
      <c r="AH6615" s="80"/>
      <c r="AI6615" s="80"/>
    </row>
    <row r="6616" spans="5:35" x14ac:dyDescent="0.25">
      <c r="E6616" s="16"/>
      <c r="F6616" s="16"/>
      <c r="H6616" s="16"/>
      <c r="AG6616" s="80"/>
      <c r="AH6616" s="80"/>
      <c r="AI6616" s="80"/>
    </row>
    <row r="6617" spans="5:35" x14ac:dyDescent="0.25">
      <c r="E6617" s="16"/>
      <c r="F6617" s="16"/>
      <c r="H6617" s="16"/>
      <c r="AG6617" s="80"/>
      <c r="AH6617" s="80"/>
      <c r="AI6617" s="80"/>
    </row>
    <row r="6618" spans="5:35" x14ac:dyDescent="0.25">
      <c r="E6618" s="16"/>
      <c r="F6618" s="16"/>
      <c r="H6618" s="16"/>
      <c r="AG6618" s="80"/>
      <c r="AH6618" s="80"/>
      <c r="AI6618" s="80"/>
    </row>
    <row r="6619" spans="5:35" x14ac:dyDescent="0.25">
      <c r="E6619" s="16"/>
      <c r="F6619" s="16"/>
      <c r="H6619" s="16"/>
      <c r="AG6619" s="80"/>
      <c r="AH6619" s="80"/>
      <c r="AI6619" s="80"/>
    </row>
    <row r="6620" spans="5:35" x14ac:dyDescent="0.25">
      <c r="E6620" s="16"/>
      <c r="F6620" s="16"/>
      <c r="H6620" s="16"/>
      <c r="AG6620" s="80"/>
      <c r="AH6620" s="80"/>
      <c r="AI6620" s="80"/>
    </row>
    <row r="6621" spans="5:35" x14ac:dyDescent="0.25">
      <c r="E6621" s="16"/>
      <c r="F6621" s="16"/>
      <c r="H6621" s="16"/>
      <c r="AG6621" s="80"/>
      <c r="AH6621" s="80"/>
      <c r="AI6621" s="80"/>
    </row>
    <row r="6622" spans="5:35" x14ac:dyDescent="0.25">
      <c r="E6622" s="16"/>
      <c r="F6622" s="16"/>
      <c r="H6622" s="16"/>
      <c r="AG6622" s="80"/>
      <c r="AH6622" s="80"/>
      <c r="AI6622" s="80"/>
    </row>
    <row r="6623" spans="5:35" x14ac:dyDescent="0.25">
      <c r="E6623" s="16"/>
      <c r="F6623" s="16"/>
      <c r="H6623" s="16"/>
      <c r="AG6623" s="80"/>
      <c r="AH6623" s="80"/>
      <c r="AI6623" s="80"/>
    </row>
    <row r="6624" spans="5:35" x14ac:dyDescent="0.25">
      <c r="E6624" s="16"/>
      <c r="F6624" s="16"/>
      <c r="H6624" s="16"/>
      <c r="AG6624" s="80"/>
      <c r="AH6624" s="80"/>
      <c r="AI6624" s="80"/>
    </row>
    <row r="6625" spans="5:35" x14ac:dyDescent="0.25">
      <c r="E6625" s="16"/>
      <c r="F6625" s="16"/>
      <c r="H6625" s="16"/>
      <c r="AG6625" s="80"/>
      <c r="AH6625" s="80"/>
      <c r="AI6625" s="80"/>
    </row>
    <row r="6626" spans="5:35" x14ac:dyDescent="0.25">
      <c r="E6626" s="16"/>
      <c r="F6626" s="16"/>
      <c r="H6626" s="16"/>
      <c r="AG6626" s="80"/>
      <c r="AH6626" s="80"/>
      <c r="AI6626" s="80"/>
    </row>
    <row r="6627" spans="5:35" x14ac:dyDescent="0.25">
      <c r="E6627" s="16"/>
      <c r="F6627" s="16"/>
      <c r="H6627" s="16"/>
      <c r="AG6627" s="80"/>
      <c r="AH6627" s="80"/>
      <c r="AI6627" s="80"/>
    </row>
    <row r="6628" spans="5:35" x14ac:dyDescent="0.25">
      <c r="E6628" s="16"/>
      <c r="F6628" s="16"/>
      <c r="H6628" s="16"/>
      <c r="AG6628" s="80"/>
      <c r="AH6628" s="80"/>
      <c r="AI6628" s="80"/>
    </row>
    <row r="6629" spans="5:35" x14ac:dyDescent="0.25">
      <c r="E6629" s="16"/>
      <c r="F6629" s="16"/>
      <c r="H6629" s="16"/>
      <c r="AG6629" s="80"/>
      <c r="AH6629" s="80"/>
      <c r="AI6629" s="80"/>
    </row>
    <row r="6630" spans="5:35" x14ac:dyDescent="0.25">
      <c r="E6630" s="16"/>
      <c r="F6630" s="16"/>
      <c r="H6630" s="16"/>
      <c r="AG6630" s="80"/>
      <c r="AH6630" s="80"/>
      <c r="AI6630" s="80"/>
    </row>
    <row r="6631" spans="5:35" x14ac:dyDescent="0.25">
      <c r="E6631" s="16"/>
      <c r="F6631" s="16"/>
      <c r="H6631" s="16"/>
      <c r="AG6631" s="80"/>
      <c r="AH6631" s="80"/>
      <c r="AI6631" s="80"/>
    </row>
    <row r="6632" spans="5:35" x14ac:dyDescent="0.25">
      <c r="E6632" s="16"/>
      <c r="F6632" s="16"/>
      <c r="H6632" s="16"/>
      <c r="AG6632" s="80"/>
      <c r="AH6632" s="80"/>
      <c r="AI6632" s="80"/>
    </row>
    <row r="6633" spans="5:35" x14ac:dyDescent="0.25">
      <c r="E6633" s="16"/>
      <c r="F6633" s="16"/>
      <c r="H6633" s="16"/>
      <c r="AG6633" s="80"/>
      <c r="AH6633" s="80"/>
      <c r="AI6633" s="80"/>
    </row>
    <row r="6634" spans="5:35" x14ac:dyDescent="0.25">
      <c r="E6634" s="16"/>
      <c r="F6634" s="16"/>
      <c r="H6634" s="16"/>
      <c r="AG6634" s="80"/>
      <c r="AH6634" s="80"/>
      <c r="AI6634" s="80"/>
    </row>
    <row r="6635" spans="5:35" x14ac:dyDescent="0.25">
      <c r="E6635" s="16"/>
      <c r="F6635" s="16"/>
      <c r="H6635" s="16"/>
      <c r="AG6635" s="80"/>
      <c r="AH6635" s="80"/>
      <c r="AI6635" s="80"/>
    </row>
    <row r="6636" spans="5:35" x14ac:dyDescent="0.25">
      <c r="E6636" s="16"/>
      <c r="F6636" s="16"/>
      <c r="H6636" s="16"/>
      <c r="AG6636" s="80"/>
      <c r="AH6636" s="80"/>
      <c r="AI6636" s="80"/>
    </row>
    <row r="6637" spans="5:35" x14ac:dyDescent="0.25">
      <c r="E6637" s="16"/>
      <c r="F6637" s="16"/>
      <c r="H6637" s="16"/>
      <c r="AG6637" s="80"/>
      <c r="AH6637" s="80"/>
      <c r="AI6637" s="80"/>
    </row>
    <row r="6638" spans="5:35" x14ac:dyDescent="0.25">
      <c r="E6638" s="16"/>
      <c r="F6638" s="16"/>
      <c r="H6638" s="16"/>
      <c r="AG6638" s="80"/>
      <c r="AH6638" s="80"/>
      <c r="AI6638" s="80"/>
    </row>
    <row r="6639" spans="5:35" x14ac:dyDescent="0.25">
      <c r="E6639" s="16"/>
      <c r="F6639" s="16"/>
      <c r="H6639" s="16"/>
      <c r="AG6639" s="80"/>
      <c r="AH6639" s="80"/>
      <c r="AI6639" s="80"/>
    </row>
    <row r="6640" spans="5:35" x14ac:dyDescent="0.25">
      <c r="E6640" s="16"/>
      <c r="F6640" s="16"/>
      <c r="H6640" s="16"/>
      <c r="AG6640" s="80"/>
      <c r="AH6640" s="80"/>
      <c r="AI6640" s="80"/>
    </row>
    <row r="6641" spans="5:35" x14ac:dyDescent="0.25">
      <c r="E6641" s="16"/>
      <c r="F6641" s="16"/>
      <c r="H6641" s="16"/>
      <c r="AG6641" s="80"/>
      <c r="AH6641" s="80"/>
      <c r="AI6641" s="80"/>
    </row>
    <row r="6642" spans="5:35" x14ac:dyDescent="0.25">
      <c r="E6642" s="16"/>
      <c r="F6642" s="16"/>
      <c r="H6642" s="16"/>
      <c r="AG6642" s="80"/>
      <c r="AH6642" s="80"/>
      <c r="AI6642" s="80"/>
    </row>
    <row r="6643" spans="5:35" x14ac:dyDescent="0.25">
      <c r="E6643" s="16"/>
      <c r="F6643" s="16"/>
      <c r="H6643" s="16"/>
      <c r="AG6643" s="80"/>
      <c r="AH6643" s="80"/>
      <c r="AI6643" s="80"/>
    </row>
    <row r="6644" spans="5:35" x14ac:dyDescent="0.25">
      <c r="E6644" s="16"/>
      <c r="F6644" s="16"/>
      <c r="H6644" s="16"/>
      <c r="AG6644" s="80"/>
      <c r="AH6644" s="80"/>
      <c r="AI6644" s="80"/>
    </row>
    <row r="6645" spans="5:35" x14ac:dyDescent="0.25">
      <c r="E6645" s="16"/>
      <c r="F6645" s="16"/>
      <c r="H6645" s="16"/>
      <c r="AG6645" s="80"/>
      <c r="AH6645" s="80"/>
      <c r="AI6645" s="80"/>
    </row>
    <row r="6646" spans="5:35" x14ac:dyDescent="0.25">
      <c r="E6646" s="16"/>
      <c r="F6646" s="16"/>
      <c r="H6646" s="16"/>
      <c r="AG6646" s="80"/>
      <c r="AH6646" s="80"/>
      <c r="AI6646" s="80"/>
    </row>
    <row r="6647" spans="5:35" x14ac:dyDescent="0.25">
      <c r="E6647" s="16"/>
      <c r="F6647" s="16"/>
      <c r="H6647" s="16"/>
      <c r="AG6647" s="80"/>
      <c r="AH6647" s="80"/>
      <c r="AI6647" s="80"/>
    </row>
    <row r="6648" spans="5:35" x14ac:dyDescent="0.25">
      <c r="E6648" s="16"/>
      <c r="F6648" s="16"/>
      <c r="H6648" s="16"/>
      <c r="AG6648" s="80"/>
      <c r="AH6648" s="80"/>
      <c r="AI6648" s="80"/>
    </row>
    <row r="6649" spans="5:35" x14ac:dyDescent="0.25">
      <c r="E6649" s="16"/>
      <c r="F6649" s="16"/>
      <c r="H6649" s="16"/>
      <c r="AG6649" s="80"/>
      <c r="AH6649" s="80"/>
      <c r="AI6649" s="80"/>
    </row>
    <row r="6650" spans="5:35" x14ac:dyDescent="0.25">
      <c r="E6650" s="16"/>
      <c r="F6650" s="16"/>
      <c r="H6650" s="16"/>
      <c r="AG6650" s="80"/>
      <c r="AH6650" s="80"/>
      <c r="AI6650" s="80"/>
    </row>
    <row r="6651" spans="5:35" x14ac:dyDescent="0.25">
      <c r="E6651" s="16"/>
      <c r="F6651" s="16"/>
      <c r="H6651" s="16"/>
      <c r="AG6651" s="80"/>
      <c r="AH6651" s="80"/>
      <c r="AI6651" s="80"/>
    </row>
    <row r="6652" spans="5:35" x14ac:dyDescent="0.25">
      <c r="E6652" s="16"/>
      <c r="F6652" s="16"/>
      <c r="H6652" s="16"/>
      <c r="AG6652" s="80"/>
      <c r="AH6652" s="80"/>
      <c r="AI6652" s="80"/>
    </row>
    <row r="6653" spans="5:35" x14ac:dyDescent="0.25">
      <c r="E6653" s="16"/>
      <c r="F6653" s="16"/>
      <c r="H6653" s="16"/>
      <c r="AG6653" s="80"/>
      <c r="AH6653" s="80"/>
      <c r="AI6653" s="80"/>
    </row>
    <row r="6654" spans="5:35" x14ac:dyDescent="0.25">
      <c r="E6654" s="16"/>
      <c r="F6654" s="16"/>
      <c r="H6654" s="16"/>
      <c r="AG6654" s="80"/>
      <c r="AH6654" s="80"/>
      <c r="AI6654" s="80"/>
    </row>
    <row r="6655" spans="5:35" x14ac:dyDescent="0.25">
      <c r="E6655" s="16"/>
      <c r="F6655" s="16"/>
      <c r="H6655" s="16"/>
      <c r="AG6655" s="80"/>
      <c r="AH6655" s="80"/>
      <c r="AI6655" s="80"/>
    </row>
    <row r="6656" spans="5:35" x14ac:dyDescent="0.25">
      <c r="E6656" s="16"/>
      <c r="F6656" s="16"/>
      <c r="H6656" s="16"/>
      <c r="AG6656" s="80"/>
      <c r="AH6656" s="80"/>
      <c r="AI6656" s="80"/>
    </row>
    <row r="6657" spans="5:35" x14ac:dyDescent="0.25">
      <c r="E6657" s="16"/>
      <c r="F6657" s="16"/>
      <c r="H6657" s="16"/>
      <c r="AG6657" s="80"/>
      <c r="AH6657" s="80"/>
      <c r="AI6657" s="80"/>
    </row>
    <row r="6658" spans="5:35" x14ac:dyDescent="0.25">
      <c r="E6658" s="16"/>
      <c r="F6658" s="16"/>
      <c r="H6658" s="16"/>
      <c r="AG6658" s="80"/>
      <c r="AH6658" s="80"/>
      <c r="AI6658" s="80"/>
    </row>
    <row r="6659" spans="5:35" x14ac:dyDescent="0.25">
      <c r="E6659" s="16"/>
      <c r="F6659" s="16"/>
      <c r="H6659" s="16"/>
      <c r="AG6659" s="80"/>
      <c r="AH6659" s="80"/>
      <c r="AI6659" s="80"/>
    </row>
    <row r="6660" spans="5:35" x14ac:dyDescent="0.25">
      <c r="E6660" s="16"/>
      <c r="F6660" s="16"/>
      <c r="H6660" s="16"/>
      <c r="AG6660" s="80"/>
      <c r="AH6660" s="80"/>
      <c r="AI6660" s="80"/>
    </row>
    <row r="6661" spans="5:35" x14ac:dyDescent="0.25">
      <c r="E6661" s="16"/>
      <c r="F6661" s="16"/>
      <c r="H6661" s="16"/>
      <c r="AG6661" s="80"/>
      <c r="AH6661" s="80"/>
      <c r="AI6661" s="80"/>
    </row>
    <row r="6662" spans="5:35" x14ac:dyDescent="0.25">
      <c r="E6662" s="16"/>
      <c r="F6662" s="16"/>
      <c r="H6662" s="16"/>
      <c r="AG6662" s="80"/>
      <c r="AH6662" s="80"/>
      <c r="AI6662" s="80"/>
    </row>
    <row r="6663" spans="5:35" x14ac:dyDescent="0.25">
      <c r="E6663" s="16"/>
      <c r="F6663" s="16"/>
      <c r="H6663" s="16"/>
      <c r="AG6663" s="80"/>
      <c r="AH6663" s="80"/>
      <c r="AI6663" s="80"/>
    </row>
    <row r="6664" spans="5:35" x14ac:dyDescent="0.25">
      <c r="E6664" s="16"/>
      <c r="F6664" s="16"/>
      <c r="H6664" s="16"/>
      <c r="AG6664" s="80"/>
      <c r="AH6664" s="80"/>
      <c r="AI6664" s="80"/>
    </row>
    <row r="6665" spans="5:35" x14ac:dyDescent="0.25">
      <c r="E6665" s="16"/>
      <c r="F6665" s="16"/>
      <c r="H6665" s="16"/>
      <c r="AG6665" s="80"/>
      <c r="AH6665" s="80"/>
      <c r="AI6665" s="80"/>
    </row>
    <row r="6666" spans="5:35" x14ac:dyDescent="0.25">
      <c r="E6666" s="16"/>
      <c r="F6666" s="16"/>
      <c r="H6666" s="16"/>
      <c r="AG6666" s="80"/>
      <c r="AH6666" s="80"/>
      <c r="AI6666" s="80"/>
    </row>
    <row r="6667" spans="5:35" x14ac:dyDescent="0.25">
      <c r="E6667" s="16"/>
      <c r="F6667" s="16"/>
      <c r="H6667" s="16"/>
      <c r="AG6667" s="80"/>
      <c r="AH6667" s="80"/>
      <c r="AI6667" s="80"/>
    </row>
    <row r="6668" spans="5:35" x14ac:dyDescent="0.25">
      <c r="E6668" s="16"/>
      <c r="F6668" s="16"/>
      <c r="H6668" s="16"/>
      <c r="AG6668" s="80"/>
      <c r="AH6668" s="80"/>
      <c r="AI6668" s="80"/>
    </row>
    <row r="6669" spans="5:35" x14ac:dyDescent="0.25">
      <c r="E6669" s="16"/>
      <c r="F6669" s="16"/>
      <c r="H6669" s="16"/>
      <c r="AG6669" s="80"/>
      <c r="AH6669" s="80"/>
      <c r="AI6669" s="80"/>
    </row>
    <row r="6670" spans="5:35" x14ac:dyDescent="0.25">
      <c r="E6670" s="16"/>
      <c r="F6670" s="16"/>
      <c r="H6670" s="16"/>
      <c r="AG6670" s="80"/>
      <c r="AH6670" s="80"/>
      <c r="AI6670" s="80"/>
    </row>
    <row r="6671" spans="5:35" x14ac:dyDescent="0.25">
      <c r="E6671" s="16"/>
      <c r="F6671" s="16"/>
      <c r="H6671" s="16"/>
      <c r="AG6671" s="80"/>
      <c r="AH6671" s="80"/>
      <c r="AI6671" s="80"/>
    </row>
    <row r="6672" spans="5:35" x14ac:dyDescent="0.25">
      <c r="E6672" s="16"/>
      <c r="F6672" s="16"/>
      <c r="H6672" s="16"/>
      <c r="AG6672" s="80"/>
      <c r="AH6672" s="80"/>
      <c r="AI6672" s="80"/>
    </row>
    <row r="6673" spans="5:35" x14ac:dyDescent="0.25">
      <c r="E6673" s="16"/>
      <c r="F6673" s="16"/>
      <c r="H6673" s="16"/>
      <c r="AG6673" s="80"/>
      <c r="AH6673" s="80"/>
      <c r="AI6673" s="80"/>
    </row>
    <row r="6674" spans="5:35" x14ac:dyDescent="0.25">
      <c r="E6674" s="16"/>
      <c r="F6674" s="16"/>
      <c r="H6674" s="16"/>
      <c r="AG6674" s="80"/>
      <c r="AH6674" s="80"/>
      <c r="AI6674" s="80"/>
    </row>
    <row r="6675" spans="5:35" x14ac:dyDescent="0.25">
      <c r="E6675" s="16"/>
      <c r="F6675" s="16"/>
      <c r="H6675" s="16"/>
      <c r="AG6675" s="80"/>
      <c r="AH6675" s="80"/>
      <c r="AI6675" s="80"/>
    </row>
    <row r="6676" spans="5:35" x14ac:dyDescent="0.25">
      <c r="E6676" s="16"/>
      <c r="F6676" s="16"/>
      <c r="H6676" s="16"/>
      <c r="AG6676" s="80"/>
      <c r="AH6676" s="80"/>
      <c r="AI6676" s="80"/>
    </row>
    <row r="6677" spans="5:35" x14ac:dyDescent="0.25">
      <c r="E6677" s="16"/>
      <c r="F6677" s="16"/>
      <c r="H6677" s="16"/>
      <c r="AG6677" s="80"/>
      <c r="AH6677" s="80"/>
      <c r="AI6677" s="80"/>
    </row>
    <row r="6678" spans="5:35" x14ac:dyDescent="0.25">
      <c r="E6678" s="16"/>
      <c r="F6678" s="16"/>
      <c r="H6678" s="16"/>
      <c r="AG6678" s="80"/>
      <c r="AH6678" s="80"/>
      <c r="AI6678" s="80"/>
    </row>
    <row r="6679" spans="5:35" x14ac:dyDescent="0.25">
      <c r="E6679" s="16"/>
      <c r="F6679" s="16"/>
      <c r="H6679" s="16"/>
      <c r="AG6679" s="80"/>
      <c r="AH6679" s="80"/>
      <c r="AI6679" s="80"/>
    </row>
    <row r="6680" spans="5:35" x14ac:dyDescent="0.25">
      <c r="E6680" s="16"/>
      <c r="F6680" s="16"/>
      <c r="H6680" s="16"/>
      <c r="AG6680" s="80"/>
      <c r="AH6680" s="80"/>
      <c r="AI6680" s="80"/>
    </row>
    <row r="6681" spans="5:35" x14ac:dyDescent="0.25">
      <c r="E6681" s="16"/>
      <c r="F6681" s="16"/>
      <c r="H6681" s="16"/>
      <c r="AG6681" s="80"/>
      <c r="AH6681" s="80"/>
      <c r="AI6681" s="80"/>
    </row>
    <row r="6682" spans="5:35" x14ac:dyDescent="0.25">
      <c r="E6682" s="16"/>
      <c r="F6682" s="16"/>
      <c r="H6682" s="16"/>
      <c r="AG6682" s="80"/>
      <c r="AH6682" s="80"/>
      <c r="AI6682" s="80"/>
    </row>
    <row r="6683" spans="5:35" x14ac:dyDescent="0.25">
      <c r="E6683" s="16"/>
      <c r="F6683" s="16"/>
      <c r="H6683" s="16"/>
      <c r="AG6683" s="80"/>
      <c r="AH6683" s="80"/>
      <c r="AI6683" s="80"/>
    </row>
    <row r="6684" spans="5:35" x14ac:dyDescent="0.25">
      <c r="E6684" s="16"/>
      <c r="F6684" s="16"/>
      <c r="H6684" s="16"/>
      <c r="AG6684" s="80"/>
      <c r="AH6684" s="80"/>
      <c r="AI6684" s="80"/>
    </row>
    <row r="6685" spans="5:35" x14ac:dyDescent="0.25">
      <c r="E6685" s="16"/>
      <c r="F6685" s="16"/>
      <c r="H6685" s="16"/>
      <c r="AG6685" s="80"/>
      <c r="AH6685" s="80"/>
      <c r="AI6685" s="80"/>
    </row>
    <row r="6686" spans="5:35" x14ac:dyDescent="0.25">
      <c r="E6686" s="16"/>
      <c r="F6686" s="16"/>
      <c r="H6686" s="16"/>
      <c r="AG6686" s="80"/>
      <c r="AH6686" s="80"/>
      <c r="AI6686" s="80"/>
    </row>
    <row r="6687" spans="5:35" x14ac:dyDescent="0.25">
      <c r="E6687" s="16"/>
      <c r="F6687" s="16"/>
      <c r="H6687" s="16"/>
      <c r="AG6687" s="80"/>
      <c r="AH6687" s="80"/>
      <c r="AI6687" s="80"/>
    </row>
    <row r="6688" spans="5:35" x14ac:dyDescent="0.25">
      <c r="E6688" s="16"/>
      <c r="F6688" s="16"/>
      <c r="H6688" s="16"/>
      <c r="AG6688" s="80"/>
      <c r="AH6688" s="80"/>
      <c r="AI6688" s="80"/>
    </row>
    <row r="6689" spans="5:35" x14ac:dyDescent="0.25">
      <c r="E6689" s="16"/>
      <c r="F6689" s="16"/>
      <c r="H6689" s="16"/>
      <c r="AG6689" s="80"/>
      <c r="AH6689" s="80"/>
      <c r="AI6689" s="80"/>
    </row>
    <row r="6690" spans="5:35" x14ac:dyDescent="0.25">
      <c r="E6690" s="16"/>
      <c r="F6690" s="16"/>
      <c r="H6690" s="16"/>
      <c r="AG6690" s="80"/>
      <c r="AH6690" s="80"/>
      <c r="AI6690" s="80"/>
    </row>
    <row r="6691" spans="5:35" x14ac:dyDescent="0.25">
      <c r="E6691" s="16"/>
      <c r="F6691" s="16"/>
      <c r="H6691" s="16"/>
      <c r="AG6691" s="80"/>
      <c r="AH6691" s="80"/>
      <c r="AI6691" s="80"/>
    </row>
    <row r="6692" spans="5:35" x14ac:dyDescent="0.25">
      <c r="E6692" s="16"/>
      <c r="F6692" s="16"/>
      <c r="H6692" s="16"/>
      <c r="AG6692" s="80"/>
      <c r="AH6692" s="80"/>
      <c r="AI6692" s="80"/>
    </row>
    <row r="6693" spans="5:35" x14ac:dyDescent="0.25">
      <c r="E6693" s="16"/>
      <c r="F6693" s="16"/>
      <c r="H6693" s="16"/>
      <c r="AG6693" s="80"/>
      <c r="AH6693" s="80"/>
      <c r="AI6693" s="80"/>
    </row>
    <row r="6694" spans="5:35" x14ac:dyDescent="0.25">
      <c r="E6694" s="16"/>
      <c r="F6694" s="16"/>
      <c r="H6694" s="16"/>
      <c r="AG6694" s="80"/>
      <c r="AH6694" s="80"/>
      <c r="AI6694" s="80"/>
    </row>
    <row r="6695" spans="5:35" x14ac:dyDescent="0.25">
      <c r="E6695" s="16"/>
      <c r="F6695" s="16"/>
      <c r="H6695" s="16"/>
      <c r="AG6695" s="80"/>
      <c r="AH6695" s="80"/>
      <c r="AI6695" s="80"/>
    </row>
    <row r="6696" spans="5:35" x14ac:dyDescent="0.25">
      <c r="E6696" s="16"/>
      <c r="F6696" s="16"/>
      <c r="H6696" s="16"/>
      <c r="AG6696" s="80"/>
      <c r="AH6696" s="80"/>
      <c r="AI6696" s="80"/>
    </row>
    <row r="6697" spans="5:35" x14ac:dyDescent="0.25">
      <c r="E6697" s="16"/>
      <c r="F6697" s="16"/>
      <c r="H6697" s="16"/>
      <c r="AG6697" s="80"/>
      <c r="AH6697" s="80"/>
      <c r="AI6697" s="80"/>
    </row>
    <row r="6698" spans="5:35" x14ac:dyDescent="0.25">
      <c r="E6698" s="16"/>
      <c r="F6698" s="16"/>
      <c r="H6698" s="16"/>
      <c r="AG6698" s="80"/>
      <c r="AH6698" s="80"/>
      <c r="AI6698" s="80"/>
    </row>
    <row r="6699" spans="5:35" x14ac:dyDescent="0.25">
      <c r="E6699" s="16"/>
      <c r="F6699" s="16"/>
      <c r="H6699" s="16"/>
      <c r="AG6699" s="80"/>
      <c r="AH6699" s="80"/>
      <c r="AI6699" s="80"/>
    </row>
    <row r="6700" spans="5:35" x14ac:dyDescent="0.25">
      <c r="E6700" s="16"/>
      <c r="F6700" s="16"/>
      <c r="H6700" s="16"/>
      <c r="AG6700" s="80"/>
      <c r="AH6700" s="80"/>
      <c r="AI6700" s="80"/>
    </row>
    <row r="6701" spans="5:35" x14ac:dyDescent="0.25">
      <c r="E6701" s="16"/>
      <c r="F6701" s="16"/>
      <c r="H6701" s="16"/>
      <c r="AG6701" s="80"/>
      <c r="AH6701" s="80"/>
      <c r="AI6701" s="80"/>
    </row>
    <row r="6702" spans="5:35" x14ac:dyDescent="0.25">
      <c r="E6702" s="16"/>
      <c r="F6702" s="16"/>
      <c r="H6702" s="16"/>
      <c r="AG6702" s="80"/>
      <c r="AH6702" s="80"/>
      <c r="AI6702" s="80"/>
    </row>
    <row r="6703" spans="5:35" x14ac:dyDescent="0.25">
      <c r="E6703" s="16"/>
      <c r="F6703" s="16"/>
      <c r="H6703" s="16"/>
      <c r="AG6703" s="80"/>
      <c r="AH6703" s="80"/>
      <c r="AI6703" s="80"/>
    </row>
    <row r="6704" spans="5:35" x14ac:dyDescent="0.25">
      <c r="E6704" s="16"/>
      <c r="F6704" s="16"/>
      <c r="H6704" s="16"/>
      <c r="AG6704" s="80"/>
      <c r="AH6704" s="80"/>
      <c r="AI6704" s="80"/>
    </row>
    <row r="6705" spans="5:35" x14ac:dyDescent="0.25">
      <c r="E6705" s="16"/>
      <c r="F6705" s="16"/>
      <c r="H6705" s="16"/>
      <c r="AG6705" s="80"/>
      <c r="AH6705" s="80"/>
      <c r="AI6705" s="80"/>
    </row>
    <row r="6706" spans="5:35" x14ac:dyDescent="0.25">
      <c r="E6706" s="16"/>
      <c r="F6706" s="16"/>
      <c r="H6706" s="16"/>
      <c r="AG6706" s="80"/>
      <c r="AH6706" s="80"/>
      <c r="AI6706" s="80"/>
    </row>
    <row r="6707" spans="5:35" x14ac:dyDescent="0.25">
      <c r="E6707" s="16"/>
      <c r="F6707" s="16"/>
      <c r="H6707" s="16"/>
      <c r="AG6707" s="80"/>
      <c r="AH6707" s="80"/>
      <c r="AI6707" s="80"/>
    </row>
    <row r="6708" spans="5:35" x14ac:dyDescent="0.25">
      <c r="E6708" s="16"/>
      <c r="F6708" s="16"/>
      <c r="H6708" s="16"/>
      <c r="AG6708" s="80"/>
      <c r="AH6708" s="80"/>
      <c r="AI6708" s="80"/>
    </row>
    <row r="6709" spans="5:35" x14ac:dyDescent="0.25">
      <c r="E6709" s="16"/>
      <c r="F6709" s="16"/>
      <c r="H6709" s="16"/>
      <c r="AG6709" s="80"/>
      <c r="AH6709" s="80"/>
      <c r="AI6709" s="80"/>
    </row>
    <row r="6710" spans="5:35" x14ac:dyDescent="0.25">
      <c r="E6710" s="16"/>
      <c r="F6710" s="16"/>
      <c r="H6710" s="16"/>
      <c r="AG6710" s="80"/>
      <c r="AH6710" s="80"/>
      <c r="AI6710" s="80"/>
    </row>
    <row r="6711" spans="5:35" x14ac:dyDescent="0.25">
      <c r="E6711" s="16"/>
      <c r="F6711" s="16"/>
      <c r="H6711" s="16"/>
      <c r="AG6711" s="80"/>
      <c r="AH6711" s="80"/>
      <c r="AI6711" s="80"/>
    </row>
    <row r="6712" spans="5:35" x14ac:dyDescent="0.25">
      <c r="E6712" s="16"/>
      <c r="F6712" s="16"/>
      <c r="H6712" s="16"/>
      <c r="AG6712" s="80"/>
      <c r="AH6712" s="80"/>
      <c r="AI6712" s="80"/>
    </row>
    <row r="6713" spans="5:35" x14ac:dyDescent="0.25">
      <c r="E6713" s="16"/>
      <c r="F6713" s="16"/>
      <c r="H6713" s="16"/>
      <c r="AG6713" s="80"/>
      <c r="AH6713" s="80"/>
      <c r="AI6713" s="80"/>
    </row>
    <row r="6714" spans="5:35" x14ac:dyDescent="0.25">
      <c r="E6714" s="16"/>
      <c r="F6714" s="16"/>
      <c r="H6714" s="16"/>
      <c r="AG6714" s="80"/>
      <c r="AH6714" s="80"/>
      <c r="AI6714" s="80"/>
    </row>
    <row r="6715" spans="5:35" x14ac:dyDescent="0.25">
      <c r="E6715" s="16"/>
      <c r="F6715" s="16"/>
      <c r="H6715" s="16"/>
      <c r="AG6715" s="80"/>
      <c r="AH6715" s="80"/>
      <c r="AI6715" s="80"/>
    </row>
    <row r="6716" spans="5:35" x14ac:dyDescent="0.25">
      <c r="E6716" s="16"/>
      <c r="F6716" s="16"/>
      <c r="H6716" s="16"/>
      <c r="AG6716" s="80"/>
      <c r="AH6716" s="80"/>
      <c r="AI6716" s="80"/>
    </row>
    <row r="6717" spans="5:35" x14ac:dyDescent="0.25">
      <c r="E6717" s="16"/>
      <c r="F6717" s="16"/>
      <c r="H6717" s="16"/>
      <c r="AG6717" s="80"/>
      <c r="AH6717" s="80"/>
      <c r="AI6717" s="80"/>
    </row>
    <row r="6718" spans="5:35" x14ac:dyDescent="0.25">
      <c r="E6718" s="16"/>
      <c r="F6718" s="16"/>
      <c r="H6718" s="16"/>
      <c r="AG6718" s="80"/>
      <c r="AH6718" s="80"/>
      <c r="AI6718" s="80"/>
    </row>
    <row r="6719" spans="5:35" x14ac:dyDescent="0.25">
      <c r="E6719" s="16"/>
      <c r="F6719" s="16"/>
      <c r="H6719" s="16"/>
      <c r="AG6719" s="80"/>
      <c r="AH6719" s="80"/>
      <c r="AI6719" s="80"/>
    </row>
    <row r="6720" spans="5:35" x14ac:dyDescent="0.25">
      <c r="E6720" s="16"/>
      <c r="F6720" s="16"/>
      <c r="H6720" s="16"/>
      <c r="AG6720" s="80"/>
      <c r="AH6720" s="80"/>
      <c r="AI6720" s="80"/>
    </row>
    <row r="6721" spans="5:35" x14ac:dyDescent="0.25">
      <c r="E6721" s="16"/>
      <c r="F6721" s="16"/>
      <c r="H6721" s="16"/>
      <c r="AG6721" s="80"/>
      <c r="AH6721" s="80"/>
      <c r="AI6721" s="80"/>
    </row>
    <row r="6722" spans="5:35" x14ac:dyDescent="0.25">
      <c r="E6722" s="16"/>
      <c r="F6722" s="16"/>
      <c r="H6722" s="16"/>
      <c r="AG6722" s="80"/>
      <c r="AH6722" s="80"/>
      <c r="AI6722" s="80"/>
    </row>
    <row r="6723" spans="5:35" x14ac:dyDescent="0.25">
      <c r="E6723" s="16"/>
      <c r="F6723" s="16"/>
      <c r="H6723" s="16"/>
      <c r="AG6723" s="80"/>
      <c r="AH6723" s="80"/>
      <c r="AI6723" s="80"/>
    </row>
    <row r="6724" spans="5:35" x14ac:dyDescent="0.25">
      <c r="E6724" s="16"/>
      <c r="F6724" s="16"/>
      <c r="H6724" s="16"/>
      <c r="AG6724" s="80"/>
      <c r="AH6724" s="80"/>
      <c r="AI6724" s="80"/>
    </row>
    <row r="6725" spans="5:35" x14ac:dyDescent="0.25">
      <c r="E6725" s="16"/>
      <c r="F6725" s="16"/>
      <c r="H6725" s="16"/>
      <c r="AG6725" s="80"/>
      <c r="AH6725" s="80"/>
      <c r="AI6725" s="80"/>
    </row>
    <row r="6726" spans="5:35" x14ac:dyDescent="0.25">
      <c r="E6726" s="16"/>
      <c r="F6726" s="16"/>
      <c r="H6726" s="16"/>
      <c r="AG6726" s="80"/>
      <c r="AH6726" s="80"/>
      <c r="AI6726" s="80"/>
    </row>
    <row r="6727" spans="5:35" x14ac:dyDescent="0.25">
      <c r="E6727" s="16"/>
      <c r="F6727" s="16"/>
      <c r="H6727" s="16"/>
      <c r="AG6727" s="80"/>
      <c r="AH6727" s="80"/>
      <c r="AI6727" s="80"/>
    </row>
    <row r="6728" spans="5:35" x14ac:dyDescent="0.25">
      <c r="E6728" s="16"/>
      <c r="F6728" s="16"/>
      <c r="H6728" s="16"/>
      <c r="AG6728" s="80"/>
      <c r="AH6728" s="80"/>
      <c r="AI6728" s="80"/>
    </row>
    <row r="6729" spans="5:35" x14ac:dyDescent="0.25">
      <c r="E6729" s="16"/>
      <c r="F6729" s="16"/>
      <c r="H6729" s="16"/>
      <c r="AG6729" s="80"/>
      <c r="AH6729" s="80"/>
      <c r="AI6729" s="80"/>
    </row>
    <row r="6730" spans="5:35" x14ac:dyDescent="0.25">
      <c r="E6730" s="16"/>
      <c r="F6730" s="16"/>
      <c r="H6730" s="16"/>
      <c r="AG6730" s="80"/>
      <c r="AH6730" s="80"/>
      <c r="AI6730" s="80"/>
    </row>
    <row r="6731" spans="5:35" x14ac:dyDescent="0.25">
      <c r="E6731" s="16"/>
      <c r="F6731" s="16"/>
      <c r="H6731" s="16"/>
      <c r="AG6731" s="80"/>
      <c r="AH6731" s="80"/>
      <c r="AI6731" s="80"/>
    </row>
    <row r="6732" spans="5:35" x14ac:dyDescent="0.25">
      <c r="E6732" s="16"/>
      <c r="F6732" s="16"/>
      <c r="H6732" s="16"/>
      <c r="AG6732" s="80"/>
      <c r="AH6732" s="80"/>
      <c r="AI6732" s="80"/>
    </row>
    <row r="6733" spans="5:35" x14ac:dyDescent="0.25">
      <c r="E6733" s="16"/>
      <c r="F6733" s="16"/>
      <c r="H6733" s="16"/>
      <c r="AG6733" s="80"/>
      <c r="AH6733" s="80"/>
      <c r="AI6733" s="80"/>
    </row>
    <row r="6734" spans="5:35" x14ac:dyDescent="0.25">
      <c r="E6734" s="16"/>
      <c r="F6734" s="16"/>
      <c r="H6734" s="16"/>
      <c r="AG6734" s="80"/>
      <c r="AH6734" s="80"/>
      <c r="AI6734" s="80"/>
    </row>
    <row r="6735" spans="5:35" x14ac:dyDescent="0.25">
      <c r="E6735" s="16"/>
      <c r="F6735" s="16"/>
      <c r="H6735" s="16"/>
      <c r="AG6735" s="80"/>
      <c r="AH6735" s="80"/>
      <c r="AI6735" s="80"/>
    </row>
    <row r="6736" spans="5:35" x14ac:dyDescent="0.25">
      <c r="E6736" s="16"/>
      <c r="F6736" s="16"/>
      <c r="H6736" s="16"/>
      <c r="AG6736" s="80"/>
      <c r="AH6736" s="80"/>
      <c r="AI6736" s="80"/>
    </row>
    <row r="6737" spans="5:35" x14ac:dyDescent="0.25">
      <c r="E6737" s="16"/>
      <c r="F6737" s="16"/>
      <c r="H6737" s="16"/>
      <c r="AG6737" s="80"/>
      <c r="AH6737" s="80"/>
      <c r="AI6737" s="80"/>
    </row>
    <row r="6738" spans="5:35" x14ac:dyDescent="0.25">
      <c r="E6738" s="16"/>
      <c r="F6738" s="16"/>
      <c r="H6738" s="16"/>
      <c r="AG6738" s="80"/>
      <c r="AH6738" s="80"/>
      <c r="AI6738" s="80"/>
    </row>
    <row r="6739" spans="5:35" x14ac:dyDescent="0.25">
      <c r="E6739" s="16"/>
      <c r="F6739" s="16"/>
      <c r="H6739" s="16"/>
      <c r="AG6739" s="80"/>
      <c r="AH6739" s="80"/>
      <c r="AI6739" s="80"/>
    </row>
    <row r="6740" spans="5:35" x14ac:dyDescent="0.25">
      <c r="E6740" s="16"/>
      <c r="F6740" s="16"/>
      <c r="H6740" s="16"/>
      <c r="AG6740" s="80"/>
      <c r="AH6740" s="80"/>
      <c r="AI6740" s="80"/>
    </row>
    <row r="6741" spans="5:35" x14ac:dyDescent="0.25">
      <c r="E6741" s="16"/>
      <c r="F6741" s="16"/>
      <c r="H6741" s="16"/>
      <c r="AG6741" s="80"/>
      <c r="AH6741" s="80"/>
      <c r="AI6741" s="80"/>
    </row>
    <row r="6742" spans="5:35" x14ac:dyDescent="0.25">
      <c r="E6742" s="16"/>
      <c r="F6742" s="16"/>
      <c r="H6742" s="16"/>
      <c r="AG6742" s="80"/>
      <c r="AH6742" s="80"/>
      <c r="AI6742" s="80"/>
    </row>
    <row r="6743" spans="5:35" x14ac:dyDescent="0.25">
      <c r="E6743" s="16"/>
      <c r="F6743" s="16"/>
      <c r="H6743" s="16"/>
      <c r="AG6743" s="80"/>
      <c r="AH6743" s="80"/>
      <c r="AI6743" s="80"/>
    </row>
    <row r="6744" spans="5:35" x14ac:dyDescent="0.25">
      <c r="E6744" s="16"/>
      <c r="F6744" s="16"/>
      <c r="H6744" s="16"/>
      <c r="AG6744" s="80"/>
      <c r="AH6744" s="80"/>
      <c r="AI6744" s="80"/>
    </row>
    <row r="6745" spans="5:35" x14ac:dyDescent="0.25">
      <c r="E6745" s="16"/>
      <c r="F6745" s="16"/>
      <c r="H6745" s="16"/>
      <c r="AG6745" s="80"/>
      <c r="AH6745" s="80"/>
      <c r="AI6745" s="80"/>
    </row>
    <row r="6746" spans="5:35" x14ac:dyDescent="0.25">
      <c r="E6746" s="16"/>
      <c r="F6746" s="16"/>
      <c r="H6746" s="16"/>
      <c r="AG6746" s="80"/>
      <c r="AH6746" s="80"/>
      <c r="AI6746" s="80"/>
    </row>
    <row r="6747" spans="5:35" x14ac:dyDescent="0.25">
      <c r="E6747" s="16"/>
      <c r="F6747" s="16"/>
      <c r="H6747" s="16"/>
      <c r="AG6747" s="80"/>
      <c r="AH6747" s="80"/>
      <c r="AI6747" s="80"/>
    </row>
    <row r="6748" spans="5:35" x14ac:dyDescent="0.25">
      <c r="E6748" s="16"/>
      <c r="F6748" s="16"/>
      <c r="H6748" s="16"/>
      <c r="AG6748" s="80"/>
      <c r="AH6748" s="80"/>
      <c r="AI6748" s="80"/>
    </row>
    <row r="6749" spans="5:35" x14ac:dyDescent="0.25">
      <c r="E6749" s="16"/>
      <c r="F6749" s="16"/>
      <c r="H6749" s="16"/>
      <c r="AG6749" s="80"/>
      <c r="AH6749" s="80"/>
      <c r="AI6749" s="80"/>
    </row>
    <row r="6750" spans="5:35" x14ac:dyDescent="0.25">
      <c r="E6750" s="16"/>
      <c r="F6750" s="16"/>
      <c r="H6750" s="16"/>
      <c r="AG6750" s="80"/>
      <c r="AH6750" s="80"/>
      <c r="AI6750" s="80"/>
    </row>
    <row r="6751" spans="5:35" x14ac:dyDescent="0.25">
      <c r="E6751" s="16"/>
      <c r="F6751" s="16"/>
      <c r="H6751" s="16"/>
      <c r="AG6751" s="80"/>
      <c r="AH6751" s="80"/>
      <c r="AI6751" s="80"/>
    </row>
    <row r="6752" spans="5:35" x14ac:dyDescent="0.25">
      <c r="E6752" s="16"/>
      <c r="F6752" s="16"/>
      <c r="H6752" s="16"/>
      <c r="AG6752" s="80"/>
      <c r="AH6752" s="80"/>
      <c r="AI6752" s="80"/>
    </row>
    <row r="6753" spans="5:35" x14ac:dyDescent="0.25">
      <c r="E6753" s="16"/>
      <c r="F6753" s="16"/>
      <c r="H6753" s="16"/>
      <c r="AG6753" s="80"/>
      <c r="AH6753" s="80"/>
      <c r="AI6753" s="80"/>
    </row>
    <row r="6754" spans="5:35" x14ac:dyDescent="0.25">
      <c r="E6754" s="16"/>
      <c r="F6754" s="16"/>
      <c r="H6754" s="16"/>
      <c r="AG6754" s="80"/>
      <c r="AH6754" s="80"/>
      <c r="AI6754" s="80"/>
    </row>
    <row r="6755" spans="5:35" x14ac:dyDescent="0.25">
      <c r="E6755" s="16"/>
      <c r="F6755" s="16"/>
      <c r="H6755" s="16"/>
      <c r="AG6755" s="80"/>
      <c r="AH6755" s="80"/>
      <c r="AI6755" s="80"/>
    </row>
    <row r="6756" spans="5:35" x14ac:dyDescent="0.25">
      <c r="E6756" s="16"/>
      <c r="F6756" s="16"/>
      <c r="H6756" s="16"/>
      <c r="AG6756" s="80"/>
      <c r="AH6756" s="80"/>
      <c r="AI6756" s="80"/>
    </row>
    <row r="6757" spans="5:35" x14ac:dyDescent="0.25">
      <c r="E6757" s="16"/>
      <c r="F6757" s="16"/>
      <c r="H6757" s="16"/>
      <c r="AG6757" s="80"/>
      <c r="AH6757" s="80"/>
      <c r="AI6757" s="80"/>
    </row>
    <row r="6758" spans="5:35" x14ac:dyDescent="0.25">
      <c r="E6758" s="16"/>
      <c r="F6758" s="16"/>
      <c r="H6758" s="16"/>
      <c r="AG6758" s="80"/>
      <c r="AH6758" s="80"/>
      <c r="AI6758" s="80"/>
    </row>
    <row r="6759" spans="5:35" x14ac:dyDescent="0.25">
      <c r="E6759" s="16"/>
      <c r="F6759" s="16"/>
      <c r="H6759" s="16"/>
      <c r="AG6759" s="80"/>
      <c r="AH6759" s="80"/>
      <c r="AI6759" s="80"/>
    </row>
    <row r="6760" spans="5:35" x14ac:dyDescent="0.25">
      <c r="E6760" s="16"/>
      <c r="F6760" s="16"/>
      <c r="H6760" s="16"/>
      <c r="AG6760" s="80"/>
      <c r="AH6760" s="80"/>
      <c r="AI6760" s="80"/>
    </row>
    <row r="6761" spans="5:35" x14ac:dyDescent="0.25">
      <c r="E6761" s="16"/>
      <c r="F6761" s="16"/>
      <c r="H6761" s="16"/>
      <c r="AG6761" s="80"/>
      <c r="AH6761" s="80"/>
      <c r="AI6761" s="80"/>
    </row>
    <row r="6762" spans="5:35" x14ac:dyDescent="0.25">
      <c r="E6762" s="16"/>
      <c r="F6762" s="16"/>
      <c r="H6762" s="16"/>
      <c r="AG6762" s="80"/>
      <c r="AH6762" s="80"/>
      <c r="AI6762" s="80"/>
    </row>
    <row r="6763" spans="5:35" x14ac:dyDescent="0.25">
      <c r="E6763" s="16"/>
      <c r="F6763" s="16"/>
      <c r="H6763" s="16"/>
      <c r="AG6763" s="80"/>
      <c r="AH6763" s="80"/>
      <c r="AI6763" s="80"/>
    </row>
    <row r="6764" spans="5:35" x14ac:dyDescent="0.25">
      <c r="E6764" s="16"/>
      <c r="F6764" s="16"/>
      <c r="H6764" s="16"/>
      <c r="AG6764" s="80"/>
      <c r="AH6764" s="80"/>
      <c r="AI6764" s="80"/>
    </row>
    <row r="6765" spans="5:35" x14ac:dyDescent="0.25">
      <c r="E6765" s="16"/>
      <c r="F6765" s="16"/>
      <c r="H6765" s="16"/>
      <c r="AG6765" s="80"/>
      <c r="AH6765" s="80"/>
      <c r="AI6765" s="80"/>
    </row>
    <row r="6766" spans="5:35" x14ac:dyDescent="0.25">
      <c r="E6766" s="16"/>
      <c r="F6766" s="16"/>
      <c r="H6766" s="16"/>
      <c r="AG6766" s="80"/>
      <c r="AH6766" s="80"/>
      <c r="AI6766" s="80"/>
    </row>
    <row r="6767" spans="5:35" x14ac:dyDescent="0.25">
      <c r="E6767" s="16"/>
      <c r="F6767" s="16"/>
      <c r="H6767" s="16"/>
      <c r="AG6767" s="80"/>
      <c r="AH6767" s="80"/>
      <c r="AI6767" s="80"/>
    </row>
    <row r="6768" spans="5:35" x14ac:dyDescent="0.25">
      <c r="E6768" s="16"/>
      <c r="F6768" s="16"/>
      <c r="H6768" s="16"/>
      <c r="AG6768" s="80"/>
      <c r="AH6768" s="80"/>
      <c r="AI6768" s="80"/>
    </row>
    <row r="6769" spans="5:35" x14ac:dyDescent="0.25">
      <c r="E6769" s="16"/>
      <c r="F6769" s="16"/>
      <c r="H6769" s="16"/>
      <c r="AG6769" s="80"/>
      <c r="AH6769" s="80"/>
      <c r="AI6769" s="80"/>
    </row>
    <row r="6770" spans="5:35" x14ac:dyDescent="0.25">
      <c r="E6770" s="16"/>
      <c r="F6770" s="16"/>
      <c r="H6770" s="16"/>
      <c r="AG6770" s="80"/>
      <c r="AH6770" s="80"/>
      <c r="AI6770" s="80"/>
    </row>
    <row r="6771" spans="5:35" x14ac:dyDescent="0.25">
      <c r="E6771" s="16"/>
      <c r="F6771" s="16"/>
      <c r="H6771" s="16"/>
      <c r="AG6771" s="80"/>
      <c r="AH6771" s="80"/>
      <c r="AI6771" s="80"/>
    </row>
    <row r="6772" spans="5:35" x14ac:dyDescent="0.25">
      <c r="E6772" s="16"/>
      <c r="F6772" s="16"/>
      <c r="H6772" s="16"/>
      <c r="AG6772" s="80"/>
      <c r="AH6772" s="80"/>
      <c r="AI6772" s="80"/>
    </row>
    <row r="6773" spans="5:35" x14ac:dyDescent="0.25">
      <c r="E6773" s="16"/>
      <c r="F6773" s="16"/>
      <c r="H6773" s="16"/>
      <c r="AG6773" s="80"/>
      <c r="AH6773" s="80"/>
      <c r="AI6773" s="80"/>
    </row>
    <row r="6774" spans="5:35" x14ac:dyDescent="0.25">
      <c r="E6774" s="16"/>
      <c r="F6774" s="16"/>
      <c r="H6774" s="16"/>
      <c r="AG6774" s="80"/>
      <c r="AH6774" s="80"/>
      <c r="AI6774" s="80"/>
    </row>
    <row r="6775" spans="5:35" x14ac:dyDescent="0.25">
      <c r="E6775" s="16"/>
      <c r="F6775" s="16"/>
      <c r="H6775" s="16"/>
      <c r="AG6775" s="80"/>
      <c r="AH6775" s="80"/>
      <c r="AI6775" s="80"/>
    </row>
    <row r="6776" spans="5:35" x14ac:dyDescent="0.25">
      <c r="E6776" s="16"/>
      <c r="F6776" s="16"/>
      <c r="H6776" s="16"/>
      <c r="AG6776" s="80"/>
      <c r="AH6776" s="80"/>
      <c r="AI6776" s="80"/>
    </row>
    <row r="6777" spans="5:35" x14ac:dyDescent="0.25">
      <c r="E6777" s="16"/>
      <c r="F6777" s="16"/>
      <c r="H6777" s="16"/>
      <c r="AG6777" s="80"/>
      <c r="AH6777" s="80"/>
      <c r="AI6777" s="80"/>
    </row>
    <row r="6778" spans="5:35" x14ac:dyDescent="0.25">
      <c r="E6778" s="16"/>
      <c r="F6778" s="16"/>
      <c r="H6778" s="16"/>
      <c r="AG6778" s="80"/>
      <c r="AH6778" s="80"/>
      <c r="AI6778" s="80"/>
    </row>
    <row r="6779" spans="5:35" x14ac:dyDescent="0.25">
      <c r="E6779" s="16"/>
      <c r="F6779" s="16"/>
      <c r="H6779" s="16"/>
      <c r="AG6779" s="80"/>
      <c r="AH6779" s="80"/>
      <c r="AI6779" s="80"/>
    </row>
    <row r="6780" spans="5:35" x14ac:dyDescent="0.25">
      <c r="E6780" s="16"/>
      <c r="F6780" s="16"/>
      <c r="H6780" s="16"/>
      <c r="AG6780" s="80"/>
      <c r="AH6780" s="80"/>
      <c r="AI6780" s="80"/>
    </row>
    <row r="6781" spans="5:35" x14ac:dyDescent="0.25">
      <c r="E6781" s="16"/>
      <c r="F6781" s="16"/>
      <c r="H6781" s="16"/>
      <c r="AG6781" s="80"/>
      <c r="AH6781" s="80"/>
      <c r="AI6781" s="80"/>
    </row>
    <row r="6782" spans="5:35" x14ac:dyDescent="0.25">
      <c r="E6782" s="16"/>
      <c r="F6782" s="16"/>
      <c r="H6782" s="16"/>
      <c r="AG6782" s="80"/>
      <c r="AH6782" s="80"/>
      <c r="AI6782" s="80"/>
    </row>
    <row r="6783" spans="5:35" x14ac:dyDescent="0.25">
      <c r="E6783" s="16"/>
      <c r="F6783" s="16"/>
      <c r="H6783" s="16"/>
      <c r="AG6783" s="80"/>
      <c r="AH6783" s="80"/>
      <c r="AI6783" s="80"/>
    </row>
    <row r="6784" spans="5:35" x14ac:dyDescent="0.25">
      <c r="E6784" s="16"/>
      <c r="F6784" s="16"/>
      <c r="H6784" s="16"/>
      <c r="AG6784" s="80"/>
      <c r="AH6784" s="80"/>
      <c r="AI6784" s="80"/>
    </row>
    <row r="6785" spans="5:35" x14ac:dyDescent="0.25">
      <c r="E6785" s="16"/>
      <c r="F6785" s="16"/>
      <c r="H6785" s="16"/>
      <c r="AG6785" s="80"/>
      <c r="AH6785" s="80"/>
      <c r="AI6785" s="80"/>
    </row>
    <row r="6786" spans="5:35" x14ac:dyDescent="0.25">
      <c r="E6786" s="16"/>
      <c r="F6786" s="16"/>
      <c r="H6786" s="16"/>
      <c r="AG6786" s="80"/>
      <c r="AH6786" s="80"/>
      <c r="AI6786" s="80"/>
    </row>
    <row r="6787" spans="5:35" x14ac:dyDescent="0.25">
      <c r="E6787" s="16"/>
      <c r="F6787" s="16"/>
      <c r="H6787" s="16"/>
      <c r="AG6787" s="80"/>
      <c r="AH6787" s="80"/>
      <c r="AI6787" s="80"/>
    </row>
    <row r="6788" spans="5:35" x14ac:dyDescent="0.25">
      <c r="E6788" s="16"/>
      <c r="F6788" s="16"/>
      <c r="H6788" s="16"/>
      <c r="AG6788" s="80"/>
      <c r="AH6788" s="80"/>
      <c r="AI6788" s="80"/>
    </row>
    <row r="6789" spans="5:35" x14ac:dyDescent="0.25">
      <c r="E6789" s="16"/>
      <c r="F6789" s="16"/>
      <c r="H6789" s="16"/>
      <c r="AG6789" s="80"/>
      <c r="AH6789" s="80"/>
      <c r="AI6789" s="80"/>
    </row>
    <row r="6790" spans="5:35" x14ac:dyDescent="0.25">
      <c r="E6790" s="16"/>
      <c r="F6790" s="16"/>
      <c r="H6790" s="16"/>
      <c r="AG6790" s="80"/>
      <c r="AH6790" s="80"/>
      <c r="AI6790" s="80"/>
    </row>
    <row r="6791" spans="5:35" x14ac:dyDescent="0.25">
      <c r="E6791" s="16"/>
      <c r="F6791" s="16"/>
      <c r="H6791" s="16"/>
      <c r="AG6791" s="80"/>
      <c r="AH6791" s="80"/>
      <c r="AI6791" s="80"/>
    </row>
    <row r="6792" spans="5:35" x14ac:dyDescent="0.25">
      <c r="E6792" s="16"/>
      <c r="F6792" s="16"/>
      <c r="H6792" s="16"/>
      <c r="AG6792" s="80"/>
      <c r="AH6792" s="80"/>
      <c r="AI6792" s="80"/>
    </row>
    <row r="6793" spans="5:35" x14ac:dyDescent="0.25">
      <c r="E6793" s="16"/>
      <c r="F6793" s="16"/>
      <c r="H6793" s="16"/>
      <c r="AG6793" s="80"/>
      <c r="AH6793" s="80"/>
      <c r="AI6793" s="80"/>
    </row>
    <row r="6794" spans="5:35" x14ac:dyDescent="0.25">
      <c r="E6794" s="16"/>
      <c r="F6794" s="16"/>
      <c r="H6794" s="16"/>
      <c r="AG6794" s="80"/>
      <c r="AH6794" s="80"/>
      <c r="AI6794" s="80"/>
    </row>
    <row r="6795" spans="5:35" x14ac:dyDescent="0.25">
      <c r="E6795" s="16"/>
      <c r="F6795" s="16"/>
      <c r="H6795" s="16"/>
      <c r="AG6795" s="80"/>
      <c r="AH6795" s="80"/>
      <c r="AI6795" s="80"/>
    </row>
    <row r="6796" spans="5:35" x14ac:dyDescent="0.25">
      <c r="E6796" s="16"/>
      <c r="F6796" s="16"/>
      <c r="H6796" s="16"/>
      <c r="AG6796" s="80"/>
      <c r="AH6796" s="80"/>
      <c r="AI6796" s="80"/>
    </row>
    <row r="6797" spans="5:35" x14ac:dyDescent="0.25">
      <c r="E6797" s="16"/>
      <c r="F6797" s="16"/>
      <c r="H6797" s="16"/>
      <c r="AG6797" s="80"/>
      <c r="AH6797" s="80"/>
      <c r="AI6797" s="80"/>
    </row>
    <row r="6798" spans="5:35" x14ac:dyDescent="0.25">
      <c r="E6798" s="16"/>
      <c r="F6798" s="16"/>
      <c r="H6798" s="16"/>
      <c r="AG6798" s="80"/>
      <c r="AH6798" s="80"/>
      <c r="AI6798" s="80"/>
    </row>
    <row r="6799" spans="5:35" x14ac:dyDescent="0.25">
      <c r="E6799" s="16"/>
      <c r="F6799" s="16"/>
      <c r="H6799" s="16"/>
      <c r="AG6799" s="80"/>
      <c r="AH6799" s="80"/>
      <c r="AI6799" s="80"/>
    </row>
    <row r="6800" spans="5:35" x14ac:dyDescent="0.25">
      <c r="E6800" s="16"/>
      <c r="F6800" s="16"/>
      <c r="H6800" s="16"/>
      <c r="AG6800" s="80"/>
      <c r="AH6800" s="80"/>
      <c r="AI6800" s="80"/>
    </row>
    <row r="6801" spans="5:35" x14ac:dyDescent="0.25">
      <c r="E6801" s="16"/>
      <c r="F6801" s="16"/>
      <c r="H6801" s="16"/>
      <c r="AG6801" s="80"/>
      <c r="AH6801" s="80"/>
      <c r="AI6801" s="80"/>
    </row>
    <row r="6802" spans="5:35" x14ac:dyDescent="0.25">
      <c r="E6802" s="16"/>
      <c r="F6802" s="16"/>
      <c r="H6802" s="16"/>
      <c r="AG6802" s="80"/>
      <c r="AH6802" s="80"/>
      <c r="AI6802" s="80"/>
    </row>
    <row r="6803" spans="5:35" x14ac:dyDescent="0.25">
      <c r="E6803" s="16"/>
      <c r="F6803" s="16"/>
      <c r="H6803" s="16"/>
      <c r="AG6803" s="80"/>
      <c r="AH6803" s="80"/>
      <c r="AI6803" s="80"/>
    </row>
    <row r="6804" spans="5:35" x14ac:dyDescent="0.25">
      <c r="E6804" s="16"/>
      <c r="F6804" s="16"/>
      <c r="H6804" s="16"/>
      <c r="AG6804" s="80"/>
      <c r="AH6804" s="80"/>
      <c r="AI6804" s="80"/>
    </row>
    <row r="6805" spans="5:35" x14ac:dyDescent="0.25">
      <c r="E6805" s="16"/>
      <c r="F6805" s="16"/>
      <c r="H6805" s="16"/>
      <c r="AG6805" s="80"/>
      <c r="AH6805" s="80"/>
      <c r="AI6805" s="80"/>
    </row>
    <row r="6806" spans="5:35" x14ac:dyDescent="0.25">
      <c r="E6806" s="16"/>
      <c r="F6806" s="16"/>
      <c r="H6806" s="16"/>
      <c r="AG6806" s="80"/>
      <c r="AH6806" s="80"/>
      <c r="AI6806" s="80"/>
    </row>
    <row r="6807" spans="5:35" x14ac:dyDescent="0.25">
      <c r="E6807" s="16"/>
      <c r="F6807" s="16"/>
      <c r="H6807" s="16"/>
      <c r="AG6807" s="80"/>
      <c r="AH6807" s="80"/>
      <c r="AI6807" s="80"/>
    </row>
    <row r="6808" spans="5:35" x14ac:dyDescent="0.25">
      <c r="E6808" s="16"/>
      <c r="F6808" s="16"/>
      <c r="H6808" s="16"/>
      <c r="AG6808" s="80"/>
      <c r="AH6808" s="80"/>
      <c r="AI6808" s="80"/>
    </row>
    <row r="6809" spans="5:35" x14ac:dyDescent="0.25">
      <c r="E6809" s="16"/>
      <c r="F6809" s="16"/>
      <c r="H6809" s="16"/>
      <c r="AG6809" s="80"/>
      <c r="AH6809" s="80"/>
      <c r="AI6809" s="80"/>
    </row>
    <row r="6810" spans="5:35" x14ac:dyDescent="0.25">
      <c r="E6810" s="16"/>
      <c r="F6810" s="16"/>
      <c r="H6810" s="16"/>
      <c r="AG6810" s="80"/>
      <c r="AH6810" s="80"/>
      <c r="AI6810" s="80"/>
    </row>
    <row r="6811" spans="5:35" x14ac:dyDescent="0.25">
      <c r="E6811" s="16"/>
      <c r="F6811" s="16"/>
      <c r="H6811" s="16"/>
      <c r="AG6811" s="80"/>
      <c r="AH6811" s="80"/>
      <c r="AI6811" s="80"/>
    </row>
    <row r="6812" spans="5:35" x14ac:dyDescent="0.25">
      <c r="E6812" s="16"/>
      <c r="F6812" s="16"/>
      <c r="H6812" s="16"/>
      <c r="AG6812" s="80"/>
      <c r="AH6812" s="80"/>
      <c r="AI6812" s="80"/>
    </row>
    <row r="6813" spans="5:35" x14ac:dyDescent="0.25">
      <c r="E6813" s="16"/>
      <c r="F6813" s="16"/>
      <c r="H6813" s="16"/>
      <c r="AG6813" s="80"/>
      <c r="AH6813" s="80"/>
      <c r="AI6813" s="80"/>
    </row>
    <row r="6814" spans="5:35" x14ac:dyDescent="0.25">
      <c r="E6814" s="16"/>
      <c r="F6814" s="16"/>
      <c r="H6814" s="16"/>
      <c r="AG6814" s="80"/>
      <c r="AH6814" s="80"/>
      <c r="AI6814" s="80"/>
    </row>
    <row r="6815" spans="5:35" x14ac:dyDescent="0.25">
      <c r="E6815" s="16"/>
      <c r="F6815" s="16"/>
      <c r="H6815" s="16"/>
      <c r="AG6815" s="80"/>
      <c r="AH6815" s="80"/>
      <c r="AI6815" s="80"/>
    </row>
    <row r="6816" spans="5:35" x14ac:dyDescent="0.25">
      <c r="E6816" s="16"/>
      <c r="F6816" s="16"/>
      <c r="H6816" s="16"/>
      <c r="AG6816" s="80"/>
      <c r="AH6816" s="80"/>
      <c r="AI6816" s="80"/>
    </row>
    <row r="6817" spans="5:35" x14ac:dyDescent="0.25">
      <c r="E6817" s="16"/>
      <c r="F6817" s="16"/>
      <c r="H6817" s="16"/>
      <c r="AG6817" s="80"/>
      <c r="AH6817" s="80"/>
      <c r="AI6817" s="80"/>
    </row>
    <row r="6818" spans="5:35" x14ac:dyDescent="0.25">
      <c r="E6818" s="16"/>
      <c r="F6818" s="16"/>
      <c r="H6818" s="16"/>
      <c r="AG6818" s="80"/>
      <c r="AH6818" s="80"/>
      <c r="AI6818" s="80"/>
    </row>
    <row r="6819" spans="5:35" x14ac:dyDescent="0.25">
      <c r="E6819" s="16"/>
      <c r="F6819" s="16"/>
      <c r="H6819" s="16"/>
      <c r="AG6819" s="80"/>
      <c r="AH6819" s="80"/>
      <c r="AI6819" s="80"/>
    </row>
    <row r="6820" spans="5:35" x14ac:dyDescent="0.25">
      <c r="E6820" s="16"/>
      <c r="F6820" s="16"/>
      <c r="H6820" s="16"/>
      <c r="AG6820" s="80"/>
      <c r="AH6820" s="80"/>
      <c r="AI6820" s="80"/>
    </row>
    <row r="6821" spans="5:35" x14ac:dyDescent="0.25">
      <c r="E6821" s="16"/>
      <c r="F6821" s="16"/>
      <c r="H6821" s="16"/>
      <c r="AG6821" s="80"/>
      <c r="AH6821" s="80"/>
      <c r="AI6821" s="80"/>
    </row>
    <row r="6822" spans="5:35" x14ac:dyDescent="0.25">
      <c r="E6822" s="16"/>
      <c r="F6822" s="16"/>
      <c r="H6822" s="16"/>
      <c r="AG6822" s="80"/>
      <c r="AH6822" s="80"/>
      <c r="AI6822" s="80"/>
    </row>
    <row r="6823" spans="5:35" x14ac:dyDescent="0.25">
      <c r="E6823" s="16"/>
      <c r="F6823" s="16"/>
      <c r="H6823" s="16"/>
      <c r="AG6823" s="80"/>
      <c r="AH6823" s="80"/>
      <c r="AI6823" s="80"/>
    </row>
    <row r="6824" spans="5:35" x14ac:dyDescent="0.25">
      <c r="E6824" s="16"/>
      <c r="F6824" s="16"/>
      <c r="H6824" s="16"/>
      <c r="AG6824" s="80"/>
      <c r="AH6824" s="80"/>
      <c r="AI6824" s="80"/>
    </row>
    <row r="6825" spans="5:35" x14ac:dyDescent="0.25">
      <c r="E6825" s="16"/>
      <c r="F6825" s="16"/>
      <c r="H6825" s="16"/>
      <c r="AG6825" s="80"/>
      <c r="AH6825" s="80"/>
      <c r="AI6825" s="80"/>
    </row>
    <row r="6826" spans="5:35" x14ac:dyDescent="0.25">
      <c r="E6826" s="16"/>
      <c r="F6826" s="16"/>
      <c r="H6826" s="16"/>
      <c r="AG6826" s="80"/>
      <c r="AH6826" s="80"/>
      <c r="AI6826" s="80"/>
    </row>
    <row r="6827" spans="5:35" x14ac:dyDescent="0.25">
      <c r="E6827" s="16"/>
      <c r="F6827" s="16"/>
      <c r="H6827" s="16"/>
      <c r="AG6827" s="80"/>
      <c r="AH6827" s="80"/>
      <c r="AI6827" s="80"/>
    </row>
    <row r="6828" spans="5:35" x14ac:dyDescent="0.25">
      <c r="E6828" s="16"/>
      <c r="F6828" s="16"/>
      <c r="H6828" s="16"/>
      <c r="AG6828" s="80"/>
      <c r="AH6828" s="80"/>
      <c r="AI6828" s="80"/>
    </row>
    <row r="6829" spans="5:35" x14ac:dyDescent="0.25">
      <c r="E6829" s="16"/>
      <c r="F6829" s="16"/>
      <c r="H6829" s="16"/>
      <c r="AG6829" s="80"/>
      <c r="AH6829" s="80"/>
      <c r="AI6829" s="80"/>
    </row>
    <row r="6830" spans="5:35" x14ac:dyDescent="0.25">
      <c r="E6830" s="16"/>
      <c r="F6830" s="16"/>
      <c r="H6830" s="16"/>
      <c r="AG6830" s="80"/>
      <c r="AH6830" s="80"/>
      <c r="AI6830" s="80"/>
    </row>
    <row r="6831" spans="5:35" x14ac:dyDescent="0.25">
      <c r="E6831" s="16"/>
      <c r="F6831" s="16"/>
      <c r="H6831" s="16"/>
      <c r="AG6831" s="80"/>
      <c r="AH6831" s="80"/>
      <c r="AI6831" s="80"/>
    </row>
    <row r="6832" spans="5:35" x14ac:dyDescent="0.25">
      <c r="E6832" s="16"/>
      <c r="F6832" s="16"/>
      <c r="H6832" s="16"/>
      <c r="AG6832" s="80"/>
      <c r="AH6832" s="80"/>
      <c r="AI6832" s="80"/>
    </row>
    <row r="6833" spans="5:35" x14ac:dyDescent="0.25">
      <c r="E6833" s="16"/>
      <c r="F6833" s="16"/>
      <c r="H6833" s="16"/>
      <c r="AG6833" s="80"/>
      <c r="AH6833" s="80"/>
      <c r="AI6833" s="80"/>
    </row>
    <row r="6834" spans="5:35" x14ac:dyDescent="0.25">
      <c r="E6834" s="16"/>
      <c r="F6834" s="16"/>
      <c r="H6834" s="16"/>
      <c r="AG6834" s="80"/>
      <c r="AH6834" s="80"/>
      <c r="AI6834" s="80"/>
    </row>
    <row r="6835" spans="5:35" x14ac:dyDescent="0.25">
      <c r="E6835" s="16"/>
      <c r="F6835" s="16"/>
      <c r="H6835" s="16"/>
      <c r="AG6835" s="80"/>
      <c r="AH6835" s="80"/>
      <c r="AI6835" s="80"/>
    </row>
    <row r="6836" spans="5:35" x14ac:dyDescent="0.25">
      <c r="E6836" s="16"/>
      <c r="F6836" s="16"/>
      <c r="H6836" s="16"/>
      <c r="AG6836" s="80"/>
      <c r="AH6836" s="80"/>
      <c r="AI6836" s="80"/>
    </row>
    <row r="6837" spans="5:35" x14ac:dyDescent="0.25">
      <c r="E6837" s="16"/>
      <c r="F6837" s="16"/>
      <c r="H6837" s="16"/>
      <c r="AG6837" s="80"/>
      <c r="AH6837" s="80"/>
      <c r="AI6837" s="80"/>
    </row>
    <row r="6838" spans="5:35" x14ac:dyDescent="0.25">
      <c r="E6838" s="16"/>
      <c r="F6838" s="16"/>
      <c r="H6838" s="16"/>
      <c r="AG6838" s="80"/>
      <c r="AH6838" s="80"/>
      <c r="AI6838" s="80"/>
    </row>
    <row r="6839" spans="5:35" x14ac:dyDescent="0.25">
      <c r="E6839" s="16"/>
      <c r="F6839" s="16"/>
      <c r="H6839" s="16"/>
      <c r="AG6839" s="80"/>
      <c r="AH6839" s="80"/>
      <c r="AI6839" s="80"/>
    </row>
    <row r="6840" spans="5:35" x14ac:dyDescent="0.25">
      <c r="E6840" s="16"/>
      <c r="F6840" s="16"/>
      <c r="H6840" s="16"/>
      <c r="AG6840" s="80"/>
      <c r="AH6840" s="80"/>
      <c r="AI6840" s="80"/>
    </row>
    <row r="6841" spans="5:35" x14ac:dyDescent="0.25">
      <c r="E6841" s="16"/>
      <c r="F6841" s="16"/>
      <c r="H6841" s="16"/>
      <c r="AG6841" s="80"/>
      <c r="AH6841" s="80"/>
      <c r="AI6841" s="80"/>
    </row>
    <row r="6842" spans="5:35" x14ac:dyDescent="0.25">
      <c r="E6842" s="16"/>
      <c r="F6842" s="16"/>
      <c r="H6842" s="16"/>
      <c r="AG6842" s="80"/>
      <c r="AH6842" s="80"/>
      <c r="AI6842" s="80"/>
    </row>
    <row r="6843" spans="5:35" x14ac:dyDescent="0.25">
      <c r="E6843" s="16"/>
      <c r="F6843" s="16"/>
      <c r="H6843" s="16"/>
      <c r="AG6843" s="80"/>
      <c r="AH6843" s="80"/>
      <c r="AI6843" s="80"/>
    </row>
    <row r="6844" spans="5:35" x14ac:dyDescent="0.25">
      <c r="E6844" s="16"/>
      <c r="F6844" s="16"/>
      <c r="H6844" s="16"/>
      <c r="AG6844" s="80"/>
      <c r="AH6844" s="80"/>
      <c r="AI6844" s="80"/>
    </row>
    <row r="6845" spans="5:35" x14ac:dyDescent="0.25">
      <c r="E6845" s="16"/>
      <c r="F6845" s="16"/>
      <c r="H6845" s="16"/>
      <c r="AG6845" s="80"/>
      <c r="AH6845" s="80"/>
      <c r="AI6845" s="80"/>
    </row>
    <row r="6846" spans="5:35" x14ac:dyDescent="0.25">
      <c r="E6846" s="16"/>
      <c r="F6846" s="16"/>
      <c r="H6846" s="16"/>
      <c r="AG6846" s="80"/>
      <c r="AH6846" s="80"/>
      <c r="AI6846" s="80"/>
    </row>
    <row r="6847" spans="5:35" x14ac:dyDescent="0.25">
      <c r="E6847" s="16"/>
      <c r="F6847" s="16"/>
      <c r="H6847" s="16"/>
      <c r="AG6847" s="80"/>
      <c r="AH6847" s="80"/>
      <c r="AI6847" s="80"/>
    </row>
    <row r="6848" spans="5:35" x14ac:dyDescent="0.25">
      <c r="E6848" s="16"/>
      <c r="F6848" s="16"/>
      <c r="H6848" s="16"/>
      <c r="AG6848" s="80"/>
      <c r="AH6848" s="80"/>
      <c r="AI6848" s="80"/>
    </row>
    <row r="6849" spans="5:35" x14ac:dyDescent="0.25">
      <c r="E6849" s="16"/>
      <c r="F6849" s="16"/>
      <c r="H6849" s="16"/>
      <c r="AG6849" s="80"/>
      <c r="AH6849" s="80"/>
      <c r="AI6849" s="80"/>
    </row>
    <row r="6850" spans="5:35" x14ac:dyDescent="0.25">
      <c r="E6850" s="16"/>
      <c r="F6850" s="16"/>
      <c r="H6850" s="16"/>
      <c r="AG6850" s="80"/>
      <c r="AH6850" s="80"/>
      <c r="AI6850" s="80"/>
    </row>
    <row r="6851" spans="5:35" x14ac:dyDescent="0.25">
      <c r="E6851" s="16"/>
      <c r="F6851" s="16"/>
      <c r="H6851" s="16"/>
      <c r="AG6851" s="80"/>
      <c r="AH6851" s="80"/>
      <c r="AI6851" s="80"/>
    </row>
    <row r="6852" spans="5:35" x14ac:dyDescent="0.25">
      <c r="E6852" s="16"/>
      <c r="F6852" s="16"/>
      <c r="H6852" s="16"/>
      <c r="AG6852" s="80"/>
      <c r="AH6852" s="80"/>
      <c r="AI6852" s="80"/>
    </row>
    <row r="6853" spans="5:35" x14ac:dyDescent="0.25">
      <c r="E6853" s="16"/>
      <c r="F6853" s="16"/>
      <c r="H6853" s="16"/>
      <c r="AG6853" s="80"/>
      <c r="AH6853" s="80"/>
      <c r="AI6853" s="80"/>
    </row>
    <row r="6854" spans="5:35" x14ac:dyDescent="0.25">
      <c r="E6854" s="16"/>
      <c r="F6854" s="16"/>
      <c r="H6854" s="16"/>
      <c r="AG6854" s="80"/>
      <c r="AH6854" s="80"/>
      <c r="AI6854" s="80"/>
    </row>
    <row r="6855" spans="5:35" x14ac:dyDescent="0.25">
      <c r="E6855" s="16"/>
      <c r="F6855" s="16"/>
      <c r="H6855" s="16"/>
      <c r="AG6855" s="80"/>
      <c r="AH6855" s="80"/>
      <c r="AI6855" s="80"/>
    </row>
    <row r="6856" spans="5:35" x14ac:dyDescent="0.25">
      <c r="E6856" s="16"/>
      <c r="F6856" s="16"/>
      <c r="H6856" s="16"/>
      <c r="AG6856" s="80"/>
      <c r="AH6856" s="80"/>
      <c r="AI6856" s="80"/>
    </row>
    <row r="6857" spans="5:35" x14ac:dyDescent="0.25">
      <c r="E6857" s="16"/>
      <c r="F6857" s="16"/>
      <c r="H6857" s="16"/>
      <c r="AG6857" s="80"/>
      <c r="AH6857" s="80"/>
      <c r="AI6857" s="80"/>
    </row>
    <row r="6858" spans="5:35" x14ac:dyDescent="0.25">
      <c r="E6858" s="16"/>
      <c r="F6858" s="16"/>
      <c r="H6858" s="16"/>
      <c r="AG6858" s="80"/>
      <c r="AH6858" s="80"/>
      <c r="AI6858" s="80"/>
    </row>
    <row r="6859" spans="5:35" x14ac:dyDescent="0.25">
      <c r="E6859" s="16"/>
      <c r="F6859" s="16"/>
      <c r="H6859" s="16"/>
      <c r="AG6859" s="80"/>
      <c r="AH6859" s="80"/>
      <c r="AI6859" s="80"/>
    </row>
    <row r="6860" spans="5:35" x14ac:dyDescent="0.25">
      <c r="E6860" s="16"/>
      <c r="F6860" s="16"/>
      <c r="H6860" s="16"/>
      <c r="AG6860" s="80"/>
      <c r="AH6860" s="80"/>
      <c r="AI6860" s="80"/>
    </row>
    <row r="6861" spans="5:35" x14ac:dyDescent="0.25">
      <c r="E6861" s="16"/>
      <c r="F6861" s="16"/>
      <c r="H6861" s="16"/>
      <c r="AG6861" s="80"/>
      <c r="AH6861" s="80"/>
      <c r="AI6861" s="80"/>
    </row>
    <row r="6862" spans="5:35" x14ac:dyDescent="0.25">
      <c r="E6862" s="16"/>
      <c r="F6862" s="16"/>
      <c r="H6862" s="16"/>
      <c r="AG6862" s="80"/>
      <c r="AH6862" s="80"/>
      <c r="AI6862" s="80"/>
    </row>
    <row r="6863" spans="5:35" x14ac:dyDescent="0.25">
      <c r="E6863" s="16"/>
      <c r="F6863" s="16"/>
      <c r="H6863" s="16"/>
      <c r="AG6863" s="80"/>
      <c r="AH6863" s="80"/>
      <c r="AI6863" s="80"/>
    </row>
    <row r="6864" spans="5:35" x14ac:dyDescent="0.25">
      <c r="E6864" s="16"/>
      <c r="F6864" s="16"/>
      <c r="H6864" s="16"/>
      <c r="AG6864" s="80"/>
      <c r="AH6864" s="80"/>
      <c r="AI6864" s="80"/>
    </row>
    <row r="6865" spans="5:35" x14ac:dyDescent="0.25">
      <c r="E6865" s="16"/>
      <c r="F6865" s="16"/>
      <c r="H6865" s="16"/>
      <c r="AG6865" s="80"/>
      <c r="AH6865" s="80"/>
      <c r="AI6865" s="80"/>
    </row>
    <row r="6866" spans="5:35" x14ac:dyDescent="0.25">
      <c r="E6866" s="16"/>
      <c r="F6866" s="16"/>
      <c r="H6866" s="16"/>
      <c r="AG6866" s="80"/>
      <c r="AH6866" s="80"/>
      <c r="AI6866" s="80"/>
    </row>
    <row r="6867" spans="5:35" x14ac:dyDescent="0.25">
      <c r="E6867" s="16"/>
      <c r="F6867" s="16"/>
      <c r="H6867" s="16"/>
      <c r="AG6867" s="80"/>
      <c r="AH6867" s="80"/>
      <c r="AI6867" s="80"/>
    </row>
    <row r="6868" spans="5:35" x14ac:dyDescent="0.25">
      <c r="E6868" s="16"/>
      <c r="F6868" s="16"/>
      <c r="H6868" s="16"/>
      <c r="AG6868" s="80"/>
      <c r="AH6868" s="80"/>
      <c r="AI6868" s="80"/>
    </row>
    <row r="6869" spans="5:35" x14ac:dyDescent="0.25">
      <c r="E6869" s="16"/>
      <c r="F6869" s="16"/>
      <c r="H6869" s="16"/>
      <c r="AG6869" s="80"/>
      <c r="AH6869" s="80"/>
      <c r="AI6869" s="80"/>
    </row>
    <row r="6870" spans="5:35" x14ac:dyDescent="0.25">
      <c r="E6870" s="16"/>
      <c r="F6870" s="16"/>
      <c r="H6870" s="16"/>
      <c r="AG6870" s="80"/>
      <c r="AH6870" s="80"/>
      <c r="AI6870" s="80"/>
    </row>
    <row r="6871" spans="5:35" x14ac:dyDescent="0.25">
      <c r="E6871" s="16"/>
      <c r="F6871" s="16"/>
      <c r="H6871" s="16"/>
      <c r="AG6871" s="80"/>
      <c r="AH6871" s="80"/>
      <c r="AI6871" s="80"/>
    </row>
    <row r="6872" spans="5:35" x14ac:dyDescent="0.25">
      <c r="E6872" s="16"/>
      <c r="F6872" s="16"/>
      <c r="H6872" s="16"/>
      <c r="AG6872" s="80"/>
      <c r="AH6872" s="80"/>
      <c r="AI6872" s="80"/>
    </row>
    <row r="6873" spans="5:35" x14ac:dyDescent="0.25">
      <c r="E6873" s="16"/>
      <c r="F6873" s="16"/>
      <c r="H6873" s="16"/>
      <c r="AG6873" s="80"/>
      <c r="AH6873" s="80"/>
      <c r="AI6873" s="80"/>
    </row>
    <row r="6874" spans="5:35" x14ac:dyDescent="0.25">
      <c r="E6874" s="16"/>
      <c r="F6874" s="16"/>
      <c r="H6874" s="16"/>
      <c r="AG6874" s="80"/>
      <c r="AH6874" s="80"/>
      <c r="AI6874" s="80"/>
    </row>
    <row r="6875" spans="5:35" x14ac:dyDescent="0.25">
      <c r="E6875" s="16"/>
      <c r="F6875" s="16"/>
      <c r="H6875" s="16"/>
      <c r="AG6875" s="80"/>
      <c r="AH6875" s="80"/>
      <c r="AI6875" s="80"/>
    </row>
    <row r="6876" spans="5:35" x14ac:dyDescent="0.25">
      <c r="E6876" s="16"/>
      <c r="F6876" s="16"/>
      <c r="H6876" s="16"/>
      <c r="AG6876" s="80"/>
      <c r="AH6876" s="80"/>
      <c r="AI6876" s="80"/>
    </row>
    <row r="6877" spans="5:35" x14ac:dyDescent="0.25">
      <c r="E6877" s="16"/>
      <c r="F6877" s="16"/>
      <c r="H6877" s="16"/>
      <c r="AG6877" s="80"/>
      <c r="AH6877" s="80"/>
      <c r="AI6877" s="80"/>
    </row>
    <row r="6878" spans="5:35" x14ac:dyDescent="0.25">
      <c r="E6878" s="16"/>
      <c r="F6878" s="16"/>
      <c r="H6878" s="16"/>
      <c r="AG6878" s="80"/>
      <c r="AH6878" s="80"/>
      <c r="AI6878" s="80"/>
    </row>
    <row r="6879" spans="5:35" x14ac:dyDescent="0.25">
      <c r="E6879" s="16"/>
      <c r="F6879" s="16"/>
      <c r="H6879" s="16"/>
      <c r="AG6879" s="80"/>
      <c r="AH6879" s="80"/>
      <c r="AI6879" s="80"/>
    </row>
    <row r="6880" spans="5:35" x14ac:dyDescent="0.25">
      <c r="E6880" s="16"/>
      <c r="F6880" s="16"/>
      <c r="H6880" s="16"/>
      <c r="AG6880" s="80"/>
      <c r="AH6880" s="80"/>
      <c r="AI6880" s="80"/>
    </row>
    <row r="6881" spans="5:35" x14ac:dyDescent="0.25">
      <c r="E6881" s="16"/>
      <c r="F6881" s="16"/>
      <c r="H6881" s="16"/>
      <c r="AG6881" s="80"/>
      <c r="AH6881" s="80"/>
      <c r="AI6881" s="80"/>
    </row>
    <row r="6882" spans="5:35" x14ac:dyDescent="0.25">
      <c r="E6882" s="16"/>
      <c r="F6882" s="16"/>
      <c r="H6882" s="16"/>
      <c r="AG6882" s="80"/>
      <c r="AH6882" s="80"/>
      <c r="AI6882" s="80"/>
    </row>
    <row r="6883" spans="5:35" x14ac:dyDescent="0.25">
      <c r="E6883" s="16"/>
      <c r="F6883" s="16"/>
      <c r="H6883" s="16"/>
      <c r="AG6883" s="80"/>
      <c r="AH6883" s="80"/>
      <c r="AI6883" s="80"/>
    </row>
    <row r="6884" spans="5:35" x14ac:dyDescent="0.25">
      <c r="E6884" s="16"/>
      <c r="F6884" s="16"/>
      <c r="H6884" s="16"/>
      <c r="AG6884" s="80"/>
      <c r="AH6884" s="80"/>
      <c r="AI6884" s="80"/>
    </row>
    <row r="6885" spans="5:35" x14ac:dyDescent="0.25">
      <c r="E6885" s="16"/>
      <c r="F6885" s="16"/>
      <c r="H6885" s="16"/>
      <c r="AG6885" s="80"/>
      <c r="AH6885" s="80"/>
      <c r="AI6885" s="80"/>
    </row>
    <row r="6886" spans="5:35" x14ac:dyDescent="0.25">
      <c r="E6886" s="16"/>
      <c r="F6886" s="16"/>
      <c r="H6886" s="16"/>
      <c r="AG6886" s="80"/>
      <c r="AH6886" s="80"/>
      <c r="AI6886" s="80"/>
    </row>
    <row r="6887" spans="5:35" x14ac:dyDescent="0.25">
      <c r="E6887" s="16"/>
      <c r="F6887" s="16"/>
      <c r="H6887" s="16"/>
      <c r="AG6887" s="80"/>
      <c r="AH6887" s="80"/>
      <c r="AI6887" s="80"/>
    </row>
    <row r="6888" spans="5:35" x14ac:dyDescent="0.25">
      <c r="E6888" s="16"/>
      <c r="F6888" s="16"/>
      <c r="H6888" s="16"/>
      <c r="AG6888" s="80"/>
      <c r="AH6888" s="80"/>
      <c r="AI6888" s="80"/>
    </row>
    <row r="6889" spans="5:35" x14ac:dyDescent="0.25">
      <c r="E6889" s="16"/>
      <c r="F6889" s="16"/>
      <c r="H6889" s="16"/>
      <c r="AG6889" s="80"/>
      <c r="AH6889" s="80"/>
      <c r="AI6889" s="80"/>
    </row>
    <row r="6890" spans="5:35" x14ac:dyDescent="0.25">
      <c r="E6890" s="16"/>
      <c r="F6890" s="16"/>
      <c r="H6890" s="16"/>
      <c r="AG6890" s="80"/>
      <c r="AH6890" s="80"/>
      <c r="AI6890" s="80"/>
    </row>
    <row r="6891" spans="5:35" x14ac:dyDescent="0.25">
      <c r="E6891" s="16"/>
      <c r="F6891" s="16"/>
      <c r="H6891" s="16"/>
      <c r="AG6891" s="80"/>
      <c r="AH6891" s="80"/>
      <c r="AI6891" s="80"/>
    </row>
    <row r="6892" spans="5:35" x14ac:dyDescent="0.25">
      <c r="E6892" s="16"/>
      <c r="F6892" s="16"/>
      <c r="H6892" s="16"/>
      <c r="AG6892" s="80"/>
      <c r="AH6892" s="80"/>
      <c r="AI6892" s="80"/>
    </row>
    <row r="6893" spans="5:35" x14ac:dyDescent="0.25">
      <c r="E6893" s="16"/>
      <c r="F6893" s="16"/>
      <c r="H6893" s="16"/>
      <c r="AG6893" s="80"/>
      <c r="AH6893" s="80"/>
      <c r="AI6893" s="80"/>
    </row>
    <row r="6894" spans="5:35" x14ac:dyDescent="0.25">
      <c r="E6894" s="16"/>
      <c r="F6894" s="16"/>
      <c r="H6894" s="16"/>
      <c r="AG6894" s="80"/>
      <c r="AH6894" s="80"/>
      <c r="AI6894" s="80"/>
    </row>
    <row r="6895" spans="5:35" x14ac:dyDescent="0.25">
      <c r="E6895" s="16"/>
      <c r="F6895" s="16"/>
      <c r="H6895" s="16"/>
      <c r="AG6895" s="80"/>
      <c r="AH6895" s="80"/>
      <c r="AI6895" s="80"/>
    </row>
    <row r="6896" spans="5:35" x14ac:dyDescent="0.25">
      <c r="E6896" s="16"/>
      <c r="F6896" s="16"/>
      <c r="H6896" s="16"/>
      <c r="AG6896" s="80"/>
      <c r="AH6896" s="80"/>
      <c r="AI6896" s="80"/>
    </row>
    <row r="6897" spans="5:35" x14ac:dyDescent="0.25">
      <c r="E6897" s="16"/>
      <c r="F6897" s="16"/>
      <c r="H6897" s="16"/>
      <c r="AG6897" s="80"/>
      <c r="AH6897" s="80"/>
      <c r="AI6897" s="80"/>
    </row>
    <row r="6898" spans="5:35" x14ac:dyDescent="0.25">
      <c r="E6898" s="16"/>
      <c r="F6898" s="16"/>
      <c r="H6898" s="16"/>
      <c r="AG6898" s="80"/>
      <c r="AH6898" s="80"/>
      <c r="AI6898" s="80"/>
    </row>
    <row r="6899" spans="5:35" x14ac:dyDescent="0.25">
      <c r="E6899" s="16"/>
      <c r="F6899" s="16"/>
      <c r="H6899" s="16"/>
      <c r="AG6899" s="80"/>
      <c r="AH6899" s="80"/>
      <c r="AI6899" s="80"/>
    </row>
    <row r="6900" spans="5:35" x14ac:dyDescent="0.25">
      <c r="E6900" s="16"/>
      <c r="F6900" s="16"/>
      <c r="H6900" s="16"/>
      <c r="AG6900" s="80"/>
      <c r="AH6900" s="80"/>
      <c r="AI6900" s="80"/>
    </row>
    <row r="6901" spans="5:35" x14ac:dyDescent="0.25">
      <c r="E6901" s="16"/>
      <c r="F6901" s="16"/>
      <c r="H6901" s="16"/>
      <c r="AG6901" s="80"/>
      <c r="AH6901" s="80"/>
      <c r="AI6901" s="80"/>
    </row>
    <row r="6902" spans="5:35" x14ac:dyDescent="0.25">
      <c r="E6902" s="16"/>
      <c r="F6902" s="16"/>
      <c r="H6902" s="16"/>
      <c r="AG6902" s="80"/>
      <c r="AH6902" s="80"/>
      <c r="AI6902" s="80"/>
    </row>
    <row r="6903" spans="5:35" x14ac:dyDescent="0.25">
      <c r="E6903" s="16"/>
      <c r="F6903" s="16"/>
      <c r="H6903" s="16"/>
      <c r="AG6903" s="80"/>
      <c r="AH6903" s="80"/>
      <c r="AI6903" s="80"/>
    </row>
    <row r="6904" spans="5:35" x14ac:dyDescent="0.25">
      <c r="E6904" s="16"/>
      <c r="F6904" s="16"/>
      <c r="H6904" s="16"/>
      <c r="AG6904" s="80"/>
      <c r="AH6904" s="80"/>
      <c r="AI6904" s="80"/>
    </row>
    <row r="6905" spans="5:35" x14ac:dyDescent="0.25">
      <c r="E6905" s="16"/>
      <c r="F6905" s="16"/>
      <c r="H6905" s="16"/>
      <c r="AG6905" s="80"/>
      <c r="AH6905" s="80"/>
      <c r="AI6905" s="80"/>
    </row>
    <row r="6906" spans="5:35" x14ac:dyDescent="0.25">
      <c r="E6906" s="16"/>
      <c r="F6906" s="16"/>
      <c r="H6906" s="16"/>
      <c r="AG6906" s="80"/>
      <c r="AH6906" s="80"/>
      <c r="AI6906" s="80"/>
    </row>
    <row r="6907" spans="5:35" x14ac:dyDescent="0.25">
      <c r="E6907" s="16"/>
      <c r="F6907" s="16"/>
      <c r="H6907" s="16"/>
      <c r="AG6907" s="80"/>
      <c r="AH6907" s="80"/>
      <c r="AI6907" s="80"/>
    </row>
    <row r="6908" spans="5:35" x14ac:dyDescent="0.25">
      <c r="E6908" s="16"/>
      <c r="F6908" s="16"/>
      <c r="H6908" s="16"/>
      <c r="AG6908" s="80"/>
      <c r="AH6908" s="80"/>
      <c r="AI6908" s="80"/>
    </row>
    <row r="6909" spans="5:35" x14ac:dyDescent="0.25">
      <c r="E6909" s="16"/>
      <c r="F6909" s="16"/>
      <c r="H6909" s="16"/>
      <c r="AG6909" s="80"/>
      <c r="AH6909" s="80"/>
      <c r="AI6909" s="80"/>
    </row>
    <row r="6910" spans="5:35" x14ac:dyDescent="0.25">
      <c r="E6910" s="16"/>
      <c r="F6910" s="16"/>
      <c r="H6910" s="16"/>
      <c r="AG6910" s="80"/>
      <c r="AH6910" s="80"/>
      <c r="AI6910" s="80"/>
    </row>
    <row r="6911" spans="5:35" x14ac:dyDescent="0.25">
      <c r="E6911" s="16"/>
      <c r="F6911" s="16"/>
      <c r="H6911" s="16"/>
      <c r="AG6911" s="80"/>
      <c r="AH6911" s="80"/>
      <c r="AI6911" s="80"/>
    </row>
    <row r="6912" spans="5:35" x14ac:dyDescent="0.25">
      <c r="E6912" s="16"/>
      <c r="F6912" s="16"/>
      <c r="H6912" s="16"/>
      <c r="AG6912" s="80"/>
      <c r="AH6912" s="80"/>
      <c r="AI6912" s="80"/>
    </row>
    <row r="6913" spans="5:35" x14ac:dyDescent="0.25">
      <c r="E6913" s="16"/>
      <c r="F6913" s="16"/>
      <c r="H6913" s="16"/>
      <c r="AG6913" s="80"/>
      <c r="AH6913" s="80"/>
      <c r="AI6913" s="80"/>
    </row>
    <row r="6914" spans="5:35" x14ac:dyDescent="0.25">
      <c r="E6914" s="16"/>
      <c r="F6914" s="16"/>
      <c r="H6914" s="16"/>
      <c r="AG6914" s="80"/>
      <c r="AH6914" s="80"/>
      <c r="AI6914" s="80"/>
    </row>
    <row r="6915" spans="5:35" x14ac:dyDescent="0.25">
      <c r="E6915" s="16"/>
      <c r="F6915" s="16"/>
      <c r="H6915" s="16"/>
      <c r="AG6915" s="80"/>
      <c r="AH6915" s="80"/>
      <c r="AI6915" s="80"/>
    </row>
    <row r="6916" spans="5:35" x14ac:dyDescent="0.25">
      <c r="E6916" s="16"/>
      <c r="F6916" s="16"/>
      <c r="H6916" s="16"/>
      <c r="AG6916" s="80"/>
      <c r="AH6916" s="80"/>
      <c r="AI6916" s="80"/>
    </row>
    <row r="6917" spans="5:35" x14ac:dyDescent="0.25">
      <c r="E6917" s="16"/>
      <c r="F6917" s="16"/>
      <c r="H6917" s="16"/>
      <c r="AG6917" s="80"/>
      <c r="AH6917" s="80"/>
      <c r="AI6917" s="80"/>
    </row>
    <row r="6918" spans="5:35" x14ac:dyDescent="0.25">
      <c r="E6918" s="16"/>
      <c r="F6918" s="16"/>
      <c r="H6918" s="16"/>
      <c r="AG6918" s="80"/>
      <c r="AH6918" s="80"/>
      <c r="AI6918" s="80"/>
    </row>
    <row r="6919" spans="5:35" x14ac:dyDescent="0.25">
      <c r="E6919" s="16"/>
      <c r="F6919" s="16"/>
      <c r="H6919" s="16"/>
      <c r="AG6919" s="80"/>
      <c r="AH6919" s="80"/>
      <c r="AI6919" s="80"/>
    </row>
    <row r="6920" spans="5:35" x14ac:dyDescent="0.25">
      <c r="E6920" s="16"/>
      <c r="F6920" s="16"/>
      <c r="H6920" s="16"/>
      <c r="AG6920" s="80"/>
      <c r="AH6920" s="80"/>
      <c r="AI6920" s="80"/>
    </row>
    <row r="6921" spans="5:35" x14ac:dyDescent="0.25">
      <c r="E6921" s="16"/>
      <c r="F6921" s="16"/>
      <c r="H6921" s="16"/>
      <c r="AG6921" s="80"/>
      <c r="AH6921" s="80"/>
      <c r="AI6921" s="80"/>
    </row>
    <row r="6922" spans="5:35" x14ac:dyDescent="0.25">
      <c r="E6922" s="16"/>
      <c r="F6922" s="16"/>
      <c r="H6922" s="16"/>
      <c r="AG6922" s="80"/>
      <c r="AH6922" s="80"/>
      <c r="AI6922" s="80"/>
    </row>
    <row r="6923" spans="5:35" x14ac:dyDescent="0.25">
      <c r="E6923" s="16"/>
      <c r="F6923" s="16"/>
      <c r="H6923" s="16"/>
      <c r="AG6923" s="80"/>
      <c r="AH6923" s="80"/>
      <c r="AI6923" s="80"/>
    </row>
    <row r="6924" spans="5:35" x14ac:dyDescent="0.25">
      <c r="E6924" s="16"/>
      <c r="F6924" s="16"/>
      <c r="H6924" s="16"/>
      <c r="AG6924" s="80"/>
      <c r="AH6924" s="80"/>
      <c r="AI6924" s="80"/>
    </row>
    <row r="6925" spans="5:35" x14ac:dyDescent="0.25">
      <c r="E6925" s="16"/>
      <c r="F6925" s="16"/>
      <c r="H6925" s="16"/>
      <c r="AG6925" s="80"/>
      <c r="AH6925" s="80"/>
      <c r="AI6925" s="80"/>
    </row>
    <row r="6926" spans="5:35" x14ac:dyDescent="0.25">
      <c r="E6926" s="16"/>
      <c r="F6926" s="16"/>
      <c r="H6926" s="16"/>
      <c r="AG6926" s="80"/>
      <c r="AH6926" s="80"/>
      <c r="AI6926" s="80"/>
    </row>
    <row r="6927" spans="5:35" x14ac:dyDescent="0.25">
      <c r="E6927" s="16"/>
      <c r="F6927" s="16"/>
      <c r="H6927" s="16"/>
      <c r="AG6927" s="80"/>
      <c r="AH6927" s="80"/>
      <c r="AI6927" s="80"/>
    </row>
    <row r="6928" spans="5:35" x14ac:dyDescent="0.25">
      <c r="E6928" s="16"/>
      <c r="F6928" s="16"/>
      <c r="H6928" s="16"/>
      <c r="AG6928" s="80"/>
      <c r="AH6928" s="80"/>
      <c r="AI6928" s="80"/>
    </row>
    <row r="6929" spans="5:35" x14ac:dyDescent="0.25">
      <c r="E6929" s="16"/>
      <c r="F6929" s="16"/>
      <c r="H6929" s="16"/>
      <c r="AG6929" s="80"/>
      <c r="AH6929" s="80"/>
      <c r="AI6929" s="80"/>
    </row>
    <row r="6930" spans="5:35" x14ac:dyDescent="0.25">
      <c r="E6930" s="16"/>
      <c r="F6930" s="16"/>
      <c r="H6930" s="16"/>
      <c r="AG6930" s="80"/>
      <c r="AH6930" s="80"/>
      <c r="AI6930" s="80"/>
    </row>
    <row r="6931" spans="5:35" x14ac:dyDescent="0.25">
      <c r="E6931" s="16"/>
      <c r="F6931" s="16"/>
      <c r="H6931" s="16"/>
      <c r="AG6931" s="80"/>
      <c r="AH6931" s="80"/>
      <c r="AI6931" s="80"/>
    </row>
    <row r="6932" spans="5:35" x14ac:dyDescent="0.25">
      <c r="E6932" s="16"/>
      <c r="F6932" s="16"/>
      <c r="H6932" s="16"/>
      <c r="AG6932" s="80"/>
      <c r="AH6932" s="80"/>
      <c r="AI6932" s="80"/>
    </row>
    <row r="6933" spans="5:35" x14ac:dyDescent="0.25">
      <c r="E6933" s="16"/>
      <c r="F6933" s="16"/>
      <c r="H6933" s="16"/>
      <c r="AG6933" s="80"/>
      <c r="AH6933" s="80"/>
      <c r="AI6933" s="80"/>
    </row>
    <row r="6934" spans="5:35" x14ac:dyDescent="0.25">
      <c r="E6934" s="16"/>
      <c r="F6934" s="16"/>
      <c r="H6934" s="16"/>
      <c r="AG6934" s="80"/>
      <c r="AH6934" s="80"/>
      <c r="AI6934" s="80"/>
    </row>
    <row r="6935" spans="5:35" x14ac:dyDescent="0.25">
      <c r="E6935" s="16"/>
      <c r="F6935" s="16"/>
      <c r="H6935" s="16"/>
      <c r="AG6935" s="80"/>
      <c r="AH6935" s="80"/>
      <c r="AI6935" s="80"/>
    </row>
    <row r="6936" spans="5:35" x14ac:dyDescent="0.25">
      <c r="E6936" s="16"/>
      <c r="F6936" s="16"/>
      <c r="H6936" s="16"/>
      <c r="AG6936" s="80"/>
      <c r="AH6936" s="80"/>
      <c r="AI6936" s="80"/>
    </row>
    <row r="6937" spans="5:35" x14ac:dyDescent="0.25">
      <c r="E6937" s="16"/>
      <c r="F6937" s="16"/>
      <c r="H6937" s="16"/>
      <c r="AG6937" s="80"/>
      <c r="AH6937" s="80"/>
      <c r="AI6937" s="80"/>
    </row>
    <row r="6938" spans="5:35" x14ac:dyDescent="0.25">
      <c r="E6938" s="16"/>
      <c r="F6938" s="16"/>
      <c r="H6938" s="16"/>
      <c r="AG6938" s="80"/>
      <c r="AH6938" s="80"/>
      <c r="AI6938" s="80"/>
    </row>
    <row r="6939" spans="5:35" x14ac:dyDescent="0.25">
      <c r="E6939" s="16"/>
      <c r="F6939" s="16"/>
      <c r="H6939" s="16"/>
      <c r="AG6939" s="80"/>
      <c r="AH6939" s="80"/>
      <c r="AI6939" s="80"/>
    </row>
    <row r="6940" spans="5:35" x14ac:dyDescent="0.25">
      <c r="E6940" s="16"/>
      <c r="F6940" s="16"/>
      <c r="H6940" s="16"/>
      <c r="AG6940" s="80"/>
      <c r="AH6940" s="80"/>
      <c r="AI6940" s="80"/>
    </row>
    <row r="6941" spans="5:35" x14ac:dyDescent="0.25">
      <c r="E6941" s="16"/>
      <c r="F6941" s="16"/>
      <c r="H6941" s="16"/>
      <c r="AG6941" s="80"/>
      <c r="AH6941" s="80"/>
      <c r="AI6941" s="80"/>
    </row>
    <row r="6942" spans="5:35" x14ac:dyDescent="0.25">
      <c r="E6942" s="16"/>
      <c r="F6942" s="16"/>
      <c r="H6942" s="16"/>
      <c r="AG6942" s="80"/>
      <c r="AH6942" s="80"/>
      <c r="AI6942" s="80"/>
    </row>
    <row r="6943" spans="5:35" x14ac:dyDescent="0.25">
      <c r="E6943" s="16"/>
      <c r="F6943" s="16"/>
      <c r="H6943" s="16"/>
      <c r="AG6943" s="80"/>
      <c r="AH6943" s="80"/>
      <c r="AI6943" s="80"/>
    </row>
    <row r="6944" spans="5:35" x14ac:dyDescent="0.25">
      <c r="E6944" s="16"/>
      <c r="F6944" s="16"/>
      <c r="H6944" s="16"/>
      <c r="AG6944" s="80"/>
      <c r="AH6944" s="80"/>
      <c r="AI6944" s="80"/>
    </row>
    <row r="6945" spans="5:35" x14ac:dyDescent="0.25">
      <c r="E6945" s="16"/>
      <c r="F6945" s="16"/>
      <c r="H6945" s="16"/>
      <c r="AG6945" s="80"/>
      <c r="AH6945" s="80"/>
      <c r="AI6945" s="80"/>
    </row>
    <row r="6946" spans="5:35" x14ac:dyDescent="0.25">
      <c r="E6946" s="16"/>
      <c r="F6946" s="16"/>
      <c r="H6946" s="16"/>
      <c r="AG6946" s="80"/>
      <c r="AH6946" s="80"/>
      <c r="AI6946" s="80"/>
    </row>
    <row r="6947" spans="5:35" x14ac:dyDescent="0.25">
      <c r="E6947" s="16"/>
      <c r="F6947" s="16"/>
      <c r="H6947" s="16"/>
      <c r="AG6947" s="80"/>
      <c r="AH6947" s="80"/>
      <c r="AI6947" s="80"/>
    </row>
    <row r="6948" spans="5:35" x14ac:dyDescent="0.25">
      <c r="E6948" s="16"/>
      <c r="F6948" s="16"/>
      <c r="H6948" s="16"/>
      <c r="AG6948" s="80"/>
      <c r="AH6948" s="80"/>
      <c r="AI6948" s="80"/>
    </row>
    <row r="6949" spans="5:35" x14ac:dyDescent="0.25">
      <c r="E6949" s="16"/>
      <c r="F6949" s="16"/>
      <c r="H6949" s="16"/>
      <c r="AG6949" s="80"/>
      <c r="AH6949" s="80"/>
      <c r="AI6949" s="80"/>
    </row>
    <row r="6950" spans="5:35" x14ac:dyDescent="0.25">
      <c r="E6950" s="16"/>
      <c r="F6950" s="16"/>
      <c r="H6950" s="16"/>
      <c r="AG6950" s="80"/>
      <c r="AH6950" s="80"/>
      <c r="AI6950" s="80"/>
    </row>
    <row r="6951" spans="5:35" x14ac:dyDescent="0.25">
      <c r="E6951" s="16"/>
      <c r="F6951" s="16"/>
      <c r="H6951" s="16"/>
      <c r="AG6951" s="80"/>
      <c r="AH6951" s="80"/>
      <c r="AI6951" s="80"/>
    </row>
    <row r="6952" spans="5:35" x14ac:dyDescent="0.25">
      <c r="E6952" s="16"/>
      <c r="F6952" s="16"/>
      <c r="H6952" s="16"/>
      <c r="AG6952" s="80"/>
      <c r="AH6952" s="80"/>
      <c r="AI6952" s="80"/>
    </row>
    <row r="6953" spans="5:35" x14ac:dyDescent="0.25">
      <c r="E6953" s="16"/>
      <c r="F6953" s="16"/>
      <c r="H6953" s="16"/>
      <c r="AG6953" s="80"/>
      <c r="AH6953" s="80"/>
      <c r="AI6953" s="80"/>
    </row>
    <row r="6954" spans="5:35" x14ac:dyDescent="0.25">
      <c r="E6954" s="16"/>
      <c r="F6954" s="16"/>
      <c r="H6954" s="16"/>
      <c r="AG6954" s="80"/>
      <c r="AH6954" s="80"/>
      <c r="AI6954" s="80"/>
    </row>
    <row r="6955" spans="5:35" x14ac:dyDescent="0.25">
      <c r="E6955" s="16"/>
      <c r="F6955" s="16"/>
      <c r="H6955" s="16"/>
      <c r="AG6955" s="80"/>
      <c r="AH6955" s="80"/>
      <c r="AI6955" s="80"/>
    </row>
    <row r="6956" spans="5:35" x14ac:dyDescent="0.25">
      <c r="E6956" s="16"/>
      <c r="F6956" s="16"/>
      <c r="H6956" s="16"/>
      <c r="AG6956" s="80"/>
      <c r="AH6956" s="80"/>
      <c r="AI6956" s="80"/>
    </row>
    <row r="6957" spans="5:35" x14ac:dyDescent="0.25">
      <c r="E6957" s="16"/>
      <c r="F6957" s="16"/>
      <c r="H6957" s="16"/>
      <c r="AG6957" s="80"/>
      <c r="AH6957" s="80"/>
      <c r="AI6957" s="80"/>
    </row>
    <row r="6958" spans="5:35" x14ac:dyDescent="0.25">
      <c r="E6958" s="16"/>
      <c r="F6958" s="16"/>
      <c r="H6958" s="16"/>
      <c r="AG6958" s="80"/>
      <c r="AH6958" s="80"/>
      <c r="AI6958" s="80"/>
    </row>
    <row r="6959" spans="5:35" x14ac:dyDescent="0.25">
      <c r="E6959" s="16"/>
      <c r="F6959" s="16"/>
      <c r="H6959" s="16"/>
      <c r="AG6959" s="80"/>
      <c r="AH6959" s="80"/>
      <c r="AI6959" s="80"/>
    </row>
    <row r="6960" spans="5:35" x14ac:dyDescent="0.25">
      <c r="E6960" s="16"/>
      <c r="F6960" s="16"/>
      <c r="H6960" s="16"/>
      <c r="AG6960" s="80"/>
      <c r="AH6960" s="80"/>
      <c r="AI6960" s="80"/>
    </row>
    <row r="6961" spans="5:35" x14ac:dyDescent="0.25">
      <c r="E6961" s="16"/>
      <c r="F6961" s="16"/>
      <c r="H6961" s="16"/>
      <c r="AG6961" s="80"/>
      <c r="AH6961" s="80"/>
      <c r="AI6961" s="80"/>
    </row>
    <row r="6962" spans="5:35" x14ac:dyDescent="0.25">
      <c r="E6962" s="16"/>
      <c r="F6962" s="16"/>
      <c r="H6962" s="16"/>
      <c r="AG6962" s="80"/>
      <c r="AH6962" s="80"/>
      <c r="AI6962" s="80"/>
    </row>
    <row r="6963" spans="5:35" x14ac:dyDescent="0.25">
      <c r="E6963" s="16"/>
      <c r="F6963" s="16"/>
      <c r="H6963" s="16"/>
      <c r="AG6963" s="80"/>
      <c r="AH6963" s="80"/>
      <c r="AI6963" s="80"/>
    </row>
    <row r="6964" spans="5:35" x14ac:dyDescent="0.25">
      <c r="E6964" s="16"/>
      <c r="F6964" s="16"/>
      <c r="H6964" s="16"/>
      <c r="AG6964" s="80"/>
      <c r="AH6964" s="80"/>
      <c r="AI6964" s="80"/>
    </row>
    <row r="6965" spans="5:35" x14ac:dyDescent="0.25">
      <c r="E6965" s="16"/>
      <c r="F6965" s="16"/>
      <c r="H6965" s="16"/>
      <c r="AG6965" s="80"/>
      <c r="AH6965" s="80"/>
      <c r="AI6965" s="80"/>
    </row>
    <row r="6966" spans="5:35" x14ac:dyDescent="0.25">
      <c r="E6966" s="16"/>
      <c r="F6966" s="16"/>
      <c r="H6966" s="16"/>
      <c r="AG6966" s="80"/>
      <c r="AH6966" s="80"/>
      <c r="AI6966" s="80"/>
    </row>
    <row r="6967" spans="5:35" x14ac:dyDescent="0.25">
      <c r="E6967" s="16"/>
      <c r="F6967" s="16"/>
      <c r="H6967" s="16"/>
      <c r="AG6967" s="80"/>
      <c r="AH6967" s="80"/>
      <c r="AI6967" s="80"/>
    </row>
    <row r="6968" spans="5:35" x14ac:dyDescent="0.25">
      <c r="E6968" s="16"/>
      <c r="F6968" s="16"/>
      <c r="H6968" s="16"/>
      <c r="AG6968" s="80"/>
      <c r="AH6968" s="80"/>
      <c r="AI6968" s="80"/>
    </row>
    <row r="6969" spans="5:35" x14ac:dyDescent="0.25">
      <c r="E6969" s="16"/>
      <c r="F6969" s="16"/>
      <c r="H6969" s="16"/>
      <c r="AG6969" s="80"/>
      <c r="AH6969" s="80"/>
      <c r="AI6969" s="80"/>
    </row>
    <row r="6970" spans="5:35" x14ac:dyDescent="0.25">
      <c r="E6970" s="16"/>
      <c r="F6970" s="16"/>
      <c r="H6970" s="16"/>
      <c r="AG6970" s="80"/>
      <c r="AH6970" s="80"/>
      <c r="AI6970" s="80"/>
    </row>
    <row r="6971" spans="5:35" x14ac:dyDescent="0.25">
      <c r="E6971" s="16"/>
      <c r="F6971" s="16"/>
      <c r="H6971" s="16"/>
      <c r="AG6971" s="80"/>
      <c r="AH6971" s="80"/>
      <c r="AI6971" s="80"/>
    </row>
    <row r="6972" spans="5:35" x14ac:dyDescent="0.25">
      <c r="E6972" s="16"/>
      <c r="F6972" s="16"/>
      <c r="H6972" s="16"/>
      <c r="AG6972" s="80"/>
      <c r="AH6972" s="80"/>
      <c r="AI6972" s="80"/>
    </row>
    <row r="6973" spans="5:35" x14ac:dyDescent="0.25">
      <c r="E6973" s="16"/>
      <c r="F6973" s="16"/>
      <c r="H6973" s="16"/>
      <c r="AG6973" s="80"/>
      <c r="AH6973" s="80"/>
      <c r="AI6973" s="80"/>
    </row>
    <row r="6974" spans="5:35" x14ac:dyDescent="0.25">
      <c r="E6974" s="16"/>
      <c r="F6974" s="16"/>
      <c r="H6974" s="16"/>
      <c r="AG6974" s="80"/>
      <c r="AH6974" s="80"/>
      <c r="AI6974" s="80"/>
    </row>
    <row r="6975" spans="5:35" x14ac:dyDescent="0.25">
      <c r="E6975" s="16"/>
      <c r="F6975" s="16"/>
      <c r="H6975" s="16"/>
      <c r="AG6975" s="80"/>
      <c r="AH6975" s="80"/>
      <c r="AI6975" s="80"/>
    </row>
    <row r="6976" spans="5:35" x14ac:dyDescent="0.25">
      <c r="E6976" s="16"/>
      <c r="F6976" s="16"/>
      <c r="H6976" s="16"/>
      <c r="AG6976" s="80"/>
      <c r="AH6976" s="80"/>
      <c r="AI6976" s="80"/>
    </row>
    <row r="6977" spans="5:35" x14ac:dyDescent="0.25">
      <c r="E6977" s="16"/>
      <c r="F6977" s="16"/>
      <c r="H6977" s="16"/>
      <c r="AG6977" s="80"/>
      <c r="AH6977" s="80"/>
      <c r="AI6977" s="80"/>
    </row>
    <row r="6978" spans="5:35" x14ac:dyDescent="0.25">
      <c r="E6978" s="16"/>
      <c r="F6978" s="16"/>
      <c r="H6978" s="16"/>
      <c r="AG6978" s="80"/>
      <c r="AH6978" s="80"/>
      <c r="AI6978" s="80"/>
    </row>
    <row r="6979" spans="5:35" x14ac:dyDescent="0.25">
      <c r="E6979" s="16"/>
      <c r="F6979" s="16"/>
      <c r="H6979" s="16"/>
      <c r="AG6979" s="80"/>
      <c r="AH6979" s="80"/>
      <c r="AI6979" s="80"/>
    </row>
    <row r="6980" spans="5:35" x14ac:dyDescent="0.25">
      <c r="E6980" s="16"/>
      <c r="F6980" s="16"/>
      <c r="H6980" s="16"/>
      <c r="AG6980" s="80"/>
      <c r="AH6980" s="80"/>
      <c r="AI6980" s="80"/>
    </row>
    <row r="6981" spans="5:35" x14ac:dyDescent="0.25">
      <c r="E6981" s="16"/>
      <c r="F6981" s="16"/>
      <c r="H6981" s="16"/>
      <c r="AG6981" s="80"/>
      <c r="AH6981" s="80"/>
      <c r="AI6981" s="80"/>
    </row>
    <row r="6982" spans="5:35" x14ac:dyDescent="0.25">
      <c r="E6982" s="16"/>
      <c r="F6982" s="16"/>
      <c r="H6982" s="16"/>
      <c r="AG6982" s="80"/>
      <c r="AH6982" s="80"/>
      <c r="AI6982" s="80"/>
    </row>
    <row r="6983" spans="5:35" x14ac:dyDescent="0.25">
      <c r="E6983" s="16"/>
      <c r="F6983" s="16"/>
      <c r="H6983" s="16"/>
      <c r="AG6983" s="80"/>
      <c r="AH6983" s="80"/>
      <c r="AI6983" s="80"/>
    </row>
    <row r="6984" spans="5:35" x14ac:dyDescent="0.25">
      <c r="E6984" s="16"/>
      <c r="F6984" s="16"/>
      <c r="H6984" s="16"/>
      <c r="AG6984" s="80"/>
      <c r="AH6984" s="80"/>
      <c r="AI6984" s="80"/>
    </row>
    <row r="6985" spans="5:35" x14ac:dyDescent="0.25">
      <c r="E6985" s="16"/>
      <c r="F6985" s="16"/>
      <c r="H6985" s="16"/>
      <c r="AG6985" s="80"/>
      <c r="AH6985" s="80"/>
      <c r="AI6985" s="80"/>
    </row>
    <row r="6986" spans="5:35" x14ac:dyDescent="0.25">
      <c r="E6986" s="16"/>
      <c r="F6986" s="16"/>
      <c r="H6986" s="16"/>
      <c r="AG6986" s="80"/>
      <c r="AH6986" s="80"/>
      <c r="AI6986" s="80"/>
    </row>
    <row r="6987" spans="5:35" x14ac:dyDescent="0.25">
      <c r="E6987" s="16"/>
      <c r="F6987" s="16"/>
      <c r="H6987" s="16"/>
      <c r="AG6987" s="80"/>
      <c r="AH6987" s="80"/>
      <c r="AI6987" s="80"/>
    </row>
    <row r="6988" spans="5:35" x14ac:dyDescent="0.25">
      <c r="E6988" s="16"/>
      <c r="F6988" s="16"/>
      <c r="H6988" s="16"/>
      <c r="AG6988" s="80"/>
      <c r="AH6988" s="80"/>
      <c r="AI6988" s="80"/>
    </row>
    <row r="6989" spans="5:35" x14ac:dyDescent="0.25">
      <c r="E6989" s="16"/>
      <c r="F6989" s="16"/>
      <c r="H6989" s="16"/>
      <c r="AG6989" s="80"/>
      <c r="AH6989" s="80"/>
      <c r="AI6989" s="80"/>
    </row>
    <row r="6990" spans="5:35" x14ac:dyDescent="0.25">
      <c r="E6990" s="16"/>
      <c r="F6990" s="16"/>
      <c r="H6990" s="16"/>
      <c r="AG6990" s="80"/>
      <c r="AH6990" s="80"/>
      <c r="AI6990" s="80"/>
    </row>
    <row r="6991" spans="5:35" x14ac:dyDescent="0.25">
      <c r="E6991" s="16"/>
      <c r="F6991" s="16"/>
      <c r="H6991" s="16"/>
      <c r="AG6991" s="80"/>
      <c r="AH6991" s="80"/>
      <c r="AI6991" s="80"/>
    </row>
    <row r="6992" spans="5:35" x14ac:dyDescent="0.25">
      <c r="E6992" s="16"/>
      <c r="F6992" s="16"/>
      <c r="H6992" s="16"/>
      <c r="AG6992" s="80"/>
      <c r="AH6992" s="80"/>
      <c r="AI6992" s="80"/>
    </row>
    <row r="6993" spans="5:35" x14ac:dyDescent="0.25">
      <c r="E6993" s="16"/>
      <c r="F6993" s="16"/>
      <c r="H6993" s="16"/>
      <c r="AG6993" s="80"/>
      <c r="AH6993" s="80"/>
      <c r="AI6993" s="80"/>
    </row>
    <row r="6994" spans="5:35" x14ac:dyDescent="0.25">
      <c r="E6994" s="16"/>
      <c r="F6994" s="16"/>
      <c r="H6994" s="16"/>
      <c r="AG6994" s="80"/>
      <c r="AH6994" s="80"/>
      <c r="AI6994" s="80"/>
    </row>
    <row r="6995" spans="5:35" x14ac:dyDescent="0.25">
      <c r="E6995" s="16"/>
      <c r="F6995" s="16"/>
      <c r="H6995" s="16"/>
      <c r="AG6995" s="80"/>
      <c r="AH6995" s="80"/>
      <c r="AI6995" s="80"/>
    </row>
    <row r="6996" spans="5:35" x14ac:dyDescent="0.25">
      <c r="E6996" s="16"/>
      <c r="F6996" s="16"/>
      <c r="H6996" s="16"/>
      <c r="AG6996" s="80"/>
      <c r="AH6996" s="80"/>
      <c r="AI6996" s="80"/>
    </row>
    <row r="6997" spans="5:35" x14ac:dyDescent="0.25">
      <c r="E6997" s="16"/>
      <c r="F6997" s="16"/>
      <c r="H6997" s="16"/>
      <c r="AG6997" s="80"/>
      <c r="AH6997" s="80"/>
      <c r="AI6997" s="80"/>
    </row>
    <row r="6998" spans="5:35" x14ac:dyDescent="0.25">
      <c r="E6998" s="16"/>
      <c r="F6998" s="16"/>
      <c r="H6998" s="16"/>
      <c r="AG6998" s="80"/>
      <c r="AH6998" s="80"/>
      <c r="AI6998" s="80"/>
    </row>
    <row r="6999" spans="5:35" x14ac:dyDescent="0.25">
      <c r="E6999" s="16"/>
      <c r="F6999" s="16"/>
      <c r="H6999" s="16"/>
      <c r="AG6999" s="80"/>
      <c r="AH6999" s="80"/>
      <c r="AI6999" s="80"/>
    </row>
    <row r="7000" spans="5:35" x14ac:dyDescent="0.25">
      <c r="E7000" s="16"/>
      <c r="F7000" s="16"/>
      <c r="H7000" s="16"/>
      <c r="AG7000" s="80"/>
      <c r="AH7000" s="80"/>
      <c r="AI7000" s="80"/>
    </row>
    <row r="7001" spans="5:35" x14ac:dyDescent="0.25">
      <c r="E7001" s="16"/>
      <c r="F7001" s="16"/>
      <c r="H7001" s="16"/>
      <c r="AG7001" s="80"/>
      <c r="AH7001" s="80"/>
      <c r="AI7001" s="80"/>
    </row>
    <row r="7002" spans="5:35" x14ac:dyDescent="0.25">
      <c r="E7002" s="16"/>
      <c r="F7002" s="16"/>
      <c r="H7002" s="16"/>
      <c r="AG7002" s="80"/>
      <c r="AH7002" s="80"/>
      <c r="AI7002" s="80"/>
    </row>
    <row r="7003" spans="5:35" x14ac:dyDescent="0.25">
      <c r="E7003" s="16"/>
      <c r="F7003" s="16"/>
      <c r="H7003" s="16"/>
      <c r="AG7003" s="80"/>
      <c r="AH7003" s="80"/>
      <c r="AI7003" s="80"/>
    </row>
    <row r="7004" spans="5:35" x14ac:dyDescent="0.25">
      <c r="E7004" s="16"/>
      <c r="F7004" s="16"/>
      <c r="H7004" s="16"/>
      <c r="AG7004" s="80"/>
      <c r="AH7004" s="80"/>
      <c r="AI7004" s="80"/>
    </row>
    <row r="7005" spans="5:35" x14ac:dyDescent="0.25">
      <c r="E7005" s="16"/>
      <c r="F7005" s="16"/>
      <c r="H7005" s="16"/>
      <c r="AG7005" s="80"/>
      <c r="AH7005" s="80"/>
      <c r="AI7005" s="80"/>
    </row>
    <row r="7006" spans="5:35" x14ac:dyDescent="0.25">
      <c r="E7006" s="16"/>
      <c r="F7006" s="16"/>
      <c r="H7006" s="16"/>
      <c r="AG7006" s="80"/>
      <c r="AH7006" s="80"/>
      <c r="AI7006" s="80"/>
    </row>
    <row r="7007" spans="5:35" x14ac:dyDescent="0.25">
      <c r="E7007" s="16"/>
      <c r="F7007" s="16"/>
      <c r="H7007" s="16"/>
      <c r="AG7007" s="80"/>
      <c r="AH7007" s="80"/>
      <c r="AI7007" s="80"/>
    </row>
    <row r="7008" spans="5:35" x14ac:dyDescent="0.25">
      <c r="E7008" s="16"/>
      <c r="F7008" s="16"/>
      <c r="H7008" s="16"/>
      <c r="AG7008" s="80"/>
      <c r="AH7008" s="80"/>
      <c r="AI7008" s="80"/>
    </row>
    <row r="7009" spans="5:35" x14ac:dyDescent="0.25">
      <c r="E7009" s="16"/>
      <c r="F7009" s="16"/>
      <c r="H7009" s="16"/>
      <c r="AG7009" s="80"/>
      <c r="AH7009" s="80"/>
      <c r="AI7009" s="80"/>
    </row>
    <row r="7010" spans="5:35" x14ac:dyDescent="0.25">
      <c r="E7010" s="16"/>
      <c r="F7010" s="16"/>
      <c r="H7010" s="16"/>
      <c r="AG7010" s="80"/>
      <c r="AH7010" s="80"/>
      <c r="AI7010" s="80"/>
    </row>
    <row r="7011" spans="5:35" x14ac:dyDescent="0.25">
      <c r="E7011" s="16"/>
      <c r="F7011" s="16"/>
      <c r="H7011" s="16"/>
      <c r="AG7011" s="80"/>
      <c r="AH7011" s="80"/>
      <c r="AI7011" s="80"/>
    </row>
    <row r="7012" spans="5:35" x14ac:dyDescent="0.25">
      <c r="E7012" s="16"/>
      <c r="F7012" s="16"/>
      <c r="H7012" s="16"/>
      <c r="AG7012" s="80"/>
      <c r="AH7012" s="80"/>
      <c r="AI7012" s="80"/>
    </row>
    <row r="7013" spans="5:35" x14ac:dyDescent="0.25">
      <c r="E7013" s="16"/>
      <c r="F7013" s="16"/>
      <c r="H7013" s="16"/>
      <c r="AG7013" s="80"/>
      <c r="AH7013" s="80"/>
      <c r="AI7013" s="80"/>
    </row>
    <row r="7014" spans="5:35" x14ac:dyDescent="0.25">
      <c r="E7014" s="16"/>
      <c r="F7014" s="16"/>
      <c r="H7014" s="16"/>
      <c r="AG7014" s="80"/>
      <c r="AH7014" s="80"/>
      <c r="AI7014" s="80"/>
    </row>
    <row r="7015" spans="5:35" x14ac:dyDescent="0.25">
      <c r="E7015" s="16"/>
      <c r="F7015" s="16"/>
      <c r="H7015" s="16"/>
      <c r="AG7015" s="80"/>
      <c r="AH7015" s="80"/>
      <c r="AI7015" s="80"/>
    </row>
    <row r="7016" spans="5:35" x14ac:dyDescent="0.25">
      <c r="E7016" s="16"/>
      <c r="F7016" s="16"/>
      <c r="H7016" s="16"/>
      <c r="AG7016" s="80"/>
      <c r="AH7016" s="80"/>
      <c r="AI7016" s="80"/>
    </row>
    <row r="7017" spans="5:35" x14ac:dyDescent="0.25">
      <c r="E7017" s="16"/>
      <c r="F7017" s="16"/>
      <c r="H7017" s="16"/>
      <c r="AG7017" s="80"/>
      <c r="AH7017" s="80"/>
      <c r="AI7017" s="80"/>
    </row>
    <row r="7018" spans="5:35" x14ac:dyDescent="0.25">
      <c r="E7018" s="16"/>
      <c r="F7018" s="16"/>
      <c r="H7018" s="16"/>
      <c r="AG7018" s="80"/>
      <c r="AH7018" s="80"/>
      <c r="AI7018" s="80"/>
    </row>
    <row r="7019" spans="5:35" x14ac:dyDescent="0.25">
      <c r="E7019" s="16"/>
      <c r="F7019" s="16"/>
      <c r="H7019" s="16"/>
      <c r="AG7019" s="80"/>
      <c r="AH7019" s="80"/>
      <c r="AI7019" s="80"/>
    </row>
    <row r="7020" spans="5:35" x14ac:dyDescent="0.25">
      <c r="E7020" s="16"/>
      <c r="F7020" s="16"/>
      <c r="H7020" s="16"/>
      <c r="AG7020" s="80"/>
      <c r="AH7020" s="80"/>
      <c r="AI7020" s="80"/>
    </row>
    <row r="7021" spans="5:35" x14ac:dyDescent="0.25">
      <c r="E7021" s="16"/>
      <c r="F7021" s="16"/>
      <c r="H7021" s="16"/>
      <c r="AG7021" s="80"/>
      <c r="AH7021" s="80"/>
      <c r="AI7021" s="80"/>
    </row>
    <row r="7022" spans="5:35" x14ac:dyDescent="0.25">
      <c r="E7022" s="16"/>
      <c r="F7022" s="16"/>
      <c r="H7022" s="16"/>
      <c r="AG7022" s="80"/>
      <c r="AH7022" s="80"/>
      <c r="AI7022" s="80"/>
    </row>
    <row r="7023" spans="5:35" x14ac:dyDescent="0.25">
      <c r="E7023" s="16"/>
      <c r="F7023" s="16"/>
      <c r="H7023" s="16"/>
      <c r="AG7023" s="80"/>
      <c r="AH7023" s="80"/>
      <c r="AI7023" s="80"/>
    </row>
    <row r="7024" spans="5:35" x14ac:dyDescent="0.25">
      <c r="E7024" s="16"/>
      <c r="F7024" s="16"/>
      <c r="H7024" s="16"/>
      <c r="AG7024" s="80"/>
      <c r="AH7024" s="80"/>
      <c r="AI7024" s="80"/>
    </row>
    <row r="7025" spans="5:35" x14ac:dyDescent="0.25">
      <c r="E7025" s="16"/>
      <c r="F7025" s="16"/>
      <c r="H7025" s="16"/>
      <c r="AG7025" s="80"/>
      <c r="AH7025" s="80"/>
      <c r="AI7025" s="80"/>
    </row>
    <row r="7026" spans="5:35" x14ac:dyDescent="0.25">
      <c r="E7026" s="16"/>
      <c r="F7026" s="16"/>
      <c r="H7026" s="16"/>
      <c r="AG7026" s="80"/>
      <c r="AH7026" s="80"/>
      <c r="AI7026" s="80"/>
    </row>
    <row r="7027" spans="5:35" x14ac:dyDescent="0.25">
      <c r="E7027" s="16"/>
      <c r="F7027" s="16"/>
      <c r="H7027" s="16"/>
      <c r="AG7027" s="80"/>
      <c r="AH7027" s="80"/>
      <c r="AI7027" s="80"/>
    </row>
    <row r="7028" spans="5:35" x14ac:dyDescent="0.25">
      <c r="E7028" s="16"/>
      <c r="F7028" s="16"/>
      <c r="H7028" s="16"/>
      <c r="AG7028" s="80"/>
      <c r="AH7028" s="80"/>
      <c r="AI7028" s="80"/>
    </row>
    <row r="7029" spans="5:35" x14ac:dyDescent="0.25">
      <c r="E7029" s="16"/>
      <c r="F7029" s="16"/>
      <c r="H7029" s="16"/>
      <c r="AG7029" s="80"/>
      <c r="AH7029" s="80"/>
      <c r="AI7029" s="80"/>
    </row>
    <row r="7030" spans="5:35" x14ac:dyDescent="0.25">
      <c r="E7030" s="16"/>
      <c r="F7030" s="16"/>
      <c r="H7030" s="16"/>
      <c r="AG7030" s="80"/>
      <c r="AH7030" s="80"/>
      <c r="AI7030" s="80"/>
    </row>
    <row r="7031" spans="5:35" x14ac:dyDescent="0.25">
      <c r="E7031" s="16"/>
      <c r="F7031" s="16"/>
      <c r="H7031" s="16"/>
      <c r="AG7031" s="80"/>
      <c r="AH7031" s="80"/>
      <c r="AI7031" s="80"/>
    </row>
    <row r="7032" spans="5:35" x14ac:dyDescent="0.25">
      <c r="E7032" s="16"/>
      <c r="F7032" s="16"/>
      <c r="H7032" s="16"/>
      <c r="AG7032" s="80"/>
      <c r="AH7032" s="80"/>
      <c r="AI7032" s="80"/>
    </row>
    <row r="7033" spans="5:35" x14ac:dyDescent="0.25">
      <c r="E7033" s="16"/>
      <c r="F7033" s="16"/>
      <c r="H7033" s="16"/>
      <c r="AG7033" s="80"/>
      <c r="AH7033" s="80"/>
      <c r="AI7033" s="80"/>
    </row>
    <row r="7034" spans="5:35" x14ac:dyDescent="0.25">
      <c r="E7034" s="16"/>
      <c r="F7034" s="16"/>
      <c r="H7034" s="16"/>
      <c r="AG7034" s="80"/>
      <c r="AH7034" s="80"/>
      <c r="AI7034" s="80"/>
    </row>
    <row r="7035" spans="5:35" x14ac:dyDescent="0.25">
      <c r="E7035" s="16"/>
      <c r="F7035" s="16"/>
      <c r="H7035" s="16"/>
      <c r="AG7035" s="80"/>
      <c r="AH7035" s="80"/>
      <c r="AI7035" s="80"/>
    </row>
    <row r="7036" spans="5:35" x14ac:dyDescent="0.25">
      <c r="E7036" s="16"/>
      <c r="F7036" s="16"/>
      <c r="H7036" s="16"/>
      <c r="AG7036" s="80"/>
      <c r="AH7036" s="80"/>
      <c r="AI7036" s="80"/>
    </row>
    <row r="7037" spans="5:35" x14ac:dyDescent="0.25">
      <c r="E7037" s="16"/>
      <c r="F7037" s="16"/>
      <c r="H7037" s="16"/>
      <c r="AG7037" s="80"/>
      <c r="AH7037" s="80"/>
      <c r="AI7037" s="80"/>
    </row>
    <row r="7038" spans="5:35" x14ac:dyDescent="0.25">
      <c r="E7038" s="16"/>
      <c r="F7038" s="16"/>
      <c r="H7038" s="16"/>
      <c r="AG7038" s="80"/>
      <c r="AH7038" s="80"/>
      <c r="AI7038" s="80"/>
    </row>
    <row r="7039" spans="5:35" x14ac:dyDescent="0.25">
      <c r="E7039" s="16"/>
      <c r="F7039" s="16"/>
      <c r="H7039" s="16"/>
      <c r="AG7039" s="80"/>
      <c r="AH7039" s="80"/>
      <c r="AI7039" s="80"/>
    </row>
    <row r="7040" spans="5:35" x14ac:dyDescent="0.25">
      <c r="E7040" s="16"/>
      <c r="F7040" s="16"/>
      <c r="H7040" s="16"/>
      <c r="AG7040" s="80"/>
      <c r="AH7040" s="80"/>
      <c r="AI7040" s="80"/>
    </row>
    <row r="7041" spans="5:35" x14ac:dyDescent="0.25">
      <c r="E7041" s="16"/>
      <c r="F7041" s="16"/>
      <c r="H7041" s="16"/>
      <c r="AG7041" s="80"/>
      <c r="AH7041" s="80"/>
      <c r="AI7041" s="80"/>
    </row>
    <row r="7042" spans="5:35" x14ac:dyDescent="0.25">
      <c r="E7042" s="16"/>
      <c r="F7042" s="16"/>
      <c r="H7042" s="16"/>
      <c r="AG7042" s="80"/>
      <c r="AH7042" s="80"/>
      <c r="AI7042" s="80"/>
    </row>
    <row r="7043" spans="5:35" x14ac:dyDescent="0.25">
      <c r="E7043" s="16"/>
      <c r="F7043" s="16"/>
      <c r="H7043" s="16"/>
      <c r="AG7043" s="80"/>
      <c r="AH7043" s="80"/>
      <c r="AI7043" s="80"/>
    </row>
    <row r="7044" spans="5:35" x14ac:dyDescent="0.25">
      <c r="E7044" s="16"/>
      <c r="F7044" s="16"/>
      <c r="H7044" s="16"/>
      <c r="AG7044" s="80"/>
      <c r="AH7044" s="80"/>
      <c r="AI7044" s="80"/>
    </row>
    <row r="7045" spans="5:35" x14ac:dyDescent="0.25">
      <c r="E7045" s="16"/>
      <c r="F7045" s="16"/>
      <c r="H7045" s="16"/>
      <c r="AG7045" s="80"/>
      <c r="AH7045" s="80"/>
      <c r="AI7045" s="80"/>
    </row>
    <row r="7046" spans="5:35" x14ac:dyDescent="0.25">
      <c r="E7046" s="16"/>
      <c r="F7046" s="16"/>
      <c r="H7046" s="16"/>
      <c r="AG7046" s="80"/>
      <c r="AH7046" s="80"/>
      <c r="AI7046" s="80"/>
    </row>
    <row r="7047" spans="5:35" x14ac:dyDescent="0.25">
      <c r="E7047" s="16"/>
      <c r="F7047" s="16"/>
      <c r="H7047" s="16"/>
      <c r="AG7047" s="80"/>
      <c r="AH7047" s="80"/>
      <c r="AI7047" s="80"/>
    </row>
    <row r="7048" spans="5:35" x14ac:dyDescent="0.25">
      <c r="E7048" s="16"/>
      <c r="F7048" s="16"/>
      <c r="H7048" s="16"/>
      <c r="AG7048" s="80"/>
      <c r="AH7048" s="80"/>
      <c r="AI7048" s="80"/>
    </row>
    <row r="7049" spans="5:35" x14ac:dyDescent="0.25">
      <c r="E7049" s="16"/>
      <c r="F7049" s="16"/>
      <c r="H7049" s="16"/>
      <c r="AG7049" s="80"/>
      <c r="AH7049" s="80"/>
      <c r="AI7049" s="80"/>
    </row>
    <row r="7050" spans="5:35" x14ac:dyDescent="0.25">
      <c r="E7050" s="16"/>
      <c r="F7050" s="16"/>
      <c r="H7050" s="16"/>
      <c r="AG7050" s="80"/>
      <c r="AH7050" s="80"/>
      <c r="AI7050" s="80"/>
    </row>
    <row r="7051" spans="5:35" x14ac:dyDescent="0.25">
      <c r="E7051" s="16"/>
      <c r="F7051" s="16"/>
      <c r="H7051" s="16"/>
      <c r="AG7051" s="80"/>
      <c r="AH7051" s="80"/>
      <c r="AI7051" s="80"/>
    </row>
    <row r="7052" spans="5:35" x14ac:dyDescent="0.25">
      <c r="E7052" s="16"/>
      <c r="F7052" s="16"/>
      <c r="H7052" s="16"/>
      <c r="AG7052" s="80"/>
      <c r="AH7052" s="80"/>
      <c r="AI7052" s="80"/>
    </row>
    <row r="7053" spans="5:35" x14ac:dyDescent="0.25">
      <c r="E7053" s="16"/>
      <c r="F7053" s="16"/>
      <c r="H7053" s="16"/>
      <c r="AG7053" s="80"/>
      <c r="AH7053" s="80"/>
      <c r="AI7053" s="80"/>
    </row>
    <row r="7054" spans="5:35" x14ac:dyDescent="0.25">
      <c r="E7054" s="16"/>
      <c r="F7054" s="16"/>
      <c r="H7054" s="16"/>
      <c r="AG7054" s="80"/>
      <c r="AH7054" s="80"/>
      <c r="AI7054" s="80"/>
    </row>
    <row r="7055" spans="5:35" x14ac:dyDescent="0.25">
      <c r="E7055" s="16"/>
      <c r="F7055" s="16"/>
      <c r="H7055" s="16"/>
      <c r="AG7055" s="80"/>
      <c r="AH7055" s="80"/>
      <c r="AI7055" s="80"/>
    </row>
    <row r="7056" spans="5:35" x14ac:dyDescent="0.25">
      <c r="E7056" s="16"/>
      <c r="F7056" s="16"/>
      <c r="H7056" s="16"/>
      <c r="AG7056" s="80"/>
      <c r="AH7056" s="80"/>
      <c r="AI7056" s="80"/>
    </row>
    <row r="7057" spans="5:35" x14ac:dyDescent="0.25">
      <c r="E7057" s="16"/>
      <c r="F7057" s="16"/>
      <c r="H7057" s="16"/>
      <c r="AG7057" s="80"/>
      <c r="AH7057" s="80"/>
      <c r="AI7057" s="80"/>
    </row>
    <row r="7058" spans="5:35" x14ac:dyDescent="0.25">
      <c r="E7058" s="16"/>
      <c r="F7058" s="16"/>
      <c r="H7058" s="16"/>
      <c r="AG7058" s="80"/>
      <c r="AH7058" s="80"/>
      <c r="AI7058" s="80"/>
    </row>
    <row r="7059" spans="5:35" x14ac:dyDescent="0.25">
      <c r="E7059" s="16"/>
      <c r="F7059" s="16"/>
      <c r="H7059" s="16"/>
      <c r="AG7059" s="80"/>
      <c r="AH7059" s="80"/>
      <c r="AI7059" s="80"/>
    </row>
    <row r="7060" spans="5:35" x14ac:dyDescent="0.25">
      <c r="E7060" s="16"/>
      <c r="F7060" s="16"/>
      <c r="H7060" s="16"/>
      <c r="AG7060" s="80"/>
      <c r="AH7060" s="80"/>
      <c r="AI7060" s="80"/>
    </row>
    <row r="7061" spans="5:35" x14ac:dyDescent="0.25">
      <c r="E7061" s="16"/>
      <c r="F7061" s="16"/>
      <c r="H7061" s="16"/>
      <c r="AG7061" s="80"/>
      <c r="AH7061" s="80"/>
      <c r="AI7061" s="80"/>
    </row>
    <row r="7062" spans="5:35" x14ac:dyDescent="0.25">
      <c r="E7062" s="16"/>
      <c r="F7062" s="16"/>
      <c r="H7062" s="16"/>
      <c r="AG7062" s="80"/>
      <c r="AH7062" s="80"/>
      <c r="AI7062" s="80"/>
    </row>
    <row r="7063" spans="5:35" x14ac:dyDescent="0.25">
      <c r="E7063" s="16"/>
      <c r="F7063" s="16"/>
      <c r="H7063" s="16"/>
      <c r="AG7063" s="80"/>
      <c r="AH7063" s="80"/>
      <c r="AI7063" s="80"/>
    </row>
    <row r="7064" spans="5:35" x14ac:dyDescent="0.25">
      <c r="E7064" s="16"/>
      <c r="F7064" s="16"/>
      <c r="H7064" s="16"/>
      <c r="AG7064" s="80"/>
      <c r="AH7064" s="80"/>
      <c r="AI7064" s="80"/>
    </row>
    <row r="7065" spans="5:35" x14ac:dyDescent="0.25">
      <c r="E7065" s="16"/>
      <c r="F7065" s="16"/>
      <c r="H7065" s="16"/>
      <c r="AG7065" s="80"/>
      <c r="AH7065" s="80"/>
      <c r="AI7065" s="80"/>
    </row>
    <row r="7066" spans="5:35" x14ac:dyDescent="0.25">
      <c r="E7066" s="16"/>
      <c r="F7066" s="16"/>
      <c r="H7066" s="16"/>
      <c r="AG7066" s="80"/>
      <c r="AH7066" s="80"/>
      <c r="AI7066" s="80"/>
    </row>
    <row r="7067" spans="5:35" x14ac:dyDescent="0.25">
      <c r="E7067" s="16"/>
      <c r="F7067" s="16"/>
      <c r="H7067" s="16"/>
      <c r="AG7067" s="80"/>
      <c r="AH7067" s="80"/>
      <c r="AI7067" s="80"/>
    </row>
    <row r="7068" spans="5:35" x14ac:dyDescent="0.25">
      <c r="E7068" s="16"/>
      <c r="F7068" s="16"/>
      <c r="H7068" s="16"/>
      <c r="AG7068" s="80"/>
      <c r="AH7068" s="80"/>
      <c r="AI7068" s="80"/>
    </row>
    <row r="7069" spans="5:35" x14ac:dyDescent="0.25">
      <c r="E7069" s="16"/>
      <c r="F7069" s="16"/>
      <c r="H7069" s="16"/>
      <c r="AG7069" s="80"/>
      <c r="AH7069" s="80"/>
      <c r="AI7069" s="80"/>
    </row>
    <row r="7070" spans="5:35" x14ac:dyDescent="0.25">
      <c r="E7070" s="16"/>
      <c r="F7070" s="16"/>
      <c r="H7070" s="16"/>
      <c r="AG7070" s="80"/>
      <c r="AH7070" s="80"/>
      <c r="AI7070" s="80"/>
    </row>
    <row r="7071" spans="5:35" x14ac:dyDescent="0.25">
      <c r="E7071" s="16"/>
      <c r="F7071" s="16"/>
      <c r="H7071" s="16"/>
      <c r="AG7071" s="80"/>
      <c r="AH7071" s="80"/>
      <c r="AI7071" s="80"/>
    </row>
    <row r="7072" spans="5:35" x14ac:dyDescent="0.25">
      <c r="E7072" s="16"/>
      <c r="F7072" s="16"/>
      <c r="H7072" s="16"/>
      <c r="AG7072" s="80"/>
      <c r="AH7072" s="80"/>
      <c r="AI7072" s="80"/>
    </row>
    <row r="7073" spans="5:35" x14ac:dyDescent="0.25">
      <c r="E7073" s="16"/>
      <c r="F7073" s="16"/>
      <c r="H7073" s="16"/>
      <c r="AG7073" s="80"/>
      <c r="AH7073" s="80"/>
      <c r="AI7073" s="80"/>
    </row>
    <row r="7074" spans="5:35" x14ac:dyDescent="0.25">
      <c r="E7074" s="16"/>
      <c r="F7074" s="16"/>
      <c r="H7074" s="16"/>
      <c r="AG7074" s="80"/>
      <c r="AH7074" s="80"/>
      <c r="AI7074" s="80"/>
    </row>
    <row r="7075" spans="5:35" x14ac:dyDescent="0.25">
      <c r="E7075" s="16"/>
      <c r="F7075" s="16"/>
      <c r="H7075" s="16"/>
      <c r="AG7075" s="80"/>
      <c r="AH7075" s="80"/>
      <c r="AI7075" s="80"/>
    </row>
    <row r="7076" spans="5:35" x14ac:dyDescent="0.25">
      <c r="E7076" s="16"/>
      <c r="F7076" s="16"/>
      <c r="H7076" s="16"/>
      <c r="AG7076" s="80"/>
      <c r="AH7076" s="80"/>
      <c r="AI7076" s="80"/>
    </row>
    <row r="7077" spans="5:35" x14ac:dyDescent="0.25">
      <c r="E7077" s="16"/>
      <c r="F7077" s="16"/>
      <c r="H7077" s="16"/>
      <c r="AG7077" s="80"/>
      <c r="AH7077" s="80"/>
      <c r="AI7077" s="80"/>
    </row>
    <row r="7078" spans="5:35" x14ac:dyDescent="0.25">
      <c r="E7078" s="16"/>
      <c r="F7078" s="16"/>
      <c r="H7078" s="16"/>
      <c r="AG7078" s="80"/>
      <c r="AH7078" s="80"/>
      <c r="AI7078" s="80"/>
    </row>
    <row r="7079" spans="5:35" x14ac:dyDescent="0.25">
      <c r="E7079" s="16"/>
      <c r="F7079" s="16"/>
      <c r="H7079" s="16"/>
      <c r="AG7079" s="80"/>
      <c r="AH7079" s="80"/>
      <c r="AI7079" s="80"/>
    </row>
    <row r="7080" spans="5:35" x14ac:dyDescent="0.25">
      <c r="E7080" s="16"/>
      <c r="F7080" s="16"/>
      <c r="H7080" s="16"/>
      <c r="AG7080" s="80"/>
      <c r="AH7080" s="80"/>
      <c r="AI7080" s="80"/>
    </row>
    <row r="7081" spans="5:35" x14ac:dyDescent="0.25">
      <c r="E7081" s="16"/>
      <c r="F7081" s="16"/>
      <c r="H7081" s="16"/>
      <c r="AG7081" s="80"/>
      <c r="AH7081" s="80"/>
      <c r="AI7081" s="80"/>
    </row>
    <row r="7082" spans="5:35" x14ac:dyDescent="0.25">
      <c r="E7082" s="16"/>
      <c r="F7082" s="16"/>
      <c r="H7082" s="16"/>
      <c r="AG7082" s="80"/>
      <c r="AH7082" s="80"/>
      <c r="AI7082" s="80"/>
    </row>
    <row r="7083" spans="5:35" x14ac:dyDescent="0.25">
      <c r="E7083" s="16"/>
      <c r="F7083" s="16"/>
      <c r="H7083" s="16"/>
      <c r="AG7083" s="80"/>
      <c r="AH7083" s="80"/>
      <c r="AI7083" s="80"/>
    </row>
    <row r="7084" spans="5:35" x14ac:dyDescent="0.25">
      <c r="E7084" s="16"/>
      <c r="F7084" s="16"/>
      <c r="H7084" s="16"/>
      <c r="AG7084" s="80"/>
      <c r="AH7084" s="80"/>
      <c r="AI7084" s="80"/>
    </row>
    <row r="7085" spans="5:35" x14ac:dyDescent="0.25">
      <c r="E7085" s="16"/>
      <c r="F7085" s="16"/>
      <c r="H7085" s="16"/>
      <c r="AG7085" s="80"/>
      <c r="AH7085" s="80"/>
      <c r="AI7085" s="80"/>
    </row>
    <row r="7086" spans="5:35" x14ac:dyDescent="0.25">
      <c r="E7086" s="16"/>
      <c r="F7086" s="16"/>
      <c r="H7086" s="16"/>
      <c r="AG7086" s="80"/>
      <c r="AH7086" s="80"/>
      <c r="AI7086" s="80"/>
    </row>
    <row r="7087" spans="5:35" x14ac:dyDescent="0.25">
      <c r="E7087" s="16"/>
      <c r="F7087" s="16"/>
      <c r="H7087" s="16"/>
      <c r="AG7087" s="80"/>
      <c r="AH7087" s="80"/>
      <c r="AI7087" s="80"/>
    </row>
    <row r="7088" spans="5:35" x14ac:dyDescent="0.25">
      <c r="E7088" s="16"/>
      <c r="F7088" s="16"/>
      <c r="H7088" s="16"/>
      <c r="AG7088" s="80"/>
      <c r="AH7088" s="80"/>
      <c r="AI7088" s="80"/>
    </row>
    <row r="7089" spans="5:35" x14ac:dyDescent="0.25">
      <c r="E7089" s="16"/>
      <c r="F7089" s="16"/>
      <c r="H7089" s="16"/>
      <c r="AG7089" s="80"/>
      <c r="AH7089" s="80"/>
      <c r="AI7089" s="80"/>
    </row>
    <row r="7090" spans="5:35" x14ac:dyDescent="0.25">
      <c r="E7090" s="16"/>
      <c r="F7090" s="16"/>
      <c r="H7090" s="16"/>
      <c r="AG7090" s="80"/>
      <c r="AH7090" s="80"/>
      <c r="AI7090" s="80"/>
    </row>
    <row r="7091" spans="5:35" x14ac:dyDescent="0.25">
      <c r="E7091" s="16"/>
      <c r="F7091" s="16"/>
      <c r="H7091" s="16"/>
      <c r="AG7091" s="80"/>
      <c r="AH7091" s="80"/>
      <c r="AI7091" s="80"/>
    </row>
    <row r="7092" spans="5:35" x14ac:dyDescent="0.25">
      <c r="E7092" s="16"/>
      <c r="F7092" s="16"/>
      <c r="H7092" s="16"/>
      <c r="AG7092" s="80"/>
      <c r="AH7092" s="80"/>
      <c r="AI7092" s="80"/>
    </row>
    <row r="7093" spans="5:35" x14ac:dyDescent="0.25">
      <c r="E7093" s="16"/>
      <c r="F7093" s="16"/>
      <c r="H7093" s="16"/>
      <c r="AG7093" s="80"/>
      <c r="AH7093" s="80"/>
      <c r="AI7093" s="80"/>
    </row>
    <row r="7094" spans="5:35" x14ac:dyDescent="0.25">
      <c r="E7094" s="16"/>
      <c r="F7094" s="16"/>
      <c r="H7094" s="16"/>
      <c r="AG7094" s="80"/>
      <c r="AH7094" s="80"/>
      <c r="AI7094" s="80"/>
    </row>
    <row r="7095" spans="5:35" x14ac:dyDescent="0.25">
      <c r="E7095" s="16"/>
      <c r="F7095" s="16"/>
      <c r="H7095" s="16"/>
      <c r="AG7095" s="80"/>
      <c r="AH7095" s="80"/>
      <c r="AI7095" s="80"/>
    </row>
    <row r="7096" spans="5:35" x14ac:dyDescent="0.25">
      <c r="E7096" s="16"/>
      <c r="F7096" s="16"/>
      <c r="H7096" s="16"/>
      <c r="AG7096" s="80"/>
      <c r="AH7096" s="80"/>
      <c r="AI7096" s="80"/>
    </row>
    <row r="7097" spans="5:35" x14ac:dyDescent="0.25">
      <c r="E7097" s="16"/>
      <c r="F7097" s="16"/>
      <c r="H7097" s="16"/>
      <c r="AG7097" s="80"/>
      <c r="AH7097" s="80"/>
      <c r="AI7097" s="80"/>
    </row>
    <row r="7098" spans="5:35" x14ac:dyDescent="0.25">
      <c r="E7098" s="16"/>
      <c r="F7098" s="16"/>
      <c r="H7098" s="16"/>
      <c r="AG7098" s="80"/>
      <c r="AH7098" s="80"/>
      <c r="AI7098" s="80"/>
    </row>
    <row r="7099" spans="5:35" x14ac:dyDescent="0.25">
      <c r="E7099" s="16"/>
      <c r="F7099" s="16"/>
      <c r="H7099" s="16"/>
      <c r="AG7099" s="80"/>
      <c r="AH7099" s="80"/>
      <c r="AI7099" s="80"/>
    </row>
    <row r="7100" spans="5:35" x14ac:dyDescent="0.25">
      <c r="E7100" s="16"/>
      <c r="F7100" s="16"/>
      <c r="H7100" s="16"/>
      <c r="AG7100" s="80"/>
      <c r="AH7100" s="80"/>
      <c r="AI7100" s="80"/>
    </row>
    <row r="7101" spans="5:35" x14ac:dyDescent="0.25">
      <c r="E7101" s="16"/>
      <c r="F7101" s="16"/>
      <c r="H7101" s="16"/>
      <c r="AG7101" s="80"/>
      <c r="AH7101" s="80"/>
      <c r="AI7101" s="80"/>
    </row>
    <row r="7102" spans="5:35" x14ac:dyDescent="0.25">
      <c r="E7102" s="16"/>
      <c r="F7102" s="16"/>
      <c r="H7102" s="16"/>
      <c r="AG7102" s="80"/>
      <c r="AH7102" s="80"/>
      <c r="AI7102" s="80"/>
    </row>
    <row r="7103" spans="5:35" x14ac:dyDescent="0.25">
      <c r="E7103" s="16"/>
      <c r="F7103" s="16"/>
      <c r="H7103" s="16"/>
      <c r="AG7103" s="80"/>
      <c r="AH7103" s="80"/>
      <c r="AI7103" s="80"/>
    </row>
    <row r="7104" spans="5:35" x14ac:dyDescent="0.25">
      <c r="E7104" s="16"/>
      <c r="F7104" s="16"/>
      <c r="H7104" s="16"/>
      <c r="AG7104" s="80"/>
      <c r="AH7104" s="80"/>
      <c r="AI7104" s="80"/>
    </row>
    <row r="7105" spans="5:35" x14ac:dyDescent="0.25">
      <c r="E7105" s="16"/>
      <c r="F7105" s="16"/>
      <c r="H7105" s="16"/>
      <c r="AG7105" s="80"/>
      <c r="AH7105" s="80"/>
      <c r="AI7105" s="80"/>
    </row>
    <row r="7106" spans="5:35" x14ac:dyDescent="0.25">
      <c r="E7106" s="16"/>
      <c r="F7106" s="16"/>
      <c r="H7106" s="16"/>
      <c r="AG7106" s="80"/>
      <c r="AH7106" s="80"/>
      <c r="AI7106" s="80"/>
    </row>
    <row r="7107" spans="5:35" x14ac:dyDescent="0.25">
      <c r="E7107" s="16"/>
      <c r="F7107" s="16"/>
      <c r="H7107" s="16"/>
      <c r="AG7107" s="80"/>
      <c r="AH7107" s="80"/>
      <c r="AI7107" s="80"/>
    </row>
    <row r="7108" spans="5:35" x14ac:dyDescent="0.25">
      <c r="E7108" s="16"/>
      <c r="F7108" s="16"/>
      <c r="H7108" s="16"/>
      <c r="AG7108" s="80"/>
      <c r="AH7108" s="80"/>
      <c r="AI7108" s="80"/>
    </row>
    <row r="7109" spans="5:35" x14ac:dyDescent="0.25">
      <c r="E7109" s="16"/>
      <c r="F7109" s="16"/>
      <c r="H7109" s="16"/>
      <c r="AG7109" s="80"/>
      <c r="AH7109" s="80"/>
      <c r="AI7109" s="80"/>
    </row>
    <row r="7110" spans="5:35" x14ac:dyDescent="0.25">
      <c r="E7110" s="16"/>
      <c r="F7110" s="16"/>
      <c r="H7110" s="16"/>
      <c r="AG7110" s="80"/>
      <c r="AH7110" s="80"/>
      <c r="AI7110" s="80"/>
    </row>
    <row r="7111" spans="5:35" x14ac:dyDescent="0.25">
      <c r="E7111" s="16"/>
      <c r="F7111" s="16"/>
      <c r="H7111" s="16"/>
      <c r="AG7111" s="80"/>
      <c r="AH7111" s="80"/>
      <c r="AI7111" s="80"/>
    </row>
    <row r="7112" spans="5:35" x14ac:dyDescent="0.25">
      <c r="E7112" s="16"/>
      <c r="F7112" s="16"/>
      <c r="H7112" s="16"/>
      <c r="AG7112" s="80"/>
      <c r="AH7112" s="80"/>
      <c r="AI7112" s="80"/>
    </row>
    <row r="7113" spans="5:35" x14ac:dyDescent="0.25">
      <c r="E7113" s="16"/>
      <c r="F7113" s="16"/>
      <c r="H7113" s="16"/>
      <c r="AG7113" s="80"/>
      <c r="AH7113" s="80"/>
      <c r="AI7113" s="80"/>
    </row>
    <row r="7114" spans="5:35" x14ac:dyDescent="0.25">
      <c r="E7114" s="16"/>
      <c r="F7114" s="16"/>
      <c r="H7114" s="16"/>
      <c r="AG7114" s="80"/>
      <c r="AH7114" s="80"/>
      <c r="AI7114" s="80"/>
    </row>
    <row r="7115" spans="5:35" x14ac:dyDescent="0.25">
      <c r="E7115" s="16"/>
      <c r="F7115" s="16"/>
      <c r="H7115" s="16"/>
      <c r="AG7115" s="80"/>
      <c r="AH7115" s="80"/>
      <c r="AI7115" s="80"/>
    </row>
    <row r="7116" spans="5:35" x14ac:dyDescent="0.25">
      <c r="E7116" s="16"/>
      <c r="F7116" s="16"/>
      <c r="H7116" s="16"/>
      <c r="AG7116" s="80"/>
      <c r="AH7116" s="80"/>
      <c r="AI7116" s="80"/>
    </row>
    <row r="7117" spans="5:35" x14ac:dyDescent="0.25">
      <c r="E7117" s="16"/>
      <c r="F7117" s="16"/>
      <c r="H7117" s="16"/>
      <c r="AG7117" s="80"/>
      <c r="AH7117" s="80"/>
      <c r="AI7117" s="80"/>
    </row>
    <row r="7118" spans="5:35" x14ac:dyDescent="0.25">
      <c r="E7118" s="16"/>
      <c r="F7118" s="16"/>
      <c r="H7118" s="16"/>
      <c r="AG7118" s="80"/>
      <c r="AH7118" s="80"/>
      <c r="AI7118" s="80"/>
    </row>
    <row r="7119" spans="5:35" x14ac:dyDescent="0.25">
      <c r="E7119" s="16"/>
      <c r="F7119" s="16"/>
      <c r="H7119" s="16"/>
      <c r="AG7119" s="80"/>
      <c r="AH7119" s="80"/>
      <c r="AI7119" s="80"/>
    </row>
    <row r="7120" spans="5:35" x14ac:dyDescent="0.25">
      <c r="E7120" s="16"/>
      <c r="F7120" s="16"/>
      <c r="H7120" s="16"/>
      <c r="AG7120" s="80"/>
      <c r="AH7120" s="80"/>
      <c r="AI7120" s="80"/>
    </row>
    <row r="7121" spans="5:35" x14ac:dyDescent="0.25">
      <c r="E7121" s="16"/>
      <c r="F7121" s="16"/>
      <c r="H7121" s="16"/>
      <c r="AG7121" s="80"/>
      <c r="AH7121" s="80"/>
      <c r="AI7121" s="80"/>
    </row>
    <row r="7122" spans="5:35" x14ac:dyDescent="0.25">
      <c r="E7122" s="16"/>
      <c r="F7122" s="16"/>
      <c r="H7122" s="16"/>
      <c r="AG7122" s="80"/>
      <c r="AH7122" s="80"/>
      <c r="AI7122" s="80"/>
    </row>
    <row r="7123" spans="5:35" x14ac:dyDescent="0.25">
      <c r="E7123" s="16"/>
      <c r="F7123" s="16"/>
      <c r="H7123" s="16"/>
      <c r="AG7123" s="80"/>
      <c r="AH7123" s="80"/>
      <c r="AI7123" s="80"/>
    </row>
    <row r="7124" spans="5:35" x14ac:dyDescent="0.25">
      <c r="E7124" s="16"/>
      <c r="F7124" s="16"/>
      <c r="H7124" s="16"/>
      <c r="AG7124" s="80"/>
      <c r="AH7124" s="80"/>
      <c r="AI7124" s="80"/>
    </row>
    <row r="7125" spans="5:35" x14ac:dyDescent="0.25">
      <c r="E7125" s="16"/>
      <c r="F7125" s="16"/>
      <c r="H7125" s="16"/>
      <c r="AG7125" s="80"/>
      <c r="AH7125" s="80"/>
      <c r="AI7125" s="80"/>
    </row>
    <row r="7126" spans="5:35" x14ac:dyDescent="0.25">
      <c r="E7126" s="16"/>
      <c r="F7126" s="16"/>
      <c r="H7126" s="16"/>
      <c r="AG7126" s="80"/>
      <c r="AH7126" s="80"/>
      <c r="AI7126" s="80"/>
    </row>
    <row r="7127" spans="5:35" x14ac:dyDescent="0.25">
      <c r="E7127" s="16"/>
      <c r="F7127" s="16"/>
      <c r="H7127" s="16"/>
      <c r="AG7127" s="80"/>
      <c r="AH7127" s="80"/>
      <c r="AI7127" s="80"/>
    </row>
    <row r="7128" spans="5:35" x14ac:dyDescent="0.25">
      <c r="E7128" s="16"/>
      <c r="F7128" s="16"/>
      <c r="H7128" s="16"/>
      <c r="AG7128" s="80"/>
      <c r="AH7128" s="80"/>
      <c r="AI7128" s="80"/>
    </row>
    <row r="7129" spans="5:35" x14ac:dyDescent="0.25">
      <c r="E7129" s="16"/>
      <c r="F7129" s="16"/>
      <c r="H7129" s="16"/>
      <c r="AG7129" s="80"/>
      <c r="AH7129" s="80"/>
      <c r="AI7129" s="80"/>
    </row>
    <row r="7130" spans="5:35" x14ac:dyDescent="0.25">
      <c r="E7130" s="16"/>
      <c r="F7130" s="16"/>
      <c r="H7130" s="16"/>
      <c r="AG7130" s="80"/>
      <c r="AH7130" s="80"/>
      <c r="AI7130" s="80"/>
    </row>
    <row r="7131" spans="5:35" x14ac:dyDescent="0.25">
      <c r="E7131" s="16"/>
      <c r="F7131" s="16"/>
      <c r="H7131" s="16"/>
      <c r="AG7131" s="80"/>
      <c r="AH7131" s="80"/>
      <c r="AI7131" s="80"/>
    </row>
    <row r="7132" spans="5:35" x14ac:dyDescent="0.25">
      <c r="E7132" s="16"/>
      <c r="F7132" s="16"/>
      <c r="H7132" s="16"/>
      <c r="AG7132" s="80"/>
      <c r="AH7132" s="80"/>
      <c r="AI7132" s="80"/>
    </row>
    <row r="7133" spans="5:35" x14ac:dyDescent="0.25">
      <c r="E7133" s="16"/>
      <c r="F7133" s="16"/>
      <c r="H7133" s="16"/>
      <c r="AG7133" s="80"/>
      <c r="AH7133" s="80"/>
      <c r="AI7133" s="80"/>
    </row>
    <row r="7134" spans="5:35" x14ac:dyDescent="0.25">
      <c r="E7134" s="16"/>
      <c r="F7134" s="16"/>
      <c r="H7134" s="16"/>
      <c r="AG7134" s="80"/>
      <c r="AH7134" s="80"/>
      <c r="AI7134" s="80"/>
    </row>
    <row r="7135" spans="5:35" x14ac:dyDescent="0.25">
      <c r="E7135" s="16"/>
      <c r="F7135" s="16"/>
      <c r="H7135" s="16"/>
      <c r="AG7135" s="80"/>
      <c r="AH7135" s="80"/>
      <c r="AI7135" s="80"/>
    </row>
    <row r="7136" spans="5:35" x14ac:dyDescent="0.25">
      <c r="E7136" s="16"/>
      <c r="F7136" s="16"/>
      <c r="H7136" s="16"/>
      <c r="AG7136" s="80"/>
      <c r="AH7136" s="80"/>
      <c r="AI7136" s="80"/>
    </row>
    <row r="7137" spans="5:35" x14ac:dyDescent="0.25">
      <c r="E7137" s="16"/>
      <c r="F7137" s="16"/>
      <c r="H7137" s="16"/>
      <c r="AG7137" s="80"/>
      <c r="AH7137" s="80"/>
      <c r="AI7137" s="80"/>
    </row>
    <row r="7138" spans="5:35" x14ac:dyDescent="0.25">
      <c r="E7138" s="16"/>
      <c r="F7138" s="16"/>
      <c r="H7138" s="16"/>
      <c r="AG7138" s="80"/>
      <c r="AH7138" s="80"/>
      <c r="AI7138" s="80"/>
    </row>
    <row r="7139" spans="5:35" x14ac:dyDescent="0.25">
      <c r="E7139" s="16"/>
      <c r="F7139" s="16"/>
      <c r="H7139" s="16"/>
      <c r="AG7139" s="80"/>
      <c r="AH7139" s="80"/>
      <c r="AI7139" s="80"/>
    </row>
    <row r="7140" spans="5:35" x14ac:dyDescent="0.25">
      <c r="E7140" s="16"/>
      <c r="F7140" s="16"/>
      <c r="H7140" s="16"/>
      <c r="AG7140" s="80"/>
      <c r="AH7140" s="80"/>
      <c r="AI7140" s="80"/>
    </row>
    <row r="7141" spans="5:35" x14ac:dyDescent="0.25">
      <c r="E7141" s="16"/>
      <c r="F7141" s="16"/>
      <c r="H7141" s="16"/>
      <c r="AG7141" s="80"/>
      <c r="AH7141" s="80"/>
      <c r="AI7141" s="80"/>
    </row>
    <row r="7142" spans="5:35" x14ac:dyDescent="0.25">
      <c r="E7142" s="16"/>
      <c r="F7142" s="16"/>
      <c r="H7142" s="16"/>
      <c r="AG7142" s="80"/>
      <c r="AH7142" s="80"/>
      <c r="AI7142" s="80"/>
    </row>
    <row r="7143" spans="5:35" x14ac:dyDescent="0.25">
      <c r="E7143" s="16"/>
      <c r="F7143" s="16"/>
      <c r="H7143" s="16"/>
      <c r="AG7143" s="80"/>
      <c r="AH7143" s="80"/>
      <c r="AI7143" s="80"/>
    </row>
    <row r="7144" spans="5:35" x14ac:dyDescent="0.25">
      <c r="E7144" s="16"/>
      <c r="F7144" s="16"/>
      <c r="H7144" s="16"/>
      <c r="AG7144" s="80"/>
      <c r="AH7144" s="80"/>
      <c r="AI7144" s="80"/>
    </row>
    <row r="7145" spans="5:35" x14ac:dyDescent="0.25">
      <c r="E7145" s="16"/>
      <c r="F7145" s="16"/>
      <c r="H7145" s="16"/>
      <c r="AG7145" s="80"/>
      <c r="AH7145" s="80"/>
      <c r="AI7145" s="80"/>
    </row>
    <row r="7146" spans="5:35" x14ac:dyDescent="0.25">
      <c r="E7146" s="16"/>
      <c r="F7146" s="16"/>
      <c r="H7146" s="16"/>
      <c r="AG7146" s="80"/>
      <c r="AH7146" s="80"/>
      <c r="AI7146" s="80"/>
    </row>
    <row r="7147" spans="5:35" x14ac:dyDescent="0.25">
      <c r="E7147" s="16"/>
      <c r="F7147" s="16"/>
      <c r="H7147" s="16"/>
      <c r="AG7147" s="80"/>
      <c r="AH7147" s="80"/>
      <c r="AI7147" s="80"/>
    </row>
    <row r="7148" spans="5:35" x14ac:dyDescent="0.25">
      <c r="E7148" s="16"/>
      <c r="F7148" s="16"/>
      <c r="H7148" s="16"/>
      <c r="AG7148" s="80"/>
      <c r="AH7148" s="80"/>
      <c r="AI7148" s="80"/>
    </row>
    <row r="7149" spans="5:35" x14ac:dyDescent="0.25">
      <c r="E7149" s="16"/>
      <c r="F7149" s="16"/>
      <c r="H7149" s="16"/>
      <c r="AG7149" s="80"/>
      <c r="AH7149" s="80"/>
      <c r="AI7149" s="80"/>
    </row>
    <row r="7150" spans="5:35" x14ac:dyDescent="0.25">
      <c r="E7150" s="16"/>
      <c r="F7150" s="16"/>
      <c r="H7150" s="16"/>
      <c r="AG7150" s="80"/>
      <c r="AH7150" s="80"/>
      <c r="AI7150" s="80"/>
    </row>
    <row r="7151" spans="5:35" x14ac:dyDescent="0.25">
      <c r="E7151" s="16"/>
      <c r="F7151" s="16"/>
      <c r="H7151" s="16"/>
      <c r="AG7151" s="80"/>
      <c r="AH7151" s="80"/>
      <c r="AI7151" s="80"/>
    </row>
    <row r="7152" spans="5:35" x14ac:dyDescent="0.25">
      <c r="E7152" s="16"/>
      <c r="F7152" s="16"/>
      <c r="H7152" s="16"/>
      <c r="AG7152" s="80"/>
      <c r="AH7152" s="80"/>
      <c r="AI7152" s="80"/>
    </row>
    <row r="7153" spans="5:35" x14ac:dyDescent="0.25">
      <c r="E7153" s="16"/>
      <c r="F7153" s="16"/>
      <c r="H7153" s="16"/>
      <c r="AG7153" s="80"/>
      <c r="AH7153" s="80"/>
      <c r="AI7153" s="80"/>
    </row>
    <row r="7154" spans="5:35" x14ac:dyDescent="0.25">
      <c r="E7154" s="16"/>
      <c r="F7154" s="16"/>
      <c r="H7154" s="16"/>
      <c r="AG7154" s="80"/>
      <c r="AH7154" s="80"/>
      <c r="AI7154" s="80"/>
    </row>
    <row r="7155" spans="5:35" x14ac:dyDescent="0.25">
      <c r="E7155" s="16"/>
      <c r="F7155" s="16"/>
      <c r="H7155" s="16"/>
      <c r="AG7155" s="80"/>
      <c r="AH7155" s="80"/>
      <c r="AI7155" s="80"/>
    </row>
    <row r="7156" spans="5:35" x14ac:dyDescent="0.25">
      <c r="E7156" s="16"/>
      <c r="F7156" s="16"/>
      <c r="H7156" s="16"/>
      <c r="AG7156" s="80"/>
      <c r="AH7156" s="80"/>
      <c r="AI7156" s="80"/>
    </row>
    <row r="7157" spans="5:35" x14ac:dyDescent="0.25">
      <c r="E7157" s="16"/>
      <c r="F7157" s="16"/>
      <c r="H7157" s="16"/>
      <c r="AG7157" s="80"/>
      <c r="AH7157" s="80"/>
      <c r="AI7157" s="80"/>
    </row>
    <row r="7158" spans="5:35" x14ac:dyDescent="0.25">
      <c r="E7158" s="16"/>
      <c r="F7158" s="16"/>
      <c r="H7158" s="16"/>
      <c r="AG7158" s="80"/>
      <c r="AH7158" s="80"/>
      <c r="AI7158" s="80"/>
    </row>
    <row r="7159" spans="5:35" x14ac:dyDescent="0.25">
      <c r="E7159" s="16"/>
      <c r="F7159" s="16"/>
      <c r="H7159" s="16"/>
      <c r="AG7159" s="80"/>
      <c r="AH7159" s="80"/>
      <c r="AI7159" s="80"/>
    </row>
    <row r="7160" spans="5:35" x14ac:dyDescent="0.25">
      <c r="E7160" s="16"/>
      <c r="F7160" s="16"/>
      <c r="H7160" s="16"/>
      <c r="AG7160" s="80"/>
      <c r="AH7160" s="80"/>
      <c r="AI7160" s="80"/>
    </row>
    <row r="7161" spans="5:35" x14ac:dyDescent="0.25">
      <c r="E7161" s="16"/>
      <c r="F7161" s="16"/>
      <c r="H7161" s="16"/>
      <c r="AG7161" s="80"/>
      <c r="AH7161" s="80"/>
      <c r="AI7161" s="80"/>
    </row>
    <row r="7162" spans="5:35" x14ac:dyDescent="0.25">
      <c r="E7162" s="16"/>
      <c r="F7162" s="16"/>
      <c r="H7162" s="16"/>
      <c r="AG7162" s="80"/>
      <c r="AH7162" s="80"/>
      <c r="AI7162" s="80"/>
    </row>
    <row r="7163" spans="5:35" x14ac:dyDescent="0.25">
      <c r="E7163" s="16"/>
      <c r="F7163" s="16"/>
      <c r="H7163" s="16"/>
      <c r="AG7163" s="80"/>
      <c r="AH7163" s="80"/>
      <c r="AI7163" s="80"/>
    </row>
    <row r="7164" spans="5:35" x14ac:dyDescent="0.25">
      <c r="E7164" s="16"/>
      <c r="F7164" s="16"/>
      <c r="H7164" s="16"/>
      <c r="AG7164" s="80"/>
      <c r="AH7164" s="80"/>
      <c r="AI7164" s="80"/>
    </row>
    <row r="7165" spans="5:35" x14ac:dyDescent="0.25">
      <c r="E7165" s="16"/>
      <c r="F7165" s="16"/>
      <c r="H7165" s="16"/>
      <c r="AG7165" s="80"/>
      <c r="AH7165" s="80"/>
      <c r="AI7165" s="80"/>
    </row>
    <row r="7166" spans="5:35" x14ac:dyDescent="0.25">
      <c r="E7166" s="16"/>
      <c r="F7166" s="16"/>
      <c r="H7166" s="16"/>
      <c r="AG7166" s="80"/>
      <c r="AH7166" s="80"/>
      <c r="AI7166" s="80"/>
    </row>
    <row r="7167" spans="5:35" x14ac:dyDescent="0.25">
      <c r="E7167" s="16"/>
      <c r="F7167" s="16"/>
      <c r="H7167" s="16"/>
      <c r="AG7167" s="80"/>
      <c r="AH7167" s="80"/>
      <c r="AI7167" s="80"/>
    </row>
    <row r="7168" spans="5:35" x14ac:dyDescent="0.25">
      <c r="E7168" s="16"/>
      <c r="F7168" s="16"/>
      <c r="H7168" s="16"/>
      <c r="AG7168" s="80"/>
      <c r="AH7168" s="80"/>
      <c r="AI7168" s="80"/>
    </row>
    <row r="7169" spans="5:35" x14ac:dyDescent="0.25">
      <c r="E7169" s="16"/>
      <c r="F7169" s="16"/>
      <c r="H7169" s="16"/>
      <c r="AG7169" s="80"/>
      <c r="AH7169" s="80"/>
      <c r="AI7169" s="80"/>
    </row>
    <row r="7170" spans="5:35" x14ac:dyDescent="0.25">
      <c r="E7170" s="16"/>
      <c r="F7170" s="16"/>
      <c r="H7170" s="16"/>
      <c r="AG7170" s="80"/>
      <c r="AH7170" s="80"/>
      <c r="AI7170" s="80"/>
    </row>
    <row r="7171" spans="5:35" x14ac:dyDescent="0.25">
      <c r="E7171" s="16"/>
      <c r="F7171" s="16"/>
      <c r="H7171" s="16"/>
      <c r="AG7171" s="80"/>
      <c r="AH7171" s="80"/>
      <c r="AI7171" s="80"/>
    </row>
    <row r="7172" spans="5:35" x14ac:dyDescent="0.25">
      <c r="E7172" s="16"/>
      <c r="F7172" s="16"/>
      <c r="H7172" s="16"/>
      <c r="AG7172" s="80"/>
      <c r="AH7172" s="80"/>
      <c r="AI7172" s="80"/>
    </row>
    <row r="7173" spans="5:35" x14ac:dyDescent="0.25">
      <c r="E7173" s="16"/>
      <c r="F7173" s="16"/>
      <c r="H7173" s="16"/>
      <c r="AG7173" s="80"/>
      <c r="AH7173" s="80"/>
      <c r="AI7173" s="80"/>
    </row>
    <row r="7174" spans="5:35" x14ac:dyDescent="0.25">
      <c r="E7174" s="16"/>
      <c r="F7174" s="16"/>
      <c r="H7174" s="16"/>
      <c r="AG7174" s="80"/>
      <c r="AH7174" s="80"/>
      <c r="AI7174" s="80"/>
    </row>
    <row r="7175" spans="5:35" x14ac:dyDescent="0.25">
      <c r="E7175" s="16"/>
      <c r="F7175" s="16"/>
      <c r="H7175" s="16"/>
      <c r="AG7175" s="80"/>
      <c r="AH7175" s="80"/>
      <c r="AI7175" s="80"/>
    </row>
    <row r="7176" spans="5:35" x14ac:dyDescent="0.25">
      <c r="E7176" s="16"/>
      <c r="F7176" s="16"/>
      <c r="H7176" s="16"/>
      <c r="AG7176" s="80"/>
      <c r="AH7176" s="80"/>
      <c r="AI7176" s="80"/>
    </row>
    <row r="7177" spans="5:35" x14ac:dyDescent="0.25">
      <c r="E7177" s="16"/>
      <c r="F7177" s="16"/>
      <c r="H7177" s="16"/>
      <c r="AG7177" s="80"/>
      <c r="AH7177" s="80"/>
      <c r="AI7177" s="80"/>
    </row>
    <row r="7178" spans="5:35" x14ac:dyDescent="0.25">
      <c r="E7178" s="16"/>
      <c r="F7178" s="16"/>
      <c r="H7178" s="16"/>
      <c r="AG7178" s="80"/>
      <c r="AH7178" s="80"/>
      <c r="AI7178" s="80"/>
    </row>
    <row r="7179" spans="5:35" x14ac:dyDescent="0.25">
      <c r="E7179" s="16"/>
      <c r="F7179" s="16"/>
      <c r="H7179" s="16"/>
      <c r="AG7179" s="80"/>
      <c r="AH7179" s="80"/>
      <c r="AI7179" s="80"/>
    </row>
    <row r="7180" spans="5:35" x14ac:dyDescent="0.25">
      <c r="E7180" s="16"/>
      <c r="F7180" s="16"/>
      <c r="H7180" s="16"/>
      <c r="AG7180" s="80"/>
      <c r="AH7180" s="80"/>
      <c r="AI7180" s="80"/>
    </row>
    <row r="7181" spans="5:35" x14ac:dyDescent="0.25">
      <c r="E7181" s="16"/>
      <c r="F7181" s="16"/>
      <c r="H7181" s="16"/>
      <c r="AG7181" s="80"/>
      <c r="AH7181" s="80"/>
      <c r="AI7181" s="80"/>
    </row>
    <row r="7182" spans="5:35" x14ac:dyDescent="0.25">
      <c r="E7182" s="16"/>
      <c r="F7182" s="16"/>
      <c r="H7182" s="16"/>
      <c r="AG7182" s="80"/>
      <c r="AH7182" s="80"/>
      <c r="AI7182" s="80"/>
    </row>
    <row r="7183" spans="5:35" x14ac:dyDescent="0.25">
      <c r="E7183" s="16"/>
      <c r="F7183" s="16"/>
      <c r="H7183" s="16"/>
      <c r="AG7183" s="80"/>
      <c r="AH7183" s="80"/>
      <c r="AI7183" s="80"/>
    </row>
    <row r="7184" spans="5:35" x14ac:dyDescent="0.25">
      <c r="E7184" s="16"/>
      <c r="F7184" s="16"/>
      <c r="H7184" s="16"/>
      <c r="AG7184" s="80"/>
      <c r="AH7184" s="80"/>
      <c r="AI7184" s="80"/>
    </row>
    <row r="7185" spans="5:35" x14ac:dyDescent="0.25">
      <c r="E7185" s="16"/>
      <c r="F7185" s="16"/>
      <c r="H7185" s="16"/>
      <c r="AG7185" s="80"/>
      <c r="AH7185" s="80"/>
      <c r="AI7185" s="80"/>
    </row>
    <row r="7186" spans="5:35" x14ac:dyDescent="0.25">
      <c r="E7186" s="16"/>
      <c r="F7186" s="16"/>
      <c r="H7186" s="16"/>
      <c r="AG7186" s="80"/>
      <c r="AH7186" s="80"/>
      <c r="AI7186" s="80"/>
    </row>
    <row r="7187" spans="5:35" x14ac:dyDescent="0.25">
      <c r="E7187" s="16"/>
      <c r="F7187" s="16"/>
      <c r="H7187" s="16"/>
      <c r="AG7187" s="80"/>
      <c r="AH7187" s="80"/>
      <c r="AI7187" s="80"/>
    </row>
    <row r="7188" spans="5:35" x14ac:dyDescent="0.25">
      <c r="E7188" s="16"/>
      <c r="F7188" s="16"/>
      <c r="H7188" s="16"/>
      <c r="AG7188" s="80"/>
      <c r="AH7188" s="80"/>
      <c r="AI7188" s="80"/>
    </row>
    <row r="7189" spans="5:35" x14ac:dyDescent="0.25">
      <c r="E7189" s="16"/>
      <c r="F7189" s="16"/>
      <c r="H7189" s="16"/>
      <c r="AG7189" s="80"/>
      <c r="AH7189" s="80"/>
      <c r="AI7189" s="80"/>
    </row>
    <row r="7190" spans="5:35" x14ac:dyDescent="0.25">
      <c r="E7190" s="16"/>
      <c r="F7190" s="16"/>
      <c r="H7190" s="16"/>
      <c r="AG7190" s="80"/>
      <c r="AH7190" s="80"/>
      <c r="AI7190" s="80"/>
    </row>
    <row r="7191" spans="5:35" x14ac:dyDescent="0.25">
      <c r="E7191" s="16"/>
      <c r="F7191" s="16"/>
      <c r="H7191" s="16"/>
      <c r="AG7191" s="80"/>
      <c r="AH7191" s="80"/>
      <c r="AI7191" s="80"/>
    </row>
    <row r="7192" spans="5:35" x14ac:dyDescent="0.25">
      <c r="E7192" s="16"/>
      <c r="F7192" s="16"/>
      <c r="H7192" s="16"/>
      <c r="AG7192" s="80"/>
      <c r="AH7192" s="80"/>
      <c r="AI7192" s="80"/>
    </row>
    <row r="7193" spans="5:35" x14ac:dyDescent="0.25">
      <c r="E7193" s="16"/>
      <c r="F7193" s="16"/>
      <c r="H7193" s="16"/>
      <c r="AG7193" s="80"/>
      <c r="AH7193" s="80"/>
      <c r="AI7193" s="80"/>
    </row>
    <row r="7194" spans="5:35" x14ac:dyDescent="0.25">
      <c r="E7194" s="16"/>
      <c r="F7194" s="16"/>
      <c r="H7194" s="16"/>
      <c r="AG7194" s="80"/>
      <c r="AH7194" s="80"/>
      <c r="AI7194" s="80"/>
    </row>
    <row r="7195" spans="5:35" x14ac:dyDescent="0.25">
      <c r="E7195" s="16"/>
      <c r="F7195" s="16"/>
      <c r="H7195" s="16"/>
      <c r="AG7195" s="80"/>
      <c r="AH7195" s="80"/>
      <c r="AI7195" s="80"/>
    </row>
    <row r="7196" spans="5:35" x14ac:dyDescent="0.25">
      <c r="E7196" s="16"/>
      <c r="F7196" s="16"/>
      <c r="H7196" s="16"/>
      <c r="AG7196" s="80"/>
      <c r="AH7196" s="80"/>
      <c r="AI7196" s="80"/>
    </row>
    <row r="7197" spans="5:35" x14ac:dyDescent="0.25">
      <c r="E7197" s="16"/>
      <c r="F7197" s="16"/>
      <c r="H7197" s="16"/>
      <c r="AG7197" s="80"/>
      <c r="AH7197" s="80"/>
      <c r="AI7197" s="80"/>
    </row>
    <row r="7198" spans="5:35" x14ac:dyDescent="0.25">
      <c r="E7198" s="16"/>
      <c r="F7198" s="16"/>
      <c r="H7198" s="16"/>
      <c r="AG7198" s="80"/>
      <c r="AH7198" s="80"/>
      <c r="AI7198" s="80"/>
    </row>
    <row r="7199" spans="5:35" x14ac:dyDescent="0.25">
      <c r="E7199" s="16"/>
      <c r="F7199" s="16"/>
      <c r="H7199" s="16"/>
      <c r="AG7199" s="80"/>
      <c r="AH7199" s="80"/>
      <c r="AI7199" s="80"/>
    </row>
    <row r="7200" spans="5:35" x14ac:dyDescent="0.25">
      <c r="E7200" s="16"/>
      <c r="F7200" s="16"/>
      <c r="H7200" s="16"/>
      <c r="AG7200" s="80"/>
      <c r="AH7200" s="80"/>
      <c r="AI7200" s="80"/>
    </row>
    <row r="7201" spans="5:35" x14ac:dyDescent="0.25">
      <c r="E7201" s="16"/>
      <c r="F7201" s="16"/>
      <c r="H7201" s="16"/>
      <c r="AG7201" s="80"/>
      <c r="AH7201" s="80"/>
      <c r="AI7201" s="80"/>
    </row>
    <row r="7202" spans="5:35" x14ac:dyDescent="0.25">
      <c r="E7202" s="16"/>
      <c r="F7202" s="16"/>
      <c r="H7202" s="16"/>
      <c r="AG7202" s="80"/>
      <c r="AH7202" s="80"/>
      <c r="AI7202" s="80"/>
    </row>
    <row r="7203" spans="5:35" x14ac:dyDescent="0.25">
      <c r="E7203" s="16"/>
      <c r="F7203" s="16"/>
      <c r="H7203" s="16"/>
      <c r="AG7203" s="80"/>
      <c r="AH7203" s="80"/>
      <c r="AI7203" s="80"/>
    </row>
    <row r="7204" spans="5:35" x14ac:dyDescent="0.25">
      <c r="E7204" s="16"/>
      <c r="F7204" s="16"/>
      <c r="H7204" s="16"/>
      <c r="AG7204" s="80"/>
      <c r="AH7204" s="80"/>
      <c r="AI7204" s="80"/>
    </row>
    <row r="7205" spans="5:35" x14ac:dyDescent="0.25">
      <c r="E7205" s="16"/>
      <c r="F7205" s="16"/>
      <c r="H7205" s="16"/>
      <c r="AG7205" s="80"/>
      <c r="AH7205" s="80"/>
      <c r="AI7205" s="80"/>
    </row>
    <row r="7206" spans="5:35" x14ac:dyDescent="0.25">
      <c r="E7206" s="16"/>
      <c r="F7206" s="16"/>
      <c r="H7206" s="16"/>
      <c r="AG7206" s="80"/>
      <c r="AH7206" s="80"/>
      <c r="AI7206" s="80"/>
    </row>
    <row r="7207" spans="5:35" x14ac:dyDescent="0.25">
      <c r="E7207" s="16"/>
      <c r="F7207" s="16"/>
      <c r="H7207" s="16"/>
      <c r="AG7207" s="80"/>
      <c r="AH7207" s="80"/>
      <c r="AI7207" s="80"/>
    </row>
    <row r="7208" spans="5:35" x14ac:dyDescent="0.25">
      <c r="E7208" s="16"/>
      <c r="F7208" s="16"/>
      <c r="H7208" s="16"/>
      <c r="AG7208" s="80"/>
      <c r="AH7208" s="80"/>
      <c r="AI7208" s="80"/>
    </row>
    <row r="7209" spans="5:35" x14ac:dyDescent="0.25">
      <c r="E7209" s="16"/>
      <c r="F7209" s="16"/>
      <c r="H7209" s="16"/>
      <c r="AG7209" s="80"/>
      <c r="AH7209" s="80"/>
      <c r="AI7209" s="80"/>
    </row>
    <row r="7210" spans="5:35" x14ac:dyDescent="0.25">
      <c r="E7210" s="16"/>
      <c r="F7210" s="16"/>
      <c r="H7210" s="16"/>
      <c r="AG7210" s="80"/>
      <c r="AH7210" s="80"/>
      <c r="AI7210" s="80"/>
    </row>
    <row r="7211" spans="5:35" x14ac:dyDescent="0.25">
      <c r="E7211" s="16"/>
      <c r="F7211" s="16"/>
      <c r="H7211" s="16"/>
      <c r="AG7211" s="80"/>
      <c r="AH7211" s="80"/>
      <c r="AI7211" s="80"/>
    </row>
    <row r="7212" spans="5:35" x14ac:dyDescent="0.25">
      <c r="E7212" s="16"/>
      <c r="F7212" s="16"/>
      <c r="H7212" s="16"/>
      <c r="AG7212" s="80"/>
      <c r="AH7212" s="80"/>
      <c r="AI7212" s="80"/>
    </row>
    <row r="7213" spans="5:35" x14ac:dyDescent="0.25">
      <c r="E7213" s="16"/>
      <c r="F7213" s="16"/>
      <c r="H7213" s="16"/>
      <c r="AG7213" s="80"/>
      <c r="AH7213" s="80"/>
      <c r="AI7213" s="80"/>
    </row>
    <row r="7214" spans="5:35" x14ac:dyDescent="0.25">
      <c r="E7214" s="16"/>
      <c r="F7214" s="16"/>
      <c r="H7214" s="16"/>
      <c r="AG7214" s="80"/>
      <c r="AH7214" s="80"/>
      <c r="AI7214" s="80"/>
    </row>
    <row r="7215" spans="5:35" x14ac:dyDescent="0.25">
      <c r="E7215" s="16"/>
      <c r="F7215" s="16"/>
      <c r="H7215" s="16"/>
      <c r="AG7215" s="80"/>
      <c r="AH7215" s="80"/>
      <c r="AI7215" s="80"/>
    </row>
    <row r="7216" spans="5:35" x14ac:dyDescent="0.25">
      <c r="E7216" s="16"/>
      <c r="F7216" s="16"/>
      <c r="H7216" s="16"/>
      <c r="AG7216" s="80"/>
      <c r="AH7216" s="80"/>
      <c r="AI7216" s="80"/>
    </row>
    <row r="7217" spans="5:35" x14ac:dyDescent="0.25">
      <c r="E7217" s="16"/>
      <c r="F7217" s="16"/>
      <c r="H7217" s="16"/>
      <c r="AG7217" s="80"/>
      <c r="AH7217" s="80"/>
      <c r="AI7217" s="80"/>
    </row>
    <row r="7218" spans="5:35" x14ac:dyDescent="0.25">
      <c r="E7218" s="16"/>
      <c r="F7218" s="16"/>
      <c r="H7218" s="16"/>
      <c r="AG7218" s="80"/>
      <c r="AH7218" s="80"/>
      <c r="AI7218" s="80"/>
    </row>
    <row r="7219" spans="5:35" x14ac:dyDescent="0.25">
      <c r="E7219" s="16"/>
      <c r="F7219" s="16"/>
      <c r="H7219" s="16"/>
      <c r="AG7219" s="80"/>
      <c r="AH7219" s="80"/>
      <c r="AI7219" s="80"/>
    </row>
    <row r="7220" spans="5:35" x14ac:dyDescent="0.25">
      <c r="E7220" s="16"/>
      <c r="F7220" s="16"/>
      <c r="H7220" s="16"/>
      <c r="AG7220" s="80"/>
      <c r="AH7220" s="80"/>
      <c r="AI7220" s="80"/>
    </row>
    <row r="7221" spans="5:35" x14ac:dyDescent="0.25">
      <c r="E7221" s="16"/>
      <c r="F7221" s="16"/>
      <c r="H7221" s="16"/>
      <c r="AG7221" s="80"/>
      <c r="AH7221" s="80"/>
      <c r="AI7221" s="80"/>
    </row>
    <row r="7222" spans="5:35" x14ac:dyDescent="0.25">
      <c r="E7222" s="16"/>
      <c r="F7222" s="16"/>
      <c r="H7222" s="16"/>
      <c r="AG7222" s="80"/>
      <c r="AH7222" s="80"/>
      <c r="AI7222" s="80"/>
    </row>
    <row r="7223" spans="5:35" x14ac:dyDescent="0.25">
      <c r="E7223" s="16"/>
      <c r="F7223" s="16"/>
      <c r="H7223" s="16"/>
      <c r="AG7223" s="80"/>
      <c r="AH7223" s="80"/>
      <c r="AI7223" s="80"/>
    </row>
    <row r="7224" spans="5:35" x14ac:dyDescent="0.25">
      <c r="E7224" s="16"/>
      <c r="F7224" s="16"/>
      <c r="H7224" s="16"/>
      <c r="AG7224" s="80"/>
      <c r="AH7224" s="80"/>
      <c r="AI7224" s="80"/>
    </row>
    <row r="7225" spans="5:35" x14ac:dyDescent="0.25">
      <c r="E7225" s="16"/>
      <c r="F7225" s="16"/>
      <c r="H7225" s="16"/>
      <c r="AG7225" s="80"/>
      <c r="AH7225" s="80"/>
      <c r="AI7225" s="80"/>
    </row>
    <row r="7226" spans="5:35" x14ac:dyDescent="0.25">
      <c r="E7226" s="16"/>
      <c r="F7226" s="16"/>
      <c r="H7226" s="16"/>
      <c r="AG7226" s="80"/>
      <c r="AH7226" s="80"/>
      <c r="AI7226" s="80"/>
    </row>
    <row r="7227" spans="5:35" x14ac:dyDescent="0.25">
      <c r="E7227" s="16"/>
      <c r="F7227" s="16"/>
      <c r="H7227" s="16"/>
      <c r="AG7227" s="80"/>
      <c r="AH7227" s="80"/>
      <c r="AI7227" s="80"/>
    </row>
    <row r="7228" spans="5:35" x14ac:dyDescent="0.25">
      <c r="E7228" s="16"/>
      <c r="F7228" s="16"/>
      <c r="H7228" s="16"/>
      <c r="AG7228" s="80"/>
      <c r="AH7228" s="80"/>
      <c r="AI7228" s="80"/>
    </row>
    <row r="7229" spans="5:35" x14ac:dyDescent="0.25">
      <c r="E7229" s="16"/>
      <c r="F7229" s="16"/>
      <c r="H7229" s="16"/>
      <c r="AG7229" s="80"/>
      <c r="AH7229" s="80"/>
      <c r="AI7229" s="80"/>
    </row>
    <row r="7230" spans="5:35" x14ac:dyDescent="0.25">
      <c r="E7230" s="16"/>
      <c r="F7230" s="16"/>
      <c r="H7230" s="16"/>
      <c r="AG7230" s="80"/>
      <c r="AH7230" s="80"/>
      <c r="AI7230" s="80"/>
    </row>
    <row r="7231" spans="5:35" x14ac:dyDescent="0.25">
      <c r="E7231" s="16"/>
      <c r="F7231" s="16"/>
      <c r="H7231" s="16"/>
      <c r="AG7231" s="80"/>
      <c r="AH7231" s="80"/>
      <c r="AI7231" s="80"/>
    </row>
    <row r="7232" spans="5:35" x14ac:dyDescent="0.25">
      <c r="E7232" s="16"/>
      <c r="F7232" s="16"/>
      <c r="H7232" s="16"/>
      <c r="AG7232" s="80"/>
      <c r="AH7232" s="80"/>
      <c r="AI7232" s="80"/>
    </row>
    <row r="7233" spans="5:35" x14ac:dyDescent="0.25">
      <c r="E7233" s="16"/>
      <c r="F7233" s="16"/>
      <c r="H7233" s="16"/>
      <c r="AG7233" s="80"/>
      <c r="AH7233" s="80"/>
      <c r="AI7233" s="80"/>
    </row>
    <row r="7234" spans="5:35" x14ac:dyDescent="0.25">
      <c r="E7234" s="16"/>
      <c r="F7234" s="16"/>
      <c r="H7234" s="16"/>
      <c r="AG7234" s="80"/>
      <c r="AH7234" s="80"/>
      <c r="AI7234" s="80"/>
    </row>
    <row r="7235" spans="5:35" x14ac:dyDescent="0.25">
      <c r="E7235" s="16"/>
      <c r="F7235" s="16"/>
      <c r="H7235" s="16"/>
      <c r="AG7235" s="80"/>
      <c r="AH7235" s="80"/>
      <c r="AI7235" s="80"/>
    </row>
    <row r="7236" spans="5:35" x14ac:dyDescent="0.25">
      <c r="E7236" s="16"/>
      <c r="F7236" s="16"/>
      <c r="H7236" s="16"/>
      <c r="AG7236" s="80"/>
      <c r="AH7236" s="80"/>
      <c r="AI7236" s="80"/>
    </row>
    <row r="7237" spans="5:35" x14ac:dyDescent="0.25">
      <c r="E7237" s="16"/>
      <c r="F7237" s="16"/>
      <c r="H7237" s="16"/>
      <c r="AG7237" s="80"/>
      <c r="AH7237" s="80"/>
      <c r="AI7237" s="80"/>
    </row>
    <row r="7238" spans="5:35" x14ac:dyDescent="0.25">
      <c r="E7238" s="16"/>
      <c r="F7238" s="16"/>
      <c r="H7238" s="16"/>
      <c r="AG7238" s="80"/>
      <c r="AH7238" s="80"/>
      <c r="AI7238" s="80"/>
    </row>
    <row r="7239" spans="5:35" x14ac:dyDescent="0.25">
      <c r="E7239" s="16"/>
      <c r="F7239" s="16"/>
      <c r="H7239" s="16"/>
      <c r="AG7239" s="80"/>
      <c r="AH7239" s="80"/>
      <c r="AI7239" s="80"/>
    </row>
    <row r="7240" spans="5:35" x14ac:dyDescent="0.25">
      <c r="E7240" s="16"/>
      <c r="F7240" s="16"/>
      <c r="H7240" s="16"/>
      <c r="AG7240" s="80"/>
      <c r="AH7240" s="80"/>
      <c r="AI7240" s="80"/>
    </row>
    <row r="7241" spans="5:35" x14ac:dyDescent="0.25">
      <c r="E7241" s="16"/>
      <c r="F7241" s="16"/>
      <c r="H7241" s="16"/>
      <c r="AG7241" s="80"/>
      <c r="AH7241" s="80"/>
      <c r="AI7241" s="80"/>
    </row>
    <row r="7242" spans="5:35" x14ac:dyDescent="0.25">
      <c r="E7242" s="16"/>
      <c r="F7242" s="16"/>
      <c r="H7242" s="16"/>
      <c r="AG7242" s="80"/>
      <c r="AH7242" s="80"/>
      <c r="AI7242" s="80"/>
    </row>
    <row r="7243" spans="5:35" x14ac:dyDescent="0.25">
      <c r="E7243" s="16"/>
      <c r="F7243" s="16"/>
      <c r="H7243" s="16"/>
      <c r="AG7243" s="80"/>
      <c r="AH7243" s="80"/>
      <c r="AI7243" s="80"/>
    </row>
    <row r="7244" spans="5:35" x14ac:dyDescent="0.25">
      <c r="E7244" s="16"/>
      <c r="F7244" s="16"/>
      <c r="H7244" s="16"/>
      <c r="AG7244" s="80"/>
      <c r="AH7244" s="80"/>
      <c r="AI7244" s="80"/>
    </row>
    <row r="7245" spans="5:35" x14ac:dyDescent="0.25">
      <c r="E7245" s="16"/>
      <c r="F7245" s="16"/>
      <c r="H7245" s="16"/>
      <c r="AG7245" s="80"/>
      <c r="AH7245" s="80"/>
      <c r="AI7245" s="80"/>
    </row>
    <row r="7246" spans="5:35" x14ac:dyDescent="0.25">
      <c r="E7246" s="16"/>
      <c r="F7246" s="16"/>
      <c r="H7246" s="16"/>
      <c r="AG7246" s="80"/>
      <c r="AH7246" s="80"/>
      <c r="AI7246" s="80"/>
    </row>
    <row r="7247" spans="5:35" x14ac:dyDescent="0.25">
      <c r="E7247" s="16"/>
      <c r="F7247" s="16"/>
      <c r="H7247" s="16"/>
      <c r="AG7247" s="80"/>
      <c r="AH7247" s="80"/>
      <c r="AI7247" s="80"/>
    </row>
    <row r="7248" spans="5:35" x14ac:dyDescent="0.25">
      <c r="E7248" s="16"/>
      <c r="F7248" s="16"/>
      <c r="H7248" s="16"/>
      <c r="AG7248" s="80"/>
      <c r="AH7248" s="80"/>
      <c r="AI7248" s="80"/>
    </row>
    <row r="7249" spans="5:35" x14ac:dyDescent="0.25">
      <c r="E7249" s="16"/>
      <c r="F7249" s="16"/>
      <c r="H7249" s="16"/>
      <c r="AG7249" s="80"/>
      <c r="AH7249" s="80"/>
      <c r="AI7249" s="80"/>
    </row>
    <row r="7250" spans="5:35" x14ac:dyDescent="0.25">
      <c r="E7250" s="16"/>
      <c r="F7250" s="16"/>
      <c r="H7250" s="16"/>
      <c r="AG7250" s="80"/>
      <c r="AH7250" s="80"/>
      <c r="AI7250" s="80"/>
    </row>
    <row r="7251" spans="5:35" x14ac:dyDescent="0.25">
      <c r="E7251" s="16"/>
      <c r="F7251" s="16"/>
      <c r="H7251" s="16"/>
      <c r="AG7251" s="80"/>
      <c r="AH7251" s="80"/>
      <c r="AI7251" s="80"/>
    </row>
    <row r="7252" spans="5:35" x14ac:dyDescent="0.25">
      <c r="E7252" s="16"/>
      <c r="F7252" s="16"/>
      <c r="H7252" s="16"/>
      <c r="AG7252" s="80"/>
      <c r="AH7252" s="80"/>
      <c r="AI7252" s="80"/>
    </row>
    <row r="7253" spans="5:35" x14ac:dyDescent="0.25">
      <c r="E7253" s="16"/>
      <c r="F7253" s="16"/>
      <c r="H7253" s="16"/>
      <c r="AG7253" s="80"/>
      <c r="AH7253" s="80"/>
      <c r="AI7253" s="80"/>
    </row>
    <row r="7254" spans="5:35" x14ac:dyDescent="0.25">
      <c r="E7254" s="16"/>
      <c r="F7254" s="16"/>
      <c r="H7254" s="16"/>
      <c r="AG7254" s="80"/>
      <c r="AH7254" s="80"/>
      <c r="AI7254" s="80"/>
    </row>
    <row r="7255" spans="5:35" x14ac:dyDescent="0.25">
      <c r="E7255" s="16"/>
      <c r="F7255" s="16"/>
      <c r="H7255" s="16"/>
      <c r="AG7255" s="80"/>
      <c r="AH7255" s="80"/>
      <c r="AI7255" s="80"/>
    </row>
    <row r="7256" spans="5:35" x14ac:dyDescent="0.25">
      <c r="E7256" s="16"/>
      <c r="F7256" s="16"/>
      <c r="H7256" s="16"/>
      <c r="AG7256" s="80"/>
      <c r="AH7256" s="80"/>
      <c r="AI7256" s="80"/>
    </row>
    <row r="7257" spans="5:35" x14ac:dyDescent="0.25">
      <c r="E7257" s="16"/>
      <c r="F7257" s="16"/>
      <c r="H7257" s="16"/>
      <c r="AG7257" s="80"/>
      <c r="AH7257" s="80"/>
      <c r="AI7257" s="80"/>
    </row>
    <row r="7258" spans="5:35" x14ac:dyDescent="0.25">
      <c r="E7258" s="16"/>
      <c r="F7258" s="16"/>
      <c r="H7258" s="16"/>
      <c r="AG7258" s="80"/>
      <c r="AH7258" s="80"/>
      <c r="AI7258" s="80"/>
    </row>
    <row r="7259" spans="5:35" x14ac:dyDescent="0.25">
      <c r="E7259" s="16"/>
      <c r="F7259" s="16"/>
      <c r="H7259" s="16"/>
      <c r="AG7259" s="80"/>
      <c r="AH7259" s="80"/>
      <c r="AI7259" s="80"/>
    </row>
    <row r="7260" spans="5:35" x14ac:dyDescent="0.25">
      <c r="E7260" s="16"/>
      <c r="F7260" s="16"/>
      <c r="H7260" s="16"/>
      <c r="AG7260" s="80"/>
      <c r="AH7260" s="80"/>
      <c r="AI7260" s="80"/>
    </row>
    <row r="7261" spans="5:35" x14ac:dyDescent="0.25">
      <c r="E7261" s="16"/>
      <c r="F7261" s="16"/>
      <c r="H7261" s="16"/>
      <c r="AG7261" s="80"/>
      <c r="AH7261" s="80"/>
      <c r="AI7261" s="80"/>
    </row>
    <row r="7262" spans="5:35" x14ac:dyDescent="0.25">
      <c r="E7262" s="16"/>
      <c r="F7262" s="16"/>
      <c r="H7262" s="16"/>
      <c r="AG7262" s="80"/>
      <c r="AH7262" s="80"/>
      <c r="AI7262" s="80"/>
    </row>
    <row r="7263" spans="5:35" x14ac:dyDescent="0.25">
      <c r="E7263" s="16"/>
      <c r="F7263" s="16"/>
      <c r="H7263" s="16"/>
      <c r="AG7263" s="80"/>
      <c r="AH7263" s="80"/>
      <c r="AI7263" s="80"/>
    </row>
    <row r="7264" spans="5:35" x14ac:dyDescent="0.25">
      <c r="E7264" s="16"/>
      <c r="F7264" s="16"/>
      <c r="H7264" s="16"/>
      <c r="AG7264" s="80"/>
      <c r="AH7264" s="80"/>
      <c r="AI7264" s="80"/>
    </row>
    <row r="7265" spans="5:35" x14ac:dyDescent="0.25">
      <c r="E7265" s="16"/>
      <c r="F7265" s="16"/>
      <c r="H7265" s="16"/>
      <c r="AG7265" s="80"/>
      <c r="AH7265" s="80"/>
      <c r="AI7265" s="80"/>
    </row>
    <row r="7266" spans="5:35" x14ac:dyDescent="0.25">
      <c r="E7266" s="16"/>
      <c r="F7266" s="16"/>
      <c r="H7266" s="16"/>
      <c r="AG7266" s="80"/>
      <c r="AH7266" s="80"/>
      <c r="AI7266" s="80"/>
    </row>
    <row r="7267" spans="5:35" x14ac:dyDescent="0.25">
      <c r="E7267" s="16"/>
      <c r="F7267" s="16"/>
      <c r="H7267" s="16"/>
      <c r="AG7267" s="80"/>
      <c r="AH7267" s="80"/>
      <c r="AI7267" s="80"/>
    </row>
    <row r="7268" spans="5:35" x14ac:dyDescent="0.25">
      <c r="E7268" s="16"/>
      <c r="F7268" s="16"/>
      <c r="H7268" s="16"/>
      <c r="AG7268" s="80"/>
      <c r="AH7268" s="80"/>
      <c r="AI7268" s="80"/>
    </row>
    <row r="7269" spans="5:35" x14ac:dyDescent="0.25">
      <c r="E7269" s="16"/>
      <c r="F7269" s="16"/>
      <c r="H7269" s="16"/>
      <c r="AG7269" s="80"/>
      <c r="AH7269" s="80"/>
      <c r="AI7269" s="80"/>
    </row>
    <row r="7270" spans="5:35" x14ac:dyDescent="0.25">
      <c r="E7270" s="16"/>
      <c r="F7270" s="16"/>
      <c r="H7270" s="16"/>
      <c r="AG7270" s="80"/>
      <c r="AH7270" s="80"/>
      <c r="AI7270" s="80"/>
    </row>
    <row r="7271" spans="5:35" x14ac:dyDescent="0.25">
      <c r="E7271" s="16"/>
      <c r="F7271" s="16"/>
      <c r="H7271" s="16"/>
      <c r="AG7271" s="80"/>
      <c r="AH7271" s="80"/>
      <c r="AI7271" s="80"/>
    </row>
    <row r="7272" spans="5:35" x14ac:dyDescent="0.25">
      <c r="E7272" s="16"/>
      <c r="F7272" s="16"/>
      <c r="H7272" s="16"/>
      <c r="AG7272" s="80"/>
      <c r="AH7272" s="80"/>
      <c r="AI7272" s="80"/>
    </row>
    <row r="7273" spans="5:35" x14ac:dyDescent="0.25">
      <c r="E7273" s="16"/>
      <c r="F7273" s="16"/>
      <c r="H7273" s="16"/>
      <c r="AG7273" s="80"/>
      <c r="AH7273" s="80"/>
      <c r="AI7273" s="80"/>
    </row>
    <row r="7274" spans="5:35" x14ac:dyDescent="0.25">
      <c r="E7274" s="16"/>
      <c r="F7274" s="16"/>
      <c r="H7274" s="16"/>
      <c r="AG7274" s="80"/>
      <c r="AH7274" s="80"/>
      <c r="AI7274" s="80"/>
    </row>
    <row r="7275" spans="5:35" x14ac:dyDescent="0.25">
      <c r="E7275" s="16"/>
      <c r="F7275" s="16"/>
      <c r="H7275" s="16"/>
      <c r="AG7275" s="80"/>
      <c r="AH7275" s="80"/>
      <c r="AI7275" s="80"/>
    </row>
    <row r="7276" spans="5:35" x14ac:dyDescent="0.25">
      <c r="E7276" s="16"/>
      <c r="F7276" s="16"/>
      <c r="H7276" s="16"/>
      <c r="AG7276" s="80"/>
      <c r="AH7276" s="80"/>
      <c r="AI7276" s="80"/>
    </row>
    <row r="7277" spans="5:35" x14ac:dyDescent="0.25">
      <c r="E7277" s="16"/>
      <c r="F7277" s="16"/>
      <c r="H7277" s="16"/>
      <c r="AG7277" s="80"/>
      <c r="AH7277" s="80"/>
      <c r="AI7277" s="80"/>
    </row>
    <row r="7278" spans="5:35" x14ac:dyDescent="0.25">
      <c r="E7278" s="16"/>
      <c r="F7278" s="16"/>
      <c r="H7278" s="16"/>
      <c r="AG7278" s="80"/>
      <c r="AH7278" s="80"/>
      <c r="AI7278" s="80"/>
    </row>
    <row r="7279" spans="5:35" x14ac:dyDescent="0.25">
      <c r="E7279" s="16"/>
      <c r="F7279" s="16"/>
      <c r="H7279" s="16"/>
      <c r="AG7279" s="80"/>
      <c r="AH7279" s="80"/>
      <c r="AI7279" s="80"/>
    </row>
    <row r="7280" spans="5:35" x14ac:dyDescent="0.25">
      <c r="E7280" s="16"/>
      <c r="F7280" s="16"/>
      <c r="H7280" s="16"/>
      <c r="AG7280" s="80"/>
      <c r="AH7280" s="80"/>
      <c r="AI7280" s="80"/>
    </row>
    <row r="7281" spans="5:35" x14ac:dyDescent="0.25">
      <c r="E7281" s="16"/>
      <c r="F7281" s="16"/>
      <c r="H7281" s="16"/>
      <c r="AG7281" s="80"/>
      <c r="AH7281" s="80"/>
      <c r="AI7281" s="80"/>
    </row>
    <row r="7282" spans="5:35" x14ac:dyDescent="0.25">
      <c r="E7282" s="16"/>
      <c r="F7282" s="16"/>
      <c r="H7282" s="16"/>
      <c r="AG7282" s="80"/>
      <c r="AH7282" s="80"/>
      <c r="AI7282" s="80"/>
    </row>
    <row r="7283" spans="5:35" x14ac:dyDescent="0.25">
      <c r="E7283" s="16"/>
      <c r="F7283" s="16"/>
      <c r="H7283" s="16"/>
      <c r="AG7283" s="80"/>
      <c r="AH7283" s="80"/>
      <c r="AI7283" s="80"/>
    </row>
    <row r="7284" spans="5:35" x14ac:dyDescent="0.25">
      <c r="E7284" s="16"/>
      <c r="F7284" s="16"/>
      <c r="H7284" s="16"/>
      <c r="AG7284" s="80"/>
      <c r="AH7284" s="80"/>
      <c r="AI7284" s="80"/>
    </row>
    <row r="7285" spans="5:35" x14ac:dyDescent="0.25">
      <c r="E7285" s="16"/>
      <c r="F7285" s="16"/>
      <c r="H7285" s="16"/>
      <c r="AG7285" s="80"/>
      <c r="AH7285" s="80"/>
      <c r="AI7285" s="80"/>
    </row>
    <row r="7286" spans="5:35" x14ac:dyDescent="0.25">
      <c r="E7286" s="16"/>
      <c r="F7286" s="16"/>
      <c r="H7286" s="16"/>
      <c r="AG7286" s="80"/>
      <c r="AH7286" s="80"/>
      <c r="AI7286" s="80"/>
    </row>
    <row r="7287" spans="5:35" x14ac:dyDescent="0.25">
      <c r="E7287" s="16"/>
      <c r="F7287" s="16"/>
      <c r="H7287" s="16"/>
      <c r="AG7287" s="80"/>
      <c r="AH7287" s="80"/>
      <c r="AI7287" s="80"/>
    </row>
    <row r="7288" spans="5:35" x14ac:dyDescent="0.25">
      <c r="E7288" s="16"/>
      <c r="F7288" s="16"/>
      <c r="H7288" s="16"/>
      <c r="AG7288" s="80"/>
      <c r="AH7288" s="80"/>
      <c r="AI7288" s="80"/>
    </row>
    <row r="7289" spans="5:35" x14ac:dyDescent="0.25">
      <c r="E7289" s="16"/>
      <c r="F7289" s="16"/>
      <c r="H7289" s="16"/>
      <c r="AG7289" s="80"/>
      <c r="AH7289" s="80"/>
      <c r="AI7289" s="80"/>
    </row>
    <row r="7290" spans="5:35" x14ac:dyDescent="0.25">
      <c r="E7290" s="16"/>
      <c r="F7290" s="16"/>
      <c r="H7290" s="16"/>
      <c r="AG7290" s="80"/>
      <c r="AH7290" s="80"/>
      <c r="AI7290" s="80"/>
    </row>
    <row r="7291" spans="5:35" x14ac:dyDescent="0.25">
      <c r="E7291" s="16"/>
      <c r="F7291" s="16"/>
      <c r="H7291" s="16"/>
      <c r="AG7291" s="80"/>
      <c r="AH7291" s="80"/>
      <c r="AI7291" s="80"/>
    </row>
    <row r="7292" spans="5:35" x14ac:dyDescent="0.25">
      <c r="E7292" s="16"/>
      <c r="F7292" s="16"/>
      <c r="H7292" s="16"/>
      <c r="AG7292" s="80"/>
      <c r="AH7292" s="80"/>
      <c r="AI7292" s="80"/>
    </row>
    <row r="7293" spans="5:35" x14ac:dyDescent="0.25">
      <c r="E7293" s="16"/>
      <c r="F7293" s="16"/>
      <c r="H7293" s="16"/>
      <c r="AG7293" s="80"/>
      <c r="AH7293" s="80"/>
      <c r="AI7293" s="80"/>
    </row>
    <row r="7294" spans="5:35" x14ac:dyDescent="0.25">
      <c r="E7294" s="16"/>
      <c r="F7294" s="16"/>
      <c r="H7294" s="16"/>
      <c r="AG7294" s="80"/>
      <c r="AH7294" s="80"/>
      <c r="AI7294" s="80"/>
    </row>
    <row r="7295" spans="5:35" x14ac:dyDescent="0.25">
      <c r="E7295" s="16"/>
      <c r="F7295" s="16"/>
      <c r="H7295" s="16"/>
      <c r="AG7295" s="80"/>
      <c r="AH7295" s="80"/>
      <c r="AI7295" s="80"/>
    </row>
    <row r="7296" spans="5:35" x14ac:dyDescent="0.25">
      <c r="E7296" s="16"/>
      <c r="F7296" s="16"/>
      <c r="H7296" s="16"/>
      <c r="AG7296" s="80"/>
      <c r="AH7296" s="80"/>
      <c r="AI7296" s="80"/>
    </row>
    <row r="7297" spans="5:35" x14ac:dyDescent="0.25">
      <c r="E7297" s="16"/>
      <c r="F7297" s="16"/>
      <c r="H7297" s="16"/>
      <c r="AG7297" s="80"/>
      <c r="AH7297" s="80"/>
      <c r="AI7297" s="80"/>
    </row>
    <row r="7298" spans="5:35" x14ac:dyDescent="0.25">
      <c r="E7298" s="16"/>
      <c r="F7298" s="16"/>
      <c r="H7298" s="16"/>
      <c r="AG7298" s="80"/>
      <c r="AH7298" s="80"/>
      <c r="AI7298" s="80"/>
    </row>
    <row r="7299" spans="5:35" x14ac:dyDescent="0.25">
      <c r="E7299" s="16"/>
      <c r="F7299" s="16"/>
      <c r="H7299" s="16"/>
      <c r="AG7299" s="80"/>
      <c r="AH7299" s="80"/>
      <c r="AI7299" s="80"/>
    </row>
    <row r="7300" spans="5:35" x14ac:dyDescent="0.25">
      <c r="E7300" s="16"/>
      <c r="F7300" s="16"/>
      <c r="H7300" s="16"/>
      <c r="AG7300" s="80"/>
      <c r="AH7300" s="80"/>
      <c r="AI7300" s="80"/>
    </row>
    <row r="7301" spans="5:35" x14ac:dyDescent="0.25">
      <c r="E7301" s="16"/>
      <c r="F7301" s="16"/>
      <c r="H7301" s="16"/>
      <c r="AG7301" s="80"/>
      <c r="AH7301" s="80"/>
      <c r="AI7301" s="80"/>
    </row>
    <row r="7302" spans="5:35" x14ac:dyDescent="0.25">
      <c r="E7302" s="16"/>
      <c r="F7302" s="16"/>
      <c r="H7302" s="16"/>
      <c r="AG7302" s="80"/>
      <c r="AH7302" s="80"/>
      <c r="AI7302" s="80"/>
    </row>
    <row r="7303" spans="5:35" x14ac:dyDescent="0.25">
      <c r="E7303" s="16"/>
      <c r="F7303" s="16"/>
      <c r="H7303" s="16"/>
      <c r="AG7303" s="80"/>
      <c r="AH7303" s="80"/>
      <c r="AI7303" s="80"/>
    </row>
    <row r="7304" spans="5:35" x14ac:dyDescent="0.25">
      <c r="E7304" s="16"/>
      <c r="F7304" s="16"/>
      <c r="H7304" s="16"/>
      <c r="AG7304" s="80"/>
      <c r="AH7304" s="80"/>
      <c r="AI7304" s="80"/>
    </row>
    <row r="7305" spans="5:35" x14ac:dyDescent="0.25">
      <c r="E7305" s="16"/>
      <c r="F7305" s="16"/>
      <c r="H7305" s="16"/>
      <c r="AG7305" s="80"/>
      <c r="AH7305" s="80"/>
      <c r="AI7305" s="80"/>
    </row>
    <row r="7306" spans="5:35" x14ac:dyDescent="0.25">
      <c r="E7306" s="16"/>
      <c r="F7306" s="16"/>
      <c r="H7306" s="16"/>
      <c r="AG7306" s="80"/>
      <c r="AH7306" s="80"/>
      <c r="AI7306" s="80"/>
    </row>
    <row r="7307" spans="5:35" x14ac:dyDescent="0.25">
      <c r="E7307" s="16"/>
      <c r="F7307" s="16"/>
      <c r="H7307" s="16"/>
      <c r="AG7307" s="80"/>
      <c r="AH7307" s="80"/>
      <c r="AI7307" s="80"/>
    </row>
    <row r="7308" spans="5:35" x14ac:dyDescent="0.25">
      <c r="E7308" s="16"/>
      <c r="F7308" s="16"/>
      <c r="H7308" s="16"/>
      <c r="AG7308" s="80"/>
      <c r="AH7308" s="80"/>
      <c r="AI7308" s="80"/>
    </row>
    <row r="7309" spans="5:35" x14ac:dyDescent="0.25">
      <c r="E7309" s="16"/>
      <c r="F7309" s="16"/>
      <c r="H7309" s="16"/>
      <c r="AG7309" s="80"/>
      <c r="AH7309" s="80"/>
      <c r="AI7309" s="80"/>
    </row>
    <row r="7310" spans="5:35" x14ac:dyDescent="0.25">
      <c r="E7310" s="16"/>
      <c r="F7310" s="16"/>
      <c r="H7310" s="16"/>
      <c r="AG7310" s="80"/>
      <c r="AH7310" s="80"/>
      <c r="AI7310" s="80"/>
    </row>
    <row r="7311" spans="5:35" x14ac:dyDescent="0.25">
      <c r="E7311" s="16"/>
      <c r="F7311" s="16"/>
      <c r="H7311" s="16"/>
      <c r="AG7311" s="80"/>
      <c r="AH7311" s="80"/>
      <c r="AI7311" s="80"/>
    </row>
    <row r="7312" spans="5:35" x14ac:dyDescent="0.25">
      <c r="E7312" s="16"/>
      <c r="F7312" s="16"/>
      <c r="H7312" s="16"/>
      <c r="AG7312" s="80"/>
      <c r="AH7312" s="80"/>
      <c r="AI7312" s="80"/>
    </row>
    <row r="7313" spans="5:35" x14ac:dyDescent="0.25">
      <c r="E7313" s="16"/>
      <c r="F7313" s="16"/>
      <c r="H7313" s="16"/>
      <c r="AG7313" s="80"/>
      <c r="AH7313" s="80"/>
      <c r="AI7313" s="80"/>
    </row>
    <row r="7314" spans="5:35" x14ac:dyDescent="0.25">
      <c r="E7314" s="16"/>
      <c r="F7314" s="16"/>
      <c r="H7314" s="16"/>
      <c r="AG7314" s="80"/>
      <c r="AH7314" s="80"/>
      <c r="AI7314" s="80"/>
    </row>
    <row r="7315" spans="5:35" x14ac:dyDescent="0.25">
      <c r="E7315" s="16"/>
      <c r="F7315" s="16"/>
      <c r="H7315" s="16"/>
      <c r="AG7315" s="80"/>
      <c r="AH7315" s="80"/>
      <c r="AI7315" s="80"/>
    </row>
    <row r="7316" spans="5:35" x14ac:dyDescent="0.25">
      <c r="E7316" s="16"/>
      <c r="F7316" s="16"/>
      <c r="H7316" s="16"/>
      <c r="AG7316" s="80"/>
      <c r="AH7316" s="80"/>
      <c r="AI7316" s="80"/>
    </row>
    <row r="7317" spans="5:35" x14ac:dyDescent="0.25">
      <c r="E7317" s="16"/>
      <c r="F7317" s="16"/>
      <c r="H7317" s="16"/>
      <c r="AG7317" s="80"/>
      <c r="AH7317" s="80"/>
      <c r="AI7317" s="80"/>
    </row>
    <row r="7318" spans="5:35" x14ac:dyDescent="0.25">
      <c r="E7318" s="16"/>
      <c r="F7318" s="16"/>
      <c r="H7318" s="16"/>
      <c r="AG7318" s="80"/>
      <c r="AH7318" s="80"/>
      <c r="AI7318" s="80"/>
    </row>
    <row r="7319" spans="5:35" x14ac:dyDescent="0.25">
      <c r="E7319" s="16"/>
      <c r="F7319" s="16"/>
      <c r="H7319" s="16"/>
      <c r="AG7319" s="80"/>
      <c r="AH7319" s="80"/>
      <c r="AI7319" s="80"/>
    </row>
    <row r="7320" spans="5:35" x14ac:dyDescent="0.25">
      <c r="E7320" s="16"/>
      <c r="F7320" s="16"/>
      <c r="H7320" s="16"/>
      <c r="AG7320" s="80"/>
      <c r="AH7320" s="80"/>
      <c r="AI7320" s="80"/>
    </row>
    <row r="7321" spans="5:35" x14ac:dyDescent="0.25">
      <c r="E7321" s="16"/>
      <c r="F7321" s="16"/>
      <c r="H7321" s="16"/>
      <c r="AG7321" s="80"/>
      <c r="AH7321" s="80"/>
      <c r="AI7321" s="80"/>
    </row>
    <row r="7322" spans="5:35" x14ac:dyDescent="0.25">
      <c r="E7322" s="16"/>
      <c r="F7322" s="16"/>
      <c r="H7322" s="16"/>
      <c r="AG7322" s="80"/>
      <c r="AH7322" s="80"/>
      <c r="AI7322" s="80"/>
    </row>
    <row r="7323" spans="5:35" x14ac:dyDescent="0.25">
      <c r="E7323" s="16"/>
      <c r="F7323" s="16"/>
      <c r="H7323" s="16"/>
      <c r="AG7323" s="80"/>
      <c r="AH7323" s="80"/>
      <c r="AI7323" s="80"/>
    </row>
    <row r="7324" spans="5:35" x14ac:dyDescent="0.25">
      <c r="E7324" s="16"/>
      <c r="F7324" s="16"/>
      <c r="H7324" s="16"/>
      <c r="AG7324" s="80"/>
      <c r="AH7324" s="80"/>
      <c r="AI7324" s="80"/>
    </row>
    <row r="7325" spans="5:35" x14ac:dyDescent="0.25">
      <c r="E7325" s="16"/>
      <c r="F7325" s="16"/>
      <c r="H7325" s="16"/>
      <c r="AG7325" s="80"/>
      <c r="AH7325" s="80"/>
      <c r="AI7325" s="80"/>
    </row>
    <row r="7326" spans="5:35" x14ac:dyDescent="0.25">
      <c r="E7326" s="16"/>
      <c r="F7326" s="16"/>
      <c r="H7326" s="16"/>
      <c r="AG7326" s="80"/>
      <c r="AH7326" s="80"/>
      <c r="AI7326" s="80"/>
    </row>
    <row r="7327" spans="5:35" x14ac:dyDescent="0.25">
      <c r="E7327" s="16"/>
      <c r="F7327" s="16"/>
      <c r="H7327" s="16"/>
      <c r="AG7327" s="80"/>
      <c r="AH7327" s="80"/>
      <c r="AI7327" s="80"/>
    </row>
    <row r="7328" spans="5:35" x14ac:dyDescent="0.25">
      <c r="E7328" s="16"/>
      <c r="F7328" s="16"/>
      <c r="H7328" s="16"/>
      <c r="AG7328" s="80"/>
      <c r="AH7328" s="80"/>
      <c r="AI7328" s="80"/>
    </row>
    <row r="7329" spans="5:35" x14ac:dyDescent="0.25">
      <c r="E7329" s="16"/>
      <c r="F7329" s="16"/>
      <c r="H7329" s="16"/>
      <c r="AG7329" s="80"/>
      <c r="AH7329" s="80"/>
      <c r="AI7329" s="80"/>
    </row>
    <row r="7330" spans="5:35" x14ac:dyDescent="0.25">
      <c r="E7330" s="16"/>
      <c r="F7330" s="16"/>
      <c r="H7330" s="16"/>
      <c r="AG7330" s="80"/>
      <c r="AH7330" s="80"/>
      <c r="AI7330" s="80"/>
    </row>
    <row r="7331" spans="5:35" x14ac:dyDescent="0.25">
      <c r="E7331" s="16"/>
      <c r="F7331" s="16"/>
      <c r="H7331" s="16"/>
      <c r="AG7331" s="80"/>
      <c r="AH7331" s="80"/>
      <c r="AI7331" s="80"/>
    </row>
    <row r="7332" spans="5:35" x14ac:dyDescent="0.25">
      <c r="E7332" s="16"/>
      <c r="F7332" s="16"/>
      <c r="H7332" s="16"/>
      <c r="AG7332" s="80"/>
      <c r="AH7332" s="80"/>
      <c r="AI7332" s="80"/>
    </row>
    <row r="7333" spans="5:35" x14ac:dyDescent="0.25">
      <c r="E7333" s="16"/>
      <c r="F7333" s="16"/>
      <c r="H7333" s="16"/>
      <c r="AG7333" s="80"/>
      <c r="AH7333" s="80"/>
      <c r="AI7333" s="80"/>
    </row>
    <row r="7334" spans="5:35" x14ac:dyDescent="0.25">
      <c r="E7334" s="16"/>
      <c r="F7334" s="16"/>
      <c r="H7334" s="16"/>
      <c r="AG7334" s="80"/>
      <c r="AH7334" s="80"/>
      <c r="AI7334" s="80"/>
    </row>
    <row r="7335" spans="5:35" x14ac:dyDescent="0.25">
      <c r="E7335" s="16"/>
      <c r="F7335" s="16"/>
      <c r="H7335" s="16"/>
      <c r="AG7335" s="80"/>
      <c r="AH7335" s="80"/>
      <c r="AI7335" s="80"/>
    </row>
    <row r="7336" spans="5:35" x14ac:dyDescent="0.25">
      <c r="E7336" s="16"/>
      <c r="F7336" s="16"/>
      <c r="H7336" s="16"/>
      <c r="AG7336" s="80"/>
      <c r="AH7336" s="80"/>
      <c r="AI7336" s="80"/>
    </row>
    <row r="7337" spans="5:35" x14ac:dyDescent="0.25">
      <c r="E7337" s="16"/>
      <c r="F7337" s="16"/>
      <c r="H7337" s="16"/>
      <c r="AG7337" s="80"/>
      <c r="AH7337" s="80"/>
      <c r="AI7337" s="80"/>
    </row>
    <row r="7338" spans="5:35" x14ac:dyDescent="0.25">
      <c r="E7338" s="16"/>
      <c r="F7338" s="16"/>
      <c r="H7338" s="16"/>
      <c r="AG7338" s="80"/>
      <c r="AH7338" s="80"/>
      <c r="AI7338" s="80"/>
    </row>
    <row r="7339" spans="5:35" x14ac:dyDescent="0.25">
      <c r="E7339" s="16"/>
      <c r="F7339" s="16"/>
      <c r="H7339" s="16"/>
      <c r="AG7339" s="80"/>
      <c r="AH7339" s="80"/>
      <c r="AI7339" s="80"/>
    </row>
    <row r="7340" spans="5:35" x14ac:dyDescent="0.25">
      <c r="E7340" s="16"/>
      <c r="F7340" s="16"/>
      <c r="H7340" s="16"/>
      <c r="AG7340" s="80"/>
      <c r="AH7340" s="80"/>
      <c r="AI7340" s="80"/>
    </row>
    <row r="7341" spans="5:35" x14ac:dyDescent="0.25">
      <c r="E7341" s="16"/>
      <c r="F7341" s="16"/>
      <c r="H7341" s="16"/>
      <c r="AG7341" s="80"/>
      <c r="AH7341" s="80"/>
      <c r="AI7341" s="80"/>
    </row>
    <row r="7342" spans="5:35" x14ac:dyDescent="0.25">
      <c r="E7342" s="16"/>
      <c r="F7342" s="16"/>
      <c r="H7342" s="16"/>
      <c r="AG7342" s="80"/>
      <c r="AH7342" s="80"/>
      <c r="AI7342" s="80"/>
    </row>
    <row r="7343" spans="5:35" x14ac:dyDescent="0.25">
      <c r="E7343" s="16"/>
      <c r="F7343" s="16"/>
      <c r="H7343" s="16"/>
      <c r="AG7343" s="80"/>
      <c r="AH7343" s="80"/>
      <c r="AI7343" s="80"/>
    </row>
    <row r="7344" spans="5:35" x14ac:dyDescent="0.25">
      <c r="E7344" s="16"/>
      <c r="F7344" s="16"/>
      <c r="H7344" s="16"/>
      <c r="AG7344" s="80"/>
      <c r="AH7344" s="80"/>
      <c r="AI7344" s="80"/>
    </row>
    <row r="7345" spans="5:35" x14ac:dyDescent="0.25">
      <c r="E7345" s="16"/>
      <c r="F7345" s="16"/>
      <c r="H7345" s="16"/>
      <c r="AG7345" s="80"/>
      <c r="AH7345" s="80"/>
      <c r="AI7345" s="80"/>
    </row>
    <row r="7346" spans="5:35" x14ac:dyDescent="0.25">
      <c r="E7346" s="16"/>
      <c r="F7346" s="16"/>
      <c r="H7346" s="16"/>
      <c r="AG7346" s="80"/>
      <c r="AH7346" s="80"/>
      <c r="AI7346" s="80"/>
    </row>
    <row r="7347" spans="5:35" x14ac:dyDescent="0.25">
      <c r="E7347" s="16"/>
      <c r="F7347" s="16"/>
      <c r="H7347" s="16"/>
      <c r="AG7347" s="80"/>
      <c r="AH7347" s="80"/>
      <c r="AI7347" s="80"/>
    </row>
    <row r="7348" spans="5:35" x14ac:dyDescent="0.25">
      <c r="E7348" s="16"/>
      <c r="F7348" s="16"/>
      <c r="H7348" s="16"/>
      <c r="AG7348" s="80"/>
      <c r="AH7348" s="80"/>
      <c r="AI7348" s="80"/>
    </row>
    <row r="7349" spans="5:35" x14ac:dyDescent="0.25">
      <c r="E7349" s="16"/>
      <c r="F7349" s="16"/>
      <c r="H7349" s="16"/>
      <c r="AG7349" s="80"/>
      <c r="AH7349" s="80"/>
      <c r="AI7349" s="80"/>
    </row>
    <row r="7350" spans="5:35" x14ac:dyDescent="0.25">
      <c r="E7350" s="16"/>
      <c r="F7350" s="16"/>
      <c r="H7350" s="16"/>
      <c r="AG7350" s="80"/>
      <c r="AH7350" s="80"/>
      <c r="AI7350" s="80"/>
    </row>
    <row r="7351" spans="5:35" x14ac:dyDescent="0.25">
      <c r="E7351" s="16"/>
      <c r="F7351" s="16"/>
      <c r="H7351" s="16"/>
      <c r="AG7351" s="80"/>
      <c r="AH7351" s="80"/>
      <c r="AI7351" s="80"/>
    </row>
    <row r="7352" spans="5:35" x14ac:dyDescent="0.25">
      <c r="E7352" s="16"/>
      <c r="F7352" s="16"/>
      <c r="H7352" s="16"/>
      <c r="AG7352" s="80"/>
      <c r="AH7352" s="80"/>
      <c r="AI7352" s="80"/>
    </row>
    <row r="7353" spans="5:35" x14ac:dyDescent="0.25">
      <c r="E7353" s="16"/>
      <c r="F7353" s="16"/>
      <c r="H7353" s="16"/>
      <c r="AG7353" s="80"/>
      <c r="AH7353" s="80"/>
      <c r="AI7353" s="80"/>
    </row>
    <row r="7354" spans="5:35" x14ac:dyDescent="0.25">
      <c r="E7354" s="16"/>
      <c r="F7354" s="16"/>
      <c r="H7354" s="16"/>
      <c r="AG7354" s="80"/>
      <c r="AH7354" s="80"/>
      <c r="AI7354" s="80"/>
    </row>
    <row r="7355" spans="5:35" x14ac:dyDescent="0.25">
      <c r="E7355" s="16"/>
      <c r="F7355" s="16"/>
      <c r="H7355" s="16"/>
      <c r="AG7355" s="80"/>
      <c r="AH7355" s="80"/>
      <c r="AI7355" s="80"/>
    </row>
    <row r="7356" spans="5:35" x14ac:dyDescent="0.25">
      <c r="E7356" s="16"/>
      <c r="F7356" s="16"/>
      <c r="H7356" s="16"/>
      <c r="AG7356" s="80"/>
      <c r="AH7356" s="80"/>
      <c r="AI7356" s="80"/>
    </row>
    <row r="7357" spans="5:35" x14ac:dyDescent="0.25">
      <c r="E7357" s="16"/>
      <c r="F7357" s="16"/>
      <c r="H7357" s="16"/>
      <c r="AG7357" s="80"/>
      <c r="AH7357" s="80"/>
      <c r="AI7357" s="80"/>
    </row>
    <row r="7358" spans="5:35" x14ac:dyDescent="0.25">
      <c r="E7358" s="16"/>
      <c r="F7358" s="16"/>
      <c r="H7358" s="16"/>
      <c r="AG7358" s="80"/>
      <c r="AH7358" s="80"/>
      <c r="AI7358" s="80"/>
    </row>
    <row r="7359" spans="5:35" x14ac:dyDescent="0.25">
      <c r="E7359" s="16"/>
      <c r="F7359" s="16"/>
      <c r="H7359" s="16"/>
      <c r="AG7359" s="80"/>
      <c r="AH7359" s="80"/>
      <c r="AI7359" s="80"/>
    </row>
    <row r="7360" spans="5:35" x14ac:dyDescent="0.25">
      <c r="E7360" s="16"/>
      <c r="F7360" s="16"/>
      <c r="H7360" s="16"/>
      <c r="AG7360" s="80"/>
      <c r="AH7360" s="80"/>
      <c r="AI7360" s="80"/>
    </row>
    <row r="7361" spans="5:35" x14ac:dyDescent="0.25">
      <c r="E7361" s="16"/>
      <c r="F7361" s="16"/>
      <c r="H7361" s="16"/>
      <c r="AG7361" s="80"/>
      <c r="AH7361" s="80"/>
      <c r="AI7361" s="80"/>
    </row>
    <row r="7362" spans="5:35" x14ac:dyDescent="0.25">
      <c r="E7362" s="16"/>
      <c r="F7362" s="16"/>
      <c r="H7362" s="16"/>
      <c r="AG7362" s="80"/>
      <c r="AH7362" s="80"/>
      <c r="AI7362" s="80"/>
    </row>
    <row r="7363" spans="5:35" x14ac:dyDescent="0.25">
      <c r="E7363" s="16"/>
      <c r="F7363" s="16"/>
      <c r="H7363" s="16"/>
      <c r="AG7363" s="80"/>
      <c r="AH7363" s="80"/>
      <c r="AI7363" s="80"/>
    </row>
    <row r="7364" spans="5:35" x14ac:dyDescent="0.25">
      <c r="E7364" s="16"/>
      <c r="F7364" s="16"/>
      <c r="H7364" s="16"/>
      <c r="AG7364" s="80"/>
      <c r="AH7364" s="80"/>
      <c r="AI7364" s="80"/>
    </row>
    <row r="7365" spans="5:35" x14ac:dyDescent="0.25">
      <c r="E7365" s="16"/>
      <c r="F7365" s="16"/>
      <c r="H7365" s="16"/>
      <c r="AG7365" s="80"/>
      <c r="AH7365" s="80"/>
      <c r="AI7365" s="80"/>
    </row>
    <row r="7366" spans="5:35" x14ac:dyDescent="0.25">
      <c r="E7366" s="16"/>
      <c r="F7366" s="16"/>
      <c r="H7366" s="16"/>
      <c r="AG7366" s="80"/>
      <c r="AH7366" s="80"/>
      <c r="AI7366" s="80"/>
    </row>
    <row r="7367" spans="5:35" x14ac:dyDescent="0.25">
      <c r="E7367" s="16"/>
      <c r="F7367" s="16"/>
      <c r="H7367" s="16"/>
      <c r="AG7367" s="80"/>
      <c r="AH7367" s="80"/>
      <c r="AI7367" s="80"/>
    </row>
    <row r="7368" spans="5:35" x14ac:dyDescent="0.25">
      <c r="E7368" s="16"/>
      <c r="F7368" s="16"/>
      <c r="H7368" s="16"/>
      <c r="AG7368" s="80"/>
      <c r="AH7368" s="80"/>
      <c r="AI7368" s="80"/>
    </row>
    <row r="7369" spans="5:35" x14ac:dyDescent="0.25">
      <c r="E7369" s="16"/>
      <c r="F7369" s="16"/>
      <c r="H7369" s="16"/>
      <c r="AG7369" s="80"/>
      <c r="AH7369" s="80"/>
      <c r="AI7369" s="80"/>
    </row>
    <row r="7370" spans="5:35" x14ac:dyDescent="0.25">
      <c r="E7370" s="16"/>
      <c r="F7370" s="16"/>
      <c r="H7370" s="16"/>
      <c r="AG7370" s="80"/>
      <c r="AH7370" s="80"/>
      <c r="AI7370" s="80"/>
    </row>
    <row r="7371" spans="5:35" x14ac:dyDescent="0.25">
      <c r="E7371" s="16"/>
      <c r="F7371" s="16"/>
      <c r="H7371" s="16"/>
      <c r="AG7371" s="80"/>
      <c r="AH7371" s="80"/>
      <c r="AI7371" s="80"/>
    </row>
    <row r="7372" spans="5:35" x14ac:dyDescent="0.25">
      <c r="E7372" s="16"/>
      <c r="F7372" s="16"/>
      <c r="H7372" s="16"/>
      <c r="AG7372" s="80"/>
      <c r="AH7372" s="80"/>
      <c r="AI7372" s="80"/>
    </row>
    <row r="7373" spans="5:35" x14ac:dyDescent="0.25">
      <c r="E7373" s="16"/>
      <c r="F7373" s="16"/>
      <c r="H7373" s="16"/>
      <c r="AG7373" s="80"/>
      <c r="AH7373" s="80"/>
      <c r="AI7373" s="80"/>
    </row>
    <row r="7374" spans="5:35" x14ac:dyDescent="0.25">
      <c r="E7374" s="16"/>
      <c r="F7374" s="16"/>
      <c r="H7374" s="16"/>
      <c r="AG7374" s="80"/>
      <c r="AH7374" s="80"/>
      <c r="AI7374" s="80"/>
    </row>
    <row r="7375" spans="5:35" x14ac:dyDescent="0.25">
      <c r="E7375" s="16"/>
      <c r="F7375" s="16"/>
      <c r="H7375" s="16"/>
      <c r="AG7375" s="80"/>
      <c r="AH7375" s="80"/>
      <c r="AI7375" s="80"/>
    </row>
    <row r="7376" spans="5:35" x14ac:dyDescent="0.25">
      <c r="E7376" s="16"/>
      <c r="F7376" s="16"/>
      <c r="H7376" s="16"/>
      <c r="AG7376" s="80"/>
      <c r="AH7376" s="80"/>
      <c r="AI7376" s="80"/>
    </row>
    <row r="7377" spans="5:35" x14ac:dyDescent="0.25">
      <c r="E7377" s="16"/>
      <c r="F7377" s="16"/>
      <c r="H7377" s="16"/>
      <c r="AG7377" s="80"/>
      <c r="AH7377" s="80"/>
      <c r="AI7377" s="80"/>
    </row>
    <row r="7378" spans="5:35" x14ac:dyDescent="0.25">
      <c r="E7378" s="16"/>
      <c r="F7378" s="16"/>
      <c r="H7378" s="16"/>
      <c r="AG7378" s="80"/>
      <c r="AH7378" s="80"/>
      <c r="AI7378" s="80"/>
    </row>
    <row r="7379" spans="5:35" x14ac:dyDescent="0.25">
      <c r="E7379" s="16"/>
      <c r="F7379" s="16"/>
      <c r="H7379" s="16"/>
      <c r="AG7379" s="80"/>
      <c r="AH7379" s="80"/>
      <c r="AI7379" s="80"/>
    </row>
    <row r="7380" spans="5:35" x14ac:dyDescent="0.25">
      <c r="E7380" s="16"/>
      <c r="F7380" s="16"/>
      <c r="H7380" s="16"/>
      <c r="AG7380" s="80"/>
      <c r="AH7380" s="80"/>
      <c r="AI7380" s="80"/>
    </row>
    <row r="7381" spans="5:35" x14ac:dyDescent="0.25">
      <c r="E7381" s="16"/>
      <c r="F7381" s="16"/>
      <c r="H7381" s="16"/>
      <c r="AG7381" s="80"/>
      <c r="AH7381" s="80"/>
      <c r="AI7381" s="80"/>
    </row>
    <row r="7382" spans="5:35" x14ac:dyDescent="0.25">
      <c r="E7382" s="16"/>
      <c r="F7382" s="16"/>
      <c r="H7382" s="16"/>
      <c r="AG7382" s="80"/>
      <c r="AH7382" s="80"/>
      <c r="AI7382" s="80"/>
    </row>
    <row r="7383" spans="5:35" x14ac:dyDescent="0.25">
      <c r="E7383" s="16"/>
      <c r="F7383" s="16"/>
      <c r="H7383" s="16"/>
      <c r="AG7383" s="80"/>
      <c r="AH7383" s="80"/>
      <c r="AI7383" s="80"/>
    </row>
    <row r="7384" spans="5:35" x14ac:dyDescent="0.25">
      <c r="E7384" s="16"/>
      <c r="F7384" s="16"/>
      <c r="H7384" s="16"/>
      <c r="AG7384" s="80"/>
      <c r="AH7384" s="80"/>
      <c r="AI7384" s="80"/>
    </row>
    <row r="7385" spans="5:35" x14ac:dyDescent="0.25">
      <c r="E7385" s="16"/>
      <c r="F7385" s="16"/>
      <c r="H7385" s="16"/>
      <c r="AG7385" s="80"/>
      <c r="AH7385" s="80"/>
      <c r="AI7385" s="80"/>
    </row>
    <row r="7386" spans="5:35" x14ac:dyDescent="0.25">
      <c r="E7386" s="16"/>
      <c r="F7386" s="16"/>
      <c r="H7386" s="16"/>
      <c r="AG7386" s="80"/>
      <c r="AH7386" s="80"/>
      <c r="AI7386" s="80"/>
    </row>
    <row r="7387" spans="5:35" x14ac:dyDescent="0.25">
      <c r="E7387" s="16"/>
      <c r="F7387" s="16"/>
      <c r="H7387" s="16"/>
      <c r="AG7387" s="80"/>
      <c r="AH7387" s="80"/>
      <c r="AI7387" s="80"/>
    </row>
    <row r="7388" spans="5:35" x14ac:dyDescent="0.25">
      <c r="E7388" s="16"/>
      <c r="F7388" s="16"/>
      <c r="H7388" s="16"/>
      <c r="AG7388" s="80"/>
      <c r="AH7388" s="80"/>
      <c r="AI7388" s="80"/>
    </row>
    <row r="7389" spans="5:35" x14ac:dyDescent="0.25">
      <c r="E7389" s="16"/>
      <c r="F7389" s="16"/>
      <c r="H7389" s="16"/>
      <c r="AG7389" s="80"/>
      <c r="AH7389" s="80"/>
      <c r="AI7389" s="80"/>
    </row>
    <row r="7390" spans="5:35" x14ac:dyDescent="0.25">
      <c r="E7390" s="16"/>
      <c r="F7390" s="16"/>
      <c r="H7390" s="16"/>
      <c r="AG7390" s="80"/>
      <c r="AH7390" s="80"/>
      <c r="AI7390" s="80"/>
    </row>
    <row r="7391" spans="5:35" x14ac:dyDescent="0.25">
      <c r="E7391" s="16"/>
      <c r="F7391" s="16"/>
      <c r="H7391" s="16"/>
      <c r="AG7391" s="80"/>
      <c r="AH7391" s="80"/>
      <c r="AI7391" s="80"/>
    </row>
    <row r="7392" spans="5:35" x14ac:dyDescent="0.25">
      <c r="E7392" s="16"/>
      <c r="F7392" s="16"/>
      <c r="H7392" s="16"/>
      <c r="AG7392" s="80"/>
      <c r="AH7392" s="80"/>
      <c r="AI7392" s="80"/>
    </row>
    <row r="7393" spans="5:35" x14ac:dyDescent="0.25">
      <c r="E7393" s="16"/>
      <c r="F7393" s="16"/>
      <c r="H7393" s="16"/>
      <c r="AG7393" s="80"/>
      <c r="AH7393" s="80"/>
      <c r="AI7393" s="80"/>
    </row>
    <row r="7394" spans="5:35" x14ac:dyDescent="0.25">
      <c r="E7394" s="16"/>
      <c r="F7394" s="16"/>
      <c r="H7394" s="16"/>
      <c r="AG7394" s="80"/>
      <c r="AH7394" s="80"/>
      <c r="AI7394" s="80"/>
    </row>
    <row r="7395" spans="5:35" x14ac:dyDescent="0.25">
      <c r="E7395" s="16"/>
      <c r="F7395" s="16"/>
      <c r="H7395" s="16"/>
      <c r="AG7395" s="80"/>
      <c r="AH7395" s="80"/>
      <c r="AI7395" s="80"/>
    </row>
    <row r="7396" spans="5:35" x14ac:dyDescent="0.25">
      <c r="E7396" s="16"/>
      <c r="F7396" s="16"/>
      <c r="H7396" s="16"/>
      <c r="AG7396" s="80"/>
      <c r="AH7396" s="80"/>
      <c r="AI7396" s="80"/>
    </row>
    <row r="7397" spans="5:35" x14ac:dyDescent="0.25">
      <c r="E7397" s="16"/>
      <c r="F7397" s="16"/>
      <c r="H7397" s="16"/>
      <c r="AG7397" s="80"/>
      <c r="AH7397" s="80"/>
      <c r="AI7397" s="80"/>
    </row>
    <row r="7398" spans="5:35" x14ac:dyDescent="0.25">
      <c r="E7398" s="16"/>
      <c r="F7398" s="16"/>
      <c r="H7398" s="16"/>
      <c r="AG7398" s="80"/>
      <c r="AH7398" s="80"/>
      <c r="AI7398" s="80"/>
    </row>
    <row r="7399" spans="5:35" x14ac:dyDescent="0.25">
      <c r="E7399" s="16"/>
      <c r="F7399" s="16"/>
      <c r="H7399" s="16"/>
      <c r="AG7399" s="80"/>
      <c r="AH7399" s="80"/>
      <c r="AI7399" s="80"/>
    </row>
    <row r="7400" spans="5:35" x14ac:dyDescent="0.25">
      <c r="E7400" s="16"/>
      <c r="F7400" s="16"/>
      <c r="H7400" s="16"/>
      <c r="AG7400" s="80"/>
      <c r="AH7400" s="80"/>
      <c r="AI7400" s="80"/>
    </row>
    <row r="7401" spans="5:35" x14ac:dyDescent="0.25">
      <c r="E7401" s="16"/>
      <c r="F7401" s="16"/>
      <c r="H7401" s="16"/>
      <c r="AG7401" s="80"/>
      <c r="AH7401" s="80"/>
      <c r="AI7401" s="80"/>
    </row>
    <row r="7402" spans="5:35" x14ac:dyDescent="0.25">
      <c r="E7402" s="16"/>
      <c r="F7402" s="16"/>
      <c r="H7402" s="16"/>
      <c r="AG7402" s="80"/>
      <c r="AH7402" s="80"/>
      <c r="AI7402" s="80"/>
    </row>
    <row r="7403" spans="5:35" x14ac:dyDescent="0.25">
      <c r="E7403" s="16"/>
      <c r="F7403" s="16"/>
      <c r="H7403" s="16"/>
      <c r="AG7403" s="80"/>
      <c r="AH7403" s="80"/>
      <c r="AI7403" s="80"/>
    </row>
    <row r="7404" spans="5:35" x14ac:dyDescent="0.25">
      <c r="E7404" s="16"/>
      <c r="F7404" s="16"/>
      <c r="H7404" s="16"/>
      <c r="AG7404" s="80"/>
      <c r="AH7404" s="80"/>
      <c r="AI7404" s="80"/>
    </row>
    <row r="7405" spans="5:35" x14ac:dyDescent="0.25">
      <c r="E7405" s="16"/>
      <c r="F7405" s="16"/>
      <c r="H7405" s="16"/>
      <c r="AG7405" s="80"/>
      <c r="AH7405" s="80"/>
      <c r="AI7405" s="80"/>
    </row>
    <row r="7406" spans="5:35" x14ac:dyDescent="0.25">
      <c r="E7406" s="16"/>
      <c r="F7406" s="16"/>
      <c r="H7406" s="16"/>
      <c r="AG7406" s="80"/>
      <c r="AH7406" s="80"/>
      <c r="AI7406" s="80"/>
    </row>
    <row r="7407" spans="5:35" x14ac:dyDescent="0.25">
      <c r="E7407" s="16"/>
      <c r="F7407" s="16"/>
      <c r="H7407" s="16"/>
      <c r="AG7407" s="80"/>
      <c r="AH7407" s="80"/>
      <c r="AI7407" s="80"/>
    </row>
    <row r="7408" spans="5:35" x14ac:dyDescent="0.25">
      <c r="E7408" s="16"/>
      <c r="F7408" s="16"/>
      <c r="H7408" s="16"/>
      <c r="AG7408" s="80"/>
      <c r="AH7408" s="80"/>
      <c r="AI7408" s="80"/>
    </row>
    <row r="7409" spans="5:35" x14ac:dyDescent="0.25">
      <c r="E7409" s="16"/>
      <c r="F7409" s="16"/>
      <c r="H7409" s="16"/>
      <c r="AG7409" s="80"/>
      <c r="AH7409" s="80"/>
      <c r="AI7409" s="80"/>
    </row>
    <row r="7410" spans="5:35" x14ac:dyDescent="0.25">
      <c r="E7410" s="16"/>
      <c r="F7410" s="16"/>
      <c r="H7410" s="16"/>
      <c r="AG7410" s="80"/>
      <c r="AH7410" s="80"/>
      <c r="AI7410" s="80"/>
    </row>
    <row r="7411" spans="5:35" x14ac:dyDescent="0.25">
      <c r="E7411" s="16"/>
      <c r="F7411" s="16"/>
      <c r="H7411" s="16"/>
      <c r="AG7411" s="80"/>
      <c r="AH7411" s="80"/>
      <c r="AI7411" s="80"/>
    </row>
    <row r="7412" spans="5:35" x14ac:dyDescent="0.25">
      <c r="E7412" s="16"/>
      <c r="F7412" s="16"/>
      <c r="H7412" s="16"/>
      <c r="AG7412" s="80"/>
      <c r="AH7412" s="80"/>
      <c r="AI7412" s="80"/>
    </row>
    <row r="7413" spans="5:35" x14ac:dyDescent="0.25">
      <c r="E7413" s="16"/>
      <c r="F7413" s="16"/>
      <c r="H7413" s="16"/>
      <c r="AG7413" s="80"/>
      <c r="AH7413" s="80"/>
      <c r="AI7413" s="80"/>
    </row>
    <row r="7414" spans="5:35" x14ac:dyDescent="0.25">
      <c r="E7414" s="16"/>
      <c r="F7414" s="16"/>
      <c r="H7414" s="16"/>
      <c r="AG7414" s="80"/>
      <c r="AH7414" s="80"/>
      <c r="AI7414" s="80"/>
    </row>
    <row r="7415" spans="5:35" x14ac:dyDescent="0.25">
      <c r="E7415" s="16"/>
      <c r="F7415" s="16"/>
      <c r="H7415" s="16"/>
      <c r="AG7415" s="80"/>
      <c r="AH7415" s="80"/>
      <c r="AI7415" s="80"/>
    </row>
    <row r="7416" spans="5:35" x14ac:dyDescent="0.25">
      <c r="E7416" s="16"/>
      <c r="F7416" s="16"/>
      <c r="H7416" s="16"/>
      <c r="AG7416" s="80"/>
      <c r="AH7416" s="80"/>
      <c r="AI7416" s="80"/>
    </row>
    <row r="7417" spans="5:35" x14ac:dyDescent="0.25">
      <c r="E7417" s="16"/>
      <c r="F7417" s="16"/>
      <c r="H7417" s="16"/>
      <c r="AG7417" s="80"/>
      <c r="AH7417" s="80"/>
      <c r="AI7417" s="80"/>
    </row>
    <row r="7418" spans="5:35" x14ac:dyDescent="0.25">
      <c r="E7418" s="16"/>
      <c r="F7418" s="16"/>
      <c r="H7418" s="16"/>
      <c r="AG7418" s="80"/>
      <c r="AH7418" s="80"/>
      <c r="AI7418" s="80"/>
    </row>
    <row r="7419" spans="5:35" x14ac:dyDescent="0.25">
      <c r="E7419" s="16"/>
      <c r="F7419" s="16"/>
      <c r="H7419" s="16"/>
      <c r="AG7419" s="80"/>
      <c r="AH7419" s="80"/>
      <c r="AI7419" s="80"/>
    </row>
    <row r="7420" spans="5:35" x14ac:dyDescent="0.25">
      <c r="E7420" s="16"/>
      <c r="F7420" s="16"/>
      <c r="H7420" s="16"/>
      <c r="AG7420" s="80"/>
      <c r="AH7420" s="80"/>
      <c r="AI7420" s="80"/>
    </row>
    <row r="7421" spans="5:35" x14ac:dyDescent="0.25">
      <c r="E7421" s="16"/>
      <c r="F7421" s="16"/>
      <c r="H7421" s="16"/>
      <c r="AG7421" s="80"/>
      <c r="AH7421" s="80"/>
      <c r="AI7421" s="80"/>
    </row>
    <row r="7422" spans="5:35" x14ac:dyDescent="0.25">
      <c r="E7422" s="16"/>
      <c r="F7422" s="16"/>
      <c r="H7422" s="16"/>
      <c r="AG7422" s="80"/>
      <c r="AH7422" s="80"/>
      <c r="AI7422" s="80"/>
    </row>
    <row r="7423" spans="5:35" x14ac:dyDescent="0.25">
      <c r="E7423" s="16"/>
      <c r="F7423" s="16"/>
      <c r="H7423" s="16"/>
      <c r="AG7423" s="80"/>
      <c r="AH7423" s="80"/>
      <c r="AI7423" s="80"/>
    </row>
    <row r="7424" spans="5:35" x14ac:dyDescent="0.25">
      <c r="E7424" s="16"/>
      <c r="F7424" s="16"/>
      <c r="H7424" s="16"/>
      <c r="AG7424" s="80"/>
      <c r="AH7424" s="80"/>
      <c r="AI7424" s="80"/>
    </row>
    <row r="7425" spans="5:35" x14ac:dyDescent="0.25">
      <c r="E7425" s="16"/>
      <c r="F7425" s="16"/>
      <c r="H7425" s="16"/>
      <c r="AG7425" s="80"/>
      <c r="AH7425" s="80"/>
      <c r="AI7425" s="80"/>
    </row>
    <row r="7426" spans="5:35" x14ac:dyDescent="0.25">
      <c r="E7426" s="16"/>
      <c r="F7426" s="16"/>
      <c r="H7426" s="16"/>
      <c r="AG7426" s="80"/>
      <c r="AH7426" s="80"/>
      <c r="AI7426" s="80"/>
    </row>
    <row r="7427" spans="5:35" x14ac:dyDescent="0.25">
      <c r="E7427" s="16"/>
      <c r="F7427" s="16"/>
      <c r="H7427" s="16"/>
      <c r="AG7427" s="80"/>
      <c r="AH7427" s="80"/>
      <c r="AI7427" s="80"/>
    </row>
    <row r="7428" spans="5:35" x14ac:dyDescent="0.25">
      <c r="E7428" s="16"/>
      <c r="F7428" s="16"/>
      <c r="H7428" s="16"/>
      <c r="AG7428" s="80"/>
      <c r="AH7428" s="80"/>
      <c r="AI7428" s="80"/>
    </row>
    <row r="7429" spans="5:35" x14ac:dyDescent="0.25">
      <c r="E7429" s="16"/>
      <c r="F7429" s="16"/>
      <c r="H7429" s="16"/>
      <c r="AG7429" s="80"/>
      <c r="AH7429" s="80"/>
      <c r="AI7429" s="80"/>
    </row>
    <row r="7430" spans="5:35" x14ac:dyDescent="0.25">
      <c r="E7430" s="16"/>
      <c r="F7430" s="16"/>
      <c r="H7430" s="16"/>
      <c r="AG7430" s="80"/>
      <c r="AH7430" s="80"/>
      <c r="AI7430" s="80"/>
    </row>
    <row r="7431" spans="5:35" x14ac:dyDescent="0.25">
      <c r="E7431" s="16"/>
      <c r="F7431" s="16"/>
      <c r="H7431" s="16"/>
      <c r="AG7431" s="80"/>
      <c r="AH7431" s="80"/>
      <c r="AI7431" s="80"/>
    </row>
    <row r="7432" spans="5:35" x14ac:dyDescent="0.25">
      <c r="E7432" s="16"/>
      <c r="F7432" s="16"/>
      <c r="H7432" s="16"/>
      <c r="AG7432" s="80"/>
      <c r="AH7432" s="80"/>
      <c r="AI7432" s="80"/>
    </row>
    <row r="7433" spans="5:35" x14ac:dyDescent="0.25">
      <c r="E7433" s="16"/>
      <c r="F7433" s="16"/>
      <c r="H7433" s="16"/>
      <c r="AG7433" s="80"/>
      <c r="AH7433" s="80"/>
      <c r="AI7433" s="80"/>
    </row>
    <row r="7434" spans="5:35" x14ac:dyDescent="0.25">
      <c r="E7434" s="16"/>
      <c r="F7434" s="16"/>
      <c r="H7434" s="16"/>
      <c r="AG7434" s="80"/>
      <c r="AH7434" s="80"/>
      <c r="AI7434" s="80"/>
    </row>
    <row r="7435" spans="5:35" x14ac:dyDescent="0.25">
      <c r="E7435" s="16"/>
      <c r="F7435" s="16"/>
      <c r="H7435" s="16"/>
      <c r="AG7435" s="80"/>
      <c r="AH7435" s="80"/>
      <c r="AI7435" s="80"/>
    </row>
    <row r="7436" spans="5:35" x14ac:dyDescent="0.25">
      <c r="E7436" s="16"/>
      <c r="F7436" s="16"/>
      <c r="H7436" s="16"/>
      <c r="AG7436" s="80"/>
      <c r="AH7436" s="80"/>
      <c r="AI7436" s="80"/>
    </row>
    <row r="7437" spans="5:35" x14ac:dyDescent="0.25">
      <c r="E7437" s="16"/>
      <c r="F7437" s="16"/>
      <c r="H7437" s="16"/>
      <c r="AG7437" s="80"/>
      <c r="AH7437" s="80"/>
      <c r="AI7437" s="80"/>
    </row>
    <row r="7438" spans="5:35" x14ac:dyDescent="0.25">
      <c r="E7438" s="16"/>
      <c r="F7438" s="16"/>
      <c r="H7438" s="16"/>
      <c r="AG7438" s="80"/>
      <c r="AH7438" s="80"/>
      <c r="AI7438" s="80"/>
    </row>
    <row r="7439" spans="5:35" x14ac:dyDescent="0.25">
      <c r="E7439" s="16"/>
      <c r="F7439" s="16"/>
      <c r="H7439" s="16"/>
      <c r="AG7439" s="80"/>
      <c r="AH7439" s="80"/>
      <c r="AI7439" s="80"/>
    </row>
    <row r="7440" spans="5:35" x14ac:dyDescent="0.25">
      <c r="E7440" s="16"/>
      <c r="F7440" s="16"/>
      <c r="H7440" s="16"/>
      <c r="AG7440" s="80"/>
      <c r="AH7440" s="80"/>
      <c r="AI7440" s="80"/>
    </row>
    <row r="7441" spans="5:35" x14ac:dyDescent="0.25">
      <c r="E7441" s="16"/>
      <c r="F7441" s="16"/>
      <c r="H7441" s="16"/>
      <c r="AG7441" s="80"/>
      <c r="AH7441" s="80"/>
      <c r="AI7441" s="80"/>
    </row>
    <row r="7442" spans="5:35" x14ac:dyDescent="0.25">
      <c r="E7442" s="16"/>
      <c r="F7442" s="16"/>
      <c r="H7442" s="16"/>
      <c r="AG7442" s="80"/>
      <c r="AH7442" s="80"/>
      <c r="AI7442" s="80"/>
    </row>
    <row r="7443" spans="5:35" x14ac:dyDescent="0.25">
      <c r="E7443" s="16"/>
      <c r="F7443" s="16"/>
      <c r="H7443" s="16"/>
      <c r="AG7443" s="80"/>
      <c r="AH7443" s="80"/>
      <c r="AI7443" s="80"/>
    </row>
    <row r="7444" spans="5:35" x14ac:dyDescent="0.25">
      <c r="E7444" s="16"/>
      <c r="F7444" s="16"/>
      <c r="H7444" s="16"/>
      <c r="AG7444" s="80"/>
      <c r="AH7444" s="80"/>
      <c r="AI7444" s="80"/>
    </row>
    <row r="7445" spans="5:35" x14ac:dyDescent="0.25">
      <c r="E7445" s="16"/>
      <c r="F7445" s="16"/>
      <c r="H7445" s="16"/>
      <c r="AG7445" s="80"/>
      <c r="AH7445" s="80"/>
      <c r="AI7445" s="80"/>
    </row>
    <row r="7446" spans="5:35" x14ac:dyDescent="0.25">
      <c r="E7446" s="16"/>
      <c r="F7446" s="16"/>
      <c r="H7446" s="16"/>
      <c r="AG7446" s="80"/>
      <c r="AH7446" s="80"/>
      <c r="AI7446" s="80"/>
    </row>
    <row r="7447" spans="5:35" x14ac:dyDescent="0.25">
      <c r="E7447" s="16"/>
      <c r="F7447" s="16"/>
      <c r="H7447" s="16"/>
      <c r="AG7447" s="80"/>
      <c r="AH7447" s="80"/>
      <c r="AI7447" s="80"/>
    </row>
    <row r="7448" spans="5:35" x14ac:dyDescent="0.25">
      <c r="E7448" s="16"/>
      <c r="F7448" s="16"/>
      <c r="H7448" s="16"/>
      <c r="AG7448" s="80"/>
      <c r="AH7448" s="80"/>
      <c r="AI7448" s="80"/>
    </row>
    <row r="7449" spans="5:35" x14ac:dyDescent="0.25">
      <c r="E7449" s="16"/>
      <c r="F7449" s="16"/>
      <c r="H7449" s="16"/>
      <c r="AG7449" s="80"/>
      <c r="AH7449" s="80"/>
      <c r="AI7449" s="80"/>
    </row>
    <row r="7450" spans="5:35" x14ac:dyDescent="0.25">
      <c r="E7450" s="16"/>
      <c r="F7450" s="16"/>
      <c r="H7450" s="16"/>
      <c r="AG7450" s="80"/>
      <c r="AH7450" s="80"/>
      <c r="AI7450" s="80"/>
    </row>
    <row r="7451" spans="5:35" x14ac:dyDescent="0.25">
      <c r="E7451" s="16"/>
      <c r="F7451" s="16"/>
      <c r="H7451" s="16"/>
      <c r="AG7451" s="80"/>
      <c r="AH7451" s="80"/>
      <c r="AI7451" s="80"/>
    </row>
    <row r="7452" spans="5:35" x14ac:dyDescent="0.25">
      <c r="E7452" s="16"/>
      <c r="F7452" s="16"/>
      <c r="H7452" s="16"/>
      <c r="AG7452" s="80"/>
      <c r="AH7452" s="80"/>
      <c r="AI7452" s="80"/>
    </row>
    <row r="7453" spans="5:35" x14ac:dyDescent="0.25">
      <c r="E7453" s="16"/>
      <c r="F7453" s="16"/>
      <c r="H7453" s="16"/>
      <c r="AG7453" s="80"/>
      <c r="AH7453" s="80"/>
      <c r="AI7453" s="80"/>
    </row>
    <row r="7454" spans="5:35" x14ac:dyDescent="0.25">
      <c r="E7454" s="16"/>
      <c r="F7454" s="16"/>
      <c r="H7454" s="16"/>
      <c r="AG7454" s="80"/>
      <c r="AH7454" s="80"/>
      <c r="AI7454" s="80"/>
    </row>
    <row r="7455" spans="5:35" x14ac:dyDescent="0.25">
      <c r="E7455" s="16"/>
      <c r="F7455" s="16"/>
      <c r="H7455" s="16"/>
      <c r="AG7455" s="80"/>
      <c r="AH7455" s="80"/>
      <c r="AI7455" s="80"/>
    </row>
    <row r="7456" spans="5:35" x14ac:dyDescent="0.25">
      <c r="E7456" s="16"/>
      <c r="F7456" s="16"/>
      <c r="H7456" s="16"/>
      <c r="AG7456" s="80"/>
      <c r="AH7456" s="80"/>
      <c r="AI7456" s="80"/>
    </row>
    <row r="7457" spans="5:35" x14ac:dyDescent="0.25">
      <c r="E7457" s="16"/>
      <c r="F7457" s="16"/>
      <c r="H7457" s="16"/>
      <c r="AG7457" s="80"/>
      <c r="AH7457" s="80"/>
      <c r="AI7457" s="80"/>
    </row>
    <row r="7458" spans="5:35" x14ac:dyDescent="0.25">
      <c r="E7458" s="16"/>
      <c r="F7458" s="16"/>
      <c r="H7458" s="16"/>
      <c r="AG7458" s="80"/>
      <c r="AH7458" s="80"/>
      <c r="AI7458" s="80"/>
    </row>
    <row r="7459" spans="5:35" x14ac:dyDescent="0.25">
      <c r="E7459" s="16"/>
      <c r="F7459" s="16"/>
      <c r="H7459" s="16"/>
      <c r="AG7459" s="80"/>
      <c r="AH7459" s="80"/>
      <c r="AI7459" s="80"/>
    </row>
    <row r="7460" spans="5:35" x14ac:dyDescent="0.25">
      <c r="E7460" s="16"/>
      <c r="F7460" s="16"/>
      <c r="H7460" s="16"/>
      <c r="AG7460" s="80"/>
      <c r="AH7460" s="80"/>
      <c r="AI7460" s="80"/>
    </row>
    <row r="7461" spans="5:35" x14ac:dyDescent="0.25">
      <c r="E7461" s="16"/>
      <c r="F7461" s="16"/>
      <c r="H7461" s="16"/>
      <c r="AG7461" s="80"/>
      <c r="AH7461" s="80"/>
      <c r="AI7461" s="80"/>
    </row>
    <row r="7462" spans="5:35" x14ac:dyDescent="0.25">
      <c r="E7462" s="16"/>
      <c r="F7462" s="16"/>
      <c r="H7462" s="16"/>
      <c r="AG7462" s="80"/>
      <c r="AH7462" s="80"/>
      <c r="AI7462" s="80"/>
    </row>
    <row r="7463" spans="5:35" x14ac:dyDescent="0.25">
      <c r="E7463" s="16"/>
      <c r="F7463" s="16"/>
      <c r="H7463" s="16"/>
      <c r="AG7463" s="80"/>
      <c r="AH7463" s="80"/>
      <c r="AI7463" s="80"/>
    </row>
    <row r="7464" spans="5:35" x14ac:dyDescent="0.25">
      <c r="E7464" s="16"/>
      <c r="F7464" s="16"/>
      <c r="H7464" s="16"/>
      <c r="AG7464" s="80"/>
      <c r="AH7464" s="80"/>
      <c r="AI7464" s="80"/>
    </row>
    <row r="7465" spans="5:35" x14ac:dyDescent="0.25">
      <c r="E7465" s="16"/>
      <c r="F7465" s="16"/>
      <c r="H7465" s="16"/>
      <c r="AG7465" s="80"/>
      <c r="AH7465" s="80"/>
      <c r="AI7465" s="80"/>
    </row>
    <row r="7466" spans="5:35" x14ac:dyDescent="0.25">
      <c r="E7466" s="16"/>
      <c r="F7466" s="16"/>
      <c r="H7466" s="16"/>
      <c r="AG7466" s="80"/>
      <c r="AH7466" s="80"/>
      <c r="AI7466" s="80"/>
    </row>
    <row r="7467" spans="5:35" x14ac:dyDescent="0.25">
      <c r="E7467" s="16"/>
      <c r="F7467" s="16"/>
      <c r="H7467" s="16"/>
      <c r="AG7467" s="80"/>
      <c r="AH7467" s="80"/>
      <c r="AI7467" s="80"/>
    </row>
    <row r="7468" spans="5:35" x14ac:dyDescent="0.25">
      <c r="E7468" s="16"/>
      <c r="F7468" s="16"/>
      <c r="H7468" s="16"/>
      <c r="AG7468" s="80"/>
      <c r="AH7468" s="80"/>
      <c r="AI7468" s="80"/>
    </row>
    <row r="7469" spans="5:35" x14ac:dyDescent="0.25">
      <c r="E7469" s="16"/>
      <c r="F7469" s="16"/>
      <c r="H7469" s="16"/>
      <c r="AG7469" s="80"/>
      <c r="AH7469" s="80"/>
      <c r="AI7469" s="80"/>
    </row>
    <row r="7470" spans="5:35" x14ac:dyDescent="0.25">
      <c r="E7470" s="16"/>
      <c r="F7470" s="16"/>
      <c r="H7470" s="16"/>
      <c r="AG7470" s="80"/>
      <c r="AH7470" s="80"/>
      <c r="AI7470" s="80"/>
    </row>
    <row r="7471" spans="5:35" x14ac:dyDescent="0.25">
      <c r="E7471" s="16"/>
      <c r="F7471" s="16"/>
      <c r="H7471" s="16"/>
      <c r="AG7471" s="80"/>
      <c r="AH7471" s="80"/>
      <c r="AI7471" s="80"/>
    </row>
    <row r="7472" spans="5:35" x14ac:dyDescent="0.25">
      <c r="E7472" s="16"/>
      <c r="F7472" s="16"/>
      <c r="H7472" s="16"/>
      <c r="AG7472" s="80"/>
      <c r="AH7472" s="80"/>
      <c r="AI7472" s="80"/>
    </row>
    <row r="7473" spans="5:35" x14ac:dyDescent="0.25">
      <c r="E7473" s="16"/>
      <c r="F7473" s="16"/>
      <c r="H7473" s="16"/>
      <c r="AG7473" s="80"/>
      <c r="AH7473" s="80"/>
      <c r="AI7473" s="80"/>
    </row>
    <row r="7474" spans="5:35" x14ac:dyDescent="0.25">
      <c r="E7474" s="16"/>
      <c r="F7474" s="16"/>
      <c r="H7474" s="16"/>
      <c r="AG7474" s="80"/>
      <c r="AH7474" s="80"/>
      <c r="AI7474" s="80"/>
    </row>
    <row r="7475" spans="5:35" x14ac:dyDescent="0.25">
      <c r="E7475" s="16"/>
      <c r="F7475" s="16"/>
      <c r="H7475" s="16"/>
      <c r="AG7475" s="80"/>
      <c r="AH7475" s="80"/>
      <c r="AI7475" s="80"/>
    </row>
    <row r="7476" spans="5:35" x14ac:dyDescent="0.25">
      <c r="E7476" s="16"/>
      <c r="F7476" s="16"/>
      <c r="H7476" s="16"/>
      <c r="AG7476" s="80"/>
      <c r="AH7476" s="80"/>
      <c r="AI7476" s="80"/>
    </row>
    <row r="7477" spans="5:35" x14ac:dyDescent="0.25">
      <c r="E7477" s="16"/>
      <c r="F7477" s="16"/>
      <c r="H7477" s="16"/>
      <c r="AG7477" s="80"/>
      <c r="AH7477" s="80"/>
      <c r="AI7477" s="80"/>
    </row>
    <row r="7478" spans="5:35" x14ac:dyDescent="0.25">
      <c r="E7478" s="16"/>
      <c r="F7478" s="16"/>
      <c r="H7478" s="16"/>
      <c r="AG7478" s="80"/>
      <c r="AH7478" s="80"/>
      <c r="AI7478" s="80"/>
    </row>
    <row r="7479" spans="5:35" x14ac:dyDescent="0.25">
      <c r="E7479" s="16"/>
      <c r="F7479" s="16"/>
      <c r="H7479" s="16"/>
      <c r="AG7479" s="80"/>
      <c r="AH7479" s="80"/>
      <c r="AI7479" s="80"/>
    </row>
    <row r="7480" spans="5:35" x14ac:dyDescent="0.25">
      <c r="E7480" s="16"/>
      <c r="F7480" s="16"/>
      <c r="H7480" s="16"/>
      <c r="AG7480" s="80"/>
      <c r="AH7480" s="80"/>
      <c r="AI7480" s="80"/>
    </row>
    <row r="7481" spans="5:35" x14ac:dyDescent="0.25">
      <c r="E7481" s="16"/>
      <c r="F7481" s="16"/>
      <c r="H7481" s="16"/>
      <c r="AG7481" s="80"/>
      <c r="AH7481" s="80"/>
      <c r="AI7481" s="80"/>
    </row>
    <row r="7482" spans="5:35" x14ac:dyDescent="0.25">
      <c r="E7482" s="16"/>
      <c r="F7482" s="16"/>
      <c r="H7482" s="16"/>
      <c r="AG7482" s="80"/>
      <c r="AH7482" s="80"/>
      <c r="AI7482" s="80"/>
    </row>
    <row r="7483" spans="5:35" x14ac:dyDescent="0.25">
      <c r="E7483" s="16"/>
      <c r="F7483" s="16"/>
      <c r="H7483" s="16"/>
      <c r="AG7483" s="80"/>
      <c r="AH7483" s="80"/>
      <c r="AI7483" s="80"/>
    </row>
    <row r="7484" spans="5:35" x14ac:dyDescent="0.25">
      <c r="E7484" s="16"/>
      <c r="F7484" s="16"/>
      <c r="H7484" s="16"/>
      <c r="AG7484" s="80"/>
      <c r="AH7484" s="80"/>
      <c r="AI7484" s="80"/>
    </row>
    <row r="7485" spans="5:35" x14ac:dyDescent="0.25">
      <c r="E7485" s="16"/>
      <c r="F7485" s="16"/>
      <c r="H7485" s="16"/>
      <c r="AG7485" s="80"/>
      <c r="AH7485" s="80"/>
      <c r="AI7485" s="80"/>
    </row>
    <row r="7486" spans="5:35" x14ac:dyDescent="0.25">
      <c r="E7486" s="16"/>
      <c r="F7486" s="16"/>
      <c r="H7486" s="16"/>
      <c r="AG7486" s="80"/>
      <c r="AH7486" s="80"/>
      <c r="AI7486" s="80"/>
    </row>
    <row r="7487" spans="5:35" x14ac:dyDescent="0.25">
      <c r="E7487" s="16"/>
      <c r="F7487" s="16"/>
      <c r="H7487" s="16"/>
      <c r="AG7487" s="80"/>
      <c r="AH7487" s="80"/>
      <c r="AI7487" s="80"/>
    </row>
    <row r="7488" spans="5:35" x14ac:dyDescent="0.25">
      <c r="E7488" s="16"/>
      <c r="F7488" s="16"/>
      <c r="H7488" s="16"/>
      <c r="AG7488" s="80"/>
      <c r="AH7488" s="80"/>
      <c r="AI7488" s="80"/>
    </row>
    <row r="7489" spans="5:35" x14ac:dyDescent="0.25">
      <c r="E7489" s="16"/>
      <c r="F7489" s="16"/>
      <c r="H7489" s="16"/>
      <c r="AG7489" s="80"/>
      <c r="AH7489" s="80"/>
      <c r="AI7489" s="80"/>
    </row>
    <row r="7490" spans="5:35" x14ac:dyDescent="0.25">
      <c r="E7490" s="16"/>
      <c r="F7490" s="16"/>
      <c r="H7490" s="16"/>
      <c r="AG7490" s="80"/>
      <c r="AH7490" s="80"/>
      <c r="AI7490" s="80"/>
    </row>
    <row r="7491" spans="5:35" x14ac:dyDescent="0.25">
      <c r="E7491" s="16"/>
      <c r="F7491" s="16"/>
      <c r="H7491" s="16"/>
      <c r="AG7491" s="80"/>
      <c r="AH7491" s="80"/>
      <c r="AI7491" s="80"/>
    </row>
    <row r="7492" spans="5:35" x14ac:dyDescent="0.25">
      <c r="E7492" s="16"/>
      <c r="F7492" s="16"/>
      <c r="H7492" s="16"/>
      <c r="AG7492" s="80"/>
      <c r="AH7492" s="80"/>
      <c r="AI7492" s="80"/>
    </row>
    <row r="7493" spans="5:35" x14ac:dyDescent="0.25">
      <c r="E7493" s="16"/>
      <c r="F7493" s="16"/>
      <c r="H7493" s="16"/>
      <c r="AG7493" s="80"/>
      <c r="AH7493" s="80"/>
      <c r="AI7493" s="80"/>
    </row>
    <row r="7494" spans="5:35" x14ac:dyDescent="0.25">
      <c r="E7494" s="16"/>
      <c r="F7494" s="16"/>
      <c r="H7494" s="16"/>
      <c r="AG7494" s="80"/>
      <c r="AH7494" s="80"/>
      <c r="AI7494" s="80"/>
    </row>
    <row r="7495" spans="5:35" x14ac:dyDescent="0.25">
      <c r="E7495" s="16"/>
      <c r="F7495" s="16"/>
      <c r="H7495" s="16"/>
      <c r="AG7495" s="80"/>
      <c r="AH7495" s="80"/>
      <c r="AI7495" s="80"/>
    </row>
    <row r="7496" spans="5:35" x14ac:dyDescent="0.25">
      <c r="E7496" s="16"/>
      <c r="F7496" s="16"/>
      <c r="H7496" s="16"/>
      <c r="AG7496" s="80"/>
      <c r="AH7496" s="80"/>
      <c r="AI7496" s="80"/>
    </row>
    <row r="7497" spans="5:35" x14ac:dyDescent="0.25">
      <c r="E7497" s="16"/>
      <c r="F7497" s="16"/>
      <c r="H7497" s="16"/>
      <c r="AG7497" s="80"/>
      <c r="AH7497" s="80"/>
      <c r="AI7497" s="80"/>
    </row>
    <row r="7498" spans="5:35" x14ac:dyDescent="0.25">
      <c r="E7498" s="16"/>
      <c r="F7498" s="16"/>
      <c r="H7498" s="16"/>
      <c r="AG7498" s="80"/>
      <c r="AH7498" s="80"/>
      <c r="AI7498" s="80"/>
    </row>
    <row r="7499" spans="5:35" x14ac:dyDescent="0.25">
      <c r="E7499" s="16"/>
      <c r="F7499" s="16"/>
      <c r="H7499" s="16"/>
      <c r="AG7499" s="80"/>
      <c r="AH7499" s="80"/>
      <c r="AI7499" s="80"/>
    </row>
    <row r="7500" spans="5:35" x14ac:dyDescent="0.25">
      <c r="E7500" s="16"/>
      <c r="F7500" s="16"/>
      <c r="H7500" s="16"/>
      <c r="AG7500" s="80"/>
      <c r="AH7500" s="80"/>
      <c r="AI7500" s="80"/>
    </row>
    <row r="7501" spans="5:35" x14ac:dyDescent="0.25">
      <c r="E7501" s="16"/>
      <c r="F7501" s="16"/>
      <c r="H7501" s="16"/>
      <c r="AG7501" s="80"/>
      <c r="AH7501" s="80"/>
      <c r="AI7501" s="80"/>
    </row>
    <row r="7502" spans="5:35" x14ac:dyDescent="0.25">
      <c r="E7502" s="16"/>
      <c r="F7502" s="16"/>
      <c r="H7502" s="16"/>
      <c r="AG7502" s="80"/>
      <c r="AH7502" s="80"/>
      <c r="AI7502" s="80"/>
    </row>
    <row r="7503" spans="5:35" x14ac:dyDescent="0.25">
      <c r="E7503" s="16"/>
      <c r="F7503" s="16"/>
      <c r="H7503" s="16"/>
      <c r="AG7503" s="80"/>
      <c r="AH7503" s="80"/>
      <c r="AI7503" s="80"/>
    </row>
    <row r="7504" spans="5:35" x14ac:dyDescent="0.25">
      <c r="E7504" s="16"/>
      <c r="F7504" s="16"/>
      <c r="H7504" s="16"/>
      <c r="AG7504" s="80"/>
      <c r="AH7504" s="80"/>
      <c r="AI7504" s="80"/>
    </row>
    <row r="7505" spans="5:35" x14ac:dyDescent="0.25">
      <c r="E7505" s="16"/>
      <c r="F7505" s="16"/>
      <c r="H7505" s="16"/>
      <c r="AG7505" s="80"/>
      <c r="AH7505" s="80"/>
      <c r="AI7505" s="80"/>
    </row>
    <row r="7506" spans="5:35" x14ac:dyDescent="0.25">
      <c r="E7506" s="16"/>
      <c r="F7506" s="16"/>
      <c r="H7506" s="16"/>
      <c r="AG7506" s="80"/>
      <c r="AH7506" s="80"/>
      <c r="AI7506" s="80"/>
    </row>
    <row r="7507" spans="5:35" x14ac:dyDescent="0.25">
      <c r="E7507" s="16"/>
      <c r="F7507" s="16"/>
      <c r="H7507" s="16"/>
      <c r="AG7507" s="80"/>
      <c r="AH7507" s="80"/>
      <c r="AI7507" s="80"/>
    </row>
    <row r="7508" spans="5:35" x14ac:dyDescent="0.25">
      <c r="E7508" s="16"/>
      <c r="F7508" s="16"/>
      <c r="H7508" s="16"/>
      <c r="AG7508" s="80"/>
      <c r="AH7508" s="80"/>
      <c r="AI7508" s="80"/>
    </row>
    <row r="7509" spans="5:35" x14ac:dyDescent="0.25">
      <c r="E7509" s="16"/>
      <c r="F7509" s="16"/>
      <c r="H7509" s="16"/>
      <c r="AG7509" s="80"/>
      <c r="AH7509" s="80"/>
      <c r="AI7509" s="80"/>
    </row>
    <row r="7510" spans="5:35" x14ac:dyDescent="0.25">
      <c r="E7510" s="16"/>
      <c r="F7510" s="16"/>
      <c r="H7510" s="16"/>
      <c r="AG7510" s="80"/>
      <c r="AH7510" s="80"/>
      <c r="AI7510" s="80"/>
    </row>
    <row r="7511" spans="5:35" x14ac:dyDescent="0.25">
      <c r="E7511" s="16"/>
      <c r="F7511" s="16"/>
      <c r="H7511" s="16"/>
      <c r="AG7511" s="80"/>
      <c r="AH7511" s="80"/>
      <c r="AI7511" s="80"/>
    </row>
    <row r="7512" spans="5:35" x14ac:dyDescent="0.25">
      <c r="E7512" s="16"/>
      <c r="F7512" s="16"/>
      <c r="H7512" s="16"/>
      <c r="AG7512" s="80"/>
      <c r="AH7512" s="80"/>
      <c r="AI7512" s="80"/>
    </row>
    <row r="7513" spans="5:35" x14ac:dyDescent="0.25">
      <c r="E7513" s="16"/>
      <c r="F7513" s="16"/>
      <c r="H7513" s="16"/>
      <c r="AG7513" s="80"/>
      <c r="AH7513" s="80"/>
      <c r="AI7513" s="80"/>
    </row>
    <row r="7514" spans="5:35" x14ac:dyDescent="0.25">
      <c r="E7514" s="16"/>
      <c r="F7514" s="16"/>
      <c r="H7514" s="16"/>
      <c r="AG7514" s="80"/>
      <c r="AH7514" s="80"/>
      <c r="AI7514" s="80"/>
    </row>
    <row r="7515" spans="5:35" x14ac:dyDescent="0.25">
      <c r="E7515" s="16"/>
      <c r="F7515" s="16"/>
      <c r="H7515" s="16"/>
      <c r="AG7515" s="80"/>
      <c r="AH7515" s="80"/>
      <c r="AI7515" s="80"/>
    </row>
    <row r="7516" spans="5:35" x14ac:dyDescent="0.25">
      <c r="E7516" s="16"/>
      <c r="F7516" s="16"/>
      <c r="H7516" s="16"/>
      <c r="AG7516" s="80"/>
      <c r="AH7516" s="80"/>
      <c r="AI7516" s="80"/>
    </row>
    <row r="7517" spans="5:35" x14ac:dyDescent="0.25">
      <c r="E7517" s="16"/>
      <c r="F7517" s="16"/>
      <c r="H7517" s="16"/>
      <c r="AG7517" s="80"/>
      <c r="AH7517" s="80"/>
      <c r="AI7517" s="80"/>
    </row>
    <row r="7518" spans="5:35" x14ac:dyDescent="0.25">
      <c r="E7518" s="16"/>
      <c r="F7518" s="16"/>
      <c r="H7518" s="16"/>
      <c r="AG7518" s="80"/>
      <c r="AH7518" s="80"/>
      <c r="AI7518" s="80"/>
    </row>
    <row r="7519" spans="5:35" x14ac:dyDescent="0.25">
      <c r="E7519" s="16"/>
      <c r="F7519" s="16"/>
      <c r="H7519" s="16"/>
      <c r="AG7519" s="80"/>
      <c r="AH7519" s="80"/>
      <c r="AI7519" s="80"/>
    </row>
    <row r="7520" spans="5:35" x14ac:dyDescent="0.25">
      <c r="E7520" s="16"/>
      <c r="F7520" s="16"/>
      <c r="H7520" s="16"/>
      <c r="AG7520" s="80"/>
      <c r="AH7520" s="80"/>
      <c r="AI7520" s="80"/>
    </row>
    <row r="7521" spans="5:35" x14ac:dyDescent="0.25">
      <c r="E7521" s="16"/>
      <c r="F7521" s="16"/>
      <c r="H7521" s="16"/>
      <c r="AG7521" s="80"/>
      <c r="AH7521" s="80"/>
      <c r="AI7521" s="80"/>
    </row>
    <row r="7522" spans="5:35" x14ac:dyDescent="0.25">
      <c r="E7522" s="16"/>
      <c r="F7522" s="16"/>
      <c r="H7522" s="16"/>
      <c r="AG7522" s="80"/>
      <c r="AH7522" s="80"/>
      <c r="AI7522" s="80"/>
    </row>
    <row r="7523" spans="5:35" x14ac:dyDescent="0.25">
      <c r="E7523" s="16"/>
      <c r="F7523" s="16"/>
      <c r="H7523" s="16"/>
      <c r="AG7523" s="80"/>
      <c r="AH7523" s="80"/>
      <c r="AI7523" s="80"/>
    </row>
    <row r="7524" spans="5:35" x14ac:dyDescent="0.25">
      <c r="E7524" s="16"/>
      <c r="F7524" s="16"/>
      <c r="H7524" s="16"/>
      <c r="AG7524" s="80"/>
      <c r="AH7524" s="80"/>
      <c r="AI7524" s="80"/>
    </row>
    <row r="7525" spans="5:35" x14ac:dyDescent="0.25">
      <c r="E7525" s="16"/>
      <c r="F7525" s="16"/>
      <c r="H7525" s="16"/>
      <c r="AG7525" s="80"/>
      <c r="AH7525" s="80"/>
      <c r="AI7525" s="80"/>
    </row>
    <row r="7526" spans="5:35" x14ac:dyDescent="0.25">
      <c r="E7526" s="16"/>
      <c r="F7526" s="16"/>
      <c r="H7526" s="16"/>
      <c r="AG7526" s="80"/>
      <c r="AH7526" s="80"/>
      <c r="AI7526" s="80"/>
    </row>
    <row r="7527" spans="5:35" x14ac:dyDescent="0.25">
      <c r="E7527" s="16"/>
      <c r="F7527" s="16"/>
      <c r="H7527" s="16"/>
      <c r="AG7527" s="80"/>
      <c r="AH7527" s="80"/>
      <c r="AI7527" s="80"/>
    </row>
    <row r="7528" spans="5:35" x14ac:dyDescent="0.25">
      <c r="E7528" s="16"/>
      <c r="F7528" s="16"/>
      <c r="H7528" s="16"/>
      <c r="AG7528" s="80"/>
      <c r="AH7528" s="80"/>
      <c r="AI7528" s="80"/>
    </row>
    <row r="7529" spans="5:35" x14ac:dyDescent="0.25">
      <c r="E7529" s="16"/>
      <c r="F7529" s="16"/>
      <c r="H7529" s="16"/>
      <c r="AG7529" s="80"/>
      <c r="AH7529" s="80"/>
      <c r="AI7529" s="80"/>
    </row>
    <row r="7530" spans="5:35" x14ac:dyDescent="0.25">
      <c r="E7530" s="16"/>
      <c r="F7530" s="16"/>
      <c r="H7530" s="16"/>
      <c r="AG7530" s="80"/>
      <c r="AH7530" s="80"/>
      <c r="AI7530" s="80"/>
    </row>
    <row r="7531" spans="5:35" x14ac:dyDescent="0.25">
      <c r="E7531" s="16"/>
      <c r="F7531" s="16"/>
      <c r="H7531" s="16"/>
      <c r="AG7531" s="80"/>
      <c r="AH7531" s="80"/>
      <c r="AI7531" s="80"/>
    </row>
    <row r="7532" spans="5:35" x14ac:dyDescent="0.25">
      <c r="E7532" s="16"/>
      <c r="F7532" s="16"/>
      <c r="H7532" s="16"/>
      <c r="AG7532" s="80"/>
      <c r="AH7532" s="80"/>
      <c r="AI7532" s="80"/>
    </row>
    <row r="7533" spans="5:35" x14ac:dyDescent="0.25">
      <c r="E7533" s="16"/>
      <c r="F7533" s="16"/>
      <c r="H7533" s="16"/>
      <c r="AG7533" s="80"/>
      <c r="AH7533" s="80"/>
      <c r="AI7533" s="80"/>
    </row>
    <row r="7534" spans="5:35" x14ac:dyDescent="0.25">
      <c r="E7534" s="16"/>
      <c r="F7534" s="16"/>
      <c r="H7534" s="16"/>
      <c r="AG7534" s="80"/>
      <c r="AH7534" s="80"/>
      <c r="AI7534" s="80"/>
    </row>
    <row r="7535" spans="5:35" x14ac:dyDescent="0.25">
      <c r="E7535" s="16"/>
      <c r="F7535" s="16"/>
      <c r="H7535" s="16"/>
      <c r="AG7535" s="80"/>
      <c r="AH7535" s="80"/>
      <c r="AI7535" s="80"/>
    </row>
    <row r="7536" spans="5:35" x14ac:dyDescent="0.25">
      <c r="E7536" s="16"/>
      <c r="F7536" s="16"/>
      <c r="H7536" s="16"/>
      <c r="AG7536" s="80"/>
      <c r="AH7536" s="80"/>
      <c r="AI7536" s="80"/>
    </row>
    <row r="7537" spans="5:35" x14ac:dyDescent="0.25">
      <c r="E7537" s="16"/>
      <c r="F7537" s="16"/>
      <c r="H7537" s="16"/>
      <c r="AG7537" s="80"/>
      <c r="AH7537" s="80"/>
      <c r="AI7537" s="80"/>
    </row>
    <row r="7538" spans="5:35" x14ac:dyDescent="0.25">
      <c r="E7538" s="16"/>
      <c r="F7538" s="16"/>
      <c r="H7538" s="16"/>
      <c r="AG7538" s="80"/>
      <c r="AH7538" s="80"/>
      <c r="AI7538" s="80"/>
    </row>
    <row r="7539" spans="5:35" x14ac:dyDescent="0.25">
      <c r="E7539" s="16"/>
      <c r="F7539" s="16"/>
      <c r="H7539" s="16"/>
      <c r="AG7539" s="80"/>
      <c r="AH7539" s="80"/>
      <c r="AI7539" s="80"/>
    </row>
    <row r="7540" spans="5:35" x14ac:dyDescent="0.25">
      <c r="E7540" s="16"/>
      <c r="F7540" s="16"/>
      <c r="H7540" s="16"/>
      <c r="AG7540" s="80"/>
      <c r="AH7540" s="80"/>
      <c r="AI7540" s="80"/>
    </row>
    <row r="7541" spans="5:35" x14ac:dyDescent="0.25">
      <c r="E7541" s="16"/>
      <c r="F7541" s="16"/>
      <c r="H7541" s="16"/>
      <c r="AG7541" s="80"/>
      <c r="AH7541" s="80"/>
      <c r="AI7541" s="80"/>
    </row>
    <row r="7542" spans="5:35" x14ac:dyDescent="0.25">
      <c r="E7542" s="16"/>
      <c r="F7542" s="16"/>
      <c r="H7542" s="16"/>
      <c r="AG7542" s="80"/>
      <c r="AH7542" s="80"/>
      <c r="AI7542" s="80"/>
    </row>
    <row r="7543" spans="5:35" x14ac:dyDescent="0.25">
      <c r="E7543" s="16"/>
      <c r="F7543" s="16"/>
      <c r="H7543" s="16"/>
      <c r="AG7543" s="80"/>
      <c r="AH7543" s="80"/>
      <c r="AI7543" s="80"/>
    </row>
    <row r="7544" spans="5:35" x14ac:dyDescent="0.25">
      <c r="E7544" s="16"/>
      <c r="F7544" s="16"/>
      <c r="H7544" s="16"/>
      <c r="AG7544" s="80"/>
      <c r="AH7544" s="80"/>
      <c r="AI7544" s="80"/>
    </row>
    <row r="7545" spans="5:35" x14ac:dyDescent="0.25">
      <c r="E7545" s="16"/>
      <c r="F7545" s="16"/>
      <c r="H7545" s="16"/>
      <c r="AG7545" s="80"/>
      <c r="AH7545" s="80"/>
      <c r="AI7545" s="80"/>
    </row>
    <row r="7546" spans="5:35" x14ac:dyDescent="0.25">
      <c r="E7546" s="16"/>
      <c r="F7546" s="16"/>
      <c r="H7546" s="16"/>
      <c r="AG7546" s="80"/>
      <c r="AH7546" s="80"/>
      <c r="AI7546" s="80"/>
    </row>
    <row r="7547" spans="5:35" x14ac:dyDescent="0.25">
      <c r="E7547" s="16"/>
      <c r="F7547" s="16"/>
      <c r="H7547" s="16"/>
      <c r="AG7547" s="80"/>
      <c r="AH7547" s="80"/>
      <c r="AI7547" s="80"/>
    </row>
    <row r="7548" spans="5:35" x14ac:dyDescent="0.25">
      <c r="E7548" s="16"/>
      <c r="F7548" s="16"/>
      <c r="H7548" s="16"/>
      <c r="AG7548" s="80"/>
      <c r="AH7548" s="80"/>
      <c r="AI7548" s="80"/>
    </row>
    <row r="7549" spans="5:35" x14ac:dyDescent="0.25">
      <c r="E7549" s="16"/>
      <c r="F7549" s="16"/>
      <c r="H7549" s="16"/>
      <c r="AG7549" s="80"/>
      <c r="AH7549" s="80"/>
      <c r="AI7549" s="80"/>
    </row>
    <row r="7550" spans="5:35" x14ac:dyDescent="0.25">
      <c r="E7550" s="16"/>
      <c r="F7550" s="16"/>
      <c r="H7550" s="16"/>
      <c r="AG7550" s="80"/>
      <c r="AH7550" s="80"/>
      <c r="AI7550" s="80"/>
    </row>
    <row r="7551" spans="5:35" x14ac:dyDescent="0.25">
      <c r="E7551" s="16"/>
      <c r="F7551" s="16"/>
      <c r="H7551" s="16"/>
      <c r="AG7551" s="80"/>
      <c r="AH7551" s="80"/>
      <c r="AI7551" s="80"/>
    </row>
    <row r="7552" spans="5:35" x14ac:dyDescent="0.25">
      <c r="E7552" s="16"/>
      <c r="F7552" s="16"/>
      <c r="H7552" s="16"/>
      <c r="AG7552" s="80"/>
      <c r="AH7552" s="80"/>
      <c r="AI7552" s="80"/>
    </row>
    <row r="7553" spans="5:35" x14ac:dyDescent="0.25">
      <c r="E7553" s="16"/>
      <c r="F7553" s="16"/>
      <c r="H7553" s="16"/>
      <c r="AG7553" s="80"/>
      <c r="AH7553" s="80"/>
      <c r="AI7553" s="80"/>
    </row>
    <row r="7554" spans="5:35" x14ac:dyDescent="0.25">
      <c r="E7554" s="16"/>
      <c r="F7554" s="16"/>
      <c r="H7554" s="16"/>
      <c r="AG7554" s="80"/>
      <c r="AH7554" s="80"/>
      <c r="AI7554" s="80"/>
    </row>
    <row r="7555" spans="5:35" x14ac:dyDescent="0.25">
      <c r="E7555" s="16"/>
      <c r="F7555" s="16"/>
      <c r="H7555" s="16"/>
      <c r="AG7555" s="80"/>
      <c r="AH7555" s="80"/>
      <c r="AI7555" s="80"/>
    </row>
    <row r="7556" spans="5:35" x14ac:dyDescent="0.25">
      <c r="E7556" s="16"/>
      <c r="F7556" s="16"/>
      <c r="H7556" s="16"/>
      <c r="AG7556" s="80"/>
      <c r="AH7556" s="80"/>
      <c r="AI7556" s="80"/>
    </row>
    <row r="7557" spans="5:35" x14ac:dyDescent="0.25">
      <c r="E7557" s="16"/>
      <c r="F7557" s="16"/>
      <c r="H7557" s="16"/>
      <c r="AG7557" s="80"/>
      <c r="AH7557" s="80"/>
      <c r="AI7557" s="80"/>
    </row>
    <row r="7558" spans="5:35" x14ac:dyDescent="0.25">
      <c r="E7558" s="16"/>
      <c r="F7558" s="16"/>
      <c r="H7558" s="16"/>
      <c r="AG7558" s="80"/>
      <c r="AH7558" s="80"/>
      <c r="AI7558" s="80"/>
    </row>
    <row r="7559" spans="5:35" x14ac:dyDescent="0.25">
      <c r="E7559" s="16"/>
      <c r="F7559" s="16"/>
      <c r="H7559" s="16"/>
      <c r="AG7559" s="80"/>
      <c r="AH7559" s="80"/>
      <c r="AI7559" s="80"/>
    </row>
    <row r="7560" spans="5:35" x14ac:dyDescent="0.25">
      <c r="E7560" s="16"/>
      <c r="F7560" s="16"/>
      <c r="H7560" s="16"/>
      <c r="AG7560" s="80"/>
      <c r="AH7560" s="80"/>
      <c r="AI7560" s="80"/>
    </row>
    <row r="7561" spans="5:35" x14ac:dyDescent="0.25">
      <c r="E7561" s="16"/>
      <c r="F7561" s="16"/>
      <c r="H7561" s="16"/>
      <c r="AG7561" s="80"/>
      <c r="AH7561" s="80"/>
      <c r="AI7561" s="80"/>
    </row>
    <row r="7562" spans="5:35" x14ac:dyDescent="0.25">
      <c r="E7562" s="16"/>
      <c r="F7562" s="16"/>
      <c r="H7562" s="16"/>
      <c r="AG7562" s="80"/>
      <c r="AH7562" s="80"/>
      <c r="AI7562" s="80"/>
    </row>
    <row r="7563" spans="5:35" x14ac:dyDescent="0.25">
      <c r="E7563" s="16"/>
      <c r="F7563" s="16"/>
      <c r="H7563" s="16"/>
      <c r="AG7563" s="80"/>
      <c r="AH7563" s="80"/>
      <c r="AI7563" s="80"/>
    </row>
    <row r="7564" spans="5:35" x14ac:dyDescent="0.25">
      <c r="E7564" s="16"/>
      <c r="F7564" s="16"/>
      <c r="H7564" s="16"/>
      <c r="AG7564" s="80"/>
      <c r="AH7564" s="80"/>
      <c r="AI7564" s="80"/>
    </row>
    <row r="7565" spans="5:35" x14ac:dyDescent="0.25">
      <c r="E7565" s="16"/>
      <c r="F7565" s="16"/>
      <c r="H7565" s="16"/>
      <c r="AG7565" s="80"/>
      <c r="AH7565" s="80"/>
      <c r="AI7565" s="80"/>
    </row>
    <row r="7566" spans="5:35" x14ac:dyDescent="0.25">
      <c r="E7566" s="16"/>
      <c r="F7566" s="16"/>
      <c r="H7566" s="16"/>
      <c r="AG7566" s="80"/>
      <c r="AH7566" s="80"/>
      <c r="AI7566" s="80"/>
    </row>
    <row r="7567" spans="5:35" x14ac:dyDescent="0.25">
      <c r="E7567" s="16"/>
      <c r="F7567" s="16"/>
      <c r="H7567" s="16"/>
      <c r="AG7567" s="80"/>
      <c r="AH7567" s="80"/>
      <c r="AI7567" s="80"/>
    </row>
    <row r="7568" spans="5:35" x14ac:dyDescent="0.25">
      <c r="E7568" s="16"/>
      <c r="F7568" s="16"/>
      <c r="H7568" s="16"/>
      <c r="AG7568" s="80"/>
      <c r="AH7568" s="80"/>
      <c r="AI7568" s="80"/>
    </row>
    <row r="7569" spans="5:35" x14ac:dyDescent="0.25">
      <c r="E7569" s="16"/>
      <c r="F7569" s="16"/>
      <c r="H7569" s="16"/>
      <c r="AG7569" s="80"/>
      <c r="AH7569" s="80"/>
      <c r="AI7569" s="80"/>
    </row>
    <row r="7570" spans="5:35" x14ac:dyDescent="0.25">
      <c r="E7570" s="16"/>
      <c r="F7570" s="16"/>
      <c r="H7570" s="16"/>
      <c r="AG7570" s="80"/>
      <c r="AH7570" s="80"/>
      <c r="AI7570" s="80"/>
    </row>
    <row r="7571" spans="5:35" x14ac:dyDescent="0.25">
      <c r="E7571" s="16"/>
      <c r="F7571" s="16"/>
      <c r="H7571" s="16"/>
      <c r="AG7571" s="80"/>
      <c r="AH7571" s="80"/>
      <c r="AI7571" s="80"/>
    </row>
    <row r="7572" spans="5:35" x14ac:dyDescent="0.25">
      <c r="E7572" s="16"/>
      <c r="F7572" s="16"/>
      <c r="H7572" s="16"/>
      <c r="AG7572" s="80"/>
      <c r="AH7572" s="80"/>
      <c r="AI7572" s="80"/>
    </row>
    <row r="7573" spans="5:35" x14ac:dyDescent="0.25">
      <c r="E7573" s="16"/>
      <c r="F7573" s="16"/>
      <c r="H7573" s="16"/>
      <c r="AG7573" s="80"/>
      <c r="AH7573" s="80"/>
      <c r="AI7573" s="80"/>
    </row>
    <row r="7574" spans="5:35" x14ac:dyDescent="0.25">
      <c r="E7574" s="16"/>
      <c r="F7574" s="16"/>
      <c r="H7574" s="16"/>
      <c r="AG7574" s="80"/>
      <c r="AH7574" s="80"/>
      <c r="AI7574" s="80"/>
    </row>
    <row r="7575" spans="5:35" x14ac:dyDescent="0.25">
      <c r="E7575" s="16"/>
      <c r="F7575" s="16"/>
      <c r="H7575" s="16"/>
      <c r="AG7575" s="80"/>
      <c r="AH7575" s="80"/>
      <c r="AI7575" s="80"/>
    </row>
    <row r="7576" spans="5:35" x14ac:dyDescent="0.25">
      <c r="E7576" s="16"/>
      <c r="F7576" s="16"/>
      <c r="H7576" s="16"/>
      <c r="AG7576" s="80"/>
      <c r="AH7576" s="80"/>
      <c r="AI7576" s="80"/>
    </row>
    <row r="7577" spans="5:35" x14ac:dyDescent="0.25">
      <c r="E7577" s="16"/>
      <c r="F7577" s="16"/>
      <c r="H7577" s="16"/>
      <c r="AG7577" s="80"/>
      <c r="AH7577" s="80"/>
      <c r="AI7577" s="80"/>
    </row>
    <row r="7578" spans="5:35" x14ac:dyDescent="0.25">
      <c r="E7578" s="16"/>
      <c r="F7578" s="16"/>
      <c r="H7578" s="16"/>
      <c r="AG7578" s="80"/>
      <c r="AH7578" s="80"/>
      <c r="AI7578" s="80"/>
    </row>
    <row r="7579" spans="5:35" x14ac:dyDescent="0.25">
      <c r="E7579" s="16"/>
      <c r="F7579" s="16"/>
      <c r="H7579" s="16"/>
      <c r="AG7579" s="80"/>
      <c r="AH7579" s="80"/>
      <c r="AI7579" s="80"/>
    </row>
    <row r="7580" spans="5:35" x14ac:dyDescent="0.25">
      <c r="E7580" s="16"/>
      <c r="F7580" s="16"/>
      <c r="H7580" s="16"/>
      <c r="AG7580" s="80"/>
      <c r="AH7580" s="80"/>
      <c r="AI7580" s="80"/>
    </row>
    <row r="7581" spans="5:35" x14ac:dyDescent="0.25">
      <c r="E7581" s="16"/>
      <c r="F7581" s="16"/>
      <c r="H7581" s="16"/>
      <c r="AG7581" s="80"/>
      <c r="AH7581" s="80"/>
      <c r="AI7581" s="80"/>
    </row>
    <row r="7582" spans="5:35" x14ac:dyDescent="0.25">
      <c r="E7582" s="16"/>
      <c r="F7582" s="16"/>
      <c r="H7582" s="16"/>
      <c r="AG7582" s="80"/>
      <c r="AH7582" s="80"/>
      <c r="AI7582" s="80"/>
    </row>
    <row r="7583" spans="5:35" x14ac:dyDescent="0.25">
      <c r="E7583" s="16"/>
      <c r="F7583" s="16"/>
      <c r="H7583" s="16"/>
      <c r="AG7583" s="80"/>
      <c r="AH7583" s="80"/>
      <c r="AI7583" s="80"/>
    </row>
    <row r="7584" spans="5:35" x14ac:dyDescent="0.25">
      <c r="E7584" s="16"/>
      <c r="F7584" s="16"/>
      <c r="H7584" s="16"/>
      <c r="AG7584" s="80"/>
      <c r="AH7584" s="80"/>
      <c r="AI7584" s="80"/>
    </row>
    <row r="7585" spans="5:35" x14ac:dyDescent="0.25">
      <c r="E7585" s="16"/>
      <c r="F7585" s="16"/>
      <c r="H7585" s="16"/>
      <c r="AG7585" s="80"/>
      <c r="AH7585" s="80"/>
      <c r="AI7585" s="80"/>
    </row>
    <row r="7586" spans="5:35" x14ac:dyDescent="0.25">
      <c r="E7586" s="16"/>
      <c r="F7586" s="16"/>
      <c r="H7586" s="16"/>
      <c r="AG7586" s="80"/>
      <c r="AH7586" s="80"/>
      <c r="AI7586" s="80"/>
    </row>
    <row r="7587" spans="5:35" x14ac:dyDescent="0.25">
      <c r="E7587" s="16"/>
      <c r="F7587" s="16"/>
      <c r="H7587" s="16"/>
      <c r="AG7587" s="80"/>
      <c r="AH7587" s="80"/>
      <c r="AI7587" s="80"/>
    </row>
    <row r="7588" spans="5:35" x14ac:dyDescent="0.25">
      <c r="E7588" s="16"/>
      <c r="F7588" s="16"/>
      <c r="H7588" s="16"/>
      <c r="AG7588" s="80"/>
      <c r="AH7588" s="80"/>
      <c r="AI7588" s="80"/>
    </row>
    <row r="7589" spans="5:35" x14ac:dyDescent="0.25">
      <c r="E7589" s="16"/>
      <c r="F7589" s="16"/>
      <c r="H7589" s="16"/>
      <c r="AG7589" s="80"/>
      <c r="AH7589" s="80"/>
      <c r="AI7589" s="80"/>
    </row>
    <row r="7590" spans="5:35" x14ac:dyDescent="0.25">
      <c r="E7590" s="16"/>
      <c r="F7590" s="16"/>
      <c r="H7590" s="16"/>
      <c r="AG7590" s="80"/>
      <c r="AH7590" s="80"/>
      <c r="AI7590" s="80"/>
    </row>
    <row r="7591" spans="5:35" x14ac:dyDescent="0.25">
      <c r="E7591" s="16"/>
      <c r="F7591" s="16"/>
      <c r="H7591" s="16"/>
      <c r="AG7591" s="80"/>
      <c r="AH7591" s="80"/>
      <c r="AI7591" s="80"/>
    </row>
    <row r="7592" spans="5:35" x14ac:dyDescent="0.25">
      <c r="E7592" s="16"/>
      <c r="F7592" s="16"/>
      <c r="H7592" s="16"/>
      <c r="AG7592" s="80"/>
      <c r="AH7592" s="80"/>
      <c r="AI7592" s="80"/>
    </row>
    <row r="7593" spans="5:35" x14ac:dyDescent="0.25">
      <c r="E7593" s="16"/>
      <c r="F7593" s="16"/>
      <c r="H7593" s="16"/>
      <c r="AG7593" s="80"/>
      <c r="AH7593" s="80"/>
      <c r="AI7593" s="80"/>
    </row>
    <row r="7594" spans="5:35" x14ac:dyDescent="0.25">
      <c r="E7594" s="16"/>
      <c r="F7594" s="16"/>
      <c r="H7594" s="16"/>
      <c r="AG7594" s="80"/>
      <c r="AH7594" s="80"/>
      <c r="AI7594" s="80"/>
    </row>
    <row r="7595" spans="5:35" x14ac:dyDescent="0.25">
      <c r="E7595" s="16"/>
      <c r="F7595" s="16"/>
      <c r="H7595" s="16"/>
      <c r="AG7595" s="80"/>
      <c r="AH7595" s="80"/>
      <c r="AI7595" s="80"/>
    </row>
    <row r="7596" spans="5:35" x14ac:dyDescent="0.25">
      <c r="E7596" s="16"/>
      <c r="F7596" s="16"/>
      <c r="H7596" s="16"/>
      <c r="AG7596" s="80"/>
      <c r="AH7596" s="80"/>
      <c r="AI7596" s="80"/>
    </row>
    <row r="7597" spans="5:35" x14ac:dyDescent="0.25">
      <c r="E7597" s="16"/>
      <c r="F7597" s="16"/>
      <c r="H7597" s="16"/>
      <c r="AG7597" s="80"/>
      <c r="AH7597" s="80"/>
      <c r="AI7597" s="80"/>
    </row>
    <row r="7598" spans="5:35" x14ac:dyDescent="0.25">
      <c r="E7598" s="16"/>
      <c r="F7598" s="16"/>
      <c r="H7598" s="16"/>
      <c r="AG7598" s="80"/>
      <c r="AH7598" s="80"/>
      <c r="AI7598" s="80"/>
    </row>
    <row r="7599" spans="5:35" x14ac:dyDescent="0.25">
      <c r="E7599" s="16"/>
      <c r="F7599" s="16"/>
      <c r="H7599" s="16"/>
      <c r="AG7599" s="80"/>
      <c r="AH7599" s="80"/>
      <c r="AI7599" s="80"/>
    </row>
    <row r="7600" spans="5:35" x14ac:dyDescent="0.25">
      <c r="E7600" s="16"/>
      <c r="F7600" s="16"/>
      <c r="H7600" s="16"/>
      <c r="AG7600" s="80"/>
      <c r="AH7600" s="80"/>
      <c r="AI7600" s="80"/>
    </row>
    <row r="7601" spans="5:35" x14ac:dyDescent="0.25">
      <c r="E7601" s="16"/>
      <c r="F7601" s="16"/>
      <c r="H7601" s="16"/>
      <c r="AG7601" s="80"/>
      <c r="AH7601" s="80"/>
      <c r="AI7601" s="80"/>
    </row>
    <row r="7602" spans="5:35" x14ac:dyDescent="0.25">
      <c r="E7602" s="16"/>
      <c r="F7602" s="16"/>
      <c r="H7602" s="16"/>
      <c r="AG7602" s="80"/>
      <c r="AH7602" s="80"/>
      <c r="AI7602" s="80"/>
    </row>
    <row r="7603" spans="5:35" x14ac:dyDescent="0.25">
      <c r="E7603" s="16"/>
      <c r="F7603" s="16"/>
      <c r="H7603" s="16"/>
      <c r="AG7603" s="80"/>
      <c r="AH7603" s="80"/>
      <c r="AI7603" s="80"/>
    </row>
    <row r="7604" spans="5:35" x14ac:dyDescent="0.25">
      <c r="E7604" s="16"/>
      <c r="F7604" s="16"/>
      <c r="H7604" s="16"/>
      <c r="AG7604" s="80"/>
      <c r="AH7604" s="80"/>
      <c r="AI7604" s="80"/>
    </row>
    <row r="7605" spans="5:35" x14ac:dyDescent="0.25">
      <c r="E7605" s="16"/>
      <c r="F7605" s="16"/>
      <c r="H7605" s="16"/>
      <c r="AG7605" s="80"/>
      <c r="AH7605" s="80"/>
      <c r="AI7605" s="80"/>
    </row>
    <row r="7606" spans="5:35" x14ac:dyDescent="0.25">
      <c r="E7606" s="16"/>
      <c r="F7606" s="16"/>
      <c r="H7606" s="16"/>
      <c r="AG7606" s="80"/>
      <c r="AH7606" s="80"/>
      <c r="AI7606" s="80"/>
    </row>
    <row r="7607" spans="5:35" x14ac:dyDescent="0.25">
      <c r="E7607" s="16"/>
      <c r="F7607" s="16"/>
      <c r="H7607" s="16"/>
      <c r="AG7607" s="80"/>
      <c r="AH7607" s="80"/>
      <c r="AI7607" s="80"/>
    </row>
    <row r="7608" spans="5:35" x14ac:dyDescent="0.25">
      <c r="E7608" s="16"/>
      <c r="F7608" s="16"/>
      <c r="H7608" s="16"/>
      <c r="AG7608" s="80"/>
      <c r="AH7608" s="80"/>
      <c r="AI7608" s="80"/>
    </row>
    <row r="7609" spans="5:35" x14ac:dyDescent="0.25">
      <c r="E7609" s="16"/>
      <c r="F7609" s="16"/>
      <c r="H7609" s="16"/>
      <c r="AG7609" s="80"/>
      <c r="AH7609" s="80"/>
      <c r="AI7609" s="80"/>
    </row>
    <row r="7610" spans="5:35" x14ac:dyDescent="0.25">
      <c r="E7610" s="16"/>
      <c r="F7610" s="16"/>
      <c r="H7610" s="16"/>
      <c r="AG7610" s="80"/>
      <c r="AH7610" s="80"/>
      <c r="AI7610" s="80"/>
    </row>
    <row r="7611" spans="5:35" x14ac:dyDescent="0.25">
      <c r="E7611" s="16"/>
      <c r="F7611" s="16"/>
      <c r="H7611" s="16"/>
      <c r="AG7611" s="80"/>
      <c r="AH7611" s="80"/>
      <c r="AI7611" s="80"/>
    </row>
    <row r="7612" spans="5:35" x14ac:dyDescent="0.25">
      <c r="E7612" s="16"/>
      <c r="F7612" s="16"/>
      <c r="H7612" s="16"/>
      <c r="AG7612" s="80"/>
      <c r="AH7612" s="80"/>
      <c r="AI7612" s="80"/>
    </row>
    <row r="7613" spans="5:35" x14ac:dyDescent="0.25">
      <c r="E7613" s="16"/>
      <c r="F7613" s="16"/>
      <c r="H7613" s="16"/>
      <c r="AG7613" s="80"/>
      <c r="AH7613" s="80"/>
      <c r="AI7613" s="80"/>
    </row>
    <row r="7614" spans="5:35" x14ac:dyDescent="0.25">
      <c r="E7614" s="16"/>
      <c r="F7614" s="16"/>
      <c r="H7614" s="16"/>
      <c r="AG7614" s="80"/>
      <c r="AH7614" s="80"/>
      <c r="AI7614" s="80"/>
    </row>
    <row r="7615" spans="5:35" x14ac:dyDescent="0.25">
      <c r="E7615" s="16"/>
      <c r="F7615" s="16"/>
      <c r="H7615" s="16"/>
      <c r="AG7615" s="80"/>
      <c r="AH7615" s="80"/>
      <c r="AI7615" s="80"/>
    </row>
    <row r="7616" spans="5:35" x14ac:dyDescent="0.25">
      <c r="E7616" s="16"/>
      <c r="F7616" s="16"/>
      <c r="H7616" s="16"/>
      <c r="AG7616" s="80"/>
      <c r="AH7616" s="80"/>
      <c r="AI7616" s="80"/>
    </row>
    <row r="7617" spans="5:35" x14ac:dyDescent="0.25">
      <c r="E7617" s="16"/>
      <c r="F7617" s="16"/>
      <c r="H7617" s="16"/>
      <c r="AG7617" s="80"/>
      <c r="AH7617" s="80"/>
      <c r="AI7617" s="80"/>
    </row>
    <row r="7618" spans="5:35" x14ac:dyDescent="0.25">
      <c r="E7618" s="16"/>
      <c r="F7618" s="16"/>
      <c r="H7618" s="16"/>
      <c r="AG7618" s="80"/>
      <c r="AH7618" s="80"/>
      <c r="AI7618" s="80"/>
    </row>
    <row r="7619" spans="5:35" x14ac:dyDescent="0.25">
      <c r="E7619" s="16"/>
      <c r="F7619" s="16"/>
      <c r="H7619" s="16"/>
      <c r="AG7619" s="80"/>
      <c r="AH7619" s="80"/>
      <c r="AI7619" s="80"/>
    </row>
    <row r="7620" spans="5:35" x14ac:dyDescent="0.25">
      <c r="E7620" s="16"/>
      <c r="F7620" s="16"/>
      <c r="H7620" s="16"/>
      <c r="AG7620" s="80"/>
      <c r="AH7620" s="80"/>
      <c r="AI7620" s="80"/>
    </row>
    <row r="7621" spans="5:35" x14ac:dyDescent="0.25">
      <c r="E7621" s="16"/>
      <c r="F7621" s="16"/>
      <c r="H7621" s="16"/>
      <c r="AG7621" s="80"/>
      <c r="AH7621" s="80"/>
      <c r="AI7621" s="80"/>
    </row>
    <row r="7622" spans="5:35" x14ac:dyDescent="0.25">
      <c r="E7622" s="16"/>
      <c r="F7622" s="16"/>
      <c r="H7622" s="16"/>
      <c r="AG7622" s="80"/>
      <c r="AH7622" s="80"/>
      <c r="AI7622" s="80"/>
    </row>
    <row r="7623" spans="5:35" x14ac:dyDescent="0.25">
      <c r="E7623" s="16"/>
      <c r="F7623" s="16"/>
      <c r="H7623" s="16"/>
      <c r="AG7623" s="80"/>
      <c r="AH7623" s="80"/>
      <c r="AI7623" s="80"/>
    </row>
    <row r="7624" spans="5:35" x14ac:dyDescent="0.25">
      <c r="E7624" s="16"/>
      <c r="F7624" s="16"/>
      <c r="H7624" s="16"/>
      <c r="AG7624" s="80"/>
      <c r="AH7624" s="80"/>
      <c r="AI7624" s="80"/>
    </row>
    <row r="7625" spans="5:35" x14ac:dyDescent="0.25">
      <c r="E7625" s="16"/>
      <c r="F7625" s="16"/>
      <c r="H7625" s="16"/>
      <c r="AG7625" s="80"/>
      <c r="AH7625" s="80"/>
      <c r="AI7625" s="80"/>
    </row>
    <row r="7626" spans="5:35" x14ac:dyDescent="0.25">
      <c r="E7626" s="16"/>
      <c r="F7626" s="16"/>
      <c r="H7626" s="16"/>
      <c r="AG7626" s="80"/>
      <c r="AH7626" s="80"/>
      <c r="AI7626" s="80"/>
    </row>
    <row r="7627" spans="5:35" x14ac:dyDescent="0.25">
      <c r="E7627" s="16"/>
      <c r="F7627" s="16"/>
      <c r="H7627" s="16"/>
      <c r="AG7627" s="80"/>
      <c r="AH7627" s="80"/>
      <c r="AI7627" s="80"/>
    </row>
    <row r="7628" spans="5:35" x14ac:dyDescent="0.25">
      <c r="E7628" s="16"/>
      <c r="F7628" s="16"/>
      <c r="H7628" s="16"/>
      <c r="AG7628" s="80"/>
      <c r="AH7628" s="80"/>
      <c r="AI7628" s="80"/>
    </row>
    <row r="7629" spans="5:35" x14ac:dyDescent="0.25">
      <c r="E7629" s="16"/>
      <c r="F7629" s="16"/>
      <c r="H7629" s="16"/>
      <c r="AG7629" s="80"/>
      <c r="AH7629" s="80"/>
      <c r="AI7629" s="80"/>
    </row>
    <row r="7630" spans="5:35" x14ac:dyDescent="0.25">
      <c r="E7630" s="16"/>
      <c r="F7630" s="16"/>
      <c r="H7630" s="16"/>
      <c r="AG7630" s="80"/>
      <c r="AH7630" s="80"/>
      <c r="AI7630" s="80"/>
    </row>
    <row r="7631" spans="5:35" x14ac:dyDescent="0.25">
      <c r="E7631" s="16"/>
      <c r="F7631" s="16"/>
      <c r="H7631" s="16"/>
      <c r="AG7631" s="80"/>
      <c r="AH7631" s="80"/>
      <c r="AI7631" s="80"/>
    </row>
    <row r="7632" spans="5:35" x14ac:dyDescent="0.25">
      <c r="E7632" s="16"/>
      <c r="F7632" s="16"/>
      <c r="H7632" s="16"/>
      <c r="AG7632" s="80"/>
      <c r="AH7632" s="80"/>
      <c r="AI7632" s="80"/>
    </row>
    <row r="7633" spans="5:35" x14ac:dyDescent="0.25">
      <c r="E7633" s="16"/>
      <c r="F7633" s="16"/>
      <c r="H7633" s="16"/>
      <c r="AG7633" s="80"/>
      <c r="AH7633" s="80"/>
      <c r="AI7633" s="80"/>
    </row>
    <row r="7634" spans="5:35" x14ac:dyDescent="0.25">
      <c r="E7634" s="16"/>
      <c r="F7634" s="16"/>
      <c r="H7634" s="16"/>
      <c r="AG7634" s="80"/>
      <c r="AH7634" s="80"/>
      <c r="AI7634" s="80"/>
    </row>
    <row r="7635" spans="5:35" x14ac:dyDescent="0.25">
      <c r="E7635" s="16"/>
      <c r="F7635" s="16"/>
      <c r="H7635" s="16"/>
      <c r="AG7635" s="80"/>
      <c r="AH7635" s="80"/>
      <c r="AI7635" s="80"/>
    </row>
    <row r="7636" spans="5:35" x14ac:dyDescent="0.25">
      <c r="E7636" s="16"/>
      <c r="F7636" s="16"/>
      <c r="H7636" s="16"/>
      <c r="AG7636" s="80"/>
      <c r="AH7636" s="80"/>
      <c r="AI7636" s="80"/>
    </row>
    <row r="7637" spans="5:35" x14ac:dyDescent="0.25">
      <c r="E7637" s="16"/>
      <c r="F7637" s="16"/>
      <c r="H7637" s="16"/>
      <c r="AG7637" s="80"/>
      <c r="AH7637" s="80"/>
      <c r="AI7637" s="80"/>
    </row>
    <row r="7638" spans="5:35" x14ac:dyDescent="0.25">
      <c r="E7638" s="16"/>
      <c r="F7638" s="16"/>
      <c r="H7638" s="16"/>
      <c r="AG7638" s="80"/>
      <c r="AH7638" s="80"/>
      <c r="AI7638" s="80"/>
    </row>
    <row r="7639" spans="5:35" x14ac:dyDescent="0.25">
      <c r="E7639" s="16"/>
      <c r="F7639" s="16"/>
      <c r="H7639" s="16"/>
      <c r="AG7639" s="80"/>
      <c r="AH7639" s="80"/>
      <c r="AI7639" s="80"/>
    </row>
    <row r="7640" spans="5:35" x14ac:dyDescent="0.25">
      <c r="E7640" s="16"/>
      <c r="F7640" s="16"/>
      <c r="H7640" s="16"/>
      <c r="AG7640" s="80"/>
      <c r="AH7640" s="80"/>
      <c r="AI7640" s="80"/>
    </row>
    <row r="7641" spans="5:35" x14ac:dyDescent="0.25">
      <c r="E7641" s="16"/>
      <c r="F7641" s="16"/>
      <c r="H7641" s="16"/>
      <c r="AG7641" s="80"/>
      <c r="AH7641" s="80"/>
      <c r="AI7641" s="80"/>
    </row>
    <row r="7642" spans="5:35" x14ac:dyDescent="0.25">
      <c r="E7642" s="16"/>
      <c r="F7642" s="16"/>
      <c r="H7642" s="16"/>
      <c r="AG7642" s="80"/>
      <c r="AH7642" s="80"/>
      <c r="AI7642" s="80"/>
    </row>
    <row r="7643" spans="5:35" x14ac:dyDescent="0.25">
      <c r="E7643" s="16"/>
      <c r="F7643" s="16"/>
      <c r="H7643" s="16"/>
      <c r="AG7643" s="80"/>
      <c r="AH7643" s="80"/>
      <c r="AI7643" s="80"/>
    </row>
    <row r="7644" spans="5:35" x14ac:dyDescent="0.25">
      <c r="E7644" s="16"/>
      <c r="F7644" s="16"/>
      <c r="H7644" s="16"/>
      <c r="AG7644" s="80"/>
      <c r="AH7644" s="80"/>
      <c r="AI7644" s="80"/>
    </row>
    <row r="7645" spans="5:35" x14ac:dyDescent="0.25">
      <c r="E7645" s="16"/>
      <c r="F7645" s="16"/>
      <c r="H7645" s="16"/>
      <c r="AG7645" s="80"/>
      <c r="AH7645" s="80"/>
      <c r="AI7645" s="80"/>
    </row>
    <row r="7646" spans="5:35" x14ac:dyDescent="0.25">
      <c r="E7646" s="16"/>
      <c r="F7646" s="16"/>
      <c r="H7646" s="16"/>
      <c r="AG7646" s="80"/>
      <c r="AH7646" s="80"/>
      <c r="AI7646" s="80"/>
    </row>
    <row r="7647" spans="5:35" x14ac:dyDescent="0.25">
      <c r="E7647" s="16"/>
      <c r="F7647" s="16"/>
      <c r="H7647" s="16"/>
      <c r="AG7647" s="80"/>
      <c r="AH7647" s="80"/>
      <c r="AI7647" s="80"/>
    </row>
    <row r="7648" spans="5:35" x14ac:dyDescent="0.25">
      <c r="E7648" s="16"/>
      <c r="F7648" s="16"/>
      <c r="H7648" s="16"/>
      <c r="AG7648" s="80"/>
      <c r="AH7648" s="80"/>
      <c r="AI7648" s="80"/>
    </row>
    <row r="7649" spans="5:35" x14ac:dyDescent="0.25">
      <c r="E7649" s="16"/>
      <c r="F7649" s="16"/>
      <c r="H7649" s="16"/>
      <c r="AG7649" s="80"/>
      <c r="AH7649" s="80"/>
      <c r="AI7649" s="80"/>
    </row>
    <row r="7650" spans="5:35" x14ac:dyDescent="0.25">
      <c r="E7650" s="16"/>
      <c r="F7650" s="16"/>
      <c r="H7650" s="16"/>
      <c r="AG7650" s="80"/>
      <c r="AH7650" s="80"/>
      <c r="AI7650" s="80"/>
    </row>
    <row r="7651" spans="5:35" x14ac:dyDescent="0.25">
      <c r="E7651" s="16"/>
      <c r="F7651" s="16"/>
      <c r="H7651" s="16"/>
      <c r="AG7651" s="80"/>
      <c r="AH7651" s="80"/>
      <c r="AI7651" s="80"/>
    </row>
    <row r="7652" spans="5:35" x14ac:dyDescent="0.25">
      <c r="E7652" s="16"/>
      <c r="F7652" s="16"/>
      <c r="H7652" s="16"/>
      <c r="AG7652" s="80"/>
      <c r="AH7652" s="80"/>
      <c r="AI7652" s="80"/>
    </row>
    <row r="7653" spans="5:35" x14ac:dyDescent="0.25">
      <c r="E7653" s="16"/>
      <c r="F7653" s="16"/>
      <c r="H7653" s="16"/>
      <c r="AG7653" s="80"/>
      <c r="AH7653" s="80"/>
      <c r="AI7653" s="80"/>
    </row>
    <row r="7654" spans="5:35" x14ac:dyDescent="0.25">
      <c r="E7654" s="16"/>
      <c r="F7654" s="16"/>
      <c r="H7654" s="16"/>
      <c r="AG7654" s="80"/>
      <c r="AH7654" s="80"/>
      <c r="AI7654" s="80"/>
    </row>
    <row r="7655" spans="5:35" x14ac:dyDescent="0.25">
      <c r="E7655" s="16"/>
      <c r="F7655" s="16"/>
      <c r="H7655" s="16"/>
      <c r="AG7655" s="80"/>
      <c r="AH7655" s="80"/>
      <c r="AI7655" s="80"/>
    </row>
    <row r="7656" spans="5:35" x14ac:dyDescent="0.25">
      <c r="E7656" s="16"/>
      <c r="F7656" s="16"/>
      <c r="H7656" s="16"/>
      <c r="AG7656" s="80"/>
      <c r="AH7656" s="80"/>
      <c r="AI7656" s="80"/>
    </row>
    <row r="7657" spans="5:35" x14ac:dyDescent="0.25">
      <c r="E7657" s="16"/>
      <c r="F7657" s="16"/>
      <c r="H7657" s="16"/>
      <c r="AG7657" s="80"/>
      <c r="AH7657" s="80"/>
      <c r="AI7657" s="80"/>
    </row>
    <row r="7658" spans="5:35" x14ac:dyDescent="0.25">
      <c r="E7658" s="16"/>
      <c r="F7658" s="16"/>
      <c r="H7658" s="16"/>
      <c r="AG7658" s="80"/>
      <c r="AH7658" s="80"/>
      <c r="AI7658" s="80"/>
    </row>
    <row r="7659" spans="5:35" x14ac:dyDescent="0.25">
      <c r="E7659" s="16"/>
      <c r="F7659" s="16"/>
      <c r="H7659" s="16"/>
      <c r="AG7659" s="80"/>
      <c r="AH7659" s="80"/>
      <c r="AI7659" s="80"/>
    </row>
    <row r="7660" spans="5:35" x14ac:dyDescent="0.25">
      <c r="E7660" s="16"/>
      <c r="F7660" s="16"/>
      <c r="H7660" s="16"/>
      <c r="AG7660" s="80"/>
      <c r="AH7660" s="80"/>
      <c r="AI7660" s="80"/>
    </row>
    <row r="7661" spans="5:35" x14ac:dyDescent="0.25">
      <c r="E7661" s="16"/>
      <c r="F7661" s="16"/>
      <c r="H7661" s="16"/>
      <c r="AG7661" s="80"/>
      <c r="AH7661" s="80"/>
      <c r="AI7661" s="80"/>
    </row>
    <row r="7662" spans="5:35" x14ac:dyDescent="0.25">
      <c r="E7662" s="16"/>
      <c r="F7662" s="16"/>
      <c r="H7662" s="16"/>
      <c r="AG7662" s="80"/>
      <c r="AH7662" s="80"/>
      <c r="AI7662" s="80"/>
    </row>
    <row r="7663" spans="5:35" x14ac:dyDescent="0.25">
      <c r="E7663" s="16"/>
      <c r="F7663" s="16"/>
      <c r="H7663" s="16"/>
      <c r="AG7663" s="80"/>
      <c r="AH7663" s="80"/>
      <c r="AI7663" s="80"/>
    </row>
    <row r="7664" spans="5:35" x14ac:dyDescent="0.25">
      <c r="E7664" s="16"/>
      <c r="F7664" s="16"/>
      <c r="H7664" s="16"/>
      <c r="AG7664" s="80"/>
      <c r="AH7664" s="80"/>
      <c r="AI7664" s="80"/>
    </row>
    <row r="7665" spans="5:35" x14ac:dyDescent="0.25">
      <c r="E7665" s="16"/>
      <c r="F7665" s="16"/>
      <c r="H7665" s="16"/>
      <c r="AG7665" s="80"/>
      <c r="AH7665" s="80"/>
      <c r="AI7665" s="80"/>
    </row>
    <row r="7666" spans="5:35" x14ac:dyDescent="0.25">
      <c r="E7666" s="16"/>
      <c r="F7666" s="16"/>
      <c r="H7666" s="16"/>
      <c r="AG7666" s="80"/>
      <c r="AH7666" s="80"/>
      <c r="AI7666" s="80"/>
    </row>
    <row r="7667" spans="5:35" x14ac:dyDescent="0.25">
      <c r="E7667" s="16"/>
      <c r="F7667" s="16"/>
      <c r="H7667" s="16"/>
      <c r="AG7667" s="80"/>
      <c r="AH7667" s="80"/>
      <c r="AI7667" s="80"/>
    </row>
    <row r="7668" spans="5:35" x14ac:dyDescent="0.25">
      <c r="E7668" s="16"/>
      <c r="F7668" s="16"/>
      <c r="H7668" s="16"/>
      <c r="AG7668" s="80"/>
      <c r="AH7668" s="80"/>
      <c r="AI7668" s="80"/>
    </row>
    <row r="7669" spans="5:35" x14ac:dyDescent="0.25">
      <c r="E7669" s="16"/>
      <c r="F7669" s="16"/>
      <c r="H7669" s="16"/>
      <c r="AG7669" s="80"/>
      <c r="AH7669" s="80"/>
      <c r="AI7669" s="80"/>
    </row>
    <row r="7670" spans="5:35" x14ac:dyDescent="0.25">
      <c r="E7670" s="16"/>
      <c r="F7670" s="16"/>
      <c r="H7670" s="16"/>
      <c r="AG7670" s="80"/>
      <c r="AH7670" s="80"/>
      <c r="AI7670" s="80"/>
    </row>
    <row r="7671" spans="5:35" x14ac:dyDescent="0.25">
      <c r="E7671" s="16"/>
      <c r="F7671" s="16"/>
      <c r="H7671" s="16"/>
      <c r="AG7671" s="80"/>
      <c r="AH7671" s="80"/>
      <c r="AI7671" s="80"/>
    </row>
    <row r="7672" spans="5:35" x14ac:dyDescent="0.25">
      <c r="E7672" s="16"/>
      <c r="F7672" s="16"/>
      <c r="H7672" s="16"/>
      <c r="AG7672" s="80"/>
      <c r="AH7672" s="80"/>
      <c r="AI7672" s="80"/>
    </row>
    <row r="7673" spans="5:35" x14ac:dyDescent="0.25">
      <c r="E7673" s="16"/>
      <c r="F7673" s="16"/>
      <c r="H7673" s="16"/>
      <c r="AG7673" s="80"/>
      <c r="AH7673" s="80"/>
      <c r="AI7673" s="80"/>
    </row>
    <row r="7674" spans="5:35" x14ac:dyDescent="0.25">
      <c r="E7674" s="16"/>
      <c r="F7674" s="16"/>
      <c r="H7674" s="16"/>
      <c r="AG7674" s="80"/>
      <c r="AH7674" s="80"/>
      <c r="AI7674" s="80"/>
    </row>
    <row r="7675" spans="5:35" x14ac:dyDescent="0.25">
      <c r="E7675" s="16"/>
      <c r="F7675" s="16"/>
      <c r="H7675" s="16"/>
      <c r="AG7675" s="80"/>
      <c r="AH7675" s="80"/>
      <c r="AI7675" s="80"/>
    </row>
    <row r="7676" spans="5:35" x14ac:dyDescent="0.25">
      <c r="E7676" s="16"/>
      <c r="F7676" s="16"/>
      <c r="H7676" s="16"/>
      <c r="AG7676" s="80"/>
      <c r="AH7676" s="80"/>
      <c r="AI7676" s="80"/>
    </row>
    <row r="7677" spans="5:35" x14ac:dyDescent="0.25">
      <c r="E7677" s="16"/>
      <c r="F7677" s="16"/>
      <c r="H7677" s="16"/>
      <c r="AG7677" s="80"/>
      <c r="AH7677" s="80"/>
      <c r="AI7677" s="80"/>
    </row>
    <row r="7678" spans="5:35" x14ac:dyDescent="0.25">
      <c r="E7678" s="16"/>
      <c r="F7678" s="16"/>
      <c r="H7678" s="16"/>
      <c r="AG7678" s="80"/>
      <c r="AH7678" s="80"/>
      <c r="AI7678" s="80"/>
    </row>
    <row r="7679" spans="5:35" x14ac:dyDescent="0.25">
      <c r="E7679" s="16"/>
      <c r="F7679" s="16"/>
      <c r="H7679" s="16"/>
      <c r="AG7679" s="80"/>
      <c r="AH7679" s="80"/>
      <c r="AI7679" s="80"/>
    </row>
    <row r="7680" spans="5:35" x14ac:dyDescent="0.25">
      <c r="E7680" s="16"/>
      <c r="F7680" s="16"/>
      <c r="H7680" s="16"/>
      <c r="AG7680" s="80"/>
      <c r="AH7680" s="80"/>
      <c r="AI7680" s="80"/>
    </row>
    <row r="7681" spans="5:35" x14ac:dyDescent="0.25">
      <c r="E7681" s="16"/>
      <c r="F7681" s="16"/>
      <c r="H7681" s="16"/>
      <c r="AG7681" s="80"/>
      <c r="AH7681" s="80"/>
      <c r="AI7681" s="80"/>
    </row>
    <row r="7682" spans="5:35" x14ac:dyDescent="0.25">
      <c r="E7682" s="16"/>
      <c r="F7682" s="16"/>
      <c r="H7682" s="16"/>
      <c r="AG7682" s="80"/>
      <c r="AH7682" s="80"/>
      <c r="AI7682" s="80"/>
    </row>
    <row r="7683" spans="5:35" x14ac:dyDescent="0.25">
      <c r="E7683" s="16"/>
      <c r="F7683" s="16"/>
      <c r="H7683" s="16"/>
      <c r="AG7683" s="80"/>
      <c r="AH7683" s="80"/>
      <c r="AI7683" s="80"/>
    </row>
    <row r="7684" spans="5:35" x14ac:dyDescent="0.25">
      <c r="E7684" s="16"/>
      <c r="F7684" s="16"/>
      <c r="H7684" s="16"/>
      <c r="AG7684" s="80"/>
      <c r="AH7684" s="80"/>
      <c r="AI7684" s="80"/>
    </row>
    <row r="7685" spans="5:35" x14ac:dyDescent="0.25">
      <c r="E7685" s="16"/>
      <c r="F7685" s="16"/>
      <c r="H7685" s="16"/>
      <c r="AG7685" s="80"/>
      <c r="AH7685" s="80"/>
      <c r="AI7685" s="80"/>
    </row>
    <row r="7686" spans="5:35" x14ac:dyDescent="0.25">
      <c r="E7686" s="16"/>
      <c r="F7686" s="16"/>
      <c r="H7686" s="16"/>
      <c r="AG7686" s="80"/>
      <c r="AH7686" s="80"/>
      <c r="AI7686" s="80"/>
    </row>
    <row r="7687" spans="5:35" x14ac:dyDescent="0.25">
      <c r="E7687" s="16"/>
      <c r="F7687" s="16"/>
      <c r="H7687" s="16"/>
      <c r="AG7687" s="80"/>
      <c r="AH7687" s="80"/>
      <c r="AI7687" s="80"/>
    </row>
    <row r="7688" spans="5:35" x14ac:dyDescent="0.25">
      <c r="E7688" s="16"/>
      <c r="F7688" s="16"/>
      <c r="H7688" s="16"/>
      <c r="AG7688" s="80"/>
      <c r="AH7688" s="80"/>
      <c r="AI7688" s="80"/>
    </row>
    <row r="7689" spans="5:35" x14ac:dyDescent="0.25">
      <c r="E7689" s="16"/>
      <c r="F7689" s="16"/>
      <c r="H7689" s="16"/>
      <c r="AG7689" s="80"/>
      <c r="AH7689" s="80"/>
      <c r="AI7689" s="80"/>
    </row>
    <row r="7690" spans="5:35" x14ac:dyDescent="0.25">
      <c r="E7690" s="16"/>
      <c r="F7690" s="16"/>
      <c r="H7690" s="16"/>
      <c r="AG7690" s="80"/>
      <c r="AH7690" s="80"/>
      <c r="AI7690" s="80"/>
    </row>
    <row r="7691" spans="5:35" x14ac:dyDescent="0.25">
      <c r="E7691" s="16"/>
      <c r="F7691" s="16"/>
      <c r="H7691" s="16"/>
      <c r="AG7691" s="80"/>
      <c r="AH7691" s="80"/>
      <c r="AI7691" s="80"/>
    </row>
    <row r="7692" spans="5:35" x14ac:dyDescent="0.25">
      <c r="E7692" s="16"/>
      <c r="F7692" s="16"/>
      <c r="H7692" s="16"/>
      <c r="AG7692" s="80"/>
      <c r="AH7692" s="80"/>
      <c r="AI7692" s="80"/>
    </row>
    <row r="7693" spans="5:35" x14ac:dyDescent="0.25">
      <c r="E7693" s="16"/>
      <c r="F7693" s="16"/>
      <c r="H7693" s="16"/>
      <c r="AG7693" s="80"/>
      <c r="AH7693" s="80"/>
      <c r="AI7693" s="80"/>
    </row>
    <row r="7694" spans="5:35" x14ac:dyDescent="0.25">
      <c r="E7694" s="16"/>
      <c r="F7694" s="16"/>
      <c r="H7694" s="16"/>
      <c r="AG7694" s="80"/>
      <c r="AH7694" s="80"/>
      <c r="AI7694" s="80"/>
    </row>
    <row r="7695" spans="5:35" x14ac:dyDescent="0.25">
      <c r="E7695" s="16"/>
      <c r="F7695" s="16"/>
      <c r="H7695" s="16"/>
      <c r="AG7695" s="80"/>
      <c r="AH7695" s="80"/>
      <c r="AI7695" s="80"/>
    </row>
    <row r="7696" spans="5:35" x14ac:dyDescent="0.25">
      <c r="E7696" s="16"/>
      <c r="F7696" s="16"/>
      <c r="H7696" s="16"/>
      <c r="AG7696" s="80"/>
      <c r="AH7696" s="80"/>
      <c r="AI7696" s="80"/>
    </row>
    <row r="7697" spans="5:35" x14ac:dyDescent="0.25">
      <c r="E7697" s="16"/>
      <c r="F7697" s="16"/>
      <c r="H7697" s="16"/>
      <c r="AG7697" s="80"/>
      <c r="AH7697" s="80"/>
      <c r="AI7697" s="80"/>
    </row>
    <row r="7698" spans="5:35" x14ac:dyDescent="0.25">
      <c r="E7698" s="16"/>
      <c r="F7698" s="16"/>
      <c r="H7698" s="16"/>
      <c r="AG7698" s="80"/>
      <c r="AH7698" s="80"/>
      <c r="AI7698" s="80"/>
    </row>
    <row r="7699" spans="5:35" x14ac:dyDescent="0.25">
      <c r="E7699" s="16"/>
      <c r="F7699" s="16"/>
      <c r="H7699" s="16"/>
      <c r="AG7699" s="80"/>
      <c r="AH7699" s="80"/>
      <c r="AI7699" s="80"/>
    </row>
    <row r="7700" spans="5:35" x14ac:dyDescent="0.25">
      <c r="E7700" s="16"/>
      <c r="F7700" s="16"/>
      <c r="H7700" s="16"/>
      <c r="AG7700" s="80"/>
      <c r="AH7700" s="80"/>
      <c r="AI7700" s="80"/>
    </row>
    <row r="7701" spans="5:35" x14ac:dyDescent="0.25">
      <c r="E7701" s="16"/>
      <c r="F7701" s="16"/>
      <c r="H7701" s="16"/>
      <c r="AG7701" s="80"/>
      <c r="AH7701" s="80"/>
      <c r="AI7701" s="80"/>
    </row>
    <row r="7702" spans="5:35" x14ac:dyDescent="0.25">
      <c r="E7702" s="16"/>
      <c r="F7702" s="16"/>
      <c r="H7702" s="16"/>
      <c r="AG7702" s="80"/>
      <c r="AH7702" s="80"/>
      <c r="AI7702" s="80"/>
    </row>
    <row r="7703" spans="5:35" x14ac:dyDescent="0.25">
      <c r="E7703" s="16"/>
      <c r="F7703" s="16"/>
      <c r="H7703" s="16"/>
      <c r="AG7703" s="80"/>
      <c r="AH7703" s="80"/>
      <c r="AI7703" s="80"/>
    </row>
    <row r="7704" spans="5:35" x14ac:dyDescent="0.25">
      <c r="E7704" s="16"/>
      <c r="F7704" s="16"/>
      <c r="H7704" s="16"/>
      <c r="AG7704" s="80"/>
      <c r="AH7704" s="80"/>
      <c r="AI7704" s="80"/>
    </row>
    <row r="7705" spans="5:35" x14ac:dyDescent="0.25">
      <c r="E7705" s="16"/>
      <c r="F7705" s="16"/>
      <c r="H7705" s="16"/>
      <c r="AG7705" s="80"/>
      <c r="AH7705" s="80"/>
      <c r="AI7705" s="80"/>
    </row>
    <row r="7706" spans="5:35" x14ac:dyDescent="0.25">
      <c r="E7706" s="16"/>
      <c r="F7706" s="16"/>
      <c r="H7706" s="16"/>
      <c r="AG7706" s="80"/>
      <c r="AH7706" s="80"/>
      <c r="AI7706" s="80"/>
    </row>
    <row r="7707" spans="5:35" x14ac:dyDescent="0.25">
      <c r="E7707" s="16"/>
      <c r="F7707" s="16"/>
      <c r="H7707" s="16"/>
      <c r="AG7707" s="80"/>
      <c r="AH7707" s="80"/>
      <c r="AI7707" s="80"/>
    </row>
    <row r="7708" spans="5:35" x14ac:dyDescent="0.25">
      <c r="E7708" s="16"/>
      <c r="F7708" s="16"/>
      <c r="H7708" s="16"/>
      <c r="AG7708" s="80"/>
      <c r="AH7708" s="80"/>
      <c r="AI7708" s="80"/>
    </row>
    <row r="7709" spans="5:35" x14ac:dyDescent="0.25">
      <c r="E7709" s="16"/>
      <c r="F7709" s="16"/>
      <c r="H7709" s="16"/>
      <c r="AG7709" s="80"/>
      <c r="AH7709" s="80"/>
      <c r="AI7709" s="80"/>
    </row>
    <row r="7710" spans="5:35" x14ac:dyDescent="0.25">
      <c r="E7710" s="16"/>
      <c r="F7710" s="16"/>
      <c r="H7710" s="16"/>
      <c r="AG7710" s="80"/>
      <c r="AH7710" s="80"/>
      <c r="AI7710" s="80"/>
    </row>
    <row r="7711" spans="5:35" x14ac:dyDescent="0.25">
      <c r="E7711" s="16"/>
      <c r="F7711" s="16"/>
      <c r="H7711" s="16"/>
      <c r="AG7711" s="80"/>
      <c r="AH7711" s="80"/>
      <c r="AI7711" s="80"/>
    </row>
    <row r="7712" spans="5:35" x14ac:dyDescent="0.25">
      <c r="E7712" s="16"/>
      <c r="F7712" s="16"/>
      <c r="H7712" s="16"/>
      <c r="AG7712" s="80"/>
      <c r="AH7712" s="80"/>
      <c r="AI7712" s="80"/>
    </row>
    <row r="7713" spans="5:35" x14ac:dyDescent="0.25">
      <c r="E7713" s="16"/>
      <c r="F7713" s="16"/>
      <c r="H7713" s="16"/>
      <c r="AG7713" s="80"/>
      <c r="AH7713" s="80"/>
      <c r="AI7713" s="80"/>
    </row>
    <row r="7714" spans="5:35" x14ac:dyDescent="0.25">
      <c r="E7714" s="16"/>
      <c r="F7714" s="16"/>
      <c r="H7714" s="16"/>
      <c r="AG7714" s="80"/>
      <c r="AH7714" s="80"/>
      <c r="AI7714" s="80"/>
    </row>
    <row r="7715" spans="5:35" x14ac:dyDescent="0.25">
      <c r="E7715" s="16"/>
      <c r="F7715" s="16"/>
      <c r="H7715" s="16"/>
      <c r="AG7715" s="80"/>
      <c r="AH7715" s="80"/>
      <c r="AI7715" s="80"/>
    </row>
    <row r="7716" spans="5:35" x14ac:dyDescent="0.25">
      <c r="E7716" s="16"/>
      <c r="F7716" s="16"/>
      <c r="H7716" s="16"/>
      <c r="AG7716" s="80"/>
      <c r="AH7716" s="80"/>
      <c r="AI7716" s="80"/>
    </row>
    <row r="7717" spans="5:35" x14ac:dyDescent="0.25">
      <c r="E7717" s="16"/>
      <c r="F7717" s="16"/>
      <c r="H7717" s="16"/>
      <c r="AG7717" s="80"/>
      <c r="AH7717" s="80"/>
      <c r="AI7717" s="80"/>
    </row>
    <row r="7718" spans="5:35" x14ac:dyDescent="0.25">
      <c r="E7718" s="16"/>
      <c r="F7718" s="16"/>
      <c r="H7718" s="16"/>
      <c r="AG7718" s="80"/>
      <c r="AH7718" s="80"/>
      <c r="AI7718" s="80"/>
    </row>
    <row r="7719" spans="5:35" x14ac:dyDescent="0.25">
      <c r="E7719" s="16"/>
      <c r="F7719" s="16"/>
      <c r="H7719" s="16"/>
      <c r="AG7719" s="80"/>
      <c r="AH7719" s="80"/>
      <c r="AI7719" s="80"/>
    </row>
    <row r="7720" spans="5:35" x14ac:dyDescent="0.25">
      <c r="E7720" s="16"/>
      <c r="F7720" s="16"/>
      <c r="H7720" s="16"/>
      <c r="AG7720" s="80"/>
      <c r="AH7720" s="80"/>
      <c r="AI7720" s="80"/>
    </row>
    <row r="7721" spans="5:35" x14ac:dyDescent="0.25">
      <c r="E7721" s="16"/>
      <c r="F7721" s="16"/>
      <c r="H7721" s="16"/>
      <c r="AG7721" s="80"/>
      <c r="AH7721" s="80"/>
      <c r="AI7721" s="80"/>
    </row>
    <row r="7722" spans="5:35" x14ac:dyDescent="0.25">
      <c r="E7722" s="16"/>
      <c r="F7722" s="16"/>
      <c r="H7722" s="16"/>
      <c r="AG7722" s="80"/>
      <c r="AH7722" s="80"/>
      <c r="AI7722" s="80"/>
    </row>
    <row r="7723" spans="5:35" x14ac:dyDescent="0.25">
      <c r="E7723" s="16"/>
      <c r="F7723" s="16"/>
      <c r="H7723" s="16"/>
      <c r="AG7723" s="80"/>
      <c r="AH7723" s="80"/>
      <c r="AI7723" s="80"/>
    </row>
    <row r="7724" spans="5:35" x14ac:dyDescent="0.25">
      <c r="E7724" s="16"/>
      <c r="F7724" s="16"/>
      <c r="H7724" s="16"/>
      <c r="AG7724" s="80"/>
      <c r="AH7724" s="80"/>
      <c r="AI7724" s="80"/>
    </row>
    <row r="7725" spans="5:35" x14ac:dyDescent="0.25">
      <c r="E7725" s="16"/>
      <c r="F7725" s="16"/>
      <c r="H7725" s="16"/>
      <c r="AG7725" s="80"/>
      <c r="AH7725" s="80"/>
      <c r="AI7725" s="80"/>
    </row>
    <row r="7726" spans="5:35" x14ac:dyDescent="0.25">
      <c r="E7726" s="16"/>
      <c r="F7726" s="16"/>
      <c r="H7726" s="16"/>
      <c r="AG7726" s="80"/>
      <c r="AH7726" s="80"/>
      <c r="AI7726" s="80"/>
    </row>
    <row r="7727" spans="5:35" x14ac:dyDescent="0.25">
      <c r="E7727" s="16"/>
      <c r="F7727" s="16"/>
      <c r="H7727" s="16"/>
      <c r="AG7727" s="80"/>
      <c r="AH7727" s="80"/>
      <c r="AI7727" s="80"/>
    </row>
    <row r="7728" spans="5:35" x14ac:dyDescent="0.25">
      <c r="E7728" s="16"/>
      <c r="F7728" s="16"/>
      <c r="H7728" s="16"/>
      <c r="AG7728" s="80"/>
      <c r="AH7728" s="80"/>
      <c r="AI7728" s="80"/>
    </row>
    <row r="7729" spans="5:35" x14ac:dyDescent="0.25">
      <c r="E7729" s="16"/>
      <c r="F7729" s="16"/>
      <c r="H7729" s="16"/>
      <c r="AG7729" s="80"/>
      <c r="AH7729" s="80"/>
      <c r="AI7729" s="80"/>
    </row>
    <row r="7730" spans="5:35" x14ac:dyDescent="0.25">
      <c r="E7730" s="16"/>
      <c r="F7730" s="16"/>
      <c r="H7730" s="16"/>
      <c r="AG7730" s="80"/>
      <c r="AH7730" s="80"/>
      <c r="AI7730" s="80"/>
    </row>
    <row r="7731" spans="5:35" x14ac:dyDescent="0.25">
      <c r="E7731" s="16"/>
      <c r="F7731" s="16"/>
      <c r="H7731" s="16"/>
      <c r="AG7731" s="80"/>
      <c r="AH7731" s="80"/>
      <c r="AI7731" s="80"/>
    </row>
    <row r="7732" spans="5:35" x14ac:dyDescent="0.25">
      <c r="E7732" s="16"/>
      <c r="F7732" s="16"/>
      <c r="H7732" s="16"/>
      <c r="AG7732" s="80"/>
      <c r="AH7732" s="80"/>
      <c r="AI7732" s="80"/>
    </row>
    <row r="7733" spans="5:35" x14ac:dyDescent="0.25">
      <c r="E7733" s="16"/>
      <c r="F7733" s="16"/>
      <c r="H7733" s="16"/>
      <c r="AG7733" s="80"/>
      <c r="AH7733" s="80"/>
      <c r="AI7733" s="80"/>
    </row>
    <row r="7734" spans="5:35" x14ac:dyDescent="0.25">
      <c r="E7734" s="16"/>
      <c r="F7734" s="16"/>
      <c r="H7734" s="16"/>
      <c r="AG7734" s="80"/>
      <c r="AH7734" s="80"/>
      <c r="AI7734" s="80"/>
    </row>
    <row r="7735" spans="5:35" x14ac:dyDescent="0.25">
      <c r="E7735" s="16"/>
      <c r="F7735" s="16"/>
      <c r="H7735" s="16"/>
      <c r="AG7735" s="80"/>
      <c r="AH7735" s="80"/>
      <c r="AI7735" s="80"/>
    </row>
    <row r="7736" spans="5:35" x14ac:dyDescent="0.25">
      <c r="E7736" s="16"/>
      <c r="F7736" s="16"/>
      <c r="H7736" s="16"/>
      <c r="AG7736" s="80"/>
      <c r="AH7736" s="80"/>
      <c r="AI7736" s="80"/>
    </row>
    <row r="7737" spans="5:35" x14ac:dyDescent="0.25">
      <c r="E7737" s="16"/>
      <c r="F7737" s="16"/>
      <c r="H7737" s="16"/>
      <c r="AG7737" s="80"/>
      <c r="AH7737" s="80"/>
      <c r="AI7737" s="80"/>
    </row>
    <row r="7738" spans="5:35" x14ac:dyDescent="0.25">
      <c r="E7738" s="16"/>
      <c r="F7738" s="16"/>
      <c r="H7738" s="16"/>
      <c r="AG7738" s="80"/>
      <c r="AH7738" s="80"/>
      <c r="AI7738" s="80"/>
    </row>
    <row r="7739" spans="5:35" x14ac:dyDescent="0.25">
      <c r="E7739" s="16"/>
      <c r="F7739" s="16"/>
      <c r="H7739" s="16"/>
      <c r="AG7739" s="80"/>
      <c r="AH7739" s="80"/>
      <c r="AI7739" s="80"/>
    </row>
    <row r="7740" spans="5:35" x14ac:dyDescent="0.25">
      <c r="E7740" s="16"/>
      <c r="F7740" s="16"/>
      <c r="H7740" s="16"/>
      <c r="AG7740" s="80"/>
      <c r="AH7740" s="80"/>
      <c r="AI7740" s="80"/>
    </row>
    <row r="7741" spans="5:35" x14ac:dyDescent="0.25">
      <c r="E7741" s="16"/>
      <c r="F7741" s="16"/>
      <c r="H7741" s="16"/>
      <c r="AG7741" s="80"/>
      <c r="AH7741" s="80"/>
      <c r="AI7741" s="80"/>
    </row>
    <row r="7742" spans="5:35" x14ac:dyDescent="0.25">
      <c r="E7742" s="16"/>
      <c r="F7742" s="16"/>
      <c r="H7742" s="16"/>
      <c r="AG7742" s="80"/>
      <c r="AH7742" s="80"/>
      <c r="AI7742" s="80"/>
    </row>
    <row r="7743" spans="5:35" x14ac:dyDescent="0.25">
      <c r="E7743" s="16"/>
      <c r="F7743" s="16"/>
      <c r="H7743" s="16"/>
      <c r="AG7743" s="80"/>
      <c r="AH7743" s="80"/>
      <c r="AI7743" s="80"/>
    </row>
    <row r="7744" spans="5:35" x14ac:dyDescent="0.25">
      <c r="E7744" s="16"/>
      <c r="F7744" s="16"/>
      <c r="H7744" s="16"/>
      <c r="AG7744" s="80"/>
      <c r="AH7744" s="80"/>
      <c r="AI7744" s="80"/>
    </row>
    <row r="7745" spans="5:35" x14ac:dyDescent="0.25">
      <c r="E7745" s="16"/>
      <c r="F7745" s="16"/>
      <c r="H7745" s="16"/>
      <c r="AG7745" s="80"/>
      <c r="AH7745" s="80"/>
      <c r="AI7745" s="80"/>
    </row>
    <row r="7746" spans="5:35" x14ac:dyDescent="0.25">
      <c r="E7746" s="16"/>
      <c r="F7746" s="16"/>
      <c r="H7746" s="16"/>
      <c r="AG7746" s="80"/>
      <c r="AH7746" s="80"/>
      <c r="AI7746" s="80"/>
    </row>
    <row r="7747" spans="5:35" x14ac:dyDescent="0.25">
      <c r="E7747" s="16"/>
      <c r="F7747" s="16"/>
      <c r="H7747" s="16"/>
      <c r="AG7747" s="80"/>
      <c r="AH7747" s="80"/>
      <c r="AI7747" s="80"/>
    </row>
    <row r="7748" spans="5:35" x14ac:dyDescent="0.25">
      <c r="E7748" s="16"/>
      <c r="F7748" s="16"/>
      <c r="H7748" s="16"/>
      <c r="AG7748" s="80"/>
      <c r="AH7748" s="80"/>
      <c r="AI7748" s="80"/>
    </row>
    <row r="7749" spans="5:35" x14ac:dyDescent="0.25">
      <c r="E7749" s="16"/>
      <c r="F7749" s="16"/>
      <c r="H7749" s="16"/>
      <c r="AG7749" s="80"/>
      <c r="AH7749" s="80"/>
      <c r="AI7749" s="80"/>
    </row>
    <row r="7750" spans="5:35" x14ac:dyDescent="0.25">
      <c r="E7750" s="16"/>
      <c r="F7750" s="16"/>
      <c r="H7750" s="16"/>
      <c r="AG7750" s="80"/>
      <c r="AH7750" s="80"/>
      <c r="AI7750" s="80"/>
    </row>
    <row r="7751" spans="5:35" x14ac:dyDescent="0.25">
      <c r="E7751" s="16"/>
      <c r="F7751" s="16"/>
      <c r="H7751" s="16"/>
      <c r="AG7751" s="80"/>
      <c r="AH7751" s="80"/>
      <c r="AI7751" s="80"/>
    </row>
    <row r="7752" spans="5:35" x14ac:dyDescent="0.25">
      <c r="E7752" s="16"/>
      <c r="F7752" s="16"/>
      <c r="H7752" s="16"/>
      <c r="AG7752" s="80"/>
      <c r="AH7752" s="80"/>
      <c r="AI7752" s="80"/>
    </row>
    <row r="7753" spans="5:35" x14ac:dyDescent="0.25">
      <c r="E7753" s="16"/>
      <c r="F7753" s="16"/>
      <c r="H7753" s="16"/>
      <c r="AG7753" s="80"/>
      <c r="AH7753" s="80"/>
      <c r="AI7753" s="80"/>
    </row>
    <row r="7754" spans="5:35" x14ac:dyDescent="0.25">
      <c r="E7754" s="16"/>
      <c r="F7754" s="16"/>
      <c r="H7754" s="16"/>
      <c r="AG7754" s="80"/>
      <c r="AH7754" s="80"/>
      <c r="AI7754" s="80"/>
    </row>
    <row r="7755" spans="5:35" x14ac:dyDescent="0.25">
      <c r="E7755" s="16"/>
      <c r="F7755" s="16"/>
      <c r="H7755" s="16"/>
      <c r="AG7755" s="80"/>
      <c r="AH7755" s="80"/>
      <c r="AI7755" s="80"/>
    </row>
    <row r="7756" spans="5:35" x14ac:dyDescent="0.25">
      <c r="E7756" s="16"/>
      <c r="F7756" s="16"/>
      <c r="H7756" s="16"/>
      <c r="AG7756" s="80"/>
      <c r="AH7756" s="80"/>
      <c r="AI7756" s="80"/>
    </row>
    <row r="7757" spans="5:35" x14ac:dyDescent="0.25">
      <c r="E7757" s="16"/>
      <c r="F7757" s="16"/>
      <c r="H7757" s="16"/>
      <c r="AG7757" s="80"/>
      <c r="AH7757" s="80"/>
      <c r="AI7757" s="80"/>
    </row>
    <row r="7758" spans="5:35" x14ac:dyDescent="0.25">
      <c r="E7758" s="16"/>
      <c r="F7758" s="16"/>
      <c r="H7758" s="16"/>
      <c r="AG7758" s="80"/>
      <c r="AH7758" s="80"/>
      <c r="AI7758" s="80"/>
    </row>
    <row r="7759" spans="5:35" x14ac:dyDescent="0.25">
      <c r="E7759" s="16"/>
      <c r="F7759" s="16"/>
      <c r="H7759" s="16"/>
      <c r="AG7759" s="80"/>
      <c r="AH7759" s="80"/>
      <c r="AI7759" s="80"/>
    </row>
    <row r="7760" spans="5:35" x14ac:dyDescent="0.25">
      <c r="E7760" s="16"/>
      <c r="F7760" s="16"/>
      <c r="H7760" s="16"/>
      <c r="AG7760" s="80"/>
      <c r="AH7760" s="80"/>
      <c r="AI7760" s="80"/>
    </row>
    <row r="7761" spans="5:35" x14ac:dyDescent="0.25">
      <c r="E7761" s="16"/>
      <c r="F7761" s="16"/>
      <c r="H7761" s="16"/>
      <c r="AG7761" s="80"/>
      <c r="AH7761" s="80"/>
      <c r="AI7761" s="80"/>
    </row>
    <row r="7762" spans="5:35" x14ac:dyDescent="0.25">
      <c r="E7762" s="16"/>
      <c r="F7762" s="16"/>
      <c r="H7762" s="16"/>
      <c r="AG7762" s="80"/>
      <c r="AH7762" s="80"/>
      <c r="AI7762" s="80"/>
    </row>
    <row r="7763" spans="5:35" x14ac:dyDescent="0.25">
      <c r="E7763" s="16"/>
      <c r="F7763" s="16"/>
      <c r="H7763" s="16"/>
      <c r="AG7763" s="80"/>
      <c r="AH7763" s="80"/>
      <c r="AI7763" s="80"/>
    </row>
    <row r="7764" spans="5:35" x14ac:dyDescent="0.25">
      <c r="E7764" s="16"/>
      <c r="F7764" s="16"/>
      <c r="H7764" s="16"/>
      <c r="AG7764" s="80"/>
      <c r="AH7764" s="80"/>
      <c r="AI7764" s="80"/>
    </row>
    <row r="7765" spans="5:35" x14ac:dyDescent="0.25">
      <c r="E7765" s="16"/>
      <c r="F7765" s="16"/>
      <c r="H7765" s="16"/>
      <c r="AG7765" s="80"/>
      <c r="AH7765" s="80"/>
      <c r="AI7765" s="80"/>
    </row>
    <row r="7766" spans="5:35" x14ac:dyDescent="0.25">
      <c r="E7766" s="16"/>
      <c r="F7766" s="16"/>
      <c r="H7766" s="16"/>
      <c r="AG7766" s="80"/>
      <c r="AH7766" s="80"/>
      <c r="AI7766" s="80"/>
    </row>
    <row r="7767" spans="5:35" x14ac:dyDescent="0.25">
      <c r="E7767" s="16"/>
      <c r="F7767" s="16"/>
      <c r="H7767" s="16"/>
      <c r="AG7767" s="80"/>
      <c r="AH7767" s="80"/>
      <c r="AI7767" s="80"/>
    </row>
    <row r="7768" spans="5:35" x14ac:dyDescent="0.25">
      <c r="E7768" s="16"/>
      <c r="F7768" s="16"/>
      <c r="H7768" s="16"/>
      <c r="AG7768" s="80"/>
      <c r="AH7768" s="80"/>
      <c r="AI7768" s="80"/>
    </row>
    <row r="7769" spans="5:35" x14ac:dyDescent="0.25">
      <c r="E7769" s="16"/>
      <c r="F7769" s="16"/>
      <c r="H7769" s="16"/>
      <c r="AG7769" s="80"/>
      <c r="AH7769" s="80"/>
      <c r="AI7769" s="80"/>
    </row>
    <row r="7770" spans="5:35" x14ac:dyDescent="0.25">
      <c r="E7770" s="16"/>
      <c r="F7770" s="16"/>
      <c r="H7770" s="16"/>
      <c r="AG7770" s="80"/>
      <c r="AH7770" s="80"/>
      <c r="AI7770" s="80"/>
    </row>
    <row r="7771" spans="5:35" x14ac:dyDescent="0.25">
      <c r="E7771" s="16"/>
      <c r="F7771" s="16"/>
      <c r="H7771" s="16"/>
      <c r="AG7771" s="80"/>
      <c r="AH7771" s="80"/>
      <c r="AI7771" s="80"/>
    </row>
    <row r="7772" spans="5:35" x14ac:dyDescent="0.25">
      <c r="E7772" s="16"/>
      <c r="F7772" s="16"/>
      <c r="H7772" s="16"/>
      <c r="AG7772" s="80"/>
      <c r="AH7772" s="80"/>
      <c r="AI7772" s="80"/>
    </row>
    <row r="7773" spans="5:35" x14ac:dyDescent="0.25">
      <c r="E7773" s="16"/>
      <c r="F7773" s="16"/>
      <c r="H7773" s="16"/>
      <c r="AG7773" s="80"/>
      <c r="AH7773" s="80"/>
      <c r="AI7773" s="80"/>
    </row>
    <row r="7774" spans="5:35" x14ac:dyDescent="0.25">
      <c r="E7774" s="16"/>
      <c r="F7774" s="16"/>
      <c r="H7774" s="16"/>
      <c r="AG7774" s="80"/>
      <c r="AH7774" s="80"/>
      <c r="AI7774" s="80"/>
    </row>
    <row r="7775" spans="5:35" x14ac:dyDescent="0.25">
      <c r="E7775" s="16"/>
      <c r="F7775" s="16"/>
      <c r="H7775" s="16"/>
      <c r="AG7775" s="80"/>
      <c r="AH7775" s="80"/>
      <c r="AI7775" s="80"/>
    </row>
    <row r="7776" spans="5:35" x14ac:dyDescent="0.25">
      <c r="E7776" s="16"/>
      <c r="F7776" s="16"/>
      <c r="H7776" s="16"/>
      <c r="AG7776" s="80"/>
      <c r="AH7776" s="80"/>
      <c r="AI7776" s="80"/>
    </row>
    <row r="7777" spans="5:35" x14ac:dyDescent="0.25">
      <c r="E7777" s="16"/>
      <c r="F7777" s="16"/>
      <c r="H7777" s="16"/>
      <c r="AG7777" s="80"/>
      <c r="AH7777" s="80"/>
      <c r="AI7777" s="80"/>
    </row>
    <row r="7778" spans="5:35" x14ac:dyDescent="0.25">
      <c r="E7778" s="16"/>
      <c r="F7778" s="16"/>
      <c r="H7778" s="16"/>
      <c r="AG7778" s="80"/>
      <c r="AH7778" s="80"/>
      <c r="AI7778" s="80"/>
    </row>
    <row r="7779" spans="5:35" x14ac:dyDescent="0.25">
      <c r="E7779" s="16"/>
      <c r="F7779" s="16"/>
      <c r="H7779" s="16"/>
      <c r="AG7779" s="80"/>
      <c r="AH7779" s="80"/>
      <c r="AI7779" s="80"/>
    </row>
    <row r="7780" spans="5:35" x14ac:dyDescent="0.25">
      <c r="E7780" s="16"/>
      <c r="F7780" s="16"/>
      <c r="H7780" s="16"/>
      <c r="AG7780" s="80"/>
      <c r="AH7780" s="80"/>
      <c r="AI7780" s="80"/>
    </row>
    <row r="7781" spans="5:35" x14ac:dyDescent="0.25">
      <c r="E7781" s="16"/>
      <c r="F7781" s="16"/>
      <c r="H7781" s="16"/>
      <c r="AG7781" s="80"/>
      <c r="AH7781" s="80"/>
      <c r="AI7781" s="80"/>
    </row>
    <row r="7782" spans="5:35" x14ac:dyDescent="0.25">
      <c r="E7782" s="16"/>
      <c r="F7782" s="16"/>
      <c r="H7782" s="16"/>
      <c r="AG7782" s="80"/>
      <c r="AH7782" s="80"/>
      <c r="AI7782" s="80"/>
    </row>
    <row r="7783" spans="5:35" x14ac:dyDescent="0.25">
      <c r="E7783" s="16"/>
      <c r="F7783" s="16"/>
      <c r="H7783" s="16"/>
      <c r="AG7783" s="80"/>
      <c r="AH7783" s="80"/>
      <c r="AI7783" s="80"/>
    </row>
    <row r="7784" spans="5:35" x14ac:dyDescent="0.25">
      <c r="E7784" s="16"/>
      <c r="F7784" s="16"/>
      <c r="H7784" s="16"/>
      <c r="AG7784" s="80"/>
      <c r="AH7784" s="80"/>
      <c r="AI7784" s="80"/>
    </row>
    <row r="7785" spans="5:35" x14ac:dyDescent="0.25">
      <c r="E7785" s="16"/>
      <c r="F7785" s="16"/>
      <c r="H7785" s="16"/>
      <c r="AG7785" s="80"/>
      <c r="AH7785" s="80"/>
      <c r="AI7785" s="80"/>
    </row>
    <row r="7786" spans="5:35" x14ac:dyDescent="0.25">
      <c r="E7786" s="16"/>
      <c r="F7786" s="16"/>
      <c r="H7786" s="16"/>
      <c r="AG7786" s="80"/>
      <c r="AH7786" s="80"/>
      <c r="AI7786" s="80"/>
    </row>
    <row r="7787" spans="5:35" x14ac:dyDescent="0.25">
      <c r="E7787" s="16"/>
      <c r="F7787" s="16"/>
      <c r="H7787" s="16"/>
      <c r="AG7787" s="80"/>
      <c r="AH7787" s="80"/>
      <c r="AI7787" s="80"/>
    </row>
    <row r="7788" spans="5:35" x14ac:dyDescent="0.25">
      <c r="E7788" s="16"/>
      <c r="F7788" s="16"/>
      <c r="H7788" s="16"/>
      <c r="AG7788" s="80"/>
      <c r="AH7788" s="80"/>
      <c r="AI7788" s="80"/>
    </row>
    <row r="7789" spans="5:35" x14ac:dyDescent="0.25">
      <c r="E7789" s="16"/>
      <c r="F7789" s="16"/>
      <c r="H7789" s="16"/>
      <c r="AG7789" s="80"/>
      <c r="AH7789" s="80"/>
      <c r="AI7789" s="80"/>
    </row>
    <row r="7790" spans="5:35" x14ac:dyDescent="0.25">
      <c r="E7790" s="16"/>
      <c r="F7790" s="16"/>
      <c r="H7790" s="16"/>
      <c r="AG7790" s="80"/>
      <c r="AH7790" s="80"/>
      <c r="AI7790" s="80"/>
    </row>
    <row r="7791" spans="5:35" x14ac:dyDescent="0.25">
      <c r="E7791" s="16"/>
      <c r="F7791" s="16"/>
      <c r="H7791" s="16"/>
      <c r="AG7791" s="80"/>
      <c r="AH7791" s="80"/>
      <c r="AI7791" s="80"/>
    </row>
    <row r="7792" spans="5:35" x14ac:dyDescent="0.25">
      <c r="E7792" s="16"/>
      <c r="F7792" s="16"/>
      <c r="H7792" s="16"/>
      <c r="AG7792" s="80"/>
      <c r="AH7792" s="80"/>
      <c r="AI7792" s="80"/>
    </row>
    <row r="7793" spans="5:35" x14ac:dyDescent="0.25">
      <c r="E7793" s="16"/>
      <c r="F7793" s="16"/>
      <c r="H7793" s="16"/>
      <c r="AG7793" s="80"/>
      <c r="AH7793" s="80"/>
      <c r="AI7793" s="80"/>
    </row>
    <row r="7794" spans="5:35" x14ac:dyDescent="0.25">
      <c r="E7794" s="16"/>
      <c r="F7794" s="16"/>
      <c r="H7794" s="16"/>
      <c r="AG7794" s="80"/>
      <c r="AH7794" s="80"/>
      <c r="AI7794" s="80"/>
    </row>
    <row r="7795" spans="5:35" x14ac:dyDescent="0.25">
      <c r="E7795" s="16"/>
      <c r="F7795" s="16"/>
      <c r="H7795" s="16"/>
      <c r="AG7795" s="80"/>
      <c r="AH7795" s="80"/>
      <c r="AI7795" s="80"/>
    </row>
    <row r="7796" spans="5:35" x14ac:dyDescent="0.25">
      <c r="E7796" s="16"/>
      <c r="F7796" s="16"/>
      <c r="H7796" s="16"/>
      <c r="AG7796" s="80"/>
      <c r="AH7796" s="80"/>
      <c r="AI7796" s="80"/>
    </row>
    <row r="7797" spans="5:35" x14ac:dyDescent="0.25">
      <c r="E7797" s="16"/>
      <c r="F7797" s="16"/>
      <c r="H7797" s="16"/>
      <c r="AG7797" s="80"/>
      <c r="AH7797" s="80"/>
      <c r="AI7797" s="80"/>
    </row>
    <row r="7798" spans="5:35" x14ac:dyDescent="0.25">
      <c r="E7798" s="16"/>
      <c r="F7798" s="16"/>
      <c r="H7798" s="16"/>
      <c r="AG7798" s="80"/>
      <c r="AH7798" s="80"/>
      <c r="AI7798" s="80"/>
    </row>
    <row r="7799" spans="5:35" x14ac:dyDescent="0.25">
      <c r="E7799" s="16"/>
      <c r="F7799" s="16"/>
      <c r="H7799" s="16"/>
      <c r="AG7799" s="80"/>
      <c r="AH7799" s="80"/>
      <c r="AI7799" s="80"/>
    </row>
    <row r="7800" spans="5:35" x14ac:dyDescent="0.25">
      <c r="E7800" s="16"/>
      <c r="F7800" s="16"/>
      <c r="H7800" s="16"/>
      <c r="AG7800" s="80"/>
      <c r="AH7800" s="80"/>
      <c r="AI7800" s="80"/>
    </row>
    <row r="7801" spans="5:35" x14ac:dyDescent="0.25">
      <c r="E7801" s="16"/>
      <c r="F7801" s="16"/>
      <c r="H7801" s="16"/>
      <c r="AG7801" s="80"/>
      <c r="AH7801" s="80"/>
      <c r="AI7801" s="80"/>
    </row>
    <row r="7802" spans="5:35" x14ac:dyDescent="0.25">
      <c r="E7802" s="16"/>
      <c r="F7802" s="16"/>
      <c r="H7802" s="16"/>
      <c r="AG7802" s="80"/>
      <c r="AH7802" s="80"/>
      <c r="AI7802" s="80"/>
    </row>
    <row r="7803" spans="5:35" x14ac:dyDescent="0.25">
      <c r="E7803" s="16"/>
      <c r="F7803" s="16"/>
      <c r="H7803" s="16"/>
      <c r="AG7803" s="80"/>
      <c r="AH7803" s="80"/>
      <c r="AI7803" s="80"/>
    </row>
    <row r="7804" spans="5:35" x14ac:dyDescent="0.25">
      <c r="E7804" s="16"/>
      <c r="F7804" s="16"/>
      <c r="H7804" s="16"/>
      <c r="AG7804" s="80"/>
      <c r="AH7804" s="80"/>
      <c r="AI7804" s="80"/>
    </row>
    <row r="7805" spans="5:35" x14ac:dyDescent="0.25">
      <c r="E7805" s="16"/>
      <c r="F7805" s="16"/>
      <c r="H7805" s="16"/>
      <c r="AG7805" s="80"/>
      <c r="AH7805" s="80"/>
      <c r="AI7805" s="80"/>
    </row>
    <row r="7806" spans="5:35" x14ac:dyDescent="0.25">
      <c r="E7806" s="16"/>
      <c r="F7806" s="16"/>
      <c r="H7806" s="16"/>
      <c r="AG7806" s="80"/>
      <c r="AH7806" s="80"/>
      <c r="AI7806" s="80"/>
    </row>
    <row r="7807" spans="5:35" x14ac:dyDescent="0.25">
      <c r="E7807" s="16"/>
      <c r="F7807" s="16"/>
      <c r="H7807" s="16"/>
      <c r="AG7807" s="80"/>
      <c r="AH7807" s="80"/>
      <c r="AI7807" s="80"/>
    </row>
    <row r="7808" spans="5:35" x14ac:dyDescent="0.25">
      <c r="E7808" s="16"/>
      <c r="F7808" s="16"/>
      <c r="H7808" s="16"/>
      <c r="AG7808" s="80"/>
      <c r="AH7808" s="80"/>
      <c r="AI7808" s="80"/>
    </row>
    <row r="7809" spans="5:35" x14ac:dyDescent="0.25">
      <c r="E7809" s="16"/>
      <c r="F7809" s="16"/>
      <c r="H7809" s="16"/>
      <c r="AG7809" s="80"/>
      <c r="AH7809" s="80"/>
      <c r="AI7809" s="80"/>
    </row>
    <row r="7810" spans="5:35" x14ac:dyDescent="0.25">
      <c r="E7810" s="16"/>
      <c r="F7810" s="16"/>
      <c r="H7810" s="16"/>
      <c r="AG7810" s="80"/>
      <c r="AH7810" s="80"/>
      <c r="AI7810" s="80"/>
    </row>
    <row r="7811" spans="5:35" x14ac:dyDescent="0.25">
      <c r="E7811" s="16"/>
      <c r="F7811" s="16"/>
      <c r="H7811" s="16"/>
      <c r="AG7811" s="80"/>
      <c r="AH7811" s="80"/>
      <c r="AI7811" s="80"/>
    </row>
    <row r="7812" spans="5:35" x14ac:dyDescent="0.25">
      <c r="E7812" s="16"/>
      <c r="F7812" s="16"/>
      <c r="H7812" s="16"/>
      <c r="AG7812" s="80"/>
      <c r="AH7812" s="80"/>
      <c r="AI7812" s="80"/>
    </row>
    <row r="7813" spans="5:35" x14ac:dyDescent="0.25">
      <c r="E7813" s="16"/>
      <c r="F7813" s="16"/>
      <c r="H7813" s="16"/>
      <c r="AG7813" s="80"/>
      <c r="AH7813" s="80"/>
      <c r="AI7813" s="80"/>
    </row>
    <row r="7814" spans="5:35" x14ac:dyDescent="0.25">
      <c r="E7814" s="16"/>
      <c r="F7814" s="16"/>
      <c r="H7814" s="16"/>
      <c r="AG7814" s="80"/>
      <c r="AH7814" s="80"/>
      <c r="AI7814" s="80"/>
    </row>
    <row r="7815" spans="5:35" x14ac:dyDescent="0.25">
      <c r="E7815" s="16"/>
      <c r="F7815" s="16"/>
      <c r="H7815" s="16"/>
      <c r="AG7815" s="80"/>
      <c r="AH7815" s="80"/>
      <c r="AI7815" s="80"/>
    </row>
    <row r="7816" spans="5:35" x14ac:dyDescent="0.25">
      <c r="E7816" s="16"/>
      <c r="F7816" s="16"/>
      <c r="H7816" s="16"/>
      <c r="AG7816" s="80"/>
      <c r="AH7816" s="80"/>
      <c r="AI7816" s="80"/>
    </row>
    <row r="7817" spans="5:35" x14ac:dyDescent="0.25">
      <c r="E7817" s="16"/>
      <c r="F7817" s="16"/>
      <c r="H7817" s="16"/>
      <c r="AG7817" s="80"/>
      <c r="AH7817" s="80"/>
      <c r="AI7817" s="80"/>
    </row>
    <row r="7818" spans="5:35" x14ac:dyDescent="0.25">
      <c r="E7818" s="16"/>
      <c r="F7818" s="16"/>
      <c r="H7818" s="16"/>
      <c r="AG7818" s="80"/>
      <c r="AH7818" s="80"/>
      <c r="AI7818" s="80"/>
    </row>
    <row r="7819" spans="5:35" x14ac:dyDescent="0.25">
      <c r="E7819" s="16"/>
      <c r="F7819" s="16"/>
      <c r="H7819" s="16"/>
      <c r="AG7819" s="80"/>
      <c r="AH7819" s="80"/>
      <c r="AI7819" s="80"/>
    </row>
    <row r="7820" spans="5:35" x14ac:dyDescent="0.25">
      <c r="E7820" s="16"/>
      <c r="F7820" s="16"/>
      <c r="H7820" s="16"/>
      <c r="AG7820" s="80"/>
      <c r="AH7820" s="80"/>
      <c r="AI7820" s="80"/>
    </row>
    <row r="7821" spans="5:35" x14ac:dyDescent="0.25">
      <c r="E7821" s="16"/>
      <c r="F7821" s="16"/>
      <c r="H7821" s="16"/>
      <c r="AG7821" s="80"/>
      <c r="AH7821" s="80"/>
      <c r="AI7821" s="80"/>
    </row>
    <row r="7822" spans="5:35" x14ac:dyDescent="0.25">
      <c r="E7822" s="16"/>
      <c r="F7822" s="16"/>
      <c r="H7822" s="16"/>
      <c r="AG7822" s="80"/>
      <c r="AH7822" s="80"/>
      <c r="AI7822" s="80"/>
    </row>
    <row r="7823" spans="5:35" x14ac:dyDescent="0.25">
      <c r="E7823" s="16"/>
      <c r="F7823" s="16"/>
      <c r="H7823" s="16"/>
      <c r="AG7823" s="80"/>
      <c r="AH7823" s="80"/>
      <c r="AI7823" s="80"/>
    </row>
    <row r="7824" spans="5:35" x14ac:dyDescent="0.25">
      <c r="E7824" s="16"/>
      <c r="F7824" s="16"/>
      <c r="H7824" s="16"/>
      <c r="AG7824" s="80"/>
      <c r="AH7824" s="80"/>
      <c r="AI7824" s="80"/>
    </row>
    <row r="7825" spans="5:35" x14ac:dyDescent="0.25">
      <c r="E7825" s="16"/>
      <c r="F7825" s="16"/>
      <c r="H7825" s="16"/>
      <c r="AG7825" s="80"/>
      <c r="AH7825" s="80"/>
      <c r="AI7825" s="80"/>
    </row>
    <row r="7826" spans="5:35" x14ac:dyDescent="0.25">
      <c r="E7826" s="16"/>
      <c r="F7826" s="16"/>
      <c r="H7826" s="16"/>
      <c r="AG7826" s="80"/>
      <c r="AH7826" s="80"/>
      <c r="AI7826" s="80"/>
    </row>
    <row r="7827" spans="5:35" x14ac:dyDescent="0.25">
      <c r="E7827" s="16"/>
      <c r="F7827" s="16"/>
      <c r="H7827" s="16"/>
      <c r="AG7827" s="80"/>
      <c r="AH7827" s="80"/>
      <c r="AI7827" s="80"/>
    </row>
    <row r="7828" spans="5:35" x14ac:dyDescent="0.25">
      <c r="E7828" s="16"/>
      <c r="F7828" s="16"/>
      <c r="H7828" s="16"/>
      <c r="AG7828" s="80"/>
      <c r="AH7828" s="80"/>
      <c r="AI7828" s="80"/>
    </row>
    <row r="7829" spans="5:35" x14ac:dyDescent="0.25">
      <c r="E7829" s="16"/>
      <c r="F7829" s="16"/>
      <c r="H7829" s="16"/>
      <c r="AG7829" s="80"/>
      <c r="AH7829" s="80"/>
      <c r="AI7829" s="80"/>
    </row>
    <row r="7830" spans="5:35" x14ac:dyDescent="0.25">
      <c r="E7830" s="16"/>
      <c r="F7830" s="16"/>
      <c r="H7830" s="16"/>
      <c r="AG7830" s="80"/>
      <c r="AH7830" s="80"/>
      <c r="AI7830" s="80"/>
    </row>
    <row r="7831" spans="5:35" x14ac:dyDescent="0.25">
      <c r="E7831" s="16"/>
      <c r="F7831" s="16"/>
      <c r="H7831" s="16"/>
      <c r="AG7831" s="80"/>
      <c r="AH7831" s="80"/>
      <c r="AI7831" s="80"/>
    </row>
    <row r="7832" spans="5:35" x14ac:dyDescent="0.25">
      <c r="E7832" s="16"/>
      <c r="F7832" s="16"/>
      <c r="H7832" s="16"/>
      <c r="AG7832" s="80"/>
      <c r="AH7832" s="80"/>
      <c r="AI7832" s="80"/>
    </row>
    <row r="7833" spans="5:35" x14ac:dyDescent="0.25">
      <c r="E7833" s="16"/>
      <c r="F7833" s="16"/>
      <c r="H7833" s="16"/>
      <c r="AG7833" s="80"/>
      <c r="AH7833" s="80"/>
      <c r="AI7833" s="80"/>
    </row>
    <row r="7834" spans="5:35" x14ac:dyDescent="0.25">
      <c r="E7834" s="16"/>
      <c r="F7834" s="16"/>
      <c r="H7834" s="16"/>
      <c r="AG7834" s="80"/>
      <c r="AH7834" s="80"/>
      <c r="AI7834" s="80"/>
    </row>
    <row r="7835" spans="5:35" x14ac:dyDescent="0.25">
      <c r="E7835" s="16"/>
      <c r="F7835" s="16"/>
      <c r="H7835" s="16"/>
      <c r="AG7835" s="80"/>
      <c r="AH7835" s="80"/>
      <c r="AI7835" s="80"/>
    </row>
    <row r="7836" spans="5:35" x14ac:dyDescent="0.25">
      <c r="E7836" s="16"/>
      <c r="F7836" s="16"/>
      <c r="H7836" s="16"/>
      <c r="AG7836" s="80"/>
      <c r="AH7836" s="80"/>
      <c r="AI7836" s="80"/>
    </row>
    <row r="7837" spans="5:35" x14ac:dyDescent="0.25">
      <c r="E7837" s="16"/>
      <c r="F7837" s="16"/>
      <c r="H7837" s="16"/>
      <c r="AG7837" s="80"/>
      <c r="AH7837" s="80"/>
      <c r="AI7837" s="80"/>
    </row>
    <row r="7838" spans="5:35" x14ac:dyDescent="0.25">
      <c r="E7838" s="16"/>
      <c r="F7838" s="16"/>
      <c r="H7838" s="16"/>
      <c r="AG7838" s="80"/>
      <c r="AH7838" s="80"/>
      <c r="AI7838" s="80"/>
    </row>
    <row r="7839" spans="5:35" x14ac:dyDescent="0.25">
      <c r="E7839" s="16"/>
      <c r="F7839" s="16"/>
      <c r="H7839" s="16"/>
      <c r="AG7839" s="80"/>
      <c r="AH7839" s="80"/>
      <c r="AI7839" s="80"/>
    </row>
    <row r="7840" spans="5:35" x14ac:dyDescent="0.25">
      <c r="E7840" s="16"/>
      <c r="F7840" s="16"/>
      <c r="H7840" s="16"/>
      <c r="AG7840" s="80"/>
      <c r="AH7840" s="80"/>
      <c r="AI7840" s="80"/>
    </row>
    <row r="7841" spans="5:35" x14ac:dyDescent="0.25">
      <c r="E7841" s="16"/>
      <c r="F7841" s="16"/>
      <c r="H7841" s="16"/>
      <c r="AG7841" s="80"/>
      <c r="AH7841" s="80"/>
      <c r="AI7841" s="80"/>
    </row>
    <row r="7842" spans="5:35" x14ac:dyDescent="0.25">
      <c r="E7842" s="16"/>
      <c r="F7842" s="16"/>
      <c r="H7842" s="16"/>
      <c r="AG7842" s="80"/>
      <c r="AH7842" s="80"/>
      <c r="AI7842" s="80"/>
    </row>
    <row r="7843" spans="5:35" x14ac:dyDescent="0.25">
      <c r="E7843" s="16"/>
      <c r="F7843" s="16"/>
      <c r="H7843" s="16"/>
      <c r="AG7843" s="80"/>
      <c r="AH7843" s="80"/>
      <c r="AI7843" s="80"/>
    </row>
    <row r="7844" spans="5:35" x14ac:dyDescent="0.25">
      <c r="E7844" s="16"/>
      <c r="F7844" s="16"/>
      <c r="H7844" s="16"/>
      <c r="AG7844" s="80"/>
      <c r="AH7844" s="80"/>
      <c r="AI7844" s="80"/>
    </row>
    <row r="7845" spans="5:35" x14ac:dyDescent="0.25">
      <c r="E7845" s="16"/>
      <c r="F7845" s="16"/>
      <c r="H7845" s="16"/>
      <c r="AG7845" s="80"/>
      <c r="AH7845" s="80"/>
      <c r="AI7845" s="80"/>
    </row>
    <row r="7846" spans="5:35" x14ac:dyDescent="0.25">
      <c r="E7846" s="16"/>
      <c r="F7846" s="16"/>
      <c r="H7846" s="16"/>
      <c r="AG7846" s="80"/>
      <c r="AH7846" s="80"/>
      <c r="AI7846" s="80"/>
    </row>
    <row r="7847" spans="5:35" x14ac:dyDescent="0.25">
      <c r="E7847" s="16"/>
      <c r="F7847" s="16"/>
      <c r="H7847" s="16"/>
      <c r="AG7847" s="80"/>
      <c r="AH7847" s="80"/>
      <c r="AI7847" s="80"/>
    </row>
    <row r="7848" spans="5:35" x14ac:dyDescent="0.25">
      <c r="E7848" s="16"/>
      <c r="F7848" s="16"/>
      <c r="H7848" s="16"/>
      <c r="AG7848" s="80"/>
      <c r="AH7848" s="80"/>
      <c r="AI7848" s="80"/>
    </row>
    <row r="7849" spans="5:35" x14ac:dyDescent="0.25">
      <c r="E7849" s="16"/>
      <c r="F7849" s="16"/>
      <c r="H7849" s="16"/>
      <c r="AG7849" s="80"/>
      <c r="AH7849" s="80"/>
      <c r="AI7849" s="80"/>
    </row>
    <row r="7850" spans="5:35" x14ac:dyDescent="0.25">
      <c r="E7850" s="16"/>
      <c r="F7850" s="16"/>
      <c r="H7850" s="16"/>
      <c r="AG7850" s="80"/>
      <c r="AH7850" s="80"/>
      <c r="AI7850" s="80"/>
    </row>
    <row r="7851" spans="5:35" x14ac:dyDescent="0.25">
      <c r="E7851" s="16"/>
      <c r="F7851" s="16"/>
      <c r="H7851" s="16"/>
      <c r="AG7851" s="80"/>
      <c r="AH7851" s="80"/>
      <c r="AI7851" s="80"/>
    </row>
    <row r="7852" spans="5:35" x14ac:dyDescent="0.25">
      <c r="E7852" s="16"/>
      <c r="F7852" s="16"/>
      <c r="H7852" s="16"/>
      <c r="AG7852" s="80"/>
      <c r="AH7852" s="80"/>
      <c r="AI7852" s="80"/>
    </row>
    <row r="7853" spans="5:35" x14ac:dyDescent="0.25">
      <c r="E7853" s="16"/>
      <c r="F7853" s="16"/>
      <c r="H7853" s="16"/>
      <c r="AG7853" s="80"/>
      <c r="AH7853" s="80"/>
      <c r="AI7853" s="80"/>
    </row>
    <row r="7854" spans="5:35" x14ac:dyDescent="0.25">
      <c r="E7854" s="16"/>
      <c r="F7854" s="16"/>
      <c r="H7854" s="16"/>
      <c r="AG7854" s="80"/>
      <c r="AH7854" s="80"/>
      <c r="AI7854" s="80"/>
    </row>
    <row r="7855" spans="5:35" x14ac:dyDescent="0.25">
      <c r="E7855" s="16"/>
      <c r="F7855" s="16"/>
      <c r="H7855" s="16"/>
      <c r="AG7855" s="80"/>
      <c r="AH7855" s="80"/>
      <c r="AI7855" s="80"/>
    </row>
    <row r="7856" spans="5:35" x14ac:dyDescent="0.25">
      <c r="E7856" s="16"/>
      <c r="F7856" s="16"/>
      <c r="H7856" s="16"/>
      <c r="AG7856" s="80"/>
      <c r="AH7856" s="80"/>
      <c r="AI7856" s="80"/>
    </row>
    <row r="7857" spans="5:35" x14ac:dyDescent="0.25">
      <c r="E7857" s="16"/>
      <c r="F7857" s="16"/>
      <c r="H7857" s="16"/>
      <c r="AG7857" s="80"/>
      <c r="AH7857" s="80"/>
      <c r="AI7857" s="80"/>
    </row>
    <row r="7858" spans="5:35" x14ac:dyDescent="0.25">
      <c r="E7858" s="16"/>
      <c r="F7858" s="16"/>
      <c r="H7858" s="16"/>
      <c r="AG7858" s="80"/>
      <c r="AH7858" s="80"/>
      <c r="AI7858" s="80"/>
    </row>
    <row r="7859" spans="5:35" x14ac:dyDescent="0.25">
      <c r="E7859" s="16"/>
      <c r="F7859" s="16"/>
      <c r="H7859" s="16"/>
      <c r="AG7859" s="80"/>
      <c r="AH7859" s="80"/>
      <c r="AI7859" s="80"/>
    </row>
    <row r="7860" spans="5:35" x14ac:dyDescent="0.25">
      <c r="E7860" s="16"/>
      <c r="F7860" s="16"/>
      <c r="H7860" s="16"/>
      <c r="AG7860" s="80"/>
      <c r="AH7860" s="80"/>
      <c r="AI7860" s="80"/>
    </row>
    <row r="7861" spans="5:35" x14ac:dyDescent="0.25">
      <c r="E7861" s="16"/>
      <c r="F7861" s="16"/>
      <c r="H7861" s="16"/>
      <c r="AG7861" s="80"/>
      <c r="AH7861" s="80"/>
      <c r="AI7861" s="80"/>
    </row>
    <row r="7862" spans="5:35" x14ac:dyDescent="0.25">
      <c r="E7862" s="16"/>
      <c r="F7862" s="16"/>
      <c r="H7862" s="16"/>
      <c r="AG7862" s="80"/>
      <c r="AH7862" s="80"/>
      <c r="AI7862" s="80"/>
    </row>
    <row r="7863" spans="5:35" x14ac:dyDescent="0.25">
      <c r="E7863" s="16"/>
      <c r="F7863" s="16"/>
      <c r="H7863" s="16"/>
      <c r="AG7863" s="80"/>
      <c r="AH7863" s="80"/>
      <c r="AI7863" s="80"/>
    </row>
    <row r="7864" spans="5:35" x14ac:dyDescent="0.25">
      <c r="E7864" s="16"/>
      <c r="F7864" s="16"/>
      <c r="H7864" s="16"/>
      <c r="AG7864" s="80"/>
      <c r="AH7864" s="80"/>
      <c r="AI7864" s="80"/>
    </row>
    <row r="7865" spans="5:35" x14ac:dyDescent="0.25">
      <c r="E7865" s="16"/>
      <c r="F7865" s="16"/>
      <c r="H7865" s="16"/>
      <c r="AG7865" s="80"/>
      <c r="AH7865" s="80"/>
      <c r="AI7865" s="80"/>
    </row>
    <row r="7866" spans="5:35" x14ac:dyDescent="0.25">
      <c r="E7866" s="16"/>
      <c r="F7866" s="16"/>
      <c r="H7866" s="16"/>
      <c r="AG7866" s="80"/>
      <c r="AH7866" s="80"/>
      <c r="AI7866" s="80"/>
    </row>
    <row r="7867" spans="5:35" x14ac:dyDescent="0.25">
      <c r="E7867" s="16"/>
      <c r="F7867" s="16"/>
      <c r="H7867" s="16"/>
      <c r="AG7867" s="80"/>
      <c r="AH7867" s="80"/>
      <c r="AI7867" s="80"/>
    </row>
    <row r="7868" spans="5:35" x14ac:dyDescent="0.25">
      <c r="E7868" s="16"/>
      <c r="F7868" s="16"/>
      <c r="H7868" s="16"/>
      <c r="AG7868" s="80"/>
      <c r="AH7868" s="80"/>
      <c r="AI7868" s="80"/>
    </row>
    <row r="7869" spans="5:35" x14ac:dyDescent="0.25">
      <c r="E7869" s="16"/>
      <c r="F7869" s="16"/>
      <c r="H7869" s="16"/>
      <c r="AG7869" s="80"/>
      <c r="AH7869" s="80"/>
      <c r="AI7869" s="80"/>
    </row>
    <row r="7870" spans="5:35" x14ac:dyDescent="0.25">
      <c r="E7870" s="16"/>
      <c r="F7870" s="16"/>
      <c r="H7870" s="16"/>
      <c r="AG7870" s="80"/>
      <c r="AH7870" s="80"/>
      <c r="AI7870" s="80"/>
    </row>
    <row r="7871" spans="5:35" x14ac:dyDescent="0.25">
      <c r="E7871" s="16"/>
      <c r="F7871" s="16"/>
      <c r="H7871" s="16"/>
      <c r="AG7871" s="80"/>
      <c r="AH7871" s="80"/>
      <c r="AI7871" s="80"/>
    </row>
    <row r="7872" spans="5:35" x14ac:dyDescent="0.25">
      <c r="E7872" s="16"/>
      <c r="F7872" s="16"/>
      <c r="H7872" s="16"/>
      <c r="AG7872" s="80"/>
      <c r="AH7872" s="80"/>
      <c r="AI7872" s="80"/>
    </row>
    <row r="7873" spans="5:35" x14ac:dyDescent="0.25">
      <c r="E7873" s="16"/>
      <c r="F7873" s="16"/>
      <c r="H7873" s="16"/>
      <c r="AG7873" s="80"/>
      <c r="AH7873" s="80"/>
      <c r="AI7873" s="80"/>
    </row>
    <row r="7874" spans="5:35" x14ac:dyDescent="0.25">
      <c r="E7874" s="16"/>
      <c r="F7874" s="16"/>
      <c r="H7874" s="16"/>
      <c r="AG7874" s="80"/>
      <c r="AH7874" s="80"/>
      <c r="AI7874" s="80"/>
    </row>
    <row r="7875" spans="5:35" x14ac:dyDescent="0.25">
      <c r="E7875" s="16"/>
      <c r="F7875" s="16"/>
      <c r="H7875" s="16"/>
      <c r="AG7875" s="80"/>
      <c r="AH7875" s="80"/>
      <c r="AI7875" s="80"/>
    </row>
    <row r="7876" spans="5:35" x14ac:dyDescent="0.25">
      <c r="E7876" s="16"/>
      <c r="F7876" s="16"/>
      <c r="H7876" s="16"/>
      <c r="AG7876" s="80"/>
      <c r="AH7876" s="80"/>
      <c r="AI7876" s="80"/>
    </row>
    <row r="7877" spans="5:35" x14ac:dyDescent="0.25">
      <c r="E7877" s="16"/>
      <c r="F7877" s="16"/>
      <c r="H7877" s="16"/>
      <c r="AG7877" s="80"/>
      <c r="AH7877" s="80"/>
      <c r="AI7877" s="80"/>
    </row>
    <row r="7878" spans="5:35" x14ac:dyDescent="0.25">
      <c r="E7878" s="16"/>
      <c r="F7878" s="16"/>
      <c r="H7878" s="16"/>
      <c r="AG7878" s="80"/>
      <c r="AH7878" s="80"/>
      <c r="AI7878" s="80"/>
    </row>
    <row r="7879" spans="5:35" x14ac:dyDescent="0.25">
      <c r="E7879" s="16"/>
      <c r="F7879" s="16"/>
      <c r="H7879" s="16"/>
      <c r="AG7879" s="80"/>
      <c r="AH7879" s="80"/>
      <c r="AI7879" s="80"/>
    </row>
    <row r="7880" spans="5:35" x14ac:dyDescent="0.25">
      <c r="E7880" s="16"/>
      <c r="F7880" s="16"/>
      <c r="H7880" s="16"/>
      <c r="AG7880" s="80"/>
      <c r="AH7880" s="80"/>
      <c r="AI7880" s="80"/>
    </row>
    <row r="7881" spans="5:35" x14ac:dyDescent="0.25">
      <c r="E7881" s="16"/>
      <c r="F7881" s="16"/>
      <c r="H7881" s="16"/>
      <c r="AG7881" s="80"/>
      <c r="AH7881" s="80"/>
      <c r="AI7881" s="80"/>
    </row>
    <row r="7882" spans="5:35" x14ac:dyDescent="0.25">
      <c r="E7882" s="16"/>
      <c r="F7882" s="16"/>
      <c r="H7882" s="16"/>
      <c r="AG7882" s="80"/>
      <c r="AH7882" s="80"/>
      <c r="AI7882" s="80"/>
    </row>
    <row r="7883" spans="5:35" x14ac:dyDescent="0.25">
      <c r="E7883" s="16"/>
      <c r="F7883" s="16"/>
      <c r="H7883" s="16"/>
      <c r="AG7883" s="80"/>
      <c r="AH7883" s="80"/>
      <c r="AI7883" s="80"/>
    </row>
    <row r="7884" spans="5:35" x14ac:dyDescent="0.25">
      <c r="E7884" s="16"/>
      <c r="F7884" s="16"/>
      <c r="H7884" s="16"/>
      <c r="AG7884" s="80"/>
      <c r="AH7884" s="80"/>
      <c r="AI7884" s="80"/>
    </row>
    <row r="7885" spans="5:35" x14ac:dyDescent="0.25">
      <c r="E7885" s="16"/>
      <c r="F7885" s="16"/>
      <c r="H7885" s="16"/>
      <c r="AG7885" s="80"/>
      <c r="AH7885" s="80"/>
      <c r="AI7885" s="80"/>
    </row>
    <row r="7886" spans="5:35" x14ac:dyDescent="0.25">
      <c r="E7886" s="16"/>
      <c r="F7886" s="16"/>
      <c r="H7886" s="16"/>
      <c r="AG7886" s="80"/>
      <c r="AH7886" s="80"/>
      <c r="AI7886" s="80"/>
    </row>
    <row r="7887" spans="5:35" x14ac:dyDescent="0.25">
      <c r="E7887" s="16"/>
      <c r="F7887" s="16"/>
      <c r="H7887" s="16"/>
      <c r="AG7887" s="80"/>
      <c r="AH7887" s="80"/>
      <c r="AI7887" s="80"/>
    </row>
    <row r="7888" spans="5:35" x14ac:dyDescent="0.25">
      <c r="E7888" s="16"/>
      <c r="F7888" s="16"/>
      <c r="H7888" s="16"/>
      <c r="AG7888" s="80"/>
      <c r="AH7888" s="80"/>
      <c r="AI7888" s="80"/>
    </row>
    <row r="7889" spans="5:35" x14ac:dyDescent="0.25">
      <c r="E7889" s="16"/>
      <c r="F7889" s="16"/>
      <c r="H7889" s="16"/>
      <c r="AG7889" s="80"/>
      <c r="AH7889" s="80"/>
      <c r="AI7889" s="80"/>
    </row>
    <row r="7890" spans="5:35" x14ac:dyDescent="0.25">
      <c r="E7890" s="16"/>
      <c r="F7890" s="16"/>
      <c r="H7890" s="16"/>
      <c r="AG7890" s="80"/>
      <c r="AH7890" s="80"/>
      <c r="AI7890" s="80"/>
    </row>
    <row r="7891" spans="5:35" x14ac:dyDescent="0.25">
      <c r="E7891" s="16"/>
      <c r="F7891" s="16"/>
      <c r="H7891" s="16"/>
      <c r="AG7891" s="80"/>
      <c r="AH7891" s="80"/>
      <c r="AI7891" s="80"/>
    </row>
    <row r="7892" spans="5:35" x14ac:dyDescent="0.25">
      <c r="E7892" s="16"/>
      <c r="F7892" s="16"/>
      <c r="H7892" s="16"/>
      <c r="AG7892" s="80"/>
      <c r="AH7892" s="80"/>
      <c r="AI7892" s="80"/>
    </row>
    <row r="7893" spans="5:35" x14ac:dyDescent="0.25">
      <c r="E7893" s="16"/>
      <c r="F7893" s="16"/>
      <c r="H7893" s="16"/>
      <c r="AG7893" s="80"/>
      <c r="AH7893" s="80"/>
      <c r="AI7893" s="80"/>
    </row>
    <row r="7894" spans="5:35" x14ac:dyDescent="0.25">
      <c r="E7894" s="16"/>
      <c r="F7894" s="16"/>
      <c r="H7894" s="16"/>
      <c r="AG7894" s="80"/>
      <c r="AH7894" s="80"/>
      <c r="AI7894" s="80"/>
    </row>
    <row r="7895" spans="5:35" x14ac:dyDescent="0.25">
      <c r="E7895" s="16"/>
      <c r="F7895" s="16"/>
      <c r="H7895" s="16"/>
      <c r="AG7895" s="80"/>
      <c r="AH7895" s="80"/>
      <c r="AI7895" s="80"/>
    </row>
    <row r="7896" spans="5:35" x14ac:dyDescent="0.25">
      <c r="E7896" s="16"/>
      <c r="F7896" s="16"/>
      <c r="H7896" s="16"/>
      <c r="AG7896" s="80"/>
      <c r="AH7896" s="80"/>
      <c r="AI7896" s="80"/>
    </row>
    <row r="7897" spans="5:35" x14ac:dyDescent="0.25">
      <c r="E7897" s="16"/>
      <c r="F7897" s="16"/>
      <c r="H7897" s="16"/>
      <c r="AG7897" s="80"/>
      <c r="AH7897" s="80"/>
      <c r="AI7897" s="80"/>
    </row>
    <row r="7898" spans="5:35" x14ac:dyDescent="0.25">
      <c r="E7898" s="16"/>
      <c r="F7898" s="16"/>
      <c r="H7898" s="16"/>
      <c r="AG7898" s="80"/>
      <c r="AH7898" s="80"/>
      <c r="AI7898" s="80"/>
    </row>
    <row r="7899" spans="5:35" x14ac:dyDescent="0.25">
      <c r="E7899" s="16"/>
      <c r="F7899" s="16"/>
      <c r="H7899" s="16"/>
      <c r="AG7899" s="80"/>
      <c r="AH7899" s="80"/>
      <c r="AI7899" s="80"/>
    </row>
    <row r="7900" spans="5:35" x14ac:dyDescent="0.25">
      <c r="E7900" s="16"/>
      <c r="F7900" s="16"/>
      <c r="H7900" s="16"/>
      <c r="AG7900" s="80"/>
      <c r="AH7900" s="80"/>
      <c r="AI7900" s="80"/>
    </row>
    <row r="7901" spans="5:35" x14ac:dyDescent="0.25">
      <c r="E7901" s="16"/>
      <c r="F7901" s="16"/>
      <c r="H7901" s="16"/>
      <c r="AG7901" s="80"/>
      <c r="AH7901" s="80"/>
      <c r="AI7901" s="80"/>
    </row>
    <row r="7902" spans="5:35" x14ac:dyDescent="0.25">
      <c r="E7902" s="16"/>
      <c r="F7902" s="16"/>
      <c r="H7902" s="16"/>
      <c r="AG7902" s="80"/>
      <c r="AH7902" s="80"/>
      <c r="AI7902" s="80"/>
    </row>
    <row r="7903" spans="5:35" x14ac:dyDescent="0.25">
      <c r="E7903" s="16"/>
      <c r="F7903" s="16"/>
      <c r="H7903" s="16"/>
      <c r="AG7903" s="80"/>
      <c r="AH7903" s="80"/>
      <c r="AI7903" s="80"/>
    </row>
    <row r="7904" spans="5:35" x14ac:dyDescent="0.25">
      <c r="E7904" s="16"/>
      <c r="F7904" s="16"/>
      <c r="H7904" s="16"/>
      <c r="AG7904" s="80"/>
      <c r="AH7904" s="80"/>
      <c r="AI7904" s="80"/>
    </row>
    <row r="7905" spans="5:35" x14ac:dyDescent="0.25">
      <c r="E7905" s="16"/>
      <c r="F7905" s="16"/>
      <c r="H7905" s="16"/>
      <c r="AG7905" s="80"/>
      <c r="AH7905" s="80"/>
      <c r="AI7905" s="80"/>
    </row>
    <row r="7906" spans="5:35" x14ac:dyDescent="0.25">
      <c r="E7906" s="16"/>
      <c r="F7906" s="16"/>
      <c r="H7906" s="16"/>
      <c r="AG7906" s="80"/>
      <c r="AH7906" s="80"/>
      <c r="AI7906" s="80"/>
    </row>
    <row r="7907" spans="5:35" x14ac:dyDescent="0.25">
      <c r="E7907" s="16"/>
      <c r="F7907" s="16"/>
      <c r="H7907" s="16"/>
      <c r="AG7907" s="80"/>
      <c r="AH7907" s="80"/>
      <c r="AI7907" s="80"/>
    </row>
    <row r="7908" spans="5:35" x14ac:dyDescent="0.25">
      <c r="E7908" s="16"/>
      <c r="F7908" s="16"/>
      <c r="H7908" s="16"/>
      <c r="AG7908" s="80"/>
      <c r="AH7908" s="80"/>
      <c r="AI7908" s="80"/>
    </row>
    <row r="7909" spans="5:35" x14ac:dyDescent="0.25">
      <c r="E7909" s="16"/>
      <c r="F7909" s="16"/>
      <c r="H7909" s="16"/>
      <c r="AG7909" s="80"/>
      <c r="AH7909" s="80"/>
      <c r="AI7909" s="80"/>
    </row>
    <row r="7910" spans="5:35" x14ac:dyDescent="0.25">
      <c r="E7910" s="16"/>
      <c r="F7910" s="16"/>
      <c r="H7910" s="16"/>
      <c r="AG7910" s="80"/>
      <c r="AH7910" s="80"/>
      <c r="AI7910" s="80"/>
    </row>
    <row r="7911" spans="5:35" x14ac:dyDescent="0.25">
      <c r="E7911" s="16"/>
      <c r="F7911" s="16"/>
      <c r="H7911" s="16"/>
      <c r="AG7911" s="80"/>
      <c r="AH7911" s="80"/>
      <c r="AI7911" s="80"/>
    </row>
    <row r="7912" spans="5:35" x14ac:dyDescent="0.25">
      <c r="E7912" s="16"/>
      <c r="F7912" s="16"/>
      <c r="H7912" s="16"/>
      <c r="AG7912" s="80"/>
      <c r="AH7912" s="80"/>
      <c r="AI7912" s="80"/>
    </row>
    <row r="7913" spans="5:35" x14ac:dyDescent="0.25">
      <c r="E7913" s="16"/>
      <c r="F7913" s="16"/>
      <c r="H7913" s="16"/>
      <c r="AG7913" s="80"/>
      <c r="AH7913" s="80"/>
      <c r="AI7913" s="80"/>
    </row>
    <row r="7914" spans="5:35" x14ac:dyDescent="0.25">
      <c r="E7914" s="16"/>
      <c r="F7914" s="16"/>
      <c r="H7914" s="16"/>
      <c r="AG7914" s="80"/>
      <c r="AH7914" s="80"/>
      <c r="AI7914" s="80"/>
    </row>
    <row r="7915" spans="5:35" x14ac:dyDescent="0.25">
      <c r="E7915" s="16"/>
      <c r="F7915" s="16"/>
      <c r="H7915" s="16"/>
      <c r="AG7915" s="80"/>
      <c r="AH7915" s="80"/>
      <c r="AI7915" s="80"/>
    </row>
    <row r="7916" spans="5:35" x14ac:dyDescent="0.25">
      <c r="E7916" s="16"/>
      <c r="F7916" s="16"/>
      <c r="H7916" s="16"/>
      <c r="AG7916" s="80"/>
      <c r="AH7916" s="80"/>
      <c r="AI7916" s="80"/>
    </row>
    <row r="7917" spans="5:35" x14ac:dyDescent="0.25">
      <c r="E7917" s="16"/>
      <c r="F7917" s="16"/>
      <c r="H7917" s="16"/>
      <c r="AG7917" s="80"/>
      <c r="AH7917" s="80"/>
      <c r="AI7917" s="80"/>
    </row>
    <row r="7918" spans="5:35" x14ac:dyDescent="0.25">
      <c r="E7918" s="16"/>
      <c r="F7918" s="16"/>
      <c r="H7918" s="16"/>
      <c r="AG7918" s="80"/>
      <c r="AH7918" s="80"/>
      <c r="AI7918" s="80"/>
    </row>
    <row r="7919" spans="5:35" x14ac:dyDescent="0.25">
      <c r="E7919" s="16"/>
      <c r="F7919" s="16"/>
      <c r="H7919" s="16"/>
      <c r="AG7919" s="80"/>
      <c r="AH7919" s="80"/>
      <c r="AI7919" s="80"/>
    </row>
    <row r="7920" spans="5:35" x14ac:dyDescent="0.25">
      <c r="E7920" s="16"/>
      <c r="F7920" s="16"/>
      <c r="H7920" s="16"/>
      <c r="AG7920" s="80"/>
      <c r="AH7920" s="80"/>
      <c r="AI7920" s="80"/>
    </row>
    <row r="7921" spans="5:35" x14ac:dyDescent="0.25">
      <c r="E7921" s="16"/>
      <c r="F7921" s="16"/>
      <c r="H7921" s="16"/>
      <c r="AG7921" s="80"/>
      <c r="AH7921" s="80"/>
      <c r="AI7921" s="80"/>
    </row>
    <row r="7922" spans="5:35" x14ac:dyDescent="0.25">
      <c r="E7922" s="16"/>
      <c r="F7922" s="16"/>
      <c r="H7922" s="16"/>
      <c r="AG7922" s="80"/>
      <c r="AH7922" s="80"/>
      <c r="AI7922" s="80"/>
    </row>
    <row r="7923" spans="5:35" x14ac:dyDescent="0.25">
      <c r="E7923" s="16"/>
      <c r="F7923" s="16"/>
      <c r="H7923" s="16"/>
      <c r="AG7923" s="80"/>
      <c r="AH7923" s="80"/>
      <c r="AI7923" s="80"/>
    </row>
    <row r="7924" spans="5:35" x14ac:dyDescent="0.25">
      <c r="E7924" s="16"/>
      <c r="F7924" s="16"/>
      <c r="H7924" s="16"/>
      <c r="AG7924" s="80"/>
      <c r="AH7924" s="80"/>
      <c r="AI7924" s="80"/>
    </row>
    <row r="7925" spans="5:35" x14ac:dyDescent="0.25">
      <c r="E7925" s="16"/>
      <c r="F7925" s="16"/>
      <c r="H7925" s="16"/>
      <c r="AG7925" s="80"/>
      <c r="AH7925" s="80"/>
      <c r="AI7925" s="80"/>
    </row>
    <row r="7926" spans="5:35" x14ac:dyDescent="0.25">
      <c r="E7926" s="16"/>
      <c r="F7926" s="16"/>
      <c r="H7926" s="16"/>
      <c r="AG7926" s="80"/>
      <c r="AH7926" s="80"/>
      <c r="AI7926" s="80"/>
    </row>
    <row r="7927" spans="5:35" x14ac:dyDescent="0.25">
      <c r="E7927" s="16"/>
      <c r="F7927" s="16"/>
      <c r="H7927" s="16"/>
      <c r="AG7927" s="80"/>
      <c r="AH7927" s="80"/>
      <c r="AI7927" s="80"/>
    </row>
    <row r="7928" spans="5:35" x14ac:dyDescent="0.25">
      <c r="E7928" s="16"/>
      <c r="F7928" s="16"/>
      <c r="H7928" s="16"/>
      <c r="AG7928" s="80"/>
      <c r="AH7928" s="80"/>
      <c r="AI7928" s="80"/>
    </row>
    <row r="7929" spans="5:35" x14ac:dyDescent="0.25">
      <c r="E7929" s="16"/>
      <c r="F7929" s="16"/>
      <c r="H7929" s="16"/>
      <c r="AG7929" s="80"/>
      <c r="AH7929" s="80"/>
      <c r="AI7929" s="80"/>
    </row>
    <row r="7930" spans="5:35" x14ac:dyDescent="0.25">
      <c r="E7930" s="16"/>
      <c r="F7930" s="16"/>
      <c r="H7930" s="16"/>
      <c r="AG7930" s="80"/>
      <c r="AH7930" s="80"/>
      <c r="AI7930" s="80"/>
    </row>
    <row r="7931" spans="5:35" x14ac:dyDescent="0.25">
      <c r="E7931" s="16"/>
      <c r="F7931" s="16"/>
      <c r="H7931" s="16"/>
      <c r="AG7931" s="80"/>
      <c r="AH7931" s="80"/>
      <c r="AI7931" s="80"/>
    </row>
    <row r="7932" spans="5:35" x14ac:dyDescent="0.25">
      <c r="E7932" s="16"/>
      <c r="F7932" s="16"/>
      <c r="H7932" s="16"/>
      <c r="AG7932" s="80"/>
      <c r="AH7932" s="80"/>
      <c r="AI7932" s="80"/>
    </row>
    <row r="7933" spans="5:35" x14ac:dyDescent="0.25">
      <c r="E7933" s="16"/>
      <c r="F7933" s="16"/>
      <c r="H7933" s="16"/>
      <c r="AG7933" s="80"/>
      <c r="AH7933" s="80"/>
      <c r="AI7933" s="80"/>
    </row>
    <row r="7934" spans="5:35" x14ac:dyDescent="0.25">
      <c r="E7934" s="16"/>
      <c r="F7934" s="16"/>
      <c r="H7934" s="16"/>
      <c r="AG7934" s="80"/>
      <c r="AH7934" s="80"/>
      <c r="AI7934" s="80"/>
    </row>
    <row r="7935" spans="5:35" x14ac:dyDescent="0.25">
      <c r="E7935" s="16"/>
      <c r="F7935" s="16"/>
      <c r="H7935" s="16"/>
      <c r="AG7935" s="80"/>
      <c r="AH7935" s="80"/>
      <c r="AI7935" s="80"/>
    </row>
    <row r="7936" spans="5:35" x14ac:dyDescent="0.25">
      <c r="E7936" s="16"/>
      <c r="F7936" s="16"/>
      <c r="H7936" s="16"/>
      <c r="AG7936" s="80"/>
      <c r="AH7936" s="80"/>
      <c r="AI7936" s="80"/>
    </row>
    <row r="7937" spans="5:35" x14ac:dyDescent="0.25">
      <c r="E7937" s="16"/>
      <c r="F7937" s="16"/>
      <c r="H7937" s="16"/>
      <c r="AG7937" s="80"/>
      <c r="AH7937" s="80"/>
      <c r="AI7937" s="80"/>
    </row>
    <row r="7938" spans="5:35" x14ac:dyDescent="0.25">
      <c r="E7938" s="16"/>
      <c r="F7938" s="16"/>
      <c r="H7938" s="16"/>
      <c r="AG7938" s="80"/>
      <c r="AH7938" s="80"/>
      <c r="AI7938" s="80"/>
    </row>
    <row r="7939" spans="5:35" x14ac:dyDescent="0.25">
      <c r="E7939" s="16"/>
      <c r="F7939" s="16"/>
      <c r="H7939" s="16"/>
      <c r="AG7939" s="80"/>
      <c r="AH7939" s="80"/>
      <c r="AI7939" s="80"/>
    </row>
    <row r="7940" spans="5:35" x14ac:dyDescent="0.25">
      <c r="E7940" s="16"/>
      <c r="F7940" s="16"/>
      <c r="H7940" s="16"/>
      <c r="AG7940" s="80"/>
      <c r="AH7940" s="80"/>
      <c r="AI7940" s="80"/>
    </row>
    <row r="7941" spans="5:35" x14ac:dyDescent="0.25">
      <c r="E7941" s="16"/>
      <c r="F7941" s="16"/>
      <c r="H7941" s="16"/>
      <c r="AG7941" s="80"/>
      <c r="AH7941" s="80"/>
      <c r="AI7941" s="80"/>
    </row>
    <row r="7942" spans="5:35" x14ac:dyDescent="0.25">
      <c r="E7942" s="16"/>
      <c r="F7942" s="16"/>
      <c r="H7942" s="16"/>
      <c r="AG7942" s="80"/>
      <c r="AH7942" s="80"/>
      <c r="AI7942" s="80"/>
    </row>
    <row r="7943" spans="5:35" x14ac:dyDescent="0.25">
      <c r="E7943" s="16"/>
      <c r="F7943" s="16"/>
      <c r="H7943" s="16"/>
      <c r="AG7943" s="80"/>
      <c r="AH7943" s="80"/>
      <c r="AI7943" s="80"/>
    </row>
    <row r="7944" spans="5:35" x14ac:dyDescent="0.25">
      <c r="E7944" s="16"/>
      <c r="F7944" s="16"/>
      <c r="H7944" s="16"/>
      <c r="AG7944" s="80"/>
      <c r="AH7944" s="80"/>
      <c r="AI7944" s="80"/>
    </row>
    <row r="7945" spans="5:35" x14ac:dyDescent="0.25">
      <c r="E7945" s="16"/>
      <c r="F7945" s="16"/>
      <c r="H7945" s="16"/>
      <c r="AG7945" s="80"/>
      <c r="AH7945" s="80"/>
      <c r="AI7945" s="80"/>
    </row>
    <row r="7946" spans="5:35" x14ac:dyDescent="0.25">
      <c r="E7946" s="16"/>
      <c r="F7946" s="16"/>
      <c r="H7946" s="16"/>
      <c r="AG7946" s="80"/>
      <c r="AH7946" s="80"/>
      <c r="AI7946" s="80"/>
    </row>
    <row r="7947" spans="5:35" x14ac:dyDescent="0.25">
      <c r="E7947" s="16"/>
      <c r="F7947" s="16"/>
      <c r="H7947" s="16"/>
      <c r="AG7947" s="80"/>
      <c r="AH7947" s="80"/>
      <c r="AI7947" s="80"/>
    </row>
    <row r="7948" spans="5:35" x14ac:dyDescent="0.25">
      <c r="E7948" s="16"/>
      <c r="F7948" s="16"/>
      <c r="H7948" s="16"/>
      <c r="AG7948" s="80"/>
      <c r="AH7948" s="80"/>
      <c r="AI7948" s="80"/>
    </row>
    <row r="7949" spans="5:35" x14ac:dyDescent="0.25">
      <c r="E7949" s="16"/>
      <c r="F7949" s="16"/>
      <c r="H7949" s="16"/>
      <c r="AG7949" s="80"/>
      <c r="AH7949" s="80"/>
      <c r="AI7949" s="80"/>
    </row>
    <row r="7950" spans="5:35" x14ac:dyDescent="0.25">
      <c r="E7950" s="16"/>
      <c r="F7950" s="16"/>
      <c r="H7950" s="16"/>
      <c r="AG7950" s="80"/>
      <c r="AH7950" s="80"/>
      <c r="AI7950" s="80"/>
    </row>
    <row r="7951" spans="5:35" x14ac:dyDescent="0.25">
      <c r="E7951" s="16"/>
      <c r="F7951" s="16"/>
      <c r="H7951" s="16"/>
      <c r="AG7951" s="80"/>
      <c r="AH7951" s="80"/>
      <c r="AI7951" s="80"/>
    </row>
    <row r="7952" spans="5:35" x14ac:dyDescent="0.25">
      <c r="E7952" s="16"/>
      <c r="F7952" s="16"/>
      <c r="H7952" s="16"/>
      <c r="AG7952" s="80"/>
      <c r="AH7952" s="80"/>
      <c r="AI7952" s="80"/>
    </row>
    <row r="7953" spans="5:35" x14ac:dyDescent="0.25">
      <c r="E7953" s="16"/>
      <c r="F7953" s="16"/>
      <c r="H7953" s="16"/>
      <c r="AG7953" s="80"/>
      <c r="AH7953" s="80"/>
      <c r="AI7953" s="80"/>
    </row>
    <row r="7954" spans="5:35" x14ac:dyDescent="0.25">
      <c r="E7954" s="16"/>
      <c r="F7954" s="16"/>
      <c r="H7954" s="16"/>
      <c r="AG7954" s="80"/>
      <c r="AH7954" s="80"/>
      <c r="AI7954" s="80"/>
    </row>
    <row r="7955" spans="5:35" x14ac:dyDescent="0.25">
      <c r="E7955" s="16"/>
      <c r="F7955" s="16"/>
      <c r="H7955" s="16"/>
      <c r="AG7955" s="80"/>
      <c r="AH7955" s="80"/>
      <c r="AI7955" s="80"/>
    </row>
    <row r="7956" spans="5:35" x14ac:dyDescent="0.25">
      <c r="E7956" s="16"/>
      <c r="F7956" s="16"/>
      <c r="H7956" s="16"/>
      <c r="AG7956" s="80"/>
      <c r="AH7956" s="80"/>
      <c r="AI7956" s="80"/>
    </row>
    <row r="7957" spans="5:35" x14ac:dyDescent="0.25">
      <c r="E7957" s="16"/>
      <c r="F7957" s="16"/>
      <c r="H7957" s="16"/>
      <c r="AG7957" s="80"/>
      <c r="AH7957" s="80"/>
      <c r="AI7957" s="80"/>
    </row>
    <row r="7958" spans="5:35" x14ac:dyDescent="0.25">
      <c r="E7958" s="16"/>
      <c r="F7958" s="16"/>
      <c r="H7958" s="16"/>
      <c r="AG7958" s="80"/>
      <c r="AH7958" s="80"/>
      <c r="AI7958" s="80"/>
    </row>
    <row r="7959" spans="5:35" x14ac:dyDescent="0.25">
      <c r="E7959" s="16"/>
      <c r="F7959" s="16"/>
      <c r="H7959" s="16"/>
      <c r="AG7959" s="80"/>
      <c r="AH7959" s="80"/>
      <c r="AI7959" s="80"/>
    </row>
    <row r="7960" spans="5:35" x14ac:dyDescent="0.25">
      <c r="E7960" s="16"/>
      <c r="F7960" s="16"/>
      <c r="H7960" s="16"/>
      <c r="AG7960" s="80"/>
      <c r="AH7960" s="80"/>
      <c r="AI7960" s="80"/>
    </row>
    <row r="7961" spans="5:35" x14ac:dyDescent="0.25">
      <c r="E7961" s="16"/>
      <c r="F7961" s="16"/>
      <c r="H7961" s="16"/>
      <c r="AG7961" s="80"/>
      <c r="AH7961" s="80"/>
      <c r="AI7961" s="80"/>
    </row>
    <row r="7962" spans="5:35" x14ac:dyDescent="0.25">
      <c r="E7962" s="16"/>
      <c r="F7962" s="16"/>
      <c r="H7962" s="16"/>
      <c r="AG7962" s="80"/>
      <c r="AH7962" s="80"/>
      <c r="AI7962" s="80"/>
    </row>
    <row r="7963" spans="5:35" x14ac:dyDescent="0.25">
      <c r="E7963" s="16"/>
      <c r="F7963" s="16"/>
      <c r="H7963" s="16"/>
      <c r="AG7963" s="80"/>
      <c r="AH7963" s="80"/>
      <c r="AI7963" s="80"/>
    </row>
    <row r="7964" spans="5:35" x14ac:dyDescent="0.25">
      <c r="E7964" s="16"/>
      <c r="F7964" s="16"/>
      <c r="H7964" s="16"/>
      <c r="AG7964" s="80"/>
      <c r="AH7964" s="80"/>
      <c r="AI7964" s="80"/>
    </row>
    <row r="7965" spans="5:35" x14ac:dyDescent="0.25">
      <c r="E7965" s="16"/>
      <c r="F7965" s="16"/>
      <c r="H7965" s="16"/>
      <c r="AG7965" s="80"/>
      <c r="AH7965" s="80"/>
      <c r="AI7965" s="80"/>
    </row>
    <row r="7966" spans="5:35" x14ac:dyDescent="0.25">
      <c r="E7966" s="16"/>
      <c r="F7966" s="16"/>
      <c r="H7966" s="16"/>
      <c r="AG7966" s="80"/>
      <c r="AH7966" s="80"/>
      <c r="AI7966" s="80"/>
    </row>
    <row r="7967" spans="5:35" x14ac:dyDescent="0.25">
      <c r="E7967" s="16"/>
      <c r="F7967" s="16"/>
      <c r="H7967" s="16"/>
      <c r="AG7967" s="80"/>
      <c r="AH7967" s="80"/>
      <c r="AI7967" s="80"/>
    </row>
    <row r="7968" spans="5:35" x14ac:dyDescent="0.25">
      <c r="E7968" s="16"/>
      <c r="F7968" s="16"/>
      <c r="H7968" s="16"/>
      <c r="AG7968" s="80"/>
      <c r="AH7968" s="80"/>
      <c r="AI7968" s="80"/>
    </row>
    <row r="7969" spans="5:35" x14ac:dyDescent="0.25">
      <c r="E7969" s="16"/>
      <c r="F7969" s="16"/>
      <c r="H7969" s="16"/>
      <c r="AG7969" s="80"/>
      <c r="AH7969" s="80"/>
      <c r="AI7969" s="80"/>
    </row>
    <row r="7970" spans="5:35" x14ac:dyDescent="0.25">
      <c r="E7970" s="16"/>
      <c r="F7970" s="16"/>
      <c r="H7970" s="16"/>
      <c r="AG7970" s="80"/>
      <c r="AH7970" s="80"/>
      <c r="AI7970" s="80"/>
    </row>
    <row r="7971" spans="5:35" x14ac:dyDescent="0.25">
      <c r="E7971" s="16"/>
      <c r="F7971" s="16"/>
      <c r="H7971" s="16"/>
      <c r="AG7971" s="80"/>
      <c r="AH7971" s="80"/>
      <c r="AI7971" s="80"/>
    </row>
    <row r="7972" spans="5:35" x14ac:dyDescent="0.25">
      <c r="E7972" s="16"/>
      <c r="F7972" s="16"/>
      <c r="H7972" s="16"/>
      <c r="AG7972" s="80"/>
      <c r="AH7972" s="80"/>
      <c r="AI7972" s="80"/>
    </row>
    <row r="7973" spans="5:35" x14ac:dyDescent="0.25">
      <c r="E7973" s="16"/>
      <c r="F7973" s="16"/>
      <c r="H7973" s="16"/>
      <c r="AG7973" s="80"/>
      <c r="AH7973" s="80"/>
      <c r="AI7973" s="80"/>
    </row>
    <row r="7974" spans="5:35" x14ac:dyDescent="0.25">
      <c r="E7974" s="16"/>
      <c r="F7974" s="16"/>
      <c r="H7974" s="16"/>
      <c r="AG7974" s="80"/>
      <c r="AH7974" s="80"/>
      <c r="AI7974" s="80"/>
    </row>
    <row r="7975" spans="5:35" x14ac:dyDescent="0.25">
      <c r="E7975" s="16"/>
      <c r="F7975" s="16"/>
      <c r="H7975" s="16"/>
      <c r="AG7975" s="80"/>
      <c r="AH7975" s="80"/>
      <c r="AI7975" s="80"/>
    </row>
    <row r="7976" spans="5:35" x14ac:dyDescent="0.25">
      <c r="E7976" s="16"/>
      <c r="F7976" s="16"/>
      <c r="H7976" s="16"/>
      <c r="AG7976" s="80"/>
      <c r="AH7976" s="80"/>
      <c r="AI7976" s="80"/>
    </row>
    <row r="7977" spans="5:35" x14ac:dyDescent="0.25">
      <c r="E7977" s="16"/>
      <c r="F7977" s="16"/>
      <c r="H7977" s="16"/>
      <c r="AG7977" s="80"/>
      <c r="AH7977" s="80"/>
      <c r="AI7977" s="80"/>
    </row>
    <row r="7978" spans="5:35" x14ac:dyDescent="0.25">
      <c r="E7978" s="16"/>
      <c r="F7978" s="16"/>
      <c r="H7978" s="16"/>
      <c r="AG7978" s="80"/>
      <c r="AH7978" s="80"/>
      <c r="AI7978" s="80"/>
    </row>
    <row r="7979" spans="5:35" x14ac:dyDescent="0.25">
      <c r="E7979" s="16"/>
      <c r="F7979" s="16"/>
      <c r="H7979" s="16"/>
      <c r="AG7979" s="80"/>
      <c r="AH7979" s="80"/>
      <c r="AI7979" s="80"/>
    </row>
    <row r="7980" spans="5:35" x14ac:dyDescent="0.25">
      <c r="E7980" s="16"/>
      <c r="F7980" s="16"/>
      <c r="H7980" s="16"/>
      <c r="AG7980" s="80"/>
      <c r="AH7980" s="80"/>
      <c r="AI7980" s="80"/>
    </row>
    <row r="7981" spans="5:35" x14ac:dyDescent="0.25">
      <c r="E7981" s="16"/>
      <c r="F7981" s="16"/>
      <c r="H7981" s="16"/>
      <c r="AG7981" s="80"/>
      <c r="AH7981" s="80"/>
      <c r="AI7981" s="80"/>
    </row>
    <row r="7982" spans="5:35" x14ac:dyDescent="0.25">
      <c r="E7982" s="16"/>
      <c r="F7982" s="16"/>
      <c r="H7982" s="16"/>
      <c r="AG7982" s="80"/>
      <c r="AH7982" s="80"/>
      <c r="AI7982" s="80"/>
    </row>
    <row r="7983" spans="5:35" x14ac:dyDescent="0.25">
      <c r="E7983" s="16"/>
      <c r="F7983" s="16"/>
      <c r="H7983" s="16"/>
      <c r="AG7983" s="80"/>
      <c r="AH7983" s="80"/>
      <c r="AI7983" s="80"/>
    </row>
    <row r="7984" spans="5:35" x14ac:dyDescent="0.25">
      <c r="E7984" s="16"/>
      <c r="F7984" s="16"/>
      <c r="H7984" s="16"/>
      <c r="AG7984" s="80"/>
      <c r="AH7984" s="80"/>
      <c r="AI7984" s="80"/>
    </row>
    <row r="7985" spans="5:35" x14ac:dyDescent="0.25">
      <c r="E7985" s="16"/>
      <c r="F7985" s="16"/>
      <c r="H7985" s="16"/>
      <c r="AG7985" s="80"/>
      <c r="AH7985" s="80"/>
      <c r="AI7985" s="80"/>
    </row>
    <row r="7986" spans="5:35" x14ac:dyDescent="0.25">
      <c r="E7986" s="16"/>
      <c r="F7986" s="16"/>
      <c r="H7986" s="16"/>
      <c r="AG7986" s="80"/>
      <c r="AH7986" s="80"/>
      <c r="AI7986" s="80"/>
    </row>
    <row r="7987" spans="5:35" x14ac:dyDescent="0.25">
      <c r="E7987" s="16"/>
      <c r="F7987" s="16"/>
      <c r="H7987" s="16"/>
      <c r="AG7987" s="80"/>
      <c r="AH7987" s="80"/>
      <c r="AI7987" s="80"/>
    </row>
    <row r="7988" spans="5:35" x14ac:dyDescent="0.25">
      <c r="E7988" s="16"/>
      <c r="F7988" s="16"/>
      <c r="H7988" s="16"/>
      <c r="AG7988" s="80"/>
      <c r="AH7988" s="80"/>
      <c r="AI7988" s="80"/>
    </row>
    <row r="7989" spans="5:35" x14ac:dyDescent="0.25">
      <c r="E7989" s="16"/>
      <c r="F7989" s="16"/>
      <c r="H7989" s="16"/>
      <c r="AG7989" s="80"/>
      <c r="AH7989" s="80"/>
      <c r="AI7989" s="80"/>
    </row>
    <row r="7990" spans="5:35" x14ac:dyDescent="0.25">
      <c r="E7990" s="16"/>
      <c r="F7990" s="16"/>
      <c r="H7990" s="16"/>
      <c r="AG7990" s="80"/>
      <c r="AH7990" s="80"/>
      <c r="AI7990" s="80"/>
    </row>
    <row r="7991" spans="5:35" x14ac:dyDescent="0.25">
      <c r="E7991" s="16"/>
      <c r="F7991" s="16"/>
      <c r="H7991" s="16"/>
      <c r="AG7991" s="80"/>
      <c r="AH7991" s="80"/>
      <c r="AI7991" s="80"/>
    </row>
    <row r="7992" spans="5:35" x14ac:dyDescent="0.25">
      <c r="E7992" s="16"/>
      <c r="F7992" s="16"/>
      <c r="H7992" s="16"/>
      <c r="AG7992" s="80"/>
      <c r="AH7992" s="80"/>
      <c r="AI7992" s="80"/>
    </row>
    <row r="7993" spans="5:35" x14ac:dyDescent="0.25">
      <c r="E7993" s="16"/>
      <c r="F7993" s="16"/>
      <c r="H7993" s="16"/>
      <c r="AG7993" s="80"/>
      <c r="AH7993" s="80"/>
      <c r="AI7993" s="80"/>
    </row>
    <row r="7994" spans="5:35" x14ac:dyDescent="0.25">
      <c r="E7994" s="16"/>
      <c r="F7994" s="16"/>
      <c r="H7994" s="16"/>
      <c r="AG7994" s="80"/>
      <c r="AH7994" s="80"/>
      <c r="AI7994" s="80"/>
    </row>
    <row r="7995" spans="5:35" x14ac:dyDescent="0.25">
      <c r="E7995" s="16"/>
      <c r="F7995" s="16"/>
      <c r="H7995" s="16"/>
      <c r="AG7995" s="80"/>
      <c r="AH7995" s="80"/>
      <c r="AI7995" s="80"/>
    </row>
    <row r="7996" spans="5:35" x14ac:dyDescent="0.25">
      <c r="E7996" s="16"/>
      <c r="F7996" s="16"/>
      <c r="H7996" s="16"/>
      <c r="AG7996" s="80"/>
      <c r="AH7996" s="80"/>
      <c r="AI7996" s="80"/>
    </row>
    <row r="7997" spans="5:35" x14ac:dyDescent="0.25">
      <c r="E7997" s="16"/>
      <c r="F7997" s="16"/>
      <c r="H7997" s="16"/>
      <c r="AG7997" s="80"/>
      <c r="AH7997" s="80"/>
      <c r="AI7997" s="80"/>
    </row>
    <row r="7998" spans="5:35" x14ac:dyDescent="0.25">
      <c r="E7998" s="16"/>
      <c r="F7998" s="16"/>
      <c r="H7998" s="16"/>
      <c r="AG7998" s="80"/>
      <c r="AH7998" s="80"/>
      <c r="AI7998" s="80"/>
    </row>
    <row r="7999" spans="5:35" x14ac:dyDescent="0.25">
      <c r="E7999" s="16"/>
      <c r="F7999" s="16"/>
      <c r="H7999" s="16"/>
      <c r="AG7999" s="80"/>
      <c r="AH7999" s="80"/>
      <c r="AI7999" s="80"/>
    </row>
    <row r="8000" spans="5:35" x14ac:dyDescent="0.25">
      <c r="E8000" s="16"/>
      <c r="F8000" s="16"/>
      <c r="H8000" s="16"/>
      <c r="AG8000" s="80"/>
      <c r="AH8000" s="80"/>
      <c r="AI8000" s="80"/>
    </row>
    <row r="8001" spans="5:35" x14ac:dyDescent="0.25">
      <c r="E8001" s="16"/>
      <c r="F8001" s="16"/>
      <c r="H8001" s="16"/>
      <c r="AG8001" s="80"/>
      <c r="AH8001" s="80"/>
      <c r="AI8001" s="80"/>
    </row>
    <row r="8002" spans="5:35" x14ac:dyDescent="0.25">
      <c r="E8002" s="16"/>
      <c r="F8002" s="16"/>
      <c r="H8002" s="16"/>
      <c r="AG8002" s="80"/>
      <c r="AH8002" s="80"/>
      <c r="AI8002" s="80"/>
    </row>
    <row r="8003" spans="5:35" x14ac:dyDescent="0.25">
      <c r="E8003" s="16"/>
      <c r="F8003" s="16"/>
      <c r="H8003" s="16"/>
      <c r="AG8003" s="80"/>
      <c r="AH8003" s="80"/>
      <c r="AI8003" s="80"/>
    </row>
    <row r="8004" spans="5:35" x14ac:dyDescent="0.25">
      <c r="E8004" s="16"/>
      <c r="F8004" s="16"/>
      <c r="H8004" s="16"/>
      <c r="AG8004" s="80"/>
      <c r="AH8004" s="80"/>
      <c r="AI8004" s="80"/>
    </row>
    <row r="8005" spans="5:35" x14ac:dyDescent="0.25">
      <c r="E8005" s="16"/>
      <c r="F8005" s="16"/>
      <c r="H8005" s="16"/>
      <c r="AG8005" s="80"/>
      <c r="AH8005" s="80"/>
      <c r="AI8005" s="80"/>
    </row>
    <row r="8006" spans="5:35" x14ac:dyDescent="0.25">
      <c r="E8006" s="16"/>
      <c r="F8006" s="16"/>
      <c r="H8006" s="16"/>
      <c r="AG8006" s="80"/>
      <c r="AH8006" s="80"/>
      <c r="AI8006" s="80"/>
    </row>
    <row r="8007" spans="5:35" x14ac:dyDescent="0.25">
      <c r="E8007" s="16"/>
      <c r="F8007" s="16"/>
      <c r="H8007" s="16"/>
      <c r="AG8007" s="80"/>
      <c r="AH8007" s="80"/>
      <c r="AI8007" s="80"/>
    </row>
    <row r="8008" spans="5:35" x14ac:dyDescent="0.25">
      <c r="E8008" s="16"/>
      <c r="F8008" s="16"/>
      <c r="H8008" s="16"/>
      <c r="AG8008" s="80"/>
      <c r="AH8008" s="80"/>
      <c r="AI8008" s="80"/>
    </row>
    <row r="8009" spans="5:35" x14ac:dyDescent="0.25">
      <c r="E8009" s="16"/>
      <c r="F8009" s="16"/>
      <c r="H8009" s="16"/>
      <c r="AG8009" s="80"/>
      <c r="AH8009" s="80"/>
      <c r="AI8009" s="80"/>
    </row>
    <row r="8010" spans="5:35" x14ac:dyDescent="0.25">
      <c r="E8010" s="16"/>
      <c r="F8010" s="16"/>
      <c r="H8010" s="16"/>
      <c r="AG8010" s="80"/>
      <c r="AH8010" s="80"/>
      <c r="AI8010" s="80"/>
    </row>
    <row r="8011" spans="5:35" x14ac:dyDescent="0.25">
      <c r="E8011" s="16"/>
      <c r="F8011" s="16"/>
      <c r="H8011" s="16"/>
      <c r="AG8011" s="80"/>
      <c r="AH8011" s="80"/>
      <c r="AI8011" s="80"/>
    </row>
    <row r="8012" spans="5:35" x14ac:dyDescent="0.25">
      <c r="E8012" s="16"/>
      <c r="F8012" s="16"/>
      <c r="H8012" s="16"/>
      <c r="AG8012" s="80"/>
      <c r="AH8012" s="80"/>
      <c r="AI8012" s="80"/>
    </row>
    <row r="8013" spans="5:35" x14ac:dyDescent="0.25">
      <c r="E8013" s="16"/>
      <c r="F8013" s="16"/>
      <c r="H8013" s="16"/>
      <c r="AG8013" s="80"/>
      <c r="AH8013" s="80"/>
      <c r="AI8013" s="80"/>
    </row>
    <row r="8014" spans="5:35" x14ac:dyDescent="0.25">
      <c r="E8014" s="16"/>
      <c r="F8014" s="16"/>
      <c r="H8014" s="16"/>
      <c r="AG8014" s="80"/>
      <c r="AH8014" s="80"/>
      <c r="AI8014" s="80"/>
    </row>
    <row r="8015" spans="5:35" x14ac:dyDescent="0.25">
      <c r="E8015" s="16"/>
      <c r="F8015" s="16"/>
      <c r="H8015" s="16"/>
      <c r="AG8015" s="80"/>
      <c r="AH8015" s="80"/>
      <c r="AI8015" s="80"/>
    </row>
    <row r="8016" spans="5:35" x14ac:dyDescent="0.25">
      <c r="E8016" s="16"/>
      <c r="F8016" s="16"/>
      <c r="H8016" s="16"/>
      <c r="AG8016" s="80"/>
      <c r="AH8016" s="80"/>
      <c r="AI8016" s="80"/>
    </row>
    <row r="8017" spans="5:35" x14ac:dyDescent="0.25">
      <c r="E8017" s="16"/>
      <c r="F8017" s="16"/>
      <c r="H8017" s="16"/>
      <c r="AG8017" s="80"/>
      <c r="AH8017" s="80"/>
      <c r="AI8017" s="80"/>
    </row>
    <row r="8018" spans="5:35" x14ac:dyDescent="0.25">
      <c r="E8018" s="16"/>
      <c r="F8018" s="16"/>
      <c r="H8018" s="16"/>
      <c r="AG8018" s="80"/>
      <c r="AH8018" s="80"/>
      <c r="AI8018" s="80"/>
    </row>
    <row r="8019" spans="5:35" x14ac:dyDescent="0.25">
      <c r="E8019" s="16"/>
      <c r="F8019" s="16"/>
      <c r="H8019" s="16"/>
      <c r="AG8019" s="80"/>
      <c r="AH8019" s="80"/>
      <c r="AI8019" s="80"/>
    </row>
    <row r="8020" spans="5:35" x14ac:dyDescent="0.25">
      <c r="E8020" s="16"/>
      <c r="F8020" s="16"/>
      <c r="H8020" s="16"/>
      <c r="AG8020" s="80"/>
      <c r="AH8020" s="80"/>
      <c r="AI8020" s="80"/>
    </row>
    <row r="8021" spans="5:35" x14ac:dyDescent="0.25">
      <c r="E8021" s="16"/>
      <c r="F8021" s="16"/>
      <c r="H8021" s="16"/>
      <c r="AG8021" s="80"/>
      <c r="AH8021" s="80"/>
      <c r="AI8021" s="80"/>
    </row>
    <row r="8022" spans="5:35" x14ac:dyDescent="0.25">
      <c r="E8022" s="16"/>
      <c r="F8022" s="16"/>
      <c r="H8022" s="16"/>
      <c r="AG8022" s="80"/>
      <c r="AH8022" s="80"/>
      <c r="AI8022" s="80"/>
    </row>
    <row r="8023" spans="5:35" x14ac:dyDescent="0.25">
      <c r="E8023" s="16"/>
      <c r="F8023" s="16"/>
      <c r="H8023" s="16"/>
      <c r="AG8023" s="80"/>
      <c r="AH8023" s="80"/>
      <c r="AI8023" s="80"/>
    </row>
    <row r="8024" spans="5:35" x14ac:dyDescent="0.25">
      <c r="E8024" s="16"/>
      <c r="F8024" s="16"/>
      <c r="H8024" s="16"/>
      <c r="AG8024" s="80"/>
      <c r="AH8024" s="80"/>
      <c r="AI8024" s="80"/>
    </row>
    <row r="8025" spans="5:35" x14ac:dyDescent="0.25">
      <c r="E8025" s="16"/>
      <c r="F8025" s="16"/>
      <c r="H8025" s="16"/>
      <c r="AG8025" s="80"/>
      <c r="AH8025" s="80"/>
      <c r="AI8025" s="80"/>
    </row>
    <row r="8026" spans="5:35" x14ac:dyDescent="0.25">
      <c r="E8026" s="16"/>
      <c r="F8026" s="16"/>
      <c r="H8026" s="16"/>
      <c r="AG8026" s="80"/>
      <c r="AH8026" s="80"/>
      <c r="AI8026" s="80"/>
    </row>
    <row r="8027" spans="5:35" x14ac:dyDescent="0.25">
      <c r="E8027" s="16"/>
      <c r="F8027" s="16"/>
      <c r="H8027" s="16"/>
      <c r="AG8027" s="80"/>
      <c r="AH8027" s="80"/>
      <c r="AI8027" s="80"/>
    </row>
    <row r="8028" spans="5:35" x14ac:dyDescent="0.25">
      <c r="E8028" s="16"/>
      <c r="F8028" s="16"/>
      <c r="H8028" s="16"/>
      <c r="AG8028" s="80"/>
      <c r="AH8028" s="80"/>
      <c r="AI8028" s="80"/>
    </row>
    <row r="8029" spans="5:35" x14ac:dyDescent="0.25">
      <c r="E8029" s="16"/>
      <c r="F8029" s="16"/>
      <c r="H8029" s="16"/>
      <c r="AG8029" s="80"/>
      <c r="AH8029" s="80"/>
      <c r="AI8029" s="80"/>
    </row>
    <row r="8030" spans="5:35" x14ac:dyDescent="0.25">
      <c r="E8030" s="16"/>
      <c r="F8030" s="16"/>
      <c r="H8030" s="16"/>
      <c r="AG8030" s="80"/>
      <c r="AH8030" s="80"/>
      <c r="AI8030" s="80"/>
    </row>
    <row r="8031" spans="5:35" x14ac:dyDescent="0.25">
      <c r="E8031" s="16"/>
      <c r="F8031" s="16"/>
      <c r="H8031" s="16"/>
      <c r="AG8031" s="80"/>
      <c r="AH8031" s="80"/>
      <c r="AI8031" s="80"/>
    </row>
    <row r="8032" spans="5:35" x14ac:dyDescent="0.25">
      <c r="E8032" s="16"/>
      <c r="F8032" s="16"/>
      <c r="H8032" s="16"/>
      <c r="AG8032" s="80"/>
      <c r="AH8032" s="80"/>
      <c r="AI8032" s="80"/>
    </row>
    <row r="8033" spans="5:35" x14ac:dyDescent="0.25">
      <c r="E8033" s="16"/>
      <c r="F8033" s="16"/>
      <c r="H8033" s="16"/>
      <c r="AG8033" s="80"/>
      <c r="AH8033" s="80"/>
      <c r="AI8033" s="80"/>
    </row>
    <row r="8034" spans="5:35" x14ac:dyDescent="0.25">
      <c r="E8034" s="16"/>
      <c r="F8034" s="16"/>
      <c r="H8034" s="16"/>
      <c r="AG8034" s="80"/>
      <c r="AH8034" s="80"/>
      <c r="AI8034" s="80"/>
    </row>
    <row r="8035" spans="5:35" x14ac:dyDescent="0.25">
      <c r="E8035" s="16"/>
      <c r="F8035" s="16"/>
      <c r="H8035" s="16"/>
      <c r="AG8035" s="80"/>
      <c r="AH8035" s="80"/>
      <c r="AI8035" s="80"/>
    </row>
    <row r="8036" spans="5:35" x14ac:dyDescent="0.25">
      <c r="E8036" s="16"/>
      <c r="F8036" s="16"/>
      <c r="H8036" s="16"/>
      <c r="AG8036" s="80"/>
      <c r="AH8036" s="80"/>
      <c r="AI8036" s="80"/>
    </row>
    <row r="8037" spans="5:35" x14ac:dyDescent="0.25">
      <c r="E8037" s="16"/>
      <c r="F8037" s="16"/>
      <c r="H8037" s="16"/>
      <c r="AG8037" s="80"/>
      <c r="AH8037" s="80"/>
      <c r="AI8037" s="80"/>
    </row>
    <row r="8038" spans="5:35" x14ac:dyDescent="0.25">
      <c r="E8038" s="16"/>
      <c r="F8038" s="16"/>
      <c r="H8038" s="16"/>
      <c r="AG8038" s="80"/>
      <c r="AH8038" s="80"/>
      <c r="AI8038" s="80"/>
    </row>
    <row r="8039" spans="5:35" x14ac:dyDescent="0.25">
      <c r="E8039" s="16"/>
      <c r="F8039" s="16"/>
      <c r="H8039" s="16"/>
      <c r="AG8039" s="80"/>
      <c r="AH8039" s="80"/>
      <c r="AI8039" s="80"/>
    </row>
    <row r="8040" spans="5:35" x14ac:dyDescent="0.25">
      <c r="E8040" s="16"/>
      <c r="F8040" s="16"/>
      <c r="H8040" s="16"/>
      <c r="AG8040" s="80"/>
      <c r="AH8040" s="80"/>
      <c r="AI8040" s="80"/>
    </row>
    <row r="8041" spans="5:35" x14ac:dyDescent="0.25">
      <c r="E8041" s="16"/>
      <c r="F8041" s="16"/>
      <c r="H8041" s="16"/>
      <c r="AG8041" s="80"/>
      <c r="AH8041" s="80"/>
      <c r="AI8041" s="80"/>
    </row>
    <row r="8042" spans="5:35" x14ac:dyDescent="0.25">
      <c r="E8042" s="16"/>
      <c r="F8042" s="16"/>
      <c r="H8042" s="16"/>
      <c r="AG8042" s="80"/>
      <c r="AH8042" s="80"/>
      <c r="AI8042" s="80"/>
    </row>
    <row r="8043" spans="5:35" x14ac:dyDescent="0.25">
      <c r="E8043" s="16"/>
      <c r="F8043" s="16"/>
      <c r="H8043" s="16"/>
      <c r="AG8043" s="80"/>
      <c r="AH8043" s="80"/>
      <c r="AI8043" s="80"/>
    </row>
    <row r="8044" spans="5:35" x14ac:dyDescent="0.25">
      <c r="E8044" s="16"/>
      <c r="F8044" s="16"/>
      <c r="H8044" s="16"/>
      <c r="AG8044" s="80"/>
      <c r="AH8044" s="80"/>
      <c r="AI8044" s="80"/>
    </row>
    <row r="8045" spans="5:35" x14ac:dyDescent="0.25">
      <c r="E8045" s="16"/>
      <c r="F8045" s="16"/>
      <c r="H8045" s="16"/>
      <c r="AG8045" s="80"/>
      <c r="AH8045" s="80"/>
      <c r="AI8045" s="80"/>
    </row>
    <row r="8046" spans="5:35" x14ac:dyDescent="0.25">
      <c r="E8046" s="16"/>
      <c r="F8046" s="16"/>
      <c r="H8046" s="16"/>
      <c r="AG8046" s="80"/>
      <c r="AH8046" s="80"/>
      <c r="AI8046" s="80"/>
    </row>
    <row r="8047" spans="5:35" x14ac:dyDescent="0.25">
      <c r="E8047" s="16"/>
      <c r="F8047" s="16"/>
      <c r="H8047" s="16"/>
      <c r="AG8047" s="80"/>
      <c r="AH8047" s="80"/>
      <c r="AI8047" s="80"/>
    </row>
    <row r="8048" spans="5:35" x14ac:dyDescent="0.25">
      <c r="E8048" s="16"/>
      <c r="F8048" s="16"/>
      <c r="H8048" s="16"/>
      <c r="AG8048" s="80"/>
      <c r="AH8048" s="80"/>
      <c r="AI8048" s="80"/>
    </row>
    <row r="8049" spans="5:35" x14ac:dyDescent="0.25">
      <c r="E8049" s="16"/>
      <c r="F8049" s="16"/>
      <c r="H8049" s="16"/>
      <c r="AG8049" s="80"/>
      <c r="AH8049" s="80"/>
      <c r="AI8049" s="80"/>
    </row>
    <row r="8050" spans="5:35" x14ac:dyDescent="0.25">
      <c r="E8050" s="16"/>
      <c r="F8050" s="16"/>
      <c r="H8050" s="16"/>
      <c r="AG8050" s="80"/>
      <c r="AH8050" s="80"/>
      <c r="AI8050" s="80"/>
    </row>
    <row r="8051" spans="5:35" x14ac:dyDescent="0.25">
      <c r="E8051" s="16"/>
      <c r="F8051" s="16"/>
      <c r="H8051" s="16"/>
      <c r="AG8051" s="80"/>
      <c r="AH8051" s="80"/>
      <c r="AI8051" s="80"/>
    </row>
    <row r="8052" spans="5:35" x14ac:dyDescent="0.25">
      <c r="E8052" s="16"/>
      <c r="F8052" s="16"/>
      <c r="H8052" s="16"/>
      <c r="AG8052" s="80"/>
      <c r="AH8052" s="80"/>
      <c r="AI8052" s="80"/>
    </row>
    <row r="8053" spans="5:35" x14ac:dyDescent="0.25">
      <c r="E8053" s="16"/>
      <c r="F8053" s="16"/>
      <c r="H8053" s="16"/>
      <c r="AG8053" s="80"/>
      <c r="AH8053" s="80"/>
      <c r="AI8053" s="80"/>
    </row>
    <row r="8054" spans="5:35" x14ac:dyDescent="0.25">
      <c r="E8054" s="16"/>
      <c r="F8054" s="16"/>
      <c r="H8054" s="16"/>
      <c r="AG8054" s="80"/>
      <c r="AH8054" s="80"/>
      <c r="AI8054" s="80"/>
    </row>
    <row r="8055" spans="5:35" x14ac:dyDescent="0.25">
      <c r="E8055" s="16"/>
      <c r="F8055" s="16"/>
      <c r="H8055" s="16"/>
      <c r="AG8055" s="80"/>
      <c r="AH8055" s="80"/>
      <c r="AI8055" s="80"/>
    </row>
    <row r="8056" spans="5:35" x14ac:dyDescent="0.25">
      <c r="E8056" s="16"/>
      <c r="F8056" s="16"/>
      <c r="H8056" s="16"/>
      <c r="AG8056" s="80"/>
      <c r="AH8056" s="80"/>
      <c r="AI8056" s="80"/>
    </row>
    <row r="8057" spans="5:35" x14ac:dyDescent="0.25">
      <c r="E8057" s="16"/>
      <c r="F8057" s="16"/>
      <c r="H8057" s="16"/>
      <c r="AG8057" s="80"/>
      <c r="AH8057" s="80"/>
      <c r="AI8057" s="80"/>
    </row>
    <row r="8058" spans="5:35" x14ac:dyDescent="0.25">
      <c r="E8058" s="16"/>
      <c r="F8058" s="16"/>
      <c r="H8058" s="16"/>
      <c r="AG8058" s="80"/>
      <c r="AH8058" s="80"/>
      <c r="AI8058" s="80"/>
    </row>
    <row r="8059" spans="5:35" x14ac:dyDescent="0.25">
      <c r="E8059" s="16"/>
      <c r="F8059" s="16"/>
      <c r="H8059" s="16"/>
      <c r="AG8059" s="80"/>
      <c r="AH8059" s="80"/>
      <c r="AI8059" s="80"/>
    </row>
    <row r="8060" spans="5:35" x14ac:dyDescent="0.25">
      <c r="E8060" s="16"/>
      <c r="F8060" s="16"/>
      <c r="H8060" s="16"/>
      <c r="AG8060" s="80"/>
      <c r="AH8060" s="80"/>
      <c r="AI8060" s="80"/>
    </row>
    <row r="8061" spans="5:35" x14ac:dyDescent="0.25">
      <c r="E8061" s="16"/>
      <c r="F8061" s="16"/>
      <c r="H8061" s="16"/>
      <c r="AG8061" s="80"/>
      <c r="AH8061" s="80"/>
      <c r="AI8061" s="80"/>
    </row>
    <row r="8062" spans="5:35" x14ac:dyDescent="0.25">
      <c r="E8062" s="16"/>
      <c r="F8062" s="16"/>
      <c r="H8062" s="16"/>
      <c r="AG8062" s="80"/>
      <c r="AH8062" s="80"/>
      <c r="AI8062" s="80"/>
    </row>
    <row r="8063" spans="5:35" x14ac:dyDescent="0.25">
      <c r="E8063" s="16"/>
      <c r="F8063" s="16"/>
      <c r="H8063" s="16"/>
      <c r="AG8063" s="80"/>
      <c r="AH8063" s="80"/>
      <c r="AI8063" s="80"/>
    </row>
    <row r="8064" spans="5:35" x14ac:dyDescent="0.25">
      <c r="E8064" s="16"/>
      <c r="F8064" s="16"/>
      <c r="H8064" s="16"/>
      <c r="AG8064" s="80"/>
      <c r="AH8064" s="80"/>
      <c r="AI8064" s="80"/>
    </row>
    <row r="8065" spans="5:35" x14ac:dyDescent="0.25">
      <c r="E8065" s="16"/>
      <c r="F8065" s="16"/>
      <c r="H8065" s="16"/>
      <c r="AG8065" s="80"/>
      <c r="AH8065" s="80"/>
      <c r="AI8065" s="80"/>
    </row>
    <row r="8066" spans="5:35" x14ac:dyDescent="0.25">
      <c r="E8066" s="16"/>
      <c r="F8066" s="16"/>
      <c r="H8066" s="16"/>
      <c r="AG8066" s="80"/>
      <c r="AH8066" s="80"/>
      <c r="AI8066" s="80"/>
    </row>
    <row r="8067" spans="5:35" x14ac:dyDescent="0.25">
      <c r="E8067" s="16"/>
      <c r="F8067" s="16"/>
      <c r="H8067" s="16"/>
      <c r="AG8067" s="80"/>
      <c r="AH8067" s="80"/>
      <c r="AI8067" s="80"/>
    </row>
    <row r="8068" spans="5:35" x14ac:dyDescent="0.25">
      <c r="E8068" s="16"/>
      <c r="F8068" s="16"/>
      <c r="H8068" s="16"/>
      <c r="AG8068" s="80"/>
      <c r="AH8068" s="80"/>
      <c r="AI8068" s="80"/>
    </row>
    <row r="8069" spans="5:35" x14ac:dyDescent="0.25">
      <c r="E8069" s="16"/>
      <c r="F8069" s="16"/>
      <c r="H8069" s="16"/>
      <c r="AG8069" s="80"/>
      <c r="AH8069" s="80"/>
      <c r="AI8069" s="80"/>
    </row>
    <row r="8070" spans="5:35" x14ac:dyDescent="0.25">
      <c r="E8070" s="16"/>
      <c r="F8070" s="16"/>
      <c r="H8070" s="16"/>
      <c r="AG8070" s="80"/>
      <c r="AH8070" s="80"/>
      <c r="AI8070" s="80"/>
    </row>
    <row r="8071" spans="5:35" x14ac:dyDescent="0.25">
      <c r="E8071" s="16"/>
      <c r="F8071" s="16"/>
      <c r="H8071" s="16"/>
      <c r="AG8071" s="80"/>
      <c r="AH8071" s="80"/>
      <c r="AI8071" s="80"/>
    </row>
    <row r="8072" spans="5:35" x14ac:dyDescent="0.25">
      <c r="E8072" s="16"/>
      <c r="F8072" s="16"/>
      <c r="H8072" s="16"/>
      <c r="AG8072" s="80"/>
      <c r="AH8072" s="80"/>
      <c r="AI8072" s="80"/>
    </row>
    <row r="8073" spans="5:35" x14ac:dyDescent="0.25">
      <c r="E8073" s="16"/>
      <c r="F8073" s="16"/>
      <c r="H8073" s="16"/>
      <c r="AG8073" s="80"/>
      <c r="AH8073" s="80"/>
      <c r="AI8073" s="80"/>
    </row>
    <row r="8074" spans="5:35" x14ac:dyDescent="0.25">
      <c r="E8074" s="16"/>
      <c r="F8074" s="16"/>
      <c r="H8074" s="16"/>
      <c r="AG8074" s="80"/>
      <c r="AH8074" s="80"/>
      <c r="AI8074" s="80"/>
    </row>
    <row r="8075" spans="5:35" x14ac:dyDescent="0.25">
      <c r="E8075" s="16"/>
      <c r="F8075" s="16"/>
      <c r="H8075" s="16"/>
      <c r="AG8075" s="80"/>
      <c r="AH8075" s="80"/>
      <c r="AI8075" s="80"/>
    </row>
    <row r="8076" spans="5:35" x14ac:dyDescent="0.25">
      <c r="E8076" s="16"/>
      <c r="F8076" s="16"/>
      <c r="H8076" s="16"/>
      <c r="AG8076" s="80"/>
      <c r="AH8076" s="80"/>
      <c r="AI8076" s="80"/>
    </row>
    <row r="8077" spans="5:35" x14ac:dyDescent="0.25">
      <c r="E8077" s="16"/>
      <c r="F8077" s="16"/>
      <c r="H8077" s="16"/>
      <c r="AG8077" s="80"/>
      <c r="AH8077" s="80"/>
      <c r="AI8077" s="80"/>
    </row>
    <row r="8078" spans="5:35" x14ac:dyDescent="0.25">
      <c r="E8078" s="16"/>
      <c r="F8078" s="16"/>
      <c r="H8078" s="16"/>
      <c r="AG8078" s="80"/>
      <c r="AH8078" s="80"/>
      <c r="AI8078" s="80"/>
    </row>
    <row r="8079" spans="5:35" x14ac:dyDescent="0.25">
      <c r="E8079" s="16"/>
      <c r="F8079" s="16"/>
      <c r="H8079" s="16"/>
      <c r="AG8079" s="80"/>
      <c r="AH8079" s="80"/>
      <c r="AI8079" s="80"/>
    </row>
    <row r="8080" spans="5:35" x14ac:dyDescent="0.25">
      <c r="E8080" s="16"/>
      <c r="F8080" s="16"/>
      <c r="H8080" s="16"/>
      <c r="AG8080" s="80"/>
      <c r="AH8080" s="80"/>
      <c r="AI8080" s="80"/>
    </row>
    <row r="8081" spans="5:35" x14ac:dyDescent="0.25">
      <c r="E8081" s="16"/>
      <c r="F8081" s="16"/>
      <c r="H8081" s="16"/>
      <c r="AG8081" s="80"/>
      <c r="AH8081" s="80"/>
      <c r="AI8081" s="80"/>
    </row>
    <row r="8082" spans="5:35" x14ac:dyDescent="0.25">
      <c r="E8082" s="16"/>
      <c r="F8082" s="16"/>
      <c r="H8082" s="16"/>
      <c r="AG8082" s="80"/>
      <c r="AH8082" s="80"/>
      <c r="AI8082" s="80"/>
    </row>
    <row r="8083" spans="5:35" x14ac:dyDescent="0.25">
      <c r="E8083" s="16"/>
      <c r="F8083" s="16"/>
      <c r="H8083" s="16"/>
      <c r="AG8083" s="80"/>
      <c r="AH8083" s="80"/>
      <c r="AI8083" s="80"/>
    </row>
    <row r="8084" spans="5:35" x14ac:dyDescent="0.25">
      <c r="E8084" s="16"/>
      <c r="F8084" s="16"/>
      <c r="H8084" s="16"/>
      <c r="AG8084" s="80"/>
      <c r="AH8084" s="80"/>
      <c r="AI8084" s="80"/>
    </row>
    <row r="8085" spans="5:35" x14ac:dyDescent="0.25">
      <c r="E8085" s="16"/>
      <c r="F8085" s="16"/>
      <c r="H8085" s="16"/>
      <c r="AG8085" s="80"/>
      <c r="AH8085" s="80"/>
      <c r="AI8085" s="80"/>
    </row>
    <row r="8086" spans="5:35" x14ac:dyDescent="0.25">
      <c r="E8086" s="16"/>
      <c r="F8086" s="16"/>
      <c r="H8086" s="16"/>
      <c r="AG8086" s="80"/>
      <c r="AH8086" s="80"/>
      <c r="AI8086" s="80"/>
    </row>
    <row r="8087" spans="5:35" x14ac:dyDescent="0.25">
      <c r="E8087" s="16"/>
      <c r="F8087" s="16"/>
      <c r="H8087" s="16"/>
      <c r="AG8087" s="80"/>
      <c r="AH8087" s="80"/>
      <c r="AI8087" s="80"/>
    </row>
    <row r="8088" spans="5:35" x14ac:dyDescent="0.25">
      <c r="E8088" s="16"/>
      <c r="F8088" s="16"/>
      <c r="H8088" s="16"/>
      <c r="AG8088" s="80"/>
      <c r="AH8088" s="80"/>
      <c r="AI8088" s="80"/>
    </row>
    <row r="8089" spans="5:35" x14ac:dyDescent="0.25">
      <c r="E8089" s="16"/>
      <c r="F8089" s="16"/>
      <c r="H8089" s="16"/>
      <c r="AG8089" s="80"/>
      <c r="AH8089" s="80"/>
      <c r="AI8089" s="80"/>
    </row>
    <row r="8090" spans="5:35" x14ac:dyDescent="0.25">
      <c r="E8090" s="16"/>
      <c r="F8090" s="16"/>
      <c r="H8090" s="16"/>
      <c r="AG8090" s="80"/>
      <c r="AH8090" s="80"/>
      <c r="AI8090" s="80"/>
    </row>
    <row r="8091" spans="5:35" x14ac:dyDescent="0.25">
      <c r="E8091" s="16"/>
      <c r="F8091" s="16"/>
      <c r="H8091" s="16"/>
      <c r="AG8091" s="80"/>
      <c r="AH8091" s="80"/>
      <c r="AI8091" s="80"/>
    </row>
    <row r="8092" spans="5:35" x14ac:dyDescent="0.25">
      <c r="E8092" s="16"/>
      <c r="F8092" s="16"/>
      <c r="H8092" s="16"/>
      <c r="AG8092" s="80"/>
      <c r="AH8092" s="80"/>
      <c r="AI8092" s="80"/>
    </row>
    <row r="8093" spans="5:35" x14ac:dyDescent="0.25">
      <c r="E8093" s="16"/>
      <c r="F8093" s="16"/>
      <c r="H8093" s="16"/>
      <c r="AG8093" s="80"/>
      <c r="AH8093" s="80"/>
      <c r="AI8093" s="80"/>
    </row>
    <row r="8094" spans="5:35" x14ac:dyDescent="0.25">
      <c r="E8094" s="16"/>
      <c r="F8094" s="16"/>
      <c r="H8094" s="16"/>
      <c r="AG8094" s="80"/>
      <c r="AH8094" s="80"/>
      <c r="AI8094" s="80"/>
    </row>
    <row r="8095" spans="5:35" x14ac:dyDescent="0.25">
      <c r="E8095" s="16"/>
      <c r="F8095" s="16"/>
      <c r="H8095" s="16"/>
      <c r="AG8095" s="80"/>
      <c r="AH8095" s="80"/>
      <c r="AI8095" s="80"/>
    </row>
    <row r="8096" spans="5:35" x14ac:dyDescent="0.25">
      <c r="E8096" s="16"/>
      <c r="F8096" s="16"/>
      <c r="H8096" s="16"/>
      <c r="AG8096" s="80"/>
      <c r="AH8096" s="80"/>
      <c r="AI8096" s="80"/>
    </row>
    <row r="8097" spans="5:35" x14ac:dyDescent="0.25">
      <c r="E8097" s="16"/>
      <c r="F8097" s="16"/>
      <c r="H8097" s="16"/>
      <c r="AG8097" s="80"/>
      <c r="AH8097" s="80"/>
      <c r="AI8097" s="80"/>
    </row>
    <row r="8098" spans="5:35" x14ac:dyDescent="0.25">
      <c r="E8098" s="16"/>
      <c r="F8098" s="16"/>
      <c r="H8098" s="16"/>
      <c r="AG8098" s="80"/>
      <c r="AH8098" s="80"/>
      <c r="AI8098" s="80"/>
    </row>
    <row r="8099" spans="5:35" x14ac:dyDescent="0.25">
      <c r="E8099" s="16"/>
      <c r="F8099" s="16"/>
      <c r="H8099" s="16"/>
      <c r="AG8099" s="80"/>
      <c r="AH8099" s="80"/>
      <c r="AI8099" s="80"/>
    </row>
    <row r="8100" spans="5:35" x14ac:dyDescent="0.25">
      <c r="E8100" s="16"/>
      <c r="F8100" s="16"/>
      <c r="H8100" s="16"/>
      <c r="AG8100" s="80"/>
      <c r="AH8100" s="80"/>
      <c r="AI8100" s="80"/>
    </row>
    <row r="8101" spans="5:35" x14ac:dyDescent="0.25">
      <c r="E8101" s="16"/>
      <c r="F8101" s="16"/>
      <c r="H8101" s="16"/>
      <c r="AG8101" s="80"/>
      <c r="AH8101" s="80"/>
      <c r="AI8101" s="80"/>
    </row>
    <row r="8102" spans="5:35" x14ac:dyDescent="0.25">
      <c r="E8102" s="16"/>
      <c r="F8102" s="16"/>
      <c r="H8102" s="16"/>
      <c r="AG8102" s="80"/>
      <c r="AH8102" s="80"/>
      <c r="AI8102" s="80"/>
    </row>
    <row r="8103" spans="5:35" x14ac:dyDescent="0.25">
      <c r="E8103" s="16"/>
      <c r="F8103" s="16"/>
      <c r="H8103" s="16"/>
      <c r="AG8103" s="80"/>
      <c r="AH8103" s="80"/>
      <c r="AI8103" s="80"/>
    </row>
    <row r="8104" spans="5:35" x14ac:dyDescent="0.25">
      <c r="E8104" s="16"/>
      <c r="F8104" s="16"/>
      <c r="H8104" s="16"/>
      <c r="AG8104" s="80"/>
      <c r="AH8104" s="80"/>
      <c r="AI8104" s="80"/>
    </row>
    <row r="8105" spans="5:35" x14ac:dyDescent="0.25">
      <c r="E8105" s="16"/>
      <c r="F8105" s="16"/>
      <c r="H8105" s="16"/>
      <c r="AG8105" s="80"/>
      <c r="AH8105" s="80"/>
      <c r="AI8105" s="80"/>
    </row>
    <row r="8106" spans="5:35" x14ac:dyDescent="0.25">
      <c r="E8106" s="16"/>
      <c r="F8106" s="16"/>
      <c r="H8106" s="16"/>
      <c r="AG8106" s="80"/>
      <c r="AH8106" s="80"/>
      <c r="AI8106" s="80"/>
    </row>
    <row r="8107" spans="5:35" x14ac:dyDescent="0.25">
      <c r="E8107" s="16"/>
      <c r="F8107" s="16"/>
      <c r="H8107" s="16"/>
      <c r="AG8107" s="80"/>
      <c r="AH8107" s="80"/>
      <c r="AI8107" s="80"/>
    </row>
    <row r="8108" spans="5:35" x14ac:dyDescent="0.25">
      <c r="E8108" s="16"/>
      <c r="F8108" s="16"/>
      <c r="H8108" s="16"/>
      <c r="AG8108" s="80"/>
      <c r="AH8108" s="80"/>
      <c r="AI8108" s="80"/>
    </row>
    <row r="8109" spans="5:35" x14ac:dyDescent="0.25">
      <c r="E8109" s="16"/>
      <c r="F8109" s="16"/>
      <c r="H8109" s="16"/>
      <c r="AG8109" s="80"/>
      <c r="AH8109" s="80"/>
      <c r="AI8109" s="80"/>
    </row>
    <row r="8110" spans="5:35" x14ac:dyDescent="0.25">
      <c r="E8110" s="16"/>
      <c r="F8110" s="16"/>
      <c r="H8110" s="16"/>
      <c r="AG8110" s="80"/>
      <c r="AH8110" s="80"/>
      <c r="AI8110" s="80"/>
    </row>
    <row r="8111" spans="5:35" x14ac:dyDescent="0.25">
      <c r="E8111" s="16"/>
      <c r="F8111" s="16"/>
      <c r="H8111" s="16"/>
      <c r="AG8111" s="80"/>
      <c r="AH8111" s="80"/>
      <c r="AI8111" s="80"/>
    </row>
    <row r="8112" spans="5:35" x14ac:dyDescent="0.25">
      <c r="E8112" s="16"/>
      <c r="F8112" s="16"/>
      <c r="H8112" s="16"/>
      <c r="AG8112" s="80"/>
      <c r="AH8112" s="80"/>
      <c r="AI8112" s="80"/>
    </row>
    <row r="8113" spans="5:35" x14ac:dyDescent="0.25">
      <c r="E8113" s="16"/>
      <c r="F8113" s="16"/>
      <c r="H8113" s="16"/>
      <c r="AG8113" s="80"/>
      <c r="AH8113" s="80"/>
      <c r="AI8113" s="80"/>
    </row>
    <row r="8114" spans="5:35" x14ac:dyDescent="0.25">
      <c r="E8114" s="16"/>
      <c r="F8114" s="16"/>
      <c r="H8114" s="16"/>
      <c r="AG8114" s="80"/>
      <c r="AH8114" s="80"/>
      <c r="AI8114" s="80"/>
    </row>
    <row r="8115" spans="5:35" x14ac:dyDescent="0.25">
      <c r="E8115" s="16"/>
      <c r="F8115" s="16"/>
      <c r="H8115" s="16"/>
      <c r="AG8115" s="80"/>
      <c r="AH8115" s="80"/>
      <c r="AI8115" s="80"/>
    </row>
    <row r="8116" spans="5:35" x14ac:dyDescent="0.25">
      <c r="E8116" s="16"/>
      <c r="F8116" s="16"/>
      <c r="H8116" s="16"/>
      <c r="AG8116" s="80"/>
      <c r="AH8116" s="80"/>
      <c r="AI8116" s="80"/>
    </row>
    <row r="8117" spans="5:35" x14ac:dyDescent="0.25">
      <c r="E8117" s="16"/>
      <c r="F8117" s="16"/>
      <c r="H8117" s="16"/>
      <c r="AG8117" s="80"/>
      <c r="AH8117" s="80"/>
      <c r="AI8117" s="80"/>
    </row>
    <row r="8118" spans="5:35" x14ac:dyDescent="0.25">
      <c r="E8118" s="16"/>
      <c r="F8118" s="16"/>
      <c r="H8118" s="16"/>
      <c r="AG8118" s="80"/>
      <c r="AH8118" s="80"/>
      <c r="AI8118" s="80"/>
    </row>
    <row r="8119" spans="5:35" x14ac:dyDescent="0.25">
      <c r="E8119" s="16"/>
      <c r="F8119" s="16"/>
      <c r="H8119" s="16"/>
      <c r="AG8119" s="80"/>
      <c r="AH8119" s="80"/>
      <c r="AI8119" s="80"/>
    </row>
    <row r="8120" spans="5:35" x14ac:dyDescent="0.25">
      <c r="E8120" s="16"/>
      <c r="F8120" s="16"/>
      <c r="H8120" s="16"/>
      <c r="AG8120" s="80"/>
      <c r="AH8120" s="80"/>
      <c r="AI8120" s="80"/>
    </row>
    <row r="8121" spans="5:35" x14ac:dyDescent="0.25">
      <c r="E8121" s="16"/>
      <c r="F8121" s="16"/>
      <c r="H8121" s="16"/>
      <c r="AG8121" s="80"/>
      <c r="AH8121" s="80"/>
      <c r="AI8121" s="80"/>
    </row>
    <row r="8122" spans="5:35" x14ac:dyDescent="0.25">
      <c r="E8122" s="16"/>
      <c r="F8122" s="16"/>
      <c r="H8122" s="16"/>
      <c r="AG8122" s="80"/>
      <c r="AH8122" s="80"/>
      <c r="AI8122" s="80"/>
    </row>
    <row r="8123" spans="5:35" x14ac:dyDescent="0.25">
      <c r="E8123" s="16"/>
      <c r="F8123" s="16"/>
      <c r="H8123" s="16"/>
      <c r="AG8123" s="80"/>
      <c r="AH8123" s="80"/>
      <c r="AI8123" s="80"/>
    </row>
    <row r="8124" spans="5:35" x14ac:dyDescent="0.25">
      <c r="E8124" s="16"/>
      <c r="F8124" s="16"/>
      <c r="H8124" s="16"/>
      <c r="AG8124" s="80"/>
      <c r="AH8124" s="80"/>
      <c r="AI8124" s="80"/>
    </row>
    <row r="8125" spans="5:35" x14ac:dyDescent="0.25">
      <c r="E8125" s="16"/>
      <c r="F8125" s="16"/>
      <c r="H8125" s="16"/>
      <c r="AG8125" s="80"/>
      <c r="AH8125" s="80"/>
      <c r="AI8125" s="80"/>
    </row>
    <row r="8126" spans="5:35" x14ac:dyDescent="0.25">
      <c r="E8126" s="16"/>
      <c r="F8126" s="16"/>
      <c r="H8126" s="16"/>
      <c r="AG8126" s="80"/>
      <c r="AH8126" s="80"/>
      <c r="AI8126" s="80"/>
    </row>
    <row r="8127" spans="5:35" x14ac:dyDescent="0.25">
      <c r="E8127" s="16"/>
      <c r="F8127" s="16"/>
      <c r="H8127" s="16"/>
      <c r="AG8127" s="80"/>
      <c r="AH8127" s="80"/>
      <c r="AI8127" s="80"/>
    </row>
    <row r="8128" spans="5:35" x14ac:dyDescent="0.25">
      <c r="E8128" s="16"/>
      <c r="F8128" s="16"/>
      <c r="H8128" s="16"/>
      <c r="AG8128" s="80"/>
      <c r="AH8128" s="80"/>
      <c r="AI8128" s="80"/>
    </row>
    <row r="8129" spans="5:35" x14ac:dyDescent="0.25">
      <c r="E8129" s="16"/>
      <c r="F8129" s="16"/>
      <c r="H8129" s="16"/>
      <c r="AG8129" s="80"/>
      <c r="AH8129" s="80"/>
      <c r="AI8129" s="80"/>
    </row>
    <row r="8130" spans="5:35" x14ac:dyDescent="0.25">
      <c r="E8130" s="16"/>
      <c r="F8130" s="16"/>
      <c r="H8130" s="16"/>
      <c r="AG8130" s="80"/>
      <c r="AH8130" s="80"/>
      <c r="AI8130" s="80"/>
    </row>
    <row r="8131" spans="5:35" x14ac:dyDescent="0.25">
      <c r="E8131" s="16"/>
      <c r="F8131" s="16"/>
      <c r="H8131" s="16"/>
      <c r="AG8131" s="80"/>
      <c r="AH8131" s="80"/>
      <c r="AI8131" s="80"/>
    </row>
    <row r="8132" spans="5:35" x14ac:dyDescent="0.25">
      <c r="E8132" s="16"/>
      <c r="F8132" s="16"/>
      <c r="H8132" s="16"/>
      <c r="AG8132" s="80"/>
      <c r="AH8132" s="80"/>
      <c r="AI8132" s="80"/>
    </row>
    <row r="8133" spans="5:35" x14ac:dyDescent="0.25">
      <c r="E8133" s="16"/>
      <c r="F8133" s="16"/>
      <c r="H8133" s="16"/>
      <c r="AG8133" s="80"/>
      <c r="AH8133" s="80"/>
      <c r="AI8133" s="80"/>
    </row>
    <row r="8134" spans="5:35" x14ac:dyDescent="0.25">
      <c r="E8134" s="16"/>
      <c r="F8134" s="16"/>
      <c r="H8134" s="16"/>
      <c r="AG8134" s="80"/>
      <c r="AH8134" s="80"/>
      <c r="AI8134" s="80"/>
    </row>
    <row r="8135" spans="5:35" x14ac:dyDescent="0.25">
      <c r="E8135" s="16"/>
      <c r="F8135" s="16"/>
      <c r="H8135" s="16"/>
      <c r="AG8135" s="80"/>
      <c r="AH8135" s="80"/>
      <c r="AI8135" s="80"/>
    </row>
    <row r="8136" spans="5:35" x14ac:dyDescent="0.25">
      <c r="E8136" s="16"/>
      <c r="F8136" s="16"/>
      <c r="H8136" s="16"/>
      <c r="AG8136" s="80"/>
      <c r="AH8136" s="80"/>
      <c r="AI8136" s="80"/>
    </row>
    <row r="8137" spans="5:35" x14ac:dyDescent="0.25">
      <c r="E8137" s="16"/>
      <c r="F8137" s="16"/>
      <c r="H8137" s="16"/>
      <c r="AG8137" s="80"/>
      <c r="AH8137" s="80"/>
      <c r="AI8137" s="80"/>
    </row>
    <row r="8138" spans="5:35" x14ac:dyDescent="0.25">
      <c r="E8138" s="16"/>
      <c r="F8138" s="16"/>
      <c r="H8138" s="16"/>
      <c r="AG8138" s="80"/>
      <c r="AH8138" s="80"/>
      <c r="AI8138" s="80"/>
    </row>
    <row r="8139" spans="5:35" x14ac:dyDescent="0.25">
      <c r="E8139" s="16"/>
      <c r="F8139" s="16"/>
      <c r="H8139" s="16"/>
      <c r="AG8139" s="80"/>
      <c r="AH8139" s="80"/>
      <c r="AI8139" s="80"/>
    </row>
    <row r="8140" spans="5:35" x14ac:dyDescent="0.25">
      <c r="E8140" s="16"/>
      <c r="F8140" s="16"/>
      <c r="H8140" s="16"/>
      <c r="AG8140" s="80"/>
      <c r="AH8140" s="80"/>
      <c r="AI8140" s="80"/>
    </row>
    <row r="8141" spans="5:35" x14ac:dyDescent="0.25">
      <c r="E8141" s="16"/>
      <c r="F8141" s="16"/>
      <c r="H8141" s="16"/>
      <c r="AG8141" s="80"/>
      <c r="AH8141" s="80"/>
      <c r="AI8141" s="80"/>
    </row>
    <row r="8142" spans="5:35" x14ac:dyDescent="0.25">
      <c r="E8142" s="16"/>
      <c r="F8142" s="16"/>
      <c r="H8142" s="16"/>
      <c r="AG8142" s="80"/>
      <c r="AH8142" s="80"/>
      <c r="AI8142" s="80"/>
    </row>
    <row r="8143" spans="5:35" x14ac:dyDescent="0.25">
      <c r="E8143" s="16"/>
      <c r="F8143" s="16"/>
      <c r="H8143" s="16"/>
      <c r="AG8143" s="80"/>
      <c r="AH8143" s="80"/>
      <c r="AI8143" s="80"/>
    </row>
    <row r="8144" spans="5:35" x14ac:dyDescent="0.25">
      <c r="E8144" s="16"/>
      <c r="F8144" s="16"/>
      <c r="H8144" s="16"/>
      <c r="AG8144" s="80"/>
      <c r="AH8144" s="80"/>
      <c r="AI8144" s="80"/>
    </row>
    <row r="8145" spans="5:35" x14ac:dyDescent="0.25">
      <c r="E8145" s="16"/>
      <c r="F8145" s="16"/>
      <c r="H8145" s="16"/>
      <c r="AG8145" s="80"/>
      <c r="AH8145" s="80"/>
      <c r="AI8145" s="80"/>
    </row>
    <row r="8146" spans="5:35" x14ac:dyDescent="0.25">
      <c r="E8146" s="16"/>
      <c r="F8146" s="16"/>
      <c r="H8146" s="16"/>
      <c r="AG8146" s="80"/>
      <c r="AH8146" s="80"/>
      <c r="AI8146" s="80"/>
    </row>
    <row r="8147" spans="5:35" x14ac:dyDescent="0.25">
      <c r="E8147" s="16"/>
      <c r="F8147" s="16"/>
      <c r="H8147" s="16"/>
      <c r="AG8147" s="80"/>
      <c r="AH8147" s="80"/>
      <c r="AI8147" s="80"/>
    </row>
    <row r="8148" spans="5:35" x14ac:dyDescent="0.25">
      <c r="E8148" s="16"/>
      <c r="F8148" s="16"/>
      <c r="H8148" s="16"/>
      <c r="AG8148" s="80"/>
      <c r="AH8148" s="80"/>
      <c r="AI8148" s="80"/>
    </row>
    <row r="8149" spans="5:35" x14ac:dyDescent="0.25">
      <c r="E8149" s="16"/>
      <c r="F8149" s="16"/>
      <c r="H8149" s="16"/>
      <c r="AG8149" s="80"/>
      <c r="AH8149" s="80"/>
      <c r="AI8149" s="80"/>
    </row>
    <row r="8150" spans="5:35" x14ac:dyDescent="0.25">
      <c r="E8150" s="16"/>
      <c r="F8150" s="16"/>
      <c r="H8150" s="16"/>
      <c r="AG8150" s="80"/>
      <c r="AH8150" s="80"/>
      <c r="AI8150" s="80"/>
    </row>
    <row r="8151" spans="5:35" x14ac:dyDescent="0.25">
      <c r="E8151" s="16"/>
      <c r="F8151" s="16"/>
      <c r="H8151" s="16"/>
      <c r="AG8151" s="80"/>
      <c r="AH8151" s="80"/>
      <c r="AI8151" s="80"/>
    </row>
    <row r="8152" spans="5:35" x14ac:dyDescent="0.25">
      <c r="E8152" s="16"/>
      <c r="F8152" s="16"/>
      <c r="H8152" s="16"/>
      <c r="AG8152" s="80"/>
      <c r="AH8152" s="80"/>
      <c r="AI8152" s="80"/>
    </row>
    <row r="8153" spans="5:35" x14ac:dyDescent="0.25">
      <c r="E8153" s="16"/>
      <c r="F8153" s="16"/>
      <c r="H8153" s="16"/>
      <c r="AG8153" s="80"/>
      <c r="AH8153" s="80"/>
      <c r="AI8153" s="80"/>
    </row>
    <row r="8154" spans="5:35" x14ac:dyDescent="0.25">
      <c r="E8154" s="16"/>
      <c r="F8154" s="16"/>
      <c r="H8154" s="16"/>
      <c r="AG8154" s="80"/>
      <c r="AH8154" s="80"/>
      <c r="AI8154" s="80"/>
    </row>
    <row r="8155" spans="5:35" x14ac:dyDescent="0.25">
      <c r="E8155" s="16"/>
      <c r="F8155" s="16"/>
      <c r="H8155" s="16"/>
      <c r="AG8155" s="80"/>
      <c r="AH8155" s="80"/>
      <c r="AI8155" s="80"/>
    </row>
    <row r="8156" spans="5:35" x14ac:dyDescent="0.25">
      <c r="E8156" s="16"/>
      <c r="F8156" s="16"/>
      <c r="H8156" s="16"/>
      <c r="AG8156" s="80"/>
      <c r="AH8156" s="80"/>
      <c r="AI8156" s="80"/>
    </row>
    <row r="8157" spans="5:35" x14ac:dyDescent="0.25">
      <c r="E8157" s="16"/>
      <c r="F8157" s="16"/>
      <c r="H8157" s="16"/>
      <c r="AG8157" s="80"/>
      <c r="AH8157" s="80"/>
      <c r="AI8157" s="80"/>
    </row>
    <row r="8158" spans="5:35" x14ac:dyDescent="0.25">
      <c r="E8158" s="16"/>
      <c r="F8158" s="16"/>
      <c r="H8158" s="16"/>
      <c r="AG8158" s="80"/>
      <c r="AH8158" s="80"/>
      <c r="AI8158" s="80"/>
    </row>
    <row r="8159" spans="5:35" x14ac:dyDescent="0.25">
      <c r="E8159" s="16"/>
      <c r="F8159" s="16"/>
      <c r="H8159" s="16"/>
      <c r="AG8159" s="80"/>
      <c r="AH8159" s="80"/>
      <c r="AI8159" s="80"/>
    </row>
    <row r="8160" spans="5:35" x14ac:dyDescent="0.25">
      <c r="E8160" s="16"/>
      <c r="F8160" s="16"/>
      <c r="H8160" s="16"/>
      <c r="AG8160" s="80"/>
      <c r="AH8160" s="80"/>
      <c r="AI8160" s="80"/>
    </row>
    <row r="8161" spans="5:35" x14ac:dyDescent="0.25">
      <c r="E8161" s="16"/>
      <c r="F8161" s="16"/>
      <c r="H8161" s="16"/>
      <c r="AG8161" s="80"/>
      <c r="AH8161" s="80"/>
      <c r="AI8161" s="80"/>
    </row>
    <row r="8162" spans="5:35" x14ac:dyDescent="0.25">
      <c r="E8162" s="16"/>
      <c r="F8162" s="16"/>
      <c r="H8162" s="16"/>
      <c r="AG8162" s="80"/>
      <c r="AH8162" s="80"/>
      <c r="AI8162" s="80"/>
    </row>
    <row r="8163" spans="5:35" x14ac:dyDescent="0.25">
      <c r="E8163" s="16"/>
      <c r="F8163" s="16"/>
      <c r="H8163" s="16"/>
      <c r="AG8163" s="80"/>
      <c r="AH8163" s="80"/>
      <c r="AI8163" s="80"/>
    </row>
    <row r="8164" spans="5:35" x14ac:dyDescent="0.25">
      <c r="E8164" s="16"/>
      <c r="F8164" s="16"/>
      <c r="H8164" s="16"/>
      <c r="AG8164" s="80"/>
      <c r="AH8164" s="80"/>
      <c r="AI8164" s="80"/>
    </row>
    <row r="8165" spans="5:35" x14ac:dyDescent="0.25">
      <c r="E8165" s="16"/>
      <c r="F8165" s="16"/>
      <c r="H8165" s="16"/>
      <c r="AG8165" s="80"/>
      <c r="AH8165" s="80"/>
      <c r="AI8165" s="80"/>
    </row>
    <row r="8166" spans="5:35" x14ac:dyDescent="0.25">
      <c r="E8166" s="16"/>
      <c r="F8166" s="16"/>
      <c r="H8166" s="16"/>
      <c r="AG8166" s="80"/>
      <c r="AH8166" s="80"/>
      <c r="AI8166" s="80"/>
    </row>
    <row r="8167" spans="5:35" x14ac:dyDescent="0.25">
      <c r="E8167" s="16"/>
      <c r="F8167" s="16"/>
      <c r="H8167" s="16"/>
      <c r="AG8167" s="80"/>
      <c r="AH8167" s="80"/>
      <c r="AI8167" s="80"/>
    </row>
    <row r="8168" spans="5:35" x14ac:dyDescent="0.25">
      <c r="E8168" s="16"/>
      <c r="F8168" s="16"/>
      <c r="H8168" s="16"/>
      <c r="AG8168" s="80"/>
      <c r="AH8168" s="80"/>
      <c r="AI8168" s="80"/>
    </row>
    <row r="8169" spans="5:35" x14ac:dyDescent="0.25">
      <c r="E8169" s="16"/>
      <c r="F8169" s="16"/>
      <c r="H8169" s="16"/>
      <c r="AG8169" s="80"/>
      <c r="AH8169" s="80"/>
      <c r="AI8169" s="80"/>
    </row>
    <row r="8170" spans="5:35" x14ac:dyDescent="0.25">
      <c r="E8170" s="16"/>
      <c r="F8170" s="16"/>
      <c r="H8170" s="16"/>
      <c r="AG8170" s="80"/>
      <c r="AH8170" s="80"/>
      <c r="AI8170" s="80"/>
    </row>
    <row r="8171" spans="5:35" x14ac:dyDescent="0.25">
      <c r="E8171" s="16"/>
      <c r="F8171" s="16"/>
      <c r="H8171" s="16"/>
      <c r="AG8171" s="80"/>
      <c r="AH8171" s="80"/>
      <c r="AI8171" s="80"/>
    </row>
    <row r="8172" spans="5:35" x14ac:dyDescent="0.25">
      <c r="E8172" s="16"/>
      <c r="F8172" s="16"/>
      <c r="H8172" s="16"/>
      <c r="AG8172" s="80"/>
      <c r="AH8172" s="80"/>
      <c r="AI8172" s="80"/>
    </row>
    <row r="8173" spans="5:35" x14ac:dyDescent="0.25">
      <c r="E8173" s="16"/>
      <c r="F8173" s="16"/>
      <c r="H8173" s="16"/>
      <c r="AG8173" s="80"/>
      <c r="AH8173" s="80"/>
      <c r="AI8173" s="80"/>
    </row>
    <row r="8174" spans="5:35" x14ac:dyDescent="0.25">
      <c r="E8174" s="16"/>
      <c r="F8174" s="16"/>
      <c r="H8174" s="16"/>
      <c r="AG8174" s="80"/>
      <c r="AH8174" s="80"/>
      <c r="AI8174" s="80"/>
    </row>
    <row r="8175" spans="5:35" x14ac:dyDescent="0.25">
      <c r="E8175" s="16"/>
      <c r="F8175" s="16"/>
      <c r="H8175" s="16"/>
      <c r="AG8175" s="80"/>
      <c r="AH8175" s="80"/>
      <c r="AI8175" s="80"/>
    </row>
    <row r="8176" spans="5:35" x14ac:dyDescent="0.25">
      <c r="E8176" s="16"/>
      <c r="F8176" s="16"/>
      <c r="H8176" s="16"/>
      <c r="AG8176" s="80"/>
      <c r="AH8176" s="80"/>
      <c r="AI8176" s="80"/>
    </row>
    <row r="8177" spans="5:35" x14ac:dyDescent="0.25">
      <c r="E8177" s="16"/>
      <c r="F8177" s="16"/>
      <c r="H8177" s="16"/>
      <c r="AG8177" s="80"/>
      <c r="AH8177" s="80"/>
      <c r="AI8177" s="80"/>
    </row>
    <row r="8178" spans="5:35" x14ac:dyDescent="0.25">
      <c r="E8178" s="16"/>
      <c r="F8178" s="16"/>
      <c r="H8178" s="16"/>
      <c r="AG8178" s="80"/>
      <c r="AH8178" s="80"/>
      <c r="AI8178" s="80"/>
    </row>
    <row r="8179" spans="5:35" x14ac:dyDescent="0.25">
      <c r="E8179" s="16"/>
      <c r="F8179" s="16"/>
      <c r="H8179" s="16"/>
      <c r="AG8179" s="80"/>
      <c r="AH8179" s="80"/>
      <c r="AI8179" s="80"/>
    </row>
    <row r="8180" spans="5:35" x14ac:dyDescent="0.25">
      <c r="E8180" s="16"/>
      <c r="F8180" s="16"/>
      <c r="H8180" s="16"/>
      <c r="AG8180" s="80"/>
      <c r="AH8180" s="80"/>
      <c r="AI8180" s="80"/>
    </row>
    <row r="8181" spans="5:35" x14ac:dyDescent="0.25">
      <c r="E8181" s="16"/>
      <c r="F8181" s="16"/>
      <c r="H8181" s="16"/>
      <c r="AG8181" s="80"/>
      <c r="AH8181" s="80"/>
      <c r="AI8181" s="80"/>
    </row>
    <row r="8182" spans="5:35" x14ac:dyDescent="0.25">
      <c r="E8182" s="16"/>
      <c r="F8182" s="16"/>
      <c r="H8182" s="16"/>
      <c r="AG8182" s="80"/>
      <c r="AH8182" s="80"/>
      <c r="AI8182" s="80"/>
    </row>
    <row r="8183" spans="5:35" x14ac:dyDescent="0.25">
      <c r="E8183" s="16"/>
      <c r="F8183" s="16"/>
      <c r="H8183" s="16"/>
      <c r="AG8183" s="80"/>
      <c r="AH8183" s="80"/>
      <c r="AI8183" s="80"/>
    </row>
    <row r="8184" spans="5:35" x14ac:dyDescent="0.25">
      <c r="E8184" s="16"/>
      <c r="F8184" s="16"/>
      <c r="H8184" s="16"/>
      <c r="AG8184" s="80"/>
      <c r="AH8184" s="80"/>
      <c r="AI8184" s="80"/>
    </row>
    <row r="8185" spans="5:35" x14ac:dyDescent="0.25">
      <c r="E8185" s="16"/>
      <c r="F8185" s="16"/>
      <c r="H8185" s="16"/>
      <c r="AG8185" s="80"/>
      <c r="AH8185" s="80"/>
      <c r="AI8185" s="80"/>
    </row>
    <row r="8186" spans="5:35" x14ac:dyDescent="0.25">
      <c r="E8186" s="16"/>
      <c r="F8186" s="16"/>
      <c r="H8186" s="16"/>
      <c r="AG8186" s="80"/>
      <c r="AH8186" s="80"/>
      <c r="AI8186" s="80"/>
    </row>
    <row r="8187" spans="5:35" x14ac:dyDescent="0.25">
      <c r="E8187" s="16"/>
      <c r="F8187" s="16"/>
      <c r="H8187" s="16"/>
      <c r="AG8187" s="80"/>
      <c r="AH8187" s="80"/>
      <c r="AI8187" s="80"/>
    </row>
    <row r="8188" spans="5:35" x14ac:dyDescent="0.25">
      <c r="E8188" s="16"/>
      <c r="F8188" s="16"/>
      <c r="H8188" s="16"/>
      <c r="AG8188" s="80"/>
      <c r="AH8188" s="80"/>
      <c r="AI8188" s="80"/>
    </row>
    <row r="8189" spans="5:35" x14ac:dyDescent="0.25">
      <c r="E8189" s="16"/>
      <c r="F8189" s="16"/>
      <c r="H8189" s="16"/>
      <c r="AG8189" s="80"/>
      <c r="AH8189" s="80"/>
      <c r="AI8189" s="80"/>
    </row>
    <row r="8190" spans="5:35" x14ac:dyDescent="0.25">
      <c r="E8190" s="16"/>
      <c r="F8190" s="16"/>
      <c r="H8190" s="16"/>
      <c r="AG8190" s="80"/>
      <c r="AH8190" s="80"/>
      <c r="AI8190" s="80"/>
    </row>
    <row r="8191" spans="5:35" x14ac:dyDescent="0.25">
      <c r="E8191" s="16"/>
      <c r="F8191" s="16"/>
      <c r="H8191" s="16"/>
      <c r="AG8191" s="80"/>
      <c r="AH8191" s="80"/>
      <c r="AI8191" s="80"/>
    </row>
    <row r="8192" spans="5:35" x14ac:dyDescent="0.25">
      <c r="E8192" s="16"/>
      <c r="F8192" s="16"/>
      <c r="H8192" s="16"/>
      <c r="AG8192" s="80"/>
      <c r="AH8192" s="80"/>
      <c r="AI8192" s="80"/>
    </row>
    <row r="8193" spans="5:35" x14ac:dyDescent="0.25">
      <c r="E8193" s="16"/>
      <c r="F8193" s="16"/>
      <c r="H8193" s="16"/>
      <c r="AG8193" s="80"/>
      <c r="AH8193" s="80"/>
      <c r="AI8193" s="80"/>
    </row>
    <row r="8194" spans="5:35" x14ac:dyDescent="0.25">
      <c r="E8194" s="16"/>
      <c r="F8194" s="16"/>
      <c r="H8194" s="16"/>
      <c r="AG8194" s="80"/>
      <c r="AH8194" s="80"/>
      <c r="AI8194" s="80"/>
    </row>
    <row r="8195" spans="5:35" x14ac:dyDescent="0.25">
      <c r="E8195" s="16"/>
      <c r="F8195" s="16"/>
      <c r="H8195" s="16"/>
      <c r="AG8195" s="80"/>
      <c r="AH8195" s="80"/>
      <c r="AI8195" s="80"/>
    </row>
    <row r="8196" spans="5:35" x14ac:dyDescent="0.25">
      <c r="E8196" s="16"/>
      <c r="F8196" s="16"/>
      <c r="H8196" s="16"/>
      <c r="AG8196" s="80"/>
      <c r="AH8196" s="80"/>
      <c r="AI8196" s="80"/>
    </row>
    <row r="8197" spans="5:35" x14ac:dyDescent="0.25">
      <c r="E8197" s="16"/>
      <c r="F8197" s="16"/>
      <c r="H8197" s="16"/>
      <c r="AG8197" s="80"/>
      <c r="AH8197" s="80"/>
      <c r="AI8197" s="80"/>
    </row>
    <row r="8198" spans="5:35" x14ac:dyDescent="0.25">
      <c r="E8198" s="16"/>
      <c r="F8198" s="16"/>
      <c r="H8198" s="16"/>
      <c r="AG8198" s="80"/>
      <c r="AH8198" s="80"/>
      <c r="AI8198" s="80"/>
    </row>
    <row r="8199" spans="5:35" x14ac:dyDescent="0.25">
      <c r="E8199" s="16"/>
      <c r="F8199" s="16"/>
      <c r="H8199" s="16"/>
      <c r="AG8199" s="80"/>
      <c r="AH8199" s="80"/>
      <c r="AI8199" s="80"/>
    </row>
    <row r="8200" spans="5:35" x14ac:dyDescent="0.25">
      <c r="E8200" s="16"/>
      <c r="F8200" s="16"/>
      <c r="H8200" s="16"/>
      <c r="AG8200" s="80"/>
      <c r="AH8200" s="80"/>
      <c r="AI8200" s="80"/>
    </row>
    <row r="8201" spans="5:35" x14ac:dyDescent="0.25">
      <c r="E8201" s="16"/>
      <c r="F8201" s="16"/>
      <c r="H8201" s="16"/>
      <c r="AG8201" s="80"/>
      <c r="AH8201" s="80"/>
      <c r="AI8201" s="80"/>
    </row>
    <row r="8202" spans="5:35" x14ac:dyDescent="0.25">
      <c r="E8202" s="16"/>
      <c r="F8202" s="16"/>
      <c r="H8202" s="16"/>
      <c r="AG8202" s="80"/>
      <c r="AH8202" s="80"/>
      <c r="AI8202" s="80"/>
    </row>
    <row r="8203" spans="5:35" x14ac:dyDescent="0.25">
      <c r="E8203" s="16"/>
      <c r="F8203" s="16"/>
      <c r="H8203" s="16"/>
      <c r="AG8203" s="80"/>
      <c r="AH8203" s="80"/>
      <c r="AI8203" s="80"/>
    </row>
    <row r="8204" spans="5:35" x14ac:dyDescent="0.25">
      <c r="E8204" s="16"/>
      <c r="F8204" s="16"/>
      <c r="H8204" s="16"/>
      <c r="AG8204" s="80"/>
      <c r="AH8204" s="80"/>
      <c r="AI8204" s="80"/>
    </row>
    <row r="8205" spans="5:35" x14ac:dyDescent="0.25">
      <c r="E8205" s="16"/>
      <c r="F8205" s="16"/>
      <c r="H8205" s="16"/>
      <c r="AG8205" s="80"/>
      <c r="AH8205" s="80"/>
      <c r="AI8205" s="80"/>
    </row>
    <row r="8206" spans="5:35" x14ac:dyDescent="0.25">
      <c r="E8206" s="16"/>
      <c r="F8206" s="16"/>
      <c r="H8206" s="16"/>
      <c r="AG8206" s="80"/>
      <c r="AH8206" s="80"/>
      <c r="AI8206" s="80"/>
    </row>
    <row r="8207" spans="5:35" x14ac:dyDescent="0.25">
      <c r="E8207" s="16"/>
      <c r="F8207" s="16"/>
      <c r="H8207" s="16"/>
      <c r="AG8207" s="80"/>
      <c r="AH8207" s="80"/>
      <c r="AI8207" s="80"/>
    </row>
    <row r="8208" spans="5:35" x14ac:dyDescent="0.25">
      <c r="E8208" s="16"/>
      <c r="F8208" s="16"/>
      <c r="H8208" s="16"/>
      <c r="AG8208" s="80"/>
      <c r="AH8208" s="80"/>
      <c r="AI8208" s="80"/>
    </row>
    <row r="8209" spans="5:35" x14ac:dyDescent="0.25">
      <c r="E8209" s="16"/>
      <c r="F8209" s="16"/>
      <c r="H8209" s="16"/>
      <c r="AG8209" s="80"/>
      <c r="AH8209" s="80"/>
      <c r="AI8209" s="80"/>
    </row>
    <row r="8210" spans="5:35" x14ac:dyDescent="0.25">
      <c r="E8210" s="16"/>
      <c r="F8210" s="16"/>
      <c r="H8210" s="16"/>
      <c r="AG8210" s="80"/>
      <c r="AH8210" s="80"/>
      <c r="AI8210" s="80"/>
    </row>
    <row r="8211" spans="5:35" x14ac:dyDescent="0.25">
      <c r="E8211" s="16"/>
      <c r="F8211" s="16"/>
      <c r="H8211" s="16"/>
      <c r="AG8211" s="80"/>
      <c r="AH8211" s="80"/>
      <c r="AI8211" s="80"/>
    </row>
    <row r="8212" spans="5:35" x14ac:dyDescent="0.25">
      <c r="E8212" s="16"/>
      <c r="F8212" s="16"/>
      <c r="H8212" s="16"/>
      <c r="AG8212" s="80"/>
      <c r="AH8212" s="80"/>
      <c r="AI8212" s="80"/>
    </row>
    <row r="8213" spans="5:35" x14ac:dyDescent="0.25">
      <c r="E8213" s="16"/>
      <c r="F8213" s="16"/>
      <c r="H8213" s="16"/>
      <c r="AG8213" s="80"/>
      <c r="AH8213" s="80"/>
      <c r="AI8213" s="80"/>
    </row>
    <row r="8214" spans="5:35" x14ac:dyDescent="0.25">
      <c r="E8214" s="16"/>
      <c r="F8214" s="16"/>
      <c r="H8214" s="16"/>
      <c r="AG8214" s="80"/>
      <c r="AH8214" s="80"/>
      <c r="AI8214" s="80"/>
    </row>
    <row r="8215" spans="5:35" x14ac:dyDescent="0.25">
      <c r="E8215" s="16"/>
      <c r="F8215" s="16"/>
      <c r="H8215" s="16"/>
      <c r="AG8215" s="80"/>
      <c r="AH8215" s="80"/>
      <c r="AI8215" s="80"/>
    </row>
    <row r="8216" spans="5:35" x14ac:dyDescent="0.25">
      <c r="E8216" s="16"/>
      <c r="F8216" s="16"/>
      <c r="H8216" s="16"/>
      <c r="AG8216" s="80"/>
      <c r="AH8216" s="80"/>
      <c r="AI8216" s="80"/>
    </row>
    <row r="8217" spans="5:35" x14ac:dyDescent="0.25">
      <c r="E8217" s="16"/>
      <c r="F8217" s="16"/>
      <c r="H8217" s="16"/>
      <c r="AG8217" s="80"/>
      <c r="AH8217" s="80"/>
      <c r="AI8217" s="80"/>
    </row>
    <row r="8218" spans="5:35" x14ac:dyDescent="0.25">
      <c r="E8218" s="16"/>
      <c r="F8218" s="16"/>
      <c r="H8218" s="16"/>
      <c r="AG8218" s="80"/>
      <c r="AH8218" s="80"/>
      <c r="AI8218" s="80"/>
    </row>
    <row r="8219" spans="5:35" x14ac:dyDescent="0.25">
      <c r="E8219" s="16"/>
      <c r="F8219" s="16"/>
      <c r="H8219" s="16"/>
      <c r="AG8219" s="80"/>
      <c r="AH8219" s="80"/>
      <c r="AI8219" s="80"/>
    </row>
    <row r="8220" spans="5:35" x14ac:dyDescent="0.25">
      <c r="E8220" s="16"/>
      <c r="F8220" s="16"/>
      <c r="H8220" s="16"/>
      <c r="AG8220" s="80"/>
      <c r="AH8220" s="80"/>
      <c r="AI8220" s="80"/>
    </row>
    <row r="8221" spans="5:35" x14ac:dyDescent="0.25">
      <c r="E8221" s="16"/>
      <c r="F8221" s="16"/>
      <c r="H8221" s="16"/>
      <c r="AG8221" s="80"/>
      <c r="AH8221" s="80"/>
      <c r="AI8221" s="80"/>
    </row>
    <row r="8222" spans="5:35" x14ac:dyDescent="0.25">
      <c r="E8222" s="16"/>
      <c r="F8222" s="16"/>
      <c r="H8222" s="16"/>
      <c r="AG8222" s="80"/>
      <c r="AH8222" s="80"/>
      <c r="AI8222" s="80"/>
    </row>
    <row r="8223" spans="5:35" x14ac:dyDescent="0.25">
      <c r="E8223" s="16"/>
      <c r="F8223" s="16"/>
      <c r="H8223" s="16"/>
      <c r="AG8223" s="80"/>
      <c r="AH8223" s="80"/>
      <c r="AI8223" s="80"/>
    </row>
    <row r="8224" spans="5:35" x14ac:dyDescent="0.25">
      <c r="E8224" s="16"/>
      <c r="F8224" s="16"/>
      <c r="H8224" s="16"/>
      <c r="AG8224" s="80"/>
      <c r="AH8224" s="80"/>
      <c r="AI8224" s="80"/>
    </row>
    <row r="8225" spans="5:35" x14ac:dyDescent="0.25">
      <c r="E8225" s="16"/>
      <c r="F8225" s="16"/>
      <c r="H8225" s="16"/>
      <c r="AG8225" s="80"/>
      <c r="AH8225" s="80"/>
      <c r="AI8225" s="80"/>
    </row>
    <row r="8226" spans="5:35" x14ac:dyDescent="0.25">
      <c r="E8226" s="16"/>
      <c r="F8226" s="16"/>
      <c r="H8226" s="16"/>
      <c r="AG8226" s="80"/>
      <c r="AH8226" s="80"/>
      <c r="AI8226" s="80"/>
    </row>
    <row r="8227" spans="5:35" x14ac:dyDescent="0.25">
      <c r="E8227" s="16"/>
      <c r="F8227" s="16"/>
      <c r="H8227" s="16"/>
      <c r="AG8227" s="80"/>
      <c r="AH8227" s="80"/>
      <c r="AI8227" s="80"/>
    </row>
    <row r="8228" spans="5:35" x14ac:dyDescent="0.25">
      <c r="E8228" s="16"/>
      <c r="F8228" s="16"/>
      <c r="H8228" s="16"/>
      <c r="AG8228" s="80"/>
      <c r="AH8228" s="80"/>
      <c r="AI8228" s="80"/>
    </row>
    <row r="8229" spans="5:35" x14ac:dyDescent="0.25">
      <c r="E8229" s="16"/>
      <c r="F8229" s="16"/>
      <c r="H8229" s="16"/>
      <c r="AG8229" s="80"/>
      <c r="AH8229" s="80"/>
      <c r="AI8229" s="80"/>
    </row>
    <row r="8230" spans="5:35" x14ac:dyDescent="0.25">
      <c r="E8230" s="16"/>
      <c r="F8230" s="16"/>
      <c r="H8230" s="16"/>
      <c r="AG8230" s="80"/>
      <c r="AH8230" s="80"/>
      <c r="AI8230" s="80"/>
    </row>
    <row r="8231" spans="5:35" x14ac:dyDescent="0.25">
      <c r="E8231" s="16"/>
      <c r="F8231" s="16"/>
      <c r="H8231" s="16"/>
      <c r="AG8231" s="80"/>
      <c r="AH8231" s="80"/>
      <c r="AI8231" s="80"/>
    </row>
    <row r="8232" spans="5:35" x14ac:dyDescent="0.25">
      <c r="E8232" s="16"/>
      <c r="F8232" s="16"/>
      <c r="H8232" s="16"/>
      <c r="AG8232" s="80"/>
      <c r="AH8232" s="80"/>
      <c r="AI8232" s="80"/>
    </row>
    <row r="8233" spans="5:35" x14ac:dyDescent="0.25">
      <c r="E8233" s="16"/>
      <c r="F8233" s="16"/>
      <c r="H8233" s="16"/>
      <c r="AG8233" s="80"/>
      <c r="AH8233" s="80"/>
      <c r="AI8233" s="80"/>
    </row>
    <row r="8234" spans="5:35" x14ac:dyDescent="0.25">
      <c r="E8234" s="16"/>
      <c r="F8234" s="16"/>
      <c r="H8234" s="16"/>
      <c r="AG8234" s="80"/>
      <c r="AH8234" s="80"/>
      <c r="AI8234" s="80"/>
    </row>
    <row r="8235" spans="5:35" x14ac:dyDescent="0.25">
      <c r="E8235" s="16"/>
      <c r="F8235" s="16"/>
      <c r="H8235" s="16"/>
      <c r="AG8235" s="80"/>
      <c r="AH8235" s="80"/>
      <c r="AI8235" s="80"/>
    </row>
    <row r="8236" spans="5:35" x14ac:dyDescent="0.25">
      <c r="E8236" s="16"/>
      <c r="F8236" s="16"/>
      <c r="H8236" s="16"/>
      <c r="AG8236" s="80"/>
      <c r="AH8236" s="80"/>
      <c r="AI8236" s="80"/>
    </row>
    <row r="8237" spans="5:35" x14ac:dyDescent="0.25">
      <c r="E8237" s="16"/>
      <c r="F8237" s="16"/>
      <c r="H8237" s="16"/>
      <c r="AG8237" s="80"/>
      <c r="AH8237" s="80"/>
      <c r="AI8237" s="80"/>
    </row>
    <row r="8238" spans="5:35" x14ac:dyDescent="0.25">
      <c r="E8238" s="16"/>
      <c r="F8238" s="16"/>
      <c r="H8238" s="16"/>
      <c r="AG8238" s="80"/>
      <c r="AH8238" s="80"/>
      <c r="AI8238" s="80"/>
    </row>
    <row r="8239" spans="5:35" x14ac:dyDescent="0.25">
      <c r="E8239" s="16"/>
      <c r="F8239" s="16"/>
      <c r="H8239" s="16"/>
      <c r="AG8239" s="80"/>
      <c r="AH8239" s="80"/>
      <c r="AI8239" s="80"/>
    </row>
    <row r="8240" spans="5:35" x14ac:dyDescent="0.25">
      <c r="E8240" s="16"/>
      <c r="F8240" s="16"/>
      <c r="H8240" s="16"/>
      <c r="AG8240" s="80"/>
      <c r="AH8240" s="80"/>
      <c r="AI8240" s="80"/>
    </row>
    <row r="8241" spans="5:35" x14ac:dyDescent="0.25">
      <c r="E8241" s="16"/>
      <c r="F8241" s="16"/>
      <c r="H8241" s="16"/>
      <c r="AG8241" s="80"/>
      <c r="AH8241" s="80"/>
      <c r="AI8241" s="80"/>
    </row>
    <row r="8242" spans="5:35" x14ac:dyDescent="0.25">
      <c r="E8242" s="16"/>
      <c r="F8242" s="16"/>
      <c r="H8242" s="16"/>
      <c r="AG8242" s="80"/>
      <c r="AH8242" s="80"/>
      <c r="AI8242" s="80"/>
    </row>
    <row r="8243" spans="5:35" x14ac:dyDescent="0.25">
      <c r="E8243" s="16"/>
      <c r="F8243" s="16"/>
      <c r="H8243" s="16"/>
      <c r="AG8243" s="80"/>
      <c r="AH8243" s="80"/>
      <c r="AI8243" s="80"/>
    </row>
    <row r="8244" spans="5:35" x14ac:dyDescent="0.25">
      <c r="E8244" s="16"/>
      <c r="F8244" s="16"/>
      <c r="H8244" s="16"/>
      <c r="AG8244" s="80"/>
      <c r="AH8244" s="80"/>
      <c r="AI8244" s="80"/>
    </row>
    <row r="8245" spans="5:35" x14ac:dyDescent="0.25">
      <c r="E8245" s="16"/>
      <c r="F8245" s="16"/>
      <c r="H8245" s="16"/>
      <c r="AG8245" s="80"/>
      <c r="AH8245" s="80"/>
      <c r="AI8245" s="80"/>
    </row>
    <row r="8246" spans="5:35" x14ac:dyDescent="0.25">
      <c r="E8246" s="16"/>
      <c r="F8246" s="16"/>
      <c r="H8246" s="16"/>
      <c r="AG8246" s="80"/>
      <c r="AH8246" s="80"/>
      <c r="AI8246" s="80"/>
    </row>
    <row r="8247" spans="5:35" x14ac:dyDescent="0.25">
      <c r="E8247" s="16"/>
      <c r="F8247" s="16"/>
      <c r="H8247" s="16"/>
      <c r="AG8247" s="80"/>
      <c r="AH8247" s="80"/>
      <c r="AI8247" s="80"/>
    </row>
    <row r="8248" spans="5:35" x14ac:dyDescent="0.25">
      <c r="E8248" s="16"/>
      <c r="F8248" s="16"/>
      <c r="H8248" s="16"/>
      <c r="AG8248" s="80"/>
      <c r="AH8248" s="80"/>
      <c r="AI8248" s="80"/>
    </row>
    <row r="8249" spans="5:35" x14ac:dyDescent="0.25">
      <c r="E8249" s="16"/>
      <c r="F8249" s="16"/>
      <c r="H8249" s="16"/>
      <c r="AG8249" s="80"/>
      <c r="AH8249" s="80"/>
      <c r="AI8249" s="80"/>
    </row>
    <row r="8250" spans="5:35" x14ac:dyDescent="0.25">
      <c r="E8250" s="16"/>
      <c r="F8250" s="16"/>
      <c r="H8250" s="16"/>
      <c r="AG8250" s="80"/>
      <c r="AH8250" s="80"/>
      <c r="AI8250" s="80"/>
    </row>
    <row r="8251" spans="5:35" x14ac:dyDescent="0.25">
      <c r="E8251" s="16"/>
      <c r="F8251" s="16"/>
      <c r="H8251" s="16"/>
      <c r="AG8251" s="80"/>
      <c r="AH8251" s="80"/>
      <c r="AI8251" s="80"/>
    </row>
    <row r="8252" spans="5:35" x14ac:dyDescent="0.25">
      <c r="E8252" s="16"/>
      <c r="F8252" s="16"/>
      <c r="H8252" s="16"/>
      <c r="AG8252" s="80"/>
      <c r="AH8252" s="80"/>
      <c r="AI8252" s="80"/>
    </row>
    <row r="8253" spans="5:35" x14ac:dyDescent="0.25">
      <c r="E8253" s="16"/>
      <c r="F8253" s="16"/>
      <c r="H8253" s="16"/>
      <c r="AG8253" s="80"/>
      <c r="AH8253" s="80"/>
      <c r="AI8253" s="80"/>
    </row>
    <row r="8254" spans="5:35" x14ac:dyDescent="0.25">
      <c r="E8254" s="16"/>
      <c r="F8254" s="16"/>
      <c r="H8254" s="16"/>
      <c r="AG8254" s="80"/>
      <c r="AH8254" s="80"/>
      <c r="AI8254" s="80"/>
    </row>
    <row r="8255" spans="5:35" x14ac:dyDescent="0.25">
      <c r="E8255" s="16"/>
      <c r="F8255" s="16"/>
      <c r="H8255" s="16"/>
      <c r="AG8255" s="80"/>
      <c r="AH8255" s="80"/>
      <c r="AI8255" s="80"/>
    </row>
    <row r="8256" spans="5:35" x14ac:dyDescent="0.25">
      <c r="E8256" s="16"/>
      <c r="F8256" s="16"/>
      <c r="H8256" s="16"/>
      <c r="AG8256" s="80"/>
      <c r="AH8256" s="80"/>
      <c r="AI8256" s="80"/>
    </row>
    <row r="8257" spans="5:35" x14ac:dyDescent="0.25">
      <c r="E8257" s="16"/>
      <c r="F8257" s="16"/>
      <c r="H8257" s="16"/>
      <c r="AG8257" s="80"/>
      <c r="AH8257" s="80"/>
      <c r="AI8257" s="80"/>
    </row>
    <row r="8258" spans="5:35" x14ac:dyDescent="0.25">
      <c r="E8258" s="16"/>
      <c r="F8258" s="16"/>
      <c r="H8258" s="16"/>
      <c r="AG8258" s="80"/>
      <c r="AH8258" s="80"/>
      <c r="AI8258" s="80"/>
    </row>
    <row r="8259" spans="5:35" x14ac:dyDescent="0.25">
      <c r="E8259" s="16"/>
      <c r="F8259" s="16"/>
      <c r="H8259" s="16"/>
      <c r="AG8259" s="80"/>
      <c r="AH8259" s="80"/>
      <c r="AI8259" s="80"/>
    </row>
    <row r="8260" spans="5:35" x14ac:dyDescent="0.25">
      <c r="E8260" s="16"/>
      <c r="F8260" s="16"/>
      <c r="H8260" s="16"/>
      <c r="AG8260" s="80"/>
      <c r="AH8260" s="80"/>
      <c r="AI8260" s="80"/>
    </row>
    <row r="8261" spans="5:35" x14ac:dyDescent="0.25">
      <c r="E8261" s="16"/>
      <c r="F8261" s="16"/>
      <c r="H8261" s="16"/>
      <c r="AG8261" s="80"/>
      <c r="AH8261" s="80"/>
      <c r="AI8261" s="80"/>
    </row>
    <row r="8262" spans="5:35" x14ac:dyDescent="0.25">
      <c r="E8262" s="16"/>
      <c r="F8262" s="16"/>
      <c r="H8262" s="16"/>
      <c r="AG8262" s="80"/>
      <c r="AH8262" s="80"/>
      <c r="AI8262" s="80"/>
    </row>
    <row r="8263" spans="5:35" x14ac:dyDescent="0.25">
      <c r="E8263" s="16"/>
      <c r="F8263" s="16"/>
      <c r="H8263" s="16"/>
      <c r="AG8263" s="80"/>
      <c r="AH8263" s="80"/>
      <c r="AI8263" s="80"/>
    </row>
    <row r="8264" spans="5:35" x14ac:dyDescent="0.25">
      <c r="E8264" s="16"/>
      <c r="F8264" s="16"/>
      <c r="H8264" s="16"/>
      <c r="AG8264" s="80"/>
      <c r="AH8264" s="80"/>
      <c r="AI8264" s="80"/>
    </row>
    <row r="8265" spans="5:35" x14ac:dyDescent="0.25">
      <c r="E8265" s="16"/>
      <c r="F8265" s="16"/>
      <c r="H8265" s="16"/>
      <c r="AG8265" s="80"/>
      <c r="AH8265" s="80"/>
      <c r="AI8265" s="80"/>
    </row>
    <row r="8266" spans="5:35" x14ac:dyDescent="0.25">
      <c r="E8266" s="16"/>
      <c r="F8266" s="16"/>
      <c r="H8266" s="16"/>
      <c r="AG8266" s="80"/>
      <c r="AH8266" s="80"/>
      <c r="AI8266" s="80"/>
    </row>
    <row r="8267" spans="5:35" x14ac:dyDescent="0.25">
      <c r="E8267" s="16"/>
      <c r="F8267" s="16"/>
      <c r="H8267" s="16"/>
      <c r="AG8267" s="80"/>
      <c r="AH8267" s="80"/>
      <c r="AI8267" s="80"/>
    </row>
    <row r="8268" spans="5:35" x14ac:dyDescent="0.25">
      <c r="E8268" s="16"/>
      <c r="F8268" s="16"/>
      <c r="H8268" s="16"/>
      <c r="AG8268" s="80"/>
      <c r="AH8268" s="80"/>
      <c r="AI8268" s="80"/>
    </row>
    <row r="8269" spans="5:35" x14ac:dyDescent="0.25">
      <c r="E8269" s="16"/>
      <c r="F8269" s="16"/>
      <c r="H8269" s="16"/>
      <c r="AG8269" s="80"/>
      <c r="AH8269" s="80"/>
      <c r="AI8269" s="80"/>
    </row>
    <row r="8270" spans="5:35" x14ac:dyDescent="0.25">
      <c r="E8270" s="16"/>
      <c r="F8270" s="16"/>
      <c r="H8270" s="16"/>
      <c r="AG8270" s="80"/>
      <c r="AH8270" s="80"/>
      <c r="AI8270" s="80"/>
    </row>
    <row r="8271" spans="5:35" x14ac:dyDescent="0.25">
      <c r="E8271" s="16"/>
      <c r="F8271" s="16"/>
      <c r="H8271" s="16"/>
      <c r="AG8271" s="80"/>
      <c r="AH8271" s="80"/>
      <c r="AI8271" s="80"/>
    </row>
    <row r="8272" spans="5:35" x14ac:dyDescent="0.25">
      <c r="E8272" s="16"/>
      <c r="F8272" s="16"/>
      <c r="H8272" s="16"/>
      <c r="AG8272" s="80"/>
      <c r="AH8272" s="80"/>
      <c r="AI8272" s="80"/>
    </row>
    <row r="8273" spans="5:35" x14ac:dyDescent="0.25">
      <c r="E8273" s="16"/>
      <c r="F8273" s="16"/>
      <c r="H8273" s="16"/>
      <c r="AG8273" s="80"/>
      <c r="AH8273" s="80"/>
      <c r="AI8273" s="80"/>
    </row>
    <row r="8274" spans="5:35" x14ac:dyDescent="0.25">
      <c r="E8274" s="16"/>
      <c r="F8274" s="16"/>
      <c r="H8274" s="16"/>
      <c r="AG8274" s="80"/>
      <c r="AH8274" s="80"/>
      <c r="AI8274" s="80"/>
    </row>
    <row r="8275" spans="5:35" x14ac:dyDescent="0.25">
      <c r="E8275" s="16"/>
      <c r="F8275" s="16"/>
      <c r="H8275" s="16"/>
      <c r="AG8275" s="80"/>
      <c r="AH8275" s="80"/>
      <c r="AI8275" s="80"/>
    </row>
    <row r="8276" spans="5:35" x14ac:dyDescent="0.25">
      <c r="E8276" s="16"/>
      <c r="F8276" s="16"/>
      <c r="H8276" s="16"/>
      <c r="AG8276" s="80"/>
      <c r="AH8276" s="80"/>
      <c r="AI8276" s="80"/>
    </row>
    <row r="8277" spans="5:35" x14ac:dyDescent="0.25">
      <c r="E8277" s="16"/>
      <c r="F8277" s="16"/>
      <c r="H8277" s="16"/>
      <c r="AG8277" s="80"/>
      <c r="AH8277" s="80"/>
      <c r="AI8277" s="80"/>
    </row>
    <row r="8278" spans="5:35" x14ac:dyDescent="0.25">
      <c r="E8278" s="16"/>
      <c r="F8278" s="16"/>
      <c r="H8278" s="16"/>
      <c r="AG8278" s="80"/>
      <c r="AH8278" s="80"/>
      <c r="AI8278" s="80"/>
    </row>
    <row r="8279" spans="5:35" x14ac:dyDescent="0.25">
      <c r="E8279" s="16"/>
      <c r="F8279" s="16"/>
      <c r="H8279" s="16"/>
      <c r="AG8279" s="80"/>
      <c r="AH8279" s="80"/>
      <c r="AI8279" s="80"/>
    </row>
    <row r="8280" spans="5:35" x14ac:dyDescent="0.25">
      <c r="E8280" s="16"/>
      <c r="F8280" s="16"/>
      <c r="H8280" s="16"/>
      <c r="AG8280" s="80"/>
      <c r="AH8280" s="80"/>
      <c r="AI8280" s="80"/>
    </row>
    <row r="8281" spans="5:35" x14ac:dyDescent="0.25">
      <c r="E8281" s="16"/>
      <c r="F8281" s="16"/>
      <c r="H8281" s="16"/>
      <c r="AG8281" s="80"/>
      <c r="AH8281" s="80"/>
      <c r="AI8281" s="80"/>
    </row>
    <row r="8282" spans="5:35" x14ac:dyDescent="0.25">
      <c r="E8282" s="16"/>
      <c r="F8282" s="16"/>
      <c r="H8282" s="16"/>
      <c r="AG8282" s="80"/>
      <c r="AH8282" s="80"/>
      <c r="AI8282" s="80"/>
    </row>
    <row r="8283" spans="5:35" x14ac:dyDescent="0.25">
      <c r="E8283" s="16"/>
      <c r="F8283" s="16"/>
      <c r="H8283" s="16"/>
      <c r="AG8283" s="80"/>
      <c r="AH8283" s="80"/>
      <c r="AI8283" s="80"/>
    </row>
    <row r="8284" spans="5:35" x14ac:dyDescent="0.25">
      <c r="E8284" s="16"/>
      <c r="F8284" s="16"/>
      <c r="H8284" s="16"/>
      <c r="AG8284" s="80"/>
      <c r="AH8284" s="80"/>
      <c r="AI8284" s="80"/>
    </row>
    <row r="8285" spans="5:35" x14ac:dyDescent="0.25">
      <c r="E8285" s="16"/>
      <c r="F8285" s="16"/>
      <c r="H8285" s="16"/>
      <c r="AG8285" s="80"/>
      <c r="AH8285" s="80"/>
      <c r="AI8285" s="80"/>
    </row>
    <row r="8286" spans="5:35" x14ac:dyDescent="0.25">
      <c r="E8286" s="16"/>
      <c r="F8286" s="16"/>
      <c r="H8286" s="16"/>
      <c r="AG8286" s="80"/>
      <c r="AH8286" s="80"/>
      <c r="AI8286" s="80"/>
    </row>
    <row r="8287" spans="5:35" x14ac:dyDescent="0.25">
      <c r="E8287" s="16"/>
      <c r="F8287" s="16"/>
      <c r="H8287" s="16"/>
      <c r="AG8287" s="80"/>
      <c r="AH8287" s="80"/>
      <c r="AI8287" s="80"/>
    </row>
    <row r="8288" spans="5:35" x14ac:dyDescent="0.25">
      <c r="E8288" s="16"/>
      <c r="F8288" s="16"/>
      <c r="H8288" s="16"/>
      <c r="AG8288" s="80"/>
      <c r="AH8288" s="80"/>
      <c r="AI8288" s="80"/>
    </row>
    <row r="8289" spans="5:35" x14ac:dyDescent="0.25">
      <c r="E8289" s="16"/>
      <c r="F8289" s="16"/>
      <c r="H8289" s="16"/>
      <c r="AG8289" s="80"/>
      <c r="AH8289" s="80"/>
      <c r="AI8289" s="80"/>
    </row>
    <row r="8290" spans="5:35" x14ac:dyDescent="0.25">
      <c r="E8290" s="16"/>
      <c r="F8290" s="16"/>
      <c r="H8290" s="16"/>
      <c r="AG8290" s="80"/>
      <c r="AH8290" s="80"/>
      <c r="AI8290" s="80"/>
    </row>
    <row r="8291" spans="5:35" x14ac:dyDescent="0.25">
      <c r="E8291" s="16"/>
      <c r="F8291" s="16"/>
      <c r="H8291" s="16"/>
      <c r="AG8291" s="80"/>
      <c r="AH8291" s="80"/>
      <c r="AI8291" s="80"/>
    </row>
    <row r="8292" spans="5:35" x14ac:dyDescent="0.25">
      <c r="E8292" s="16"/>
      <c r="F8292" s="16"/>
      <c r="H8292" s="16"/>
      <c r="AG8292" s="80"/>
      <c r="AH8292" s="80"/>
      <c r="AI8292" s="80"/>
    </row>
    <row r="8293" spans="5:35" x14ac:dyDescent="0.25">
      <c r="E8293" s="16"/>
      <c r="F8293" s="16"/>
      <c r="H8293" s="16"/>
      <c r="AG8293" s="80"/>
      <c r="AH8293" s="80"/>
      <c r="AI8293" s="80"/>
    </row>
    <row r="8294" spans="5:35" x14ac:dyDescent="0.25">
      <c r="E8294" s="16"/>
      <c r="F8294" s="16"/>
      <c r="H8294" s="16"/>
      <c r="AG8294" s="80"/>
      <c r="AH8294" s="80"/>
      <c r="AI8294" s="80"/>
    </row>
    <row r="8295" spans="5:35" x14ac:dyDescent="0.25">
      <c r="E8295" s="16"/>
      <c r="F8295" s="16"/>
      <c r="H8295" s="16"/>
      <c r="AG8295" s="80"/>
      <c r="AH8295" s="80"/>
      <c r="AI8295" s="80"/>
    </row>
    <row r="8296" spans="5:35" x14ac:dyDescent="0.25">
      <c r="E8296" s="16"/>
      <c r="F8296" s="16"/>
      <c r="H8296" s="16"/>
      <c r="AG8296" s="80"/>
      <c r="AH8296" s="80"/>
      <c r="AI8296" s="80"/>
    </row>
    <row r="8297" spans="5:35" x14ac:dyDescent="0.25">
      <c r="E8297" s="16"/>
      <c r="F8297" s="16"/>
      <c r="H8297" s="16"/>
      <c r="AG8297" s="80"/>
      <c r="AH8297" s="80"/>
      <c r="AI8297" s="80"/>
    </row>
    <row r="8298" spans="5:35" x14ac:dyDescent="0.25">
      <c r="E8298" s="16"/>
      <c r="F8298" s="16"/>
      <c r="H8298" s="16"/>
      <c r="AG8298" s="80"/>
      <c r="AH8298" s="80"/>
      <c r="AI8298" s="80"/>
    </row>
    <row r="8299" spans="5:35" x14ac:dyDescent="0.25">
      <c r="E8299" s="16"/>
      <c r="F8299" s="16"/>
      <c r="H8299" s="16"/>
      <c r="AG8299" s="80"/>
      <c r="AH8299" s="80"/>
      <c r="AI8299" s="80"/>
    </row>
    <row r="8300" spans="5:35" x14ac:dyDescent="0.25">
      <c r="E8300" s="16"/>
      <c r="F8300" s="16"/>
      <c r="H8300" s="16"/>
      <c r="AG8300" s="80"/>
      <c r="AH8300" s="80"/>
      <c r="AI8300" s="80"/>
    </row>
    <row r="8301" spans="5:35" x14ac:dyDescent="0.25">
      <c r="E8301" s="16"/>
      <c r="F8301" s="16"/>
      <c r="H8301" s="16"/>
      <c r="AG8301" s="80"/>
      <c r="AH8301" s="80"/>
      <c r="AI8301" s="80"/>
    </row>
    <row r="8302" spans="5:35" x14ac:dyDescent="0.25">
      <c r="E8302" s="16"/>
      <c r="F8302" s="16"/>
      <c r="H8302" s="16"/>
      <c r="AG8302" s="80"/>
      <c r="AH8302" s="80"/>
      <c r="AI8302" s="80"/>
    </row>
    <row r="8303" spans="5:35" x14ac:dyDescent="0.25">
      <c r="E8303" s="16"/>
      <c r="F8303" s="16"/>
      <c r="H8303" s="16"/>
      <c r="AG8303" s="80"/>
      <c r="AH8303" s="80"/>
      <c r="AI8303" s="80"/>
    </row>
    <row r="8304" spans="5:35" x14ac:dyDescent="0.25">
      <c r="E8304" s="16"/>
      <c r="F8304" s="16"/>
      <c r="H8304" s="16"/>
      <c r="AG8304" s="80"/>
      <c r="AH8304" s="80"/>
      <c r="AI8304" s="80"/>
    </row>
    <row r="8305" spans="5:35" x14ac:dyDescent="0.25">
      <c r="E8305" s="16"/>
      <c r="F8305" s="16"/>
      <c r="H8305" s="16"/>
      <c r="AG8305" s="80"/>
      <c r="AH8305" s="80"/>
      <c r="AI8305" s="80"/>
    </row>
    <row r="8306" spans="5:35" x14ac:dyDescent="0.25">
      <c r="E8306" s="16"/>
      <c r="F8306" s="16"/>
      <c r="H8306" s="16"/>
      <c r="AG8306" s="80"/>
      <c r="AH8306" s="80"/>
      <c r="AI8306" s="80"/>
    </row>
    <row r="8307" spans="5:35" x14ac:dyDescent="0.25">
      <c r="E8307" s="16"/>
      <c r="F8307" s="16"/>
      <c r="H8307" s="16"/>
      <c r="AG8307" s="80"/>
      <c r="AH8307" s="80"/>
      <c r="AI8307" s="80"/>
    </row>
    <row r="8308" spans="5:35" x14ac:dyDescent="0.25">
      <c r="E8308" s="16"/>
      <c r="F8308" s="16"/>
      <c r="H8308" s="16"/>
      <c r="AG8308" s="80"/>
      <c r="AH8308" s="80"/>
      <c r="AI8308" s="80"/>
    </row>
    <row r="8309" spans="5:35" x14ac:dyDescent="0.25">
      <c r="E8309" s="16"/>
      <c r="F8309" s="16"/>
      <c r="H8309" s="16"/>
      <c r="AG8309" s="80"/>
      <c r="AH8309" s="80"/>
      <c r="AI8309" s="80"/>
    </row>
    <row r="8310" spans="5:35" x14ac:dyDescent="0.25">
      <c r="E8310" s="16"/>
      <c r="F8310" s="16"/>
      <c r="H8310" s="16"/>
      <c r="AG8310" s="80"/>
      <c r="AH8310" s="80"/>
      <c r="AI8310" s="80"/>
    </row>
    <row r="8311" spans="5:35" x14ac:dyDescent="0.25">
      <c r="E8311" s="16"/>
      <c r="F8311" s="16"/>
      <c r="H8311" s="16"/>
      <c r="AG8311" s="80"/>
      <c r="AH8311" s="80"/>
      <c r="AI8311" s="80"/>
    </row>
    <row r="8312" spans="5:35" x14ac:dyDescent="0.25">
      <c r="E8312" s="16"/>
      <c r="F8312" s="16"/>
      <c r="H8312" s="16"/>
      <c r="AG8312" s="80"/>
      <c r="AH8312" s="80"/>
      <c r="AI8312" s="80"/>
    </row>
    <row r="8313" spans="5:35" x14ac:dyDescent="0.25">
      <c r="E8313" s="16"/>
      <c r="F8313" s="16"/>
      <c r="H8313" s="16"/>
      <c r="AG8313" s="80"/>
      <c r="AH8313" s="80"/>
      <c r="AI8313" s="80"/>
    </row>
    <row r="8314" spans="5:35" x14ac:dyDescent="0.25">
      <c r="E8314" s="16"/>
      <c r="F8314" s="16"/>
      <c r="H8314" s="16"/>
      <c r="AG8314" s="80"/>
      <c r="AH8314" s="80"/>
      <c r="AI8314" s="80"/>
    </row>
    <row r="8315" spans="5:35" x14ac:dyDescent="0.25">
      <c r="E8315" s="16"/>
      <c r="F8315" s="16"/>
      <c r="H8315" s="16"/>
      <c r="AG8315" s="80"/>
      <c r="AH8315" s="80"/>
      <c r="AI8315" s="80"/>
    </row>
    <row r="8316" spans="5:35" x14ac:dyDescent="0.25">
      <c r="E8316" s="16"/>
      <c r="F8316" s="16"/>
      <c r="H8316" s="16"/>
      <c r="AG8316" s="80"/>
      <c r="AH8316" s="80"/>
      <c r="AI8316" s="80"/>
    </row>
    <row r="8317" spans="5:35" x14ac:dyDescent="0.25">
      <c r="E8317" s="16"/>
      <c r="F8317" s="16"/>
      <c r="H8317" s="16"/>
      <c r="AG8317" s="80"/>
      <c r="AH8317" s="80"/>
      <c r="AI8317" s="80"/>
    </row>
    <row r="8318" spans="5:35" x14ac:dyDescent="0.25">
      <c r="E8318" s="16"/>
      <c r="F8318" s="16"/>
      <c r="H8318" s="16"/>
      <c r="AG8318" s="80"/>
      <c r="AH8318" s="80"/>
      <c r="AI8318" s="80"/>
    </row>
    <row r="8319" spans="5:35" x14ac:dyDescent="0.25">
      <c r="E8319" s="16"/>
      <c r="F8319" s="16"/>
      <c r="H8319" s="16"/>
      <c r="AG8319" s="80"/>
      <c r="AH8319" s="80"/>
      <c r="AI8319" s="80"/>
    </row>
    <row r="8320" spans="5:35" x14ac:dyDescent="0.25">
      <c r="E8320" s="16"/>
      <c r="F8320" s="16"/>
      <c r="H8320" s="16"/>
      <c r="AG8320" s="80"/>
      <c r="AH8320" s="80"/>
      <c r="AI8320" s="80"/>
    </row>
    <row r="8321" spans="5:35" x14ac:dyDescent="0.25">
      <c r="E8321" s="16"/>
      <c r="F8321" s="16"/>
      <c r="H8321" s="16"/>
      <c r="AG8321" s="80"/>
      <c r="AH8321" s="80"/>
      <c r="AI8321" s="80"/>
    </row>
    <row r="8322" spans="5:35" x14ac:dyDescent="0.25">
      <c r="E8322" s="16"/>
      <c r="F8322" s="16"/>
      <c r="H8322" s="16"/>
      <c r="AG8322" s="80"/>
      <c r="AH8322" s="80"/>
      <c r="AI8322" s="80"/>
    </row>
    <row r="8323" spans="5:35" x14ac:dyDescent="0.25">
      <c r="E8323" s="16"/>
      <c r="F8323" s="16"/>
      <c r="H8323" s="16"/>
      <c r="AG8323" s="80"/>
      <c r="AH8323" s="80"/>
      <c r="AI8323" s="80"/>
    </row>
    <row r="8324" spans="5:35" x14ac:dyDescent="0.25">
      <c r="E8324" s="16"/>
      <c r="F8324" s="16"/>
      <c r="H8324" s="16"/>
      <c r="AG8324" s="80"/>
      <c r="AH8324" s="80"/>
      <c r="AI8324" s="80"/>
    </row>
    <row r="8325" spans="5:35" x14ac:dyDescent="0.25">
      <c r="E8325" s="16"/>
      <c r="F8325" s="16"/>
      <c r="H8325" s="16"/>
      <c r="AG8325" s="80"/>
      <c r="AH8325" s="80"/>
      <c r="AI8325" s="80"/>
    </row>
    <row r="8326" spans="5:35" x14ac:dyDescent="0.25">
      <c r="E8326" s="16"/>
      <c r="F8326" s="16"/>
      <c r="H8326" s="16"/>
      <c r="AG8326" s="80"/>
      <c r="AH8326" s="80"/>
      <c r="AI8326" s="80"/>
    </row>
    <row r="8327" spans="5:35" x14ac:dyDescent="0.25">
      <c r="E8327" s="16"/>
      <c r="F8327" s="16"/>
      <c r="H8327" s="16"/>
      <c r="AG8327" s="80"/>
      <c r="AH8327" s="80"/>
      <c r="AI8327" s="80"/>
    </row>
    <row r="8328" spans="5:35" x14ac:dyDescent="0.25">
      <c r="E8328" s="16"/>
      <c r="F8328" s="16"/>
      <c r="H8328" s="16"/>
      <c r="AG8328" s="80"/>
      <c r="AH8328" s="80"/>
      <c r="AI8328" s="80"/>
    </row>
    <row r="8329" spans="5:35" x14ac:dyDescent="0.25">
      <c r="E8329" s="16"/>
      <c r="F8329" s="16"/>
      <c r="H8329" s="16"/>
      <c r="AG8329" s="80"/>
      <c r="AH8329" s="80"/>
      <c r="AI8329" s="80"/>
    </row>
    <row r="8330" spans="5:35" x14ac:dyDescent="0.25">
      <c r="E8330" s="16"/>
      <c r="F8330" s="16"/>
      <c r="H8330" s="16"/>
      <c r="AG8330" s="80"/>
      <c r="AH8330" s="80"/>
      <c r="AI8330" s="80"/>
    </row>
    <row r="8331" spans="5:35" x14ac:dyDescent="0.25">
      <c r="E8331" s="16"/>
      <c r="F8331" s="16"/>
      <c r="H8331" s="16"/>
      <c r="AG8331" s="80"/>
      <c r="AH8331" s="80"/>
      <c r="AI8331" s="80"/>
    </row>
    <row r="8332" spans="5:35" x14ac:dyDescent="0.25">
      <c r="E8332" s="16"/>
      <c r="F8332" s="16"/>
      <c r="H8332" s="16"/>
      <c r="AG8332" s="80"/>
      <c r="AH8332" s="80"/>
      <c r="AI8332" s="80"/>
    </row>
    <row r="8333" spans="5:35" x14ac:dyDescent="0.25">
      <c r="E8333" s="16"/>
      <c r="F8333" s="16"/>
      <c r="H8333" s="16"/>
      <c r="AG8333" s="80"/>
      <c r="AH8333" s="80"/>
      <c r="AI8333" s="80"/>
    </row>
    <row r="8334" spans="5:35" x14ac:dyDescent="0.25">
      <c r="E8334" s="16"/>
      <c r="F8334" s="16"/>
      <c r="H8334" s="16"/>
      <c r="AG8334" s="80"/>
      <c r="AH8334" s="80"/>
      <c r="AI8334" s="80"/>
    </row>
    <row r="8335" spans="5:35" x14ac:dyDescent="0.25">
      <c r="E8335" s="16"/>
      <c r="F8335" s="16"/>
      <c r="H8335" s="16"/>
      <c r="AG8335" s="80"/>
      <c r="AH8335" s="80"/>
      <c r="AI8335" s="80"/>
    </row>
    <row r="8336" spans="5:35" x14ac:dyDescent="0.25">
      <c r="E8336" s="16"/>
      <c r="F8336" s="16"/>
      <c r="H8336" s="16"/>
      <c r="AG8336" s="80"/>
      <c r="AH8336" s="80"/>
      <c r="AI8336" s="80"/>
    </row>
    <row r="8337" spans="5:35" x14ac:dyDescent="0.25">
      <c r="E8337" s="16"/>
      <c r="F8337" s="16"/>
      <c r="H8337" s="16"/>
      <c r="AG8337" s="80"/>
      <c r="AH8337" s="80"/>
      <c r="AI8337" s="80"/>
    </row>
    <row r="8338" spans="5:35" x14ac:dyDescent="0.25">
      <c r="E8338" s="16"/>
      <c r="F8338" s="16"/>
      <c r="H8338" s="16"/>
      <c r="AG8338" s="80"/>
      <c r="AH8338" s="80"/>
      <c r="AI8338" s="80"/>
    </row>
    <row r="8339" spans="5:35" x14ac:dyDescent="0.25">
      <c r="E8339" s="16"/>
      <c r="F8339" s="16"/>
      <c r="H8339" s="16"/>
      <c r="AG8339" s="80"/>
      <c r="AH8339" s="80"/>
      <c r="AI8339" s="80"/>
    </row>
    <row r="8340" spans="5:35" x14ac:dyDescent="0.25">
      <c r="E8340" s="16"/>
      <c r="F8340" s="16"/>
      <c r="H8340" s="16"/>
      <c r="AG8340" s="80"/>
      <c r="AH8340" s="80"/>
      <c r="AI8340" s="80"/>
    </row>
    <row r="8341" spans="5:35" x14ac:dyDescent="0.25">
      <c r="E8341" s="16"/>
      <c r="F8341" s="16"/>
      <c r="H8341" s="16"/>
      <c r="AG8341" s="80"/>
      <c r="AH8341" s="80"/>
      <c r="AI8341" s="80"/>
    </row>
    <row r="8342" spans="5:35" x14ac:dyDescent="0.25">
      <c r="E8342" s="16"/>
      <c r="F8342" s="16"/>
      <c r="H8342" s="16"/>
      <c r="AG8342" s="80"/>
      <c r="AH8342" s="80"/>
      <c r="AI8342" s="80"/>
    </row>
    <row r="8343" spans="5:35" x14ac:dyDescent="0.25">
      <c r="E8343" s="16"/>
      <c r="F8343" s="16"/>
      <c r="H8343" s="16"/>
      <c r="AG8343" s="80"/>
      <c r="AH8343" s="80"/>
      <c r="AI8343" s="80"/>
    </row>
    <row r="8344" spans="5:35" x14ac:dyDescent="0.25">
      <c r="E8344" s="16"/>
      <c r="F8344" s="16"/>
      <c r="H8344" s="16"/>
      <c r="AG8344" s="80"/>
      <c r="AH8344" s="80"/>
      <c r="AI8344" s="80"/>
    </row>
    <row r="8345" spans="5:35" x14ac:dyDescent="0.25">
      <c r="E8345" s="16"/>
      <c r="F8345" s="16"/>
      <c r="H8345" s="16"/>
      <c r="AG8345" s="80"/>
      <c r="AH8345" s="80"/>
      <c r="AI8345" s="80"/>
    </row>
    <row r="8346" spans="5:35" x14ac:dyDescent="0.25">
      <c r="E8346" s="16"/>
      <c r="F8346" s="16"/>
      <c r="H8346" s="16"/>
      <c r="AG8346" s="80"/>
      <c r="AH8346" s="80"/>
      <c r="AI8346" s="80"/>
    </row>
    <row r="8347" spans="5:35" x14ac:dyDescent="0.25">
      <c r="E8347" s="16"/>
      <c r="F8347" s="16"/>
      <c r="H8347" s="16"/>
      <c r="AG8347" s="80"/>
      <c r="AH8347" s="80"/>
      <c r="AI8347" s="80"/>
    </row>
    <row r="8348" spans="5:35" x14ac:dyDescent="0.25">
      <c r="E8348" s="16"/>
      <c r="F8348" s="16"/>
      <c r="H8348" s="16"/>
      <c r="AG8348" s="80"/>
      <c r="AH8348" s="80"/>
      <c r="AI8348" s="80"/>
    </row>
    <row r="8349" spans="5:35" x14ac:dyDescent="0.25">
      <c r="E8349" s="16"/>
      <c r="F8349" s="16"/>
      <c r="H8349" s="16"/>
      <c r="AG8349" s="80"/>
      <c r="AH8349" s="80"/>
      <c r="AI8349" s="80"/>
    </row>
    <row r="8350" spans="5:35" x14ac:dyDescent="0.25">
      <c r="E8350" s="16"/>
      <c r="F8350" s="16"/>
      <c r="H8350" s="16"/>
      <c r="AG8350" s="80"/>
      <c r="AH8350" s="80"/>
      <c r="AI8350" s="80"/>
    </row>
    <row r="8351" spans="5:35" x14ac:dyDescent="0.25">
      <c r="E8351" s="16"/>
      <c r="F8351" s="16"/>
      <c r="H8351" s="16"/>
      <c r="AG8351" s="80"/>
      <c r="AH8351" s="80"/>
      <c r="AI8351" s="80"/>
    </row>
    <row r="8352" spans="5:35" x14ac:dyDescent="0.25">
      <c r="E8352" s="16"/>
      <c r="F8352" s="16"/>
      <c r="H8352" s="16"/>
      <c r="AG8352" s="80"/>
      <c r="AH8352" s="80"/>
      <c r="AI8352" s="80"/>
    </row>
    <row r="8353" spans="5:35" x14ac:dyDescent="0.25">
      <c r="E8353" s="16"/>
      <c r="F8353" s="16"/>
      <c r="H8353" s="16"/>
      <c r="AG8353" s="80"/>
      <c r="AH8353" s="80"/>
      <c r="AI8353" s="80"/>
    </row>
    <row r="8354" spans="5:35" x14ac:dyDescent="0.25">
      <c r="E8354" s="16"/>
      <c r="F8354" s="16"/>
      <c r="H8354" s="16"/>
      <c r="AG8354" s="80"/>
      <c r="AH8354" s="80"/>
      <c r="AI8354" s="80"/>
    </row>
    <row r="8355" spans="5:35" x14ac:dyDescent="0.25">
      <c r="E8355" s="16"/>
      <c r="F8355" s="16"/>
      <c r="H8355" s="16"/>
      <c r="AG8355" s="80"/>
      <c r="AH8355" s="80"/>
      <c r="AI8355" s="80"/>
    </row>
    <row r="8356" spans="5:35" x14ac:dyDescent="0.25">
      <c r="E8356" s="16"/>
      <c r="F8356" s="16"/>
      <c r="H8356" s="16"/>
      <c r="AG8356" s="80"/>
      <c r="AH8356" s="80"/>
      <c r="AI8356" s="80"/>
    </row>
    <row r="8357" spans="5:35" x14ac:dyDescent="0.25">
      <c r="E8357" s="16"/>
      <c r="F8357" s="16"/>
      <c r="H8357" s="16"/>
      <c r="AG8357" s="80"/>
      <c r="AH8357" s="80"/>
      <c r="AI8357" s="80"/>
    </row>
    <row r="8358" spans="5:35" x14ac:dyDescent="0.25">
      <c r="E8358" s="16"/>
      <c r="F8358" s="16"/>
      <c r="H8358" s="16"/>
      <c r="AG8358" s="80"/>
      <c r="AH8358" s="80"/>
      <c r="AI8358" s="80"/>
    </row>
    <row r="8359" spans="5:35" x14ac:dyDescent="0.25">
      <c r="E8359" s="16"/>
      <c r="F8359" s="16"/>
      <c r="H8359" s="16"/>
      <c r="AG8359" s="80"/>
      <c r="AH8359" s="80"/>
      <c r="AI8359" s="80"/>
    </row>
    <row r="8360" spans="5:35" x14ac:dyDescent="0.25">
      <c r="E8360" s="16"/>
      <c r="F8360" s="16"/>
      <c r="H8360" s="16"/>
      <c r="AG8360" s="80"/>
      <c r="AH8360" s="80"/>
      <c r="AI8360" s="80"/>
    </row>
    <row r="8361" spans="5:35" x14ac:dyDescent="0.25">
      <c r="E8361" s="16"/>
      <c r="F8361" s="16"/>
      <c r="H8361" s="16"/>
      <c r="AG8361" s="80"/>
      <c r="AH8361" s="80"/>
      <c r="AI8361" s="80"/>
    </row>
    <row r="8362" spans="5:35" x14ac:dyDescent="0.25">
      <c r="E8362" s="16"/>
      <c r="F8362" s="16"/>
      <c r="H8362" s="16"/>
      <c r="AG8362" s="80"/>
      <c r="AH8362" s="80"/>
      <c r="AI8362" s="80"/>
    </row>
    <row r="8363" spans="5:35" x14ac:dyDescent="0.25">
      <c r="E8363" s="16"/>
      <c r="F8363" s="16"/>
      <c r="H8363" s="16"/>
      <c r="AG8363" s="80"/>
      <c r="AH8363" s="80"/>
      <c r="AI8363" s="80"/>
    </row>
    <row r="8364" spans="5:35" x14ac:dyDescent="0.25">
      <c r="E8364" s="16"/>
      <c r="F8364" s="16"/>
      <c r="H8364" s="16"/>
      <c r="AG8364" s="80"/>
      <c r="AH8364" s="80"/>
      <c r="AI8364" s="80"/>
    </row>
    <row r="8365" spans="5:35" x14ac:dyDescent="0.25">
      <c r="E8365" s="16"/>
      <c r="F8365" s="16"/>
      <c r="H8365" s="16"/>
      <c r="AG8365" s="80"/>
      <c r="AH8365" s="80"/>
      <c r="AI8365" s="80"/>
    </row>
    <row r="8366" spans="5:35" x14ac:dyDescent="0.25">
      <c r="E8366" s="16"/>
      <c r="F8366" s="16"/>
      <c r="H8366" s="16"/>
      <c r="AG8366" s="80"/>
      <c r="AH8366" s="80"/>
      <c r="AI8366" s="80"/>
    </row>
    <row r="8367" spans="5:35" x14ac:dyDescent="0.25">
      <c r="E8367" s="16"/>
      <c r="F8367" s="16"/>
      <c r="H8367" s="16"/>
      <c r="AG8367" s="80"/>
      <c r="AH8367" s="80"/>
      <c r="AI8367" s="80"/>
    </row>
    <row r="8368" spans="5:35" x14ac:dyDescent="0.25">
      <c r="E8368" s="16"/>
      <c r="F8368" s="16"/>
      <c r="H8368" s="16"/>
      <c r="AG8368" s="80"/>
      <c r="AH8368" s="80"/>
      <c r="AI8368" s="80"/>
    </row>
    <row r="8369" spans="5:35" x14ac:dyDescent="0.25">
      <c r="E8369" s="16"/>
      <c r="F8369" s="16"/>
      <c r="H8369" s="16"/>
      <c r="AG8369" s="80"/>
      <c r="AH8369" s="80"/>
      <c r="AI8369" s="80"/>
    </row>
    <row r="8370" spans="5:35" x14ac:dyDescent="0.25">
      <c r="E8370" s="16"/>
      <c r="F8370" s="16"/>
      <c r="H8370" s="16"/>
      <c r="AG8370" s="80"/>
      <c r="AH8370" s="80"/>
      <c r="AI8370" s="80"/>
    </row>
    <row r="8371" spans="5:35" x14ac:dyDescent="0.25">
      <c r="E8371" s="16"/>
      <c r="F8371" s="16"/>
      <c r="H8371" s="16"/>
      <c r="AG8371" s="80"/>
      <c r="AH8371" s="80"/>
      <c r="AI8371" s="80"/>
    </row>
    <row r="8372" spans="5:35" x14ac:dyDescent="0.25">
      <c r="E8372" s="16"/>
      <c r="F8372" s="16"/>
      <c r="H8372" s="16"/>
      <c r="AG8372" s="80"/>
      <c r="AH8372" s="80"/>
      <c r="AI8372" s="80"/>
    </row>
    <row r="8373" spans="5:35" x14ac:dyDescent="0.25">
      <c r="E8373" s="16"/>
      <c r="F8373" s="16"/>
      <c r="H8373" s="16"/>
      <c r="AG8373" s="80"/>
      <c r="AH8373" s="80"/>
      <c r="AI8373" s="80"/>
    </row>
    <row r="8374" spans="5:35" x14ac:dyDescent="0.25">
      <c r="E8374" s="16"/>
      <c r="F8374" s="16"/>
      <c r="H8374" s="16"/>
      <c r="AG8374" s="80"/>
      <c r="AH8374" s="80"/>
      <c r="AI8374" s="80"/>
    </row>
    <row r="8375" spans="5:35" x14ac:dyDescent="0.25">
      <c r="E8375" s="16"/>
      <c r="F8375" s="16"/>
      <c r="H8375" s="16"/>
      <c r="AG8375" s="80"/>
      <c r="AH8375" s="80"/>
      <c r="AI8375" s="80"/>
    </row>
    <row r="8376" spans="5:35" x14ac:dyDescent="0.25">
      <c r="E8376" s="16"/>
      <c r="F8376" s="16"/>
      <c r="H8376" s="16"/>
      <c r="AG8376" s="80"/>
      <c r="AH8376" s="80"/>
      <c r="AI8376" s="80"/>
    </row>
    <row r="8377" spans="5:35" x14ac:dyDescent="0.25">
      <c r="E8377" s="16"/>
      <c r="F8377" s="16"/>
      <c r="H8377" s="16"/>
      <c r="AG8377" s="80"/>
      <c r="AH8377" s="80"/>
      <c r="AI8377" s="80"/>
    </row>
    <row r="8378" spans="5:35" x14ac:dyDescent="0.25">
      <c r="E8378" s="16"/>
      <c r="F8378" s="16"/>
      <c r="H8378" s="16"/>
      <c r="AG8378" s="80"/>
      <c r="AH8378" s="80"/>
      <c r="AI8378" s="80"/>
    </row>
    <row r="8379" spans="5:35" x14ac:dyDescent="0.25">
      <c r="E8379" s="16"/>
      <c r="F8379" s="16"/>
      <c r="H8379" s="16"/>
      <c r="AG8379" s="80"/>
      <c r="AH8379" s="80"/>
      <c r="AI8379" s="80"/>
    </row>
    <row r="8380" spans="5:35" x14ac:dyDescent="0.25">
      <c r="E8380" s="16"/>
      <c r="F8380" s="16"/>
      <c r="H8380" s="16"/>
      <c r="AG8380" s="80"/>
      <c r="AH8380" s="80"/>
      <c r="AI8380" s="80"/>
    </row>
    <row r="8381" spans="5:35" x14ac:dyDescent="0.25">
      <c r="E8381" s="16"/>
      <c r="F8381" s="16"/>
      <c r="H8381" s="16"/>
      <c r="AG8381" s="80"/>
      <c r="AH8381" s="80"/>
      <c r="AI8381" s="80"/>
    </row>
    <row r="8382" spans="5:35" x14ac:dyDescent="0.25">
      <c r="E8382" s="16"/>
      <c r="F8382" s="16"/>
      <c r="H8382" s="16"/>
      <c r="AG8382" s="80"/>
      <c r="AH8382" s="80"/>
      <c r="AI8382" s="80"/>
    </row>
    <row r="8383" spans="5:35" x14ac:dyDescent="0.25">
      <c r="E8383" s="16"/>
      <c r="F8383" s="16"/>
      <c r="H8383" s="16"/>
      <c r="AG8383" s="80"/>
      <c r="AH8383" s="80"/>
      <c r="AI8383" s="80"/>
    </row>
    <row r="8384" spans="5:35" x14ac:dyDescent="0.25">
      <c r="E8384" s="16"/>
      <c r="F8384" s="16"/>
      <c r="H8384" s="16"/>
      <c r="AG8384" s="80"/>
      <c r="AH8384" s="80"/>
      <c r="AI8384" s="80"/>
    </row>
    <row r="8385" spans="5:35" x14ac:dyDescent="0.25">
      <c r="E8385" s="16"/>
      <c r="F8385" s="16"/>
      <c r="H8385" s="16"/>
      <c r="AG8385" s="80"/>
      <c r="AH8385" s="80"/>
      <c r="AI8385" s="80"/>
    </row>
    <row r="8386" spans="5:35" x14ac:dyDescent="0.25">
      <c r="E8386" s="16"/>
      <c r="F8386" s="16"/>
      <c r="H8386" s="16"/>
      <c r="AG8386" s="80"/>
      <c r="AH8386" s="80"/>
      <c r="AI8386" s="80"/>
    </row>
    <row r="8387" spans="5:35" x14ac:dyDescent="0.25">
      <c r="E8387" s="16"/>
      <c r="F8387" s="16"/>
      <c r="H8387" s="16"/>
      <c r="AG8387" s="80"/>
      <c r="AH8387" s="80"/>
      <c r="AI8387" s="80"/>
    </row>
    <row r="8388" spans="5:35" x14ac:dyDescent="0.25">
      <c r="E8388" s="16"/>
      <c r="F8388" s="16"/>
      <c r="H8388" s="16"/>
      <c r="AG8388" s="80"/>
      <c r="AH8388" s="80"/>
      <c r="AI8388" s="80"/>
    </row>
    <row r="8389" spans="5:35" x14ac:dyDescent="0.25">
      <c r="E8389" s="16"/>
      <c r="F8389" s="16"/>
      <c r="H8389" s="16"/>
      <c r="AG8389" s="80"/>
      <c r="AH8389" s="80"/>
      <c r="AI8389" s="80"/>
    </row>
    <row r="8390" spans="5:35" x14ac:dyDescent="0.25">
      <c r="E8390" s="16"/>
      <c r="F8390" s="16"/>
      <c r="H8390" s="16"/>
      <c r="AG8390" s="80"/>
      <c r="AH8390" s="80"/>
      <c r="AI8390" s="80"/>
    </row>
    <row r="8391" spans="5:35" x14ac:dyDescent="0.25">
      <c r="E8391" s="16"/>
      <c r="F8391" s="16"/>
      <c r="H8391" s="16"/>
      <c r="AG8391" s="80"/>
      <c r="AH8391" s="80"/>
      <c r="AI8391" s="80"/>
    </row>
    <row r="8392" spans="5:35" x14ac:dyDescent="0.25">
      <c r="E8392" s="16"/>
      <c r="F8392" s="16"/>
      <c r="H8392" s="16"/>
      <c r="AG8392" s="80"/>
      <c r="AH8392" s="80"/>
      <c r="AI8392" s="80"/>
    </row>
    <row r="8393" spans="5:35" x14ac:dyDescent="0.25">
      <c r="E8393" s="16"/>
      <c r="F8393" s="16"/>
      <c r="H8393" s="16"/>
      <c r="AG8393" s="80"/>
      <c r="AH8393" s="80"/>
      <c r="AI8393" s="80"/>
    </row>
    <row r="8394" spans="5:35" x14ac:dyDescent="0.25">
      <c r="E8394" s="16"/>
      <c r="F8394" s="16"/>
      <c r="H8394" s="16"/>
      <c r="AG8394" s="80"/>
      <c r="AH8394" s="80"/>
      <c r="AI8394" s="80"/>
    </row>
    <row r="8395" spans="5:35" x14ac:dyDescent="0.25">
      <c r="E8395" s="16"/>
      <c r="F8395" s="16"/>
      <c r="H8395" s="16"/>
      <c r="AG8395" s="80"/>
      <c r="AH8395" s="80"/>
      <c r="AI8395" s="80"/>
    </row>
    <row r="8396" spans="5:35" x14ac:dyDescent="0.25">
      <c r="E8396" s="16"/>
      <c r="F8396" s="16"/>
      <c r="H8396" s="16"/>
      <c r="AG8396" s="80"/>
      <c r="AH8396" s="80"/>
      <c r="AI8396" s="80"/>
    </row>
    <row r="8397" spans="5:35" x14ac:dyDescent="0.25">
      <c r="E8397" s="16"/>
      <c r="F8397" s="16"/>
      <c r="H8397" s="16"/>
      <c r="AG8397" s="80"/>
      <c r="AH8397" s="80"/>
      <c r="AI8397" s="80"/>
    </row>
    <row r="8398" spans="5:35" x14ac:dyDescent="0.25">
      <c r="E8398" s="16"/>
      <c r="F8398" s="16"/>
      <c r="H8398" s="16"/>
      <c r="AG8398" s="80"/>
      <c r="AH8398" s="80"/>
      <c r="AI8398" s="80"/>
    </row>
    <row r="8399" spans="5:35" x14ac:dyDescent="0.25">
      <c r="E8399" s="16"/>
      <c r="F8399" s="16"/>
      <c r="H8399" s="16"/>
      <c r="AG8399" s="80"/>
      <c r="AH8399" s="80"/>
      <c r="AI8399" s="80"/>
    </row>
    <row r="8400" spans="5:35" x14ac:dyDescent="0.25">
      <c r="E8400" s="16"/>
      <c r="F8400" s="16"/>
      <c r="H8400" s="16"/>
      <c r="AG8400" s="80"/>
      <c r="AH8400" s="80"/>
      <c r="AI8400" s="80"/>
    </row>
    <row r="8401" spans="5:35" x14ac:dyDescent="0.25">
      <c r="E8401" s="16"/>
      <c r="F8401" s="16"/>
      <c r="H8401" s="16"/>
      <c r="AG8401" s="80"/>
      <c r="AH8401" s="80"/>
      <c r="AI8401" s="80"/>
    </row>
    <row r="8402" spans="5:35" x14ac:dyDescent="0.25">
      <c r="E8402" s="16"/>
      <c r="F8402" s="16"/>
      <c r="H8402" s="16"/>
      <c r="AG8402" s="80"/>
      <c r="AH8402" s="80"/>
      <c r="AI8402" s="80"/>
    </row>
    <row r="8403" spans="5:35" x14ac:dyDescent="0.25">
      <c r="E8403" s="16"/>
      <c r="F8403" s="16"/>
      <c r="H8403" s="16"/>
      <c r="AG8403" s="80"/>
      <c r="AH8403" s="80"/>
      <c r="AI8403" s="80"/>
    </row>
    <row r="8404" spans="5:35" x14ac:dyDescent="0.25">
      <c r="E8404" s="16"/>
      <c r="F8404" s="16"/>
      <c r="H8404" s="16"/>
      <c r="AG8404" s="80"/>
      <c r="AH8404" s="80"/>
      <c r="AI8404" s="80"/>
    </row>
    <row r="8405" spans="5:35" x14ac:dyDescent="0.25">
      <c r="E8405" s="16"/>
      <c r="F8405" s="16"/>
      <c r="H8405" s="16"/>
      <c r="AG8405" s="80"/>
      <c r="AH8405" s="80"/>
      <c r="AI8405" s="80"/>
    </row>
    <row r="8406" spans="5:35" x14ac:dyDescent="0.25">
      <c r="E8406" s="16"/>
      <c r="F8406" s="16"/>
      <c r="H8406" s="16"/>
      <c r="AG8406" s="80"/>
      <c r="AH8406" s="80"/>
      <c r="AI8406" s="80"/>
    </row>
    <row r="8407" spans="5:35" x14ac:dyDescent="0.25">
      <c r="E8407" s="16"/>
      <c r="F8407" s="16"/>
      <c r="H8407" s="16"/>
      <c r="AG8407" s="80"/>
      <c r="AH8407" s="80"/>
      <c r="AI8407" s="80"/>
    </row>
    <row r="8408" spans="5:35" x14ac:dyDescent="0.25">
      <c r="E8408" s="16"/>
      <c r="F8408" s="16"/>
      <c r="H8408" s="16"/>
      <c r="AG8408" s="80"/>
      <c r="AH8408" s="80"/>
      <c r="AI8408" s="80"/>
    </row>
    <row r="8409" spans="5:35" x14ac:dyDescent="0.25">
      <c r="E8409" s="16"/>
      <c r="F8409" s="16"/>
      <c r="H8409" s="16"/>
      <c r="AG8409" s="80"/>
      <c r="AH8409" s="80"/>
      <c r="AI8409" s="80"/>
    </row>
    <row r="8410" spans="5:35" x14ac:dyDescent="0.25">
      <c r="E8410" s="16"/>
      <c r="F8410" s="16"/>
      <c r="H8410" s="16"/>
      <c r="AG8410" s="80"/>
      <c r="AH8410" s="80"/>
      <c r="AI8410" s="80"/>
    </row>
    <row r="8411" spans="5:35" x14ac:dyDescent="0.25">
      <c r="E8411" s="16"/>
      <c r="F8411" s="16"/>
      <c r="H8411" s="16"/>
      <c r="AG8411" s="80"/>
      <c r="AH8411" s="80"/>
      <c r="AI8411" s="80"/>
    </row>
    <row r="8412" spans="5:35" x14ac:dyDescent="0.25">
      <c r="E8412" s="16"/>
      <c r="F8412" s="16"/>
      <c r="H8412" s="16"/>
      <c r="AG8412" s="80"/>
      <c r="AH8412" s="80"/>
      <c r="AI8412" s="80"/>
    </row>
    <row r="8413" spans="5:35" x14ac:dyDescent="0.25">
      <c r="E8413" s="16"/>
      <c r="F8413" s="16"/>
      <c r="H8413" s="16"/>
      <c r="AG8413" s="80"/>
      <c r="AH8413" s="80"/>
      <c r="AI8413" s="80"/>
    </row>
    <row r="8414" spans="5:35" x14ac:dyDescent="0.25">
      <c r="E8414" s="16"/>
      <c r="F8414" s="16"/>
      <c r="H8414" s="16"/>
      <c r="AG8414" s="80"/>
      <c r="AH8414" s="80"/>
      <c r="AI8414" s="80"/>
    </row>
    <row r="8415" spans="5:35" x14ac:dyDescent="0.25">
      <c r="E8415" s="16"/>
      <c r="F8415" s="16"/>
      <c r="H8415" s="16"/>
      <c r="AG8415" s="80"/>
      <c r="AH8415" s="80"/>
      <c r="AI8415" s="80"/>
    </row>
    <row r="8416" spans="5:35" x14ac:dyDescent="0.25">
      <c r="E8416" s="16"/>
      <c r="F8416" s="16"/>
      <c r="H8416" s="16"/>
      <c r="AG8416" s="80"/>
      <c r="AH8416" s="80"/>
      <c r="AI8416" s="80"/>
    </row>
    <row r="8417" spans="5:35" x14ac:dyDescent="0.25">
      <c r="E8417" s="16"/>
      <c r="F8417" s="16"/>
      <c r="H8417" s="16"/>
      <c r="AG8417" s="80"/>
      <c r="AH8417" s="80"/>
      <c r="AI8417" s="80"/>
    </row>
    <row r="8418" spans="5:35" x14ac:dyDescent="0.25">
      <c r="E8418" s="16"/>
      <c r="F8418" s="16"/>
      <c r="H8418" s="16"/>
      <c r="AG8418" s="80"/>
      <c r="AH8418" s="80"/>
      <c r="AI8418" s="80"/>
    </row>
    <row r="8419" spans="5:35" x14ac:dyDescent="0.25">
      <c r="E8419" s="16"/>
      <c r="F8419" s="16"/>
      <c r="H8419" s="16"/>
      <c r="AG8419" s="80"/>
      <c r="AH8419" s="80"/>
      <c r="AI8419" s="80"/>
    </row>
    <row r="8420" spans="5:35" x14ac:dyDescent="0.25">
      <c r="E8420" s="16"/>
      <c r="F8420" s="16"/>
      <c r="H8420" s="16"/>
      <c r="AG8420" s="80"/>
      <c r="AH8420" s="80"/>
      <c r="AI8420" s="80"/>
    </row>
    <row r="8421" spans="5:35" x14ac:dyDescent="0.25">
      <c r="E8421" s="16"/>
      <c r="F8421" s="16"/>
      <c r="H8421" s="16"/>
      <c r="AG8421" s="80"/>
      <c r="AH8421" s="80"/>
      <c r="AI8421" s="80"/>
    </row>
    <row r="8422" spans="5:35" x14ac:dyDescent="0.25">
      <c r="E8422" s="16"/>
      <c r="F8422" s="16"/>
      <c r="H8422" s="16"/>
      <c r="AG8422" s="80"/>
      <c r="AH8422" s="80"/>
      <c r="AI8422" s="80"/>
    </row>
    <row r="8423" spans="5:35" x14ac:dyDescent="0.25">
      <c r="E8423" s="16"/>
      <c r="F8423" s="16"/>
      <c r="H8423" s="16"/>
      <c r="AG8423" s="80"/>
      <c r="AH8423" s="80"/>
      <c r="AI8423" s="80"/>
    </row>
    <row r="8424" spans="5:35" x14ac:dyDescent="0.25">
      <c r="E8424" s="16"/>
      <c r="F8424" s="16"/>
      <c r="H8424" s="16"/>
      <c r="AG8424" s="80"/>
      <c r="AH8424" s="80"/>
      <c r="AI8424" s="80"/>
    </row>
    <row r="8425" spans="5:35" x14ac:dyDescent="0.25">
      <c r="E8425" s="16"/>
      <c r="F8425" s="16"/>
      <c r="H8425" s="16"/>
      <c r="AG8425" s="80"/>
      <c r="AH8425" s="80"/>
      <c r="AI8425" s="80"/>
    </row>
    <row r="8426" spans="5:35" x14ac:dyDescent="0.25">
      <c r="E8426" s="16"/>
      <c r="F8426" s="16"/>
      <c r="H8426" s="16"/>
      <c r="AG8426" s="80"/>
      <c r="AH8426" s="80"/>
      <c r="AI8426" s="80"/>
    </row>
    <row r="8427" spans="5:35" x14ac:dyDescent="0.25">
      <c r="E8427" s="16"/>
      <c r="F8427" s="16"/>
      <c r="H8427" s="16"/>
      <c r="AG8427" s="80"/>
      <c r="AH8427" s="80"/>
      <c r="AI8427" s="80"/>
    </row>
    <row r="8428" spans="5:35" x14ac:dyDescent="0.25">
      <c r="E8428" s="16"/>
      <c r="F8428" s="16"/>
      <c r="H8428" s="16"/>
      <c r="AG8428" s="80"/>
      <c r="AH8428" s="80"/>
      <c r="AI8428" s="80"/>
    </row>
    <row r="8429" spans="5:35" x14ac:dyDescent="0.25">
      <c r="E8429" s="16"/>
      <c r="F8429" s="16"/>
      <c r="H8429" s="16"/>
      <c r="AG8429" s="80"/>
      <c r="AH8429" s="80"/>
      <c r="AI8429" s="80"/>
    </row>
    <row r="8430" spans="5:35" x14ac:dyDescent="0.25">
      <c r="E8430" s="16"/>
      <c r="F8430" s="16"/>
      <c r="H8430" s="16"/>
      <c r="AG8430" s="80"/>
      <c r="AH8430" s="80"/>
      <c r="AI8430" s="80"/>
    </row>
    <row r="8431" spans="5:35" x14ac:dyDescent="0.25">
      <c r="E8431" s="16"/>
      <c r="F8431" s="16"/>
      <c r="H8431" s="16"/>
      <c r="AG8431" s="80"/>
      <c r="AH8431" s="80"/>
      <c r="AI8431" s="80"/>
    </row>
    <row r="8432" spans="5:35" x14ac:dyDescent="0.25">
      <c r="E8432" s="16"/>
      <c r="F8432" s="16"/>
      <c r="H8432" s="16"/>
      <c r="AG8432" s="80"/>
      <c r="AH8432" s="80"/>
      <c r="AI8432" s="80"/>
    </row>
    <row r="8433" spans="5:35" x14ac:dyDescent="0.25">
      <c r="E8433" s="16"/>
      <c r="F8433" s="16"/>
      <c r="H8433" s="16"/>
      <c r="AG8433" s="80"/>
      <c r="AH8433" s="80"/>
      <c r="AI8433" s="80"/>
    </row>
    <row r="8434" spans="5:35" x14ac:dyDescent="0.25">
      <c r="E8434" s="16"/>
      <c r="F8434" s="16"/>
      <c r="H8434" s="16"/>
      <c r="AG8434" s="80"/>
      <c r="AH8434" s="80"/>
      <c r="AI8434" s="80"/>
    </row>
    <row r="8435" spans="5:35" x14ac:dyDescent="0.25">
      <c r="E8435" s="16"/>
      <c r="F8435" s="16"/>
      <c r="H8435" s="16"/>
      <c r="AG8435" s="80"/>
      <c r="AH8435" s="80"/>
      <c r="AI8435" s="80"/>
    </row>
    <row r="8436" spans="5:35" x14ac:dyDescent="0.25">
      <c r="E8436" s="16"/>
      <c r="F8436" s="16"/>
      <c r="H8436" s="16"/>
      <c r="AG8436" s="80"/>
      <c r="AH8436" s="80"/>
      <c r="AI8436" s="80"/>
    </row>
    <row r="8437" spans="5:35" x14ac:dyDescent="0.25">
      <c r="E8437" s="16"/>
      <c r="F8437" s="16"/>
      <c r="H8437" s="16"/>
      <c r="AG8437" s="80"/>
      <c r="AH8437" s="80"/>
      <c r="AI8437" s="80"/>
    </row>
    <row r="8438" spans="5:35" x14ac:dyDescent="0.25">
      <c r="E8438" s="16"/>
      <c r="F8438" s="16"/>
      <c r="H8438" s="16"/>
      <c r="AG8438" s="80"/>
      <c r="AH8438" s="80"/>
      <c r="AI8438" s="80"/>
    </row>
    <row r="8439" spans="5:35" x14ac:dyDescent="0.25">
      <c r="E8439" s="16"/>
      <c r="F8439" s="16"/>
      <c r="H8439" s="16"/>
      <c r="AG8439" s="80"/>
      <c r="AH8439" s="80"/>
      <c r="AI8439" s="80"/>
    </row>
    <row r="8440" spans="5:35" x14ac:dyDescent="0.25">
      <c r="E8440" s="16"/>
      <c r="F8440" s="16"/>
      <c r="H8440" s="16"/>
      <c r="AG8440" s="80"/>
      <c r="AH8440" s="80"/>
      <c r="AI8440" s="80"/>
    </row>
    <row r="8441" spans="5:35" x14ac:dyDescent="0.25">
      <c r="E8441" s="16"/>
      <c r="F8441" s="16"/>
      <c r="H8441" s="16"/>
      <c r="AG8441" s="80"/>
      <c r="AH8441" s="80"/>
      <c r="AI8441" s="80"/>
    </row>
    <row r="8442" spans="5:35" x14ac:dyDescent="0.25">
      <c r="E8442" s="16"/>
      <c r="F8442" s="16"/>
      <c r="H8442" s="16"/>
      <c r="AG8442" s="80"/>
      <c r="AH8442" s="80"/>
      <c r="AI8442" s="80"/>
    </row>
    <row r="8443" spans="5:35" x14ac:dyDescent="0.25">
      <c r="E8443" s="16"/>
      <c r="F8443" s="16"/>
      <c r="H8443" s="16"/>
      <c r="AG8443" s="80"/>
      <c r="AH8443" s="80"/>
      <c r="AI8443" s="80"/>
    </row>
    <row r="8444" spans="5:35" x14ac:dyDescent="0.25">
      <c r="E8444" s="16"/>
      <c r="F8444" s="16"/>
      <c r="H8444" s="16"/>
      <c r="AG8444" s="80"/>
      <c r="AH8444" s="80"/>
      <c r="AI8444" s="80"/>
    </row>
    <row r="8445" spans="5:35" x14ac:dyDescent="0.25">
      <c r="E8445" s="16"/>
      <c r="F8445" s="16"/>
      <c r="H8445" s="16"/>
      <c r="AG8445" s="80"/>
      <c r="AH8445" s="80"/>
      <c r="AI8445" s="80"/>
    </row>
    <row r="8446" spans="5:35" x14ac:dyDescent="0.25">
      <c r="E8446" s="16"/>
      <c r="F8446" s="16"/>
      <c r="H8446" s="16"/>
      <c r="AG8446" s="80"/>
      <c r="AH8446" s="80"/>
      <c r="AI8446" s="80"/>
    </row>
    <row r="8447" spans="5:35" x14ac:dyDescent="0.25">
      <c r="E8447" s="16"/>
      <c r="F8447" s="16"/>
      <c r="H8447" s="16"/>
      <c r="AG8447" s="80"/>
      <c r="AH8447" s="80"/>
      <c r="AI8447" s="80"/>
    </row>
    <row r="8448" spans="5:35" x14ac:dyDescent="0.25">
      <c r="E8448" s="16"/>
      <c r="F8448" s="16"/>
      <c r="H8448" s="16"/>
      <c r="AG8448" s="80"/>
      <c r="AH8448" s="80"/>
      <c r="AI8448" s="80"/>
    </row>
    <row r="8449" spans="5:35" x14ac:dyDescent="0.25">
      <c r="E8449" s="16"/>
      <c r="F8449" s="16"/>
      <c r="H8449" s="16"/>
      <c r="AG8449" s="80"/>
      <c r="AH8449" s="80"/>
      <c r="AI8449" s="80"/>
    </row>
    <row r="8450" spans="5:35" x14ac:dyDescent="0.25">
      <c r="E8450" s="16"/>
      <c r="F8450" s="16"/>
      <c r="H8450" s="16"/>
      <c r="AG8450" s="80"/>
      <c r="AH8450" s="80"/>
      <c r="AI8450" s="80"/>
    </row>
    <row r="8451" spans="5:35" x14ac:dyDescent="0.25">
      <c r="E8451" s="16"/>
      <c r="F8451" s="16"/>
      <c r="H8451" s="16"/>
      <c r="AG8451" s="80"/>
      <c r="AH8451" s="80"/>
      <c r="AI8451" s="80"/>
    </row>
    <row r="8452" spans="5:35" x14ac:dyDescent="0.25">
      <c r="E8452" s="16"/>
      <c r="F8452" s="16"/>
      <c r="H8452" s="16"/>
      <c r="AG8452" s="80"/>
      <c r="AH8452" s="80"/>
      <c r="AI8452" s="80"/>
    </row>
    <row r="8453" spans="5:35" x14ac:dyDescent="0.25">
      <c r="E8453" s="16"/>
      <c r="F8453" s="16"/>
      <c r="H8453" s="16"/>
      <c r="AG8453" s="80"/>
      <c r="AH8453" s="80"/>
      <c r="AI8453" s="80"/>
    </row>
    <row r="8454" spans="5:35" x14ac:dyDescent="0.25">
      <c r="E8454" s="16"/>
      <c r="F8454" s="16"/>
      <c r="H8454" s="16"/>
      <c r="AG8454" s="80"/>
      <c r="AH8454" s="80"/>
      <c r="AI8454" s="80"/>
    </row>
    <row r="8455" spans="5:35" x14ac:dyDescent="0.25">
      <c r="E8455" s="16"/>
      <c r="F8455" s="16"/>
      <c r="H8455" s="16"/>
      <c r="AG8455" s="80"/>
      <c r="AH8455" s="80"/>
      <c r="AI8455" s="80"/>
    </row>
    <row r="8456" spans="5:35" x14ac:dyDescent="0.25">
      <c r="E8456" s="16"/>
      <c r="F8456" s="16"/>
      <c r="H8456" s="16"/>
      <c r="AG8456" s="80"/>
      <c r="AH8456" s="80"/>
      <c r="AI8456" s="80"/>
    </row>
    <row r="8457" spans="5:35" x14ac:dyDescent="0.25">
      <c r="E8457" s="16"/>
      <c r="F8457" s="16"/>
      <c r="H8457" s="16"/>
      <c r="AG8457" s="80"/>
      <c r="AH8457" s="80"/>
      <c r="AI8457" s="80"/>
    </row>
    <row r="8458" spans="5:35" x14ac:dyDescent="0.25">
      <c r="E8458" s="16"/>
      <c r="F8458" s="16"/>
      <c r="H8458" s="16"/>
      <c r="AG8458" s="80"/>
      <c r="AH8458" s="80"/>
      <c r="AI8458" s="80"/>
    </row>
    <row r="8459" spans="5:35" x14ac:dyDescent="0.25">
      <c r="E8459" s="16"/>
      <c r="F8459" s="16"/>
      <c r="H8459" s="16"/>
      <c r="AG8459" s="80"/>
      <c r="AH8459" s="80"/>
      <c r="AI8459" s="80"/>
    </row>
    <row r="8460" spans="5:35" x14ac:dyDescent="0.25">
      <c r="E8460" s="16"/>
      <c r="F8460" s="16"/>
      <c r="H8460" s="16"/>
      <c r="AG8460" s="80"/>
      <c r="AH8460" s="80"/>
      <c r="AI8460" s="80"/>
    </row>
    <row r="8461" spans="5:35" x14ac:dyDescent="0.25">
      <c r="E8461" s="16"/>
      <c r="F8461" s="16"/>
      <c r="H8461" s="16"/>
      <c r="AG8461" s="80"/>
      <c r="AH8461" s="80"/>
      <c r="AI8461" s="80"/>
    </row>
    <row r="8462" spans="5:35" x14ac:dyDescent="0.25">
      <c r="E8462" s="16"/>
      <c r="F8462" s="16"/>
      <c r="H8462" s="16"/>
      <c r="AG8462" s="80"/>
      <c r="AH8462" s="80"/>
      <c r="AI8462" s="80"/>
    </row>
    <row r="8463" spans="5:35" x14ac:dyDescent="0.25">
      <c r="E8463" s="16"/>
      <c r="F8463" s="16"/>
      <c r="H8463" s="16"/>
      <c r="AG8463" s="80"/>
      <c r="AH8463" s="80"/>
      <c r="AI8463" s="80"/>
    </row>
    <row r="8464" spans="5:35" x14ac:dyDescent="0.25">
      <c r="E8464" s="16"/>
      <c r="F8464" s="16"/>
      <c r="H8464" s="16"/>
      <c r="AG8464" s="80"/>
      <c r="AH8464" s="80"/>
      <c r="AI8464" s="80"/>
    </row>
    <row r="8465" spans="5:35" x14ac:dyDescent="0.25">
      <c r="E8465" s="16"/>
      <c r="F8465" s="16"/>
      <c r="H8465" s="16"/>
      <c r="AG8465" s="80"/>
      <c r="AH8465" s="80"/>
      <c r="AI8465" s="80"/>
    </row>
    <row r="8466" spans="5:35" x14ac:dyDescent="0.25">
      <c r="E8466" s="16"/>
      <c r="F8466" s="16"/>
      <c r="H8466" s="16"/>
      <c r="AG8466" s="80"/>
      <c r="AH8466" s="80"/>
      <c r="AI8466" s="80"/>
    </row>
    <row r="8467" spans="5:35" x14ac:dyDescent="0.25">
      <c r="E8467" s="16"/>
      <c r="F8467" s="16"/>
      <c r="H8467" s="16"/>
      <c r="AG8467" s="80"/>
      <c r="AH8467" s="80"/>
      <c r="AI8467" s="80"/>
    </row>
    <row r="8468" spans="5:35" x14ac:dyDescent="0.25">
      <c r="E8468" s="16"/>
      <c r="F8468" s="16"/>
      <c r="H8468" s="16"/>
      <c r="AG8468" s="80"/>
      <c r="AH8468" s="80"/>
      <c r="AI8468" s="80"/>
    </row>
    <row r="8469" spans="5:35" x14ac:dyDescent="0.25">
      <c r="E8469" s="16"/>
      <c r="F8469" s="16"/>
      <c r="H8469" s="16"/>
      <c r="AG8469" s="80"/>
      <c r="AH8469" s="80"/>
      <c r="AI8469" s="80"/>
    </row>
    <row r="8470" spans="5:35" x14ac:dyDescent="0.25">
      <c r="E8470" s="16"/>
      <c r="F8470" s="16"/>
      <c r="H8470" s="16"/>
      <c r="AG8470" s="80"/>
      <c r="AH8470" s="80"/>
      <c r="AI8470" s="80"/>
    </row>
    <row r="8471" spans="5:35" x14ac:dyDescent="0.25">
      <c r="E8471" s="16"/>
      <c r="F8471" s="16"/>
      <c r="H8471" s="16"/>
      <c r="AG8471" s="80"/>
      <c r="AH8471" s="80"/>
      <c r="AI8471" s="80"/>
    </row>
    <row r="8472" spans="5:35" x14ac:dyDescent="0.25">
      <c r="E8472" s="16"/>
      <c r="F8472" s="16"/>
      <c r="H8472" s="16"/>
      <c r="AG8472" s="80"/>
      <c r="AH8472" s="80"/>
      <c r="AI8472" s="80"/>
    </row>
    <row r="8473" spans="5:35" x14ac:dyDescent="0.25">
      <c r="E8473" s="16"/>
      <c r="F8473" s="16"/>
      <c r="H8473" s="16"/>
      <c r="AG8473" s="80"/>
      <c r="AH8473" s="80"/>
      <c r="AI8473" s="80"/>
    </row>
    <row r="8474" spans="5:35" x14ac:dyDescent="0.25">
      <c r="E8474" s="16"/>
      <c r="F8474" s="16"/>
      <c r="H8474" s="16"/>
      <c r="AG8474" s="80"/>
      <c r="AH8474" s="80"/>
      <c r="AI8474" s="80"/>
    </row>
    <row r="8475" spans="5:35" x14ac:dyDescent="0.25">
      <c r="E8475" s="16"/>
      <c r="F8475" s="16"/>
      <c r="H8475" s="16"/>
      <c r="AG8475" s="80"/>
      <c r="AH8475" s="80"/>
      <c r="AI8475" s="80"/>
    </row>
    <row r="8476" spans="5:35" x14ac:dyDescent="0.25">
      <c r="E8476" s="16"/>
      <c r="F8476" s="16"/>
      <c r="H8476" s="16"/>
      <c r="AG8476" s="80"/>
      <c r="AH8476" s="80"/>
      <c r="AI8476" s="80"/>
    </row>
    <row r="8477" spans="5:35" x14ac:dyDescent="0.25">
      <c r="E8477" s="16"/>
      <c r="F8477" s="16"/>
      <c r="H8477" s="16"/>
      <c r="AG8477" s="80"/>
      <c r="AH8477" s="80"/>
      <c r="AI8477" s="80"/>
    </row>
    <row r="8478" spans="5:35" x14ac:dyDescent="0.25">
      <c r="E8478" s="16"/>
      <c r="F8478" s="16"/>
      <c r="H8478" s="16"/>
      <c r="AG8478" s="80"/>
      <c r="AH8478" s="80"/>
      <c r="AI8478" s="80"/>
    </row>
    <row r="8479" spans="5:35" x14ac:dyDescent="0.25">
      <c r="E8479" s="16"/>
      <c r="F8479" s="16"/>
      <c r="H8479" s="16"/>
      <c r="AG8479" s="80"/>
      <c r="AH8479" s="80"/>
      <c r="AI8479" s="80"/>
    </row>
    <row r="8480" spans="5:35" x14ac:dyDescent="0.25">
      <c r="E8480" s="16"/>
      <c r="F8480" s="16"/>
      <c r="H8480" s="16"/>
      <c r="AG8480" s="80"/>
      <c r="AH8480" s="80"/>
      <c r="AI8480" s="80"/>
    </row>
    <row r="8481" spans="5:35" x14ac:dyDescent="0.25">
      <c r="E8481" s="16"/>
      <c r="F8481" s="16"/>
      <c r="H8481" s="16"/>
      <c r="AG8481" s="80"/>
      <c r="AH8481" s="80"/>
      <c r="AI8481" s="80"/>
    </row>
    <row r="8482" spans="5:35" x14ac:dyDescent="0.25">
      <c r="E8482" s="16"/>
      <c r="F8482" s="16"/>
      <c r="H8482" s="16"/>
      <c r="AG8482" s="80"/>
      <c r="AH8482" s="80"/>
      <c r="AI8482" s="80"/>
    </row>
    <row r="8483" spans="5:35" x14ac:dyDescent="0.25">
      <c r="E8483" s="16"/>
      <c r="F8483" s="16"/>
      <c r="H8483" s="16"/>
      <c r="AG8483" s="80"/>
      <c r="AH8483" s="80"/>
      <c r="AI8483" s="80"/>
    </row>
    <row r="8484" spans="5:35" x14ac:dyDescent="0.25">
      <c r="E8484" s="16"/>
      <c r="F8484" s="16"/>
      <c r="H8484" s="16"/>
      <c r="AG8484" s="80"/>
      <c r="AH8484" s="80"/>
      <c r="AI8484" s="80"/>
    </row>
    <row r="8485" spans="5:35" x14ac:dyDescent="0.25">
      <c r="E8485" s="16"/>
      <c r="F8485" s="16"/>
      <c r="H8485" s="16"/>
      <c r="AG8485" s="80"/>
      <c r="AH8485" s="80"/>
      <c r="AI8485" s="80"/>
    </row>
    <row r="8486" spans="5:35" x14ac:dyDescent="0.25">
      <c r="E8486" s="16"/>
      <c r="F8486" s="16"/>
      <c r="H8486" s="16"/>
      <c r="AG8486" s="80"/>
      <c r="AH8486" s="80"/>
      <c r="AI8486" s="80"/>
    </row>
    <row r="8487" spans="5:35" x14ac:dyDescent="0.25">
      <c r="E8487" s="16"/>
      <c r="F8487" s="16"/>
      <c r="H8487" s="16"/>
      <c r="AG8487" s="80"/>
      <c r="AH8487" s="80"/>
      <c r="AI8487" s="80"/>
    </row>
    <row r="8488" spans="5:35" x14ac:dyDescent="0.25">
      <c r="E8488" s="16"/>
      <c r="F8488" s="16"/>
      <c r="H8488" s="16"/>
      <c r="AG8488" s="80"/>
      <c r="AH8488" s="80"/>
      <c r="AI8488" s="80"/>
    </row>
    <row r="8489" spans="5:35" x14ac:dyDescent="0.25">
      <c r="E8489" s="16"/>
      <c r="F8489" s="16"/>
      <c r="H8489" s="16"/>
      <c r="AG8489" s="80"/>
      <c r="AH8489" s="80"/>
      <c r="AI8489" s="80"/>
    </row>
    <row r="8490" spans="5:35" x14ac:dyDescent="0.25">
      <c r="E8490" s="16"/>
      <c r="F8490" s="16"/>
      <c r="H8490" s="16"/>
      <c r="AG8490" s="80"/>
      <c r="AH8490" s="80"/>
      <c r="AI8490" s="80"/>
    </row>
    <row r="8491" spans="5:35" x14ac:dyDescent="0.25">
      <c r="E8491" s="16"/>
      <c r="F8491" s="16"/>
      <c r="H8491" s="16"/>
      <c r="AG8491" s="80"/>
      <c r="AH8491" s="80"/>
      <c r="AI8491" s="80"/>
    </row>
    <row r="8492" spans="5:35" x14ac:dyDescent="0.25">
      <c r="E8492" s="16"/>
      <c r="F8492" s="16"/>
      <c r="H8492" s="16"/>
      <c r="AG8492" s="80"/>
      <c r="AH8492" s="80"/>
      <c r="AI8492" s="80"/>
    </row>
    <row r="8493" spans="5:35" x14ac:dyDescent="0.25">
      <c r="E8493" s="16"/>
      <c r="F8493" s="16"/>
      <c r="H8493" s="16"/>
      <c r="AG8493" s="80"/>
      <c r="AH8493" s="80"/>
      <c r="AI8493" s="80"/>
    </row>
    <row r="8494" spans="5:35" x14ac:dyDescent="0.25">
      <c r="E8494" s="16"/>
      <c r="F8494" s="16"/>
      <c r="H8494" s="16"/>
      <c r="AG8494" s="80"/>
      <c r="AH8494" s="80"/>
      <c r="AI8494" s="80"/>
    </row>
    <row r="8495" spans="5:35" x14ac:dyDescent="0.25">
      <c r="E8495" s="16"/>
      <c r="F8495" s="16"/>
      <c r="H8495" s="16"/>
      <c r="AG8495" s="80"/>
      <c r="AH8495" s="80"/>
      <c r="AI8495" s="80"/>
    </row>
    <row r="8496" spans="5:35" x14ac:dyDescent="0.25">
      <c r="E8496" s="16"/>
      <c r="F8496" s="16"/>
      <c r="H8496" s="16"/>
      <c r="AG8496" s="80"/>
      <c r="AH8496" s="80"/>
      <c r="AI8496" s="80"/>
    </row>
    <row r="8497" spans="5:35" x14ac:dyDescent="0.25">
      <c r="E8497" s="16"/>
      <c r="F8497" s="16"/>
      <c r="H8497" s="16"/>
      <c r="AG8497" s="80"/>
      <c r="AH8497" s="80"/>
      <c r="AI8497" s="80"/>
    </row>
    <row r="8498" spans="5:35" x14ac:dyDescent="0.25">
      <c r="E8498" s="16"/>
      <c r="F8498" s="16"/>
      <c r="H8498" s="16"/>
      <c r="AG8498" s="80"/>
      <c r="AH8498" s="80"/>
      <c r="AI8498" s="80"/>
    </row>
    <row r="8499" spans="5:35" x14ac:dyDescent="0.25">
      <c r="E8499" s="16"/>
      <c r="F8499" s="16"/>
      <c r="H8499" s="16"/>
      <c r="AG8499" s="80"/>
      <c r="AH8499" s="80"/>
      <c r="AI8499" s="80"/>
    </row>
    <row r="8500" spans="5:35" x14ac:dyDescent="0.25">
      <c r="E8500" s="16"/>
      <c r="F8500" s="16"/>
      <c r="H8500" s="16"/>
      <c r="AG8500" s="80"/>
      <c r="AH8500" s="80"/>
      <c r="AI8500" s="80"/>
    </row>
    <row r="8501" spans="5:35" x14ac:dyDescent="0.25">
      <c r="E8501" s="16"/>
      <c r="F8501" s="16"/>
      <c r="H8501" s="16"/>
      <c r="AG8501" s="80"/>
      <c r="AH8501" s="80"/>
      <c r="AI8501" s="80"/>
    </row>
    <row r="8502" spans="5:35" x14ac:dyDescent="0.25">
      <c r="E8502" s="16"/>
      <c r="F8502" s="16"/>
      <c r="H8502" s="16"/>
      <c r="AG8502" s="80"/>
      <c r="AH8502" s="80"/>
      <c r="AI8502" s="80"/>
    </row>
    <row r="8503" spans="5:35" x14ac:dyDescent="0.25">
      <c r="E8503" s="16"/>
      <c r="F8503" s="16"/>
      <c r="H8503" s="16"/>
      <c r="AG8503" s="80"/>
      <c r="AH8503" s="80"/>
      <c r="AI8503" s="80"/>
    </row>
    <row r="8504" spans="5:35" x14ac:dyDescent="0.25">
      <c r="E8504" s="16"/>
      <c r="F8504" s="16"/>
      <c r="H8504" s="16"/>
      <c r="AG8504" s="80"/>
      <c r="AH8504" s="80"/>
      <c r="AI8504" s="80"/>
    </row>
    <row r="8505" spans="5:35" x14ac:dyDescent="0.25">
      <c r="E8505" s="16"/>
      <c r="F8505" s="16"/>
      <c r="H8505" s="16"/>
      <c r="AG8505" s="80"/>
      <c r="AH8505" s="80"/>
      <c r="AI8505" s="80"/>
    </row>
    <row r="8506" spans="5:35" x14ac:dyDescent="0.25">
      <c r="E8506" s="16"/>
      <c r="F8506" s="16"/>
      <c r="H8506" s="16"/>
      <c r="AG8506" s="80"/>
      <c r="AH8506" s="80"/>
      <c r="AI8506" s="80"/>
    </row>
    <row r="8507" spans="5:35" x14ac:dyDescent="0.25">
      <c r="E8507" s="16"/>
      <c r="F8507" s="16"/>
      <c r="H8507" s="16"/>
      <c r="AG8507" s="80"/>
      <c r="AH8507" s="80"/>
      <c r="AI8507" s="80"/>
    </row>
    <row r="8508" spans="5:35" x14ac:dyDescent="0.25">
      <c r="E8508" s="16"/>
      <c r="F8508" s="16"/>
      <c r="H8508" s="16"/>
      <c r="AG8508" s="80"/>
      <c r="AH8508" s="80"/>
      <c r="AI8508" s="80"/>
    </row>
    <row r="8509" spans="5:35" x14ac:dyDescent="0.25">
      <c r="E8509" s="16"/>
      <c r="F8509" s="16"/>
      <c r="H8509" s="16"/>
      <c r="AG8509" s="80"/>
      <c r="AH8509" s="80"/>
      <c r="AI8509" s="80"/>
    </row>
    <row r="8510" spans="5:35" x14ac:dyDescent="0.25">
      <c r="E8510" s="16"/>
      <c r="F8510" s="16"/>
      <c r="H8510" s="16"/>
      <c r="AG8510" s="80"/>
      <c r="AH8510" s="80"/>
      <c r="AI8510" s="80"/>
    </row>
    <row r="8511" spans="5:35" x14ac:dyDescent="0.25">
      <c r="E8511" s="16"/>
      <c r="F8511" s="16"/>
      <c r="H8511" s="16"/>
      <c r="AG8511" s="80"/>
      <c r="AH8511" s="80"/>
      <c r="AI8511" s="80"/>
    </row>
    <row r="8512" spans="5:35" x14ac:dyDescent="0.25">
      <c r="E8512" s="16"/>
      <c r="F8512" s="16"/>
      <c r="H8512" s="16"/>
      <c r="AG8512" s="80"/>
      <c r="AH8512" s="80"/>
      <c r="AI8512" s="80"/>
    </row>
    <row r="8513" spans="5:35" x14ac:dyDescent="0.25">
      <c r="E8513" s="16"/>
      <c r="F8513" s="16"/>
      <c r="H8513" s="16"/>
      <c r="AG8513" s="80"/>
      <c r="AH8513" s="80"/>
      <c r="AI8513" s="80"/>
    </row>
    <row r="8514" spans="5:35" x14ac:dyDescent="0.25">
      <c r="E8514" s="16"/>
      <c r="F8514" s="16"/>
      <c r="H8514" s="16"/>
      <c r="AG8514" s="80"/>
      <c r="AH8514" s="80"/>
      <c r="AI8514" s="80"/>
    </row>
    <row r="8515" spans="5:35" x14ac:dyDescent="0.25">
      <c r="E8515" s="16"/>
      <c r="F8515" s="16"/>
      <c r="H8515" s="16"/>
      <c r="AG8515" s="80"/>
      <c r="AH8515" s="80"/>
      <c r="AI8515" s="80"/>
    </row>
    <row r="8516" spans="5:35" x14ac:dyDescent="0.25">
      <c r="E8516" s="16"/>
      <c r="F8516" s="16"/>
      <c r="H8516" s="16"/>
      <c r="AG8516" s="80"/>
      <c r="AH8516" s="80"/>
      <c r="AI8516" s="80"/>
    </row>
    <row r="8517" spans="5:35" x14ac:dyDescent="0.25">
      <c r="E8517" s="16"/>
      <c r="F8517" s="16"/>
      <c r="H8517" s="16"/>
      <c r="AG8517" s="80"/>
      <c r="AH8517" s="80"/>
      <c r="AI8517" s="80"/>
    </row>
    <row r="8518" spans="5:35" x14ac:dyDescent="0.25">
      <c r="E8518" s="16"/>
      <c r="F8518" s="16"/>
      <c r="H8518" s="16"/>
      <c r="AG8518" s="80"/>
      <c r="AH8518" s="80"/>
      <c r="AI8518" s="80"/>
    </row>
    <row r="8519" spans="5:35" x14ac:dyDescent="0.25">
      <c r="E8519" s="16"/>
      <c r="F8519" s="16"/>
      <c r="H8519" s="16"/>
      <c r="AG8519" s="80"/>
      <c r="AH8519" s="80"/>
      <c r="AI8519" s="80"/>
    </row>
    <row r="8520" spans="5:35" x14ac:dyDescent="0.25">
      <c r="E8520" s="16"/>
      <c r="F8520" s="16"/>
      <c r="H8520" s="16"/>
      <c r="AG8520" s="80"/>
      <c r="AH8520" s="80"/>
      <c r="AI8520" s="80"/>
    </row>
    <row r="8521" spans="5:35" x14ac:dyDescent="0.25">
      <c r="E8521" s="16"/>
      <c r="F8521" s="16"/>
      <c r="H8521" s="16"/>
      <c r="AG8521" s="80"/>
      <c r="AH8521" s="80"/>
      <c r="AI8521" s="80"/>
    </row>
    <row r="8522" spans="5:35" x14ac:dyDescent="0.25">
      <c r="E8522" s="16"/>
      <c r="F8522" s="16"/>
      <c r="H8522" s="16"/>
      <c r="AG8522" s="80"/>
      <c r="AH8522" s="80"/>
      <c r="AI8522" s="80"/>
    </row>
    <row r="8523" spans="5:35" x14ac:dyDescent="0.25">
      <c r="E8523" s="16"/>
      <c r="F8523" s="16"/>
      <c r="H8523" s="16"/>
      <c r="AG8523" s="80"/>
      <c r="AH8523" s="80"/>
      <c r="AI8523" s="80"/>
    </row>
    <row r="8524" spans="5:35" x14ac:dyDescent="0.25">
      <c r="E8524" s="16"/>
      <c r="F8524" s="16"/>
      <c r="H8524" s="16"/>
      <c r="AG8524" s="80"/>
      <c r="AH8524" s="80"/>
      <c r="AI8524" s="80"/>
    </row>
    <row r="8525" spans="5:35" x14ac:dyDescent="0.25">
      <c r="E8525" s="16"/>
      <c r="F8525" s="16"/>
      <c r="H8525" s="16"/>
      <c r="AG8525" s="80"/>
      <c r="AH8525" s="80"/>
      <c r="AI8525" s="80"/>
    </row>
    <row r="8526" spans="5:35" x14ac:dyDescent="0.25">
      <c r="E8526" s="16"/>
      <c r="F8526" s="16"/>
      <c r="H8526" s="16"/>
      <c r="AG8526" s="80"/>
      <c r="AH8526" s="80"/>
      <c r="AI8526" s="80"/>
    </row>
    <row r="8527" spans="5:35" x14ac:dyDescent="0.25">
      <c r="E8527" s="16"/>
      <c r="F8527" s="16"/>
      <c r="H8527" s="16"/>
      <c r="AG8527" s="80"/>
      <c r="AH8527" s="80"/>
      <c r="AI8527" s="80"/>
    </row>
    <row r="8528" spans="5:35" x14ac:dyDescent="0.25">
      <c r="E8528" s="16"/>
      <c r="F8528" s="16"/>
      <c r="H8528" s="16"/>
      <c r="AG8528" s="80"/>
      <c r="AH8528" s="80"/>
      <c r="AI8528" s="80"/>
    </row>
    <row r="8529" spans="5:35" x14ac:dyDescent="0.25">
      <c r="E8529" s="16"/>
      <c r="F8529" s="16"/>
      <c r="H8529" s="16"/>
      <c r="AG8529" s="80"/>
      <c r="AH8529" s="80"/>
      <c r="AI8529" s="80"/>
    </row>
    <row r="8530" spans="5:35" x14ac:dyDescent="0.25">
      <c r="E8530" s="16"/>
      <c r="F8530" s="16"/>
      <c r="H8530" s="16"/>
      <c r="AG8530" s="80"/>
      <c r="AH8530" s="80"/>
      <c r="AI8530" s="80"/>
    </row>
    <row r="8531" spans="5:35" x14ac:dyDescent="0.25">
      <c r="E8531" s="16"/>
      <c r="F8531" s="16"/>
      <c r="H8531" s="16"/>
      <c r="AG8531" s="80"/>
      <c r="AH8531" s="80"/>
      <c r="AI8531" s="80"/>
    </row>
    <row r="8532" spans="5:35" x14ac:dyDescent="0.25">
      <c r="E8532" s="16"/>
      <c r="F8532" s="16"/>
      <c r="H8532" s="16"/>
      <c r="AG8532" s="80"/>
      <c r="AH8532" s="80"/>
      <c r="AI8532" s="80"/>
    </row>
    <row r="8533" spans="5:35" x14ac:dyDescent="0.25">
      <c r="E8533" s="16"/>
      <c r="F8533" s="16"/>
      <c r="H8533" s="16"/>
      <c r="AG8533" s="80"/>
      <c r="AH8533" s="80"/>
      <c r="AI8533" s="80"/>
    </row>
    <row r="8534" spans="5:35" x14ac:dyDescent="0.25">
      <c r="E8534" s="16"/>
      <c r="F8534" s="16"/>
      <c r="H8534" s="16"/>
      <c r="AG8534" s="80"/>
      <c r="AH8534" s="80"/>
      <c r="AI8534" s="80"/>
    </row>
    <row r="8535" spans="5:35" x14ac:dyDescent="0.25">
      <c r="E8535" s="16"/>
      <c r="F8535" s="16"/>
      <c r="H8535" s="16"/>
      <c r="AG8535" s="80"/>
      <c r="AH8535" s="80"/>
      <c r="AI8535" s="80"/>
    </row>
    <row r="8536" spans="5:35" x14ac:dyDescent="0.25">
      <c r="E8536" s="16"/>
      <c r="F8536" s="16"/>
      <c r="H8536" s="16"/>
      <c r="AG8536" s="80"/>
      <c r="AH8536" s="80"/>
      <c r="AI8536" s="80"/>
    </row>
    <row r="8537" spans="5:35" x14ac:dyDescent="0.25">
      <c r="E8537" s="16"/>
      <c r="F8537" s="16"/>
      <c r="H8537" s="16"/>
      <c r="AG8537" s="80"/>
      <c r="AH8537" s="80"/>
      <c r="AI8537" s="80"/>
    </row>
    <row r="8538" spans="5:35" x14ac:dyDescent="0.25">
      <c r="E8538" s="16"/>
      <c r="F8538" s="16"/>
      <c r="H8538" s="16"/>
      <c r="AG8538" s="80"/>
      <c r="AH8538" s="80"/>
      <c r="AI8538" s="80"/>
    </row>
    <row r="8539" spans="5:35" x14ac:dyDescent="0.25">
      <c r="E8539" s="16"/>
      <c r="F8539" s="16"/>
      <c r="H8539" s="16"/>
      <c r="AG8539" s="80"/>
      <c r="AH8539" s="80"/>
      <c r="AI8539" s="80"/>
    </row>
    <row r="8540" spans="5:35" x14ac:dyDescent="0.25">
      <c r="E8540" s="16"/>
      <c r="F8540" s="16"/>
      <c r="H8540" s="16"/>
      <c r="AG8540" s="80"/>
      <c r="AH8540" s="80"/>
      <c r="AI8540" s="80"/>
    </row>
    <row r="8541" spans="5:35" x14ac:dyDescent="0.25">
      <c r="E8541" s="16"/>
      <c r="F8541" s="16"/>
      <c r="H8541" s="16"/>
      <c r="AG8541" s="80"/>
      <c r="AH8541" s="80"/>
      <c r="AI8541" s="80"/>
    </row>
    <row r="8542" spans="5:35" x14ac:dyDescent="0.25">
      <c r="E8542" s="16"/>
      <c r="F8542" s="16"/>
      <c r="H8542" s="16"/>
      <c r="AG8542" s="80"/>
      <c r="AH8542" s="80"/>
      <c r="AI8542" s="80"/>
    </row>
    <row r="8543" spans="5:35" x14ac:dyDescent="0.25">
      <c r="E8543" s="16"/>
      <c r="F8543" s="16"/>
      <c r="H8543" s="16"/>
      <c r="AG8543" s="80"/>
      <c r="AH8543" s="80"/>
      <c r="AI8543" s="80"/>
    </row>
    <row r="8544" spans="5:35" x14ac:dyDescent="0.25">
      <c r="E8544" s="16"/>
      <c r="F8544" s="16"/>
      <c r="H8544" s="16"/>
      <c r="AG8544" s="80"/>
      <c r="AH8544" s="80"/>
      <c r="AI8544" s="80"/>
    </row>
    <row r="8545" spans="5:35" x14ac:dyDescent="0.25">
      <c r="E8545" s="16"/>
      <c r="F8545" s="16"/>
      <c r="H8545" s="16"/>
      <c r="AG8545" s="80"/>
      <c r="AH8545" s="80"/>
      <c r="AI8545" s="80"/>
    </row>
    <row r="8546" spans="5:35" x14ac:dyDescent="0.25">
      <c r="E8546" s="16"/>
      <c r="F8546" s="16"/>
      <c r="H8546" s="16"/>
      <c r="AG8546" s="80"/>
      <c r="AH8546" s="80"/>
      <c r="AI8546" s="80"/>
    </row>
    <row r="8547" spans="5:35" x14ac:dyDescent="0.25">
      <c r="E8547" s="16"/>
      <c r="F8547" s="16"/>
      <c r="H8547" s="16"/>
      <c r="AG8547" s="80"/>
      <c r="AH8547" s="80"/>
      <c r="AI8547" s="80"/>
    </row>
    <row r="8548" spans="5:35" x14ac:dyDescent="0.25">
      <c r="E8548" s="16"/>
      <c r="F8548" s="16"/>
      <c r="H8548" s="16"/>
      <c r="AG8548" s="80"/>
      <c r="AH8548" s="80"/>
      <c r="AI8548" s="80"/>
    </row>
    <row r="8549" spans="5:35" x14ac:dyDescent="0.25">
      <c r="E8549" s="16"/>
      <c r="F8549" s="16"/>
      <c r="H8549" s="16"/>
      <c r="AG8549" s="80"/>
      <c r="AH8549" s="80"/>
      <c r="AI8549" s="80"/>
    </row>
    <row r="8550" spans="5:35" x14ac:dyDescent="0.25">
      <c r="E8550" s="16"/>
      <c r="F8550" s="16"/>
      <c r="H8550" s="16"/>
      <c r="AG8550" s="80"/>
      <c r="AH8550" s="80"/>
      <c r="AI8550" s="80"/>
    </row>
    <row r="8551" spans="5:35" x14ac:dyDescent="0.25">
      <c r="E8551" s="16"/>
      <c r="F8551" s="16"/>
      <c r="H8551" s="16"/>
      <c r="AG8551" s="80"/>
      <c r="AH8551" s="80"/>
      <c r="AI8551" s="80"/>
    </row>
    <row r="8552" spans="5:35" x14ac:dyDescent="0.25">
      <c r="E8552" s="16"/>
      <c r="F8552" s="16"/>
      <c r="H8552" s="16"/>
      <c r="AG8552" s="80"/>
      <c r="AH8552" s="80"/>
      <c r="AI8552" s="80"/>
    </row>
    <row r="8553" spans="5:35" x14ac:dyDescent="0.25">
      <c r="E8553" s="16"/>
      <c r="F8553" s="16"/>
      <c r="H8553" s="16"/>
      <c r="AG8553" s="80"/>
      <c r="AH8553" s="80"/>
      <c r="AI8553" s="80"/>
    </row>
    <row r="8554" spans="5:35" x14ac:dyDescent="0.25">
      <c r="E8554" s="16"/>
      <c r="F8554" s="16"/>
      <c r="H8554" s="16"/>
      <c r="AG8554" s="80"/>
      <c r="AH8554" s="80"/>
      <c r="AI8554" s="80"/>
    </row>
    <row r="8555" spans="5:35" x14ac:dyDescent="0.25">
      <c r="E8555" s="16"/>
      <c r="F8555" s="16"/>
      <c r="H8555" s="16"/>
      <c r="AG8555" s="80"/>
      <c r="AH8555" s="80"/>
      <c r="AI8555" s="80"/>
    </row>
    <row r="8556" spans="5:35" x14ac:dyDescent="0.25">
      <c r="E8556" s="16"/>
      <c r="F8556" s="16"/>
      <c r="H8556" s="16"/>
      <c r="AG8556" s="80"/>
      <c r="AH8556" s="80"/>
      <c r="AI8556" s="80"/>
    </row>
    <row r="8557" spans="5:35" x14ac:dyDescent="0.25">
      <c r="E8557" s="16"/>
      <c r="F8557" s="16"/>
      <c r="H8557" s="16"/>
      <c r="AG8557" s="80"/>
      <c r="AH8557" s="80"/>
      <c r="AI8557" s="80"/>
    </row>
    <row r="8558" spans="5:35" x14ac:dyDescent="0.25">
      <c r="E8558" s="16"/>
      <c r="F8558" s="16"/>
      <c r="H8558" s="16"/>
      <c r="AG8558" s="80"/>
      <c r="AH8558" s="80"/>
      <c r="AI8558" s="80"/>
    </row>
    <row r="8559" spans="5:35" x14ac:dyDescent="0.25">
      <c r="E8559" s="16"/>
      <c r="F8559" s="16"/>
      <c r="H8559" s="16"/>
      <c r="AG8559" s="80"/>
      <c r="AH8559" s="80"/>
      <c r="AI8559" s="80"/>
    </row>
    <row r="8560" spans="5:35" x14ac:dyDescent="0.25">
      <c r="E8560" s="16"/>
      <c r="F8560" s="16"/>
      <c r="H8560" s="16"/>
      <c r="AG8560" s="80"/>
      <c r="AH8560" s="80"/>
      <c r="AI8560" s="80"/>
    </row>
    <row r="8561" spans="5:35" x14ac:dyDescent="0.25">
      <c r="E8561" s="16"/>
      <c r="F8561" s="16"/>
      <c r="H8561" s="16"/>
      <c r="AG8561" s="80"/>
      <c r="AH8561" s="80"/>
      <c r="AI8561" s="80"/>
    </row>
    <row r="8562" spans="5:35" x14ac:dyDescent="0.25">
      <c r="E8562" s="16"/>
      <c r="F8562" s="16"/>
      <c r="H8562" s="16"/>
      <c r="AG8562" s="80"/>
      <c r="AH8562" s="80"/>
      <c r="AI8562" s="80"/>
    </row>
    <row r="8563" spans="5:35" x14ac:dyDescent="0.25">
      <c r="E8563" s="16"/>
      <c r="F8563" s="16"/>
      <c r="H8563" s="16"/>
      <c r="AG8563" s="80"/>
      <c r="AH8563" s="80"/>
      <c r="AI8563" s="80"/>
    </row>
    <row r="8564" spans="5:35" x14ac:dyDescent="0.25">
      <c r="E8564" s="16"/>
      <c r="F8564" s="16"/>
      <c r="H8564" s="16"/>
      <c r="AG8564" s="80"/>
      <c r="AH8564" s="80"/>
      <c r="AI8564" s="80"/>
    </row>
    <row r="8565" spans="5:35" x14ac:dyDescent="0.25">
      <c r="E8565" s="16"/>
      <c r="F8565" s="16"/>
      <c r="H8565" s="16"/>
      <c r="AG8565" s="80"/>
      <c r="AH8565" s="80"/>
      <c r="AI8565" s="80"/>
    </row>
    <row r="8566" spans="5:35" x14ac:dyDescent="0.25">
      <c r="E8566" s="16"/>
      <c r="F8566" s="16"/>
      <c r="H8566" s="16"/>
      <c r="AG8566" s="80"/>
      <c r="AH8566" s="80"/>
      <c r="AI8566" s="80"/>
    </row>
    <row r="8567" spans="5:35" x14ac:dyDescent="0.25">
      <c r="E8567" s="16"/>
      <c r="F8567" s="16"/>
      <c r="H8567" s="16"/>
      <c r="AG8567" s="80"/>
      <c r="AH8567" s="80"/>
      <c r="AI8567" s="80"/>
    </row>
    <row r="8568" spans="5:35" x14ac:dyDescent="0.25">
      <c r="E8568" s="16"/>
      <c r="F8568" s="16"/>
      <c r="H8568" s="16"/>
      <c r="AG8568" s="80"/>
      <c r="AH8568" s="80"/>
      <c r="AI8568" s="80"/>
    </row>
    <row r="8569" spans="5:35" x14ac:dyDescent="0.25">
      <c r="E8569" s="16"/>
      <c r="F8569" s="16"/>
      <c r="H8569" s="16"/>
      <c r="AG8569" s="80"/>
      <c r="AH8569" s="80"/>
      <c r="AI8569" s="80"/>
    </row>
    <row r="8570" spans="5:35" x14ac:dyDescent="0.25">
      <c r="E8570" s="16"/>
      <c r="F8570" s="16"/>
      <c r="H8570" s="16"/>
      <c r="AG8570" s="80"/>
      <c r="AH8570" s="80"/>
      <c r="AI8570" s="80"/>
    </row>
    <row r="8571" spans="5:35" x14ac:dyDescent="0.25">
      <c r="E8571" s="16"/>
      <c r="F8571" s="16"/>
      <c r="H8571" s="16"/>
      <c r="AG8571" s="80"/>
      <c r="AH8571" s="80"/>
      <c r="AI8571" s="80"/>
    </row>
    <row r="8572" spans="5:35" x14ac:dyDescent="0.25">
      <c r="E8572" s="16"/>
      <c r="F8572" s="16"/>
      <c r="H8572" s="16"/>
      <c r="AG8572" s="80"/>
      <c r="AH8572" s="80"/>
      <c r="AI8572" s="80"/>
    </row>
    <row r="8573" spans="5:35" x14ac:dyDescent="0.25">
      <c r="E8573" s="16"/>
      <c r="F8573" s="16"/>
      <c r="H8573" s="16"/>
      <c r="AG8573" s="80"/>
      <c r="AH8573" s="80"/>
      <c r="AI8573" s="80"/>
    </row>
    <row r="8574" spans="5:35" x14ac:dyDescent="0.25">
      <c r="E8574" s="16"/>
      <c r="F8574" s="16"/>
      <c r="H8574" s="16"/>
      <c r="AG8574" s="80"/>
      <c r="AH8574" s="80"/>
      <c r="AI8574" s="80"/>
    </row>
    <row r="8575" spans="5:35" x14ac:dyDescent="0.25">
      <c r="E8575" s="16"/>
      <c r="F8575" s="16"/>
      <c r="H8575" s="16"/>
      <c r="AG8575" s="80"/>
      <c r="AH8575" s="80"/>
      <c r="AI8575" s="80"/>
    </row>
    <row r="8576" spans="5:35" x14ac:dyDescent="0.25">
      <c r="E8576" s="16"/>
      <c r="F8576" s="16"/>
      <c r="H8576" s="16"/>
      <c r="AG8576" s="80"/>
      <c r="AH8576" s="80"/>
      <c r="AI8576" s="80"/>
    </row>
    <row r="8577" spans="5:35" x14ac:dyDescent="0.25">
      <c r="E8577" s="16"/>
      <c r="F8577" s="16"/>
      <c r="H8577" s="16"/>
      <c r="AG8577" s="80"/>
      <c r="AH8577" s="80"/>
      <c r="AI8577" s="80"/>
    </row>
    <row r="8578" spans="5:35" x14ac:dyDescent="0.25">
      <c r="E8578" s="16"/>
      <c r="F8578" s="16"/>
      <c r="H8578" s="16"/>
      <c r="AG8578" s="80"/>
      <c r="AH8578" s="80"/>
      <c r="AI8578" s="80"/>
    </row>
    <row r="8579" spans="5:35" x14ac:dyDescent="0.25">
      <c r="E8579" s="16"/>
      <c r="F8579" s="16"/>
      <c r="H8579" s="16"/>
      <c r="AG8579" s="80"/>
      <c r="AH8579" s="80"/>
      <c r="AI8579" s="80"/>
    </row>
    <row r="8580" spans="5:35" x14ac:dyDescent="0.25">
      <c r="E8580" s="16"/>
      <c r="F8580" s="16"/>
      <c r="H8580" s="16"/>
      <c r="AG8580" s="80"/>
      <c r="AH8580" s="80"/>
      <c r="AI8580" s="80"/>
    </row>
    <row r="8581" spans="5:35" x14ac:dyDescent="0.25">
      <c r="E8581" s="16"/>
      <c r="F8581" s="16"/>
      <c r="H8581" s="16"/>
      <c r="AG8581" s="80"/>
      <c r="AH8581" s="80"/>
      <c r="AI8581" s="80"/>
    </row>
    <row r="8582" spans="5:35" x14ac:dyDescent="0.25">
      <c r="E8582" s="16"/>
      <c r="F8582" s="16"/>
      <c r="H8582" s="16"/>
      <c r="AG8582" s="80"/>
      <c r="AH8582" s="80"/>
      <c r="AI8582" s="80"/>
    </row>
    <row r="8583" spans="5:35" x14ac:dyDescent="0.25">
      <c r="E8583" s="16"/>
      <c r="F8583" s="16"/>
      <c r="H8583" s="16"/>
      <c r="AG8583" s="80"/>
      <c r="AH8583" s="80"/>
      <c r="AI8583" s="80"/>
    </row>
    <row r="8584" spans="5:35" x14ac:dyDescent="0.25">
      <c r="E8584" s="16"/>
      <c r="F8584" s="16"/>
      <c r="H8584" s="16"/>
      <c r="AG8584" s="80"/>
      <c r="AH8584" s="80"/>
      <c r="AI8584" s="80"/>
    </row>
    <row r="8585" spans="5:35" x14ac:dyDescent="0.25">
      <c r="E8585" s="16"/>
      <c r="F8585" s="16"/>
      <c r="H8585" s="16"/>
      <c r="AG8585" s="80"/>
      <c r="AH8585" s="80"/>
      <c r="AI8585" s="80"/>
    </row>
    <row r="8586" spans="5:35" x14ac:dyDescent="0.25">
      <c r="E8586" s="16"/>
      <c r="F8586" s="16"/>
      <c r="H8586" s="16"/>
      <c r="AG8586" s="80"/>
      <c r="AH8586" s="80"/>
      <c r="AI8586" s="80"/>
    </row>
    <row r="8587" spans="5:35" x14ac:dyDescent="0.25">
      <c r="E8587" s="16"/>
      <c r="F8587" s="16"/>
      <c r="H8587" s="16"/>
      <c r="AG8587" s="80"/>
      <c r="AH8587" s="80"/>
      <c r="AI8587" s="80"/>
    </row>
    <row r="8588" spans="5:35" x14ac:dyDescent="0.25">
      <c r="E8588" s="16"/>
      <c r="F8588" s="16"/>
      <c r="H8588" s="16"/>
      <c r="AG8588" s="80"/>
      <c r="AH8588" s="80"/>
      <c r="AI8588" s="80"/>
    </row>
    <row r="8589" spans="5:35" x14ac:dyDescent="0.25">
      <c r="E8589" s="16"/>
      <c r="F8589" s="16"/>
      <c r="H8589" s="16"/>
      <c r="AG8589" s="80"/>
      <c r="AH8589" s="80"/>
      <c r="AI8589" s="80"/>
    </row>
    <row r="8590" spans="5:35" x14ac:dyDescent="0.25">
      <c r="E8590" s="16"/>
      <c r="F8590" s="16"/>
      <c r="H8590" s="16"/>
      <c r="AG8590" s="80"/>
      <c r="AH8590" s="80"/>
      <c r="AI8590" s="80"/>
    </row>
    <row r="8591" spans="5:35" x14ac:dyDescent="0.25">
      <c r="E8591" s="16"/>
      <c r="F8591" s="16"/>
      <c r="H8591" s="16"/>
      <c r="AG8591" s="80"/>
      <c r="AH8591" s="80"/>
      <c r="AI8591" s="80"/>
    </row>
    <row r="8592" spans="5:35" x14ac:dyDescent="0.25">
      <c r="E8592" s="16"/>
      <c r="F8592" s="16"/>
      <c r="H8592" s="16"/>
      <c r="AG8592" s="80"/>
      <c r="AH8592" s="80"/>
      <c r="AI8592" s="80"/>
    </row>
    <row r="8593" spans="5:35" x14ac:dyDescent="0.25">
      <c r="E8593" s="16"/>
      <c r="F8593" s="16"/>
      <c r="H8593" s="16"/>
      <c r="AG8593" s="80"/>
      <c r="AH8593" s="80"/>
      <c r="AI8593" s="80"/>
    </row>
    <row r="8594" spans="5:35" x14ac:dyDescent="0.25">
      <c r="E8594" s="16"/>
      <c r="F8594" s="16"/>
      <c r="H8594" s="16"/>
      <c r="AG8594" s="80"/>
      <c r="AH8594" s="80"/>
      <c r="AI8594" s="80"/>
    </row>
    <row r="8595" spans="5:35" x14ac:dyDescent="0.25">
      <c r="E8595" s="16"/>
      <c r="F8595" s="16"/>
      <c r="H8595" s="16"/>
      <c r="AG8595" s="80"/>
      <c r="AH8595" s="80"/>
      <c r="AI8595" s="80"/>
    </row>
    <row r="8596" spans="5:35" x14ac:dyDescent="0.25">
      <c r="E8596" s="16"/>
      <c r="F8596" s="16"/>
      <c r="H8596" s="16"/>
      <c r="AG8596" s="80"/>
      <c r="AH8596" s="80"/>
      <c r="AI8596" s="80"/>
    </row>
    <row r="8597" spans="5:35" x14ac:dyDescent="0.25">
      <c r="E8597" s="16"/>
      <c r="F8597" s="16"/>
      <c r="H8597" s="16"/>
      <c r="AG8597" s="80"/>
      <c r="AH8597" s="80"/>
      <c r="AI8597" s="80"/>
    </row>
    <row r="8598" spans="5:35" x14ac:dyDescent="0.25">
      <c r="E8598" s="16"/>
      <c r="F8598" s="16"/>
      <c r="H8598" s="16"/>
      <c r="AG8598" s="80"/>
      <c r="AH8598" s="80"/>
      <c r="AI8598" s="80"/>
    </row>
    <row r="8599" spans="5:35" x14ac:dyDescent="0.25">
      <c r="E8599" s="16"/>
      <c r="F8599" s="16"/>
      <c r="H8599" s="16"/>
      <c r="AG8599" s="80"/>
      <c r="AH8599" s="80"/>
      <c r="AI8599" s="80"/>
    </row>
    <row r="8600" spans="5:35" x14ac:dyDescent="0.25">
      <c r="E8600" s="16"/>
      <c r="F8600" s="16"/>
      <c r="H8600" s="16"/>
      <c r="AG8600" s="80"/>
      <c r="AH8600" s="80"/>
      <c r="AI8600" s="80"/>
    </row>
    <row r="8601" spans="5:35" x14ac:dyDescent="0.25">
      <c r="E8601" s="16"/>
      <c r="F8601" s="16"/>
      <c r="H8601" s="16"/>
      <c r="AG8601" s="80"/>
      <c r="AH8601" s="80"/>
      <c r="AI8601" s="80"/>
    </row>
    <row r="8602" spans="5:35" x14ac:dyDescent="0.25">
      <c r="E8602" s="16"/>
      <c r="F8602" s="16"/>
      <c r="H8602" s="16"/>
      <c r="AG8602" s="80"/>
      <c r="AH8602" s="80"/>
      <c r="AI8602" s="80"/>
    </row>
    <row r="8603" spans="5:35" x14ac:dyDescent="0.25">
      <c r="E8603" s="16"/>
      <c r="F8603" s="16"/>
      <c r="H8603" s="16"/>
      <c r="AG8603" s="80"/>
      <c r="AH8603" s="80"/>
      <c r="AI8603" s="80"/>
    </row>
    <row r="8604" spans="5:35" x14ac:dyDescent="0.25">
      <c r="E8604" s="16"/>
      <c r="F8604" s="16"/>
      <c r="H8604" s="16"/>
      <c r="AG8604" s="80"/>
      <c r="AH8604" s="80"/>
      <c r="AI8604" s="80"/>
    </row>
    <row r="8605" spans="5:35" x14ac:dyDescent="0.25">
      <c r="E8605" s="16"/>
      <c r="F8605" s="16"/>
      <c r="H8605" s="16"/>
      <c r="AG8605" s="80"/>
      <c r="AH8605" s="80"/>
      <c r="AI8605" s="80"/>
    </row>
    <row r="8606" spans="5:35" x14ac:dyDescent="0.25">
      <c r="E8606" s="16"/>
      <c r="F8606" s="16"/>
      <c r="H8606" s="16"/>
      <c r="AG8606" s="80"/>
      <c r="AH8606" s="80"/>
      <c r="AI8606" s="80"/>
    </row>
    <row r="8607" spans="5:35" x14ac:dyDescent="0.25">
      <c r="E8607" s="16"/>
      <c r="F8607" s="16"/>
      <c r="H8607" s="16"/>
      <c r="AG8607" s="80"/>
      <c r="AH8607" s="80"/>
      <c r="AI8607" s="80"/>
    </row>
    <row r="8608" spans="5:35" x14ac:dyDescent="0.25">
      <c r="E8608" s="16"/>
      <c r="F8608" s="16"/>
      <c r="H8608" s="16"/>
      <c r="AG8608" s="80"/>
      <c r="AH8608" s="80"/>
      <c r="AI8608" s="80"/>
    </row>
    <row r="8609" spans="5:35" x14ac:dyDescent="0.25">
      <c r="E8609" s="16"/>
      <c r="F8609" s="16"/>
      <c r="H8609" s="16"/>
      <c r="AG8609" s="80"/>
      <c r="AH8609" s="80"/>
      <c r="AI8609" s="80"/>
    </row>
    <row r="8610" spans="5:35" x14ac:dyDescent="0.25">
      <c r="E8610" s="16"/>
      <c r="F8610" s="16"/>
      <c r="H8610" s="16"/>
      <c r="AG8610" s="80"/>
      <c r="AH8610" s="80"/>
      <c r="AI8610" s="80"/>
    </row>
    <row r="8611" spans="5:35" x14ac:dyDescent="0.25">
      <c r="E8611" s="16"/>
      <c r="F8611" s="16"/>
      <c r="H8611" s="16"/>
      <c r="AG8611" s="80"/>
      <c r="AH8611" s="80"/>
      <c r="AI8611" s="80"/>
    </row>
    <row r="8612" spans="5:35" x14ac:dyDescent="0.25">
      <c r="E8612" s="16"/>
      <c r="F8612" s="16"/>
      <c r="H8612" s="16"/>
      <c r="AG8612" s="80"/>
      <c r="AH8612" s="80"/>
      <c r="AI8612" s="80"/>
    </row>
    <row r="8613" spans="5:35" x14ac:dyDescent="0.25">
      <c r="E8613" s="16"/>
      <c r="F8613" s="16"/>
      <c r="H8613" s="16"/>
      <c r="AG8613" s="80"/>
      <c r="AH8613" s="80"/>
      <c r="AI8613" s="80"/>
    </row>
    <row r="8614" spans="5:35" x14ac:dyDescent="0.25">
      <c r="E8614" s="16"/>
      <c r="F8614" s="16"/>
      <c r="H8614" s="16"/>
      <c r="AG8614" s="80"/>
      <c r="AH8614" s="80"/>
      <c r="AI8614" s="80"/>
    </row>
    <row r="8615" spans="5:35" x14ac:dyDescent="0.25">
      <c r="E8615" s="16"/>
      <c r="F8615" s="16"/>
      <c r="H8615" s="16"/>
      <c r="AG8615" s="80"/>
      <c r="AH8615" s="80"/>
      <c r="AI8615" s="80"/>
    </row>
    <row r="8616" spans="5:35" x14ac:dyDescent="0.25">
      <c r="E8616" s="16"/>
      <c r="F8616" s="16"/>
      <c r="H8616" s="16"/>
      <c r="AG8616" s="80"/>
      <c r="AH8616" s="80"/>
      <c r="AI8616" s="80"/>
    </row>
    <row r="8617" spans="5:35" x14ac:dyDescent="0.25">
      <c r="E8617" s="16"/>
      <c r="F8617" s="16"/>
      <c r="H8617" s="16"/>
      <c r="AG8617" s="80"/>
      <c r="AH8617" s="80"/>
      <c r="AI8617" s="80"/>
    </row>
    <row r="8618" spans="5:35" x14ac:dyDescent="0.25">
      <c r="E8618" s="16"/>
      <c r="F8618" s="16"/>
      <c r="H8618" s="16"/>
      <c r="AG8618" s="80"/>
      <c r="AH8618" s="80"/>
      <c r="AI8618" s="80"/>
    </row>
    <row r="8619" spans="5:35" x14ac:dyDescent="0.25">
      <c r="E8619" s="16"/>
      <c r="F8619" s="16"/>
      <c r="H8619" s="16"/>
      <c r="AG8619" s="80"/>
      <c r="AH8619" s="80"/>
      <c r="AI8619" s="80"/>
    </row>
    <row r="8620" spans="5:35" x14ac:dyDescent="0.25">
      <c r="E8620" s="16"/>
      <c r="F8620" s="16"/>
      <c r="H8620" s="16"/>
      <c r="AG8620" s="80"/>
      <c r="AH8620" s="80"/>
      <c r="AI8620" s="80"/>
    </row>
    <row r="8621" spans="5:35" x14ac:dyDescent="0.25">
      <c r="E8621" s="16"/>
      <c r="F8621" s="16"/>
      <c r="H8621" s="16"/>
      <c r="AG8621" s="80"/>
      <c r="AH8621" s="80"/>
      <c r="AI8621" s="80"/>
    </row>
    <row r="8622" spans="5:35" x14ac:dyDescent="0.25">
      <c r="E8622" s="16"/>
      <c r="F8622" s="16"/>
      <c r="H8622" s="16"/>
      <c r="AG8622" s="80"/>
      <c r="AH8622" s="80"/>
      <c r="AI8622" s="80"/>
    </row>
    <row r="8623" spans="5:35" x14ac:dyDescent="0.25">
      <c r="E8623" s="16"/>
      <c r="F8623" s="16"/>
      <c r="H8623" s="16"/>
      <c r="AG8623" s="80"/>
      <c r="AH8623" s="80"/>
      <c r="AI8623" s="80"/>
    </row>
    <row r="8624" spans="5:35" x14ac:dyDescent="0.25">
      <c r="E8624" s="16"/>
      <c r="F8624" s="16"/>
      <c r="H8624" s="16"/>
      <c r="AG8624" s="80"/>
      <c r="AH8624" s="80"/>
      <c r="AI8624" s="80"/>
    </row>
    <row r="8625" spans="5:35" x14ac:dyDescent="0.25">
      <c r="E8625" s="16"/>
      <c r="F8625" s="16"/>
      <c r="H8625" s="16"/>
      <c r="AG8625" s="80"/>
      <c r="AH8625" s="80"/>
      <c r="AI8625" s="80"/>
    </row>
    <row r="8626" spans="5:35" x14ac:dyDescent="0.25">
      <c r="E8626" s="16"/>
      <c r="F8626" s="16"/>
      <c r="H8626" s="16"/>
      <c r="AG8626" s="80"/>
      <c r="AH8626" s="80"/>
      <c r="AI8626" s="80"/>
    </row>
    <row r="8627" spans="5:35" x14ac:dyDescent="0.25">
      <c r="E8627" s="16"/>
      <c r="F8627" s="16"/>
      <c r="H8627" s="16"/>
      <c r="AG8627" s="80"/>
      <c r="AH8627" s="80"/>
      <c r="AI8627" s="80"/>
    </row>
    <row r="8628" spans="5:35" x14ac:dyDescent="0.25">
      <c r="E8628" s="16"/>
      <c r="F8628" s="16"/>
      <c r="H8628" s="16"/>
      <c r="AG8628" s="80"/>
      <c r="AH8628" s="80"/>
      <c r="AI8628" s="80"/>
    </row>
    <row r="8629" spans="5:35" x14ac:dyDescent="0.25">
      <c r="E8629" s="16"/>
      <c r="F8629" s="16"/>
      <c r="H8629" s="16"/>
      <c r="AG8629" s="80"/>
      <c r="AH8629" s="80"/>
      <c r="AI8629" s="80"/>
    </row>
    <row r="8630" spans="5:35" x14ac:dyDescent="0.25">
      <c r="E8630" s="16"/>
      <c r="F8630" s="16"/>
      <c r="H8630" s="16"/>
      <c r="AG8630" s="80"/>
      <c r="AH8630" s="80"/>
      <c r="AI8630" s="80"/>
    </row>
    <row r="8631" spans="5:35" x14ac:dyDescent="0.25">
      <c r="E8631" s="16"/>
      <c r="F8631" s="16"/>
      <c r="H8631" s="16"/>
      <c r="AG8631" s="80"/>
      <c r="AH8631" s="80"/>
      <c r="AI8631" s="80"/>
    </row>
    <row r="8632" spans="5:35" x14ac:dyDescent="0.25">
      <c r="E8632" s="16"/>
      <c r="F8632" s="16"/>
      <c r="H8632" s="16"/>
      <c r="AG8632" s="80"/>
      <c r="AH8632" s="80"/>
      <c r="AI8632" s="80"/>
    </row>
    <row r="8633" spans="5:35" x14ac:dyDescent="0.25">
      <c r="E8633" s="16"/>
      <c r="F8633" s="16"/>
      <c r="H8633" s="16"/>
      <c r="AG8633" s="80"/>
      <c r="AH8633" s="80"/>
      <c r="AI8633" s="80"/>
    </row>
    <row r="8634" spans="5:35" x14ac:dyDescent="0.25">
      <c r="E8634" s="16"/>
      <c r="F8634" s="16"/>
      <c r="H8634" s="16"/>
      <c r="AG8634" s="80"/>
      <c r="AH8634" s="80"/>
      <c r="AI8634" s="80"/>
    </row>
    <row r="8635" spans="5:35" x14ac:dyDescent="0.25">
      <c r="E8635" s="16"/>
      <c r="F8635" s="16"/>
      <c r="H8635" s="16"/>
      <c r="AG8635" s="80"/>
      <c r="AH8635" s="80"/>
      <c r="AI8635" s="80"/>
    </row>
    <row r="8636" spans="5:35" x14ac:dyDescent="0.25">
      <c r="E8636" s="16"/>
      <c r="F8636" s="16"/>
      <c r="H8636" s="16"/>
      <c r="AG8636" s="80"/>
      <c r="AH8636" s="80"/>
      <c r="AI8636" s="80"/>
    </row>
    <row r="8637" spans="5:35" x14ac:dyDescent="0.25">
      <c r="E8637" s="16"/>
      <c r="F8637" s="16"/>
      <c r="H8637" s="16"/>
      <c r="AG8637" s="80"/>
      <c r="AH8637" s="80"/>
      <c r="AI8637" s="80"/>
    </row>
    <row r="8638" spans="5:35" x14ac:dyDescent="0.25">
      <c r="E8638" s="16"/>
      <c r="F8638" s="16"/>
      <c r="H8638" s="16"/>
      <c r="AG8638" s="80"/>
      <c r="AH8638" s="80"/>
      <c r="AI8638" s="80"/>
    </row>
    <row r="8639" spans="5:35" x14ac:dyDescent="0.25">
      <c r="E8639" s="16"/>
      <c r="F8639" s="16"/>
      <c r="H8639" s="16"/>
      <c r="AG8639" s="80"/>
      <c r="AH8639" s="80"/>
      <c r="AI8639" s="80"/>
    </row>
    <row r="8640" spans="5:35" x14ac:dyDescent="0.25">
      <c r="E8640" s="16"/>
      <c r="F8640" s="16"/>
      <c r="H8640" s="16"/>
      <c r="AG8640" s="80"/>
      <c r="AH8640" s="80"/>
      <c r="AI8640" s="80"/>
    </row>
    <row r="8641" spans="5:35" x14ac:dyDescent="0.25">
      <c r="E8641" s="16"/>
      <c r="F8641" s="16"/>
      <c r="H8641" s="16"/>
      <c r="AG8641" s="80"/>
      <c r="AH8641" s="80"/>
      <c r="AI8641" s="80"/>
    </row>
    <row r="8642" spans="5:35" x14ac:dyDescent="0.25">
      <c r="E8642" s="16"/>
      <c r="F8642" s="16"/>
      <c r="H8642" s="16"/>
      <c r="AG8642" s="80"/>
      <c r="AH8642" s="80"/>
      <c r="AI8642" s="80"/>
    </row>
    <row r="8643" spans="5:35" x14ac:dyDescent="0.25">
      <c r="E8643" s="16"/>
      <c r="F8643" s="16"/>
      <c r="H8643" s="16"/>
      <c r="AG8643" s="80"/>
      <c r="AH8643" s="80"/>
      <c r="AI8643" s="80"/>
    </row>
    <row r="8644" spans="5:35" x14ac:dyDescent="0.25">
      <c r="E8644" s="16"/>
      <c r="F8644" s="16"/>
      <c r="H8644" s="16"/>
      <c r="AG8644" s="80"/>
      <c r="AH8644" s="80"/>
      <c r="AI8644" s="80"/>
    </row>
    <row r="8645" spans="5:35" x14ac:dyDescent="0.25">
      <c r="E8645" s="16"/>
      <c r="F8645" s="16"/>
      <c r="H8645" s="16"/>
      <c r="AG8645" s="80"/>
      <c r="AH8645" s="80"/>
      <c r="AI8645" s="80"/>
    </row>
    <row r="8646" spans="5:35" x14ac:dyDescent="0.25">
      <c r="E8646" s="16"/>
      <c r="F8646" s="16"/>
      <c r="H8646" s="16"/>
      <c r="AG8646" s="80"/>
      <c r="AH8646" s="80"/>
      <c r="AI8646" s="80"/>
    </row>
    <row r="8647" spans="5:35" x14ac:dyDescent="0.25">
      <c r="E8647" s="16"/>
      <c r="F8647" s="16"/>
      <c r="H8647" s="16"/>
      <c r="AG8647" s="80"/>
      <c r="AH8647" s="80"/>
      <c r="AI8647" s="80"/>
    </row>
    <row r="8648" spans="5:35" x14ac:dyDescent="0.25">
      <c r="E8648" s="16"/>
      <c r="F8648" s="16"/>
      <c r="H8648" s="16"/>
      <c r="AG8648" s="80"/>
      <c r="AH8648" s="80"/>
      <c r="AI8648" s="80"/>
    </row>
    <row r="8649" spans="5:35" x14ac:dyDescent="0.25">
      <c r="E8649" s="16"/>
      <c r="F8649" s="16"/>
      <c r="H8649" s="16"/>
      <c r="AG8649" s="80"/>
      <c r="AH8649" s="80"/>
      <c r="AI8649" s="80"/>
    </row>
    <row r="8650" spans="5:35" x14ac:dyDescent="0.25">
      <c r="E8650" s="16"/>
      <c r="F8650" s="16"/>
      <c r="H8650" s="16"/>
      <c r="AG8650" s="80"/>
      <c r="AH8650" s="80"/>
      <c r="AI8650" s="80"/>
    </row>
    <row r="8651" spans="5:35" x14ac:dyDescent="0.25">
      <c r="E8651" s="16"/>
      <c r="F8651" s="16"/>
      <c r="H8651" s="16"/>
      <c r="AG8651" s="80"/>
      <c r="AH8651" s="80"/>
      <c r="AI8651" s="80"/>
    </row>
    <row r="8652" spans="5:35" x14ac:dyDescent="0.25">
      <c r="E8652" s="16"/>
      <c r="F8652" s="16"/>
      <c r="H8652" s="16"/>
      <c r="AG8652" s="80"/>
      <c r="AH8652" s="80"/>
      <c r="AI8652" s="80"/>
    </row>
    <row r="8653" spans="5:35" x14ac:dyDescent="0.25">
      <c r="E8653" s="16"/>
      <c r="F8653" s="16"/>
      <c r="H8653" s="16"/>
      <c r="AG8653" s="80"/>
      <c r="AH8653" s="80"/>
      <c r="AI8653" s="80"/>
    </row>
    <row r="8654" spans="5:35" x14ac:dyDescent="0.25">
      <c r="E8654" s="16"/>
      <c r="F8654" s="16"/>
      <c r="H8654" s="16"/>
      <c r="AG8654" s="80"/>
      <c r="AH8654" s="80"/>
      <c r="AI8654" s="80"/>
    </row>
    <row r="8655" spans="5:35" x14ac:dyDescent="0.25">
      <c r="E8655" s="16"/>
      <c r="F8655" s="16"/>
      <c r="H8655" s="16"/>
      <c r="AG8655" s="80"/>
      <c r="AH8655" s="80"/>
      <c r="AI8655" s="80"/>
    </row>
    <row r="8656" spans="5:35" x14ac:dyDescent="0.25">
      <c r="E8656" s="16"/>
      <c r="F8656" s="16"/>
      <c r="H8656" s="16"/>
      <c r="AG8656" s="80"/>
      <c r="AH8656" s="80"/>
      <c r="AI8656" s="80"/>
    </row>
    <row r="8657" spans="5:35" x14ac:dyDescent="0.25">
      <c r="E8657" s="16"/>
      <c r="F8657" s="16"/>
      <c r="H8657" s="16"/>
      <c r="AG8657" s="80"/>
      <c r="AH8657" s="80"/>
      <c r="AI8657" s="80"/>
    </row>
    <row r="8658" spans="5:35" x14ac:dyDescent="0.25">
      <c r="E8658" s="16"/>
      <c r="F8658" s="16"/>
      <c r="H8658" s="16"/>
      <c r="AG8658" s="80"/>
      <c r="AH8658" s="80"/>
      <c r="AI8658" s="80"/>
    </row>
    <row r="8659" spans="5:35" x14ac:dyDescent="0.25">
      <c r="E8659" s="16"/>
      <c r="F8659" s="16"/>
      <c r="H8659" s="16"/>
      <c r="AG8659" s="80"/>
      <c r="AH8659" s="80"/>
      <c r="AI8659" s="80"/>
    </row>
    <row r="8660" spans="5:35" x14ac:dyDescent="0.25">
      <c r="E8660" s="16"/>
      <c r="F8660" s="16"/>
      <c r="H8660" s="16"/>
      <c r="AG8660" s="80"/>
      <c r="AH8660" s="80"/>
      <c r="AI8660" s="80"/>
    </row>
    <row r="8661" spans="5:35" x14ac:dyDescent="0.25">
      <c r="E8661" s="16"/>
      <c r="F8661" s="16"/>
      <c r="H8661" s="16"/>
      <c r="AG8661" s="80"/>
      <c r="AH8661" s="80"/>
      <c r="AI8661" s="80"/>
    </row>
    <row r="8662" spans="5:35" x14ac:dyDescent="0.25">
      <c r="E8662" s="16"/>
      <c r="F8662" s="16"/>
      <c r="H8662" s="16"/>
      <c r="AG8662" s="80"/>
      <c r="AH8662" s="80"/>
      <c r="AI8662" s="80"/>
    </row>
    <row r="8663" spans="5:35" x14ac:dyDescent="0.25">
      <c r="E8663" s="16"/>
      <c r="F8663" s="16"/>
      <c r="H8663" s="16"/>
      <c r="AG8663" s="80"/>
      <c r="AH8663" s="80"/>
      <c r="AI8663" s="80"/>
    </row>
    <row r="8664" spans="5:35" x14ac:dyDescent="0.25">
      <c r="E8664" s="16"/>
      <c r="F8664" s="16"/>
      <c r="H8664" s="16"/>
      <c r="AG8664" s="80"/>
      <c r="AH8664" s="80"/>
      <c r="AI8664" s="80"/>
    </row>
    <row r="8665" spans="5:35" x14ac:dyDescent="0.25">
      <c r="E8665" s="16"/>
      <c r="F8665" s="16"/>
      <c r="H8665" s="16"/>
      <c r="AG8665" s="80"/>
      <c r="AH8665" s="80"/>
      <c r="AI8665" s="80"/>
    </row>
    <row r="8666" spans="5:35" x14ac:dyDescent="0.25">
      <c r="E8666" s="16"/>
      <c r="F8666" s="16"/>
      <c r="H8666" s="16"/>
      <c r="AG8666" s="80"/>
      <c r="AH8666" s="80"/>
      <c r="AI8666" s="80"/>
    </row>
    <row r="8667" spans="5:35" x14ac:dyDescent="0.25">
      <c r="E8667" s="16"/>
      <c r="F8667" s="16"/>
      <c r="H8667" s="16"/>
      <c r="AG8667" s="80"/>
      <c r="AH8667" s="80"/>
      <c r="AI8667" s="80"/>
    </row>
    <row r="8668" spans="5:35" x14ac:dyDescent="0.25">
      <c r="E8668" s="16"/>
      <c r="F8668" s="16"/>
      <c r="H8668" s="16"/>
      <c r="AG8668" s="80"/>
      <c r="AH8668" s="80"/>
      <c r="AI8668" s="80"/>
    </row>
    <row r="8669" spans="5:35" x14ac:dyDescent="0.25">
      <c r="E8669" s="16"/>
      <c r="F8669" s="16"/>
      <c r="H8669" s="16"/>
      <c r="AG8669" s="80"/>
      <c r="AH8669" s="80"/>
      <c r="AI8669" s="80"/>
    </row>
    <row r="8670" spans="5:35" x14ac:dyDescent="0.25">
      <c r="E8670" s="16"/>
      <c r="F8670" s="16"/>
      <c r="H8670" s="16"/>
      <c r="AG8670" s="80"/>
      <c r="AH8670" s="80"/>
      <c r="AI8670" s="80"/>
    </row>
    <row r="8671" spans="5:35" x14ac:dyDescent="0.25">
      <c r="E8671" s="16"/>
      <c r="F8671" s="16"/>
      <c r="H8671" s="16"/>
      <c r="AG8671" s="80"/>
      <c r="AH8671" s="80"/>
      <c r="AI8671" s="80"/>
    </row>
    <row r="8672" spans="5:35" x14ac:dyDescent="0.25">
      <c r="E8672" s="16"/>
      <c r="F8672" s="16"/>
      <c r="H8672" s="16"/>
      <c r="AG8672" s="80"/>
      <c r="AH8672" s="80"/>
      <c r="AI8672" s="80"/>
    </row>
    <row r="8673" spans="5:35" x14ac:dyDescent="0.25">
      <c r="E8673" s="16"/>
      <c r="F8673" s="16"/>
      <c r="H8673" s="16"/>
      <c r="AG8673" s="80"/>
      <c r="AH8673" s="80"/>
      <c r="AI8673" s="80"/>
    </row>
    <row r="8674" spans="5:35" x14ac:dyDescent="0.25">
      <c r="E8674" s="16"/>
      <c r="F8674" s="16"/>
      <c r="H8674" s="16"/>
      <c r="AG8674" s="80"/>
      <c r="AH8674" s="80"/>
      <c r="AI8674" s="80"/>
    </row>
    <row r="8675" spans="5:35" x14ac:dyDescent="0.25">
      <c r="E8675" s="16"/>
      <c r="F8675" s="16"/>
      <c r="H8675" s="16"/>
      <c r="AG8675" s="80"/>
      <c r="AH8675" s="80"/>
      <c r="AI8675" s="80"/>
    </row>
    <row r="8676" spans="5:35" x14ac:dyDescent="0.25">
      <c r="E8676" s="16"/>
      <c r="F8676" s="16"/>
      <c r="H8676" s="16"/>
      <c r="AG8676" s="80"/>
      <c r="AH8676" s="80"/>
      <c r="AI8676" s="80"/>
    </row>
    <row r="8677" spans="5:35" x14ac:dyDescent="0.25">
      <c r="E8677" s="16"/>
      <c r="F8677" s="16"/>
      <c r="H8677" s="16"/>
      <c r="AG8677" s="80"/>
      <c r="AH8677" s="80"/>
      <c r="AI8677" s="80"/>
    </row>
    <row r="8678" spans="5:35" x14ac:dyDescent="0.25">
      <c r="E8678" s="16"/>
      <c r="F8678" s="16"/>
      <c r="H8678" s="16"/>
      <c r="AG8678" s="80"/>
      <c r="AH8678" s="80"/>
      <c r="AI8678" s="80"/>
    </row>
    <row r="8679" spans="5:35" x14ac:dyDescent="0.25">
      <c r="E8679" s="16"/>
      <c r="F8679" s="16"/>
      <c r="H8679" s="16"/>
      <c r="AG8679" s="80"/>
      <c r="AH8679" s="80"/>
      <c r="AI8679" s="80"/>
    </row>
    <row r="8680" spans="5:35" x14ac:dyDescent="0.25">
      <c r="E8680" s="16"/>
      <c r="F8680" s="16"/>
      <c r="H8680" s="16"/>
      <c r="AG8680" s="80"/>
      <c r="AH8680" s="80"/>
      <c r="AI8680" s="80"/>
    </row>
    <row r="8681" spans="5:35" x14ac:dyDescent="0.25">
      <c r="E8681" s="16"/>
      <c r="F8681" s="16"/>
      <c r="H8681" s="16"/>
      <c r="AG8681" s="80"/>
      <c r="AH8681" s="80"/>
      <c r="AI8681" s="80"/>
    </row>
    <row r="8682" spans="5:35" x14ac:dyDescent="0.25">
      <c r="E8682" s="16"/>
      <c r="F8682" s="16"/>
      <c r="H8682" s="16"/>
      <c r="AG8682" s="80"/>
      <c r="AH8682" s="80"/>
      <c r="AI8682" s="80"/>
    </row>
    <row r="8683" spans="5:35" x14ac:dyDescent="0.25">
      <c r="E8683" s="16"/>
      <c r="F8683" s="16"/>
      <c r="H8683" s="16"/>
      <c r="AG8683" s="80"/>
      <c r="AH8683" s="80"/>
      <c r="AI8683" s="80"/>
    </row>
    <row r="8684" spans="5:35" x14ac:dyDescent="0.25">
      <c r="E8684" s="16"/>
      <c r="F8684" s="16"/>
      <c r="H8684" s="16"/>
      <c r="AG8684" s="80"/>
      <c r="AH8684" s="80"/>
      <c r="AI8684" s="80"/>
    </row>
    <row r="8685" spans="5:35" x14ac:dyDescent="0.25">
      <c r="E8685" s="16"/>
      <c r="F8685" s="16"/>
      <c r="H8685" s="16"/>
      <c r="AG8685" s="80"/>
      <c r="AH8685" s="80"/>
      <c r="AI8685" s="80"/>
    </row>
    <row r="8686" spans="5:35" x14ac:dyDescent="0.25">
      <c r="E8686" s="16"/>
      <c r="F8686" s="16"/>
      <c r="H8686" s="16"/>
      <c r="AG8686" s="80"/>
      <c r="AH8686" s="80"/>
      <c r="AI8686" s="80"/>
    </row>
    <row r="8687" spans="5:35" x14ac:dyDescent="0.25">
      <c r="E8687" s="16"/>
      <c r="F8687" s="16"/>
      <c r="H8687" s="16"/>
      <c r="AG8687" s="80"/>
      <c r="AH8687" s="80"/>
      <c r="AI8687" s="80"/>
    </row>
    <row r="8688" spans="5:35" x14ac:dyDescent="0.25">
      <c r="E8688" s="16"/>
      <c r="F8688" s="16"/>
      <c r="H8688" s="16"/>
      <c r="AG8688" s="80"/>
      <c r="AH8688" s="80"/>
      <c r="AI8688" s="80"/>
    </row>
    <row r="8689" spans="5:35" x14ac:dyDescent="0.25">
      <c r="E8689" s="16"/>
      <c r="F8689" s="16"/>
      <c r="H8689" s="16"/>
      <c r="AG8689" s="80"/>
      <c r="AH8689" s="80"/>
      <c r="AI8689" s="80"/>
    </row>
    <row r="8690" spans="5:35" x14ac:dyDescent="0.25">
      <c r="E8690" s="16"/>
      <c r="F8690" s="16"/>
      <c r="H8690" s="16"/>
      <c r="AG8690" s="80"/>
      <c r="AH8690" s="80"/>
      <c r="AI8690" s="80"/>
    </row>
    <row r="8691" spans="5:35" x14ac:dyDescent="0.25">
      <c r="E8691" s="16"/>
      <c r="F8691" s="16"/>
      <c r="H8691" s="16"/>
      <c r="AG8691" s="80"/>
      <c r="AH8691" s="80"/>
      <c r="AI8691" s="80"/>
    </row>
    <row r="8692" spans="5:35" x14ac:dyDescent="0.25">
      <c r="E8692" s="16"/>
      <c r="F8692" s="16"/>
      <c r="H8692" s="16"/>
      <c r="AG8692" s="80"/>
      <c r="AH8692" s="80"/>
      <c r="AI8692" s="80"/>
    </row>
    <row r="8693" spans="5:35" x14ac:dyDescent="0.25">
      <c r="E8693" s="16"/>
      <c r="F8693" s="16"/>
      <c r="H8693" s="16"/>
      <c r="AG8693" s="80"/>
      <c r="AH8693" s="80"/>
      <c r="AI8693" s="80"/>
    </row>
    <row r="8694" spans="5:35" x14ac:dyDescent="0.25">
      <c r="E8694" s="16"/>
      <c r="F8694" s="16"/>
      <c r="H8694" s="16"/>
      <c r="AG8694" s="80"/>
      <c r="AH8694" s="80"/>
      <c r="AI8694" s="80"/>
    </row>
    <row r="8695" spans="5:35" x14ac:dyDescent="0.25">
      <c r="E8695" s="16"/>
      <c r="F8695" s="16"/>
      <c r="H8695" s="16"/>
      <c r="AG8695" s="80"/>
      <c r="AH8695" s="80"/>
      <c r="AI8695" s="80"/>
    </row>
    <row r="8696" spans="5:35" x14ac:dyDescent="0.25">
      <c r="E8696" s="16"/>
      <c r="F8696" s="16"/>
      <c r="H8696" s="16"/>
      <c r="AG8696" s="80"/>
      <c r="AH8696" s="80"/>
      <c r="AI8696" s="80"/>
    </row>
    <row r="8697" spans="5:35" x14ac:dyDescent="0.25">
      <c r="E8697" s="16"/>
      <c r="F8697" s="16"/>
      <c r="H8697" s="16"/>
      <c r="AG8697" s="80"/>
      <c r="AH8697" s="80"/>
      <c r="AI8697" s="80"/>
    </row>
    <row r="8698" spans="5:35" x14ac:dyDescent="0.25">
      <c r="E8698" s="16"/>
      <c r="F8698" s="16"/>
      <c r="H8698" s="16"/>
      <c r="AG8698" s="80"/>
      <c r="AH8698" s="80"/>
      <c r="AI8698" s="80"/>
    </row>
    <row r="8699" spans="5:35" x14ac:dyDescent="0.25">
      <c r="E8699" s="16"/>
      <c r="F8699" s="16"/>
      <c r="H8699" s="16"/>
      <c r="AG8699" s="80"/>
      <c r="AH8699" s="80"/>
      <c r="AI8699" s="80"/>
    </row>
    <row r="8700" spans="5:35" x14ac:dyDescent="0.25">
      <c r="E8700" s="16"/>
      <c r="F8700" s="16"/>
      <c r="H8700" s="16"/>
      <c r="AG8700" s="80"/>
      <c r="AH8700" s="80"/>
      <c r="AI8700" s="80"/>
    </row>
    <row r="8701" spans="5:35" x14ac:dyDescent="0.25">
      <c r="E8701" s="16"/>
      <c r="F8701" s="16"/>
      <c r="H8701" s="16"/>
      <c r="AG8701" s="80"/>
      <c r="AH8701" s="80"/>
      <c r="AI8701" s="80"/>
    </row>
    <row r="8702" spans="5:35" x14ac:dyDescent="0.25">
      <c r="E8702" s="16"/>
      <c r="F8702" s="16"/>
      <c r="H8702" s="16"/>
      <c r="AG8702" s="80"/>
      <c r="AH8702" s="80"/>
      <c r="AI8702" s="80"/>
    </row>
    <row r="8703" spans="5:35" x14ac:dyDescent="0.25">
      <c r="E8703" s="16"/>
      <c r="F8703" s="16"/>
      <c r="H8703" s="16"/>
      <c r="AG8703" s="80"/>
      <c r="AH8703" s="80"/>
      <c r="AI8703" s="80"/>
    </row>
    <row r="8704" spans="5:35" x14ac:dyDescent="0.25">
      <c r="E8704" s="16"/>
      <c r="F8704" s="16"/>
      <c r="H8704" s="16"/>
      <c r="AG8704" s="80"/>
      <c r="AH8704" s="80"/>
      <c r="AI8704" s="80"/>
    </row>
    <row r="8705" spans="5:35" x14ac:dyDescent="0.25">
      <c r="E8705" s="16"/>
      <c r="F8705" s="16"/>
      <c r="H8705" s="16"/>
      <c r="AG8705" s="80"/>
      <c r="AH8705" s="80"/>
      <c r="AI8705" s="80"/>
    </row>
    <row r="8706" spans="5:35" x14ac:dyDescent="0.25">
      <c r="E8706" s="16"/>
      <c r="F8706" s="16"/>
      <c r="H8706" s="16"/>
      <c r="AG8706" s="80"/>
      <c r="AH8706" s="80"/>
      <c r="AI8706" s="80"/>
    </row>
    <row r="8707" spans="5:35" x14ac:dyDescent="0.25">
      <c r="E8707" s="16"/>
      <c r="F8707" s="16"/>
      <c r="H8707" s="16"/>
      <c r="AG8707" s="80"/>
      <c r="AH8707" s="80"/>
      <c r="AI8707" s="80"/>
    </row>
    <row r="8708" spans="5:35" x14ac:dyDescent="0.25">
      <c r="E8708" s="16"/>
      <c r="F8708" s="16"/>
      <c r="H8708" s="16"/>
      <c r="AG8708" s="80"/>
      <c r="AH8708" s="80"/>
      <c r="AI8708" s="80"/>
    </row>
    <row r="8709" spans="5:35" x14ac:dyDescent="0.25">
      <c r="E8709" s="16"/>
      <c r="F8709" s="16"/>
      <c r="H8709" s="16"/>
      <c r="AG8709" s="80"/>
      <c r="AH8709" s="80"/>
      <c r="AI8709" s="80"/>
    </row>
    <row r="8710" spans="5:35" x14ac:dyDescent="0.25">
      <c r="E8710" s="16"/>
      <c r="F8710" s="16"/>
      <c r="H8710" s="16"/>
      <c r="AG8710" s="80"/>
      <c r="AH8710" s="80"/>
      <c r="AI8710" s="80"/>
    </row>
    <row r="8711" spans="5:35" x14ac:dyDescent="0.25">
      <c r="E8711" s="16"/>
      <c r="F8711" s="16"/>
      <c r="H8711" s="16"/>
      <c r="AG8711" s="80"/>
      <c r="AH8711" s="80"/>
      <c r="AI8711" s="80"/>
    </row>
    <row r="8712" spans="5:35" x14ac:dyDescent="0.25">
      <c r="E8712" s="16"/>
      <c r="F8712" s="16"/>
      <c r="H8712" s="16"/>
      <c r="AG8712" s="80"/>
      <c r="AH8712" s="80"/>
      <c r="AI8712" s="80"/>
    </row>
    <row r="8713" spans="5:35" x14ac:dyDescent="0.25">
      <c r="E8713" s="16"/>
      <c r="F8713" s="16"/>
      <c r="H8713" s="16"/>
      <c r="AG8713" s="80"/>
      <c r="AH8713" s="80"/>
      <c r="AI8713" s="80"/>
    </row>
    <row r="8714" spans="5:35" x14ac:dyDescent="0.25">
      <c r="E8714" s="16"/>
      <c r="F8714" s="16"/>
      <c r="H8714" s="16"/>
      <c r="AG8714" s="80"/>
      <c r="AH8714" s="80"/>
      <c r="AI8714" s="80"/>
    </row>
    <row r="8715" spans="5:35" x14ac:dyDescent="0.25">
      <c r="E8715" s="16"/>
      <c r="F8715" s="16"/>
      <c r="H8715" s="16"/>
      <c r="AG8715" s="80"/>
      <c r="AH8715" s="80"/>
      <c r="AI8715" s="80"/>
    </row>
    <row r="8716" spans="5:35" x14ac:dyDescent="0.25">
      <c r="E8716" s="16"/>
      <c r="F8716" s="16"/>
      <c r="H8716" s="16"/>
      <c r="AG8716" s="80"/>
      <c r="AH8716" s="80"/>
      <c r="AI8716" s="80"/>
    </row>
    <row r="8717" spans="5:35" x14ac:dyDescent="0.25">
      <c r="E8717" s="16"/>
      <c r="F8717" s="16"/>
      <c r="H8717" s="16"/>
      <c r="AG8717" s="80"/>
      <c r="AH8717" s="80"/>
      <c r="AI8717" s="80"/>
    </row>
    <row r="8718" spans="5:35" x14ac:dyDescent="0.25">
      <c r="E8718" s="16"/>
      <c r="F8718" s="16"/>
      <c r="H8718" s="16"/>
      <c r="AG8718" s="80"/>
      <c r="AH8718" s="80"/>
      <c r="AI8718" s="80"/>
    </row>
    <row r="8719" spans="5:35" x14ac:dyDescent="0.25">
      <c r="E8719" s="16"/>
      <c r="F8719" s="16"/>
      <c r="H8719" s="16"/>
      <c r="AG8719" s="80"/>
      <c r="AH8719" s="80"/>
      <c r="AI8719" s="80"/>
    </row>
    <row r="8720" spans="5:35" x14ac:dyDescent="0.25">
      <c r="E8720" s="16"/>
      <c r="F8720" s="16"/>
      <c r="H8720" s="16"/>
      <c r="AG8720" s="80"/>
      <c r="AH8720" s="80"/>
      <c r="AI8720" s="80"/>
    </row>
    <row r="8721" spans="5:35" x14ac:dyDescent="0.25">
      <c r="E8721" s="16"/>
      <c r="F8721" s="16"/>
      <c r="H8721" s="16"/>
      <c r="AG8721" s="80"/>
      <c r="AH8721" s="80"/>
      <c r="AI8721" s="80"/>
    </row>
    <row r="8722" spans="5:35" x14ac:dyDescent="0.25">
      <c r="E8722" s="16"/>
      <c r="F8722" s="16"/>
      <c r="H8722" s="16"/>
      <c r="AG8722" s="80"/>
      <c r="AH8722" s="80"/>
      <c r="AI8722" s="80"/>
    </row>
    <row r="8723" spans="5:35" x14ac:dyDescent="0.25">
      <c r="E8723" s="16"/>
      <c r="F8723" s="16"/>
      <c r="H8723" s="16"/>
      <c r="AG8723" s="80"/>
      <c r="AH8723" s="80"/>
      <c r="AI8723" s="80"/>
    </row>
    <row r="8724" spans="5:35" x14ac:dyDescent="0.25">
      <c r="E8724" s="16"/>
      <c r="F8724" s="16"/>
      <c r="H8724" s="16"/>
      <c r="AG8724" s="80"/>
      <c r="AH8724" s="80"/>
      <c r="AI8724" s="80"/>
    </row>
    <row r="8725" spans="5:35" x14ac:dyDescent="0.25">
      <c r="E8725" s="16"/>
      <c r="F8725" s="16"/>
      <c r="H8725" s="16"/>
      <c r="AG8725" s="80"/>
      <c r="AH8725" s="80"/>
      <c r="AI8725" s="80"/>
    </row>
    <row r="8726" spans="5:35" x14ac:dyDescent="0.25">
      <c r="E8726" s="16"/>
      <c r="F8726" s="16"/>
      <c r="H8726" s="16"/>
      <c r="AG8726" s="80"/>
      <c r="AH8726" s="80"/>
      <c r="AI8726" s="80"/>
    </row>
    <row r="8727" spans="5:35" x14ac:dyDescent="0.25">
      <c r="E8727" s="16"/>
      <c r="F8727" s="16"/>
      <c r="H8727" s="16"/>
      <c r="AG8727" s="80"/>
      <c r="AH8727" s="80"/>
      <c r="AI8727" s="80"/>
    </row>
    <row r="8728" spans="5:35" x14ac:dyDescent="0.25">
      <c r="E8728" s="16"/>
      <c r="F8728" s="16"/>
      <c r="H8728" s="16"/>
      <c r="AG8728" s="80"/>
      <c r="AH8728" s="80"/>
      <c r="AI8728" s="80"/>
    </row>
    <row r="8729" spans="5:35" x14ac:dyDescent="0.25">
      <c r="E8729" s="16"/>
      <c r="F8729" s="16"/>
      <c r="H8729" s="16"/>
      <c r="AG8729" s="80"/>
      <c r="AH8729" s="80"/>
      <c r="AI8729" s="80"/>
    </row>
    <row r="8730" spans="5:35" x14ac:dyDescent="0.25">
      <c r="E8730" s="16"/>
      <c r="F8730" s="16"/>
      <c r="H8730" s="16"/>
      <c r="AG8730" s="80"/>
      <c r="AH8730" s="80"/>
      <c r="AI8730" s="80"/>
    </row>
    <row r="8731" spans="5:35" x14ac:dyDescent="0.25">
      <c r="E8731" s="16"/>
      <c r="F8731" s="16"/>
      <c r="H8731" s="16"/>
      <c r="AG8731" s="80"/>
      <c r="AH8731" s="80"/>
      <c r="AI8731" s="80"/>
    </row>
    <row r="8732" spans="5:35" x14ac:dyDescent="0.25">
      <c r="E8732" s="16"/>
      <c r="F8732" s="16"/>
      <c r="H8732" s="16"/>
      <c r="AG8732" s="80"/>
      <c r="AH8732" s="80"/>
      <c r="AI8732" s="80"/>
    </row>
    <row r="8733" spans="5:35" x14ac:dyDescent="0.25">
      <c r="E8733" s="16"/>
      <c r="F8733" s="16"/>
      <c r="H8733" s="16"/>
      <c r="AG8733" s="80"/>
      <c r="AH8733" s="80"/>
      <c r="AI8733" s="80"/>
    </row>
    <row r="8734" spans="5:35" x14ac:dyDescent="0.25">
      <c r="E8734" s="16"/>
      <c r="F8734" s="16"/>
      <c r="H8734" s="16"/>
      <c r="AG8734" s="80"/>
      <c r="AH8734" s="80"/>
      <c r="AI8734" s="80"/>
    </row>
    <row r="8735" spans="5:35" x14ac:dyDescent="0.25">
      <c r="E8735" s="16"/>
      <c r="F8735" s="16"/>
      <c r="H8735" s="16"/>
      <c r="AG8735" s="80"/>
      <c r="AH8735" s="80"/>
      <c r="AI8735" s="80"/>
    </row>
    <row r="8736" spans="5:35" x14ac:dyDescent="0.25">
      <c r="E8736" s="16"/>
      <c r="F8736" s="16"/>
      <c r="H8736" s="16"/>
      <c r="AG8736" s="80"/>
      <c r="AH8736" s="80"/>
      <c r="AI8736" s="80"/>
    </row>
    <row r="8737" spans="5:35" x14ac:dyDescent="0.25">
      <c r="E8737" s="16"/>
      <c r="F8737" s="16"/>
      <c r="H8737" s="16"/>
      <c r="AG8737" s="80"/>
      <c r="AH8737" s="80"/>
      <c r="AI8737" s="80"/>
    </row>
    <row r="8738" spans="5:35" x14ac:dyDescent="0.25">
      <c r="E8738" s="16"/>
      <c r="F8738" s="16"/>
      <c r="H8738" s="16"/>
      <c r="AG8738" s="80"/>
      <c r="AH8738" s="80"/>
      <c r="AI8738" s="80"/>
    </row>
    <row r="8739" spans="5:35" x14ac:dyDescent="0.25">
      <c r="E8739" s="16"/>
      <c r="F8739" s="16"/>
      <c r="H8739" s="16"/>
      <c r="AG8739" s="80"/>
      <c r="AH8739" s="80"/>
      <c r="AI8739" s="80"/>
    </row>
    <row r="8740" spans="5:35" x14ac:dyDescent="0.25">
      <c r="E8740" s="16"/>
      <c r="F8740" s="16"/>
      <c r="H8740" s="16"/>
      <c r="AG8740" s="80"/>
      <c r="AH8740" s="80"/>
      <c r="AI8740" s="80"/>
    </row>
    <row r="8741" spans="5:35" x14ac:dyDescent="0.25">
      <c r="E8741" s="16"/>
      <c r="F8741" s="16"/>
      <c r="H8741" s="16"/>
      <c r="AG8741" s="80"/>
      <c r="AH8741" s="80"/>
      <c r="AI8741" s="80"/>
    </row>
    <row r="8742" spans="5:35" x14ac:dyDescent="0.25">
      <c r="E8742" s="16"/>
      <c r="F8742" s="16"/>
      <c r="H8742" s="16"/>
      <c r="AG8742" s="80"/>
      <c r="AH8742" s="80"/>
      <c r="AI8742" s="80"/>
    </row>
    <row r="8743" spans="5:35" x14ac:dyDescent="0.25">
      <c r="E8743" s="16"/>
      <c r="F8743" s="16"/>
      <c r="H8743" s="16"/>
      <c r="AG8743" s="80"/>
      <c r="AH8743" s="80"/>
      <c r="AI8743" s="80"/>
    </row>
    <row r="8744" spans="5:35" x14ac:dyDescent="0.25">
      <c r="E8744" s="16"/>
      <c r="F8744" s="16"/>
      <c r="H8744" s="16"/>
      <c r="AG8744" s="80"/>
      <c r="AH8744" s="80"/>
      <c r="AI8744" s="80"/>
    </row>
    <row r="8745" spans="5:35" x14ac:dyDescent="0.25">
      <c r="E8745" s="16"/>
      <c r="F8745" s="16"/>
      <c r="H8745" s="16"/>
      <c r="AG8745" s="80"/>
      <c r="AH8745" s="80"/>
      <c r="AI8745" s="80"/>
    </row>
    <row r="8746" spans="5:35" x14ac:dyDescent="0.25">
      <c r="E8746" s="16"/>
      <c r="F8746" s="16"/>
      <c r="H8746" s="16"/>
      <c r="AG8746" s="80"/>
      <c r="AH8746" s="80"/>
      <c r="AI8746" s="80"/>
    </row>
    <row r="8747" spans="5:35" x14ac:dyDescent="0.25">
      <c r="E8747" s="16"/>
      <c r="F8747" s="16"/>
      <c r="H8747" s="16"/>
      <c r="AG8747" s="80"/>
      <c r="AH8747" s="80"/>
      <c r="AI8747" s="80"/>
    </row>
    <row r="8748" spans="5:35" x14ac:dyDescent="0.25">
      <c r="E8748" s="16"/>
      <c r="F8748" s="16"/>
      <c r="H8748" s="16"/>
      <c r="AG8748" s="80"/>
      <c r="AH8748" s="80"/>
      <c r="AI8748" s="80"/>
    </row>
    <row r="8749" spans="5:35" x14ac:dyDescent="0.25">
      <c r="E8749" s="16"/>
      <c r="F8749" s="16"/>
      <c r="H8749" s="16"/>
      <c r="AG8749" s="80"/>
      <c r="AH8749" s="80"/>
      <c r="AI8749" s="80"/>
    </row>
    <row r="8750" spans="5:35" x14ac:dyDescent="0.25">
      <c r="E8750" s="16"/>
      <c r="F8750" s="16"/>
      <c r="H8750" s="16"/>
      <c r="AG8750" s="80"/>
      <c r="AH8750" s="80"/>
      <c r="AI8750" s="80"/>
    </row>
    <row r="8751" spans="5:35" x14ac:dyDescent="0.25">
      <c r="E8751" s="16"/>
      <c r="F8751" s="16"/>
      <c r="H8751" s="16"/>
      <c r="AG8751" s="80"/>
      <c r="AH8751" s="80"/>
      <c r="AI8751" s="80"/>
    </row>
    <row r="8752" spans="5:35" x14ac:dyDescent="0.25">
      <c r="E8752" s="16"/>
      <c r="F8752" s="16"/>
      <c r="H8752" s="16"/>
      <c r="AG8752" s="80"/>
      <c r="AH8752" s="80"/>
      <c r="AI8752" s="80"/>
    </row>
    <row r="8753" spans="5:35" x14ac:dyDescent="0.25">
      <c r="E8753" s="16"/>
      <c r="F8753" s="16"/>
      <c r="H8753" s="16"/>
      <c r="AG8753" s="80"/>
      <c r="AH8753" s="80"/>
      <c r="AI8753" s="80"/>
    </row>
    <row r="8754" spans="5:35" x14ac:dyDescent="0.25">
      <c r="E8754" s="16"/>
      <c r="F8754" s="16"/>
      <c r="H8754" s="16"/>
      <c r="AG8754" s="80"/>
      <c r="AH8754" s="80"/>
      <c r="AI8754" s="80"/>
    </row>
    <row r="8755" spans="5:35" x14ac:dyDescent="0.25">
      <c r="E8755" s="16"/>
      <c r="F8755" s="16"/>
      <c r="H8755" s="16"/>
      <c r="AG8755" s="80"/>
      <c r="AH8755" s="80"/>
      <c r="AI8755" s="80"/>
    </row>
    <row r="8756" spans="5:35" x14ac:dyDescent="0.25">
      <c r="E8756" s="16"/>
      <c r="F8756" s="16"/>
      <c r="H8756" s="16"/>
      <c r="AG8756" s="80"/>
      <c r="AH8756" s="80"/>
      <c r="AI8756" s="80"/>
    </row>
    <row r="8757" spans="5:35" x14ac:dyDescent="0.25">
      <c r="E8757" s="16"/>
      <c r="F8757" s="16"/>
      <c r="H8757" s="16"/>
      <c r="AG8757" s="80"/>
      <c r="AH8757" s="80"/>
      <c r="AI8757" s="80"/>
    </row>
    <row r="8758" spans="5:35" x14ac:dyDescent="0.25">
      <c r="E8758" s="16"/>
      <c r="F8758" s="16"/>
      <c r="H8758" s="16"/>
      <c r="AG8758" s="80"/>
      <c r="AH8758" s="80"/>
      <c r="AI8758" s="80"/>
    </row>
    <row r="8759" spans="5:35" x14ac:dyDescent="0.25">
      <c r="E8759" s="16"/>
      <c r="F8759" s="16"/>
      <c r="H8759" s="16"/>
      <c r="AG8759" s="80"/>
      <c r="AH8759" s="80"/>
      <c r="AI8759" s="80"/>
    </row>
    <row r="8760" spans="5:35" x14ac:dyDescent="0.25">
      <c r="E8760" s="16"/>
      <c r="F8760" s="16"/>
      <c r="H8760" s="16"/>
      <c r="AG8760" s="80"/>
      <c r="AH8760" s="80"/>
      <c r="AI8760" s="80"/>
    </row>
    <row r="8761" spans="5:35" x14ac:dyDescent="0.25">
      <c r="E8761" s="16"/>
      <c r="F8761" s="16"/>
      <c r="H8761" s="16"/>
      <c r="AG8761" s="80"/>
      <c r="AH8761" s="80"/>
      <c r="AI8761" s="80"/>
    </row>
    <row r="8762" spans="5:35" x14ac:dyDescent="0.25">
      <c r="E8762" s="16"/>
      <c r="F8762" s="16"/>
      <c r="H8762" s="16"/>
      <c r="AG8762" s="80"/>
      <c r="AH8762" s="80"/>
      <c r="AI8762" s="80"/>
    </row>
    <row r="8763" spans="5:35" x14ac:dyDescent="0.25">
      <c r="E8763" s="16"/>
      <c r="F8763" s="16"/>
      <c r="H8763" s="16"/>
      <c r="AG8763" s="80"/>
      <c r="AH8763" s="80"/>
      <c r="AI8763" s="80"/>
    </row>
    <row r="8764" spans="5:35" x14ac:dyDescent="0.25">
      <c r="E8764" s="16"/>
      <c r="F8764" s="16"/>
      <c r="H8764" s="16"/>
      <c r="AG8764" s="80"/>
      <c r="AH8764" s="80"/>
      <c r="AI8764" s="80"/>
    </row>
    <row r="8765" spans="5:35" x14ac:dyDescent="0.25">
      <c r="E8765" s="16"/>
      <c r="F8765" s="16"/>
      <c r="H8765" s="16"/>
      <c r="AG8765" s="80"/>
      <c r="AH8765" s="80"/>
      <c r="AI8765" s="80"/>
    </row>
    <row r="8766" spans="5:35" x14ac:dyDescent="0.25">
      <c r="E8766" s="16"/>
      <c r="F8766" s="16"/>
      <c r="H8766" s="16"/>
      <c r="AG8766" s="80"/>
      <c r="AH8766" s="80"/>
      <c r="AI8766" s="80"/>
    </row>
    <row r="8767" spans="5:35" x14ac:dyDescent="0.25">
      <c r="E8767" s="16"/>
      <c r="F8767" s="16"/>
      <c r="H8767" s="16"/>
      <c r="AG8767" s="80"/>
      <c r="AH8767" s="80"/>
      <c r="AI8767" s="80"/>
    </row>
    <row r="8768" spans="5:35" x14ac:dyDescent="0.25">
      <c r="E8768" s="16"/>
      <c r="F8768" s="16"/>
      <c r="H8768" s="16"/>
      <c r="AG8768" s="80"/>
      <c r="AH8768" s="80"/>
      <c r="AI8768" s="80"/>
    </row>
    <row r="8769" spans="5:35" x14ac:dyDescent="0.25">
      <c r="E8769" s="16"/>
      <c r="F8769" s="16"/>
      <c r="H8769" s="16"/>
      <c r="AG8769" s="80"/>
      <c r="AH8769" s="80"/>
      <c r="AI8769" s="80"/>
    </row>
    <row r="8770" spans="5:35" x14ac:dyDescent="0.25">
      <c r="E8770" s="16"/>
      <c r="F8770" s="16"/>
      <c r="H8770" s="16"/>
      <c r="AG8770" s="80"/>
      <c r="AH8770" s="80"/>
      <c r="AI8770" s="80"/>
    </row>
    <row r="8771" spans="5:35" x14ac:dyDescent="0.25">
      <c r="E8771" s="16"/>
      <c r="F8771" s="16"/>
      <c r="H8771" s="16"/>
      <c r="AG8771" s="80"/>
      <c r="AH8771" s="80"/>
      <c r="AI8771" s="80"/>
    </row>
    <row r="8772" spans="5:35" x14ac:dyDescent="0.25">
      <c r="E8772" s="16"/>
      <c r="F8772" s="16"/>
      <c r="H8772" s="16"/>
      <c r="AG8772" s="80"/>
      <c r="AH8772" s="80"/>
      <c r="AI8772" s="80"/>
    </row>
    <row r="8773" spans="5:35" x14ac:dyDescent="0.25">
      <c r="E8773" s="16"/>
      <c r="F8773" s="16"/>
      <c r="H8773" s="16"/>
      <c r="AG8773" s="80"/>
      <c r="AH8773" s="80"/>
      <c r="AI8773" s="80"/>
    </row>
    <row r="8774" spans="5:35" x14ac:dyDescent="0.25">
      <c r="E8774" s="16"/>
      <c r="F8774" s="16"/>
      <c r="H8774" s="16"/>
      <c r="AG8774" s="80"/>
      <c r="AH8774" s="80"/>
      <c r="AI8774" s="80"/>
    </row>
    <row r="8775" spans="5:35" x14ac:dyDescent="0.25">
      <c r="E8775" s="16"/>
      <c r="F8775" s="16"/>
      <c r="H8775" s="16"/>
      <c r="AG8775" s="80"/>
      <c r="AH8775" s="80"/>
      <c r="AI8775" s="80"/>
    </row>
    <row r="8776" spans="5:35" x14ac:dyDescent="0.25">
      <c r="E8776" s="16"/>
      <c r="F8776" s="16"/>
      <c r="H8776" s="16"/>
      <c r="AG8776" s="80"/>
      <c r="AH8776" s="80"/>
      <c r="AI8776" s="80"/>
    </row>
    <row r="8777" spans="5:35" x14ac:dyDescent="0.25">
      <c r="E8777" s="16"/>
      <c r="F8777" s="16"/>
      <c r="H8777" s="16"/>
      <c r="AG8777" s="80"/>
      <c r="AH8777" s="80"/>
      <c r="AI8777" s="80"/>
    </row>
    <row r="8778" spans="5:35" x14ac:dyDescent="0.25">
      <c r="E8778" s="16"/>
      <c r="F8778" s="16"/>
      <c r="H8778" s="16"/>
      <c r="AG8778" s="80"/>
      <c r="AH8778" s="80"/>
      <c r="AI8778" s="80"/>
    </row>
    <row r="8779" spans="5:35" x14ac:dyDescent="0.25">
      <c r="E8779" s="16"/>
      <c r="F8779" s="16"/>
      <c r="H8779" s="16"/>
      <c r="AG8779" s="80"/>
      <c r="AH8779" s="80"/>
      <c r="AI8779" s="80"/>
    </row>
    <row r="8780" spans="5:35" x14ac:dyDescent="0.25">
      <c r="E8780" s="16"/>
      <c r="F8780" s="16"/>
      <c r="H8780" s="16"/>
      <c r="AG8780" s="80"/>
      <c r="AH8780" s="80"/>
      <c r="AI8780" s="80"/>
    </row>
    <row r="8781" spans="5:35" x14ac:dyDescent="0.25">
      <c r="E8781" s="16"/>
      <c r="F8781" s="16"/>
      <c r="H8781" s="16"/>
      <c r="AG8781" s="80"/>
      <c r="AH8781" s="80"/>
      <c r="AI8781" s="80"/>
    </row>
    <row r="8782" spans="5:35" x14ac:dyDescent="0.25">
      <c r="E8782" s="16"/>
      <c r="F8782" s="16"/>
      <c r="H8782" s="16"/>
      <c r="AG8782" s="80"/>
      <c r="AH8782" s="80"/>
      <c r="AI8782" s="80"/>
    </row>
    <row r="8783" spans="5:35" x14ac:dyDescent="0.25">
      <c r="E8783" s="16"/>
      <c r="F8783" s="16"/>
      <c r="H8783" s="16"/>
      <c r="AG8783" s="80"/>
      <c r="AH8783" s="80"/>
      <c r="AI8783" s="80"/>
    </row>
    <row r="8784" spans="5:35" x14ac:dyDescent="0.25">
      <c r="E8784" s="16"/>
      <c r="F8784" s="16"/>
      <c r="H8784" s="16"/>
      <c r="AG8784" s="80"/>
      <c r="AH8784" s="80"/>
      <c r="AI8784" s="80"/>
    </row>
    <row r="8785" spans="5:35" x14ac:dyDescent="0.25">
      <c r="E8785" s="16"/>
      <c r="F8785" s="16"/>
      <c r="H8785" s="16"/>
      <c r="AG8785" s="80"/>
      <c r="AH8785" s="80"/>
      <c r="AI8785" s="80"/>
    </row>
    <row r="8786" spans="5:35" x14ac:dyDescent="0.25">
      <c r="E8786" s="16"/>
      <c r="F8786" s="16"/>
      <c r="H8786" s="16"/>
      <c r="AG8786" s="80"/>
      <c r="AH8786" s="80"/>
      <c r="AI8786" s="80"/>
    </row>
    <row r="8787" spans="5:35" x14ac:dyDescent="0.25">
      <c r="E8787" s="16"/>
      <c r="F8787" s="16"/>
      <c r="H8787" s="16"/>
      <c r="AG8787" s="80"/>
      <c r="AH8787" s="80"/>
      <c r="AI8787" s="80"/>
    </row>
    <row r="8788" spans="5:35" x14ac:dyDescent="0.25">
      <c r="E8788" s="16"/>
      <c r="F8788" s="16"/>
      <c r="H8788" s="16"/>
      <c r="AG8788" s="80"/>
      <c r="AH8788" s="80"/>
      <c r="AI8788" s="80"/>
    </row>
    <row r="8789" spans="5:35" x14ac:dyDescent="0.25">
      <c r="E8789" s="16"/>
      <c r="F8789" s="16"/>
      <c r="H8789" s="16"/>
      <c r="AG8789" s="80"/>
      <c r="AH8789" s="80"/>
      <c r="AI8789" s="80"/>
    </row>
    <row r="8790" spans="5:35" x14ac:dyDescent="0.25">
      <c r="E8790" s="16"/>
      <c r="F8790" s="16"/>
      <c r="H8790" s="16"/>
      <c r="AG8790" s="80"/>
      <c r="AH8790" s="80"/>
      <c r="AI8790" s="80"/>
    </row>
    <row r="8791" spans="5:35" x14ac:dyDescent="0.25">
      <c r="E8791" s="16"/>
      <c r="F8791" s="16"/>
      <c r="H8791" s="16"/>
      <c r="AG8791" s="80"/>
      <c r="AH8791" s="80"/>
      <c r="AI8791" s="80"/>
    </row>
    <row r="8792" spans="5:35" x14ac:dyDescent="0.25">
      <c r="E8792" s="16"/>
      <c r="F8792" s="16"/>
      <c r="H8792" s="16"/>
      <c r="AG8792" s="80"/>
      <c r="AH8792" s="80"/>
      <c r="AI8792" s="80"/>
    </row>
    <row r="8793" spans="5:35" x14ac:dyDescent="0.25">
      <c r="E8793" s="16"/>
      <c r="F8793" s="16"/>
      <c r="H8793" s="16"/>
      <c r="AG8793" s="80"/>
      <c r="AH8793" s="80"/>
      <c r="AI8793" s="80"/>
    </row>
    <row r="8794" spans="5:35" x14ac:dyDescent="0.25">
      <c r="E8794" s="16"/>
      <c r="F8794" s="16"/>
      <c r="H8794" s="16"/>
      <c r="AG8794" s="80"/>
      <c r="AH8794" s="80"/>
      <c r="AI8794" s="80"/>
    </row>
    <row r="8795" spans="5:35" x14ac:dyDescent="0.25">
      <c r="E8795" s="16"/>
      <c r="F8795" s="16"/>
      <c r="H8795" s="16"/>
      <c r="AG8795" s="80"/>
      <c r="AH8795" s="80"/>
      <c r="AI8795" s="80"/>
    </row>
    <row r="8796" spans="5:35" x14ac:dyDescent="0.25">
      <c r="E8796" s="16"/>
      <c r="F8796" s="16"/>
      <c r="H8796" s="16"/>
      <c r="AG8796" s="80"/>
      <c r="AH8796" s="80"/>
      <c r="AI8796" s="80"/>
    </row>
    <row r="8797" spans="5:35" x14ac:dyDescent="0.25">
      <c r="E8797" s="16"/>
      <c r="F8797" s="16"/>
      <c r="H8797" s="16"/>
      <c r="AG8797" s="80"/>
      <c r="AH8797" s="80"/>
      <c r="AI8797" s="80"/>
    </row>
    <row r="8798" spans="5:35" x14ac:dyDescent="0.25">
      <c r="E8798" s="16"/>
      <c r="F8798" s="16"/>
      <c r="H8798" s="16"/>
      <c r="AG8798" s="80"/>
      <c r="AH8798" s="80"/>
      <c r="AI8798" s="80"/>
    </row>
    <row r="8799" spans="5:35" x14ac:dyDescent="0.25">
      <c r="E8799" s="16"/>
      <c r="F8799" s="16"/>
      <c r="H8799" s="16"/>
      <c r="AG8799" s="80"/>
      <c r="AH8799" s="80"/>
      <c r="AI8799" s="80"/>
    </row>
    <row r="8800" spans="5:35" x14ac:dyDescent="0.25">
      <c r="E8800" s="16"/>
      <c r="F8800" s="16"/>
      <c r="H8800" s="16"/>
      <c r="AG8800" s="80"/>
      <c r="AH8800" s="80"/>
      <c r="AI8800" s="80"/>
    </row>
    <row r="8801" spans="5:35" x14ac:dyDescent="0.25">
      <c r="E8801" s="16"/>
      <c r="F8801" s="16"/>
      <c r="H8801" s="16"/>
      <c r="AG8801" s="80"/>
      <c r="AH8801" s="80"/>
      <c r="AI8801" s="80"/>
    </row>
    <row r="8802" spans="5:35" x14ac:dyDescent="0.25">
      <c r="E8802" s="16"/>
      <c r="F8802" s="16"/>
      <c r="H8802" s="16"/>
      <c r="AG8802" s="80"/>
      <c r="AH8802" s="80"/>
      <c r="AI8802" s="80"/>
    </row>
    <row r="8803" spans="5:35" x14ac:dyDescent="0.25">
      <c r="E8803" s="16"/>
      <c r="F8803" s="16"/>
      <c r="H8803" s="16"/>
      <c r="AG8803" s="80"/>
      <c r="AH8803" s="80"/>
      <c r="AI8803" s="80"/>
    </row>
    <row r="8804" spans="5:35" x14ac:dyDescent="0.25">
      <c r="E8804" s="16"/>
      <c r="F8804" s="16"/>
      <c r="H8804" s="16"/>
      <c r="AG8804" s="80"/>
      <c r="AH8804" s="80"/>
      <c r="AI8804" s="80"/>
    </row>
    <row r="8805" spans="5:35" x14ac:dyDescent="0.25">
      <c r="E8805" s="16"/>
      <c r="F8805" s="16"/>
      <c r="H8805" s="16"/>
      <c r="AG8805" s="80"/>
      <c r="AH8805" s="80"/>
      <c r="AI8805" s="80"/>
    </row>
    <row r="8806" spans="5:35" x14ac:dyDescent="0.25">
      <c r="E8806" s="16"/>
      <c r="F8806" s="16"/>
      <c r="H8806" s="16"/>
      <c r="AG8806" s="80"/>
      <c r="AH8806" s="80"/>
      <c r="AI8806" s="80"/>
    </row>
    <row r="8807" spans="5:35" x14ac:dyDescent="0.25">
      <c r="E8807" s="16"/>
      <c r="F8807" s="16"/>
      <c r="H8807" s="16"/>
      <c r="AG8807" s="80"/>
      <c r="AH8807" s="80"/>
      <c r="AI8807" s="80"/>
    </row>
    <row r="8808" spans="5:35" x14ac:dyDescent="0.25">
      <c r="E8808" s="16"/>
      <c r="F8808" s="16"/>
      <c r="H8808" s="16"/>
      <c r="AG8808" s="80"/>
      <c r="AH8808" s="80"/>
      <c r="AI8808" s="80"/>
    </row>
    <row r="8809" spans="5:35" x14ac:dyDescent="0.25">
      <c r="E8809" s="16"/>
      <c r="F8809" s="16"/>
      <c r="H8809" s="16"/>
      <c r="AG8809" s="80"/>
      <c r="AH8809" s="80"/>
      <c r="AI8809" s="80"/>
    </row>
    <row r="8810" spans="5:35" x14ac:dyDescent="0.25">
      <c r="E8810" s="16"/>
      <c r="F8810" s="16"/>
      <c r="H8810" s="16"/>
      <c r="AG8810" s="80"/>
      <c r="AH8810" s="80"/>
      <c r="AI8810" s="80"/>
    </row>
    <row r="8811" spans="5:35" x14ac:dyDescent="0.25">
      <c r="E8811" s="16"/>
      <c r="F8811" s="16"/>
      <c r="H8811" s="16"/>
      <c r="AG8811" s="80"/>
      <c r="AH8811" s="80"/>
      <c r="AI8811" s="80"/>
    </row>
    <row r="8812" spans="5:35" x14ac:dyDescent="0.25">
      <c r="E8812" s="16"/>
      <c r="F8812" s="16"/>
      <c r="H8812" s="16"/>
      <c r="AG8812" s="80"/>
      <c r="AH8812" s="80"/>
      <c r="AI8812" s="80"/>
    </row>
    <row r="8813" spans="5:35" x14ac:dyDescent="0.25">
      <c r="E8813" s="16"/>
      <c r="F8813" s="16"/>
      <c r="H8813" s="16"/>
      <c r="AG8813" s="80"/>
      <c r="AH8813" s="80"/>
      <c r="AI8813" s="80"/>
    </row>
    <row r="8814" spans="5:35" x14ac:dyDescent="0.25">
      <c r="E8814" s="16"/>
      <c r="F8814" s="16"/>
      <c r="H8814" s="16"/>
      <c r="AG8814" s="80"/>
      <c r="AH8814" s="80"/>
      <c r="AI8814" s="80"/>
    </row>
    <row r="8815" spans="5:35" x14ac:dyDescent="0.25">
      <c r="E8815" s="16"/>
      <c r="F8815" s="16"/>
      <c r="H8815" s="16"/>
      <c r="AG8815" s="80"/>
      <c r="AH8815" s="80"/>
      <c r="AI8815" s="80"/>
    </row>
    <row r="8816" spans="5:35" x14ac:dyDescent="0.25">
      <c r="E8816" s="16"/>
      <c r="F8816" s="16"/>
      <c r="H8816" s="16"/>
      <c r="AG8816" s="80"/>
      <c r="AH8816" s="80"/>
      <c r="AI8816" s="80"/>
    </row>
    <row r="8817" spans="5:35" x14ac:dyDescent="0.25">
      <c r="E8817" s="16"/>
      <c r="F8817" s="16"/>
      <c r="H8817" s="16"/>
      <c r="AG8817" s="80"/>
      <c r="AH8817" s="80"/>
      <c r="AI8817" s="80"/>
    </row>
    <row r="8818" spans="5:35" x14ac:dyDescent="0.25">
      <c r="E8818" s="16"/>
      <c r="F8818" s="16"/>
      <c r="H8818" s="16"/>
      <c r="AG8818" s="80"/>
      <c r="AH8818" s="80"/>
      <c r="AI8818" s="80"/>
    </row>
    <row r="8819" spans="5:35" x14ac:dyDescent="0.25">
      <c r="E8819" s="16"/>
      <c r="F8819" s="16"/>
      <c r="H8819" s="16"/>
      <c r="AG8819" s="80"/>
      <c r="AH8819" s="80"/>
      <c r="AI8819" s="80"/>
    </row>
    <row r="8820" spans="5:35" x14ac:dyDescent="0.25">
      <c r="E8820" s="16"/>
      <c r="F8820" s="16"/>
      <c r="H8820" s="16"/>
      <c r="AG8820" s="80"/>
      <c r="AH8820" s="80"/>
      <c r="AI8820" s="80"/>
    </row>
    <row r="8821" spans="5:35" x14ac:dyDescent="0.25">
      <c r="E8821" s="16"/>
      <c r="F8821" s="16"/>
      <c r="H8821" s="16"/>
      <c r="AG8821" s="80"/>
      <c r="AH8821" s="80"/>
      <c r="AI8821" s="80"/>
    </row>
    <row r="8822" spans="5:35" x14ac:dyDescent="0.25">
      <c r="E8822" s="16"/>
      <c r="F8822" s="16"/>
      <c r="H8822" s="16"/>
      <c r="AG8822" s="80"/>
      <c r="AH8822" s="80"/>
      <c r="AI8822" s="80"/>
    </row>
    <row r="8823" spans="5:35" x14ac:dyDescent="0.25">
      <c r="E8823" s="16"/>
      <c r="F8823" s="16"/>
      <c r="H8823" s="16"/>
      <c r="AG8823" s="80"/>
      <c r="AH8823" s="80"/>
      <c r="AI8823" s="80"/>
    </row>
    <row r="8824" spans="5:35" x14ac:dyDescent="0.25">
      <c r="E8824" s="16"/>
      <c r="F8824" s="16"/>
      <c r="H8824" s="16"/>
      <c r="AG8824" s="80"/>
      <c r="AH8824" s="80"/>
      <c r="AI8824" s="80"/>
    </row>
    <row r="8825" spans="5:35" x14ac:dyDescent="0.25">
      <c r="E8825" s="16"/>
      <c r="F8825" s="16"/>
      <c r="H8825" s="16"/>
      <c r="AG8825" s="80"/>
      <c r="AH8825" s="80"/>
      <c r="AI8825" s="80"/>
    </row>
    <row r="8826" spans="5:35" x14ac:dyDescent="0.25">
      <c r="E8826" s="16"/>
      <c r="F8826" s="16"/>
      <c r="H8826" s="16"/>
      <c r="AG8826" s="80"/>
      <c r="AH8826" s="80"/>
      <c r="AI8826" s="80"/>
    </row>
    <row r="8827" spans="5:35" x14ac:dyDescent="0.25">
      <c r="E8827" s="16"/>
      <c r="F8827" s="16"/>
      <c r="H8827" s="16"/>
      <c r="AG8827" s="80"/>
      <c r="AH8827" s="80"/>
      <c r="AI8827" s="80"/>
    </row>
    <row r="8828" spans="5:35" x14ac:dyDescent="0.25">
      <c r="E8828" s="16"/>
      <c r="F8828" s="16"/>
      <c r="H8828" s="16"/>
      <c r="AG8828" s="80"/>
      <c r="AH8828" s="80"/>
      <c r="AI8828" s="80"/>
    </row>
    <row r="8829" spans="5:35" x14ac:dyDescent="0.25">
      <c r="E8829" s="16"/>
      <c r="F8829" s="16"/>
      <c r="H8829" s="16"/>
      <c r="AG8829" s="80"/>
      <c r="AH8829" s="80"/>
      <c r="AI8829" s="80"/>
    </row>
    <row r="8830" spans="5:35" x14ac:dyDescent="0.25">
      <c r="E8830" s="16"/>
      <c r="F8830" s="16"/>
      <c r="H8830" s="16"/>
      <c r="AG8830" s="80"/>
      <c r="AH8830" s="80"/>
      <c r="AI8830" s="80"/>
    </row>
    <row r="8831" spans="5:35" x14ac:dyDescent="0.25">
      <c r="E8831" s="16"/>
      <c r="F8831" s="16"/>
      <c r="H8831" s="16"/>
      <c r="AG8831" s="80"/>
      <c r="AH8831" s="80"/>
      <c r="AI8831" s="80"/>
    </row>
    <row r="8832" spans="5:35" x14ac:dyDescent="0.25">
      <c r="E8832" s="16"/>
      <c r="F8832" s="16"/>
      <c r="H8832" s="16"/>
      <c r="AG8832" s="80"/>
      <c r="AH8832" s="80"/>
      <c r="AI8832" s="80"/>
    </row>
    <row r="8833" spans="5:35" x14ac:dyDescent="0.25">
      <c r="E8833" s="16"/>
      <c r="F8833" s="16"/>
      <c r="H8833" s="16"/>
      <c r="AG8833" s="80"/>
      <c r="AH8833" s="80"/>
      <c r="AI8833" s="80"/>
    </row>
    <row r="8834" spans="5:35" x14ac:dyDescent="0.25">
      <c r="E8834" s="16"/>
      <c r="F8834" s="16"/>
      <c r="H8834" s="16"/>
      <c r="AG8834" s="80"/>
      <c r="AH8834" s="80"/>
      <c r="AI8834" s="80"/>
    </row>
    <row r="8835" spans="5:35" x14ac:dyDescent="0.25">
      <c r="E8835" s="16"/>
      <c r="F8835" s="16"/>
      <c r="H8835" s="16"/>
      <c r="AG8835" s="80"/>
      <c r="AH8835" s="80"/>
      <c r="AI8835" s="80"/>
    </row>
    <row r="8836" spans="5:35" x14ac:dyDescent="0.25">
      <c r="E8836" s="16"/>
      <c r="F8836" s="16"/>
      <c r="H8836" s="16"/>
      <c r="AG8836" s="80"/>
      <c r="AH8836" s="80"/>
      <c r="AI8836" s="80"/>
    </row>
    <row r="8837" spans="5:35" x14ac:dyDescent="0.25">
      <c r="E8837" s="16"/>
      <c r="F8837" s="16"/>
      <c r="H8837" s="16"/>
      <c r="AG8837" s="80"/>
      <c r="AH8837" s="80"/>
      <c r="AI8837" s="80"/>
    </row>
    <row r="8838" spans="5:35" x14ac:dyDescent="0.25">
      <c r="E8838" s="16"/>
      <c r="F8838" s="16"/>
      <c r="H8838" s="16"/>
      <c r="AG8838" s="80"/>
      <c r="AH8838" s="80"/>
      <c r="AI8838" s="80"/>
    </row>
    <row r="8839" spans="5:35" x14ac:dyDescent="0.25">
      <c r="E8839" s="16"/>
      <c r="F8839" s="16"/>
      <c r="H8839" s="16"/>
      <c r="AG8839" s="80"/>
      <c r="AH8839" s="80"/>
      <c r="AI8839" s="80"/>
    </row>
    <row r="8840" spans="5:35" x14ac:dyDescent="0.25">
      <c r="E8840" s="16"/>
      <c r="F8840" s="16"/>
      <c r="H8840" s="16"/>
      <c r="AG8840" s="80"/>
      <c r="AH8840" s="80"/>
      <c r="AI8840" s="80"/>
    </row>
    <row r="8841" spans="5:35" x14ac:dyDescent="0.25">
      <c r="E8841" s="16"/>
      <c r="F8841" s="16"/>
      <c r="H8841" s="16"/>
      <c r="AG8841" s="80"/>
      <c r="AH8841" s="80"/>
      <c r="AI8841" s="80"/>
    </row>
    <row r="8842" spans="5:35" x14ac:dyDescent="0.25">
      <c r="E8842" s="16"/>
      <c r="F8842" s="16"/>
      <c r="H8842" s="16"/>
      <c r="AG8842" s="80"/>
      <c r="AH8842" s="80"/>
      <c r="AI8842" s="80"/>
    </row>
    <row r="8843" spans="5:35" x14ac:dyDescent="0.25">
      <c r="E8843" s="16"/>
      <c r="F8843" s="16"/>
      <c r="H8843" s="16"/>
      <c r="AG8843" s="80"/>
      <c r="AH8843" s="80"/>
      <c r="AI8843" s="80"/>
    </row>
    <row r="8844" spans="5:35" x14ac:dyDescent="0.25">
      <c r="E8844" s="16"/>
      <c r="F8844" s="16"/>
      <c r="H8844" s="16"/>
      <c r="AG8844" s="80"/>
      <c r="AH8844" s="80"/>
      <c r="AI8844" s="80"/>
    </row>
    <row r="8845" spans="5:35" x14ac:dyDescent="0.25">
      <c r="E8845" s="16"/>
      <c r="F8845" s="16"/>
      <c r="H8845" s="16"/>
      <c r="AG8845" s="80"/>
      <c r="AH8845" s="80"/>
      <c r="AI8845" s="80"/>
    </row>
    <row r="8846" spans="5:35" x14ac:dyDescent="0.25">
      <c r="E8846" s="16"/>
      <c r="F8846" s="16"/>
      <c r="H8846" s="16"/>
      <c r="AG8846" s="80"/>
      <c r="AH8846" s="80"/>
      <c r="AI8846" s="80"/>
    </row>
    <row r="8847" spans="5:35" x14ac:dyDescent="0.25">
      <c r="E8847" s="16"/>
      <c r="F8847" s="16"/>
      <c r="H8847" s="16"/>
      <c r="AG8847" s="80"/>
      <c r="AH8847" s="80"/>
      <c r="AI8847" s="80"/>
    </row>
    <row r="8848" spans="5:35" x14ac:dyDescent="0.25">
      <c r="E8848" s="16"/>
      <c r="F8848" s="16"/>
      <c r="H8848" s="16"/>
      <c r="AG8848" s="80"/>
      <c r="AH8848" s="80"/>
      <c r="AI8848" s="80"/>
    </row>
    <row r="8849" spans="5:35" x14ac:dyDescent="0.25">
      <c r="E8849" s="16"/>
      <c r="F8849" s="16"/>
      <c r="H8849" s="16"/>
      <c r="AG8849" s="80"/>
      <c r="AH8849" s="80"/>
      <c r="AI8849" s="80"/>
    </row>
    <row r="8850" spans="5:35" x14ac:dyDescent="0.25">
      <c r="E8850" s="16"/>
      <c r="F8850" s="16"/>
      <c r="H8850" s="16"/>
      <c r="AG8850" s="80"/>
      <c r="AH8850" s="80"/>
      <c r="AI8850" s="80"/>
    </row>
    <row r="8851" spans="5:35" x14ac:dyDescent="0.25">
      <c r="E8851" s="16"/>
      <c r="F8851" s="16"/>
      <c r="H8851" s="16"/>
      <c r="AG8851" s="80"/>
      <c r="AH8851" s="80"/>
      <c r="AI8851" s="80"/>
    </row>
    <row r="8852" spans="5:35" x14ac:dyDescent="0.25">
      <c r="E8852" s="16"/>
      <c r="F8852" s="16"/>
      <c r="H8852" s="16"/>
      <c r="AG8852" s="80"/>
      <c r="AH8852" s="80"/>
      <c r="AI8852" s="80"/>
    </row>
    <row r="8853" spans="5:35" x14ac:dyDescent="0.25">
      <c r="E8853" s="16"/>
      <c r="F8853" s="16"/>
      <c r="H8853" s="16"/>
      <c r="AG8853" s="80"/>
      <c r="AH8853" s="80"/>
      <c r="AI8853" s="80"/>
    </row>
    <row r="8854" spans="5:35" x14ac:dyDescent="0.25">
      <c r="E8854" s="16"/>
      <c r="F8854" s="16"/>
      <c r="H8854" s="16"/>
      <c r="AG8854" s="80"/>
      <c r="AH8854" s="80"/>
      <c r="AI8854" s="80"/>
    </row>
    <row r="8855" spans="5:35" x14ac:dyDescent="0.25">
      <c r="E8855" s="16"/>
      <c r="F8855" s="16"/>
      <c r="H8855" s="16"/>
      <c r="AG8855" s="80"/>
      <c r="AH8855" s="80"/>
      <c r="AI8855" s="80"/>
    </row>
    <row r="8856" spans="5:35" x14ac:dyDescent="0.25">
      <c r="E8856" s="16"/>
      <c r="F8856" s="16"/>
      <c r="H8856" s="16"/>
      <c r="AG8856" s="80"/>
      <c r="AH8856" s="80"/>
      <c r="AI8856" s="80"/>
    </row>
    <row r="8857" spans="5:35" x14ac:dyDescent="0.25">
      <c r="E8857" s="16"/>
      <c r="F8857" s="16"/>
      <c r="H8857" s="16"/>
      <c r="AG8857" s="80"/>
      <c r="AH8857" s="80"/>
      <c r="AI8857" s="80"/>
    </row>
    <row r="8858" spans="5:35" x14ac:dyDescent="0.25">
      <c r="E8858" s="16"/>
      <c r="F8858" s="16"/>
      <c r="H8858" s="16"/>
      <c r="AG8858" s="80"/>
      <c r="AH8858" s="80"/>
      <c r="AI8858" s="80"/>
    </row>
    <row r="8859" spans="5:35" x14ac:dyDescent="0.25">
      <c r="E8859" s="16"/>
      <c r="F8859" s="16"/>
      <c r="H8859" s="16"/>
      <c r="AG8859" s="80"/>
      <c r="AH8859" s="80"/>
      <c r="AI8859" s="80"/>
    </row>
    <row r="8860" spans="5:35" x14ac:dyDescent="0.25">
      <c r="E8860" s="16"/>
      <c r="F8860" s="16"/>
      <c r="H8860" s="16"/>
      <c r="AG8860" s="80"/>
      <c r="AH8860" s="80"/>
      <c r="AI8860" s="80"/>
    </row>
    <row r="8861" spans="5:35" x14ac:dyDescent="0.25">
      <c r="E8861" s="16"/>
      <c r="F8861" s="16"/>
      <c r="H8861" s="16"/>
      <c r="AG8861" s="80"/>
      <c r="AH8861" s="80"/>
      <c r="AI8861" s="80"/>
    </row>
    <row r="8862" spans="5:35" x14ac:dyDescent="0.25">
      <c r="E8862" s="16"/>
      <c r="F8862" s="16"/>
      <c r="H8862" s="16"/>
      <c r="AG8862" s="80"/>
      <c r="AH8862" s="80"/>
      <c r="AI8862" s="80"/>
    </row>
    <row r="8863" spans="5:35" x14ac:dyDescent="0.25">
      <c r="E8863" s="16"/>
      <c r="F8863" s="16"/>
      <c r="H8863" s="16"/>
      <c r="AG8863" s="80"/>
      <c r="AH8863" s="80"/>
      <c r="AI8863" s="80"/>
    </row>
    <row r="8864" spans="5:35" x14ac:dyDescent="0.25">
      <c r="E8864" s="16"/>
      <c r="F8864" s="16"/>
      <c r="H8864" s="16"/>
      <c r="AG8864" s="80"/>
      <c r="AH8864" s="80"/>
      <c r="AI8864" s="80"/>
    </row>
    <row r="8865" spans="5:35" x14ac:dyDescent="0.25">
      <c r="E8865" s="16"/>
      <c r="F8865" s="16"/>
      <c r="H8865" s="16"/>
      <c r="AG8865" s="80"/>
      <c r="AH8865" s="80"/>
      <c r="AI8865" s="80"/>
    </row>
    <row r="8866" spans="5:35" x14ac:dyDescent="0.25">
      <c r="E8866" s="16"/>
      <c r="F8866" s="16"/>
      <c r="H8866" s="16"/>
      <c r="AG8866" s="80"/>
      <c r="AH8866" s="80"/>
      <c r="AI8866" s="80"/>
    </row>
    <row r="8867" spans="5:35" x14ac:dyDescent="0.25">
      <c r="E8867" s="16"/>
      <c r="F8867" s="16"/>
      <c r="H8867" s="16"/>
      <c r="AG8867" s="80"/>
      <c r="AH8867" s="80"/>
      <c r="AI8867" s="80"/>
    </row>
    <row r="8868" spans="5:35" x14ac:dyDescent="0.25">
      <c r="E8868" s="16"/>
      <c r="F8868" s="16"/>
      <c r="H8868" s="16"/>
      <c r="AG8868" s="80"/>
      <c r="AH8868" s="80"/>
      <c r="AI8868" s="80"/>
    </row>
    <row r="8869" spans="5:35" x14ac:dyDescent="0.25">
      <c r="E8869" s="16"/>
      <c r="F8869" s="16"/>
      <c r="H8869" s="16"/>
      <c r="AG8869" s="80"/>
      <c r="AH8869" s="80"/>
      <c r="AI8869" s="80"/>
    </row>
    <row r="8870" spans="5:35" x14ac:dyDescent="0.25">
      <c r="E8870" s="16"/>
      <c r="F8870" s="16"/>
      <c r="H8870" s="16"/>
      <c r="AG8870" s="80"/>
      <c r="AH8870" s="80"/>
      <c r="AI8870" s="80"/>
    </row>
    <row r="8871" spans="5:35" x14ac:dyDescent="0.25">
      <c r="E8871" s="16"/>
      <c r="F8871" s="16"/>
      <c r="H8871" s="16"/>
      <c r="AG8871" s="80"/>
      <c r="AH8871" s="80"/>
      <c r="AI8871" s="80"/>
    </row>
    <row r="8872" spans="5:35" x14ac:dyDescent="0.25">
      <c r="E8872" s="16"/>
      <c r="F8872" s="16"/>
      <c r="H8872" s="16"/>
      <c r="AG8872" s="80"/>
      <c r="AH8872" s="80"/>
      <c r="AI8872" s="80"/>
    </row>
    <row r="8873" spans="5:35" x14ac:dyDescent="0.25">
      <c r="E8873" s="16"/>
      <c r="F8873" s="16"/>
      <c r="H8873" s="16"/>
      <c r="AG8873" s="80"/>
      <c r="AH8873" s="80"/>
      <c r="AI8873" s="80"/>
    </row>
    <row r="8874" spans="5:35" x14ac:dyDescent="0.25">
      <c r="E8874" s="16"/>
      <c r="F8874" s="16"/>
      <c r="H8874" s="16"/>
      <c r="AG8874" s="80"/>
      <c r="AH8874" s="80"/>
      <c r="AI8874" s="80"/>
    </row>
    <row r="8875" spans="5:35" x14ac:dyDescent="0.25">
      <c r="E8875" s="16"/>
      <c r="F8875" s="16"/>
      <c r="H8875" s="16"/>
      <c r="AG8875" s="80"/>
      <c r="AH8875" s="80"/>
      <c r="AI8875" s="80"/>
    </row>
    <row r="8876" spans="5:35" x14ac:dyDescent="0.25">
      <c r="E8876" s="16"/>
      <c r="F8876" s="16"/>
      <c r="H8876" s="16"/>
      <c r="AG8876" s="80"/>
      <c r="AH8876" s="80"/>
      <c r="AI8876" s="80"/>
    </row>
    <row r="8877" spans="5:35" x14ac:dyDescent="0.25">
      <c r="E8877" s="16"/>
      <c r="F8877" s="16"/>
      <c r="H8877" s="16"/>
      <c r="AG8877" s="80"/>
      <c r="AH8877" s="80"/>
      <c r="AI8877" s="80"/>
    </row>
    <row r="8878" spans="5:35" x14ac:dyDescent="0.25">
      <c r="E8878" s="16"/>
      <c r="F8878" s="16"/>
      <c r="H8878" s="16"/>
      <c r="AG8878" s="80"/>
      <c r="AH8878" s="80"/>
      <c r="AI8878" s="80"/>
    </row>
    <row r="8879" spans="5:35" x14ac:dyDescent="0.25">
      <c r="E8879" s="16"/>
      <c r="F8879" s="16"/>
      <c r="H8879" s="16"/>
      <c r="AG8879" s="80"/>
      <c r="AH8879" s="80"/>
      <c r="AI8879" s="80"/>
    </row>
    <row r="8880" spans="5:35" x14ac:dyDescent="0.25">
      <c r="E8880" s="16"/>
      <c r="F8880" s="16"/>
      <c r="H8880" s="16"/>
      <c r="AG8880" s="80"/>
      <c r="AH8880" s="80"/>
      <c r="AI8880" s="80"/>
    </row>
    <row r="8881" spans="5:35" x14ac:dyDescent="0.25">
      <c r="E8881" s="16"/>
      <c r="F8881" s="16"/>
      <c r="H8881" s="16"/>
      <c r="AG8881" s="80"/>
      <c r="AH8881" s="80"/>
      <c r="AI8881" s="80"/>
    </row>
    <row r="8882" spans="5:35" x14ac:dyDescent="0.25">
      <c r="E8882" s="16"/>
      <c r="F8882" s="16"/>
      <c r="H8882" s="16"/>
      <c r="AG8882" s="80"/>
      <c r="AH8882" s="80"/>
      <c r="AI8882" s="80"/>
    </row>
    <row r="8883" spans="5:35" x14ac:dyDescent="0.25">
      <c r="E8883" s="16"/>
      <c r="F8883" s="16"/>
      <c r="H8883" s="16"/>
      <c r="AG8883" s="80"/>
      <c r="AH8883" s="80"/>
      <c r="AI8883" s="80"/>
    </row>
    <row r="8884" spans="5:35" x14ac:dyDescent="0.25">
      <c r="E8884" s="16"/>
      <c r="F8884" s="16"/>
      <c r="H8884" s="16"/>
      <c r="AG8884" s="80"/>
      <c r="AH8884" s="80"/>
      <c r="AI8884" s="80"/>
    </row>
    <row r="8885" spans="5:35" x14ac:dyDescent="0.25">
      <c r="E8885" s="16"/>
      <c r="F8885" s="16"/>
      <c r="H8885" s="16"/>
      <c r="AG8885" s="80"/>
      <c r="AH8885" s="80"/>
      <c r="AI8885" s="80"/>
    </row>
    <row r="8886" spans="5:35" x14ac:dyDescent="0.25">
      <c r="E8886" s="16"/>
      <c r="F8886" s="16"/>
      <c r="H8886" s="16"/>
      <c r="AG8886" s="80"/>
      <c r="AH8886" s="80"/>
      <c r="AI8886" s="80"/>
    </row>
    <row r="8887" spans="5:35" x14ac:dyDescent="0.25">
      <c r="E8887" s="16"/>
      <c r="F8887" s="16"/>
      <c r="H8887" s="16"/>
      <c r="AG8887" s="80"/>
      <c r="AH8887" s="80"/>
      <c r="AI8887" s="80"/>
    </row>
    <row r="8888" spans="5:35" x14ac:dyDescent="0.25">
      <c r="E8888" s="16"/>
      <c r="F8888" s="16"/>
      <c r="H8888" s="16"/>
      <c r="AG8888" s="80"/>
      <c r="AH8888" s="80"/>
      <c r="AI8888" s="80"/>
    </row>
    <row r="8889" spans="5:35" x14ac:dyDescent="0.25">
      <c r="E8889" s="16"/>
      <c r="F8889" s="16"/>
      <c r="H8889" s="16"/>
      <c r="AG8889" s="80"/>
      <c r="AH8889" s="80"/>
      <c r="AI8889" s="80"/>
    </row>
    <row r="8890" spans="5:35" x14ac:dyDescent="0.25">
      <c r="E8890" s="16"/>
      <c r="F8890" s="16"/>
      <c r="H8890" s="16"/>
      <c r="AG8890" s="80"/>
      <c r="AH8890" s="80"/>
      <c r="AI8890" s="80"/>
    </row>
    <row r="8891" spans="5:35" x14ac:dyDescent="0.25">
      <c r="E8891" s="16"/>
      <c r="F8891" s="16"/>
      <c r="H8891" s="16"/>
      <c r="AG8891" s="80"/>
      <c r="AH8891" s="80"/>
      <c r="AI8891" s="80"/>
    </row>
    <row r="8892" spans="5:35" x14ac:dyDescent="0.25">
      <c r="E8892" s="16"/>
      <c r="F8892" s="16"/>
      <c r="H8892" s="16"/>
      <c r="AG8892" s="80"/>
      <c r="AH8892" s="80"/>
      <c r="AI8892" s="80"/>
    </row>
    <row r="8893" spans="5:35" x14ac:dyDescent="0.25">
      <c r="E8893" s="16"/>
      <c r="F8893" s="16"/>
      <c r="H8893" s="16"/>
      <c r="AG8893" s="80"/>
      <c r="AH8893" s="80"/>
      <c r="AI8893" s="80"/>
    </row>
    <row r="8894" spans="5:35" x14ac:dyDescent="0.25">
      <c r="E8894" s="16"/>
      <c r="F8894" s="16"/>
      <c r="H8894" s="16"/>
      <c r="AG8894" s="80"/>
      <c r="AH8894" s="80"/>
      <c r="AI8894" s="80"/>
    </row>
    <row r="8895" spans="5:35" x14ac:dyDescent="0.25">
      <c r="E8895" s="16"/>
      <c r="F8895" s="16"/>
      <c r="H8895" s="16"/>
      <c r="AG8895" s="80"/>
      <c r="AH8895" s="80"/>
      <c r="AI8895" s="80"/>
    </row>
    <row r="8896" spans="5:35" x14ac:dyDescent="0.25">
      <c r="E8896" s="16"/>
      <c r="F8896" s="16"/>
      <c r="H8896" s="16"/>
      <c r="AG8896" s="80"/>
      <c r="AH8896" s="80"/>
      <c r="AI8896" s="80"/>
    </row>
    <row r="8897" spans="5:35" x14ac:dyDescent="0.25">
      <c r="E8897" s="16"/>
      <c r="F8897" s="16"/>
      <c r="H8897" s="16"/>
      <c r="AG8897" s="80"/>
      <c r="AH8897" s="80"/>
      <c r="AI8897" s="80"/>
    </row>
    <row r="8898" spans="5:35" x14ac:dyDescent="0.25">
      <c r="E8898" s="16"/>
      <c r="F8898" s="16"/>
      <c r="H8898" s="16"/>
      <c r="AG8898" s="80"/>
      <c r="AH8898" s="80"/>
      <c r="AI8898" s="80"/>
    </row>
    <row r="8899" spans="5:35" x14ac:dyDescent="0.25">
      <c r="E8899" s="16"/>
      <c r="F8899" s="16"/>
      <c r="H8899" s="16"/>
      <c r="AG8899" s="80"/>
      <c r="AH8899" s="80"/>
      <c r="AI8899" s="80"/>
    </row>
    <row r="8900" spans="5:35" x14ac:dyDescent="0.25">
      <c r="E8900" s="16"/>
      <c r="F8900" s="16"/>
      <c r="H8900" s="16"/>
      <c r="AG8900" s="80"/>
      <c r="AH8900" s="80"/>
      <c r="AI8900" s="80"/>
    </row>
    <row r="8901" spans="5:35" x14ac:dyDescent="0.25">
      <c r="E8901" s="16"/>
      <c r="F8901" s="16"/>
      <c r="H8901" s="16"/>
      <c r="AG8901" s="80"/>
      <c r="AH8901" s="80"/>
      <c r="AI8901" s="80"/>
    </row>
    <row r="8902" spans="5:35" x14ac:dyDescent="0.25">
      <c r="E8902" s="16"/>
      <c r="F8902" s="16"/>
      <c r="H8902" s="16"/>
      <c r="AG8902" s="80"/>
      <c r="AH8902" s="80"/>
      <c r="AI8902" s="80"/>
    </row>
    <row r="8903" spans="5:35" x14ac:dyDescent="0.25">
      <c r="E8903" s="16"/>
      <c r="F8903" s="16"/>
      <c r="H8903" s="16"/>
      <c r="AG8903" s="80"/>
      <c r="AH8903" s="80"/>
      <c r="AI8903" s="80"/>
    </row>
    <row r="8904" spans="5:35" x14ac:dyDescent="0.25">
      <c r="E8904" s="16"/>
      <c r="F8904" s="16"/>
      <c r="H8904" s="16"/>
      <c r="AG8904" s="80"/>
      <c r="AH8904" s="80"/>
      <c r="AI8904" s="80"/>
    </row>
    <row r="8905" spans="5:35" x14ac:dyDescent="0.25">
      <c r="E8905" s="16"/>
      <c r="F8905" s="16"/>
      <c r="H8905" s="16"/>
      <c r="AG8905" s="80"/>
      <c r="AH8905" s="80"/>
      <c r="AI8905" s="80"/>
    </row>
    <row r="8906" spans="5:35" x14ac:dyDescent="0.25">
      <c r="E8906" s="16"/>
      <c r="F8906" s="16"/>
      <c r="H8906" s="16"/>
      <c r="AG8906" s="80"/>
      <c r="AH8906" s="80"/>
      <c r="AI8906" s="80"/>
    </row>
    <row r="8907" spans="5:35" x14ac:dyDescent="0.25">
      <c r="E8907" s="16"/>
      <c r="F8907" s="16"/>
      <c r="H8907" s="16"/>
      <c r="AG8907" s="80"/>
      <c r="AH8907" s="80"/>
      <c r="AI8907" s="80"/>
    </row>
    <row r="8908" spans="5:35" x14ac:dyDescent="0.25">
      <c r="E8908" s="16"/>
      <c r="F8908" s="16"/>
      <c r="H8908" s="16"/>
      <c r="AG8908" s="80"/>
      <c r="AH8908" s="80"/>
      <c r="AI8908" s="80"/>
    </row>
    <row r="8909" spans="5:35" x14ac:dyDescent="0.25">
      <c r="E8909" s="16"/>
      <c r="F8909" s="16"/>
      <c r="H8909" s="16"/>
      <c r="AG8909" s="80"/>
      <c r="AH8909" s="80"/>
      <c r="AI8909" s="80"/>
    </row>
    <row r="8910" spans="5:35" x14ac:dyDescent="0.25">
      <c r="E8910" s="16"/>
      <c r="F8910" s="16"/>
      <c r="H8910" s="16"/>
      <c r="AG8910" s="80"/>
      <c r="AH8910" s="80"/>
      <c r="AI8910" s="80"/>
    </row>
    <row r="8911" spans="5:35" x14ac:dyDescent="0.25">
      <c r="E8911" s="16"/>
      <c r="F8911" s="16"/>
      <c r="H8911" s="16"/>
      <c r="AG8911" s="80"/>
      <c r="AH8911" s="80"/>
      <c r="AI8911" s="80"/>
    </row>
    <row r="8912" spans="5:35" x14ac:dyDescent="0.25">
      <c r="E8912" s="16"/>
      <c r="F8912" s="16"/>
      <c r="H8912" s="16"/>
      <c r="AG8912" s="80"/>
      <c r="AH8912" s="80"/>
      <c r="AI8912" s="80"/>
    </row>
    <row r="8913" spans="5:35" x14ac:dyDescent="0.25">
      <c r="E8913" s="16"/>
      <c r="F8913" s="16"/>
      <c r="H8913" s="16"/>
      <c r="AG8913" s="80"/>
      <c r="AH8913" s="80"/>
      <c r="AI8913" s="80"/>
    </row>
    <row r="8914" spans="5:35" x14ac:dyDescent="0.25">
      <c r="E8914" s="16"/>
      <c r="F8914" s="16"/>
      <c r="H8914" s="16"/>
      <c r="AG8914" s="80"/>
      <c r="AH8914" s="80"/>
      <c r="AI8914" s="80"/>
    </row>
    <row r="8915" spans="5:35" x14ac:dyDescent="0.25">
      <c r="E8915" s="16"/>
      <c r="F8915" s="16"/>
      <c r="H8915" s="16"/>
      <c r="AG8915" s="80"/>
      <c r="AH8915" s="80"/>
      <c r="AI8915" s="80"/>
    </row>
    <row r="8916" spans="5:35" x14ac:dyDescent="0.25">
      <c r="E8916" s="16"/>
      <c r="F8916" s="16"/>
      <c r="H8916" s="16"/>
      <c r="AG8916" s="80"/>
      <c r="AH8916" s="80"/>
      <c r="AI8916" s="80"/>
    </row>
    <row r="8917" spans="5:35" x14ac:dyDescent="0.25">
      <c r="E8917" s="16"/>
      <c r="F8917" s="16"/>
      <c r="H8917" s="16"/>
      <c r="AG8917" s="80"/>
      <c r="AH8917" s="80"/>
      <c r="AI8917" s="80"/>
    </row>
    <row r="8918" spans="5:35" x14ac:dyDescent="0.25">
      <c r="E8918" s="16"/>
      <c r="F8918" s="16"/>
      <c r="H8918" s="16"/>
      <c r="AG8918" s="80"/>
      <c r="AH8918" s="80"/>
      <c r="AI8918" s="80"/>
    </row>
    <row r="8919" spans="5:35" x14ac:dyDescent="0.25">
      <c r="E8919" s="16"/>
      <c r="F8919" s="16"/>
      <c r="H8919" s="16"/>
      <c r="AG8919" s="80"/>
      <c r="AH8919" s="80"/>
      <c r="AI8919" s="80"/>
    </row>
    <row r="8920" spans="5:35" x14ac:dyDescent="0.25">
      <c r="E8920" s="16"/>
      <c r="F8920" s="16"/>
      <c r="H8920" s="16"/>
      <c r="AG8920" s="80"/>
      <c r="AH8920" s="80"/>
      <c r="AI8920" s="80"/>
    </row>
    <row r="8921" spans="5:35" x14ac:dyDescent="0.25">
      <c r="E8921" s="16"/>
      <c r="F8921" s="16"/>
      <c r="H8921" s="16"/>
      <c r="AG8921" s="80"/>
      <c r="AH8921" s="80"/>
      <c r="AI8921" s="80"/>
    </row>
    <row r="8922" spans="5:35" x14ac:dyDescent="0.25">
      <c r="E8922" s="16"/>
      <c r="F8922" s="16"/>
      <c r="H8922" s="16"/>
      <c r="AG8922" s="80"/>
      <c r="AH8922" s="80"/>
      <c r="AI8922" s="80"/>
    </row>
    <row r="8923" spans="5:35" x14ac:dyDescent="0.25">
      <c r="E8923" s="16"/>
      <c r="F8923" s="16"/>
      <c r="H8923" s="16"/>
      <c r="AG8923" s="80"/>
      <c r="AH8923" s="80"/>
      <c r="AI8923" s="80"/>
    </row>
    <row r="8924" spans="5:35" x14ac:dyDescent="0.25">
      <c r="E8924" s="16"/>
      <c r="F8924" s="16"/>
      <c r="H8924" s="16"/>
      <c r="AG8924" s="80"/>
      <c r="AH8924" s="80"/>
      <c r="AI8924" s="80"/>
    </row>
    <row r="8925" spans="5:35" x14ac:dyDescent="0.25">
      <c r="E8925" s="16"/>
      <c r="F8925" s="16"/>
      <c r="H8925" s="16"/>
      <c r="AG8925" s="80"/>
      <c r="AH8925" s="80"/>
      <c r="AI8925" s="80"/>
    </row>
    <row r="8926" spans="5:35" x14ac:dyDescent="0.25">
      <c r="E8926" s="16"/>
      <c r="F8926" s="16"/>
      <c r="H8926" s="16"/>
      <c r="AG8926" s="80"/>
      <c r="AH8926" s="80"/>
      <c r="AI8926" s="80"/>
    </row>
    <row r="8927" spans="5:35" x14ac:dyDescent="0.25">
      <c r="E8927" s="16"/>
      <c r="F8927" s="16"/>
      <c r="H8927" s="16"/>
      <c r="AG8927" s="80"/>
      <c r="AH8927" s="80"/>
      <c r="AI8927" s="80"/>
    </row>
    <row r="8928" spans="5:35" x14ac:dyDescent="0.25">
      <c r="E8928" s="16"/>
      <c r="F8928" s="16"/>
      <c r="H8928" s="16"/>
      <c r="AG8928" s="80"/>
      <c r="AH8928" s="80"/>
      <c r="AI8928" s="80"/>
    </row>
    <row r="8929" spans="5:35" x14ac:dyDescent="0.25">
      <c r="E8929" s="16"/>
      <c r="F8929" s="16"/>
      <c r="H8929" s="16"/>
      <c r="AG8929" s="80"/>
      <c r="AH8929" s="80"/>
      <c r="AI8929" s="80"/>
    </row>
    <row r="8930" spans="5:35" x14ac:dyDescent="0.25">
      <c r="E8930" s="16"/>
      <c r="F8930" s="16"/>
      <c r="H8930" s="16"/>
      <c r="AG8930" s="80"/>
      <c r="AH8930" s="80"/>
      <c r="AI8930" s="80"/>
    </row>
    <row r="8931" spans="5:35" x14ac:dyDescent="0.25">
      <c r="E8931" s="16"/>
      <c r="F8931" s="16"/>
      <c r="H8931" s="16"/>
      <c r="AG8931" s="80"/>
      <c r="AH8931" s="80"/>
      <c r="AI8931" s="80"/>
    </row>
    <row r="8932" spans="5:35" x14ac:dyDescent="0.25">
      <c r="E8932" s="16"/>
      <c r="F8932" s="16"/>
      <c r="H8932" s="16"/>
      <c r="AG8932" s="80"/>
      <c r="AH8932" s="80"/>
      <c r="AI8932" s="80"/>
    </row>
    <row r="8933" spans="5:35" x14ac:dyDescent="0.25">
      <c r="E8933" s="16"/>
      <c r="F8933" s="16"/>
      <c r="H8933" s="16"/>
      <c r="AG8933" s="80"/>
      <c r="AH8933" s="80"/>
      <c r="AI8933" s="80"/>
    </row>
    <row r="8934" spans="5:35" x14ac:dyDescent="0.25">
      <c r="E8934" s="16"/>
      <c r="F8934" s="16"/>
      <c r="H8934" s="16"/>
      <c r="AG8934" s="80"/>
      <c r="AH8934" s="80"/>
      <c r="AI8934" s="80"/>
    </row>
    <row r="8935" spans="5:35" x14ac:dyDescent="0.25">
      <c r="E8935" s="16"/>
      <c r="F8935" s="16"/>
      <c r="H8935" s="16"/>
      <c r="AG8935" s="80"/>
      <c r="AH8935" s="80"/>
      <c r="AI8935" s="80"/>
    </row>
    <row r="8936" spans="5:35" x14ac:dyDescent="0.25">
      <c r="E8936" s="16"/>
      <c r="F8936" s="16"/>
      <c r="H8936" s="16"/>
      <c r="AG8936" s="80"/>
      <c r="AH8936" s="80"/>
      <c r="AI8936" s="80"/>
    </row>
    <row r="8937" spans="5:35" x14ac:dyDescent="0.25">
      <c r="E8937" s="16"/>
      <c r="F8937" s="16"/>
      <c r="H8937" s="16"/>
      <c r="AG8937" s="80"/>
      <c r="AH8937" s="80"/>
      <c r="AI8937" s="80"/>
    </row>
    <row r="8938" spans="5:35" x14ac:dyDescent="0.25">
      <c r="E8938" s="16"/>
      <c r="F8938" s="16"/>
      <c r="H8938" s="16"/>
      <c r="AG8938" s="80"/>
      <c r="AH8938" s="80"/>
      <c r="AI8938" s="80"/>
    </row>
    <row r="8939" spans="5:35" x14ac:dyDescent="0.25">
      <c r="E8939" s="16"/>
      <c r="F8939" s="16"/>
      <c r="H8939" s="16"/>
      <c r="AG8939" s="80"/>
      <c r="AH8939" s="80"/>
      <c r="AI8939" s="80"/>
    </row>
    <row r="8940" spans="5:35" x14ac:dyDescent="0.25">
      <c r="E8940" s="16"/>
      <c r="F8940" s="16"/>
      <c r="H8940" s="16"/>
      <c r="AG8940" s="80"/>
      <c r="AH8940" s="80"/>
      <c r="AI8940" s="80"/>
    </row>
    <row r="8941" spans="5:35" x14ac:dyDescent="0.25">
      <c r="E8941" s="16"/>
      <c r="F8941" s="16"/>
      <c r="H8941" s="16"/>
      <c r="AG8941" s="80"/>
      <c r="AH8941" s="80"/>
      <c r="AI8941" s="80"/>
    </row>
    <row r="8942" spans="5:35" x14ac:dyDescent="0.25">
      <c r="E8942" s="16"/>
      <c r="F8942" s="16"/>
      <c r="H8942" s="16"/>
      <c r="AG8942" s="80"/>
      <c r="AH8942" s="80"/>
      <c r="AI8942" s="80"/>
    </row>
    <row r="8943" spans="5:35" x14ac:dyDescent="0.25">
      <c r="E8943" s="16"/>
      <c r="F8943" s="16"/>
      <c r="H8943" s="16"/>
      <c r="AG8943" s="80"/>
      <c r="AH8943" s="80"/>
      <c r="AI8943" s="80"/>
    </row>
    <row r="8944" spans="5:35" x14ac:dyDescent="0.25">
      <c r="E8944" s="16"/>
      <c r="F8944" s="16"/>
      <c r="H8944" s="16"/>
      <c r="AG8944" s="80"/>
      <c r="AH8944" s="80"/>
      <c r="AI8944" s="80"/>
    </row>
    <row r="8945" spans="5:35" x14ac:dyDescent="0.25">
      <c r="E8945" s="16"/>
      <c r="F8945" s="16"/>
      <c r="H8945" s="16"/>
      <c r="AG8945" s="80"/>
      <c r="AH8945" s="80"/>
      <c r="AI8945" s="80"/>
    </row>
    <row r="8946" spans="5:35" x14ac:dyDescent="0.25">
      <c r="E8946" s="16"/>
      <c r="F8946" s="16"/>
      <c r="H8946" s="16"/>
      <c r="AG8946" s="80"/>
      <c r="AH8946" s="80"/>
      <c r="AI8946" s="80"/>
    </row>
    <row r="8947" spans="5:35" x14ac:dyDescent="0.25">
      <c r="E8947" s="16"/>
      <c r="F8947" s="16"/>
      <c r="H8947" s="16"/>
      <c r="AG8947" s="80"/>
      <c r="AH8947" s="80"/>
      <c r="AI8947" s="80"/>
    </row>
    <row r="8948" spans="5:35" x14ac:dyDescent="0.25">
      <c r="E8948" s="16"/>
      <c r="F8948" s="16"/>
      <c r="H8948" s="16"/>
      <c r="AG8948" s="80"/>
      <c r="AH8948" s="80"/>
      <c r="AI8948" s="80"/>
    </row>
    <row r="8949" spans="5:35" x14ac:dyDescent="0.25">
      <c r="E8949" s="16"/>
      <c r="F8949" s="16"/>
      <c r="H8949" s="16"/>
      <c r="AG8949" s="80"/>
      <c r="AH8949" s="80"/>
      <c r="AI8949" s="80"/>
    </row>
    <row r="8950" spans="5:35" x14ac:dyDescent="0.25">
      <c r="E8950" s="16"/>
      <c r="F8950" s="16"/>
      <c r="H8950" s="16"/>
      <c r="AG8950" s="80"/>
      <c r="AH8950" s="80"/>
      <c r="AI8950" s="80"/>
    </row>
    <row r="8951" spans="5:35" x14ac:dyDescent="0.25">
      <c r="E8951" s="16"/>
      <c r="F8951" s="16"/>
      <c r="H8951" s="16"/>
      <c r="AG8951" s="80"/>
      <c r="AH8951" s="80"/>
      <c r="AI8951" s="80"/>
    </row>
    <row r="8952" spans="5:35" x14ac:dyDescent="0.25">
      <c r="E8952" s="16"/>
      <c r="F8952" s="16"/>
      <c r="H8952" s="16"/>
      <c r="AG8952" s="80"/>
      <c r="AH8952" s="80"/>
      <c r="AI8952" s="80"/>
    </row>
    <row r="8953" spans="5:35" x14ac:dyDescent="0.25">
      <c r="E8953" s="16"/>
      <c r="F8953" s="16"/>
      <c r="H8953" s="16"/>
      <c r="AG8953" s="80"/>
      <c r="AH8953" s="80"/>
      <c r="AI8953" s="80"/>
    </row>
    <row r="8954" spans="5:35" x14ac:dyDescent="0.25">
      <c r="E8954" s="16"/>
      <c r="F8954" s="16"/>
      <c r="H8954" s="16"/>
      <c r="AG8954" s="80"/>
      <c r="AH8954" s="80"/>
      <c r="AI8954" s="80"/>
    </row>
    <row r="8955" spans="5:35" x14ac:dyDescent="0.25">
      <c r="E8955" s="16"/>
      <c r="F8955" s="16"/>
      <c r="H8955" s="16"/>
      <c r="AG8955" s="80"/>
      <c r="AH8955" s="80"/>
      <c r="AI8955" s="80"/>
    </row>
    <row r="8956" spans="5:35" x14ac:dyDescent="0.25">
      <c r="E8956" s="16"/>
      <c r="F8956" s="16"/>
      <c r="H8956" s="16"/>
      <c r="AG8956" s="80"/>
      <c r="AH8956" s="80"/>
      <c r="AI8956" s="80"/>
    </row>
    <row r="8957" spans="5:35" x14ac:dyDescent="0.25">
      <c r="E8957" s="16"/>
      <c r="F8957" s="16"/>
      <c r="H8957" s="16"/>
      <c r="AG8957" s="80"/>
      <c r="AH8957" s="80"/>
      <c r="AI8957" s="80"/>
    </row>
    <row r="8958" spans="5:35" x14ac:dyDescent="0.25">
      <c r="E8958" s="16"/>
      <c r="F8958" s="16"/>
      <c r="H8958" s="16"/>
      <c r="AG8958" s="80"/>
      <c r="AH8958" s="80"/>
      <c r="AI8958" s="80"/>
    </row>
    <row r="8959" spans="5:35" x14ac:dyDescent="0.25">
      <c r="E8959" s="16"/>
      <c r="F8959" s="16"/>
      <c r="H8959" s="16"/>
      <c r="AG8959" s="80"/>
      <c r="AH8959" s="80"/>
      <c r="AI8959" s="80"/>
    </row>
    <row r="8960" spans="5:35" x14ac:dyDescent="0.25">
      <c r="E8960" s="16"/>
      <c r="F8960" s="16"/>
      <c r="H8960" s="16"/>
      <c r="AG8960" s="80"/>
      <c r="AH8960" s="80"/>
      <c r="AI8960" s="80"/>
    </row>
    <row r="8961" spans="5:35" x14ac:dyDescent="0.25">
      <c r="E8961" s="16"/>
      <c r="F8961" s="16"/>
      <c r="H8961" s="16"/>
      <c r="AG8961" s="80"/>
      <c r="AH8961" s="80"/>
      <c r="AI8961" s="80"/>
    </row>
    <row r="8962" spans="5:35" x14ac:dyDescent="0.25">
      <c r="E8962" s="16"/>
      <c r="F8962" s="16"/>
      <c r="H8962" s="16"/>
      <c r="AG8962" s="80"/>
      <c r="AH8962" s="80"/>
      <c r="AI8962" s="80"/>
    </row>
    <row r="8963" spans="5:35" x14ac:dyDescent="0.25">
      <c r="E8963" s="16"/>
      <c r="F8963" s="16"/>
      <c r="H8963" s="16"/>
      <c r="AG8963" s="80"/>
      <c r="AH8963" s="80"/>
      <c r="AI8963" s="80"/>
    </row>
    <row r="8964" spans="5:35" x14ac:dyDescent="0.25">
      <c r="E8964" s="16"/>
      <c r="F8964" s="16"/>
      <c r="H8964" s="16"/>
      <c r="AG8964" s="80"/>
      <c r="AH8964" s="80"/>
      <c r="AI8964" s="80"/>
    </row>
    <row r="8965" spans="5:35" x14ac:dyDescent="0.25">
      <c r="E8965" s="16"/>
      <c r="F8965" s="16"/>
      <c r="H8965" s="16"/>
      <c r="AG8965" s="80"/>
      <c r="AH8965" s="80"/>
      <c r="AI8965" s="80"/>
    </row>
    <row r="8966" spans="5:35" x14ac:dyDescent="0.25">
      <c r="E8966" s="16"/>
      <c r="F8966" s="16"/>
      <c r="H8966" s="16"/>
      <c r="AG8966" s="80"/>
      <c r="AH8966" s="80"/>
      <c r="AI8966" s="80"/>
    </row>
    <row r="8967" spans="5:35" x14ac:dyDescent="0.25">
      <c r="E8967" s="16"/>
      <c r="F8967" s="16"/>
      <c r="H8967" s="16"/>
      <c r="AG8967" s="80"/>
      <c r="AH8967" s="80"/>
      <c r="AI8967" s="80"/>
    </row>
    <row r="8968" spans="5:35" x14ac:dyDescent="0.25">
      <c r="E8968" s="16"/>
      <c r="F8968" s="16"/>
      <c r="H8968" s="16"/>
      <c r="AG8968" s="80"/>
      <c r="AH8968" s="80"/>
      <c r="AI8968" s="80"/>
    </row>
    <row r="8969" spans="5:35" x14ac:dyDescent="0.25">
      <c r="E8969" s="16"/>
      <c r="F8969" s="16"/>
      <c r="H8969" s="16"/>
      <c r="AG8969" s="80"/>
      <c r="AH8969" s="80"/>
      <c r="AI8969" s="80"/>
    </row>
    <row r="8970" spans="5:35" x14ac:dyDescent="0.25">
      <c r="E8970" s="16"/>
      <c r="F8970" s="16"/>
      <c r="H8970" s="16"/>
      <c r="AG8970" s="80"/>
      <c r="AH8970" s="80"/>
      <c r="AI8970" s="80"/>
    </row>
    <row r="8971" spans="5:35" x14ac:dyDescent="0.25">
      <c r="E8971" s="16"/>
      <c r="F8971" s="16"/>
      <c r="H8971" s="16"/>
      <c r="AG8971" s="80"/>
      <c r="AH8971" s="80"/>
      <c r="AI8971" s="80"/>
    </row>
    <row r="8972" spans="5:35" x14ac:dyDescent="0.25">
      <c r="E8972" s="16"/>
      <c r="F8972" s="16"/>
      <c r="H8972" s="16"/>
      <c r="AG8972" s="80"/>
      <c r="AH8972" s="80"/>
      <c r="AI8972" s="80"/>
    </row>
    <row r="8973" spans="5:35" x14ac:dyDescent="0.25">
      <c r="E8973" s="16"/>
      <c r="F8973" s="16"/>
      <c r="H8973" s="16"/>
      <c r="AG8973" s="80"/>
      <c r="AH8973" s="80"/>
      <c r="AI8973" s="80"/>
    </row>
    <row r="8974" spans="5:35" x14ac:dyDescent="0.25">
      <c r="E8974" s="16"/>
      <c r="F8974" s="16"/>
      <c r="H8974" s="16"/>
      <c r="AG8974" s="80"/>
      <c r="AH8974" s="80"/>
      <c r="AI8974" s="80"/>
    </row>
    <row r="8975" spans="5:35" x14ac:dyDescent="0.25">
      <c r="E8975" s="16"/>
      <c r="F8975" s="16"/>
      <c r="H8975" s="16"/>
      <c r="AG8975" s="80"/>
      <c r="AH8975" s="80"/>
      <c r="AI8975" s="80"/>
    </row>
    <row r="8976" spans="5:35" x14ac:dyDescent="0.25">
      <c r="E8976" s="16"/>
      <c r="F8976" s="16"/>
      <c r="H8976" s="16"/>
      <c r="AG8976" s="80"/>
      <c r="AH8976" s="80"/>
      <c r="AI8976" s="80"/>
    </row>
    <row r="8977" spans="5:35" x14ac:dyDescent="0.25">
      <c r="E8977" s="16"/>
      <c r="F8977" s="16"/>
      <c r="H8977" s="16"/>
      <c r="AG8977" s="80"/>
      <c r="AH8977" s="80"/>
      <c r="AI8977" s="80"/>
    </row>
    <row r="8978" spans="5:35" x14ac:dyDescent="0.25">
      <c r="E8978" s="16"/>
      <c r="F8978" s="16"/>
      <c r="H8978" s="16"/>
      <c r="AG8978" s="80"/>
      <c r="AH8978" s="80"/>
      <c r="AI8978" s="80"/>
    </row>
    <row r="8979" spans="5:35" x14ac:dyDescent="0.25">
      <c r="E8979" s="16"/>
      <c r="F8979" s="16"/>
      <c r="H8979" s="16"/>
      <c r="AG8979" s="80"/>
      <c r="AH8979" s="80"/>
      <c r="AI8979" s="80"/>
    </row>
    <row r="8980" spans="5:35" x14ac:dyDescent="0.25">
      <c r="E8980" s="16"/>
      <c r="F8980" s="16"/>
      <c r="H8980" s="16"/>
      <c r="AG8980" s="80"/>
      <c r="AH8980" s="80"/>
      <c r="AI8980" s="80"/>
    </row>
    <row r="8981" spans="5:35" x14ac:dyDescent="0.25">
      <c r="E8981" s="16"/>
      <c r="F8981" s="16"/>
      <c r="H8981" s="16"/>
      <c r="AG8981" s="80"/>
      <c r="AH8981" s="80"/>
      <c r="AI8981" s="80"/>
    </row>
    <row r="8982" spans="5:35" x14ac:dyDescent="0.25">
      <c r="E8982" s="16"/>
      <c r="F8982" s="16"/>
      <c r="H8982" s="16"/>
      <c r="AG8982" s="80"/>
      <c r="AH8982" s="80"/>
      <c r="AI8982" s="80"/>
    </row>
    <row r="8983" spans="5:35" x14ac:dyDescent="0.25">
      <c r="E8983" s="16"/>
      <c r="F8983" s="16"/>
      <c r="H8983" s="16"/>
      <c r="AG8983" s="80"/>
      <c r="AH8983" s="80"/>
      <c r="AI8983" s="80"/>
    </row>
    <row r="8984" spans="5:35" x14ac:dyDescent="0.25">
      <c r="E8984" s="16"/>
      <c r="F8984" s="16"/>
      <c r="H8984" s="16"/>
      <c r="AG8984" s="80"/>
      <c r="AH8984" s="80"/>
      <c r="AI8984" s="80"/>
    </row>
    <row r="8985" spans="5:35" x14ac:dyDescent="0.25">
      <c r="E8985" s="16"/>
      <c r="F8985" s="16"/>
      <c r="H8985" s="16"/>
      <c r="AG8985" s="80"/>
      <c r="AH8985" s="80"/>
      <c r="AI8985" s="80"/>
    </row>
    <row r="8986" spans="5:35" x14ac:dyDescent="0.25">
      <c r="E8986" s="16"/>
      <c r="F8986" s="16"/>
      <c r="H8986" s="16"/>
      <c r="AG8986" s="80"/>
      <c r="AH8986" s="80"/>
      <c r="AI8986" s="80"/>
    </row>
    <row r="8987" spans="5:35" x14ac:dyDescent="0.25">
      <c r="E8987" s="16"/>
      <c r="F8987" s="16"/>
      <c r="H8987" s="16"/>
      <c r="AG8987" s="80"/>
      <c r="AH8987" s="80"/>
      <c r="AI8987" s="80"/>
    </row>
    <row r="8988" spans="5:35" x14ac:dyDescent="0.25">
      <c r="E8988" s="16"/>
      <c r="F8988" s="16"/>
      <c r="H8988" s="16"/>
      <c r="AG8988" s="80"/>
      <c r="AH8988" s="80"/>
      <c r="AI8988" s="80"/>
    </row>
    <row r="8989" spans="5:35" x14ac:dyDescent="0.25">
      <c r="E8989" s="16"/>
      <c r="F8989" s="16"/>
      <c r="H8989" s="16"/>
      <c r="AG8989" s="80"/>
      <c r="AH8989" s="80"/>
      <c r="AI8989" s="80"/>
    </row>
    <row r="8990" spans="5:35" x14ac:dyDescent="0.25">
      <c r="E8990" s="16"/>
      <c r="F8990" s="16"/>
      <c r="H8990" s="16"/>
      <c r="AG8990" s="80"/>
      <c r="AH8990" s="80"/>
      <c r="AI8990" s="80"/>
    </row>
    <row r="8991" spans="5:35" x14ac:dyDescent="0.25">
      <c r="E8991" s="16"/>
      <c r="F8991" s="16"/>
      <c r="H8991" s="16"/>
      <c r="AG8991" s="80"/>
      <c r="AH8991" s="80"/>
      <c r="AI8991" s="80"/>
    </row>
    <row r="8992" spans="5:35" x14ac:dyDescent="0.25">
      <c r="E8992" s="16"/>
      <c r="F8992" s="16"/>
      <c r="H8992" s="16"/>
      <c r="AG8992" s="80"/>
      <c r="AH8992" s="80"/>
      <c r="AI8992" s="80"/>
    </row>
    <row r="8993" spans="5:35" x14ac:dyDescent="0.25">
      <c r="E8993" s="16"/>
      <c r="F8993" s="16"/>
      <c r="H8993" s="16"/>
      <c r="AG8993" s="80"/>
      <c r="AH8993" s="80"/>
      <c r="AI8993" s="80"/>
    </row>
    <row r="8994" spans="5:35" x14ac:dyDescent="0.25">
      <c r="E8994" s="16"/>
      <c r="F8994" s="16"/>
      <c r="H8994" s="16"/>
      <c r="AG8994" s="80"/>
      <c r="AH8994" s="80"/>
      <c r="AI8994" s="80"/>
    </row>
    <row r="8995" spans="5:35" x14ac:dyDescent="0.25">
      <c r="E8995" s="16"/>
      <c r="F8995" s="16"/>
      <c r="H8995" s="16"/>
      <c r="AG8995" s="80"/>
      <c r="AH8995" s="80"/>
      <c r="AI8995" s="80"/>
    </row>
    <row r="8996" spans="5:35" x14ac:dyDescent="0.25">
      <c r="E8996" s="16"/>
      <c r="F8996" s="16"/>
      <c r="H8996" s="16"/>
      <c r="AG8996" s="80"/>
      <c r="AH8996" s="80"/>
      <c r="AI8996" s="80"/>
    </row>
    <row r="8997" spans="5:35" x14ac:dyDescent="0.25">
      <c r="E8997" s="16"/>
      <c r="F8997" s="16"/>
      <c r="H8997" s="16"/>
      <c r="AG8997" s="80"/>
      <c r="AH8997" s="80"/>
      <c r="AI8997" s="80"/>
    </row>
    <row r="8998" spans="5:35" x14ac:dyDescent="0.25">
      <c r="E8998" s="16"/>
      <c r="F8998" s="16"/>
      <c r="H8998" s="16"/>
      <c r="AG8998" s="80"/>
      <c r="AH8998" s="80"/>
      <c r="AI8998" s="80"/>
    </row>
    <row r="8999" spans="5:35" x14ac:dyDescent="0.25">
      <c r="E8999" s="16"/>
      <c r="F8999" s="16"/>
      <c r="H8999" s="16"/>
      <c r="AG8999" s="80"/>
      <c r="AH8999" s="80"/>
      <c r="AI8999" s="80"/>
    </row>
    <row r="9000" spans="5:35" x14ac:dyDescent="0.25">
      <c r="E9000" s="16"/>
      <c r="F9000" s="16"/>
      <c r="H9000" s="16"/>
      <c r="AG9000" s="80"/>
      <c r="AH9000" s="80"/>
      <c r="AI9000" s="80"/>
    </row>
    <row r="9001" spans="5:35" x14ac:dyDescent="0.25">
      <c r="E9001" s="16"/>
      <c r="F9001" s="16"/>
      <c r="H9001" s="16"/>
      <c r="AG9001" s="80"/>
      <c r="AH9001" s="80"/>
      <c r="AI9001" s="80"/>
    </row>
    <row r="9002" spans="5:35" x14ac:dyDescent="0.25">
      <c r="E9002" s="16"/>
      <c r="F9002" s="16"/>
      <c r="H9002" s="16"/>
      <c r="AG9002" s="80"/>
      <c r="AH9002" s="80"/>
      <c r="AI9002" s="80"/>
    </row>
    <row r="9003" spans="5:35" x14ac:dyDescent="0.25">
      <c r="E9003" s="16"/>
      <c r="F9003" s="16"/>
      <c r="H9003" s="16"/>
      <c r="AG9003" s="80"/>
      <c r="AH9003" s="80"/>
      <c r="AI9003" s="80"/>
    </row>
    <row r="9004" spans="5:35" x14ac:dyDescent="0.25">
      <c r="E9004" s="16"/>
      <c r="F9004" s="16"/>
      <c r="H9004" s="16"/>
      <c r="AG9004" s="80"/>
      <c r="AH9004" s="80"/>
      <c r="AI9004" s="80"/>
    </row>
    <row r="9005" spans="5:35" x14ac:dyDescent="0.25">
      <c r="E9005" s="16"/>
      <c r="F9005" s="16"/>
      <c r="H9005" s="16"/>
      <c r="AG9005" s="80"/>
      <c r="AH9005" s="80"/>
      <c r="AI9005" s="80"/>
    </row>
    <row r="9006" spans="5:35" x14ac:dyDescent="0.25">
      <c r="E9006" s="16"/>
      <c r="F9006" s="16"/>
      <c r="H9006" s="16"/>
      <c r="AG9006" s="80"/>
      <c r="AH9006" s="80"/>
      <c r="AI9006" s="80"/>
    </row>
    <row r="9007" spans="5:35" x14ac:dyDescent="0.25">
      <c r="E9007" s="16"/>
      <c r="F9007" s="16"/>
      <c r="H9007" s="16"/>
      <c r="AG9007" s="80"/>
      <c r="AH9007" s="80"/>
      <c r="AI9007" s="80"/>
    </row>
    <row r="9008" spans="5:35" x14ac:dyDescent="0.25">
      <c r="E9008" s="16"/>
      <c r="F9008" s="16"/>
      <c r="H9008" s="16"/>
      <c r="AG9008" s="80"/>
      <c r="AH9008" s="80"/>
      <c r="AI9008" s="80"/>
    </row>
    <row r="9009" spans="5:35" x14ac:dyDescent="0.25">
      <c r="E9009" s="16"/>
      <c r="F9009" s="16"/>
      <c r="H9009" s="16"/>
      <c r="AG9009" s="80"/>
      <c r="AH9009" s="80"/>
      <c r="AI9009" s="80"/>
    </row>
    <row r="9010" spans="5:35" x14ac:dyDescent="0.25">
      <c r="E9010" s="16"/>
      <c r="F9010" s="16"/>
      <c r="H9010" s="16"/>
      <c r="AG9010" s="80"/>
      <c r="AH9010" s="80"/>
      <c r="AI9010" s="80"/>
    </row>
    <row r="9011" spans="5:35" x14ac:dyDescent="0.25">
      <c r="E9011" s="16"/>
      <c r="F9011" s="16"/>
      <c r="H9011" s="16"/>
      <c r="AG9011" s="80"/>
      <c r="AH9011" s="80"/>
      <c r="AI9011" s="80"/>
    </row>
    <row r="9012" spans="5:35" x14ac:dyDescent="0.25">
      <c r="E9012" s="16"/>
      <c r="F9012" s="16"/>
      <c r="H9012" s="16"/>
      <c r="AG9012" s="80"/>
      <c r="AH9012" s="80"/>
      <c r="AI9012" s="80"/>
    </row>
    <row r="9013" spans="5:35" x14ac:dyDescent="0.25">
      <c r="E9013" s="16"/>
      <c r="F9013" s="16"/>
      <c r="H9013" s="16"/>
      <c r="AG9013" s="80"/>
      <c r="AH9013" s="80"/>
      <c r="AI9013" s="80"/>
    </row>
    <row r="9014" spans="5:35" x14ac:dyDescent="0.25">
      <c r="E9014" s="16"/>
      <c r="F9014" s="16"/>
      <c r="H9014" s="16"/>
      <c r="AG9014" s="80"/>
      <c r="AH9014" s="80"/>
      <c r="AI9014" s="80"/>
    </row>
    <row r="9015" spans="5:35" x14ac:dyDescent="0.25">
      <c r="E9015" s="16"/>
      <c r="F9015" s="16"/>
      <c r="H9015" s="16"/>
      <c r="AG9015" s="80"/>
      <c r="AH9015" s="80"/>
      <c r="AI9015" s="80"/>
    </row>
    <row r="9016" spans="5:35" x14ac:dyDescent="0.25">
      <c r="E9016" s="16"/>
      <c r="F9016" s="16"/>
      <c r="H9016" s="16"/>
      <c r="AG9016" s="80"/>
      <c r="AH9016" s="80"/>
      <c r="AI9016" s="80"/>
    </row>
    <row r="9017" spans="5:35" x14ac:dyDescent="0.25">
      <c r="E9017" s="16"/>
      <c r="F9017" s="16"/>
      <c r="H9017" s="16"/>
      <c r="AG9017" s="80"/>
      <c r="AH9017" s="80"/>
      <c r="AI9017" s="80"/>
    </row>
    <row r="9018" spans="5:35" x14ac:dyDescent="0.25">
      <c r="E9018" s="16"/>
      <c r="F9018" s="16"/>
      <c r="H9018" s="16"/>
      <c r="AG9018" s="80"/>
      <c r="AH9018" s="80"/>
      <c r="AI9018" s="80"/>
    </row>
    <row r="9019" spans="5:35" x14ac:dyDescent="0.25">
      <c r="E9019" s="16"/>
      <c r="F9019" s="16"/>
      <c r="H9019" s="16"/>
      <c r="AG9019" s="80"/>
      <c r="AH9019" s="80"/>
      <c r="AI9019" s="80"/>
    </row>
    <row r="9020" spans="5:35" x14ac:dyDescent="0.25">
      <c r="E9020" s="16"/>
      <c r="F9020" s="16"/>
      <c r="H9020" s="16"/>
      <c r="AG9020" s="80"/>
      <c r="AH9020" s="80"/>
      <c r="AI9020" s="80"/>
    </row>
    <row r="9021" spans="5:35" x14ac:dyDescent="0.25">
      <c r="E9021" s="16"/>
      <c r="F9021" s="16"/>
      <c r="H9021" s="16"/>
      <c r="AG9021" s="80"/>
      <c r="AH9021" s="80"/>
      <c r="AI9021" s="80"/>
    </row>
    <row r="9022" spans="5:35" x14ac:dyDescent="0.25">
      <c r="E9022" s="16"/>
      <c r="F9022" s="16"/>
      <c r="H9022" s="16"/>
      <c r="AG9022" s="80"/>
      <c r="AH9022" s="80"/>
      <c r="AI9022" s="80"/>
    </row>
    <row r="9023" spans="5:35" x14ac:dyDescent="0.25">
      <c r="E9023" s="16"/>
      <c r="F9023" s="16"/>
      <c r="H9023" s="16"/>
      <c r="AG9023" s="80"/>
      <c r="AH9023" s="80"/>
      <c r="AI9023" s="80"/>
    </row>
    <row r="9024" spans="5:35" x14ac:dyDescent="0.25">
      <c r="E9024" s="16"/>
      <c r="F9024" s="16"/>
      <c r="H9024" s="16"/>
      <c r="AG9024" s="80"/>
      <c r="AH9024" s="80"/>
      <c r="AI9024" s="80"/>
    </row>
    <row r="9025" spans="5:35" x14ac:dyDescent="0.25">
      <c r="E9025" s="16"/>
      <c r="F9025" s="16"/>
      <c r="H9025" s="16"/>
      <c r="AG9025" s="80"/>
      <c r="AH9025" s="80"/>
      <c r="AI9025" s="80"/>
    </row>
    <row r="9026" spans="5:35" x14ac:dyDescent="0.25">
      <c r="E9026" s="16"/>
      <c r="F9026" s="16"/>
      <c r="H9026" s="16"/>
      <c r="AG9026" s="80"/>
      <c r="AH9026" s="80"/>
      <c r="AI9026" s="80"/>
    </row>
    <row r="9027" spans="5:35" x14ac:dyDescent="0.25">
      <c r="E9027" s="16"/>
      <c r="F9027" s="16"/>
      <c r="H9027" s="16"/>
      <c r="AG9027" s="80"/>
      <c r="AH9027" s="80"/>
      <c r="AI9027" s="80"/>
    </row>
    <row r="9028" spans="5:35" x14ac:dyDescent="0.25">
      <c r="E9028" s="16"/>
      <c r="F9028" s="16"/>
      <c r="H9028" s="16"/>
      <c r="AG9028" s="80"/>
      <c r="AH9028" s="80"/>
      <c r="AI9028" s="80"/>
    </row>
    <row r="9029" spans="5:35" x14ac:dyDescent="0.25">
      <c r="E9029" s="16"/>
      <c r="F9029" s="16"/>
      <c r="H9029" s="16"/>
      <c r="AG9029" s="80"/>
      <c r="AH9029" s="80"/>
      <c r="AI9029" s="80"/>
    </row>
    <row r="9030" spans="5:35" x14ac:dyDescent="0.25">
      <c r="E9030" s="16"/>
      <c r="F9030" s="16"/>
      <c r="H9030" s="16"/>
      <c r="AG9030" s="80"/>
      <c r="AH9030" s="80"/>
      <c r="AI9030" s="80"/>
    </row>
    <row r="9031" spans="5:35" x14ac:dyDescent="0.25">
      <c r="E9031" s="16"/>
      <c r="F9031" s="16"/>
      <c r="H9031" s="16"/>
      <c r="AG9031" s="80"/>
      <c r="AH9031" s="80"/>
      <c r="AI9031" s="80"/>
    </row>
    <row r="9032" spans="5:35" x14ac:dyDescent="0.25">
      <c r="E9032" s="16"/>
      <c r="F9032" s="16"/>
      <c r="H9032" s="16"/>
      <c r="AG9032" s="80"/>
      <c r="AH9032" s="80"/>
      <c r="AI9032" s="80"/>
    </row>
    <row r="9033" spans="5:35" x14ac:dyDescent="0.25">
      <c r="E9033" s="16"/>
      <c r="F9033" s="16"/>
      <c r="H9033" s="16"/>
      <c r="AG9033" s="80"/>
      <c r="AH9033" s="80"/>
      <c r="AI9033" s="80"/>
    </row>
    <row r="9034" spans="5:35" x14ac:dyDescent="0.25">
      <c r="E9034" s="16"/>
      <c r="F9034" s="16"/>
      <c r="H9034" s="16"/>
      <c r="AG9034" s="80"/>
      <c r="AH9034" s="80"/>
      <c r="AI9034" s="80"/>
    </row>
    <row r="9035" spans="5:35" x14ac:dyDescent="0.25">
      <c r="E9035" s="16"/>
      <c r="F9035" s="16"/>
      <c r="H9035" s="16"/>
      <c r="AG9035" s="80"/>
      <c r="AH9035" s="80"/>
      <c r="AI9035" s="80"/>
    </row>
    <row r="9036" spans="5:35" x14ac:dyDescent="0.25">
      <c r="E9036" s="16"/>
      <c r="F9036" s="16"/>
      <c r="H9036" s="16"/>
      <c r="AG9036" s="80"/>
      <c r="AH9036" s="80"/>
      <c r="AI9036" s="80"/>
    </row>
    <row r="9037" spans="5:35" x14ac:dyDescent="0.25">
      <c r="E9037" s="16"/>
      <c r="F9037" s="16"/>
      <c r="H9037" s="16"/>
      <c r="AG9037" s="80"/>
      <c r="AH9037" s="80"/>
      <c r="AI9037" s="80"/>
    </row>
    <row r="9038" spans="5:35" x14ac:dyDescent="0.25">
      <c r="E9038" s="16"/>
      <c r="F9038" s="16"/>
      <c r="H9038" s="16"/>
      <c r="AG9038" s="80"/>
      <c r="AH9038" s="80"/>
      <c r="AI9038" s="80"/>
    </row>
    <row r="9039" spans="5:35" x14ac:dyDescent="0.25">
      <c r="E9039" s="16"/>
      <c r="F9039" s="16"/>
      <c r="H9039" s="16"/>
      <c r="AG9039" s="80"/>
      <c r="AH9039" s="80"/>
      <c r="AI9039" s="80"/>
    </row>
    <row r="9040" spans="5:35" x14ac:dyDescent="0.25">
      <c r="E9040" s="16"/>
      <c r="F9040" s="16"/>
      <c r="H9040" s="16"/>
      <c r="AG9040" s="80"/>
      <c r="AH9040" s="80"/>
      <c r="AI9040" s="80"/>
    </row>
    <row r="9041" spans="5:35" x14ac:dyDescent="0.25">
      <c r="E9041" s="16"/>
      <c r="F9041" s="16"/>
      <c r="H9041" s="16"/>
      <c r="AG9041" s="80"/>
      <c r="AH9041" s="80"/>
      <c r="AI9041" s="80"/>
    </row>
    <row r="9042" spans="5:35" x14ac:dyDescent="0.25">
      <c r="E9042" s="16"/>
      <c r="F9042" s="16"/>
      <c r="H9042" s="16"/>
      <c r="AG9042" s="80"/>
      <c r="AH9042" s="80"/>
      <c r="AI9042" s="80"/>
    </row>
    <row r="9043" spans="5:35" x14ac:dyDescent="0.25">
      <c r="E9043" s="16"/>
      <c r="F9043" s="16"/>
      <c r="H9043" s="16"/>
      <c r="AG9043" s="80"/>
      <c r="AH9043" s="80"/>
      <c r="AI9043" s="80"/>
    </row>
    <row r="9044" spans="5:35" x14ac:dyDescent="0.25">
      <c r="E9044" s="16"/>
      <c r="F9044" s="16"/>
      <c r="H9044" s="16"/>
      <c r="AG9044" s="80"/>
      <c r="AH9044" s="80"/>
      <c r="AI9044" s="80"/>
    </row>
    <row r="9045" spans="5:35" x14ac:dyDescent="0.25">
      <c r="E9045" s="16"/>
      <c r="F9045" s="16"/>
      <c r="H9045" s="16"/>
      <c r="AG9045" s="80"/>
      <c r="AH9045" s="80"/>
      <c r="AI9045" s="80"/>
    </row>
    <row r="9046" spans="5:35" x14ac:dyDescent="0.25">
      <c r="E9046" s="16"/>
      <c r="F9046" s="16"/>
      <c r="H9046" s="16"/>
      <c r="AG9046" s="80"/>
      <c r="AH9046" s="80"/>
      <c r="AI9046" s="80"/>
    </row>
    <row r="9047" spans="5:35" x14ac:dyDescent="0.25">
      <c r="E9047" s="16"/>
      <c r="F9047" s="16"/>
      <c r="H9047" s="16"/>
      <c r="AG9047" s="80"/>
      <c r="AH9047" s="80"/>
      <c r="AI9047" s="80"/>
    </row>
    <row r="9048" spans="5:35" x14ac:dyDescent="0.25">
      <c r="E9048" s="16"/>
      <c r="F9048" s="16"/>
      <c r="H9048" s="16"/>
      <c r="AG9048" s="80"/>
      <c r="AH9048" s="80"/>
      <c r="AI9048" s="80"/>
    </row>
    <row r="9049" spans="5:35" x14ac:dyDescent="0.25">
      <c r="E9049" s="16"/>
      <c r="F9049" s="16"/>
      <c r="H9049" s="16"/>
      <c r="AG9049" s="80"/>
      <c r="AH9049" s="80"/>
      <c r="AI9049" s="80"/>
    </row>
    <row r="9050" spans="5:35" x14ac:dyDescent="0.25">
      <c r="E9050" s="16"/>
      <c r="F9050" s="16"/>
      <c r="H9050" s="16"/>
      <c r="AG9050" s="80"/>
      <c r="AH9050" s="80"/>
      <c r="AI9050" s="80"/>
    </row>
    <row r="9051" spans="5:35" x14ac:dyDescent="0.25">
      <c r="E9051" s="16"/>
      <c r="F9051" s="16"/>
      <c r="H9051" s="16"/>
      <c r="AG9051" s="80"/>
      <c r="AH9051" s="80"/>
      <c r="AI9051" s="80"/>
    </row>
    <row r="9052" spans="5:35" x14ac:dyDescent="0.25">
      <c r="E9052" s="16"/>
      <c r="F9052" s="16"/>
      <c r="H9052" s="16"/>
      <c r="AG9052" s="80"/>
      <c r="AH9052" s="80"/>
      <c r="AI9052" s="80"/>
    </row>
    <row r="9053" spans="5:35" x14ac:dyDescent="0.25">
      <c r="E9053" s="16"/>
      <c r="F9053" s="16"/>
      <c r="H9053" s="16"/>
      <c r="AG9053" s="80"/>
      <c r="AH9053" s="80"/>
      <c r="AI9053" s="80"/>
    </row>
    <row r="9054" spans="5:35" x14ac:dyDescent="0.25">
      <c r="E9054" s="16"/>
      <c r="F9054" s="16"/>
      <c r="H9054" s="16"/>
      <c r="AG9054" s="80"/>
      <c r="AH9054" s="80"/>
      <c r="AI9054" s="80"/>
    </row>
    <row r="9055" spans="5:35" x14ac:dyDescent="0.25">
      <c r="E9055" s="16"/>
      <c r="F9055" s="16"/>
      <c r="H9055" s="16"/>
      <c r="AG9055" s="80"/>
      <c r="AH9055" s="80"/>
      <c r="AI9055" s="80"/>
    </row>
    <row r="9056" spans="5:35" x14ac:dyDescent="0.25">
      <c r="E9056" s="16"/>
      <c r="F9056" s="16"/>
      <c r="H9056" s="16"/>
      <c r="AG9056" s="80"/>
      <c r="AH9056" s="80"/>
      <c r="AI9056" s="80"/>
    </row>
    <row r="9057" spans="5:35" x14ac:dyDescent="0.25">
      <c r="E9057" s="16"/>
      <c r="F9057" s="16"/>
      <c r="H9057" s="16"/>
      <c r="AG9057" s="80"/>
      <c r="AH9057" s="80"/>
      <c r="AI9057" s="80"/>
    </row>
    <row r="9058" spans="5:35" x14ac:dyDescent="0.25">
      <c r="E9058" s="16"/>
      <c r="F9058" s="16"/>
      <c r="H9058" s="16"/>
      <c r="AG9058" s="80"/>
      <c r="AH9058" s="80"/>
      <c r="AI9058" s="80"/>
    </row>
    <row r="9059" spans="5:35" x14ac:dyDescent="0.25">
      <c r="E9059" s="16"/>
      <c r="F9059" s="16"/>
      <c r="H9059" s="16"/>
      <c r="AG9059" s="80"/>
      <c r="AH9059" s="80"/>
      <c r="AI9059" s="80"/>
    </row>
    <row r="9060" spans="5:35" x14ac:dyDescent="0.25">
      <c r="E9060" s="16"/>
      <c r="F9060" s="16"/>
      <c r="H9060" s="16"/>
      <c r="AG9060" s="80"/>
      <c r="AH9060" s="80"/>
      <c r="AI9060" s="80"/>
    </row>
    <row r="9061" spans="5:35" x14ac:dyDescent="0.25">
      <c r="E9061" s="16"/>
      <c r="F9061" s="16"/>
      <c r="H9061" s="16"/>
      <c r="AG9061" s="80"/>
      <c r="AH9061" s="80"/>
      <c r="AI9061" s="80"/>
    </row>
    <row r="9062" spans="5:35" x14ac:dyDescent="0.25">
      <c r="E9062" s="16"/>
      <c r="F9062" s="16"/>
      <c r="H9062" s="16"/>
      <c r="AG9062" s="80"/>
      <c r="AH9062" s="80"/>
      <c r="AI9062" s="80"/>
    </row>
    <row r="9063" spans="5:35" x14ac:dyDescent="0.25">
      <c r="E9063" s="16"/>
      <c r="F9063" s="16"/>
      <c r="H9063" s="16"/>
      <c r="AG9063" s="80"/>
      <c r="AH9063" s="80"/>
      <c r="AI9063" s="80"/>
    </row>
    <row r="9064" spans="5:35" x14ac:dyDescent="0.25">
      <c r="E9064" s="16"/>
      <c r="F9064" s="16"/>
      <c r="H9064" s="16"/>
      <c r="AG9064" s="80"/>
      <c r="AH9064" s="80"/>
      <c r="AI9064" s="80"/>
    </row>
    <row r="9065" spans="5:35" x14ac:dyDescent="0.25">
      <c r="E9065" s="16"/>
      <c r="F9065" s="16"/>
      <c r="H9065" s="16"/>
      <c r="AG9065" s="80"/>
      <c r="AH9065" s="80"/>
      <c r="AI9065" s="80"/>
    </row>
    <row r="9066" spans="5:35" x14ac:dyDescent="0.25">
      <c r="E9066" s="16"/>
      <c r="F9066" s="16"/>
      <c r="H9066" s="16"/>
      <c r="AG9066" s="80"/>
      <c r="AH9066" s="80"/>
      <c r="AI9066" s="80"/>
    </row>
    <row r="9067" spans="5:35" x14ac:dyDescent="0.25">
      <c r="E9067" s="16"/>
      <c r="F9067" s="16"/>
      <c r="H9067" s="16"/>
      <c r="AG9067" s="80"/>
      <c r="AH9067" s="80"/>
      <c r="AI9067" s="80"/>
    </row>
    <row r="9068" spans="5:35" x14ac:dyDescent="0.25">
      <c r="E9068" s="16"/>
      <c r="F9068" s="16"/>
      <c r="H9068" s="16"/>
      <c r="AG9068" s="80"/>
      <c r="AH9068" s="80"/>
      <c r="AI9068" s="80"/>
    </row>
    <row r="9069" spans="5:35" x14ac:dyDescent="0.25">
      <c r="E9069" s="16"/>
      <c r="F9069" s="16"/>
      <c r="H9069" s="16"/>
      <c r="AG9069" s="80"/>
      <c r="AH9069" s="80"/>
      <c r="AI9069" s="80"/>
    </row>
    <row r="9070" spans="5:35" x14ac:dyDescent="0.25">
      <c r="E9070" s="16"/>
      <c r="F9070" s="16"/>
      <c r="H9070" s="16"/>
      <c r="AG9070" s="80"/>
      <c r="AH9070" s="80"/>
      <c r="AI9070" s="80"/>
    </row>
    <row r="9071" spans="5:35" x14ac:dyDescent="0.25">
      <c r="E9071" s="16"/>
      <c r="F9071" s="16"/>
      <c r="H9071" s="16"/>
      <c r="AG9071" s="80"/>
      <c r="AH9071" s="80"/>
      <c r="AI9071" s="80"/>
    </row>
    <row r="9072" spans="5:35" x14ac:dyDescent="0.25">
      <c r="E9072" s="16"/>
      <c r="F9072" s="16"/>
      <c r="H9072" s="16"/>
      <c r="AG9072" s="80"/>
      <c r="AH9072" s="80"/>
      <c r="AI9072" s="80"/>
    </row>
    <row r="9073" spans="5:35" x14ac:dyDescent="0.25">
      <c r="E9073" s="16"/>
      <c r="F9073" s="16"/>
      <c r="H9073" s="16"/>
      <c r="AG9073" s="80"/>
      <c r="AH9073" s="80"/>
      <c r="AI9073" s="80"/>
    </row>
    <row r="9074" spans="5:35" x14ac:dyDescent="0.25">
      <c r="E9074" s="16"/>
      <c r="F9074" s="16"/>
      <c r="H9074" s="16"/>
      <c r="AG9074" s="80"/>
      <c r="AH9074" s="80"/>
      <c r="AI9074" s="80"/>
    </row>
    <row r="9075" spans="5:35" x14ac:dyDescent="0.25">
      <c r="E9075" s="16"/>
      <c r="F9075" s="16"/>
      <c r="H9075" s="16"/>
      <c r="AG9075" s="80"/>
      <c r="AH9075" s="80"/>
      <c r="AI9075" s="80"/>
    </row>
    <row r="9076" spans="5:35" x14ac:dyDescent="0.25">
      <c r="E9076" s="16"/>
      <c r="F9076" s="16"/>
      <c r="H9076" s="16"/>
      <c r="AG9076" s="80"/>
      <c r="AH9076" s="80"/>
      <c r="AI9076" s="80"/>
    </row>
    <row r="9077" spans="5:35" x14ac:dyDescent="0.25">
      <c r="E9077" s="16"/>
      <c r="F9077" s="16"/>
      <c r="H9077" s="16"/>
      <c r="AG9077" s="80"/>
      <c r="AH9077" s="80"/>
      <c r="AI9077" s="80"/>
    </row>
    <row r="9078" spans="5:35" x14ac:dyDescent="0.25">
      <c r="E9078" s="16"/>
      <c r="F9078" s="16"/>
      <c r="H9078" s="16"/>
      <c r="AG9078" s="80"/>
      <c r="AH9078" s="80"/>
      <c r="AI9078" s="80"/>
    </row>
    <row r="9079" spans="5:35" x14ac:dyDescent="0.25">
      <c r="E9079" s="16"/>
      <c r="F9079" s="16"/>
      <c r="H9079" s="16"/>
      <c r="AG9079" s="80"/>
      <c r="AH9079" s="80"/>
      <c r="AI9079" s="80"/>
    </row>
    <row r="9080" spans="5:35" x14ac:dyDescent="0.25">
      <c r="E9080" s="16"/>
      <c r="F9080" s="16"/>
      <c r="H9080" s="16"/>
      <c r="AG9080" s="80"/>
      <c r="AH9080" s="80"/>
      <c r="AI9080" s="80"/>
    </row>
    <row r="9081" spans="5:35" x14ac:dyDescent="0.25">
      <c r="E9081" s="16"/>
      <c r="F9081" s="16"/>
      <c r="H9081" s="16"/>
      <c r="AG9081" s="80"/>
      <c r="AH9081" s="80"/>
      <c r="AI9081" s="80"/>
    </row>
    <row r="9082" spans="5:35" x14ac:dyDescent="0.25">
      <c r="E9082" s="16"/>
      <c r="F9082" s="16"/>
      <c r="H9082" s="16"/>
      <c r="AG9082" s="80"/>
      <c r="AH9082" s="80"/>
      <c r="AI9082" s="80"/>
    </row>
    <row r="9083" spans="5:35" x14ac:dyDescent="0.25">
      <c r="E9083" s="16"/>
      <c r="F9083" s="16"/>
      <c r="H9083" s="16"/>
      <c r="AG9083" s="80"/>
      <c r="AH9083" s="80"/>
      <c r="AI9083" s="80"/>
    </row>
    <row r="9084" spans="5:35" x14ac:dyDescent="0.25">
      <c r="E9084" s="16"/>
      <c r="F9084" s="16"/>
      <c r="H9084" s="16"/>
      <c r="AG9084" s="80"/>
      <c r="AH9084" s="80"/>
      <c r="AI9084" s="80"/>
    </row>
    <row r="9085" spans="5:35" x14ac:dyDescent="0.25">
      <c r="E9085" s="16"/>
      <c r="F9085" s="16"/>
      <c r="H9085" s="16"/>
      <c r="AG9085" s="80"/>
      <c r="AH9085" s="80"/>
      <c r="AI9085" s="80"/>
    </row>
    <row r="9086" spans="5:35" x14ac:dyDescent="0.25">
      <c r="E9086" s="16"/>
      <c r="F9086" s="16"/>
      <c r="H9086" s="16"/>
      <c r="AG9086" s="80"/>
      <c r="AH9086" s="80"/>
      <c r="AI9086" s="80"/>
    </row>
    <row r="9087" spans="5:35" x14ac:dyDescent="0.25">
      <c r="E9087" s="16"/>
      <c r="F9087" s="16"/>
      <c r="H9087" s="16"/>
      <c r="AG9087" s="80"/>
      <c r="AH9087" s="80"/>
      <c r="AI9087" s="80"/>
    </row>
    <row r="9088" spans="5:35" x14ac:dyDescent="0.25">
      <c r="E9088" s="16"/>
      <c r="F9088" s="16"/>
      <c r="H9088" s="16"/>
      <c r="AG9088" s="80"/>
      <c r="AH9088" s="80"/>
      <c r="AI9088" s="80"/>
    </row>
    <row r="9089" spans="5:35" x14ac:dyDescent="0.25">
      <c r="E9089" s="16"/>
      <c r="F9089" s="16"/>
      <c r="H9089" s="16"/>
      <c r="AG9089" s="80"/>
      <c r="AH9089" s="80"/>
      <c r="AI9089" s="80"/>
    </row>
    <row r="9090" spans="5:35" x14ac:dyDescent="0.25">
      <c r="E9090" s="16"/>
      <c r="F9090" s="16"/>
      <c r="H9090" s="16"/>
      <c r="AG9090" s="80"/>
      <c r="AH9090" s="80"/>
      <c r="AI9090" s="80"/>
    </row>
    <row r="9091" spans="5:35" x14ac:dyDescent="0.25">
      <c r="E9091" s="16"/>
      <c r="F9091" s="16"/>
      <c r="H9091" s="16"/>
      <c r="AG9091" s="80"/>
      <c r="AH9091" s="80"/>
      <c r="AI9091" s="80"/>
    </row>
    <row r="9092" spans="5:35" x14ac:dyDescent="0.25">
      <c r="E9092" s="16"/>
      <c r="F9092" s="16"/>
      <c r="H9092" s="16"/>
      <c r="AG9092" s="80"/>
      <c r="AH9092" s="80"/>
      <c r="AI9092" s="80"/>
    </row>
    <row r="9093" spans="5:35" x14ac:dyDescent="0.25">
      <c r="E9093" s="16"/>
      <c r="F9093" s="16"/>
      <c r="H9093" s="16"/>
      <c r="AG9093" s="80"/>
      <c r="AH9093" s="80"/>
      <c r="AI9093" s="80"/>
    </row>
    <row r="9094" spans="5:35" x14ac:dyDescent="0.25">
      <c r="E9094" s="16"/>
      <c r="F9094" s="16"/>
      <c r="H9094" s="16"/>
      <c r="AG9094" s="80"/>
      <c r="AH9094" s="80"/>
      <c r="AI9094" s="80"/>
    </row>
    <row r="9095" spans="5:35" x14ac:dyDescent="0.25">
      <c r="E9095" s="16"/>
      <c r="F9095" s="16"/>
      <c r="H9095" s="16"/>
      <c r="AG9095" s="80"/>
      <c r="AH9095" s="80"/>
      <c r="AI9095" s="80"/>
    </row>
    <row r="9096" spans="5:35" x14ac:dyDescent="0.25">
      <c r="E9096" s="16"/>
      <c r="F9096" s="16"/>
      <c r="H9096" s="16"/>
      <c r="AG9096" s="80"/>
      <c r="AH9096" s="80"/>
      <c r="AI9096" s="80"/>
    </row>
    <row r="9097" spans="5:35" x14ac:dyDescent="0.25">
      <c r="E9097" s="16"/>
      <c r="F9097" s="16"/>
      <c r="H9097" s="16"/>
      <c r="AG9097" s="80"/>
      <c r="AH9097" s="80"/>
      <c r="AI9097" s="80"/>
    </row>
    <row r="9098" spans="5:35" x14ac:dyDescent="0.25">
      <c r="E9098" s="16"/>
      <c r="F9098" s="16"/>
      <c r="H9098" s="16"/>
      <c r="AG9098" s="80"/>
      <c r="AH9098" s="80"/>
      <c r="AI9098" s="80"/>
    </row>
    <row r="9099" spans="5:35" x14ac:dyDescent="0.25">
      <c r="E9099" s="16"/>
      <c r="F9099" s="16"/>
      <c r="H9099" s="16"/>
      <c r="AG9099" s="80"/>
      <c r="AH9099" s="80"/>
      <c r="AI9099" s="80"/>
    </row>
    <row r="9100" spans="5:35" x14ac:dyDescent="0.25">
      <c r="E9100" s="16"/>
      <c r="F9100" s="16"/>
      <c r="H9100" s="16"/>
      <c r="AG9100" s="80"/>
      <c r="AH9100" s="80"/>
      <c r="AI9100" s="80"/>
    </row>
    <row r="9101" spans="5:35" x14ac:dyDescent="0.25">
      <c r="E9101" s="16"/>
      <c r="F9101" s="16"/>
      <c r="H9101" s="16"/>
      <c r="AG9101" s="80"/>
      <c r="AH9101" s="80"/>
      <c r="AI9101" s="80"/>
    </row>
    <row r="9102" spans="5:35" x14ac:dyDescent="0.25">
      <c r="E9102" s="16"/>
      <c r="F9102" s="16"/>
      <c r="H9102" s="16"/>
      <c r="AG9102" s="80"/>
      <c r="AH9102" s="80"/>
      <c r="AI9102" s="80"/>
    </row>
    <row r="9103" spans="5:35" x14ac:dyDescent="0.25">
      <c r="E9103" s="16"/>
      <c r="F9103" s="16"/>
      <c r="H9103" s="16"/>
      <c r="AG9103" s="80"/>
      <c r="AH9103" s="80"/>
      <c r="AI9103" s="80"/>
    </row>
    <row r="9104" spans="5:35" x14ac:dyDescent="0.25">
      <c r="E9104" s="16"/>
      <c r="F9104" s="16"/>
      <c r="H9104" s="16"/>
      <c r="AG9104" s="80"/>
      <c r="AH9104" s="80"/>
      <c r="AI9104" s="80"/>
    </row>
    <row r="9105" spans="5:35" x14ac:dyDescent="0.25">
      <c r="E9105" s="16"/>
      <c r="F9105" s="16"/>
      <c r="H9105" s="16"/>
      <c r="AG9105" s="80"/>
      <c r="AH9105" s="80"/>
      <c r="AI9105" s="80"/>
    </row>
    <row r="9106" spans="5:35" x14ac:dyDescent="0.25">
      <c r="E9106" s="16"/>
      <c r="F9106" s="16"/>
      <c r="H9106" s="16"/>
      <c r="AG9106" s="80"/>
      <c r="AH9106" s="80"/>
      <c r="AI9106" s="80"/>
    </row>
    <row r="9107" spans="5:35" x14ac:dyDescent="0.25">
      <c r="E9107" s="16"/>
      <c r="F9107" s="16"/>
      <c r="H9107" s="16"/>
      <c r="AG9107" s="80"/>
      <c r="AH9107" s="80"/>
      <c r="AI9107" s="80"/>
    </row>
    <row r="9108" spans="5:35" x14ac:dyDescent="0.25">
      <c r="E9108" s="16"/>
      <c r="F9108" s="16"/>
      <c r="H9108" s="16"/>
      <c r="AG9108" s="80"/>
      <c r="AH9108" s="80"/>
      <c r="AI9108" s="80"/>
    </row>
    <row r="9109" spans="5:35" x14ac:dyDescent="0.25">
      <c r="E9109" s="16"/>
      <c r="F9109" s="16"/>
      <c r="H9109" s="16"/>
      <c r="AG9109" s="80"/>
      <c r="AH9109" s="80"/>
      <c r="AI9109" s="80"/>
    </row>
    <row r="9110" spans="5:35" x14ac:dyDescent="0.25">
      <c r="E9110" s="16"/>
      <c r="F9110" s="16"/>
      <c r="H9110" s="16"/>
      <c r="AG9110" s="80"/>
      <c r="AH9110" s="80"/>
      <c r="AI9110" s="80"/>
    </row>
    <row r="9111" spans="5:35" x14ac:dyDescent="0.25">
      <c r="E9111" s="16"/>
      <c r="F9111" s="16"/>
      <c r="H9111" s="16"/>
      <c r="AG9111" s="80"/>
      <c r="AH9111" s="80"/>
      <c r="AI9111" s="80"/>
    </row>
    <row r="9112" spans="5:35" x14ac:dyDescent="0.25">
      <c r="E9112" s="16"/>
      <c r="F9112" s="16"/>
      <c r="H9112" s="16"/>
      <c r="AG9112" s="80"/>
      <c r="AH9112" s="80"/>
      <c r="AI9112" s="80"/>
    </row>
    <row r="9113" spans="5:35" x14ac:dyDescent="0.25">
      <c r="E9113" s="16"/>
      <c r="F9113" s="16"/>
      <c r="H9113" s="16"/>
      <c r="AG9113" s="80"/>
      <c r="AH9113" s="80"/>
      <c r="AI9113" s="80"/>
    </row>
    <row r="9114" spans="5:35" x14ac:dyDescent="0.25">
      <c r="E9114" s="16"/>
      <c r="F9114" s="16"/>
      <c r="H9114" s="16"/>
      <c r="AG9114" s="80"/>
      <c r="AH9114" s="80"/>
      <c r="AI9114" s="80"/>
    </row>
    <row r="9115" spans="5:35" x14ac:dyDescent="0.25">
      <c r="E9115" s="16"/>
      <c r="F9115" s="16"/>
      <c r="H9115" s="16"/>
      <c r="AG9115" s="80"/>
      <c r="AH9115" s="80"/>
      <c r="AI9115" s="80"/>
    </row>
    <row r="9116" spans="5:35" x14ac:dyDescent="0.25">
      <c r="E9116" s="16"/>
      <c r="F9116" s="16"/>
      <c r="H9116" s="16"/>
      <c r="AG9116" s="80"/>
      <c r="AH9116" s="80"/>
      <c r="AI9116" s="80"/>
    </row>
    <row r="9117" spans="5:35" x14ac:dyDescent="0.25">
      <c r="E9117" s="16"/>
      <c r="F9117" s="16"/>
      <c r="H9117" s="16"/>
      <c r="AG9117" s="80"/>
      <c r="AH9117" s="80"/>
      <c r="AI9117" s="80"/>
    </row>
    <row r="9118" spans="5:35" x14ac:dyDescent="0.25">
      <c r="E9118" s="16"/>
      <c r="F9118" s="16"/>
      <c r="H9118" s="16"/>
      <c r="AG9118" s="80"/>
      <c r="AH9118" s="80"/>
      <c r="AI9118" s="80"/>
    </row>
    <row r="9119" spans="5:35" x14ac:dyDescent="0.25">
      <c r="E9119" s="16"/>
      <c r="F9119" s="16"/>
      <c r="H9119" s="16"/>
      <c r="AG9119" s="80"/>
      <c r="AH9119" s="80"/>
      <c r="AI9119" s="80"/>
    </row>
    <row r="9120" spans="5:35" x14ac:dyDescent="0.25">
      <c r="E9120" s="16"/>
      <c r="F9120" s="16"/>
      <c r="H9120" s="16"/>
      <c r="AG9120" s="80"/>
      <c r="AH9120" s="80"/>
      <c r="AI9120" s="80"/>
    </row>
    <row r="9121" spans="5:35" x14ac:dyDescent="0.25">
      <c r="E9121" s="16"/>
      <c r="F9121" s="16"/>
      <c r="H9121" s="16"/>
      <c r="AG9121" s="80"/>
      <c r="AH9121" s="80"/>
      <c r="AI9121" s="80"/>
    </row>
    <row r="9122" spans="5:35" x14ac:dyDescent="0.25">
      <c r="E9122" s="16"/>
      <c r="F9122" s="16"/>
      <c r="H9122" s="16"/>
      <c r="AG9122" s="80"/>
      <c r="AH9122" s="80"/>
      <c r="AI9122" s="80"/>
    </row>
    <row r="9123" spans="5:35" x14ac:dyDescent="0.25">
      <c r="E9123" s="16"/>
      <c r="F9123" s="16"/>
      <c r="H9123" s="16"/>
      <c r="AG9123" s="80"/>
      <c r="AH9123" s="80"/>
      <c r="AI9123" s="80"/>
    </row>
    <row r="9124" spans="5:35" x14ac:dyDescent="0.25">
      <c r="E9124" s="16"/>
      <c r="F9124" s="16"/>
      <c r="H9124" s="16"/>
      <c r="AG9124" s="80"/>
      <c r="AH9124" s="80"/>
      <c r="AI9124" s="80"/>
    </row>
    <row r="9125" spans="5:35" x14ac:dyDescent="0.25">
      <c r="E9125" s="16"/>
      <c r="F9125" s="16"/>
      <c r="H9125" s="16"/>
      <c r="AG9125" s="80"/>
      <c r="AH9125" s="80"/>
      <c r="AI9125" s="80"/>
    </row>
    <row r="9126" spans="5:35" x14ac:dyDescent="0.25">
      <c r="E9126" s="16"/>
      <c r="F9126" s="16"/>
      <c r="H9126" s="16"/>
      <c r="AG9126" s="80"/>
      <c r="AH9126" s="80"/>
      <c r="AI9126" s="80"/>
    </row>
    <row r="9127" spans="5:35" x14ac:dyDescent="0.25">
      <c r="E9127" s="16"/>
      <c r="F9127" s="16"/>
      <c r="H9127" s="16"/>
      <c r="AG9127" s="80"/>
      <c r="AH9127" s="80"/>
      <c r="AI9127" s="80"/>
    </row>
    <row r="9128" spans="5:35" x14ac:dyDescent="0.25">
      <c r="E9128" s="16"/>
      <c r="F9128" s="16"/>
      <c r="H9128" s="16"/>
      <c r="AG9128" s="80"/>
      <c r="AH9128" s="80"/>
      <c r="AI9128" s="80"/>
    </row>
    <row r="9129" spans="5:35" x14ac:dyDescent="0.25">
      <c r="E9129" s="16"/>
      <c r="F9129" s="16"/>
      <c r="H9129" s="16"/>
      <c r="AG9129" s="80"/>
      <c r="AH9129" s="80"/>
      <c r="AI9129" s="80"/>
    </row>
    <row r="9130" spans="5:35" x14ac:dyDescent="0.25">
      <c r="E9130" s="16"/>
      <c r="F9130" s="16"/>
      <c r="H9130" s="16"/>
      <c r="AG9130" s="80"/>
      <c r="AH9130" s="80"/>
      <c r="AI9130" s="80"/>
    </row>
    <row r="9131" spans="5:35" x14ac:dyDescent="0.25">
      <c r="E9131" s="16"/>
      <c r="F9131" s="16"/>
      <c r="H9131" s="16"/>
      <c r="AG9131" s="80"/>
      <c r="AH9131" s="80"/>
      <c r="AI9131" s="80"/>
    </row>
    <row r="9132" spans="5:35" x14ac:dyDescent="0.25">
      <c r="E9132" s="16"/>
      <c r="F9132" s="16"/>
      <c r="H9132" s="16"/>
      <c r="AG9132" s="80"/>
      <c r="AH9132" s="80"/>
      <c r="AI9132" s="80"/>
    </row>
    <row r="9133" spans="5:35" x14ac:dyDescent="0.25">
      <c r="E9133" s="16"/>
      <c r="F9133" s="16"/>
      <c r="H9133" s="16"/>
      <c r="AG9133" s="80"/>
      <c r="AH9133" s="80"/>
      <c r="AI9133" s="80"/>
    </row>
    <row r="9134" spans="5:35" x14ac:dyDescent="0.25">
      <c r="E9134" s="16"/>
      <c r="F9134" s="16"/>
      <c r="H9134" s="16"/>
      <c r="AG9134" s="80"/>
      <c r="AH9134" s="80"/>
      <c r="AI9134" s="80"/>
    </row>
    <row r="9135" spans="5:35" x14ac:dyDescent="0.25">
      <c r="E9135" s="16"/>
      <c r="F9135" s="16"/>
      <c r="H9135" s="16"/>
      <c r="AG9135" s="80"/>
      <c r="AH9135" s="80"/>
      <c r="AI9135" s="80"/>
    </row>
    <row r="9136" spans="5:35" x14ac:dyDescent="0.25">
      <c r="E9136" s="16"/>
      <c r="F9136" s="16"/>
      <c r="H9136" s="16"/>
      <c r="AG9136" s="80"/>
      <c r="AH9136" s="80"/>
      <c r="AI9136" s="80"/>
    </row>
    <row r="9137" spans="5:35" x14ac:dyDescent="0.25">
      <c r="E9137" s="16"/>
      <c r="F9137" s="16"/>
      <c r="H9137" s="16"/>
      <c r="AG9137" s="80"/>
      <c r="AH9137" s="80"/>
      <c r="AI9137" s="80"/>
    </row>
    <row r="9138" spans="5:35" x14ac:dyDescent="0.25">
      <c r="E9138" s="16"/>
      <c r="F9138" s="16"/>
      <c r="H9138" s="16"/>
      <c r="AG9138" s="80"/>
      <c r="AH9138" s="80"/>
      <c r="AI9138" s="80"/>
    </row>
    <row r="9139" spans="5:35" x14ac:dyDescent="0.25">
      <c r="E9139" s="16"/>
      <c r="F9139" s="16"/>
      <c r="H9139" s="16"/>
      <c r="AG9139" s="80"/>
      <c r="AH9139" s="80"/>
      <c r="AI9139" s="80"/>
    </row>
    <row r="9140" spans="5:35" x14ac:dyDescent="0.25">
      <c r="E9140" s="16"/>
      <c r="F9140" s="16"/>
      <c r="H9140" s="16"/>
      <c r="AG9140" s="80"/>
      <c r="AH9140" s="80"/>
      <c r="AI9140" s="80"/>
    </row>
    <row r="9141" spans="5:35" x14ac:dyDescent="0.25">
      <c r="E9141" s="16"/>
      <c r="F9141" s="16"/>
      <c r="H9141" s="16"/>
      <c r="AG9141" s="80"/>
      <c r="AH9141" s="80"/>
      <c r="AI9141" s="80"/>
    </row>
    <row r="9142" spans="5:35" x14ac:dyDescent="0.25">
      <c r="E9142" s="16"/>
      <c r="F9142" s="16"/>
      <c r="H9142" s="16"/>
      <c r="AG9142" s="80"/>
      <c r="AH9142" s="80"/>
      <c r="AI9142" s="80"/>
    </row>
    <row r="9143" spans="5:35" x14ac:dyDescent="0.25">
      <c r="E9143" s="16"/>
      <c r="F9143" s="16"/>
      <c r="H9143" s="16"/>
      <c r="AG9143" s="80"/>
      <c r="AH9143" s="80"/>
      <c r="AI9143" s="80"/>
    </row>
    <row r="9144" spans="5:35" x14ac:dyDescent="0.25">
      <c r="E9144" s="16"/>
      <c r="F9144" s="16"/>
      <c r="H9144" s="16"/>
      <c r="AG9144" s="80"/>
      <c r="AH9144" s="80"/>
      <c r="AI9144" s="80"/>
    </row>
    <row r="9145" spans="5:35" x14ac:dyDescent="0.25">
      <c r="E9145" s="16"/>
      <c r="F9145" s="16"/>
      <c r="H9145" s="16"/>
      <c r="AG9145" s="80"/>
      <c r="AH9145" s="80"/>
      <c r="AI9145" s="80"/>
    </row>
    <row r="9146" spans="5:35" x14ac:dyDescent="0.25">
      <c r="E9146" s="16"/>
      <c r="F9146" s="16"/>
      <c r="H9146" s="16"/>
      <c r="AG9146" s="80"/>
      <c r="AH9146" s="80"/>
      <c r="AI9146" s="80"/>
    </row>
    <row r="9147" spans="5:35" x14ac:dyDescent="0.25">
      <c r="E9147" s="16"/>
      <c r="F9147" s="16"/>
      <c r="H9147" s="16"/>
      <c r="AG9147" s="80"/>
      <c r="AH9147" s="80"/>
      <c r="AI9147" s="80"/>
    </row>
    <row r="9148" spans="5:35" x14ac:dyDescent="0.25">
      <c r="E9148" s="16"/>
      <c r="F9148" s="16"/>
      <c r="H9148" s="16"/>
      <c r="AG9148" s="80"/>
      <c r="AH9148" s="80"/>
      <c r="AI9148" s="80"/>
    </row>
    <row r="9149" spans="5:35" x14ac:dyDescent="0.25">
      <c r="E9149" s="16"/>
      <c r="F9149" s="16"/>
      <c r="H9149" s="16"/>
      <c r="AG9149" s="80"/>
      <c r="AH9149" s="80"/>
      <c r="AI9149" s="80"/>
    </row>
    <row r="9150" spans="5:35" x14ac:dyDescent="0.25">
      <c r="E9150" s="16"/>
      <c r="F9150" s="16"/>
      <c r="H9150" s="16"/>
      <c r="AG9150" s="80"/>
      <c r="AH9150" s="80"/>
      <c r="AI9150" s="80"/>
    </row>
    <row r="9151" spans="5:35" x14ac:dyDescent="0.25">
      <c r="E9151" s="16"/>
      <c r="F9151" s="16"/>
      <c r="H9151" s="16"/>
      <c r="AG9151" s="80"/>
      <c r="AH9151" s="80"/>
      <c r="AI9151" s="80"/>
    </row>
    <row r="9152" spans="5:35" x14ac:dyDescent="0.25">
      <c r="E9152" s="16"/>
      <c r="F9152" s="16"/>
      <c r="H9152" s="16"/>
      <c r="AG9152" s="80"/>
      <c r="AH9152" s="80"/>
      <c r="AI9152" s="80"/>
    </row>
    <row r="9153" spans="5:35" x14ac:dyDescent="0.25">
      <c r="E9153" s="16"/>
      <c r="F9153" s="16"/>
      <c r="H9153" s="16"/>
      <c r="AG9153" s="80"/>
      <c r="AH9153" s="80"/>
      <c r="AI9153" s="80"/>
    </row>
    <row r="9154" spans="5:35" x14ac:dyDescent="0.25">
      <c r="E9154" s="16"/>
      <c r="F9154" s="16"/>
      <c r="H9154" s="16"/>
      <c r="AG9154" s="80"/>
      <c r="AH9154" s="80"/>
      <c r="AI9154" s="80"/>
    </row>
    <row r="9155" spans="5:35" x14ac:dyDescent="0.25">
      <c r="E9155" s="16"/>
      <c r="F9155" s="16"/>
      <c r="H9155" s="16"/>
      <c r="AG9155" s="80"/>
      <c r="AH9155" s="80"/>
      <c r="AI9155" s="80"/>
    </row>
    <row r="9156" spans="5:35" x14ac:dyDescent="0.25">
      <c r="E9156" s="16"/>
      <c r="F9156" s="16"/>
      <c r="H9156" s="16"/>
      <c r="AG9156" s="80"/>
      <c r="AH9156" s="80"/>
      <c r="AI9156" s="80"/>
    </row>
    <row r="9157" spans="5:35" x14ac:dyDescent="0.25">
      <c r="E9157" s="16"/>
      <c r="F9157" s="16"/>
      <c r="H9157" s="16"/>
      <c r="AG9157" s="80"/>
      <c r="AH9157" s="80"/>
      <c r="AI9157" s="80"/>
    </row>
    <row r="9158" spans="5:35" x14ac:dyDescent="0.25">
      <c r="E9158" s="16"/>
      <c r="F9158" s="16"/>
      <c r="H9158" s="16"/>
      <c r="AG9158" s="80"/>
      <c r="AH9158" s="80"/>
      <c r="AI9158" s="80"/>
    </row>
    <row r="9159" spans="5:35" x14ac:dyDescent="0.25">
      <c r="E9159" s="16"/>
      <c r="F9159" s="16"/>
      <c r="H9159" s="16"/>
      <c r="AG9159" s="80"/>
      <c r="AH9159" s="80"/>
      <c r="AI9159" s="80"/>
    </row>
    <row r="9160" spans="5:35" x14ac:dyDescent="0.25">
      <c r="E9160" s="16"/>
      <c r="F9160" s="16"/>
      <c r="H9160" s="16"/>
      <c r="AG9160" s="80"/>
      <c r="AH9160" s="80"/>
      <c r="AI9160" s="80"/>
    </row>
    <row r="9161" spans="5:35" x14ac:dyDescent="0.25">
      <c r="E9161" s="16"/>
      <c r="F9161" s="16"/>
      <c r="H9161" s="16"/>
      <c r="AG9161" s="80"/>
      <c r="AH9161" s="80"/>
      <c r="AI9161" s="80"/>
    </row>
    <row r="9162" spans="5:35" x14ac:dyDescent="0.25">
      <c r="E9162" s="16"/>
      <c r="F9162" s="16"/>
      <c r="H9162" s="16"/>
      <c r="AG9162" s="80"/>
      <c r="AH9162" s="80"/>
      <c r="AI9162" s="80"/>
    </row>
    <row r="9163" spans="5:35" x14ac:dyDescent="0.25">
      <c r="E9163" s="16"/>
      <c r="F9163" s="16"/>
      <c r="H9163" s="16"/>
      <c r="AG9163" s="80"/>
      <c r="AH9163" s="80"/>
      <c r="AI9163" s="80"/>
    </row>
    <row r="9164" spans="5:35" x14ac:dyDescent="0.25">
      <c r="E9164" s="16"/>
      <c r="F9164" s="16"/>
      <c r="H9164" s="16"/>
      <c r="AG9164" s="80"/>
      <c r="AH9164" s="80"/>
      <c r="AI9164" s="80"/>
    </row>
    <row r="9165" spans="5:35" x14ac:dyDescent="0.25">
      <c r="E9165" s="16"/>
      <c r="F9165" s="16"/>
      <c r="H9165" s="16"/>
      <c r="AG9165" s="80"/>
      <c r="AH9165" s="80"/>
      <c r="AI9165" s="80"/>
    </row>
    <row r="9166" spans="5:35" x14ac:dyDescent="0.25">
      <c r="E9166" s="16"/>
      <c r="F9166" s="16"/>
      <c r="H9166" s="16"/>
      <c r="AG9166" s="80"/>
      <c r="AH9166" s="80"/>
      <c r="AI9166" s="80"/>
    </row>
    <row r="9167" spans="5:35" x14ac:dyDescent="0.25">
      <c r="E9167" s="16"/>
      <c r="F9167" s="16"/>
      <c r="H9167" s="16"/>
      <c r="AG9167" s="80"/>
      <c r="AH9167" s="80"/>
      <c r="AI9167" s="80"/>
    </row>
    <row r="9168" spans="5:35" x14ac:dyDescent="0.25">
      <c r="E9168" s="16"/>
      <c r="F9168" s="16"/>
      <c r="H9168" s="16"/>
      <c r="AG9168" s="80"/>
      <c r="AH9168" s="80"/>
      <c r="AI9168" s="80"/>
    </row>
    <row r="9169" spans="5:35" x14ac:dyDescent="0.25">
      <c r="E9169" s="16"/>
      <c r="F9169" s="16"/>
      <c r="H9169" s="16"/>
      <c r="AG9169" s="80"/>
      <c r="AH9169" s="80"/>
      <c r="AI9169" s="80"/>
    </row>
    <row r="9170" spans="5:35" x14ac:dyDescent="0.25">
      <c r="E9170" s="16"/>
      <c r="F9170" s="16"/>
      <c r="H9170" s="16"/>
      <c r="AG9170" s="80"/>
      <c r="AH9170" s="80"/>
      <c r="AI9170" s="80"/>
    </row>
    <row r="9171" spans="5:35" x14ac:dyDescent="0.25">
      <c r="E9171" s="16"/>
      <c r="F9171" s="16"/>
      <c r="H9171" s="16"/>
      <c r="AG9171" s="80"/>
      <c r="AH9171" s="80"/>
      <c r="AI9171" s="80"/>
    </row>
    <row r="9172" spans="5:35" x14ac:dyDescent="0.25">
      <c r="E9172" s="16"/>
      <c r="F9172" s="16"/>
      <c r="H9172" s="16"/>
      <c r="AG9172" s="80"/>
      <c r="AH9172" s="80"/>
      <c r="AI9172" s="80"/>
    </row>
    <row r="9173" spans="5:35" x14ac:dyDescent="0.25">
      <c r="E9173" s="16"/>
      <c r="F9173" s="16"/>
      <c r="H9173" s="16"/>
      <c r="AG9173" s="80"/>
      <c r="AH9173" s="80"/>
      <c r="AI9173" s="80"/>
    </row>
    <row r="9174" spans="5:35" x14ac:dyDescent="0.25">
      <c r="E9174" s="16"/>
      <c r="F9174" s="16"/>
      <c r="H9174" s="16"/>
      <c r="AG9174" s="80"/>
      <c r="AH9174" s="80"/>
      <c r="AI9174" s="80"/>
    </row>
    <row r="9175" spans="5:35" x14ac:dyDescent="0.25">
      <c r="E9175" s="16"/>
      <c r="F9175" s="16"/>
      <c r="H9175" s="16"/>
      <c r="AG9175" s="80"/>
      <c r="AH9175" s="80"/>
      <c r="AI9175" s="80"/>
    </row>
    <row r="9176" spans="5:35" x14ac:dyDescent="0.25">
      <c r="E9176" s="16"/>
      <c r="F9176" s="16"/>
      <c r="H9176" s="16"/>
      <c r="AG9176" s="80"/>
      <c r="AH9176" s="80"/>
      <c r="AI9176" s="80"/>
    </row>
    <row r="9177" spans="5:35" x14ac:dyDescent="0.25">
      <c r="E9177" s="16"/>
      <c r="F9177" s="16"/>
      <c r="H9177" s="16"/>
      <c r="AG9177" s="80"/>
      <c r="AH9177" s="80"/>
      <c r="AI9177" s="80"/>
    </row>
    <row r="9178" spans="5:35" x14ac:dyDescent="0.25">
      <c r="E9178" s="16"/>
      <c r="F9178" s="16"/>
      <c r="H9178" s="16"/>
      <c r="AG9178" s="80"/>
      <c r="AH9178" s="80"/>
      <c r="AI9178" s="80"/>
    </row>
    <row r="9179" spans="5:35" x14ac:dyDescent="0.25">
      <c r="E9179" s="16"/>
      <c r="F9179" s="16"/>
      <c r="H9179" s="16"/>
      <c r="AG9179" s="80"/>
      <c r="AH9179" s="80"/>
      <c r="AI9179" s="80"/>
    </row>
    <row r="9180" spans="5:35" x14ac:dyDescent="0.25">
      <c r="E9180" s="16"/>
      <c r="F9180" s="16"/>
      <c r="H9180" s="16"/>
      <c r="AG9180" s="80"/>
      <c r="AH9180" s="80"/>
      <c r="AI9180" s="80"/>
    </row>
    <row r="9181" spans="5:35" x14ac:dyDescent="0.25">
      <c r="E9181" s="16"/>
      <c r="F9181" s="16"/>
      <c r="H9181" s="16"/>
      <c r="AG9181" s="80"/>
      <c r="AH9181" s="80"/>
      <c r="AI9181" s="80"/>
    </row>
    <row r="9182" spans="5:35" x14ac:dyDescent="0.25">
      <c r="E9182" s="16"/>
      <c r="F9182" s="16"/>
      <c r="H9182" s="16"/>
      <c r="AG9182" s="80"/>
      <c r="AH9182" s="80"/>
      <c r="AI9182" s="80"/>
    </row>
    <row r="9183" spans="5:35" x14ac:dyDescent="0.25">
      <c r="E9183" s="16"/>
      <c r="F9183" s="16"/>
      <c r="H9183" s="16"/>
      <c r="AG9183" s="80"/>
      <c r="AH9183" s="80"/>
      <c r="AI9183" s="80"/>
    </row>
    <row r="9184" spans="5:35" x14ac:dyDescent="0.25">
      <c r="E9184" s="16"/>
      <c r="F9184" s="16"/>
      <c r="H9184" s="16"/>
      <c r="AG9184" s="80"/>
      <c r="AH9184" s="80"/>
      <c r="AI9184" s="80"/>
    </row>
    <row r="9185" spans="5:35" x14ac:dyDescent="0.25">
      <c r="E9185" s="16"/>
      <c r="F9185" s="16"/>
      <c r="H9185" s="16"/>
      <c r="AG9185" s="80"/>
      <c r="AH9185" s="80"/>
      <c r="AI9185" s="80"/>
    </row>
    <row r="9186" spans="5:35" x14ac:dyDescent="0.25">
      <c r="E9186" s="16"/>
      <c r="F9186" s="16"/>
      <c r="H9186" s="16"/>
      <c r="AG9186" s="80"/>
      <c r="AH9186" s="80"/>
      <c r="AI9186" s="80"/>
    </row>
    <row r="9187" spans="5:35" x14ac:dyDescent="0.25">
      <c r="E9187" s="16"/>
      <c r="F9187" s="16"/>
      <c r="H9187" s="16"/>
      <c r="AG9187" s="80"/>
      <c r="AH9187" s="80"/>
      <c r="AI9187" s="80"/>
    </row>
    <row r="9188" spans="5:35" x14ac:dyDescent="0.25">
      <c r="E9188" s="16"/>
      <c r="F9188" s="16"/>
      <c r="H9188" s="16"/>
      <c r="AG9188" s="80"/>
      <c r="AH9188" s="80"/>
      <c r="AI9188" s="80"/>
    </row>
    <row r="9189" spans="5:35" x14ac:dyDescent="0.25">
      <c r="E9189" s="16"/>
      <c r="F9189" s="16"/>
      <c r="H9189" s="16"/>
      <c r="AG9189" s="80"/>
      <c r="AH9189" s="80"/>
      <c r="AI9189" s="80"/>
    </row>
    <row r="9190" spans="5:35" x14ac:dyDescent="0.25">
      <c r="E9190" s="16"/>
      <c r="F9190" s="16"/>
      <c r="H9190" s="16"/>
      <c r="AG9190" s="80"/>
      <c r="AH9190" s="80"/>
      <c r="AI9190" s="80"/>
    </row>
    <row r="9191" spans="5:35" x14ac:dyDescent="0.25">
      <c r="E9191" s="16"/>
      <c r="F9191" s="16"/>
      <c r="H9191" s="16"/>
      <c r="AG9191" s="80"/>
      <c r="AH9191" s="80"/>
      <c r="AI9191" s="80"/>
    </row>
    <row r="9192" spans="5:35" x14ac:dyDescent="0.25">
      <c r="E9192" s="16"/>
      <c r="F9192" s="16"/>
      <c r="H9192" s="16"/>
      <c r="AG9192" s="80"/>
      <c r="AH9192" s="80"/>
      <c r="AI9192" s="80"/>
    </row>
    <row r="9193" spans="5:35" x14ac:dyDescent="0.25">
      <c r="E9193" s="16"/>
      <c r="F9193" s="16"/>
      <c r="H9193" s="16"/>
      <c r="AG9193" s="80"/>
      <c r="AH9193" s="80"/>
      <c r="AI9193" s="80"/>
    </row>
    <row r="9194" spans="5:35" x14ac:dyDescent="0.25">
      <c r="E9194" s="16"/>
      <c r="F9194" s="16"/>
      <c r="H9194" s="16"/>
      <c r="AG9194" s="80"/>
      <c r="AH9194" s="80"/>
      <c r="AI9194" s="80"/>
    </row>
    <row r="9195" spans="5:35" x14ac:dyDescent="0.25">
      <c r="E9195" s="16"/>
      <c r="F9195" s="16"/>
      <c r="H9195" s="16"/>
      <c r="AG9195" s="80"/>
      <c r="AH9195" s="80"/>
      <c r="AI9195" s="80"/>
    </row>
    <row r="9196" spans="5:35" x14ac:dyDescent="0.25">
      <c r="E9196" s="16"/>
      <c r="F9196" s="16"/>
      <c r="H9196" s="16"/>
      <c r="AG9196" s="80"/>
      <c r="AH9196" s="80"/>
      <c r="AI9196" s="80"/>
    </row>
    <row r="9197" spans="5:35" x14ac:dyDescent="0.25">
      <c r="E9197" s="16"/>
      <c r="F9197" s="16"/>
      <c r="H9197" s="16"/>
      <c r="AG9197" s="80"/>
      <c r="AH9197" s="80"/>
      <c r="AI9197" s="80"/>
    </row>
    <row r="9198" spans="5:35" x14ac:dyDescent="0.25">
      <c r="E9198" s="16"/>
      <c r="F9198" s="16"/>
      <c r="H9198" s="16"/>
      <c r="AG9198" s="80"/>
      <c r="AH9198" s="80"/>
      <c r="AI9198" s="80"/>
    </row>
    <row r="9199" spans="5:35" x14ac:dyDescent="0.25">
      <c r="E9199" s="16"/>
      <c r="F9199" s="16"/>
      <c r="H9199" s="16"/>
      <c r="AG9199" s="80"/>
      <c r="AH9199" s="80"/>
      <c r="AI9199" s="80"/>
    </row>
    <row r="9200" spans="5:35" x14ac:dyDescent="0.25">
      <c r="E9200" s="16"/>
      <c r="F9200" s="16"/>
      <c r="H9200" s="16"/>
      <c r="AG9200" s="80"/>
      <c r="AH9200" s="80"/>
      <c r="AI9200" s="80"/>
    </row>
    <row r="9201" spans="5:35" x14ac:dyDescent="0.25">
      <c r="E9201" s="16"/>
      <c r="F9201" s="16"/>
      <c r="H9201" s="16"/>
      <c r="AG9201" s="80"/>
      <c r="AH9201" s="80"/>
      <c r="AI9201" s="80"/>
    </row>
    <row r="9202" spans="5:35" x14ac:dyDescent="0.25">
      <c r="E9202" s="16"/>
      <c r="F9202" s="16"/>
      <c r="H9202" s="16"/>
      <c r="AG9202" s="80"/>
      <c r="AH9202" s="80"/>
      <c r="AI9202" s="80"/>
    </row>
    <row r="9203" spans="5:35" x14ac:dyDescent="0.25">
      <c r="E9203" s="16"/>
      <c r="F9203" s="16"/>
      <c r="H9203" s="16"/>
      <c r="AG9203" s="80"/>
      <c r="AH9203" s="80"/>
      <c r="AI9203" s="80"/>
    </row>
    <row r="9204" spans="5:35" x14ac:dyDescent="0.25">
      <c r="E9204" s="16"/>
      <c r="F9204" s="16"/>
      <c r="H9204" s="16"/>
      <c r="AG9204" s="80"/>
      <c r="AH9204" s="80"/>
      <c r="AI9204" s="80"/>
    </row>
    <row r="9205" spans="5:35" x14ac:dyDescent="0.25">
      <c r="E9205" s="16"/>
      <c r="F9205" s="16"/>
      <c r="H9205" s="16"/>
      <c r="AG9205" s="80"/>
      <c r="AH9205" s="80"/>
      <c r="AI9205" s="80"/>
    </row>
    <row r="9206" spans="5:35" x14ac:dyDescent="0.25">
      <c r="E9206" s="16"/>
      <c r="F9206" s="16"/>
      <c r="H9206" s="16"/>
      <c r="AG9206" s="80"/>
      <c r="AH9206" s="80"/>
      <c r="AI9206" s="80"/>
    </row>
    <row r="9207" spans="5:35" x14ac:dyDescent="0.25">
      <c r="E9207" s="16"/>
      <c r="F9207" s="16"/>
      <c r="H9207" s="16"/>
      <c r="AG9207" s="80"/>
      <c r="AH9207" s="80"/>
      <c r="AI9207" s="80"/>
    </row>
    <row r="9208" spans="5:35" x14ac:dyDescent="0.25">
      <c r="E9208" s="16"/>
      <c r="F9208" s="16"/>
      <c r="H9208" s="16"/>
      <c r="AG9208" s="80"/>
      <c r="AH9208" s="80"/>
      <c r="AI9208" s="80"/>
    </row>
    <row r="9209" spans="5:35" x14ac:dyDescent="0.25">
      <c r="E9209" s="16"/>
      <c r="F9209" s="16"/>
      <c r="H9209" s="16"/>
      <c r="AG9209" s="80"/>
      <c r="AH9209" s="80"/>
      <c r="AI9209" s="80"/>
    </row>
    <row r="9210" spans="5:35" x14ac:dyDescent="0.25">
      <c r="E9210" s="16"/>
      <c r="F9210" s="16"/>
      <c r="H9210" s="16"/>
      <c r="AG9210" s="80"/>
      <c r="AH9210" s="80"/>
      <c r="AI9210" s="80"/>
    </row>
    <row r="9211" spans="5:35" x14ac:dyDescent="0.25">
      <c r="E9211" s="16"/>
      <c r="F9211" s="16"/>
      <c r="H9211" s="16"/>
      <c r="AG9211" s="80"/>
      <c r="AH9211" s="80"/>
      <c r="AI9211" s="80"/>
    </row>
    <row r="9212" spans="5:35" x14ac:dyDescent="0.25">
      <c r="E9212" s="16"/>
      <c r="F9212" s="16"/>
      <c r="H9212" s="16"/>
      <c r="AG9212" s="80"/>
      <c r="AH9212" s="80"/>
      <c r="AI9212" s="80"/>
    </row>
    <row r="9213" spans="5:35" x14ac:dyDescent="0.25">
      <c r="E9213" s="16"/>
      <c r="F9213" s="16"/>
      <c r="H9213" s="16"/>
      <c r="AG9213" s="80"/>
      <c r="AH9213" s="80"/>
      <c r="AI9213" s="80"/>
    </row>
    <row r="9214" spans="5:35" x14ac:dyDescent="0.25">
      <c r="E9214" s="16"/>
      <c r="F9214" s="16"/>
      <c r="H9214" s="16"/>
      <c r="AG9214" s="80"/>
      <c r="AH9214" s="80"/>
      <c r="AI9214" s="80"/>
    </row>
    <row r="9215" spans="5:35" x14ac:dyDescent="0.25">
      <c r="E9215" s="16"/>
      <c r="F9215" s="16"/>
      <c r="H9215" s="16"/>
      <c r="AG9215" s="80"/>
      <c r="AH9215" s="80"/>
      <c r="AI9215" s="80"/>
    </row>
    <row r="9216" spans="5:35" x14ac:dyDescent="0.25">
      <c r="E9216" s="16"/>
      <c r="F9216" s="16"/>
      <c r="H9216" s="16"/>
      <c r="AG9216" s="80"/>
      <c r="AH9216" s="80"/>
      <c r="AI9216" s="80"/>
    </row>
    <row r="9217" spans="5:35" x14ac:dyDescent="0.25">
      <c r="E9217" s="16"/>
      <c r="F9217" s="16"/>
      <c r="H9217" s="16"/>
      <c r="AG9217" s="80"/>
      <c r="AH9217" s="80"/>
      <c r="AI9217" s="80"/>
    </row>
    <row r="9218" spans="5:35" x14ac:dyDescent="0.25">
      <c r="E9218" s="16"/>
      <c r="F9218" s="16"/>
      <c r="H9218" s="16"/>
      <c r="AG9218" s="80"/>
      <c r="AH9218" s="80"/>
      <c r="AI9218" s="80"/>
    </row>
    <row r="9219" spans="5:35" x14ac:dyDescent="0.25">
      <c r="E9219" s="16"/>
      <c r="F9219" s="16"/>
      <c r="H9219" s="16"/>
      <c r="AG9219" s="80"/>
      <c r="AH9219" s="80"/>
      <c r="AI9219" s="80"/>
    </row>
    <row r="9220" spans="5:35" x14ac:dyDescent="0.25">
      <c r="E9220" s="16"/>
      <c r="F9220" s="16"/>
      <c r="H9220" s="16"/>
      <c r="AG9220" s="80"/>
      <c r="AH9220" s="80"/>
      <c r="AI9220" s="80"/>
    </row>
    <row r="9221" spans="5:35" x14ac:dyDescent="0.25">
      <c r="E9221" s="16"/>
      <c r="F9221" s="16"/>
      <c r="H9221" s="16"/>
      <c r="AG9221" s="80"/>
      <c r="AH9221" s="80"/>
      <c r="AI9221" s="80"/>
    </row>
    <row r="9222" spans="5:35" x14ac:dyDescent="0.25">
      <c r="E9222" s="16"/>
      <c r="F9222" s="16"/>
      <c r="H9222" s="16"/>
      <c r="AG9222" s="80"/>
      <c r="AH9222" s="80"/>
      <c r="AI9222" s="80"/>
    </row>
    <row r="9223" spans="5:35" x14ac:dyDescent="0.25">
      <c r="E9223" s="16"/>
      <c r="F9223" s="16"/>
      <c r="H9223" s="16"/>
      <c r="AG9223" s="80"/>
      <c r="AH9223" s="80"/>
      <c r="AI9223" s="80"/>
    </row>
    <row r="9224" spans="5:35" x14ac:dyDescent="0.25">
      <c r="E9224" s="16"/>
      <c r="F9224" s="16"/>
      <c r="H9224" s="16"/>
      <c r="AG9224" s="80"/>
      <c r="AH9224" s="80"/>
      <c r="AI9224" s="80"/>
    </row>
    <row r="9225" spans="5:35" x14ac:dyDescent="0.25">
      <c r="E9225" s="16"/>
      <c r="F9225" s="16"/>
      <c r="H9225" s="16"/>
      <c r="AG9225" s="80"/>
      <c r="AH9225" s="80"/>
      <c r="AI9225" s="80"/>
    </row>
    <row r="9226" spans="5:35" x14ac:dyDescent="0.25">
      <c r="E9226" s="16"/>
      <c r="F9226" s="16"/>
      <c r="H9226" s="16"/>
      <c r="AG9226" s="80"/>
      <c r="AH9226" s="80"/>
      <c r="AI9226" s="80"/>
    </row>
    <row r="9227" spans="5:35" x14ac:dyDescent="0.25">
      <c r="E9227" s="16"/>
      <c r="F9227" s="16"/>
      <c r="H9227" s="16"/>
      <c r="AG9227" s="80"/>
      <c r="AH9227" s="80"/>
      <c r="AI9227" s="80"/>
    </row>
    <row r="9228" spans="5:35" x14ac:dyDescent="0.25">
      <c r="E9228" s="16"/>
      <c r="F9228" s="16"/>
      <c r="H9228" s="16"/>
      <c r="AG9228" s="80"/>
      <c r="AH9228" s="80"/>
      <c r="AI9228" s="80"/>
    </row>
    <row r="9229" spans="5:35" x14ac:dyDescent="0.25">
      <c r="E9229" s="16"/>
      <c r="F9229" s="16"/>
      <c r="H9229" s="16"/>
      <c r="AG9229" s="80"/>
      <c r="AH9229" s="80"/>
      <c r="AI9229" s="80"/>
    </row>
    <row r="9230" spans="5:35" x14ac:dyDescent="0.25">
      <c r="E9230" s="16"/>
      <c r="F9230" s="16"/>
      <c r="H9230" s="16"/>
      <c r="AG9230" s="80"/>
      <c r="AH9230" s="80"/>
      <c r="AI9230" s="80"/>
    </row>
    <row r="9231" spans="5:35" x14ac:dyDescent="0.25">
      <c r="E9231" s="16"/>
      <c r="F9231" s="16"/>
      <c r="H9231" s="16"/>
      <c r="AG9231" s="80"/>
      <c r="AH9231" s="80"/>
      <c r="AI9231" s="80"/>
    </row>
    <row r="9232" spans="5:35" x14ac:dyDescent="0.25">
      <c r="E9232" s="16"/>
      <c r="F9232" s="16"/>
      <c r="H9232" s="16"/>
      <c r="AG9232" s="80"/>
      <c r="AH9232" s="80"/>
      <c r="AI9232" s="80"/>
    </row>
    <row r="9233" spans="5:35" x14ac:dyDescent="0.25">
      <c r="E9233" s="16"/>
      <c r="F9233" s="16"/>
      <c r="H9233" s="16"/>
      <c r="AG9233" s="80"/>
      <c r="AH9233" s="80"/>
      <c r="AI9233" s="80"/>
    </row>
    <row r="9234" spans="5:35" x14ac:dyDescent="0.25">
      <c r="E9234" s="16"/>
      <c r="F9234" s="16"/>
      <c r="H9234" s="16"/>
      <c r="AG9234" s="80"/>
      <c r="AH9234" s="80"/>
      <c r="AI9234" s="80"/>
    </row>
    <row r="9235" spans="5:35" x14ac:dyDescent="0.25">
      <c r="E9235" s="16"/>
      <c r="F9235" s="16"/>
      <c r="H9235" s="16"/>
      <c r="AG9235" s="80"/>
      <c r="AH9235" s="80"/>
      <c r="AI9235" s="80"/>
    </row>
    <row r="9236" spans="5:35" x14ac:dyDescent="0.25">
      <c r="E9236" s="16"/>
      <c r="F9236" s="16"/>
      <c r="H9236" s="16"/>
      <c r="AG9236" s="80"/>
      <c r="AH9236" s="80"/>
      <c r="AI9236" s="80"/>
    </row>
    <row r="9237" spans="5:35" x14ac:dyDescent="0.25">
      <c r="E9237" s="16"/>
      <c r="F9237" s="16"/>
      <c r="H9237" s="16"/>
      <c r="AG9237" s="80"/>
      <c r="AH9237" s="80"/>
      <c r="AI9237" s="80"/>
    </row>
    <row r="9238" spans="5:35" x14ac:dyDescent="0.25">
      <c r="E9238" s="16"/>
      <c r="F9238" s="16"/>
      <c r="H9238" s="16"/>
      <c r="AG9238" s="80"/>
      <c r="AH9238" s="80"/>
      <c r="AI9238" s="80"/>
    </row>
    <row r="9239" spans="5:35" x14ac:dyDescent="0.25">
      <c r="E9239" s="16"/>
      <c r="F9239" s="16"/>
      <c r="H9239" s="16"/>
      <c r="AG9239" s="80"/>
      <c r="AH9239" s="80"/>
      <c r="AI9239" s="80"/>
    </row>
    <row r="9240" spans="5:35" x14ac:dyDescent="0.25">
      <c r="E9240" s="16"/>
      <c r="F9240" s="16"/>
      <c r="H9240" s="16"/>
      <c r="AG9240" s="80"/>
      <c r="AH9240" s="80"/>
      <c r="AI9240" s="80"/>
    </row>
    <row r="9241" spans="5:35" x14ac:dyDescent="0.25">
      <c r="E9241" s="16"/>
      <c r="F9241" s="16"/>
      <c r="H9241" s="16"/>
      <c r="AG9241" s="80"/>
      <c r="AH9241" s="80"/>
      <c r="AI9241" s="80"/>
    </row>
    <row r="9242" spans="5:35" x14ac:dyDescent="0.25">
      <c r="E9242" s="16"/>
      <c r="F9242" s="16"/>
      <c r="H9242" s="16"/>
      <c r="AG9242" s="80"/>
      <c r="AH9242" s="80"/>
      <c r="AI9242" s="80"/>
    </row>
    <row r="9243" spans="5:35" x14ac:dyDescent="0.25">
      <c r="E9243" s="16"/>
      <c r="F9243" s="16"/>
      <c r="H9243" s="16"/>
      <c r="AG9243" s="80"/>
      <c r="AH9243" s="80"/>
      <c r="AI9243" s="80"/>
    </row>
    <row r="9244" spans="5:35" x14ac:dyDescent="0.25">
      <c r="E9244" s="16"/>
      <c r="F9244" s="16"/>
      <c r="H9244" s="16"/>
      <c r="AG9244" s="80"/>
      <c r="AH9244" s="80"/>
      <c r="AI9244" s="80"/>
    </row>
    <row r="9245" spans="5:35" x14ac:dyDescent="0.25">
      <c r="E9245" s="16"/>
      <c r="F9245" s="16"/>
      <c r="H9245" s="16"/>
      <c r="AG9245" s="80"/>
      <c r="AH9245" s="80"/>
      <c r="AI9245" s="80"/>
    </row>
    <row r="9246" spans="5:35" x14ac:dyDescent="0.25">
      <c r="E9246" s="16"/>
      <c r="F9246" s="16"/>
      <c r="H9246" s="16"/>
      <c r="AG9246" s="80"/>
      <c r="AH9246" s="80"/>
      <c r="AI9246" s="80"/>
    </row>
    <row r="9247" spans="5:35" x14ac:dyDescent="0.25">
      <c r="E9247" s="16"/>
      <c r="F9247" s="16"/>
      <c r="H9247" s="16"/>
      <c r="AG9247" s="80"/>
      <c r="AH9247" s="80"/>
      <c r="AI9247" s="80"/>
    </row>
    <row r="9248" spans="5:35" x14ac:dyDescent="0.25">
      <c r="E9248" s="16"/>
      <c r="F9248" s="16"/>
      <c r="H9248" s="16"/>
      <c r="AG9248" s="80"/>
      <c r="AH9248" s="80"/>
      <c r="AI9248" s="80"/>
    </row>
    <row r="9249" spans="5:35" x14ac:dyDescent="0.25">
      <c r="E9249" s="16"/>
      <c r="F9249" s="16"/>
      <c r="H9249" s="16"/>
      <c r="AG9249" s="80"/>
      <c r="AH9249" s="80"/>
      <c r="AI9249" s="80"/>
    </row>
    <row r="9250" spans="5:35" x14ac:dyDescent="0.25">
      <c r="E9250" s="16"/>
      <c r="F9250" s="16"/>
      <c r="H9250" s="16"/>
      <c r="AG9250" s="80"/>
      <c r="AH9250" s="80"/>
      <c r="AI9250" s="80"/>
    </row>
    <row r="9251" spans="5:35" x14ac:dyDescent="0.25">
      <c r="E9251" s="16"/>
      <c r="F9251" s="16"/>
      <c r="H9251" s="16"/>
      <c r="AG9251" s="80"/>
      <c r="AH9251" s="80"/>
      <c r="AI9251" s="80"/>
    </row>
    <row r="9252" spans="5:35" x14ac:dyDescent="0.25">
      <c r="E9252" s="16"/>
      <c r="F9252" s="16"/>
      <c r="H9252" s="16"/>
      <c r="AG9252" s="80"/>
      <c r="AH9252" s="80"/>
      <c r="AI9252" s="80"/>
    </row>
    <row r="9253" spans="5:35" x14ac:dyDescent="0.25">
      <c r="E9253" s="16"/>
      <c r="F9253" s="16"/>
      <c r="H9253" s="16"/>
      <c r="AG9253" s="80"/>
      <c r="AH9253" s="80"/>
      <c r="AI9253" s="80"/>
    </row>
    <row r="9254" spans="5:35" x14ac:dyDescent="0.25">
      <c r="E9254" s="16"/>
      <c r="F9254" s="16"/>
      <c r="H9254" s="16"/>
      <c r="AG9254" s="80"/>
      <c r="AH9254" s="80"/>
      <c r="AI9254" s="80"/>
    </row>
    <row r="9255" spans="5:35" x14ac:dyDescent="0.25">
      <c r="E9255" s="16"/>
      <c r="F9255" s="16"/>
      <c r="H9255" s="16"/>
      <c r="AG9255" s="80"/>
      <c r="AH9255" s="80"/>
      <c r="AI9255" s="80"/>
    </row>
    <row r="9256" spans="5:35" x14ac:dyDescent="0.25">
      <c r="E9256" s="16"/>
      <c r="F9256" s="16"/>
      <c r="H9256" s="16"/>
      <c r="AG9256" s="80"/>
      <c r="AH9256" s="80"/>
      <c r="AI9256" s="80"/>
    </row>
    <row r="9257" spans="5:35" x14ac:dyDescent="0.25">
      <c r="E9257" s="16"/>
      <c r="F9257" s="16"/>
      <c r="H9257" s="16"/>
      <c r="AG9257" s="80"/>
      <c r="AH9257" s="80"/>
      <c r="AI9257" s="80"/>
    </row>
    <row r="9258" spans="5:35" x14ac:dyDescent="0.25">
      <c r="E9258" s="16"/>
      <c r="F9258" s="16"/>
      <c r="H9258" s="16"/>
      <c r="AG9258" s="80"/>
      <c r="AH9258" s="80"/>
      <c r="AI9258" s="80"/>
    </row>
    <row r="9259" spans="5:35" x14ac:dyDescent="0.25">
      <c r="E9259" s="16"/>
      <c r="F9259" s="16"/>
      <c r="H9259" s="16"/>
      <c r="AG9259" s="80"/>
      <c r="AH9259" s="80"/>
      <c r="AI9259" s="80"/>
    </row>
    <row r="9260" spans="5:35" x14ac:dyDescent="0.25">
      <c r="E9260" s="16"/>
      <c r="F9260" s="16"/>
      <c r="H9260" s="16"/>
      <c r="AG9260" s="80"/>
      <c r="AH9260" s="80"/>
      <c r="AI9260" s="80"/>
    </row>
    <row r="9261" spans="5:35" x14ac:dyDescent="0.25">
      <c r="E9261" s="16"/>
      <c r="F9261" s="16"/>
      <c r="H9261" s="16"/>
      <c r="AG9261" s="80"/>
      <c r="AH9261" s="80"/>
      <c r="AI9261" s="80"/>
    </row>
    <row r="9262" spans="5:35" x14ac:dyDescent="0.25">
      <c r="E9262" s="16"/>
      <c r="F9262" s="16"/>
      <c r="H9262" s="16"/>
      <c r="AG9262" s="80"/>
      <c r="AH9262" s="80"/>
      <c r="AI9262" s="80"/>
    </row>
    <row r="9263" spans="5:35" x14ac:dyDescent="0.25">
      <c r="E9263" s="16"/>
      <c r="F9263" s="16"/>
      <c r="H9263" s="16"/>
      <c r="AG9263" s="80"/>
      <c r="AH9263" s="80"/>
      <c r="AI9263" s="80"/>
    </row>
    <row r="9264" spans="5:35" x14ac:dyDescent="0.25">
      <c r="E9264" s="16"/>
      <c r="F9264" s="16"/>
      <c r="H9264" s="16"/>
      <c r="AG9264" s="80"/>
      <c r="AH9264" s="80"/>
      <c r="AI9264" s="80"/>
    </row>
    <row r="9265" spans="5:35" x14ac:dyDescent="0.25">
      <c r="E9265" s="16"/>
      <c r="F9265" s="16"/>
      <c r="H9265" s="16"/>
      <c r="AG9265" s="80"/>
      <c r="AH9265" s="80"/>
      <c r="AI9265" s="80"/>
    </row>
    <row r="9266" spans="5:35" x14ac:dyDescent="0.25">
      <c r="E9266" s="16"/>
      <c r="F9266" s="16"/>
      <c r="H9266" s="16"/>
      <c r="AG9266" s="80"/>
      <c r="AH9266" s="80"/>
      <c r="AI9266" s="80"/>
    </row>
    <row r="9267" spans="5:35" x14ac:dyDescent="0.25">
      <c r="E9267" s="16"/>
      <c r="F9267" s="16"/>
      <c r="H9267" s="16"/>
      <c r="AG9267" s="80"/>
      <c r="AH9267" s="80"/>
      <c r="AI9267" s="80"/>
    </row>
    <row r="9268" spans="5:35" x14ac:dyDescent="0.25">
      <c r="E9268" s="16"/>
      <c r="F9268" s="16"/>
      <c r="H9268" s="16"/>
      <c r="AG9268" s="80"/>
      <c r="AH9268" s="80"/>
      <c r="AI9268" s="80"/>
    </row>
    <row r="9269" spans="5:35" x14ac:dyDescent="0.25">
      <c r="E9269" s="16"/>
      <c r="F9269" s="16"/>
      <c r="H9269" s="16"/>
      <c r="AG9269" s="80"/>
      <c r="AH9269" s="80"/>
      <c r="AI9269" s="80"/>
    </row>
    <row r="9270" spans="5:35" x14ac:dyDescent="0.25">
      <c r="E9270" s="16"/>
      <c r="F9270" s="16"/>
      <c r="H9270" s="16"/>
      <c r="AG9270" s="80"/>
      <c r="AH9270" s="80"/>
      <c r="AI9270" s="80"/>
    </row>
    <row r="9271" spans="5:35" x14ac:dyDescent="0.25">
      <c r="E9271" s="16"/>
      <c r="F9271" s="16"/>
      <c r="H9271" s="16"/>
      <c r="AG9271" s="80"/>
      <c r="AH9271" s="80"/>
      <c r="AI9271" s="80"/>
    </row>
    <row r="9272" spans="5:35" x14ac:dyDescent="0.25">
      <c r="E9272" s="16"/>
      <c r="F9272" s="16"/>
      <c r="H9272" s="16"/>
      <c r="AG9272" s="80"/>
      <c r="AH9272" s="80"/>
      <c r="AI9272" s="80"/>
    </row>
    <row r="9273" spans="5:35" x14ac:dyDescent="0.25">
      <c r="E9273" s="16"/>
      <c r="F9273" s="16"/>
      <c r="H9273" s="16"/>
      <c r="AG9273" s="80"/>
      <c r="AH9273" s="80"/>
      <c r="AI9273" s="80"/>
    </row>
    <row r="9274" spans="5:35" x14ac:dyDescent="0.25">
      <c r="E9274" s="16"/>
      <c r="F9274" s="16"/>
      <c r="H9274" s="16"/>
      <c r="AG9274" s="80"/>
      <c r="AH9274" s="80"/>
      <c r="AI9274" s="80"/>
    </row>
    <row r="9275" spans="5:35" x14ac:dyDescent="0.25">
      <c r="E9275" s="16"/>
      <c r="F9275" s="16"/>
      <c r="H9275" s="16"/>
      <c r="AG9275" s="80"/>
      <c r="AH9275" s="80"/>
      <c r="AI9275" s="80"/>
    </row>
    <row r="9276" spans="5:35" x14ac:dyDescent="0.25">
      <c r="E9276" s="16"/>
      <c r="F9276" s="16"/>
      <c r="H9276" s="16"/>
      <c r="AG9276" s="80"/>
      <c r="AH9276" s="80"/>
      <c r="AI9276" s="80"/>
    </row>
    <row r="9277" spans="5:35" x14ac:dyDescent="0.25">
      <c r="E9277" s="16"/>
      <c r="F9277" s="16"/>
      <c r="H9277" s="16"/>
      <c r="AG9277" s="80"/>
      <c r="AH9277" s="80"/>
      <c r="AI9277" s="80"/>
    </row>
    <row r="9278" spans="5:35" x14ac:dyDescent="0.25">
      <c r="E9278" s="16"/>
      <c r="F9278" s="16"/>
      <c r="H9278" s="16"/>
      <c r="AG9278" s="80"/>
      <c r="AH9278" s="80"/>
      <c r="AI9278" s="80"/>
    </row>
    <row r="9279" spans="5:35" x14ac:dyDescent="0.25">
      <c r="E9279" s="16"/>
      <c r="F9279" s="16"/>
      <c r="H9279" s="16"/>
      <c r="AG9279" s="80"/>
      <c r="AH9279" s="80"/>
      <c r="AI9279" s="80"/>
    </row>
    <row r="9280" spans="5:35" x14ac:dyDescent="0.25">
      <c r="E9280" s="16"/>
      <c r="F9280" s="16"/>
      <c r="H9280" s="16"/>
      <c r="AG9280" s="80"/>
      <c r="AH9280" s="80"/>
      <c r="AI9280" s="80"/>
    </row>
    <row r="9281" spans="5:35" x14ac:dyDescent="0.25">
      <c r="E9281" s="16"/>
      <c r="F9281" s="16"/>
      <c r="H9281" s="16"/>
      <c r="AG9281" s="80"/>
      <c r="AH9281" s="80"/>
      <c r="AI9281" s="80"/>
    </row>
    <row r="9282" spans="5:35" x14ac:dyDescent="0.25">
      <c r="E9282" s="16"/>
      <c r="F9282" s="16"/>
      <c r="H9282" s="16"/>
      <c r="AG9282" s="80"/>
      <c r="AH9282" s="80"/>
      <c r="AI9282" s="80"/>
    </row>
    <row r="9283" spans="5:35" x14ac:dyDescent="0.25">
      <c r="E9283" s="16"/>
      <c r="F9283" s="16"/>
      <c r="H9283" s="16"/>
      <c r="AG9283" s="80"/>
      <c r="AH9283" s="80"/>
      <c r="AI9283" s="80"/>
    </row>
    <row r="9284" spans="5:35" x14ac:dyDescent="0.25">
      <c r="E9284" s="16"/>
      <c r="F9284" s="16"/>
      <c r="H9284" s="16"/>
      <c r="AG9284" s="80"/>
      <c r="AH9284" s="80"/>
      <c r="AI9284" s="80"/>
    </row>
    <row r="9285" spans="5:35" x14ac:dyDescent="0.25">
      <c r="E9285" s="16"/>
      <c r="F9285" s="16"/>
      <c r="H9285" s="16"/>
      <c r="AG9285" s="80"/>
      <c r="AH9285" s="80"/>
      <c r="AI9285" s="80"/>
    </row>
    <row r="9286" spans="5:35" x14ac:dyDescent="0.25">
      <c r="E9286" s="16"/>
      <c r="F9286" s="16"/>
      <c r="H9286" s="16"/>
      <c r="AG9286" s="80"/>
      <c r="AH9286" s="80"/>
      <c r="AI9286" s="80"/>
    </row>
    <row r="9287" spans="5:35" x14ac:dyDescent="0.25">
      <c r="E9287" s="16"/>
      <c r="F9287" s="16"/>
      <c r="H9287" s="16"/>
      <c r="AG9287" s="80"/>
      <c r="AH9287" s="80"/>
      <c r="AI9287" s="80"/>
    </row>
    <row r="9288" spans="5:35" x14ac:dyDescent="0.25">
      <c r="E9288" s="16"/>
      <c r="F9288" s="16"/>
      <c r="H9288" s="16"/>
      <c r="AG9288" s="80"/>
      <c r="AH9288" s="80"/>
      <c r="AI9288" s="80"/>
    </row>
    <row r="9289" spans="5:35" x14ac:dyDescent="0.25">
      <c r="E9289" s="16"/>
      <c r="F9289" s="16"/>
      <c r="H9289" s="16"/>
      <c r="AG9289" s="80"/>
      <c r="AH9289" s="80"/>
      <c r="AI9289" s="80"/>
    </row>
    <row r="9290" spans="5:35" x14ac:dyDescent="0.25">
      <c r="E9290" s="16"/>
      <c r="F9290" s="16"/>
      <c r="H9290" s="16"/>
      <c r="AG9290" s="80"/>
      <c r="AH9290" s="80"/>
      <c r="AI9290" s="80"/>
    </row>
    <row r="9291" spans="5:35" x14ac:dyDescent="0.25">
      <c r="E9291" s="16"/>
      <c r="F9291" s="16"/>
      <c r="H9291" s="16"/>
      <c r="AG9291" s="80"/>
      <c r="AH9291" s="80"/>
      <c r="AI9291" s="80"/>
    </row>
    <row r="9292" spans="5:35" x14ac:dyDescent="0.25">
      <c r="E9292" s="16"/>
      <c r="F9292" s="16"/>
      <c r="H9292" s="16"/>
      <c r="AG9292" s="80"/>
      <c r="AH9292" s="80"/>
      <c r="AI9292" s="80"/>
    </row>
    <row r="9293" spans="5:35" x14ac:dyDescent="0.25">
      <c r="E9293" s="16"/>
      <c r="F9293" s="16"/>
      <c r="H9293" s="16"/>
      <c r="AG9293" s="80"/>
      <c r="AH9293" s="80"/>
      <c r="AI9293" s="80"/>
    </row>
    <row r="9294" spans="5:35" x14ac:dyDescent="0.25">
      <c r="E9294" s="16"/>
      <c r="F9294" s="16"/>
      <c r="H9294" s="16"/>
      <c r="AG9294" s="80"/>
      <c r="AH9294" s="80"/>
      <c r="AI9294" s="80"/>
    </row>
    <row r="9295" spans="5:35" x14ac:dyDescent="0.25">
      <c r="E9295" s="16"/>
      <c r="F9295" s="16"/>
      <c r="H9295" s="16"/>
      <c r="AG9295" s="80"/>
      <c r="AH9295" s="80"/>
      <c r="AI9295" s="80"/>
    </row>
    <row r="9296" spans="5:35" x14ac:dyDescent="0.25">
      <c r="E9296" s="16"/>
      <c r="F9296" s="16"/>
      <c r="H9296" s="16"/>
      <c r="AG9296" s="80"/>
      <c r="AH9296" s="80"/>
      <c r="AI9296" s="80"/>
    </row>
    <row r="9297" spans="5:35" x14ac:dyDescent="0.25">
      <c r="E9297" s="16"/>
      <c r="F9297" s="16"/>
      <c r="H9297" s="16"/>
      <c r="AG9297" s="80"/>
      <c r="AH9297" s="80"/>
      <c r="AI9297" s="80"/>
    </row>
    <row r="9298" spans="5:35" x14ac:dyDescent="0.25">
      <c r="E9298" s="16"/>
      <c r="F9298" s="16"/>
      <c r="H9298" s="16"/>
      <c r="AG9298" s="80"/>
      <c r="AH9298" s="80"/>
      <c r="AI9298" s="80"/>
    </row>
    <row r="9299" spans="5:35" x14ac:dyDescent="0.25">
      <c r="E9299" s="16"/>
      <c r="F9299" s="16"/>
      <c r="H9299" s="16"/>
      <c r="AG9299" s="80"/>
      <c r="AH9299" s="80"/>
      <c r="AI9299" s="80"/>
    </row>
    <row r="9300" spans="5:35" x14ac:dyDescent="0.25">
      <c r="E9300" s="16"/>
      <c r="F9300" s="16"/>
      <c r="H9300" s="16"/>
      <c r="AG9300" s="80"/>
      <c r="AH9300" s="80"/>
      <c r="AI9300" s="80"/>
    </row>
    <row r="9301" spans="5:35" x14ac:dyDescent="0.25">
      <c r="E9301" s="16"/>
      <c r="F9301" s="16"/>
      <c r="H9301" s="16"/>
      <c r="AG9301" s="80"/>
      <c r="AH9301" s="80"/>
      <c r="AI9301" s="80"/>
    </row>
    <row r="9302" spans="5:35" x14ac:dyDescent="0.25">
      <c r="E9302" s="16"/>
      <c r="F9302" s="16"/>
      <c r="H9302" s="16"/>
      <c r="AG9302" s="80"/>
      <c r="AH9302" s="80"/>
      <c r="AI9302" s="80"/>
    </row>
    <row r="9303" spans="5:35" x14ac:dyDescent="0.25">
      <c r="E9303" s="16"/>
      <c r="F9303" s="16"/>
      <c r="H9303" s="16"/>
      <c r="AG9303" s="80"/>
      <c r="AH9303" s="80"/>
      <c r="AI9303" s="80"/>
    </row>
    <row r="9304" spans="5:35" x14ac:dyDescent="0.25">
      <c r="E9304" s="16"/>
      <c r="F9304" s="16"/>
      <c r="H9304" s="16"/>
      <c r="AG9304" s="80"/>
      <c r="AH9304" s="80"/>
      <c r="AI9304" s="80"/>
    </row>
    <row r="9305" spans="5:35" x14ac:dyDescent="0.25">
      <c r="E9305" s="16"/>
      <c r="F9305" s="16"/>
      <c r="H9305" s="16"/>
      <c r="AG9305" s="80"/>
      <c r="AH9305" s="80"/>
      <c r="AI9305" s="80"/>
    </row>
    <row r="9306" spans="5:35" x14ac:dyDescent="0.25">
      <c r="E9306" s="16"/>
      <c r="F9306" s="16"/>
      <c r="H9306" s="16"/>
      <c r="AG9306" s="80"/>
      <c r="AH9306" s="80"/>
      <c r="AI9306" s="80"/>
    </row>
    <row r="9307" spans="5:35" x14ac:dyDescent="0.25">
      <c r="E9307" s="16"/>
      <c r="F9307" s="16"/>
      <c r="H9307" s="16"/>
      <c r="AG9307" s="80"/>
      <c r="AH9307" s="80"/>
      <c r="AI9307" s="80"/>
    </row>
    <row r="9308" spans="5:35" x14ac:dyDescent="0.25">
      <c r="E9308" s="16"/>
      <c r="F9308" s="16"/>
      <c r="H9308" s="16"/>
      <c r="AG9308" s="80"/>
      <c r="AH9308" s="80"/>
      <c r="AI9308" s="80"/>
    </row>
    <row r="9309" spans="5:35" x14ac:dyDescent="0.25">
      <c r="E9309" s="16"/>
      <c r="F9309" s="16"/>
      <c r="H9309" s="16"/>
      <c r="AG9309" s="80"/>
      <c r="AH9309" s="80"/>
      <c r="AI9309" s="80"/>
    </row>
    <row r="9310" spans="5:35" x14ac:dyDescent="0.25">
      <c r="E9310" s="16"/>
      <c r="F9310" s="16"/>
      <c r="H9310" s="16"/>
      <c r="AG9310" s="80"/>
      <c r="AH9310" s="80"/>
      <c r="AI9310" s="80"/>
    </row>
    <row r="9311" spans="5:35" x14ac:dyDescent="0.25">
      <c r="E9311" s="16"/>
      <c r="F9311" s="16"/>
      <c r="H9311" s="16"/>
      <c r="AG9311" s="80"/>
      <c r="AH9311" s="80"/>
      <c r="AI9311" s="80"/>
    </row>
    <row r="9312" spans="5:35" x14ac:dyDescent="0.25">
      <c r="E9312" s="16"/>
      <c r="F9312" s="16"/>
      <c r="H9312" s="16"/>
      <c r="AG9312" s="80"/>
      <c r="AH9312" s="80"/>
      <c r="AI9312" s="80"/>
    </row>
    <row r="9313" spans="5:35" x14ac:dyDescent="0.25">
      <c r="E9313" s="16"/>
      <c r="F9313" s="16"/>
      <c r="H9313" s="16"/>
      <c r="AG9313" s="80"/>
      <c r="AH9313" s="80"/>
      <c r="AI9313" s="80"/>
    </row>
    <row r="9314" spans="5:35" x14ac:dyDescent="0.25">
      <c r="E9314" s="16"/>
      <c r="F9314" s="16"/>
      <c r="H9314" s="16"/>
      <c r="AG9314" s="80"/>
      <c r="AH9314" s="80"/>
      <c r="AI9314" s="80"/>
    </row>
    <row r="9315" spans="5:35" x14ac:dyDescent="0.25">
      <c r="E9315" s="16"/>
      <c r="F9315" s="16"/>
      <c r="H9315" s="16"/>
      <c r="AG9315" s="80"/>
      <c r="AH9315" s="80"/>
      <c r="AI9315" s="80"/>
    </row>
    <row r="9316" spans="5:35" x14ac:dyDescent="0.25">
      <c r="E9316" s="16"/>
      <c r="F9316" s="16"/>
      <c r="H9316" s="16"/>
      <c r="AG9316" s="80"/>
      <c r="AH9316" s="80"/>
      <c r="AI9316" s="80"/>
    </row>
    <row r="9317" spans="5:35" x14ac:dyDescent="0.25">
      <c r="E9317" s="16"/>
      <c r="F9317" s="16"/>
      <c r="H9317" s="16"/>
      <c r="AG9317" s="80"/>
      <c r="AH9317" s="80"/>
      <c r="AI9317" s="80"/>
    </row>
    <row r="9318" spans="5:35" x14ac:dyDescent="0.25">
      <c r="E9318" s="16"/>
      <c r="F9318" s="16"/>
      <c r="H9318" s="16"/>
      <c r="AG9318" s="80"/>
      <c r="AH9318" s="80"/>
      <c r="AI9318" s="80"/>
    </row>
    <row r="9319" spans="5:35" x14ac:dyDescent="0.25">
      <c r="E9319" s="16"/>
      <c r="F9319" s="16"/>
      <c r="H9319" s="16"/>
      <c r="AG9319" s="80"/>
      <c r="AH9319" s="80"/>
      <c r="AI9319" s="80"/>
    </row>
    <row r="9320" spans="5:35" x14ac:dyDescent="0.25">
      <c r="E9320" s="16"/>
      <c r="F9320" s="16"/>
      <c r="H9320" s="16"/>
      <c r="AG9320" s="80"/>
      <c r="AH9320" s="80"/>
      <c r="AI9320" s="80"/>
    </row>
    <row r="9321" spans="5:35" x14ac:dyDescent="0.25">
      <c r="E9321" s="16"/>
      <c r="F9321" s="16"/>
      <c r="H9321" s="16"/>
      <c r="AG9321" s="80"/>
      <c r="AH9321" s="80"/>
      <c r="AI9321" s="80"/>
    </row>
    <row r="9322" spans="5:35" x14ac:dyDescent="0.25">
      <c r="E9322" s="16"/>
      <c r="F9322" s="16"/>
      <c r="H9322" s="16"/>
      <c r="AG9322" s="80"/>
      <c r="AH9322" s="80"/>
      <c r="AI9322" s="80"/>
    </row>
    <row r="9323" spans="5:35" x14ac:dyDescent="0.25">
      <c r="E9323" s="16"/>
      <c r="F9323" s="16"/>
      <c r="H9323" s="16"/>
      <c r="AG9323" s="80"/>
      <c r="AH9323" s="80"/>
      <c r="AI9323" s="80"/>
    </row>
    <row r="9324" spans="5:35" x14ac:dyDescent="0.25">
      <c r="E9324" s="16"/>
      <c r="F9324" s="16"/>
      <c r="H9324" s="16"/>
      <c r="AG9324" s="80"/>
      <c r="AH9324" s="80"/>
      <c r="AI9324" s="80"/>
    </row>
    <row r="9325" spans="5:35" x14ac:dyDescent="0.25">
      <c r="E9325" s="16"/>
      <c r="F9325" s="16"/>
      <c r="H9325" s="16"/>
      <c r="AG9325" s="80"/>
      <c r="AH9325" s="80"/>
      <c r="AI9325" s="80"/>
    </row>
    <row r="9326" spans="5:35" x14ac:dyDescent="0.25">
      <c r="E9326" s="16"/>
      <c r="F9326" s="16"/>
      <c r="H9326" s="16"/>
      <c r="AG9326" s="80"/>
      <c r="AH9326" s="80"/>
      <c r="AI9326" s="80"/>
    </row>
    <row r="9327" spans="5:35" x14ac:dyDescent="0.25">
      <c r="E9327" s="16"/>
      <c r="F9327" s="16"/>
      <c r="H9327" s="16"/>
      <c r="AG9327" s="80"/>
      <c r="AH9327" s="80"/>
      <c r="AI9327" s="80"/>
    </row>
    <row r="9328" spans="5:35" x14ac:dyDescent="0.25">
      <c r="E9328" s="16"/>
      <c r="F9328" s="16"/>
      <c r="H9328" s="16"/>
      <c r="AG9328" s="80"/>
      <c r="AH9328" s="80"/>
      <c r="AI9328" s="80"/>
    </row>
    <row r="9329" spans="5:35" x14ac:dyDescent="0.25">
      <c r="E9329" s="16"/>
      <c r="F9329" s="16"/>
      <c r="H9329" s="16"/>
      <c r="AG9329" s="80"/>
      <c r="AH9329" s="80"/>
      <c r="AI9329" s="80"/>
    </row>
    <row r="9330" spans="5:35" x14ac:dyDescent="0.25">
      <c r="E9330" s="16"/>
      <c r="F9330" s="16"/>
      <c r="H9330" s="16"/>
      <c r="AG9330" s="80"/>
      <c r="AH9330" s="80"/>
      <c r="AI9330" s="80"/>
    </row>
    <row r="9331" spans="5:35" x14ac:dyDescent="0.25">
      <c r="E9331" s="16"/>
      <c r="F9331" s="16"/>
      <c r="H9331" s="16"/>
      <c r="AG9331" s="80"/>
      <c r="AH9331" s="80"/>
      <c r="AI9331" s="80"/>
    </row>
    <row r="9332" spans="5:35" x14ac:dyDescent="0.25">
      <c r="E9332" s="16"/>
      <c r="F9332" s="16"/>
      <c r="H9332" s="16"/>
      <c r="AG9332" s="80"/>
      <c r="AH9332" s="80"/>
      <c r="AI9332" s="80"/>
    </row>
    <row r="9333" spans="5:35" x14ac:dyDescent="0.25">
      <c r="E9333" s="16"/>
      <c r="F9333" s="16"/>
      <c r="H9333" s="16"/>
      <c r="AG9333" s="80"/>
      <c r="AH9333" s="80"/>
      <c r="AI9333" s="80"/>
    </row>
    <row r="9334" spans="5:35" x14ac:dyDescent="0.25">
      <c r="E9334" s="16"/>
      <c r="F9334" s="16"/>
      <c r="H9334" s="16"/>
      <c r="AG9334" s="80"/>
      <c r="AH9334" s="80"/>
      <c r="AI9334" s="80"/>
    </row>
    <row r="9335" spans="5:35" x14ac:dyDescent="0.25">
      <c r="E9335" s="16"/>
      <c r="F9335" s="16"/>
      <c r="H9335" s="16"/>
      <c r="AG9335" s="80"/>
      <c r="AH9335" s="80"/>
      <c r="AI9335" s="80"/>
    </row>
    <row r="9336" spans="5:35" x14ac:dyDescent="0.25">
      <c r="E9336" s="16"/>
      <c r="F9336" s="16"/>
      <c r="H9336" s="16"/>
      <c r="AG9336" s="80"/>
      <c r="AH9336" s="80"/>
      <c r="AI9336" s="80"/>
    </row>
    <row r="9337" spans="5:35" x14ac:dyDescent="0.25">
      <c r="E9337" s="16"/>
      <c r="F9337" s="16"/>
      <c r="H9337" s="16"/>
      <c r="AG9337" s="80"/>
      <c r="AH9337" s="80"/>
      <c r="AI9337" s="80"/>
    </row>
    <row r="9338" spans="5:35" x14ac:dyDescent="0.25">
      <c r="E9338" s="16"/>
      <c r="F9338" s="16"/>
      <c r="H9338" s="16"/>
      <c r="AG9338" s="80"/>
      <c r="AH9338" s="80"/>
      <c r="AI9338" s="80"/>
    </row>
    <row r="9339" spans="5:35" x14ac:dyDescent="0.25">
      <c r="E9339" s="16"/>
      <c r="F9339" s="16"/>
      <c r="H9339" s="16"/>
      <c r="AG9339" s="80"/>
      <c r="AH9339" s="80"/>
      <c r="AI9339" s="80"/>
    </row>
    <row r="9340" spans="5:35" x14ac:dyDescent="0.25">
      <c r="E9340" s="16"/>
      <c r="F9340" s="16"/>
      <c r="H9340" s="16"/>
      <c r="AG9340" s="80"/>
      <c r="AH9340" s="80"/>
      <c r="AI9340" s="80"/>
    </row>
    <row r="9341" spans="5:35" x14ac:dyDescent="0.25">
      <c r="E9341" s="16"/>
      <c r="F9341" s="16"/>
      <c r="H9341" s="16"/>
      <c r="AG9341" s="80"/>
      <c r="AH9341" s="80"/>
      <c r="AI9341" s="80"/>
    </row>
    <row r="9342" spans="5:35" x14ac:dyDescent="0.25">
      <c r="E9342" s="16"/>
      <c r="F9342" s="16"/>
      <c r="H9342" s="16"/>
      <c r="AG9342" s="80"/>
      <c r="AH9342" s="80"/>
      <c r="AI9342" s="80"/>
    </row>
    <row r="9343" spans="5:35" x14ac:dyDescent="0.25">
      <c r="E9343" s="16"/>
      <c r="F9343" s="16"/>
      <c r="H9343" s="16"/>
      <c r="AG9343" s="80"/>
      <c r="AH9343" s="80"/>
      <c r="AI9343" s="80"/>
    </row>
    <row r="9344" spans="5:35" x14ac:dyDescent="0.25">
      <c r="E9344" s="16"/>
      <c r="F9344" s="16"/>
      <c r="H9344" s="16"/>
      <c r="AG9344" s="80"/>
      <c r="AH9344" s="80"/>
      <c r="AI9344" s="80"/>
    </row>
    <row r="9345" spans="5:35" x14ac:dyDescent="0.25">
      <c r="E9345" s="16"/>
      <c r="F9345" s="16"/>
      <c r="H9345" s="16"/>
      <c r="AG9345" s="80"/>
      <c r="AH9345" s="80"/>
      <c r="AI9345" s="80"/>
    </row>
    <row r="9346" spans="5:35" x14ac:dyDescent="0.25">
      <c r="E9346" s="16"/>
      <c r="F9346" s="16"/>
      <c r="H9346" s="16"/>
      <c r="AG9346" s="80"/>
      <c r="AH9346" s="80"/>
      <c r="AI9346" s="80"/>
    </row>
    <row r="9347" spans="5:35" x14ac:dyDescent="0.25">
      <c r="E9347" s="16"/>
      <c r="F9347" s="16"/>
      <c r="H9347" s="16"/>
      <c r="AG9347" s="80"/>
      <c r="AH9347" s="80"/>
      <c r="AI9347" s="80"/>
    </row>
    <row r="9348" spans="5:35" x14ac:dyDescent="0.25">
      <c r="E9348" s="16"/>
      <c r="F9348" s="16"/>
      <c r="H9348" s="16"/>
      <c r="AG9348" s="80"/>
      <c r="AH9348" s="80"/>
      <c r="AI9348" s="80"/>
    </row>
    <row r="9349" spans="5:35" x14ac:dyDescent="0.25">
      <c r="E9349" s="16"/>
      <c r="F9349" s="16"/>
      <c r="H9349" s="16"/>
      <c r="AG9349" s="80"/>
      <c r="AH9349" s="80"/>
      <c r="AI9349" s="80"/>
    </row>
    <row r="9350" spans="5:35" x14ac:dyDescent="0.25">
      <c r="E9350" s="16"/>
      <c r="F9350" s="16"/>
      <c r="H9350" s="16"/>
      <c r="AG9350" s="80"/>
      <c r="AH9350" s="80"/>
      <c r="AI9350" s="80"/>
    </row>
    <row r="9351" spans="5:35" x14ac:dyDescent="0.25">
      <c r="E9351" s="16"/>
      <c r="F9351" s="16"/>
      <c r="H9351" s="16"/>
      <c r="AG9351" s="80"/>
      <c r="AH9351" s="80"/>
      <c r="AI9351" s="80"/>
    </row>
    <row r="9352" spans="5:35" x14ac:dyDescent="0.25">
      <c r="E9352" s="16"/>
      <c r="F9352" s="16"/>
      <c r="H9352" s="16"/>
      <c r="AG9352" s="80"/>
      <c r="AH9352" s="80"/>
      <c r="AI9352" s="80"/>
    </row>
    <row r="9353" spans="5:35" x14ac:dyDescent="0.25">
      <c r="E9353" s="16"/>
      <c r="F9353" s="16"/>
      <c r="H9353" s="16"/>
      <c r="AG9353" s="80"/>
      <c r="AH9353" s="80"/>
      <c r="AI9353" s="80"/>
    </row>
    <row r="9354" spans="5:35" x14ac:dyDescent="0.25">
      <c r="E9354" s="16"/>
      <c r="F9354" s="16"/>
      <c r="H9354" s="16"/>
      <c r="AG9354" s="80"/>
      <c r="AH9354" s="80"/>
      <c r="AI9354" s="80"/>
    </row>
    <row r="9355" spans="5:35" x14ac:dyDescent="0.25">
      <c r="E9355" s="16"/>
      <c r="F9355" s="16"/>
      <c r="H9355" s="16"/>
      <c r="AG9355" s="80"/>
      <c r="AH9355" s="80"/>
      <c r="AI9355" s="80"/>
    </row>
    <row r="9356" spans="5:35" x14ac:dyDescent="0.25">
      <c r="E9356" s="16"/>
      <c r="F9356" s="16"/>
      <c r="H9356" s="16"/>
      <c r="AG9356" s="80"/>
      <c r="AH9356" s="80"/>
      <c r="AI9356" s="80"/>
    </row>
    <row r="9357" spans="5:35" x14ac:dyDescent="0.25">
      <c r="E9357" s="16"/>
      <c r="F9357" s="16"/>
      <c r="H9357" s="16"/>
      <c r="AG9357" s="80"/>
      <c r="AH9357" s="80"/>
      <c r="AI9357" s="80"/>
    </row>
    <row r="9358" spans="5:35" x14ac:dyDescent="0.25">
      <c r="E9358" s="16"/>
      <c r="F9358" s="16"/>
      <c r="H9358" s="16"/>
      <c r="AG9358" s="80"/>
      <c r="AH9358" s="80"/>
      <c r="AI9358" s="80"/>
    </row>
    <row r="9359" spans="5:35" x14ac:dyDescent="0.25">
      <c r="E9359" s="16"/>
      <c r="F9359" s="16"/>
      <c r="H9359" s="16"/>
      <c r="AG9359" s="80"/>
      <c r="AH9359" s="80"/>
      <c r="AI9359" s="80"/>
    </row>
    <row r="9360" spans="5:35" x14ac:dyDescent="0.25">
      <c r="E9360" s="16"/>
      <c r="F9360" s="16"/>
      <c r="H9360" s="16"/>
      <c r="AG9360" s="80"/>
      <c r="AH9360" s="80"/>
      <c r="AI9360" s="80"/>
    </row>
    <row r="9361" spans="5:35" x14ac:dyDescent="0.25">
      <c r="E9361" s="16"/>
      <c r="F9361" s="16"/>
      <c r="H9361" s="16"/>
      <c r="AG9361" s="80"/>
      <c r="AH9361" s="80"/>
      <c r="AI9361" s="80"/>
    </row>
    <row r="9362" spans="5:35" x14ac:dyDescent="0.25">
      <c r="E9362" s="16"/>
      <c r="F9362" s="16"/>
      <c r="H9362" s="16"/>
      <c r="AG9362" s="80"/>
      <c r="AH9362" s="80"/>
      <c r="AI9362" s="80"/>
    </row>
    <row r="9363" spans="5:35" x14ac:dyDescent="0.25">
      <c r="E9363" s="16"/>
      <c r="F9363" s="16"/>
      <c r="H9363" s="16"/>
      <c r="AG9363" s="80"/>
      <c r="AH9363" s="80"/>
      <c r="AI9363" s="80"/>
    </row>
    <row r="9364" spans="5:35" x14ac:dyDescent="0.25">
      <c r="E9364" s="16"/>
      <c r="F9364" s="16"/>
      <c r="H9364" s="16"/>
      <c r="AG9364" s="80"/>
      <c r="AH9364" s="80"/>
      <c r="AI9364" s="80"/>
    </row>
    <row r="9365" spans="5:35" x14ac:dyDescent="0.25">
      <c r="E9365" s="16"/>
      <c r="F9365" s="16"/>
      <c r="H9365" s="16"/>
      <c r="AG9365" s="80"/>
      <c r="AH9365" s="80"/>
      <c r="AI9365" s="80"/>
    </row>
    <row r="9366" spans="5:35" x14ac:dyDescent="0.25">
      <c r="E9366" s="16"/>
      <c r="F9366" s="16"/>
      <c r="H9366" s="16"/>
      <c r="AG9366" s="80"/>
      <c r="AH9366" s="80"/>
      <c r="AI9366" s="80"/>
    </row>
    <row r="9367" spans="5:35" x14ac:dyDescent="0.25">
      <c r="E9367" s="16"/>
      <c r="F9367" s="16"/>
      <c r="H9367" s="16"/>
      <c r="AG9367" s="80"/>
      <c r="AH9367" s="80"/>
      <c r="AI9367" s="80"/>
    </row>
    <row r="9368" spans="5:35" x14ac:dyDescent="0.25">
      <c r="E9368" s="16"/>
      <c r="F9368" s="16"/>
      <c r="H9368" s="16"/>
      <c r="AG9368" s="80"/>
      <c r="AH9368" s="80"/>
      <c r="AI9368" s="80"/>
    </row>
    <row r="9369" spans="5:35" x14ac:dyDescent="0.25">
      <c r="E9369" s="16"/>
      <c r="F9369" s="16"/>
      <c r="H9369" s="16"/>
      <c r="AG9369" s="80"/>
      <c r="AH9369" s="80"/>
      <c r="AI9369" s="80"/>
    </row>
    <row r="9370" spans="5:35" x14ac:dyDescent="0.25">
      <c r="E9370" s="16"/>
      <c r="F9370" s="16"/>
      <c r="H9370" s="16"/>
      <c r="AG9370" s="80"/>
      <c r="AH9370" s="80"/>
      <c r="AI9370" s="80"/>
    </row>
    <row r="9371" spans="5:35" x14ac:dyDescent="0.25">
      <c r="E9371" s="16"/>
      <c r="F9371" s="16"/>
      <c r="H9371" s="16"/>
      <c r="AG9371" s="80"/>
      <c r="AH9371" s="80"/>
      <c r="AI9371" s="80"/>
    </row>
    <row r="9372" spans="5:35" x14ac:dyDescent="0.25">
      <c r="E9372" s="16"/>
      <c r="F9372" s="16"/>
      <c r="H9372" s="16"/>
      <c r="AG9372" s="80"/>
      <c r="AH9372" s="80"/>
      <c r="AI9372" s="80"/>
    </row>
    <row r="9373" spans="5:35" x14ac:dyDescent="0.25">
      <c r="E9373" s="16"/>
      <c r="F9373" s="16"/>
      <c r="H9373" s="16"/>
      <c r="AG9373" s="80"/>
      <c r="AH9373" s="80"/>
      <c r="AI9373" s="80"/>
    </row>
    <row r="9374" spans="5:35" x14ac:dyDescent="0.25">
      <c r="E9374" s="16"/>
      <c r="F9374" s="16"/>
      <c r="H9374" s="16"/>
      <c r="AG9374" s="80"/>
      <c r="AH9374" s="80"/>
      <c r="AI9374" s="80"/>
    </row>
    <row r="9375" spans="5:35" x14ac:dyDescent="0.25">
      <c r="E9375" s="16"/>
      <c r="F9375" s="16"/>
      <c r="H9375" s="16"/>
      <c r="AG9375" s="80"/>
      <c r="AH9375" s="80"/>
      <c r="AI9375" s="80"/>
    </row>
    <row r="9376" spans="5:35" x14ac:dyDescent="0.25">
      <c r="E9376" s="16"/>
      <c r="F9376" s="16"/>
      <c r="H9376" s="16"/>
      <c r="AG9376" s="80"/>
      <c r="AH9376" s="80"/>
      <c r="AI9376" s="80"/>
    </row>
    <row r="9377" spans="5:35" x14ac:dyDescent="0.25">
      <c r="E9377" s="16"/>
      <c r="F9377" s="16"/>
      <c r="H9377" s="16"/>
      <c r="AG9377" s="80"/>
      <c r="AH9377" s="80"/>
      <c r="AI9377" s="80"/>
    </row>
    <row r="9378" spans="5:35" x14ac:dyDescent="0.25">
      <c r="E9378" s="16"/>
      <c r="F9378" s="16"/>
      <c r="H9378" s="16"/>
      <c r="AG9378" s="80"/>
      <c r="AH9378" s="80"/>
      <c r="AI9378" s="80"/>
    </row>
    <row r="9379" spans="5:35" x14ac:dyDescent="0.25">
      <c r="E9379" s="16"/>
      <c r="F9379" s="16"/>
      <c r="H9379" s="16"/>
      <c r="AG9379" s="80"/>
      <c r="AH9379" s="80"/>
      <c r="AI9379" s="80"/>
    </row>
    <row r="9380" spans="5:35" x14ac:dyDescent="0.25">
      <c r="E9380" s="16"/>
      <c r="F9380" s="16"/>
      <c r="H9380" s="16"/>
      <c r="AG9380" s="80"/>
      <c r="AH9380" s="80"/>
      <c r="AI9380" s="80"/>
    </row>
    <row r="9381" spans="5:35" x14ac:dyDescent="0.25">
      <c r="E9381" s="16"/>
      <c r="F9381" s="16"/>
      <c r="H9381" s="16"/>
      <c r="AG9381" s="80"/>
      <c r="AH9381" s="80"/>
      <c r="AI9381" s="80"/>
    </row>
    <row r="9382" spans="5:35" x14ac:dyDescent="0.25">
      <c r="E9382" s="16"/>
      <c r="F9382" s="16"/>
      <c r="H9382" s="16"/>
      <c r="AG9382" s="80"/>
      <c r="AH9382" s="80"/>
      <c r="AI9382" s="80"/>
    </row>
    <row r="9383" spans="5:35" x14ac:dyDescent="0.25">
      <c r="E9383" s="16"/>
      <c r="F9383" s="16"/>
      <c r="H9383" s="16"/>
      <c r="AG9383" s="80"/>
      <c r="AH9383" s="80"/>
      <c r="AI9383" s="80"/>
    </row>
    <row r="9384" spans="5:35" x14ac:dyDescent="0.25">
      <c r="E9384" s="16"/>
      <c r="F9384" s="16"/>
      <c r="H9384" s="16"/>
      <c r="AG9384" s="80"/>
      <c r="AH9384" s="80"/>
      <c r="AI9384" s="80"/>
    </row>
    <row r="9385" spans="5:35" x14ac:dyDescent="0.25">
      <c r="E9385" s="16"/>
      <c r="F9385" s="16"/>
      <c r="H9385" s="16"/>
      <c r="AG9385" s="80"/>
      <c r="AH9385" s="80"/>
      <c r="AI9385" s="80"/>
    </row>
    <row r="9386" spans="5:35" x14ac:dyDescent="0.25">
      <c r="E9386" s="16"/>
      <c r="F9386" s="16"/>
      <c r="H9386" s="16"/>
      <c r="AG9386" s="80"/>
      <c r="AH9386" s="80"/>
      <c r="AI9386" s="80"/>
    </row>
    <row r="9387" spans="5:35" x14ac:dyDescent="0.25">
      <c r="E9387" s="16"/>
      <c r="F9387" s="16"/>
      <c r="H9387" s="16"/>
      <c r="AG9387" s="80"/>
      <c r="AH9387" s="80"/>
      <c r="AI9387" s="80"/>
    </row>
    <row r="9388" spans="5:35" x14ac:dyDescent="0.25">
      <c r="E9388" s="16"/>
      <c r="F9388" s="16"/>
      <c r="H9388" s="16"/>
      <c r="AG9388" s="80"/>
      <c r="AH9388" s="80"/>
      <c r="AI9388" s="80"/>
    </row>
    <row r="9389" spans="5:35" x14ac:dyDescent="0.25">
      <c r="E9389" s="16"/>
      <c r="F9389" s="16"/>
      <c r="H9389" s="16"/>
      <c r="AG9389" s="80"/>
      <c r="AH9389" s="80"/>
      <c r="AI9389" s="80"/>
    </row>
    <row r="9390" spans="5:35" x14ac:dyDescent="0.25">
      <c r="E9390" s="16"/>
      <c r="F9390" s="16"/>
      <c r="H9390" s="16"/>
      <c r="AG9390" s="80"/>
      <c r="AH9390" s="80"/>
      <c r="AI9390" s="80"/>
    </row>
    <row r="9391" spans="5:35" x14ac:dyDescent="0.25">
      <c r="E9391" s="16"/>
      <c r="F9391" s="16"/>
      <c r="H9391" s="16"/>
      <c r="AG9391" s="80"/>
      <c r="AH9391" s="80"/>
      <c r="AI9391" s="80"/>
    </row>
    <row r="9392" spans="5:35" x14ac:dyDescent="0.25">
      <c r="E9392" s="16"/>
      <c r="F9392" s="16"/>
      <c r="H9392" s="16"/>
      <c r="AG9392" s="80"/>
      <c r="AH9392" s="80"/>
      <c r="AI9392" s="80"/>
    </row>
    <row r="9393" spans="5:35" x14ac:dyDescent="0.25">
      <c r="E9393" s="16"/>
      <c r="F9393" s="16"/>
      <c r="H9393" s="16"/>
      <c r="AG9393" s="80"/>
      <c r="AH9393" s="80"/>
      <c r="AI9393" s="80"/>
    </row>
    <row r="9394" spans="5:35" x14ac:dyDescent="0.25">
      <c r="E9394" s="16"/>
      <c r="F9394" s="16"/>
      <c r="H9394" s="16"/>
      <c r="AG9394" s="80"/>
      <c r="AH9394" s="80"/>
      <c r="AI9394" s="80"/>
    </row>
    <row r="9395" spans="5:35" x14ac:dyDescent="0.25">
      <c r="E9395" s="16"/>
      <c r="F9395" s="16"/>
      <c r="H9395" s="16"/>
      <c r="AG9395" s="80"/>
      <c r="AH9395" s="80"/>
      <c r="AI9395" s="80"/>
    </row>
    <row r="9396" spans="5:35" x14ac:dyDescent="0.25">
      <c r="E9396" s="16"/>
      <c r="F9396" s="16"/>
      <c r="H9396" s="16"/>
      <c r="AG9396" s="80"/>
      <c r="AH9396" s="80"/>
      <c r="AI9396" s="80"/>
    </row>
    <row r="9397" spans="5:35" x14ac:dyDescent="0.25">
      <c r="E9397" s="16"/>
      <c r="F9397" s="16"/>
      <c r="H9397" s="16"/>
      <c r="AG9397" s="80"/>
      <c r="AH9397" s="80"/>
      <c r="AI9397" s="80"/>
    </row>
    <row r="9398" spans="5:35" x14ac:dyDescent="0.25">
      <c r="E9398" s="16"/>
      <c r="F9398" s="16"/>
      <c r="H9398" s="16"/>
      <c r="AG9398" s="80"/>
      <c r="AH9398" s="80"/>
      <c r="AI9398" s="80"/>
    </row>
    <row r="9399" spans="5:35" x14ac:dyDescent="0.25">
      <c r="E9399" s="16"/>
      <c r="F9399" s="16"/>
      <c r="H9399" s="16"/>
      <c r="AG9399" s="80"/>
      <c r="AH9399" s="80"/>
      <c r="AI9399" s="80"/>
    </row>
    <row r="9400" spans="5:35" x14ac:dyDescent="0.25">
      <c r="E9400" s="16"/>
      <c r="F9400" s="16"/>
      <c r="H9400" s="16"/>
      <c r="AG9400" s="80"/>
      <c r="AH9400" s="80"/>
      <c r="AI9400" s="80"/>
    </row>
    <row r="9401" spans="5:35" x14ac:dyDescent="0.25">
      <c r="E9401" s="16"/>
      <c r="F9401" s="16"/>
      <c r="H9401" s="16"/>
      <c r="AG9401" s="80"/>
      <c r="AH9401" s="80"/>
      <c r="AI9401" s="80"/>
    </row>
    <row r="9402" spans="5:35" x14ac:dyDescent="0.25">
      <c r="E9402" s="16"/>
      <c r="F9402" s="16"/>
      <c r="H9402" s="16"/>
      <c r="AG9402" s="80"/>
      <c r="AH9402" s="80"/>
      <c r="AI9402" s="80"/>
    </row>
    <row r="9403" spans="5:35" x14ac:dyDescent="0.25">
      <c r="E9403" s="16"/>
      <c r="F9403" s="16"/>
      <c r="H9403" s="16"/>
      <c r="AG9403" s="80"/>
      <c r="AH9403" s="80"/>
      <c r="AI9403" s="80"/>
    </row>
    <row r="9404" spans="5:35" x14ac:dyDescent="0.25">
      <c r="E9404" s="16"/>
      <c r="F9404" s="16"/>
      <c r="H9404" s="16"/>
      <c r="AG9404" s="80"/>
      <c r="AH9404" s="80"/>
      <c r="AI9404" s="80"/>
    </row>
    <row r="9405" spans="5:35" x14ac:dyDescent="0.25">
      <c r="E9405" s="16"/>
      <c r="F9405" s="16"/>
      <c r="H9405" s="16"/>
      <c r="AG9405" s="80"/>
      <c r="AH9405" s="80"/>
      <c r="AI9405" s="80"/>
    </row>
    <row r="9406" spans="5:35" x14ac:dyDescent="0.25">
      <c r="E9406" s="16"/>
      <c r="F9406" s="16"/>
      <c r="H9406" s="16"/>
      <c r="AG9406" s="80"/>
      <c r="AH9406" s="80"/>
      <c r="AI9406" s="80"/>
    </row>
    <row r="9407" spans="5:35" x14ac:dyDescent="0.25">
      <c r="E9407" s="16"/>
      <c r="F9407" s="16"/>
      <c r="H9407" s="16"/>
      <c r="AG9407" s="80"/>
      <c r="AH9407" s="80"/>
      <c r="AI9407" s="80"/>
    </row>
    <row r="9408" spans="5:35" x14ac:dyDescent="0.25">
      <c r="E9408" s="16"/>
      <c r="F9408" s="16"/>
      <c r="H9408" s="16"/>
      <c r="AG9408" s="80"/>
      <c r="AH9408" s="80"/>
      <c r="AI9408" s="80"/>
    </row>
    <row r="9409" spans="5:35" x14ac:dyDescent="0.25">
      <c r="E9409" s="16"/>
      <c r="F9409" s="16"/>
      <c r="H9409" s="16"/>
      <c r="AG9409" s="80"/>
      <c r="AH9409" s="80"/>
      <c r="AI9409" s="80"/>
    </row>
    <row r="9410" spans="5:35" x14ac:dyDescent="0.25">
      <c r="E9410" s="16"/>
      <c r="F9410" s="16"/>
      <c r="H9410" s="16"/>
      <c r="AG9410" s="80"/>
      <c r="AH9410" s="80"/>
      <c r="AI9410" s="80"/>
    </row>
    <row r="9411" spans="5:35" x14ac:dyDescent="0.25">
      <c r="E9411" s="16"/>
      <c r="F9411" s="16"/>
      <c r="H9411" s="16"/>
      <c r="AG9411" s="80"/>
      <c r="AH9411" s="80"/>
      <c r="AI9411" s="80"/>
    </row>
    <row r="9412" spans="5:35" x14ac:dyDescent="0.25">
      <c r="E9412" s="16"/>
      <c r="F9412" s="16"/>
      <c r="H9412" s="16"/>
      <c r="AG9412" s="80"/>
      <c r="AH9412" s="80"/>
      <c r="AI9412" s="80"/>
    </row>
    <row r="9413" spans="5:35" x14ac:dyDescent="0.25">
      <c r="E9413" s="16"/>
      <c r="F9413" s="16"/>
      <c r="H9413" s="16"/>
      <c r="AG9413" s="80"/>
      <c r="AH9413" s="80"/>
      <c r="AI9413" s="80"/>
    </row>
    <row r="9414" spans="5:35" x14ac:dyDescent="0.25">
      <c r="E9414" s="16"/>
      <c r="F9414" s="16"/>
      <c r="H9414" s="16"/>
      <c r="AG9414" s="80"/>
      <c r="AH9414" s="80"/>
      <c r="AI9414" s="80"/>
    </row>
    <row r="9415" spans="5:35" x14ac:dyDescent="0.25">
      <c r="E9415" s="16"/>
      <c r="F9415" s="16"/>
      <c r="H9415" s="16"/>
      <c r="AG9415" s="80"/>
      <c r="AH9415" s="80"/>
      <c r="AI9415" s="80"/>
    </row>
    <row r="9416" spans="5:35" x14ac:dyDescent="0.25">
      <c r="E9416" s="16"/>
      <c r="F9416" s="16"/>
      <c r="H9416" s="16"/>
      <c r="AG9416" s="80"/>
      <c r="AH9416" s="80"/>
      <c r="AI9416" s="80"/>
    </row>
    <row r="9417" spans="5:35" x14ac:dyDescent="0.25">
      <c r="E9417" s="16"/>
      <c r="F9417" s="16"/>
      <c r="H9417" s="16"/>
      <c r="AG9417" s="80"/>
      <c r="AH9417" s="80"/>
      <c r="AI9417" s="80"/>
    </row>
    <row r="9418" spans="5:35" x14ac:dyDescent="0.25">
      <c r="E9418" s="16"/>
      <c r="F9418" s="16"/>
      <c r="H9418" s="16"/>
      <c r="AG9418" s="80"/>
      <c r="AH9418" s="80"/>
      <c r="AI9418" s="80"/>
    </row>
    <row r="9419" spans="5:35" x14ac:dyDescent="0.25">
      <c r="E9419" s="16"/>
      <c r="F9419" s="16"/>
      <c r="H9419" s="16"/>
      <c r="AG9419" s="80"/>
      <c r="AH9419" s="80"/>
      <c r="AI9419" s="80"/>
    </row>
    <row r="9420" spans="5:35" x14ac:dyDescent="0.25">
      <c r="E9420" s="16"/>
      <c r="F9420" s="16"/>
      <c r="H9420" s="16"/>
      <c r="AG9420" s="80"/>
      <c r="AH9420" s="80"/>
      <c r="AI9420" s="80"/>
    </row>
    <row r="9421" spans="5:35" x14ac:dyDescent="0.25">
      <c r="E9421" s="16"/>
      <c r="F9421" s="16"/>
      <c r="H9421" s="16"/>
      <c r="AG9421" s="80"/>
      <c r="AH9421" s="80"/>
      <c r="AI9421" s="80"/>
    </row>
    <row r="9422" spans="5:35" x14ac:dyDescent="0.25">
      <c r="E9422" s="16"/>
      <c r="F9422" s="16"/>
      <c r="H9422" s="16"/>
      <c r="AG9422" s="80"/>
      <c r="AH9422" s="80"/>
      <c r="AI9422" s="80"/>
    </row>
    <row r="9423" spans="5:35" x14ac:dyDescent="0.25">
      <c r="E9423" s="16"/>
      <c r="F9423" s="16"/>
      <c r="H9423" s="16"/>
      <c r="AG9423" s="80"/>
      <c r="AH9423" s="80"/>
      <c r="AI9423" s="80"/>
    </row>
    <row r="9424" spans="5:35" x14ac:dyDescent="0.25">
      <c r="E9424" s="16"/>
      <c r="F9424" s="16"/>
      <c r="H9424" s="16"/>
      <c r="AG9424" s="80"/>
      <c r="AH9424" s="80"/>
      <c r="AI9424" s="80"/>
    </row>
    <row r="9425" spans="5:35" x14ac:dyDescent="0.25">
      <c r="E9425" s="16"/>
      <c r="F9425" s="16"/>
      <c r="H9425" s="16"/>
      <c r="AG9425" s="80"/>
      <c r="AH9425" s="80"/>
      <c r="AI9425" s="80"/>
    </row>
    <row r="9426" spans="5:35" x14ac:dyDescent="0.25">
      <c r="E9426" s="16"/>
      <c r="F9426" s="16"/>
      <c r="H9426" s="16"/>
      <c r="AG9426" s="80"/>
      <c r="AH9426" s="80"/>
      <c r="AI9426" s="80"/>
    </row>
    <row r="9427" spans="5:35" x14ac:dyDescent="0.25">
      <c r="E9427" s="16"/>
      <c r="F9427" s="16"/>
      <c r="H9427" s="16"/>
      <c r="AG9427" s="80"/>
      <c r="AH9427" s="80"/>
      <c r="AI9427" s="80"/>
    </row>
    <row r="9428" spans="5:35" x14ac:dyDescent="0.25">
      <c r="E9428" s="16"/>
      <c r="F9428" s="16"/>
      <c r="H9428" s="16"/>
      <c r="AG9428" s="80"/>
      <c r="AH9428" s="80"/>
      <c r="AI9428" s="80"/>
    </row>
    <row r="9429" spans="5:35" x14ac:dyDescent="0.25">
      <c r="E9429" s="16"/>
      <c r="F9429" s="16"/>
      <c r="H9429" s="16"/>
      <c r="AG9429" s="80"/>
      <c r="AH9429" s="80"/>
      <c r="AI9429" s="80"/>
    </row>
    <row r="9430" spans="5:35" x14ac:dyDescent="0.25">
      <c r="E9430" s="16"/>
      <c r="F9430" s="16"/>
      <c r="H9430" s="16"/>
      <c r="AG9430" s="80"/>
      <c r="AH9430" s="80"/>
      <c r="AI9430" s="80"/>
    </row>
    <row r="9431" spans="5:35" x14ac:dyDescent="0.25">
      <c r="E9431" s="16"/>
      <c r="F9431" s="16"/>
      <c r="H9431" s="16"/>
      <c r="AG9431" s="80"/>
      <c r="AH9431" s="80"/>
      <c r="AI9431" s="80"/>
    </row>
    <row r="9432" spans="5:35" x14ac:dyDescent="0.25">
      <c r="E9432" s="16"/>
      <c r="F9432" s="16"/>
      <c r="H9432" s="16"/>
      <c r="AG9432" s="80"/>
      <c r="AH9432" s="80"/>
      <c r="AI9432" s="80"/>
    </row>
    <row r="9433" spans="5:35" x14ac:dyDescent="0.25">
      <c r="E9433" s="16"/>
      <c r="F9433" s="16"/>
      <c r="H9433" s="16"/>
      <c r="AG9433" s="80"/>
      <c r="AH9433" s="80"/>
      <c r="AI9433" s="80"/>
    </row>
    <row r="9434" spans="5:35" x14ac:dyDescent="0.25">
      <c r="E9434" s="16"/>
      <c r="F9434" s="16"/>
      <c r="H9434" s="16"/>
      <c r="AG9434" s="80"/>
      <c r="AH9434" s="80"/>
      <c r="AI9434" s="80"/>
    </row>
    <row r="9435" spans="5:35" x14ac:dyDescent="0.25">
      <c r="E9435" s="16"/>
      <c r="F9435" s="16"/>
      <c r="H9435" s="16"/>
      <c r="AG9435" s="80"/>
      <c r="AH9435" s="80"/>
      <c r="AI9435" s="80"/>
    </row>
    <row r="9436" spans="5:35" x14ac:dyDescent="0.25">
      <c r="E9436" s="16"/>
      <c r="F9436" s="16"/>
      <c r="H9436" s="16"/>
      <c r="AG9436" s="80"/>
      <c r="AH9436" s="80"/>
      <c r="AI9436" s="80"/>
    </row>
    <row r="9437" spans="5:35" x14ac:dyDescent="0.25">
      <c r="E9437" s="16"/>
      <c r="F9437" s="16"/>
      <c r="H9437" s="16"/>
      <c r="AG9437" s="80"/>
      <c r="AH9437" s="80"/>
      <c r="AI9437" s="80"/>
    </row>
    <row r="9438" spans="5:35" x14ac:dyDescent="0.25">
      <c r="E9438" s="16"/>
      <c r="F9438" s="16"/>
      <c r="H9438" s="16"/>
      <c r="AG9438" s="80"/>
      <c r="AH9438" s="80"/>
      <c r="AI9438" s="80"/>
    </row>
    <row r="9439" spans="5:35" x14ac:dyDescent="0.25">
      <c r="E9439" s="16"/>
      <c r="F9439" s="16"/>
      <c r="H9439" s="16"/>
      <c r="AG9439" s="80"/>
      <c r="AH9439" s="80"/>
      <c r="AI9439" s="80"/>
    </row>
    <row r="9440" spans="5:35" x14ac:dyDescent="0.25">
      <c r="E9440" s="16"/>
      <c r="F9440" s="16"/>
      <c r="H9440" s="16"/>
      <c r="AG9440" s="80"/>
      <c r="AH9440" s="80"/>
      <c r="AI9440" s="80"/>
    </row>
    <row r="9441" spans="5:35" x14ac:dyDescent="0.25">
      <c r="E9441" s="16"/>
      <c r="F9441" s="16"/>
      <c r="H9441" s="16"/>
      <c r="AG9441" s="80"/>
      <c r="AH9441" s="80"/>
      <c r="AI9441" s="80"/>
    </row>
    <row r="9442" spans="5:35" x14ac:dyDescent="0.25">
      <c r="E9442" s="16"/>
      <c r="F9442" s="16"/>
      <c r="H9442" s="16"/>
      <c r="AG9442" s="80"/>
      <c r="AH9442" s="80"/>
      <c r="AI9442" s="80"/>
    </row>
    <row r="9443" spans="5:35" x14ac:dyDescent="0.25">
      <c r="E9443" s="16"/>
      <c r="F9443" s="16"/>
      <c r="H9443" s="16"/>
      <c r="AG9443" s="80"/>
      <c r="AH9443" s="80"/>
      <c r="AI9443" s="80"/>
    </row>
    <row r="9444" spans="5:35" x14ac:dyDescent="0.25">
      <c r="E9444" s="16"/>
      <c r="F9444" s="16"/>
      <c r="H9444" s="16"/>
      <c r="AG9444" s="80"/>
      <c r="AH9444" s="80"/>
      <c r="AI9444" s="80"/>
    </row>
    <row r="9445" spans="5:35" x14ac:dyDescent="0.25">
      <c r="E9445" s="16"/>
      <c r="F9445" s="16"/>
      <c r="H9445" s="16"/>
      <c r="AG9445" s="80"/>
      <c r="AH9445" s="80"/>
      <c r="AI9445" s="80"/>
    </row>
    <row r="9446" spans="5:35" x14ac:dyDescent="0.25">
      <c r="E9446" s="16"/>
      <c r="F9446" s="16"/>
      <c r="H9446" s="16"/>
      <c r="AG9446" s="80"/>
      <c r="AH9446" s="80"/>
      <c r="AI9446" s="80"/>
    </row>
    <row r="9447" spans="5:35" x14ac:dyDescent="0.25">
      <c r="E9447" s="16"/>
      <c r="F9447" s="16"/>
      <c r="H9447" s="16"/>
      <c r="AG9447" s="80"/>
      <c r="AH9447" s="80"/>
      <c r="AI9447" s="80"/>
    </row>
    <row r="9448" spans="5:35" x14ac:dyDescent="0.25">
      <c r="E9448" s="16"/>
      <c r="F9448" s="16"/>
      <c r="H9448" s="16"/>
      <c r="AG9448" s="80"/>
      <c r="AH9448" s="80"/>
      <c r="AI9448" s="80"/>
    </row>
    <row r="9449" spans="5:35" x14ac:dyDescent="0.25">
      <c r="E9449" s="16"/>
      <c r="F9449" s="16"/>
      <c r="H9449" s="16"/>
      <c r="AG9449" s="80"/>
      <c r="AH9449" s="80"/>
      <c r="AI9449" s="80"/>
    </row>
    <row r="9450" spans="5:35" x14ac:dyDescent="0.25">
      <c r="E9450" s="16"/>
      <c r="F9450" s="16"/>
      <c r="H9450" s="16"/>
      <c r="AG9450" s="80"/>
      <c r="AH9450" s="80"/>
      <c r="AI9450" s="80"/>
    </row>
    <row r="9451" spans="5:35" x14ac:dyDescent="0.25">
      <c r="E9451" s="16"/>
      <c r="F9451" s="16"/>
      <c r="H9451" s="16"/>
      <c r="AG9451" s="80"/>
      <c r="AH9451" s="80"/>
      <c r="AI9451" s="80"/>
    </row>
    <row r="9452" spans="5:35" x14ac:dyDescent="0.25">
      <c r="E9452" s="16"/>
      <c r="F9452" s="16"/>
      <c r="H9452" s="16"/>
      <c r="AG9452" s="80"/>
      <c r="AH9452" s="80"/>
      <c r="AI9452" s="80"/>
    </row>
    <row r="9453" spans="5:35" x14ac:dyDescent="0.25">
      <c r="E9453" s="16"/>
      <c r="F9453" s="16"/>
      <c r="H9453" s="16"/>
      <c r="AG9453" s="80"/>
      <c r="AH9453" s="80"/>
      <c r="AI9453" s="80"/>
    </row>
    <row r="9454" spans="5:35" x14ac:dyDescent="0.25">
      <c r="E9454" s="16"/>
      <c r="F9454" s="16"/>
      <c r="H9454" s="16"/>
      <c r="AG9454" s="80"/>
      <c r="AH9454" s="80"/>
      <c r="AI9454" s="80"/>
    </row>
    <row r="9455" spans="5:35" x14ac:dyDescent="0.25">
      <c r="E9455" s="16"/>
      <c r="F9455" s="16"/>
      <c r="H9455" s="16"/>
      <c r="AG9455" s="80"/>
      <c r="AH9455" s="80"/>
      <c r="AI9455" s="80"/>
    </row>
    <row r="9456" spans="5:35" x14ac:dyDescent="0.25">
      <c r="E9456" s="16"/>
      <c r="F9456" s="16"/>
      <c r="H9456" s="16"/>
      <c r="AG9456" s="80"/>
      <c r="AH9456" s="80"/>
      <c r="AI9456" s="80"/>
    </row>
    <row r="9457" spans="5:35" x14ac:dyDescent="0.25">
      <c r="E9457" s="16"/>
      <c r="F9457" s="16"/>
      <c r="H9457" s="16"/>
      <c r="AG9457" s="80"/>
      <c r="AH9457" s="80"/>
      <c r="AI9457" s="80"/>
    </row>
    <row r="9458" spans="5:35" x14ac:dyDescent="0.25">
      <c r="E9458" s="16"/>
      <c r="F9458" s="16"/>
      <c r="H9458" s="16"/>
      <c r="AG9458" s="80"/>
      <c r="AH9458" s="80"/>
      <c r="AI9458" s="80"/>
    </row>
    <row r="9459" spans="5:35" x14ac:dyDescent="0.25">
      <c r="E9459" s="16"/>
      <c r="F9459" s="16"/>
      <c r="H9459" s="16"/>
      <c r="AG9459" s="80"/>
      <c r="AH9459" s="80"/>
      <c r="AI9459" s="80"/>
    </row>
    <row r="9460" spans="5:35" x14ac:dyDescent="0.25">
      <c r="E9460" s="16"/>
      <c r="F9460" s="16"/>
      <c r="H9460" s="16"/>
      <c r="AG9460" s="80"/>
      <c r="AH9460" s="80"/>
      <c r="AI9460" s="80"/>
    </row>
    <row r="9461" spans="5:35" x14ac:dyDescent="0.25">
      <c r="E9461" s="16"/>
      <c r="F9461" s="16"/>
      <c r="H9461" s="16"/>
      <c r="AG9461" s="80"/>
      <c r="AH9461" s="80"/>
      <c r="AI9461" s="80"/>
    </row>
    <row r="9462" spans="5:35" x14ac:dyDescent="0.25">
      <c r="E9462" s="16"/>
      <c r="F9462" s="16"/>
      <c r="H9462" s="16"/>
      <c r="AG9462" s="80"/>
      <c r="AH9462" s="80"/>
      <c r="AI9462" s="80"/>
    </row>
    <row r="9463" spans="5:35" x14ac:dyDescent="0.25">
      <c r="E9463" s="16"/>
      <c r="F9463" s="16"/>
      <c r="H9463" s="16"/>
      <c r="AG9463" s="80"/>
      <c r="AH9463" s="80"/>
      <c r="AI9463" s="80"/>
    </row>
    <row r="9464" spans="5:35" x14ac:dyDescent="0.25">
      <c r="E9464" s="16"/>
      <c r="F9464" s="16"/>
      <c r="H9464" s="16"/>
      <c r="AG9464" s="80"/>
      <c r="AH9464" s="80"/>
      <c r="AI9464" s="80"/>
    </row>
    <row r="9465" spans="5:35" x14ac:dyDescent="0.25">
      <c r="E9465" s="16"/>
      <c r="F9465" s="16"/>
      <c r="H9465" s="16"/>
      <c r="AG9465" s="80"/>
      <c r="AH9465" s="80"/>
      <c r="AI9465" s="80"/>
    </row>
    <row r="9466" spans="5:35" x14ac:dyDescent="0.25">
      <c r="E9466" s="16"/>
      <c r="F9466" s="16"/>
      <c r="H9466" s="16"/>
      <c r="AG9466" s="80"/>
      <c r="AH9466" s="80"/>
      <c r="AI9466" s="80"/>
    </row>
    <row r="9467" spans="5:35" x14ac:dyDescent="0.25">
      <c r="E9467" s="16"/>
      <c r="F9467" s="16"/>
      <c r="H9467" s="16"/>
      <c r="AG9467" s="80"/>
      <c r="AH9467" s="80"/>
      <c r="AI9467" s="80"/>
    </row>
    <row r="9468" spans="5:35" x14ac:dyDescent="0.25">
      <c r="E9468" s="16"/>
      <c r="F9468" s="16"/>
      <c r="H9468" s="16"/>
      <c r="AG9468" s="80"/>
      <c r="AH9468" s="80"/>
      <c r="AI9468" s="80"/>
    </row>
    <row r="9469" spans="5:35" x14ac:dyDescent="0.25">
      <c r="E9469" s="16"/>
      <c r="F9469" s="16"/>
      <c r="H9469" s="16"/>
      <c r="AG9469" s="80"/>
      <c r="AH9469" s="80"/>
      <c r="AI9469" s="80"/>
    </row>
    <row r="9470" spans="5:35" x14ac:dyDescent="0.25">
      <c r="E9470" s="16"/>
      <c r="F9470" s="16"/>
      <c r="H9470" s="16"/>
      <c r="AG9470" s="80"/>
      <c r="AH9470" s="80"/>
      <c r="AI9470" s="80"/>
    </row>
    <row r="9471" spans="5:35" x14ac:dyDescent="0.25">
      <c r="E9471" s="16"/>
      <c r="F9471" s="16"/>
      <c r="H9471" s="16"/>
      <c r="AG9471" s="80"/>
      <c r="AH9471" s="80"/>
      <c r="AI9471" s="80"/>
    </row>
    <row r="9472" spans="5:35" x14ac:dyDescent="0.25">
      <c r="E9472" s="16"/>
      <c r="F9472" s="16"/>
      <c r="H9472" s="16"/>
      <c r="AG9472" s="80"/>
      <c r="AH9472" s="80"/>
      <c r="AI9472" s="80"/>
    </row>
    <row r="9473" spans="5:35" x14ac:dyDescent="0.25">
      <c r="E9473" s="16"/>
      <c r="F9473" s="16"/>
      <c r="H9473" s="16"/>
      <c r="AG9473" s="80"/>
      <c r="AH9473" s="80"/>
      <c r="AI9473" s="80"/>
    </row>
    <row r="9474" spans="5:35" x14ac:dyDescent="0.25">
      <c r="E9474" s="16"/>
      <c r="F9474" s="16"/>
      <c r="H9474" s="16"/>
      <c r="AG9474" s="80"/>
      <c r="AH9474" s="80"/>
      <c r="AI9474" s="80"/>
    </row>
    <row r="9475" spans="5:35" x14ac:dyDescent="0.25">
      <c r="E9475" s="16"/>
      <c r="F9475" s="16"/>
      <c r="H9475" s="16"/>
      <c r="AG9475" s="80"/>
      <c r="AH9475" s="80"/>
      <c r="AI9475" s="80"/>
    </row>
    <row r="9476" spans="5:35" x14ac:dyDescent="0.25">
      <c r="E9476" s="16"/>
      <c r="F9476" s="16"/>
      <c r="H9476" s="16"/>
      <c r="AG9476" s="80"/>
      <c r="AH9476" s="80"/>
      <c r="AI9476" s="80"/>
    </row>
    <row r="9477" spans="5:35" x14ac:dyDescent="0.25">
      <c r="E9477" s="16"/>
      <c r="F9477" s="16"/>
      <c r="H9477" s="16"/>
      <c r="AG9477" s="80"/>
      <c r="AH9477" s="80"/>
      <c r="AI9477" s="80"/>
    </row>
    <row r="9478" spans="5:35" x14ac:dyDescent="0.25">
      <c r="E9478" s="16"/>
      <c r="F9478" s="16"/>
      <c r="H9478" s="16"/>
      <c r="AG9478" s="80"/>
      <c r="AH9478" s="80"/>
      <c r="AI9478" s="80"/>
    </row>
    <row r="9479" spans="5:35" x14ac:dyDescent="0.25">
      <c r="E9479" s="16"/>
      <c r="F9479" s="16"/>
      <c r="H9479" s="16"/>
      <c r="AG9479" s="80"/>
      <c r="AH9479" s="80"/>
      <c r="AI9479" s="80"/>
    </row>
    <row r="9480" spans="5:35" x14ac:dyDescent="0.25">
      <c r="E9480" s="16"/>
      <c r="F9480" s="16"/>
      <c r="H9480" s="16"/>
      <c r="AG9480" s="80"/>
      <c r="AH9480" s="80"/>
      <c r="AI9480" s="80"/>
    </row>
    <row r="9481" spans="5:35" x14ac:dyDescent="0.25">
      <c r="E9481" s="16"/>
      <c r="F9481" s="16"/>
      <c r="H9481" s="16"/>
      <c r="AG9481" s="80"/>
      <c r="AH9481" s="80"/>
      <c r="AI9481" s="80"/>
    </row>
    <row r="9482" spans="5:35" x14ac:dyDescent="0.25">
      <c r="E9482" s="16"/>
      <c r="F9482" s="16"/>
      <c r="H9482" s="16"/>
      <c r="AG9482" s="80"/>
      <c r="AH9482" s="80"/>
      <c r="AI9482" s="80"/>
    </row>
    <row r="9483" spans="5:35" x14ac:dyDescent="0.25">
      <c r="E9483" s="16"/>
      <c r="F9483" s="16"/>
      <c r="H9483" s="16"/>
      <c r="AG9483" s="80"/>
      <c r="AH9483" s="80"/>
      <c r="AI9483" s="80"/>
    </row>
    <row r="9484" spans="5:35" x14ac:dyDescent="0.25">
      <c r="E9484" s="16"/>
      <c r="F9484" s="16"/>
      <c r="H9484" s="16"/>
      <c r="AG9484" s="80"/>
      <c r="AH9484" s="80"/>
      <c r="AI9484" s="80"/>
    </row>
    <row r="9485" spans="5:35" x14ac:dyDescent="0.25">
      <c r="E9485" s="16"/>
      <c r="F9485" s="16"/>
      <c r="H9485" s="16"/>
      <c r="AG9485" s="80"/>
      <c r="AH9485" s="80"/>
      <c r="AI9485" s="80"/>
    </row>
    <row r="9486" spans="5:35" x14ac:dyDescent="0.25">
      <c r="E9486" s="16"/>
      <c r="F9486" s="16"/>
      <c r="H9486" s="16"/>
      <c r="AG9486" s="80"/>
      <c r="AH9486" s="80"/>
      <c r="AI9486" s="80"/>
    </row>
    <row r="9487" spans="5:35" x14ac:dyDescent="0.25">
      <c r="E9487" s="16"/>
      <c r="F9487" s="16"/>
      <c r="H9487" s="16"/>
      <c r="AG9487" s="80"/>
      <c r="AH9487" s="80"/>
      <c r="AI9487" s="80"/>
    </row>
    <row r="9488" spans="5:35" x14ac:dyDescent="0.25">
      <c r="E9488" s="16"/>
      <c r="F9488" s="16"/>
      <c r="H9488" s="16"/>
      <c r="AG9488" s="80"/>
      <c r="AH9488" s="80"/>
      <c r="AI9488" s="80"/>
    </row>
    <row r="9489" spans="5:35" x14ac:dyDescent="0.25">
      <c r="E9489" s="16"/>
      <c r="F9489" s="16"/>
      <c r="H9489" s="16"/>
      <c r="AG9489" s="80"/>
      <c r="AH9489" s="80"/>
      <c r="AI9489" s="80"/>
    </row>
    <row r="9490" spans="5:35" x14ac:dyDescent="0.25">
      <c r="E9490" s="16"/>
      <c r="F9490" s="16"/>
      <c r="H9490" s="16"/>
      <c r="AG9490" s="80"/>
      <c r="AH9490" s="80"/>
      <c r="AI9490" s="80"/>
    </row>
    <row r="9491" spans="5:35" x14ac:dyDescent="0.25">
      <c r="E9491" s="16"/>
      <c r="F9491" s="16"/>
      <c r="H9491" s="16"/>
      <c r="AG9491" s="80"/>
      <c r="AH9491" s="80"/>
      <c r="AI9491" s="80"/>
    </row>
    <row r="9492" spans="5:35" x14ac:dyDescent="0.25">
      <c r="E9492" s="16"/>
      <c r="F9492" s="16"/>
      <c r="H9492" s="16"/>
      <c r="AG9492" s="80"/>
      <c r="AH9492" s="80"/>
      <c r="AI9492" s="80"/>
    </row>
    <row r="9493" spans="5:35" x14ac:dyDescent="0.25">
      <c r="E9493" s="16"/>
      <c r="F9493" s="16"/>
      <c r="H9493" s="16"/>
      <c r="AG9493" s="80"/>
      <c r="AH9493" s="80"/>
      <c r="AI9493" s="80"/>
    </row>
    <row r="9494" spans="5:35" x14ac:dyDescent="0.25">
      <c r="E9494" s="16"/>
      <c r="F9494" s="16"/>
      <c r="H9494" s="16"/>
      <c r="AG9494" s="80"/>
      <c r="AH9494" s="80"/>
      <c r="AI9494" s="80"/>
    </row>
    <row r="9495" spans="5:35" x14ac:dyDescent="0.25">
      <c r="E9495" s="16"/>
      <c r="F9495" s="16"/>
      <c r="H9495" s="16"/>
      <c r="AG9495" s="80"/>
      <c r="AH9495" s="80"/>
      <c r="AI9495" s="80"/>
    </row>
    <row r="9496" spans="5:35" x14ac:dyDescent="0.25">
      <c r="E9496" s="16"/>
      <c r="F9496" s="16"/>
      <c r="H9496" s="16"/>
      <c r="AG9496" s="80"/>
      <c r="AH9496" s="80"/>
      <c r="AI9496" s="80"/>
    </row>
    <row r="9497" spans="5:35" x14ac:dyDescent="0.25">
      <c r="E9497" s="16"/>
      <c r="F9497" s="16"/>
      <c r="H9497" s="16"/>
      <c r="AG9497" s="80"/>
      <c r="AH9497" s="80"/>
      <c r="AI9497" s="80"/>
    </row>
    <row r="9498" spans="5:35" x14ac:dyDescent="0.25">
      <c r="E9498" s="16"/>
      <c r="F9498" s="16"/>
      <c r="H9498" s="16"/>
      <c r="AG9498" s="80"/>
      <c r="AH9498" s="80"/>
      <c r="AI9498" s="80"/>
    </row>
    <row r="9499" spans="5:35" x14ac:dyDescent="0.25">
      <c r="E9499" s="16"/>
      <c r="F9499" s="16"/>
      <c r="H9499" s="16"/>
      <c r="AG9499" s="80"/>
      <c r="AH9499" s="80"/>
      <c r="AI9499" s="80"/>
    </row>
    <row r="9500" spans="5:35" x14ac:dyDescent="0.25">
      <c r="E9500" s="16"/>
      <c r="F9500" s="16"/>
      <c r="H9500" s="16"/>
      <c r="AG9500" s="80"/>
      <c r="AH9500" s="80"/>
      <c r="AI9500" s="80"/>
    </row>
    <row r="9501" spans="5:35" x14ac:dyDescent="0.25">
      <c r="E9501" s="16"/>
      <c r="F9501" s="16"/>
      <c r="H9501" s="16"/>
      <c r="AG9501" s="80"/>
      <c r="AH9501" s="80"/>
      <c r="AI9501" s="80"/>
    </row>
    <row r="9502" spans="5:35" x14ac:dyDescent="0.25">
      <c r="E9502" s="16"/>
      <c r="F9502" s="16"/>
      <c r="H9502" s="16"/>
      <c r="AG9502" s="80"/>
      <c r="AH9502" s="80"/>
      <c r="AI9502" s="80"/>
    </row>
    <row r="9503" spans="5:35" x14ac:dyDescent="0.25">
      <c r="E9503" s="16"/>
      <c r="F9503" s="16"/>
      <c r="H9503" s="16"/>
      <c r="AG9503" s="80"/>
      <c r="AH9503" s="80"/>
      <c r="AI9503" s="80"/>
    </row>
    <row r="9504" spans="5:35" x14ac:dyDescent="0.25">
      <c r="E9504" s="16"/>
      <c r="F9504" s="16"/>
      <c r="H9504" s="16"/>
      <c r="AG9504" s="80"/>
      <c r="AH9504" s="80"/>
      <c r="AI9504" s="80"/>
    </row>
    <row r="9505" spans="5:35" x14ac:dyDescent="0.25">
      <c r="E9505" s="16"/>
      <c r="F9505" s="16"/>
      <c r="H9505" s="16"/>
      <c r="AG9505" s="80"/>
      <c r="AH9505" s="80"/>
      <c r="AI9505" s="80"/>
    </row>
    <row r="9506" spans="5:35" x14ac:dyDescent="0.25">
      <c r="E9506" s="16"/>
      <c r="F9506" s="16"/>
      <c r="H9506" s="16"/>
      <c r="AG9506" s="80"/>
      <c r="AH9506" s="80"/>
      <c r="AI9506" s="80"/>
    </row>
    <row r="9507" spans="5:35" x14ac:dyDescent="0.25">
      <c r="E9507" s="16"/>
      <c r="F9507" s="16"/>
      <c r="H9507" s="16"/>
      <c r="AG9507" s="80"/>
      <c r="AH9507" s="80"/>
      <c r="AI9507" s="80"/>
    </row>
    <row r="9508" spans="5:35" x14ac:dyDescent="0.25">
      <c r="E9508" s="16"/>
      <c r="F9508" s="16"/>
      <c r="H9508" s="16"/>
      <c r="AG9508" s="80"/>
      <c r="AH9508" s="80"/>
      <c r="AI9508" s="80"/>
    </row>
    <row r="9509" spans="5:35" x14ac:dyDescent="0.25">
      <c r="E9509" s="16"/>
      <c r="F9509" s="16"/>
      <c r="H9509" s="16"/>
      <c r="AG9509" s="80"/>
      <c r="AH9509" s="80"/>
      <c r="AI9509" s="80"/>
    </row>
    <row r="9510" spans="5:35" x14ac:dyDescent="0.25">
      <c r="E9510" s="16"/>
      <c r="F9510" s="16"/>
      <c r="H9510" s="16"/>
      <c r="AG9510" s="80"/>
      <c r="AH9510" s="80"/>
      <c r="AI9510" s="80"/>
    </row>
    <row r="9511" spans="5:35" x14ac:dyDescent="0.25">
      <c r="E9511" s="16"/>
      <c r="F9511" s="16"/>
      <c r="H9511" s="16"/>
      <c r="AG9511" s="80"/>
      <c r="AH9511" s="80"/>
      <c r="AI9511" s="80"/>
    </row>
    <row r="9512" spans="5:35" x14ac:dyDescent="0.25">
      <c r="E9512" s="16"/>
      <c r="F9512" s="16"/>
      <c r="H9512" s="16"/>
      <c r="AG9512" s="80"/>
      <c r="AH9512" s="80"/>
      <c r="AI9512" s="80"/>
    </row>
    <row r="9513" spans="5:35" x14ac:dyDescent="0.25">
      <c r="E9513" s="16"/>
      <c r="F9513" s="16"/>
      <c r="H9513" s="16"/>
      <c r="AG9513" s="80"/>
      <c r="AH9513" s="80"/>
      <c r="AI9513" s="80"/>
    </row>
    <row r="9514" spans="5:35" x14ac:dyDescent="0.25">
      <c r="E9514" s="16"/>
      <c r="F9514" s="16"/>
      <c r="H9514" s="16"/>
      <c r="AG9514" s="80"/>
      <c r="AH9514" s="80"/>
      <c r="AI9514" s="80"/>
    </row>
    <row r="9515" spans="5:35" x14ac:dyDescent="0.25">
      <c r="E9515" s="16"/>
      <c r="F9515" s="16"/>
      <c r="H9515" s="16"/>
      <c r="AG9515" s="80"/>
      <c r="AH9515" s="80"/>
      <c r="AI9515" s="80"/>
    </row>
    <row r="9516" spans="5:35" x14ac:dyDescent="0.25">
      <c r="E9516" s="16"/>
      <c r="F9516" s="16"/>
      <c r="H9516" s="16"/>
      <c r="AG9516" s="80"/>
      <c r="AH9516" s="80"/>
      <c r="AI9516" s="80"/>
    </row>
    <row r="9517" spans="5:35" x14ac:dyDescent="0.25">
      <c r="E9517" s="16"/>
      <c r="F9517" s="16"/>
      <c r="H9517" s="16"/>
      <c r="AG9517" s="80"/>
      <c r="AH9517" s="80"/>
      <c r="AI9517" s="80"/>
    </row>
    <row r="9518" spans="5:35" x14ac:dyDescent="0.25">
      <c r="E9518" s="16"/>
      <c r="F9518" s="16"/>
      <c r="H9518" s="16"/>
      <c r="AG9518" s="80"/>
      <c r="AH9518" s="80"/>
      <c r="AI9518" s="80"/>
    </row>
    <row r="9519" spans="5:35" x14ac:dyDescent="0.25">
      <c r="E9519" s="16"/>
      <c r="F9519" s="16"/>
      <c r="H9519" s="16"/>
      <c r="AG9519" s="80"/>
      <c r="AH9519" s="80"/>
      <c r="AI9519" s="80"/>
    </row>
    <row r="9520" spans="5:35" x14ac:dyDescent="0.25">
      <c r="E9520" s="16"/>
      <c r="F9520" s="16"/>
      <c r="H9520" s="16"/>
      <c r="AG9520" s="80"/>
      <c r="AH9520" s="80"/>
      <c r="AI9520" s="80"/>
    </row>
    <row r="9521" spans="5:35" x14ac:dyDescent="0.25">
      <c r="E9521" s="16"/>
      <c r="F9521" s="16"/>
      <c r="H9521" s="16"/>
      <c r="AG9521" s="80"/>
      <c r="AH9521" s="80"/>
      <c r="AI9521" s="80"/>
    </row>
    <row r="9522" spans="5:35" x14ac:dyDescent="0.25">
      <c r="E9522" s="16"/>
      <c r="F9522" s="16"/>
      <c r="H9522" s="16"/>
      <c r="AG9522" s="80"/>
      <c r="AH9522" s="80"/>
      <c r="AI9522" s="80"/>
    </row>
    <row r="9523" spans="5:35" x14ac:dyDescent="0.25">
      <c r="E9523" s="16"/>
      <c r="F9523" s="16"/>
      <c r="H9523" s="16"/>
      <c r="AG9523" s="80"/>
      <c r="AH9523" s="80"/>
      <c r="AI9523" s="80"/>
    </row>
    <row r="9524" spans="5:35" x14ac:dyDescent="0.25">
      <c r="E9524" s="16"/>
      <c r="F9524" s="16"/>
      <c r="H9524" s="16"/>
      <c r="AG9524" s="80"/>
      <c r="AH9524" s="80"/>
      <c r="AI9524" s="80"/>
    </row>
    <row r="9525" spans="5:35" x14ac:dyDescent="0.25">
      <c r="E9525" s="16"/>
      <c r="F9525" s="16"/>
      <c r="H9525" s="16"/>
      <c r="AG9525" s="80"/>
      <c r="AH9525" s="80"/>
      <c r="AI9525" s="80"/>
    </row>
    <row r="9526" spans="5:35" x14ac:dyDescent="0.25">
      <c r="E9526" s="16"/>
      <c r="F9526" s="16"/>
      <c r="H9526" s="16"/>
      <c r="AG9526" s="80"/>
      <c r="AH9526" s="80"/>
      <c r="AI9526" s="80"/>
    </row>
    <row r="9527" spans="5:35" x14ac:dyDescent="0.25">
      <c r="E9527" s="16"/>
      <c r="F9527" s="16"/>
      <c r="H9527" s="16"/>
      <c r="AG9527" s="80"/>
      <c r="AH9527" s="80"/>
      <c r="AI9527" s="80"/>
    </row>
    <row r="9528" spans="5:35" x14ac:dyDescent="0.25">
      <c r="E9528" s="16"/>
      <c r="F9528" s="16"/>
      <c r="H9528" s="16"/>
      <c r="AG9528" s="80"/>
      <c r="AH9528" s="80"/>
      <c r="AI9528" s="80"/>
    </row>
    <row r="9529" spans="5:35" x14ac:dyDescent="0.25">
      <c r="E9529" s="16"/>
      <c r="F9529" s="16"/>
      <c r="H9529" s="16"/>
      <c r="AG9529" s="80"/>
      <c r="AH9529" s="80"/>
      <c r="AI9529" s="80"/>
    </row>
    <row r="9530" spans="5:35" x14ac:dyDescent="0.25">
      <c r="E9530" s="16"/>
      <c r="F9530" s="16"/>
      <c r="H9530" s="16"/>
      <c r="AG9530" s="80"/>
      <c r="AH9530" s="80"/>
      <c r="AI9530" s="80"/>
    </row>
    <row r="9531" spans="5:35" x14ac:dyDescent="0.25">
      <c r="E9531" s="16"/>
      <c r="F9531" s="16"/>
      <c r="H9531" s="16"/>
      <c r="AG9531" s="80"/>
      <c r="AH9531" s="80"/>
      <c r="AI9531" s="80"/>
    </row>
    <row r="9532" spans="5:35" x14ac:dyDescent="0.25">
      <c r="E9532" s="16"/>
      <c r="F9532" s="16"/>
      <c r="H9532" s="16"/>
      <c r="AG9532" s="80"/>
      <c r="AH9532" s="80"/>
      <c r="AI9532" s="80"/>
    </row>
    <row r="9533" spans="5:35" x14ac:dyDescent="0.25">
      <c r="E9533" s="16"/>
      <c r="F9533" s="16"/>
      <c r="H9533" s="16"/>
      <c r="AG9533" s="80"/>
      <c r="AH9533" s="80"/>
      <c r="AI9533" s="80"/>
    </row>
    <row r="9534" spans="5:35" x14ac:dyDescent="0.25">
      <c r="E9534" s="16"/>
      <c r="F9534" s="16"/>
      <c r="H9534" s="16"/>
      <c r="AG9534" s="80"/>
      <c r="AH9534" s="80"/>
      <c r="AI9534" s="80"/>
    </row>
    <row r="9535" spans="5:35" x14ac:dyDescent="0.25">
      <c r="E9535" s="16"/>
      <c r="F9535" s="16"/>
      <c r="H9535" s="16"/>
      <c r="AG9535" s="80"/>
      <c r="AH9535" s="80"/>
      <c r="AI9535" s="80"/>
    </row>
    <row r="9536" spans="5:35" x14ac:dyDescent="0.25">
      <c r="E9536" s="16"/>
      <c r="F9536" s="16"/>
      <c r="H9536" s="16"/>
      <c r="AG9536" s="80"/>
      <c r="AH9536" s="80"/>
      <c r="AI9536" s="80"/>
    </row>
    <row r="9537" spans="5:35" x14ac:dyDescent="0.25">
      <c r="E9537" s="16"/>
      <c r="F9537" s="16"/>
      <c r="H9537" s="16"/>
      <c r="AG9537" s="80"/>
      <c r="AH9537" s="80"/>
      <c r="AI9537" s="80"/>
    </row>
    <row r="9538" spans="5:35" x14ac:dyDescent="0.25">
      <c r="E9538" s="16"/>
      <c r="F9538" s="16"/>
      <c r="H9538" s="16"/>
      <c r="AG9538" s="80"/>
      <c r="AH9538" s="80"/>
      <c r="AI9538" s="80"/>
    </row>
    <row r="9539" spans="5:35" x14ac:dyDescent="0.25">
      <c r="E9539" s="16"/>
      <c r="F9539" s="16"/>
      <c r="H9539" s="16"/>
      <c r="AG9539" s="80"/>
      <c r="AH9539" s="80"/>
      <c r="AI9539" s="80"/>
    </row>
    <row r="9540" spans="5:35" x14ac:dyDescent="0.25">
      <c r="E9540" s="16"/>
      <c r="F9540" s="16"/>
      <c r="H9540" s="16"/>
      <c r="AG9540" s="80"/>
      <c r="AH9540" s="80"/>
      <c r="AI9540" s="80"/>
    </row>
    <row r="9541" spans="5:35" x14ac:dyDescent="0.25">
      <c r="E9541" s="16"/>
      <c r="F9541" s="16"/>
      <c r="H9541" s="16"/>
      <c r="AG9541" s="80"/>
      <c r="AH9541" s="80"/>
      <c r="AI9541" s="80"/>
    </row>
    <row r="9542" spans="5:35" x14ac:dyDescent="0.25">
      <c r="E9542" s="16"/>
      <c r="F9542" s="16"/>
      <c r="H9542" s="16"/>
      <c r="AG9542" s="80"/>
      <c r="AH9542" s="80"/>
      <c r="AI9542" s="80"/>
    </row>
    <row r="9543" spans="5:35" x14ac:dyDescent="0.25">
      <c r="E9543" s="16"/>
      <c r="F9543" s="16"/>
      <c r="H9543" s="16"/>
      <c r="AG9543" s="80"/>
      <c r="AH9543" s="80"/>
      <c r="AI9543" s="80"/>
    </row>
    <row r="9544" spans="5:35" x14ac:dyDescent="0.25">
      <c r="E9544" s="16"/>
      <c r="F9544" s="16"/>
      <c r="H9544" s="16"/>
      <c r="AG9544" s="80"/>
      <c r="AH9544" s="80"/>
      <c r="AI9544" s="80"/>
    </row>
    <row r="9545" spans="5:35" x14ac:dyDescent="0.25">
      <c r="E9545" s="16"/>
      <c r="F9545" s="16"/>
      <c r="H9545" s="16"/>
      <c r="AG9545" s="80"/>
      <c r="AH9545" s="80"/>
      <c r="AI9545" s="80"/>
    </row>
    <row r="9546" spans="5:35" x14ac:dyDescent="0.25">
      <c r="E9546" s="16"/>
      <c r="F9546" s="16"/>
      <c r="H9546" s="16"/>
      <c r="AG9546" s="80"/>
      <c r="AH9546" s="80"/>
      <c r="AI9546" s="80"/>
    </row>
    <row r="9547" spans="5:35" x14ac:dyDescent="0.25">
      <c r="E9547" s="16"/>
      <c r="F9547" s="16"/>
      <c r="H9547" s="16"/>
      <c r="AG9547" s="80"/>
      <c r="AH9547" s="80"/>
      <c r="AI9547" s="80"/>
    </row>
    <row r="9548" spans="5:35" x14ac:dyDescent="0.25">
      <c r="E9548" s="16"/>
      <c r="F9548" s="16"/>
      <c r="H9548" s="16"/>
      <c r="AG9548" s="80"/>
      <c r="AH9548" s="80"/>
      <c r="AI9548" s="80"/>
    </row>
    <row r="9549" spans="5:35" x14ac:dyDescent="0.25">
      <c r="E9549" s="16"/>
      <c r="F9549" s="16"/>
      <c r="H9549" s="16"/>
      <c r="AG9549" s="80"/>
      <c r="AH9549" s="80"/>
      <c r="AI9549" s="80"/>
    </row>
    <row r="9550" spans="5:35" x14ac:dyDescent="0.25">
      <c r="E9550" s="16"/>
      <c r="F9550" s="16"/>
      <c r="H9550" s="16"/>
      <c r="AG9550" s="80"/>
      <c r="AH9550" s="80"/>
      <c r="AI9550" s="80"/>
    </row>
    <row r="9551" spans="5:35" x14ac:dyDescent="0.25">
      <c r="E9551" s="16"/>
      <c r="F9551" s="16"/>
      <c r="H9551" s="16"/>
      <c r="AG9551" s="80"/>
      <c r="AH9551" s="80"/>
      <c r="AI9551" s="80"/>
    </row>
    <row r="9552" spans="5:35" x14ac:dyDescent="0.25">
      <c r="E9552" s="16"/>
      <c r="F9552" s="16"/>
      <c r="H9552" s="16"/>
      <c r="AG9552" s="80"/>
      <c r="AH9552" s="80"/>
      <c r="AI9552" s="80"/>
    </row>
    <row r="9553" spans="5:35" x14ac:dyDescent="0.25">
      <c r="E9553" s="16"/>
      <c r="F9553" s="16"/>
      <c r="H9553" s="16"/>
      <c r="AG9553" s="80"/>
      <c r="AH9553" s="80"/>
      <c r="AI9553" s="80"/>
    </row>
    <row r="9554" spans="5:35" x14ac:dyDescent="0.25">
      <c r="E9554" s="16"/>
      <c r="F9554" s="16"/>
      <c r="H9554" s="16"/>
      <c r="AG9554" s="80"/>
      <c r="AH9554" s="80"/>
      <c r="AI9554" s="80"/>
    </row>
    <row r="9555" spans="5:35" x14ac:dyDescent="0.25">
      <c r="E9555" s="16"/>
      <c r="F9555" s="16"/>
      <c r="H9555" s="16"/>
      <c r="AG9555" s="80"/>
      <c r="AH9555" s="80"/>
      <c r="AI9555" s="80"/>
    </row>
    <row r="9556" spans="5:35" x14ac:dyDescent="0.25">
      <c r="E9556" s="16"/>
      <c r="F9556" s="16"/>
      <c r="H9556" s="16"/>
      <c r="AG9556" s="80"/>
      <c r="AH9556" s="80"/>
      <c r="AI9556" s="80"/>
    </row>
    <row r="9557" spans="5:35" x14ac:dyDescent="0.25">
      <c r="E9557" s="16"/>
      <c r="F9557" s="16"/>
      <c r="H9557" s="16"/>
      <c r="AG9557" s="80"/>
      <c r="AH9557" s="80"/>
      <c r="AI9557" s="80"/>
    </row>
    <row r="9558" spans="5:35" x14ac:dyDescent="0.25">
      <c r="E9558" s="16"/>
      <c r="F9558" s="16"/>
      <c r="H9558" s="16"/>
      <c r="AG9558" s="80"/>
      <c r="AH9558" s="80"/>
      <c r="AI9558" s="80"/>
    </row>
    <row r="9559" spans="5:35" x14ac:dyDescent="0.25">
      <c r="E9559" s="16"/>
      <c r="F9559" s="16"/>
      <c r="H9559" s="16"/>
      <c r="AG9559" s="80"/>
      <c r="AH9559" s="80"/>
      <c r="AI9559" s="80"/>
    </row>
    <row r="9560" spans="5:35" x14ac:dyDescent="0.25">
      <c r="E9560" s="16"/>
      <c r="F9560" s="16"/>
      <c r="H9560" s="16"/>
      <c r="AG9560" s="80"/>
      <c r="AH9560" s="80"/>
      <c r="AI9560" s="80"/>
    </row>
    <row r="9561" spans="5:35" x14ac:dyDescent="0.25">
      <c r="E9561" s="16"/>
      <c r="F9561" s="16"/>
      <c r="H9561" s="16"/>
      <c r="AG9561" s="80"/>
      <c r="AH9561" s="80"/>
      <c r="AI9561" s="80"/>
    </row>
    <row r="9562" spans="5:35" x14ac:dyDescent="0.25">
      <c r="E9562" s="16"/>
      <c r="F9562" s="16"/>
      <c r="H9562" s="16"/>
      <c r="AG9562" s="80"/>
      <c r="AH9562" s="80"/>
      <c r="AI9562" s="80"/>
    </row>
    <row r="9563" spans="5:35" x14ac:dyDescent="0.25">
      <c r="E9563" s="16"/>
      <c r="F9563" s="16"/>
      <c r="H9563" s="16"/>
      <c r="AG9563" s="80"/>
      <c r="AH9563" s="80"/>
      <c r="AI9563" s="80"/>
    </row>
    <row r="9564" spans="5:35" x14ac:dyDescent="0.25">
      <c r="E9564" s="16"/>
      <c r="F9564" s="16"/>
      <c r="H9564" s="16"/>
      <c r="AG9564" s="80"/>
      <c r="AH9564" s="80"/>
      <c r="AI9564" s="80"/>
    </row>
    <row r="9565" spans="5:35" x14ac:dyDescent="0.25">
      <c r="E9565" s="16"/>
      <c r="F9565" s="16"/>
      <c r="H9565" s="16"/>
      <c r="AG9565" s="80"/>
      <c r="AH9565" s="80"/>
      <c r="AI9565" s="80"/>
    </row>
    <row r="9566" spans="5:35" x14ac:dyDescent="0.25">
      <c r="E9566" s="16"/>
      <c r="F9566" s="16"/>
      <c r="H9566" s="16"/>
      <c r="AG9566" s="80"/>
      <c r="AH9566" s="80"/>
      <c r="AI9566" s="80"/>
    </row>
    <row r="9567" spans="5:35" x14ac:dyDescent="0.25">
      <c r="E9567" s="16"/>
      <c r="F9567" s="16"/>
      <c r="H9567" s="16"/>
      <c r="AG9567" s="80"/>
      <c r="AH9567" s="80"/>
      <c r="AI9567" s="80"/>
    </row>
    <row r="9568" spans="5:35" x14ac:dyDescent="0.25">
      <c r="E9568" s="16"/>
      <c r="F9568" s="16"/>
      <c r="H9568" s="16"/>
      <c r="AG9568" s="80"/>
      <c r="AH9568" s="80"/>
      <c r="AI9568" s="80"/>
    </row>
    <row r="9569" spans="5:35" x14ac:dyDescent="0.25">
      <c r="E9569" s="16"/>
      <c r="F9569" s="16"/>
      <c r="H9569" s="16"/>
      <c r="AG9569" s="80"/>
      <c r="AH9569" s="80"/>
      <c r="AI9569" s="80"/>
    </row>
    <row r="9570" spans="5:35" x14ac:dyDescent="0.25">
      <c r="E9570" s="16"/>
      <c r="F9570" s="16"/>
      <c r="H9570" s="16"/>
      <c r="AG9570" s="80"/>
      <c r="AH9570" s="80"/>
      <c r="AI9570" s="80"/>
    </row>
    <row r="9571" spans="5:35" x14ac:dyDescent="0.25">
      <c r="E9571" s="16"/>
      <c r="F9571" s="16"/>
      <c r="H9571" s="16"/>
      <c r="AG9571" s="80"/>
      <c r="AH9571" s="80"/>
      <c r="AI9571" s="80"/>
    </row>
    <row r="9572" spans="5:35" x14ac:dyDescent="0.25">
      <c r="E9572" s="16"/>
      <c r="F9572" s="16"/>
      <c r="H9572" s="16"/>
      <c r="AG9572" s="80"/>
      <c r="AH9572" s="80"/>
      <c r="AI9572" s="80"/>
    </row>
    <row r="9573" spans="5:35" x14ac:dyDescent="0.25">
      <c r="E9573" s="16"/>
      <c r="F9573" s="16"/>
      <c r="H9573" s="16"/>
      <c r="AG9573" s="80"/>
      <c r="AH9573" s="80"/>
      <c r="AI9573" s="80"/>
    </row>
    <row r="9574" spans="5:35" x14ac:dyDescent="0.25">
      <c r="E9574" s="16"/>
      <c r="F9574" s="16"/>
      <c r="H9574" s="16"/>
      <c r="AG9574" s="80"/>
      <c r="AH9574" s="80"/>
      <c r="AI9574" s="80"/>
    </row>
    <row r="9575" spans="5:35" x14ac:dyDescent="0.25">
      <c r="E9575" s="16"/>
      <c r="F9575" s="16"/>
      <c r="H9575" s="16"/>
      <c r="AG9575" s="80"/>
      <c r="AH9575" s="80"/>
      <c r="AI9575" s="80"/>
    </row>
    <row r="9576" spans="5:35" x14ac:dyDescent="0.25">
      <c r="E9576" s="16"/>
      <c r="F9576" s="16"/>
      <c r="H9576" s="16"/>
      <c r="AG9576" s="80"/>
      <c r="AH9576" s="80"/>
      <c r="AI9576" s="80"/>
    </row>
    <row r="9577" spans="5:35" x14ac:dyDescent="0.25">
      <c r="E9577" s="16"/>
      <c r="F9577" s="16"/>
      <c r="H9577" s="16"/>
      <c r="AG9577" s="80"/>
      <c r="AH9577" s="80"/>
      <c r="AI9577" s="80"/>
    </row>
    <row r="9578" spans="5:35" x14ac:dyDescent="0.25">
      <c r="E9578" s="16"/>
      <c r="F9578" s="16"/>
      <c r="H9578" s="16"/>
      <c r="AG9578" s="80"/>
      <c r="AH9578" s="80"/>
      <c r="AI9578" s="80"/>
    </row>
    <row r="9579" spans="5:35" x14ac:dyDescent="0.25">
      <c r="E9579" s="16"/>
      <c r="F9579" s="16"/>
      <c r="H9579" s="16"/>
      <c r="AG9579" s="80"/>
      <c r="AH9579" s="80"/>
      <c r="AI9579" s="80"/>
    </row>
    <row r="9580" spans="5:35" x14ac:dyDescent="0.25">
      <c r="E9580" s="16"/>
      <c r="F9580" s="16"/>
      <c r="H9580" s="16"/>
      <c r="AG9580" s="80"/>
      <c r="AH9580" s="80"/>
      <c r="AI9580" s="80"/>
    </row>
    <row r="9581" spans="5:35" x14ac:dyDescent="0.25">
      <c r="E9581" s="16"/>
      <c r="F9581" s="16"/>
      <c r="H9581" s="16"/>
      <c r="AG9581" s="80"/>
      <c r="AH9581" s="80"/>
      <c r="AI9581" s="80"/>
    </row>
    <row r="9582" spans="5:35" x14ac:dyDescent="0.25">
      <c r="E9582" s="16"/>
      <c r="F9582" s="16"/>
      <c r="H9582" s="16"/>
      <c r="AG9582" s="80"/>
      <c r="AH9582" s="80"/>
      <c r="AI9582" s="80"/>
    </row>
    <row r="9583" spans="5:35" x14ac:dyDescent="0.25">
      <c r="E9583" s="16"/>
      <c r="F9583" s="16"/>
      <c r="H9583" s="16"/>
      <c r="AG9583" s="80"/>
      <c r="AH9583" s="80"/>
      <c r="AI9583" s="80"/>
    </row>
    <row r="9584" spans="5:35" x14ac:dyDescent="0.25">
      <c r="E9584" s="16"/>
      <c r="F9584" s="16"/>
      <c r="H9584" s="16"/>
      <c r="AG9584" s="80"/>
      <c r="AH9584" s="80"/>
      <c r="AI9584" s="80"/>
    </row>
    <row r="9585" spans="5:35" x14ac:dyDescent="0.25">
      <c r="E9585" s="16"/>
      <c r="F9585" s="16"/>
      <c r="H9585" s="16"/>
      <c r="AG9585" s="80"/>
      <c r="AH9585" s="80"/>
      <c r="AI9585" s="80"/>
    </row>
    <row r="9586" spans="5:35" x14ac:dyDescent="0.25">
      <c r="E9586" s="16"/>
      <c r="F9586" s="16"/>
      <c r="H9586" s="16"/>
      <c r="AG9586" s="80"/>
      <c r="AH9586" s="80"/>
      <c r="AI9586" s="80"/>
    </row>
    <row r="9587" spans="5:35" x14ac:dyDescent="0.25">
      <c r="E9587" s="16"/>
      <c r="F9587" s="16"/>
      <c r="H9587" s="16"/>
      <c r="AG9587" s="80"/>
      <c r="AH9587" s="80"/>
      <c r="AI9587" s="80"/>
    </row>
    <row r="9588" spans="5:35" x14ac:dyDescent="0.25">
      <c r="E9588" s="16"/>
      <c r="F9588" s="16"/>
      <c r="H9588" s="16"/>
      <c r="AG9588" s="80"/>
      <c r="AH9588" s="80"/>
      <c r="AI9588" s="80"/>
    </row>
    <row r="9589" spans="5:35" x14ac:dyDescent="0.25">
      <c r="E9589" s="16"/>
      <c r="F9589" s="16"/>
      <c r="H9589" s="16"/>
      <c r="AG9589" s="80"/>
      <c r="AH9589" s="80"/>
      <c r="AI9589" s="80"/>
    </row>
    <row r="9590" spans="5:35" x14ac:dyDescent="0.25">
      <c r="E9590" s="16"/>
      <c r="F9590" s="16"/>
      <c r="H9590" s="16"/>
      <c r="AG9590" s="80"/>
      <c r="AH9590" s="80"/>
      <c r="AI9590" s="80"/>
    </row>
    <row r="9591" spans="5:35" x14ac:dyDescent="0.25">
      <c r="E9591" s="16"/>
      <c r="F9591" s="16"/>
      <c r="H9591" s="16"/>
      <c r="AG9591" s="80"/>
      <c r="AH9591" s="80"/>
      <c r="AI9591" s="80"/>
    </row>
    <row r="9592" spans="5:35" x14ac:dyDescent="0.25">
      <c r="E9592" s="16"/>
      <c r="F9592" s="16"/>
      <c r="H9592" s="16"/>
      <c r="AG9592" s="80"/>
      <c r="AH9592" s="80"/>
      <c r="AI9592" s="80"/>
    </row>
    <row r="9593" spans="5:35" x14ac:dyDescent="0.25">
      <c r="E9593" s="16"/>
      <c r="F9593" s="16"/>
      <c r="H9593" s="16"/>
      <c r="AG9593" s="80"/>
      <c r="AH9593" s="80"/>
      <c r="AI9593" s="80"/>
    </row>
    <row r="9594" spans="5:35" x14ac:dyDescent="0.25">
      <c r="E9594" s="16"/>
      <c r="F9594" s="16"/>
      <c r="H9594" s="16"/>
      <c r="AG9594" s="80"/>
      <c r="AH9594" s="80"/>
      <c r="AI9594" s="80"/>
    </row>
    <row r="9595" spans="5:35" x14ac:dyDescent="0.25">
      <c r="E9595" s="16"/>
      <c r="F9595" s="16"/>
      <c r="H9595" s="16"/>
      <c r="AG9595" s="80"/>
      <c r="AH9595" s="80"/>
      <c r="AI9595" s="80"/>
    </row>
    <row r="9596" spans="5:35" x14ac:dyDescent="0.25">
      <c r="E9596" s="16"/>
      <c r="F9596" s="16"/>
      <c r="H9596" s="16"/>
      <c r="AG9596" s="80"/>
      <c r="AH9596" s="80"/>
      <c r="AI9596" s="80"/>
    </row>
    <row r="9597" spans="5:35" x14ac:dyDescent="0.25">
      <c r="E9597" s="16"/>
      <c r="F9597" s="16"/>
      <c r="H9597" s="16"/>
      <c r="AG9597" s="80"/>
      <c r="AH9597" s="80"/>
      <c r="AI9597" s="80"/>
    </row>
    <row r="9598" spans="5:35" x14ac:dyDescent="0.25">
      <c r="E9598" s="16"/>
      <c r="F9598" s="16"/>
      <c r="H9598" s="16"/>
      <c r="AG9598" s="80"/>
      <c r="AH9598" s="80"/>
      <c r="AI9598" s="80"/>
    </row>
    <row r="9599" spans="5:35" x14ac:dyDescent="0.25">
      <c r="E9599" s="16"/>
      <c r="F9599" s="16"/>
      <c r="H9599" s="16"/>
      <c r="AG9599" s="80"/>
      <c r="AH9599" s="80"/>
      <c r="AI9599" s="80"/>
    </row>
    <row r="9600" spans="5:35" x14ac:dyDescent="0.25">
      <c r="E9600" s="16"/>
      <c r="F9600" s="16"/>
      <c r="H9600" s="16"/>
      <c r="AG9600" s="80"/>
      <c r="AH9600" s="80"/>
      <c r="AI9600" s="80"/>
    </row>
    <row r="9601" spans="5:35" x14ac:dyDescent="0.25">
      <c r="E9601" s="16"/>
      <c r="F9601" s="16"/>
      <c r="H9601" s="16"/>
      <c r="AG9601" s="80"/>
      <c r="AH9601" s="80"/>
      <c r="AI9601" s="80"/>
    </row>
    <row r="9602" spans="5:35" x14ac:dyDescent="0.25">
      <c r="E9602" s="16"/>
      <c r="F9602" s="16"/>
      <c r="H9602" s="16"/>
      <c r="AG9602" s="80"/>
      <c r="AH9602" s="80"/>
      <c r="AI9602" s="80"/>
    </row>
    <row r="9603" spans="5:35" x14ac:dyDescent="0.25">
      <c r="E9603" s="16"/>
      <c r="F9603" s="16"/>
      <c r="H9603" s="16"/>
      <c r="AG9603" s="80"/>
      <c r="AH9603" s="80"/>
      <c r="AI9603" s="80"/>
    </row>
    <row r="9604" spans="5:35" x14ac:dyDescent="0.25">
      <c r="E9604" s="16"/>
      <c r="F9604" s="16"/>
      <c r="H9604" s="16"/>
      <c r="AG9604" s="80"/>
      <c r="AH9604" s="80"/>
      <c r="AI9604" s="80"/>
    </row>
    <row r="9605" spans="5:35" x14ac:dyDescent="0.25">
      <c r="E9605" s="16"/>
      <c r="F9605" s="16"/>
      <c r="H9605" s="16"/>
      <c r="AG9605" s="80"/>
      <c r="AH9605" s="80"/>
      <c r="AI9605" s="80"/>
    </row>
    <row r="9606" spans="5:35" x14ac:dyDescent="0.25">
      <c r="E9606" s="16"/>
      <c r="F9606" s="16"/>
      <c r="H9606" s="16"/>
      <c r="AG9606" s="80"/>
      <c r="AH9606" s="80"/>
      <c r="AI9606" s="80"/>
    </row>
    <row r="9607" spans="5:35" x14ac:dyDescent="0.25">
      <c r="E9607" s="16"/>
      <c r="F9607" s="16"/>
      <c r="H9607" s="16"/>
      <c r="AG9607" s="80"/>
      <c r="AH9607" s="80"/>
      <c r="AI9607" s="80"/>
    </row>
    <row r="9608" spans="5:35" x14ac:dyDescent="0.25">
      <c r="E9608" s="16"/>
      <c r="F9608" s="16"/>
      <c r="H9608" s="16"/>
      <c r="AG9608" s="80"/>
      <c r="AH9608" s="80"/>
      <c r="AI9608" s="80"/>
    </row>
    <row r="9609" spans="5:35" x14ac:dyDescent="0.25">
      <c r="E9609" s="16"/>
      <c r="F9609" s="16"/>
      <c r="H9609" s="16"/>
      <c r="AG9609" s="80"/>
      <c r="AH9609" s="80"/>
      <c r="AI9609" s="80"/>
    </row>
    <row r="9610" spans="5:35" x14ac:dyDescent="0.25">
      <c r="E9610" s="16"/>
      <c r="F9610" s="16"/>
      <c r="H9610" s="16"/>
      <c r="AG9610" s="80"/>
      <c r="AH9610" s="80"/>
      <c r="AI9610" s="80"/>
    </row>
    <row r="9611" spans="5:35" x14ac:dyDescent="0.25">
      <c r="E9611" s="16"/>
      <c r="F9611" s="16"/>
      <c r="H9611" s="16"/>
      <c r="AG9611" s="80"/>
      <c r="AH9611" s="80"/>
      <c r="AI9611" s="80"/>
    </row>
    <row r="9612" spans="5:35" x14ac:dyDescent="0.25">
      <c r="E9612" s="16"/>
      <c r="F9612" s="16"/>
      <c r="H9612" s="16"/>
      <c r="AG9612" s="80"/>
      <c r="AH9612" s="80"/>
      <c r="AI9612" s="80"/>
    </row>
    <row r="9613" spans="5:35" x14ac:dyDescent="0.25">
      <c r="E9613" s="16"/>
      <c r="F9613" s="16"/>
      <c r="H9613" s="16"/>
      <c r="AG9613" s="80"/>
      <c r="AH9613" s="80"/>
      <c r="AI9613" s="80"/>
    </row>
    <row r="9614" spans="5:35" x14ac:dyDescent="0.25">
      <c r="E9614" s="16"/>
      <c r="F9614" s="16"/>
      <c r="H9614" s="16"/>
      <c r="AG9614" s="80"/>
      <c r="AH9614" s="80"/>
      <c r="AI9614" s="80"/>
    </row>
    <row r="9615" spans="5:35" x14ac:dyDescent="0.25">
      <c r="E9615" s="16"/>
      <c r="F9615" s="16"/>
      <c r="H9615" s="16"/>
      <c r="AG9615" s="80"/>
      <c r="AH9615" s="80"/>
      <c r="AI9615" s="80"/>
    </row>
    <row r="9616" spans="5:35" x14ac:dyDescent="0.25">
      <c r="E9616" s="16"/>
      <c r="F9616" s="16"/>
      <c r="H9616" s="16"/>
      <c r="AG9616" s="80"/>
      <c r="AH9616" s="80"/>
      <c r="AI9616" s="80"/>
    </row>
    <row r="9617" spans="5:35" x14ac:dyDescent="0.25">
      <c r="E9617" s="16"/>
      <c r="F9617" s="16"/>
      <c r="H9617" s="16"/>
      <c r="AG9617" s="80"/>
      <c r="AH9617" s="80"/>
      <c r="AI9617" s="80"/>
    </row>
    <row r="9618" spans="5:35" x14ac:dyDescent="0.25">
      <c r="E9618" s="16"/>
      <c r="F9618" s="16"/>
      <c r="H9618" s="16"/>
      <c r="AG9618" s="80"/>
      <c r="AH9618" s="80"/>
      <c r="AI9618" s="80"/>
    </row>
    <row r="9619" spans="5:35" x14ac:dyDescent="0.25">
      <c r="E9619" s="16"/>
      <c r="F9619" s="16"/>
      <c r="H9619" s="16"/>
      <c r="AG9619" s="80"/>
      <c r="AH9619" s="80"/>
      <c r="AI9619" s="80"/>
    </row>
    <row r="9620" spans="5:35" x14ac:dyDescent="0.25">
      <c r="E9620" s="16"/>
      <c r="F9620" s="16"/>
      <c r="H9620" s="16"/>
      <c r="AG9620" s="80"/>
      <c r="AH9620" s="80"/>
      <c r="AI9620" s="80"/>
    </row>
    <row r="9621" spans="5:35" x14ac:dyDescent="0.25">
      <c r="E9621" s="16"/>
      <c r="F9621" s="16"/>
      <c r="H9621" s="16"/>
      <c r="AG9621" s="80"/>
      <c r="AH9621" s="80"/>
      <c r="AI9621" s="80"/>
    </row>
    <row r="9622" spans="5:35" x14ac:dyDescent="0.25">
      <c r="E9622" s="16"/>
      <c r="F9622" s="16"/>
      <c r="H9622" s="16"/>
      <c r="AG9622" s="80"/>
      <c r="AH9622" s="80"/>
      <c r="AI9622" s="80"/>
    </row>
    <row r="9623" spans="5:35" x14ac:dyDescent="0.25">
      <c r="E9623" s="16"/>
      <c r="F9623" s="16"/>
      <c r="H9623" s="16"/>
      <c r="AG9623" s="80"/>
      <c r="AH9623" s="80"/>
      <c r="AI9623" s="80"/>
    </row>
    <row r="9624" spans="5:35" x14ac:dyDescent="0.25">
      <c r="E9624" s="16"/>
      <c r="F9624" s="16"/>
      <c r="H9624" s="16"/>
      <c r="AG9624" s="80"/>
      <c r="AH9624" s="80"/>
      <c r="AI9624" s="80"/>
    </row>
    <row r="9625" spans="5:35" x14ac:dyDescent="0.25">
      <c r="E9625" s="16"/>
      <c r="F9625" s="16"/>
      <c r="H9625" s="16"/>
      <c r="AG9625" s="80"/>
      <c r="AH9625" s="80"/>
      <c r="AI9625" s="80"/>
    </row>
    <row r="9626" spans="5:35" x14ac:dyDescent="0.25">
      <c r="E9626" s="16"/>
      <c r="F9626" s="16"/>
      <c r="H9626" s="16"/>
      <c r="AG9626" s="80"/>
      <c r="AH9626" s="80"/>
      <c r="AI9626" s="80"/>
    </row>
    <row r="9627" spans="5:35" x14ac:dyDescent="0.25">
      <c r="E9627" s="16"/>
      <c r="F9627" s="16"/>
      <c r="H9627" s="16"/>
      <c r="AG9627" s="80"/>
      <c r="AH9627" s="80"/>
      <c r="AI9627" s="80"/>
    </row>
    <row r="9628" spans="5:35" x14ac:dyDescent="0.25">
      <c r="E9628" s="16"/>
      <c r="F9628" s="16"/>
      <c r="H9628" s="16"/>
      <c r="AG9628" s="80"/>
      <c r="AH9628" s="80"/>
      <c r="AI9628" s="80"/>
    </row>
    <row r="9629" spans="5:35" x14ac:dyDescent="0.25">
      <c r="E9629" s="16"/>
      <c r="F9629" s="16"/>
      <c r="H9629" s="16"/>
      <c r="AG9629" s="80"/>
      <c r="AH9629" s="80"/>
      <c r="AI9629" s="80"/>
    </row>
    <row r="9630" spans="5:35" x14ac:dyDescent="0.25">
      <c r="E9630" s="16"/>
      <c r="F9630" s="16"/>
      <c r="H9630" s="16"/>
      <c r="AG9630" s="80"/>
      <c r="AH9630" s="80"/>
      <c r="AI9630" s="80"/>
    </row>
    <row r="9631" spans="5:35" x14ac:dyDescent="0.25">
      <c r="E9631" s="16"/>
      <c r="F9631" s="16"/>
      <c r="H9631" s="16"/>
      <c r="AG9631" s="80"/>
      <c r="AH9631" s="80"/>
      <c r="AI9631" s="80"/>
    </row>
    <row r="9632" spans="5:35" x14ac:dyDescent="0.25">
      <c r="E9632" s="16"/>
      <c r="F9632" s="16"/>
      <c r="H9632" s="16"/>
      <c r="AG9632" s="80"/>
      <c r="AH9632" s="80"/>
      <c r="AI9632" s="80"/>
    </row>
    <row r="9633" spans="5:35" x14ac:dyDescent="0.25">
      <c r="E9633" s="16"/>
      <c r="F9633" s="16"/>
      <c r="H9633" s="16"/>
      <c r="AG9633" s="80"/>
      <c r="AH9633" s="80"/>
      <c r="AI9633" s="80"/>
    </row>
    <row r="9634" spans="5:35" x14ac:dyDescent="0.25">
      <c r="E9634" s="16"/>
      <c r="F9634" s="16"/>
      <c r="H9634" s="16"/>
      <c r="AG9634" s="80"/>
      <c r="AH9634" s="80"/>
      <c r="AI9634" s="80"/>
    </row>
    <row r="9635" spans="5:35" x14ac:dyDescent="0.25">
      <c r="E9635" s="16"/>
      <c r="F9635" s="16"/>
      <c r="H9635" s="16"/>
      <c r="AG9635" s="80"/>
      <c r="AH9635" s="80"/>
      <c r="AI9635" s="80"/>
    </row>
    <row r="9636" spans="5:35" x14ac:dyDescent="0.25">
      <c r="E9636" s="16"/>
      <c r="F9636" s="16"/>
      <c r="H9636" s="16"/>
      <c r="AG9636" s="80"/>
      <c r="AH9636" s="80"/>
      <c r="AI9636" s="80"/>
    </row>
    <row r="9637" spans="5:35" x14ac:dyDescent="0.25">
      <c r="E9637" s="16"/>
      <c r="F9637" s="16"/>
      <c r="H9637" s="16"/>
      <c r="AG9637" s="80"/>
      <c r="AH9637" s="80"/>
      <c r="AI9637" s="80"/>
    </row>
    <row r="9638" spans="5:35" x14ac:dyDescent="0.25">
      <c r="E9638" s="16"/>
      <c r="F9638" s="16"/>
      <c r="H9638" s="16"/>
      <c r="AG9638" s="80"/>
      <c r="AH9638" s="80"/>
      <c r="AI9638" s="80"/>
    </row>
    <row r="9639" spans="5:35" x14ac:dyDescent="0.25">
      <c r="E9639" s="16"/>
      <c r="F9639" s="16"/>
      <c r="H9639" s="16"/>
      <c r="AG9639" s="80"/>
      <c r="AH9639" s="80"/>
      <c r="AI9639" s="80"/>
    </row>
    <row r="9640" spans="5:35" x14ac:dyDescent="0.25">
      <c r="E9640" s="16"/>
      <c r="F9640" s="16"/>
      <c r="H9640" s="16"/>
      <c r="AG9640" s="80"/>
      <c r="AH9640" s="80"/>
      <c r="AI9640" s="80"/>
    </row>
    <row r="9641" spans="5:35" x14ac:dyDescent="0.25">
      <c r="E9641" s="16"/>
      <c r="F9641" s="16"/>
      <c r="H9641" s="16"/>
      <c r="AG9641" s="80"/>
      <c r="AH9641" s="80"/>
      <c r="AI9641" s="80"/>
    </row>
    <row r="9642" spans="5:35" x14ac:dyDescent="0.25">
      <c r="E9642" s="16"/>
      <c r="F9642" s="16"/>
      <c r="H9642" s="16"/>
      <c r="AG9642" s="80"/>
      <c r="AH9642" s="80"/>
      <c r="AI9642" s="80"/>
    </row>
    <row r="9643" spans="5:35" x14ac:dyDescent="0.25">
      <c r="E9643" s="16"/>
      <c r="F9643" s="16"/>
      <c r="H9643" s="16"/>
      <c r="AG9643" s="80"/>
      <c r="AH9643" s="80"/>
      <c r="AI9643" s="80"/>
    </row>
    <row r="9644" spans="5:35" x14ac:dyDescent="0.25">
      <c r="E9644" s="16"/>
      <c r="F9644" s="16"/>
      <c r="H9644" s="16"/>
      <c r="AG9644" s="80"/>
      <c r="AH9644" s="80"/>
      <c r="AI9644" s="80"/>
    </row>
    <row r="9645" spans="5:35" x14ac:dyDescent="0.25">
      <c r="E9645" s="16"/>
      <c r="F9645" s="16"/>
      <c r="H9645" s="16"/>
      <c r="AG9645" s="80"/>
      <c r="AH9645" s="80"/>
      <c r="AI9645" s="80"/>
    </row>
    <row r="9646" spans="5:35" x14ac:dyDescent="0.25">
      <c r="E9646" s="16"/>
      <c r="F9646" s="16"/>
      <c r="H9646" s="16"/>
      <c r="AG9646" s="80"/>
      <c r="AH9646" s="80"/>
      <c r="AI9646" s="80"/>
    </row>
    <row r="9647" spans="5:35" x14ac:dyDescent="0.25">
      <c r="E9647" s="16"/>
      <c r="F9647" s="16"/>
      <c r="H9647" s="16"/>
      <c r="AG9647" s="80"/>
      <c r="AH9647" s="80"/>
      <c r="AI9647" s="80"/>
    </row>
    <row r="9648" spans="5:35" x14ac:dyDescent="0.25">
      <c r="E9648" s="16"/>
      <c r="F9648" s="16"/>
      <c r="H9648" s="16"/>
      <c r="AG9648" s="80"/>
      <c r="AH9648" s="80"/>
      <c r="AI9648" s="80"/>
    </row>
    <row r="9649" spans="5:35" x14ac:dyDescent="0.25">
      <c r="E9649" s="16"/>
      <c r="F9649" s="16"/>
      <c r="H9649" s="16"/>
      <c r="AG9649" s="80"/>
      <c r="AH9649" s="80"/>
      <c r="AI9649" s="80"/>
    </row>
    <row r="9650" spans="5:35" x14ac:dyDescent="0.25">
      <c r="E9650" s="16"/>
      <c r="F9650" s="16"/>
      <c r="H9650" s="16"/>
      <c r="AG9650" s="80"/>
      <c r="AH9650" s="80"/>
      <c r="AI9650" s="80"/>
    </row>
    <row r="9651" spans="5:35" x14ac:dyDescent="0.25">
      <c r="E9651" s="16"/>
      <c r="F9651" s="16"/>
      <c r="H9651" s="16"/>
      <c r="AG9651" s="80"/>
      <c r="AH9651" s="80"/>
      <c r="AI9651" s="80"/>
    </row>
    <row r="9652" spans="5:35" x14ac:dyDescent="0.25">
      <c r="E9652" s="16"/>
      <c r="F9652" s="16"/>
      <c r="H9652" s="16"/>
      <c r="AG9652" s="80"/>
      <c r="AH9652" s="80"/>
      <c r="AI9652" s="80"/>
    </row>
    <row r="9653" spans="5:35" x14ac:dyDescent="0.25">
      <c r="E9653" s="16"/>
      <c r="F9653" s="16"/>
      <c r="H9653" s="16"/>
      <c r="AG9653" s="80"/>
      <c r="AH9653" s="80"/>
      <c r="AI9653" s="80"/>
    </row>
    <row r="9654" spans="5:35" x14ac:dyDescent="0.25">
      <c r="E9654" s="16"/>
      <c r="F9654" s="16"/>
      <c r="H9654" s="16"/>
      <c r="AG9654" s="80"/>
      <c r="AH9654" s="80"/>
      <c r="AI9654" s="80"/>
    </row>
    <row r="9655" spans="5:35" x14ac:dyDescent="0.25">
      <c r="E9655" s="16"/>
      <c r="F9655" s="16"/>
      <c r="H9655" s="16"/>
      <c r="AG9655" s="80"/>
      <c r="AH9655" s="80"/>
      <c r="AI9655" s="80"/>
    </row>
    <row r="9656" spans="5:35" x14ac:dyDescent="0.25">
      <c r="E9656" s="16"/>
      <c r="F9656" s="16"/>
      <c r="H9656" s="16"/>
      <c r="AG9656" s="80"/>
      <c r="AH9656" s="80"/>
      <c r="AI9656" s="80"/>
    </row>
    <row r="9657" spans="5:35" x14ac:dyDescent="0.25">
      <c r="E9657" s="16"/>
      <c r="F9657" s="16"/>
      <c r="H9657" s="16"/>
      <c r="AG9657" s="80"/>
      <c r="AH9657" s="80"/>
      <c r="AI9657" s="80"/>
    </row>
    <row r="9658" spans="5:35" x14ac:dyDescent="0.25">
      <c r="E9658" s="16"/>
      <c r="F9658" s="16"/>
      <c r="H9658" s="16"/>
      <c r="AG9658" s="80"/>
      <c r="AH9658" s="80"/>
      <c r="AI9658" s="80"/>
    </row>
    <row r="9659" spans="5:35" x14ac:dyDescent="0.25">
      <c r="E9659" s="16"/>
      <c r="F9659" s="16"/>
      <c r="H9659" s="16"/>
      <c r="AG9659" s="80"/>
      <c r="AH9659" s="80"/>
      <c r="AI9659" s="80"/>
    </row>
    <row r="9660" spans="5:35" x14ac:dyDescent="0.25">
      <c r="E9660" s="16"/>
      <c r="F9660" s="16"/>
      <c r="H9660" s="16"/>
      <c r="AG9660" s="80"/>
      <c r="AH9660" s="80"/>
      <c r="AI9660" s="80"/>
    </row>
    <row r="9661" spans="5:35" x14ac:dyDescent="0.25">
      <c r="E9661" s="16"/>
      <c r="F9661" s="16"/>
      <c r="H9661" s="16"/>
      <c r="AG9661" s="80"/>
      <c r="AH9661" s="80"/>
      <c r="AI9661" s="80"/>
    </row>
    <row r="9662" spans="5:35" x14ac:dyDescent="0.25">
      <c r="E9662" s="16"/>
      <c r="F9662" s="16"/>
      <c r="H9662" s="16"/>
      <c r="AG9662" s="80"/>
      <c r="AH9662" s="80"/>
      <c r="AI9662" s="80"/>
    </row>
    <row r="9663" spans="5:35" x14ac:dyDescent="0.25">
      <c r="E9663" s="16"/>
      <c r="F9663" s="16"/>
      <c r="H9663" s="16"/>
      <c r="AG9663" s="80"/>
      <c r="AH9663" s="80"/>
      <c r="AI9663" s="80"/>
    </row>
    <row r="9664" spans="5:35" x14ac:dyDescent="0.25">
      <c r="E9664" s="16"/>
      <c r="F9664" s="16"/>
      <c r="H9664" s="16"/>
      <c r="AG9664" s="80"/>
      <c r="AH9664" s="80"/>
      <c r="AI9664" s="80"/>
    </row>
    <row r="9665" spans="5:35" x14ac:dyDescent="0.25">
      <c r="E9665" s="16"/>
      <c r="F9665" s="16"/>
      <c r="H9665" s="16"/>
      <c r="AG9665" s="80"/>
      <c r="AH9665" s="80"/>
      <c r="AI9665" s="80"/>
    </row>
    <row r="9666" spans="5:35" x14ac:dyDescent="0.25">
      <c r="E9666" s="16"/>
      <c r="F9666" s="16"/>
      <c r="H9666" s="16"/>
      <c r="AG9666" s="80"/>
      <c r="AH9666" s="80"/>
      <c r="AI9666" s="80"/>
    </row>
    <row r="9667" spans="5:35" x14ac:dyDescent="0.25">
      <c r="E9667" s="16"/>
      <c r="F9667" s="16"/>
      <c r="H9667" s="16"/>
      <c r="AG9667" s="80"/>
      <c r="AH9667" s="80"/>
      <c r="AI9667" s="80"/>
    </row>
    <row r="9668" spans="5:35" x14ac:dyDescent="0.25">
      <c r="E9668" s="16"/>
      <c r="F9668" s="16"/>
      <c r="H9668" s="16"/>
      <c r="AG9668" s="80"/>
      <c r="AH9668" s="80"/>
      <c r="AI9668" s="80"/>
    </row>
    <row r="9669" spans="5:35" x14ac:dyDescent="0.25">
      <c r="E9669" s="16"/>
      <c r="F9669" s="16"/>
      <c r="H9669" s="16"/>
      <c r="AG9669" s="80"/>
      <c r="AH9669" s="80"/>
      <c r="AI9669" s="80"/>
    </row>
    <row r="9670" spans="5:35" x14ac:dyDescent="0.25">
      <c r="E9670" s="16"/>
      <c r="F9670" s="16"/>
      <c r="H9670" s="16"/>
      <c r="AG9670" s="80"/>
      <c r="AH9670" s="80"/>
      <c r="AI9670" s="80"/>
    </row>
    <row r="9671" spans="5:35" x14ac:dyDescent="0.25">
      <c r="E9671" s="16"/>
      <c r="F9671" s="16"/>
      <c r="H9671" s="16"/>
      <c r="AG9671" s="80"/>
      <c r="AH9671" s="80"/>
      <c r="AI9671" s="80"/>
    </row>
    <row r="9672" spans="5:35" x14ac:dyDescent="0.25">
      <c r="E9672" s="16"/>
      <c r="F9672" s="16"/>
      <c r="H9672" s="16"/>
      <c r="AG9672" s="80"/>
      <c r="AH9672" s="80"/>
      <c r="AI9672" s="80"/>
    </row>
    <row r="9673" spans="5:35" x14ac:dyDescent="0.25">
      <c r="E9673" s="16"/>
      <c r="F9673" s="16"/>
      <c r="H9673" s="16"/>
      <c r="AG9673" s="80"/>
      <c r="AH9673" s="80"/>
      <c r="AI9673" s="80"/>
    </row>
    <row r="9674" spans="5:35" x14ac:dyDescent="0.25">
      <c r="E9674" s="16"/>
      <c r="F9674" s="16"/>
      <c r="H9674" s="16"/>
      <c r="AG9674" s="80"/>
      <c r="AH9674" s="80"/>
      <c r="AI9674" s="80"/>
    </row>
    <row r="9675" spans="5:35" x14ac:dyDescent="0.25">
      <c r="E9675" s="16"/>
      <c r="F9675" s="16"/>
      <c r="H9675" s="16"/>
      <c r="AG9675" s="80"/>
      <c r="AH9675" s="80"/>
      <c r="AI9675" s="80"/>
    </row>
    <row r="9676" spans="5:35" x14ac:dyDescent="0.25">
      <c r="E9676" s="16"/>
      <c r="F9676" s="16"/>
      <c r="H9676" s="16"/>
      <c r="AG9676" s="80"/>
      <c r="AH9676" s="80"/>
      <c r="AI9676" s="80"/>
    </row>
    <row r="9677" spans="5:35" x14ac:dyDescent="0.25">
      <c r="E9677" s="16"/>
      <c r="F9677" s="16"/>
      <c r="H9677" s="16"/>
      <c r="AG9677" s="80"/>
      <c r="AH9677" s="80"/>
      <c r="AI9677" s="80"/>
    </row>
    <row r="9678" spans="5:35" x14ac:dyDescent="0.25">
      <c r="E9678" s="16"/>
      <c r="F9678" s="16"/>
      <c r="H9678" s="16"/>
      <c r="AG9678" s="80"/>
      <c r="AH9678" s="80"/>
      <c r="AI9678" s="80"/>
    </row>
    <row r="9679" spans="5:35" x14ac:dyDescent="0.25">
      <c r="E9679" s="16"/>
      <c r="F9679" s="16"/>
      <c r="H9679" s="16"/>
      <c r="AG9679" s="80"/>
      <c r="AH9679" s="80"/>
      <c r="AI9679" s="80"/>
    </row>
    <row r="9680" spans="5:35" x14ac:dyDescent="0.25">
      <c r="E9680" s="16"/>
      <c r="F9680" s="16"/>
      <c r="H9680" s="16"/>
      <c r="AG9680" s="80"/>
      <c r="AH9680" s="80"/>
      <c r="AI9680" s="80"/>
    </row>
    <row r="9681" spans="5:35" x14ac:dyDescent="0.25">
      <c r="E9681" s="16"/>
      <c r="F9681" s="16"/>
      <c r="H9681" s="16"/>
      <c r="AG9681" s="80"/>
      <c r="AH9681" s="80"/>
      <c r="AI9681" s="80"/>
    </row>
    <row r="9682" spans="5:35" x14ac:dyDescent="0.25">
      <c r="E9682" s="16"/>
      <c r="F9682" s="16"/>
      <c r="H9682" s="16"/>
      <c r="AG9682" s="80"/>
      <c r="AH9682" s="80"/>
      <c r="AI9682" s="80"/>
    </row>
    <row r="9683" spans="5:35" x14ac:dyDescent="0.25">
      <c r="E9683" s="16"/>
      <c r="F9683" s="16"/>
      <c r="H9683" s="16"/>
      <c r="AG9683" s="80"/>
      <c r="AH9683" s="80"/>
      <c r="AI9683" s="80"/>
    </row>
    <row r="9684" spans="5:35" x14ac:dyDescent="0.25">
      <c r="E9684" s="16"/>
      <c r="F9684" s="16"/>
      <c r="H9684" s="16"/>
      <c r="AG9684" s="80"/>
      <c r="AH9684" s="80"/>
      <c r="AI9684" s="80"/>
    </row>
    <row r="9685" spans="5:35" x14ac:dyDescent="0.25">
      <c r="E9685" s="16"/>
      <c r="F9685" s="16"/>
      <c r="H9685" s="16"/>
      <c r="AG9685" s="80"/>
      <c r="AH9685" s="80"/>
      <c r="AI9685" s="80"/>
    </row>
    <row r="9686" spans="5:35" x14ac:dyDescent="0.25">
      <c r="E9686" s="16"/>
      <c r="F9686" s="16"/>
      <c r="H9686" s="16"/>
      <c r="AG9686" s="80"/>
      <c r="AH9686" s="80"/>
      <c r="AI9686" s="80"/>
    </row>
    <row r="9687" spans="5:35" x14ac:dyDescent="0.25">
      <c r="E9687" s="16"/>
      <c r="F9687" s="16"/>
      <c r="H9687" s="16"/>
      <c r="AG9687" s="80"/>
      <c r="AH9687" s="80"/>
      <c r="AI9687" s="80"/>
    </row>
    <row r="9688" spans="5:35" x14ac:dyDescent="0.25">
      <c r="E9688" s="16"/>
      <c r="F9688" s="16"/>
      <c r="H9688" s="16"/>
      <c r="AG9688" s="80"/>
      <c r="AH9688" s="80"/>
      <c r="AI9688" s="80"/>
    </row>
    <row r="9689" spans="5:35" x14ac:dyDescent="0.25">
      <c r="E9689" s="16"/>
      <c r="F9689" s="16"/>
      <c r="H9689" s="16"/>
      <c r="AG9689" s="80"/>
      <c r="AH9689" s="80"/>
      <c r="AI9689" s="80"/>
    </row>
    <row r="9690" spans="5:35" x14ac:dyDescent="0.25">
      <c r="E9690" s="16"/>
      <c r="F9690" s="16"/>
      <c r="H9690" s="16"/>
      <c r="AG9690" s="80"/>
      <c r="AH9690" s="80"/>
      <c r="AI9690" s="80"/>
    </row>
    <row r="9691" spans="5:35" x14ac:dyDescent="0.25">
      <c r="E9691" s="16"/>
      <c r="F9691" s="16"/>
      <c r="H9691" s="16"/>
      <c r="AG9691" s="80"/>
      <c r="AH9691" s="80"/>
      <c r="AI9691" s="80"/>
    </row>
    <row r="9692" spans="5:35" x14ac:dyDescent="0.25">
      <c r="E9692" s="16"/>
      <c r="F9692" s="16"/>
      <c r="H9692" s="16"/>
      <c r="AG9692" s="80"/>
      <c r="AH9692" s="80"/>
      <c r="AI9692" s="80"/>
    </row>
    <row r="9693" spans="5:35" x14ac:dyDescent="0.25">
      <c r="E9693" s="16"/>
      <c r="F9693" s="16"/>
      <c r="H9693" s="16"/>
      <c r="AG9693" s="80"/>
      <c r="AH9693" s="80"/>
      <c r="AI9693" s="80"/>
    </row>
    <row r="9694" spans="5:35" x14ac:dyDescent="0.25">
      <c r="E9694" s="16"/>
      <c r="F9694" s="16"/>
      <c r="H9694" s="16"/>
      <c r="AG9694" s="80"/>
      <c r="AH9694" s="80"/>
      <c r="AI9694" s="80"/>
    </row>
    <row r="9695" spans="5:35" x14ac:dyDescent="0.25">
      <c r="E9695" s="16"/>
      <c r="F9695" s="16"/>
      <c r="H9695" s="16"/>
      <c r="AG9695" s="80"/>
      <c r="AH9695" s="80"/>
      <c r="AI9695" s="80"/>
    </row>
    <row r="9696" spans="5:35" x14ac:dyDescent="0.25">
      <c r="E9696" s="16"/>
      <c r="F9696" s="16"/>
      <c r="H9696" s="16"/>
      <c r="AG9696" s="80"/>
      <c r="AH9696" s="80"/>
      <c r="AI9696" s="80"/>
    </row>
    <row r="9697" spans="5:35" x14ac:dyDescent="0.25">
      <c r="E9697" s="16"/>
      <c r="F9697" s="16"/>
      <c r="H9697" s="16"/>
      <c r="AG9697" s="80"/>
      <c r="AH9697" s="80"/>
      <c r="AI9697" s="80"/>
    </row>
    <row r="9698" spans="5:35" x14ac:dyDescent="0.25">
      <c r="E9698" s="16"/>
      <c r="F9698" s="16"/>
      <c r="H9698" s="16"/>
      <c r="AG9698" s="80"/>
      <c r="AH9698" s="80"/>
      <c r="AI9698" s="80"/>
    </row>
    <row r="9699" spans="5:35" x14ac:dyDescent="0.25">
      <c r="E9699" s="16"/>
      <c r="F9699" s="16"/>
      <c r="H9699" s="16"/>
      <c r="AG9699" s="80"/>
      <c r="AH9699" s="80"/>
      <c r="AI9699" s="80"/>
    </row>
    <row r="9700" spans="5:35" x14ac:dyDescent="0.25">
      <c r="E9700" s="16"/>
      <c r="F9700" s="16"/>
      <c r="H9700" s="16"/>
      <c r="AG9700" s="80"/>
      <c r="AH9700" s="80"/>
      <c r="AI9700" s="80"/>
    </row>
    <row r="9701" spans="5:35" x14ac:dyDescent="0.25">
      <c r="E9701" s="16"/>
      <c r="F9701" s="16"/>
      <c r="H9701" s="16"/>
      <c r="AG9701" s="80"/>
      <c r="AH9701" s="80"/>
      <c r="AI9701" s="80"/>
    </row>
    <row r="9702" spans="5:35" x14ac:dyDescent="0.25">
      <c r="E9702" s="16"/>
      <c r="F9702" s="16"/>
      <c r="H9702" s="16"/>
      <c r="AG9702" s="80"/>
      <c r="AH9702" s="80"/>
      <c r="AI9702" s="80"/>
    </row>
    <row r="9703" spans="5:35" x14ac:dyDescent="0.25">
      <c r="E9703" s="16"/>
      <c r="F9703" s="16"/>
      <c r="H9703" s="16"/>
      <c r="AG9703" s="80"/>
      <c r="AH9703" s="80"/>
      <c r="AI9703" s="80"/>
    </row>
    <row r="9704" spans="5:35" x14ac:dyDescent="0.25">
      <c r="E9704" s="16"/>
      <c r="F9704" s="16"/>
      <c r="H9704" s="16"/>
      <c r="AG9704" s="80"/>
      <c r="AH9704" s="80"/>
      <c r="AI9704" s="80"/>
    </row>
    <row r="9705" spans="5:35" x14ac:dyDescent="0.25">
      <c r="E9705" s="16"/>
      <c r="F9705" s="16"/>
      <c r="H9705" s="16"/>
      <c r="AG9705" s="80"/>
      <c r="AH9705" s="80"/>
      <c r="AI9705" s="80"/>
    </row>
    <row r="9706" spans="5:35" x14ac:dyDescent="0.25">
      <c r="E9706" s="16"/>
      <c r="F9706" s="16"/>
      <c r="H9706" s="16"/>
      <c r="AG9706" s="80"/>
      <c r="AH9706" s="80"/>
      <c r="AI9706" s="80"/>
    </row>
    <row r="9707" spans="5:35" x14ac:dyDescent="0.25">
      <c r="E9707" s="16"/>
      <c r="F9707" s="16"/>
      <c r="H9707" s="16"/>
      <c r="AG9707" s="80"/>
      <c r="AH9707" s="80"/>
      <c r="AI9707" s="80"/>
    </row>
    <row r="9708" spans="5:35" x14ac:dyDescent="0.25">
      <c r="E9708" s="16"/>
      <c r="F9708" s="16"/>
      <c r="H9708" s="16"/>
      <c r="AG9708" s="80"/>
      <c r="AH9708" s="80"/>
      <c r="AI9708" s="80"/>
    </row>
    <row r="9709" spans="5:35" x14ac:dyDescent="0.25">
      <c r="E9709" s="16"/>
      <c r="F9709" s="16"/>
      <c r="H9709" s="16"/>
      <c r="AG9709" s="80"/>
      <c r="AH9709" s="80"/>
      <c r="AI9709" s="80"/>
    </row>
    <row r="9710" spans="5:35" x14ac:dyDescent="0.25">
      <c r="E9710" s="16"/>
      <c r="F9710" s="16"/>
      <c r="H9710" s="16"/>
      <c r="AG9710" s="80"/>
      <c r="AH9710" s="80"/>
      <c r="AI9710" s="80"/>
    </row>
    <row r="9711" spans="5:35" x14ac:dyDescent="0.25">
      <c r="E9711" s="16"/>
      <c r="F9711" s="16"/>
      <c r="H9711" s="16"/>
      <c r="AG9711" s="80"/>
      <c r="AH9711" s="80"/>
      <c r="AI9711" s="80"/>
    </row>
    <row r="9712" spans="5:35" x14ac:dyDescent="0.25">
      <c r="E9712" s="16"/>
      <c r="F9712" s="16"/>
      <c r="H9712" s="16"/>
      <c r="AG9712" s="80"/>
      <c r="AH9712" s="80"/>
      <c r="AI9712" s="80"/>
    </row>
    <row r="9713" spans="5:35" x14ac:dyDescent="0.25">
      <c r="E9713" s="16"/>
      <c r="F9713" s="16"/>
      <c r="H9713" s="16"/>
      <c r="AG9713" s="80"/>
      <c r="AH9713" s="80"/>
      <c r="AI9713" s="80"/>
    </row>
    <row r="9714" spans="5:35" x14ac:dyDescent="0.25">
      <c r="E9714" s="16"/>
      <c r="F9714" s="16"/>
      <c r="H9714" s="16"/>
      <c r="AG9714" s="80"/>
      <c r="AH9714" s="80"/>
      <c r="AI9714" s="80"/>
    </row>
    <row r="9715" spans="5:35" x14ac:dyDescent="0.25">
      <c r="E9715" s="16"/>
      <c r="F9715" s="16"/>
      <c r="H9715" s="16"/>
      <c r="AG9715" s="80"/>
      <c r="AH9715" s="80"/>
      <c r="AI9715" s="80"/>
    </row>
    <row r="9716" spans="5:35" x14ac:dyDescent="0.25">
      <c r="E9716" s="16"/>
      <c r="F9716" s="16"/>
      <c r="H9716" s="16"/>
      <c r="AG9716" s="80"/>
      <c r="AH9716" s="80"/>
      <c r="AI9716" s="80"/>
    </row>
    <row r="9717" spans="5:35" x14ac:dyDescent="0.25">
      <c r="E9717" s="16"/>
      <c r="F9717" s="16"/>
      <c r="H9717" s="16"/>
      <c r="AG9717" s="80"/>
      <c r="AH9717" s="80"/>
      <c r="AI9717" s="80"/>
    </row>
    <row r="9718" spans="5:35" x14ac:dyDescent="0.25">
      <c r="E9718" s="16"/>
      <c r="F9718" s="16"/>
      <c r="H9718" s="16"/>
      <c r="AG9718" s="80"/>
      <c r="AH9718" s="80"/>
      <c r="AI9718" s="80"/>
    </row>
    <row r="9719" spans="5:35" x14ac:dyDescent="0.25">
      <c r="E9719" s="16"/>
      <c r="F9719" s="16"/>
      <c r="H9719" s="16"/>
      <c r="AG9719" s="80"/>
      <c r="AH9719" s="80"/>
      <c r="AI9719" s="80"/>
    </row>
    <row r="9720" spans="5:35" x14ac:dyDescent="0.25">
      <c r="E9720" s="16"/>
      <c r="F9720" s="16"/>
      <c r="H9720" s="16"/>
      <c r="AG9720" s="80"/>
      <c r="AH9720" s="80"/>
      <c r="AI9720" s="80"/>
    </row>
    <row r="9721" spans="5:35" x14ac:dyDescent="0.25">
      <c r="E9721" s="16"/>
      <c r="F9721" s="16"/>
      <c r="H9721" s="16"/>
      <c r="AG9721" s="80"/>
      <c r="AH9721" s="80"/>
      <c r="AI9721" s="80"/>
    </row>
    <row r="9722" spans="5:35" x14ac:dyDescent="0.25">
      <c r="E9722" s="16"/>
      <c r="F9722" s="16"/>
      <c r="H9722" s="16"/>
      <c r="AG9722" s="80"/>
      <c r="AH9722" s="80"/>
      <c r="AI9722" s="80"/>
    </row>
    <row r="9723" spans="5:35" x14ac:dyDescent="0.25">
      <c r="E9723" s="16"/>
      <c r="F9723" s="16"/>
      <c r="H9723" s="16"/>
      <c r="AG9723" s="80"/>
      <c r="AH9723" s="80"/>
      <c r="AI9723" s="80"/>
    </row>
    <row r="9724" spans="5:35" x14ac:dyDescent="0.25">
      <c r="E9724" s="16"/>
      <c r="F9724" s="16"/>
      <c r="H9724" s="16"/>
      <c r="AG9724" s="80"/>
      <c r="AH9724" s="80"/>
      <c r="AI9724" s="80"/>
    </row>
    <row r="9725" spans="5:35" x14ac:dyDescent="0.25">
      <c r="E9725" s="16"/>
      <c r="F9725" s="16"/>
      <c r="H9725" s="16"/>
      <c r="AG9725" s="80"/>
      <c r="AH9725" s="80"/>
      <c r="AI9725" s="80"/>
    </row>
    <row r="9726" spans="5:35" x14ac:dyDescent="0.25">
      <c r="E9726" s="16"/>
      <c r="F9726" s="16"/>
      <c r="H9726" s="16"/>
      <c r="AG9726" s="80"/>
      <c r="AH9726" s="80"/>
      <c r="AI9726" s="80"/>
    </row>
    <row r="9727" spans="5:35" x14ac:dyDescent="0.25">
      <c r="E9727" s="16"/>
      <c r="F9727" s="16"/>
      <c r="H9727" s="16"/>
      <c r="AG9727" s="80"/>
      <c r="AH9727" s="80"/>
      <c r="AI9727" s="80"/>
    </row>
    <row r="9728" spans="5:35" x14ac:dyDescent="0.25">
      <c r="E9728" s="16"/>
      <c r="F9728" s="16"/>
      <c r="H9728" s="16"/>
      <c r="AG9728" s="80"/>
      <c r="AH9728" s="80"/>
      <c r="AI9728" s="80"/>
    </row>
    <row r="9729" spans="5:35" x14ac:dyDescent="0.25">
      <c r="E9729" s="16"/>
      <c r="F9729" s="16"/>
      <c r="H9729" s="16"/>
      <c r="AG9729" s="80"/>
      <c r="AH9729" s="80"/>
      <c r="AI9729" s="80"/>
    </row>
    <row r="9730" spans="5:35" x14ac:dyDescent="0.25">
      <c r="E9730" s="16"/>
      <c r="F9730" s="16"/>
      <c r="H9730" s="16"/>
      <c r="AG9730" s="80"/>
      <c r="AH9730" s="80"/>
      <c r="AI9730" s="80"/>
    </row>
    <row r="9731" spans="5:35" x14ac:dyDescent="0.25">
      <c r="E9731" s="16"/>
      <c r="F9731" s="16"/>
      <c r="H9731" s="16"/>
      <c r="AG9731" s="80"/>
      <c r="AH9731" s="80"/>
      <c r="AI9731" s="80"/>
    </row>
    <row r="9732" spans="5:35" x14ac:dyDescent="0.25">
      <c r="E9732" s="16"/>
      <c r="F9732" s="16"/>
      <c r="H9732" s="16"/>
      <c r="AG9732" s="80"/>
      <c r="AH9732" s="80"/>
      <c r="AI9732" s="80"/>
    </row>
    <row r="9733" spans="5:35" x14ac:dyDescent="0.25">
      <c r="E9733" s="16"/>
      <c r="F9733" s="16"/>
      <c r="H9733" s="16"/>
      <c r="AG9733" s="80"/>
      <c r="AH9733" s="80"/>
      <c r="AI9733" s="80"/>
    </row>
    <row r="9734" spans="5:35" x14ac:dyDescent="0.25">
      <c r="E9734" s="16"/>
      <c r="F9734" s="16"/>
      <c r="H9734" s="16"/>
      <c r="AG9734" s="80"/>
      <c r="AH9734" s="80"/>
      <c r="AI9734" s="80"/>
    </row>
    <row r="9735" spans="5:35" x14ac:dyDescent="0.25">
      <c r="E9735" s="16"/>
      <c r="F9735" s="16"/>
      <c r="H9735" s="16"/>
      <c r="AG9735" s="80"/>
      <c r="AH9735" s="80"/>
      <c r="AI9735" s="80"/>
    </row>
    <row r="9736" spans="5:35" x14ac:dyDescent="0.25">
      <c r="E9736" s="16"/>
      <c r="F9736" s="16"/>
      <c r="H9736" s="16"/>
      <c r="AG9736" s="80"/>
      <c r="AH9736" s="80"/>
      <c r="AI9736" s="80"/>
    </row>
    <row r="9737" spans="5:35" x14ac:dyDescent="0.25">
      <c r="E9737" s="16"/>
      <c r="F9737" s="16"/>
      <c r="H9737" s="16"/>
      <c r="AG9737" s="80"/>
      <c r="AH9737" s="80"/>
      <c r="AI9737" s="80"/>
    </row>
    <row r="9738" spans="5:35" x14ac:dyDescent="0.25">
      <c r="E9738" s="16"/>
      <c r="F9738" s="16"/>
      <c r="H9738" s="16"/>
      <c r="AG9738" s="80"/>
      <c r="AH9738" s="80"/>
      <c r="AI9738" s="80"/>
    </row>
    <row r="9739" spans="5:35" x14ac:dyDescent="0.25">
      <c r="E9739" s="16"/>
      <c r="F9739" s="16"/>
      <c r="H9739" s="16"/>
      <c r="AG9739" s="80"/>
      <c r="AH9739" s="80"/>
      <c r="AI9739" s="80"/>
    </row>
    <row r="9740" spans="5:35" x14ac:dyDescent="0.25">
      <c r="E9740" s="16"/>
      <c r="F9740" s="16"/>
      <c r="H9740" s="16"/>
      <c r="AG9740" s="80"/>
      <c r="AH9740" s="80"/>
      <c r="AI9740" s="80"/>
    </row>
    <row r="9741" spans="5:35" x14ac:dyDescent="0.25">
      <c r="E9741" s="16"/>
      <c r="F9741" s="16"/>
      <c r="H9741" s="16"/>
      <c r="AG9741" s="80"/>
      <c r="AH9741" s="80"/>
      <c r="AI9741" s="80"/>
    </row>
    <row r="9742" spans="5:35" x14ac:dyDescent="0.25">
      <c r="E9742" s="16"/>
      <c r="F9742" s="16"/>
      <c r="H9742" s="16"/>
      <c r="AG9742" s="80"/>
      <c r="AH9742" s="80"/>
      <c r="AI9742" s="80"/>
    </row>
    <row r="9743" spans="5:35" x14ac:dyDescent="0.25">
      <c r="E9743" s="16"/>
      <c r="F9743" s="16"/>
      <c r="H9743" s="16"/>
      <c r="AG9743" s="80"/>
      <c r="AH9743" s="80"/>
      <c r="AI9743" s="80"/>
    </row>
    <row r="9744" spans="5:35" x14ac:dyDescent="0.25">
      <c r="E9744" s="16"/>
      <c r="F9744" s="16"/>
      <c r="H9744" s="16"/>
      <c r="AG9744" s="80"/>
      <c r="AH9744" s="80"/>
      <c r="AI9744" s="80"/>
    </row>
    <row r="9745" spans="5:35" x14ac:dyDescent="0.25">
      <c r="E9745" s="16"/>
      <c r="F9745" s="16"/>
      <c r="H9745" s="16"/>
      <c r="AG9745" s="80"/>
      <c r="AH9745" s="80"/>
      <c r="AI9745" s="80"/>
    </row>
    <row r="9746" spans="5:35" x14ac:dyDescent="0.25">
      <c r="E9746" s="16"/>
      <c r="F9746" s="16"/>
      <c r="H9746" s="16"/>
      <c r="AG9746" s="80"/>
      <c r="AH9746" s="80"/>
      <c r="AI9746" s="80"/>
    </row>
    <row r="9747" spans="5:35" x14ac:dyDescent="0.25">
      <c r="E9747" s="16"/>
      <c r="F9747" s="16"/>
      <c r="H9747" s="16"/>
      <c r="AG9747" s="80"/>
      <c r="AH9747" s="80"/>
      <c r="AI9747" s="80"/>
    </row>
    <row r="9748" spans="5:35" x14ac:dyDescent="0.25">
      <c r="E9748" s="16"/>
      <c r="F9748" s="16"/>
      <c r="H9748" s="16"/>
      <c r="AG9748" s="80"/>
      <c r="AH9748" s="80"/>
      <c r="AI9748" s="80"/>
    </row>
    <row r="9749" spans="5:35" x14ac:dyDescent="0.25">
      <c r="E9749" s="16"/>
      <c r="F9749" s="16"/>
      <c r="H9749" s="16"/>
      <c r="AG9749" s="80"/>
      <c r="AH9749" s="80"/>
      <c r="AI9749" s="80"/>
    </row>
    <row r="9750" spans="5:35" x14ac:dyDescent="0.25">
      <c r="E9750" s="16"/>
      <c r="F9750" s="16"/>
      <c r="H9750" s="16"/>
      <c r="AG9750" s="80"/>
      <c r="AH9750" s="80"/>
      <c r="AI9750" s="80"/>
    </row>
    <row r="9751" spans="5:35" x14ac:dyDescent="0.25">
      <c r="E9751" s="16"/>
      <c r="F9751" s="16"/>
      <c r="H9751" s="16"/>
      <c r="AG9751" s="80"/>
      <c r="AH9751" s="80"/>
      <c r="AI9751" s="80"/>
    </row>
    <row r="9752" spans="5:35" x14ac:dyDescent="0.25">
      <c r="E9752" s="16"/>
      <c r="F9752" s="16"/>
      <c r="H9752" s="16"/>
      <c r="AG9752" s="80"/>
      <c r="AH9752" s="80"/>
      <c r="AI9752" s="80"/>
    </row>
    <row r="9753" spans="5:35" x14ac:dyDescent="0.25">
      <c r="E9753" s="16"/>
      <c r="F9753" s="16"/>
      <c r="H9753" s="16"/>
      <c r="AG9753" s="80"/>
      <c r="AH9753" s="80"/>
      <c r="AI9753" s="80"/>
    </row>
    <row r="9754" spans="5:35" x14ac:dyDescent="0.25">
      <c r="E9754" s="16"/>
      <c r="F9754" s="16"/>
      <c r="H9754" s="16"/>
      <c r="AG9754" s="80"/>
      <c r="AH9754" s="80"/>
      <c r="AI9754" s="80"/>
    </row>
    <row r="9755" spans="5:35" x14ac:dyDescent="0.25">
      <c r="E9755" s="16"/>
      <c r="F9755" s="16"/>
      <c r="H9755" s="16"/>
      <c r="AG9755" s="80"/>
      <c r="AH9755" s="80"/>
      <c r="AI9755" s="80"/>
    </row>
    <row r="9756" spans="5:35" x14ac:dyDescent="0.25">
      <c r="E9756" s="16"/>
      <c r="F9756" s="16"/>
      <c r="H9756" s="16"/>
      <c r="AG9756" s="80"/>
      <c r="AH9756" s="80"/>
      <c r="AI9756" s="80"/>
    </row>
    <row r="9757" spans="5:35" x14ac:dyDescent="0.25">
      <c r="E9757" s="16"/>
      <c r="F9757" s="16"/>
      <c r="H9757" s="16"/>
      <c r="AG9757" s="80"/>
      <c r="AH9757" s="80"/>
      <c r="AI9757" s="80"/>
    </row>
    <row r="9758" spans="5:35" x14ac:dyDescent="0.25">
      <c r="E9758" s="16"/>
      <c r="F9758" s="16"/>
      <c r="H9758" s="16"/>
      <c r="AG9758" s="80"/>
      <c r="AH9758" s="80"/>
      <c r="AI9758" s="80"/>
    </row>
    <row r="9759" spans="5:35" x14ac:dyDescent="0.25">
      <c r="E9759" s="16"/>
      <c r="F9759" s="16"/>
      <c r="H9759" s="16"/>
      <c r="AG9759" s="80"/>
      <c r="AH9759" s="80"/>
      <c r="AI9759" s="80"/>
    </row>
    <row r="9760" spans="5:35" x14ac:dyDescent="0.25">
      <c r="E9760" s="16"/>
      <c r="F9760" s="16"/>
      <c r="H9760" s="16"/>
      <c r="AG9760" s="80"/>
      <c r="AH9760" s="80"/>
      <c r="AI9760" s="80"/>
    </row>
    <row r="9761" spans="5:35" x14ac:dyDescent="0.25">
      <c r="E9761" s="16"/>
      <c r="F9761" s="16"/>
      <c r="H9761" s="16"/>
      <c r="AG9761" s="80"/>
      <c r="AH9761" s="80"/>
      <c r="AI9761" s="80"/>
    </row>
    <row r="9762" spans="5:35" x14ac:dyDescent="0.25">
      <c r="E9762" s="16"/>
      <c r="F9762" s="16"/>
      <c r="H9762" s="16"/>
      <c r="AG9762" s="80"/>
      <c r="AH9762" s="80"/>
      <c r="AI9762" s="80"/>
    </row>
    <row r="9763" spans="5:35" x14ac:dyDescent="0.25">
      <c r="E9763" s="16"/>
      <c r="F9763" s="16"/>
      <c r="H9763" s="16"/>
      <c r="AG9763" s="80"/>
      <c r="AH9763" s="80"/>
      <c r="AI9763" s="80"/>
    </row>
    <row r="9764" spans="5:35" x14ac:dyDescent="0.25">
      <c r="E9764" s="16"/>
      <c r="F9764" s="16"/>
      <c r="H9764" s="16"/>
      <c r="AG9764" s="80"/>
      <c r="AH9764" s="80"/>
      <c r="AI9764" s="80"/>
    </row>
    <row r="9765" spans="5:35" x14ac:dyDescent="0.25">
      <c r="E9765" s="16"/>
      <c r="F9765" s="16"/>
      <c r="H9765" s="16"/>
      <c r="AG9765" s="80"/>
      <c r="AH9765" s="80"/>
      <c r="AI9765" s="80"/>
    </row>
    <row r="9766" spans="5:35" x14ac:dyDescent="0.25">
      <c r="E9766" s="16"/>
      <c r="F9766" s="16"/>
      <c r="H9766" s="16"/>
      <c r="AG9766" s="80"/>
      <c r="AH9766" s="80"/>
      <c r="AI9766" s="80"/>
    </row>
    <row r="9767" spans="5:35" x14ac:dyDescent="0.25">
      <c r="E9767" s="16"/>
      <c r="F9767" s="16"/>
      <c r="H9767" s="16"/>
      <c r="AG9767" s="80"/>
      <c r="AH9767" s="80"/>
      <c r="AI9767" s="80"/>
    </row>
    <row r="9768" spans="5:35" x14ac:dyDescent="0.25">
      <c r="E9768" s="16"/>
      <c r="F9768" s="16"/>
      <c r="H9768" s="16"/>
      <c r="AG9768" s="80"/>
      <c r="AH9768" s="80"/>
      <c r="AI9768" s="80"/>
    </row>
    <row r="9769" spans="5:35" x14ac:dyDescent="0.25">
      <c r="E9769" s="16"/>
      <c r="F9769" s="16"/>
      <c r="H9769" s="16"/>
      <c r="AG9769" s="80"/>
      <c r="AH9769" s="80"/>
      <c r="AI9769" s="80"/>
    </row>
    <row r="9770" spans="5:35" x14ac:dyDescent="0.25">
      <c r="E9770" s="16"/>
      <c r="F9770" s="16"/>
      <c r="H9770" s="16"/>
      <c r="AG9770" s="80"/>
      <c r="AH9770" s="80"/>
      <c r="AI9770" s="80"/>
    </row>
    <row r="9771" spans="5:35" x14ac:dyDescent="0.25">
      <c r="E9771" s="16"/>
      <c r="F9771" s="16"/>
      <c r="H9771" s="16"/>
      <c r="AG9771" s="80"/>
      <c r="AH9771" s="80"/>
      <c r="AI9771" s="80"/>
    </row>
    <row r="9772" spans="5:35" x14ac:dyDescent="0.25">
      <c r="E9772" s="16"/>
      <c r="F9772" s="16"/>
      <c r="H9772" s="16"/>
      <c r="AG9772" s="80"/>
      <c r="AH9772" s="80"/>
      <c r="AI9772" s="80"/>
    </row>
    <row r="9773" spans="5:35" x14ac:dyDescent="0.25">
      <c r="E9773" s="16"/>
      <c r="F9773" s="16"/>
      <c r="H9773" s="16"/>
      <c r="AG9773" s="80"/>
      <c r="AH9773" s="80"/>
      <c r="AI9773" s="80"/>
    </row>
    <row r="9774" spans="5:35" x14ac:dyDescent="0.25">
      <c r="E9774" s="16"/>
      <c r="F9774" s="16"/>
      <c r="H9774" s="16"/>
      <c r="AG9774" s="80"/>
      <c r="AH9774" s="80"/>
      <c r="AI9774" s="80"/>
    </row>
    <row r="9775" spans="5:35" x14ac:dyDescent="0.25">
      <c r="E9775" s="16"/>
      <c r="F9775" s="16"/>
      <c r="H9775" s="16"/>
      <c r="AG9775" s="80"/>
      <c r="AH9775" s="80"/>
      <c r="AI9775" s="80"/>
    </row>
    <row r="9776" spans="5:35" x14ac:dyDescent="0.25">
      <c r="E9776" s="16"/>
      <c r="F9776" s="16"/>
      <c r="H9776" s="16"/>
      <c r="AG9776" s="80"/>
      <c r="AH9776" s="80"/>
      <c r="AI9776" s="80"/>
    </row>
    <row r="9777" spans="5:35" x14ac:dyDescent="0.25">
      <c r="E9777" s="16"/>
      <c r="F9777" s="16"/>
      <c r="H9777" s="16"/>
      <c r="AG9777" s="80"/>
      <c r="AH9777" s="80"/>
      <c r="AI9777" s="80"/>
    </row>
    <row r="9778" spans="5:35" x14ac:dyDescent="0.25">
      <c r="E9778" s="16"/>
      <c r="F9778" s="16"/>
      <c r="H9778" s="16"/>
      <c r="AG9778" s="80"/>
      <c r="AH9778" s="80"/>
      <c r="AI9778" s="80"/>
    </row>
    <row r="9779" spans="5:35" x14ac:dyDescent="0.25">
      <c r="E9779" s="16"/>
      <c r="F9779" s="16"/>
      <c r="H9779" s="16"/>
      <c r="AG9779" s="80"/>
      <c r="AH9779" s="80"/>
      <c r="AI9779" s="80"/>
    </row>
    <row r="9780" spans="5:35" x14ac:dyDescent="0.25">
      <c r="E9780" s="16"/>
      <c r="F9780" s="16"/>
      <c r="H9780" s="16"/>
      <c r="AG9780" s="80"/>
      <c r="AH9780" s="80"/>
      <c r="AI9780" s="80"/>
    </row>
    <row r="9781" spans="5:35" x14ac:dyDescent="0.25">
      <c r="E9781" s="16"/>
      <c r="F9781" s="16"/>
      <c r="H9781" s="16"/>
      <c r="AG9781" s="80"/>
      <c r="AH9781" s="80"/>
      <c r="AI9781" s="80"/>
    </row>
    <row r="9782" spans="5:35" x14ac:dyDescent="0.25">
      <c r="E9782" s="16"/>
      <c r="F9782" s="16"/>
      <c r="H9782" s="16"/>
      <c r="AG9782" s="80"/>
      <c r="AH9782" s="80"/>
      <c r="AI9782" s="80"/>
    </row>
    <row r="9783" spans="5:35" x14ac:dyDescent="0.25">
      <c r="E9783" s="16"/>
      <c r="F9783" s="16"/>
      <c r="H9783" s="16"/>
      <c r="AG9783" s="80"/>
      <c r="AH9783" s="80"/>
      <c r="AI9783" s="80"/>
    </row>
    <row r="9784" spans="5:35" x14ac:dyDescent="0.25">
      <c r="E9784" s="16"/>
      <c r="F9784" s="16"/>
      <c r="H9784" s="16"/>
      <c r="AG9784" s="80"/>
      <c r="AH9784" s="80"/>
      <c r="AI9784" s="80"/>
    </row>
    <row r="9785" spans="5:35" x14ac:dyDescent="0.25">
      <c r="E9785" s="16"/>
      <c r="F9785" s="16"/>
      <c r="H9785" s="16"/>
      <c r="AG9785" s="80"/>
      <c r="AH9785" s="80"/>
      <c r="AI9785" s="80"/>
    </row>
    <row r="9786" spans="5:35" x14ac:dyDescent="0.25">
      <c r="E9786" s="16"/>
      <c r="F9786" s="16"/>
      <c r="H9786" s="16"/>
      <c r="AG9786" s="80"/>
      <c r="AH9786" s="80"/>
      <c r="AI9786" s="80"/>
    </row>
    <row r="9787" spans="5:35" x14ac:dyDescent="0.25">
      <c r="E9787" s="16"/>
      <c r="F9787" s="16"/>
      <c r="H9787" s="16"/>
      <c r="AG9787" s="80"/>
      <c r="AH9787" s="80"/>
      <c r="AI9787" s="80"/>
    </row>
    <row r="9788" spans="5:35" x14ac:dyDescent="0.25">
      <c r="E9788" s="16"/>
      <c r="F9788" s="16"/>
      <c r="H9788" s="16"/>
      <c r="AG9788" s="80"/>
      <c r="AH9788" s="80"/>
      <c r="AI9788" s="80"/>
    </row>
    <row r="9789" spans="5:35" x14ac:dyDescent="0.25">
      <c r="E9789" s="16"/>
      <c r="F9789" s="16"/>
      <c r="H9789" s="16"/>
      <c r="AG9789" s="80"/>
      <c r="AH9789" s="80"/>
      <c r="AI9789" s="80"/>
    </row>
    <row r="9790" spans="5:35" x14ac:dyDescent="0.25">
      <c r="E9790" s="16"/>
      <c r="F9790" s="16"/>
      <c r="H9790" s="16"/>
      <c r="AG9790" s="80"/>
      <c r="AH9790" s="80"/>
      <c r="AI9790" s="80"/>
    </row>
    <row r="9791" spans="5:35" x14ac:dyDescent="0.25">
      <c r="E9791" s="16"/>
      <c r="F9791" s="16"/>
      <c r="H9791" s="16"/>
      <c r="AG9791" s="80"/>
      <c r="AH9791" s="80"/>
      <c r="AI9791" s="80"/>
    </row>
    <row r="9792" spans="5:35" x14ac:dyDescent="0.25">
      <c r="E9792" s="16"/>
      <c r="F9792" s="16"/>
      <c r="H9792" s="16"/>
      <c r="AG9792" s="80"/>
      <c r="AH9792" s="80"/>
      <c r="AI9792" s="80"/>
    </row>
    <row r="9793" spans="5:35" x14ac:dyDescent="0.25">
      <c r="E9793" s="16"/>
      <c r="F9793" s="16"/>
      <c r="H9793" s="16"/>
      <c r="AG9793" s="80"/>
      <c r="AH9793" s="80"/>
      <c r="AI9793" s="80"/>
    </row>
    <row r="9794" spans="5:35" x14ac:dyDescent="0.25">
      <c r="E9794" s="16"/>
      <c r="F9794" s="16"/>
      <c r="H9794" s="16"/>
      <c r="AG9794" s="80"/>
      <c r="AH9794" s="80"/>
      <c r="AI9794" s="80"/>
    </row>
    <row r="9795" spans="5:35" x14ac:dyDescent="0.25">
      <c r="E9795" s="16"/>
      <c r="F9795" s="16"/>
      <c r="H9795" s="16"/>
      <c r="AG9795" s="80"/>
      <c r="AH9795" s="80"/>
      <c r="AI9795" s="80"/>
    </row>
    <row r="9796" spans="5:35" x14ac:dyDescent="0.25">
      <c r="E9796" s="16"/>
      <c r="F9796" s="16"/>
      <c r="H9796" s="16"/>
      <c r="AG9796" s="80"/>
      <c r="AH9796" s="80"/>
      <c r="AI9796" s="80"/>
    </row>
    <row r="9797" spans="5:35" x14ac:dyDescent="0.25">
      <c r="E9797" s="16"/>
      <c r="F9797" s="16"/>
      <c r="H9797" s="16"/>
      <c r="AG9797" s="80"/>
      <c r="AH9797" s="80"/>
      <c r="AI9797" s="80"/>
    </row>
    <row r="9798" spans="5:35" x14ac:dyDescent="0.25">
      <c r="E9798" s="16"/>
      <c r="F9798" s="16"/>
      <c r="H9798" s="16"/>
      <c r="AG9798" s="80"/>
      <c r="AH9798" s="80"/>
      <c r="AI9798" s="80"/>
    </row>
    <row r="9799" spans="5:35" x14ac:dyDescent="0.25">
      <c r="E9799" s="16"/>
      <c r="F9799" s="16"/>
      <c r="H9799" s="16"/>
      <c r="AG9799" s="80"/>
      <c r="AH9799" s="80"/>
      <c r="AI9799" s="80"/>
    </row>
    <row r="9800" spans="5:35" x14ac:dyDescent="0.25">
      <c r="E9800" s="16"/>
      <c r="F9800" s="16"/>
      <c r="H9800" s="16"/>
      <c r="AG9800" s="80"/>
      <c r="AH9800" s="80"/>
      <c r="AI9800" s="80"/>
    </row>
    <row r="9801" spans="5:35" x14ac:dyDescent="0.25">
      <c r="E9801" s="16"/>
      <c r="F9801" s="16"/>
      <c r="H9801" s="16"/>
      <c r="AG9801" s="80"/>
      <c r="AH9801" s="80"/>
      <c r="AI9801" s="80"/>
    </row>
    <row r="9802" spans="5:35" x14ac:dyDescent="0.25">
      <c r="E9802" s="16"/>
      <c r="F9802" s="16"/>
      <c r="H9802" s="16"/>
      <c r="AG9802" s="80"/>
      <c r="AH9802" s="80"/>
      <c r="AI9802" s="80"/>
    </row>
    <row r="9803" spans="5:35" x14ac:dyDescent="0.25">
      <c r="E9803" s="16"/>
      <c r="F9803" s="16"/>
      <c r="H9803" s="16"/>
      <c r="AG9803" s="80"/>
      <c r="AH9803" s="80"/>
      <c r="AI9803" s="80"/>
    </row>
    <row r="9804" spans="5:35" x14ac:dyDescent="0.25">
      <c r="E9804" s="16"/>
      <c r="F9804" s="16"/>
      <c r="H9804" s="16"/>
      <c r="AG9804" s="80"/>
      <c r="AH9804" s="80"/>
      <c r="AI9804" s="80"/>
    </row>
    <row r="9805" spans="5:35" x14ac:dyDescent="0.25">
      <c r="E9805" s="16"/>
      <c r="F9805" s="16"/>
      <c r="H9805" s="16"/>
      <c r="AG9805" s="80"/>
      <c r="AH9805" s="80"/>
      <c r="AI9805" s="80"/>
    </row>
    <row r="9806" spans="5:35" x14ac:dyDescent="0.25">
      <c r="E9806" s="16"/>
      <c r="F9806" s="16"/>
      <c r="H9806" s="16"/>
      <c r="AG9806" s="80"/>
      <c r="AH9806" s="80"/>
      <c r="AI9806" s="80"/>
    </row>
    <row r="9807" spans="5:35" x14ac:dyDescent="0.25">
      <c r="E9807" s="16"/>
      <c r="F9807" s="16"/>
      <c r="H9807" s="16"/>
      <c r="AG9807" s="80"/>
      <c r="AH9807" s="80"/>
      <c r="AI9807" s="80"/>
    </row>
    <row r="9808" spans="5:35" x14ac:dyDescent="0.25">
      <c r="E9808" s="16"/>
      <c r="F9808" s="16"/>
      <c r="H9808" s="16"/>
      <c r="AG9808" s="80"/>
      <c r="AH9808" s="80"/>
      <c r="AI9808" s="80"/>
    </row>
    <row r="9809" spans="5:35" x14ac:dyDescent="0.25">
      <c r="E9809" s="16"/>
      <c r="F9809" s="16"/>
      <c r="H9809" s="16"/>
      <c r="AG9809" s="80"/>
      <c r="AH9809" s="80"/>
      <c r="AI9809" s="80"/>
    </row>
    <row r="9810" spans="5:35" x14ac:dyDescent="0.25">
      <c r="E9810" s="16"/>
      <c r="F9810" s="16"/>
      <c r="H9810" s="16"/>
      <c r="AG9810" s="80"/>
      <c r="AH9810" s="80"/>
      <c r="AI9810" s="80"/>
    </row>
    <row r="9811" spans="5:35" x14ac:dyDescent="0.25">
      <c r="E9811" s="16"/>
      <c r="F9811" s="16"/>
      <c r="H9811" s="16"/>
      <c r="AG9811" s="80"/>
      <c r="AH9811" s="80"/>
      <c r="AI9811" s="80"/>
    </row>
    <row r="9812" spans="5:35" x14ac:dyDescent="0.25">
      <c r="E9812" s="16"/>
      <c r="F9812" s="16"/>
      <c r="H9812" s="16"/>
      <c r="AG9812" s="80"/>
      <c r="AH9812" s="80"/>
      <c r="AI9812" s="80"/>
    </row>
    <row r="9813" spans="5:35" x14ac:dyDescent="0.25">
      <c r="E9813" s="16"/>
      <c r="F9813" s="16"/>
      <c r="H9813" s="16"/>
      <c r="AG9813" s="80"/>
      <c r="AH9813" s="80"/>
      <c r="AI9813" s="80"/>
    </row>
    <row r="9814" spans="5:35" x14ac:dyDescent="0.25">
      <c r="E9814" s="16"/>
      <c r="F9814" s="16"/>
      <c r="H9814" s="16"/>
      <c r="AG9814" s="80"/>
      <c r="AH9814" s="80"/>
      <c r="AI9814" s="80"/>
    </row>
    <row r="9815" spans="5:35" x14ac:dyDescent="0.25">
      <c r="E9815" s="16"/>
      <c r="F9815" s="16"/>
      <c r="H9815" s="16"/>
      <c r="AG9815" s="80"/>
      <c r="AH9815" s="80"/>
      <c r="AI9815" s="80"/>
    </row>
    <row r="9816" spans="5:35" x14ac:dyDescent="0.25">
      <c r="E9816" s="16"/>
      <c r="F9816" s="16"/>
      <c r="H9816" s="16"/>
      <c r="AG9816" s="80"/>
      <c r="AH9816" s="80"/>
      <c r="AI9816" s="80"/>
    </row>
    <row r="9817" spans="5:35" x14ac:dyDescent="0.25">
      <c r="E9817" s="16"/>
      <c r="F9817" s="16"/>
      <c r="H9817" s="16"/>
      <c r="AG9817" s="80"/>
      <c r="AH9817" s="80"/>
      <c r="AI9817" s="80"/>
    </row>
    <row r="9818" spans="5:35" x14ac:dyDescent="0.25">
      <c r="E9818" s="16"/>
      <c r="F9818" s="16"/>
      <c r="H9818" s="16"/>
      <c r="AG9818" s="80"/>
      <c r="AH9818" s="80"/>
      <c r="AI9818" s="80"/>
    </row>
    <row r="9819" spans="5:35" x14ac:dyDescent="0.25">
      <c r="E9819" s="16"/>
      <c r="F9819" s="16"/>
      <c r="H9819" s="16"/>
      <c r="AG9819" s="80"/>
      <c r="AH9819" s="80"/>
      <c r="AI9819" s="80"/>
    </row>
    <row r="9820" spans="5:35" x14ac:dyDescent="0.25">
      <c r="E9820" s="16"/>
      <c r="F9820" s="16"/>
      <c r="H9820" s="16"/>
      <c r="AG9820" s="80"/>
      <c r="AH9820" s="80"/>
      <c r="AI9820" s="80"/>
    </row>
    <row r="9821" spans="5:35" x14ac:dyDescent="0.25">
      <c r="E9821" s="16"/>
      <c r="F9821" s="16"/>
      <c r="H9821" s="16"/>
      <c r="AG9821" s="80"/>
      <c r="AH9821" s="80"/>
      <c r="AI9821" s="80"/>
    </row>
    <row r="9822" spans="5:35" x14ac:dyDescent="0.25">
      <c r="E9822" s="16"/>
      <c r="F9822" s="16"/>
      <c r="H9822" s="16"/>
      <c r="AG9822" s="80"/>
      <c r="AH9822" s="80"/>
      <c r="AI9822" s="80"/>
    </row>
    <row r="9823" spans="5:35" x14ac:dyDescent="0.25">
      <c r="E9823" s="16"/>
      <c r="F9823" s="16"/>
      <c r="H9823" s="16"/>
      <c r="AG9823" s="80"/>
      <c r="AH9823" s="80"/>
      <c r="AI9823" s="80"/>
    </row>
    <row r="9824" spans="5:35" x14ac:dyDescent="0.25">
      <c r="E9824" s="16"/>
      <c r="F9824" s="16"/>
      <c r="H9824" s="16"/>
      <c r="AG9824" s="80"/>
      <c r="AH9824" s="80"/>
      <c r="AI9824" s="80"/>
    </row>
    <row r="9825" spans="5:35" x14ac:dyDescent="0.25">
      <c r="E9825" s="16"/>
      <c r="F9825" s="16"/>
      <c r="H9825" s="16"/>
      <c r="AG9825" s="80"/>
      <c r="AH9825" s="80"/>
      <c r="AI9825" s="80"/>
    </row>
    <row r="9826" spans="5:35" x14ac:dyDescent="0.25">
      <c r="E9826" s="16"/>
      <c r="F9826" s="16"/>
      <c r="H9826" s="16"/>
      <c r="AG9826" s="80"/>
      <c r="AH9826" s="80"/>
      <c r="AI9826" s="80"/>
    </row>
    <row r="9827" spans="5:35" x14ac:dyDescent="0.25">
      <c r="E9827" s="16"/>
      <c r="F9827" s="16"/>
      <c r="H9827" s="16"/>
      <c r="AG9827" s="80"/>
      <c r="AH9827" s="80"/>
      <c r="AI9827" s="80"/>
    </row>
    <row r="9828" spans="5:35" x14ac:dyDescent="0.25">
      <c r="E9828" s="16"/>
      <c r="F9828" s="16"/>
      <c r="H9828" s="16"/>
      <c r="AG9828" s="80"/>
      <c r="AH9828" s="80"/>
      <c r="AI9828" s="80"/>
    </row>
    <row r="9829" spans="5:35" x14ac:dyDescent="0.25">
      <c r="E9829" s="16"/>
      <c r="F9829" s="16"/>
      <c r="H9829" s="16"/>
      <c r="AG9829" s="80"/>
      <c r="AH9829" s="80"/>
      <c r="AI9829" s="80"/>
    </row>
    <row r="9830" spans="5:35" x14ac:dyDescent="0.25">
      <c r="E9830" s="16"/>
      <c r="F9830" s="16"/>
      <c r="H9830" s="16"/>
      <c r="AG9830" s="80"/>
      <c r="AH9830" s="80"/>
      <c r="AI9830" s="80"/>
    </row>
    <row r="9831" spans="5:35" x14ac:dyDescent="0.25">
      <c r="E9831" s="16"/>
      <c r="F9831" s="16"/>
      <c r="H9831" s="16"/>
      <c r="AG9831" s="80"/>
      <c r="AH9831" s="80"/>
      <c r="AI9831" s="80"/>
    </row>
    <row r="9832" spans="5:35" x14ac:dyDescent="0.25">
      <c r="E9832" s="16"/>
      <c r="F9832" s="16"/>
      <c r="H9832" s="16"/>
      <c r="AG9832" s="80"/>
      <c r="AH9832" s="80"/>
      <c r="AI9832" s="80"/>
    </row>
    <row r="9833" spans="5:35" x14ac:dyDescent="0.25">
      <c r="E9833" s="16"/>
      <c r="F9833" s="16"/>
      <c r="H9833" s="16"/>
      <c r="AG9833" s="80"/>
      <c r="AH9833" s="80"/>
      <c r="AI9833" s="80"/>
    </row>
    <row r="9834" spans="5:35" x14ac:dyDescent="0.25">
      <c r="E9834" s="16"/>
      <c r="F9834" s="16"/>
      <c r="H9834" s="16"/>
      <c r="AG9834" s="80"/>
      <c r="AH9834" s="80"/>
      <c r="AI9834" s="80"/>
    </row>
    <row r="9835" spans="5:35" x14ac:dyDescent="0.25">
      <c r="E9835" s="16"/>
      <c r="F9835" s="16"/>
      <c r="H9835" s="16"/>
      <c r="AG9835" s="80"/>
      <c r="AH9835" s="80"/>
      <c r="AI9835" s="80"/>
    </row>
    <row r="9836" spans="5:35" x14ac:dyDescent="0.25">
      <c r="E9836" s="16"/>
      <c r="F9836" s="16"/>
      <c r="H9836" s="16"/>
      <c r="AG9836" s="80"/>
      <c r="AH9836" s="80"/>
      <c r="AI9836" s="80"/>
    </row>
    <row r="9837" spans="5:35" x14ac:dyDescent="0.25">
      <c r="E9837" s="16"/>
      <c r="F9837" s="16"/>
      <c r="H9837" s="16"/>
      <c r="AG9837" s="80"/>
      <c r="AH9837" s="80"/>
      <c r="AI9837" s="80"/>
    </row>
    <row r="9838" spans="5:35" x14ac:dyDescent="0.25">
      <c r="E9838" s="16"/>
      <c r="F9838" s="16"/>
      <c r="H9838" s="16"/>
      <c r="AG9838" s="80"/>
      <c r="AH9838" s="80"/>
      <c r="AI9838" s="80"/>
    </row>
    <row r="9839" spans="5:35" x14ac:dyDescent="0.25">
      <c r="E9839" s="16"/>
      <c r="F9839" s="16"/>
      <c r="H9839" s="16"/>
      <c r="AG9839" s="80"/>
      <c r="AH9839" s="80"/>
      <c r="AI9839" s="80"/>
    </row>
    <row r="9840" spans="5:35" x14ac:dyDescent="0.25">
      <c r="E9840" s="16"/>
      <c r="F9840" s="16"/>
      <c r="H9840" s="16"/>
      <c r="AG9840" s="80"/>
      <c r="AH9840" s="80"/>
      <c r="AI9840" s="80"/>
    </row>
    <row r="9841" spans="5:35" x14ac:dyDescent="0.25">
      <c r="E9841" s="16"/>
      <c r="F9841" s="16"/>
      <c r="H9841" s="16"/>
      <c r="AG9841" s="80"/>
      <c r="AH9841" s="80"/>
      <c r="AI9841" s="80"/>
    </row>
    <row r="9842" spans="5:35" x14ac:dyDescent="0.25">
      <c r="E9842" s="16"/>
      <c r="F9842" s="16"/>
      <c r="H9842" s="16"/>
      <c r="AG9842" s="80"/>
      <c r="AH9842" s="80"/>
      <c r="AI9842" s="80"/>
    </row>
    <row r="9843" spans="5:35" x14ac:dyDescent="0.25">
      <c r="E9843" s="16"/>
      <c r="F9843" s="16"/>
      <c r="H9843" s="16"/>
      <c r="AG9843" s="80"/>
      <c r="AH9843" s="80"/>
      <c r="AI9843" s="80"/>
    </row>
    <row r="9844" spans="5:35" x14ac:dyDescent="0.25">
      <c r="E9844" s="16"/>
      <c r="F9844" s="16"/>
      <c r="H9844" s="16"/>
      <c r="AG9844" s="80"/>
      <c r="AH9844" s="80"/>
      <c r="AI9844" s="80"/>
    </row>
    <row r="9845" spans="5:35" x14ac:dyDescent="0.25">
      <c r="E9845" s="16"/>
      <c r="F9845" s="16"/>
      <c r="H9845" s="16"/>
      <c r="AG9845" s="80"/>
      <c r="AH9845" s="80"/>
      <c r="AI9845" s="80"/>
    </row>
    <row r="9846" spans="5:35" x14ac:dyDescent="0.25">
      <c r="E9846" s="16"/>
      <c r="F9846" s="16"/>
      <c r="H9846" s="16"/>
      <c r="AG9846" s="80"/>
      <c r="AH9846" s="80"/>
      <c r="AI9846" s="80"/>
    </row>
    <row r="9847" spans="5:35" x14ac:dyDescent="0.25">
      <c r="E9847" s="16"/>
      <c r="F9847" s="16"/>
      <c r="H9847" s="16"/>
      <c r="AG9847" s="80"/>
      <c r="AH9847" s="80"/>
      <c r="AI9847" s="80"/>
    </row>
    <row r="9848" spans="5:35" x14ac:dyDescent="0.25">
      <c r="E9848" s="16"/>
      <c r="F9848" s="16"/>
      <c r="H9848" s="16"/>
      <c r="AG9848" s="80"/>
      <c r="AH9848" s="80"/>
      <c r="AI9848" s="80"/>
    </row>
    <row r="9849" spans="5:35" x14ac:dyDescent="0.25">
      <c r="E9849" s="16"/>
      <c r="F9849" s="16"/>
      <c r="H9849" s="16"/>
      <c r="AG9849" s="80"/>
      <c r="AH9849" s="80"/>
      <c r="AI9849" s="80"/>
    </row>
    <row r="9850" spans="5:35" x14ac:dyDescent="0.25">
      <c r="E9850" s="16"/>
      <c r="F9850" s="16"/>
      <c r="H9850" s="16"/>
      <c r="AG9850" s="80"/>
      <c r="AH9850" s="80"/>
      <c r="AI9850" s="80"/>
    </row>
    <row r="9851" spans="5:35" x14ac:dyDescent="0.25">
      <c r="E9851" s="16"/>
      <c r="F9851" s="16"/>
      <c r="H9851" s="16"/>
      <c r="AG9851" s="80"/>
      <c r="AH9851" s="80"/>
      <c r="AI9851" s="80"/>
    </row>
    <row r="9852" spans="5:35" x14ac:dyDescent="0.25">
      <c r="E9852" s="16"/>
      <c r="F9852" s="16"/>
      <c r="H9852" s="16"/>
      <c r="AG9852" s="80"/>
      <c r="AH9852" s="80"/>
      <c r="AI9852" s="80"/>
    </row>
    <row r="9853" spans="5:35" x14ac:dyDescent="0.25">
      <c r="E9853" s="16"/>
      <c r="F9853" s="16"/>
      <c r="H9853" s="16"/>
      <c r="AG9853" s="80"/>
      <c r="AH9853" s="80"/>
      <c r="AI9853" s="80"/>
    </row>
    <row r="9854" spans="5:35" x14ac:dyDescent="0.25">
      <c r="E9854" s="16"/>
      <c r="F9854" s="16"/>
      <c r="H9854" s="16"/>
      <c r="AG9854" s="80"/>
      <c r="AH9854" s="80"/>
      <c r="AI9854" s="80"/>
    </row>
    <row r="9855" spans="5:35" x14ac:dyDescent="0.25">
      <c r="E9855" s="16"/>
      <c r="F9855" s="16"/>
      <c r="H9855" s="16"/>
      <c r="AG9855" s="80"/>
      <c r="AH9855" s="80"/>
      <c r="AI9855" s="80"/>
    </row>
    <row r="9856" spans="5:35" x14ac:dyDescent="0.25">
      <c r="E9856" s="16"/>
      <c r="F9856" s="16"/>
      <c r="H9856" s="16"/>
      <c r="AG9856" s="80"/>
      <c r="AH9856" s="80"/>
      <c r="AI9856" s="80"/>
    </row>
    <row r="9857" spans="5:35" x14ac:dyDescent="0.25">
      <c r="E9857" s="16"/>
      <c r="F9857" s="16"/>
      <c r="H9857" s="16"/>
      <c r="AG9857" s="80"/>
      <c r="AH9857" s="80"/>
      <c r="AI9857" s="80"/>
    </row>
    <row r="9858" spans="5:35" x14ac:dyDescent="0.25">
      <c r="E9858" s="16"/>
      <c r="F9858" s="16"/>
      <c r="H9858" s="16"/>
      <c r="AG9858" s="80"/>
      <c r="AH9858" s="80"/>
      <c r="AI9858" s="80"/>
    </row>
    <row r="9859" spans="5:35" x14ac:dyDescent="0.25">
      <c r="E9859" s="16"/>
      <c r="F9859" s="16"/>
      <c r="H9859" s="16"/>
      <c r="AG9859" s="80"/>
      <c r="AH9859" s="80"/>
      <c r="AI9859" s="80"/>
    </row>
    <row r="9860" spans="5:35" x14ac:dyDescent="0.25">
      <c r="E9860" s="16"/>
      <c r="F9860" s="16"/>
      <c r="H9860" s="16"/>
      <c r="AG9860" s="80"/>
      <c r="AH9860" s="80"/>
      <c r="AI9860" s="80"/>
    </row>
    <row r="9861" spans="5:35" x14ac:dyDescent="0.25">
      <c r="E9861" s="16"/>
      <c r="F9861" s="16"/>
      <c r="H9861" s="16"/>
      <c r="AG9861" s="80"/>
      <c r="AH9861" s="80"/>
      <c r="AI9861" s="80"/>
    </row>
    <row r="9862" spans="5:35" x14ac:dyDescent="0.25">
      <c r="E9862" s="16"/>
      <c r="F9862" s="16"/>
      <c r="H9862" s="16"/>
      <c r="AG9862" s="80"/>
      <c r="AH9862" s="80"/>
      <c r="AI9862" s="80"/>
    </row>
    <row r="9863" spans="5:35" x14ac:dyDescent="0.25">
      <c r="E9863" s="16"/>
      <c r="F9863" s="16"/>
      <c r="H9863" s="16"/>
      <c r="AG9863" s="80"/>
      <c r="AH9863" s="80"/>
      <c r="AI9863" s="80"/>
    </row>
    <row r="9864" spans="5:35" x14ac:dyDescent="0.25">
      <c r="E9864" s="16"/>
      <c r="F9864" s="16"/>
      <c r="H9864" s="16"/>
      <c r="AG9864" s="80"/>
      <c r="AH9864" s="80"/>
      <c r="AI9864" s="80"/>
    </row>
    <row r="9865" spans="5:35" x14ac:dyDescent="0.25">
      <c r="E9865" s="16"/>
      <c r="F9865" s="16"/>
      <c r="H9865" s="16"/>
      <c r="AG9865" s="80"/>
      <c r="AH9865" s="80"/>
      <c r="AI9865" s="80"/>
    </row>
    <row r="9866" spans="5:35" x14ac:dyDescent="0.25">
      <c r="E9866" s="16"/>
      <c r="F9866" s="16"/>
      <c r="H9866" s="16"/>
      <c r="AG9866" s="80"/>
      <c r="AH9866" s="80"/>
      <c r="AI9866" s="80"/>
    </row>
    <row r="9867" spans="5:35" x14ac:dyDescent="0.25">
      <c r="E9867" s="16"/>
      <c r="F9867" s="16"/>
      <c r="H9867" s="16"/>
      <c r="AG9867" s="80"/>
      <c r="AH9867" s="80"/>
      <c r="AI9867" s="80"/>
    </row>
    <row r="9868" spans="5:35" x14ac:dyDescent="0.25">
      <c r="E9868" s="16"/>
      <c r="F9868" s="16"/>
      <c r="H9868" s="16"/>
      <c r="AG9868" s="80"/>
      <c r="AH9868" s="80"/>
      <c r="AI9868" s="80"/>
    </row>
    <row r="9869" spans="5:35" x14ac:dyDescent="0.25">
      <c r="E9869" s="16"/>
      <c r="F9869" s="16"/>
      <c r="H9869" s="16"/>
      <c r="AG9869" s="80"/>
      <c r="AH9869" s="80"/>
      <c r="AI9869" s="80"/>
    </row>
    <row r="9870" spans="5:35" x14ac:dyDescent="0.25">
      <c r="E9870" s="16"/>
      <c r="F9870" s="16"/>
      <c r="H9870" s="16"/>
      <c r="AG9870" s="80"/>
      <c r="AH9870" s="80"/>
      <c r="AI9870" s="80"/>
    </row>
    <row r="9871" spans="5:35" x14ac:dyDescent="0.25">
      <c r="E9871" s="16"/>
      <c r="F9871" s="16"/>
      <c r="H9871" s="16"/>
      <c r="AG9871" s="80"/>
      <c r="AH9871" s="80"/>
      <c r="AI9871" s="80"/>
    </row>
    <row r="9872" spans="5:35" x14ac:dyDescent="0.25">
      <c r="E9872" s="16"/>
      <c r="F9872" s="16"/>
      <c r="H9872" s="16"/>
      <c r="AG9872" s="80"/>
      <c r="AH9872" s="80"/>
      <c r="AI9872" s="80"/>
    </row>
    <row r="9873" spans="5:35" x14ac:dyDescent="0.25">
      <c r="E9873" s="16"/>
      <c r="F9873" s="16"/>
      <c r="H9873" s="16"/>
      <c r="AG9873" s="80"/>
      <c r="AH9873" s="80"/>
      <c r="AI9873" s="80"/>
    </row>
    <row r="9874" spans="5:35" x14ac:dyDescent="0.25">
      <c r="E9874" s="16"/>
      <c r="F9874" s="16"/>
      <c r="H9874" s="16"/>
      <c r="AG9874" s="80"/>
      <c r="AH9874" s="80"/>
      <c r="AI9874" s="80"/>
    </row>
    <row r="9875" spans="5:35" x14ac:dyDescent="0.25">
      <c r="E9875" s="16"/>
      <c r="F9875" s="16"/>
      <c r="H9875" s="16"/>
      <c r="AG9875" s="80"/>
      <c r="AH9875" s="80"/>
      <c r="AI9875" s="80"/>
    </row>
    <row r="9876" spans="5:35" x14ac:dyDescent="0.25">
      <c r="E9876" s="16"/>
      <c r="F9876" s="16"/>
      <c r="H9876" s="16"/>
      <c r="AG9876" s="80"/>
      <c r="AH9876" s="80"/>
      <c r="AI9876" s="80"/>
    </row>
    <row r="9877" spans="5:35" x14ac:dyDescent="0.25">
      <c r="E9877" s="16"/>
      <c r="F9877" s="16"/>
      <c r="H9877" s="16"/>
      <c r="AG9877" s="80"/>
      <c r="AH9877" s="80"/>
      <c r="AI9877" s="80"/>
    </row>
    <row r="9878" spans="5:35" x14ac:dyDescent="0.25">
      <c r="E9878" s="16"/>
      <c r="F9878" s="16"/>
      <c r="H9878" s="16"/>
      <c r="AG9878" s="80"/>
      <c r="AH9878" s="80"/>
      <c r="AI9878" s="80"/>
    </row>
    <row r="9879" spans="5:35" x14ac:dyDescent="0.25">
      <c r="E9879" s="16"/>
      <c r="F9879" s="16"/>
      <c r="H9879" s="16"/>
      <c r="AG9879" s="80"/>
      <c r="AH9879" s="80"/>
      <c r="AI9879" s="80"/>
    </row>
    <row r="9880" spans="5:35" x14ac:dyDescent="0.25">
      <c r="E9880" s="16"/>
      <c r="F9880" s="16"/>
      <c r="H9880" s="16"/>
      <c r="AG9880" s="80"/>
      <c r="AH9880" s="80"/>
      <c r="AI9880" s="80"/>
    </row>
    <row r="9881" spans="5:35" x14ac:dyDescent="0.25">
      <c r="E9881" s="16"/>
      <c r="F9881" s="16"/>
      <c r="H9881" s="16"/>
      <c r="AG9881" s="80"/>
      <c r="AH9881" s="80"/>
      <c r="AI9881" s="80"/>
    </row>
    <row r="9882" spans="5:35" x14ac:dyDescent="0.25">
      <c r="E9882" s="16"/>
      <c r="F9882" s="16"/>
      <c r="H9882" s="16"/>
      <c r="AG9882" s="80"/>
      <c r="AH9882" s="80"/>
      <c r="AI9882" s="80"/>
    </row>
    <row r="9883" spans="5:35" x14ac:dyDescent="0.25">
      <c r="E9883" s="16"/>
      <c r="F9883" s="16"/>
      <c r="H9883" s="16"/>
      <c r="AG9883" s="80"/>
      <c r="AH9883" s="80"/>
      <c r="AI9883" s="80"/>
    </row>
    <row r="9884" spans="5:35" x14ac:dyDescent="0.25">
      <c r="E9884" s="16"/>
      <c r="F9884" s="16"/>
      <c r="H9884" s="16"/>
      <c r="AG9884" s="80"/>
      <c r="AH9884" s="80"/>
      <c r="AI9884" s="80"/>
    </row>
    <row r="9885" spans="5:35" x14ac:dyDescent="0.25">
      <c r="E9885" s="16"/>
      <c r="F9885" s="16"/>
      <c r="H9885" s="16"/>
      <c r="AG9885" s="80"/>
      <c r="AH9885" s="80"/>
      <c r="AI9885" s="80"/>
    </row>
    <row r="9886" spans="5:35" x14ac:dyDescent="0.25">
      <c r="E9886" s="16"/>
      <c r="F9886" s="16"/>
      <c r="H9886" s="16"/>
      <c r="AG9886" s="80"/>
      <c r="AH9886" s="80"/>
      <c r="AI9886" s="80"/>
    </row>
    <row r="9887" spans="5:35" x14ac:dyDescent="0.25">
      <c r="E9887" s="16"/>
      <c r="F9887" s="16"/>
      <c r="H9887" s="16"/>
      <c r="AG9887" s="80"/>
      <c r="AH9887" s="80"/>
      <c r="AI9887" s="80"/>
    </row>
    <row r="9888" spans="5:35" x14ac:dyDescent="0.25">
      <c r="E9888" s="16"/>
      <c r="F9888" s="16"/>
      <c r="H9888" s="16"/>
      <c r="AG9888" s="80"/>
      <c r="AH9888" s="80"/>
      <c r="AI9888" s="80"/>
    </row>
    <row r="9889" spans="5:35" x14ac:dyDescent="0.25">
      <c r="E9889" s="16"/>
      <c r="F9889" s="16"/>
      <c r="H9889" s="16"/>
      <c r="AG9889" s="80"/>
      <c r="AH9889" s="80"/>
      <c r="AI9889" s="80"/>
    </row>
    <row r="9890" spans="5:35" x14ac:dyDescent="0.25">
      <c r="E9890" s="16"/>
      <c r="F9890" s="16"/>
      <c r="H9890" s="16"/>
      <c r="AG9890" s="80"/>
      <c r="AH9890" s="80"/>
      <c r="AI9890" s="80"/>
    </row>
    <row r="9891" spans="5:35" x14ac:dyDescent="0.25">
      <c r="E9891" s="16"/>
      <c r="F9891" s="16"/>
      <c r="H9891" s="16"/>
      <c r="AG9891" s="80"/>
      <c r="AH9891" s="80"/>
      <c r="AI9891" s="80"/>
    </row>
    <row r="9892" spans="5:35" x14ac:dyDescent="0.25">
      <c r="E9892" s="16"/>
      <c r="F9892" s="16"/>
      <c r="H9892" s="16"/>
      <c r="AG9892" s="80"/>
      <c r="AH9892" s="80"/>
      <c r="AI9892" s="80"/>
    </row>
    <row r="9893" spans="5:35" x14ac:dyDescent="0.25">
      <c r="E9893" s="16"/>
      <c r="F9893" s="16"/>
      <c r="H9893" s="16"/>
      <c r="AG9893" s="80"/>
      <c r="AH9893" s="80"/>
      <c r="AI9893" s="80"/>
    </row>
    <row r="9894" spans="5:35" x14ac:dyDescent="0.25">
      <c r="E9894" s="16"/>
      <c r="F9894" s="16"/>
      <c r="H9894" s="16"/>
      <c r="AG9894" s="80"/>
      <c r="AH9894" s="80"/>
      <c r="AI9894" s="80"/>
    </row>
    <row r="9895" spans="5:35" x14ac:dyDescent="0.25">
      <c r="E9895" s="16"/>
      <c r="F9895" s="16"/>
      <c r="H9895" s="16"/>
      <c r="AG9895" s="80"/>
      <c r="AH9895" s="80"/>
      <c r="AI9895" s="80"/>
    </row>
    <row r="9896" spans="5:35" x14ac:dyDescent="0.25">
      <c r="E9896" s="16"/>
      <c r="F9896" s="16"/>
      <c r="H9896" s="16"/>
      <c r="AG9896" s="80"/>
      <c r="AH9896" s="80"/>
      <c r="AI9896" s="80"/>
    </row>
    <row r="9897" spans="5:35" x14ac:dyDescent="0.25">
      <c r="E9897" s="16"/>
      <c r="F9897" s="16"/>
      <c r="H9897" s="16"/>
      <c r="AG9897" s="80"/>
      <c r="AH9897" s="80"/>
      <c r="AI9897" s="80"/>
    </row>
    <row r="9898" spans="5:35" x14ac:dyDescent="0.25">
      <c r="E9898" s="16"/>
      <c r="F9898" s="16"/>
      <c r="H9898" s="16"/>
      <c r="AG9898" s="80"/>
      <c r="AH9898" s="80"/>
      <c r="AI9898" s="80"/>
    </row>
    <row r="9899" spans="5:35" x14ac:dyDescent="0.25">
      <c r="E9899" s="16"/>
      <c r="F9899" s="16"/>
      <c r="H9899" s="16"/>
      <c r="AG9899" s="80"/>
      <c r="AH9899" s="80"/>
      <c r="AI9899" s="80"/>
    </row>
    <row r="9900" spans="5:35" x14ac:dyDescent="0.25">
      <c r="E9900" s="16"/>
      <c r="F9900" s="16"/>
      <c r="H9900" s="16"/>
      <c r="AG9900" s="80"/>
      <c r="AH9900" s="80"/>
      <c r="AI9900" s="80"/>
    </row>
    <row r="9901" spans="5:35" x14ac:dyDescent="0.25">
      <c r="E9901" s="16"/>
      <c r="F9901" s="16"/>
      <c r="H9901" s="16"/>
      <c r="AG9901" s="80"/>
      <c r="AH9901" s="80"/>
      <c r="AI9901" s="80"/>
    </row>
    <row r="9902" spans="5:35" x14ac:dyDescent="0.25">
      <c r="E9902" s="16"/>
      <c r="F9902" s="16"/>
      <c r="H9902" s="16"/>
      <c r="AG9902" s="80"/>
      <c r="AH9902" s="80"/>
      <c r="AI9902" s="80"/>
    </row>
    <row r="9903" spans="5:35" x14ac:dyDescent="0.25">
      <c r="E9903" s="16"/>
      <c r="F9903" s="16"/>
      <c r="H9903" s="16"/>
      <c r="AG9903" s="80"/>
      <c r="AH9903" s="80"/>
      <c r="AI9903" s="80"/>
    </row>
    <row r="9904" spans="5:35" x14ac:dyDescent="0.25">
      <c r="E9904" s="16"/>
      <c r="F9904" s="16"/>
      <c r="H9904" s="16"/>
      <c r="AG9904" s="80"/>
      <c r="AH9904" s="80"/>
      <c r="AI9904" s="80"/>
    </row>
    <row r="9905" spans="5:35" x14ac:dyDescent="0.25">
      <c r="E9905" s="16"/>
      <c r="F9905" s="16"/>
      <c r="H9905" s="16"/>
      <c r="AG9905" s="80"/>
      <c r="AH9905" s="80"/>
      <c r="AI9905" s="80"/>
    </row>
    <row r="9906" spans="5:35" x14ac:dyDescent="0.25">
      <c r="E9906" s="16"/>
      <c r="F9906" s="16"/>
      <c r="H9906" s="16"/>
      <c r="AG9906" s="80"/>
      <c r="AH9906" s="80"/>
      <c r="AI9906" s="80"/>
    </row>
    <row r="9907" spans="5:35" x14ac:dyDescent="0.25">
      <c r="E9907" s="16"/>
      <c r="F9907" s="16"/>
      <c r="H9907" s="16"/>
      <c r="AG9907" s="80"/>
      <c r="AH9907" s="80"/>
      <c r="AI9907" s="80"/>
    </row>
    <row r="9908" spans="5:35" x14ac:dyDescent="0.25">
      <c r="E9908" s="16"/>
      <c r="F9908" s="16"/>
      <c r="H9908" s="16"/>
      <c r="AG9908" s="80"/>
      <c r="AH9908" s="80"/>
      <c r="AI9908" s="80"/>
    </row>
    <row r="9909" spans="5:35" x14ac:dyDescent="0.25">
      <c r="E9909" s="16"/>
      <c r="F9909" s="16"/>
      <c r="H9909" s="16"/>
      <c r="AG9909" s="80"/>
      <c r="AH9909" s="80"/>
      <c r="AI9909" s="80"/>
    </row>
    <row r="9910" spans="5:35" x14ac:dyDescent="0.25">
      <c r="E9910" s="16"/>
      <c r="F9910" s="16"/>
      <c r="H9910" s="16"/>
      <c r="AG9910" s="80"/>
      <c r="AH9910" s="80"/>
      <c r="AI9910" s="80"/>
    </row>
    <row r="9911" spans="5:35" x14ac:dyDescent="0.25">
      <c r="E9911" s="16"/>
      <c r="F9911" s="16"/>
      <c r="H9911" s="16"/>
      <c r="AG9911" s="80"/>
      <c r="AH9911" s="80"/>
      <c r="AI9911" s="80"/>
    </row>
    <row r="9912" spans="5:35" x14ac:dyDescent="0.25">
      <c r="E9912" s="16"/>
      <c r="F9912" s="16"/>
      <c r="H9912" s="16"/>
      <c r="AG9912" s="80"/>
      <c r="AH9912" s="80"/>
      <c r="AI9912" s="80"/>
    </row>
    <row r="9913" spans="5:35" x14ac:dyDescent="0.25">
      <c r="E9913" s="16"/>
      <c r="F9913" s="16"/>
      <c r="H9913" s="16"/>
      <c r="AG9913" s="80"/>
      <c r="AH9913" s="80"/>
      <c r="AI9913" s="80"/>
    </row>
    <row r="9914" spans="5:35" x14ac:dyDescent="0.25">
      <c r="E9914" s="16"/>
      <c r="F9914" s="16"/>
      <c r="H9914" s="16"/>
      <c r="AG9914" s="80"/>
      <c r="AH9914" s="80"/>
      <c r="AI9914" s="80"/>
    </row>
    <row r="9915" spans="5:35" x14ac:dyDescent="0.25">
      <c r="E9915" s="16"/>
      <c r="F9915" s="16"/>
      <c r="H9915" s="16"/>
      <c r="AG9915" s="80"/>
      <c r="AH9915" s="80"/>
      <c r="AI9915" s="80"/>
    </row>
    <row r="9916" spans="5:35" x14ac:dyDescent="0.25">
      <c r="E9916" s="16"/>
      <c r="F9916" s="16"/>
      <c r="H9916" s="16"/>
      <c r="AG9916" s="80"/>
      <c r="AH9916" s="80"/>
      <c r="AI9916" s="80"/>
    </row>
    <row r="9917" spans="5:35" x14ac:dyDescent="0.25">
      <c r="E9917" s="16"/>
      <c r="F9917" s="16"/>
      <c r="H9917" s="16"/>
      <c r="AG9917" s="80"/>
      <c r="AH9917" s="80"/>
      <c r="AI9917" s="80"/>
    </row>
    <row r="9918" spans="5:35" x14ac:dyDescent="0.25">
      <c r="E9918" s="16"/>
      <c r="F9918" s="16"/>
      <c r="H9918" s="16"/>
      <c r="AG9918" s="80"/>
      <c r="AH9918" s="80"/>
      <c r="AI9918" s="80"/>
    </row>
    <row r="9919" spans="5:35" x14ac:dyDescent="0.25">
      <c r="E9919" s="16"/>
      <c r="F9919" s="16"/>
      <c r="H9919" s="16"/>
      <c r="AG9919" s="80"/>
      <c r="AH9919" s="80"/>
      <c r="AI9919" s="80"/>
    </row>
    <row r="9920" spans="5:35" x14ac:dyDescent="0.25">
      <c r="E9920" s="16"/>
      <c r="F9920" s="16"/>
      <c r="H9920" s="16"/>
      <c r="AG9920" s="80"/>
      <c r="AH9920" s="80"/>
      <c r="AI9920" s="80"/>
    </row>
    <row r="9921" spans="5:35" x14ac:dyDescent="0.25">
      <c r="E9921" s="16"/>
      <c r="F9921" s="16"/>
      <c r="H9921" s="16"/>
      <c r="AG9921" s="80"/>
      <c r="AH9921" s="80"/>
      <c r="AI9921" s="80"/>
    </row>
    <row r="9922" spans="5:35" x14ac:dyDescent="0.25">
      <c r="E9922" s="16"/>
      <c r="F9922" s="16"/>
      <c r="H9922" s="16"/>
      <c r="AG9922" s="80"/>
      <c r="AH9922" s="80"/>
      <c r="AI9922" s="80"/>
    </row>
    <row r="9923" spans="5:35" x14ac:dyDescent="0.25">
      <c r="E9923" s="16"/>
      <c r="F9923" s="16"/>
      <c r="H9923" s="16"/>
      <c r="AG9923" s="80"/>
      <c r="AH9923" s="80"/>
      <c r="AI9923" s="80"/>
    </row>
    <row r="9924" spans="5:35" x14ac:dyDescent="0.25">
      <c r="E9924" s="16"/>
      <c r="F9924" s="16"/>
      <c r="H9924" s="16"/>
      <c r="AG9924" s="80"/>
      <c r="AH9924" s="80"/>
      <c r="AI9924" s="80"/>
    </row>
    <row r="9925" spans="5:35" x14ac:dyDescent="0.25">
      <c r="E9925" s="16"/>
      <c r="F9925" s="16"/>
      <c r="H9925" s="16"/>
      <c r="AG9925" s="80"/>
      <c r="AH9925" s="80"/>
      <c r="AI9925" s="80"/>
    </row>
    <row r="9926" spans="5:35" x14ac:dyDescent="0.25">
      <c r="E9926" s="16"/>
      <c r="F9926" s="16"/>
      <c r="H9926" s="16"/>
      <c r="AG9926" s="80"/>
      <c r="AH9926" s="80"/>
      <c r="AI9926" s="80"/>
    </row>
    <row r="9927" spans="5:35" x14ac:dyDescent="0.25">
      <c r="E9927" s="16"/>
      <c r="F9927" s="16"/>
      <c r="H9927" s="16"/>
      <c r="AG9927" s="80"/>
      <c r="AH9927" s="80"/>
      <c r="AI9927" s="80"/>
    </row>
    <row r="9928" spans="5:35" x14ac:dyDescent="0.25">
      <c r="E9928" s="16"/>
      <c r="F9928" s="16"/>
      <c r="H9928" s="16"/>
      <c r="AG9928" s="80"/>
      <c r="AH9928" s="80"/>
      <c r="AI9928" s="80"/>
    </row>
    <row r="9929" spans="5:35" x14ac:dyDescent="0.25">
      <c r="E9929" s="16"/>
      <c r="F9929" s="16"/>
      <c r="H9929" s="16"/>
      <c r="AG9929" s="80"/>
      <c r="AH9929" s="80"/>
      <c r="AI9929" s="80"/>
    </row>
    <row r="9930" spans="5:35" x14ac:dyDescent="0.25">
      <c r="E9930" s="16"/>
      <c r="F9930" s="16"/>
      <c r="H9930" s="16"/>
      <c r="AG9930" s="80"/>
      <c r="AH9930" s="80"/>
      <c r="AI9930" s="80"/>
    </row>
    <row r="9931" spans="5:35" x14ac:dyDescent="0.25">
      <c r="E9931" s="16"/>
      <c r="F9931" s="16"/>
      <c r="H9931" s="16"/>
      <c r="AG9931" s="80"/>
      <c r="AH9931" s="80"/>
      <c r="AI9931" s="80"/>
    </row>
    <row r="9932" spans="5:35" x14ac:dyDescent="0.25">
      <c r="E9932" s="16"/>
      <c r="F9932" s="16"/>
      <c r="H9932" s="16"/>
      <c r="AG9932" s="80"/>
      <c r="AH9932" s="80"/>
      <c r="AI9932" s="80"/>
    </row>
    <row r="9933" spans="5:35" x14ac:dyDescent="0.25">
      <c r="E9933" s="16"/>
      <c r="F9933" s="16"/>
      <c r="H9933" s="16"/>
      <c r="AG9933" s="80"/>
      <c r="AH9933" s="80"/>
      <c r="AI9933" s="80"/>
    </row>
    <row r="9934" spans="5:35" x14ac:dyDescent="0.25">
      <c r="E9934" s="16"/>
      <c r="F9934" s="16"/>
      <c r="H9934" s="16"/>
      <c r="AG9934" s="80"/>
      <c r="AH9934" s="80"/>
      <c r="AI9934" s="80"/>
    </row>
    <row r="9935" spans="5:35" x14ac:dyDescent="0.25">
      <c r="E9935" s="16"/>
      <c r="F9935" s="16"/>
      <c r="H9935" s="16"/>
      <c r="AG9935" s="80"/>
      <c r="AH9935" s="80"/>
      <c r="AI9935" s="80"/>
    </row>
    <row r="9936" spans="5:35" x14ac:dyDescent="0.25">
      <c r="E9936" s="16"/>
      <c r="F9936" s="16"/>
      <c r="H9936" s="16"/>
      <c r="AG9936" s="80"/>
      <c r="AH9936" s="80"/>
      <c r="AI9936" s="80"/>
    </row>
    <row r="9937" spans="5:35" x14ac:dyDescent="0.25">
      <c r="E9937" s="16"/>
      <c r="F9937" s="16"/>
      <c r="H9937" s="16"/>
      <c r="AG9937" s="80"/>
      <c r="AH9937" s="80"/>
      <c r="AI9937" s="80"/>
    </row>
    <row r="9938" spans="5:35" x14ac:dyDescent="0.25">
      <c r="E9938" s="16"/>
      <c r="F9938" s="16"/>
      <c r="H9938" s="16"/>
      <c r="AG9938" s="80"/>
      <c r="AH9938" s="80"/>
      <c r="AI9938" s="80"/>
    </row>
    <row r="9939" spans="5:35" x14ac:dyDescent="0.25">
      <c r="E9939" s="16"/>
      <c r="F9939" s="16"/>
      <c r="H9939" s="16"/>
      <c r="AG9939" s="80"/>
      <c r="AH9939" s="80"/>
      <c r="AI9939" s="80"/>
    </row>
    <row r="9940" spans="5:35" x14ac:dyDescent="0.25">
      <c r="E9940" s="16"/>
      <c r="F9940" s="16"/>
      <c r="H9940" s="16"/>
      <c r="AG9940" s="80"/>
      <c r="AH9940" s="80"/>
      <c r="AI9940" s="80"/>
    </row>
    <row r="9941" spans="5:35" x14ac:dyDescent="0.25">
      <c r="E9941" s="16"/>
      <c r="F9941" s="16"/>
      <c r="H9941" s="16"/>
      <c r="AG9941" s="80"/>
      <c r="AH9941" s="80"/>
      <c r="AI9941" s="80"/>
    </row>
    <row r="9942" spans="5:35" x14ac:dyDescent="0.25">
      <c r="E9942" s="16"/>
      <c r="F9942" s="16"/>
      <c r="H9942" s="16"/>
      <c r="AG9942" s="80"/>
      <c r="AH9942" s="80"/>
      <c r="AI9942" s="80"/>
    </row>
    <row r="9943" spans="5:35" x14ac:dyDescent="0.25">
      <c r="E9943" s="16"/>
      <c r="F9943" s="16"/>
      <c r="H9943" s="16"/>
      <c r="AG9943" s="80"/>
      <c r="AH9943" s="80"/>
      <c r="AI9943" s="80"/>
    </row>
    <row r="9944" spans="5:35" x14ac:dyDescent="0.25">
      <c r="E9944" s="16"/>
      <c r="F9944" s="16"/>
      <c r="H9944" s="16"/>
      <c r="AG9944" s="80"/>
      <c r="AH9944" s="80"/>
      <c r="AI9944" s="80"/>
    </row>
    <row r="9945" spans="5:35" x14ac:dyDescent="0.25">
      <c r="E9945" s="16"/>
      <c r="F9945" s="16"/>
      <c r="H9945" s="16"/>
      <c r="AG9945" s="80"/>
      <c r="AH9945" s="80"/>
      <c r="AI9945" s="80"/>
    </row>
    <row r="9946" spans="5:35" x14ac:dyDescent="0.25">
      <c r="E9946" s="16"/>
      <c r="F9946" s="16"/>
      <c r="H9946" s="16"/>
      <c r="AG9946" s="80"/>
      <c r="AH9946" s="80"/>
      <c r="AI9946" s="80"/>
    </row>
    <row r="9947" spans="5:35" x14ac:dyDescent="0.25">
      <c r="E9947" s="16"/>
      <c r="F9947" s="16"/>
      <c r="H9947" s="16"/>
      <c r="AG9947" s="80"/>
      <c r="AH9947" s="80"/>
      <c r="AI9947" s="80"/>
    </row>
    <row r="9948" spans="5:35" x14ac:dyDescent="0.25">
      <c r="E9948" s="16"/>
      <c r="F9948" s="16"/>
      <c r="H9948" s="16"/>
      <c r="AG9948" s="80"/>
      <c r="AH9948" s="80"/>
      <c r="AI9948" s="80"/>
    </row>
    <row r="9949" spans="5:35" x14ac:dyDescent="0.25">
      <c r="E9949" s="16"/>
      <c r="F9949" s="16"/>
      <c r="H9949" s="16"/>
      <c r="AG9949" s="80"/>
      <c r="AH9949" s="80"/>
      <c r="AI9949" s="80"/>
    </row>
    <row r="9950" spans="5:35" x14ac:dyDescent="0.25">
      <c r="E9950" s="16"/>
      <c r="F9950" s="16"/>
      <c r="H9950" s="16"/>
      <c r="AG9950" s="80"/>
      <c r="AH9950" s="80"/>
      <c r="AI9950" s="80"/>
    </row>
    <row r="9951" spans="5:35" x14ac:dyDescent="0.25">
      <c r="E9951" s="16"/>
      <c r="F9951" s="16"/>
      <c r="H9951" s="16"/>
      <c r="AG9951" s="80"/>
      <c r="AH9951" s="80"/>
      <c r="AI9951" s="80"/>
    </row>
    <row r="9952" spans="5:35" x14ac:dyDescent="0.25">
      <c r="E9952" s="16"/>
      <c r="F9952" s="16"/>
      <c r="H9952" s="16"/>
      <c r="AG9952" s="80"/>
      <c r="AH9952" s="80"/>
      <c r="AI9952" s="80"/>
    </row>
    <row r="9953" spans="5:35" x14ac:dyDescent="0.25">
      <c r="E9953" s="16"/>
      <c r="F9953" s="16"/>
      <c r="H9953" s="16"/>
      <c r="AG9953" s="80"/>
      <c r="AH9953" s="80"/>
      <c r="AI9953" s="80"/>
    </row>
    <row r="9954" spans="5:35" x14ac:dyDescent="0.25">
      <c r="E9954" s="16"/>
      <c r="F9954" s="16"/>
      <c r="H9954" s="16"/>
      <c r="AG9954" s="80"/>
      <c r="AH9954" s="80"/>
      <c r="AI9954" s="80"/>
    </row>
    <row r="9955" spans="5:35" x14ac:dyDescent="0.25">
      <c r="E9955" s="16"/>
      <c r="F9955" s="16"/>
      <c r="H9955" s="16"/>
      <c r="AG9955" s="80"/>
      <c r="AH9955" s="80"/>
      <c r="AI9955" s="80"/>
    </row>
    <row r="9956" spans="5:35" x14ac:dyDescent="0.25">
      <c r="E9956" s="16"/>
      <c r="F9956" s="16"/>
      <c r="H9956" s="16"/>
      <c r="AG9956" s="80"/>
      <c r="AH9956" s="80"/>
      <c r="AI9956" s="80"/>
    </row>
    <row r="9957" spans="5:35" x14ac:dyDescent="0.25">
      <c r="E9957" s="16"/>
      <c r="F9957" s="16"/>
      <c r="H9957" s="16"/>
      <c r="AG9957" s="80"/>
      <c r="AH9957" s="80"/>
      <c r="AI9957" s="80"/>
    </row>
    <row r="9958" spans="5:35" x14ac:dyDescent="0.25">
      <c r="E9958" s="16"/>
      <c r="F9958" s="16"/>
      <c r="H9958" s="16"/>
      <c r="AG9958" s="80"/>
      <c r="AH9958" s="80"/>
      <c r="AI9958" s="80"/>
    </row>
    <row r="9959" spans="5:35" x14ac:dyDescent="0.25">
      <c r="E9959" s="16"/>
      <c r="F9959" s="16"/>
      <c r="H9959" s="16"/>
      <c r="AG9959" s="80"/>
      <c r="AH9959" s="80"/>
      <c r="AI9959" s="80"/>
    </row>
    <row r="9960" spans="5:35" x14ac:dyDescent="0.25">
      <c r="E9960" s="16"/>
      <c r="F9960" s="16"/>
      <c r="H9960" s="16"/>
      <c r="AG9960" s="80"/>
      <c r="AH9960" s="80"/>
      <c r="AI9960" s="80"/>
    </row>
    <row r="9961" spans="5:35" x14ac:dyDescent="0.25">
      <c r="E9961" s="16"/>
      <c r="F9961" s="16"/>
      <c r="H9961" s="16"/>
      <c r="AG9961" s="80"/>
      <c r="AH9961" s="80"/>
      <c r="AI9961" s="80"/>
    </row>
    <row r="9962" spans="5:35" x14ac:dyDescent="0.25">
      <c r="E9962" s="16"/>
      <c r="F9962" s="16"/>
      <c r="H9962" s="16"/>
      <c r="AG9962" s="80"/>
      <c r="AH9962" s="80"/>
      <c r="AI9962" s="80"/>
    </row>
    <row r="9963" spans="5:35" x14ac:dyDescent="0.25">
      <c r="E9963" s="16"/>
      <c r="F9963" s="16"/>
      <c r="H9963" s="16"/>
      <c r="AG9963" s="80"/>
      <c r="AH9963" s="80"/>
      <c r="AI9963" s="80"/>
    </row>
    <row r="9964" spans="5:35" x14ac:dyDescent="0.25">
      <c r="E9964" s="16"/>
      <c r="F9964" s="16"/>
      <c r="H9964" s="16"/>
      <c r="AG9964" s="80"/>
      <c r="AH9964" s="80"/>
      <c r="AI9964" s="80"/>
    </row>
    <row r="9965" spans="5:35" x14ac:dyDescent="0.25">
      <c r="E9965" s="16"/>
      <c r="F9965" s="16"/>
      <c r="H9965" s="16"/>
      <c r="AG9965" s="80"/>
      <c r="AH9965" s="80"/>
      <c r="AI9965" s="80"/>
    </row>
    <row r="9966" spans="5:35" x14ac:dyDescent="0.25">
      <c r="E9966" s="16"/>
      <c r="F9966" s="16"/>
      <c r="H9966" s="16"/>
      <c r="AG9966" s="80"/>
      <c r="AH9966" s="80"/>
      <c r="AI9966" s="80"/>
    </row>
    <row r="9967" spans="5:35" x14ac:dyDescent="0.25">
      <c r="E9967" s="16"/>
      <c r="F9967" s="16"/>
      <c r="H9967" s="16"/>
      <c r="AG9967" s="80"/>
      <c r="AH9967" s="80"/>
      <c r="AI9967" s="80"/>
    </row>
    <row r="9968" spans="5:35" x14ac:dyDescent="0.25">
      <c r="E9968" s="16"/>
      <c r="F9968" s="16"/>
      <c r="H9968" s="16"/>
      <c r="AG9968" s="80"/>
      <c r="AH9968" s="80"/>
      <c r="AI9968" s="80"/>
    </row>
    <row r="9969" spans="5:35" x14ac:dyDescent="0.25">
      <c r="E9969" s="16"/>
      <c r="F9969" s="16"/>
      <c r="H9969" s="16"/>
      <c r="AG9969" s="80"/>
      <c r="AH9969" s="80"/>
      <c r="AI9969" s="80"/>
    </row>
    <row r="9970" spans="5:35" x14ac:dyDescent="0.25">
      <c r="E9970" s="16"/>
      <c r="F9970" s="16"/>
      <c r="H9970" s="16"/>
      <c r="AG9970" s="80"/>
      <c r="AH9970" s="80"/>
      <c r="AI9970" s="80"/>
    </row>
    <row r="9971" spans="5:35" x14ac:dyDescent="0.25">
      <c r="E9971" s="16"/>
      <c r="F9971" s="16"/>
      <c r="H9971" s="16"/>
      <c r="AG9971" s="80"/>
      <c r="AH9971" s="80"/>
      <c r="AI9971" s="80"/>
    </row>
    <row r="9972" spans="5:35" x14ac:dyDescent="0.25">
      <c r="E9972" s="16"/>
      <c r="F9972" s="16"/>
      <c r="H9972" s="16"/>
      <c r="AG9972" s="80"/>
      <c r="AH9972" s="80"/>
      <c r="AI9972" s="80"/>
    </row>
    <row r="9973" spans="5:35" x14ac:dyDescent="0.25">
      <c r="E9973" s="16"/>
      <c r="F9973" s="16"/>
      <c r="H9973" s="16"/>
      <c r="AG9973" s="80"/>
      <c r="AH9973" s="80"/>
      <c r="AI9973" s="80"/>
    </row>
    <row r="9974" spans="5:35" x14ac:dyDescent="0.25">
      <c r="E9974" s="16"/>
      <c r="F9974" s="16"/>
      <c r="H9974" s="16"/>
      <c r="AG9974" s="80"/>
      <c r="AH9974" s="80"/>
      <c r="AI9974" s="80"/>
    </row>
    <row r="9975" spans="5:35" x14ac:dyDescent="0.25">
      <c r="E9975" s="16"/>
      <c r="F9975" s="16"/>
      <c r="H9975" s="16"/>
      <c r="AG9975" s="80"/>
      <c r="AH9975" s="80"/>
      <c r="AI9975" s="80"/>
    </row>
    <row r="9976" spans="5:35" x14ac:dyDescent="0.25">
      <c r="E9976" s="16"/>
      <c r="F9976" s="16"/>
      <c r="H9976" s="16"/>
      <c r="AG9976" s="80"/>
      <c r="AH9976" s="80"/>
      <c r="AI9976" s="80"/>
    </row>
    <row r="9977" spans="5:35" x14ac:dyDescent="0.25">
      <c r="E9977" s="16"/>
      <c r="F9977" s="16"/>
      <c r="H9977" s="16"/>
      <c r="AG9977" s="80"/>
      <c r="AH9977" s="80"/>
      <c r="AI9977" s="80"/>
    </row>
    <row r="9978" spans="5:35" x14ac:dyDescent="0.25">
      <c r="E9978" s="16"/>
      <c r="F9978" s="16"/>
      <c r="H9978" s="16"/>
      <c r="AG9978" s="80"/>
      <c r="AH9978" s="80"/>
      <c r="AI9978" s="80"/>
    </row>
    <row r="9979" spans="5:35" x14ac:dyDescent="0.25">
      <c r="E9979" s="16"/>
      <c r="F9979" s="16"/>
      <c r="H9979" s="16"/>
      <c r="AG9979" s="80"/>
      <c r="AH9979" s="80"/>
      <c r="AI9979" s="80"/>
    </row>
    <row r="9980" spans="5:35" x14ac:dyDescent="0.25">
      <c r="E9980" s="16"/>
      <c r="F9980" s="16"/>
      <c r="H9980" s="16"/>
      <c r="AG9980" s="80"/>
      <c r="AH9980" s="80"/>
      <c r="AI9980" s="80"/>
    </row>
    <row r="9981" spans="5:35" x14ac:dyDescent="0.25">
      <c r="E9981" s="16"/>
      <c r="F9981" s="16"/>
      <c r="H9981" s="16"/>
      <c r="AG9981" s="80"/>
      <c r="AH9981" s="80"/>
      <c r="AI9981" s="80"/>
    </row>
    <row r="9982" spans="5:35" x14ac:dyDescent="0.25">
      <c r="E9982" s="16"/>
      <c r="F9982" s="16"/>
      <c r="H9982" s="16"/>
      <c r="AG9982" s="80"/>
      <c r="AH9982" s="80"/>
      <c r="AI9982" s="80"/>
    </row>
    <row r="9983" spans="5:35" x14ac:dyDescent="0.25">
      <c r="E9983" s="16"/>
      <c r="F9983" s="16"/>
      <c r="H9983" s="16"/>
      <c r="AG9983" s="80"/>
      <c r="AH9983" s="80"/>
      <c r="AI9983" s="80"/>
    </row>
    <row r="9984" spans="5:35" x14ac:dyDescent="0.25">
      <c r="E9984" s="16"/>
      <c r="F9984" s="16"/>
      <c r="H9984" s="16"/>
      <c r="AG9984" s="80"/>
      <c r="AH9984" s="80"/>
      <c r="AI9984" s="80"/>
    </row>
    <row r="9985" spans="5:35" x14ac:dyDescent="0.25">
      <c r="E9985" s="16"/>
      <c r="F9985" s="16"/>
      <c r="H9985" s="16"/>
      <c r="AG9985" s="80"/>
      <c r="AH9985" s="80"/>
      <c r="AI9985" s="80"/>
    </row>
    <row r="9986" spans="5:35" x14ac:dyDescent="0.25">
      <c r="E9986" s="16"/>
      <c r="F9986" s="16"/>
      <c r="H9986" s="16"/>
      <c r="AG9986" s="80"/>
      <c r="AH9986" s="80"/>
      <c r="AI9986" s="80"/>
    </row>
    <row r="9987" spans="5:35" x14ac:dyDescent="0.25">
      <c r="E9987" s="16"/>
      <c r="F9987" s="16"/>
      <c r="H9987" s="16"/>
      <c r="AG9987" s="80"/>
      <c r="AH9987" s="80"/>
      <c r="AI9987" s="80"/>
    </row>
    <row r="9988" spans="5:35" x14ac:dyDescent="0.25">
      <c r="E9988" s="16"/>
      <c r="F9988" s="16"/>
      <c r="H9988" s="16"/>
      <c r="AG9988" s="80"/>
      <c r="AH9988" s="80"/>
      <c r="AI9988" s="80"/>
    </row>
    <row r="9989" spans="5:35" x14ac:dyDescent="0.25">
      <c r="E9989" s="16"/>
      <c r="F9989" s="16"/>
      <c r="H9989" s="16"/>
      <c r="AG9989" s="80"/>
      <c r="AH9989" s="80"/>
      <c r="AI9989" s="80"/>
    </row>
    <row r="9990" spans="5:35" x14ac:dyDescent="0.25">
      <c r="E9990" s="16"/>
      <c r="F9990" s="16"/>
      <c r="H9990" s="16"/>
      <c r="AG9990" s="80"/>
      <c r="AH9990" s="80"/>
      <c r="AI9990" s="80"/>
    </row>
    <row r="9991" spans="5:35" x14ac:dyDescent="0.25">
      <c r="E9991" s="16"/>
      <c r="F9991" s="16"/>
      <c r="H9991" s="16"/>
      <c r="AG9991" s="80"/>
      <c r="AH9991" s="80"/>
      <c r="AI9991" s="80"/>
    </row>
    <row r="9992" spans="5:35" x14ac:dyDescent="0.25">
      <c r="E9992" s="16"/>
      <c r="F9992" s="16"/>
      <c r="H9992" s="16"/>
      <c r="AG9992" s="80"/>
      <c r="AH9992" s="80"/>
      <c r="AI9992" s="80"/>
    </row>
    <row r="9993" spans="5:35" x14ac:dyDescent="0.25">
      <c r="E9993" s="16"/>
      <c r="F9993" s="16"/>
      <c r="H9993" s="16"/>
      <c r="AG9993" s="80"/>
      <c r="AH9993" s="80"/>
      <c r="AI9993" s="80"/>
    </row>
    <row r="9994" spans="5:35" x14ac:dyDescent="0.25">
      <c r="E9994" s="16"/>
      <c r="F9994" s="16"/>
      <c r="H9994" s="16"/>
      <c r="AG9994" s="80"/>
      <c r="AH9994" s="80"/>
      <c r="AI9994" s="80"/>
    </row>
    <row r="9995" spans="5:35" x14ac:dyDescent="0.25">
      <c r="E9995" s="16"/>
      <c r="F9995" s="16"/>
      <c r="H9995" s="16"/>
      <c r="AG9995" s="80"/>
      <c r="AH9995" s="80"/>
      <c r="AI9995" s="80"/>
    </row>
    <row r="9996" spans="5:35" x14ac:dyDescent="0.25">
      <c r="E9996" s="16"/>
      <c r="F9996" s="16"/>
      <c r="H9996" s="16"/>
      <c r="AG9996" s="80"/>
      <c r="AH9996" s="80"/>
      <c r="AI9996" s="80"/>
    </row>
    <row r="9997" spans="5:35" x14ac:dyDescent="0.25">
      <c r="E9997" s="16"/>
      <c r="F9997" s="16"/>
      <c r="H9997" s="16"/>
      <c r="AG9997" s="80"/>
      <c r="AH9997" s="80"/>
      <c r="AI9997" s="80"/>
    </row>
    <row r="9998" spans="5:35" x14ac:dyDescent="0.25">
      <c r="E9998" s="16"/>
      <c r="F9998" s="16"/>
      <c r="H9998" s="16"/>
      <c r="AG9998" s="80"/>
      <c r="AH9998" s="80"/>
      <c r="AI9998" s="80"/>
    </row>
    <row r="9999" spans="5:35" x14ac:dyDescent="0.25">
      <c r="E9999" s="16"/>
      <c r="F9999" s="16"/>
      <c r="H9999" s="16"/>
      <c r="AG9999" s="80"/>
      <c r="AH9999" s="80"/>
      <c r="AI9999" s="80"/>
    </row>
    <row r="10000" spans="5:35" x14ac:dyDescent="0.25">
      <c r="E10000" s="16"/>
      <c r="F10000" s="16"/>
      <c r="H10000" s="16"/>
      <c r="AG10000" s="80"/>
      <c r="AH10000" s="80"/>
      <c r="AI10000" s="80"/>
    </row>
    <row r="10001" spans="5:35" x14ac:dyDescent="0.25">
      <c r="E10001" s="16"/>
      <c r="F10001" s="16"/>
      <c r="H10001" s="16"/>
      <c r="AG10001" s="80"/>
      <c r="AH10001" s="80"/>
      <c r="AI10001" s="80"/>
    </row>
    <row r="10002" spans="5:35" x14ac:dyDescent="0.25">
      <c r="E10002" s="16"/>
      <c r="F10002" s="16"/>
      <c r="H10002" s="16"/>
      <c r="AG10002" s="80"/>
      <c r="AH10002" s="80"/>
      <c r="AI10002" s="80"/>
    </row>
    <row r="10003" spans="5:35" x14ac:dyDescent="0.25">
      <c r="E10003" s="16"/>
      <c r="F10003" s="16"/>
      <c r="H10003" s="16"/>
      <c r="AG10003" s="80"/>
      <c r="AH10003" s="80"/>
      <c r="AI10003" s="80"/>
    </row>
    <row r="10004" spans="5:35" x14ac:dyDescent="0.25">
      <c r="E10004" s="16"/>
      <c r="F10004" s="16"/>
      <c r="H10004" s="16"/>
      <c r="AG10004" s="80"/>
      <c r="AH10004" s="80"/>
      <c r="AI10004" s="80"/>
    </row>
    <row r="10005" spans="5:35" x14ac:dyDescent="0.25">
      <c r="E10005" s="16"/>
      <c r="F10005" s="16"/>
      <c r="H10005" s="16"/>
      <c r="AG10005" s="80"/>
      <c r="AH10005" s="80"/>
      <c r="AI10005" s="80"/>
    </row>
    <row r="10006" spans="5:35" x14ac:dyDescent="0.25">
      <c r="E10006" s="16"/>
      <c r="F10006" s="16"/>
      <c r="H10006" s="16"/>
      <c r="AG10006" s="80"/>
      <c r="AH10006" s="80"/>
      <c r="AI10006" s="80"/>
    </row>
    <row r="10007" spans="5:35" x14ac:dyDescent="0.25">
      <c r="E10007" s="16"/>
      <c r="F10007" s="16"/>
      <c r="H10007" s="16"/>
      <c r="AG10007" s="80"/>
      <c r="AH10007" s="80"/>
      <c r="AI10007" s="80"/>
    </row>
    <row r="10008" spans="5:35" x14ac:dyDescent="0.25">
      <c r="E10008" s="16"/>
      <c r="F10008" s="16"/>
      <c r="H10008" s="16"/>
      <c r="AG10008" s="80"/>
      <c r="AH10008" s="80"/>
      <c r="AI10008" s="80"/>
    </row>
    <row r="10009" spans="5:35" x14ac:dyDescent="0.25">
      <c r="E10009" s="16"/>
      <c r="F10009" s="16"/>
      <c r="H10009" s="16"/>
      <c r="AG10009" s="80"/>
      <c r="AH10009" s="80"/>
      <c r="AI10009" s="80"/>
    </row>
    <row r="10010" spans="5:35" x14ac:dyDescent="0.25">
      <c r="E10010" s="16"/>
      <c r="F10010" s="16"/>
      <c r="H10010" s="16"/>
      <c r="AG10010" s="80"/>
      <c r="AH10010" s="80"/>
      <c r="AI10010" s="80"/>
    </row>
    <row r="10011" spans="5:35" x14ac:dyDescent="0.25">
      <c r="E10011" s="16"/>
      <c r="F10011" s="16"/>
      <c r="H10011" s="16"/>
      <c r="AG10011" s="80"/>
      <c r="AH10011" s="80"/>
      <c r="AI10011" s="80"/>
    </row>
    <row r="10012" spans="5:35" x14ac:dyDescent="0.25">
      <c r="E10012" s="16"/>
      <c r="F10012" s="16"/>
      <c r="H10012" s="16"/>
      <c r="AG10012" s="80"/>
      <c r="AH10012" s="80"/>
      <c r="AI10012" s="80"/>
    </row>
    <row r="10013" spans="5:35" x14ac:dyDescent="0.25">
      <c r="E10013" s="16"/>
      <c r="F10013" s="16"/>
      <c r="H10013" s="16"/>
      <c r="AG10013" s="80"/>
      <c r="AH10013" s="80"/>
      <c r="AI10013" s="80"/>
    </row>
    <row r="10014" spans="5:35" x14ac:dyDescent="0.25">
      <c r="E10014" s="16"/>
      <c r="F10014" s="16"/>
      <c r="H10014" s="16"/>
      <c r="AG10014" s="80"/>
      <c r="AH10014" s="80"/>
      <c r="AI10014" s="80"/>
    </row>
    <row r="10015" spans="5:35" x14ac:dyDescent="0.25">
      <c r="E10015" s="16"/>
      <c r="F10015" s="16"/>
      <c r="H10015" s="16"/>
      <c r="AG10015" s="80"/>
      <c r="AH10015" s="80"/>
      <c r="AI10015" s="80"/>
    </row>
    <row r="10016" spans="5:35" x14ac:dyDescent="0.25">
      <c r="E10016" s="16"/>
      <c r="F10016" s="16"/>
      <c r="H10016" s="16"/>
      <c r="AG10016" s="80"/>
      <c r="AH10016" s="80"/>
      <c r="AI10016" s="80"/>
    </row>
    <row r="10017" spans="5:35" x14ac:dyDescent="0.25">
      <c r="E10017" s="16"/>
      <c r="F10017" s="16"/>
      <c r="H10017" s="16"/>
      <c r="AG10017" s="80"/>
      <c r="AH10017" s="80"/>
      <c r="AI10017" s="80"/>
    </row>
    <row r="10018" spans="5:35" x14ac:dyDescent="0.25">
      <c r="E10018" s="16"/>
      <c r="F10018" s="16"/>
      <c r="H10018" s="16"/>
      <c r="AG10018" s="80"/>
      <c r="AH10018" s="80"/>
      <c r="AI10018" s="80"/>
    </row>
    <row r="10019" spans="5:35" x14ac:dyDescent="0.25">
      <c r="E10019" s="16"/>
      <c r="F10019" s="16"/>
      <c r="H10019" s="16"/>
      <c r="AG10019" s="80"/>
      <c r="AH10019" s="80"/>
      <c r="AI10019" s="80"/>
    </row>
    <row r="10020" spans="5:35" x14ac:dyDescent="0.25">
      <c r="E10020" s="16"/>
      <c r="F10020" s="16"/>
      <c r="H10020" s="16"/>
      <c r="AG10020" s="80"/>
      <c r="AH10020" s="80"/>
      <c r="AI10020" s="80"/>
    </row>
    <row r="10021" spans="5:35" x14ac:dyDescent="0.25">
      <c r="E10021" s="16"/>
      <c r="F10021" s="16"/>
      <c r="H10021" s="16"/>
      <c r="AG10021" s="80"/>
      <c r="AH10021" s="80"/>
      <c r="AI10021" s="80"/>
    </row>
    <row r="10022" spans="5:35" x14ac:dyDescent="0.25">
      <c r="E10022" s="16"/>
      <c r="F10022" s="16"/>
      <c r="H10022" s="16"/>
      <c r="AG10022" s="80"/>
      <c r="AH10022" s="80"/>
      <c r="AI10022" s="80"/>
    </row>
    <row r="10023" spans="5:35" x14ac:dyDescent="0.25">
      <c r="E10023" s="16"/>
      <c r="F10023" s="16"/>
      <c r="H10023" s="16"/>
      <c r="AG10023" s="80"/>
      <c r="AH10023" s="80"/>
      <c r="AI10023" s="80"/>
    </row>
    <row r="10024" spans="5:35" x14ac:dyDescent="0.25">
      <c r="E10024" s="16"/>
      <c r="F10024" s="16"/>
      <c r="H10024" s="16"/>
      <c r="AG10024" s="80"/>
      <c r="AH10024" s="80"/>
      <c r="AI10024" s="80"/>
    </row>
    <row r="10025" spans="5:35" x14ac:dyDescent="0.25">
      <c r="E10025" s="16"/>
      <c r="F10025" s="16"/>
      <c r="H10025" s="16"/>
      <c r="AG10025" s="80"/>
      <c r="AH10025" s="80"/>
      <c r="AI10025" s="80"/>
    </row>
    <row r="10026" spans="5:35" x14ac:dyDescent="0.25">
      <c r="E10026" s="16"/>
      <c r="F10026" s="16"/>
      <c r="H10026" s="16"/>
      <c r="AG10026" s="80"/>
      <c r="AH10026" s="80"/>
      <c r="AI10026" s="80"/>
    </row>
    <row r="10027" spans="5:35" x14ac:dyDescent="0.25">
      <c r="E10027" s="16"/>
      <c r="F10027" s="16"/>
      <c r="H10027" s="16"/>
      <c r="AG10027" s="80"/>
      <c r="AH10027" s="80"/>
      <c r="AI10027" s="80"/>
    </row>
    <row r="10028" spans="5:35" x14ac:dyDescent="0.25">
      <c r="E10028" s="16"/>
      <c r="F10028" s="16"/>
      <c r="H10028" s="16"/>
      <c r="AG10028" s="80"/>
      <c r="AH10028" s="80"/>
      <c r="AI10028" s="80"/>
    </row>
    <row r="10029" spans="5:35" x14ac:dyDescent="0.25">
      <c r="E10029" s="16"/>
      <c r="F10029" s="16"/>
      <c r="H10029" s="16"/>
      <c r="AG10029" s="80"/>
      <c r="AH10029" s="80"/>
      <c r="AI10029" s="80"/>
    </row>
    <row r="10030" spans="5:35" x14ac:dyDescent="0.25">
      <c r="E10030" s="16"/>
      <c r="F10030" s="16"/>
      <c r="H10030" s="16"/>
      <c r="AG10030" s="80"/>
      <c r="AH10030" s="80"/>
      <c r="AI10030" s="80"/>
    </row>
    <row r="10031" spans="5:35" x14ac:dyDescent="0.25">
      <c r="E10031" s="16"/>
      <c r="F10031" s="16"/>
      <c r="H10031" s="16"/>
      <c r="AG10031" s="80"/>
      <c r="AH10031" s="80"/>
      <c r="AI10031" s="80"/>
    </row>
    <row r="10032" spans="5:35" x14ac:dyDescent="0.25">
      <c r="E10032" s="16"/>
      <c r="F10032" s="16"/>
      <c r="H10032" s="16"/>
      <c r="AG10032" s="80"/>
      <c r="AH10032" s="80"/>
      <c r="AI10032" s="80"/>
    </row>
    <row r="10033" spans="5:35" x14ac:dyDescent="0.25">
      <c r="E10033" s="16"/>
      <c r="F10033" s="16"/>
      <c r="H10033" s="16"/>
      <c r="AG10033" s="80"/>
      <c r="AH10033" s="80"/>
      <c r="AI10033" s="80"/>
    </row>
    <row r="10034" spans="5:35" x14ac:dyDescent="0.25">
      <c r="E10034" s="16"/>
      <c r="F10034" s="16"/>
      <c r="H10034" s="16"/>
      <c r="AG10034" s="80"/>
      <c r="AH10034" s="80"/>
      <c r="AI10034" s="80"/>
    </row>
    <row r="10035" spans="5:35" x14ac:dyDescent="0.25">
      <c r="E10035" s="16"/>
      <c r="F10035" s="16"/>
      <c r="H10035" s="16"/>
      <c r="AG10035" s="80"/>
      <c r="AH10035" s="80"/>
      <c r="AI10035" s="80"/>
    </row>
    <row r="10036" spans="5:35" x14ac:dyDescent="0.25">
      <c r="E10036" s="16"/>
      <c r="F10036" s="16"/>
      <c r="H10036" s="16"/>
      <c r="AG10036" s="80"/>
      <c r="AH10036" s="80"/>
      <c r="AI10036" s="80"/>
    </row>
    <row r="10037" spans="5:35" x14ac:dyDescent="0.25">
      <c r="E10037" s="16"/>
      <c r="F10037" s="16"/>
      <c r="H10037" s="16"/>
      <c r="AG10037" s="80"/>
      <c r="AH10037" s="80"/>
      <c r="AI10037" s="80"/>
    </row>
    <row r="10038" spans="5:35" x14ac:dyDescent="0.25">
      <c r="E10038" s="16"/>
      <c r="F10038" s="16"/>
      <c r="H10038" s="16"/>
      <c r="AG10038" s="80"/>
      <c r="AH10038" s="80"/>
      <c r="AI10038" s="80"/>
    </row>
    <row r="10039" spans="5:35" x14ac:dyDescent="0.25">
      <c r="E10039" s="16"/>
      <c r="F10039" s="16"/>
      <c r="H10039" s="16"/>
      <c r="AG10039" s="80"/>
      <c r="AH10039" s="80"/>
      <c r="AI10039" s="80"/>
    </row>
    <row r="10040" spans="5:35" x14ac:dyDescent="0.25">
      <c r="E10040" s="16"/>
      <c r="F10040" s="16"/>
      <c r="H10040" s="16"/>
      <c r="AG10040" s="80"/>
      <c r="AH10040" s="80"/>
      <c r="AI10040" s="80"/>
    </row>
    <row r="10041" spans="5:35" x14ac:dyDescent="0.25">
      <c r="E10041" s="16"/>
      <c r="F10041" s="16"/>
      <c r="H10041" s="16"/>
      <c r="AG10041" s="80"/>
      <c r="AH10041" s="80"/>
      <c r="AI10041" s="80"/>
    </row>
    <row r="10042" spans="5:35" x14ac:dyDescent="0.25">
      <c r="E10042" s="16"/>
      <c r="F10042" s="16"/>
      <c r="H10042" s="16"/>
      <c r="AG10042" s="80"/>
      <c r="AH10042" s="80"/>
      <c r="AI10042" s="80"/>
    </row>
    <row r="10043" spans="5:35" x14ac:dyDescent="0.25">
      <c r="E10043" s="16"/>
      <c r="F10043" s="16"/>
      <c r="H10043" s="16"/>
      <c r="AG10043" s="80"/>
      <c r="AH10043" s="80"/>
      <c r="AI10043" s="80"/>
    </row>
    <row r="10044" spans="5:35" x14ac:dyDescent="0.25">
      <c r="E10044" s="16"/>
      <c r="F10044" s="16"/>
      <c r="H10044" s="16"/>
      <c r="AG10044" s="80"/>
      <c r="AH10044" s="80"/>
      <c r="AI10044" s="80"/>
    </row>
    <row r="10045" spans="5:35" x14ac:dyDescent="0.25">
      <c r="E10045" s="16"/>
      <c r="F10045" s="16"/>
      <c r="H10045" s="16"/>
      <c r="AG10045" s="80"/>
      <c r="AH10045" s="80"/>
      <c r="AI10045" s="80"/>
    </row>
    <row r="10046" spans="5:35" x14ac:dyDescent="0.25">
      <c r="E10046" s="16"/>
      <c r="F10046" s="16"/>
      <c r="H10046" s="16"/>
      <c r="AG10046" s="80"/>
      <c r="AH10046" s="80"/>
      <c r="AI10046" s="80"/>
    </row>
    <row r="10047" spans="5:35" x14ac:dyDescent="0.25">
      <c r="E10047" s="16"/>
      <c r="F10047" s="16"/>
      <c r="H10047" s="16"/>
      <c r="AG10047" s="80"/>
      <c r="AH10047" s="80"/>
      <c r="AI10047" s="80"/>
    </row>
    <row r="10048" spans="5:35" x14ac:dyDescent="0.25">
      <c r="E10048" s="16"/>
      <c r="F10048" s="16"/>
      <c r="H10048" s="16"/>
      <c r="AG10048" s="80"/>
      <c r="AH10048" s="80"/>
      <c r="AI10048" s="80"/>
    </row>
    <row r="10049" spans="5:35" x14ac:dyDescent="0.25">
      <c r="E10049" s="16"/>
      <c r="F10049" s="16"/>
      <c r="H10049" s="16"/>
      <c r="AG10049" s="80"/>
      <c r="AH10049" s="80"/>
      <c r="AI10049" s="80"/>
    </row>
    <row r="10050" spans="5:35" x14ac:dyDescent="0.25">
      <c r="E10050" s="16"/>
      <c r="F10050" s="16"/>
      <c r="H10050" s="16"/>
      <c r="AG10050" s="80"/>
      <c r="AH10050" s="80"/>
      <c r="AI10050" s="80"/>
    </row>
    <row r="10051" spans="5:35" x14ac:dyDescent="0.25">
      <c r="E10051" s="16"/>
      <c r="F10051" s="16"/>
      <c r="H10051" s="16"/>
      <c r="AG10051" s="80"/>
      <c r="AH10051" s="80"/>
      <c r="AI10051" s="80"/>
    </row>
    <row r="10052" spans="5:35" x14ac:dyDescent="0.25">
      <c r="E10052" s="16"/>
      <c r="F10052" s="16"/>
      <c r="H10052" s="16"/>
      <c r="AG10052" s="80"/>
      <c r="AH10052" s="80"/>
      <c r="AI10052" s="80"/>
    </row>
    <row r="10053" spans="5:35" x14ac:dyDescent="0.25">
      <c r="E10053" s="16"/>
      <c r="F10053" s="16"/>
      <c r="H10053" s="16"/>
      <c r="AG10053" s="80"/>
      <c r="AH10053" s="80"/>
      <c r="AI10053" s="80"/>
    </row>
    <row r="10054" spans="5:35" x14ac:dyDescent="0.25">
      <c r="E10054" s="16"/>
      <c r="F10054" s="16"/>
      <c r="H10054" s="16"/>
      <c r="AG10054" s="80"/>
      <c r="AH10054" s="80"/>
      <c r="AI10054" s="80"/>
    </row>
    <row r="10055" spans="5:35" x14ac:dyDescent="0.25">
      <c r="E10055" s="16"/>
      <c r="F10055" s="16"/>
      <c r="H10055" s="16"/>
      <c r="AG10055" s="80"/>
      <c r="AH10055" s="80"/>
      <c r="AI10055" s="80"/>
    </row>
    <row r="10056" spans="5:35" x14ac:dyDescent="0.25">
      <c r="E10056" s="16"/>
      <c r="F10056" s="16"/>
      <c r="H10056" s="16"/>
      <c r="AG10056" s="80"/>
      <c r="AH10056" s="80"/>
      <c r="AI10056" s="80"/>
    </row>
    <row r="10057" spans="5:35" x14ac:dyDescent="0.25">
      <c r="E10057" s="16"/>
      <c r="F10057" s="16"/>
      <c r="H10057" s="16"/>
      <c r="AG10057" s="80"/>
      <c r="AH10057" s="80"/>
      <c r="AI10057" s="80"/>
    </row>
    <row r="10058" spans="5:35" x14ac:dyDescent="0.25">
      <c r="E10058" s="16"/>
      <c r="F10058" s="16"/>
      <c r="H10058" s="16"/>
      <c r="AG10058" s="80"/>
      <c r="AH10058" s="80"/>
      <c r="AI10058" s="80"/>
    </row>
    <row r="10059" spans="5:35" x14ac:dyDescent="0.25">
      <c r="E10059" s="16"/>
      <c r="F10059" s="16"/>
      <c r="H10059" s="16"/>
      <c r="AG10059" s="80"/>
      <c r="AH10059" s="80"/>
      <c r="AI10059" s="80"/>
    </row>
    <row r="10060" spans="5:35" x14ac:dyDescent="0.25">
      <c r="E10060" s="16"/>
      <c r="F10060" s="16"/>
      <c r="H10060" s="16"/>
      <c r="AG10060" s="80"/>
      <c r="AH10060" s="80"/>
      <c r="AI10060" s="80"/>
    </row>
    <row r="10061" spans="5:35" x14ac:dyDescent="0.25">
      <c r="E10061" s="16"/>
      <c r="F10061" s="16"/>
      <c r="H10061" s="16"/>
      <c r="AG10061" s="80"/>
      <c r="AH10061" s="80"/>
      <c r="AI10061" s="80"/>
    </row>
    <row r="10062" spans="5:35" x14ac:dyDescent="0.25">
      <c r="E10062" s="16"/>
      <c r="F10062" s="16"/>
      <c r="H10062" s="16"/>
      <c r="AG10062" s="80"/>
      <c r="AH10062" s="80"/>
      <c r="AI10062" s="80"/>
    </row>
    <row r="10063" spans="5:35" x14ac:dyDescent="0.25">
      <c r="E10063" s="16"/>
      <c r="F10063" s="16"/>
      <c r="H10063" s="16"/>
      <c r="AG10063" s="80"/>
      <c r="AH10063" s="80"/>
      <c r="AI10063" s="80"/>
    </row>
    <row r="10064" spans="5:35" x14ac:dyDescent="0.25">
      <c r="E10064" s="16"/>
      <c r="F10064" s="16"/>
      <c r="H10064" s="16"/>
      <c r="AG10064" s="80"/>
      <c r="AH10064" s="80"/>
      <c r="AI10064" s="80"/>
    </row>
    <row r="10065" spans="5:35" x14ac:dyDescent="0.25">
      <c r="E10065" s="16"/>
      <c r="F10065" s="16"/>
      <c r="H10065" s="16"/>
      <c r="AG10065" s="80"/>
      <c r="AH10065" s="80"/>
      <c r="AI10065" s="80"/>
    </row>
    <row r="10066" spans="5:35" x14ac:dyDescent="0.25">
      <c r="E10066" s="16"/>
      <c r="F10066" s="16"/>
      <c r="H10066" s="16"/>
      <c r="AG10066" s="80"/>
      <c r="AH10066" s="80"/>
      <c r="AI10066" s="80"/>
    </row>
    <row r="10067" spans="5:35" x14ac:dyDescent="0.25">
      <c r="E10067" s="16"/>
      <c r="F10067" s="16"/>
      <c r="H10067" s="16"/>
      <c r="AG10067" s="80"/>
      <c r="AH10067" s="80"/>
      <c r="AI10067" s="80"/>
    </row>
    <row r="10068" spans="5:35" x14ac:dyDescent="0.25">
      <c r="E10068" s="16"/>
      <c r="F10068" s="16"/>
      <c r="H10068" s="16"/>
      <c r="AG10068" s="80"/>
      <c r="AH10068" s="80"/>
      <c r="AI10068" s="80"/>
    </row>
    <row r="10069" spans="5:35" x14ac:dyDescent="0.25">
      <c r="E10069" s="16"/>
      <c r="F10069" s="16"/>
      <c r="H10069" s="16"/>
      <c r="AG10069" s="80"/>
      <c r="AH10069" s="80"/>
      <c r="AI10069" s="80"/>
    </row>
    <row r="10070" spans="5:35" x14ac:dyDescent="0.25">
      <c r="E10070" s="16"/>
      <c r="F10070" s="16"/>
      <c r="H10070" s="16"/>
      <c r="AG10070" s="80"/>
      <c r="AH10070" s="80"/>
      <c r="AI10070" s="80"/>
    </row>
    <row r="10071" spans="5:35" x14ac:dyDescent="0.25">
      <c r="E10071" s="16"/>
      <c r="F10071" s="16"/>
      <c r="H10071" s="16"/>
      <c r="AG10071" s="80"/>
      <c r="AH10071" s="80"/>
      <c r="AI10071" s="80"/>
    </row>
    <row r="10072" spans="5:35" x14ac:dyDescent="0.25">
      <c r="E10072" s="16"/>
      <c r="F10072" s="16"/>
      <c r="H10072" s="16"/>
      <c r="AG10072" s="80"/>
      <c r="AH10072" s="80"/>
      <c r="AI10072" s="80"/>
    </row>
    <row r="10073" spans="5:35" x14ac:dyDescent="0.25">
      <c r="E10073" s="16"/>
      <c r="F10073" s="16"/>
      <c r="H10073" s="16"/>
      <c r="AG10073" s="80"/>
      <c r="AH10073" s="80"/>
      <c r="AI10073" s="80"/>
    </row>
    <row r="10074" spans="5:35" x14ac:dyDescent="0.25">
      <c r="E10074" s="16"/>
      <c r="F10074" s="16"/>
      <c r="H10074" s="16"/>
      <c r="AG10074" s="80"/>
      <c r="AH10074" s="80"/>
      <c r="AI10074" s="80"/>
    </row>
    <row r="10075" spans="5:35" x14ac:dyDescent="0.25">
      <c r="E10075" s="16"/>
      <c r="F10075" s="16"/>
      <c r="H10075" s="16"/>
      <c r="AG10075" s="80"/>
      <c r="AH10075" s="80"/>
      <c r="AI10075" s="80"/>
    </row>
    <row r="10076" spans="5:35" x14ac:dyDescent="0.25">
      <c r="E10076" s="16"/>
      <c r="F10076" s="16"/>
      <c r="H10076" s="16"/>
      <c r="AG10076" s="80"/>
      <c r="AH10076" s="80"/>
      <c r="AI10076" s="80"/>
    </row>
    <row r="10077" spans="5:35" x14ac:dyDescent="0.25">
      <c r="E10077" s="16"/>
      <c r="F10077" s="16"/>
      <c r="H10077" s="16"/>
      <c r="AG10077" s="80"/>
      <c r="AH10077" s="80"/>
      <c r="AI10077" s="80"/>
    </row>
    <row r="10078" spans="5:35" x14ac:dyDescent="0.25">
      <c r="E10078" s="16"/>
      <c r="F10078" s="16"/>
      <c r="H10078" s="16"/>
      <c r="AG10078" s="80"/>
      <c r="AH10078" s="80"/>
      <c r="AI10078" s="80"/>
    </row>
    <row r="10079" spans="5:35" x14ac:dyDescent="0.25">
      <c r="E10079" s="16"/>
      <c r="F10079" s="16"/>
      <c r="H10079" s="16"/>
      <c r="AG10079" s="80"/>
      <c r="AH10079" s="80"/>
      <c r="AI10079" s="80"/>
    </row>
    <row r="10080" spans="5:35" x14ac:dyDescent="0.25">
      <c r="E10080" s="16"/>
      <c r="F10080" s="16"/>
      <c r="H10080" s="16"/>
      <c r="AG10080" s="80"/>
      <c r="AH10080" s="80"/>
      <c r="AI10080" s="80"/>
    </row>
    <row r="10081" spans="5:35" x14ac:dyDescent="0.25">
      <c r="E10081" s="16"/>
      <c r="F10081" s="16"/>
      <c r="H10081" s="16"/>
      <c r="AG10081" s="80"/>
      <c r="AH10081" s="80"/>
      <c r="AI10081" s="80"/>
    </row>
    <row r="10082" spans="5:35" x14ac:dyDescent="0.25">
      <c r="E10082" s="16"/>
      <c r="F10082" s="16"/>
      <c r="H10082" s="16"/>
      <c r="AG10082" s="80"/>
      <c r="AH10082" s="80"/>
      <c r="AI10082" s="80"/>
    </row>
    <row r="10083" spans="5:35" x14ac:dyDescent="0.25">
      <c r="E10083" s="16"/>
      <c r="F10083" s="16"/>
      <c r="H10083" s="16"/>
      <c r="AG10083" s="80"/>
      <c r="AH10083" s="80"/>
      <c r="AI10083" s="80"/>
    </row>
    <row r="10084" spans="5:35" x14ac:dyDescent="0.25">
      <c r="E10084" s="16"/>
      <c r="F10084" s="16"/>
      <c r="H10084" s="16"/>
      <c r="AG10084" s="80"/>
      <c r="AH10084" s="80"/>
      <c r="AI10084" s="80"/>
    </row>
    <row r="10085" spans="5:35" x14ac:dyDescent="0.25">
      <c r="E10085" s="16"/>
      <c r="F10085" s="16"/>
      <c r="H10085" s="16"/>
      <c r="AG10085" s="80"/>
      <c r="AH10085" s="80"/>
      <c r="AI10085" s="80"/>
    </row>
    <row r="10086" spans="5:35" x14ac:dyDescent="0.25">
      <c r="E10086" s="16"/>
      <c r="F10086" s="16"/>
      <c r="H10086" s="16"/>
      <c r="AG10086" s="80"/>
      <c r="AH10086" s="80"/>
      <c r="AI10086" s="80"/>
    </row>
    <row r="10087" spans="5:35" x14ac:dyDescent="0.25">
      <c r="E10087" s="16"/>
      <c r="F10087" s="16"/>
      <c r="H10087" s="16"/>
      <c r="AG10087" s="80"/>
      <c r="AH10087" s="80"/>
      <c r="AI10087" s="80"/>
    </row>
    <row r="10088" spans="5:35" x14ac:dyDescent="0.25">
      <c r="E10088" s="16"/>
      <c r="F10088" s="16"/>
      <c r="H10088" s="16"/>
      <c r="AG10088" s="80"/>
      <c r="AH10088" s="80"/>
      <c r="AI10088" s="80"/>
    </row>
    <row r="10089" spans="5:35" x14ac:dyDescent="0.25">
      <c r="E10089" s="16"/>
      <c r="F10089" s="16"/>
      <c r="H10089" s="16"/>
      <c r="AG10089" s="80"/>
      <c r="AH10089" s="80"/>
      <c r="AI10089" s="80"/>
    </row>
    <row r="10090" spans="5:35" x14ac:dyDescent="0.25">
      <c r="E10090" s="16"/>
      <c r="F10090" s="16"/>
      <c r="H10090" s="16"/>
      <c r="AG10090" s="80"/>
      <c r="AH10090" s="80"/>
      <c r="AI10090" s="80"/>
    </row>
    <row r="10091" spans="5:35" x14ac:dyDescent="0.25">
      <c r="E10091" s="16"/>
      <c r="F10091" s="16"/>
      <c r="H10091" s="16"/>
      <c r="AG10091" s="80"/>
      <c r="AH10091" s="80"/>
      <c r="AI10091" s="80"/>
    </row>
    <row r="10092" spans="5:35" x14ac:dyDescent="0.25">
      <c r="E10092" s="16"/>
      <c r="F10092" s="16"/>
      <c r="H10092" s="16"/>
      <c r="AG10092" s="80"/>
      <c r="AH10092" s="80"/>
      <c r="AI10092" s="80"/>
    </row>
    <row r="10093" spans="5:35" x14ac:dyDescent="0.25">
      <c r="E10093" s="16"/>
      <c r="F10093" s="16"/>
      <c r="H10093" s="16"/>
      <c r="AG10093" s="80"/>
      <c r="AH10093" s="80"/>
      <c r="AI10093" s="80"/>
    </row>
    <row r="10094" spans="5:35" x14ac:dyDescent="0.25">
      <c r="E10094" s="16"/>
      <c r="F10094" s="16"/>
      <c r="H10094" s="16"/>
      <c r="AG10094" s="80"/>
      <c r="AH10094" s="80"/>
      <c r="AI10094" s="80"/>
    </row>
    <row r="10095" spans="5:35" x14ac:dyDescent="0.25">
      <c r="E10095" s="16"/>
      <c r="F10095" s="16"/>
      <c r="H10095" s="16"/>
      <c r="AG10095" s="80"/>
      <c r="AH10095" s="80"/>
      <c r="AI10095" s="80"/>
    </row>
    <row r="10096" spans="5:35" x14ac:dyDescent="0.25">
      <c r="E10096" s="16"/>
      <c r="F10096" s="16"/>
      <c r="H10096" s="16"/>
      <c r="AG10096" s="80"/>
      <c r="AH10096" s="80"/>
      <c r="AI10096" s="80"/>
    </row>
    <row r="10097" spans="5:35" x14ac:dyDescent="0.25">
      <c r="E10097" s="16"/>
      <c r="F10097" s="16"/>
      <c r="H10097" s="16"/>
      <c r="AG10097" s="80"/>
      <c r="AH10097" s="80"/>
      <c r="AI10097" s="80"/>
    </row>
    <row r="10098" spans="5:35" x14ac:dyDescent="0.25">
      <c r="E10098" s="16"/>
      <c r="F10098" s="16"/>
      <c r="H10098" s="16"/>
      <c r="AG10098" s="80"/>
      <c r="AH10098" s="80"/>
      <c r="AI10098" s="80"/>
    </row>
    <row r="10099" spans="5:35" x14ac:dyDescent="0.25">
      <c r="E10099" s="16"/>
      <c r="F10099" s="16"/>
      <c r="H10099" s="16"/>
      <c r="AG10099" s="80"/>
      <c r="AH10099" s="80"/>
      <c r="AI10099" s="80"/>
    </row>
    <row r="10100" spans="5:35" x14ac:dyDescent="0.25">
      <c r="E10100" s="16"/>
      <c r="F10100" s="16"/>
      <c r="H10100" s="16"/>
      <c r="AG10100" s="80"/>
      <c r="AH10100" s="80"/>
      <c r="AI10100" s="80"/>
    </row>
    <row r="10101" spans="5:35" x14ac:dyDescent="0.25">
      <c r="E10101" s="16"/>
      <c r="F10101" s="16"/>
      <c r="H10101" s="16"/>
      <c r="AG10101" s="80"/>
      <c r="AH10101" s="80"/>
      <c r="AI10101" s="80"/>
    </row>
    <row r="10102" spans="5:35" x14ac:dyDescent="0.25">
      <c r="E10102" s="16"/>
      <c r="F10102" s="16"/>
      <c r="H10102" s="16"/>
      <c r="AG10102" s="80"/>
      <c r="AH10102" s="80"/>
      <c r="AI10102" s="80"/>
    </row>
    <row r="10103" spans="5:35" x14ac:dyDescent="0.25">
      <c r="E10103" s="16"/>
      <c r="F10103" s="16"/>
      <c r="H10103" s="16"/>
      <c r="AG10103" s="80"/>
      <c r="AH10103" s="80"/>
      <c r="AI10103" s="80"/>
    </row>
    <row r="10104" spans="5:35" x14ac:dyDescent="0.25">
      <c r="E10104" s="16"/>
      <c r="F10104" s="16"/>
      <c r="H10104" s="16"/>
      <c r="AG10104" s="80"/>
      <c r="AH10104" s="80"/>
      <c r="AI10104" s="80"/>
    </row>
    <row r="10105" spans="5:35" x14ac:dyDescent="0.25">
      <c r="E10105" s="16"/>
      <c r="F10105" s="16"/>
      <c r="H10105" s="16"/>
      <c r="AG10105" s="80"/>
      <c r="AH10105" s="80"/>
      <c r="AI10105" s="80"/>
    </row>
    <row r="10106" spans="5:35" x14ac:dyDescent="0.25">
      <c r="E10106" s="16"/>
      <c r="F10106" s="16"/>
      <c r="H10106" s="16"/>
      <c r="AG10106" s="80"/>
      <c r="AH10106" s="80"/>
      <c r="AI10106" s="80"/>
    </row>
    <row r="10107" spans="5:35" x14ac:dyDescent="0.25">
      <c r="E10107" s="16"/>
      <c r="F10107" s="16"/>
      <c r="H10107" s="16"/>
      <c r="AG10107" s="80"/>
      <c r="AH10107" s="80"/>
      <c r="AI10107" s="80"/>
    </row>
    <row r="10108" spans="5:35" x14ac:dyDescent="0.25">
      <c r="E10108" s="16"/>
      <c r="F10108" s="16"/>
      <c r="H10108" s="16"/>
      <c r="AG10108" s="80"/>
      <c r="AH10108" s="80"/>
      <c r="AI10108" s="80"/>
    </row>
    <row r="10109" spans="5:35" x14ac:dyDescent="0.25">
      <c r="E10109" s="16"/>
      <c r="F10109" s="16"/>
      <c r="H10109" s="16"/>
      <c r="AG10109" s="80"/>
      <c r="AH10109" s="80"/>
      <c r="AI10109" s="80"/>
    </row>
    <row r="10110" spans="5:35" x14ac:dyDescent="0.25">
      <c r="E10110" s="16"/>
      <c r="F10110" s="16"/>
      <c r="H10110" s="16"/>
      <c r="AG10110" s="80"/>
      <c r="AH10110" s="80"/>
      <c r="AI10110" s="80"/>
    </row>
    <row r="10111" spans="5:35" x14ac:dyDescent="0.25">
      <c r="E10111" s="16"/>
      <c r="F10111" s="16"/>
      <c r="H10111" s="16"/>
      <c r="AG10111" s="80"/>
      <c r="AH10111" s="80"/>
      <c r="AI10111" s="80"/>
    </row>
    <row r="10112" spans="5:35" x14ac:dyDescent="0.25">
      <c r="E10112" s="16"/>
      <c r="F10112" s="16"/>
      <c r="H10112" s="16"/>
      <c r="AG10112" s="80"/>
      <c r="AH10112" s="80"/>
      <c r="AI10112" s="80"/>
    </row>
    <row r="10113" spans="5:35" x14ac:dyDescent="0.25">
      <c r="E10113" s="16"/>
      <c r="F10113" s="16"/>
      <c r="H10113" s="16"/>
      <c r="AG10113" s="80"/>
      <c r="AH10113" s="80"/>
      <c r="AI10113" s="80"/>
    </row>
    <row r="10114" spans="5:35" x14ac:dyDescent="0.25">
      <c r="E10114" s="16"/>
      <c r="F10114" s="16"/>
      <c r="H10114" s="16"/>
      <c r="AG10114" s="80"/>
      <c r="AH10114" s="80"/>
      <c r="AI10114" s="80"/>
    </row>
    <row r="10115" spans="5:35" x14ac:dyDescent="0.25">
      <c r="E10115" s="16"/>
      <c r="F10115" s="16"/>
      <c r="H10115" s="16"/>
      <c r="AG10115" s="80"/>
      <c r="AH10115" s="80"/>
      <c r="AI10115" s="80"/>
    </row>
    <row r="10116" spans="5:35" x14ac:dyDescent="0.25">
      <c r="E10116" s="16"/>
      <c r="F10116" s="16"/>
      <c r="H10116" s="16"/>
      <c r="AG10116" s="80"/>
      <c r="AH10116" s="80"/>
      <c r="AI10116" s="80"/>
    </row>
    <row r="10117" spans="5:35" x14ac:dyDescent="0.25">
      <c r="E10117" s="16"/>
      <c r="F10117" s="16"/>
      <c r="H10117" s="16"/>
      <c r="AG10117" s="80"/>
      <c r="AH10117" s="80"/>
      <c r="AI10117" s="80"/>
    </row>
    <row r="10118" spans="5:35" x14ac:dyDescent="0.25">
      <c r="E10118" s="16"/>
      <c r="F10118" s="16"/>
      <c r="H10118" s="16"/>
      <c r="AG10118" s="80"/>
      <c r="AH10118" s="80"/>
      <c r="AI10118" s="80"/>
    </row>
    <row r="10119" spans="5:35" x14ac:dyDescent="0.25">
      <c r="E10119" s="16"/>
      <c r="F10119" s="16"/>
      <c r="H10119" s="16"/>
      <c r="AG10119" s="80"/>
      <c r="AH10119" s="80"/>
      <c r="AI10119" s="80"/>
    </row>
    <row r="10120" spans="5:35" x14ac:dyDescent="0.25">
      <c r="E10120" s="16"/>
      <c r="F10120" s="16"/>
      <c r="H10120" s="16"/>
      <c r="AG10120" s="80"/>
      <c r="AH10120" s="80"/>
      <c r="AI10120" s="80"/>
    </row>
    <row r="10121" spans="5:35" x14ac:dyDescent="0.25">
      <c r="E10121" s="16"/>
      <c r="F10121" s="16"/>
      <c r="H10121" s="16"/>
      <c r="AG10121" s="80"/>
      <c r="AH10121" s="80"/>
      <c r="AI10121" s="80"/>
    </row>
    <row r="10122" spans="5:35" x14ac:dyDescent="0.25">
      <c r="E10122" s="16"/>
      <c r="F10122" s="16"/>
      <c r="H10122" s="16"/>
      <c r="AG10122" s="80"/>
      <c r="AH10122" s="80"/>
      <c r="AI10122" s="80"/>
    </row>
    <row r="10123" spans="5:35" x14ac:dyDescent="0.25">
      <c r="E10123" s="16"/>
      <c r="F10123" s="16"/>
      <c r="H10123" s="16"/>
      <c r="AG10123" s="80"/>
      <c r="AH10123" s="80"/>
      <c r="AI10123" s="80"/>
    </row>
    <row r="10124" spans="5:35" x14ac:dyDescent="0.25">
      <c r="E10124" s="16"/>
      <c r="F10124" s="16"/>
      <c r="H10124" s="16"/>
      <c r="AG10124" s="80"/>
      <c r="AH10124" s="80"/>
      <c r="AI10124" s="80"/>
    </row>
    <row r="10125" spans="5:35" x14ac:dyDescent="0.25">
      <c r="E10125" s="16"/>
      <c r="F10125" s="16"/>
      <c r="H10125" s="16"/>
      <c r="AG10125" s="80"/>
      <c r="AH10125" s="80"/>
      <c r="AI10125" s="80"/>
    </row>
    <row r="10126" spans="5:35" x14ac:dyDescent="0.25">
      <c r="E10126" s="16"/>
      <c r="F10126" s="16"/>
      <c r="H10126" s="16"/>
      <c r="AG10126" s="80"/>
      <c r="AH10126" s="80"/>
      <c r="AI10126" s="80"/>
    </row>
    <row r="10127" spans="5:35" x14ac:dyDescent="0.25">
      <c r="E10127" s="16"/>
      <c r="F10127" s="16"/>
      <c r="H10127" s="16"/>
      <c r="AG10127" s="80"/>
      <c r="AH10127" s="80"/>
      <c r="AI10127" s="80"/>
    </row>
    <row r="10128" spans="5:35" x14ac:dyDescent="0.25">
      <c r="E10128" s="16"/>
      <c r="F10128" s="16"/>
      <c r="H10128" s="16"/>
      <c r="AG10128" s="80"/>
      <c r="AH10128" s="80"/>
      <c r="AI10128" s="80"/>
    </row>
    <row r="10129" spans="5:35" x14ac:dyDescent="0.25">
      <c r="E10129" s="16"/>
      <c r="F10129" s="16"/>
      <c r="H10129" s="16"/>
      <c r="AG10129" s="80"/>
      <c r="AH10129" s="80"/>
      <c r="AI10129" s="80"/>
    </row>
    <row r="10130" spans="5:35" x14ac:dyDescent="0.25">
      <c r="E10130" s="16"/>
      <c r="F10130" s="16"/>
      <c r="H10130" s="16"/>
      <c r="AG10130" s="80"/>
      <c r="AH10130" s="80"/>
      <c r="AI10130" s="80"/>
    </row>
    <row r="10131" spans="5:35" x14ac:dyDescent="0.25">
      <c r="E10131" s="16"/>
      <c r="F10131" s="16"/>
      <c r="H10131" s="16"/>
      <c r="AG10131" s="80"/>
      <c r="AH10131" s="80"/>
      <c r="AI10131" s="80"/>
    </row>
    <row r="10132" spans="5:35" x14ac:dyDescent="0.25">
      <c r="E10132" s="16"/>
      <c r="F10132" s="16"/>
      <c r="H10132" s="16"/>
      <c r="AG10132" s="80"/>
      <c r="AH10132" s="80"/>
      <c r="AI10132" s="80"/>
    </row>
    <row r="10133" spans="5:35" x14ac:dyDescent="0.25">
      <c r="E10133" s="16"/>
      <c r="F10133" s="16"/>
      <c r="H10133" s="16"/>
      <c r="AG10133" s="80"/>
      <c r="AH10133" s="80"/>
      <c r="AI10133" s="80"/>
    </row>
    <row r="10134" spans="5:35" x14ac:dyDescent="0.25">
      <c r="E10134" s="16"/>
      <c r="F10134" s="16"/>
      <c r="H10134" s="16"/>
      <c r="AG10134" s="80"/>
      <c r="AH10134" s="80"/>
      <c r="AI10134" s="80"/>
    </row>
    <row r="10135" spans="5:35" x14ac:dyDescent="0.25">
      <c r="E10135" s="16"/>
      <c r="F10135" s="16"/>
      <c r="H10135" s="16"/>
      <c r="AG10135" s="80"/>
      <c r="AH10135" s="80"/>
      <c r="AI10135" s="80"/>
    </row>
    <row r="10136" spans="5:35" x14ac:dyDescent="0.25">
      <c r="E10136" s="16"/>
      <c r="F10136" s="16"/>
      <c r="H10136" s="16"/>
      <c r="AG10136" s="80"/>
      <c r="AH10136" s="80"/>
      <c r="AI10136" s="80"/>
    </row>
    <row r="10137" spans="5:35" x14ac:dyDescent="0.25">
      <c r="E10137" s="16"/>
      <c r="F10137" s="16"/>
      <c r="H10137" s="16"/>
      <c r="AG10137" s="80"/>
      <c r="AH10137" s="80"/>
      <c r="AI10137" s="80"/>
    </row>
    <row r="10138" spans="5:35" x14ac:dyDescent="0.25">
      <c r="E10138" s="16"/>
      <c r="F10138" s="16"/>
      <c r="H10138" s="16"/>
      <c r="AG10138" s="80"/>
      <c r="AH10138" s="80"/>
      <c r="AI10138" s="80"/>
    </row>
    <row r="10139" spans="5:35" x14ac:dyDescent="0.25">
      <c r="E10139" s="16"/>
      <c r="F10139" s="16"/>
      <c r="H10139" s="16"/>
      <c r="AG10139" s="80"/>
      <c r="AH10139" s="80"/>
      <c r="AI10139" s="80"/>
    </row>
    <row r="10140" spans="5:35" x14ac:dyDescent="0.25">
      <c r="E10140" s="16"/>
      <c r="F10140" s="16"/>
      <c r="H10140" s="16"/>
      <c r="AG10140" s="80"/>
      <c r="AH10140" s="80"/>
      <c r="AI10140" s="80"/>
    </row>
    <row r="10141" spans="5:35" x14ac:dyDescent="0.25">
      <c r="E10141" s="16"/>
      <c r="F10141" s="16"/>
      <c r="H10141" s="16"/>
      <c r="AG10141" s="80"/>
      <c r="AH10141" s="80"/>
      <c r="AI10141" s="80"/>
    </row>
    <row r="10142" spans="5:35" x14ac:dyDescent="0.25">
      <c r="E10142" s="16"/>
      <c r="F10142" s="16"/>
      <c r="H10142" s="16"/>
      <c r="AG10142" s="80"/>
      <c r="AH10142" s="80"/>
      <c r="AI10142" s="80"/>
    </row>
    <row r="10143" spans="5:35" x14ac:dyDescent="0.25">
      <c r="E10143" s="16"/>
      <c r="F10143" s="16"/>
      <c r="H10143" s="16"/>
      <c r="AG10143" s="80"/>
      <c r="AH10143" s="80"/>
      <c r="AI10143" s="80"/>
    </row>
    <row r="10144" spans="5:35" x14ac:dyDescent="0.25">
      <c r="E10144" s="16"/>
      <c r="F10144" s="16"/>
      <c r="H10144" s="16"/>
      <c r="AG10144" s="80"/>
      <c r="AH10144" s="80"/>
      <c r="AI10144" s="80"/>
    </row>
    <row r="10145" spans="5:35" x14ac:dyDescent="0.25">
      <c r="E10145" s="16"/>
      <c r="F10145" s="16"/>
      <c r="H10145" s="16"/>
      <c r="AG10145" s="80"/>
      <c r="AH10145" s="80"/>
      <c r="AI10145" s="80"/>
    </row>
    <row r="10146" spans="5:35" x14ac:dyDescent="0.25">
      <c r="E10146" s="16"/>
      <c r="F10146" s="16"/>
      <c r="H10146" s="16"/>
      <c r="AG10146" s="80"/>
      <c r="AH10146" s="80"/>
      <c r="AI10146" s="80"/>
    </row>
    <row r="10147" spans="5:35" x14ac:dyDescent="0.25">
      <c r="E10147" s="16"/>
      <c r="F10147" s="16"/>
      <c r="H10147" s="16"/>
      <c r="AG10147" s="80"/>
      <c r="AH10147" s="80"/>
      <c r="AI10147" s="80"/>
    </row>
    <row r="10148" spans="5:35" x14ac:dyDescent="0.25">
      <c r="E10148" s="16"/>
      <c r="F10148" s="16"/>
      <c r="H10148" s="16"/>
      <c r="AG10148" s="80"/>
      <c r="AH10148" s="80"/>
      <c r="AI10148" s="80"/>
    </row>
    <row r="10149" spans="5:35" x14ac:dyDescent="0.25">
      <c r="E10149" s="16"/>
      <c r="F10149" s="16"/>
      <c r="H10149" s="16"/>
      <c r="AG10149" s="80"/>
      <c r="AH10149" s="80"/>
      <c r="AI10149" s="80"/>
    </row>
    <row r="10150" spans="5:35" x14ac:dyDescent="0.25">
      <c r="E10150" s="16"/>
      <c r="F10150" s="16"/>
      <c r="H10150" s="16"/>
      <c r="AG10150" s="80"/>
      <c r="AH10150" s="80"/>
      <c r="AI10150" s="80"/>
    </row>
    <row r="10151" spans="5:35" x14ac:dyDescent="0.25">
      <c r="E10151" s="16"/>
      <c r="F10151" s="16"/>
      <c r="H10151" s="16"/>
      <c r="AG10151" s="80"/>
      <c r="AH10151" s="80"/>
      <c r="AI10151" s="80"/>
    </row>
    <row r="10152" spans="5:35" x14ac:dyDescent="0.25">
      <c r="E10152" s="16"/>
      <c r="F10152" s="16"/>
      <c r="H10152" s="16"/>
      <c r="AG10152" s="80"/>
      <c r="AH10152" s="80"/>
      <c r="AI10152" s="80"/>
    </row>
    <row r="10153" spans="5:35" x14ac:dyDescent="0.25">
      <c r="E10153" s="16"/>
      <c r="F10153" s="16"/>
      <c r="H10153" s="16"/>
      <c r="AG10153" s="80"/>
      <c r="AH10153" s="80"/>
      <c r="AI10153" s="80"/>
    </row>
    <row r="10154" spans="5:35" x14ac:dyDescent="0.25">
      <c r="E10154" s="16"/>
      <c r="F10154" s="16"/>
      <c r="H10154" s="16"/>
      <c r="AG10154" s="80"/>
      <c r="AH10154" s="80"/>
      <c r="AI10154" s="80"/>
    </row>
    <row r="10155" spans="5:35" x14ac:dyDescent="0.25">
      <c r="E10155" s="16"/>
      <c r="F10155" s="16"/>
      <c r="H10155" s="16"/>
      <c r="AG10155" s="80"/>
      <c r="AH10155" s="80"/>
      <c r="AI10155" s="80"/>
    </row>
    <row r="10156" spans="5:35" x14ac:dyDescent="0.25">
      <c r="E10156" s="16"/>
      <c r="F10156" s="16"/>
      <c r="H10156" s="16"/>
      <c r="AG10156" s="80"/>
      <c r="AH10156" s="80"/>
      <c r="AI10156" s="80"/>
    </row>
    <row r="10157" spans="5:35" x14ac:dyDescent="0.25">
      <c r="E10157" s="16"/>
      <c r="F10157" s="16"/>
      <c r="H10157" s="16"/>
      <c r="AG10157" s="80"/>
      <c r="AH10157" s="80"/>
      <c r="AI10157" s="80"/>
    </row>
    <row r="10158" spans="5:35" x14ac:dyDescent="0.25">
      <c r="E10158" s="16"/>
      <c r="F10158" s="16"/>
      <c r="H10158" s="16"/>
      <c r="AG10158" s="80"/>
      <c r="AH10158" s="80"/>
      <c r="AI10158" s="80"/>
    </row>
    <row r="10159" spans="5:35" x14ac:dyDescent="0.25">
      <c r="E10159" s="16"/>
      <c r="F10159" s="16"/>
      <c r="H10159" s="16"/>
      <c r="AG10159" s="80"/>
      <c r="AH10159" s="80"/>
      <c r="AI10159" s="80"/>
    </row>
    <row r="10160" spans="5:35" x14ac:dyDescent="0.25">
      <c r="E10160" s="16"/>
      <c r="F10160" s="16"/>
      <c r="H10160" s="16"/>
      <c r="AG10160" s="80"/>
      <c r="AH10160" s="80"/>
      <c r="AI10160" s="80"/>
    </row>
    <row r="10161" spans="5:35" x14ac:dyDescent="0.25">
      <c r="E10161" s="16"/>
      <c r="F10161" s="16"/>
      <c r="H10161" s="16"/>
      <c r="AG10161" s="80"/>
      <c r="AH10161" s="80"/>
      <c r="AI10161" s="80"/>
    </row>
    <row r="10162" spans="5:35" x14ac:dyDescent="0.25">
      <c r="E10162" s="16"/>
      <c r="F10162" s="16"/>
      <c r="H10162" s="16"/>
      <c r="AG10162" s="80"/>
      <c r="AH10162" s="80"/>
      <c r="AI10162" s="80"/>
    </row>
    <row r="10163" spans="5:35" x14ac:dyDescent="0.25">
      <c r="E10163" s="16"/>
      <c r="F10163" s="16"/>
      <c r="H10163" s="16"/>
      <c r="AG10163" s="80"/>
      <c r="AH10163" s="80"/>
      <c r="AI10163" s="80"/>
    </row>
    <row r="10164" spans="5:35" x14ac:dyDescent="0.25">
      <c r="E10164" s="16"/>
      <c r="F10164" s="16"/>
      <c r="H10164" s="16"/>
      <c r="AG10164" s="80"/>
      <c r="AH10164" s="80"/>
      <c r="AI10164" s="80"/>
    </row>
    <row r="10165" spans="5:35" x14ac:dyDescent="0.25">
      <c r="E10165" s="16"/>
      <c r="F10165" s="16"/>
      <c r="H10165" s="16"/>
      <c r="AG10165" s="80"/>
      <c r="AH10165" s="80"/>
      <c r="AI10165" s="80"/>
    </row>
    <row r="10166" spans="5:35" x14ac:dyDescent="0.25">
      <c r="E10166" s="16"/>
      <c r="F10166" s="16"/>
      <c r="H10166" s="16"/>
      <c r="AG10166" s="80"/>
      <c r="AH10166" s="80"/>
      <c r="AI10166" s="80"/>
    </row>
    <row r="10167" spans="5:35" x14ac:dyDescent="0.25">
      <c r="E10167" s="16"/>
      <c r="F10167" s="16"/>
      <c r="H10167" s="16"/>
      <c r="AG10167" s="80"/>
      <c r="AH10167" s="80"/>
      <c r="AI10167" s="80"/>
    </row>
    <row r="10168" spans="5:35" x14ac:dyDescent="0.25">
      <c r="E10168" s="16"/>
      <c r="F10168" s="16"/>
      <c r="H10168" s="16"/>
      <c r="AG10168" s="80"/>
      <c r="AH10168" s="80"/>
      <c r="AI10168" s="80"/>
    </row>
    <row r="10169" spans="5:35" x14ac:dyDescent="0.25">
      <c r="E10169" s="16"/>
      <c r="F10169" s="16"/>
      <c r="H10169" s="16"/>
      <c r="AG10169" s="80"/>
      <c r="AH10169" s="80"/>
      <c r="AI10169" s="80"/>
    </row>
    <row r="10170" spans="5:35" x14ac:dyDescent="0.25">
      <c r="E10170" s="16"/>
      <c r="F10170" s="16"/>
      <c r="H10170" s="16"/>
      <c r="AG10170" s="80"/>
      <c r="AH10170" s="80"/>
      <c r="AI10170" s="80"/>
    </row>
    <row r="10171" spans="5:35" x14ac:dyDescent="0.25">
      <c r="E10171" s="16"/>
      <c r="F10171" s="16"/>
      <c r="H10171" s="16"/>
      <c r="AG10171" s="80"/>
      <c r="AH10171" s="80"/>
      <c r="AI10171" s="80"/>
    </row>
    <row r="10172" spans="5:35" x14ac:dyDescent="0.25">
      <c r="E10172" s="16"/>
      <c r="F10172" s="16"/>
      <c r="H10172" s="16"/>
      <c r="AG10172" s="80"/>
      <c r="AH10172" s="80"/>
      <c r="AI10172" s="80"/>
    </row>
    <row r="10173" spans="5:35" x14ac:dyDescent="0.25">
      <c r="E10173" s="16"/>
      <c r="F10173" s="16"/>
      <c r="H10173" s="16"/>
      <c r="AG10173" s="80"/>
      <c r="AH10173" s="80"/>
      <c r="AI10173" s="80"/>
    </row>
    <row r="10174" spans="5:35" x14ac:dyDescent="0.25">
      <c r="E10174" s="16"/>
      <c r="F10174" s="16"/>
      <c r="H10174" s="16"/>
      <c r="AG10174" s="80"/>
      <c r="AH10174" s="80"/>
      <c r="AI10174" s="80"/>
    </row>
    <row r="10175" spans="5:35" x14ac:dyDescent="0.25">
      <c r="E10175" s="16"/>
      <c r="F10175" s="16"/>
      <c r="H10175" s="16"/>
      <c r="AG10175" s="80"/>
      <c r="AH10175" s="80"/>
      <c r="AI10175" s="80"/>
    </row>
    <row r="10176" spans="5:35" x14ac:dyDescent="0.25">
      <c r="E10176" s="16"/>
      <c r="F10176" s="16"/>
      <c r="H10176" s="16"/>
      <c r="AG10176" s="80"/>
      <c r="AH10176" s="80"/>
      <c r="AI10176" s="80"/>
    </row>
    <row r="10177" spans="5:35" x14ac:dyDescent="0.25">
      <c r="E10177" s="16"/>
      <c r="F10177" s="16"/>
      <c r="H10177" s="16"/>
      <c r="AG10177" s="80"/>
      <c r="AH10177" s="80"/>
      <c r="AI10177" s="80"/>
    </row>
    <row r="10178" spans="5:35" x14ac:dyDescent="0.25">
      <c r="E10178" s="16"/>
      <c r="F10178" s="16"/>
      <c r="H10178" s="16"/>
      <c r="AG10178" s="80"/>
      <c r="AH10178" s="80"/>
      <c r="AI10178" s="80"/>
    </row>
    <row r="10179" spans="5:35" x14ac:dyDescent="0.25">
      <c r="E10179" s="16"/>
      <c r="F10179" s="16"/>
      <c r="H10179" s="16"/>
      <c r="AG10179" s="80"/>
      <c r="AH10179" s="80"/>
      <c r="AI10179" s="80"/>
    </row>
    <row r="10180" spans="5:35" x14ac:dyDescent="0.25">
      <c r="E10180" s="16"/>
      <c r="F10180" s="16"/>
      <c r="H10180" s="16"/>
      <c r="AG10180" s="80"/>
      <c r="AH10180" s="80"/>
      <c r="AI10180" s="80"/>
    </row>
    <row r="10181" spans="5:35" x14ac:dyDescent="0.25">
      <c r="E10181" s="16"/>
      <c r="F10181" s="16"/>
      <c r="H10181" s="16"/>
      <c r="AG10181" s="80"/>
      <c r="AH10181" s="80"/>
      <c r="AI10181" s="80"/>
    </row>
    <row r="10182" spans="5:35" x14ac:dyDescent="0.25">
      <c r="E10182" s="16"/>
      <c r="F10182" s="16"/>
      <c r="H10182" s="16"/>
      <c r="AG10182" s="80"/>
      <c r="AH10182" s="80"/>
      <c r="AI10182" s="80"/>
    </row>
    <row r="10183" spans="5:35" x14ac:dyDescent="0.25">
      <c r="E10183" s="16"/>
      <c r="F10183" s="16"/>
      <c r="H10183" s="16"/>
      <c r="AG10183" s="80"/>
      <c r="AH10183" s="80"/>
      <c r="AI10183" s="80"/>
    </row>
    <row r="10184" spans="5:35" x14ac:dyDescent="0.25">
      <c r="E10184" s="16"/>
      <c r="F10184" s="16"/>
      <c r="H10184" s="16"/>
      <c r="AG10184" s="80"/>
      <c r="AH10184" s="80"/>
      <c r="AI10184" s="80"/>
    </row>
    <row r="10185" spans="5:35" x14ac:dyDescent="0.25">
      <c r="E10185" s="16"/>
      <c r="F10185" s="16"/>
      <c r="H10185" s="16"/>
      <c r="AG10185" s="80"/>
      <c r="AH10185" s="80"/>
      <c r="AI10185" s="80"/>
    </row>
    <row r="10186" spans="5:35" x14ac:dyDescent="0.25">
      <c r="E10186" s="16"/>
      <c r="F10186" s="16"/>
      <c r="H10186" s="16"/>
      <c r="AG10186" s="80"/>
      <c r="AH10186" s="80"/>
      <c r="AI10186" s="80"/>
    </row>
    <row r="10187" spans="5:35" x14ac:dyDescent="0.25">
      <c r="E10187" s="16"/>
      <c r="F10187" s="16"/>
      <c r="H10187" s="16"/>
      <c r="AG10187" s="80"/>
      <c r="AH10187" s="80"/>
      <c r="AI10187" s="80"/>
    </row>
    <row r="10188" spans="5:35" x14ac:dyDescent="0.25">
      <c r="E10188" s="16"/>
      <c r="F10188" s="16"/>
      <c r="H10188" s="16"/>
      <c r="AG10188" s="80"/>
      <c r="AH10188" s="80"/>
      <c r="AI10188" s="80"/>
    </row>
    <row r="10189" spans="5:35" x14ac:dyDescent="0.25">
      <c r="E10189" s="16"/>
      <c r="F10189" s="16"/>
      <c r="H10189" s="16"/>
      <c r="AG10189" s="80"/>
      <c r="AH10189" s="80"/>
      <c r="AI10189" s="80"/>
    </row>
    <row r="10190" spans="5:35" x14ac:dyDescent="0.25">
      <c r="E10190" s="16"/>
      <c r="F10190" s="16"/>
      <c r="H10190" s="16"/>
      <c r="AG10190" s="80"/>
      <c r="AH10190" s="80"/>
      <c r="AI10190" s="80"/>
    </row>
    <row r="10191" spans="5:35" x14ac:dyDescent="0.25">
      <c r="E10191" s="16"/>
      <c r="F10191" s="16"/>
      <c r="H10191" s="16"/>
      <c r="AG10191" s="80"/>
      <c r="AH10191" s="80"/>
      <c r="AI10191" s="80"/>
    </row>
    <row r="10192" spans="5:35" x14ac:dyDescent="0.25">
      <c r="E10192" s="16"/>
      <c r="F10192" s="16"/>
      <c r="H10192" s="16"/>
      <c r="AG10192" s="80"/>
      <c r="AH10192" s="80"/>
      <c r="AI10192" s="80"/>
    </row>
    <row r="10193" spans="5:35" x14ac:dyDescent="0.25">
      <c r="E10193" s="16"/>
      <c r="F10193" s="16"/>
      <c r="H10193" s="16"/>
      <c r="AG10193" s="80"/>
      <c r="AH10193" s="80"/>
      <c r="AI10193" s="80"/>
    </row>
    <row r="10194" spans="5:35" x14ac:dyDescent="0.25">
      <c r="E10194" s="16"/>
      <c r="F10194" s="16"/>
      <c r="H10194" s="16"/>
      <c r="AG10194" s="80"/>
      <c r="AH10194" s="80"/>
      <c r="AI10194" s="80"/>
    </row>
    <row r="10195" spans="5:35" x14ac:dyDescent="0.25">
      <c r="E10195" s="16"/>
      <c r="F10195" s="16"/>
      <c r="H10195" s="16"/>
      <c r="AG10195" s="80"/>
      <c r="AH10195" s="80"/>
      <c r="AI10195" s="80"/>
    </row>
    <row r="10196" spans="5:35" x14ac:dyDescent="0.25">
      <c r="E10196" s="16"/>
      <c r="F10196" s="16"/>
      <c r="H10196" s="16"/>
      <c r="AG10196" s="80"/>
      <c r="AH10196" s="80"/>
      <c r="AI10196" s="80"/>
    </row>
    <row r="10197" spans="5:35" x14ac:dyDescent="0.25">
      <c r="E10197" s="16"/>
      <c r="F10197" s="16"/>
      <c r="H10197" s="16"/>
      <c r="AG10197" s="80"/>
      <c r="AH10197" s="80"/>
      <c r="AI10197" s="80"/>
    </row>
    <row r="10198" spans="5:35" x14ac:dyDescent="0.25">
      <c r="E10198" s="16"/>
      <c r="F10198" s="16"/>
      <c r="H10198" s="16"/>
      <c r="AG10198" s="80"/>
      <c r="AH10198" s="80"/>
      <c r="AI10198" s="80"/>
    </row>
    <row r="10199" spans="5:35" x14ac:dyDescent="0.25">
      <c r="E10199" s="16"/>
      <c r="F10199" s="16"/>
      <c r="H10199" s="16"/>
      <c r="AG10199" s="80"/>
      <c r="AH10199" s="80"/>
      <c r="AI10199" s="80"/>
    </row>
    <row r="10200" spans="5:35" x14ac:dyDescent="0.25">
      <c r="E10200" s="16"/>
      <c r="F10200" s="16"/>
      <c r="H10200" s="16"/>
      <c r="AG10200" s="80"/>
      <c r="AH10200" s="80"/>
      <c r="AI10200" s="80"/>
    </row>
    <row r="10201" spans="5:35" x14ac:dyDescent="0.25">
      <c r="E10201" s="16"/>
      <c r="F10201" s="16"/>
      <c r="H10201" s="16"/>
      <c r="AG10201" s="80"/>
      <c r="AH10201" s="80"/>
      <c r="AI10201" s="80"/>
    </row>
    <row r="10202" spans="5:35" x14ac:dyDescent="0.25">
      <c r="E10202" s="16"/>
      <c r="F10202" s="16"/>
      <c r="H10202" s="16"/>
      <c r="AG10202" s="80"/>
      <c r="AH10202" s="80"/>
      <c r="AI10202" s="80"/>
    </row>
    <row r="10203" spans="5:35" x14ac:dyDescent="0.25">
      <c r="E10203" s="16"/>
      <c r="F10203" s="16"/>
      <c r="H10203" s="16"/>
      <c r="AG10203" s="80"/>
      <c r="AH10203" s="80"/>
      <c r="AI10203" s="80"/>
    </row>
    <row r="10204" spans="5:35" x14ac:dyDescent="0.25">
      <c r="E10204" s="16"/>
      <c r="F10204" s="16"/>
      <c r="H10204" s="16"/>
      <c r="AG10204" s="80"/>
      <c r="AH10204" s="80"/>
      <c r="AI10204" s="80"/>
    </row>
    <row r="10205" spans="5:35" x14ac:dyDescent="0.25">
      <c r="E10205" s="16"/>
      <c r="F10205" s="16"/>
      <c r="H10205" s="16"/>
      <c r="AG10205" s="80"/>
      <c r="AH10205" s="80"/>
      <c r="AI10205" s="80"/>
    </row>
    <row r="10206" spans="5:35" x14ac:dyDescent="0.25">
      <c r="E10206" s="16"/>
      <c r="F10206" s="16"/>
      <c r="H10206" s="16"/>
      <c r="AG10206" s="80"/>
      <c r="AH10206" s="80"/>
      <c r="AI10206" s="80"/>
    </row>
    <row r="10207" spans="5:35" x14ac:dyDescent="0.25">
      <c r="E10207" s="16"/>
      <c r="F10207" s="16"/>
      <c r="H10207" s="16"/>
      <c r="AG10207" s="80"/>
      <c r="AH10207" s="80"/>
      <c r="AI10207" s="80"/>
    </row>
    <row r="10208" spans="5:35" x14ac:dyDescent="0.25">
      <c r="E10208" s="16"/>
      <c r="F10208" s="16"/>
      <c r="H10208" s="16"/>
      <c r="AG10208" s="80"/>
      <c r="AH10208" s="80"/>
      <c r="AI10208" s="80"/>
    </row>
    <row r="10209" spans="5:35" x14ac:dyDescent="0.25">
      <c r="E10209" s="16"/>
      <c r="F10209" s="16"/>
      <c r="H10209" s="16"/>
      <c r="AG10209" s="80"/>
      <c r="AH10209" s="80"/>
      <c r="AI10209" s="80"/>
    </row>
    <row r="10210" spans="5:35" x14ac:dyDescent="0.25">
      <c r="E10210" s="16"/>
      <c r="F10210" s="16"/>
      <c r="H10210" s="16"/>
      <c r="AG10210" s="80"/>
      <c r="AH10210" s="80"/>
      <c r="AI10210" s="80"/>
    </row>
    <row r="10211" spans="5:35" x14ac:dyDescent="0.25">
      <c r="E10211" s="16"/>
      <c r="F10211" s="16"/>
      <c r="H10211" s="16"/>
      <c r="AG10211" s="80"/>
      <c r="AH10211" s="80"/>
      <c r="AI10211" s="80"/>
    </row>
    <row r="10212" spans="5:35" x14ac:dyDescent="0.25">
      <c r="E10212" s="16"/>
      <c r="F10212" s="16"/>
      <c r="H10212" s="16"/>
      <c r="AG10212" s="80"/>
      <c r="AH10212" s="80"/>
      <c r="AI10212" s="80"/>
    </row>
    <row r="10213" spans="5:35" x14ac:dyDescent="0.25">
      <c r="E10213" s="16"/>
      <c r="F10213" s="16"/>
      <c r="H10213" s="16"/>
      <c r="AG10213" s="80"/>
      <c r="AH10213" s="80"/>
      <c r="AI10213" s="80"/>
    </row>
    <row r="10214" spans="5:35" x14ac:dyDescent="0.25">
      <c r="E10214" s="16"/>
      <c r="F10214" s="16"/>
      <c r="H10214" s="16"/>
      <c r="AG10214" s="80"/>
      <c r="AH10214" s="80"/>
      <c r="AI10214" s="80"/>
    </row>
    <row r="10215" spans="5:35" x14ac:dyDescent="0.25">
      <c r="E10215" s="16"/>
      <c r="F10215" s="16"/>
      <c r="H10215" s="16"/>
      <c r="AG10215" s="80"/>
      <c r="AH10215" s="80"/>
      <c r="AI10215" s="80"/>
    </row>
    <row r="10216" spans="5:35" x14ac:dyDescent="0.25">
      <c r="E10216" s="16"/>
      <c r="F10216" s="16"/>
      <c r="H10216" s="16"/>
      <c r="AG10216" s="80"/>
      <c r="AH10216" s="80"/>
      <c r="AI10216" s="80"/>
    </row>
    <row r="10217" spans="5:35" x14ac:dyDescent="0.25">
      <c r="E10217" s="16"/>
      <c r="F10217" s="16"/>
      <c r="H10217" s="16"/>
      <c r="AG10217" s="80"/>
      <c r="AH10217" s="80"/>
      <c r="AI10217" s="80"/>
    </row>
    <row r="10218" spans="5:35" x14ac:dyDescent="0.25">
      <c r="E10218" s="16"/>
      <c r="F10218" s="16"/>
      <c r="H10218" s="16"/>
      <c r="AG10218" s="80"/>
      <c r="AH10218" s="80"/>
      <c r="AI10218" s="80"/>
    </row>
    <row r="10219" spans="5:35" x14ac:dyDescent="0.25">
      <c r="E10219" s="16"/>
      <c r="F10219" s="16"/>
      <c r="H10219" s="16"/>
      <c r="AG10219" s="80"/>
      <c r="AH10219" s="80"/>
      <c r="AI10219" s="80"/>
    </row>
    <row r="10220" spans="5:35" x14ac:dyDescent="0.25">
      <c r="E10220" s="16"/>
      <c r="F10220" s="16"/>
      <c r="H10220" s="16"/>
      <c r="AG10220" s="80"/>
      <c r="AH10220" s="80"/>
      <c r="AI10220" s="80"/>
    </row>
    <row r="10221" spans="5:35" x14ac:dyDescent="0.25">
      <c r="E10221" s="16"/>
      <c r="F10221" s="16"/>
      <c r="H10221" s="16"/>
      <c r="AG10221" s="80"/>
      <c r="AH10221" s="80"/>
      <c r="AI10221" s="80"/>
    </row>
    <row r="10222" spans="5:35" x14ac:dyDescent="0.25">
      <c r="E10222" s="16"/>
      <c r="F10222" s="16"/>
      <c r="H10222" s="16"/>
      <c r="AG10222" s="80"/>
      <c r="AH10222" s="80"/>
      <c r="AI10222" s="80"/>
    </row>
    <row r="10223" spans="5:35" x14ac:dyDescent="0.25">
      <c r="E10223" s="16"/>
      <c r="F10223" s="16"/>
      <c r="H10223" s="16"/>
      <c r="AG10223" s="80"/>
      <c r="AH10223" s="80"/>
      <c r="AI10223" s="80"/>
    </row>
    <row r="10224" spans="5:35" x14ac:dyDescent="0.25">
      <c r="E10224" s="16"/>
      <c r="F10224" s="16"/>
      <c r="H10224" s="16"/>
      <c r="AG10224" s="80"/>
      <c r="AH10224" s="80"/>
      <c r="AI10224" s="80"/>
    </row>
    <row r="10225" spans="5:35" x14ac:dyDescent="0.25">
      <c r="E10225" s="16"/>
      <c r="F10225" s="16"/>
      <c r="H10225" s="16"/>
      <c r="AG10225" s="80"/>
      <c r="AH10225" s="80"/>
      <c r="AI10225" s="80"/>
    </row>
    <row r="10226" spans="5:35" x14ac:dyDescent="0.25">
      <c r="E10226" s="16"/>
      <c r="F10226" s="16"/>
      <c r="H10226" s="16"/>
      <c r="AG10226" s="80"/>
      <c r="AH10226" s="80"/>
      <c r="AI10226" s="80"/>
    </row>
    <row r="10227" spans="5:35" x14ac:dyDescent="0.25">
      <c r="E10227" s="16"/>
      <c r="F10227" s="16"/>
      <c r="H10227" s="16"/>
      <c r="AG10227" s="80"/>
      <c r="AH10227" s="80"/>
      <c r="AI10227" s="80"/>
    </row>
    <row r="10228" spans="5:35" x14ac:dyDescent="0.25">
      <c r="E10228" s="16"/>
      <c r="F10228" s="16"/>
      <c r="H10228" s="16"/>
      <c r="AG10228" s="80"/>
      <c r="AH10228" s="80"/>
      <c r="AI10228" s="80"/>
    </row>
    <row r="10229" spans="5:35" x14ac:dyDescent="0.25">
      <c r="E10229" s="16"/>
      <c r="F10229" s="16"/>
      <c r="H10229" s="16"/>
      <c r="AG10229" s="80"/>
      <c r="AH10229" s="80"/>
      <c r="AI10229" s="80"/>
    </row>
    <row r="10230" spans="5:35" x14ac:dyDescent="0.25">
      <c r="E10230" s="16"/>
      <c r="F10230" s="16"/>
      <c r="H10230" s="16"/>
      <c r="AG10230" s="80"/>
      <c r="AH10230" s="80"/>
      <c r="AI10230" s="80"/>
    </row>
    <row r="10231" spans="5:35" x14ac:dyDescent="0.25">
      <c r="E10231" s="16"/>
      <c r="F10231" s="16"/>
      <c r="H10231" s="16"/>
      <c r="AG10231" s="80"/>
      <c r="AH10231" s="80"/>
      <c r="AI10231" s="80"/>
    </row>
    <row r="10232" spans="5:35" x14ac:dyDescent="0.25">
      <c r="E10232" s="16"/>
      <c r="F10232" s="16"/>
      <c r="H10232" s="16"/>
      <c r="AG10232" s="80"/>
      <c r="AH10232" s="80"/>
      <c r="AI10232" s="80"/>
    </row>
    <row r="10233" spans="5:35" x14ac:dyDescent="0.25">
      <c r="E10233" s="16"/>
      <c r="F10233" s="16"/>
      <c r="H10233" s="16"/>
      <c r="AG10233" s="80"/>
      <c r="AH10233" s="80"/>
      <c r="AI10233" s="80"/>
    </row>
    <row r="10234" spans="5:35" x14ac:dyDescent="0.25">
      <c r="E10234" s="16"/>
      <c r="F10234" s="16"/>
      <c r="H10234" s="16"/>
      <c r="AG10234" s="80"/>
      <c r="AH10234" s="80"/>
      <c r="AI10234" s="80"/>
    </row>
    <row r="10235" spans="5:35" x14ac:dyDescent="0.25">
      <c r="E10235" s="16"/>
      <c r="F10235" s="16"/>
      <c r="H10235" s="16"/>
      <c r="AG10235" s="80"/>
      <c r="AH10235" s="80"/>
      <c r="AI10235" s="80"/>
    </row>
    <row r="10236" spans="5:35" x14ac:dyDescent="0.25">
      <c r="E10236" s="16"/>
      <c r="F10236" s="16"/>
      <c r="H10236" s="16"/>
      <c r="AG10236" s="80"/>
      <c r="AH10236" s="80"/>
      <c r="AI10236" s="80"/>
    </row>
    <row r="10237" spans="5:35" x14ac:dyDescent="0.25">
      <c r="E10237" s="16"/>
      <c r="F10237" s="16"/>
      <c r="H10237" s="16"/>
      <c r="AG10237" s="80"/>
      <c r="AH10237" s="80"/>
      <c r="AI10237" s="80"/>
    </row>
    <row r="10238" spans="5:35" x14ac:dyDescent="0.25">
      <c r="E10238" s="16"/>
      <c r="F10238" s="16"/>
      <c r="H10238" s="16"/>
      <c r="AG10238" s="80"/>
      <c r="AH10238" s="80"/>
      <c r="AI10238" s="80"/>
    </row>
    <row r="10239" spans="5:35" x14ac:dyDescent="0.25">
      <c r="E10239" s="16"/>
      <c r="F10239" s="16"/>
      <c r="H10239" s="16"/>
      <c r="AG10239" s="80"/>
      <c r="AH10239" s="80"/>
      <c r="AI10239" s="80"/>
    </row>
    <row r="10240" spans="5:35" x14ac:dyDescent="0.25">
      <c r="E10240" s="16"/>
      <c r="F10240" s="16"/>
      <c r="H10240" s="16"/>
      <c r="AG10240" s="80"/>
      <c r="AH10240" s="80"/>
      <c r="AI10240" s="80"/>
    </row>
    <row r="10241" spans="5:35" x14ac:dyDescent="0.25">
      <c r="E10241" s="16"/>
      <c r="F10241" s="16"/>
      <c r="H10241" s="16"/>
      <c r="AG10241" s="80"/>
      <c r="AH10241" s="80"/>
      <c r="AI10241" s="80"/>
    </row>
    <row r="10242" spans="5:35" x14ac:dyDescent="0.25">
      <c r="E10242" s="16"/>
      <c r="F10242" s="16"/>
      <c r="H10242" s="16"/>
      <c r="AG10242" s="80"/>
      <c r="AH10242" s="80"/>
      <c r="AI10242" s="80"/>
    </row>
    <row r="10243" spans="5:35" x14ac:dyDescent="0.25">
      <c r="E10243" s="16"/>
      <c r="F10243" s="16"/>
      <c r="H10243" s="16"/>
      <c r="AG10243" s="80"/>
      <c r="AH10243" s="80"/>
      <c r="AI10243" s="80"/>
    </row>
    <row r="10244" spans="5:35" x14ac:dyDescent="0.25">
      <c r="E10244" s="16"/>
      <c r="F10244" s="16"/>
      <c r="H10244" s="16"/>
      <c r="AG10244" s="80"/>
      <c r="AH10244" s="80"/>
      <c r="AI10244" s="80"/>
    </row>
    <row r="10245" spans="5:35" x14ac:dyDescent="0.25">
      <c r="E10245" s="16"/>
      <c r="F10245" s="16"/>
      <c r="H10245" s="16"/>
      <c r="AG10245" s="80"/>
      <c r="AH10245" s="80"/>
      <c r="AI10245" s="80"/>
    </row>
    <row r="10246" spans="5:35" x14ac:dyDescent="0.25">
      <c r="E10246" s="16"/>
      <c r="F10246" s="16"/>
      <c r="H10246" s="16"/>
      <c r="AG10246" s="80"/>
      <c r="AH10246" s="80"/>
      <c r="AI10246" s="80"/>
    </row>
    <row r="10247" spans="5:35" x14ac:dyDescent="0.25">
      <c r="E10247" s="16"/>
      <c r="F10247" s="16"/>
      <c r="H10247" s="16"/>
      <c r="AG10247" s="80"/>
      <c r="AH10247" s="80"/>
      <c r="AI10247" s="80"/>
    </row>
    <row r="10248" spans="5:35" x14ac:dyDescent="0.25">
      <c r="E10248" s="16"/>
      <c r="F10248" s="16"/>
      <c r="H10248" s="16"/>
      <c r="AG10248" s="80"/>
      <c r="AH10248" s="80"/>
      <c r="AI10248" s="80"/>
    </row>
    <row r="10249" spans="5:35" x14ac:dyDescent="0.25">
      <c r="E10249" s="16"/>
      <c r="F10249" s="16"/>
      <c r="H10249" s="16"/>
      <c r="AG10249" s="80"/>
      <c r="AH10249" s="80"/>
      <c r="AI10249" s="80"/>
    </row>
    <row r="10250" spans="5:35" x14ac:dyDescent="0.25">
      <c r="E10250" s="16"/>
      <c r="F10250" s="16"/>
      <c r="H10250" s="16"/>
      <c r="AG10250" s="80"/>
      <c r="AH10250" s="80"/>
      <c r="AI10250" s="80"/>
    </row>
    <row r="10251" spans="5:35" x14ac:dyDescent="0.25">
      <c r="E10251" s="16"/>
      <c r="F10251" s="16"/>
      <c r="H10251" s="16"/>
      <c r="AG10251" s="80"/>
      <c r="AH10251" s="80"/>
      <c r="AI10251" s="80"/>
    </row>
    <row r="10252" spans="5:35" x14ac:dyDescent="0.25">
      <c r="E10252" s="16"/>
      <c r="F10252" s="16"/>
      <c r="H10252" s="16"/>
      <c r="AG10252" s="80"/>
      <c r="AH10252" s="80"/>
      <c r="AI10252" s="80"/>
    </row>
    <row r="10253" spans="5:35" x14ac:dyDescent="0.25">
      <c r="E10253" s="16"/>
      <c r="F10253" s="16"/>
      <c r="H10253" s="16"/>
      <c r="AG10253" s="80"/>
      <c r="AH10253" s="80"/>
      <c r="AI10253" s="80"/>
    </row>
    <row r="10254" spans="5:35" x14ac:dyDescent="0.25">
      <c r="E10254" s="16"/>
      <c r="F10254" s="16"/>
      <c r="H10254" s="16"/>
      <c r="AG10254" s="80"/>
      <c r="AH10254" s="80"/>
      <c r="AI10254" s="80"/>
    </row>
    <row r="10255" spans="5:35" x14ac:dyDescent="0.25">
      <c r="E10255" s="16"/>
      <c r="F10255" s="16"/>
      <c r="H10255" s="16"/>
      <c r="AG10255" s="80"/>
      <c r="AH10255" s="80"/>
      <c r="AI10255" s="80"/>
    </row>
    <row r="10256" spans="5:35" x14ac:dyDescent="0.25">
      <c r="E10256" s="16"/>
      <c r="F10256" s="16"/>
      <c r="H10256" s="16"/>
      <c r="AG10256" s="80"/>
      <c r="AH10256" s="80"/>
      <c r="AI10256" s="80"/>
    </row>
    <row r="10257" spans="5:35" x14ac:dyDescent="0.25">
      <c r="E10257" s="16"/>
      <c r="F10257" s="16"/>
      <c r="H10257" s="16"/>
      <c r="AG10257" s="80"/>
      <c r="AH10257" s="80"/>
      <c r="AI10257" s="80"/>
    </row>
    <row r="10258" spans="5:35" x14ac:dyDescent="0.25">
      <c r="E10258" s="16"/>
      <c r="F10258" s="16"/>
      <c r="H10258" s="16"/>
      <c r="AG10258" s="80"/>
      <c r="AH10258" s="80"/>
      <c r="AI10258" s="80"/>
    </row>
    <row r="10259" spans="5:35" x14ac:dyDescent="0.25">
      <c r="E10259" s="16"/>
      <c r="F10259" s="16"/>
      <c r="H10259" s="16"/>
      <c r="AG10259" s="80"/>
      <c r="AH10259" s="80"/>
      <c r="AI10259" s="80"/>
    </row>
    <row r="10260" spans="5:35" x14ac:dyDescent="0.25">
      <c r="E10260" s="16"/>
      <c r="F10260" s="16"/>
      <c r="H10260" s="16"/>
      <c r="AG10260" s="80"/>
      <c r="AH10260" s="80"/>
      <c r="AI10260" s="80"/>
    </row>
    <row r="10261" spans="5:35" x14ac:dyDescent="0.25">
      <c r="E10261" s="16"/>
      <c r="F10261" s="16"/>
      <c r="H10261" s="16"/>
      <c r="AG10261" s="80"/>
      <c r="AH10261" s="80"/>
      <c r="AI10261" s="80"/>
    </row>
    <row r="10262" spans="5:35" x14ac:dyDescent="0.25">
      <c r="E10262" s="16"/>
      <c r="F10262" s="16"/>
      <c r="H10262" s="16"/>
      <c r="AG10262" s="80"/>
      <c r="AH10262" s="80"/>
      <c r="AI10262" s="80"/>
    </row>
    <row r="10263" spans="5:35" x14ac:dyDescent="0.25">
      <c r="E10263" s="16"/>
      <c r="F10263" s="16"/>
      <c r="H10263" s="16"/>
      <c r="AG10263" s="80"/>
      <c r="AH10263" s="80"/>
      <c r="AI10263" s="80"/>
    </row>
    <row r="10264" spans="5:35" x14ac:dyDescent="0.25">
      <c r="E10264" s="16"/>
      <c r="F10264" s="16"/>
      <c r="H10264" s="16"/>
      <c r="AG10264" s="80"/>
      <c r="AH10264" s="80"/>
      <c r="AI10264" s="80"/>
    </row>
    <row r="10265" spans="5:35" x14ac:dyDescent="0.25">
      <c r="E10265" s="16"/>
      <c r="F10265" s="16"/>
      <c r="H10265" s="16"/>
      <c r="AG10265" s="80"/>
      <c r="AH10265" s="80"/>
      <c r="AI10265" s="80"/>
    </row>
    <row r="10266" spans="5:35" x14ac:dyDescent="0.25">
      <c r="E10266" s="16"/>
      <c r="F10266" s="16"/>
      <c r="H10266" s="16"/>
      <c r="AG10266" s="80"/>
      <c r="AH10266" s="80"/>
      <c r="AI10266" s="80"/>
    </row>
    <row r="10267" spans="5:35" x14ac:dyDescent="0.25">
      <c r="E10267" s="16"/>
      <c r="F10267" s="16"/>
      <c r="H10267" s="16"/>
      <c r="AG10267" s="80"/>
      <c r="AH10267" s="80"/>
      <c r="AI10267" s="80"/>
    </row>
    <row r="10268" spans="5:35" x14ac:dyDescent="0.25">
      <c r="E10268" s="16"/>
      <c r="F10268" s="16"/>
      <c r="H10268" s="16"/>
      <c r="AG10268" s="80"/>
      <c r="AH10268" s="80"/>
      <c r="AI10268" s="80"/>
    </row>
    <row r="10269" spans="5:35" x14ac:dyDescent="0.25">
      <c r="E10269" s="16"/>
      <c r="F10269" s="16"/>
      <c r="H10269" s="16"/>
      <c r="AG10269" s="80"/>
      <c r="AH10269" s="80"/>
      <c r="AI10269" s="80"/>
    </row>
    <row r="10270" spans="5:35" x14ac:dyDescent="0.25">
      <c r="E10270" s="16"/>
      <c r="F10270" s="16"/>
      <c r="H10270" s="16"/>
      <c r="AG10270" s="80"/>
      <c r="AH10270" s="80"/>
      <c r="AI10270" s="80"/>
    </row>
    <row r="10271" spans="5:35" x14ac:dyDescent="0.25">
      <c r="E10271" s="16"/>
      <c r="F10271" s="16"/>
      <c r="H10271" s="16"/>
      <c r="AG10271" s="80"/>
      <c r="AH10271" s="80"/>
      <c r="AI10271" s="80"/>
    </row>
    <row r="10272" spans="5:35" x14ac:dyDescent="0.25">
      <c r="E10272" s="16"/>
      <c r="F10272" s="16"/>
      <c r="H10272" s="16"/>
      <c r="AG10272" s="80"/>
      <c r="AH10272" s="80"/>
      <c r="AI10272" s="80"/>
    </row>
    <row r="10273" spans="5:35" x14ac:dyDescent="0.25">
      <c r="E10273" s="16"/>
      <c r="F10273" s="16"/>
      <c r="H10273" s="16"/>
      <c r="AG10273" s="80"/>
      <c r="AH10273" s="80"/>
      <c r="AI10273" s="80"/>
    </row>
    <row r="10274" spans="5:35" x14ac:dyDescent="0.25">
      <c r="E10274" s="16"/>
      <c r="F10274" s="16"/>
      <c r="H10274" s="16"/>
      <c r="AG10274" s="80"/>
      <c r="AH10274" s="80"/>
      <c r="AI10274" s="80"/>
    </row>
    <row r="10275" spans="5:35" x14ac:dyDescent="0.25">
      <c r="E10275" s="16"/>
      <c r="F10275" s="16"/>
      <c r="H10275" s="16"/>
      <c r="AG10275" s="80"/>
      <c r="AH10275" s="80"/>
      <c r="AI10275" s="80"/>
    </row>
    <row r="10276" spans="5:35" x14ac:dyDescent="0.25">
      <c r="E10276" s="16"/>
      <c r="F10276" s="16"/>
      <c r="H10276" s="16"/>
      <c r="AG10276" s="80"/>
      <c r="AH10276" s="80"/>
      <c r="AI10276" s="80"/>
    </row>
    <row r="10277" spans="5:35" x14ac:dyDescent="0.25">
      <c r="E10277" s="16"/>
      <c r="F10277" s="16"/>
      <c r="H10277" s="16"/>
      <c r="AG10277" s="80"/>
      <c r="AH10277" s="80"/>
      <c r="AI10277" s="80"/>
    </row>
    <row r="10278" spans="5:35" x14ac:dyDescent="0.25">
      <c r="E10278" s="16"/>
      <c r="F10278" s="16"/>
      <c r="H10278" s="16"/>
      <c r="AG10278" s="80"/>
      <c r="AH10278" s="80"/>
      <c r="AI10278" s="80"/>
    </row>
    <row r="10279" spans="5:35" x14ac:dyDescent="0.25">
      <c r="E10279" s="16"/>
      <c r="F10279" s="16"/>
      <c r="H10279" s="16"/>
      <c r="AG10279" s="80"/>
      <c r="AH10279" s="80"/>
      <c r="AI10279" s="80"/>
    </row>
    <row r="10280" spans="5:35" x14ac:dyDescent="0.25">
      <c r="E10280" s="16"/>
      <c r="F10280" s="16"/>
      <c r="H10280" s="16"/>
      <c r="AG10280" s="80"/>
      <c r="AH10280" s="80"/>
      <c r="AI10280" s="80"/>
    </row>
    <row r="10281" spans="5:35" x14ac:dyDescent="0.25">
      <c r="E10281" s="16"/>
      <c r="F10281" s="16"/>
      <c r="H10281" s="16"/>
      <c r="AG10281" s="80"/>
      <c r="AH10281" s="80"/>
      <c r="AI10281" s="80"/>
    </row>
    <row r="10282" spans="5:35" x14ac:dyDescent="0.25">
      <c r="E10282" s="16"/>
      <c r="F10282" s="16"/>
      <c r="H10282" s="16"/>
      <c r="AG10282" s="80"/>
      <c r="AH10282" s="80"/>
      <c r="AI10282" s="80"/>
    </row>
    <row r="10283" spans="5:35" x14ac:dyDescent="0.25">
      <c r="E10283" s="16"/>
      <c r="F10283" s="16"/>
      <c r="H10283" s="16"/>
      <c r="AG10283" s="80"/>
      <c r="AH10283" s="80"/>
      <c r="AI10283" s="80"/>
    </row>
    <row r="10284" spans="5:35" x14ac:dyDescent="0.25">
      <c r="E10284" s="16"/>
      <c r="F10284" s="16"/>
      <c r="H10284" s="16"/>
      <c r="AG10284" s="80"/>
      <c r="AH10284" s="80"/>
      <c r="AI10284" s="80"/>
    </row>
    <row r="10285" spans="5:35" x14ac:dyDescent="0.25">
      <c r="E10285" s="16"/>
      <c r="F10285" s="16"/>
      <c r="H10285" s="16"/>
      <c r="AG10285" s="80"/>
      <c r="AH10285" s="80"/>
      <c r="AI10285" s="80"/>
    </row>
    <row r="10286" spans="5:35" x14ac:dyDescent="0.25">
      <c r="E10286" s="16"/>
      <c r="F10286" s="16"/>
      <c r="H10286" s="16"/>
      <c r="AG10286" s="80"/>
      <c r="AH10286" s="80"/>
      <c r="AI10286" s="80"/>
    </row>
    <row r="10287" spans="5:35" x14ac:dyDescent="0.25">
      <c r="E10287" s="16"/>
      <c r="F10287" s="16"/>
      <c r="H10287" s="16"/>
      <c r="AG10287" s="80"/>
      <c r="AH10287" s="80"/>
      <c r="AI10287" s="80"/>
    </row>
    <row r="10288" spans="5:35" x14ac:dyDescent="0.25">
      <c r="E10288" s="16"/>
      <c r="F10288" s="16"/>
      <c r="H10288" s="16"/>
      <c r="AG10288" s="80"/>
      <c r="AH10288" s="80"/>
      <c r="AI10288" s="80"/>
    </row>
    <row r="10289" spans="5:35" x14ac:dyDescent="0.25">
      <c r="E10289" s="16"/>
      <c r="F10289" s="16"/>
      <c r="H10289" s="16"/>
      <c r="AG10289" s="80"/>
      <c r="AH10289" s="80"/>
      <c r="AI10289" s="80"/>
    </row>
    <row r="10290" spans="5:35" x14ac:dyDescent="0.25">
      <c r="E10290" s="16"/>
      <c r="F10290" s="16"/>
      <c r="H10290" s="16"/>
      <c r="AG10290" s="80"/>
      <c r="AH10290" s="80"/>
      <c r="AI10290" s="80"/>
    </row>
    <row r="10291" spans="5:35" x14ac:dyDescent="0.25">
      <c r="E10291" s="16"/>
      <c r="F10291" s="16"/>
      <c r="H10291" s="16"/>
      <c r="AG10291" s="80"/>
      <c r="AH10291" s="80"/>
      <c r="AI10291" s="80"/>
    </row>
    <row r="10292" spans="5:35" x14ac:dyDescent="0.25">
      <c r="E10292" s="16"/>
      <c r="F10292" s="16"/>
      <c r="H10292" s="16"/>
      <c r="AG10292" s="80"/>
      <c r="AH10292" s="80"/>
      <c r="AI10292" s="80"/>
    </row>
    <row r="10293" spans="5:35" x14ac:dyDescent="0.25">
      <c r="E10293" s="16"/>
      <c r="F10293" s="16"/>
      <c r="H10293" s="16"/>
      <c r="AG10293" s="80"/>
      <c r="AH10293" s="80"/>
      <c r="AI10293" s="80"/>
    </row>
    <row r="10294" spans="5:35" x14ac:dyDescent="0.25">
      <c r="E10294" s="16"/>
      <c r="F10294" s="16"/>
      <c r="H10294" s="16"/>
      <c r="AG10294" s="80"/>
      <c r="AH10294" s="80"/>
      <c r="AI10294" s="80"/>
    </row>
    <row r="10295" spans="5:35" x14ac:dyDescent="0.25">
      <c r="E10295" s="16"/>
      <c r="F10295" s="16"/>
      <c r="H10295" s="16"/>
      <c r="AG10295" s="80"/>
      <c r="AH10295" s="80"/>
      <c r="AI10295" s="80"/>
    </row>
    <row r="10296" spans="5:35" x14ac:dyDescent="0.25">
      <c r="E10296" s="16"/>
      <c r="F10296" s="16"/>
      <c r="H10296" s="16"/>
      <c r="AG10296" s="80"/>
      <c r="AH10296" s="80"/>
      <c r="AI10296" s="80"/>
    </row>
    <row r="10297" spans="5:35" x14ac:dyDescent="0.25">
      <c r="E10297" s="16"/>
      <c r="F10297" s="16"/>
      <c r="H10297" s="16"/>
      <c r="AG10297" s="80"/>
      <c r="AH10297" s="80"/>
      <c r="AI10297" s="80"/>
    </row>
    <row r="10298" spans="5:35" x14ac:dyDescent="0.25">
      <c r="E10298" s="16"/>
      <c r="F10298" s="16"/>
      <c r="H10298" s="16"/>
      <c r="AG10298" s="80"/>
      <c r="AH10298" s="80"/>
      <c r="AI10298" s="80"/>
    </row>
    <row r="10299" spans="5:35" x14ac:dyDescent="0.25">
      <c r="E10299" s="16"/>
      <c r="F10299" s="16"/>
      <c r="H10299" s="16"/>
      <c r="AG10299" s="80"/>
      <c r="AH10299" s="80"/>
      <c r="AI10299" s="80"/>
    </row>
    <row r="10300" spans="5:35" x14ac:dyDescent="0.25">
      <c r="E10300" s="16"/>
      <c r="F10300" s="16"/>
      <c r="H10300" s="16"/>
      <c r="AG10300" s="80"/>
      <c r="AH10300" s="80"/>
      <c r="AI10300" s="80"/>
    </row>
    <row r="10301" spans="5:35" x14ac:dyDescent="0.25">
      <c r="E10301" s="16"/>
      <c r="F10301" s="16"/>
      <c r="H10301" s="16"/>
      <c r="AG10301" s="80"/>
      <c r="AH10301" s="80"/>
      <c r="AI10301" s="80"/>
    </row>
    <row r="10302" spans="5:35" x14ac:dyDescent="0.25">
      <c r="E10302" s="16"/>
      <c r="F10302" s="16"/>
      <c r="H10302" s="16"/>
      <c r="AG10302" s="80"/>
      <c r="AH10302" s="80"/>
      <c r="AI10302" s="80"/>
    </row>
    <row r="10303" spans="5:35" x14ac:dyDescent="0.25">
      <c r="E10303" s="16"/>
      <c r="F10303" s="16"/>
      <c r="H10303" s="16"/>
      <c r="AG10303" s="80"/>
      <c r="AH10303" s="80"/>
      <c r="AI10303" s="80"/>
    </row>
    <row r="10304" spans="5:35" x14ac:dyDescent="0.25">
      <c r="E10304" s="16"/>
      <c r="F10304" s="16"/>
      <c r="H10304" s="16"/>
      <c r="AG10304" s="80"/>
      <c r="AH10304" s="80"/>
      <c r="AI10304" s="80"/>
    </row>
    <row r="10305" spans="5:35" x14ac:dyDescent="0.25">
      <c r="E10305" s="16"/>
      <c r="F10305" s="16"/>
      <c r="H10305" s="16"/>
      <c r="AG10305" s="80"/>
      <c r="AH10305" s="80"/>
      <c r="AI10305" s="80"/>
    </row>
    <row r="10306" spans="5:35" x14ac:dyDescent="0.25">
      <c r="E10306" s="16"/>
      <c r="F10306" s="16"/>
      <c r="H10306" s="16"/>
      <c r="AG10306" s="80"/>
      <c r="AH10306" s="80"/>
      <c r="AI10306" s="80"/>
    </row>
    <row r="10307" spans="5:35" x14ac:dyDescent="0.25">
      <c r="E10307" s="16"/>
      <c r="F10307" s="16"/>
      <c r="H10307" s="16"/>
      <c r="AG10307" s="80"/>
      <c r="AH10307" s="80"/>
      <c r="AI10307" s="80"/>
    </row>
    <row r="10308" spans="5:35" x14ac:dyDescent="0.25">
      <c r="E10308" s="16"/>
      <c r="F10308" s="16"/>
      <c r="H10308" s="16"/>
      <c r="AG10308" s="80"/>
      <c r="AH10308" s="80"/>
      <c r="AI10308" s="80"/>
    </row>
    <row r="10309" spans="5:35" x14ac:dyDescent="0.25">
      <c r="E10309" s="16"/>
      <c r="F10309" s="16"/>
      <c r="H10309" s="16"/>
      <c r="AG10309" s="80"/>
      <c r="AH10309" s="80"/>
      <c r="AI10309" s="80"/>
    </row>
    <row r="10310" spans="5:35" x14ac:dyDescent="0.25">
      <c r="E10310" s="16"/>
      <c r="F10310" s="16"/>
      <c r="H10310" s="16"/>
      <c r="AG10310" s="80"/>
      <c r="AH10310" s="80"/>
      <c r="AI10310" s="80"/>
    </row>
    <row r="10311" spans="5:35" x14ac:dyDescent="0.25">
      <c r="E10311" s="16"/>
      <c r="F10311" s="16"/>
      <c r="H10311" s="16"/>
      <c r="AG10311" s="80"/>
      <c r="AH10311" s="80"/>
      <c r="AI10311" s="80"/>
    </row>
    <row r="10312" spans="5:35" x14ac:dyDescent="0.25">
      <c r="E10312" s="16"/>
      <c r="F10312" s="16"/>
      <c r="H10312" s="16"/>
      <c r="AG10312" s="80"/>
      <c r="AH10312" s="80"/>
      <c r="AI10312" s="80"/>
    </row>
    <row r="10313" spans="5:35" x14ac:dyDescent="0.25">
      <c r="E10313" s="16"/>
      <c r="F10313" s="16"/>
      <c r="H10313" s="16"/>
      <c r="AG10313" s="80"/>
      <c r="AH10313" s="80"/>
      <c r="AI10313" s="80"/>
    </row>
    <row r="10314" spans="5:35" x14ac:dyDescent="0.25">
      <c r="E10314" s="16"/>
      <c r="F10314" s="16"/>
      <c r="H10314" s="16"/>
      <c r="AG10314" s="80"/>
      <c r="AH10314" s="80"/>
      <c r="AI10314" s="80"/>
    </row>
    <row r="10315" spans="5:35" x14ac:dyDescent="0.25">
      <c r="E10315" s="16"/>
      <c r="F10315" s="16"/>
      <c r="H10315" s="16"/>
      <c r="AG10315" s="80"/>
      <c r="AH10315" s="80"/>
      <c r="AI10315" s="80"/>
    </row>
    <row r="10316" spans="5:35" x14ac:dyDescent="0.25">
      <c r="E10316" s="16"/>
      <c r="F10316" s="16"/>
      <c r="H10316" s="16"/>
      <c r="AG10316" s="80"/>
      <c r="AH10316" s="80"/>
      <c r="AI10316" s="80"/>
    </row>
    <row r="10317" spans="5:35" x14ac:dyDescent="0.25">
      <c r="E10317" s="16"/>
      <c r="F10317" s="16"/>
      <c r="H10317" s="16"/>
      <c r="AG10317" s="80"/>
      <c r="AH10317" s="80"/>
      <c r="AI10317" s="80"/>
    </row>
    <row r="10318" spans="5:35" x14ac:dyDescent="0.25">
      <c r="E10318" s="16"/>
      <c r="F10318" s="16"/>
      <c r="H10318" s="16"/>
      <c r="AG10318" s="80"/>
      <c r="AH10318" s="80"/>
      <c r="AI10318" s="80"/>
    </row>
    <row r="10319" spans="5:35" x14ac:dyDescent="0.25">
      <c r="E10319" s="16"/>
      <c r="F10319" s="16"/>
      <c r="H10319" s="16"/>
      <c r="AG10319" s="80"/>
      <c r="AH10319" s="80"/>
      <c r="AI10319" s="80"/>
    </row>
    <row r="10320" spans="5:35" x14ac:dyDescent="0.25">
      <c r="E10320" s="16"/>
      <c r="F10320" s="16"/>
      <c r="H10320" s="16"/>
      <c r="AG10320" s="80"/>
      <c r="AH10320" s="80"/>
      <c r="AI10320" s="80"/>
    </row>
    <row r="10321" spans="5:35" x14ac:dyDescent="0.25">
      <c r="E10321" s="16"/>
      <c r="F10321" s="16"/>
      <c r="H10321" s="16"/>
      <c r="AG10321" s="80"/>
      <c r="AH10321" s="80"/>
      <c r="AI10321" s="80"/>
    </row>
    <row r="10322" spans="5:35" x14ac:dyDescent="0.25">
      <c r="E10322" s="16"/>
      <c r="F10322" s="16"/>
      <c r="H10322" s="16"/>
      <c r="AG10322" s="80"/>
      <c r="AH10322" s="80"/>
      <c r="AI10322" s="80"/>
    </row>
    <row r="10323" spans="5:35" x14ac:dyDescent="0.25">
      <c r="E10323" s="16"/>
      <c r="F10323" s="16"/>
      <c r="H10323" s="16"/>
      <c r="AG10323" s="80"/>
      <c r="AH10323" s="80"/>
      <c r="AI10323" s="80"/>
    </row>
    <row r="10324" spans="5:35" x14ac:dyDescent="0.25">
      <c r="E10324" s="16"/>
      <c r="F10324" s="16"/>
      <c r="H10324" s="16"/>
      <c r="AG10324" s="80"/>
      <c r="AH10324" s="80"/>
      <c r="AI10324" s="80"/>
    </row>
    <row r="10325" spans="5:35" x14ac:dyDescent="0.25">
      <c r="E10325" s="16"/>
      <c r="F10325" s="16"/>
      <c r="H10325" s="16"/>
      <c r="AG10325" s="80"/>
      <c r="AH10325" s="80"/>
      <c r="AI10325" s="80"/>
    </row>
    <row r="10326" spans="5:35" x14ac:dyDescent="0.25">
      <c r="E10326" s="16"/>
      <c r="F10326" s="16"/>
      <c r="H10326" s="16"/>
      <c r="AG10326" s="80"/>
      <c r="AH10326" s="80"/>
      <c r="AI10326" s="80"/>
    </row>
    <row r="10327" spans="5:35" x14ac:dyDescent="0.25">
      <c r="E10327" s="16"/>
      <c r="F10327" s="16"/>
      <c r="H10327" s="16"/>
      <c r="AG10327" s="80"/>
      <c r="AH10327" s="80"/>
      <c r="AI10327" s="80"/>
    </row>
    <row r="10328" spans="5:35" x14ac:dyDescent="0.25">
      <c r="E10328" s="16"/>
      <c r="F10328" s="16"/>
      <c r="H10328" s="16"/>
      <c r="AG10328" s="80"/>
      <c r="AH10328" s="80"/>
      <c r="AI10328" s="80"/>
    </row>
    <row r="10329" spans="5:35" x14ac:dyDescent="0.25">
      <c r="E10329" s="16"/>
      <c r="F10329" s="16"/>
      <c r="H10329" s="16"/>
      <c r="AG10329" s="80"/>
      <c r="AH10329" s="80"/>
      <c r="AI10329" s="80"/>
    </row>
    <row r="10330" spans="5:35" x14ac:dyDescent="0.25">
      <c r="E10330" s="16"/>
      <c r="F10330" s="16"/>
      <c r="H10330" s="16"/>
      <c r="AG10330" s="80"/>
      <c r="AH10330" s="80"/>
      <c r="AI10330" s="80"/>
    </row>
    <row r="10331" spans="5:35" x14ac:dyDescent="0.25">
      <c r="E10331" s="16"/>
      <c r="F10331" s="16"/>
      <c r="H10331" s="16"/>
      <c r="AG10331" s="80"/>
      <c r="AH10331" s="80"/>
      <c r="AI10331" s="80"/>
    </row>
    <row r="10332" spans="5:35" x14ac:dyDescent="0.25">
      <c r="E10332" s="16"/>
      <c r="F10332" s="16"/>
      <c r="H10332" s="16"/>
      <c r="AG10332" s="80"/>
      <c r="AH10332" s="80"/>
      <c r="AI10332" s="80"/>
    </row>
    <row r="10333" spans="5:35" x14ac:dyDescent="0.25">
      <c r="E10333" s="16"/>
      <c r="F10333" s="16"/>
      <c r="H10333" s="16"/>
      <c r="AG10333" s="80"/>
      <c r="AH10333" s="80"/>
      <c r="AI10333" s="80"/>
    </row>
    <row r="10334" spans="5:35" x14ac:dyDescent="0.25">
      <c r="E10334" s="16"/>
      <c r="F10334" s="16"/>
      <c r="H10334" s="16"/>
      <c r="AG10334" s="80"/>
      <c r="AH10334" s="80"/>
      <c r="AI10334" s="80"/>
    </row>
    <row r="10335" spans="5:35" x14ac:dyDescent="0.25">
      <c r="E10335" s="16"/>
      <c r="F10335" s="16"/>
      <c r="H10335" s="16"/>
      <c r="AG10335" s="80"/>
      <c r="AH10335" s="80"/>
      <c r="AI10335" s="80"/>
    </row>
    <row r="10336" spans="5:35" x14ac:dyDescent="0.25">
      <c r="E10336" s="16"/>
      <c r="F10336" s="16"/>
      <c r="H10336" s="16"/>
      <c r="AG10336" s="80"/>
      <c r="AH10336" s="80"/>
      <c r="AI10336" s="80"/>
    </row>
    <row r="10337" spans="5:35" x14ac:dyDescent="0.25">
      <c r="E10337" s="16"/>
      <c r="F10337" s="16"/>
      <c r="H10337" s="16"/>
      <c r="AG10337" s="80"/>
      <c r="AH10337" s="80"/>
      <c r="AI10337" s="80"/>
    </row>
    <row r="10338" spans="5:35" x14ac:dyDescent="0.25">
      <c r="E10338" s="16"/>
      <c r="F10338" s="16"/>
      <c r="H10338" s="16"/>
      <c r="AG10338" s="80"/>
      <c r="AH10338" s="80"/>
      <c r="AI10338" s="80"/>
    </row>
    <row r="10339" spans="5:35" x14ac:dyDescent="0.25">
      <c r="E10339" s="16"/>
      <c r="F10339" s="16"/>
      <c r="H10339" s="16"/>
      <c r="AG10339" s="80"/>
      <c r="AH10339" s="80"/>
      <c r="AI10339" s="80"/>
    </row>
    <row r="10340" spans="5:35" x14ac:dyDescent="0.25">
      <c r="E10340" s="16"/>
      <c r="F10340" s="16"/>
      <c r="H10340" s="16"/>
      <c r="AG10340" s="80"/>
      <c r="AH10340" s="80"/>
      <c r="AI10340" s="80"/>
    </row>
    <row r="10341" spans="5:35" x14ac:dyDescent="0.25">
      <c r="E10341" s="16"/>
      <c r="F10341" s="16"/>
      <c r="H10341" s="16"/>
      <c r="AG10341" s="80"/>
      <c r="AH10341" s="80"/>
      <c r="AI10341" s="80"/>
    </row>
    <row r="10342" spans="5:35" x14ac:dyDescent="0.25">
      <c r="E10342" s="16"/>
      <c r="F10342" s="16"/>
      <c r="H10342" s="16"/>
      <c r="AG10342" s="80"/>
      <c r="AH10342" s="80"/>
      <c r="AI10342" s="80"/>
    </row>
    <row r="10343" spans="5:35" x14ac:dyDescent="0.25">
      <c r="E10343" s="16"/>
      <c r="F10343" s="16"/>
      <c r="H10343" s="16"/>
      <c r="AG10343" s="80"/>
      <c r="AH10343" s="80"/>
      <c r="AI10343" s="80"/>
    </row>
    <row r="10344" spans="5:35" x14ac:dyDescent="0.25">
      <c r="E10344" s="16"/>
      <c r="F10344" s="16"/>
      <c r="H10344" s="16"/>
      <c r="AG10344" s="80"/>
      <c r="AH10344" s="80"/>
      <c r="AI10344" s="80"/>
    </row>
    <row r="10345" spans="5:35" x14ac:dyDescent="0.25">
      <c r="E10345" s="16"/>
      <c r="F10345" s="16"/>
      <c r="H10345" s="16"/>
      <c r="AG10345" s="80"/>
      <c r="AH10345" s="80"/>
      <c r="AI10345" s="80"/>
    </row>
    <row r="10346" spans="5:35" x14ac:dyDescent="0.25">
      <c r="E10346" s="16"/>
      <c r="F10346" s="16"/>
      <c r="H10346" s="16"/>
      <c r="AG10346" s="80"/>
      <c r="AH10346" s="80"/>
      <c r="AI10346" s="80"/>
    </row>
    <row r="10347" spans="5:35" x14ac:dyDescent="0.25">
      <c r="E10347" s="16"/>
      <c r="F10347" s="16"/>
      <c r="H10347" s="16"/>
      <c r="AG10347" s="80"/>
      <c r="AH10347" s="80"/>
      <c r="AI10347" s="80"/>
    </row>
    <row r="10348" spans="5:35" x14ac:dyDescent="0.25">
      <c r="E10348" s="16"/>
      <c r="F10348" s="16"/>
      <c r="H10348" s="16"/>
      <c r="AG10348" s="80"/>
      <c r="AH10348" s="80"/>
      <c r="AI10348" s="80"/>
    </row>
    <row r="10349" spans="5:35" x14ac:dyDescent="0.25">
      <c r="E10349" s="16"/>
      <c r="F10349" s="16"/>
      <c r="H10349" s="16"/>
      <c r="AG10349" s="80"/>
      <c r="AH10349" s="80"/>
      <c r="AI10349" s="80"/>
    </row>
    <row r="10350" spans="5:35" x14ac:dyDescent="0.25">
      <c r="E10350" s="16"/>
      <c r="F10350" s="16"/>
      <c r="H10350" s="16"/>
      <c r="AG10350" s="80"/>
      <c r="AH10350" s="80"/>
      <c r="AI10350" s="80"/>
    </row>
    <row r="10351" spans="5:35" x14ac:dyDescent="0.25">
      <c r="E10351" s="16"/>
      <c r="F10351" s="16"/>
      <c r="H10351" s="16"/>
      <c r="AG10351" s="80"/>
      <c r="AH10351" s="80"/>
      <c r="AI10351" s="80"/>
    </row>
    <row r="10352" spans="5:35" x14ac:dyDescent="0.25">
      <c r="E10352" s="16"/>
      <c r="F10352" s="16"/>
      <c r="H10352" s="16"/>
      <c r="AG10352" s="80"/>
      <c r="AH10352" s="80"/>
      <c r="AI10352" s="80"/>
    </row>
    <row r="10353" spans="5:35" x14ac:dyDescent="0.25">
      <c r="E10353" s="16"/>
      <c r="F10353" s="16"/>
      <c r="H10353" s="16"/>
      <c r="AG10353" s="80"/>
      <c r="AH10353" s="80"/>
      <c r="AI10353" s="80"/>
    </row>
    <row r="10354" spans="5:35" x14ac:dyDescent="0.25">
      <c r="E10354" s="16"/>
      <c r="F10354" s="16"/>
      <c r="H10354" s="16"/>
      <c r="AG10354" s="80"/>
      <c r="AH10354" s="80"/>
      <c r="AI10354" s="80"/>
    </row>
    <row r="10355" spans="5:35" x14ac:dyDescent="0.25">
      <c r="E10355" s="16"/>
      <c r="F10355" s="16"/>
      <c r="H10355" s="16"/>
      <c r="AG10355" s="80"/>
      <c r="AH10355" s="80"/>
      <c r="AI10355" s="80"/>
    </row>
    <row r="10356" spans="5:35" x14ac:dyDescent="0.25">
      <c r="E10356" s="16"/>
      <c r="F10356" s="16"/>
      <c r="H10356" s="16"/>
      <c r="AG10356" s="80"/>
      <c r="AH10356" s="80"/>
      <c r="AI10356" s="80"/>
    </row>
    <row r="10357" spans="5:35" x14ac:dyDescent="0.25">
      <c r="E10357" s="16"/>
      <c r="F10357" s="16"/>
      <c r="H10357" s="16"/>
      <c r="AG10357" s="80"/>
      <c r="AH10357" s="80"/>
      <c r="AI10357" s="80"/>
    </row>
    <row r="10358" spans="5:35" x14ac:dyDescent="0.25">
      <c r="E10358" s="16"/>
      <c r="F10358" s="16"/>
      <c r="H10358" s="16"/>
      <c r="AG10358" s="80"/>
      <c r="AH10358" s="80"/>
      <c r="AI10358" s="80"/>
    </row>
    <row r="10359" spans="5:35" x14ac:dyDescent="0.25">
      <c r="E10359" s="16"/>
      <c r="F10359" s="16"/>
      <c r="H10359" s="16"/>
      <c r="AG10359" s="80"/>
      <c r="AH10359" s="80"/>
      <c r="AI10359" s="80"/>
    </row>
    <row r="10360" spans="5:35" x14ac:dyDescent="0.25">
      <c r="E10360" s="16"/>
      <c r="F10360" s="16"/>
      <c r="H10360" s="16"/>
      <c r="AG10360" s="80"/>
      <c r="AH10360" s="80"/>
      <c r="AI10360" s="80"/>
    </row>
    <row r="10361" spans="5:35" x14ac:dyDescent="0.25">
      <c r="E10361" s="16"/>
      <c r="F10361" s="16"/>
      <c r="H10361" s="16"/>
      <c r="AG10361" s="80"/>
      <c r="AH10361" s="80"/>
      <c r="AI10361" s="80"/>
    </row>
    <row r="10362" spans="5:35" x14ac:dyDescent="0.25">
      <c r="E10362" s="16"/>
      <c r="F10362" s="16"/>
      <c r="H10362" s="16"/>
      <c r="AG10362" s="80"/>
      <c r="AH10362" s="80"/>
      <c r="AI10362" s="80"/>
    </row>
    <row r="10363" spans="5:35" x14ac:dyDescent="0.25">
      <c r="E10363" s="16"/>
      <c r="F10363" s="16"/>
      <c r="H10363" s="16"/>
      <c r="AG10363" s="80"/>
      <c r="AH10363" s="80"/>
      <c r="AI10363" s="80"/>
    </row>
    <row r="10364" spans="5:35" x14ac:dyDescent="0.25">
      <c r="E10364" s="16"/>
      <c r="F10364" s="16"/>
      <c r="H10364" s="16"/>
      <c r="AG10364" s="80"/>
      <c r="AH10364" s="80"/>
      <c r="AI10364" s="80"/>
    </row>
    <row r="10365" spans="5:35" x14ac:dyDescent="0.25">
      <c r="E10365" s="16"/>
      <c r="F10365" s="16"/>
      <c r="H10365" s="16"/>
      <c r="AG10365" s="80"/>
      <c r="AH10365" s="80"/>
      <c r="AI10365" s="80"/>
    </row>
    <row r="10366" spans="5:35" x14ac:dyDescent="0.25">
      <c r="E10366" s="16"/>
      <c r="F10366" s="16"/>
      <c r="H10366" s="16"/>
      <c r="AG10366" s="80"/>
      <c r="AH10366" s="80"/>
      <c r="AI10366" s="80"/>
    </row>
    <row r="10367" spans="5:35" x14ac:dyDescent="0.25">
      <c r="E10367" s="16"/>
      <c r="F10367" s="16"/>
      <c r="H10367" s="16"/>
      <c r="AG10367" s="80"/>
      <c r="AH10367" s="80"/>
      <c r="AI10367" s="80"/>
    </row>
    <row r="10368" spans="5:35" x14ac:dyDescent="0.25">
      <c r="E10368" s="16"/>
      <c r="F10368" s="16"/>
      <c r="H10368" s="16"/>
      <c r="AG10368" s="80"/>
      <c r="AH10368" s="80"/>
      <c r="AI10368" s="80"/>
    </row>
    <row r="10369" spans="5:35" x14ac:dyDescent="0.25">
      <c r="E10369" s="16"/>
      <c r="F10369" s="16"/>
      <c r="H10369" s="16"/>
      <c r="AG10369" s="80"/>
      <c r="AH10369" s="80"/>
      <c r="AI10369" s="80"/>
    </row>
    <row r="10370" spans="5:35" x14ac:dyDescent="0.25">
      <c r="E10370" s="16"/>
      <c r="F10370" s="16"/>
      <c r="H10370" s="16"/>
      <c r="AG10370" s="80"/>
      <c r="AH10370" s="80"/>
      <c r="AI10370" s="80"/>
    </row>
    <row r="10371" spans="5:35" x14ac:dyDescent="0.25">
      <c r="E10371" s="16"/>
      <c r="F10371" s="16"/>
      <c r="H10371" s="16"/>
      <c r="AG10371" s="80"/>
      <c r="AH10371" s="80"/>
      <c r="AI10371" s="80"/>
    </row>
    <row r="10372" spans="5:35" x14ac:dyDescent="0.25">
      <c r="E10372" s="16"/>
      <c r="F10372" s="16"/>
      <c r="H10372" s="16"/>
      <c r="AG10372" s="80"/>
      <c r="AH10372" s="80"/>
      <c r="AI10372" s="80"/>
    </row>
    <row r="10373" spans="5:35" x14ac:dyDescent="0.25">
      <c r="E10373" s="16"/>
      <c r="F10373" s="16"/>
      <c r="H10373" s="16"/>
      <c r="AG10373" s="80"/>
      <c r="AH10373" s="80"/>
      <c r="AI10373" s="80"/>
    </row>
    <row r="10374" spans="5:35" x14ac:dyDescent="0.25">
      <c r="E10374" s="16"/>
      <c r="F10374" s="16"/>
      <c r="H10374" s="16"/>
      <c r="AG10374" s="80"/>
      <c r="AH10374" s="80"/>
      <c r="AI10374" s="80"/>
    </row>
    <row r="10375" spans="5:35" x14ac:dyDescent="0.25">
      <c r="E10375" s="16"/>
      <c r="F10375" s="16"/>
      <c r="H10375" s="16"/>
      <c r="AG10375" s="80"/>
      <c r="AH10375" s="80"/>
      <c r="AI10375" s="80"/>
    </row>
    <row r="10376" spans="5:35" x14ac:dyDescent="0.25">
      <c r="E10376" s="16"/>
      <c r="F10376" s="16"/>
      <c r="H10376" s="16"/>
      <c r="AG10376" s="80"/>
      <c r="AH10376" s="80"/>
      <c r="AI10376" s="80"/>
    </row>
    <row r="10377" spans="5:35" x14ac:dyDescent="0.25">
      <c r="E10377" s="16"/>
      <c r="F10377" s="16"/>
      <c r="H10377" s="16"/>
      <c r="AG10377" s="80"/>
      <c r="AH10377" s="80"/>
      <c r="AI10377" s="80"/>
    </row>
    <row r="10378" spans="5:35" x14ac:dyDescent="0.25">
      <c r="E10378" s="16"/>
      <c r="F10378" s="16"/>
      <c r="H10378" s="16"/>
      <c r="AG10378" s="80"/>
      <c r="AH10378" s="80"/>
      <c r="AI10378" s="80"/>
    </row>
    <row r="10379" spans="5:35" x14ac:dyDescent="0.25">
      <c r="E10379" s="16"/>
      <c r="F10379" s="16"/>
      <c r="H10379" s="16"/>
      <c r="AG10379" s="80"/>
      <c r="AH10379" s="80"/>
      <c r="AI10379" s="80"/>
    </row>
    <row r="10380" spans="5:35" x14ac:dyDescent="0.25">
      <c r="E10380" s="16"/>
      <c r="F10380" s="16"/>
      <c r="H10380" s="16"/>
      <c r="AG10380" s="80"/>
      <c r="AH10380" s="80"/>
      <c r="AI10380" s="80"/>
    </row>
    <row r="10381" spans="5:35" x14ac:dyDescent="0.25">
      <c r="E10381" s="16"/>
      <c r="F10381" s="16"/>
      <c r="H10381" s="16"/>
      <c r="AG10381" s="80"/>
      <c r="AH10381" s="80"/>
      <c r="AI10381" s="80"/>
    </row>
    <row r="10382" spans="5:35" x14ac:dyDescent="0.25">
      <c r="E10382" s="16"/>
      <c r="F10382" s="16"/>
      <c r="H10382" s="16"/>
      <c r="AG10382" s="80"/>
      <c r="AH10382" s="80"/>
      <c r="AI10382" s="80"/>
    </row>
    <row r="10383" spans="5:35" x14ac:dyDescent="0.25">
      <c r="E10383" s="16"/>
      <c r="F10383" s="16"/>
      <c r="H10383" s="16"/>
      <c r="AG10383" s="80"/>
      <c r="AH10383" s="80"/>
      <c r="AI10383" s="80"/>
    </row>
    <row r="10384" spans="5:35" x14ac:dyDescent="0.25">
      <c r="E10384" s="16"/>
      <c r="F10384" s="16"/>
      <c r="H10384" s="16"/>
      <c r="AG10384" s="80"/>
      <c r="AH10384" s="80"/>
      <c r="AI10384" s="80"/>
    </row>
    <row r="10385" spans="5:35" x14ac:dyDescent="0.25">
      <c r="E10385" s="16"/>
      <c r="F10385" s="16"/>
      <c r="H10385" s="16"/>
      <c r="AG10385" s="80"/>
      <c r="AH10385" s="80"/>
      <c r="AI10385" s="80"/>
    </row>
    <row r="10386" spans="5:35" x14ac:dyDescent="0.25">
      <c r="E10386" s="16"/>
      <c r="F10386" s="16"/>
      <c r="H10386" s="16"/>
      <c r="AG10386" s="80"/>
      <c r="AH10386" s="80"/>
      <c r="AI10386" s="80"/>
    </row>
    <row r="10387" spans="5:35" x14ac:dyDescent="0.25">
      <c r="E10387" s="16"/>
      <c r="F10387" s="16"/>
      <c r="H10387" s="16"/>
      <c r="AG10387" s="80"/>
      <c r="AH10387" s="80"/>
      <c r="AI10387" s="80"/>
    </row>
    <row r="10388" spans="5:35" x14ac:dyDescent="0.25">
      <c r="E10388" s="16"/>
      <c r="F10388" s="16"/>
      <c r="H10388" s="16"/>
      <c r="AG10388" s="80"/>
      <c r="AH10388" s="80"/>
      <c r="AI10388" s="80"/>
    </row>
    <row r="10389" spans="5:35" x14ac:dyDescent="0.25">
      <c r="E10389" s="16"/>
      <c r="F10389" s="16"/>
      <c r="H10389" s="16"/>
      <c r="AG10389" s="80"/>
      <c r="AH10389" s="80"/>
      <c r="AI10389" s="80"/>
    </row>
    <row r="10390" spans="5:35" x14ac:dyDescent="0.25">
      <c r="E10390" s="16"/>
      <c r="F10390" s="16"/>
      <c r="H10390" s="16"/>
      <c r="AG10390" s="80"/>
      <c r="AH10390" s="80"/>
      <c r="AI10390" s="80"/>
    </row>
    <row r="10391" spans="5:35" x14ac:dyDescent="0.25">
      <c r="E10391" s="16"/>
      <c r="F10391" s="16"/>
      <c r="H10391" s="16"/>
      <c r="AG10391" s="80"/>
      <c r="AH10391" s="80"/>
      <c r="AI10391" s="80"/>
    </row>
    <row r="10392" spans="5:35" x14ac:dyDescent="0.25">
      <c r="E10392" s="16"/>
      <c r="F10392" s="16"/>
      <c r="H10392" s="16"/>
      <c r="AG10392" s="80"/>
      <c r="AH10392" s="80"/>
      <c r="AI10392" s="80"/>
    </row>
    <row r="10393" spans="5:35" x14ac:dyDescent="0.25">
      <c r="E10393" s="16"/>
      <c r="F10393" s="16"/>
      <c r="H10393" s="16"/>
      <c r="AG10393" s="80"/>
      <c r="AH10393" s="80"/>
      <c r="AI10393" s="80"/>
    </row>
    <row r="10394" spans="5:35" x14ac:dyDescent="0.25">
      <c r="E10394" s="16"/>
      <c r="F10394" s="16"/>
      <c r="H10394" s="16"/>
      <c r="AG10394" s="80"/>
      <c r="AH10394" s="80"/>
      <c r="AI10394" s="80"/>
    </row>
    <row r="10395" spans="5:35" x14ac:dyDescent="0.25">
      <c r="E10395" s="16"/>
      <c r="F10395" s="16"/>
      <c r="H10395" s="16"/>
      <c r="AG10395" s="80"/>
      <c r="AH10395" s="80"/>
      <c r="AI10395" s="80"/>
    </row>
    <row r="10396" spans="5:35" x14ac:dyDescent="0.25">
      <c r="E10396" s="16"/>
      <c r="F10396" s="16"/>
      <c r="H10396" s="16"/>
      <c r="AG10396" s="80"/>
      <c r="AH10396" s="80"/>
      <c r="AI10396" s="80"/>
    </row>
    <row r="10397" spans="5:35" x14ac:dyDescent="0.25">
      <c r="E10397" s="16"/>
      <c r="F10397" s="16"/>
      <c r="H10397" s="16"/>
      <c r="AG10397" s="80"/>
      <c r="AH10397" s="80"/>
      <c r="AI10397" s="80"/>
    </row>
    <row r="10398" spans="5:35" x14ac:dyDescent="0.25">
      <c r="E10398" s="16"/>
      <c r="F10398" s="16"/>
      <c r="H10398" s="16"/>
      <c r="AG10398" s="80"/>
      <c r="AH10398" s="80"/>
      <c r="AI10398" s="80"/>
    </row>
    <row r="10399" spans="5:35" x14ac:dyDescent="0.25">
      <c r="E10399" s="16"/>
      <c r="F10399" s="16"/>
      <c r="H10399" s="16"/>
      <c r="AG10399" s="80"/>
      <c r="AH10399" s="80"/>
      <c r="AI10399" s="80"/>
    </row>
    <row r="10400" spans="5:35" x14ac:dyDescent="0.25">
      <c r="E10400" s="16"/>
      <c r="F10400" s="16"/>
      <c r="H10400" s="16"/>
      <c r="AG10400" s="80"/>
      <c r="AH10400" s="80"/>
      <c r="AI10400" s="80"/>
    </row>
    <row r="10401" spans="5:35" x14ac:dyDescent="0.25">
      <c r="E10401" s="16"/>
      <c r="F10401" s="16"/>
      <c r="H10401" s="16"/>
      <c r="AG10401" s="80"/>
      <c r="AH10401" s="80"/>
      <c r="AI10401" s="80"/>
    </row>
    <row r="10402" spans="5:35" x14ac:dyDescent="0.25">
      <c r="E10402" s="16"/>
      <c r="F10402" s="16"/>
      <c r="H10402" s="16"/>
      <c r="AG10402" s="80"/>
      <c r="AH10402" s="80"/>
      <c r="AI10402" s="80"/>
    </row>
    <row r="10403" spans="5:35" x14ac:dyDescent="0.25">
      <c r="E10403" s="16"/>
      <c r="F10403" s="16"/>
      <c r="H10403" s="16"/>
      <c r="AG10403" s="80"/>
      <c r="AH10403" s="80"/>
      <c r="AI10403" s="80"/>
    </row>
    <row r="10404" spans="5:35" x14ac:dyDescent="0.25">
      <c r="E10404" s="16"/>
      <c r="F10404" s="16"/>
      <c r="H10404" s="16"/>
      <c r="AG10404" s="80"/>
      <c r="AH10404" s="80"/>
      <c r="AI10404" s="80"/>
    </row>
    <row r="10405" spans="5:35" x14ac:dyDescent="0.25">
      <c r="E10405" s="16"/>
      <c r="F10405" s="16"/>
      <c r="H10405" s="16"/>
      <c r="AG10405" s="80"/>
      <c r="AH10405" s="80"/>
      <c r="AI10405" s="80"/>
    </row>
    <row r="10406" spans="5:35" x14ac:dyDescent="0.25">
      <c r="E10406" s="16"/>
      <c r="F10406" s="16"/>
      <c r="H10406" s="16"/>
      <c r="AG10406" s="80"/>
      <c r="AH10406" s="80"/>
      <c r="AI10406" s="80"/>
    </row>
    <row r="10407" spans="5:35" x14ac:dyDescent="0.25">
      <c r="E10407" s="16"/>
      <c r="F10407" s="16"/>
      <c r="H10407" s="16"/>
      <c r="AG10407" s="80"/>
      <c r="AH10407" s="80"/>
      <c r="AI10407" s="80"/>
    </row>
    <row r="10408" spans="5:35" x14ac:dyDescent="0.25">
      <c r="E10408" s="16"/>
      <c r="F10408" s="16"/>
      <c r="H10408" s="16"/>
      <c r="AG10408" s="80"/>
      <c r="AH10408" s="80"/>
      <c r="AI10408" s="80"/>
    </row>
    <row r="10409" spans="5:35" x14ac:dyDescent="0.25">
      <c r="E10409" s="16"/>
      <c r="F10409" s="16"/>
      <c r="H10409" s="16"/>
      <c r="AG10409" s="80"/>
      <c r="AH10409" s="80"/>
      <c r="AI10409" s="80"/>
    </row>
    <row r="10410" spans="5:35" x14ac:dyDescent="0.25">
      <c r="E10410" s="16"/>
      <c r="F10410" s="16"/>
      <c r="H10410" s="16"/>
      <c r="AG10410" s="80"/>
      <c r="AH10410" s="80"/>
      <c r="AI10410" s="80"/>
    </row>
    <row r="10411" spans="5:35" x14ac:dyDescent="0.25">
      <c r="E10411" s="16"/>
      <c r="F10411" s="16"/>
      <c r="H10411" s="16"/>
      <c r="AG10411" s="80"/>
      <c r="AH10411" s="80"/>
      <c r="AI10411" s="80"/>
    </row>
    <row r="10412" spans="5:35" x14ac:dyDescent="0.25">
      <c r="E10412" s="16"/>
      <c r="F10412" s="16"/>
      <c r="H10412" s="16"/>
      <c r="AG10412" s="80"/>
      <c r="AH10412" s="80"/>
      <c r="AI10412" s="80"/>
    </row>
    <row r="10413" spans="5:35" x14ac:dyDescent="0.25">
      <c r="E10413" s="16"/>
      <c r="F10413" s="16"/>
      <c r="H10413" s="16"/>
      <c r="AG10413" s="80"/>
      <c r="AH10413" s="80"/>
      <c r="AI10413" s="80"/>
    </row>
    <row r="10414" spans="5:35" x14ac:dyDescent="0.25">
      <c r="E10414" s="16"/>
      <c r="F10414" s="16"/>
      <c r="H10414" s="16"/>
      <c r="AG10414" s="80"/>
      <c r="AH10414" s="80"/>
      <c r="AI10414" s="80"/>
    </row>
    <row r="10415" spans="5:35" x14ac:dyDescent="0.25">
      <c r="E10415" s="16"/>
      <c r="F10415" s="16"/>
      <c r="H10415" s="16"/>
      <c r="AG10415" s="80"/>
      <c r="AH10415" s="80"/>
      <c r="AI10415" s="80"/>
    </row>
    <row r="10416" spans="5:35" x14ac:dyDescent="0.25">
      <c r="E10416" s="16"/>
      <c r="F10416" s="16"/>
      <c r="H10416" s="16"/>
      <c r="AG10416" s="80"/>
      <c r="AH10416" s="80"/>
      <c r="AI10416" s="80"/>
    </row>
    <row r="10417" spans="5:35" x14ac:dyDescent="0.25">
      <c r="E10417" s="16"/>
      <c r="F10417" s="16"/>
      <c r="H10417" s="16"/>
      <c r="AG10417" s="80"/>
      <c r="AH10417" s="80"/>
      <c r="AI10417" s="80"/>
    </row>
    <row r="10418" spans="5:35" x14ac:dyDescent="0.25">
      <c r="E10418" s="16"/>
      <c r="F10418" s="16"/>
      <c r="H10418" s="16"/>
      <c r="AG10418" s="80"/>
      <c r="AH10418" s="80"/>
      <c r="AI10418" s="80"/>
    </row>
    <row r="10419" spans="5:35" x14ac:dyDescent="0.25">
      <c r="E10419" s="16"/>
      <c r="F10419" s="16"/>
      <c r="H10419" s="16"/>
      <c r="AG10419" s="80"/>
      <c r="AH10419" s="80"/>
      <c r="AI10419" s="80"/>
    </row>
    <row r="10420" spans="5:35" x14ac:dyDescent="0.25">
      <c r="E10420" s="16"/>
      <c r="F10420" s="16"/>
      <c r="H10420" s="16"/>
      <c r="AG10420" s="80"/>
      <c r="AH10420" s="80"/>
      <c r="AI10420" s="80"/>
    </row>
    <row r="10421" spans="5:35" x14ac:dyDescent="0.25">
      <c r="E10421" s="16"/>
      <c r="F10421" s="16"/>
      <c r="H10421" s="16"/>
      <c r="AG10421" s="80"/>
      <c r="AH10421" s="80"/>
      <c r="AI10421" s="80"/>
    </row>
    <row r="10422" spans="5:35" x14ac:dyDescent="0.25">
      <c r="E10422" s="16"/>
      <c r="F10422" s="16"/>
      <c r="H10422" s="16"/>
      <c r="AG10422" s="80"/>
      <c r="AH10422" s="80"/>
      <c r="AI10422" s="80"/>
    </row>
    <row r="10423" spans="5:35" x14ac:dyDescent="0.25">
      <c r="E10423" s="16"/>
      <c r="F10423" s="16"/>
      <c r="H10423" s="16"/>
      <c r="AG10423" s="80"/>
      <c r="AH10423" s="80"/>
      <c r="AI10423" s="80"/>
    </row>
    <row r="10424" spans="5:35" x14ac:dyDescent="0.25">
      <c r="E10424" s="16"/>
      <c r="F10424" s="16"/>
      <c r="H10424" s="16"/>
      <c r="AG10424" s="80"/>
      <c r="AH10424" s="80"/>
      <c r="AI10424" s="80"/>
    </row>
    <row r="10425" spans="5:35" x14ac:dyDescent="0.25">
      <c r="E10425" s="16"/>
      <c r="F10425" s="16"/>
      <c r="H10425" s="16"/>
      <c r="AG10425" s="80"/>
      <c r="AH10425" s="80"/>
      <c r="AI10425" s="80"/>
    </row>
    <row r="10426" spans="5:35" x14ac:dyDescent="0.25">
      <c r="E10426" s="16"/>
      <c r="F10426" s="16"/>
      <c r="H10426" s="16"/>
      <c r="AG10426" s="80"/>
      <c r="AH10426" s="80"/>
      <c r="AI10426" s="80"/>
    </row>
    <row r="10427" spans="5:35" x14ac:dyDescent="0.25">
      <c r="E10427" s="16"/>
      <c r="F10427" s="16"/>
      <c r="H10427" s="16"/>
      <c r="AG10427" s="80"/>
      <c r="AH10427" s="80"/>
      <c r="AI10427" s="80"/>
    </row>
    <row r="10428" spans="5:35" x14ac:dyDescent="0.25">
      <c r="E10428" s="16"/>
      <c r="F10428" s="16"/>
      <c r="H10428" s="16"/>
      <c r="AG10428" s="80"/>
      <c r="AH10428" s="80"/>
      <c r="AI10428" s="80"/>
    </row>
    <row r="10429" spans="5:35" x14ac:dyDescent="0.25">
      <c r="E10429" s="16"/>
      <c r="F10429" s="16"/>
      <c r="H10429" s="16"/>
      <c r="AG10429" s="80"/>
      <c r="AH10429" s="80"/>
      <c r="AI10429" s="80"/>
    </row>
    <row r="10430" spans="5:35" x14ac:dyDescent="0.25">
      <c r="E10430" s="16"/>
      <c r="F10430" s="16"/>
      <c r="H10430" s="16"/>
      <c r="AG10430" s="80"/>
      <c r="AH10430" s="80"/>
      <c r="AI10430" s="80"/>
    </row>
    <row r="10431" spans="5:35" x14ac:dyDescent="0.25">
      <c r="E10431" s="16"/>
      <c r="F10431" s="16"/>
      <c r="H10431" s="16"/>
      <c r="AG10431" s="80"/>
      <c r="AH10431" s="80"/>
      <c r="AI10431" s="80"/>
    </row>
    <row r="10432" spans="5:35" x14ac:dyDescent="0.25">
      <c r="E10432" s="16"/>
      <c r="F10432" s="16"/>
      <c r="H10432" s="16"/>
      <c r="AG10432" s="80"/>
      <c r="AH10432" s="80"/>
      <c r="AI10432" s="80"/>
    </row>
    <row r="10433" spans="5:35" x14ac:dyDescent="0.25">
      <c r="E10433" s="16"/>
      <c r="F10433" s="16"/>
      <c r="H10433" s="16"/>
      <c r="AG10433" s="80"/>
      <c r="AH10433" s="80"/>
      <c r="AI10433" s="80"/>
    </row>
    <row r="10434" spans="5:35" x14ac:dyDescent="0.25">
      <c r="E10434" s="16"/>
      <c r="F10434" s="16"/>
      <c r="H10434" s="16"/>
      <c r="AG10434" s="80"/>
      <c r="AH10434" s="80"/>
      <c r="AI10434" s="80"/>
    </row>
    <row r="10435" spans="5:35" x14ac:dyDescent="0.25">
      <c r="E10435" s="16"/>
      <c r="F10435" s="16"/>
      <c r="H10435" s="16"/>
      <c r="AG10435" s="80"/>
      <c r="AH10435" s="80"/>
      <c r="AI10435" s="80"/>
    </row>
    <row r="10436" spans="5:35" x14ac:dyDescent="0.25">
      <c r="E10436" s="16"/>
      <c r="F10436" s="16"/>
      <c r="H10436" s="16"/>
      <c r="AG10436" s="80"/>
      <c r="AH10436" s="80"/>
      <c r="AI10436" s="80"/>
    </row>
    <row r="10437" spans="5:35" x14ac:dyDescent="0.25">
      <c r="E10437" s="16"/>
      <c r="F10437" s="16"/>
      <c r="H10437" s="16"/>
      <c r="AG10437" s="80"/>
      <c r="AH10437" s="80"/>
      <c r="AI10437" s="80"/>
    </row>
    <row r="10438" spans="5:35" x14ac:dyDescent="0.25">
      <c r="E10438" s="16"/>
      <c r="F10438" s="16"/>
      <c r="H10438" s="16"/>
      <c r="AG10438" s="80"/>
      <c r="AH10438" s="80"/>
      <c r="AI10438" s="80"/>
    </row>
    <row r="10439" spans="5:35" x14ac:dyDescent="0.25">
      <c r="E10439" s="16"/>
      <c r="F10439" s="16"/>
      <c r="H10439" s="16"/>
      <c r="AG10439" s="80"/>
      <c r="AH10439" s="80"/>
      <c r="AI10439" s="80"/>
    </row>
    <row r="10440" spans="5:35" x14ac:dyDescent="0.25">
      <c r="E10440" s="16"/>
      <c r="F10440" s="16"/>
      <c r="H10440" s="16"/>
      <c r="AG10440" s="80"/>
      <c r="AH10440" s="80"/>
      <c r="AI10440" s="80"/>
    </row>
    <row r="10441" spans="5:35" x14ac:dyDescent="0.25">
      <c r="E10441" s="16"/>
      <c r="F10441" s="16"/>
      <c r="H10441" s="16"/>
      <c r="AG10441" s="80"/>
      <c r="AH10441" s="80"/>
      <c r="AI10441" s="80"/>
    </row>
    <row r="10442" spans="5:35" x14ac:dyDescent="0.25">
      <c r="E10442" s="16"/>
      <c r="F10442" s="16"/>
      <c r="H10442" s="16"/>
      <c r="AG10442" s="80"/>
      <c r="AH10442" s="80"/>
      <c r="AI10442" s="80"/>
    </row>
    <row r="10443" spans="5:35" x14ac:dyDescent="0.25">
      <c r="E10443" s="16"/>
      <c r="F10443" s="16"/>
      <c r="H10443" s="16"/>
      <c r="AG10443" s="80"/>
      <c r="AH10443" s="80"/>
      <c r="AI10443" s="80"/>
    </row>
    <row r="10444" spans="5:35" x14ac:dyDescent="0.25">
      <c r="E10444" s="16"/>
      <c r="F10444" s="16"/>
      <c r="H10444" s="16"/>
      <c r="AG10444" s="80"/>
      <c r="AH10444" s="80"/>
      <c r="AI10444" s="80"/>
    </row>
    <row r="10445" spans="5:35" x14ac:dyDescent="0.25">
      <c r="E10445" s="16"/>
      <c r="F10445" s="16"/>
      <c r="H10445" s="16"/>
      <c r="AG10445" s="80"/>
      <c r="AH10445" s="80"/>
      <c r="AI10445" s="80"/>
    </row>
    <row r="10446" spans="5:35" x14ac:dyDescent="0.25">
      <c r="E10446" s="16"/>
      <c r="F10446" s="16"/>
      <c r="H10446" s="16"/>
      <c r="AG10446" s="80"/>
      <c r="AH10446" s="80"/>
      <c r="AI10446" s="80"/>
    </row>
    <row r="10447" spans="5:35" x14ac:dyDescent="0.25">
      <c r="E10447" s="16"/>
      <c r="F10447" s="16"/>
      <c r="H10447" s="16"/>
      <c r="AG10447" s="80"/>
      <c r="AH10447" s="80"/>
      <c r="AI10447" s="80"/>
    </row>
    <row r="10448" spans="5:35" x14ac:dyDescent="0.25">
      <c r="E10448" s="16"/>
      <c r="F10448" s="16"/>
      <c r="H10448" s="16"/>
      <c r="AG10448" s="80"/>
      <c r="AH10448" s="80"/>
      <c r="AI10448" s="80"/>
    </row>
    <row r="10449" spans="5:35" x14ac:dyDescent="0.25">
      <c r="E10449" s="16"/>
      <c r="F10449" s="16"/>
      <c r="H10449" s="16"/>
      <c r="AG10449" s="80"/>
      <c r="AH10449" s="80"/>
      <c r="AI10449" s="80"/>
    </row>
    <row r="10450" spans="5:35" x14ac:dyDescent="0.25">
      <c r="E10450" s="16"/>
      <c r="F10450" s="16"/>
      <c r="H10450" s="16"/>
      <c r="AG10450" s="80"/>
      <c r="AH10450" s="80"/>
      <c r="AI10450" s="80"/>
    </row>
    <row r="10451" spans="5:35" x14ac:dyDescent="0.25">
      <c r="E10451" s="16"/>
      <c r="F10451" s="16"/>
      <c r="H10451" s="16"/>
      <c r="AG10451" s="80"/>
      <c r="AH10451" s="80"/>
      <c r="AI10451" s="80"/>
    </row>
    <row r="10452" spans="5:35" x14ac:dyDescent="0.25">
      <c r="E10452" s="16"/>
      <c r="F10452" s="16"/>
      <c r="H10452" s="16"/>
      <c r="AG10452" s="80"/>
      <c r="AH10452" s="80"/>
      <c r="AI10452" s="80"/>
    </row>
    <row r="10453" spans="5:35" x14ac:dyDescent="0.25">
      <c r="E10453" s="16"/>
      <c r="F10453" s="16"/>
      <c r="H10453" s="16"/>
      <c r="AG10453" s="80"/>
      <c r="AH10453" s="80"/>
      <c r="AI10453" s="80"/>
    </row>
    <row r="10454" spans="5:35" x14ac:dyDescent="0.25">
      <c r="E10454" s="16"/>
      <c r="F10454" s="16"/>
      <c r="H10454" s="16"/>
      <c r="AG10454" s="80"/>
      <c r="AH10454" s="80"/>
      <c r="AI10454" s="80"/>
    </row>
    <row r="10455" spans="5:35" x14ac:dyDescent="0.25">
      <c r="E10455" s="16"/>
      <c r="F10455" s="16"/>
      <c r="H10455" s="16"/>
      <c r="AG10455" s="80"/>
      <c r="AH10455" s="80"/>
      <c r="AI10455" s="80"/>
    </row>
    <row r="10456" spans="5:35" x14ac:dyDescent="0.25">
      <c r="E10456" s="16"/>
      <c r="F10456" s="16"/>
      <c r="H10456" s="16"/>
      <c r="AG10456" s="80"/>
      <c r="AH10456" s="80"/>
      <c r="AI10456" s="80"/>
    </row>
    <row r="10457" spans="5:35" x14ac:dyDescent="0.25">
      <c r="E10457" s="16"/>
      <c r="F10457" s="16"/>
      <c r="H10457" s="16"/>
      <c r="AG10457" s="80"/>
      <c r="AH10457" s="80"/>
      <c r="AI10457" s="80"/>
    </row>
    <row r="10458" spans="5:35" x14ac:dyDescent="0.25">
      <c r="E10458" s="16"/>
      <c r="F10458" s="16"/>
      <c r="H10458" s="16"/>
      <c r="AG10458" s="80"/>
      <c r="AH10458" s="80"/>
      <c r="AI10458" s="80"/>
    </row>
    <row r="10459" spans="5:35" x14ac:dyDescent="0.25">
      <c r="E10459" s="16"/>
      <c r="F10459" s="16"/>
      <c r="H10459" s="16"/>
      <c r="AG10459" s="80"/>
      <c r="AH10459" s="80"/>
      <c r="AI10459" s="80"/>
    </row>
    <row r="10460" spans="5:35" x14ac:dyDescent="0.25">
      <c r="E10460" s="16"/>
      <c r="F10460" s="16"/>
      <c r="H10460" s="16"/>
      <c r="AG10460" s="80"/>
      <c r="AH10460" s="80"/>
      <c r="AI10460" s="80"/>
    </row>
    <row r="10461" spans="5:35" x14ac:dyDescent="0.25">
      <c r="E10461" s="16"/>
      <c r="F10461" s="16"/>
      <c r="H10461" s="16"/>
      <c r="AG10461" s="80"/>
      <c r="AH10461" s="80"/>
      <c r="AI10461" s="80"/>
    </row>
    <row r="10462" spans="5:35" x14ac:dyDescent="0.25">
      <c r="E10462" s="16"/>
      <c r="F10462" s="16"/>
      <c r="H10462" s="16"/>
      <c r="AG10462" s="80"/>
      <c r="AH10462" s="80"/>
      <c r="AI10462" s="80"/>
    </row>
    <row r="10463" spans="5:35" x14ac:dyDescent="0.25">
      <c r="E10463" s="16"/>
      <c r="F10463" s="16"/>
      <c r="H10463" s="16"/>
      <c r="AG10463" s="80"/>
      <c r="AH10463" s="80"/>
      <c r="AI10463" s="80"/>
    </row>
    <row r="10464" spans="5:35" x14ac:dyDescent="0.25">
      <c r="E10464" s="16"/>
      <c r="F10464" s="16"/>
      <c r="H10464" s="16"/>
      <c r="AG10464" s="80"/>
      <c r="AH10464" s="80"/>
      <c r="AI10464" s="80"/>
    </row>
    <row r="10465" spans="5:35" x14ac:dyDescent="0.25">
      <c r="E10465" s="16"/>
      <c r="F10465" s="16"/>
      <c r="H10465" s="16"/>
      <c r="AG10465" s="80"/>
      <c r="AH10465" s="80"/>
      <c r="AI10465" s="80"/>
    </row>
    <row r="10466" spans="5:35" x14ac:dyDescent="0.25">
      <c r="E10466" s="16"/>
      <c r="F10466" s="16"/>
      <c r="H10466" s="16"/>
      <c r="AG10466" s="80"/>
      <c r="AH10466" s="80"/>
      <c r="AI10466" s="80"/>
    </row>
    <row r="10467" spans="5:35" x14ac:dyDescent="0.25">
      <c r="E10467" s="16"/>
      <c r="F10467" s="16"/>
      <c r="H10467" s="16"/>
      <c r="AG10467" s="80"/>
      <c r="AH10467" s="80"/>
      <c r="AI10467" s="80"/>
    </row>
    <row r="10468" spans="5:35" x14ac:dyDescent="0.25">
      <c r="E10468" s="16"/>
      <c r="F10468" s="16"/>
      <c r="H10468" s="16"/>
      <c r="AG10468" s="80"/>
      <c r="AH10468" s="80"/>
      <c r="AI10468" s="80"/>
    </row>
    <row r="10469" spans="5:35" x14ac:dyDescent="0.25">
      <c r="E10469" s="16"/>
      <c r="F10469" s="16"/>
      <c r="H10469" s="16"/>
      <c r="AG10469" s="80"/>
      <c r="AH10469" s="80"/>
      <c r="AI10469" s="80"/>
    </row>
    <row r="10470" spans="5:35" x14ac:dyDescent="0.25">
      <c r="E10470" s="16"/>
      <c r="F10470" s="16"/>
      <c r="H10470" s="16"/>
      <c r="AG10470" s="80"/>
      <c r="AH10470" s="80"/>
      <c r="AI10470" s="80"/>
    </row>
    <row r="10471" spans="5:35" x14ac:dyDescent="0.25">
      <c r="E10471" s="16"/>
      <c r="F10471" s="16"/>
      <c r="H10471" s="16"/>
      <c r="AG10471" s="80"/>
      <c r="AH10471" s="80"/>
      <c r="AI10471" s="80"/>
    </row>
    <row r="10472" spans="5:35" x14ac:dyDescent="0.25">
      <c r="E10472" s="16"/>
      <c r="F10472" s="16"/>
      <c r="H10472" s="16"/>
      <c r="AG10472" s="80"/>
      <c r="AH10472" s="80"/>
      <c r="AI10472" s="80"/>
    </row>
    <row r="10473" spans="5:35" x14ac:dyDescent="0.25">
      <c r="E10473" s="16"/>
      <c r="F10473" s="16"/>
      <c r="H10473" s="16"/>
      <c r="AG10473" s="80"/>
      <c r="AH10473" s="80"/>
      <c r="AI10473" s="80"/>
    </row>
    <row r="10474" spans="5:35" x14ac:dyDescent="0.25">
      <c r="E10474" s="16"/>
      <c r="F10474" s="16"/>
      <c r="H10474" s="16"/>
      <c r="AG10474" s="80"/>
      <c r="AH10474" s="80"/>
      <c r="AI10474" s="80"/>
    </row>
    <row r="10475" spans="5:35" x14ac:dyDescent="0.25">
      <c r="E10475" s="16"/>
      <c r="F10475" s="16"/>
      <c r="H10475" s="16"/>
      <c r="AG10475" s="80"/>
      <c r="AH10475" s="80"/>
      <c r="AI10475" s="80"/>
    </row>
    <row r="10476" spans="5:35" x14ac:dyDescent="0.25">
      <c r="E10476" s="16"/>
      <c r="F10476" s="16"/>
      <c r="H10476" s="16"/>
      <c r="AG10476" s="80"/>
      <c r="AH10476" s="80"/>
      <c r="AI10476" s="80"/>
    </row>
    <row r="10477" spans="5:35" x14ac:dyDescent="0.25">
      <c r="E10477" s="16"/>
      <c r="F10477" s="16"/>
      <c r="H10477" s="16"/>
      <c r="AG10477" s="80"/>
      <c r="AH10477" s="80"/>
      <c r="AI10477" s="80"/>
    </row>
    <row r="10478" spans="5:35" x14ac:dyDescent="0.25">
      <c r="E10478" s="16"/>
      <c r="F10478" s="16"/>
      <c r="H10478" s="16"/>
      <c r="AG10478" s="80"/>
      <c r="AH10478" s="80"/>
      <c r="AI10478" s="80"/>
    </row>
    <row r="10479" spans="5:35" x14ac:dyDescent="0.25">
      <c r="E10479" s="16"/>
      <c r="F10479" s="16"/>
      <c r="H10479" s="16"/>
      <c r="AG10479" s="80"/>
      <c r="AH10479" s="80"/>
      <c r="AI10479" s="80"/>
    </row>
    <row r="10480" spans="5:35" x14ac:dyDescent="0.25">
      <c r="E10480" s="16"/>
      <c r="F10480" s="16"/>
      <c r="H10480" s="16"/>
      <c r="AG10480" s="80"/>
      <c r="AH10480" s="80"/>
      <c r="AI10480" s="80"/>
    </row>
    <row r="10481" spans="5:35" x14ac:dyDescent="0.25">
      <c r="E10481" s="16"/>
      <c r="F10481" s="16"/>
      <c r="H10481" s="16"/>
      <c r="AG10481" s="80"/>
      <c r="AH10481" s="80"/>
      <c r="AI10481" s="80"/>
    </row>
    <row r="10482" spans="5:35" x14ac:dyDescent="0.25">
      <c r="E10482" s="16"/>
      <c r="F10482" s="16"/>
      <c r="H10482" s="16"/>
      <c r="AG10482" s="80"/>
      <c r="AH10482" s="80"/>
      <c r="AI10482" s="80"/>
    </row>
    <row r="10483" spans="5:35" x14ac:dyDescent="0.25">
      <c r="E10483" s="16"/>
      <c r="F10483" s="16"/>
      <c r="H10483" s="16"/>
      <c r="AG10483" s="80"/>
      <c r="AH10483" s="80"/>
      <c r="AI10483" s="80"/>
    </row>
    <row r="10484" spans="5:35" x14ac:dyDescent="0.25">
      <c r="E10484" s="16"/>
      <c r="F10484" s="16"/>
      <c r="H10484" s="16"/>
      <c r="AG10484" s="80"/>
      <c r="AH10484" s="80"/>
      <c r="AI10484" s="80"/>
    </row>
    <row r="10485" spans="5:35" x14ac:dyDescent="0.25">
      <c r="E10485" s="16"/>
      <c r="F10485" s="16"/>
      <c r="H10485" s="16"/>
      <c r="AG10485" s="80"/>
      <c r="AH10485" s="80"/>
      <c r="AI10485" s="80"/>
    </row>
    <row r="10486" spans="5:35" x14ac:dyDescent="0.25">
      <c r="E10486" s="16"/>
      <c r="F10486" s="16"/>
      <c r="H10486" s="16"/>
      <c r="AG10486" s="80"/>
      <c r="AH10486" s="80"/>
      <c r="AI10486" s="80"/>
    </row>
    <row r="10487" spans="5:35" x14ac:dyDescent="0.25">
      <c r="E10487" s="16"/>
      <c r="F10487" s="16"/>
      <c r="H10487" s="16"/>
      <c r="AG10487" s="80"/>
      <c r="AH10487" s="80"/>
      <c r="AI10487" s="80"/>
    </row>
    <row r="10488" spans="5:35" x14ac:dyDescent="0.25">
      <c r="E10488" s="16"/>
      <c r="F10488" s="16"/>
      <c r="H10488" s="16"/>
      <c r="AG10488" s="80"/>
      <c r="AH10488" s="80"/>
      <c r="AI10488" s="80"/>
    </row>
    <row r="10489" spans="5:35" x14ac:dyDescent="0.25">
      <c r="E10489" s="16"/>
      <c r="F10489" s="16"/>
      <c r="H10489" s="16"/>
      <c r="AG10489" s="80"/>
      <c r="AH10489" s="80"/>
      <c r="AI10489" s="80"/>
    </row>
    <row r="10490" spans="5:35" x14ac:dyDescent="0.25">
      <c r="E10490" s="16"/>
      <c r="F10490" s="16"/>
      <c r="H10490" s="16"/>
      <c r="AG10490" s="80"/>
      <c r="AH10490" s="80"/>
      <c r="AI10490" s="80"/>
    </row>
    <row r="10491" spans="5:35" x14ac:dyDescent="0.25">
      <c r="E10491" s="16"/>
      <c r="F10491" s="16"/>
      <c r="H10491" s="16"/>
      <c r="AG10491" s="80"/>
      <c r="AH10491" s="80"/>
      <c r="AI10491" s="80"/>
    </row>
    <row r="10492" spans="5:35" x14ac:dyDescent="0.25">
      <c r="E10492" s="16"/>
      <c r="F10492" s="16"/>
      <c r="H10492" s="16"/>
      <c r="AG10492" s="80"/>
      <c r="AH10492" s="80"/>
      <c r="AI10492" s="80"/>
    </row>
    <row r="10493" spans="5:35" x14ac:dyDescent="0.25">
      <c r="E10493" s="16"/>
      <c r="F10493" s="16"/>
      <c r="H10493" s="16"/>
      <c r="AG10493" s="80"/>
      <c r="AH10493" s="80"/>
      <c r="AI10493" s="80"/>
    </row>
    <row r="10494" spans="5:35" x14ac:dyDescent="0.25">
      <c r="E10494" s="16"/>
      <c r="F10494" s="16"/>
      <c r="H10494" s="16"/>
      <c r="AG10494" s="80"/>
      <c r="AH10494" s="80"/>
      <c r="AI10494" s="80"/>
    </row>
    <row r="10495" spans="5:35" x14ac:dyDescent="0.25">
      <c r="E10495" s="16"/>
      <c r="F10495" s="16"/>
      <c r="H10495" s="16"/>
      <c r="AG10495" s="80"/>
      <c r="AH10495" s="80"/>
      <c r="AI10495" s="80"/>
    </row>
    <row r="10496" spans="5:35" x14ac:dyDescent="0.25">
      <c r="E10496" s="16"/>
      <c r="F10496" s="16"/>
      <c r="H10496" s="16"/>
      <c r="AG10496" s="80"/>
      <c r="AH10496" s="80"/>
      <c r="AI10496" s="80"/>
    </row>
    <row r="10497" spans="5:35" x14ac:dyDescent="0.25">
      <c r="E10497" s="16"/>
      <c r="F10497" s="16"/>
      <c r="H10497" s="16"/>
      <c r="AG10497" s="80"/>
      <c r="AH10497" s="80"/>
      <c r="AI10497" s="80"/>
    </row>
    <row r="10498" spans="5:35" x14ac:dyDescent="0.25">
      <c r="E10498" s="16"/>
      <c r="F10498" s="16"/>
      <c r="H10498" s="16"/>
      <c r="AG10498" s="80"/>
      <c r="AH10498" s="80"/>
      <c r="AI10498" s="80"/>
    </row>
    <row r="10499" spans="5:35" x14ac:dyDescent="0.25">
      <c r="E10499" s="16"/>
      <c r="F10499" s="16"/>
      <c r="H10499" s="16"/>
      <c r="AG10499" s="80"/>
      <c r="AH10499" s="80"/>
      <c r="AI10499" s="80"/>
    </row>
    <row r="10500" spans="5:35" x14ac:dyDescent="0.25">
      <c r="E10500" s="16"/>
      <c r="F10500" s="16"/>
      <c r="H10500" s="16"/>
      <c r="AG10500" s="80"/>
      <c r="AH10500" s="80"/>
      <c r="AI10500" s="80"/>
    </row>
    <row r="10501" spans="5:35" x14ac:dyDescent="0.25">
      <c r="E10501" s="16"/>
      <c r="F10501" s="16"/>
      <c r="H10501" s="16"/>
      <c r="AG10501" s="80"/>
      <c r="AH10501" s="80"/>
      <c r="AI10501" s="80"/>
    </row>
    <row r="10502" spans="5:35" x14ac:dyDescent="0.25">
      <c r="E10502" s="16"/>
      <c r="F10502" s="16"/>
      <c r="H10502" s="16"/>
      <c r="AG10502" s="80"/>
      <c r="AH10502" s="80"/>
      <c r="AI10502" s="80"/>
    </row>
    <row r="10503" spans="5:35" x14ac:dyDescent="0.25">
      <c r="E10503" s="16"/>
      <c r="F10503" s="16"/>
      <c r="H10503" s="16"/>
      <c r="AG10503" s="80"/>
      <c r="AH10503" s="80"/>
      <c r="AI10503" s="80"/>
    </row>
    <row r="10504" spans="5:35" x14ac:dyDescent="0.25">
      <c r="E10504" s="16"/>
      <c r="F10504" s="16"/>
      <c r="H10504" s="16"/>
      <c r="AG10504" s="80"/>
      <c r="AH10504" s="80"/>
      <c r="AI10504" s="80"/>
    </row>
    <row r="10505" spans="5:35" x14ac:dyDescent="0.25">
      <c r="E10505" s="16"/>
      <c r="F10505" s="16"/>
      <c r="H10505" s="16"/>
      <c r="AG10505" s="80"/>
      <c r="AH10505" s="80"/>
      <c r="AI10505" s="80"/>
    </row>
    <row r="10506" spans="5:35" x14ac:dyDescent="0.25">
      <c r="E10506" s="16"/>
      <c r="F10506" s="16"/>
      <c r="H10506" s="16"/>
      <c r="AG10506" s="80"/>
      <c r="AH10506" s="80"/>
      <c r="AI10506" s="80"/>
    </row>
    <row r="10507" spans="5:35" x14ac:dyDescent="0.25">
      <c r="E10507" s="16"/>
      <c r="F10507" s="16"/>
      <c r="H10507" s="16"/>
      <c r="AG10507" s="80"/>
      <c r="AH10507" s="80"/>
      <c r="AI10507" s="80"/>
    </row>
    <row r="10508" spans="5:35" x14ac:dyDescent="0.25">
      <c r="E10508" s="16"/>
      <c r="F10508" s="16"/>
      <c r="H10508" s="16"/>
      <c r="AG10508" s="80"/>
      <c r="AH10508" s="80"/>
      <c r="AI10508" s="80"/>
    </row>
    <row r="10509" spans="5:35" x14ac:dyDescent="0.25">
      <c r="E10509" s="16"/>
      <c r="F10509" s="16"/>
      <c r="H10509" s="16"/>
      <c r="AG10509" s="80"/>
      <c r="AH10509" s="80"/>
      <c r="AI10509" s="80"/>
    </row>
    <row r="10510" spans="5:35" x14ac:dyDescent="0.25">
      <c r="E10510" s="16"/>
      <c r="F10510" s="16"/>
      <c r="H10510" s="16"/>
      <c r="AG10510" s="80"/>
      <c r="AH10510" s="80"/>
      <c r="AI10510" s="80"/>
    </row>
    <row r="10511" spans="5:35" x14ac:dyDescent="0.25">
      <c r="E10511" s="16"/>
      <c r="F10511" s="16"/>
      <c r="H10511" s="16"/>
      <c r="AG10511" s="80"/>
      <c r="AH10511" s="80"/>
      <c r="AI10511" s="80"/>
    </row>
    <row r="10512" spans="5:35" x14ac:dyDescent="0.25">
      <c r="E10512" s="16"/>
      <c r="F10512" s="16"/>
      <c r="H10512" s="16"/>
      <c r="AG10512" s="80"/>
      <c r="AH10512" s="80"/>
      <c r="AI10512" s="80"/>
    </row>
    <row r="10513" spans="5:35" x14ac:dyDescent="0.25">
      <c r="E10513" s="16"/>
      <c r="F10513" s="16"/>
      <c r="H10513" s="16"/>
      <c r="AG10513" s="80"/>
      <c r="AH10513" s="80"/>
      <c r="AI10513" s="80"/>
    </row>
    <row r="10514" spans="5:35" x14ac:dyDescent="0.25">
      <c r="E10514" s="16"/>
      <c r="F10514" s="16"/>
      <c r="H10514" s="16"/>
      <c r="AG10514" s="80"/>
      <c r="AH10514" s="80"/>
      <c r="AI10514" s="80"/>
    </row>
    <row r="10515" spans="5:35" x14ac:dyDescent="0.25">
      <c r="E10515" s="16"/>
      <c r="F10515" s="16"/>
      <c r="H10515" s="16"/>
      <c r="AG10515" s="80"/>
      <c r="AH10515" s="80"/>
      <c r="AI10515" s="80"/>
    </row>
    <row r="10516" spans="5:35" x14ac:dyDescent="0.25">
      <c r="E10516" s="16"/>
      <c r="F10516" s="16"/>
      <c r="H10516" s="16"/>
      <c r="AG10516" s="80"/>
      <c r="AH10516" s="80"/>
      <c r="AI10516" s="80"/>
    </row>
    <row r="10517" spans="5:35" x14ac:dyDescent="0.25">
      <c r="E10517" s="16"/>
      <c r="F10517" s="16"/>
      <c r="H10517" s="16"/>
      <c r="AG10517" s="80"/>
      <c r="AH10517" s="80"/>
      <c r="AI10517" s="80"/>
    </row>
    <row r="10518" spans="5:35" x14ac:dyDescent="0.25">
      <c r="E10518" s="16"/>
      <c r="F10518" s="16"/>
      <c r="H10518" s="16"/>
      <c r="AG10518" s="80"/>
      <c r="AH10518" s="80"/>
      <c r="AI10518" s="80"/>
    </row>
    <row r="10519" spans="5:35" x14ac:dyDescent="0.25">
      <c r="E10519" s="16"/>
      <c r="F10519" s="16"/>
      <c r="H10519" s="16"/>
      <c r="AG10519" s="80"/>
      <c r="AH10519" s="80"/>
      <c r="AI10519" s="80"/>
    </row>
    <row r="10520" spans="5:35" x14ac:dyDescent="0.25">
      <c r="E10520" s="16"/>
      <c r="F10520" s="16"/>
      <c r="H10520" s="16"/>
      <c r="AG10520" s="80"/>
      <c r="AH10520" s="80"/>
      <c r="AI10520" s="80"/>
    </row>
    <row r="10521" spans="5:35" x14ac:dyDescent="0.25">
      <c r="E10521" s="16"/>
      <c r="F10521" s="16"/>
      <c r="H10521" s="16"/>
      <c r="AG10521" s="80"/>
      <c r="AH10521" s="80"/>
      <c r="AI10521" s="80"/>
    </row>
    <row r="10522" spans="5:35" x14ac:dyDescent="0.25">
      <c r="E10522" s="16"/>
      <c r="F10522" s="16"/>
      <c r="H10522" s="16"/>
      <c r="AG10522" s="80"/>
      <c r="AH10522" s="80"/>
      <c r="AI10522" s="80"/>
    </row>
    <row r="10523" spans="5:35" x14ac:dyDescent="0.25">
      <c r="E10523" s="16"/>
      <c r="F10523" s="16"/>
      <c r="H10523" s="16"/>
      <c r="AG10523" s="80"/>
      <c r="AH10523" s="80"/>
      <c r="AI10523" s="80"/>
    </row>
    <row r="10524" spans="5:35" x14ac:dyDescent="0.25">
      <c r="E10524" s="16"/>
      <c r="F10524" s="16"/>
      <c r="H10524" s="16"/>
      <c r="AG10524" s="80"/>
      <c r="AH10524" s="80"/>
      <c r="AI10524" s="80"/>
    </row>
    <row r="10525" spans="5:35" x14ac:dyDescent="0.25">
      <c r="E10525" s="16"/>
      <c r="F10525" s="16"/>
      <c r="H10525" s="16"/>
      <c r="AG10525" s="80"/>
      <c r="AH10525" s="80"/>
      <c r="AI10525" s="80"/>
    </row>
    <row r="10526" spans="5:35" x14ac:dyDescent="0.25">
      <c r="E10526" s="16"/>
      <c r="F10526" s="16"/>
      <c r="H10526" s="16"/>
      <c r="AG10526" s="80"/>
      <c r="AH10526" s="80"/>
      <c r="AI10526" s="80"/>
    </row>
    <row r="10527" spans="5:35" x14ac:dyDescent="0.25">
      <c r="E10527" s="16"/>
      <c r="F10527" s="16"/>
      <c r="H10527" s="16"/>
      <c r="AG10527" s="80"/>
      <c r="AH10527" s="80"/>
      <c r="AI10527" s="80"/>
    </row>
    <row r="10528" spans="5:35" x14ac:dyDescent="0.25">
      <c r="E10528" s="16"/>
      <c r="F10528" s="16"/>
      <c r="H10528" s="16"/>
      <c r="AG10528" s="80"/>
      <c r="AH10528" s="80"/>
      <c r="AI10528" s="80"/>
    </row>
    <row r="10529" spans="5:35" x14ac:dyDescent="0.25">
      <c r="E10529" s="16"/>
      <c r="F10529" s="16"/>
      <c r="H10529" s="16"/>
      <c r="AG10529" s="80"/>
      <c r="AH10529" s="80"/>
      <c r="AI10529" s="80"/>
    </row>
    <row r="10530" spans="5:35" x14ac:dyDescent="0.25">
      <c r="E10530" s="16"/>
      <c r="F10530" s="16"/>
      <c r="H10530" s="16"/>
      <c r="AG10530" s="80"/>
      <c r="AH10530" s="80"/>
      <c r="AI10530" s="80"/>
    </row>
    <row r="10531" spans="5:35" x14ac:dyDescent="0.25">
      <c r="E10531" s="16"/>
      <c r="F10531" s="16"/>
      <c r="H10531" s="16"/>
      <c r="AG10531" s="80"/>
      <c r="AH10531" s="80"/>
      <c r="AI10531" s="80"/>
    </row>
    <row r="10532" spans="5:35" x14ac:dyDescent="0.25">
      <c r="E10532" s="16"/>
      <c r="F10532" s="16"/>
      <c r="H10532" s="16"/>
      <c r="AG10532" s="80"/>
      <c r="AH10532" s="80"/>
      <c r="AI10532" s="80"/>
    </row>
    <row r="10533" spans="5:35" x14ac:dyDescent="0.25">
      <c r="E10533" s="16"/>
      <c r="F10533" s="16"/>
      <c r="H10533" s="16"/>
      <c r="AG10533" s="80"/>
      <c r="AH10533" s="80"/>
      <c r="AI10533" s="80"/>
    </row>
    <row r="10534" spans="5:35" x14ac:dyDescent="0.25">
      <c r="E10534" s="16"/>
      <c r="F10534" s="16"/>
      <c r="H10534" s="16"/>
      <c r="AG10534" s="80"/>
      <c r="AH10534" s="80"/>
      <c r="AI10534" s="80"/>
    </row>
    <row r="10535" spans="5:35" x14ac:dyDescent="0.25">
      <c r="E10535" s="16"/>
      <c r="F10535" s="16"/>
      <c r="H10535" s="16"/>
      <c r="AG10535" s="80"/>
      <c r="AH10535" s="80"/>
      <c r="AI10535" s="80"/>
    </row>
    <row r="10536" spans="5:35" x14ac:dyDescent="0.25">
      <c r="E10536" s="16"/>
      <c r="F10536" s="16"/>
      <c r="H10536" s="16"/>
      <c r="AG10536" s="80"/>
      <c r="AH10536" s="80"/>
      <c r="AI10536" s="80"/>
    </row>
    <row r="10537" spans="5:35" x14ac:dyDescent="0.25">
      <c r="E10537" s="16"/>
      <c r="F10537" s="16"/>
      <c r="H10537" s="16"/>
      <c r="AG10537" s="80"/>
      <c r="AH10537" s="80"/>
      <c r="AI10537" s="80"/>
    </row>
    <row r="10538" spans="5:35" x14ac:dyDescent="0.25">
      <c r="E10538" s="16"/>
      <c r="F10538" s="16"/>
      <c r="H10538" s="16"/>
      <c r="AG10538" s="80"/>
      <c r="AH10538" s="80"/>
      <c r="AI10538" s="80"/>
    </row>
    <row r="10539" spans="5:35" x14ac:dyDescent="0.25">
      <c r="E10539" s="16"/>
      <c r="F10539" s="16"/>
      <c r="H10539" s="16"/>
      <c r="AG10539" s="80"/>
      <c r="AH10539" s="80"/>
      <c r="AI10539" s="80"/>
    </row>
    <row r="10540" spans="5:35" x14ac:dyDescent="0.25">
      <c r="E10540" s="16"/>
      <c r="F10540" s="16"/>
      <c r="H10540" s="16"/>
      <c r="AG10540" s="80"/>
      <c r="AH10540" s="80"/>
      <c r="AI10540" s="80"/>
    </row>
    <row r="10541" spans="5:35" x14ac:dyDescent="0.25">
      <c r="E10541" s="16"/>
      <c r="F10541" s="16"/>
      <c r="H10541" s="16"/>
      <c r="AG10541" s="80"/>
      <c r="AH10541" s="80"/>
      <c r="AI10541" s="80"/>
    </row>
    <row r="10542" spans="5:35" x14ac:dyDescent="0.25">
      <c r="E10542" s="16"/>
      <c r="F10542" s="16"/>
      <c r="H10542" s="16"/>
      <c r="AG10542" s="80"/>
      <c r="AH10542" s="80"/>
      <c r="AI10542" s="80"/>
    </row>
    <row r="10543" spans="5:35" x14ac:dyDescent="0.25">
      <c r="E10543" s="16"/>
      <c r="F10543" s="16"/>
      <c r="H10543" s="16"/>
      <c r="AG10543" s="80"/>
      <c r="AH10543" s="80"/>
      <c r="AI10543" s="80"/>
    </row>
    <row r="10544" spans="5:35" x14ac:dyDescent="0.25">
      <c r="E10544" s="16"/>
      <c r="F10544" s="16"/>
      <c r="H10544" s="16"/>
      <c r="AG10544" s="80"/>
      <c r="AH10544" s="80"/>
      <c r="AI10544" s="80"/>
    </row>
    <row r="10545" spans="5:35" x14ac:dyDescent="0.25">
      <c r="E10545" s="16"/>
      <c r="F10545" s="16"/>
      <c r="H10545" s="16"/>
      <c r="AG10545" s="80"/>
      <c r="AH10545" s="80"/>
      <c r="AI10545" s="80"/>
    </row>
    <row r="10546" spans="5:35" x14ac:dyDescent="0.25">
      <c r="E10546" s="16"/>
      <c r="F10546" s="16"/>
      <c r="H10546" s="16"/>
      <c r="AG10546" s="80"/>
      <c r="AH10546" s="80"/>
      <c r="AI10546" s="80"/>
    </row>
    <row r="10547" spans="5:35" x14ac:dyDescent="0.25">
      <c r="E10547" s="16"/>
      <c r="F10547" s="16"/>
      <c r="H10547" s="16"/>
      <c r="AG10547" s="80"/>
      <c r="AH10547" s="80"/>
      <c r="AI10547" s="80"/>
    </row>
    <row r="10548" spans="5:35" x14ac:dyDescent="0.25">
      <c r="E10548" s="16"/>
      <c r="F10548" s="16"/>
      <c r="H10548" s="16"/>
      <c r="AG10548" s="80"/>
      <c r="AH10548" s="80"/>
      <c r="AI10548" s="80"/>
    </row>
    <row r="10549" spans="5:35" x14ac:dyDescent="0.25">
      <c r="E10549" s="16"/>
      <c r="F10549" s="16"/>
      <c r="H10549" s="16"/>
      <c r="AG10549" s="80"/>
      <c r="AH10549" s="80"/>
      <c r="AI10549" s="80"/>
    </row>
    <row r="10550" spans="5:35" x14ac:dyDescent="0.25">
      <c r="E10550" s="16"/>
      <c r="F10550" s="16"/>
      <c r="H10550" s="16"/>
      <c r="AG10550" s="80"/>
      <c r="AH10550" s="80"/>
      <c r="AI10550" s="80"/>
    </row>
    <row r="10551" spans="5:35" x14ac:dyDescent="0.25">
      <c r="E10551" s="16"/>
      <c r="F10551" s="16"/>
      <c r="H10551" s="16"/>
      <c r="AG10551" s="80"/>
      <c r="AH10551" s="80"/>
      <c r="AI10551" s="80"/>
    </row>
    <row r="10552" spans="5:35" x14ac:dyDescent="0.25">
      <c r="E10552" s="16"/>
      <c r="F10552" s="16"/>
      <c r="H10552" s="16"/>
      <c r="AG10552" s="80"/>
      <c r="AH10552" s="80"/>
      <c r="AI10552" s="80"/>
    </row>
    <row r="10553" spans="5:35" x14ac:dyDescent="0.25">
      <c r="E10553" s="16"/>
      <c r="F10553" s="16"/>
      <c r="H10553" s="16"/>
      <c r="AG10553" s="80"/>
      <c r="AH10553" s="80"/>
      <c r="AI10553" s="80"/>
    </row>
    <row r="10554" spans="5:35" x14ac:dyDescent="0.25">
      <c r="E10554" s="16"/>
      <c r="F10554" s="16"/>
      <c r="H10554" s="16"/>
      <c r="AG10554" s="80"/>
      <c r="AH10554" s="80"/>
      <c r="AI10554" s="80"/>
    </row>
    <row r="10555" spans="5:35" x14ac:dyDescent="0.25">
      <c r="E10555" s="16"/>
      <c r="F10555" s="16"/>
      <c r="H10555" s="16"/>
      <c r="AG10555" s="80"/>
      <c r="AH10555" s="80"/>
      <c r="AI10555" s="80"/>
    </row>
    <row r="10556" spans="5:35" x14ac:dyDescent="0.25">
      <c r="E10556" s="16"/>
      <c r="F10556" s="16"/>
      <c r="H10556" s="16"/>
      <c r="AG10556" s="80"/>
      <c r="AH10556" s="80"/>
      <c r="AI10556" s="80"/>
    </row>
    <row r="10557" spans="5:35" x14ac:dyDescent="0.25">
      <c r="E10557" s="16"/>
      <c r="F10557" s="16"/>
      <c r="H10557" s="16"/>
      <c r="AG10557" s="80"/>
      <c r="AH10557" s="80"/>
      <c r="AI10557" s="80"/>
    </row>
    <row r="10558" spans="5:35" x14ac:dyDescent="0.25">
      <c r="E10558" s="16"/>
      <c r="F10558" s="16"/>
      <c r="H10558" s="16"/>
      <c r="AG10558" s="80"/>
      <c r="AH10558" s="80"/>
      <c r="AI10558" s="80"/>
    </row>
    <row r="10559" spans="5:35" x14ac:dyDescent="0.25">
      <c r="E10559" s="16"/>
      <c r="F10559" s="16"/>
      <c r="H10559" s="16"/>
      <c r="AG10559" s="80"/>
      <c r="AH10559" s="80"/>
      <c r="AI10559" s="80"/>
    </row>
    <row r="10560" spans="5:35" x14ac:dyDescent="0.25">
      <c r="E10560" s="16"/>
      <c r="F10560" s="16"/>
      <c r="H10560" s="16"/>
      <c r="AG10560" s="80"/>
      <c r="AH10560" s="80"/>
      <c r="AI10560" s="80"/>
    </row>
    <row r="10561" spans="5:35" x14ac:dyDescent="0.25">
      <c r="E10561" s="16"/>
      <c r="F10561" s="16"/>
      <c r="H10561" s="16"/>
      <c r="AG10561" s="80"/>
      <c r="AH10561" s="80"/>
      <c r="AI10561" s="80"/>
    </row>
    <row r="10562" spans="5:35" x14ac:dyDescent="0.25">
      <c r="E10562" s="16"/>
      <c r="F10562" s="16"/>
      <c r="H10562" s="16"/>
      <c r="AG10562" s="80"/>
      <c r="AH10562" s="80"/>
      <c r="AI10562" s="80"/>
    </row>
    <row r="10563" spans="5:35" x14ac:dyDescent="0.25">
      <c r="E10563" s="16"/>
      <c r="F10563" s="16"/>
      <c r="H10563" s="16"/>
      <c r="AG10563" s="80"/>
      <c r="AH10563" s="80"/>
      <c r="AI10563" s="80"/>
    </row>
    <row r="10564" spans="5:35" x14ac:dyDescent="0.25">
      <c r="E10564" s="16"/>
      <c r="F10564" s="16"/>
      <c r="H10564" s="16"/>
      <c r="AG10564" s="80"/>
      <c r="AH10564" s="80"/>
      <c r="AI10564" s="80"/>
    </row>
    <row r="10565" spans="5:35" x14ac:dyDescent="0.25">
      <c r="E10565" s="16"/>
      <c r="F10565" s="16"/>
      <c r="H10565" s="16"/>
      <c r="AG10565" s="80"/>
      <c r="AH10565" s="80"/>
      <c r="AI10565" s="80"/>
    </row>
    <row r="10566" spans="5:35" x14ac:dyDescent="0.25">
      <c r="E10566" s="16"/>
      <c r="F10566" s="16"/>
      <c r="H10566" s="16"/>
      <c r="AG10566" s="80"/>
      <c r="AH10566" s="80"/>
      <c r="AI10566" s="80"/>
    </row>
    <row r="10567" spans="5:35" x14ac:dyDescent="0.25">
      <c r="E10567" s="16"/>
      <c r="F10567" s="16"/>
      <c r="H10567" s="16"/>
      <c r="AG10567" s="80"/>
      <c r="AH10567" s="80"/>
      <c r="AI10567" s="80"/>
    </row>
    <row r="10568" spans="5:35" x14ac:dyDescent="0.25">
      <c r="E10568" s="16"/>
      <c r="F10568" s="16"/>
      <c r="H10568" s="16"/>
      <c r="AG10568" s="80"/>
      <c r="AH10568" s="80"/>
      <c r="AI10568" s="80"/>
    </row>
    <row r="10569" spans="5:35" x14ac:dyDescent="0.25">
      <c r="E10569" s="16"/>
      <c r="F10569" s="16"/>
      <c r="H10569" s="16"/>
      <c r="AG10569" s="80"/>
      <c r="AH10569" s="80"/>
      <c r="AI10569" s="80"/>
    </row>
    <row r="10570" spans="5:35" x14ac:dyDescent="0.25">
      <c r="E10570" s="16"/>
      <c r="F10570" s="16"/>
      <c r="H10570" s="16"/>
      <c r="AG10570" s="80"/>
      <c r="AH10570" s="80"/>
      <c r="AI10570" s="80"/>
    </row>
    <row r="10571" spans="5:35" x14ac:dyDescent="0.25">
      <c r="E10571" s="16"/>
      <c r="F10571" s="16"/>
      <c r="H10571" s="16"/>
      <c r="AG10571" s="80"/>
      <c r="AH10571" s="80"/>
      <c r="AI10571" s="80"/>
    </row>
    <row r="10572" spans="5:35" x14ac:dyDescent="0.25">
      <c r="E10572" s="16"/>
      <c r="F10572" s="16"/>
      <c r="H10572" s="16"/>
      <c r="AG10572" s="80"/>
      <c r="AH10572" s="80"/>
      <c r="AI10572" s="80"/>
    </row>
    <row r="10573" spans="5:35" x14ac:dyDescent="0.25">
      <c r="E10573" s="16"/>
      <c r="F10573" s="16"/>
      <c r="H10573" s="16"/>
      <c r="AG10573" s="80"/>
      <c r="AH10573" s="80"/>
      <c r="AI10573" s="80"/>
    </row>
    <row r="10574" spans="5:35" x14ac:dyDescent="0.25">
      <c r="E10574" s="16"/>
      <c r="F10574" s="16"/>
      <c r="H10574" s="16"/>
      <c r="AG10574" s="80"/>
      <c r="AH10574" s="80"/>
      <c r="AI10574" s="80"/>
    </row>
    <row r="10575" spans="5:35" x14ac:dyDescent="0.25">
      <c r="E10575" s="16"/>
      <c r="F10575" s="16"/>
      <c r="H10575" s="16"/>
      <c r="AG10575" s="80"/>
      <c r="AH10575" s="80"/>
      <c r="AI10575" s="80"/>
    </row>
    <row r="10576" spans="5:35" x14ac:dyDescent="0.25">
      <c r="E10576" s="16"/>
      <c r="F10576" s="16"/>
      <c r="H10576" s="16"/>
      <c r="AG10576" s="80"/>
      <c r="AH10576" s="80"/>
      <c r="AI10576" s="80"/>
    </row>
    <row r="10577" spans="5:35" x14ac:dyDescent="0.25">
      <c r="E10577" s="16"/>
      <c r="F10577" s="16"/>
      <c r="H10577" s="16"/>
      <c r="AG10577" s="80"/>
      <c r="AH10577" s="80"/>
      <c r="AI10577" s="80"/>
    </row>
    <row r="10578" spans="5:35" x14ac:dyDescent="0.25">
      <c r="E10578" s="16"/>
      <c r="F10578" s="16"/>
      <c r="H10578" s="16"/>
      <c r="AG10578" s="80"/>
      <c r="AH10578" s="80"/>
      <c r="AI10578" s="80"/>
    </row>
    <row r="10579" spans="5:35" x14ac:dyDescent="0.25">
      <c r="E10579" s="16"/>
      <c r="F10579" s="16"/>
      <c r="H10579" s="16"/>
      <c r="AG10579" s="80"/>
      <c r="AH10579" s="80"/>
      <c r="AI10579" s="80"/>
    </row>
    <row r="10580" spans="5:35" x14ac:dyDescent="0.25">
      <c r="E10580" s="16"/>
      <c r="F10580" s="16"/>
      <c r="H10580" s="16"/>
      <c r="AG10580" s="80"/>
      <c r="AH10580" s="80"/>
      <c r="AI10580" s="80"/>
    </row>
    <row r="10581" spans="5:35" x14ac:dyDescent="0.25">
      <c r="E10581" s="16"/>
      <c r="F10581" s="16"/>
      <c r="H10581" s="16"/>
      <c r="AG10581" s="80"/>
      <c r="AH10581" s="80"/>
      <c r="AI10581" s="80"/>
    </row>
    <row r="10582" spans="5:35" x14ac:dyDescent="0.25">
      <c r="E10582" s="16"/>
      <c r="F10582" s="16"/>
      <c r="H10582" s="16"/>
      <c r="AG10582" s="80"/>
      <c r="AH10582" s="80"/>
      <c r="AI10582" s="80"/>
    </row>
    <row r="10583" spans="5:35" x14ac:dyDescent="0.25">
      <c r="E10583" s="16"/>
      <c r="F10583" s="16"/>
      <c r="H10583" s="16"/>
      <c r="AG10583" s="80"/>
      <c r="AH10583" s="80"/>
      <c r="AI10583" s="80"/>
    </row>
    <row r="10584" spans="5:35" x14ac:dyDescent="0.25">
      <c r="E10584" s="16"/>
      <c r="F10584" s="16"/>
      <c r="H10584" s="16"/>
      <c r="AG10584" s="80"/>
      <c r="AH10584" s="80"/>
      <c r="AI10584" s="80"/>
    </row>
    <row r="10585" spans="5:35" x14ac:dyDescent="0.25">
      <c r="E10585" s="16"/>
      <c r="F10585" s="16"/>
      <c r="H10585" s="16"/>
      <c r="AG10585" s="80"/>
      <c r="AH10585" s="80"/>
      <c r="AI10585" s="80"/>
    </row>
    <row r="10586" spans="5:35" x14ac:dyDescent="0.25">
      <c r="E10586" s="16"/>
      <c r="F10586" s="16"/>
      <c r="H10586" s="16"/>
      <c r="AG10586" s="80"/>
      <c r="AH10586" s="80"/>
      <c r="AI10586" s="80"/>
    </row>
    <row r="10587" spans="5:35" x14ac:dyDescent="0.25">
      <c r="E10587" s="16"/>
      <c r="F10587" s="16"/>
      <c r="H10587" s="16"/>
      <c r="AG10587" s="80"/>
      <c r="AH10587" s="80"/>
      <c r="AI10587" s="80"/>
    </row>
    <row r="10588" spans="5:35" x14ac:dyDescent="0.25">
      <c r="E10588" s="16"/>
      <c r="F10588" s="16"/>
      <c r="H10588" s="16"/>
      <c r="AG10588" s="80"/>
      <c r="AH10588" s="80"/>
      <c r="AI10588" s="80"/>
    </row>
    <row r="10589" spans="5:35" x14ac:dyDescent="0.25">
      <c r="E10589" s="16"/>
      <c r="F10589" s="16"/>
      <c r="H10589" s="16"/>
      <c r="AG10589" s="80"/>
      <c r="AH10589" s="80"/>
      <c r="AI10589" s="80"/>
    </row>
    <row r="10590" spans="5:35" x14ac:dyDescent="0.25">
      <c r="E10590" s="16"/>
      <c r="F10590" s="16"/>
      <c r="H10590" s="16"/>
      <c r="AG10590" s="80"/>
      <c r="AH10590" s="80"/>
      <c r="AI10590" s="80"/>
    </row>
    <row r="10591" spans="5:35" x14ac:dyDescent="0.25">
      <c r="E10591" s="16"/>
      <c r="F10591" s="16"/>
      <c r="H10591" s="16"/>
      <c r="AG10591" s="80"/>
      <c r="AH10591" s="80"/>
      <c r="AI10591" s="80"/>
    </row>
    <row r="10592" spans="5:35" x14ac:dyDescent="0.25">
      <c r="E10592" s="16"/>
      <c r="F10592" s="16"/>
      <c r="H10592" s="16"/>
      <c r="AG10592" s="80"/>
      <c r="AH10592" s="80"/>
      <c r="AI10592" s="80"/>
    </row>
    <row r="10593" spans="5:35" x14ac:dyDescent="0.25">
      <c r="E10593" s="16"/>
      <c r="F10593" s="16"/>
      <c r="H10593" s="16"/>
      <c r="AG10593" s="80"/>
      <c r="AH10593" s="80"/>
      <c r="AI10593" s="80"/>
    </row>
    <row r="10594" spans="5:35" x14ac:dyDescent="0.25">
      <c r="E10594" s="16"/>
      <c r="F10594" s="16"/>
      <c r="H10594" s="16"/>
      <c r="AG10594" s="80"/>
      <c r="AH10594" s="80"/>
      <c r="AI10594" s="80"/>
    </row>
    <row r="10595" spans="5:35" x14ac:dyDescent="0.25">
      <c r="E10595" s="16"/>
      <c r="F10595" s="16"/>
      <c r="H10595" s="16"/>
      <c r="AG10595" s="80"/>
      <c r="AH10595" s="80"/>
      <c r="AI10595" s="80"/>
    </row>
    <row r="10596" spans="5:35" x14ac:dyDescent="0.25">
      <c r="E10596" s="16"/>
      <c r="F10596" s="16"/>
      <c r="H10596" s="16"/>
      <c r="AG10596" s="80"/>
      <c r="AH10596" s="80"/>
      <c r="AI10596" s="80"/>
    </row>
    <row r="10597" spans="5:35" x14ac:dyDescent="0.25">
      <c r="E10597" s="16"/>
      <c r="F10597" s="16"/>
      <c r="H10597" s="16"/>
      <c r="AG10597" s="80"/>
      <c r="AH10597" s="80"/>
      <c r="AI10597" s="80"/>
    </row>
    <row r="10598" spans="5:35" x14ac:dyDescent="0.25">
      <c r="E10598" s="16"/>
      <c r="F10598" s="16"/>
      <c r="H10598" s="16"/>
      <c r="AG10598" s="80"/>
      <c r="AH10598" s="80"/>
      <c r="AI10598" s="80"/>
    </row>
    <row r="10599" spans="5:35" x14ac:dyDescent="0.25">
      <c r="E10599" s="16"/>
      <c r="F10599" s="16"/>
      <c r="H10599" s="16"/>
      <c r="AG10599" s="80"/>
      <c r="AH10599" s="80"/>
      <c r="AI10599" s="80"/>
    </row>
    <row r="10600" spans="5:35" x14ac:dyDescent="0.25">
      <c r="E10600" s="16"/>
      <c r="F10600" s="16"/>
      <c r="H10600" s="16"/>
      <c r="AG10600" s="80"/>
      <c r="AH10600" s="80"/>
      <c r="AI10600" s="80"/>
    </row>
    <row r="10601" spans="5:35" x14ac:dyDescent="0.25">
      <c r="E10601" s="16"/>
      <c r="F10601" s="16"/>
      <c r="H10601" s="16"/>
      <c r="AG10601" s="80"/>
      <c r="AH10601" s="80"/>
      <c r="AI10601" s="80"/>
    </row>
    <row r="10602" spans="5:35" x14ac:dyDescent="0.25">
      <c r="E10602" s="16"/>
      <c r="F10602" s="16"/>
      <c r="H10602" s="16"/>
      <c r="AG10602" s="80"/>
      <c r="AH10602" s="80"/>
      <c r="AI10602" s="80"/>
    </row>
    <row r="10603" spans="5:35" x14ac:dyDescent="0.25">
      <c r="E10603" s="16"/>
      <c r="F10603" s="16"/>
      <c r="H10603" s="16"/>
      <c r="AG10603" s="80"/>
      <c r="AH10603" s="80"/>
      <c r="AI10603" s="80"/>
    </row>
    <row r="10604" spans="5:35" x14ac:dyDescent="0.25">
      <c r="E10604" s="16"/>
      <c r="F10604" s="16"/>
      <c r="H10604" s="16"/>
      <c r="AG10604" s="80"/>
      <c r="AH10604" s="80"/>
      <c r="AI10604" s="80"/>
    </row>
    <row r="10605" spans="5:35" x14ac:dyDescent="0.25">
      <c r="E10605" s="16"/>
      <c r="F10605" s="16"/>
      <c r="H10605" s="16"/>
      <c r="AG10605" s="80"/>
      <c r="AH10605" s="80"/>
      <c r="AI10605" s="80"/>
    </row>
    <row r="10606" spans="5:35" x14ac:dyDescent="0.25">
      <c r="E10606" s="16"/>
      <c r="F10606" s="16"/>
      <c r="H10606" s="16"/>
      <c r="AG10606" s="80"/>
      <c r="AH10606" s="80"/>
      <c r="AI10606" s="80"/>
    </row>
    <row r="10607" spans="5:35" x14ac:dyDescent="0.25">
      <c r="E10607" s="16"/>
      <c r="F10607" s="16"/>
      <c r="H10607" s="16"/>
      <c r="AG10607" s="80"/>
      <c r="AH10607" s="80"/>
      <c r="AI10607" s="80"/>
    </row>
    <row r="10608" spans="5:35" x14ac:dyDescent="0.25">
      <c r="E10608" s="16"/>
      <c r="F10608" s="16"/>
      <c r="H10608" s="16"/>
      <c r="AG10608" s="80"/>
      <c r="AH10608" s="80"/>
      <c r="AI10608" s="80"/>
    </row>
    <row r="10609" spans="5:35" x14ac:dyDescent="0.25">
      <c r="E10609" s="16"/>
      <c r="F10609" s="16"/>
      <c r="H10609" s="16"/>
      <c r="AG10609" s="80"/>
      <c r="AH10609" s="80"/>
      <c r="AI10609" s="80"/>
    </row>
    <row r="10610" spans="5:35" x14ac:dyDescent="0.25">
      <c r="E10610" s="16"/>
      <c r="F10610" s="16"/>
      <c r="H10610" s="16"/>
      <c r="AG10610" s="80"/>
      <c r="AH10610" s="80"/>
      <c r="AI10610" s="80"/>
    </row>
    <row r="10611" spans="5:35" x14ac:dyDescent="0.25">
      <c r="E10611" s="16"/>
      <c r="F10611" s="16"/>
      <c r="H10611" s="16"/>
      <c r="AG10611" s="80"/>
      <c r="AH10611" s="80"/>
      <c r="AI10611" s="80"/>
    </row>
    <row r="10612" spans="5:35" x14ac:dyDescent="0.25">
      <c r="E10612" s="16"/>
      <c r="F10612" s="16"/>
      <c r="H10612" s="16"/>
      <c r="AG10612" s="80"/>
      <c r="AH10612" s="80"/>
      <c r="AI10612" s="80"/>
    </row>
    <row r="10613" spans="5:35" x14ac:dyDescent="0.25">
      <c r="E10613" s="16"/>
      <c r="F10613" s="16"/>
      <c r="H10613" s="16"/>
      <c r="AG10613" s="80"/>
      <c r="AH10613" s="80"/>
      <c r="AI10613" s="80"/>
    </row>
    <row r="10614" spans="5:35" x14ac:dyDescent="0.25">
      <c r="E10614" s="16"/>
      <c r="F10614" s="16"/>
      <c r="H10614" s="16"/>
      <c r="AG10614" s="80"/>
      <c r="AH10614" s="80"/>
      <c r="AI10614" s="80"/>
    </row>
    <row r="10615" spans="5:35" x14ac:dyDescent="0.25">
      <c r="E10615" s="16"/>
      <c r="F10615" s="16"/>
      <c r="H10615" s="16"/>
      <c r="AG10615" s="80"/>
      <c r="AH10615" s="80"/>
      <c r="AI10615" s="80"/>
    </row>
    <row r="10616" spans="5:35" x14ac:dyDescent="0.25">
      <c r="E10616" s="16"/>
      <c r="F10616" s="16"/>
      <c r="H10616" s="16"/>
      <c r="AG10616" s="80"/>
      <c r="AH10616" s="80"/>
      <c r="AI10616" s="80"/>
    </row>
    <row r="10617" spans="5:35" x14ac:dyDescent="0.25">
      <c r="E10617" s="16"/>
      <c r="F10617" s="16"/>
      <c r="H10617" s="16"/>
      <c r="AG10617" s="80"/>
      <c r="AH10617" s="80"/>
      <c r="AI10617" s="80"/>
    </row>
    <row r="10618" spans="5:35" x14ac:dyDescent="0.25">
      <c r="E10618" s="16"/>
      <c r="F10618" s="16"/>
      <c r="H10618" s="16"/>
      <c r="AG10618" s="80"/>
      <c r="AH10618" s="80"/>
      <c r="AI10618" s="80"/>
    </row>
    <row r="10619" spans="5:35" x14ac:dyDescent="0.25">
      <c r="E10619" s="16"/>
      <c r="F10619" s="16"/>
      <c r="H10619" s="16"/>
      <c r="AG10619" s="80"/>
      <c r="AH10619" s="80"/>
      <c r="AI10619" s="80"/>
    </row>
    <row r="10620" spans="5:35" x14ac:dyDescent="0.25">
      <c r="E10620" s="16"/>
      <c r="F10620" s="16"/>
      <c r="H10620" s="16"/>
      <c r="AG10620" s="80"/>
      <c r="AH10620" s="80"/>
      <c r="AI10620" s="80"/>
    </row>
    <row r="10621" spans="5:35" x14ac:dyDescent="0.25">
      <c r="E10621" s="16"/>
      <c r="F10621" s="16"/>
      <c r="H10621" s="16"/>
      <c r="AG10621" s="80"/>
      <c r="AH10621" s="80"/>
      <c r="AI10621" s="80"/>
    </row>
    <row r="10622" spans="5:35" x14ac:dyDescent="0.25">
      <c r="E10622" s="16"/>
      <c r="F10622" s="16"/>
      <c r="H10622" s="16"/>
      <c r="AG10622" s="80"/>
      <c r="AH10622" s="80"/>
      <c r="AI10622" s="80"/>
    </row>
    <row r="10623" spans="5:35" x14ac:dyDescent="0.25">
      <c r="E10623" s="16"/>
      <c r="F10623" s="16"/>
      <c r="H10623" s="16"/>
      <c r="AG10623" s="80"/>
      <c r="AH10623" s="80"/>
      <c r="AI10623" s="80"/>
    </row>
    <row r="10624" spans="5:35" x14ac:dyDescent="0.25">
      <c r="E10624" s="16"/>
      <c r="F10624" s="16"/>
      <c r="H10624" s="16"/>
      <c r="AG10624" s="80"/>
      <c r="AH10624" s="80"/>
      <c r="AI10624" s="80"/>
    </row>
    <row r="10625" spans="5:35" x14ac:dyDescent="0.25">
      <c r="E10625" s="16"/>
      <c r="F10625" s="16"/>
      <c r="H10625" s="16"/>
      <c r="AG10625" s="80"/>
      <c r="AH10625" s="80"/>
      <c r="AI10625" s="80"/>
    </row>
    <row r="10626" spans="5:35" x14ac:dyDescent="0.25">
      <c r="E10626" s="16"/>
      <c r="F10626" s="16"/>
      <c r="H10626" s="16"/>
      <c r="AG10626" s="80"/>
      <c r="AH10626" s="80"/>
      <c r="AI10626" s="80"/>
    </row>
    <row r="10627" spans="5:35" x14ac:dyDescent="0.25">
      <c r="E10627" s="16"/>
      <c r="F10627" s="16"/>
      <c r="H10627" s="16"/>
      <c r="AG10627" s="80"/>
      <c r="AH10627" s="80"/>
      <c r="AI10627" s="80"/>
    </row>
    <row r="10628" spans="5:35" x14ac:dyDescent="0.25">
      <c r="E10628" s="16"/>
      <c r="F10628" s="16"/>
      <c r="H10628" s="16"/>
      <c r="AG10628" s="80"/>
      <c r="AH10628" s="80"/>
      <c r="AI10628" s="80"/>
    </row>
    <row r="10629" spans="5:35" x14ac:dyDescent="0.25">
      <c r="E10629" s="16"/>
      <c r="F10629" s="16"/>
      <c r="H10629" s="16"/>
      <c r="AG10629" s="80"/>
      <c r="AH10629" s="80"/>
      <c r="AI10629" s="80"/>
    </row>
    <row r="10630" spans="5:35" x14ac:dyDescent="0.25">
      <c r="E10630" s="16"/>
      <c r="F10630" s="16"/>
      <c r="H10630" s="16"/>
      <c r="AG10630" s="80"/>
      <c r="AH10630" s="80"/>
      <c r="AI10630" s="80"/>
    </row>
    <row r="10631" spans="5:35" x14ac:dyDescent="0.25">
      <c r="E10631" s="16"/>
      <c r="F10631" s="16"/>
      <c r="H10631" s="16"/>
      <c r="AG10631" s="80"/>
      <c r="AH10631" s="80"/>
      <c r="AI10631" s="80"/>
    </row>
    <row r="10632" spans="5:35" x14ac:dyDescent="0.25">
      <c r="E10632" s="16"/>
      <c r="F10632" s="16"/>
      <c r="H10632" s="16"/>
      <c r="AG10632" s="80"/>
      <c r="AH10632" s="80"/>
      <c r="AI10632" s="80"/>
    </row>
    <row r="10633" spans="5:35" x14ac:dyDescent="0.25">
      <c r="E10633" s="16"/>
      <c r="F10633" s="16"/>
      <c r="H10633" s="16"/>
      <c r="AG10633" s="80"/>
      <c r="AH10633" s="80"/>
      <c r="AI10633" s="80"/>
    </row>
    <row r="10634" spans="5:35" x14ac:dyDescent="0.25">
      <c r="E10634" s="16"/>
      <c r="F10634" s="16"/>
      <c r="H10634" s="16"/>
      <c r="AG10634" s="80"/>
      <c r="AH10634" s="80"/>
      <c r="AI10634" s="80"/>
    </row>
    <row r="10635" spans="5:35" x14ac:dyDescent="0.25">
      <c r="E10635" s="16"/>
      <c r="F10635" s="16"/>
      <c r="H10635" s="16"/>
      <c r="AG10635" s="80"/>
      <c r="AH10635" s="80"/>
      <c r="AI10635" s="80"/>
    </row>
    <row r="10636" spans="5:35" x14ac:dyDescent="0.25">
      <c r="E10636" s="16"/>
      <c r="F10636" s="16"/>
      <c r="H10636" s="16"/>
      <c r="AG10636" s="80"/>
      <c r="AH10636" s="80"/>
      <c r="AI10636" s="80"/>
    </row>
    <row r="10637" spans="5:35" x14ac:dyDescent="0.25">
      <c r="E10637" s="16"/>
      <c r="F10637" s="16"/>
      <c r="H10637" s="16"/>
      <c r="AG10637" s="80"/>
      <c r="AH10637" s="80"/>
      <c r="AI10637" s="80"/>
    </row>
    <row r="10638" spans="5:35" x14ac:dyDescent="0.25">
      <c r="E10638" s="16"/>
      <c r="F10638" s="16"/>
      <c r="H10638" s="16"/>
      <c r="AG10638" s="80"/>
      <c r="AH10638" s="80"/>
      <c r="AI10638" s="80"/>
    </row>
    <row r="10639" spans="5:35" x14ac:dyDescent="0.25">
      <c r="E10639" s="16"/>
      <c r="F10639" s="16"/>
      <c r="H10639" s="16"/>
      <c r="AG10639" s="80"/>
      <c r="AH10639" s="80"/>
      <c r="AI10639" s="80"/>
    </row>
    <row r="10640" spans="5:35" x14ac:dyDescent="0.25">
      <c r="E10640" s="16"/>
      <c r="F10640" s="16"/>
      <c r="H10640" s="16"/>
      <c r="AG10640" s="80"/>
      <c r="AH10640" s="80"/>
      <c r="AI10640" s="80"/>
    </row>
    <row r="10641" spans="5:35" x14ac:dyDescent="0.25">
      <c r="E10641" s="16"/>
      <c r="F10641" s="16"/>
      <c r="H10641" s="16"/>
      <c r="AG10641" s="80"/>
      <c r="AH10641" s="80"/>
      <c r="AI10641" s="80"/>
    </row>
    <row r="10642" spans="5:35" x14ac:dyDescent="0.25">
      <c r="E10642" s="16"/>
      <c r="F10642" s="16"/>
      <c r="H10642" s="16"/>
      <c r="AG10642" s="80"/>
      <c r="AH10642" s="80"/>
      <c r="AI10642" s="80"/>
    </row>
    <row r="10643" spans="5:35" x14ac:dyDescent="0.25">
      <c r="E10643" s="16"/>
      <c r="F10643" s="16"/>
      <c r="H10643" s="16"/>
      <c r="AG10643" s="80"/>
      <c r="AH10643" s="80"/>
      <c r="AI10643" s="80"/>
    </row>
    <row r="10644" spans="5:35" x14ac:dyDescent="0.25">
      <c r="E10644" s="16"/>
      <c r="F10644" s="16"/>
      <c r="H10644" s="16"/>
      <c r="AG10644" s="80"/>
      <c r="AH10644" s="80"/>
      <c r="AI10644" s="80"/>
    </row>
    <row r="10645" spans="5:35" x14ac:dyDescent="0.25">
      <c r="E10645" s="16"/>
      <c r="F10645" s="16"/>
      <c r="H10645" s="16"/>
      <c r="AG10645" s="80"/>
      <c r="AH10645" s="80"/>
      <c r="AI10645" s="80"/>
    </row>
    <row r="10646" spans="5:35" x14ac:dyDescent="0.25">
      <c r="E10646" s="16"/>
      <c r="F10646" s="16"/>
      <c r="H10646" s="16"/>
      <c r="AG10646" s="80"/>
      <c r="AH10646" s="80"/>
      <c r="AI10646" s="80"/>
    </row>
    <row r="10647" spans="5:35" x14ac:dyDescent="0.25">
      <c r="E10647" s="16"/>
      <c r="F10647" s="16"/>
      <c r="H10647" s="16"/>
      <c r="AG10647" s="80"/>
      <c r="AH10647" s="80"/>
      <c r="AI10647" s="80"/>
    </row>
    <row r="10648" spans="5:35" x14ac:dyDescent="0.25">
      <c r="E10648" s="16"/>
      <c r="F10648" s="16"/>
      <c r="H10648" s="16"/>
      <c r="AG10648" s="80"/>
      <c r="AH10648" s="80"/>
      <c r="AI10648" s="80"/>
    </row>
    <row r="10649" spans="5:35" x14ac:dyDescent="0.25">
      <c r="E10649" s="16"/>
      <c r="F10649" s="16"/>
      <c r="H10649" s="16"/>
      <c r="AG10649" s="80"/>
      <c r="AH10649" s="80"/>
      <c r="AI10649" s="80"/>
    </row>
    <row r="10650" spans="5:35" x14ac:dyDescent="0.25">
      <c r="E10650" s="16"/>
      <c r="F10650" s="16"/>
      <c r="H10650" s="16"/>
      <c r="AG10650" s="80"/>
      <c r="AH10650" s="80"/>
      <c r="AI10650" s="80"/>
    </row>
    <row r="10651" spans="5:35" x14ac:dyDescent="0.25">
      <c r="E10651" s="16"/>
      <c r="F10651" s="16"/>
      <c r="H10651" s="16"/>
      <c r="AG10651" s="80"/>
      <c r="AH10651" s="80"/>
      <c r="AI10651" s="80"/>
    </row>
    <row r="10652" spans="5:35" x14ac:dyDescent="0.25">
      <c r="E10652" s="16"/>
      <c r="F10652" s="16"/>
      <c r="H10652" s="16"/>
      <c r="AG10652" s="80"/>
      <c r="AH10652" s="80"/>
      <c r="AI10652" s="80"/>
    </row>
    <row r="10653" spans="5:35" x14ac:dyDescent="0.25">
      <c r="E10653" s="16"/>
      <c r="F10653" s="16"/>
      <c r="H10653" s="16"/>
      <c r="AG10653" s="80"/>
      <c r="AH10653" s="80"/>
      <c r="AI10653" s="80"/>
    </row>
    <row r="10654" spans="5:35" x14ac:dyDescent="0.25">
      <c r="E10654" s="16"/>
      <c r="F10654" s="16"/>
      <c r="H10654" s="16"/>
      <c r="AG10654" s="80"/>
      <c r="AH10654" s="80"/>
      <c r="AI10654" s="80"/>
    </row>
    <row r="10655" spans="5:35" x14ac:dyDescent="0.25">
      <c r="E10655" s="16"/>
      <c r="F10655" s="16"/>
      <c r="H10655" s="16"/>
      <c r="AG10655" s="80"/>
      <c r="AH10655" s="80"/>
      <c r="AI10655" s="80"/>
    </row>
    <row r="10656" spans="5:35" x14ac:dyDescent="0.25">
      <c r="E10656" s="16"/>
      <c r="F10656" s="16"/>
      <c r="H10656" s="16"/>
      <c r="AG10656" s="80"/>
      <c r="AH10656" s="80"/>
      <c r="AI10656" s="80"/>
    </row>
    <row r="10657" spans="5:35" x14ac:dyDescent="0.25">
      <c r="E10657" s="16"/>
      <c r="F10657" s="16"/>
      <c r="H10657" s="16"/>
      <c r="AG10657" s="80"/>
      <c r="AH10657" s="80"/>
      <c r="AI10657" s="80"/>
    </row>
    <row r="10658" spans="5:35" x14ac:dyDescent="0.25">
      <c r="E10658" s="16"/>
      <c r="F10658" s="16"/>
      <c r="H10658" s="16"/>
      <c r="AG10658" s="80"/>
      <c r="AH10658" s="80"/>
      <c r="AI10658" s="80"/>
    </row>
    <row r="10659" spans="5:35" x14ac:dyDescent="0.25">
      <c r="E10659" s="16"/>
      <c r="F10659" s="16"/>
      <c r="H10659" s="16"/>
      <c r="AG10659" s="80"/>
      <c r="AH10659" s="80"/>
      <c r="AI10659" s="80"/>
    </row>
    <row r="10660" spans="5:35" x14ac:dyDescent="0.25">
      <c r="E10660" s="16"/>
      <c r="F10660" s="16"/>
      <c r="H10660" s="16"/>
      <c r="AG10660" s="80"/>
      <c r="AH10660" s="80"/>
      <c r="AI10660" s="80"/>
    </row>
    <row r="10661" spans="5:35" x14ac:dyDescent="0.25">
      <c r="E10661" s="16"/>
      <c r="F10661" s="16"/>
      <c r="H10661" s="16"/>
      <c r="AG10661" s="80"/>
      <c r="AH10661" s="80"/>
      <c r="AI10661" s="80"/>
    </row>
    <row r="10662" spans="5:35" x14ac:dyDescent="0.25">
      <c r="E10662" s="16"/>
      <c r="F10662" s="16"/>
      <c r="H10662" s="16"/>
      <c r="AG10662" s="80"/>
      <c r="AH10662" s="80"/>
      <c r="AI10662" s="80"/>
    </row>
    <row r="10663" spans="5:35" x14ac:dyDescent="0.25">
      <c r="E10663" s="16"/>
      <c r="F10663" s="16"/>
      <c r="H10663" s="16"/>
      <c r="AG10663" s="80"/>
      <c r="AH10663" s="80"/>
      <c r="AI10663" s="80"/>
    </row>
    <row r="10664" spans="5:35" x14ac:dyDescent="0.25">
      <c r="E10664" s="16"/>
      <c r="F10664" s="16"/>
      <c r="H10664" s="16"/>
      <c r="AG10664" s="80"/>
      <c r="AH10664" s="80"/>
      <c r="AI10664" s="80"/>
    </row>
    <row r="10665" spans="5:35" x14ac:dyDescent="0.25">
      <c r="E10665" s="16"/>
      <c r="F10665" s="16"/>
      <c r="H10665" s="16"/>
      <c r="AG10665" s="80"/>
      <c r="AH10665" s="80"/>
      <c r="AI10665" s="80"/>
    </row>
    <row r="10666" spans="5:35" x14ac:dyDescent="0.25">
      <c r="E10666" s="16"/>
      <c r="F10666" s="16"/>
      <c r="H10666" s="16"/>
      <c r="AG10666" s="80"/>
      <c r="AH10666" s="80"/>
      <c r="AI10666" s="80"/>
    </row>
    <row r="10667" spans="5:35" x14ac:dyDescent="0.25">
      <c r="E10667" s="16"/>
      <c r="F10667" s="16"/>
      <c r="H10667" s="16"/>
      <c r="AG10667" s="80"/>
      <c r="AH10667" s="80"/>
      <c r="AI10667" s="80"/>
    </row>
    <row r="10668" spans="5:35" x14ac:dyDescent="0.25">
      <c r="E10668" s="16"/>
      <c r="F10668" s="16"/>
      <c r="H10668" s="16"/>
      <c r="AG10668" s="80"/>
      <c r="AH10668" s="80"/>
      <c r="AI10668" s="80"/>
    </row>
    <row r="10669" spans="5:35" x14ac:dyDescent="0.25">
      <c r="E10669" s="16"/>
      <c r="F10669" s="16"/>
      <c r="H10669" s="16"/>
      <c r="AG10669" s="80"/>
      <c r="AH10669" s="80"/>
      <c r="AI10669" s="80"/>
    </row>
    <row r="10670" spans="5:35" x14ac:dyDescent="0.25">
      <c r="E10670" s="16"/>
      <c r="F10670" s="16"/>
      <c r="H10670" s="16"/>
      <c r="AG10670" s="80"/>
      <c r="AH10670" s="80"/>
      <c r="AI10670" s="80"/>
    </row>
    <row r="10671" spans="5:35" x14ac:dyDescent="0.25">
      <c r="E10671" s="16"/>
      <c r="F10671" s="16"/>
      <c r="H10671" s="16"/>
      <c r="AG10671" s="80"/>
      <c r="AH10671" s="80"/>
      <c r="AI10671" s="80"/>
    </row>
    <row r="10672" spans="5:35" x14ac:dyDescent="0.25">
      <c r="E10672" s="16"/>
      <c r="F10672" s="16"/>
      <c r="H10672" s="16"/>
      <c r="AG10672" s="80"/>
      <c r="AH10672" s="80"/>
      <c r="AI10672" s="80"/>
    </row>
    <row r="10673" spans="5:35" x14ac:dyDescent="0.25">
      <c r="E10673" s="16"/>
      <c r="F10673" s="16"/>
      <c r="H10673" s="16"/>
      <c r="AG10673" s="80"/>
      <c r="AH10673" s="80"/>
      <c r="AI10673" s="80"/>
    </row>
    <row r="10674" spans="5:35" x14ac:dyDescent="0.25">
      <c r="E10674" s="16"/>
      <c r="F10674" s="16"/>
      <c r="H10674" s="16"/>
      <c r="AG10674" s="80"/>
      <c r="AH10674" s="80"/>
      <c r="AI10674" s="80"/>
    </row>
    <row r="10675" spans="5:35" x14ac:dyDescent="0.25">
      <c r="E10675" s="16"/>
      <c r="F10675" s="16"/>
      <c r="H10675" s="16"/>
      <c r="AG10675" s="80"/>
      <c r="AH10675" s="80"/>
      <c r="AI10675" s="80"/>
    </row>
    <row r="10676" spans="5:35" x14ac:dyDescent="0.25">
      <c r="E10676" s="16"/>
      <c r="F10676" s="16"/>
      <c r="H10676" s="16"/>
      <c r="AG10676" s="80"/>
      <c r="AH10676" s="80"/>
      <c r="AI10676" s="80"/>
    </row>
    <row r="10677" spans="5:35" x14ac:dyDescent="0.25">
      <c r="E10677" s="16"/>
      <c r="F10677" s="16"/>
      <c r="H10677" s="16"/>
      <c r="AG10677" s="80"/>
      <c r="AH10677" s="80"/>
      <c r="AI10677" s="80"/>
    </row>
    <row r="10678" spans="5:35" x14ac:dyDescent="0.25">
      <c r="E10678" s="16"/>
      <c r="F10678" s="16"/>
      <c r="H10678" s="16"/>
      <c r="AG10678" s="80"/>
      <c r="AH10678" s="80"/>
      <c r="AI10678" s="80"/>
    </row>
    <row r="10679" spans="5:35" x14ac:dyDescent="0.25">
      <c r="E10679" s="16"/>
      <c r="F10679" s="16"/>
      <c r="H10679" s="16"/>
      <c r="AG10679" s="80"/>
      <c r="AH10679" s="80"/>
      <c r="AI10679" s="80"/>
    </row>
    <row r="10680" spans="5:35" x14ac:dyDescent="0.25">
      <c r="E10680" s="16"/>
      <c r="F10680" s="16"/>
      <c r="H10680" s="16"/>
      <c r="AG10680" s="80"/>
      <c r="AH10680" s="80"/>
      <c r="AI10680" s="80"/>
    </row>
    <row r="10681" spans="5:35" x14ac:dyDescent="0.25">
      <c r="E10681" s="16"/>
      <c r="F10681" s="16"/>
      <c r="H10681" s="16"/>
      <c r="AG10681" s="80"/>
      <c r="AH10681" s="80"/>
      <c r="AI10681" s="80"/>
    </row>
    <row r="10682" spans="5:35" x14ac:dyDescent="0.25">
      <c r="E10682" s="16"/>
      <c r="F10682" s="16"/>
      <c r="H10682" s="16"/>
      <c r="AG10682" s="80"/>
      <c r="AH10682" s="80"/>
      <c r="AI10682" s="80"/>
    </row>
    <row r="10683" spans="5:35" x14ac:dyDescent="0.25">
      <c r="E10683" s="16"/>
      <c r="F10683" s="16"/>
      <c r="H10683" s="16"/>
      <c r="AG10683" s="80"/>
      <c r="AH10683" s="80"/>
      <c r="AI10683" s="80"/>
    </row>
    <row r="10684" spans="5:35" x14ac:dyDescent="0.25">
      <c r="E10684" s="16"/>
      <c r="F10684" s="16"/>
      <c r="H10684" s="16"/>
      <c r="AG10684" s="80"/>
      <c r="AH10684" s="80"/>
      <c r="AI10684" s="80"/>
    </row>
    <row r="10685" spans="5:35" x14ac:dyDescent="0.25">
      <c r="E10685" s="16"/>
      <c r="F10685" s="16"/>
      <c r="H10685" s="16"/>
      <c r="AG10685" s="80"/>
      <c r="AH10685" s="80"/>
      <c r="AI10685" s="80"/>
    </row>
    <row r="10686" spans="5:35" x14ac:dyDescent="0.25">
      <c r="E10686" s="16"/>
      <c r="F10686" s="16"/>
      <c r="H10686" s="16"/>
      <c r="AG10686" s="80"/>
      <c r="AH10686" s="80"/>
      <c r="AI10686" s="80"/>
    </row>
    <row r="10687" spans="5:35" x14ac:dyDescent="0.25">
      <c r="E10687" s="16"/>
      <c r="F10687" s="16"/>
      <c r="H10687" s="16"/>
      <c r="AG10687" s="80"/>
      <c r="AH10687" s="80"/>
      <c r="AI10687" s="80"/>
    </row>
    <row r="10688" spans="5:35" x14ac:dyDescent="0.25">
      <c r="E10688" s="16"/>
      <c r="F10688" s="16"/>
      <c r="H10688" s="16"/>
      <c r="AG10688" s="80"/>
      <c r="AH10688" s="80"/>
      <c r="AI10688" s="80"/>
    </row>
    <row r="10689" spans="5:35" x14ac:dyDescent="0.25">
      <c r="E10689" s="16"/>
      <c r="F10689" s="16"/>
      <c r="H10689" s="16"/>
      <c r="AG10689" s="80"/>
      <c r="AH10689" s="80"/>
      <c r="AI10689" s="80"/>
    </row>
    <row r="10690" spans="5:35" x14ac:dyDescent="0.25">
      <c r="E10690" s="16"/>
      <c r="F10690" s="16"/>
      <c r="H10690" s="16"/>
      <c r="AG10690" s="80"/>
      <c r="AH10690" s="80"/>
      <c r="AI10690" s="80"/>
    </row>
    <row r="10691" spans="5:35" x14ac:dyDescent="0.25">
      <c r="E10691" s="16"/>
      <c r="F10691" s="16"/>
      <c r="H10691" s="16"/>
      <c r="AG10691" s="80"/>
      <c r="AH10691" s="80"/>
      <c r="AI10691" s="80"/>
    </row>
    <row r="10692" spans="5:35" x14ac:dyDescent="0.25">
      <c r="E10692" s="16"/>
      <c r="F10692" s="16"/>
      <c r="H10692" s="16"/>
      <c r="AG10692" s="80"/>
      <c r="AH10692" s="80"/>
      <c r="AI10692" s="80"/>
    </row>
    <row r="10693" spans="5:35" x14ac:dyDescent="0.25">
      <c r="E10693" s="16"/>
      <c r="F10693" s="16"/>
      <c r="H10693" s="16"/>
      <c r="AG10693" s="80"/>
      <c r="AH10693" s="80"/>
      <c r="AI10693" s="80"/>
    </row>
    <row r="10694" spans="5:35" x14ac:dyDescent="0.25">
      <c r="E10694" s="16"/>
      <c r="F10694" s="16"/>
      <c r="H10694" s="16"/>
      <c r="AG10694" s="80"/>
      <c r="AH10694" s="80"/>
      <c r="AI10694" s="80"/>
    </row>
    <row r="10695" spans="5:35" x14ac:dyDescent="0.25">
      <c r="E10695" s="16"/>
      <c r="F10695" s="16"/>
      <c r="H10695" s="16"/>
      <c r="AG10695" s="80"/>
      <c r="AH10695" s="80"/>
      <c r="AI10695" s="80"/>
    </row>
    <row r="10696" spans="5:35" x14ac:dyDescent="0.25">
      <c r="E10696" s="16"/>
      <c r="F10696" s="16"/>
      <c r="H10696" s="16"/>
      <c r="AG10696" s="80"/>
      <c r="AH10696" s="80"/>
      <c r="AI10696" s="80"/>
    </row>
    <row r="10697" spans="5:35" x14ac:dyDescent="0.25">
      <c r="E10697" s="16"/>
      <c r="F10697" s="16"/>
      <c r="H10697" s="16"/>
      <c r="AG10697" s="80"/>
      <c r="AH10697" s="80"/>
      <c r="AI10697" s="80"/>
    </row>
    <row r="10698" spans="5:35" x14ac:dyDescent="0.25">
      <c r="E10698" s="16"/>
      <c r="F10698" s="16"/>
      <c r="H10698" s="16"/>
      <c r="AG10698" s="80"/>
      <c r="AH10698" s="80"/>
      <c r="AI10698" s="80"/>
    </row>
    <row r="10699" spans="5:35" x14ac:dyDescent="0.25">
      <c r="E10699" s="16"/>
      <c r="F10699" s="16"/>
      <c r="H10699" s="16"/>
      <c r="AG10699" s="80"/>
      <c r="AH10699" s="80"/>
      <c r="AI10699" s="80"/>
    </row>
    <row r="10700" spans="5:35" x14ac:dyDescent="0.25">
      <c r="E10700" s="16"/>
      <c r="F10700" s="16"/>
      <c r="H10700" s="16"/>
      <c r="AG10700" s="80"/>
      <c r="AH10700" s="80"/>
      <c r="AI10700" s="80"/>
    </row>
    <row r="10701" spans="5:35" x14ac:dyDescent="0.25">
      <c r="E10701" s="16"/>
      <c r="F10701" s="16"/>
      <c r="H10701" s="16"/>
      <c r="AG10701" s="80"/>
      <c r="AH10701" s="80"/>
      <c r="AI10701" s="80"/>
    </row>
    <row r="10702" spans="5:35" x14ac:dyDescent="0.25">
      <c r="E10702" s="16"/>
      <c r="F10702" s="16"/>
      <c r="H10702" s="16"/>
      <c r="AG10702" s="80"/>
      <c r="AH10702" s="80"/>
      <c r="AI10702" s="80"/>
    </row>
    <row r="10703" spans="5:35" x14ac:dyDescent="0.25">
      <c r="E10703" s="16"/>
      <c r="F10703" s="16"/>
      <c r="H10703" s="16"/>
      <c r="AG10703" s="80"/>
      <c r="AH10703" s="80"/>
      <c r="AI10703" s="80"/>
    </row>
    <row r="10704" spans="5:35" x14ac:dyDescent="0.25">
      <c r="E10704" s="16"/>
      <c r="F10704" s="16"/>
      <c r="H10704" s="16"/>
      <c r="AG10704" s="80"/>
      <c r="AH10704" s="80"/>
      <c r="AI10704" s="80"/>
    </row>
    <row r="10705" spans="5:35" x14ac:dyDescent="0.25">
      <c r="E10705" s="16"/>
      <c r="F10705" s="16"/>
      <c r="H10705" s="16"/>
      <c r="AG10705" s="80"/>
      <c r="AH10705" s="80"/>
      <c r="AI10705" s="80"/>
    </row>
    <row r="10706" spans="5:35" x14ac:dyDescent="0.25">
      <c r="E10706" s="16"/>
      <c r="F10706" s="16"/>
      <c r="H10706" s="16"/>
      <c r="AG10706" s="80"/>
      <c r="AH10706" s="80"/>
      <c r="AI10706" s="80"/>
    </row>
    <row r="10707" spans="5:35" x14ac:dyDescent="0.25">
      <c r="E10707" s="16"/>
      <c r="F10707" s="16"/>
      <c r="H10707" s="16"/>
      <c r="AG10707" s="80"/>
      <c r="AH10707" s="80"/>
      <c r="AI10707" s="80"/>
    </row>
    <row r="10708" spans="5:35" x14ac:dyDescent="0.25">
      <c r="E10708" s="16"/>
      <c r="F10708" s="16"/>
      <c r="H10708" s="16"/>
      <c r="AG10708" s="80"/>
      <c r="AH10708" s="80"/>
      <c r="AI10708" s="80"/>
    </row>
    <row r="10709" spans="5:35" x14ac:dyDescent="0.25">
      <c r="E10709" s="16"/>
      <c r="F10709" s="16"/>
      <c r="H10709" s="16"/>
      <c r="AG10709" s="80"/>
      <c r="AH10709" s="80"/>
      <c r="AI10709" s="80"/>
    </row>
    <row r="10710" spans="5:35" x14ac:dyDescent="0.25">
      <c r="E10710" s="16"/>
      <c r="F10710" s="16"/>
      <c r="H10710" s="16"/>
      <c r="AG10710" s="80"/>
      <c r="AH10710" s="80"/>
      <c r="AI10710" s="80"/>
    </row>
    <row r="10711" spans="5:35" x14ac:dyDescent="0.25">
      <c r="E10711" s="16"/>
      <c r="F10711" s="16"/>
      <c r="H10711" s="16"/>
      <c r="AG10711" s="80"/>
      <c r="AH10711" s="80"/>
      <c r="AI10711" s="80"/>
    </row>
    <row r="10712" spans="5:35" x14ac:dyDescent="0.25">
      <c r="E10712" s="16"/>
      <c r="F10712" s="16"/>
      <c r="H10712" s="16"/>
      <c r="AG10712" s="80"/>
      <c r="AH10712" s="80"/>
      <c r="AI10712" s="80"/>
    </row>
    <row r="10713" spans="5:35" x14ac:dyDescent="0.25">
      <c r="E10713" s="16"/>
      <c r="F10713" s="16"/>
      <c r="H10713" s="16"/>
      <c r="AG10713" s="80"/>
      <c r="AH10713" s="80"/>
      <c r="AI10713" s="80"/>
    </row>
    <row r="10714" spans="5:35" x14ac:dyDescent="0.25">
      <c r="E10714" s="16"/>
      <c r="F10714" s="16"/>
      <c r="H10714" s="16"/>
      <c r="AG10714" s="80"/>
      <c r="AH10714" s="80"/>
      <c r="AI10714" s="80"/>
    </row>
    <row r="10715" spans="5:35" x14ac:dyDescent="0.25">
      <c r="E10715" s="16"/>
      <c r="F10715" s="16"/>
      <c r="H10715" s="16"/>
      <c r="AG10715" s="80"/>
      <c r="AH10715" s="80"/>
      <c r="AI10715" s="80"/>
    </row>
    <row r="10716" spans="5:35" x14ac:dyDescent="0.25">
      <c r="E10716" s="16"/>
      <c r="F10716" s="16"/>
      <c r="H10716" s="16"/>
      <c r="AG10716" s="80"/>
      <c r="AH10716" s="80"/>
      <c r="AI10716" s="80"/>
    </row>
    <row r="10717" spans="5:35" x14ac:dyDescent="0.25">
      <c r="E10717" s="16"/>
      <c r="F10717" s="16"/>
      <c r="H10717" s="16"/>
      <c r="AG10717" s="80"/>
      <c r="AH10717" s="80"/>
      <c r="AI10717" s="80"/>
    </row>
    <row r="10718" spans="5:35" x14ac:dyDescent="0.25">
      <c r="E10718" s="16"/>
      <c r="F10718" s="16"/>
      <c r="H10718" s="16"/>
      <c r="AG10718" s="80"/>
      <c r="AH10718" s="80"/>
      <c r="AI10718" s="80"/>
    </row>
    <row r="10719" spans="5:35" x14ac:dyDescent="0.25">
      <c r="E10719" s="16"/>
      <c r="F10719" s="16"/>
      <c r="H10719" s="16"/>
      <c r="AG10719" s="80"/>
      <c r="AH10719" s="80"/>
      <c r="AI10719" s="80"/>
    </row>
    <row r="10720" spans="5:35" x14ac:dyDescent="0.25">
      <c r="E10720" s="16"/>
      <c r="F10720" s="16"/>
      <c r="H10720" s="16"/>
      <c r="AG10720" s="80"/>
      <c r="AH10720" s="80"/>
      <c r="AI10720" s="80"/>
    </row>
    <row r="10721" spans="5:35" x14ac:dyDescent="0.25">
      <c r="E10721" s="16"/>
      <c r="F10721" s="16"/>
      <c r="H10721" s="16"/>
      <c r="AG10721" s="80"/>
      <c r="AH10721" s="80"/>
      <c r="AI10721" s="80"/>
    </row>
    <row r="10722" spans="5:35" x14ac:dyDescent="0.25">
      <c r="E10722" s="16"/>
      <c r="F10722" s="16"/>
      <c r="H10722" s="16"/>
      <c r="AG10722" s="80"/>
      <c r="AH10722" s="80"/>
      <c r="AI10722" s="80"/>
    </row>
    <row r="10723" spans="5:35" x14ac:dyDescent="0.25">
      <c r="E10723" s="16"/>
      <c r="F10723" s="16"/>
      <c r="H10723" s="16"/>
      <c r="AG10723" s="80"/>
      <c r="AH10723" s="80"/>
      <c r="AI10723" s="80"/>
    </row>
    <row r="10724" spans="5:35" x14ac:dyDescent="0.25">
      <c r="E10724" s="16"/>
      <c r="F10724" s="16"/>
      <c r="H10724" s="16"/>
      <c r="AG10724" s="80"/>
      <c r="AH10724" s="80"/>
      <c r="AI10724" s="80"/>
    </row>
    <row r="10725" spans="5:35" x14ac:dyDescent="0.25">
      <c r="E10725" s="16"/>
      <c r="F10725" s="16"/>
      <c r="H10725" s="16"/>
      <c r="AG10725" s="80"/>
      <c r="AH10725" s="80"/>
      <c r="AI10725" s="80"/>
    </row>
    <row r="10726" spans="5:35" x14ac:dyDescent="0.25">
      <c r="E10726" s="16"/>
      <c r="F10726" s="16"/>
      <c r="H10726" s="16"/>
      <c r="AG10726" s="80"/>
      <c r="AH10726" s="80"/>
      <c r="AI10726" s="80"/>
    </row>
    <row r="10727" spans="5:35" x14ac:dyDescent="0.25">
      <c r="E10727" s="16"/>
      <c r="F10727" s="16"/>
      <c r="H10727" s="16"/>
      <c r="AG10727" s="80"/>
      <c r="AH10727" s="80"/>
      <c r="AI10727" s="80"/>
    </row>
    <row r="10728" spans="5:35" x14ac:dyDescent="0.25">
      <c r="E10728" s="16"/>
      <c r="F10728" s="16"/>
      <c r="H10728" s="16"/>
      <c r="AG10728" s="80"/>
      <c r="AH10728" s="80"/>
      <c r="AI10728" s="80"/>
    </row>
    <row r="10729" spans="5:35" x14ac:dyDescent="0.25">
      <c r="E10729" s="16"/>
      <c r="F10729" s="16"/>
      <c r="H10729" s="16"/>
      <c r="AG10729" s="80"/>
      <c r="AH10729" s="80"/>
      <c r="AI10729" s="80"/>
    </row>
    <row r="10730" spans="5:35" x14ac:dyDescent="0.25">
      <c r="E10730" s="16"/>
      <c r="F10730" s="16"/>
      <c r="H10730" s="16"/>
      <c r="AG10730" s="80"/>
      <c r="AH10730" s="80"/>
      <c r="AI10730" s="80"/>
    </row>
    <row r="10731" spans="5:35" x14ac:dyDescent="0.25">
      <c r="E10731" s="16"/>
      <c r="F10731" s="16"/>
      <c r="H10731" s="16"/>
      <c r="AG10731" s="80"/>
      <c r="AH10731" s="80"/>
      <c r="AI10731" s="80"/>
    </row>
    <row r="10732" spans="5:35" x14ac:dyDescent="0.25">
      <c r="E10732" s="16"/>
      <c r="F10732" s="16"/>
      <c r="H10732" s="16"/>
      <c r="AG10732" s="80"/>
      <c r="AH10732" s="80"/>
      <c r="AI10732" s="80"/>
    </row>
    <row r="10733" spans="5:35" x14ac:dyDescent="0.25">
      <c r="E10733" s="16"/>
      <c r="F10733" s="16"/>
      <c r="H10733" s="16"/>
      <c r="AG10733" s="80"/>
      <c r="AH10733" s="80"/>
      <c r="AI10733" s="80"/>
    </row>
    <row r="10734" spans="5:35" x14ac:dyDescent="0.25">
      <c r="E10734" s="16"/>
      <c r="F10734" s="16"/>
      <c r="H10734" s="16"/>
      <c r="AG10734" s="80"/>
      <c r="AH10734" s="80"/>
      <c r="AI10734" s="80"/>
    </row>
    <row r="10735" spans="5:35" x14ac:dyDescent="0.25">
      <c r="E10735" s="16"/>
      <c r="F10735" s="16"/>
      <c r="H10735" s="16"/>
      <c r="AG10735" s="80"/>
      <c r="AH10735" s="80"/>
      <c r="AI10735" s="80"/>
    </row>
    <row r="10736" spans="5:35" x14ac:dyDescent="0.25">
      <c r="E10736" s="16"/>
      <c r="F10736" s="16"/>
      <c r="H10736" s="16"/>
      <c r="AG10736" s="80"/>
      <c r="AH10736" s="80"/>
      <c r="AI10736" s="80"/>
    </row>
    <row r="10737" spans="5:35" x14ac:dyDescent="0.25">
      <c r="E10737" s="16"/>
      <c r="F10737" s="16"/>
      <c r="H10737" s="16"/>
      <c r="AG10737" s="80"/>
      <c r="AH10737" s="80"/>
      <c r="AI10737" s="80"/>
    </row>
    <row r="10738" spans="5:35" x14ac:dyDescent="0.25">
      <c r="E10738" s="16"/>
      <c r="F10738" s="16"/>
      <c r="H10738" s="16"/>
      <c r="AG10738" s="80"/>
      <c r="AH10738" s="80"/>
      <c r="AI10738" s="80"/>
    </row>
    <row r="10739" spans="5:35" x14ac:dyDescent="0.25">
      <c r="E10739" s="16"/>
      <c r="F10739" s="16"/>
      <c r="H10739" s="16"/>
      <c r="AG10739" s="80"/>
      <c r="AH10739" s="80"/>
      <c r="AI10739" s="80"/>
    </row>
    <row r="10740" spans="5:35" x14ac:dyDescent="0.25">
      <c r="E10740" s="16"/>
      <c r="F10740" s="16"/>
      <c r="H10740" s="16"/>
      <c r="AG10740" s="80"/>
      <c r="AH10740" s="80"/>
      <c r="AI10740" s="80"/>
    </row>
    <row r="10741" spans="5:35" x14ac:dyDescent="0.25">
      <c r="E10741" s="16"/>
      <c r="F10741" s="16"/>
      <c r="H10741" s="16"/>
      <c r="AG10741" s="80"/>
      <c r="AH10741" s="80"/>
      <c r="AI10741" s="80"/>
    </row>
    <row r="10742" spans="5:35" x14ac:dyDescent="0.25">
      <c r="E10742" s="16"/>
      <c r="F10742" s="16"/>
      <c r="H10742" s="16"/>
      <c r="AG10742" s="80"/>
      <c r="AH10742" s="80"/>
      <c r="AI10742" s="80"/>
    </row>
    <row r="10743" spans="5:35" x14ac:dyDescent="0.25">
      <c r="E10743" s="16"/>
      <c r="F10743" s="16"/>
      <c r="H10743" s="16"/>
      <c r="AG10743" s="80"/>
      <c r="AH10743" s="80"/>
      <c r="AI10743" s="80"/>
    </row>
    <row r="10744" spans="5:35" x14ac:dyDescent="0.25">
      <c r="E10744" s="16"/>
      <c r="F10744" s="16"/>
      <c r="H10744" s="16"/>
      <c r="AG10744" s="80"/>
      <c r="AH10744" s="80"/>
      <c r="AI10744" s="80"/>
    </row>
    <row r="10745" spans="5:35" x14ac:dyDescent="0.25">
      <c r="E10745" s="16"/>
      <c r="F10745" s="16"/>
      <c r="H10745" s="16"/>
      <c r="AG10745" s="80"/>
      <c r="AH10745" s="80"/>
      <c r="AI10745" s="80"/>
    </row>
    <row r="10746" spans="5:35" x14ac:dyDescent="0.25">
      <c r="E10746" s="16"/>
      <c r="F10746" s="16"/>
      <c r="H10746" s="16"/>
      <c r="AG10746" s="80"/>
      <c r="AH10746" s="80"/>
      <c r="AI10746" s="80"/>
    </row>
    <row r="10747" spans="5:35" x14ac:dyDescent="0.25">
      <c r="E10747" s="16"/>
      <c r="F10747" s="16"/>
      <c r="H10747" s="16"/>
      <c r="AG10747" s="80"/>
      <c r="AH10747" s="80"/>
      <c r="AI10747" s="80"/>
    </row>
    <row r="10748" spans="5:35" x14ac:dyDescent="0.25">
      <c r="E10748" s="16"/>
      <c r="F10748" s="16"/>
      <c r="H10748" s="16"/>
      <c r="AG10748" s="80"/>
      <c r="AH10748" s="80"/>
      <c r="AI10748" s="80"/>
    </row>
    <row r="10749" spans="5:35" x14ac:dyDescent="0.25">
      <c r="E10749" s="16"/>
      <c r="F10749" s="16"/>
      <c r="H10749" s="16"/>
      <c r="AG10749" s="80"/>
      <c r="AH10749" s="80"/>
      <c r="AI10749" s="80"/>
    </row>
    <row r="10750" spans="5:35" x14ac:dyDescent="0.25">
      <c r="E10750" s="16"/>
      <c r="F10750" s="16"/>
      <c r="H10750" s="16"/>
      <c r="AG10750" s="80"/>
      <c r="AH10750" s="80"/>
      <c r="AI10750" s="80"/>
    </row>
    <row r="10751" spans="5:35" x14ac:dyDescent="0.25">
      <c r="E10751" s="16"/>
      <c r="F10751" s="16"/>
      <c r="H10751" s="16"/>
      <c r="AG10751" s="80"/>
      <c r="AH10751" s="80"/>
      <c r="AI10751" s="80"/>
    </row>
    <row r="10752" spans="5:35" x14ac:dyDescent="0.25">
      <c r="E10752" s="16"/>
      <c r="F10752" s="16"/>
      <c r="H10752" s="16"/>
      <c r="AG10752" s="80"/>
      <c r="AH10752" s="80"/>
      <c r="AI10752" s="80"/>
    </row>
    <row r="10753" spans="5:35" x14ac:dyDescent="0.25">
      <c r="E10753" s="16"/>
      <c r="F10753" s="16"/>
      <c r="H10753" s="16"/>
      <c r="AG10753" s="80"/>
      <c r="AH10753" s="80"/>
      <c r="AI10753" s="80"/>
    </row>
    <row r="10754" spans="5:35" x14ac:dyDescent="0.25">
      <c r="E10754" s="16"/>
      <c r="F10754" s="16"/>
      <c r="H10754" s="16"/>
      <c r="AG10754" s="80"/>
      <c r="AH10754" s="80"/>
      <c r="AI10754" s="80"/>
    </row>
    <row r="10755" spans="5:35" x14ac:dyDescent="0.25">
      <c r="E10755" s="16"/>
      <c r="F10755" s="16"/>
      <c r="H10755" s="16"/>
      <c r="AG10755" s="80"/>
      <c r="AH10755" s="80"/>
      <c r="AI10755" s="80"/>
    </row>
    <row r="10756" spans="5:35" x14ac:dyDescent="0.25">
      <c r="E10756" s="16"/>
      <c r="F10756" s="16"/>
      <c r="H10756" s="16"/>
      <c r="AG10756" s="80"/>
      <c r="AH10756" s="80"/>
      <c r="AI10756" s="80"/>
    </row>
    <row r="10757" spans="5:35" x14ac:dyDescent="0.25">
      <c r="E10757" s="16"/>
      <c r="F10757" s="16"/>
      <c r="H10757" s="16"/>
      <c r="AG10757" s="80"/>
      <c r="AH10757" s="80"/>
      <c r="AI10757" s="80"/>
    </row>
    <row r="10758" spans="5:35" x14ac:dyDescent="0.25">
      <c r="E10758" s="16"/>
      <c r="F10758" s="16"/>
      <c r="H10758" s="16"/>
      <c r="AG10758" s="80"/>
      <c r="AH10758" s="80"/>
      <c r="AI10758" s="80"/>
    </row>
    <row r="10759" spans="5:35" x14ac:dyDescent="0.25">
      <c r="E10759" s="16"/>
      <c r="F10759" s="16"/>
      <c r="H10759" s="16"/>
      <c r="AG10759" s="80"/>
      <c r="AH10759" s="80"/>
      <c r="AI10759" s="80"/>
    </row>
    <row r="10760" spans="5:35" x14ac:dyDescent="0.25">
      <c r="E10760" s="16"/>
      <c r="F10760" s="16"/>
      <c r="H10760" s="16"/>
      <c r="AG10760" s="80"/>
      <c r="AH10760" s="80"/>
      <c r="AI10760" s="80"/>
    </row>
    <row r="10761" spans="5:35" x14ac:dyDescent="0.25">
      <c r="E10761" s="16"/>
      <c r="F10761" s="16"/>
      <c r="H10761" s="16"/>
      <c r="AG10761" s="80"/>
      <c r="AH10761" s="80"/>
      <c r="AI10761" s="80"/>
    </row>
    <row r="10762" spans="5:35" x14ac:dyDescent="0.25">
      <c r="E10762" s="16"/>
      <c r="F10762" s="16"/>
      <c r="H10762" s="16"/>
      <c r="AG10762" s="80"/>
      <c r="AH10762" s="80"/>
      <c r="AI10762" s="80"/>
    </row>
    <row r="10763" spans="5:35" x14ac:dyDescent="0.25">
      <c r="E10763" s="16"/>
      <c r="F10763" s="16"/>
      <c r="H10763" s="16"/>
      <c r="AG10763" s="80"/>
      <c r="AH10763" s="80"/>
      <c r="AI10763" s="80"/>
    </row>
    <row r="10764" spans="5:35" x14ac:dyDescent="0.25">
      <c r="E10764" s="16"/>
      <c r="F10764" s="16"/>
      <c r="H10764" s="16"/>
      <c r="AG10764" s="80"/>
      <c r="AH10764" s="80"/>
      <c r="AI10764" s="80"/>
    </row>
    <row r="10765" spans="5:35" x14ac:dyDescent="0.25">
      <c r="E10765" s="16"/>
      <c r="F10765" s="16"/>
      <c r="H10765" s="16"/>
      <c r="AG10765" s="80"/>
      <c r="AH10765" s="80"/>
      <c r="AI10765" s="80"/>
    </row>
    <row r="10766" spans="5:35" x14ac:dyDescent="0.25">
      <c r="E10766" s="16"/>
      <c r="F10766" s="16"/>
      <c r="H10766" s="16"/>
      <c r="AG10766" s="80"/>
      <c r="AH10766" s="80"/>
      <c r="AI10766" s="80"/>
    </row>
    <row r="10767" spans="5:35" x14ac:dyDescent="0.25">
      <c r="E10767" s="16"/>
      <c r="F10767" s="16"/>
      <c r="H10767" s="16"/>
      <c r="AG10767" s="80"/>
      <c r="AH10767" s="80"/>
      <c r="AI10767" s="80"/>
    </row>
    <row r="10768" spans="5:35" x14ac:dyDescent="0.25">
      <c r="E10768" s="16"/>
      <c r="F10768" s="16"/>
      <c r="H10768" s="16"/>
      <c r="AG10768" s="80"/>
      <c r="AH10768" s="80"/>
      <c r="AI10768" s="80"/>
    </row>
    <row r="10769" spans="5:35" x14ac:dyDescent="0.25">
      <c r="E10769" s="16"/>
      <c r="F10769" s="16"/>
      <c r="H10769" s="16"/>
      <c r="AG10769" s="80"/>
      <c r="AH10769" s="80"/>
      <c r="AI10769" s="80"/>
    </row>
    <row r="10770" spans="5:35" x14ac:dyDescent="0.25">
      <c r="E10770" s="16"/>
      <c r="F10770" s="16"/>
      <c r="H10770" s="16"/>
      <c r="AG10770" s="80"/>
      <c r="AH10770" s="80"/>
      <c r="AI10770" s="80"/>
    </row>
    <row r="10771" spans="5:35" x14ac:dyDescent="0.25">
      <c r="E10771" s="16"/>
      <c r="F10771" s="16"/>
      <c r="H10771" s="16"/>
      <c r="AG10771" s="80"/>
      <c r="AH10771" s="80"/>
      <c r="AI10771" s="80"/>
    </row>
    <row r="10772" spans="5:35" x14ac:dyDescent="0.25">
      <c r="E10772" s="16"/>
      <c r="F10772" s="16"/>
      <c r="H10772" s="16"/>
      <c r="AG10772" s="80"/>
      <c r="AH10772" s="80"/>
      <c r="AI10772" s="80"/>
    </row>
    <row r="10773" spans="5:35" x14ac:dyDescent="0.25">
      <c r="E10773" s="16"/>
      <c r="F10773" s="16"/>
      <c r="H10773" s="16"/>
      <c r="AG10773" s="80"/>
      <c r="AH10773" s="80"/>
      <c r="AI10773" s="80"/>
    </row>
    <row r="10774" spans="5:35" x14ac:dyDescent="0.25">
      <c r="E10774" s="16"/>
      <c r="F10774" s="16"/>
      <c r="H10774" s="16"/>
      <c r="AG10774" s="80"/>
      <c r="AH10774" s="80"/>
      <c r="AI10774" s="80"/>
    </row>
    <row r="10775" spans="5:35" x14ac:dyDescent="0.25">
      <c r="E10775" s="16"/>
      <c r="F10775" s="16"/>
      <c r="H10775" s="16"/>
      <c r="AG10775" s="80"/>
      <c r="AH10775" s="80"/>
      <c r="AI10775" s="80"/>
    </row>
    <row r="10776" spans="5:35" x14ac:dyDescent="0.25">
      <c r="E10776" s="16"/>
      <c r="F10776" s="16"/>
      <c r="H10776" s="16"/>
      <c r="AG10776" s="80"/>
      <c r="AH10776" s="80"/>
      <c r="AI10776" s="80"/>
    </row>
    <row r="10777" spans="5:35" x14ac:dyDescent="0.25">
      <c r="E10777" s="16"/>
      <c r="F10777" s="16"/>
      <c r="H10777" s="16"/>
      <c r="AG10777" s="80"/>
      <c r="AH10777" s="80"/>
      <c r="AI10777" s="80"/>
    </row>
    <row r="10778" spans="5:35" x14ac:dyDescent="0.25">
      <c r="E10778" s="16"/>
      <c r="F10778" s="16"/>
      <c r="H10778" s="16"/>
      <c r="AG10778" s="80"/>
      <c r="AH10778" s="80"/>
      <c r="AI10778" s="80"/>
    </row>
    <row r="10779" spans="5:35" x14ac:dyDescent="0.25">
      <c r="E10779" s="16"/>
      <c r="F10779" s="16"/>
      <c r="H10779" s="16"/>
      <c r="AG10779" s="80"/>
      <c r="AH10779" s="80"/>
      <c r="AI10779" s="80"/>
    </row>
    <row r="10780" spans="5:35" x14ac:dyDescent="0.25">
      <c r="E10780" s="16"/>
      <c r="F10780" s="16"/>
      <c r="H10780" s="16"/>
      <c r="AG10780" s="80"/>
      <c r="AH10780" s="80"/>
      <c r="AI10780" s="80"/>
    </row>
    <row r="10781" spans="5:35" x14ac:dyDescent="0.25">
      <c r="E10781" s="16"/>
      <c r="F10781" s="16"/>
      <c r="H10781" s="16"/>
      <c r="AG10781" s="80"/>
      <c r="AH10781" s="80"/>
      <c r="AI10781" s="80"/>
    </row>
    <row r="10782" spans="5:35" x14ac:dyDescent="0.25">
      <c r="E10782" s="16"/>
      <c r="F10782" s="16"/>
      <c r="H10782" s="16"/>
      <c r="AG10782" s="80"/>
      <c r="AH10782" s="80"/>
      <c r="AI10782" s="80"/>
    </row>
    <row r="10783" spans="5:35" x14ac:dyDescent="0.25">
      <c r="E10783" s="16"/>
      <c r="F10783" s="16"/>
      <c r="H10783" s="16"/>
      <c r="AG10783" s="80"/>
      <c r="AH10783" s="80"/>
      <c r="AI10783" s="80"/>
    </row>
    <row r="10784" spans="5:35" x14ac:dyDescent="0.25">
      <c r="E10784" s="16"/>
      <c r="F10784" s="16"/>
      <c r="H10784" s="16"/>
      <c r="AG10784" s="80"/>
      <c r="AH10784" s="80"/>
      <c r="AI10784" s="80"/>
    </row>
    <row r="10785" spans="5:35" x14ac:dyDescent="0.25">
      <c r="E10785" s="16"/>
      <c r="F10785" s="16"/>
      <c r="H10785" s="16"/>
      <c r="AG10785" s="80"/>
      <c r="AH10785" s="80"/>
      <c r="AI10785" s="80"/>
    </row>
    <row r="10786" spans="5:35" x14ac:dyDescent="0.25">
      <c r="E10786" s="16"/>
      <c r="F10786" s="16"/>
      <c r="H10786" s="16"/>
      <c r="AG10786" s="80"/>
      <c r="AH10786" s="80"/>
      <c r="AI10786" s="80"/>
    </row>
    <row r="10787" spans="5:35" x14ac:dyDescent="0.25">
      <c r="E10787" s="16"/>
      <c r="F10787" s="16"/>
      <c r="H10787" s="16"/>
      <c r="AG10787" s="80"/>
      <c r="AH10787" s="80"/>
      <c r="AI10787" s="80"/>
    </row>
    <row r="10788" spans="5:35" x14ac:dyDescent="0.25">
      <c r="E10788" s="16"/>
      <c r="F10788" s="16"/>
      <c r="H10788" s="16"/>
      <c r="AG10788" s="80"/>
      <c r="AH10788" s="80"/>
      <c r="AI10788" s="80"/>
    </row>
    <row r="10789" spans="5:35" x14ac:dyDescent="0.25">
      <c r="E10789" s="16"/>
      <c r="F10789" s="16"/>
      <c r="H10789" s="16"/>
      <c r="AG10789" s="80"/>
      <c r="AH10789" s="80"/>
      <c r="AI10789" s="80"/>
    </row>
    <row r="10790" spans="5:35" x14ac:dyDescent="0.25">
      <c r="E10790" s="16"/>
      <c r="F10790" s="16"/>
      <c r="H10790" s="16"/>
      <c r="AG10790" s="80"/>
      <c r="AH10790" s="80"/>
      <c r="AI10790" s="80"/>
    </row>
    <row r="10791" spans="5:35" x14ac:dyDescent="0.25">
      <c r="E10791" s="16"/>
      <c r="F10791" s="16"/>
      <c r="H10791" s="16"/>
      <c r="AG10791" s="80"/>
      <c r="AH10791" s="80"/>
      <c r="AI10791" s="80"/>
    </row>
    <row r="10792" spans="5:35" x14ac:dyDescent="0.25">
      <c r="E10792" s="16"/>
      <c r="F10792" s="16"/>
      <c r="H10792" s="16"/>
      <c r="AG10792" s="80"/>
      <c r="AH10792" s="80"/>
      <c r="AI10792" s="80"/>
    </row>
    <row r="10793" spans="5:35" x14ac:dyDescent="0.25">
      <c r="E10793" s="16"/>
      <c r="F10793" s="16"/>
      <c r="H10793" s="16"/>
      <c r="AG10793" s="80"/>
      <c r="AH10793" s="80"/>
      <c r="AI10793" s="80"/>
    </row>
    <row r="10794" spans="5:35" x14ac:dyDescent="0.25">
      <c r="E10794" s="16"/>
      <c r="F10794" s="16"/>
      <c r="H10794" s="16"/>
      <c r="AG10794" s="80"/>
      <c r="AH10794" s="80"/>
      <c r="AI10794" s="80"/>
    </row>
    <row r="10795" spans="5:35" x14ac:dyDescent="0.25">
      <c r="E10795" s="16"/>
      <c r="F10795" s="16"/>
      <c r="H10795" s="16"/>
      <c r="AG10795" s="80"/>
      <c r="AH10795" s="80"/>
      <c r="AI10795" s="80"/>
    </row>
    <row r="10796" spans="5:35" x14ac:dyDescent="0.25">
      <c r="E10796" s="16"/>
      <c r="F10796" s="16"/>
      <c r="H10796" s="16"/>
      <c r="AG10796" s="80"/>
      <c r="AH10796" s="80"/>
      <c r="AI10796" s="80"/>
    </row>
    <row r="10797" spans="5:35" x14ac:dyDescent="0.25">
      <c r="E10797" s="16"/>
      <c r="F10797" s="16"/>
      <c r="H10797" s="16"/>
      <c r="AG10797" s="80"/>
      <c r="AH10797" s="80"/>
      <c r="AI10797" s="80"/>
    </row>
    <row r="10798" spans="5:35" x14ac:dyDescent="0.25">
      <c r="E10798" s="16"/>
      <c r="F10798" s="16"/>
      <c r="H10798" s="16"/>
      <c r="AG10798" s="80"/>
      <c r="AH10798" s="80"/>
      <c r="AI10798" s="80"/>
    </row>
    <row r="10799" spans="5:35" x14ac:dyDescent="0.25">
      <c r="E10799" s="16"/>
      <c r="F10799" s="16"/>
      <c r="H10799" s="16"/>
      <c r="AG10799" s="80"/>
      <c r="AH10799" s="80"/>
      <c r="AI10799" s="80"/>
    </row>
    <row r="10800" spans="5:35" x14ac:dyDescent="0.25">
      <c r="E10800" s="16"/>
      <c r="F10800" s="16"/>
      <c r="H10800" s="16"/>
      <c r="AG10800" s="80"/>
      <c r="AH10800" s="80"/>
      <c r="AI10800" s="80"/>
    </row>
    <row r="10801" spans="5:35" x14ac:dyDescent="0.25">
      <c r="E10801" s="16"/>
      <c r="F10801" s="16"/>
      <c r="H10801" s="16"/>
      <c r="AG10801" s="80"/>
      <c r="AH10801" s="80"/>
      <c r="AI10801" s="80"/>
    </row>
    <row r="10802" spans="5:35" x14ac:dyDescent="0.25">
      <c r="E10802" s="16"/>
      <c r="F10802" s="16"/>
      <c r="H10802" s="16"/>
      <c r="AG10802" s="80"/>
      <c r="AH10802" s="80"/>
      <c r="AI10802" s="80"/>
    </row>
    <row r="10803" spans="5:35" x14ac:dyDescent="0.25">
      <c r="E10803" s="16"/>
      <c r="F10803" s="16"/>
      <c r="H10803" s="16"/>
      <c r="AG10803" s="80"/>
      <c r="AH10803" s="80"/>
      <c r="AI10803" s="80"/>
    </row>
    <row r="10804" spans="5:35" x14ac:dyDescent="0.25">
      <c r="E10804" s="16"/>
      <c r="F10804" s="16"/>
      <c r="H10804" s="16"/>
      <c r="AG10804" s="80"/>
      <c r="AH10804" s="80"/>
      <c r="AI10804" s="80"/>
    </row>
    <row r="10805" spans="5:35" x14ac:dyDescent="0.25">
      <c r="E10805" s="16"/>
      <c r="F10805" s="16"/>
      <c r="H10805" s="16"/>
      <c r="AG10805" s="80"/>
      <c r="AH10805" s="80"/>
      <c r="AI10805" s="80"/>
    </row>
    <row r="10806" spans="5:35" x14ac:dyDescent="0.25">
      <c r="E10806" s="16"/>
      <c r="F10806" s="16"/>
      <c r="H10806" s="16"/>
      <c r="AG10806" s="80"/>
      <c r="AH10806" s="80"/>
      <c r="AI10806" s="80"/>
    </row>
    <row r="10807" spans="5:35" x14ac:dyDescent="0.25">
      <c r="E10807" s="16"/>
      <c r="F10807" s="16"/>
      <c r="H10807" s="16"/>
      <c r="AG10807" s="80"/>
      <c r="AH10807" s="80"/>
      <c r="AI10807" s="80"/>
    </row>
    <row r="10808" spans="5:35" x14ac:dyDescent="0.25">
      <c r="E10808" s="16"/>
      <c r="F10808" s="16"/>
      <c r="H10808" s="16"/>
      <c r="AG10808" s="80"/>
      <c r="AH10808" s="80"/>
      <c r="AI10808" s="80"/>
    </row>
    <row r="10809" spans="5:35" x14ac:dyDescent="0.25">
      <c r="E10809" s="16"/>
      <c r="F10809" s="16"/>
      <c r="H10809" s="16"/>
      <c r="AG10809" s="80"/>
      <c r="AH10809" s="80"/>
      <c r="AI10809" s="80"/>
    </row>
    <row r="10810" spans="5:35" x14ac:dyDescent="0.25">
      <c r="E10810" s="16"/>
      <c r="F10810" s="16"/>
      <c r="H10810" s="16"/>
      <c r="AG10810" s="80"/>
      <c r="AH10810" s="80"/>
      <c r="AI10810" s="80"/>
    </row>
    <row r="10811" spans="5:35" x14ac:dyDescent="0.25">
      <c r="E10811" s="16"/>
      <c r="F10811" s="16"/>
      <c r="H10811" s="16"/>
      <c r="AG10811" s="80"/>
      <c r="AH10811" s="80"/>
      <c r="AI10811" s="80"/>
    </row>
    <row r="10812" spans="5:35" x14ac:dyDescent="0.25">
      <c r="E10812" s="16"/>
      <c r="F10812" s="16"/>
      <c r="H10812" s="16"/>
      <c r="AG10812" s="80"/>
      <c r="AH10812" s="80"/>
      <c r="AI10812" s="80"/>
    </row>
    <row r="10813" spans="5:35" x14ac:dyDescent="0.25">
      <c r="E10813" s="16"/>
      <c r="F10813" s="16"/>
      <c r="H10813" s="16"/>
      <c r="AG10813" s="80"/>
      <c r="AH10813" s="80"/>
      <c r="AI10813" s="80"/>
    </row>
    <row r="10814" spans="5:35" x14ac:dyDescent="0.25">
      <c r="E10814" s="16"/>
      <c r="F10814" s="16"/>
      <c r="H10814" s="16"/>
      <c r="AG10814" s="80"/>
      <c r="AH10814" s="80"/>
      <c r="AI10814" s="80"/>
    </row>
    <row r="10815" spans="5:35" x14ac:dyDescent="0.25">
      <c r="E10815" s="16"/>
      <c r="F10815" s="16"/>
      <c r="H10815" s="16"/>
      <c r="AG10815" s="80"/>
      <c r="AH10815" s="80"/>
      <c r="AI10815" s="80"/>
    </row>
    <row r="10816" spans="5:35" x14ac:dyDescent="0.25">
      <c r="E10816" s="16"/>
      <c r="F10816" s="16"/>
      <c r="H10816" s="16"/>
      <c r="AG10816" s="80"/>
      <c r="AH10816" s="80"/>
      <c r="AI10816" s="80"/>
    </row>
    <row r="10817" spans="5:35" x14ac:dyDescent="0.25">
      <c r="E10817" s="16"/>
      <c r="F10817" s="16"/>
      <c r="H10817" s="16"/>
      <c r="AG10817" s="80"/>
      <c r="AH10817" s="80"/>
      <c r="AI10817" s="80"/>
    </row>
    <row r="10818" spans="5:35" x14ac:dyDescent="0.25">
      <c r="E10818" s="16"/>
      <c r="F10818" s="16"/>
      <c r="H10818" s="16"/>
      <c r="AG10818" s="80"/>
      <c r="AH10818" s="80"/>
      <c r="AI10818" s="80"/>
    </row>
    <row r="10819" spans="5:35" x14ac:dyDescent="0.25">
      <c r="E10819" s="16"/>
      <c r="F10819" s="16"/>
      <c r="H10819" s="16"/>
      <c r="AG10819" s="80"/>
      <c r="AH10819" s="80"/>
      <c r="AI10819" s="80"/>
    </row>
    <row r="10820" spans="5:35" x14ac:dyDescent="0.25">
      <c r="E10820" s="16"/>
      <c r="F10820" s="16"/>
      <c r="H10820" s="16"/>
      <c r="AG10820" s="80"/>
      <c r="AH10820" s="80"/>
      <c r="AI10820" s="80"/>
    </row>
    <row r="10821" spans="5:35" x14ac:dyDescent="0.25">
      <c r="E10821" s="16"/>
      <c r="F10821" s="16"/>
      <c r="H10821" s="16"/>
      <c r="AG10821" s="80"/>
      <c r="AH10821" s="80"/>
      <c r="AI10821" s="80"/>
    </row>
    <row r="10822" spans="5:35" x14ac:dyDescent="0.25">
      <c r="E10822" s="16"/>
      <c r="F10822" s="16"/>
      <c r="H10822" s="16"/>
      <c r="AG10822" s="80"/>
      <c r="AH10822" s="80"/>
      <c r="AI10822" s="80"/>
    </row>
    <row r="10823" spans="5:35" x14ac:dyDescent="0.25">
      <c r="E10823" s="16"/>
      <c r="F10823" s="16"/>
      <c r="H10823" s="16"/>
      <c r="AG10823" s="80"/>
      <c r="AH10823" s="80"/>
      <c r="AI10823" s="80"/>
    </row>
    <row r="10824" spans="5:35" x14ac:dyDescent="0.25">
      <c r="E10824" s="16"/>
      <c r="F10824" s="16"/>
      <c r="H10824" s="16"/>
      <c r="AG10824" s="80"/>
      <c r="AH10824" s="80"/>
      <c r="AI10824" s="80"/>
    </row>
    <row r="10825" spans="5:35" x14ac:dyDescent="0.25">
      <c r="E10825" s="16"/>
      <c r="F10825" s="16"/>
      <c r="H10825" s="16"/>
      <c r="AG10825" s="80"/>
      <c r="AH10825" s="80"/>
      <c r="AI10825" s="80"/>
    </row>
    <row r="10826" spans="5:35" x14ac:dyDescent="0.25">
      <c r="E10826" s="16"/>
      <c r="F10826" s="16"/>
      <c r="H10826" s="16"/>
      <c r="AG10826" s="80"/>
      <c r="AH10826" s="80"/>
      <c r="AI10826" s="80"/>
    </row>
    <row r="10827" spans="5:35" x14ac:dyDescent="0.25">
      <c r="E10827" s="16"/>
      <c r="F10827" s="16"/>
      <c r="H10827" s="16"/>
      <c r="AG10827" s="80"/>
      <c r="AH10827" s="80"/>
      <c r="AI10827" s="80"/>
    </row>
    <row r="10828" spans="5:35" x14ac:dyDescent="0.25">
      <c r="E10828" s="16"/>
      <c r="F10828" s="16"/>
      <c r="H10828" s="16"/>
      <c r="AG10828" s="80"/>
      <c r="AH10828" s="80"/>
      <c r="AI10828" s="80"/>
    </row>
    <row r="10829" spans="5:35" x14ac:dyDescent="0.25">
      <c r="E10829" s="16"/>
      <c r="F10829" s="16"/>
      <c r="H10829" s="16"/>
      <c r="AG10829" s="80"/>
      <c r="AH10829" s="80"/>
      <c r="AI10829" s="80"/>
    </row>
    <row r="10830" spans="5:35" x14ac:dyDescent="0.25">
      <c r="E10830" s="16"/>
      <c r="F10830" s="16"/>
      <c r="H10830" s="16"/>
      <c r="AG10830" s="80"/>
      <c r="AH10830" s="80"/>
      <c r="AI10830" s="80"/>
    </row>
    <row r="10831" spans="5:35" x14ac:dyDescent="0.25">
      <c r="E10831" s="16"/>
      <c r="F10831" s="16"/>
      <c r="H10831" s="16"/>
      <c r="AG10831" s="80"/>
      <c r="AH10831" s="80"/>
      <c r="AI10831" s="80"/>
    </row>
    <row r="10832" spans="5:35" x14ac:dyDescent="0.25">
      <c r="E10832" s="16"/>
      <c r="F10832" s="16"/>
      <c r="H10832" s="16"/>
      <c r="AG10832" s="80"/>
      <c r="AH10832" s="80"/>
      <c r="AI10832" s="80"/>
    </row>
    <row r="10833" spans="5:35" x14ac:dyDescent="0.25">
      <c r="E10833" s="16"/>
      <c r="F10833" s="16"/>
      <c r="H10833" s="16"/>
      <c r="AG10833" s="80"/>
      <c r="AH10833" s="80"/>
      <c r="AI10833" s="80"/>
    </row>
    <row r="10834" spans="5:35" x14ac:dyDescent="0.25">
      <c r="E10834" s="16"/>
      <c r="F10834" s="16"/>
      <c r="H10834" s="16"/>
      <c r="AG10834" s="80"/>
      <c r="AH10834" s="80"/>
      <c r="AI10834" s="80"/>
    </row>
    <row r="10835" spans="5:35" x14ac:dyDescent="0.25">
      <c r="E10835" s="16"/>
      <c r="F10835" s="16"/>
      <c r="H10835" s="16"/>
      <c r="AG10835" s="80"/>
      <c r="AH10835" s="80"/>
      <c r="AI10835" s="80"/>
    </row>
    <row r="10836" spans="5:35" x14ac:dyDescent="0.25">
      <c r="E10836" s="16"/>
      <c r="F10836" s="16"/>
      <c r="H10836" s="16"/>
      <c r="AG10836" s="80"/>
      <c r="AH10836" s="80"/>
      <c r="AI10836" s="80"/>
    </row>
    <row r="10837" spans="5:35" x14ac:dyDescent="0.25">
      <c r="E10837" s="16"/>
      <c r="F10837" s="16"/>
      <c r="H10837" s="16"/>
      <c r="AG10837" s="80"/>
      <c r="AH10837" s="80"/>
      <c r="AI10837" s="80"/>
    </row>
    <row r="10838" spans="5:35" x14ac:dyDescent="0.25">
      <c r="E10838" s="16"/>
      <c r="F10838" s="16"/>
      <c r="H10838" s="16"/>
      <c r="AG10838" s="80"/>
      <c r="AH10838" s="80"/>
      <c r="AI10838" s="80"/>
    </row>
    <row r="10839" spans="5:35" x14ac:dyDescent="0.25">
      <c r="E10839" s="16"/>
      <c r="F10839" s="16"/>
      <c r="H10839" s="16"/>
      <c r="AG10839" s="80"/>
      <c r="AH10839" s="80"/>
      <c r="AI10839" s="80"/>
    </row>
    <row r="10840" spans="5:35" x14ac:dyDescent="0.25">
      <c r="E10840" s="16"/>
      <c r="F10840" s="16"/>
      <c r="H10840" s="16"/>
      <c r="AG10840" s="80"/>
      <c r="AH10840" s="80"/>
      <c r="AI10840" s="80"/>
    </row>
    <row r="10841" spans="5:35" x14ac:dyDescent="0.25">
      <c r="E10841" s="16"/>
      <c r="F10841" s="16"/>
      <c r="H10841" s="16"/>
      <c r="AG10841" s="80"/>
      <c r="AH10841" s="80"/>
      <c r="AI10841" s="80"/>
    </row>
    <row r="10842" spans="5:35" x14ac:dyDescent="0.25">
      <c r="E10842" s="16"/>
      <c r="F10842" s="16"/>
      <c r="H10842" s="16"/>
      <c r="AG10842" s="80"/>
      <c r="AH10842" s="80"/>
      <c r="AI10842" s="80"/>
    </row>
    <row r="10843" spans="5:35" x14ac:dyDescent="0.25">
      <c r="E10843" s="16"/>
      <c r="F10843" s="16"/>
      <c r="H10843" s="16"/>
      <c r="AG10843" s="80"/>
      <c r="AH10843" s="80"/>
      <c r="AI10843" s="80"/>
    </row>
    <row r="10844" spans="5:35" x14ac:dyDescent="0.25">
      <c r="E10844" s="16"/>
      <c r="F10844" s="16"/>
      <c r="H10844" s="16"/>
      <c r="AG10844" s="80"/>
      <c r="AH10844" s="80"/>
      <c r="AI10844" s="80"/>
    </row>
    <row r="10845" spans="5:35" x14ac:dyDescent="0.25">
      <c r="E10845" s="16"/>
      <c r="F10845" s="16"/>
      <c r="H10845" s="16"/>
      <c r="AG10845" s="80"/>
      <c r="AH10845" s="80"/>
      <c r="AI10845" s="80"/>
    </row>
    <row r="10846" spans="5:35" x14ac:dyDescent="0.25">
      <c r="E10846" s="16"/>
      <c r="F10846" s="16"/>
      <c r="H10846" s="16"/>
      <c r="AG10846" s="80"/>
      <c r="AH10846" s="80"/>
      <c r="AI10846" s="80"/>
    </row>
    <row r="10847" spans="5:35" x14ac:dyDescent="0.25">
      <c r="E10847" s="16"/>
      <c r="F10847" s="16"/>
      <c r="H10847" s="16"/>
      <c r="AG10847" s="80"/>
      <c r="AH10847" s="80"/>
      <c r="AI10847" s="80"/>
    </row>
    <row r="10848" spans="5:35" x14ac:dyDescent="0.25">
      <c r="E10848" s="16"/>
      <c r="F10848" s="16"/>
      <c r="H10848" s="16"/>
      <c r="AG10848" s="80"/>
      <c r="AH10848" s="80"/>
      <c r="AI10848" s="80"/>
    </row>
    <row r="10849" spans="5:35" x14ac:dyDescent="0.25">
      <c r="E10849" s="16"/>
      <c r="F10849" s="16"/>
      <c r="H10849" s="16"/>
      <c r="AG10849" s="80"/>
      <c r="AH10849" s="80"/>
      <c r="AI10849" s="80"/>
    </row>
    <row r="10850" spans="5:35" x14ac:dyDescent="0.25">
      <c r="E10850" s="16"/>
      <c r="F10850" s="16"/>
      <c r="H10850" s="16"/>
      <c r="AG10850" s="80"/>
      <c r="AH10850" s="80"/>
      <c r="AI10850" s="80"/>
    </row>
    <row r="10851" spans="5:35" x14ac:dyDescent="0.25">
      <c r="E10851" s="16"/>
      <c r="F10851" s="16"/>
      <c r="H10851" s="16"/>
      <c r="AG10851" s="80"/>
      <c r="AH10851" s="80"/>
      <c r="AI10851" s="80"/>
    </row>
    <row r="10852" spans="5:35" x14ac:dyDescent="0.25">
      <c r="E10852" s="16"/>
      <c r="F10852" s="16"/>
      <c r="H10852" s="16"/>
      <c r="AG10852" s="80"/>
      <c r="AH10852" s="80"/>
      <c r="AI10852" s="80"/>
    </row>
    <row r="10853" spans="5:35" x14ac:dyDescent="0.25">
      <c r="E10853" s="16"/>
      <c r="F10853" s="16"/>
      <c r="H10853" s="16"/>
      <c r="AG10853" s="80"/>
      <c r="AH10853" s="80"/>
      <c r="AI10853" s="80"/>
    </row>
    <row r="10854" spans="5:35" x14ac:dyDescent="0.25">
      <c r="E10854" s="16"/>
      <c r="F10854" s="16"/>
      <c r="H10854" s="16"/>
      <c r="AG10854" s="80"/>
      <c r="AH10854" s="80"/>
      <c r="AI10854" s="80"/>
    </row>
    <row r="10855" spans="5:35" x14ac:dyDescent="0.25">
      <c r="E10855" s="16"/>
      <c r="F10855" s="16"/>
      <c r="H10855" s="16"/>
      <c r="AG10855" s="80"/>
      <c r="AH10855" s="80"/>
      <c r="AI10855" s="80"/>
    </row>
    <row r="10856" spans="5:35" x14ac:dyDescent="0.25">
      <c r="E10856" s="16"/>
      <c r="F10856" s="16"/>
      <c r="H10856" s="16"/>
      <c r="AG10856" s="80"/>
      <c r="AH10856" s="80"/>
      <c r="AI10856" s="80"/>
    </row>
    <row r="10857" spans="5:35" x14ac:dyDescent="0.25">
      <c r="E10857" s="16"/>
      <c r="F10857" s="16"/>
      <c r="H10857" s="16"/>
      <c r="AG10857" s="80"/>
      <c r="AH10857" s="80"/>
      <c r="AI10857" s="80"/>
    </row>
    <row r="10858" spans="5:35" x14ac:dyDescent="0.25">
      <c r="E10858" s="16"/>
      <c r="F10858" s="16"/>
      <c r="H10858" s="16"/>
      <c r="AG10858" s="80"/>
      <c r="AH10858" s="80"/>
      <c r="AI10858" s="80"/>
    </row>
    <row r="10859" spans="5:35" x14ac:dyDescent="0.25">
      <c r="E10859" s="16"/>
      <c r="F10859" s="16"/>
      <c r="H10859" s="16"/>
      <c r="AG10859" s="80"/>
      <c r="AH10859" s="80"/>
      <c r="AI10859" s="80"/>
    </row>
    <row r="10860" spans="5:35" x14ac:dyDescent="0.25">
      <c r="E10860" s="16"/>
      <c r="F10860" s="16"/>
      <c r="H10860" s="16"/>
      <c r="AG10860" s="80"/>
      <c r="AH10860" s="80"/>
      <c r="AI10860" s="80"/>
    </row>
    <row r="10861" spans="5:35" x14ac:dyDescent="0.25">
      <c r="E10861" s="16"/>
      <c r="F10861" s="16"/>
      <c r="H10861" s="16"/>
      <c r="AG10861" s="80"/>
      <c r="AH10861" s="80"/>
      <c r="AI10861" s="80"/>
    </row>
    <row r="10862" spans="5:35" x14ac:dyDescent="0.25">
      <c r="E10862" s="16"/>
      <c r="F10862" s="16"/>
      <c r="H10862" s="16"/>
      <c r="AG10862" s="80"/>
      <c r="AH10862" s="80"/>
      <c r="AI10862" s="80"/>
    </row>
    <row r="10863" spans="5:35" x14ac:dyDescent="0.25">
      <c r="E10863" s="16"/>
      <c r="F10863" s="16"/>
      <c r="H10863" s="16"/>
      <c r="AG10863" s="80"/>
      <c r="AH10863" s="80"/>
      <c r="AI10863" s="80"/>
    </row>
    <row r="10864" spans="5:35" x14ac:dyDescent="0.25">
      <c r="E10864" s="16"/>
      <c r="F10864" s="16"/>
      <c r="H10864" s="16"/>
      <c r="AG10864" s="80"/>
      <c r="AH10864" s="80"/>
      <c r="AI10864" s="80"/>
    </row>
    <row r="10865" spans="5:35" x14ac:dyDescent="0.25">
      <c r="E10865" s="16"/>
      <c r="F10865" s="16"/>
      <c r="H10865" s="16"/>
      <c r="AG10865" s="80"/>
      <c r="AH10865" s="80"/>
      <c r="AI10865" s="80"/>
    </row>
    <row r="10866" spans="5:35" x14ac:dyDescent="0.25">
      <c r="E10866" s="16"/>
      <c r="F10866" s="16"/>
      <c r="H10866" s="16"/>
      <c r="AG10866" s="80"/>
      <c r="AH10866" s="80"/>
      <c r="AI10866" s="80"/>
    </row>
    <row r="10867" spans="5:35" x14ac:dyDescent="0.25">
      <c r="E10867" s="16"/>
      <c r="F10867" s="16"/>
      <c r="H10867" s="16"/>
      <c r="AG10867" s="80"/>
      <c r="AH10867" s="80"/>
      <c r="AI10867" s="80"/>
    </row>
    <row r="10868" spans="5:35" x14ac:dyDescent="0.25">
      <c r="E10868" s="16"/>
      <c r="F10868" s="16"/>
      <c r="H10868" s="16"/>
      <c r="AG10868" s="80"/>
      <c r="AH10868" s="80"/>
      <c r="AI10868" s="80"/>
    </row>
    <row r="10869" spans="5:35" x14ac:dyDescent="0.25">
      <c r="E10869" s="16"/>
      <c r="F10869" s="16"/>
      <c r="H10869" s="16"/>
      <c r="AG10869" s="80"/>
      <c r="AH10869" s="80"/>
      <c r="AI10869" s="80"/>
    </row>
    <row r="10870" spans="5:35" x14ac:dyDescent="0.25">
      <c r="E10870" s="16"/>
      <c r="F10870" s="16"/>
      <c r="H10870" s="16"/>
      <c r="AG10870" s="80"/>
      <c r="AH10870" s="80"/>
      <c r="AI10870" s="80"/>
    </row>
    <row r="10871" spans="5:35" x14ac:dyDescent="0.25">
      <c r="E10871" s="16"/>
      <c r="F10871" s="16"/>
      <c r="H10871" s="16"/>
      <c r="AG10871" s="80"/>
      <c r="AH10871" s="80"/>
      <c r="AI10871" s="80"/>
    </row>
    <row r="10872" spans="5:35" x14ac:dyDescent="0.25">
      <c r="E10872" s="16"/>
      <c r="F10872" s="16"/>
      <c r="H10872" s="16"/>
      <c r="AG10872" s="80"/>
      <c r="AH10872" s="80"/>
      <c r="AI10872" s="80"/>
    </row>
    <row r="10873" spans="5:35" x14ac:dyDescent="0.25">
      <c r="E10873" s="16"/>
      <c r="F10873" s="16"/>
      <c r="H10873" s="16"/>
      <c r="AG10873" s="80"/>
      <c r="AH10873" s="80"/>
      <c r="AI10873" s="80"/>
    </row>
    <row r="10874" spans="5:35" x14ac:dyDescent="0.25">
      <c r="E10874" s="16"/>
      <c r="F10874" s="16"/>
      <c r="H10874" s="16"/>
      <c r="AG10874" s="80"/>
      <c r="AH10874" s="80"/>
      <c r="AI10874" s="80"/>
    </row>
    <row r="10875" spans="5:35" x14ac:dyDescent="0.25">
      <c r="E10875" s="16"/>
      <c r="F10875" s="16"/>
      <c r="H10875" s="16"/>
      <c r="AG10875" s="80"/>
      <c r="AH10875" s="80"/>
      <c r="AI10875" s="80"/>
    </row>
    <row r="10876" spans="5:35" x14ac:dyDescent="0.25">
      <c r="E10876" s="16"/>
      <c r="F10876" s="16"/>
      <c r="H10876" s="16"/>
      <c r="AG10876" s="80"/>
      <c r="AH10876" s="80"/>
      <c r="AI10876" s="80"/>
    </row>
    <row r="10877" spans="5:35" x14ac:dyDescent="0.25">
      <c r="E10877" s="16"/>
      <c r="F10877" s="16"/>
      <c r="H10877" s="16"/>
      <c r="AG10877" s="80"/>
      <c r="AH10877" s="80"/>
      <c r="AI10877" s="80"/>
    </row>
    <row r="10878" spans="5:35" x14ac:dyDescent="0.25">
      <c r="E10878" s="16"/>
      <c r="F10878" s="16"/>
      <c r="H10878" s="16"/>
      <c r="AG10878" s="80"/>
      <c r="AH10878" s="80"/>
      <c r="AI10878" s="80"/>
    </row>
    <row r="10879" spans="5:35" x14ac:dyDescent="0.25">
      <c r="E10879" s="16"/>
      <c r="F10879" s="16"/>
      <c r="H10879" s="16"/>
      <c r="AG10879" s="80"/>
      <c r="AH10879" s="80"/>
      <c r="AI10879" s="80"/>
    </row>
    <row r="10880" spans="5:35" x14ac:dyDescent="0.25">
      <c r="E10880" s="16"/>
      <c r="F10880" s="16"/>
      <c r="H10880" s="16"/>
      <c r="AG10880" s="80"/>
      <c r="AH10880" s="80"/>
      <c r="AI10880" s="80"/>
    </row>
    <row r="10881" spans="5:35" x14ac:dyDescent="0.25">
      <c r="E10881" s="16"/>
      <c r="F10881" s="16"/>
      <c r="H10881" s="16"/>
      <c r="AG10881" s="80"/>
      <c r="AH10881" s="80"/>
      <c r="AI10881" s="80"/>
    </row>
    <row r="10882" spans="5:35" x14ac:dyDescent="0.25">
      <c r="E10882" s="16"/>
      <c r="F10882" s="16"/>
      <c r="H10882" s="16"/>
      <c r="AG10882" s="80"/>
      <c r="AH10882" s="80"/>
      <c r="AI10882" s="80"/>
    </row>
    <row r="10883" spans="5:35" x14ac:dyDescent="0.25">
      <c r="E10883" s="16"/>
      <c r="F10883" s="16"/>
      <c r="H10883" s="16"/>
      <c r="AG10883" s="80"/>
      <c r="AH10883" s="80"/>
      <c r="AI10883" s="80"/>
    </row>
    <row r="10884" spans="5:35" x14ac:dyDescent="0.25">
      <c r="E10884" s="16"/>
      <c r="F10884" s="16"/>
      <c r="H10884" s="16"/>
      <c r="AG10884" s="80"/>
      <c r="AH10884" s="80"/>
      <c r="AI10884" s="80"/>
    </row>
    <row r="10885" spans="5:35" x14ac:dyDescent="0.25">
      <c r="E10885" s="16"/>
      <c r="F10885" s="16"/>
      <c r="H10885" s="16"/>
      <c r="AG10885" s="80"/>
      <c r="AH10885" s="80"/>
      <c r="AI10885" s="80"/>
    </row>
    <row r="10886" spans="5:35" x14ac:dyDescent="0.25">
      <c r="E10886" s="16"/>
      <c r="F10886" s="16"/>
      <c r="H10886" s="16"/>
      <c r="AG10886" s="80"/>
      <c r="AH10886" s="80"/>
      <c r="AI10886" s="80"/>
    </row>
    <row r="10887" spans="5:35" x14ac:dyDescent="0.25">
      <c r="E10887" s="16"/>
      <c r="F10887" s="16"/>
      <c r="H10887" s="16"/>
      <c r="AG10887" s="80"/>
      <c r="AH10887" s="80"/>
      <c r="AI10887" s="80"/>
    </row>
    <row r="10888" spans="5:35" x14ac:dyDescent="0.25">
      <c r="E10888" s="16"/>
      <c r="F10888" s="16"/>
      <c r="H10888" s="16"/>
      <c r="AG10888" s="80"/>
      <c r="AH10888" s="80"/>
      <c r="AI10888" s="80"/>
    </row>
    <row r="10889" spans="5:35" x14ac:dyDescent="0.25">
      <c r="E10889" s="16"/>
      <c r="F10889" s="16"/>
      <c r="H10889" s="16"/>
      <c r="AG10889" s="80"/>
      <c r="AH10889" s="80"/>
      <c r="AI10889" s="80"/>
    </row>
    <row r="10890" spans="5:35" x14ac:dyDescent="0.25">
      <c r="E10890" s="16"/>
      <c r="F10890" s="16"/>
      <c r="H10890" s="16"/>
      <c r="AG10890" s="80"/>
      <c r="AH10890" s="80"/>
      <c r="AI10890" s="80"/>
    </row>
    <row r="10891" spans="5:35" x14ac:dyDescent="0.25">
      <c r="E10891" s="16"/>
      <c r="F10891" s="16"/>
      <c r="H10891" s="16"/>
      <c r="AG10891" s="80"/>
      <c r="AH10891" s="80"/>
      <c r="AI10891" s="80"/>
    </row>
    <row r="10892" spans="5:35" x14ac:dyDescent="0.25">
      <c r="E10892" s="16"/>
      <c r="F10892" s="16"/>
      <c r="H10892" s="16"/>
      <c r="AG10892" s="80"/>
      <c r="AH10892" s="80"/>
      <c r="AI10892" s="80"/>
    </row>
    <row r="10893" spans="5:35" x14ac:dyDescent="0.25">
      <c r="E10893" s="16"/>
      <c r="F10893" s="16"/>
      <c r="H10893" s="16"/>
      <c r="AG10893" s="80"/>
      <c r="AH10893" s="80"/>
      <c r="AI10893" s="80"/>
    </row>
    <row r="10894" spans="5:35" x14ac:dyDescent="0.25">
      <c r="E10894" s="16"/>
      <c r="F10894" s="16"/>
      <c r="H10894" s="16"/>
      <c r="AG10894" s="80"/>
      <c r="AH10894" s="80"/>
      <c r="AI10894" s="80"/>
    </row>
    <row r="10895" spans="5:35" x14ac:dyDescent="0.25">
      <c r="E10895" s="16"/>
      <c r="F10895" s="16"/>
      <c r="H10895" s="16"/>
      <c r="AG10895" s="80"/>
      <c r="AH10895" s="80"/>
      <c r="AI10895" s="80"/>
    </row>
    <row r="10896" spans="5:35" x14ac:dyDescent="0.25">
      <c r="E10896" s="16"/>
      <c r="F10896" s="16"/>
      <c r="H10896" s="16"/>
      <c r="AG10896" s="80"/>
      <c r="AH10896" s="80"/>
      <c r="AI10896" s="80"/>
    </row>
    <row r="10897" spans="5:35" x14ac:dyDescent="0.25">
      <c r="E10897" s="16"/>
      <c r="F10897" s="16"/>
      <c r="H10897" s="16"/>
      <c r="AG10897" s="80"/>
      <c r="AH10897" s="80"/>
      <c r="AI10897" s="80"/>
    </row>
    <row r="10898" spans="5:35" x14ac:dyDescent="0.25">
      <c r="E10898" s="16"/>
      <c r="F10898" s="16"/>
      <c r="H10898" s="16"/>
      <c r="AG10898" s="80"/>
      <c r="AH10898" s="80"/>
      <c r="AI10898" s="80"/>
    </row>
    <row r="10899" spans="5:35" x14ac:dyDescent="0.25">
      <c r="E10899" s="16"/>
      <c r="F10899" s="16"/>
      <c r="H10899" s="16"/>
      <c r="AG10899" s="80"/>
      <c r="AH10899" s="80"/>
      <c r="AI10899" s="80"/>
    </row>
    <row r="10900" spans="5:35" x14ac:dyDescent="0.25">
      <c r="E10900" s="16"/>
      <c r="F10900" s="16"/>
      <c r="H10900" s="16"/>
      <c r="AG10900" s="80"/>
      <c r="AH10900" s="80"/>
      <c r="AI10900" s="80"/>
    </row>
    <row r="10901" spans="5:35" x14ac:dyDescent="0.25">
      <c r="E10901" s="16"/>
      <c r="F10901" s="16"/>
      <c r="H10901" s="16"/>
      <c r="AG10901" s="80"/>
      <c r="AH10901" s="80"/>
      <c r="AI10901" s="80"/>
    </row>
    <row r="10902" spans="5:35" x14ac:dyDescent="0.25">
      <c r="E10902" s="16"/>
      <c r="F10902" s="16"/>
      <c r="H10902" s="16"/>
      <c r="AG10902" s="80"/>
      <c r="AH10902" s="80"/>
      <c r="AI10902" s="80"/>
    </row>
    <row r="10903" spans="5:35" x14ac:dyDescent="0.25">
      <c r="E10903" s="16"/>
      <c r="F10903" s="16"/>
      <c r="H10903" s="16"/>
      <c r="AG10903" s="80"/>
      <c r="AH10903" s="80"/>
      <c r="AI10903" s="80"/>
    </row>
    <row r="10904" spans="5:35" x14ac:dyDescent="0.25">
      <c r="E10904" s="16"/>
      <c r="F10904" s="16"/>
      <c r="H10904" s="16"/>
      <c r="AG10904" s="80"/>
      <c r="AH10904" s="80"/>
      <c r="AI10904" s="80"/>
    </row>
    <row r="10905" spans="5:35" x14ac:dyDescent="0.25">
      <c r="E10905" s="16"/>
      <c r="F10905" s="16"/>
      <c r="H10905" s="16"/>
      <c r="AG10905" s="80"/>
      <c r="AH10905" s="80"/>
      <c r="AI10905" s="80"/>
    </row>
    <row r="10906" spans="5:35" x14ac:dyDescent="0.25">
      <c r="E10906" s="16"/>
      <c r="F10906" s="16"/>
      <c r="H10906" s="16"/>
      <c r="AG10906" s="80"/>
      <c r="AH10906" s="80"/>
      <c r="AI10906" s="80"/>
    </row>
    <row r="10907" spans="5:35" x14ac:dyDescent="0.25">
      <c r="E10907" s="16"/>
      <c r="F10907" s="16"/>
      <c r="H10907" s="16"/>
      <c r="AG10907" s="80"/>
      <c r="AH10907" s="80"/>
      <c r="AI10907" s="80"/>
    </row>
    <row r="10908" spans="5:35" x14ac:dyDescent="0.25">
      <c r="E10908" s="16"/>
      <c r="F10908" s="16"/>
      <c r="H10908" s="16"/>
      <c r="AG10908" s="80"/>
      <c r="AH10908" s="80"/>
      <c r="AI10908" s="80"/>
    </row>
    <row r="10909" spans="5:35" x14ac:dyDescent="0.25">
      <c r="E10909" s="16"/>
      <c r="F10909" s="16"/>
      <c r="H10909" s="16"/>
      <c r="AG10909" s="80"/>
      <c r="AH10909" s="80"/>
      <c r="AI10909" s="80"/>
    </row>
    <row r="10910" spans="5:35" x14ac:dyDescent="0.25">
      <c r="E10910" s="16"/>
      <c r="F10910" s="16"/>
      <c r="H10910" s="16"/>
      <c r="AG10910" s="80"/>
      <c r="AH10910" s="80"/>
      <c r="AI10910" s="80"/>
    </row>
    <row r="10911" spans="5:35" x14ac:dyDescent="0.25">
      <c r="E10911" s="16"/>
      <c r="F10911" s="16"/>
      <c r="H10911" s="16"/>
      <c r="AG10911" s="80"/>
      <c r="AH10911" s="80"/>
      <c r="AI10911" s="80"/>
    </row>
    <row r="10912" spans="5:35" x14ac:dyDescent="0.25">
      <c r="E10912" s="16"/>
      <c r="F10912" s="16"/>
      <c r="H10912" s="16"/>
      <c r="AG10912" s="80"/>
      <c r="AH10912" s="80"/>
      <c r="AI10912" s="80"/>
    </row>
    <row r="10913" spans="5:35" x14ac:dyDescent="0.25">
      <c r="E10913" s="16"/>
      <c r="F10913" s="16"/>
      <c r="H10913" s="16"/>
      <c r="AG10913" s="80"/>
      <c r="AH10913" s="80"/>
      <c r="AI10913" s="80"/>
    </row>
    <row r="10914" spans="5:35" x14ac:dyDescent="0.25">
      <c r="E10914" s="16"/>
      <c r="F10914" s="16"/>
      <c r="H10914" s="16"/>
      <c r="AG10914" s="80"/>
      <c r="AH10914" s="80"/>
      <c r="AI10914" s="80"/>
    </row>
    <row r="10915" spans="5:35" x14ac:dyDescent="0.25">
      <c r="E10915" s="16"/>
      <c r="F10915" s="16"/>
      <c r="H10915" s="16"/>
      <c r="AG10915" s="80"/>
      <c r="AH10915" s="80"/>
      <c r="AI10915" s="80"/>
    </row>
    <row r="10916" spans="5:35" x14ac:dyDescent="0.25">
      <c r="E10916" s="16"/>
      <c r="F10916" s="16"/>
      <c r="H10916" s="16"/>
      <c r="AG10916" s="80"/>
      <c r="AH10916" s="80"/>
      <c r="AI10916" s="80"/>
    </row>
    <row r="10917" spans="5:35" x14ac:dyDescent="0.25">
      <c r="E10917" s="16"/>
      <c r="F10917" s="16"/>
      <c r="H10917" s="16"/>
      <c r="AG10917" s="80"/>
      <c r="AH10917" s="80"/>
      <c r="AI10917" s="80"/>
    </row>
    <row r="10918" spans="5:35" x14ac:dyDescent="0.25">
      <c r="E10918" s="16"/>
      <c r="F10918" s="16"/>
      <c r="H10918" s="16"/>
      <c r="AG10918" s="80"/>
      <c r="AH10918" s="80"/>
      <c r="AI10918" s="80"/>
    </row>
    <row r="10919" spans="5:35" x14ac:dyDescent="0.25">
      <c r="E10919" s="16"/>
      <c r="F10919" s="16"/>
      <c r="H10919" s="16"/>
      <c r="AG10919" s="80"/>
      <c r="AH10919" s="80"/>
      <c r="AI10919" s="80"/>
    </row>
    <row r="10920" spans="5:35" x14ac:dyDescent="0.25">
      <c r="E10920" s="16"/>
      <c r="F10920" s="16"/>
      <c r="H10920" s="16"/>
      <c r="AG10920" s="80"/>
      <c r="AH10920" s="80"/>
      <c r="AI10920" s="80"/>
    </row>
    <row r="10921" spans="5:35" x14ac:dyDescent="0.25">
      <c r="E10921" s="16"/>
      <c r="F10921" s="16"/>
      <c r="H10921" s="16"/>
      <c r="AG10921" s="80"/>
      <c r="AH10921" s="80"/>
      <c r="AI10921" s="80"/>
    </row>
    <row r="10922" spans="5:35" x14ac:dyDescent="0.25">
      <c r="E10922" s="16"/>
      <c r="F10922" s="16"/>
      <c r="H10922" s="16"/>
      <c r="AG10922" s="80"/>
      <c r="AH10922" s="80"/>
      <c r="AI10922" s="80"/>
    </row>
    <row r="10923" spans="5:35" x14ac:dyDescent="0.25">
      <c r="E10923" s="16"/>
      <c r="F10923" s="16"/>
      <c r="H10923" s="16"/>
      <c r="AG10923" s="80"/>
      <c r="AH10923" s="80"/>
      <c r="AI10923" s="80"/>
    </row>
    <row r="10924" spans="5:35" x14ac:dyDescent="0.25">
      <c r="E10924" s="16"/>
      <c r="F10924" s="16"/>
      <c r="H10924" s="16"/>
      <c r="AG10924" s="80"/>
      <c r="AH10924" s="80"/>
      <c r="AI10924" s="80"/>
    </row>
    <row r="10925" spans="5:35" x14ac:dyDescent="0.25">
      <c r="E10925" s="16"/>
      <c r="F10925" s="16"/>
      <c r="H10925" s="16"/>
      <c r="AG10925" s="80"/>
      <c r="AH10925" s="80"/>
      <c r="AI10925" s="80"/>
    </row>
    <row r="10926" spans="5:35" x14ac:dyDescent="0.25">
      <c r="E10926" s="16"/>
      <c r="F10926" s="16"/>
      <c r="H10926" s="16"/>
      <c r="AG10926" s="80"/>
      <c r="AH10926" s="80"/>
      <c r="AI10926" s="80"/>
    </row>
    <row r="10927" spans="5:35" x14ac:dyDescent="0.25">
      <c r="E10927" s="16"/>
      <c r="F10927" s="16"/>
      <c r="H10927" s="16"/>
      <c r="AG10927" s="80"/>
      <c r="AH10927" s="80"/>
      <c r="AI10927" s="80"/>
    </row>
    <row r="10928" spans="5:35" x14ac:dyDescent="0.25">
      <c r="E10928" s="16"/>
      <c r="F10928" s="16"/>
      <c r="H10928" s="16"/>
      <c r="AG10928" s="80"/>
      <c r="AH10928" s="80"/>
      <c r="AI10928" s="80"/>
    </row>
    <row r="10929" spans="5:35" x14ac:dyDescent="0.25">
      <c r="E10929" s="16"/>
      <c r="F10929" s="16"/>
      <c r="H10929" s="16"/>
      <c r="AG10929" s="80"/>
      <c r="AH10929" s="80"/>
      <c r="AI10929" s="80"/>
    </row>
    <row r="10930" spans="5:35" x14ac:dyDescent="0.25">
      <c r="E10930" s="16"/>
      <c r="F10930" s="16"/>
      <c r="H10930" s="16"/>
      <c r="AG10930" s="80"/>
      <c r="AH10930" s="80"/>
      <c r="AI10930" s="80"/>
    </row>
    <row r="10931" spans="5:35" x14ac:dyDescent="0.25">
      <c r="E10931" s="16"/>
      <c r="F10931" s="16"/>
      <c r="H10931" s="16"/>
      <c r="AG10931" s="80"/>
      <c r="AH10931" s="80"/>
      <c r="AI10931" s="80"/>
    </row>
    <row r="10932" spans="5:35" x14ac:dyDescent="0.25">
      <c r="E10932" s="16"/>
      <c r="F10932" s="16"/>
      <c r="H10932" s="16"/>
      <c r="AG10932" s="80"/>
      <c r="AH10932" s="80"/>
      <c r="AI10932" s="80"/>
    </row>
    <row r="10933" spans="5:35" x14ac:dyDescent="0.25">
      <c r="E10933" s="16"/>
      <c r="F10933" s="16"/>
      <c r="H10933" s="16"/>
      <c r="AG10933" s="80"/>
      <c r="AH10933" s="80"/>
      <c r="AI10933" s="80"/>
    </row>
    <row r="10934" spans="5:35" x14ac:dyDescent="0.25">
      <c r="E10934" s="16"/>
      <c r="F10934" s="16"/>
      <c r="H10934" s="16"/>
      <c r="AG10934" s="80"/>
      <c r="AH10934" s="80"/>
      <c r="AI10934" s="80"/>
    </row>
    <row r="10935" spans="5:35" x14ac:dyDescent="0.25">
      <c r="E10935" s="16"/>
      <c r="F10935" s="16"/>
      <c r="H10935" s="16"/>
      <c r="AG10935" s="80"/>
      <c r="AH10935" s="80"/>
      <c r="AI10935" s="80"/>
    </row>
    <row r="10936" spans="5:35" x14ac:dyDescent="0.25">
      <c r="E10936" s="16"/>
      <c r="F10936" s="16"/>
      <c r="H10936" s="16"/>
      <c r="AG10936" s="80"/>
      <c r="AH10936" s="80"/>
      <c r="AI10936" s="80"/>
    </row>
    <row r="10937" spans="5:35" x14ac:dyDescent="0.25">
      <c r="E10937" s="16"/>
      <c r="F10937" s="16"/>
      <c r="H10937" s="16"/>
      <c r="AG10937" s="80"/>
      <c r="AH10937" s="80"/>
      <c r="AI10937" s="80"/>
    </row>
    <row r="10938" spans="5:35" x14ac:dyDescent="0.25">
      <c r="E10938" s="16"/>
      <c r="F10938" s="16"/>
      <c r="H10938" s="16"/>
      <c r="AG10938" s="80"/>
      <c r="AH10938" s="80"/>
      <c r="AI10938" s="80"/>
    </row>
    <row r="10939" spans="5:35" x14ac:dyDescent="0.25">
      <c r="E10939" s="16"/>
      <c r="F10939" s="16"/>
      <c r="H10939" s="16"/>
      <c r="AG10939" s="80"/>
      <c r="AH10939" s="80"/>
      <c r="AI10939" s="80"/>
    </row>
    <row r="10940" spans="5:35" x14ac:dyDescent="0.25">
      <c r="E10940" s="16"/>
      <c r="F10940" s="16"/>
      <c r="H10940" s="16"/>
      <c r="AG10940" s="80"/>
      <c r="AH10940" s="80"/>
      <c r="AI10940" s="80"/>
    </row>
    <row r="10941" spans="5:35" x14ac:dyDescent="0.25">
      <c r="E10941" s="16"/>
      <c r="F10941" s="16"/>
      <c r="H10941" s="16"/>
      <c r="AG10941" s="80"/>
      <c r="AH10941" s="80"/>
      <c r="AI10941" s="80"/>
    </row>
    <row r="10942" spans="5:35" x14ac:dyDescent="0.25">
      <c r="E10942" s="16"/>
      <c r="F10942" s="16"/>
      <c r="H10942" s="16"/>
      <c r="AG10942" s="80"/>
      <c r="AH10942" s="80"/>
      <c r="AI10942" s="80"/>
    </row>
    <row r="10943" spans="5:35" x14ac:dyDescent="0.25">
      <c r="E10943" s="16"/>
      <c r="F10943" s="16"/>
      <c r="H10943" s="16"/>
      <c r="AG10943" s="80"/>
      <c r="AH10943" s="80"/>
      <c r="AI10943" s="80"/>
    </row>
    <row r="10944" spans="5:35" x14ac:dyDescent="0.25">
      <c r="E10944" s="16"/>
      <c r="F10944" s="16"/>
      <c r="H10944" s="16"/>
      <c r="AG10944" s="80"/>
      <c r="AH10944" s="80"/>
      <c r="AI10944" s="80"/>
    </row>
    <row r="10945" spans="5:35" x14ac:dyDescent="0.25">
      <c r="E10945" s="16"/>
      <c r="F10945" s="16"/>
      <c r="H10945" s="16"/>
      <c r="AG10945" s="80"/>
      <c r="AH10945" s="80"/>
      <c r="AI10945" s="80"/>
    </row>
    <row r="10946" spans="5:35" x14ac:dyDescent="0.25">
      <c r="E10946" s="16"/>
      <c r="F10946" s="16"/>
      <c r="H10946" s="16"/>
      <c r="AG10946" s="80"/>
      <c r="AH10946" s="80"/>
      <c r="AI10946" s="80"/>
    </row>
    <row r="10947" spans="5:35" x14ac:dyDescent="0.25">
      <c r="E10947" s="16"/>
      <c r="F10947" s="16"/>
      <c r="H10947" s="16"/>
      <c r="AG10947" s="80"/>
      <c r="AH10947" s="80"/>
      <c r="AI10947" s="80"/>
    </row>
    <row r="10948" spans="5:35" x14ac:dyDescent="0.25">
      <c r="E10948" s="16"/>
      <c r="F10948" s="16"/>
      <c r="H10948" s="16"/>
      <c r="AG10948" s="80"/>
      <c r="AH10948" s="80"/>
      <c r="AI10948" s="80"/>
    </row>
    <row r="10949" spans="5:35" x14ac:dyDescent="0.25">
      <c r="E10949" s="16"/>
      <c r="F10949" s="16"/>
      <c r="H10949" s="16"/>
      <c r="AG10949" s="80"/>
      <c r="AH10949" s="80"/>
      <c r="AI10949" s="80"/>
    </row>
    <row r="10950" spans="5:35" x14ac:dyDescent="0.25">
      <c r="E10950" s="16"/>
      <c r="F10950" s="16"/>
      <c r="H10950" s="16"/>
      <c r="AG10950" s="80"/>
      <c r="AH10950" s="80"/>
      <c r="AI10950" s="80"/>
    </row>
    <row r="10951" spans="5:35" x14ac:dyDescent="0.25">
      <c r="E10951" s="16"/>
      <c r="F10951" s="16"/>
      <c r="H10951" s="16"/>
      <c r="AG10951" s="80"/>
      <c r="AH10951" s="80"/>
      <c r="AI10951" s="80"/>
    </row>
    <row r="10952" spans="5:35" x14ac:dyDescent="0.25">
      <c r="E10952" s="16"/>
      <c r="F10952" s="16"/>
      <c r="H10952" s="16"/>
      <c r="AG10952" s="80"/>
      <c r="AH10952" s="80"/>
      <c r="AI10952" s="80"/>
    </row>
    <row r="10953" spans="5:35" x14ac:dyDescent="0.25">
      <c r="E10953" s="16"/>
      <c r="F10953" s="16"/>
      <c r="H10953" s="16"/>
      <c r="AG10953" s="80"/>
      <c r="AH10953" s="80"/>
      <c r="AI10953" s="80"/>
    </row>
    <row r="10954" spans="5:35" x14ac:dyDescent="0.25">
      <c r="E10954" s="16"/>
      <c r="F10954" s="16"/>
      <c r="H10954" s="16"/>
      <c r="AG10954" s="80"/>
      <c r="AH10954" s="80"/>
      <c r="AI10954" s="80"/>
    </row>
    <row r="10955" spans="5:35" x14ac:dyDescent="0.25">
      <c r="E10955" s="16"/>
      <c r="F10955" s="16"/>
      <c r="H10955" s="16"/>
      <c r="AG10955" s="80"/>
      <c r="AH10955" s="80"/>
      <c r="AI10955" s="80"/>
    </row>
    <row r="10956" spans="5:35" x14ac:dyDescent="0.25">
      <c r="E10956" s="16"/>
      <c r="F10956" s="16"/>
      <c r="H10956" s="16"/>
      <c r="AG10956" s="80"/>
      <c r="AH10956" s="80"/>
      <c r="AI10956" s="80"/>
    </row>
    <row r="10957" spans="5:35" x14ac:dyDescent="0.25">
      <c r="E10957" s="16"/>
      <c r="F10957" s="16"/>
      <c r="H10957" s="16"/>
      <c r="AG10957" s="80"/>
      <c r="AH10957" s="80"/>
      <c r="AI10957" s="80"/>
    </row>
    <row r="10958" spans="5:35" x14ac:dyDescent="0.25">
      <c r="E10958" s="16"/>
      <c r="F10958" s="16"/>
      <c r="H10958" s="16"/>
      <c r="AG10958" s="80"/>
      <c r="AH10958" s="80"/>
      <c r="AI10958" s="80"/>
    </row>
    <row r="10959" spans="5:35" x14ac:dyDescent="0.25">
      <c r="E10959" s="16"/>
      <c r="F10959" s="16"/>
      <c r="H10959" s="16"/>
      <c r="AG10959" s="80"/>
      <c r="AH10959" s="80"/>
      <c r="AI10959" s="80"/>
    </row>
    <row r="10960" spans="5:35" x14ac:dyDescent="0.25">
      <c r="E10960" s="16"/>
      <c r="F10960" s="16"/>
      <c r="H10960" s="16"/>
      <c r="AG10960" s="80"/>
      <c r="AH10960" s="80"/>
      <c r="AI10960" s="80"/>
    </row>
    <row r="10961" spans="5:35" x14ac:dyDescent="0.25">
      <c r="E10961" s="16"/>
      <c r="F10961" s="16"/>
      <c r="H10961" s="16"/>
      <c r="AG10961" s="80"/>
      <c r="AH10961" s="80"/>
      <c r="AI10961" s="80"/>
    </row>
    <row r="10962" spans="5:35" x14ac:dyDescent="0.25">
      <c r="E10962" s="16"/>
      <c r="F10962" s="16"/>
      <c r="H10962" s="16"/>
      <c r="AG10962" s="80"/>
      <c r="AH10962" s="80"/>
      <c r="AI10962" s="80"/>
    </row>
    <row r="10963" spans="5:35" x14ac:dyDescent="0.25">
      <c r="E10963" s="16"/>
      <c r="F10963" s="16"/>
      <c r="H10963" s="16"/>
      <c r="AG10963" s="80"/>
      <c r="AH10963" s="80"/>
      <c r="AI10963" s="80"/>
    </row>
    <row r="10964" spans="5:35" x14ac:dyDescent="0.25">
      <c r="E10964" s="16"/>
      <c r="F10964" s="16"/>
      <c r="H10964" s="16"/>
      <c r="AG10964" s="80"/>
      <c r="AH10964" s="80"/>
      <c r="AI10964" s="80"/>
    </row>
    <row r="10965" spans="5:35" x14ac:dyDescent="0.25">
      <c r="E10965" s="16"/>
      <c r="F10965" s="16"/>
      <c r="H10965" s="16"/>
      <c r="AG10965" s="80"/>
      <c r="AH10965" s="80"/>
      <c r="AI10965" s="80"/>
    </row>
    <row r="10966" spans="5:35" x14ac:dyDescent="0.25">
      <c r="E10966" s="16"/>
      <c r="F10966" s="16"/>
      <c r="H10966" s="16"/>
      <c r="AG10966" s="80"/>
      <c r="AH10966" s="80"/>
      <c r="AI10966" s="80"/>
    </row>
    <row r="10967" spans="5:35" x14ac:dyDescent="0.25">
      <c r="E10967" s="16"/>
      <c r="F10967" s="16"/>
      <c r="H10967" s="16"/>
      <c r="AG10967" s="80"/>
      <c r="AH10967" s="80"/>
      <c r="AI10967" s="80"/>
    </row>
    <row r="10968" spans="5:35" x14ac:dyDescent="0.25">
      <c r="E10968" s="16"/>
      <c r="F10968" s="16"/>
      <c r="H10968" s="16"/>
      <c r="AG10968" s="80"/>
      <c r="AH10968" s="80"/>
      <c r="AI10968" s="80"/>
    </row>
    <row r="10969" spans="5:35" x14ac:dyDescent="0.25">
      <c r="E10969" s="16"/>
      <c r="F10969" s="16"/>
      <c r="H10969" s="16"/>
      <c r="AG10969" s="80"/>
      <c r="AH10969" s="80"/>
      <c r="AI10969" s="80"/>
    </row>
    <row r="10970" spans="5:35" x14ac:dyDescent="0.25">
      <c r="E10970" s="16"/>
      <c r="F10970" s="16"/>
      <c r="H10970" s="16"/>
      <c r="AG10970" s="80"/>
      <c r="AH10970" s="80"/>
      <c r="AI10970" s="80"/>
    </row>
    <row r="10971" spans="5:35" x14ac:dyDescent="0.25">
      <c r="E10971" s="16"/>
      <c r="F10971" s="16"/>
      <c r="H10971" s="16"/>
      <c r="AG10971" s="80"/>
      <c r="AH10971" s="80"/>
      <c r="AI10971" s="80"/>
    </row>
    <row r="10972" spans="5:35" x14ac:dyDescent="0.25">
      <c r="E10972" s="16"/>
      <c r="F10972" s="16"/>
      <c r="H10972" s="16"/>
      <c r="AG10972" s="80"/>
      <c r="AH10972" s="80"/>
      <c r="AI10972" s="80"/>
    </row>
    <row r="10973" spans="5:35" x14ac:dyDescent="0.25">
      <c r="E10973" s="16"/>
      <c r="F10973" s="16"/>
      <c r="H10973" s="16"/>
      <c r="AG10973" s="80"/>
      <c r="AH10973" s="80"/>
      <c r="AI10973" s="80"/>
    </row>
    <row r="10974" spans="5:35" x14ac:dyDescent="0.25">
      <c r="E10974" s="16"/>
      <c r="F10974" s="16"/>
      <c r="H10974" s="16"/>
      <c r="AG10974" s="80"/>
      <c r="AH10974" s="80"/>
      <c r="AI10974" s="80"/>
    </row>
    <row r="10975" spans="5:35" x14ac:dyDescent="0.25">
      <c r="E10975" s="16"/>
      <c r="F10975" s="16"/>
      <c r="H10975" s="16"/>
      <c r="AG10975" s="80"/>
      <c r="AH10975" s="80"/>
      <c r="AI10975" s="80"/>
    </row>
    <row r="10976" spans="5:35" x14ac:dyDescent="0.25">
      <c r="E10976" s="16"/>
      <c r="F10976" s="16"/>
      <c r="H10976" s="16"/>
      <c r="AG10976" s="80"/>
      <c r="AH10976" s="80"/>
      <c r="AI10976" s="80"/>
    </row>
    <row r="10977" spans="5:35" x14ac:dyDescent="0.25">
      <c r="E10977" s="16"/>
      <c r="F10977" s="16"/>
      <c r="H10977" s="16"/>
      <c r="AG10977" s="80"/>
      <c r="AH10977" s="80"/>
      <c r="AI10977" s="80"/>
    </row>
    <row r="10978" spans="5:35" x14ac:dyDescent="0.25">
      <c r="E10978" s="16"/>
      <c r="F10978" s="16"/>
      <c r="H10978" s="16"/>
      <c r="AG10978" s="80"/>
      <c r="AH10978" s="80"/>
      <c r="AI10978" s="80"/>
    </row>
    <row r="10979" spans="5:35" x14ac:dyDescent="0.25">
      <c r="E10979" s="16"/>
      <c r="F10979" s="16"/>
      <c r="H10979" s="16"/>
      <c r="AG10979" s="80"/>
      <c r="AH10979" s="80"/>
      <c r="AI10979" s="80"/>
    </row>
    <row r="10980" spans="5:35" x14ac:dyDescent="0.25">
      <c r="E10980" s="16"/>
      <c r="F10980" s="16"/>
      <c r="H10980" s="16"/>
      <c r="AG10980" s="80"/>
      <c r="AH10980" s="80"/>
      <c r="AI10980" s="80"/>
    </row>
    <row r="10981" spans="5:35" x14ac:dyDescent="0.25">
      <c r="E10981" s="16"/>
      <c r="F10981" s="16"/>
      <c r="H10981" s="16"/>
      <c r="AG10981" s="80"/>
      <c r="AH10981" s="80"/>
      <c r="AI10981" s="80"/>
    </row>
    <row r="10982" spans="5:35" x14ac:dyDescent="0.25">
      <c r="E10982" s="16"/>
      <c r="F10982" s="16"/>
      <c r="H10982" s="16"/>
      <c r="AG10982" s="80"/>
      <c r="AH10982" s="80"/>
      <c r="AI10982" s="80"/>
    </row>
    <row r="10983" spans="5:35" x14ac:dyDescent="0.25">
      <c r="E10983" s="16"/>
      <c r="F10983" s="16"/>
      <c r="H10983" s="16"/>
      <c r="AG10983" s="80"/>
      <c r="AH10983" s="80"/>
      <c r="AI10983" s="80"/>
    </row>
    <row r="10984" spans="5:35" x14ac:dyDescent="0.25">
      <c r="E10984" s="16"/>
      <c r="F10984" s="16"/>
      <c r="H10984" s="16"/>
      <c r="AG10984" s="80"/>
      <c r="AH10984" s="80"/>
      <c r="AI10984" s="80"/>
    </row>
    <row r="10985" spans="5:35" x14ac:dyDescent="0.25">
      <c r="E10985" s="16"/>
      <c r="F10985" s="16"/>
      <c r="H10985" s="16"/>
      <c r="AG10985" s="80"/>
      <c r="AH10985" s="80"/>
      <c r="AI10985" s="80"/>
    </row>
    <row r="10986" spans="5:35" x14ac:dyDescent="0.25">
      <c r="E10986" s="16"/>
      <c r="F10986" s="16"/>
      <c r="H10986" s="16"/>
      <c r="AG10986" s="80"/>
      <c r="AH10986" s="80"/>
      <c r="AI10986" s="80"/>
    </row>
    <row r="10987" spans="5:35" x14ac:dyDescent="0.25">
      <c r="E10987" s="16"/>
      <c r="F10987" s="16"/>
      <c r="H10987" s="16"/>
      <c r="AG10987" s="80"/>
      <c r="AH10987" s="80"/>
      <c r="AI10987" s="80"/>
    </row>
    <row r="10988" spans="5:35" x14ac:dyDescent="0.25">
      <c r="E10988" s="16"/>
      <c r="F10988" s="16"/>
      <c r="H10988" s="16"/>
      <c r="AG10988" s="80"/>
      <c r="AH10988" s="80"/>
      <c r="AI10988" s="80"/>
    </row>
    <row r="10989" spans="5:35" x14ac:dyDescent="0.25">
      <c r="E10989" s="16"/>
      <c r="F10989" s="16"/>
      <c r="H10989" s="16"/>
      <c r="AG10989" s="80"/>
      <c r="AH10989" s="80"/>
      <c r="AI10989" s="80"/>
    </row>
    <row r="10990" spans="5:35" x14ac:dyDescent="0.25">
      <c r="E10990" s="16"/>
      <c r="F10990" s="16"/>
      <c r="H10990" s="16"/>
      <c r="AG10990" s="80"/>
      <c r="AH10990" s="80"/>
      <c r="AI10990" s="80"/>
    </row>
    <row r="10991" spans="5:35" x14ac:dyDescent="0.25">
      <c r="E10991" s="16"/>
      <c r="F10991" s="16"/>
      <c r="H10991" s="16"/>
      <c r="AG10991" s="80"/>
      <c r="AH10991" s="80"/>
      <c r="AI10991" s="80"/>
    </row>
    <row r="10992" spans="5:35" x14ac:dyDescent="0.25">
      <c r="E10992" s="16"/>
      <c r="F10992" s="16"/>
      <c r="H10992" s="16"/>
      <c r="AG10992" s="80"/>
      <c r="AH10992" s="80"/>
      <c r="AI10992" s="80"/>
    </row>
    <row r="10993" spans="5:35" x14ac:dyDescent="0.25">
      <c r="E10993" s="16"/>
      <c r="F10993" s="16"/>
      <c r="H10993" s="16"/>
      <c r="AG10993" s="80"/>
      <c r="AH10993" s="80"/>
      <c r="AI10993" s="80"/>
    </row>
    <row r="10994" spans="5:35" x14ac:dyDescent="0.25">
      <c r="E10994" s="16"/>
      <c r="F10994" s="16"/>
      <c r="H10994" s="16"/>
      <c r="AG10994" s="80"/>
      <c r="AH10994" s="80"/>
      <c r="AI10994" s="80"/>
    </row>
    <row r="10995" spans="5:35" x14ac:dyDescent="0.25">
      <c r="E10995" s="16"/>
      <c r="F10995" s="16"/>
      <c r="H10995" s="16"/>
      <c r="AG10995" s="80"/>
      <c r="AH10995" s="80"/>
      <c r="AI10995" s="80"/>
    </row>
    <row r="10996" spans="5:35" x14ac:dyDescent="0.25">
      <c r="E10996" s="16"/>
      <c r="F10996" s="16"/>
      <c r="H10996" s="16"/>
      <c r="AG10996" s="80"/>
      <c r="AH10996" s="80"/>
      <c r="AI10996" s="80"/>
    </row>
    <row r="10997" spans="5:35" x14ac:dyDescent="0.25">
      <c r="E10997" s="16"/>
      <c r="F10997" s="16"/>
      <c r="H10997" s="16"/>
      <c r="AG10997" s="80"/>
      <c r="AH10997" s="80"/>
      <c r="AI10997" s="80"/>
    </row>
    <row r="10998" spans="5:35" x14ac:dyDescent="0.25">
      <c r="E10998" s="16"/>
      <c r="F10998" s="16"/>
      <c r="H10998" s="16"/>
      <c r="AG10998" s="80"/>
      <c r="AH10998" s="80"/>
      <c r="AI10998" s="80"/>
    </row>
    <row r="10999" spans="5:35" x14ac:dyDescent="0.25">
      <c r="E10999" s="16"/>
      <c r="F10999" s="16"/>
      <c r="H10999" s="16"/>
      <c r="AG10999" s="80"/>
      <c r="AH10999" s="80"/>
      <c r="AI10999" s="80"/>
    </row>
    <row r="11000" spans="5:35" x14ac:dyDescent="0.25">
      <c r="E11000" s="16"/>
      <c r="F11000" s="16"/>
      <c r="H11000" s="16"/>
      <c r="AG11000" s="80"/>
      <c r="AH11000" s="80"/>
      <c r="AI11000" s="80"/>
    </row>
    <row r="11001" spans="5:35" x14ac:dyDescent="0.25">
      <c r="E11001" s="16"/>
      <c r="F11001" s="16"/>
      <c r="H11001" s="16"/>
      <c r="AG11001" s="80"/>
      <c r="AH11001" s="80"/>
      <c r="AI11001" s="80"/>
    </row>
    <row r="11002" spans="5:35" x14ac:dyDescent="0.25">
      <c r="E11002" s="16"/>
      <c r="F11002" s="16"/>
      <c r="H11002" s="16"/>
      <c r="AG11002" s="80"/>
      <c r="AH11002" s="80"/>
      <c r="AI11002" s="80"/>
    </row>
    <row r="11003" spans="5:35" x14ac:dyDescent="0.25">
      <c r="E11003" s="16"/>
      <c r="F11003" s="16"/>
      <c r="H11003" s="16"/>
      <c r="AG11003" s="80"/>
      <c r="AH11003" s="80"/>
      <c r="AI11003" s="80"/>
    </row>
    <row r="11004" spans="5:35" x14ac:dyDescent="0.25">
      <c r="E11004" s="16"/>
      <c r="F11004" s="16"/>
      <c r="H11004" s="16"/>
      <c r="AG11004" s="80"/>
      <c r="AH11004" s="80"/>
      <c r="AI11004" s="80"/>
    </row>
    <row r="11005" spans="5:35" x14ac:dyDescent="0.25">
      <c r="E11005" s="16"/>
      <c r="F11005" s="16"/>
      <c r="H11005" s="16"/>
      <c r="AG11005" s="80"/>
      <c r="AH11005" s="80"/>
      <c r="AI11005" s="80"/>
    </row>
    <row r="11006" spans="5:35" x14ac:dyDescent="0.25">
      <c r="E11006" s="16"/>
      <c r="F11006" s="16"/>
      <c r="H11006" s="16"/>
      <c r="AG11006" s="80"/>
      <c r="AH11006" s="80"/>
      <c r="AI11006" s="80"/>
    </row>
    <row r="11007" spans="5:35" x14ac:dyDescent="0.25">
      <c r="E11007" s="16"/>
      <c r="F11007" s="16"/>
      <c r="H11007" s="16"/>
      <c r="AG11007" s="80"/>
      <c r="AH11007" s="80"/>
      <c r="AI11007" s="80"/>
    </row>
    <row r="11008" spans="5:35" x14ac:dyDescent="0.25">
      <c r="E11008" s="16"/>
      <c r="F11008" s="16"/>
      <c r="H11008" s="16"/>
      <c r="AG11008" s="80"/>
      <c r="AH11008" s="80"/>
      <c r="AI11008" s="80"/>
    </row>
    <row r="11009" spans="5:35" x14ac:dyDescent="0.25">
      <c r="E11009" s="16"/>
      <c r="F11009" s="16"/>
      <c r="H11009" s="16"/>
      <c r="AG11009" s="80"/>
      <c r="AH11009" s="80"/>
      <c r="AI11009" s="80"/>
    </row>
    <row r="11010" spans="5:35" x14ac:dyDescent="0.25">
      <c r="E11010" s="16"/>
      <c r="F11010" s="16"/>
      <c r="H11010" s="16"/>
      <c r="AG11010" s="80"/>
      <c r="AH11010" s="80"/>
      <c r="AI11010" s="80"/>
    </row>
    <row r="11011" spans="5:35" x14ac:dyDescent="0.25">
      <c r="E11011" s="16"/>
      <c r="F11011" s="16"/>
      <c r="H11011" s="16"/>
      <c r="AG11011" s="80"/>
      <c r="AH11011" s="80"/>
      <c r="AI11011" s="80"/>
    </row>
    <row r="11012" spans="5:35" x14ac:dyDescent="0.25">
      <c r="E11012" s="16"/>
      <c r="F11012" s="16"/>
      <c r="H11012" s="16"/>
      <c r="AG11012" s="80"/>
      <c r="AH11012" s="80"/>
      <c r="AI11012" s="80"/>
    </row>
    <row r="11013" spans="5:35" x14ac:dyDescent="0.25">
      <c r="E11013" s="16"/>
      <c r="F11013" s="16"/>
      <c r="H11013" s="16"/>
      <c r="AG11013" s="80"/>
      <c r="AH11013" s="80"/>
      <c r="AI11013" s="80"/>
    </row>
    <row r="11014" spans="5:35" x14ac:dyDescent="0.25">
      <c r="E11014" s="16"/>
      <c r="F11014" s="16"/>
      <c r="H11014" s="16"/>
      <c r="AG11014" s="80"/>
      <c r="AH11014" s="80"/>
      <c r="AI11014" s="80"/>
    </row>
    <row r="11015" spans="5:35" x14ac:dyDescent="0.25">
      <c r="E11015" s="16"/>
      <c r="F11015" s="16"/>
      <c r="H11015" s="16"/>
      <c r="AG11015" s="80"/>
      <c r="AH11015" s="80"/>
      <c r="AI11015" s="80"/>
    </row>
    <row r="11016" spans="5:35" x14ac:dyDescent="0.25">
      <c r="E11016" s="16"/>
      <c r="F11016" s="16"/>
      <c r="H11016" s="16"/>
      <c r="AG11016" s="80"/>
      <c r="AH11016" s="80"/>
      <c r="AI11016" s="80"/>
    </row>
    <row r="11017" spans="5:35" x14ac:dyDescent="0.25">
      <c r="E11017" s="16"/>
      <c r="F11017" s="16"/>
      <c r="H11017" s="16"/>
      <c r="AG11017" s="80"/>
      <c r="AH11017" s="80"/>
      <c r="AI11017" s="80"/>
    </row>
    <row r="11018" spans="5:35" x14ac:dyDescent="0.25">
      <c r="E11018" s="16"/>
      <c r="F11018" s="16"/>
      <c r="H11018" s="16"/>
      <c r="AG11018" s="80"/>
      <c r="AH11018" s="80"/>
      <c r="AI11018" s="80"/>
    </row>
    <row r="11019" spans="5:35" x14ac:dyDescent="0.25">
      <c r="E11019" s="16"/>
      <c r="F11019" s="16"/>
      <c r="H11019" s="16"/>
      <c r="AG11019" s="80"/>
      <c r="AH11019" s="80"/>
      <c r="AI11019" s="80"/>
    </row>
    <row r="11020" spans="5:35" x14ac:dyDescent="0.25">
      <c r="E11020" s="16"/>
      <c r="F11020" s="16"/>
      <c r="H11020" s="16"/>
      <c r="AG11020" s="80"/>
      <c r="AH11020" s="80"/>
      <c r="AI11020" s="80"/>
    </row>
    <row r="11021" spans="5:35" x14ac:dyDescent="0.25">
      <c r="E11021" s="16"/>
      <c r="F11021" s="16"/>
      <c r="H11021" s="16"/>
      <c r="AG11021" s="80"/>
      <c r="AH11021" s="80"/>
      <c r="AI11021" s="80"/>
    </row>
    <row r="11022" spans="5:35" x14ac:dyDescent="0.25">
      <c r="E11022" s="16"/>
      <c r="F11022" s="16"/>
      <c r="H11022" s="16"/>
      <c r="AG11022" s="80"/>
      <c r="AH11022" s="80"/>
      <c r="AI11022" s="80"/>
    </row>
    <row r="11023" spans="5:35" x14ac:dyDescent="0.25">
      <c r="E11023" s="16"/>
      <c r="F11023" s="16"/>
      <c r="H11023" s="16"/>
      <c r="AG11023" s="80"/>
      <c r="AH11023" s="80"/>
      <c r="AI11023" s="80"/>
    </row>
    <row r="11024" spans="5:35" x14ac:dyDescent="0.25">
      <c r="E11024" s="16"/>
      <c r="F11024" s="16"/>
      <c r="H11024" s="16"/>
      <c r="AG11024" s="80"/>
      <c r="AH11024" s="80"/>
      <c r="AI11024" s="80"/>
    </row>
    <row r="11025" spans="5:35" x14ac:dyDescent="0.25">
      <c r="E11025" s="16"/>
      <c r="F11025" s="16"/>
      <c r="H11025" s="16"/>
      <c r="AG11025" s="80"/>
      <c r="AH11025" s="80"/>
      <c r="AI11025" s="80"/>
    </row>
    <row r="11026" spans="5:35" x14ac:dyDescent="0.25">
      <c r="E11026" s="16"/>
      <c r="F11026" s="16"/>
      <c r="H11026" s="16"/>
      <c r="AG11026" s="80"/>
      <c r="AH11026" s="80"/>
      <c r="AI11026" s="80"/>
    </row>
    <row r="11027" spans="5:35" x14ac:dyDescent="0.25">
      <c r="E11027" s="16"/>
      <c r="F11027" s="16"/>
      <c r="H11027" s="16"/>
      <c r="AG11027" s="80"/>
      <c r="AH11027" s="80"/>
      <c r="AI11027" s="80"/>
    </row>
    <row r="11028" spans="5:35" x14ac:dyDescent="0.25">
      <c r="E11028" s="16"/>
      <c r="F11028" s="16"/>
      <c r="H11028" s="16"/>
      <c r="AG11028" s="80"/>
      <c r="AH11028" s="80"/>
      <c r="AI11028" s="80"/>
    </row>
    <row r="11029" spans="5:35" x14ac:dyDescent="0.25">
      <c r="E11029" s="16"/>
      <c r="F11029" s="16"/>
      <c r="H11029" s="16"/>
      <c r="AG11029" s="80"/>
      <c r="AH11029" s="80"/>
      <c r="AI11029" s="80"/>
    </row>
    <row r="11030" spans="5:35" x14ac:dyDescent="0.25">
      <c r="E11030" s="16"/>
      <c r="F11030" s="16"/>
      <c r="H11030" s="16"/>
      <c r="AG11030" s="80"/>
      <c r="AH11030" s="80"/>
      <c r="AI11030" s="80"/>
    </row>
    <row r="11031" spans="5:35" x14ac:dyDescent="0.25">
      <c r="E11031" s="16"/>
      <c r="F11031" s="16"/>
      <c r="H11031" s="16"/>
      <c r="AG11031" s="80"/>
      <c r="AH11031" s="80"/>
      <c r="AI11031" s="80"/>
    </row>
    <row r="11032" spans="5:35" x14ac:dyDescent="0.25">
      <c r="E11032" s="16"/>
      <c r="F11032" s="16"/>
      <c r="H11032" s="16"/>
      <c r="AG11032" s="80"/>
      <c r="AH11032" s="80"/>
      <c r="AI11032" s="80"/>
    </row>
    <row r="11033" spans="5:35" x14ac:dyDescent="0.25">
      <c r="E11033" s="16"/>
      <c r="F11033" s="16"/>
      <c r="H11033" s="16"/>
      <c r="AG11033" s="80"/>
      <c r="AH11033" s="80"/>
      <c r="AI11033" s="80"/>
    </row>
    <row r="11034" spans="5:35" x14ac:dyDescent="0.25">
      <c r="E11034" s="16"/>
      <c r="F11034" s="16"/>
      <c r="H11034" s="16"/>
      <c r="AG11034" s="80"/>
      <c r="AH11034" s="80"/>
      <c r="AI11034" s="80"/>
    </row>
    <row r="11035" spans="5:35" x14ac:dyDescent="0.25">
      <c r="E11035" s="16"/>
      <c r="F11035" s="16"/>
      <c r="H11035" s="16"/>
      <c r="AG11035" s="80"/>
      <c r="AH11035" s="80"/>
      <c r="AI11035" s="80"/>
    </row>
    <row r="11036" spans="5:35" x14ac:dyDescent="0.25">
      <c r="E11036" s="16"/>
      <c r="F11036" s="16"/>
      <c r="H11036" s="16"/>
      <c r="AG11036" s="80"/>
      <c r="AH11036" s="80"/>
      <c r="AI11036" s="80"/>
    </row>
    <row r="11037" spans="5:35" x14ac:dyDescent="0.25">
      <c r="E11037" s="16"/>
      <c r="F11037" s="16"/>
      <c r="H11037" s="16"/>
      <c r="AG11037" s="80"/>
      <c r="AH11037" s="80"/>
      <c r="AI11037" s="80"/>
    </row>
    <row r="11038" spans="5:35" x14ac:dyDescent="0.25">
      <c r="E11038" s="16"/>
      <c r="F11038" s="16"/>
      <c r="H11038" s="16"/>
      <c r="AG11038" s="80"/>
      <c r="AH11038" s="80"/>
      <c r="AI11038" s="80"/>
    </row>
    <row r="11039" spans="5:35" x14ac:dyDescent="0.25">
      <c r="E11039" s="16"/>
      <c r="F11039" s="16"/>
      <c r="H11039" s="16"/>
      <c r="AG11039" s="80"/>
      <c r="AH11039" s="80"/>
      <c r="AI11039" s="80"/>
    </row>
    <row r="11040" spans="5:35" x14ac:dyDescent="0.25">
      <c r="E11040" s="16"/>
      <c r="F11040" s="16"/>
      <c r="H11040" s="16"/>
      <c r="AG11040" s="80"/>
      <c r="AH11040" s="80"/>
      <c r="AI11040" s="80"/>
    </row>
    <row r="11041" spans="5:35" x14ac:dyDescent="0.25">
      <c r="E11041" s="16"/>
      <c r="F11041" s="16"/>
      <c r="H11041" s="16"/>
      <c r="AG11041" s="80"/>
      <c r="AH11041" s="80"/>
      <c r="AI11041" s="80"/>
    </row>
    <row r="11042" spans="5:35" x14ac:dyDescent="0.25">
      <c r="E11042" s="16"/>
      <c r="F11042" s="16"/>
      <c r="H11042" s="16"/>
      <c r="AG11042" s="80"/>
      <c r="AH11042" s="80"/>
      <c r="AI11042" s="80"/>
    </row>
    <row r="11043" spans="5:35" x14ac:dyDescent="0.25">
      <c r="E11043" s="16"/>
      <c r="F11043" s="16"/>
      <c r="H11043" s="16"/>
      <c r="AG11043" s="80"/>
      <c r="AH11043" s="80"/>
      <c r="AI11043" s="80"/>
    </row>
    <row r="11044" spans="5:35" x14ac:dyDescent="0.25">
      <c r="E11044" s="16"/>
      <c r="F11044" s="16"/>
      <c r="H11044" s="16"/>
      <c r="AG11044" s="80"/>
      <c r="AH11044" s="80"/>
      <c r="AI11044" s="80"/>
    </row>
    <row r="11045" spans="5:35" x14ac:dyDescent="0.25">
      <c r="E11045" s="16"/>
      <c r="F11045" s="16"/>
      <c r="H11045" s="16"/>
      <c r="AG11045" s="80"/>
      <c r="AH11045" s="80"/>
      <c r="AI11045" s="80"/>
    </row>
    <row r="11046" spans="5:35" x14ac:dyDescent="0.25">
      <c r="E11046" s="16"/>
      <c r="F11046" s="16"/>
      <c r="H11046" s="16"/>
      <c r="AG11046" s="80"/>
      <c r="AH11046" s="80"/>
      <c r="AI11046" s="80"/>
    </row>
    <row r="11047" spans="5:35" x14ac:dyDescent="0.25">
      <c r="E11047" s="16"/>
      <c r="F11047" s="16"/>
      <c r="H11047" s="16"/>
      <c r="AG11047" s="80"/>
      <c r="AH11047" s="80"/>
      <c r="AI11047" s="80"/>
    </row>
    <row r="11048" spans="5:35" x14ac:dyDescent="0.25">
      <c r="E11048" s="16"/>
      <c r="F11048" s="16"/>
      <c r="H11048" s="16"/>
      <c r="AG11048" s="80"/>
      <c r="AH11048" s="80"/>
      <c r="AI11048" s="80"/>
    </row>
    <row r="11049" spans="5:35" x14ac:dyDescent="0.25">
      <c r="E11049" s="16"/>
      <c r="F11049" s="16"/>
      <c r="H11049" s="16"/>
      <c r="AG11049" s="80"/>
      <c r="AH11049" s="80"/>
      <c r="AI11049" s="80"/>
    </row>
    <row r="11050" spans="5:35" x14ac:dyDescent="0.25">
      <c r="E11050" s="16"/>
      <c r="F11050" s="16"/>
      <c r="H11050" s="16"/>
      <c r="AG11050" s="80"/>
      <c r="AH11050" s="80"/>
      <c r="AI11050" s="80"/>
    </row>
    <row r="11051" spans="5:35" x14ac:dyDescent="0.25">
      <c r="E11051" s="16"/>
      <c r="F11051" s="16"/>
      <c r="H11051" s="16"/>
      <c r="AG11051" s="80"/>
      <c r="AH11051" s="80"/>
      <c r="AI11051" s="80"/>
    </row>
    <row r="11052" spans="5:35" x14ac:dyDescent="0.25">
      <c r="E11052" s="16"/>
      <c r="F11052" s="16"/>
      <c r="H11052" s="16"/>
      <c r="AG11052" s="80"/>
      <c r="AH11052" s="80"/>
      <c r="AI11052" s="80"/>
    </row>
    <row r="11053" spans="5:35" x14ac:dyDescent="0.25">
      <c r="E11053" s="16"/>
      <c r="F11053" s="16"/>
      <c r="H11053" s="16"/>
      <c r="AG11053" s="80"/>
      <c r="AH11053" s="80"/>
      <c r="AI11053" s="80"/>
    </row>
    <row r="11054" spans="5:35" x14ac:dyDescent="0.25">
      <c r="E11054" s="16"/>
      <c r="F11054" s="16"/>
      <c r="H11054" s="16"/>
      <c r="AG11054" s="80"/>
      <c r="AH11054" s="80"/>
      <c r="AI11054" s="80"/>
    </row>
    <row r="11055" spans="5:35" x14ac:dyDescent="0.25">
      <c r="E11055" s="16"/>
      <c r="F11055" s="16"/>
      <c r="H11055" s="16"/>
      <c r="AG11055" s="80"/>
      <c r="AH11055" s="80"/>
      <c r="AI11055" s="80"/>
    </row>
    <row r="11056" spans="5:35" x14ac:dyDescent="0.25">
      <c r="E11056" s="16"/>
      <c r="F11056" s="16"/>
      <c r="H11056" s="16"/>
      <c r="AG11056" s="80"/>
      <c r="AH11056" s="80"/>
      <c r="AI11056" s="80"/>
    </row>
    <row r="11057" spans="5:35" x14ac:dyDescent="0.25">
      <c r="E11057" s="16"/>
      <c r="F11057" s="16"/>
      <c r="H11057" s="16"/>
      <c r="AG11057" s="80"/>
      <c r="AH11057" s="80"/>
      <c r="AI11057" s="80"/>
    </row>
    <row r="11058" spans="5:35" x14ac:dyDescent="0.25">
      <c r="E11058" s="16"/>
      <c r="F11058" s="16"/>
      <c r="H11058" s="16"/>
      <c r="AG11058" s="80"/>
      <c r="AH11058" s="80"/>
      <c r="AI11058" s="80"/>
    </row>
    <row r="11059" spans="5:35" x14ac:dyDescent="0.25">
      <c r="E11059" s="16"/>
      <c r="F11059" s="16"/>
      <c r="H11059" s="16"/>
      <c r="AG11059" s="80"/>
      <c r="AH11059" s="80"/>
      <c r="AI11059" s="80"/>
    </row>
    <row r="11060" spans="5:35" x14ac:dyDescent="0.25">
      <c r="E11060" s="16"/>
      <c r="F11060" s="16"/>
      <c r="H11060" s="16"/>
      <c r="AG11060" s="80"/>
      <c r="AH11060" s="80"/>
      <c r="AI11060" s="80"/>
    </row>
    <row r="11061" spans="5:35" x14ac:dyDescent="0.25">
      <c r="E11061" s="16"/>
      <c r="F11061" s="16"/>
      <c r="H11061" s="16"/>
      <c r="AG11061" s="80"/>
      <c r="AH11061" s="80"/>
      <c r="AI11061" s="80"/>
    </row>
    <row r="11062" spans="5:35" x14ac:dyDescent="0.25">
      <c r="E11062" s="16"/>
      <c r="F11062" s="16"/>
      <c r="H11062" s="16"/>
      <c r="AG11062" s="80"/>
      <c r="AH11062" s="80"/>
      <c r="AI11062" s="80"/>
    </row>
    <row r="11063" spans="5:35" x14ac:dyDescent="0.25">
      <c r="E11063" s="16"/>
      <c r="F11063" s="16"/>
      <c r="H11063" s="16"/>
      <c r="AG11063" s="80"/>
      <c r="AH11063" s="80"/>
      <c r="AI11063" s="80"/>
    </row>
    <row r="11064" spans="5:35" x14ac:dyDescent="0.25">
      <c r="E11064" s="16"/>
      <c r="F11064" s="16"/>
      <c r="H11064" s="16"/>
      <c r="AG11064" s="80"/>
      <c r="AH11064" s="80"/>
      <c r="AI11064" s="80"/>
    </row>
    <row r="11065" spans="5:35" x14ac:dyDescent="0.25">
      <c r="E11065" s="16"/>
      <c r="F11065" s="16"/>
      <c r="H11065" s="16"/>
      <c r="AG11065" s="80"/>
      <c r="AH11065" s="80"/>
      <c r="AI11065" s="80"/>
    </row>
    <row r="11066" spans="5:35" x14ac:dyDescent="0.25">
      <c r="E11066" s="16"/>
      <c r="F11066" s="16"/>
      <c r="H11066" s="16"/>
      <c r="AG11066" s="80"/>
      <c r="AH11066" s="80"/>
      <c r="AI11066" s="80"/>
    </row>
    <row r="11067" spans="5:35" x14ac:dyDescent="0.25">
      <c r="E11067" s="16"/>
      <c r="F11067" s="16"/>
      <c r="H11067" s="16"/>
      <c r="AG11067" s="80"/>
      <c r="AH11067" s="80"/>
      <c r="AI11067" s="80"/>
    </row>
    <row r="11068" spans="5:35" x14ac:dyDescent="0.25">
      <c r="E11068" s="16"/>
      <c r="F11068" s="16"/>
      <c r="H11068" s="16"/>
      <c r="AG11068" s="80"/>
      <c r="AH11068" s="80"/>
      <c r="AI11068" s="80"/>
    </row>
    <row r="11069" spans="5:35" x14ac:dyDescent="0.25">
      <c r="E11069" s="16"/>
      <c r="F11069" s="16"/>
      <c r="H11069" s="16"/>
      <c r="AG11069" s="80"/>
      <c r="AH11069" s="80"/>
      <c r="AI11069" s="80"/>
    </row>
    <row r="11070" spans="5:35" x14ac:dyDescent="0.25">
      <c r="E11070" s="16"/>
      <c r="F11070" s="16"/>
      <c r="H11070" s="16"/>
      <c r="AG11070" s="80"/>
      <c r="AH11070" s="80"/>
      <c r="AI11070" s="80"/>
    </row>
    <row r="11071" spans="5:35" x14ac:dyDescent="0.25">
      <c r="E11071" s="16"/>
      <c r="F11071" s="16"/>
      <c r="H11071" s="16"/>
      <c r="AG11071" s="80"/>
      <c r="AH11071" s="80"/>
      <c r="AI11071" s="80"/>
    </row>
    <row r="11072" spans="5:35" x14ac:dyDescent="0.25">
      <c r="E11072" s="16"/>
      <c r="F11072" s="16"/>
      <c r="H11072" s="16"/>
      <c r="AG11072" s="80"/>
      <c r="AH11072" s="80"/>
      <c r="AI11072" s="80"/>
    </row>
    <row r="11073" spans="5:35" x14ac:dyDescent="0.25">
      <c r="E11073" s="16"/>
      <c r="F11073" s="16"/>
      <c r="H11073" s="16"/>
      <c r="AG11073" s="80"/>
      <c r="AH11073" s="80"/>
      <c r="AI11073" s="80"/>
    </row>
    <row r="11074" spans="5:35" x14ac:dyDescent="0.25">
      <c r="E11074" s="16"/>
      <c r="F11074" s="16"/>
      <c r="H11074" s="16"/>
      <c r="AG11074" s="80"/>
      <c r="AH11074" s="80"/>
      <c r="AI11074" s="80"/>
    </row>
    <row r="11075" spans="5:35" x14ac:dyDescent="0.25">
      <c r="E11075" s="16"/>
      <c r="F11075" s="16"/>
      <c r="H11075" s="16"/>
      <c r="AG11075" s="80"/>
      <c r="AH11075" s="80"/>
      <c r="AI11075" s="80"/>
    </row>
    <row r="11076" spans="5:35" x14ac:dyDescent="0.25">
      <c r="E11076" s="16"/>
      <c r="F11076" s="16"/>
      <c r="H11076" s="16"/>
      <c r="AG11076" s="80"/>
      <c r="AH11076" s="80"/>
      <c r="AI11076" s="80"/>
    </row>
    <row r="11077" spans="5:35" x14ac:dyDescent="0.25">
      <c r="E11077" s="16"/>
      <c r="F11077" s="16"/>
      <c r="H11077" s="16"/>
      <c r="AG11077" s="80"/>
      <c r="AH11077" s="80"/>
      <c r="AI11077" s="80"/>
    </row>
    <row r="11078" spans="5:35" x14ac:dyDescent="0.25">
      <c r="E11078" s="16"/>
      <c r="F11078" s="16"/>
      <c r="H11078" s="16"/>
      <c r="AG11078" s="80"/>
      <c r="AH11078" s="80"/>
      <c r="AI11078" s="80"/>
    </row>
    <row r="11079" spans="5:35" x14ac:dyDescent="0.25">
      <c r="E11079" s="16"/>
      <c r="F11079" s="16"/>
      <c r="H11079" s="16"/>
      <c r="AG11079" s="80"/>
      <c r="AH11079" s="80"/>
      <c r="AI11079" s="80"/>
    </row>
    <row r="11080" spans="5:35" x14ac:dyDescent="0.25">
      <c r="E11080" s="16"/>
      <c r="F11080" s="16"/>
      <c r="H11080" s="16"/>
      <c r="AG11080" s="80"/>
      <c r="AH11080" s="80"/>
      <c r="AI11080" s="80"/>
    </row>
    <row r="11081" spans="5:35" x14ac:dyDescent="0.25">
      <c r="E11081" s="16"/>
      <c r="F11081" s="16"/>
      <c r="H11081" s="16"/>
      <c r="AG11081" s="80"/>
      <c r="AH11081" s="80"/>
      <c r="AI11081" s="80"/>
    </row>
    <row r="11082" spans="5:35" x14ac:dyDescent="0.25">
      <c r="E11082" s="16"/>
      <c r="F11082" s="16"/>
      <c r="H11082" s="16"/>
      <c r="AG11082" s="80"/>
      <c r="AH11082" s="80"/>
      <c r="AI11082" s="80"/>
    </row>
    <row r="11083" spans="5:35" x14ac:dyDescent="0.25">
      <c r="E11083" s="16"/>
      <c r="F11083" s="16"/>
      <c r="H11083" s="16"/>
      <c r="AG11083" s="80"/>
      <c r="AH11083" s="80"/>
      <c r="AI11083" s="80"/>
    </row>
    <row r="11084" spans="5:35" x14ac:dyDescent="0.25">
      <c r="E11084" s="16"/>
      <c r="F11084" s="16"/>
      <c r="H11084" s="16"/>
      <c r="AG11084" s="80"/>
      <c r="AH11084" s="80"/>
      <c r="AI11084" s="80"/>
    </row>
    <row r="11085" spans="5:35" x14ac:dyDescent="0.25">
      <c r="E11085" s="16"/>
      <c r="F11085" s="16"/>
      <c r="H11085" s="16"/>
      <c r="AG11085" s="80"/>
      <c r="AH11085" s="80"/>
      <c r="AI11085" s="80"/>
    </row>
    <row r="11086" spans="5:35" x14ac:dyDescent="0.25">
      <c r="E11086" s="16"/>
      <c r="F11086" s="16"/>
      <c r="H11086" s="16"/>
      <c r="AG11086" s="80"/>
      <c r="AH11086" s="80"/>
      <c r="AI11086" s="80"/>
    </row>
    <row r="11087" spans="5:35" x14ac:dyDescent="0.25">
      <c r="E11087" s="16"/>
      <c r="F11087" s="16"/>
      <c r="H11087" s="16"/>
      <c r="AG11087" s="80"/>
      <c r="AH11087" s="80"/>
      <c r="AI11087" s="80"/>
    </row>
    <row r="11088" spans="5:35" x14ac:dyDescent="0.25">
      <c r="E11088" s="16"/>
      <c r="F11088" s="16"/>
      <c r="H11088" s="16"/>
      <c r="AG11088" s="80"/>
      <c r="AH11088" s="80"/>
      <c r="AI11088" s="80"/>
    </row>
    <row r="11089" spans="5:35" x14ac:dyDescent="0.25">
      <c r="E11089" s="16"/>
      <c r="F11089" s="16"/>
      <c r="H11089" s="16"/>
      <c r="AG11089" s="80"/>
      <c r="AH11089" s="80"/>
      <c r="AI11089" s="80"/>
    </row>
    <row r="11090" spans="5:35" x14ac:dyDescent="0.25">
      <c r="E11090" s="16"/>
      <c r="F11090" s="16"/>
      <c r="H11090" s="16"/>
      <c r="AG11090" s="80"/>
      <c r="AH11090" s="80"/>
      <c r="AI11090" s="80"/>
    </row>
    <row r="11091" spans="5:35" x14ac:dyDescent="0.25">
      <c r="E11091" s="16"/>
      <c r="F11091" s="16"/>
      <c r="H11091" s="16"/>
      <c r="AG11091" s="80"/>
      <c r="AH11091" s="80"/>
      <c r="AI11091" s="80"/>
    </row>
    <row r="11092" spans="5:35" x14ac:dyDescent="0.25">
      <c r="E11092" s="16"/>
      <c r="F11092" s="16"/>
      <c r="H11092" s="16"/>
      <c r="AG11092" s="80"/>
      <c r="AH11092" s="80"/>
      <c r="AI11092" s="80"/>
    </row>
    <row r="11093" spans="5:35" x14ac:dyDescent="0.25">
      <c r="E11093" s="16"/>
      <c r="F11093" s="16"/>
      <c r="H11093" s="16"/>
      <c r="AG11093" s="80"/>
      <c r="AH11093" s="80"/>
      <c r="AI11093" s="80"/>
    </row>
    <row r="11094" spans="5:35" x14ac:dyDescent="0.25">
      <c r="E11094" s="16"/>
      <c r="F11094" s="16"/>
      <c r="H11094" s="16"/>
      <c r="AG11094" s="80"/>
      <c r="AH11094" s="80"/>
      <c r="AI11094" s="80"/>
    </row>
    <row r="11095" spans="5:35" x14ac:dyDescent="0.25">
      <c r="E11095" s="16"/>
      <c r="F11095" s="16"/>
      <c r="H11095" s="16"/>
      <c r="AG11095" s="80"/>
      <c r="AH11095" s="80"/>
      <c r="AI11095" s="80"/>
    </row>
    <row r="11096" spans="5:35" x14ac:dyDescent="0.25">
      <c r="E11096" s="16"/>
      <c r="F11096" s="16"/>
      <c r="H11096" s="16"/>
      <c r="AG11096" s="80"/>
      <c r="AH11096" s="80"/>
      <c r="AI11096" s="80"/>
    </row>
    <row r="11097" spans="5:35" x14ac:dyDescent="0.25">
      <c r="E11097" s="16"/>
      <c r="F11097" s="16"/>
      <c r="H11097" s="16"/>
      <c r="AG11097" s="80"/>
      <c r="AH11097" s="80"/>
      <c r="AI11097" s="80"/>
    </row>
    <row r="11098" spans="5:35" x14ac:dyDescent="0.25">
      <c r="E11098" s="16"/>
      <c r="F11098" s="16"/>
      <c r="H11098" s="16"/>
      <c r="AG11098" s="80"/>
      <c r="AH11098" s="80"/>
      <c r="AI11098" s="80"/>
    </row>
    <row r="11099" spans="5:35" x14ac:dyDescent="0.25">
      <c r="E11099" s="16"/>
      <c r="F11099" s="16"/>
      <c r="H11099" s="16"/>
      <c r="AG11099" s="80"/>
      <c r="AH11099" s="80"/>
      <c r="AI11099" s="80"/>
    </row>
    <row r="11100" spans="5:35" x14ac:dyDescent="0.25">
      <c r="E11100" s="16"/>
      <c r="F11100" s="16"/>
      <c r="H11100" s="16"/>
      <c r="AG11100" s="80"/>
      <c r="AH11100" s="80"/>
      <c r="AI11100" s="80"/>
    </row>
    <row r="11101" spans="5:35" x14ac:dyDescent="0.25">
      <c r="E11101" s="16"/>
      <c r="F11101" s="16"/>
      <c r="H11101" s="16"/>
      <c r="AG11101" s="80"/>
      <c r="AH11101" s="80"/>
      <c r="AI11101" s="80"/>
    </row>
    <row r="11102" spans="5:35" x14ac:dyDescent="0.25">
      <c r="E11102" s="16"/>
      <c r="F11102" s="16"/>
      <c r="H11102" s="16"/>
      <c r="AG11102" s="80"/>
      <c r="AH11102" s="80"/>
      <c r="AI11102" s="80"/>
    </row>
    <row r="11103" spans="5:35" x14ac:dyDescent="0.25">
      <c r="E11103" s="16"/>
      <c r="F11103" s="16"/>
      <c r="H11103" s="16"/>
      <c r="AG11103" s="80"/>
      <c r="AH11103" s="80"/>
      <c r="AI11103" s="80"/>
    </row>
    <row r="11104" spans="5:35" x14ac:dyDescent="0.25">
      <c r="E11104" s="16"/>
      <c r="F11104" s="16"/>
      <c r="H11104" s="16"/>
      <c r="AG11104" s="80"/>
      <c r="AH11104" s="80"/>
      <c r="AI11104" s="80"/>
    </row>
    <row r="11105" spans="5:35" x14ac:dyDescent="0.25">
      <c r="E11105" s="16"/>
      <c r="F11105" s="16"/>
      <c r="H11105" s="16"/>
      <c r="AG11105" s="80"/>
      <c r="AH11105" s="80"/>
      <c r="AI11105" s="80"/>
    </row>
    <row r="11106" spans="5:35" x14ac:dyDescent="0.25">
      <c r="E11106" s="16"/>
      <c r="F11106" s="16"/>
      <c r="H11106" s="16"/>
      <c r="AG11106" s="80"/>
      <c r="AH11106" s="80"/>
      <c r="AI11106" s="80"/>
    </row>
    <row r="11107" spans="5:35" x14ac:dyDescent="0.25">
      <c r="E11107" s="16"/>
      <c r="F11107" s="16"/>
      <c r="H11107" s="16"/>
      <c r="AG11107" s="80"/>
      <c r="AH11107" s="80"/>
      <c r="AI11107" s="80"/>
    </row>
    <row r="11108" spans="5:35" x14ac:dyDescent="0.25">
      <c r="E11108" s="16"/>
      <c r="F11108" s="16"/>
      <c r="H11108" s="16"/>
      <c r="AG11108" s="80"/>
      <c r="AH11108" s="80"/>
      <c r="AI11108" s="80"/>
    </row>
    <row r="11109" spans="5:35" x14ac:dyDescent="0.25">
      <c r="E11109" s="16"/>
      <c r="F11109" s="16"/>
      <c r="H11109" s="16"/>
      <c r="AG11109" s="80"/>
      <c r="AH11109" s="80"/>
      <c r="AI11109" s="80"/>
    </row>
    <row r="11110" spans="5:35" x14ac:dyDescent="0.25">
      <c r="E11110" s="16"/>
      <c r="F11110" s="16"/>
      <c r="H11110" s="16"/>
      <c r="AG11110" s="80"/>
      <c r="AH11110" s="80"/>
      <c r="AI11110" s="80"/>
    </row>
    <row r="11111" spans="5:35" x14ac:dyDescent="0.25">
      <c r="E11111" s="16"/>
      <c r="F11111" s="16"/>
      <c r="H11111" s="16"/>
      <c r="AG11111" s="80"/>
      <c r="AH11111" s="80"/>
      <c r="AI11111" s="80"/>
    </row>
    <row r="11112" spans="5:35" x14ac:dyDescent="0.25">
      <c r="E11112" s="16"/>
      <c r="F11112" s="16"/>
      <c r="H11112" s="16"/>
      <c r="AG11112" s="80"/>
      <c r="AH11112" s="80"/>
      <c r="AI11112" s="80"/>
    </row>
    <row r="11113" spans="5:35" x14ac:dyDescent="0.25">
      <c r="E11113" s="16"/>
      <c r="F11113" s="16"/>
      <c r="H11113" s="16"/>
      <c r="AG11113" s="80"/>
      <c r="AH11113" s="80"/>
      <c r="AI11113" s="80"/>
    </row>
    <row r="11114" spans="5:35" x14ac:dyDescent="0.25">
      <c r="E11114" s="16"/>
      <c r="F11114" s="16"/>
      <c r="H11114" s="16"/>
      <c r="AG11114" s="80"/>
      <c r="AH11114" s="80"/>
      <c r="AI11114" s="80"/>
    </row>
    <row r="11115" spans="5:35" x14ac:dyDescent="0.25">
      <c r="E11115" s="16"/>
      <c r="F11115" s="16"/>
      <c r="H11115" s="16"/>
      <c r="AG11115" s="80"/>
      <c r="AH11115" s="80"/>
      <c r="AI11115" s="80"/>
    </row>
    <row r="11116" spans="5:35" x14ac:dyDescent="0.25">
      <c r="E11116" s="16"/>
      <c r="F11116" s="16"/>
      <c r="H11116" s="16"/>
      <c r="AG11116" s="80"/>
      <c r="AH11116" s="80"/>
      <c r="AI11116" s="80"/>
    </row>
    <row r="11117" spans="5:35" x14ac:dyDescent="0.25">
      <c r="E11117" s="16"/>
      <c r="F11117" s="16"/>
      <c r="H11117" s="16"/>
      <c r="AG11117" s="80"/>
      <c r="AH11117" s="80"/>
      <c r="AI11117" s="80"/>
    </row>
    <row r="11118" spans="5:35" x14ac:dyDescent="0.25">
      <c r="E11118" s="16"/>
      <c r="F11118" s="16"/>
      <c r="H11118" s="16"/>
      <c r="AG11118" s="80"/>
      <c r="AH11118" s="80"/>
      <c r="AI11118" s="80"/>
    </row>
    <row r="11119" spans="5:35" x14ac:dyDescent="0.25">
      <c r="E11119" s="16"/>
      <c r="F11119" s="16"/>
      <c r="H11119" s="16"/>
      <c r="AG11119" s="80"/>
      <c r="AH11119" s="80"/>
      <c r="AI11119" s="80"/>
    </row>
    <row r="11120" spans="5:35" x14ac:dyDescent="0.25">
      <c r="E11120" s="16"/>
      <c r="F11120" s="16"/>
      <c r="H11120" s="16"/>
      <c r="AG11120" s="80"/>
      <c r="AH11120" s="80"/>
      <c r="AI11120" s="80"/>
    </row>
    <row r="11121" spans="5:35" x14ac:dyDescent="0.25">
      <c r="E11121" s="16"/>
      <c r="F11121" s="16"/>
      <c r="H11121" s="16"/>
      <c r="AG11121" s="80"/>
      <c r="AH11121" s="80"/>
      <c r="AI11121" s="80"/>
    </row>
    <row r="11122" spans="5:35" x14ac:dyDescent="0.25">
      <c r="E11122" s="16"/>
      <c r="F11122" s="16"/>
      <c r="H11122" s="16"/>
      <c r="AG11122" s="80"/>
      <c r="AH11122" s="80"/>
      <c r="AI11122" s="80"/>
    </row>
    <row r="11123" spans="5:35" x14ac:dyDescent="0.25">
      <c r="E11123" s="16"/>
      <c r="F11123" s="16"/>
      <c r="H11123" s="16"/>
      <c r="AG11123" s="80"/>
      <c r="AH11123" s="80"/>
      <c r="AI11123" s="80"/>
    </row>
    <row r="11124" spans="5:35" x14ac:dyDescent="0.25">
      <c r="E11124" s="16"/>
      <c r="F11124" s="16"/>
      <c r="H11124" s="16"/>
      <c r="AG11124" s="80"/>
      <c r="AH11124" s="80"/>
      <c r="AI11124" s="80"/>
    </row>
    <row r="11125" spans="5:35" x14ac:dyDescent="0.25">
      <c r="E11125" s="16"/>
      <c r="F11125" s="16"/>
      <c r="H11125" s="16"/>
      <c r="AG11125" s="80"/>
      <c r="AH11125" s="80"/>
      <c r="AI11125" s="80"/>
    </row>
    <row r="11126" spans="5:35" x14ac:dyDescent="0.25">
      <c r="E11126" s="16"/>
      <c r="F11126" s="16"/>
      <c r="H11126" s="16"/>
      <c r="AG11126" s="80"/>
      <c r="AH11126" s="80"/>
      <c r="AI11126" s="80"/>
    </row>
    <row r="11127" spans="5:35" x14ac:dyDescent="0.25">
      <c r="E11127" s="16"/>
      <c r="F11127" s="16"/>
      <c r="H11127" s="16"/>
      <c r="AG11127" s="80"/>
      <c r="AH11127" s="80"/>
      <c r="AI11127" s="80"/>
    </row>
    <row r="11128" spans="5:35" x14ac:dyDescent="0.25">
      <c r="E11128" s="16"/>
      <c r="F11128" s="16"/>
      <c r="H11128" s="16"/>
      <c r="AG11128" s="80"/>
      <c r="AH11128" s="80"/>
      <c r="AI11128" s="80"/>
    </row>
    <row r="11129" spans="5:35" x14ac:dyDescent="0.25">
      <c r="E11129" s="16"/>
      <c r="F11129" s="16"/>
      <c r="H11129" s="16"/>
      <c r="AG11129" s="80"/>
      <c r="AH11129" s="80"/>
      <c r="AI11129" s="80"/>
    </row>
    <row r="11130" spans="5:35" x14ac:dyDescent="0.25">
      <c r="E11130" s="16"/>
      <c r="F11130" s="16"/>
      <c r="H11130" s="16"/>
      <c r="AG11130" s="80"/>
      <c r="AH11130" s="80"/>
      <c r="AI11130" s="80"/>
    </row>
    <row r="11131" spans="5:35" x14ac:dyDescent="0.25">
      <c r="E11131" s="16"/>
      <c r="F11131" s="16"/>
      <c r="H11131" s="16"/>
      <c r="AG11131" s="80"/>
      <c r="AH11131" s="80"/>
      <c r="AI11131" s="80"/>
    </row>
    <row r="11132" spans="5:35" x14ac:dyDescent="0.25">
      <c r="E11132" s="16"/>
      <c r="F11132" s="16"/>
      <c r="H11132" s="16"/>
      <c r="AG11132" s="80"/>
      <c r="AH11132" s="80"/>
      <c r="AI11132" s="80"/>
    </row>
    <row r="11133" spans="5:35" x14ac:dyDescent="0.25">
      <c r="E11133" s="16"/>
      <c r="F11133" s="16"/>
      <c r="H11133" s="16"/>
      <c r="AG11133" s="80"/>
      <c r="AH11133" s="80"/>
      <c r="AI11133" s="80"/>
    </row>
    <row r="11134" spans="5:35" x14ac:dyDescent="0.25">
      <c r="E11134" s="16"/>
      <c r="F11134" s="16"/>
      <c r="H11134" s="16"/>
      <c r="AG11134" s="80"/>
      <c r="AH11134" s="80"/>
      <c r="AI11134" s="80"/>
    </row>
    <row r="11135" spans="5:35" x14ac:dyDescent="0.25">
      <c r="E11135" s="16"/>
      <c r="F11135" s="16"/>
      <c r="H11135" s="16"/>
      <c r="AG11135" s="80"/>
      <c r="AH11135" s="80"/>
      <c r="AI11135" s="80"/>
    </row>
    <row r="11136" spans="5:35" x14ac:dyDescent="0.25">
      <c r="E11136" s="16"/>
      <c r="F11136" s="16"/>
      <c r="H11136" s="16"/>
      <c r="AG11136" s="80"/>
      <c r="AH11136" s="80"/>
      <c r="AI11136" s="80"/>
    </row>
    <row r="11137" spans="5:35" x14ac:dyDescent="0.25">
      <c r="E11137" s="16"/>
      <c r="F11137" s="16"/>
      <c r="H11137" s="16"/>
      <c r="AG11137" s="80"/>
      <c r="AH11137" s="80"/>
      <c r="AI11137" s="80"/>
    </row>
    <row r="11138" spans="5:35" x14ac:dyDescent="0.25">
      <c r="E11138" s="16"/>
      <c r="F11138" s="16"/>
      <c r="H11138" s="16"/>
      <c r="AG11138" s="80"/>
      <c r="AH11138" s="80"/>
      <c r="AI11138" s="80"/>
    </row>
    <row r="11139" spans="5:35" x14ac:dyDescent="0.25">
      <c r="E11139" s="16"/>
      <c r="F11139" s="16"/>
      <c r="H11139" s="16"/>
      <c r="AG11139" s="80"/>
      <c r="AH11139" s="80"/>
      <c r="AI11139" s="80"/>
    </row>
    <row r="11140" spans="5:35" x14ac:dyDescent="0.25">
      <c r="E11140" s="16"/>
      <c r="F11140" s="16"/>
      <c r="H11140" s="16"/>
      <c r="AG11140" s="80"/>
      <c r="AH11140" s="80"/>
      <c r="AI11140" s="80"/>
    </row>
    <row r="11141" spans="5:35" x14ac:dyDescent="0.25">
      <c r="E11141" s="16"/>
      <c r="F11141" s="16"/>
      <c r="H11141" s="16"/>
      <c r="AG11141" s="80"/>
      <c r="AH11141" s="80"/>
      <c r="AI11141" s="80"/>
    </row>
    <row r="11142" spans="5:35" x14ac:dyDescent="0.25">
      <c r="E11142" s="16"/>
      <c r="F11142" s="16"/>
      <c r="H11142" s="16"/>
      <c r="AG11142" s="80"/>
      <c r="AH11142" s="80"/>
      <c r="AI11142" s="80"/>
    </row>
    <row r="11143" spans="5:35" x14ac:dyDescent="0.25">
      <c r="E11143" s="16"/>
      <c r="F11143" s="16"/>
      <c r="H11143" s="16"/>
      <c r="AG11143" s="80"/>
      <c r="AH11143" s="80"/>
      <c r="AI11143" s="80"/>
    </row>
    <row r="11144" spans="5:35" x14ac:dyDescent="0.25">
      <c r="E11144" s="16"/>
      <c r="F11144" s="16"/>
      <c r="H11144" s="16"/>
      <c r="AG11144" s="80"/>
      <c r="AH11144" s="80"/>
      <c r="AI11144" s="80"/>
    </row>
    <row r="11145" spans="5:35" x14ac:dyDescent="0.25">
      <c r="E11145" s="16"/>
      <c r="F11145" s="16"/>
      <c r="H11145" s="16"/>
      <c r="AG11145" s="80"/>
      <c r="AH11145" s="80"/>
      <c r="AI11145" s="80"/>
    </row>
    <row r="11146" spans="5:35" x14ac:dyDescent="0.25">
      <c r="E11146" s="16"/>
      <c r="F11146" s="16"/>
      <c r="H11146" s="16"/>
      <c r="AG11146" s="80"/>
      <c r="AH11146" s="80"/>
      <c r="AI11146" s="80"/>
    </row>
    <row r="11147" spans="5:35" x14ac:dyDescent="0.25">
      <c r="E11147" s="16"/>
      <c r="F11147" s="16"/>
      <c r="H11147" s="16"/>
      <c r="AG11147" s="80"/>
      <c r="AH11147" s="80"/>
      <c r="AI11147" s="80"/>
    </row>
    <row r="11148" spans="5:35" x14ac:dyDescent="0.25">
      <c r="E11148" s="16"/>
      <c r="F11148" s="16"/>
      <c r="H11148" s="16"/>
      <c r="AG11148" s="80"/>
      <c r="AH11148" s="80"/>
      <c r="AI11148" s="80"/>
    </row>
    <row r="11149" spans="5:35" x14ac:dyDescent="0.25">
      <c r="E11149" s="16"/>
      <c r="F11149" s="16"/>
      <c r="H11149" s="16"/>
      <c r="AG11149" s="80"/>
      <c r="AH11149" s="80"/>
      <c r="AI11149" s="80"/>
    </row>
    <row r="11150" spans="5:35" x14ac:dyDescent="0.25">
      <c r="E11150" s="16"/>
      <c r="F11150" s="16"/>
      <c r="H11150" s="16"/>
      <c r="AG11150" s="80"/>
      <c r="AH11150" s="80"/>
      <c r="AI11150" s="80"/>
    </row>
    <row r="11151" spans="5:35" x14ac:dyDescent="0.25">
      <c r="E11151" s="16"/>
      <c r="F11151" s="16"/>
      <c r="H11151" s="16"/>
      <c r="AG11151" s="80"/>
      <c r="AH11151" s="80"/>
      <c r="AI11151" s="80"/>
    </row>
    <row r="11152" spans="5:35" x14ac:dyDescent="0.25">
      <c r="E11152" s="16"/>
      <c r="F11152" s="16"/>
      <c r="H11152" s="16"/>
      <c r="AG11152" s="80"/>
      <c r="AH11152" s="80"/>
      <c r="AI11152" s="80"/>
    </row>
    <row r="11153" spans="5:35" x14ac:dyDescent="0.25">
      <c r="E11153" s="16"/>
      <c r="F11153" s="16"/>
      <c r="H11153" s="16"/>
      <c r="AG11153" s="80"/>
      <c r="AH11153" s="80"/>
      <c r="AI11153" s="80"/>
    </row>
    <row r="11154" spans="5:35" x14ac:dyDescent="0.25">
      <c r="E11154" s="16"/>
      <c r="F11154" s="16"/>
      <c r="H11154" s="16"/>
      <c r="AG11154" s="80"/>
      <c r="AH11154" s="80"/>
      <c r="AI11154" s="80"/>
    </row>
    <row r="11155" spans="5:35" x14ac:dyDescent="0.25">
      <c r="E11155" s="16"/>
      <c r="F11155" s="16"/>
      <c r="H11155" s="16"/>
      <c r="AG11155" s="80"/>
      <c r="AH11155" s="80"/>
      <c r="AI11155" s="80"/>
    </row>
    <row r="11156" spans="5:35" x14ac:dyDescent="0.25">
      <c r="E11156" s="16"/>
      <c r="F11156" s="16"/>
      <c r="H11156" s="16"/>
      <c r="AG11156" s="80"/>
      <c r="AH11156" s="80"/>
      <c r="AI11156" s="80"/>
    </row>
    <row r="11157" spans="5:35" x14ac:dyDescent="0.25">
      <c r="E11157" s="16"/>
      <c r="F11157" s="16"/>
      <c r="H11157" s="16"/>
      <c r="AG11157" s="80"/>
      <c r="AH11157" s="80"/>
      <c r="AI11157" s="80"/>
    </row>
    <row r="11158" spans="5:35" x14ac:dyDescent="0.25">
      <c r="E11158" s="16"/>
      <c r="F11158" s="16"/>
      <c r="H11158" s="16"/>
      <c r="AG11158" s="80"/>
      <c r="AH11158" s="80"/>
      <c r="AI11158" s="80"/>
    </row>
    <row r="11159" spans="5:35" x14ac:dyDescent="0.25">
      <c r="E11159" s="16"/>
      <c r="F11159" s="16"/>
      <c r="H11159" s="16"/>
      <c r="AG11159" s="80"/>
      <c r="AH11159" s="80"/>
      <c r="AI11159" s="80"/>
    </row>
    <row r="11160" spans="5:35" x14ac:dyDescent="0.25">
      <c r="E11160" s="16"/>
      <c r="F11160" s="16"/>
      <c r="H11160" s="16"/>
      <c r="AG11160" s="80"/>
      <c r="AH11160" s="80"/>
      <c r="AI11160" s="80"/>
    </row>
    <row r="11161" spans="5:35" x14ac:dyDescent="0.25">
      <c r="E11161" s="16"/>
      <c r="F11161" s="16"/>
      <c r="H11161" s="16"/>
      <c r="AG11161" s="80"/>
      <c r="AH11161" s="80"/>
      <c r="AI11161" s="80"/>
    </row>
    <row r="11162" spans="5:35" x14ac:dyDescent="0.25">
      <c r="E11162" s="16"/>
      <c r="F11162" s="16"/>
      <c r="H11162" s="16"/>
      <c r="AG11162" s="80"/>
      <c r="AH11162" s="80"/>
      <c r="AI11162" s="80"/>
    </row>
    <row r="11163" spans="5:35" x14ac:dyDescent="0.25">
      <c r="E11163" s="16"/>
      <c r="F11163" s="16"/>
      <c r="H11163" s="16"/>
      <c r="AG11163" s="80"/>
      <c r="AH11163" s="80"/>
      <c r="AI11163" s="80"/>
    </row>
    <row r="11164" spans="5:35" x14ac:dyDescent="0.25">
      <c r="E11164" s="16"/>
      <c r="F11164" s="16"/>
      <c r="H11164" s="16"/>
      <c r="AG11164" s="80"/>
      <c r="AH11164" s="80"/>
      <c r="AI11164" s="80"/>
    </row>
    <row r="11165" spans="5:35" x14ac:dyDescent="0.25">
      <c r="E11165" s="16"/>
      <c r="F11165" s="16"/>
      <c r="H11165" s="16"/>
      <c r="AG11165" s="80"/>
      <c r="AH11165" s="80"/>
      <c r="AI11165" s="80"/>
    </row>
    <row r="11166" spans="5:35" x14ac:dyDescent="0.25">
      <c r="E11166" s="16"/>
      <c r="F11166" s="16"/>
      <c r="H11166" s="16"/>
      <c r="AG11166" s="80"/>
      <c r="AH11166" s="80"/>
      <c r="AI11166" s="80"/>
    </row>
    <row r="11167" spans="5:35" x14ac:dyDescent="0.25">
      <c r="E11167" s="16"/>
      <c r="F11167" s="16"/>
      <c r="H11167" s="16"/>
      <c r="AG11167" s="80"/>
      <c r="AH11167" s="80"/>
      <c r="AI11167" s="80"/>
    </row>
    <row r="11168" spans="5:35" x14ac:dyDescent="0.25">
      <c r="E11168" s="16"/>
      <c r="F11168" s="16"/>
      <c r="H11168" s="16"/>
      <c r="AG11168" s="80"/>
      <c r="AH11168" s="80"/>
      <c r="AI11168" s="80"/>
    </row>
    <row r="11169" spans="5:35" x14ac:dyDescent="0.25">
      <c r="E11169" s="16"/>
      <c r="F11169" s="16"/>
      <c r="H11169" s="16"/>
      <c r="AG11169" s="80"/>
      <c r="AH11169" s="80"/>
      <c r="AI11169" s="80"/>
    </row>
    <row r="11170" spans="5:35" x14ac:dyDescent="0.25">
      <c r="E11170" s="16"/>
      <c r="F11170" s="16"/>
      <c r="H11170" s="16"/>
      <c r="AG11170" s="80"/>
      <c r="AH11170" s="80"/>
      <c r="AI11170" s="80"/>
    </row>
    <row r="11171" spans="5:35" x14ac:dyDescent="0.25">
      <c r="E11171" s="16"/>
      <c r="F11171" s="16"/>
      <c r="H11171" s="16"/>
      <c r="AG11171" s="80"/>
      <c r="AH11171" s="80"/>
      <c r="AI11171" s="80"/>
    </row>
    <row r="11172" spans="5:35" x14ac:dyDescent="0.25">
      <c r="E11172" s="16"/>
      <c r="F11172" s="16"/>
      <c r="H11172" s="16"/>
      <c r="AG11172" s="80"/>
      <c r="AH11172" s="80"/>
      <c r="AI11172" s="80"/>
    </row>
    <row r="11173" spans="5:35" x14ac:dyDescent="0.25">
      <c r="E11173" s="16"/>
      <c r="F11173" s="16"/>
      <c r="H11173" s="16"/>
      <c r="AG11173" s="80"/>
      <c r="AH11173" s="80"/>
      <c r="AI11173" s="80"/>
    </row>
    <row r="11174" spans="5:35" x14ac:dyDescent="0.25">
      <c r="E11174" s="16"/>
      <c r="F11174" s="16"/>
      <c r="H11174" s="16"/>
      <c r="AG11174" s="80"/>
      <c r="AH11174" s="80"/>
      <c r="AI11174" s="80"/>
    </row>
    <row r="11175" spans="5:35" x14ac:dyDescent="0.25">
      <c r="E11175" s="16"/>
      <c r="F11175" s="16"/>
      <c r="H11175" s="16"/>
      <c r="AG11175" s="80"/>
      <c r="AH11175" s="80"/>
      <c r="AI11175" s="80"/>
    </row>
    <row r="11176" spans="5:35" x14ac:dyDescent="0.25">
      <c r="E11176" s="16"/>
      <c r="F11176" s="16"/>
      <c r="H11176" s="16"/>
      <c r="AG11176" s="80"/>
      <c r="AH11176" s="80"/>
      <c r="AI11176" s="80"/>
    </row>
    <row r="11177" spans="5:35" x14ac:dyDescent="0.25">
      <c r="E11177" s="16"/>
      <c r="F11177" s="16"/>
      <c r="H11177" s="16"/>
      <c r="AG11177" s="80"/>
      <c r="AH11177" s="80"/>
      <c r="AI11177" s="80"/>
    </row>
    <row r="11178" spans="5:35" x14ac:dyDescent="0.25">
      <c r="E11178" s="16"/>
      <c r="F11178" s="16"/>
      <c r="H11178" s="16"/>
      <c r="AG11178" s="80"/>
      <c r="AH11178" s="80"/>
      <c r="AI11178" s="80"/>
    </row>
    <row r="11179" spans="5:35" x14ac:dyDescent="0.25">
      <c r="E11179" s="16"/>
      <c r="F11179" s="16"/>
      <c r="H11179" s="16"/>
      <c r="AG11179" s="80"/>
      <c r="AH11179" s="80"/>
      <c r="AI11179" s="80"/>
    </row>
    <row r="11180" spans="5:35" x14ac:dyDescent="0.25">
      <c r="E11180" s="16"/>
      <c r="F11180" s="16"/>
      <c r="H11180" s="16"/>
      <c r="AG11180" s="80"/>
      <c r="AH11180" s="80"/>
      <c r="AI11180" s="80"/>
    </row>
    <row r="11181" spans="5:35" x14ac:dyDescent="0.25">
      <c r="E11181" s="16"/>
      <c r="F11181" s="16"/>
      <c r="H11181" s="16"/>
      <c r="AG11181" s="80"/>
      <c r="AH11181" s="80"/>
      <c r="AI11181" s="80"/>
    </row>
    <row r="11182" spans="5:35" x14ac:dyDescent="0.25">
      <c r="E11182" s="16"/>
      <c r="F11182" s="16"/>
      <c r="H11182" s="16"/>
      <c r="AG11182" s="80"/>
      <c r="AH11182" s="80"/>
      <c r="AI11182" s="80"/>
    </row>
    <row r="11183" spans="5:35" x14ac:dyDescent="0.25">
      <c r="E11183" s="16"/>
      <c r="F11183" s="16"/>
      <c r="H11183" s="16"/>
      <c r="AG11183" s="80"/>
      <c r="AH11183" s="80"/>
      <c r="AI11183" s="80"/>
    </row>
    <row r="11184" spans="5:35" x14ac:dyDescent="0.25">
      <c r="E11184" s="16"/>
      <c r="F11184" s="16"/>
      <c r="H11184" s="16"/>
      <c r="AG11184" s="80"/>
      <c r="AH11184" s="80"/>
      <c r="AI11184" s="80"/>
    </row>
    <row r="11185" spans="5:35" x14ac:dyDescent="0.25">
      <c r="E11185" s="16"/>
      <c r="F11185" s="16"/>
      <c r="H11185" s="16"/>
      <c r="AG11185" s="80"/>
      <c r="AH11185" s="80"/>
      <c r="AI11185" s="80"/>
    </row>
    <row r="11186" spans="5:35" x14ac:dyDescent="0.25">
      <c r="E11186" s="16"/>
      <c r="F11186" s="16"/>
      <c r="H11186" s="16"/>
      <c r="AG11186" s="80"/>
      <c r="AH11186" s="80"/>
      <c r="AI11186" s="80"/>
    </row>
    <row r="11187" spans="5:35" x14ac:dyDescent="0.25">
      <c r="E11187" s="16"/>
      <c r="F11187" s="16"/>
      <c r="H11187" s="16"/>
      <c r="AG11187" s="80"/>
      <c r="AH11187" s="80"/>
      <c r="AI11187" s="80"/>
    </row>
    <row r="11188" spans="5:35" x14ac:dyDescent="0.25">
      <c r="E11188" s="16"/>
      <c r="F11188" s="16"/>
      <c r="H11188" s="16"/>
      <c r="AG11188" s="80"/>
      <c r="AH11188" s="80"/>
      <c r="AI11188" s="80"/>
    </row>
    <row r="11189" spans="5:35" x14ac:dyDescent="0.25">
      <c r="E11189" s="16"/>
      <c r="F11189" s="16"/>
      <c r="H11189" s="16"/>
      <c r="AG11189" s="80"/>
      <c r="AH11189" s="80"/>
      <c r="AI11189" s="80"/>
    </row>
    <row r="11190" spans="5:35" x14ac:dyDescent="0.25">
      <c r="E11190" s="16"/>
      <c r="F11190" s="16"/>
      <c r="H11190" s="16"/>
      <c r="AG11190" s="80"/>
      <c r="AH11190" s="80"/>
      <c r="AI11190" s="80"/>
    </row>
    <row r="11191" spans="5:35" x14ac:dyDescent="0.25">
      <c r="E11191" s="16"/>
      <c r="F11191" s="16"/>
      <c r="H11191" s="16"/>
      <c r="AG11191" s="80"/>
      <c r="AH11191" s="80"/>
      <c r="AI11191" s="80"/>
    </row>
    <row r="11192" spans="5:35" x14ac:dyDescent="0.25">
      <c r="E11192" s="16"/>
      <c r="F11192" s="16"/>
      <c r="H11192" s="16"/>
      <c r="AG11192" s="80"/>
      <c r="AH11192" s="80"/>
      <c r="AI11192" s="80"/>
    </row>
    <row r="11193" spans="5:35" x14ac:dyDescent="0.25">
      <c r="E11193" s="16"/>
      <c r="F11193" s="16"/>
      <c r="H11193" s="16"/>
      <c r="AG11193" s="80"/>
      <c r="AH11193" s="80"/>
      <c r="AI11193" s="80"/>
    </row>
    <row r="11194" spans="5:35" x14ac:dyDescent="0.25">
      <c r="E11194" s="16"/>
      <c r="F11194" s="16"/>
      <c r="H11194" s="16"/>
      <c r="AG11194" s="80"/>
      <c r="AH11194" s="80"/>
      <c r="AI11194" s="80"/>
    </row>
    <row r="11195" spans="5:35" x14ac:dyDescent="0.25">
      <c r="E11195" s="16"/>
      <c r="F11195" s="16"/>
      <c r="H11195" s="16"/>
      <c r="AG11195" s="80"/>
      <c r="AH11195" s="80"/>
      <c r="AI11195" s="80"/>
    </row>
    <row r="11196" spans="5:35" x14ac:dyDescent="0.25">
      <c r="E11196" s="16"/>
      <c r="F11196" s="16"/>
      <c r="H11196" s="16"/>
      <c r="AG11196" s="80"/>
      <c r="AH11196" s="80"/>
      <c r="AI11196" s="80"/>
    </row>
    <row r="11197" spans="5:35" x14ac:dyDescent="0.25">
      <c r="E11197" s="16"/>
      <c r="F11197" s="16"/>
      <c r="H11197" s="16"/>
      <c r="AG11197" s="80"/>
      <c r="AH11197" s="80"/>
      <c r="AI11197" s="80"/>
    </row>
    <row r="11198" spans="5:35" x14ac:dyDescent="0.25">
      <c r="E11198" s="16"/>
      <c r="F11198" s="16"/>
      <c r="H11198" s="16"/>
      <c r="AG11198" s="80"/>
      <c r="AH11198" s="80"/>
      <c r="AI11198" s="80"/>
    </row>
    <row r="11199" spans="5:35" x14ac:dyDescent="0.25">
      <c r="E11199" s="16"/>
      <c r="F11199" s="16"/>
      <c r="H11199" s="16"/>
      <c r="AG11199" s="80"/>
      <c r="AH11199" s="80"/>
      <c r="AI11199" s="80"/>
    </row>
    <row r="11200" spans="5:35" x14ac:dyDescent="0.25">
      <c r="E11200" s="16"/>
      <c r="F11200" s="16"/>
      <c r="H11200" s="16"/>
      <c r="AG11200" s="80"/>
      <c r="AH11200" s="80"/>
      <c r="AI11200" s="80"/>
    </row>
    <row r="11201" spans="5:35" x14ac:dyDescent="0.25">
      <c r="E11201" s="16"/>
      <c r="F11201" s="16"/>
      <c r="H11201" s="16"/>
      <c r="AG11201" s="80"/>
      <c r="AH11201" s="80"/>
      <c r="AI11201" s="80"/>
    </row>
    <row r="11202" spans="5:35" x14ac:dyDescent="0.25">
      <c r="E11202" s="16"/>
      <c r="F11202" s="16"/>
      <c r="H11202" s="16"/>
      <c r="AG11202" s="80"/>
      <c r="AH11202" s="80"/>
      <c r="AI11202" s="80"/>
    </row>
    <row r="11203" spans="5:35" x14ac:dyDescent="0.25">
      <c r="E11203" s="16"/>
      <c r="F11203" s="16"/>
      <c r="H11203" s="16"/>
      <c r="AG11203" s="80"/>
      <c r="AH11203" s="80"/>
      <c r="AI11203" s="80"/>
    </row>
    <row r="11204" spans="5:35" x14ac:dyDescent="0.25">
      <c r="E11204" s="16"/>
      <c r="F11204" s="16"/>
      <c r="H11204" s="16"/>
      <c r="AG11204" s="80"/>
      <c r="AH11204" s="80"/>
      <c r="AI11204" s="80"/>
    </row>
    <row r="11205" spans="5:35" x14ac:dyDescent="0.25">
      <c r="E11205" s="16"/>
      <c r="F11205" s="16"/>
      <c r="H11205" s="16"/>
      <c r="AG11205" s="80"/>
      <c r="AH11205" s="80"/>
      <c r="AI11205" s="80"/>
    </row>
    <row r="11206" spans="5:35" x14ac:dyDescent="0.25">
      <c r="E11206" s="16"/>
      <c r="F11206" s="16"/>
      <c r="H11206" s="16"/>
      <c r="AG11206" s="80"/>
      <c r="AH11206" s="80"/>
      <c r="AI11206" s="80"/>
    </row>
    <row r="11207" spans="5:35" x14ac:dyDescent="0.25">
      <c r="E11207" s="16"/>
      <c r="F11207" s="16"/>
      <c r="H11207" s="16"/>
      <c r="AG11207" s="80"/>
      <c r="AH11207" s="80"/>
      <c r="AI11207" s="80"/>
    </row>
    <row r="11208" spans="5:35" x14ac:dyDescent="0.25">
      <c r="E11208" s="16"/>
      <c r="F11208" s="16"/>
      <c r="H11208" s="16"/>
      <c r="AG11208" s="80"/>
      <c r="AH11208" s="80"/>
      <c r="AI11208" s="80"/>
    </row>
    <row r="11209" spans="5:35" x14ac:dyDescent="0.25">
      <c r="E11209" s="16"/>
      <c r="F11209" s="16"/>
      <c r="H11209" s="16"/>
      <c r="AG11209" s="80"/>
      <c r="AH11209" s="80"/>
      <c r="AI11209" s="80"/>
    </row>
    <row r="11210" spans="5:35" x14ac:dyDescent="0.25">
      <c r="E11210" s="16"/>
      <c r="F11210" s="16"/>
      <c r="H11210" s="16"/>
      <c r="AG11210" s="80"/>
      <c r="AH11210" s="80"/>
      <c r="AI11210" s="80"/>
    </row>
    <row r="11211" spans="5:35" x14ac:dyDescent="0.25">
      <c r="E11211" s="16"/>
      <c r="F11211" s="16"/>
      <c r="H11211" s="16"/>
      <c r="AG11211" s="80"/>
      <c r="AH11211" s="80"/>
      <c r="AI11211" s="80"/>
    </row>
    <row r="11212" spans="5:35" x14ac:dyDescent="0.25">
      <c r="E11212" s="16"/>
      <c r="F11212" s="16"/>
      <c r="H11212" s="16"/>
      <c r="AG11212" s="80"/>
      <c r="AH11212" s="80"/>
      <c r="AI11212" s="80"/>
    </row>
    <row r="11213" spans="5:35" x14ac:dyDescent="0.25">
      <c r="E11213" s="16"/>
      <c r="F11213" s="16"/>
      <c r="H11213" s="16"/>
      <c r="AG11213" s="80"/>
      <c r="AH11213" s="80"/>
      <c r="AI11213" s="80"/>
    </row>
    <row r="11214" spans="5:35" x14ac:dyDescent="0.25">
      <c r="E11214" s="16"/>
      <c r="F11214" s="16"/>
      <c r="H11214" s="16"/>
      <c r="AG11214" s="80"/>
      <c r="AH11214" s="80"/>
      <c r="AI11214" s="80"/>
    </row>
    <row r="11215" spans="5:35" x14ac:dyDescent="0.25">
      <c r="E11215" s="16"/>
      <c r="F11215" s="16"/>
      <c r="H11215" s="16"/>
      <c r="AG11215" s="80"/>
      <c r="AH11215" s="80"/>
      <c r="AI11215" s="80"/>
    </row>
    <row r="11216" spans="5:35" x14ac:dyDescent="0.25">
      <c r="E11216" s="16"/>
      <c r="F11216" s="16"/>
      <c r="H11216" s="16"/>
      <c r="AG11216" s="80"/>
      <c r="AH11216" s="80"/>
      <c r="AI11216" s="80"/>
    </row>
    <row r="11217" spans="5:35" x14ac:dyDescent="0.25">
      <c r="E11217" s="16"/>
      <c r="F11217" s="16"/>
      <c r="H11217" s="16"/>
      <c r="AG11217" s="80"/>
      <c r="AH11217" s="80"/>
      <c r="AI11217" s="80"/>
    </row>
    <row r="11218" spans="5:35" x14ac:dyDescent="0.25">
      <c r="E11218" s="16"/>
      <c r="F11218" s="16"/>
      <c r="H11218" s="16"/>
      <c r="AG11218" s="80"/>
      <c r="AH11218" s="80"/>
      <c r="AI11218" s="80"/>
    </row>
    <row r="11219" spans="5:35" x14ac:dyDescent="0.25">
      <c r="E11219" s="16"/>
      <c r="F11219" s="16"/>
      <c r="H11219" s="16"/>
      <c r="AG11219" s="80"/>
      <c r="AH11219" s="80"/>
      <c r="AI11219" s="80"/>
    </row>
    <row r="11220" spans="5:35" x14ac:dyDescent="0.25">
      <c r="E11220" s="16"/>
      <c r="F11220" s="16"/>
      <c r="H11220" s="16"/>
      <c r="AG11220" s="80"/>
      <c r="AH11220" s="80"/>
      <c r="AI11220" s="80"/>
    </row>
    <row r="11221" spans="5:35" x14ac:dyDescent="0.25">
      <c r="E11221" s="16"/>
      <c r="F11221" s="16"/>
      <c r="H11221" s="16"/>
      <c r="AG11221" s="80"/>
      <c r="AH11221" s="80"/>
      <c r="AI11221" s="80"/>
    </row>
    <row r="11222" spans="5:35" x14ac:dyDescent="0.25">
      <c r="E11222" s="16"/>
      <c r="F11222" s="16"/>
      <c r="H11222" s="16"/>
      <c r="AG11222" s="80"/>
      <c r="AH11222" s="80"/>
      <c r="AI11222" s="80"/>
    </row>
    <row r="11223" spans="5:35" x14ac:dyDescent="0.25">
      <c r="E11223" s="16"/>
      <c r="F11223" s="16"/>
      <c r="H11223" s="16"/>
      <c r="AG11223" s="80"/>
      <c r="AH11223" s="80"/>
      <c r="AI11223" s="80"/>
    </row>
    <row r="11224" spans="5:35" x14ac:dyDescent="0.25">
      <c r="E11224" s="16"/>
      <c r="F11224" s="16"/>
      <c r="H11224" s="16"/>
      <c r="AG11224" s="80"/>
      <c r="AH11224" s="80"/>
      <c r="AI11224" s="80"/>
    </row>
    <row r="11225" spans="5:35" x14ac:dyDescent="0.25">
      <c r="E11225" s="16"/>
      <c r="F11225" s="16"/>
      <c r="H11225" s="16"/>
      <c r="AG11225" s="80"/>
      <c r="AH11225" s="80"/>
      <c r="AI11225" s="80"/>
    </row>
    <row r="11226" spans="5:35" x14ac:dyDescent="0.25">
      <c r="E11226" s="16"/>
      <c r="F11226" s="16"/>
      <c r="H11226" s="16"/>
      <c r="AG11226" s="80"/>
      <c r="AH11226" s="80"/>
      <c r="AI11226" s="80"/>
    </row>
    <row r="11227" spans="5:35" x14ac:dyDescent="0.25">
      <c r="E11227" s="16"/>
      <c r="F11227" s="16"/>
      <c r="H11227" s="16"/>
      <c r="AG11227" s="80"/>
      <c r="AH11227" s="80"/>
      <c r="AI11227" s="80"/>
    </row>
    <row r="11228" spans="5:35" x14ac:dyDescent="0.25">
      <c r="E11228" s="16"/>
      <c r="F11228" s="16"/>
      <c r="H11228" s="16"/>
      <c r="AG11228" s="80"/>
      <c r="AH11228" s="80"/>
      <c r="AI11228" s="80"/>
    </row>
    <row r="11229" spans="5:35" x14ac:dyDescent="0.25">
      <c r="E11229" s="16"/>
      <c r="F11229" s="16"/>
      <c r="H11229" s="16"/>
      <c r="AG11229" s="80"/>
      <c r="AH11229" s="80"/>
      <c r="AI11229" s="80"/>
    </row>
    <row r="11230" spans="5:35" x14ac:dyDescent="0.25">
      <c r="E11230" s="16"/>
      <c r="F11230" s="16"/>
      <c r="H11230" s="16"/>
      <c r="AG11230" s="80"/>
      <c r="AH11230" s="80"/>
      <c r="AI11230" s="80"/>
    </row>
    <row r="11231" spans="5:35" x14ac:dyDescent="0.25">
      <c r="E11231" s="16"/>
      <c r="F11231" s="16"/>
      <c r="H11231" s="16"/>
      <c r="AG11231" s="80"/>
      <c r="AH11231" s="80"/>
      <c r="AI11231" s="80"/>
    </row>
    <row r="11232" spans="5:35" x14ac:dyDescent="0.25">
      <c r="E11232" s="16"/>
      <c r="F11232" s="16"/>
      <c r="H11232" s="16"/>
      <c r="AG11232" s="80"/>
      <c r="AH11232" s="80"/>
      <c r="AI11232" s="80"/>
    </row>
    <row r="11233" spans="5:35" x14ac:dyDescent="0.25">
      <c r="E11233" s="16"/>
      <c r="F11233" s="16"/>
      <c r="H11233" s="16"/>
      <c r="AG11233" s="80"/>
      <c r="AH11233" s="80"/>
      <c r="AI11233" s="80"/>
    </row>
    <row r="11234" spans="5:35" x14ac:dyDescent="0.25">
      <c r="E11234" s="16"/>
      <c r="F11234" s="16"/>
      <c r="H11234" s="16"/>
      <c r="AG11234" s="80"/>
      <c r="AH11234" s="80"/>
      <c r="AI11234" s="80"/>
    </row>
    <row r="11235" spans="5:35" x14ac:dyDescent="0.25">
      <c r="E11235" s="16"/>
      <c r="F11235" s="16"/>
      <c r="H11235" s="16"/>
      <c r="AG11235" s="80"/>
      <c r="AH11235" s="80"/>
      <c r="AI11235" s="80"/>
    </row>
    <row r="11236" spans="5:35" x14ac:dyDescent="0.25">
      <c r="E11236" s="16"/>
      <c r="F11236" s="16"/>
      <c r="H11236" s="16"/>
      <c r="AG11236" s="80"/>
      <c r="AH11236" s="80"/>
      <c r="AI11236" s="80"/>
    </row>
    <row r="11237" spans="5:35" x14ac:dyDescent="0.25">
      <c r="E11237" s="16"/>
      <c r="F11237" s="16"/>
      <c r="H11237" s="16"/>
      <c r="AG11237" s="80"/>
      <c r="AH11237" s="80"/>
      <c r="AI11237" s="80"/>
    </row>
    <row r="11238" spans="5:35" x14ac:dyDescent="0.25">
      <c r="E11238" s="16"/>
      <c r="F11238" s="16"/>
      <c r="H11238" s="16"/>
      <c r="AG11238" s="80"/>
      <c r="AH11238" s="80"/>
      <c r="AI11238" s="80"/>
    </row>
    <row r="11239" spans="5:35" x14ac:dyDescent="0.25">
      <c r="E11239" s="16"/>
      <c r="F11239" s="16"/>
      <c r="H11239" s="16"/>
      <c r="AG11239" s="80"/>
      <c r="AH11239" s="80"/>
      <c r="AI11239" s="80"/>
    </row>
    <row r="11240" spans="5:35" x14ac:dyDescent="0.25">
      <c r="E11240" s="16"/>
      <c r="F11240" s="16"/>
      <c r="H11240" s="16"/>
      <c r="AG11240" s="80"/>
      <c r="AH11240" s="80"/>
      <c r="AI11240" s="80"/>
    </row>
    <row r="11241" spans="5:35" x14ac:dyDescent="0.25">
      <c r="E11241" s="16"/>
      <c r="F11241" s="16"/>
      <c r="H11241" s="16"/>
      <c r="AG11241" s="80"/>
      <c r="AH11241" s="80"/>
      <c r="AI11241" s="80"/>
    </row>
    <row r="11242" spans="5:35" x14ac:dyDescent="0.25">
      <c r="E11242" s="16"/>
      <c r="F11242" s="16"/>
      <c r="H11242" s="16"/>
      <c r="AG11242" s="80"/>
      <c r="AH11242" s="80"/>
      <c r="AI11242" s="80"/>
    </row>
    <row r="11243" spans="5:35" x14ac:dyDescent="0.25">
      <c r="E11243" s="16"/>
      <c r="F11243" s="16"/>
      <c r="H11243" s="16"/>
      <c r="AG11243" s="80"/>
      <c r="AH11243" s="80"/>
      <c r="AI11243" s="80"/>
    </row>
    <row r="11244" spans="5:35" x14ac:dyDescent="0.25">
      <c r="E11244" s="16"/>
      <c r="F11244" s="16"/>
      <c r="H11244" s="16"/>
      <c r="AG11244" s="80"/>
      <c r="AH11244" s="80"/>
      <c r="AI11244" s="80"/>
    </row>
    <row r="11245" spans="5:35" x14ac:dyDescent="0.25">
      <c r="E11245" s="16"/>
      <c r="F11245" s="16"/>
      <c r="H11245" s="16"/>
      <c r="AG11245" s="80"/>
      <c r="AH11245" s="80"/>
      <c r="AI11245" s="80"/>
    </row>
    <row r="11246" spans="5:35" x14ac:dyDescent="0.25">
      <c r="E11246" s="16"/>
      <c r="F11246" s="16"/>
      <c r="H11246" s="16"/>
      <c r="AG11246" s="80"/>
      <c r="AH11246" s="80"/>
      <c r="AI11246" s="80"/>
    </row>
    <row r="11247" spans="5:35" x14ac:dyDescent="0.25">
      <c r="E11247" s="16"/>
      <c r="F11247" s="16"/>
      <c r="H11247" s="16"/>
      <c r="AG11247" s="80"/>
      <c r="AH11247" s="80"/>
      <c r="AI11247" s="80"/>
    </row>
    <row r="11248" spans="5:35" x14ac:dyDescent="0.25">
      <c r="E11248" s="16"/>
      <c r="F11248" s="16"/>
      <c r="H11248" s="16"/>
      <c r="AG11248" s="80"/>
      <c r="AH11248" s="80"/>
      <c r="AI11248" s="80"/>
    </row>
    <row r="11249" spans="5:35" x14ac:dyDescent="0.25">
      <c r="E11249" s="16"/>
      <c r="F11249" s="16"/>
      <c r="H11249" s="16"/>
      <c r="AG11249" s="80"/>
      <c r="AH11249" s="80"/>
      <c r="AI11249" s="80"/>
    </row>
    <row r="11250" spans="5:35" x14ac:dyDescent="0.25">
      <c r="E11250" s="16"/>
      <c r="F11250" s="16"/>
      <c r="H11250" s="16"/>
      <c r="AG11250" s="80"/>
      <c r="AH11250" s="80"/>
      <c r="AI11250" s="80"/>
    </row>
    <row r="11251" spans="5:35" x14ac:dyDescent="0.25">
      <c r="E11251" s="16"/>
      <c r="F11251" s="16"/>
      <c r="H11251" s="16"/>
      <c r="AG11251" s="80"/>
      <c r="AH11251" s="80"/>
      <c r="AI11251" s="80"/>
    </row>
    <row r="11252" spans="5:35" x14ac:dyDescent="0.25">
      <c r="E11252" s="16"/>
      <c r="F11252" s="16"/>
      <c r="H11252" s="16"/>
      <c r="AG11252" s="80"/>
      <c r="AH11252" s="80"/>
      <c r="AI11252" s="80"/>
    </row>
    <row r="11253" spans="5:35" x14ac:dyDescent="0.25">
      <c r="E11253" s="16"/>
      <c r="F11253" s="16"/>
      <c r="H11253" s="16"/>
      <c r="AG11253" s="80"/>
      <c r="AH11253" s="80"/>
      <c r="AI11253" s="80"/>
    </row>
    <row r="11254" spans="5:35" x14ac:dyDescent="0.25">
      <c r="E11254" s="16"/>
      <c r="F11254" s="16"/>
      <c r="H11254" s="16"/>
      <c r="AG11254" s="80"/>
      <c r="AH11254" s="80"/>
      <c r="AI11254" s="80"/>
    </row>
    <row r="11255" spans="5:35" x14ac:dyDescent="0.25">
      <c r="E11255" s="16"/>
      <c r="F11255" s="16"/>
      <c r="H11255" s="16"/>
      <c r="AG11255" s="80"/>
      <c r="AH11255" s="80"/>
      <c r="AI11255" s="80"/>
    </row>
    <row r="11256" spans="5:35" x14ac:dyDescent="0.25">
      <c r="E11256" s="16"/>
      <c r="F11256" s="16"/>
      <c r="H11256" s="16"/>
      <c r="AG11256" s="80"/>
      <c r="AH11256" s="80"/>
      <c r="AI11256" s="80"/>
    </row>
    <row r="11257" spans="5:35" x14ac:dyDescent="0.25">
      <c r="E11257" s="16"/>
      <c r="F11257" s="16"/>
      <c r="H11257" s="16"/>
      <c r="AG11257" s="80"/>
      <c r="AH11257" s="80"/>
      <c r="AI11257" s="80"/>
    </row>
    <row r="11258" spans="5:35" x14ac:dyDescent="0.25">
      <c r="E11258" s="16"/>
      <c r="F11258" s="16"/>
      <c r="H11258" s="16"/>
      <c r="AG11258" s="80"/>
      <c r="AH11258" s="80"/>
      <c r="AI11258" s="80"/>
    </row>
    <row r="11259" spans="5:35" x14ac:dyDescent="0.25">
      <c r="E11259" s="16"/>
      <c r="F11259" s="16"/>
      <c r="H11259" s="16"/>
      <c r="AG11259" s="80"/>
      <c r="AH11259" s="80"/>
      <c r="AI11259" s="80"/>
    </row>
    <row r="11260" spans="5:35" x14ac:dyDescent="0.25">
      <c r="E11260" s="16"/>
      <c r="F11260" s="16"/>
      <c r="H11260" s="16"/>
      <c r="AG11260" s="80"/>
      <c r="AH11260" s="80"/>
      <c r="AI11260" s="80"/>
    </row>
    <row r="11261" spans="5:35" x14ac:dyDescent="0.25">
      <c r="E11261" s="16"/>
      <c r="F11261" s="16"/>
      <c r="H11261" s="16"/>
      <c r="AG11261" s="80"/>
      <c r="AH11261" s="80"/>
      <c r="AI11261" s="80"/>
    </row>
    <row r="11262" spans="5:35" x14ac:dyDescent="0.25">
      <c r="E11262" s="16"/>
      <c r="F11262" s="16"/>
      <c r="H11262" s="16"/>
      <c r="AG11262" s="80"/>
      <c r="AH11262" s="80"/>
      <c r="AI11262" s="80"/>
    </row>
    <row r="11263" spans="5:35" x14ac:dyDescent="0.25">
      <c r="E11263" s="16"/>
      <c r="F11263" s="16"/>
      <c r="H11263" s="16"/>
      <c r="AG11263" s="80"/>
      <c r="AH11263" s="80"/>
      <c r="AI11263" s="80"/>
    </row>
    <row r="11264" spans="5:35" x14ac:dyDescent="0.25">
      <c r="E11264" s="16"/>
      <c r="F11264" s="16"/>
      <c r="H11264" s="16"/>
      <c r="AG11264" s="80"/>
      <c r="AH11264" s="80"/>
      <c r="AI11264" s="80"/>
    </row>
    <row r="11265" spans="5:35" x14ac:dyDescent="0.25">
      <c r="E11265" s="16"/>
      <c r="F11265" s="16"/>
      <c r="H11265" s="16"/>
      <c r="AG11265" s="80"/>
      <c r="AH11265" s="80"/>
      <c r="AI11265" s="80"/>
    </row>
    <row r="11266" spans="5:35" x14ac:dyDescent="0.25">
      <c r="E11266" s="16"/>
      <c r="F11266" s="16"/>
      <c r="H11266" s="16"/>
      <c r="AG11266" s="80"/>
      <c r="AH11266" s="80"/>
      <c r="AI11266" s="80"/>
    </row>
    <row r="11267" spans="5:35" x14ac:dyDescent="0.25">
      <c r="E11267" s="16"/>
      <c r="F11267" s="16"/>
      <c r="H11267" s="16"/>
      <c r="AG11267" s="80"/>
      <c r="AH11267" s="80"/>
      <c r="AI11267" s="80"/>
    </row>
    <row r="11268" spans="5:35" x14ac:dyDescent="0.25">
      <c r="E11268" s="16"/>
      <c r="F11268" s="16"/>
      <c r="H11268" s="16"/>
      <c r="AG11268" s="80"/>
      <c r="AH11268" s="80"/>
      <c r="AI11268" s="80"/>
    </row>
    <row r="11269" spans="5:35" x14ac:dyDescent="0.25">
      <c r="E11269" s="16"/>
      <c r="F11269" s="16"/>
      <c r="H11269" s="16"/>
      <c r="AG11269" s="80"/>
      <c r="AH11269" s="80"/>
      <c r="AI11269" s="80"/>
    </row>
    <row r="11270" spans="5:35" x14ac:dyDescent="0.25">
      <c r="E11270" s="16"/>
      <c r="F11270" s="16"/>
      <c r="H11270" s="16"/>
      <c r="AG11270" s="80"/>
      <c r="AH11270" s="80"/>
      <c r="AI11270" s="80"/>
    </row>
    <row r="11271" spans="5:35" x14ac:dyDescent="0.25">
      <c r="E11271" s="16"/>
      <c r="F11271" s="16"/>
      <c r="H11271" s="16"/>
      <c r="AG11271" s="80"/>
      <c r="AH11271" s="80"/>
      <c r="AI11271" s="80"/>
    </row>
    <row r="11272" spans="5:35" x14ac:dyDescent="0.25">
      <c r="E11272" s="16"/>
      <c r="F11272" s="16"/>
      <c r="H11272" s="16"/>
      <c r="AG11272" s="80"/>
      <c r="AH11272" s="80"/>
      <c r="AI11272" s="80"/>
    </row>
    <row r="11273" spans="5:35" x14ac:dyDescent="0.25">
      <c r="E11273" s="16"/>
      <c r="F11273" s="16"/>
      <c r="H11273" s="16"/>
      <c r="AG11273" s="80"/>
      <c r="AH11273" s="80"/>
      <c r="AI11273" s="80"/>
    </row>
    <row r="11274" spans="5:35" x14ac:dyDescent="0.25">
      <c r="E11274" s="16"/>
      <c r="F11274" s="16"/>
      <c r="H11274" s="16"/>
      <c r="AG11274" s="80"/>
      <c r="AH11274" s="80"/>
      <c r="AI11274" s="80"/>
    </row>
    <row r="11275" spans="5:35" x14ac:dyDescent="0.25">
      <c r="E11275" s="16"/>
      <c r="F11275" s="16"/>
      <c r="H11275" s="16"/>
      <c r="AG11275" s="80"/>
      <c r="AH11275" s="80"/>
      <c r="AI11275" s="80"/>
    </row>
    <row r="11276" spans="5:35" x14ac:dyDescent="0.25">
      <c r="E11276" s="16"/>
      <c r="F11276" s="16"/>
      <c r="H11276" s="16"/>
      <c r="AG11276" s="80"/>
      <c r="AH11276" s="80"/>
      <c r="AI11276" s="80"/>
    </row>
    <row r="11277" spans="5:35" x14ac:dyDescent="0.25">
      <c r="E11277" s="16"/>
      <c r="F11277" s="16"/>
      <c r="H11277" s="16"/>
      <c r="AG11277" s="80"/>
      <c r="AH11277" s="80"/>
      <c r="AI11277" s="80"/>
    </row>
    <row r="11278" spans="5:35" x14ac:dyDescent="0.25">
      <c r="E11278" s="16"/>
      <c r="F11278" s="16"/>
      <c r="H11278" s="16"/>
      <c r="AG11278" s="80"/>
      <c r="AH11278" s="80"/>
      <c r="AI11278" s="80"/>
    </row>
    <row r="11279" spans="5:35" x14ac:dyDescent="0.25">
      <c r="E11279" s="16"/>
      <c r="F11279" s="16"/>
      <c r="H11279" s="16"/>
      <c r="AG11279" s="80"/>
      <c r="AH11279" s="80"/>
      <c r="AI11279" s="80"/>
    </row>
    <row r="11280" spans="5:35" x14ac:dyDescent="0.25">
      <c r="E11280" s="16"/>
      <c r="F11280" s="16"/>
      <c r="H11280" s="16"/>
      <c r="AG11280" s="80"/>
      <c r="AH11280" s="80"/>
      <c r="AI11280" s="80"/>
    </row>
    <row r="11281" spans="5:35" x14ac:dyDescent="0.25">
      <c r="E11281" s="16"/>
      <c r="F11281" s="16"/>
      <c r="H11281" s="16"/>
      <c r="AG11281" s="80"/>
      <c r="AH11281" s="80"/>
      <c r="AI11281" s="80"/>
    </row>
    <row r="11282" spans="5:35" x14ac:dyDescent="0.25">
      <c r="E11282" s="16"/>
      <c r="F11282" s="16"/>
      <c r="H11282" s="16"/>
      <c r="AG11282" s="80"/>
      <c r="AH11282" s="80"/>
      <c r="AI11282" s="80"/>
    </row>
    <row r="11283" spans="5:35" x14ac:dyDescent="0.25">
      <c r="E11283" s="16"/>
      <c r="F11283" s="16"/>
      <c r="H11283" s="16"/>
      <c r="AG11283" s="80"/>
      <c r="AH11283" s="80"/>
      <c r="AI11283" s="80"/>
    </row>
    <row r="11284" spans="5:35" x14ac:dyDescent="0.25">
      <c r="E11284" s="16"/>
      <c r="F11284" s="16"/>
      <c r="H11284" s="16"/>
      <c r="AG11284" s="80"/>
      <c r="AH11284" s="80"/>
      <c r="AI11284" s="80"/>
    </row>
    <row r="11285" spans="5:35" x14ac:dyDescent="0.25">
      <c r="E11285" s="16"/>
      <c r="F11285" s="16"/>
      <c r="H11285" s="16"/>
      <c r="AG11285" s="80"/>
      <c r="AH11285" s="80"/>
      <c r="AI11285" s="80"/>
    </row>
    <row r="11286" spans="5:35" x14ac:dyDescent="0.25">
      <c r="E11286" s="16"/>
      <c r="F11286" s="16"/>
      <c r="H11286" s="16"/>
      <c r="AG11286" s="80"/>
      <c r="AH11286" s="80"/>
      <c r="AI11286" s="80"/>
    </row>
    <row r="11287" spans="5:35" x14ac:dyDescent="0.25">
      <c r="E11287" s="16"/>
      <c r="F11287" s="16"/>
      <c r="H11287" s="16"/>
      <c r="AG11287" s="80"/>
      <c r="AH11287" s="80"/>
      <c r="AI11287" s="80"/>
    </row>
    <row r="11288" spans="5:35" x14ac:dyDescent="0.25">
      <c r="E11288" s="16"/>
      <c r="F11288" s="16"/>
      <c r="H11288" s="16"/>
      <c r="AG11288" s="80"/>
      <c r="AH11288" s="80"/>
      <c r="AI11288" s="80"/>
    </row>
    <row r="11289" spans="5:35" x14ac:dyDescent="0.25">
      <c r="E11289" s="16"/>
      <c r="F11289" s="16"/>
      <c r="H11289" s="16"/>
      <c r="AG11289" s="80"/>
      <c r="AH11289" s="80"/>
      <c r="AI11289" s="80"/>
    </row>
    <row r="11290" spans="5:35" x14ac:dyDescent="0.25">
      <c r="E11290" s="16"/>
      <c r="F11290" s="16"/>
      <c r="H11290" s="16"/>
      <c r="AG11290" s="80"/>
      <c r="AH11290" s="80"/>
      <c r="AI11290" s="80"/>
    </row>
    <row r="11291" spans="5:35" x14ac:dyDescent="0.25">
      <c r="E11291" s="16"/>
      <c r="F11291" s="16"/>
      <c r="H11291" s="16"/>
      <c r="AG11291" s="80"/>
      <c r="AH11291" s="80"/>
      <c r="AI11291" s="80"/>
    </row>
    <row r="11292" spans="5:35" x14ac:dyDescent="0.25">
      <c r="E11292" s="16"/>
      <c r="F11292" s="16"/>
      <c r="H11292" s="16"/>
      <c r="AG11292" s="80"/>
      <c r="AH11292" s="80"/>
      <c r="AI11292" s="80"/>
    </row>
    <row r="11293" spans="5:35" x14ac:dyDescent="0.25">
      <c r="E11293" s="16"/>
      <c r="F11293" s="16"/>
      <c r="H11293" s="16"/>
      <c r="AG11293" s="80"/>
      <c r="AH11293" s="80"/>
      <c r="AI11293" s="80"/>
    </row>
    <row r="11294" spans="5:35" x14ac:dyDescent="0.25">
      <c r="E11294" s="16"/>
      <c r="F11294" s="16"/>
      <c r="H11294" s="16"/>
      <c r="AG11294" s="80"/>
      <c r="AH11294" s="80"/>
      <c r="AI11294" s="80"/>
    </row>
    <row r="11295" spans="5:35" x14ac:dyDescent="0.25">
      <c r="E11295" s="16"/>
      <c r="F11295" s="16"/>
      <c r="H11295" s="16"/>
      <c r="AG11295" s="80"/>
      <c r="AH11295" s="80"/>
      <c r="AI11295" s="80"/>
    </row>
    <row r="11296" spans="5:35" x14ac:dyDescent="0.25">
      <c r="E11296" s="16"/>
      <c r="F11296" s="16"/>
      <c r="H11296" s="16"/>
      <c r="AG11296" s="80"/>
      <c r="AH11296" s="80"/>
      <c r="AI11296" s="80"/>
    </row>
    <row r="11297" spans="5:35" x14ac:dyDescent="0.25">
      <c r="E11297" s="16"/>
      <c r="F11297" s="16"/>
      <c r="H11297" s="16"/>
      <c r="AG11297" s="80"/>
      <c r="AH11297" s="80"/>
      <c r="AI11297" s="80"/>
    </row>
    <row r="11298" spans="5:35" x14ac:dyDescent="0.25">
      <c r="E11298" s="16"/>
      <c r="F11298" s="16"/>
      <c r="H11298" s="16"/>
      <c r="AG11298" s="80"/>
      <c r="AH11298" s="80"/>
      <c r="AI11298" s="80"/>
    </row>
    <row r="11299" spans="5:35" x14ac:dyDescent="0.25">
      <c r="E11299" s="16"/>
      <c r="F11299" s="16"/>
      <c r="H11299" s="16"/>
      <c r="AG11299" s="80"/>
      <c r="AH11299" s="80"/>
      <c r="AI11299" s="80"/>
    </row>
    <row r="11300" spans="5:35" x14ac:dyDescent="0.25">
      <c r="E11300" s="16"/>
      <c r="F11300" s="16"/>
      <c r="H11300" s="16"/>
      <c r="AG11300" s="80"/>
      <c r="AH11300" s="80"/>
      <c r="AI11300" s="80"/>
    </row>
    <row r="11301" spans="5:35" x14ac:dyDescent="0.25">
      <c r="E11301" s="16"/>
      <c r="F11301" s="16"/>
      <c r="H11301" s="16"/>
      <c r="AG11301" s="80"/>
      <c r="AH11301" s="80"/>
      <c r="AI11301" s="80"/>
    </row>
    <row r="11302" spans="5:35" x14ac:dyDescent="0.25">
      <c r="E11302" s="16"/>
      <c r="F11302" s="16"/>
      <c r="H11302" s="16"/>
      <c r="AG11302" s="80"/>
      <c r="AH11302" s="80"/>
      <c r="AI11302" s="80"/>
    </row>
    <row r="11303" spans="5:35" x14ac:dyDescent="0.25">
      <c r="E11303" s="16"/>
      <c r="F11303" s="16"/>
      <c r="H11303" s="16"/>
      <c r="AG11303" s="80"/>
      <c r="AH11303" s="80"/>
      <c r="AI11303" s="80"/>
    </row>
    <row r="11304" spans="5:35" x14ac:dyDescent="0.25">
      <c r="E11304" s="16"/>
      <c r="F11304" s="16"/>
      <c r="H11304" s="16"/>
      <c r="AG11304" s="80"/>
      <c r="AH11304" s="80"/>
      <c r="AI11304" s="80"/>
    </row>
    <row r="11305" spans="5:35" x14ac:dyDescent="0.25">
      <c r="E11305" s="16"/>
      <c r="F11305" s="16"/>
      <c r="H11305" s="16"/>
      <c r="AG11305" s="80"/>
      <c r="AH11305" s="80"/>
      <c r="AI11305" s="80"/>
    </row>
    <row r="11306" spans="5:35" x14ac:dyDescent="0.25">
      <c r="E11306" s="16"/>
      <c r="F11306" s="16"/>
      <c r="H11306" s="16"/>
      <c r="AG11306" s="80"/>
      <c r="AH11306" s="80"/>
      <c r="AI11306" s="80"/>
    </row>
    <row r="11307" spans="5:35" x14ac:dyDescent="0.25">
      <c r="E11307" s="16"/>
      <c r="F11307" s="16"/>
      <c r="H11307" s="16"/>
      <c r="AG11307" s="80"/>
      <c r="AH11307" s="80"/>
      <c r="AI11307" s="80"/>
    </row>
    <row r="11308" spans="5:35" x14ac:dyDescent="0.25">
      <c r="E11308" s="16"/>
      <c r="F11308" s="16"/>
      <c r="H11308" s="16"/>
      <c r="AG11308" s="80"/>
      <c r="AH11308" s="80"/>
      <c r="AI11308" s="80"/>
    </row>
    <row r="11309" spans="5:35" x14ac:dyDescent="0.25">
      <c r="E11309" s="16"/>
      <c r="F11309" s="16"/>
      <c r="H11309" s="16"/>
      <c r="AG11309" s="80"/>
      <c r="AH11309" s="80"/>
      <c r="AI11309" s="80"/>
    </row>
    <row r="11310" spans="5:35" x14ac:dyDescent="0.25">
      <c r="E11310" s="16"/>
      <c r="F11310" s="16"/>
      <c r="H11310" s="16"/>
      <c r="AG11310" s="80"/>
      <c r="AH11310" s="80"/>
      <c r="AI11310" s="80"/>
    </row>
    <row r="11311" spans="5:35" x14ac:dyDescent="0.25">
      <c r="E11311" s="16"/>
      <c r="F11311" s="16"/>
      <c r="H11311" s="16"/>
      <c r="AG11311" s="80"/>
      <c r="AH11311" s="80"/>
      <c r="AI11311" s="80"/>
    </row>
    <row r="11312" spans="5:35" x14ac:dyDescent="0.25">
      <c r="E11312" s="16"/>
      <c r="F11312" s="16"/>
      <c r="H11312" s="16"/>
      <c r="AG11312" s="80"/>
      <c r="AH11312" s="80"/>
      <c r="AI11312" s="80"/>
    </row>
    <row r="11313" spans="5:35" x14ac:dyDescent="0.25">
      <c r="E11313" s="16"/>
      <c r="F11313" s="16"/>
      <c r="H11313" s="16"/>
      <c r="AG11313" s="80"/>
      <c r="AH11313" s="80"/>
      <c r="AI11313" s="80"/>
    </row>
    <row r="11314" spans="5:35" x14ac:dyDescent="0.25">
      <c r="E11314" s="16"/>
      <c r="F11314" s="16"/>
      <c r="H11314" s="16"/>
      <c r="AG11314" s="80"/>
      <c r="AH11314" s="80"/>
      <c r="AI11314" s="80"/>
    </row>
    <row r="11315" spans="5:35" x14ac:dyDescent="0.25">
      <c r="E11315" s="16"/>
      <c r="F11315" s="16"/>
      <c r="H11315" s="16"/>
      <c r="AG11315" s="80"/>
      <c r="AH11315" s="80"/>
      <c r="AI11315" s="80"/>
    </row>
    <row r="11316" spans="5:35" x14ac:dyDescent="0.25">
      <c r="E11316" s="16"/>
      <c r="F11316" s="16"/>
      <c r="H11316" s="16"/>
      <c r="AG11316" s="80"/>
      <c r="AH11316" s="80"/>
      <c r="AI11316" s="80"/>
    </row>
    <row r="11317" spans="5:35" x14ac:dyDescent="0.25">
      <c r="E11317" s="16"/>
      <c r="F11317" s="16"/>
      <c r="H11317" s="16"/>
      <c r="AG11317" s="80"/>
      <c r="AH11317" s="80"/>
      <c r="AI11317" s="80"/>
    </row>
    <row r="11318" spans="5:35" x14ac:dyDescent="0.25">
      <c r="E11318" s="16"/>
      <c r="F11318" s="16"/>
      <c r="H11318" s="16"/>
      <c r="AG11318" s="80"/>
      <c r="AH11318" s="80"/>
      <c r="AI11318" s="80"/>
    </row>
    <row r="11319" spans="5:35" x14ac:dyDescent="0.25">
      <c r="E11319" s="16"/>
      <c r="F11319" s="16"/>
      <c r="H11319" s="16"/>
      <c r="AG11319" s="80"/>
      <c r="AH11319" s="80"/>
      <c r="AI11319" s="80"/>
    </row>
    <row r="11320" spans="5:35" x14ac:dyDescent="0.25">
      <c r="E11320" s="16"/>
      <c r="F11320" s="16"/>
      <c r="H11320" s="16"/>
      <c r="AG11320" s="80"/>
      <c r="AH11320" s="80"/>
      <c r="AI11320" s="80"/>
    </row>
    <row r="11321" spans="5:35" x14ac:dyDescent="0.25">
      <c r="E11321" s="16"/>
      <c r="F11321" s="16"/>
      <c r="H11321" s="16"/>
      <c r="AG11321" s="80"/>
      <c r="AH11321" s="80"/>
      <c r="AI11321" s="80"/>
    </row>
    <row r="11322" spans="5:35" x14ac:dyDescent="0.25">
      <c r="E11322" s="16"/>
      <c r="F11322" s="16"/>
      <c r="H11322" s="16"/>
      <c r="AG11322" s="80"/>
      <c r="AH11322" s="80"/>
      <c r="AI11322" s="80"/>
    </row>
    <row r="11323" spans="5:35" x14ac:dyDescent="0.25">
      <c r="E11323" s="16"/>
      <c r="F11323" s="16"/>
      <c r="H11323" s="16"/>
      <c r="AG11323" s="80"/>
      <c r="AH11323" s="80"/>
      <c r="AI11323" s="80"/>
    </row>
    <row r="11324" spans="5:35" x14ac:dyDescent="0.25">
      <c r="E11324" s="16"/>
      <c r="F11324" s="16"/>
      <c r="H11324" s="16"/>
      <c r="AG11324" s="80"/>
      <c r="AH11324" s="80"/>
      <c r="AI11324" s="80"/>
    </row>
    <row r="11325" spans="5:35" x14ac:dyDescent="0.25">
      <c r="E11325" s="16"/>
      <c r="F11325" s="16"/>
      <c r="H11325" s="16"/>
      <c r="AG11325" s="80"/>
      <c r="AH11325" s="80"/>
      <c r="AI11325" s="80"/>
    </row>
    <row r="11326" spans="5:35" x14ac:dyDescent="0.25">
      <c r="E11326" s="16"/>
      <c r="F11326" s="16"/>
      <c r="H11326" s="16"/>
      <c r="AG11326" s="80"/>
      <c r="AH11326" s="80"/>
      <c r="AI11326" s="80"/>
    </row>
    <row r="11327" spans="5:35" x14ac:dyDescent="0.25">
      <c r="E11327" s="16"/>
      <c r="F11327" s="16"/>
      <c r="H11327" s="16"/>
      <c r="AG11327" s="80"/>
      <c r="AH11327" s="80"/>
      <c r="AI11327" s="80"/>
    </row>
    <row r="11328" spans="5:35" x14ac:dyDescent="0.25">
      <c r="E11328" s="16"/>
      <c r="F11328" s="16"/>
      <c r="H11328" s="16"/>
      <c r="AG11328" s="80"/>
      <c r="AH11328" s="80"/>
      <c r="AI11328" s="80"/>
    </row>
    <row r="11329" spans="5:35" x14ac:dyDescent="0.25">
      <c r="E11329" s="16"/>
      <c r="F11329" s="16"/>
      <c r="H11329" s="16"/>
      <c r="AG11329" s="80"/>
      <c r="AH11329" s="80"/>
      <c r="AI11329" s="80"/>
    </row>
    <row r="11330" spans="5:35" x14ac:dyDescent="0.25">
      <c r="E11330" s="16"/>
      <c r="F11330" s="16"/>
      <c r="H11330" s="16"/>
      <c r="AG11330" s="80"/>
      <c r="AH11330" s="80"/>
      <c r="AI11330" s="80"/>
    </row>
    <row r="11331" spans="5:35" x14ac:dyDescent="0.25">
      <c r="E11331" s="16"/>
      <c r="F11331" s="16"/>
      <c r="H11331" s="16"/>
      <c r="AG11331" s="80"/>
      <c r="AH11331" s="80"/>
      <c r="AI11331" s="80"/>
    </row>
    <row r="11332" spans="5:35" x14ac:dyDescent="0.25">
      <c r="E11332" s="16"/>
      <c r="F11332" s="16"/>
      <c r="H11332" s="16"/>
      <c r="AG11332" s="80"/>
      <c r="AH11332" s="80"/>
      <c r="AI11332" s="80"/>
    </row>
    <row r="11333" spans="5:35" x14ac:dyDescent="0.25">
      <c r="E11333" s="16"/>
      <c r="F11333" s="16"/>
      <c r="H11333" s="16"/>
      <c r="AG11333" s="80"/>
      <c r="AH11333" s="80"/>
      <c r="AI11333" s="80"/>
    </row>
    <row r="11334" spans="5:35" x14ac:dyDescent="0.25">
      <c r="E11334" s="16"/>
      <c r="F11334" s="16"/>
      <c r="H11334" s="16"/>
      <c r="AG11334" s="80"/>
      <c r="AH11334" s="80"/>
      <c r="AI11334" s="80"/>
    </row>
    <row r="11335" spans="5:35" x14ac:dyDescent="0.25">
      <c r="E11335" s="16"/>
      <c r="F11335" s="16"/>
      <c r="H11335" s="16"/>
      <c r="AG11335" s="80"/>
      <c r="AH11335" s="80"/>
      <c r="AI11335" s="80"/>
    </row>
    <row r="11336" spans="5:35" x14ac:dyDescent="0.25">
      <c r="E11336" s="16"/>
      <c r="F11336" s="16"/>
      <c r="H11336" s="16"/>
      <c r="AG11336" s="80"/>
      <c r="AH11336" s="80"/>
      <c r="AI11336" s="80"/>
    </row>
    <row r="11337" spans="5:35" x14ac:dyDescent="0.25">
      <c r="E11337" s="16"/>
      <c r="F11337" s="16"/>
      <c r="H11337" s="16"/>
      <c r="AG11337" s="80"/>
      <c r="AH11337" s="80"/>
      <c r="AI11337" s="80"/>
    </row>
    <row r="11338" spans="5:35" x14ac:dyDescent="0.25">
      <c r="E11338" s="16"/>
      <c r="F11338" s="16"/>
      <c r="H11338" s="16"/>
      <c r="AG11338" s="80"/>
      <c r="AH11338" s="80"/>
      <c r="AI11338" s="80"/>
    </row>
    <row r="11339" spans="5:35" x14ac:dyDescent="0.25">
      <c r="E11339" s="16"/>
      <c r="F11339" s="16"/>
      <c r="H11339" s="16"/>
      <c r="AG11339" s="80"/>
      <c r="AH11339" s="80"/>
      <c r="AI11339" s="80"/>
    </row>
    <row r="11340" spans="5:35" x14ac:dyDescent="0.25">
      <c r="E11340" s="16"/>
      <c r="F11340" s="16"/>
      <c r="H11340" s="16"/>
      <c r="AG11340" s="80"/>
      <c r="AH11340" s="80"/>
      <c r="AI11340" s="80"/>
    </row>
    <row r="11341" spans="5:35" x14ac:dyDescent="0.25">
      <c r="E11341" s="16"/>
      <c r="F11341" s="16"/>
      <c r="H11341" s="16"/>
      <c r="AG11341" s="80"/>
      <c r="AH11341" s="80"/>
      <c r="AI11341" s="80"/>
    </row>
    <row r="11342" spans="5:35" x14ac:dyDescent="0.25">
      <c r="E11342" s="16"/>
      <c r="F11342" s="16"/>
      <c r="H11342" s="16"/>
      <c r="AG11342" s="80"/>
      <c r="AH11342" s="80"/>
      <c r="AI11342" s="80"/>
    </row>
    <row r="11343" spans="5:35" x14ac:dyDescent="0.25">
      <c r="E11343" s="16"/>
      <c r="F11343" s="16"/>
      <c r="H11343" s="16"/>
      <c r="AG11343" s="80"/>
      <c r="AH11343" s="80"/>
      <c r="AI11343" s="80"/>
    </row>
    <row r="11344" spans="5:35" x14ac:dyDescent="0.25">
      <c r="E11344" s="16"/>
      <c r="F11344" s="16"/>
      <c r="H11344" s="16"/>
      <c r="AG11344" s="80"/>
      <c r="AH11344" s="80"/>
      <c r="AI11344" s="80"/>
    </row>
    <row r="11345" spans="5:35" x14ac:dyDescent="0.25">
      <c r="E11345" s="16"/>
      <c r="F11345" s="16"/>
      <c r="H11345" s="16"/>
      <c r="AG11345" s="80"/>
      <c r="AH11345" s="80"/>
      <c r="AI11345" s="80"/>
    </row>
    <row r="11346" spans="5:35" x14ac:dyDescent="0.25">
      <c r="E11346" s="16"/>
      <c r="F11346" s="16"/>
      <c r="H11346" s="16"/>
      <c r="AG11346" s="80"/>
      <c r="AH11346" s="80"/>
      <c r="AI11346" s="80"/>
    </row>
    <row r="11347" spans="5:35" x14ac:dyDescent="0.25">
      <c r="E11347" s="16"/>
      <c r="F11347" s="16"/>
      <c r="H11347" s="16"/>
      <c r="AG11347" s="80"/>
      <c r="AH11347" s="80"/>
      <c r="AI11347" s="80"/>
    </row>
    <row r="11348" spans="5:35" x14ac:dyDescent="0.25">
      <c r="E11348" s="16"/>
      <c r="F11348" s="16"/>
      <c r="H11348" s="16"/>
      <c r="AG11348" s="80"/>
      <c r="AH11348" s="80"/>
      <c r="AI11348" s="80"/>
    </row>
    <row r="11349" spans="5:35" x14ac:dyDescent="0.25">
      <c r="E11349" s="16"/>
      <c r="F11349" s="16"/>
      <c r="H11349" s="16"/>
      <c r="AG11349" s="80"/>
      <c r="AH11349" s="80"/>
      <c r="AI11349" s="80"/>
    </row>
    <row r="11350" spans="5:35" x14ac:dyDescent="0.25">
      <c r="E11350" s="16"/>
      <c r="F11350" s="16"/>
      <c r="H11350" s="16"/>
      <c r="AG11350" s="80"/>
      <c r="AH11350" s="80"/>
      <c r="AI11350" s="80"/>
    </row>
    <row r="11351" spans="5:35" x14ac:dyDescent="0.25">
      <c r="E11351" s="16"/>
      <c r="F11351" s="16"/>
      <c r="H11351" s="16"/>
      <c r="AG11351" s="80"/>
      <c r="AH11351" s="80"/>
      <c r="AI11351" s="80"/>
    </row>
    <row r="11352" spans="5:35" x14ac:dyDescent="0.25">
      <c r="E11352" s="16"/>
      <c r="F11352" s="16"/>
      <c r="H11352" s="16"/>
      <c r="AG11352" s="80"/>
      <c r="AH11352" s="80"/>
      <c r="AI11352" s="80"/>
    </row>
    <row r="11353" spans="5:35" x14ac:dyDescent="0.25">
      <c r="E11353" s="16"/>
      <c r="F11353" s="16"/>
      <c r="H11353" s="16"/>
      <c r="AG11353" s="80"/>
      <c r="AH11353" s="80"/>
      <c r="AI11353" s="80"/>
    </row>
    <row r="11354" spans="5:35" x14ac:dyDescent="0.25">
      <c r="E11354" s="16"/>
      <c r="F11354" s="16"/>
      <c r="H11354" s="16"/>
      <c r="AG11354" s="80"/>
      <c r="AH11354" s="80"/>
      <c r="AI11354" s="80"/>
    </row>
    <row r="11355" spans="5:35" x14ac:dyDescent="0.25">
      <c r="E11355" s="16"/>
      <c r="F11355" s="16"/>
      <c r="H11355" s="16"/>
      <c r="AG11355" s="80"/>
      <c r="AH11355" s="80"/>
      <c r="AI11355" s="80"/>
    </row>
    <row r="11356" spans="5:35" x14ac:dyDescent="0.25">
      <c r="E11356" s="16"/>
      <c r="F11356" s="16"/>
      <c r="H11356" s="16"/>
      <c r="AG11356" s="80"/>
      <c r="AH11356" s="80"/>
      <c r="AI11356" s="80"/>
    </row>
    <row r="11357" spans="5:35" x14ac:dyDescent="0.25">
      <c r="E11357" s="16"/>
      <c r="F11357" s="16"/>
      <c r="H11357" s="16"/>
      <c r="AG11357" s="80"/>
      <c r="AH11357" s="80"/>
      <c r="AI11357" s="80"/>
    </row>
    <row r="11358" spans="5:35" x14ac:dyDescent="0.25">
      <c r="E11358" s="16"/>
      <c r="F11358" s="16"/>
      <c r="H11358" s="16"/>
      <c r="AG11358" s="80"/>
      <c r="AH11358" s="80"/>
      <c r="AI11358" s="80"/>
    </row>
    <row r="11359" spans="5:35" x14ac:dyDescent="0.25">
      <c r="E11359" s="16"/>
      <c r="F11359" s="16"/>
      <c r="H11359" s="16"/>
      <c r="AG11359" s="80"/>
      <c r="AH11359" s="80"/>
      <c r="AI11359" s="80"/>
    </row>
    <row r="11360" spans="5:35" x14ac:dyDescent="0.25">
      <c r="E11360" s="16"/>
      <c r="F11360" s="16"/>
      <c r="H11360" s="16"/>
      <c r="AG11360" s="80"/>
      <c r="AH11360" s="80"/>
      <c r="AI11360" s="80"/>
    </row>
    <row r="11361" spans="5:35" x14ac:dyDescent="0.25">
      <c r="E11361" s="16"/>
      <c r="F11361" s="16"/>
      <c r="H11361" s="16"/>
      <c r="AG11361" s="80"/>
      <c r="AH11361" s="80"/>
      <c r="AI11361" s="80"/>
    </row>
    <row r="11362" spans="5:35" x14ac:dyDescent="0.25">
      <c r="E11362" s="16"/>
      <c r="F11362" s="16"/>
      <c r="H11362" s="16"/>
      <c r="AG11362" s="80"/>
      <c r="AH11362" s="80"/>
      <c r="AI11362" s="80"/>
    </row>
    <row r="11363" spans="5:35" x14ac:dyDescent="0.25">
      <c r="E11363" s="16"/>
      <c r="F11363" s="16"/>
      <c r="H11363" s="16"/>
      <c r="AG11363" s="80"/>
      <c r="AH11363" s="80"/>
      <c r="AI11363" s="80"/>
    </row>
    <row r="11364" spans="5:35" x14ac:dyDescent="0.25">
      <c r="E11364" s="16"/>
      <c r="F11364" s="16"/>
      <c r="H11364" s="16"/>
      <c r="AG11364" s="80"/>
      <c r="AH11364" s="80"/>
      <c r="AI11364" s="80"/>
    </row>
    <row r="11365" spans="5:35" x14ac:dyDescent="0.25">
      <c r="E11365" s="16"/>
      <c r="F11365" s="16"/>
      <c r="H11365" s="16"/>
      <c r="AG11365" s="80"/>
      <c r="AH11365" s="80"/>
      <c r="AI11365" s="80"/>
    </row>
    <row r="11366" spans="5:35" x14ac:dyDescent="0.25">
      <c r="E11366" s="16"/>
      <c r="F11366" s="16"/>
      <c r="H11366" s="16"/>
      <c r="AG11366" s="80"/>
      <c r="AH11366" s="80"/>
      <c r="AI11366" s="80"/>
    </row>
    <row r="11367" spans="5:35" x14ac:dyDescent="0.25">
      <c r="E11367" s="16"/>
      <c r="F11367" s="16"/>
      <c r="H11367" s="16"/>
      <c r="AG11367" s="80"/>
      <c r="AH11367" s="80"/>
      <c r="AI11367" s="80"/>
    </row>
    <row r="11368" spans="5:35" x14ac:dyDescent="0.25">
      <c r="E11368" s="16"/>
      <c r="F11368" s="16"/>
      <c r="H11368" s="16"/>
      <c r="AG11368" s="80"/>
      <c r="AH11368" s="80"/>
      <c r="AI11368" s="80"/>
    </row>
    <row r="11369" spans="5:35" x14ac:dyDescent="0.25">
      <c r="E11369" s="16"/>
      <c r="F11369" s="16"/>
      <c r="H11369" s="16"/>
      <c r="AG11369" s="80"/>
      <c r="AH11369" s="80"/>
      <c r="AI11369" s="80"/>
    </row>
    <row r="11370" spans="5:35" x14ac:dyDescent="0.25">
      <c r="E11370" s="16"/>
      <c r="F11370" s="16"/>
      <c r="H11370" s="16"/>
      <c r="AG11370" s="80"/>
      <c r="AH11370" s="80"/>
      <c r="AI11370" s="80"/>
    </row>
    <row r="11371" spans="5:35" x14ac:dyDescent="0.25">
      <c r="E11371" s="16"/>
      <c r="F11371" s="16"/>
      <c r="H11371" s="16"/>
      <c r="AG11371" s="80"/>
      <c r="AH11371" s="80"/>
      <c r="AI11371" s="80"/>
    </row>
    <row r="11372" spans="5:35" x14ac:dyDescent="0.25">
      <c r="E11372" s="16"/>
      <c r="F11372" s="16"/>
      <c r="H11372" s="16"/>
      <c r="AG11372" s="80"/>
      <c r="AH11372" s="80"/>
      <c r="AI11372" s="80"/>
    </row>
    <row r="11373" spans="5:35" x14ac:dyDescent="0.25">
      <c r="E11373" s="16"/>
      <c r="F11373" s="16"/>
      <c r="H11373" s="16"/>
      <c r="AG11373" s="80"/>
      <c r="AH11373" s="80"/>
      <c r="AI11373" s="80"/>
    </row>
    <row r="11374" spans="5:35" x14ac:dyDescent="0.25">
      <c r="E11374" s="16"/>
      <c r="F11374" s="16"/>
      <c r="H11374" s="16"/>
      <c r="AG11374" s="80"/>
      <c r="AH11374" s="80"/>
      <c r="AI11374" s="80"/>
    </row>
    <row r="11375" spans="5:35" x14ac:dyDescent="0.25">
      <c r="E11375" s="16"/>
      <c r="F11375" s="16"/>
      <c r="H11375" s="16"/>
      <c r="AG11375" s="80"/>
      <c r="AH11375" s="80"/>
      <c r="AI11375" s="80"/>
    </row>
    <row r="11376" spans="5:35" x14ac:dyDescent="0.25">
      <c r="E11376" s="16"/>
      <c r="F11376" s="16"/>
      <c r="H11376" s="16"/>
      <c r="AG11376" s="80"/>
      <c r="AH11376" s="80"/>
      <c r="AI11376" s="80"/>
    </row>
    <row r="11377" spans="5:35" x14ac:dyDescent="0.25">
      <c r="E11377" s="16"/>
      <c r="F11377" s="16"/>
      <c r="H11377" s="16"/>
      <c r="AG11377" s="80"/>
      <c r="AH11377" s="80"/>
      <c r="AI11377" s="80"/>
    </row>
    <row r="11378" spans="5:35" x14ac:dyDescent="0.25">
      <c r="E11378" s="16"/>
      <c r="F11378" s="16"/>
      <c r="H11378" s="16"/>
      <c r="AG11378" s="80"/>
      <c r="AH11378" s="80"/>
      <c r="AI11378" s="80"/>
    </row>
    <row r="11379" spans="5:35" x14ac:dyDescent="0.25">
      <c r="E11379" s="16"/>
      <c r="F11379" s="16"/>
      <c r="H11379" s="16"/>
      <c r="AG11379" s="80"/>
      <c r="AH11379" s="80"/>
      <c r="AI11379" s="80"/>
    </row>
    <row r="11380" spans="5:35" x14ac:dyDescent="0.25">
      <c r="E11380" s="16"/>
      <c r="F11380" s="16"/>
      <c r="H11380" s="16"/>
      <c r="AG11380" s="80"/>
      <c r="AH11380" s="80"/>
      <c r="AI11380" s="80"/>
    </row>
    <row r="11381" spans="5:35" x14ac:dyDescent="0.25">
      <c r="E11381" s="16"/>
      <c r="F11381" s="16"/>
      <c r="H11381" s="16"/>
      <c r="AG11381" s="80"/>
      <c r="AH11381" s="80"/>
      <c r="AI11381" s="80"/>
    </row>
    <row r="11382" spans="5:35" x14ac:dyDescent="0.25">
      <c r="E11382" s="16"/>
      <c r="F11382" s="16"/>
      <c r="H11382" s="16"/>
      <c r="AG11382" s="80"/>
      <c r="AH11382" s="80"/>
      <c r="AI11382" s="80"/>
    </row>
    <row r="11383" spans="5:35" x14ac:dyDescent="0.25">
      <c r="E11383" s="16"/>
      <c r="F11383" s="16"/>
      <c r="H11383" s="16"/>
      <c r="AG11383" s="80"/>
      <c r="AH11383" s="80"/>
      <c r="AI11383" s="80"/>
    </row>
    <row r="11384" spans="5:35" x14ac:dyDescent="0.25">
      <c r="E11384" s="16"/>
      <c r="F11384" s="16"/>
      <c r="H11384" s="16"/>
      <c r="AG11384" s="80"/>
      <c r="AH11384" s="80"/>
      <c r="AI11384" s="80"/>
    </row>
    <row r="11385" spans="5:35" x14ac:dyDescent="0.25">
      <c r="E11385" s="16"/>
      <c r="F11385" s="16"/>
      <c r="H11385" s="16"/>
      <c r="AG11385" s="80"/>
      <c r="AH11385" s="80"/>
      <c r="AI11385" s="80"/>
    </row>
    <row r="11386" spans="5:35" x14ac:dyDescent="0.25">
      <c r="E11386" s="16"/>
      <c r="F11386" s="16"/>
      <c r="H11386" s="16"/>
      <c r="AG11386" s="80"/>
      <c r="AH11386" s="80"/>
      <c r="AI11386" s="80"/>
    </row>
    <row r="11387" spans="5:35" x14ac:dyDescent="0.25">
      <c r="E11387" s="16"/>
      <c r="F11387" s="16"/>
      <c r="H11387" s="16"/>
      <c r="AG11387" s="80"/>
      <c r="AH11387" s="80"/>
      <c r="AI11387" s="80"/>
    </row>
    <row r="11388" spans="5:35" x14ac:dyDescent="0.25">
      <c r="E11388" s="16"/>
      <c r="F11388" s="16"/>
      <c r="H11388" s="16"/>
      <c r="AG11388" s="80"/>
      <c r="AH11388" s="80"/>
      <c r="AI11388" s="80"/>
    </row>
    <row r="11389" spans="5:35" x14ac:dyDescent="0.25">
      <c r="E11389" s="16"/>
      <c r="F11389" s="16"/>
      <c r="H11389" s="16"/>
      <c r="AG11389" s="80"/>
      <c r="AH11389" s="80"/>
      <c r="AI11389" s="80"/>
    </row>
    <row r="11390" spans="5:35" x14ac:dyDescent="0.25">
      <c r="E11390" s="16"/>
      <c r="F11390" s="16"/>
      <c r="H11390" s="16"/>
      <c r="AG11390" s="80"/>
      <c r="AH11390" s="80"/>
      <c r="AI11390" s="80"/>
    </row>
    <row r="11391" spans="5:35" x14ac:dyDescent="0.25">
      <c r="E11391" s="16"/>
      <c r="F11391" s="16"/>
      <c r="H11391" s="16"/>
      <c r="AG11391" s="80"/>
      <c r="AH11391" s="80"/>
      <c r="AI11391" s="80"/>
    </row>
    <row r="11392" spans="5:35" x14ac:dyDescent="0.25">
      <c r="E11392" s="16"/>
      <c r="F11392" s="16"/>
      <c r="H11392" s="16"/>
      <c r="AG11392" s="80"/>
      <c r="AH11392" s="80"/>
      <c r="AI11392" s="80"/>
    </row>
    <row r="11393" spans="5:35" x14ac:dyDescent="0.25">
      <c r="E11393" s="16"/>
      <c r="F11393" s="16"/>
      <c r="H11393" s="16"/>
      <c r="AG11393" s="80"/>
      <c r="AH11393" s="80"/>
      <c r="AI11393" s="80"/>
    </row>
    <row r="11394" spans="5:35" x14ac:dyDescent="0.25">
      <c r="E11394" s="16"/>
      <c r="F11394" s="16"/>
      <c r="H11394" s="16"/>
      <c r="AG11394" s="80"/>
      <c r="AH11394" s="80"/>
      <c r="AI11394" s="80"/>
    </row>
    <row r="11395" spans="5:35" x14ac:dyDescent="0.25">
      <c r="E11395" s="16"/>
      <c r="F11395" s="16"/>
      <c r="H11395" s="16"/>
      <c r="AG11395" s="80"/>
      <c r="AH11395" s="80"/>
      <c r="AI11395" s="80"/>
    </row>
    <row r="11396" spans="5:35" x14ac:dyDescent="0.25">
      <c r="E11396" s="16"/>
      <c r="F11396" s="16"/>
      <c r="H11396" s="16"/>
      <c r="AG11396" s="80"/>
      <c r="AH11396" s="80"/>
      <c r="AI11396" s="80"/>
    </row>
    <row r="11397" spans="5:35" x14ac:dyDescent="0.25">
      <c r="E11397" s="16"/>
      <c r="F11397" s="16"/>
      <c r="H11397" s="16"/>
      <c r="AG11397" s="80"/>
      <c r="AH11397" s="80"/>
      <c r="AI11397" s="80"/>
    </row>
    <row r="11398" spans="5:35" x14ac:dyDescent="0.25">
      <c r="E11398" s="16"/>
      <c r="F11398" s="16"/>
      <c r="H11398" s="16"/>
      <c r="AG11398" s="80"/>
      <c r="AH11398" s="80"/>
      <c r="AI11398" s="80"/>
    </row>
    <row r="11399" spans="5:35" x14ac:dyDescent="0.25">
      <c r="E11399" s="16"/>
      <c r="F11399" s="16"/>
      <c r="H11399" s="16"/>
      <c r="AG11399" s="80"/>
      <c r="AH11399" s="80"/>
      <c r="AI11399" s="80"/>
    </row>
    <row r="11400" spans="5:35" x14ac:dyDescent="0.25">
      <c r="E11400" s="16"/>
      <c r="F11400" s="16"/>
      <c r="H11400" s="16"/>
      <c r="AG11400" s="80"/>
      <c r="AH11400" s="80"/>
      <c r="AI11400" s="80"/>
    </row>
    <row r="11401" spans="5:35" x14ac:dyDescent="0.25">
      <c r="E11401" s="16"/>
      <c r="F11401" s="16"/>
      <c r="H11401" s="16"/>
      <c r="AG11401" s="80"/>
      <c r="AH11401" s="80"/>
      <c r="AI11401" s="80"/>
    </row>
    <row r="11402" spans="5:35" x14ac:dyDescent="0.25">
      <c r="E11402" s="16"/>
      <c r="F11402" s="16"/>
      <c r="H11402" s="16"/>
      <c r="AG11402" s="80"/>
      <c r="AH11402" s="80"/>
      <c r="AI11402" s="80"/>
    </row>
    <row r="11403" spans="5:35" x14ac:dyDescent="0.25">
      <c r="E11403" s="16"/>
      <c r="F11403" s="16"/>
      <c r="H11403" s="16"/>
      <c r="AG11403" s="80"/>
      <c r="AH11403" s="80"/>
      <c r="AI11403" s="80"/>
    </row>
    <row r="11404" spans="5:35" x14ac:dyDescent="0.25">
      <c r="E11404" s="16"/>
      <c r="F11404" s="16"/>
      <c r="H11404" s="16"/>
      <c r="AG11404" s="80"/>
      <c r="AH11404" s="80"/>
      <c r="AI11404" s="80"/>
    </row>
    <row r="11405" spans="5:35" x14ac:dyDescent="0.25">
      <c r="E11405" s="16"/>
      <c r="F11405" s="16"/>
      <c r="H11405" s="16"/>
      <c r="AG11405" s="80"/>
      <c r="AH11405" s="80"/>
      <c r="AI11405" s="80"/>
    </row>
    <row r="11406" spans="5:35" x14ac:dyDescent="0.25">
      <c r="E11406" s="16"/>
      <c r="F11406" s="16"/>
      <c r="H11406" s="16"/>
      <c r="AG11406" s="80"/>
      <c r="AH11406" s="80"/>
      <c r="AI11406" s="80"/>
    </row>
    <row r="11407" spans="5:35" x14ac:dyDescent="0.25">
      <c r="E11407" s="16"/>
      <c r="F11407" s="16"/>
      <c r="H11407" s="16"/>
      <c r="AG11407" s="80"/>
      <c r="AH11407" s="80"/>
      <c r="AI11407" s="80"/>
    </row>
    <row r="11408" spans="5:35" x14ac:dyDescent="0.25">
      <c r="E11408" s="16"/>
      <c r="F11408" s="16"/>
      <c r="H11408" s="16"/>
      <c r="AG11408" s="80"/>
      <c r="AH11408" s="80"/>
      <c r="AI11408" s="80"/>
    </row>
    <row r="11409" spans="5:35" x14ac:dyDescent="0.25">
      <c r="E11409" s="16"/>
      <c r="F11409" s="16"/>
      <c r="H11409" s="16"/>
      <c r="AG11409" s="80"/>
      <c r="AH11409" s="80"/>
      <c r="AI11409" s="80"/>
    </row>
    <row r="11410" spans="5:35" x14ac:dyDescent="0.25">
      <c r="E11410" s="16"/>
      <c r="F11410" s="16"/>
      <c r="H11410" s="16"/>
      <c r="AG11410" s="80"/>
      <c r="AH11410" s="80"/>
      <c r="AI11410" s="80"/>
    </row>
    <row r="11411" spans="5:35" x14ac:dyDescent="0.25">
      <c r="E11411" s="16"/>
      <c r="F11411" s="16"/>
      <c r="H11411" s="16"/>
      <c r="AG11411" s="80"/>
      <c r="AH11411" s="80"/>
      <c r="AI11411" s="80"/>
    </row>
    <row r="11412" spans="5:35" x14ac:dyDescent="0.25">
      <c r="E11412" s="16"/>
      <c r="F11412" s="16"/>
      <c r="H11412" s="16"/>
      <c r="AG11412" s="80"/>
      <c r="AH11412" s="80"/>
      <c r="AI11412" s="80"/>
    </row>
    <row r="11413" spans="5:35" x14ac:dyDescent="0.25">
      <c r="E11413" s="16"/>
      <c r="F11413" s="16"/>
      <c r="H11413" s="16"/>
      <c r="AG11413" s="80"/>
      <c r="AH11413" s="80"/>
      <c r="AI11413" s="80"/>
    </row>
    <row r="11414" spans="5:35" x14ac:dyDescent="0.25">
      <c r="E11414" s="16"/>
      <c r="F11414" s="16"/>
      <c r="H11414" s="16"/>
      <c r="AG11414" s="80"/>
      <c r="AH11414" s="80"/>
      <c r="AI11414" s="80"/>
    </row>
    <row r="11415" spans="5:35" x14ac:dyDescent="0.25">
      <c r="E11415" s="16"/>
      <c r="F11415" s="16"/>
      <c r="H11415" s="16"/>
      <c r="AG11415" s="80"/>
      <c r="AH11415" s="80"/>
      <c r="AI11415" s="80"/>
    </row>
    <row r="11416" spans="5:35" x14ac:dyDescent="0.25">
      <c r="E11416" s="16"/>
      <c r="F11416" s="16"/>
      <c r="H11416" s="16"/>
      <c r="AG11416" s="80"/>
      <c r="AH11416" s="80"/>
      <c r="AI11416" s="80"/>
    </row>
    <row r="11417" spans="5:35" x14ac:dyDescent="0.25">
      <c r="E11417" s="16"/>
      <c r="F11417" s="16"/>
      <c r="H11417" s="16"/>
      <c r="AG11417" s="80"/>
      <c r="AH11417" s="80"/>
      <c r="AI11417" s="80"/>
    </row>
    <row r="11418" spans="5:35" x14ac:dyDescent="0.25">
      <c r="E11418" s="16"/>
      <c r="F11418" s="16"/>
      <c r="H11418" s="16"/>
      <c r="AG11418" s="80"/>
      <c r="AH11418" s="80"/>
      <c r="AI11418" s="80"/>
    </row>
    <row r="11419" spans="5:35" x14ac:dyDescent="0.25">
      <c r="E11419" s="16"/>
      <c r="F11419" s="16"/>
      <c r="H11419" s="16"/>
      <c r="AG11419" s="80"/>
      <c r="AH11419" s="80"/>
      <c r="AI11419" s="80"/>
    </row>
    <row r="11420" spans="5:35" x14ac:dyDescent="0.25">
      <c r="E11420" s="16"/>
      <c r="F11420" s="16"/>
      <c r="H11420" s="16"/>
      <c r="AG11420" s="80"/>
      <c r="AH11420" s="80"/>
      <c r="AI11420" s="80"/>
    </row>
    <row r="11421" spans="5:35" x14ac:dyDescent="0.25">
      <c r="E11421" s="16"/>
      <c r="F11421" s="16"/>
      <c r="H11421" s="16"/>
      <c r="AG11421" s="80"/>
      <c r="AH11421" s="80"/>
      <c r="AI11421" s="80"/>
    </row>
    <row r="11422" spans="5:35" x14ac:dyDescent="0.25">
      <c r="E11422" s="16"/>
      <c r="F11422" s="16"/>
      <c r="H11422" s="16"/>
      <c r="AG11422" s="80"/>
      <c r="AH11422" s="80"/>
      <c r="AI11422" s="80"/>
    </row>
    <row r="11423" spans="5:35" x14ac:dyDescent="0.25">
      <c r="E11423" s="16"/>
      <c r="F11423" s="16"/>
      <c r="H11423" s="16"/>
      <c r="AG11423" s="80"/>
      <c r="AH11423" s="80"/>
      <c r="AI11423" s="80"/>
    </row>
    <row r="11424" spans="5:35" x14ac:dyDescent="0.25">
      <c r="E11424" s="16"/>
      <c r="F11424" s="16"/>
      <c r="H11424" s="16"/>
      <c r="AG11424" s="80"/>
      <c r="AH11424" s="80"/>
      <c r="AI11424" s="80"/>
    </row>
    <row r="11425" spans="5:35" x14ac:dyDescent="0.25">
      <c r="E11425" s="16"/>
      <c r="F11425" s="16"/>
      <c r="H11425" s="16"/>
      <c r="AG11425" s="80"/>
      <c r="AH11425" s="80"/>
      <c r="AI11425" s="80"/>
    </row>
    <row r="11426" spans="5:35" x14ac:dyDescent="0.25">
      <c r="E11426" s="16"/>
      <c r="F11426" s="16"/>
      <c r="H11426" s="16"/>
      <c r="AG11426" s="80"/>
      <c r="AH11426" s="80"/>
      <c r="AI11426" s="80"/>
    </row>
    <row r="11427" spans="5:35" x14ac:dyDescent="0.25">
      <c r="E11427" s="16"/>
      <c r="F11427" s="16"/>
      <c r="H11427" s="16"/>
      <c r="AG11427" s="80"/>
      <c r="AH11427" s="80"/>
      <c r="AI11427" s="80"/>
    </row>
    <row r="11428" spans="5:35" x14ac:dyDescent="0.25">
      <c r="E11428" s="16"/>
      <c r="F11428" s="16"/>
      <c r="H11428" s="16"/>
      <c r="AG11428" s="80"/>
      <c r="AH11428" s="80"/>
      <c r="AI11428" s="80"/>
    </row>
    <row r="11429" spans="5:35" x14ac:dyDescent="0.25">
      <c r="E11429" s="16"/>
      <c r="F11429" s="16"/>
      <c r="H11429" s="16"/>
      <c r="AG11429" s="80"/>
      <c r="AH11429" s="80"/>
      <c r="AI11429" s="80"/>
    </row>
    <row r="11430" spans="5:35" x14ac:dyDescent="0.25">
      <c r="E11430" s="16"/>
      <c r="F11430" s="16"/>
      <c r="H11430" s="16"/>
      <c r="AG11430" s="80"/>
      <c r="AH11430" s="80"/>
      <c r="AI11430" s="80"/>
    </row>
    <row r="11431" spans="5:35" x14ac:dyDescent="0.25">
      <c r="E11431" s="16"/>
      <c r="F11431" s="16"/>
      <c r="H11431" s="16"/>
      <c r="AG11431" s="80"/>
      <c r="AH11431" s="80"/>
      <c r="AI11431" s="80"/>
    </row>
    <row r="11432" spans="5:35" x14ac:dyDescent="0.25">
      <c r="E11432" s="16"/>
      <c r="F11432" s="16"/>
      <c r="H11432" s="16"/>
      <c r="AG11432" s="80"/>
      <c r="AH11432" s="80"/>
      <c r="AI11432" s="80"/>
    </row>
    <row r="11433" spans="5:35" x14ac:dyDescent="0.25">
      <c r="E11433" s="16"/>
      <c r="F11433" s="16"/>
      <c r="H11433" s="16"/>
      <c r="AG11433" s="80"/>
      <c r="AH11433" s="80"/>
      <c r="AI11433" s="80"/>
    </row>
    <row r="11434" spans="5:35" x14ac:dyDescent="0.25">
      <c r="E11434" s="16"/>
      <c r="F11434" s="16"/>
      <c r="H11434" s="16"/>
      <c r="AG11434" s="80"/>
      <c r="AH11434" s="80"/>
      <c r="AI11434" s="80"/>
    </row>
    <row r="11435" spans="5:35" x14ac:dyDescent="0.25">
      <c r="E11435" s="16"/>
      <c r="F11435" s="16"/>
      <c r="H11435" s="16"/>
      <c r="AG11435" s="80"/>
      <c r="AH11435" s="80"/>
      <c r="AI11435" s="80"/>
    </row>
    <row r="11436" spans="5:35" x14ac:dyDescent="0.25">
      <c r="E11436" s="16"/>
      <c r="F11436" s="16"/>
      <c r="H11436" s="16"/>
      <c r="AG11436" s="80"/>
      <c r="AH11436" s="80"/>
      <c r="AI11436" s="80"/>
    </row>
    <row r="11437" spans="5:35" x14ac:dyDescent="0.25">
      <c r="E11437" s="16"/>
      <c r="F11437" s="16"/>
      <c r="H11437" s="16"/>
      <c r="AG11437" s="80"/>
      <c r="AH11437" s="80"/>
      <c r="AI11437" s="80"/>
    </row>
    <row r="11438" spans="5:35" x14ac:dyDescent="0.25">
      <c r="E11438" s="16"/>
      <c r="F11438" s="16"/>
      <c r="H11438" s="16"/>
      <c r="AG11438" s="80"/>
      <c r="AH11438" s="80"/>
      <c r="AI11438" s="80"/>
    </row>
    <row r="11439" spans="5:35" x14ac:dyDescent="0.25">
      <c r="E11439" s="16"/>
      <c r="F11439" s="16"/>
      <c r="H11439" s="16"/>
      <c r="AG11439" s="80"/>
      <c r="AH11439" s="80"/>
      <c r="AI11439" s="80"/>
    </row>
    <row r="11440" spans="5:35" x14ac:dyDescent="0.25">
      <c r="E11440" s="16"/>
      <c r="F11440" s="16"/>
      <c r="H11440" s="16"/>
      <c r="AG11440" s="80"/>
      <c r="AH11440" s="80"/>
      <c r="AI11440" s="80"/>
    </row>
    <row r="11441" spans="5:35" x14ac:dyDescent="0.25">
      <c r="E11441" s="16"/>
      <c r="F11441" s="16"/>
      <c r="H11441" s="16"/>
      <c r="AG11441" s="80"/>
      <c r="AH11441" s="80"/>
      <c r="AI11441" s="80"/>
    </row>
    <row r="11442" spans="5:35" x14ac:dyDescent="0.25">
      <c r="E11442" s="16"/>
      <c r="F11442" s="16"/>
      <c r="H11442" s="16"/>
      <c r="AG11442" s="80"/>
      <c r="AH11442" s="80"/>
      <c r="AI11442" s="80"/>
    </row>
    <row r="11443" spans="5:35" x14ac:dyDescent="0.25">
      <c r="E11443" s="16"/>
      <c r="F11443" s="16"/>
      <c r="H11443" s="16"/>
      <c r="AG11443" s="80"/>
      <c r="AH11443" s="80"/>
      <c r="AI11443" s="80"/>
    </row>
    <row r="11444" spans="5:35" x14ac:dyDescent="0.25">
      <c r="E11444" s="16"/>
      <c r="F11444" s="16"/>
      <c r="H11444" s="16"/>
      <c r="AG11444" s="80"/>
      <c r="AH11444" s="80"/>
      <c r="AI11444" s="80"/>
    </row>
    <row r="11445" spans="5:35" x14ac:dyDescent="0.25">
      <c r="E11445" s="16"/>
      <c r="F11445" s="16"/>
      <c r="H11445" s="16"/>
      <c r="AG11445" s="80"/>
      <c r="AH11445" s="80"/>
      <c r="AI11445" s="80"/>
    </row>
    <row r="11446" spans="5:35" x14ac:dyDescent="0.25">
      <c r="E11446" s="16"/>
      <c r="F11446" s="16"/>
      <c r="H11446" s="16"/>
      <c r="AG11446" s="80"/>
      <c r="AH11446" s="80"/>
      <c r="AI11446" s="80"/>
    </row>
    <row r="11447" spans="5:35" x14ac:dyDescent="0.25">
      <c r="E11447" s="16"/>
      <c r="F11447" s="16"/>
      <c r="H11447" s="16"/>
      <c r="AG11447" s="80"/>
      <c r="AH11447" s="80"/>
      <c r="AI11447" s="80"/>
    </row>
    <row r="11448" spans="5:35" x14ac:dyDescent="0.25">
      <c r="E11448" s="16"/>
      <c r="F11448" s="16"/>
      <c r="H11448" s="16"/>
      <c r="AG11448" s="80"/>
      <c r="AH11448" s="80"/>
      <c r="AI11448" s="80"/>
    </row>
    <row r="11449" spans="5:35" x14ac:dyDescent="0.25">
      <c r="E11449" s="16"/>
      <c r="F11449" s="16"/>
      <c r="H11449" s="16"/>
      <c r="AG11449" s="80"/>
      <c r="AH11449" s="80"/>
      <c r="AI11449" s="80"/>
    </row>
    <row r="11450" spans="5:35" x14ac:dyDescent="0.25">
      <c r="E11450" s="16"/>
      <c r="F11450" s="16"/>
      <c r="H11450" s="16"/>
      <c r="AG11450" s="80"/>
      <c r="AH11450" s="80"/>
      <c r="AI11450" s="80"/>
    </row>
    <row r="11451" spans="5:35" x14ac:dyDescent="0.25">
      <c r="E11451" s="16"/>
      <c r="F11451" s="16"/>
      <c r="H11451" s="16"/>
      <c r="AG11451" s="80"/>
      <c r="AH11451" s="80"/>
      <c r="AI11451" s="80"/>
    </row>
    <row r="11452" spans="5:35" x14ac:dyDescent="0.25">
      <c r="E11452" s="16"/>
      <c r="F11452" s="16"/>
      <c r="H11452" s="16"/>
      <c r="AG11452" s="80"/>
      <c r="AH11452" s="80"/>
      <c r="AI11452" s="80"/>
    </row>
    <row r="11453" spans="5:35" x14ac:dyDescent="0.25">
      <c r="E11453" s="16"/>
      <c r="F11453" s="16"/>
      <c r="H11453" s="16"/>
      <c r="AG11453" s="80"/>
      <c r="AH11453" s="80"/>
      <c r="AI11453" s="80"/>
    </row>
    <row r="11454" spans="5:35" x14ac:dyDescent="0.25">
      <c r="E11454" s="16"/>
      <c r="F11454" s="16"/>
      <c r="H11454" s="16"/>
      <c r="AG11454" s="80"/>
      <c r="AH11454" s="80"/>
      <c r="AI11454" s="80"/>
    </row>
    <row r="11455" spans="5:35" x14ac:dyDescent="0.25">
      <c r="E11455" s="16"/>
      <c r="F11455" s="16"/>
      <c r="H11455" s="16"/>
      <c r="AG11455" s="80"/>
      <c r="AH11455" s="80"/>
      <c r="AI11455" s="80"/>
    </row>
    <row r="11456" spans="5:35" x14ac:dyDescent="0.25">
      <c r="E11456" s="16"/>
      <c r="F11456" s="16"/>
      <c r="H11456" s="16"/>
      <c r="AG11456" s="80"/>
      <c r="AH11456" s="80"/>
      <c r="AI11456" s="80"/>
    </row>
    <row r="11457" spans="5:35" x14ac:dyDescent="0.25">
      <c r="E11457" s="16"/>
      <c r="F11457" s="16"/>
      <c r="H11457" s="16"/>
      <c r="AG11457" s="80"/>
      <c r="AH11457" s="80"/>
      <c r="AI11457" s="80"/>
    </row>
    <row r="11458" spans="5:35" x14ac:dyDescent="0.25">
      <c r="E11458" s="16"/>
      <c r="F11458" s="16"/>
      <c r="H11458" s="16"/>
      <c r="AG11458" s="80"/>
      <c r="AH11458" s="80"/>
      <c r="AI11458" s="80"/>
    </row>
    <row r="11459" spans="5:35" x14ac:dyDescent="0.25">
      <c r="E11459" s="16"/>
      <c r="F11459" s="16"/>
      <c r="H11459" s="16"/>
      <c r="AG11459" s="80"/>
      <c r="AH11459" s="80"/>
      <c r="AI11459" s="80"/>
    </row>
    <row r="11460" spans="5:35" x14ac:dyDescent="0.25">
      <c r="E11460" s="16"/>
      <c r="F11460" s="16"/>
      <c r="H11460" s="16"/>
      <c r="AG11460" s="80"/>
      <c r="AH11460" s="80"/>
      <c r="AI11460" s="80"/>
    </row>
    <row r="11461" spans="5:35" x14ac:dyDescent="0.25">
      <c r="E11461" s="16"/>
      <c r="F11461" s="16"/>
      <c r="H11461" s="16"/>
      <c r="AG11461" s="80"/>
      <c r="AH11461" s="80"/>
      <c r="AI11461" s="80"/>
    </row>
    <row r="11462" spans="5:35" x14ac:dyDescent="0.25">
      <c r="E11462" s="16"/>
      <c r="F11462" s="16"/>
      <c r="H11462" s="16"/>
      <c r="AG11462" s="80"/>
      <c r="AH11462" s="80"/>
      <c r="AI11462" s="80"/>
    </row>
    <row r="11463" spans="5:35" x14ac:dyDescent="0.25">
      <c r="E11463" s="16"/>
      <c r="F11463" s="16"/>
      <c r="H11463" s="16"/>
      <c r="AG11463" s="80"/>
      <c r="AH11463" s="80"/>
      <c r="AI11463" s="80"/>
    </row>
    <row r="11464" spans="5:35" x14ac:dyDescent="0.25">
      <c r="E11464" s="16"/>
      <c r="F11464" s="16"/>
      <c r="H11464" s="16"/>
      <c r="AG11464" s="80"/>
      <c r="AH11464" s="80"/>
      <c r="AI11464" s="80"/>
    </row>
    <row r="11465" spans="5:35" x14ac:dyDescent="0.25">
      <c r="E11465" s="16"/>
      <c r="F11465" s="16"/>
      <c r="H11465" s="16"/>
      <c r="AG11465" s="80"/>
      <c r="AH11465" s="80"/>
      <c r="AI11465" s="80"/>
    </row>
    <row r="11466" spans="5:35" x14ac:dyDescent="0.25">
      <c r="E11466" s="16"/>
      <c r="F11466" s="16"/>
      <c r="H11466" s="16"/>
      <c r="AG11466" s="80"/>
      <c r="AH11466" s="80"/>
      <c r="AI11466" s="80"/>
    </row>
    <row r="11467" spans="5:35" x14ac:dyDescent="0.25">
      <c r="E11467" s="16"/>
      <c r="F11467" s="16"/>
      <c r="H11467" s="16"/>
      <c r="AG11467" s="80"/>
      <c r="AH11467" s="80"/>
      <c r="AI11467" s="80"/>
    </row>
    <row r="11468" spans="5:35" x14ac:dyDescent="0.25">
      <c r="E11468" s="16"/>
      <c r="F11468" s="16"/>
      <c r="H11468" s="16"/>
      <c r="AG11468" s="80"/>
      <c r="AH11468" s="80"/>
      <c r="AI11468" s="80"/>
    </row>
    <row r="11469" spans="5:35" x14ac:dyDescent="0.25">
      <c r="E11469" s="16"/>
      <c r="F11469" s="16"/>
      <c r="H11469" s="16"/>
      <c r="AG11469" s="80"/>
      <c r="AH11469" s="80"/>
      <c r="AI11469" s="80"/>
    </row>
    <row r="11470" spans="5:35" x14ac:dyDescent="0.25">
      <c r="E11470" s="16"/>
      <c r="F11470" s="16"/>
      <c r="H11470" s="16"/>
      <c r="AG11470" s="80"/>
      <c r="AH11470" s="80"/>
      <c r="AI11470" s="80"/>
    </row>
    <row r="11471" spans="5:35" x14ac:dyDescent="0.25">
      <c r="E11471" s="16"/>
      <c r="F11471" s="16"/>
      <c r="H11471" s="16"/>
      <c r="AG11471" s="80"/>
      <c r="AH11471" s="80"/>
      <c r="AI11471" s="80"/>
    </row>
    <row r="11472" spans="5:35" x14ac:dyDescent="0.25">
      <c r="E11472" s="16"/>
      <c r="F11472" s="16"/>
      <c r="H11472" s="16"/>
      <c r="AG11472" s="80"/>
      <c r="AH11472" s="80"/>
      <c r="AI11472" s="80"/>
    </row>
    <row r="11473" spans="5:35" x14ac:dyDescent="0.25">
      <c r="E11473" s="16"/>
      <c r="F11473" s="16"/>
      <c r="H11473" s="16"/>
      <c r="AG11473" s="80"/>
      <c r="AH11473" s="80"/>
      <c r="AI11473" s="80"/>
    </row>
    <row r="11474" spans="5:35" x14ac:dyDescent="0.25">
      <c r="E11474" s="16"/>
      <c r="F11474" s="16"/>
      <c r="H11474" s="16"/>
      <c r="AG11474" s="80"/>
      <c r="AH11474" s="80"/>
      <c r="AI11474" s="80"/>
    </row>
    <row r="11475" spans="5:35" x14ac:dyDescent="0.25">
      <c r="E11475" s="16"/>
      <c r="F11475" s="16"/>
      <c r="H11475" s="16"/>
      <c r="AG11475" s="80"/>
      <c r="AH11475" s="80"/>
      <c r="AI11475" s="80"/>
    </row>
    <row r="11476" spans="5:35" x14ac:dyDescent="0.25">
      <c r="E11476" s="16"/>
      <c r="F11476" s="16"/>
      <c r="H11476" s="16"/>
      <c r="AG11476" s="80"/>
      <c r="AH11476" s="80"/>
      <c r="AI11476" s="80"/>
    </row>
    <row r="11477" spans="5:35" x14ac:dyDescent="0.25">
      <c r="E11477" s="16"/>
      <c r="F11477" s="16"/>
      <c r="H11477" s="16"/>
      <c r="AG11477" s="80"/>
      <c r="AH11477" s="80"/>
      <c r="AI11477" s="80"/>
    </row>
    <row r="11478" spans="5:35" x14ac:dyDescent="0.25">
      <c r="E11478" s="16"/>
      <c r="F11478" s="16"/>
      <c r="H11478" s="16"/>
      <c r="AG11478" s="80"/>
      <c r="AH11478" s="80"/>
      <c r="AI11478" s="80"/>
    </row>
    <row r="11479" spans="5:35" x14ac:dyDescent="0.25">
      <c r="E11479" s="16"/>
      <c r="F11479" s="16"/>
      <c r="H11479" s="16"/>
      <c r="AG11479" s="80"/>
      <c r="AH11479" s="80"/>
      <c r="AI11479" s="80"/>
    </row>
    <row r="11480" spans="5:35" x14ac:dyDescent="0.25">
      <c r="E11480" s="16"/>
      <c r="F11480" s="16"/>
      <c r="H11480" s="16"/>
      <c r="AG11480" s="80"/>
      <c r="AH11480" s="80"/>
      <c r="AI11480" s="80"/>
    </row>
    <row r="11481" spans="5:35" x14ac:dyDescent="0.25">
      <c r="E11481" s="16"/>
      <c r="F11481" s="16"/>
      <c r="H11481" s="16"/>
      <c r="AG11481" s="80"/>
      <c r="AH11481" s="80"/>
      <c r="AI11481" s="80"/>
    </row>
    <row r="11482" spans="5:35" x14ac:dyDescent="0.25">
      <c r="E11482" s="16"/>
      <c r="F11482" s="16"/>
      <c r="H11482" s="16"/>
      <c r="AG11482" s="80"/>
      <c r="AH11482" s="80"/>
      <c r="AI11482" s="80"/>
    </row>
    <row r="11483" spans="5:35" x14ac:dyDescent="0.25">
      <c r="E11483" s="16"/>
      <c r="F11483" s="16"/>
      <c r="H11483" s="16"/>
      <c r="AG11483" s="80"/>
      <c r="AH11483" s="80"/>
      <c r="AI11483" s="80"/>
    </row>
    <row r="11484" spans="5:35" x14ac:dyDescent="0.25">
      <c r="E11484" s="16"/>
      <c r="F11484" s="16"/>
      <c r="H11484" s="16"/>
      <c r="AG11484" s="80"/>
      <c r="AH11484" s="80"/>
      <c r="AI11484" s="80"/>
    </row>
    <row r="11485" spans="5:35" x14ac:dyDescent="0.25">
      <c r="E11485" s="16"/>
      <c r="F11485" s="16"/>
      <c r="H11485" s="16"/>
      <c r="AG11485" s="80"/>
      <c r="AH11485" s="80"/>
      <c r="AI11485" s="80"/>
    </row>
    <row r="11486" spans="5:35" x14ac:dyDescent="0.25">
      <c r="E11486" s="16"/>
      <c r="F11486" s="16"/>
      <c r="H11486" s="16"/>
      <c r="AG11486" s="80"/>
      <c r="AH11486" s="80"/>
      <c r="AI11486" s="80"/>
    </row>
    <row r="11487" spans="5:35" x14ac:dyDescent="0.25">
      <c r="E11487" s="16"/>
      <c r="F11487" s="16"/>
      <c r="H11487" s="16"/>
      <c r="AG11487" s="80"/>
      <c r="AH11487" s="80"/>
      <c r="AI11487" s="80"/>
    </row>
    <row r="11488" spans="5:35" x14ac:dyDescent="0.25">
      <c r="E11488" s="16"/>
      <c r="F11488" s="16"/>
      <c r="H11488" s="16"/>
      <c r="AG11488" s="80"/>
      <c r="AH11488" s="80"/>
      <c r="AI11488" s="80"/>
    </row>
    <row r="11489" spans="5:35" x14ac:dyDescent="0.25">
      <c r="E11489" s="16"/>
      <c r="F11489" s="16"/>
      <c r="H11489" s="16"/>
      <c r="AG11489" s="80"/>
      <c r="AH11489" s="80"/>
      <c r="AI11489" s="80"/>
    </row>
    <row r="11490" spans="5:35" x14ac:dyDescent="0.25">
      <c r="E11490" s="16"/>
      <c r="F11490" s="16"/>
      <c r="H11490" s="16"/>
      <c r="AG11490" s="80"/>
      <c r="AH11490" s="80"/>
      <c r="AI11490" s="80"/>
    </row>
    <row r="11491" spans="5:35" x14ac:dyDescent="0.25">
      <c r="E11491" s="16"/>
      <c r="F11491" s="16"/>
      <c r="H11491" s="16"/>
      <c r="AG11491" s="80"/>
      <c r="AH11491" s="80"/>
      <c r="AI11491" s="80"/>
    </row>
    <row r="11492" spans="5:35" x14ac:dyDescent="0.25">
      <c r="E11492" s="16"/>
      <c r="F11492" s="16"/>
      <c r="H11492" s="16"/>
      <c r="AG11492" s="80"/>
      <c r="AH11492" s="80"/>
      <c r="AI11492" s="80"/>
    </row>
    <row r="11493" spans="5:35" x14ac:dyDescent="0.25">
      <c r="E11493" s="16"/>
      <c r="F11493" s="16"/>
      <c r="H11493" s="16"/>
      <c r="AG11493" s="80"/>
      <c r="AH11493" s="80"/>
      <c r="AI11493" s="80"/>
    </row>
    <row r="11494" spans="5:35" x14ac:dyDescent="0.25">
      <c r="E11494" s="16"/>
      <c r="F11494" s="16"/>
      <c r="H11494" s="16"/>
      <c r="AG11494" s="80"/>
      <c r="AH11494" s="80"/>
      <c r="AI11494" s="80"/>
    </row>
    <row r="11495" spans="5:35" x14ac:dyDescent="0.25">
      <c r="E11495" s="16"/>
      <c r="F11495" s="16"/>
      <c r="H11495" s="16"/>
      <c r="AG11495" s="80"/>
      <c r="AH11495" s="80"/>
      <c r="AI11495" s="80"/>
    </row>
    <row r="11496" spans="5:35" x14ac:dyDescent="0.25">
      <c r="E11496" s="16"/>
      <c r="F11496" s="16"/>
      <c r="H11496" s="16"/>
      <c r="AG11496" s="80"/>
      <c r="AH11496" s="80"/>
      <c r="AI11496" s="80"/>
    </row>
    <row r="11497" spans="5:35" x14ac:dyDescent="0.25">
      <c r="E11497" s="16"/>
      <c r="F11497" s="16"/>
      <c r="H11497" s="16"/>
      <c r="AG11497" s="80"/>
      <c r="AH11497" s="80"/>
      <c r="AI11497" s="80"/>
    </row>
    <row r="11498" spans="5:35" x14ac:dyDescent="0.25">
      <c r="E11498" s="16"/>
      <c r="F11498" s="16"/>
      <c r="H11498" s="16"/>
      <c r="AG11498" s="80"/>
      <c r="AH11498" s="80"/>
      <c r="AI11498" s="80"/>
    </row>
    <row r="11499" spans="5:35" x14ac:dyDescent="0.25">
      <c r="E11499" s="16"/>
      <c r="F11499" s="16"/>
      <c r="H11499" s="16"/>
      <c r="AG11499" s="80"/>
      <c r="AH11499" s="80"/>
      <c r="AI11499" s="80"/>
    </row>
    <row r="11500" spans="5:35" x14ac:dyDescent="0.25">
      <c r="E11500" s="16"/>
      <c r="F11500" s="16"/>
      <c r="H11500" s="16"/>
      <c r="AG11500" s="80"/>
      <c r="AH11500" s="80"/>
      <c r="AI11500" s="80"/>
    </row>
    <row r="11501" spans="5:35" x14ac:dyDescent="0.25">
      <c r="E11501" s="16"/>
      <c r="F11501" s="16"/>
      <c r="H11501" s="16"/>
      <c r="AG11501" s="80"/>
      <c r="AH11501" s="80"/>
      <c r="AI11501" s="80"/>
    </row>
    <row r="11502" spans="5:35" x14ac:dyDescent="0.25">
      <c r="E11502" s="16"/>
      <c r="F11502" s="16"/>
      <c r="H11502" s="16"/>
      <c r="AG11502" s="80"/>
      <c r="AH11502" s="80"/>
      <c r="AI11502" s="80"/>
    </row>
    <row r="11503" spans="5:35" x14ac:dyDescent="0.25">
      <c r="E11503" s="16"/>
      <c r="F11503" s="16"/>
      <c r="H11503" s="16"/>
      <c r="AG11503" s="80"/>
      <c r="AH11503" s="80"/>
      <c r="AI11503" s="80"/>
    </row>
    <row r="11504" spans="5:35" x14ac:dyDescent="0.25">
      <c r="E11504" s="16"/>
      <c r="F11504" s="16"/>
      <c r="H11504" s="16"/>
      <c r="AG11504" s="80"/>
      <c r="AH11504" s="80"/>
      <c r="AI11504" s="80"/>
    </row>
    <row r="11505" spans="5:35" x14ac:dyDescent="0.25">
      <c r="E11505" s="16"/>
      <c r="F11505" s="16"/>
      <c r="H11505" s="16"/>
      <c r="AG11505" s="80"/>
      <c r="AH11505" s="80"/>
      <c r="AI11505" s="80"/>
    </row>
    <row r="11506" spans="5:35" x14ac:dyDescent="0.25">
      <c r="E11506" s="16"/>
      <c r="F11506" s="16"/>
      <c r="H11506" s="16"/>
      <c r="AG11506" s="80"/>
      <c r="AH11506" s="80"/>
      <c r="AI11506" s="80"/>
    </row>
    <row r="11507" spans="5:35" x14ac:dyDescent="0.25">
      <c r="E11507" s="16"/>
      <c r="F11507" s="16"/>
      <c r="H11507" s="16"/>
      <c r="AG11507" s="80"/>
      <c r="AH11507" s="80"/>
      <c r="AI11507" s="80"/>
    </row>
    <row r="11508" spans="5:35" x14ac:dyDescent="0.25">
      <c r="E11508" s="16"/>
      <c r="F11508" s="16"/>
      <c r="H11508" s="16"/>
      <c r="AG11508" s="80"/>
      <c r="AH11508" s="80"/>
      <c r="AI11508" s="80"/>
    </row>
    <row r="11509" spans="5:35" x14ac:dyDescent="0.25">
      <c r="E11509" s="16"/>
      <c r="F11509" s="16"/>
      <c r="H11509" s="16"/>
      <c r="AG11509" s="80"/>
      <c r="AH11509" s="80"/>
      <c r="AI11509" s="80"/>
    </row>
    <row r="11510" spans="5:35" x14ac:dyDescent="0.25">
      <c r="E11510" s="16"/>
      <c r="F11510" s="16"/>
      <c r="H11510" s="16"/>
      <c r="AG11510" s="80"/>
      <c r="AH11510" s="80"/>
      <c r="AI11510" s="80"/>
    </row>
    <row r="11511" spans="5:35" x14ac:dyDescent="0.25">
      <c r="E11511" s="16"/>
      <c r="F11511" s="16"/>
      <c r="H11511" s="16"/>
      <c r="AG11511" s="80"/>
      <c r="AH11511" s="80"/>
      <c r="AI11511" s="80"/>
    </row>
    <row r="11512" spans="5:35" x14ac:dyDescent="0.25">
      <c r="E11512" s="16"/>
      <c r="F11512" s="16"/>
      <c r="H11512" s="16"/>
      <c r="AG11512" s="80"/>
      <c r="AH11512" s="80"/>
      <c r="AI11512" s="80"/>
    </row>
    <row r="11513" spans="5:35" x14ac:dyDescent="0.25">
      <c r="E11513" s="16"/>
      <c r="F11513" s="16"/>
      <c r="H11513" s="16"/>
      <c r="AG11513" s="80"/>
      <c r="AH11513" s="80"/>
      <c r="AI11513" s="80"/>
    </row>
    <row r="11514" spans="5:35" x14ac:dyDescent="0.25">
      <c r="E11514" s="16"/>
      <c r="F11514" s="16"/>
      <c r="H11514" s="16"/>
      <c r="AG11514" s="80"/>
      <c r="AH11514" s="80"/>
      <c r="AI11514" s="80"/>
    </row>
    <row r="11515" spans="5:35" x14ac:dyDescent="0.25">
      <c r="E11515" s="16"/>
      <c r="F11515" s="16"/>
      <c r="H11515" s="16"/>
      <c r="AG11515" s="80"/>
      <c r="AH11515" s="80"/>
      <c r="AI11515" s="80"/>
    </row>
    <row r="11516" spans="5:35" x14ac:dyDescent="0.25">
      <c r="E11516" s="16"/>
      <c r="F11516" s="16"/>
      <c r="H11516" s="16"/>
      <c r="AG11516" s="80"/>
      <c r="AH11516" s="80"/>
      <c r="AI11516" s="80"/>
    </row>
    <row r="11517" spans="5:35" x14ac:dyDescent="0.25">
      <c r="E11517" s="16"/>
      <c r="F11517" s="16"/>
      <c r="H11517" s="16"/>
      <c r="AG11517" s="80"/>
      <c r="AH11517" s="80"/>
      <c r="AI11517" s="80"/>
    </row>
    <row r="11518" spans="5:35" x14ac:dyDescent="0.25">
      <c r="E11518" s="16"/>
      <c r="F11518" s="16"/>
      <c r="H11518" s="16"/>
      <c r="AG11518" s="80"/>
      <c r="AH11518" s="80"/>
      <c r="AI11518" s="80"/>
    </row>
    <row r="11519" spans="5:35" x14ac:dyDescent="0.25">
      <c r="E11519" s="16"/>
      <c r="F11519" s="16"/>
      <c r="H11519" s="16"/>
      <c r="AG11519" s="80"/>
      <c r="AH11519" s="80"/>
      <c r="AI11519" s="80"/>
    </row>
    <row r="11520" spans="5:35" x14ac:dyDescent="0.25">
      <c r="E11520" s="16"/>
      <c r="F11520" s="16"/>
      <c r="H11520" s="16"/>
      <c r="AG11520" s="80"/>
      <c r="AH11520" s="80"/>
      <c r="AI11520" s="80"/>
    </row>
    <row r="11521" spans="5:35" x14ac:dyDescent="0.25">
      <c r="E11521" s="16"/>
      <c r="F11521" s="16"/>
      <c r="H11521" s="16"/>
      <c r="AG11521" s="80"/>
      <c r="AH11521" s="80"/>
      <c r="AI11521" s="80"/>
    </row>
    <row r="11522" spans="5:35" x14ac:dyDescent="0.25">
      <c r="E11522" s="16"/>
      <c r="F11522" s="16"/>
      <c r="H11522" s="16"/>
      <c r="AG11522" s="80"/>
      <c r="AH11522" s="80"/>
      <c r="AI11522" s="80"/>
    </row>
    <row r="11523" spans="5:35" x14ac:dyDescent="0.25">
      <c r="E11523" s="16"/>
      <c r="F11523" s="16"/>
      <c r="H11523" s="16"/>
      <c r="AG11523" s="80"/>
      <c r="AH11523" s="80"/>
      <c r="AI11523" s="80"/>
    </row>
    <row r="11524" spans="5:35" x14ac:dyDescent="0.25">
      <c r="E11524" s="16"/>
      <c r="F11524" s="16"/>
      <c r="H11524" s="16"/>
      <c r="AG11524" s="80"/>
      <c r="AH11524" s="80"/>
      <c r="AI11524" s="80"/>
    </row>
    <row r="11525" spans="5:35" x14ac:dyDescent="0.25">
      <c r="E11525" s="16"/>
      <c r="F11525" s="16"/>
      <c r="H11525" s="16"/>
      <c r="AG11525" s="80"/>
      <c r="AH11525" s="80"/>
      <c r="AI11525" s="80"/>
    </row>
    <row r="11526" spans="5:35" x14ac:dyDescent="0.25">
      <c r="E11526" s="16"/>
      <c r="F11526" s="16"/>
      <c r="H11526" s="16"/>
      <c r="AG11526" s="80"/>
      <c r="AH11526" s="80"/>
      <c r="AI11526" s="80"/>
    </row>
    <row r="11527" spans="5:35" x14ac:dyDescent="0.25">
      <c r="E11527" s="16"/>
      <c r="F11527" s="16"/>
      <c r="H11527" s="16"/>
      <c r="AG11527" s="80"/>
      <c r="AH11527" s="80"/>
      <c r="AI11527" s="80"/>
    </row>
    <row r="11528" spans="5:35" x14ac:dyDescent="0.25">
      <c r="E11528" s="16"/>
      <c r="F11528" s="16"/>
      <c r="H11528" s="16"/>
      <c r="AG11528" s="80"/>
      <c r="AH11528" s="80"/>
      <c r="AI11528" s="80"/>
    </row>
    <row r="11529" spans="5:35" x14ac:dyDescent="0.25">
      <c r="E11529" s="16"/>
      <c r="F11529" s="16"/>
      <c r="H11529" s="16"/>
      <c r="AG11529" s="80"/>
      <c r="AH11529" s="80"/>
      <c r="AI11529" s="80"/>
    </row>
    <row r="11530" spans="5:35" x14ac:dyDescent="0.25">
      <c r="E11530" s="16"/>
      <c r="F11530" s="16"/>
      <c r="H11530" s="16"/>
      <c r="AG11530" s="80"/>
      <c r="AH11530" s="80"/>
      <c r="AI11530" s="80"/>
    </row>
    <row r="11531" spans="5:35" x14ac:dyDescent="0.25">
      <c r="E11531" s="16"/>
      <c r="F11531" s="16"/>
      <c r="H11531" s="16"/>
      <c r="AG11531" s="80"/>
      <c r="AH11531" s="80"/>
      <c r="AI11531" s="80"/>
    </row>
    <row r="11532" spans="5:35" x14ac:dyDescent="0.25">
      <c r="E11532" s="16"/>
      <c r="F11532" s="16"/>
      <c r="H11532" s="16"/>
      <c r="AG11532" s="80"/>
      <c r="AH11532" s="80"/>
      <c r="AI11532" s="80"/>
    </row>
    <row r="11533" spans="5:35" x14ac:dyDescent="0.25">
      <c r="E11533" s="16"/>
      <c r="F11533" s="16"/>
      <c r="H11533" s="16"/>
      <c r="AG11533" s="80"/>
      <c r="AH11533" s="80"/>
      <c r="AI11533" s="80"/>
    </row>
    <row r="11534" spans="5:35" x14ac:dyDescent="0.25">
      <c r="E11534" s="16"/>
      <c r="F11534" s="16"/>
      <c r="H11534" s="16"/>
      <c r="AG11534" s="80"/>
      <c r="AH11534" s="80"/>
      <c r="AI11534" s="80"/>
    </row>
    <row r="11535" spans="5:35" x14ac:dyDescent="0.25">
      <c r="E11535" s="16"/>
      <c r="F11535" s="16"/>
      <c r="H11535" s="16"/>
      <c r="AG11535" s="80"/>
      <c r="AH11535" s="80"/>
      <c r="AI11535" s="80"/>
    </row>
    <row r="11536" spans="5:35" x14ac:dyDescent="0.25">
      <c r="E11536" s="16"/>
      <c r="F11536" s="16"/>
      <c r="H11536" s="16"/>
      <c r="AG11536" s="80"/>
      <c r="AH11536" s="80"/>
      <c r="AI11536" s="80"/>
    </row>
    <row r="11537" spans="5:35" x14ac:dyDescent="0.25">
      <c r="E11537" s="16"/>
      <c r="F11537" s="16"/>
      <c r="H11537" s="16"/>
      <c r="AG11537" s="80"/>
      <c r="AH11537" s="80"/>
      <c r="AI11537" s="80"/>
    </row>
    <row r="11538" spans="5:35" x14ac:dyDescent="0.25">
      <c r="E11538" s="16"/>
      <c r="F11538" s="16"/>
      <c r="H11538" s="16"/>
      <c r="AG11538" s="80"/>
      <c r="AH11538" s="80"/>
      <c r="AI11538" s="80"/>
    </row>
    <row r="11539" spans="5:35" x14ac:dyDescent="0.25">
      <c r="E11539" s="16"/>
      <c r="F11539" s="16"/>
      <c r="H11539" s="16"/>
      <c r="AG11539" s="80"/>
      <c r="AH11539" s="80"/>
      <c r="AI11539" s="80"/>
    </row>
    <row r="11540" spans="5:35" x14ac:dyDescent="0.25">
      <c r="E11540" s="16"/>
      <c r="F11540" s="16"/>
      <c r="H11540" s="16"/>
      <c r="AG11540" s="80"/>
      <c r="AH11540" s="80"/>
      <c r="AI11540" s="80"/>
    </row>
    <row r="11541" spans="5:35" x14ac:dyDescent="0.25">
      <c r="E11541" s="16"/>
      <c r="F11541" s="16"/>
      <c r="H11541" s="16"/>
      <c r="AG11541" s="80"/>
      <c r="AH11541" s="80"/>
      <c r="AI11541" s="80"/>
    </row>
    <row r="11542" spans="5:35" x14ac:dyDescent="0.25">
      <c r="E11542" s="16"/>
      <c r="F11542" s="16"/>
      <c r="H11542" s="16"/>
      <c r="AG11542" s="80"/>
      <c r="AH11542" s="80"/>
      <c r="AI11542" s="80"/>
    </row>
    <row r="11543" spans="5:35" x14ac:dyDescent="0.25">
      <c r="E11543" s="16"/>
      <c r="F11543" s="16"/>
      <c r="H11543" s="16"/>
      <c r="AG11543" s="80"/>
      <c r="AH11543" s="80"/>
      <c r="AI11543" s="80"/>
    </row>
    <row r="11544" spans="5:35" x14ac:dyDescent="0.25">
      <c r="E11544" s="16"/>
      <c r="F11544" s="16"/>
      <c r="H11544" s="16"/>
      <c r="AG11544" s="80"/>
      <c r="AH11544" s="80"/>
      <c r="AI11544" s="80"/>
    </row>
    <row r="11545" spans="5:35" x14ac:dyDescent="0.25">
      <c r="E11545" s="16"/>
      <c r="F11545" s="16"/>
      <c r="H11545" s="16"/>
      <c r="AG11545" s="80"/>
      <c r="AH11545" s="80"/>
      <c r="AI11545" s="80"/>
    </row>
    <row r="11546" spans="5:35" x14ac:dyDescent="0.25">
      <c r="E11546" s="16"/>
      <c r="F11546" s="16"/>
      <c r="H11546" s="16"/>
      <c r="AG11546" s="80"/>
      <c r="AH11546" s="80"/>
      <c r="AI11546" s="80"/>
    </row>
    <row r="11547" spans="5:35" x14ac:dyDescent="0.25">
      <c r="E11547" s="16"/>
      <c r="F11547" s="16"/>
      <c r="H11547" s="16"/>
      <c r="AG11547" s="80"/>
      <c r="AH11547" s="80"/>
      <c r="AI11547" s="80"/>
    </row>
    <row r="11548" spans="5:35" x14ac:dyDescent="0.25">
      <c r="E11548" s="16"/>
      <c r="F11548" s="16"/>
      <c r="H11548" s="16"/>
      <c r="AG11548" s="80"/>
      <c r="AH11548" s="80"/>
      <c r="AI11548" s="80"/>
    </row>
    <row r="11549" spans="5:35" x14ac:dyDescent="0.25">
      <c r="E11549" s="16"/>
      <c r="F11549" s="16"/>
      <c r="H11549" s="16"/>
      <c r="AG11549" s="80"/>
      <c r="AH11549" s="80"/>
      <c r="AI11549" s="80"/>
    </row>
    <row r="11550" spans="5:35" x14ac:dyDescent="0.25">
      <c r="E11550" s="16"/>
      <c r="F11550" s="16"/>
      <c r="H11550" s="16"/>
      <c r="AG11550" s="80"/>
      <c r="AH11550" s="80"/>
      <c r="AI11550" s="80"/>
    </row>
    <row r="11551" spans="5:35" x14ac:dyDescent="0.25">
      <c r="E11551" s="16"/>
      <c r="F11551" s="16"/>
      <c r="H11551" s="16"/>
      <c r="AG11551" s="80"/>
      <c r="AH11551" s="80"/>
      <c r="AI11551" s="80"/>
    </row>
    <row r="11552" spans="5:35" x14ac:dyDescent="0.25">
      <c r="E11552" s="16"/>
      <c r="F11552" s="16"/>
      <c r="H11552" s="16"/>
      <c r="AG11552" s="80"/>
      <c r="AH11552" s="80"/>
      <c r="AI11552" s="80"/>
    </row>
    <row r="11553" spans="5:35" x14ac:dyDescent="0.25">
      <c r="E11553" s="16"/>
      <c r="F11553" s="16"/>
      <c r="H11553" s="16"/>
      <c r="AG11553" s="80"/>
      <c r="AH11553" s="80"/>
      <c r="AI11553" s="80"/>
    </row>
    <row r="11554" spans="5:35" x14ac:dyDescent="0.25">
      <c r="E11554" s="16"/>
      <c r="F11554" s="16"/>
      <c r="H11554" s="16"/>
      <c r="AG11554" s="80"/>
      <c r="AH11554" s="80"/>
      <c r="AI11554" s="80"/>
    </row>
    <row r="11555" spans="5:35" x14ac:dyDescent="0.25">
      <c r="E11555" s="16"/>
      <c r="F11555" s="16"/>
      <c r="H11555" s="16"/>
      <c r="AG11555" s="80"/>
      <c r="AH11555" s="80"/>
      <c r="AI11555" s="80"/>
    </row>
    <row r="11556" spans="5:35" x14ac:dyDescent="0.25">
      <c r="E11556" s="16"/>
      <c r="F11556" s="16"/>
      <c r="H11556" s="16"/>
      <c r="AG11556" s="80"/>
      <c r="AH11556" s="80"/>
      <c r="AI11556" s="80"/>
    </row>
    <row r="11557" spans="5:35" x14ac:dyDescent="0.25">
      <c r="E11557" s="16"/>
      <c r="F11557" s="16"/>
      <c r="H11557" s="16"/>
      <c r="AG11557" s="80"/>
      <c r="AH11557" s="80"/>
      <c r="AI11557" s="80"/>
    </row>
    <row r="11558" spans="5:35" x14ac:dyDescent="0.25">
      <c r="E11558" s="16"/>
      <c r="F11558" s="16"/>
      <c r="H11558" s="16"/>
      <c r="AG11558" s="80"/>
      <c r="AH11558" s="80"/>
      <c r="AI11558" s="80"/>
    </row>
    <row r="11559" spans="5:35" x14ac:dyDescent="0.25">
      <c r="E11559" s="16"/>
      <c r="F11559" s="16"/>
      <c r="H11559" s="16"/>
      <c r="AG11559" s="80"/>
      <c r="AH11559" s="80"/>
      <c r="AI11559" s="80"/>
    </row>
    <row r="11560" spans="5:35" x14ac:dyDescent="0.25">
      <c r="E11560" s="16"/>
      <c r="F11560" s="16"/>
      <c r="H11560" s="16"/>
      <c r="AG11560" s="80"/>
      <c r="AH11560" s="80"/>
      <c r="AI11560" s="80"/>
    </row>
    <row r="11561" spans="5:35" x14ac:dyDescent="0.25">
      <c r="E11561" s="16"/>
      <c r="F11561" s="16"/>
      <c r="H11561" s="16"/>
      <c r="AG11561" s="80"/>
      <c r="AH11561" s="80"/>
      <c r="AI11561" s="80"/>
    </row>
    <row r="11562" spans="5:35" x14ac:dyDescent="0.25">
      <c r="E11562" s="16"/>
      <c r="F11562" s="16"/>
      <c r="H11562" s="16"/>
      <c r="AG11562" s="80"/>
      <c r="AH11562" s="80"/>
      <c r="AI11562" s="80"/>
    </row>
    <row r="11563" spans="5:35" x14ac:dyDescent="0.25">
      <c r="E11563" s="16"/>
      <c r="F11563" s="16"/>
      <c r="H11563" s="16"/>
      <c r="AG11563" s="80"/>
      <c r="AH11563" s="80"/>
      <c r="AI11563" s="80"/>
    </row>
    <row r="11564" spans="5:35" x14ac:dyDescent="0.25">
      <c r="E11564" s="16"/>
      <c r="F11564" s="16"/>
      <c r="H11564" s="16"/>
      <c r="AG11564" s="80"/>
      <c r="AH11564" s="80"/>
      <c r="AI11564" s="80"/>
    </row>
    <row r="11565" spans="5:35" x14ac:dyDescent="0.25">
      <c r="E11565" s="16"/>
      <c r="F11565" s="16"/>
      <c r="H11565" s="16"/>
      <c r="AG11565" s="80"/>
      <c r="AH11565" s="80"/>
      <c r="AI11565" s="80"/>
    </row>
    <row r="11566" spans="5:35" x14ac:dyDescent="0.25">
      <c r="E11566" s="16"/>
      <c r="F11566" s="16"/>
      <c r="H11566" s="16"/>
      <c r="AG11566" s="80"/>
      <c r="AH11566" s="80"/>
      <c r="AI11566" s="80"/>
    </row>
    <row r="11567" spans="5:35" x14ac:dyDescent="0.25">
      <c r="E11567" s="16"/>
      <c r="F11567" s="16"/>
      <c r="H11567" s="16"/>
      <c r="AG11567" s="80"/>
      <c r="AH11567" s="80"/>
      <c r="AI11567" s="80"/>
    </row>
    <row r="11568" spans="5:35" x14ac:dyDescent="0.25">
      <c r="E11568" s="16"/>
      <c r="F11568" s="16"/>
      <c r="H11568" s="16"/>
      <c r="AG11568" s="80"/>
      <c r="AH11568" s="80"/>
      <c r="AI11568" s="80"/>
    </row>
    <row r="11569" spans="5:35" x14ac:dyDescent="0.25">
      <c r="E11569" s="16"/>
      <c r="F11569" s="16"/>
      <c r="H11569" s="16"/>
      <c r="AG11569" s="80"/>
      <c r="AH11569" s="80"/>
      <c r="AI11569" s="80"/>
    </row>
    <row r="11570" spans="5:35" x14ac:dyDescent="0.25">
      <c r="E11570" s="16"/>
      <c r="F11570" s="16"/>
      <c r="H11570" s="16"/>
      <c r="AG11570" s="80"/>
      <c r="AH11570" s="80"/>
      <c r="AI11570" s="80"/>
    </row>
    <row r="11571" spans="5:35" x14ac:dyDescent="0.25">
      <c r="E11571" s="16"/>
      <c r="F11571" s="16"/>
      <c r="H11571" s="16"/>
      <c r="AG11571" s="80"/>
      <c r="AH11571" s="80"/>
      <c r="AI11571" s="80"/>
    </row>
    <row r="11572" spans="5:35" x14ac:dyDescent="0.25">
      <c r="E11572" s="16"/>
      <c r="F11572" s="16"/>
      <c r="H11572" s="16"/>
      <c r="AG11572" s="80"/>
      <c r="AH11572" s="80"/>
      <c r="AI11572" s="80"/>
    </row>
    <row r="11573" spans="5:35" x14ac:dyDescent="0.25">
      <c r="E11573" s="16"/>
      <c r="F11573" s="16"/>
      <c r="H11573" s="16"/>
      <c r="AG11573" s="80"/>
      <c r="AH11573" s="80"/>
      <c r="AI11573" s="80"/>
    </row>
    <row r="11574" spans="5:35" x14ac:dyDescent="0.25">
      <c r="E11574" s="16"/>
      <c r="F11574" s="16"/>
      <c r="H11574" s="16"/>
      <c r="AG11574" s="80"/>
      <c r="AH11574" s="80"/>
      <c r="AI11574" s="80"/>
    </row>
    <row r="11575" spans="5:35" x14ac:dyDescent="0.25">
      <c r="E11575" s="16"/>
      <c r="F11575" s="16"/>
      <c r="H11575" s="16"/>
      <c r="AG11575" s="80"/>
      <c r="AH11575" s="80"/>
      <c r="AI11575" s="80"/>
    </row>
    <row r="11576" spans="5:35" x14ac:dyDescent="0.25">
      <c r="E11576" s="16"/>
      <c r="F11576" s="16"/>
      <c r="H11576" s="16"/>
      <c r="AG11576" s="80"/>
      <c r="AH11576" s="80"/>
      <c r="AI11576" s="80"/>
    </row>
    <row r="11577" spans="5:35" x14ac:dyDescent="0.25">
      <c r="E11577" s="16"/>
      <c r="F11577" s="16"/>
      <c r="H11577" s="16"/>
      <c r="AG11577" s="80"/>
      <c r="AH11577" s="80"/>
      <c r="AI11577" s="80"/>
    </row>
    <row r="11578" spans="5:35" x14ac:dyDescent="0.25">
      <c r="E11578" s="16"/>
      <c r="F11578" s="16"/>
      <c r="H11578" s="16"/>
      <c r="AG11578" s="80"/>
      <c r="AH11578" s="80"/>
      <c r="AI11578" s="80"/>
    </row>
    <row r="11579" spans="5:35" x14ac:dyDescent="0.25">
      <c r="E11579" s="16"/>
      <c r="F11579" s="16"/>
      <c r="H11579" s="16"/>
      <c r="AG11579" s="80"/>
      <c r="AH11579" s="80"/>
      <c r="AI11579" s="80"/>
    </row>
    <row r="11580" spans="5:35" x14ac:dyDescent="0.25">
      <c r="E11580" s="16"/>
      <c r="F11580" s="16"/>
      <c r="H11580" s="16"/>
      <c r="AG11580" s="80"/>
      <c r="AH11580" s="80"/>
      <c r="AI11580" s="80"/>
    </row>
    <row r="11581" spans="5:35" x14ac:dyDescent="0.25">
      <c r="E11581" s="16"/>
      <c r="F11581" s="16"/>
      <c r="H11581" s="16"/>
      <c r="AG11581" s="80"/>
      <c r="AH11581" s="80"/>
      <c r="AI11581" s="80"/>
    </row>
    <row r="11582" spans="5:35" x14ac:dyDescent="0.25">
      <c r="E11582" s="16"/>
      <c r="F11582" s="16"/>
      <c r="H11582" s="16"/>
      <c r="AG11582" s="80"/>
      <c r="AH11582" s="80"/>
      <c r="AI11582" s="80"/>
    </row>
    <row r="11583" spans="5:35" x14ac:dyDescent="0.25">
      <c r="E11583" s="16"/>
      <c r="F11583" s="16"/>
      <c r="H11583" s="16"/>
      <c r="AG11583" s="80"/>
      <c r="AH11583" s="80"/>
      <c r="AI11583" s="80"/>
    </row>
    <row r="11584" spans="5:35" x14ac:dyDescent="0.25">
      <c r="E11584" s="16"/>
      <c r="F11584" s="16"/>
      <c r="H11584" s="16"/>
      <c r="AG11584" s="80"/>
      <c r="AH11584" s="80"/>
      <c r="AI11584" s="80"/>
    </row>
    <row r="11585" spans="5:35" x14ac:dyDescent="0.25">
      <c r="E11585" s="16"/>
      <c r="F11585" s="16"/>
      <c r="H11585" s="16"/>
      <c r="AG11585" s="80"/>
      <c r="AH11585" s="80"/>
      <c r="AI11585" s="80"/>
    </row>
    <row r="11586" spans="5:35" x14ac:dyDescent="0.25">
      <c r="E11586" s="16"/>
      <c r="F11586" s="16"/>
      <c r="H11586" s="16"/>
      <c r="AG11586" s="80"/>
      <c r="AH11586" s="80"/>
      <c r="AI11586" s="80"/>
    </row>
    <row r="11587" spans="5:35" x14ac:dyDescent="0.25">
      <c r="E11587" s="16"/>
      <c r="F11587" s="16"/>
      <c r="H11587" s="16"/>
      <c r="AG11587" s="80"/>
      <c r="AH11587" s="80"/>
      <c r="AI11587" s="80"/>
    </row>
    <row r="11588" spans="5:35" x14ac:dyDescent="0.25">
      <c r="E11588" s="16"/>
      <c r="F11588" s="16"/>
      <c r="H11588" s="16"/>
      <c r="AG11588" s="80"/>
      <c r="AH11588" s="80"/>
      <c r="AI11588" s="80"/>
    </row>
    <row r="11589" spans="5:35" x14ac:dyDescent="0.25">
      <c r="E11589" s="16"/>
      <c r="F11589" s="16"/>
      <c r="H11589" s="16"/>
      <c r="AG11589" s="80"/>
      <c r="AH11589" s="80"/>
      <c r="AI11589" s="80"/>
    </row>
    <row r="11590" spans="5:35" x14ac:dyDescent="0.25">
      <c r="E11590" s="16"/>
      <c r="F11590" s="16"/>
      <c r="H11590" s="16"/>
      <c r="AG11590" s="80"/>
      <c r="AH11590" s="80"/>
      <c r="AI11590" s="80"/>
    </row>
    <row r="11591" spans="5:35" x14ac:dyDescent="0.25">
      <c r="E11591" s="16"/>
      <c r="F11591" s="16"/>
      <c r="H11591" s="16"/>
      <c r="AG11591" s="80"/>
      <c r="AH11591" s="80"/>
      <c r="AI11591" s="80"/>
    </row>
    <row r="11592" spans="5:35" x14ac:dyDescent="0.25">
      <c r="E11592" s="16"/>
      <c r="F11592" s="16"/>
      <c r="H11592" s="16"/>
      <c r="AG11592" s="80"/>
      <c r="AH11592" s="80"/>
      <c r="AI11592" s="80"/>
    </row>
    <row r="11593" spans="5:35" x14ac:dyDescent="0.25">
      <c r="E11593" s="16"/>
      <c r="F11593" s="16"/>
      <c r="H11593" s="16"/>
      <c r="AG11593" s="80"/>
      <c r="AH11593" s="80"/>
      <c r="AI11593" s="80"/>
    </row>
    <row r="11594" spans="5:35" x14ac:dyDescent="0.25">
      <c r="E11594" s="16"/>
      <c r="F11594" s="16"/>
      <c r="H11594" s="16"/>
      <c r="AG11594" s="80"/>
      <c r="AH11594" s="80"/>
      <c r="AI11594" s="80"/>
    </row>
    <row r="11595" spans="5:35" x14ac:dyDescent="0.25">
      <c r="E11595" s="16"/>
      <c r="F11595" s="16"/>
      <c r="H11595" s="16"/>
      <c r="AG11595" s="80"/>
      <c r="AH11595" s="80"/>
      <c r="AI11595" s="80"/>
    </row>
    <row r="11596" spans="5:35" x14ac:dyDescent="0.25">
      <c r="E11596" s="16"/>
      <c r="F11596" s="16"/>
      <c r="H11596" s="16"/>
      <c r="AG11596" s="80"/>
      <c r="AH11596" s="80"/>
      <c r="AI11596" s="80"/>
    </row>
    <row r="11597" spans="5:35" x14ac:dyDescent="0.25">
      <c r="E11597" s="16"/>
      <c r="F11597" s="16"/>
      <c r="H11597" s="16"/>
      <c r="AG11597" s="80"/>
      <c r="AH11597" s="80"/>
      <c r="AI11597" s="80"/>
    </row>
    <row r="11598" spans="5:35" x14ac:dyDescent="0.25">
      <c r="E11598" s="16"/>
      <c r="F11598" s="16"/>
      <c r="H11598" s="16"/>
      <c r="AG11598" s="80"/>
      <c r="AH11598" s="80"/>
      <c r="AI11598" s="80"/>
    </row>
    <row r="11599" spans="5:35" x14ac:dyDescent="0.25">
      <c r="E11599" s="16"/>
      <c r="F11599" s="16"/>
      <c r="H11599" s="16"/>
      <c r="AG11599" s="80"/>
      <c r="AH11599" s="80"/>
      <c r="AI11599" s="80"/>
    </row>
    <row r="11600" spans="5:35" x14ac:dyDescent="0.25">
      <c r="E11600" s="16"/>
      <c r="F11600" s="16"/>
      <c r="H11600" s="16"/>
      <c r="AG11600" s="80"/>
      <c r="AH11600" s="80"/>
      <c r="AI11600" s="80"/>
    </row>
    <row r="11601" spans="5:35" x14ac:dyDescent="0.25">
      <c r="E11601" s="16"/>
      <c r="F11601" s="16"/>
      <c r="H11601" s="16"/>
      <c r="AG11601" s="80"/>
      <c r="AH11601" s="80"/>
      <c r="AI11601" s="80"/>
    </row>
    <row r="11602" spans="5:35" x14ac:dyDescent="0.25">
      <c r="E11602" s="16"/>
      <c r="F11602" s="16"/>
      <c r="H11602" s="16"/>
      <c r="AG11602" s="80"/>
      <c r="AH11602" s="80"/>
      <c r="AI11602" s="80"/>
    </row>
    <row r="11603" spans="5:35" x14ac:dyDescent="0.25">
      <c r="E11603" s="16"/>
      <c r="F11603" s="16"/>
      <c r="H11603" s="16"/>
      <c r="AG11603" s="80"/>
      <c r="AH11603" s="80"/>
      <c r="AI11603" s="80"/>
    </row>
    <row r="11604" spans="5:35" x14ac:dyDescent="0.25">
      <c r="E11604" s="16"/>
      <c r="F11604" s="16"/>
      <c r="H11604" s="16"/>
      <c r="AG11604" s="80"/>
      <c r="AH11604" s="80"/>
      <c r="AI11604" s="80"/>
    </row>
    <row r="11605" spans="5:35" x14ac:dyDescent="0.25">
      <c r="E11605" s="16"/>
      <c r="F11605" s="16"/>
      <c r="H11605" s="16"/>
      <c r="AG11605" s="80"/>
      <c r="AH11605" s="80"/>
      <c r="AI11605" s="80"/>
    </row>
    <row r="11606" spans="5:35" x14ac:dyDescent="0.25">
      <c r="E11606" s="16"/>
      <c r="F11606" s="16"/>
      <c r="H11606" s="16"/>
      <c r="AG11606" s="80"/>
      <c r="AH11606" s="80"/>
      <c r="AI11606" s="80"/>
    </row>
    <row r="11607" spans="5:35" x14ac:dyDescent="0.25">
      <c r="E11607" s="16"/>
      <c r="F11607" s="16"/>
      <c r="H11607" s="16"/>
      <c r="AG11607" s="80"/>
      <c r="AH11607" s="80"/>
      <c r="AI11607" s="80"/>
    </row>
    <row r="11608" spans="5:35" x14ac:dyDescent="0.25">
      <c r="E11608" s="16"/>
      <c r="F11608" s="16"/>
      <c r="H11608" s="16"/>
      <c r="AG11608" s="80"/>
      <c r="AH11608" s="80"/>
      <c r="AI11608" s="80"/>
    </row>
    <row r="11609" spans="5:35" x14ac:dyDescent="0.25">
      <c r="E11609" s="16"/>
      <c r="F11609" s="16"/>
      <c r="H11609" s="16"/>
      <c r="AG11609" s="80"/>
      <c r="AH11609" s="80"/>
      <c r="AI11609" s="80"/>
    </row>
    <row r="11610" spans="5:35" x14ac:dyDescent="0.25">
      <c r="E11610" s="16"/>
      <c r="F11610" s="16"/>
      <c r="H11610" s="16"/>
      <c r="AG11610" s="80"/>
      <c r="AH11610" s="80"/>
      <c r="AI11610" s="80"/>
    </row>
    <row r="11611" spans="5:35" x14ac:dyDescent="0.25">
      <c r="E11611" s="16"/>
      <c r="F11611" s="16"/>
      <c r="H11611" s="16"/>
      <c r="AG11611" s="80"/>
      <c r="AH11611" s="80"/>
      <c r="AI11611" s="80"/>
    </row>
    <row r="11612" spans="5:35" x14ac:dyDescent="0.25">
      <c r="E11612" s="16"/>
      <c r="F11612" s="16"/>
      <c r="H11612" s="16"/>
      <c r="AG11612" s="80"/>
      <c r="AH11612" s="80"/>
      <c r="AI11612" s="80"/>
    </row>
    <row r="11613" spans="5:35" x14ac:dyDescent="0.25">
      <c r="E11613" s="16"/>
      <c r="F11613" s="16"/>
      <c r="H11613" s="16"/>
      <c r="AG11613" s="80"/>
      <c r="AH11613" s="80"/>
      <c r="AI11613" s="80"/>
    </row>
    <row r="11614" spans="5:35" x14ac:dyDescent="0.25">
      <c r="E11614" s="16"/>
      <c r="F11614" s="16"/>
      <c r="H11614" s="16"/>
      <c r="AG11614" s="80"/>
      <c r="AH11614" s="80"/>
      <c r="AI11614" s="80"/>
    </row>
    <row r="11615" spans="5:35" x14ac:dyDescent="0.25">
      <c r="E11615" s="16"/>
      <c r="F11615" s="16"/>
      <c r="H11615" s="16"/>
      <c r="AG11615" s="80"/>
      <c r="AH11615" s="80"/>
      <c r="AI11615" s="80"/>
    </row>
    <row r="11616" spans="5:35" x14ac:dyDescent="0.25">
      <c r="E11616" s="16"/>
      <c r="F11616" s="16"/>
      <c r="H11616" s="16"/>
      <c r="AG11616" s="80"/>
      <c r="AH11616" s="80"/>
      <c r="AI11616" s="80"/>
    </row>
    <row r="11617" spans="5:35" x14ac:dyDescent="0.25">
      <c r="E11617" s="16"/>
      <c r="F11617" s="16"/>
      <c r="H11617" s="16"/>
      <c r="AG11617" s="80"/>
      <c r="AH11617" s="80"/>
      <c r="AI11617" s="80"/>
    </row>
    <row r="11618" spans="5:35" x14ac:dyDescent="0.25">
      <c r="E11618" s="16"/>
      <c r="F11618" s="16"/>
      <c r="H11618" s="16"/>
      <c r="AG11618" s="80"/>
      <c r="AH11618" s="80"/>
      <c r="AI11618" s="80"/>
    </row>
    <row r="11619" spans="5:35" x14ac:dyDescent="0.25">
      <c r="E11619" s="16"/>
      <c r="F11619" s="16"/>
      <c r="H11619" s="16"/>
      <c r="AG11619" s="80"/>
      <c r="AH11619" s="80"/>
      <c r="AI11619" s="80"/>
    </row>
    <row r="11620" spans="5:35" x14ac:dyDescent="0.25">
      <c r="E11620" s="16"/>
      <c r="F11620" s="16"/>
      <c r="H11620" s="16"/>
      <c r="AG11620" s="80"/>
      <c r="AH11620" s="80"/>
      <c r="AI11620" s="80"/>
    </row>
    <row r="11621" spans="5:35" x14ac:dyDescent="0.25">
      <c r="E11621" s="16"/>
      <c r="F11621" s="16"/>
      <c r="H11621" s="16"/>
      <c r="AG11621" s="80"/>
      <c r="AH11621" s="80"/>
      <c r="AI11621" s="80"/>
    </row>
    <row r="11622" spans="5:35" x14ac:dyDescent="0.25">
      <c r="E11622" s="16"/>
      <c r="F11622" s="16"/>
      <c r="H11622" s="16"/>
      <c r="AG11622" s="80"/>
      <c r="AH11622" s="80"/>
      <c r="AI11622" s="80"/>
    </row>
    <row r="11623" spans="5:35" x14ac:dyDescent="0.25">
      <c r="E11623" s="16"/>
      <c r="F11623" s="16"/>
      <c r="H11623" s="16"/>
      <c r="AG11623" s="80"/>
      <c r="AH11623" s="80"/>
      <c r="AI11623" s="80"/>
    </row>
    <row r="11624" spans="5:35" x14ac:dyDescent="0.25">
      <c r="E11624" s="16"/>
      <c r="F11624" s="16"/>
      <c r="H11624" s="16"/>
      <c r="AG11624" s="80"/>
      <c r="AH11624" s="80"/>
      <c r="AI11624" s="80"/>
    </row>
    <row r="11625" spans="5:35" x14ac:dyDescent="0.25">
      <c r="E11625" s="16"/>
      <c r="F11625" s="16"/>
      <c r="H11625" s="16"/>
      <c r="AG11625" s="80"/>
      <c r="AH11625" s="80"/>
      <c r="AI11625" s="80"/>
    </row>
    <row r="11626" spans="5:35" x14ac:dyDescent="0.25">
      <c r="E11626" s="16"/>
      <c r="F11626" s="16"/>
      <c r="H11626" s="16"/>
      <c r="AG11626" s="80"/>
      <c r="AH11626" s="80"/>
      <c r="AI11626" s="80"/>
    </row>
    <row r="11627" spans="5:35" x14ac:dyDescent="0.25">
      <c r="E11627" s="16"/>
      <c r="F11627" s="16"/>
      <c r="H11627" s="16"/>
      <c r="AG11627" s="80"/>
      <c r="AH11627" s="80"/>
      <c r="AI11627" s="80"/>
    </row>
    <row r="11628" spans="5:35" x14ac:dyDescent="0.25">
      <c r="E11628" s="16"/>
      <c r="F11628" s="16"/>
      <c r="H11628" s="16"/>
      <c r="AG11628" s="80"/>
      <c r="AH11628" s="80"/>
      <c r="AI11628" s="80"/>
    </row>
    <row r="11629" spans="5:35" x14ac:dyDescent="0.25">
      <c r="E11629" s="16"/>
      <c r="F11629" s="16"/>
      <c r="H11629" s="16"/>
      <c r="AG11629" s="80"/>
      <c r="AH11629" s="80"/>
      <c r="AI11629" s="80"/>
    </row>
    <row r="11630" spans="5:35" x14ac:dyDescent="0.25">
      <c r="E11630" s="16"/>
      <c r="F11630" s="16"/>
      <c r="H11630" s="16"/>
      <c r="AG11630" s="80"/>
      <c r="AH11630" s="80"/>
      <c r="AI11630" s="80"/>
    </row>
    <row r="11631" spans="5:35" x14ac:dyDescent="0.25">
      <c r="E11631" s="16"/>
      <c r="F11631" s="16"/>
      <c r="H11631" s="16"/>
      <c r="AG11631" s="80"/>
      <c r="AH11631" s="80"/>
      <c r="AI11631" s="80"/>
    </row>
    <row r="11632" spans="5:35" x14ac:dyDescent="0.25">
      <c r="E11632" s="16"/>
      <c r="F11632" s="16"/>
      <c r="H11632" s="16"/>
      <c r="AG11632" s="80"/>
      <c r="AH11632" s="80"/>
      <c r="AI11632" s="80"/>
    </row>
    <row r="11633" spans="5:35" x14ac:dyDescent="0.25">
      <c r="E11633" s="16"/>
      <c r="F11633" s="16"/>
      <c r="H11633" s="16"/>
      <c r="AG11633" s="80"/>
      <c r="AH11633" s="80"/>
      <c r="AI11633" s="80"/>
    </row>
    <row r="11634" spans="5:35" x14ac:dyDescent="0.25">
      <c r="E11634" s="16"/>
      <c r="F11634" s="16"/>
      <c r="H11634" s="16"/>
      <c r="AG11634" s="80"/>
      <c r="AH11634" s="80"/>
      <c r="AI11634" s="80"/>
    </row>
    <row r="11635" spans="5:35" x14ac:dyDescent="0.25">
      <c r="E11635" s="16"/>
      <c r="F11635" s="16"/>
      <c r="H11635" s="16"/>
      <c r="AG11635" s="80"/>
      <c r="AH11635" s="80"/>
      <c r="AI11635" s="80"/>
    </row>
    <row r="11636" spans="5:35" x14ac:dyDescent="0.25">
      <c r="E11636" s="16"/>
      <c r="F11636" s="16"/>
      <c r="H11636" s="16"/>
      <c r="AG11636" s="80"/>
      <c r="AH11636" s="80"/>
      <c r="AI11636" s="80"/>
    </row>
    <row r="11637" spans="5:35" x14ac:dyDescent="0.25">
      <c r="E11637" s="16"/>
      <c r="F11637" s="16"/>
      <c r="H11637" s="16"/>
      <c r="AG11637" s="80"/>
      <c r="AH11637" s="80"/>
      <c r="AI11637" s="80"/>
    </row>
    <row r="11638" spans="5:35" x14ac:dyDescent="0.25">
      <c r="E11638" s="16"/>
      <c r="F11638" s="16"/>
      <c r="H11638" s="16"/>
      <c r="AG11638" s="80"/>
      <c r="AH11638" s="80"/>
      <c r="AI11638" s="80"/>
    </row>
    <row r="11639" spans="5:35" x14ac:dyDescent="0.25">
      <c r="E11639" s="16"/>
      <c r="F11639" s="16"/>
      <c r="H11639" s="16"/>
      <c r="AG11639" s="80"/>
      <c r="AH11639" s="80"/>
      <c r="AI11639" s="80"/>
    </row>
    <row r="11640" spans="5:35" x14ac:dyDescent="0.25">
      <c r="E11640" s="16"/>
      <c r="F11640" s="16"/>
      <c r="H11640" s="16"/>
      <c r="AG11640" s="80"/>
      <c r="AH11640" s="80"/>
      <c r="AI11640" s="80"/>
    </row>
    <row r="11641" spans="5:35" x14ac:dyDescent="0.25">
      <c r="E11641" s="16"/>
      <c r="F11641" s="16"/>
      <c r="H11641" s="16"/>
      <c r="AG11641" s="80"/>
      <c r="AH11641" s="80"/>
      <c r="AI11641" s="80"/>
    </row>
    <row r="11642" spans="5:35" x14ac:dyDescent="0.25">
      <c r="E11642" s="16"/>
      <c r="F11642" s="16"/>
      <c r="H11642" s="16"/>
      <c r="AG11642" s="80"/>
      <c r="AH11642" s="80"/>
      <c r="AI11642" s="80"/>
    </row>
    <row r="11643" spans="5:35" x14ac:dyDescent="0.25">
      <c r="E11643" s="16"/>
      <c r="F11643" s="16"/>
      <c r="H11643" s="16"/>
      <c r="AG11643" s="80"/>
      <c r="AH11643" s="80"/>
      <c r="AI11643" s="80"/>
    </row>
    <row r="11644" spans="5:35" x14ac:dyDescent="0.25">
      <c r="E11644" s="16"/>
      <c r="F11644" s="16"/>
      <c r="H11644" s="16"/>
      <c r="AG11644" s="80"/>
      <c r="AH11644" s="80"/>
      <c r="AI11644" s="80"/>
    </row>
    <row r="11645" spans="5:35" x14ac:dyDescent="0.25">
      <c r="E11645" s="16"/>
      <c r="F11645" s="16"/>
      <c r="H11645" s="16"/>
      <c r="AG11645" s="80"/>
      <c r="AH11645" s="80"/>
      <c r="AI11645" s="80"/>
    </row>
    <row r="11646" spans="5:35" x14ac:dyDescent="0.25">
      <c r="E11646" s="16"/>
      <c r="F11646" s="16"/>
      <c r="H11646" s="16"/>
      <c r="AG11646" s="80"/>
      <c r="AH11646" s="80"/>
      <c r="AI11646" s="80"/>
    </row>
    <row r="11647" spans="5:35" x14ac:dyDescent="0.25">
      <c r="E11647" s="16"/>
      <c r="F11647" s="16"/>
      <c r="H11647" s="16"/>
      <c r="AG11647" s="80"/>
      <c r="AH11647" s="80"/>
      <c r="AI11647" s="80"/>
    </row>
    <row r="11648" spans="5:35" x14ac:dyDescent="0.25">
      <c r="E11648" s="16"/>
      <c r="F11648" s="16"/>
      <c r="H11648" s="16"/>
      <c r="AG11648" s="80"/>
      <c r="AH11648" s="80"/>
      <c r="AI11648" s="80"/>
    </row>
    <row r="11649" spans="5:35" x14ac:dyDescent="0.25">
      <c r="E11649" s="16"/>
      <c r="F11649" s="16"/>
      <c r="H11649" s="16"/>
      <c r="AG11649" s="80"/>
      <c r="AH11649" s="80"/>
      <c r="AI11649" s="80"/>
    </row>
    <row r="11650" spans="5:35" x14ac:dyDescent="0.25">
      <c r="E11650" s="16"/>
      <c r="F11650" s="16"/>
      <c r="H11650" s="16"/>
      <c r="AG11650" s="80"/>
      <c r="AH11650" s="80"/>
      <c r="AI11650" s="80"/>
    </row>
    <row r="11651" spans="5:35" x14ac:dyDescent="0.25">
      <c r="E11651" s="16"/>
      <c r="F11651" s="16"/>
      <c r="H11651" s="16"/>
      <c r="AG11651" s="80"/>
      <c r="AH11651" s="80"/>
      <c r="AI11651" s="80"/>
    </row>
    <row r="11652" spans="5:35" x14ac:dyDescent="0.25">
      <c r="E11652" s="16"/>
      <c r="F11652" s="16"/>
      <c r="H11652" s="16"/>
      <c r="AG11652" s="80"/>
      <c r="AH11652" s="80"/>
      <c r="AI11652" s="80"/>
    </row>
    <row r="11653" spans="5:35" x14ac:dyDescent="0.25">
      <c r="E11653" s="16"/>
      <c r="F11653" s="16"/>
      <c r="H11653" s="16"/>
      <c r="AG11653" s="80"/>
      <c r="AH11653" s="80"/>
      <c r="AI11653" s="80"/>
    </row>
    <row r="11654" spans="5:35" x14ac:dyDescent="0.25">
      <c r="E11654" s="16"/>
      <c r="F11654" s="16"/>
      <c r="H11654" s="16"/>
      <c r="AG11654" s="80"/>
      <c r="AH11654" s="80"/>
      <c r="AI11654" s="80"/>
    </row>
    <row r="11655" spans="5:35" x14ac:dyDescent="0.25">
      <c r="E11655" s="16"/>
      <c r="F11655" s="16"/>
      <c r="H11655" s="16"/>
      <c r="AG11655" s="80"/>
      <c r="AH11655" s="80"/>
      <c r="AI11655" s="80"/>
    </row>
    <row r="11656" spans="5:35" x14ac:dyDescent="0.25">
      <c r="E11656" s="16"/>
      <c r="F11656" s="16"/>
      <c r="H11656" s="16"/>
      <c r="AG11656" s="80"/>
      <c r="AH11656" s="80"/>
      <c r="AI11656" s="80"/>
    </row>
    <row r="11657" spans="5:35" x14ac:dyDescent="0.25">
      <c r="E11657" s="16"/>
      <c r="F11657" s="16"/>
      <c r="H11657" s="16"/>
      <c r="AG11657" s="80"/>
      <c r="AH11657" s="80"/>
      <c r="AI11657" s="80"/>
    </row>
    <row r="11658" spans="5:35" x14ac:dyDescent="0.25">
      <c r="E11658" s="16"/>
      <c r="F11658" s="16"/>
      <c r="H11658" s="16"/>
      <c r="AG11658" s="80"/>
      <c r="AH11658" s="80"/>
      <c r="AI11658" s="80"/>
    </row>
    <row r="11659" spans="5:35" x14ac:dyDescent="0.25">
      <c r="E11659" s="16"/>
      <c r="F11659" s="16"/>
      <c r="H11659" s="16"/>
      <c r="AG11659" s="80"/>
      <c r="AH11659" s="80"/>
      <c r="AI11659" s="80"/>
    </row>
    <row r="11660" spans="5:35" x14ac:dyDescent="0.25">
      <c r="E11660" s="16"/>
      <c r="F11660" s="16"/>
      <c r="H11660" s="16"/>
      <c r="AG11660" s="80"/>
      <c r="AH11660" s="80"/>
      <c r="AI11660" s="80"/>
    </row>
    <row r="11661" spans="5:35" x14ac:dyDescent="0.25">
      <c r="E11661" s="16"/>
      <c r="F11661" s="16"/>
      <c r="H11661" s="16"/>
      <c r="AG11661" s="80"/>
      <c r="AH11661" s="80"/>
      <c r="AI11661" s="80"/>
    </row>
    <row r="11662" spans="5:35" x14ac:dyDescent="0.25">
      <c r="E11662" s="16"/>
      <c r="F11662" s="16"/>
      <c r="H11662" s="16"/>
      <c r="AG11662" s="80"/>
      <c r="AH11662" s="80"/>
      <c r="AI11662" s="80"/>
    </row>
    <row r="11663" spans="5:35" x14ac:dyDescent="0.25">
      <c r="E11663" s="16"/>
      <c r="F11663" s="16"/>
      <c r="H11663" s="16"/>
      <c r="AG11663" s="80"/>
      <c r="AH11663" s="80"/>
      <c r="AI11663" s="80"/>
    </row>
    <row r="11664" spans="5:35" x14ac:dyDescent="0.25">
      <c r="E11664" s="16"/>
      <c r="F11664" s="16"/>
      <c r="H11664" s="16"/>
      <c r="AG11664" s="80"/>
      <c r="AH11664" s="80"/>
      <c r="AI11664" s="80"/>
    </row>
    <row r="11665" spans="5:35" x14ac:dyDescent="0.25">
      <c r="E11665" s="16"/>
      <c r="F11665" s="16"/>
      <c r="H11665" s="16"/>
      <c r="AG11665" s="80"/>
      <c r="AH11665" s="80"/>
      <c r="AI11665" s="80"/>
    </row>
    <row r="11666" spans="5:35" x14ac:dyDescent="0.25">
      <c r="E11666" s="16"/>
      <c r="F11666" s="16"/>
      <c r="H11666" s="16"/>
      <c r="AG11666" s="80"/>
      <c r="AH11666" s="80"/>
      <c r="AI11666" s="80"/>
    </row>
    <row r="11667" spans="5:35" x14ac:dyDescent="0.25">
      <c r="E11667" s="16"/>
      <c r="F11667" s="16"/>
      <c r="H11667" s="16"/>
      <c r="AG11667" s="80"/>
      <c r="AH11667" s="80"/>
      <c r="AI11667" s="80"/>
    </row>
    <row r="11668" spans="5:35" x14ac:dyDescent="0.25">
      <c r="E11668" s="16"/>
      <c r="F11668" s="16"/>
      <c r="H11668" s="16"/>
      <c r="AG11668" s="80"/>
      <c r="AH11668" s="80"/>
      <c r="AI11668" s="80"/>
    </row>
    <row r="11669" spans="5:35" x14ac:dyDescent="0.25">
      <c r="E11669" s="16"/>
      <c r="F11669" s="16"/>
      <c r="H11669" s="16"/>
      <c r="AG11669" s="80"/>
      <c r="AH11669" s="80"/>
      <c r="AI11669" s="80"/>
    </row>
    <row r="11670" spans="5:35" x14ac:dyDescent="0.25">
      <c r="E11670" s="16"/>
      <c r="F11670" s="16"/>
      <c r="H11670" s="16"/>
      <c r="AG11670" s="80"/>
      <c r="AH11670" s="80"/>
      <c r="AI11670" s="80"/>
    </row>
    <row r="11671" spans="5:35" x14ac:dyDescent="0.25">
      <c r="E11671" s="16"/>
      <c r="F11671" s="16"/>
      <c r="H11671" s="16"/>
      <c r="AG11671" s="80"/>
      <c r="AH11671" s="80"/>
      <c r="AI11671" s="80"/>
    </row>
    <row r="11672" spans="5:35" x14ac:dyDescent="0.25">
      <c r="E11672" s="16"/>
      <c r="F11672" s="16"/>
      <c r="H11672" s="16"/>
      <c r="AG11672" s="80"/>
      <c r="AH11672" s="80"/>
      <c r="AI11672" s="80"/>
    </row>
    <row r="11673" spans="5:35" x14ac:dyDescent="0.25">
      <c r="E11673" s="16"/>
      <c r="F11673" s="16"/>
      <c r="H11673" s="16"/>
      <c r="AG11673" s="80"/>
      <c r="AH11673" s="80"/>
      <c r="AI11673" s="80"/>
    </row>
    <row r="11674" spans="5:35" x14ac:dyDescent="0.25">
      <c r="E11674" s="16"/>
      <c r="F11674" s="16"/>
      <c r="H11674" s="16"/>
      <c r="AG11674" s="80"/>
      <c r="AH11674" s="80"/>
      <c r="AI11674" s="80"/>
    </row>
    <row r="11675" spans="5:35" x14ac:dyDescent="0.25">
      <c r="E11675" s="16"/>
      <c r="F11675" s="16"/>
      <c r="H11675" s="16"/>
      <c r="AG11675" s="80"/>
      <c r="AH11675" s="80"/>
      <c r="AI11675" s="80"/>
    </row>
    <row r="11676" spans="5:35" x14ac:dyDescent="0.25">
      <c r="E11676" s="16"/>
      <c r="F11676" s="16"/>
      <c r="H11676" s="16"/>
      <c r="AG11676" s="80"/>
      <c r="AH11676" s="80"/>
      <c r="AI11676" s="80"/>
    </row>
    <row r="11677" spans="5:35" x14ac:dyDescent="0.25">
      <c r="E11677" s="16"/>
      <c r="F11677" s="16"/>
      <c r="H11677" s="16"/>
      <c r="AG11677" s="80"/>
      <c r="AH11677" s="80"/>
      <c r="AI11677" s="80"/>
    </row>
    <row r="11678" spans="5:35" x14ac:dyDescent="0.25">
      <c r="E11678" s="16"/>
      <c r="F11678" s="16"/>
      <c r="H11678" s="16"/>
      <c r="AG11678" s="80"/>
      <c r="AH11678" s="80"/>
      <c r="AI11678" s="80"/>
    </row>
    <row r="11679" spans="5:35" x14ac:dyDescent="0.25">
      <c r="E11679" s="16"/>
      <c r="F11679" s="16"/>
      <c r="H11679" s="16"/>
      <c r="AG11679" s="80"/>
      <c r="AH11679" s="80"/>
      <c r="AI11679" s="80"/>
    </row>
    <row r="11680" spans="5:35" x14ac:dyDescent="0.25">
      <c r="E11680" s="16"/>
      <c r="F11680" s="16"/>
      <c r="H11680" s="16"/>
      <c r="AG11680" s="80"/>
      <c r="AH11680" s="80"/>
      <c r="AI11680" s="80"/>
    </row>
    <row r="11681" spans="5:35" x14ac:dyDescent="0.25">
      <c r="E11681" s="16"/>
      <c r="F11681" s="16"/>
      <c r="H11681" s="16"/>
      <c r="AG11681" s="80"/>
      <c r="AH11681" s="80"/>
      <c r="AI11681" s="80"/>
    </row>
    <row r="11682" spans="5:35" x14ac:dyDescent="0.25">
      <c r="E11682" s="16"/>
      <c r="F11682" s="16"/>
      <c r="H11682" s="16"/>
      <c r="AG11682" s="80"/>
      <c r="AH11682" s="80"/>
      <c r="AI11682" s="80"/>
    </row>
    <row r="11683" spans="5:35" x14ac:dyDescent="0.25">
      <c r="E11683" s="16"/>
      <c r="F11683" s="16"/>
      <c r="H11683" s="16"/>
      <c r="AG11683" s="80"/>
      <c r="AH11683" s="80"/>
      <c r="AI11683" s="80"/>
    </row>
    <row r="11684" spans="5:35" x14ac:dyDescent="0.25">
      <c r="E11684" s="16"/>
      <c r="F11684" s="16"/>
      <c r="H11684" s="16"/>
      <c r="AG11684" s="80"/>
      <c r="AH11684" s="80"/>
      <c r="AI11684" s="80"/>
    </row>
    <row r="11685" spans="5:35" x14ac:dyDescent="0.25">
      <c r="E11685" s="16"/>
      <c r="F11685" s="16"/>
      <c r="H11685" s="16"/>
      <c r="AG11685" s="80"/>
      <c r="AH11685" s="80"/>
      <c r="AI11685" s="80"/>
    </row>
    <row r="11686" spans="5:35" x14ac:dyDescent="0.25">
      <c r="E11686" s="16"/>
      <c r="F11686" s="16"/>
      <c r="H11686" s="16"/>
      <c r="AG11686" s="80"/>
      <c r="AH11686" s="80"/>
      <c r="AI11686" s="80"/>
    </row>
    <row r="11687" spans="5:35" x14ac:dyDescent="0.25">
      <c r="E11687" s="16"/>
      <c r="F11687" s="16"/>
      <c r="H11687" s="16"/>
      <c r="AG11687" s="80"/>
      <c r="AH11687" s="80"/>
      <c r="AI11687" s="80"/>
    </row>
    <row r="11688" spans="5:35" x14ac:dyDescent="0.25">
      <c r="E11688" s="16"/>
      <c r="F11688" s="16"/>
      <c r="H11688" s="16"/>
      <c r="AG11688" s="80"/>
      <c r="AH11688" s="80"/>
      <c r="AI11688" s="80"/>
    </row>
    <row r="11689" spans="5:35" x14ac:dyDescent="0.25">
      <c r="E11689" s="16"/>
      <c r="F11689" s="16"/>
      <c r="H11689" s="16"/>
      <c r="AG11689" s="80"/>
      <c r="AH11689" s="80"/>
      <c r="AI11689" s="80"/>
    </row>
    <row r="11690" spans="5:35" x14ac:dyDescent="0.25">
      <c r="E11690" s="16"/>
      <c r="F11690" s="16"/>
      <c r="H11690" s="16"/>
      <c r="AG11690" s="80"/>
      <c r="AH11690" s="80"/>
      <c r="AI11690" s="80"/>
    </row>
    <row r="11691" spans="5:35" x14ac:dyDescent="0.25">
      <c r="E11691" s="16"/>
      <c r="F11691" s="16"/>
      <c r="H11691" s="16"/>
      <c r="AG11691" s="80"/>
      <c r="AH11691" s="80"/>
      <c r="AI11691" s="80"/>
    </row>
    <row r="11692" spans="5:35" x14ac:dyDescent="0.25">
      <c r="E11692" s="16"/>
      <c r="F11692" s="16"/>
      <c r="H11692" s="16"/>
      <c r="AG11692" s="80"/>
      <c r="AH11692" s="80"/>
      <c r="AI11692" s="80"/>
    </row>
    <row r="11693" spans="5:35" x14ac:dyDescent="0.25">
      <c r="E11693" s="16"/>
      <c r="F11693" s="16"/>
      <c r="H11693" s="16"/>
      <c r="AG11693" s="80"/>
      <c r="AH11693" s="80"/>
      <c r="AI11693" s="80"/>
    </row>
    <row r="11694" spans="5:35" x14ac:dyDescent="0.25">
      <c r="E11694" s="16"/>
      <c r="F11694" s="16"/>
      <c r="H11694" s="16"/>
      <c r="AG11694" s="80"/>
      <c r="AH11694" s="80"/>
      <c r="AI11694" s="80"/>
    </row>
    <row r="11695" spans="5:35" x14ac:dyDescent="0.25">
      <c r="E11695" s="16"/>
      <c r="F11695" s="16"/>
      <c r="H11695" s="16"/>
      <c r="AG11695" s="80"/>
      <c r="AH11695" s="80"/>
      <c r="AI11695" s="80"/>
    </row>
    <row r="11696" spans="5:35" x14ac:dyDescent="0.25">
      <c r="E11696" s="16"/>
      <c r="F11696" s="16"/>
      <c r="H11696" s="16"/>
      <c r="AG11696" s="80"/>
      <c r="AH11696" s="80"/>
      <c r="AI11696" s="80"/>
    </row>
    <row r="11697" spans="5:35" x14ac:dyDescent="0.25">
      <c r="E11697" s="16"/>
      <c r="F11697" s="16"/>
      <c r="H11697" s="16"/>
      <c r="AG11697" s="80"/>
      <c r="AH11697" s="80"/>
      <c r="AI11697" s="80"/>
    </row>
    <row r="11698" spans="5:35" x14ac:dyDescent="0.25">
      <c r="E11698" s="16"/>
      <c r="F11698" s="16"/>
      <c r="H11698" s="16"/>
      <c r="AG11698" s="80"/>
      <c r="AH11698" s="80"/>
      <c r="AI11698" s="80"/>
    </row>
    <row r="11699" spans="5:35" x14ac:dyDescent="0.25">
      <c r="E11699" s="16"/>
      <c r="F11699" s="16"/>
      <c r="H11699" s="16"/>
      <c r="AG11699" s="80"/>
      <c r="AH11699" s="80"/>
      <c r="AI11699" s="80"/>
    </row>
    <row r="11700" spans="5:35" x14ac:dyDescent="0.25">
      <c r="E11700" s="16"/>
      <c r="F11700" s="16"/>
      <c r="H11700" s="16"/>
      <c r="AG11700" s="80"/>
      <c r="AH11700" s="80"/>
      <c r="AI11700" s="80"/>
    </row>
    <row r="11701" spans="5:35" x14ac:dyDescent="0.25">
      <c r="E11701" s="16"/>
      <c r="F11701" s="16"/>
      <c r="H11701" s="16"/>
      <c r="AG11701" s="80"/>
      <c r="AH11701" s="80"/>
      <c r="AI11701" s="80"/>
    </row>
    <row r="11702" spans="5:35" x14ac:dyDescent="0.25">
      <c r="E11702" s="16"/>
      <c r="F11702" s="16"/>
      <c r="H11702" s="16"/>
      <c r="AG11702" s="80"/>
      <c r="AH11702" s="80"/>
      <c r="AI11702" s="80"/>
    </row>
    <row r="11703" spans="5:35" x14ac:dyDescent="0.25">
      <c r="E11703" s="16"/>
      <c r="F11703" s="16"/>
      <c r="H11703" s="16"/>
      <c r="AG11703" s="80"/>
      <c r="AH11703" s="80"/>
      <c r="AI11703" s="80"/>
    </row>
    <row r="11704" spans="5:35" x14ac:dyDescent="0.25">
      <c r="E11704" s="16"/>
      <c r="F11704" s="16"/>
      <c r="H11704" s="16"/>
      <c r="AG11704" s="80"/>
      <c r="AH11704" s="80"/>
      <c r="AI11704" s="80"/>
    </row>
    <row r="11705" spans="5:35" x14ac:dyDescent="0.25">
      <c r="E11705" s="16"/>
      <c r="F11705" s="16"/>
      <c r="H11705" s="16"/>
      <c r="AG11705" s="80"/>
      <c r="AH11705" s="80"/>
      <c r="AI11705" s="80"/>
    </row>
    <row r="11706" spans="5:35" x14ac:dyDescent="0.25">
      <c r="E11706" s="16"/>
      <c r="F11706" s="16"/>
      <c r="H11706" s="16"/>
      <c r="AG11706" s="80"/>
      <c r="AH11706" s="80"/>
      <c r="AI11706" s="80"/>
    </row>
    <row r="11707" spans="5:35" x14ac:dyDescent="0.25">
      <c r="E11707" s="16"/>
      <c r="F11707" s="16"/>
      <c r="H11707" s="16"/>
      <c r="AG11707" s="80"/>
      <c r="AH11707" s="80"/>
      <c r="AI11707" s="80"/>
    </row>
    <row r="11708" spans="5:35" x14ac:dyDescent="0.25">
      <c r="E11708" s="16"/>
      <c r="F11708" s="16"/>
      <c r="H11708" s="16"/>
      <c r="AG11708" s="80"/>
      <c r="AH11708" s="80"/>
      <c r="AI11708" s="80"/>
    </row>
    <row r="11709" spans="5:35" x14ac:dyDescent="0.25">
      <c r="E11709" s="16"/>
      <c r="F11709" s="16"/>
      <c r="H11709" s="16"/>
      <c r="AG11709" s="80"/>
      <c r="AH11709" s="80"/>
      <c r="AI11709" s="80"/>
    </row>
    <row r="11710" spans="5:35" x14ac:dyDescent="0.25">
      <c r="E11710" s="16"/>
      <c r="F11710" s="16"/>
      <c r="H11710" s="16"/>
      <c r="AG11710" s="80"/>
      <c r="AH11710" s="80"/>
      <c r="AI11710" s="80"/>
    </row>
    <row r="11711" spans="5:35" x14ac:dyDescent="0.25">
      <c r="E11711" s="16"/>
      <c r="F11711" s="16"/>
      <c r="H11711" s="16"/>
      <c r="AG11711" s="80"/>
      <c r="AH11711" s="80"/>
      <c r="AI11711" s="80"/>
    </row>
    <row r="11712" spans="5:35" x14ac:dyDescent="0.25">
      <c r="E11712" s="16"/>
      <c r="F11712" s="16"/>
      <c r="H11712" s="16"/>
      <c r="AG11712" s="80"/>
      <c r="AH11712" s="80"/>
      <c r="AI11712" s="80"/>
    </row>
    <row r="11713" spans="5:35" x14ac:dyDescent="0.25">
      <c r="E11713" s="16"/>
      <c r="F11713" s="16"/>
      <c r="H11713" s="16"/>
      <c r="AG11713" s="80"/>
      <c r="AH11713" s="80"/>
      <c r="AI11713" s="80"/>
    </row>
    <row r="11714" spans="5:35" x14ac:dyDescent="0.25">
      <c r="E11714" s="16"/>
      <c r="F11714" s="16"/>
      <c r="H11714" s="16"/>
      <c r="AG11714" s="80"/>
      <c r="AH11714" s="80"/>
      <c r="AI11714" s="80"/>
    </row>
    <row r="11715" spans="5:35" x14ac:dyDescent="0.25">
      <c r="E11715" s="16"/>
      <c r="F11715" s="16"/>
      <c r="H11715" s="16"/>
      <c r="AG11715" s="80"/>
      <c r="AH11715" s="80"/>
      <c r="AI11715" s="80"/>
    </row>
    <row r="11716" spans="5:35" x14ac:dyDescent="0.25">
      <c r="E11716" s="16"/>
      <c r="F11716" s="16"/>
      <c r="H11716" s="16"/>
      <c r="AG11716" s="80"/>
      <c r="AH11716" s="80"/>
      <c r="AI11716" s="80"/>
    </row>
    <row r="11717" spans="5:35" x14ac:dyDescent="0.25">
      <c r="E11717" s="16"/>
      <c r="F11717" s="16"/>
      <c r="H11717" s="16"/>
      <c r="AG11717" s="80"/>
      <c r="AH11717" s="80"/>
      <c r="AI11717" s="80"/>
    </row>
    <row r="11718" spans="5:35" x14ac:dyDescent="0.25">
      <c r="E11718" s="16"/>
      <c r="F11718" s="16"/>
      <c r="H11718" s="16"/>
      <c r="AG11718" s="80"/>
      <c r="AH11718" s="80"/>
      <c r="AI11718" s="80"/>
    </row>
    <row r="11719" spans="5:35" x14ac:dyDescent="0.25">
      <c r="E11719" s="16"/>
      <c r="F11719" s="16"/>
      <c r="H11719" s="16"/>
      <c r="AG11719" s="80"/>
      <c r="AH11719" s="80"/>
      <c r="AI11719" s="80"/>
    </row>
    <row r="11720" spans="5:35" x14ac:dyDescent="0.25">
      <c r="E11720" s="16"/>
      <c r="F11720" s="16"/>
      <c r="H11720" s="16"/>
      <c r="AG11720" s="80"/>
      <c r="AH11720" s="80"/>
      <c r="AI11720" s="80"/>
    </row>
    <row r="11721" spans="5:35" x14ac:dyDescent="0.25">
      <c r="E11721" s="16"/>
      <c r="F11721" s="16"/>
      <c r="H11721" s="16"/>
      <c r="AG11721" s="80"/>
      <c r="AH11721" s="80"/>
      <c r="AI11721" s="80"/>
    </row>
    <row r="11722" spans="5:35" x14ac:dyDescent="0.25">
      <c r="E11722" s="16"/>
      <c r="F11722" s="16"/>
      <c r="H11722" s="16"/>
      <c r="AG11722" s="80"/>
      <c r="AH11722" s="80"/>
      <c r="AI11722" s="80"/>
    </row>
    <row r="11723" spans="5:35" x14ac:dyDescent="0.25">
      <c r="E11723" s="16"/>
      <c r="F11723" s="16"/>
      <c r="H11723" s="16"/>
      <c r="AG11723" s="80"/>
      <c r="AH11723" s="80"/>
      <c r="AI11723" s="80"/>
    </row>
    <row r="11724" spans="5:35" x14ac:dyDescent="0.25">
      <c r="E11724" s="16"/>
      <c r="F11724" s="16"/>
      <c r="H11724" s="16"/>
      <c r="AG11724" s="80"/>
      <c r="AH11724" s="80"/>
      <c r="AI11724" s="80"/>
    </row>
    <row r="11725" spans="5:35" x14ac:dyDescent="0.25">
      <c r="E11725" s="16"/>
      <c r="F11725" s="16"/>
      <c r="H11725" s="16"/>
      <c r="AG11725" s="80"/>
      <c r="AH11725" s="80"/>
      <c r="AI11725" s="80"/>
    </row>
    <row r="11726" spans="5:35" x14ac:dyDescent="0.25">
      <c r="E11726" s="16"/>
      <c r="F11726" s="16"/>
      <c r="H11726" s="16"/>
      <c r="AG11726" s="80"/>
      <c r="AH11726" s="80"/>
      <c r="AI11726" s="80"/>
    </row>
    <row r="11727" spans="5:35" x14ac:dyDescent="0.25">
      <c r="E11727" s="16"/>
      <c r="F11727" s="16"/>
      <c r="H11727" s="16"/>
      <c r="AG11727" s="80"/>
      <c r="AH11727" s="80"/>
      <c r="AI11727" s="80"/>
    </row>
    <row r="11728" spans="5:35" x14ac:dyDescent="0.25">
      <c r="E11728" s="16"/>
      <c r="F11728" s="16"/>
      <c r="H11728" s="16"/>
      <c r="AG11728" s="80"/>
      <c r="AH11728" s="80"/>
      <c r="AI11728" s="80"/>
    </row>
    <row r="11729" spans="5:35" x14ac:dyDescent="0.25">
      <c r="E11729" s="16"/>
      <c r="F11729" s="16"/>
      <c r="H11729" s="16"/>
      <c r="AG11729" s="80"/>
      <c r="AH11729" s="80"/>
      <c r="AI11729" s="80"/>
    </row>
    <row r="11730" spans="5:35" x14ac:dyDescent="0.25">
      <c r="E11730" s="16"/>
      <c r="F11730" s="16"/>
      <c r="H11730" s="16"/>
      <c r="AG11730" s="80"/>
      <c r="AH11730" s="80"/>
      <c r="AI11730" s="80"/>
    </row>
    <row r="11731" spans="5:35" x14ac:dyDescent="0.25">
      <c r="E11731" s="16"/>
      <c r="F11731" s="16"/>
      <c r="H11731" s="16"/>
      <c r="AG11731" s="80"/>
      <c r="AH11731" s="80"/>
      <c r="AI11731" s="80"/>
    </row>
    <row r="11732" spans="5:35" x14ac:dyDescent="0.25">
      <c r="E11732" s="16"/>
      <c r="F11732" s="16"/>
      <c r="H11732" s="16"/>
      <c r="AG11732" s="80"/>
      <c r="AH11732" s="80"/>
      <c r="AI11732" s="80"/>
    </row>
    <row r="11733" spans="5:35" x14ac:dyDescent="0.25">
      <c r="E11733" s="16"/>
      <c r="F11733" s="16"/>
      <c r="H11733" s="16"/>
      <c r="AG11733" s="80"/>
      <c r="AH11733" s="80"/>
      <c r="AI11733" s="80"/>
    </row>
    <row r="11734" spans="5:35" x14ac:dyDescent="0.25">
      <c r="E11734" s="16"/>
      <c r="F11734" s="16"/>
      <c r="H11734" s="16"/>
      <c r="AG11734" s="80"/>
      <c r="AH11734" s="80"/>
      <c r="AI11734" s="80"/>
    </row>
    <row r="11735" spans="5:35" x14ac:dyDescent="0.25">
      <c r="E11735" s="16"/>
      <c r="F11735" s="16"/>
      <c r="H11735" s="16"/>
      <c r="AG11735" s="80"/>
      <c r="AH11735" s="80"/>
      <c r="AI11735" s="80"/>
    </row>
    <row r="11736" spans="5:35" x14ac:dyDescent="0.25">
      <c r="E11736" s="16"/>
      <c r="F11736" s="16"/>
      <c r="H11736" s="16"/>
      <c r="AG11736" s="80"/>
      <c r="AH11736" s="80"/>
      <c r="AI11736" s="80"/>
    </row>
    <row r="11737" spans="5:35" x14ac:dyDescent="0.25">
      <c r="E11737" s="16"/>
      <c r="F11737" s="16"/>
      <c r="H11737" s="16"/>
      <c r="AG11737" s="80"/>
      <c r="AH11737" s="80"/>
      <c r="AI11737" s="80"/>
    </row>
    <row r="11738" spans="5:35" x14ac:dyDescent="0.25">
      <c r="E11738" s="16"/>
      <c r="F11738" s="16"/>
      <c r="H11738" s="16"/>
      <c r="AG11738" s="80"/>
      <c r="AH11738" s="80"/>
      <c r="AI11738" s="80"/>
    </row>
    <row r="11739" spans="5:35" x14ac:dyDescent="0.25">
      <c r="E11739" s="16"/>
      <c r="F11739" s="16"/>
      <c r="H11739" s="16"/>
      <c r="AG11739" s="80"/>
      <c r="AH11739" s="80"/>
      <c r="AI11739" s="80"/>
    </row>
    <row r="11740" spans="5:35" x14ac:dyDescent="0.25">
      <c r="E11740" s="16"/>
      <c r="F11740" s="16"/>
      <c r="H11740" s="16"/>
      <c r="AG11740" s="80"/>
      <c r="AH11740" s="80"/>
      <c r="AI11740" s="80"/>
    </row>
    <row r="11741" spans="5:35" x14ac:dyDescent="0.25">
      <c r="E11741" s="16"/>
      <c r="F11741" s="16"/>
      <c r="H11741" s="16"/>
      <c r="AG11741" s="80"/>
      <c r="AH11741" s="80"/>
      <c r="AI11741" s="80"/>
    </row>
    <row r="11742" spans="5:35" x14ac:dyDescent="0.25">
      <c r="E11742" s="16"/>
      <c r="F11742" s="16"/>
      <c r="H11742" s="16"/>
      <c r="AG11742" s="80"/>
      <c r="AH11742" s="80"/>
      <c r="AI11742" s="80"/>
    </row>
    <row r="11743" spans="5:35" x14ac:dyDescent="0.25">
      <c r="E11743" s="16"/>
      <c r="F11743" s="16"/>
      <c r="H11743" s="16"/>
      <c r="AG11743" s="80"/>
      <c r="AH11743" s="80"/>
      <c r="AI11743" s="80"/>
    </row>
    <row r="11744" spans="5:35" x14ac:dyDescent="0.25">
      <c r="E11744" s="16"/>
      <c r="F11744" s="16"/>
      <c r="H11744" s="16"/>
      <c r="AG11744" s="80"/>
      <c r="AH11744" s="80"/>
      <c r="AI11744" s="80"/>
    </row>
    <row r="11745" spans="5:35" x14ac:dyDescent="0.25">
      <c r="E11745" s="16"/>
      <c r="F11745" s="16"/>
      <c r="H11745" s="16"/>
      <c r="AG11745" s="80"/>
      <c r="AH11745" s="80"/>
      <c r="AI11745" s="80"/>
    </row>
    <row r="11746" spans="5:35" x14ac:dyDescent="0.25">
      <c r="E11746" s="16"/>
      <c r="F11746" s="16"/>
      <c r="H11746" s="16"/>
      <c r="AG11746" s="80"/>
      <c r="AH11746" s="80"/>
      <c r="AI11746" s="80"/>
    </row>
    <row r="11747" spans="5:35" x14ac:dyDescent="0.25">
      <c r="E11747" s="16"/>
      <c r="F11747" s="16"/>
      <c r="H11747" s="16"/>
      <c r="AG11747" s="80"/>
      <c r="AH11747" s="80"/>
      <c r="AI11747" s="80"/>
    </row>
    <row r="11748" spans="5:35" x14ac:dyDescent="0.25">
      <c r="E11748" s="16"/>
      <c r="F11748" s="16"/>
      <c r="H11748" s="16"/>
      <c r="AG11748" s="80"/>
      <c r="AH11748" s="80"/>
      <c r="AI11748" s="80"/>
    </row>
    <row r="11749" spans="5:35" x14ac:dyDescent="0.25">
      <c r="E11749" s="16"/>
      <c r="F11749" s="16"/>
      <c r="H11749" s="16"/>
      <c r="AG11749" s="80"/>
      <c r="AH11749" s="80"/>
      <c r="AI11749" s="80"/>
    </row>
    <row r="11750" spans="5:35" x14ac:dyDescent="0.25">
      <c r="E11750" s="16"/>
      <c r="F11750" s="16"/>
      <c r="H11750" s="16"/>
      <c r="AG11750" s="80"/>
      <c r="AH11750" s="80"/>
      <c r="AI11750" s="80"/>
    </row>
    <row r="11751" spans="5:35" x14ac:dyDescent="0.25">
      <c r="E11751" s="16"/>
      <c r="F11751" s="16"/>
      <c r="H11751" s="16"/>
      <c r="AG11751" s="80"/>
      <c r="AH11751" s="80"/>
      <c r="AI11751" s="80"/>
    </row>
    <row r="11752" spans="5:35" x14ac:dyDescent="0.25">
      <c r="E11752" s="16"/>
      <c r="F11752" s="16"/>
      <c r="H11752" s="16"/>
      <c r="AG11752" s="80"/>
      <c r="AH11752" s="80"/>
      <c r="AI11752" s="80"/>
    </row>
    <row r="11753" spans="5:35" x14ac:dyDescent="0.25">
      <c r="E11753" s="16"/>
      <c r="F11753" s="16"/>
      <c r="H11753" s="16"/>
      <c r="AG11753" s="80"/>
      <c r="AH11753" s="80"/>
      <c r="AI11753" s="80"/>
    </row>
    <row r="11754" spans="5:35" x14ac:dyDescent="0.25">
      <c r="E11754" s="16"/>
      <c r="F11754" s="16"/>
      <c r="H11754" s="16"/>
      <c r="AG11754" s="80"/>
      <c r="AH11754" s="80"/>
      <c r="AI11754" s="80"/>
    </row>
    <row r="11755" spans="5:35" x14ac:dyDescent="0.25">
      <c r="E11755" s="16"/>
      <c r="F11755" s="16"/>
      <c r="H11755" s="16"/>
      <c r="AG11755" s="80"/>
      <c r="AH11755" s="80"/>
      <c r="AI11755" s="80"/>
    </row>
    <row r="11756" spans="5:35" x14ac:dyDescent="0.25">
      <c r="E11756" s="16"/>
      <c r="F11756" s="16"/>
      <c r="H11756" s="16"/>
      <c r="AG11756" s="80"/>
      <c r="AH11756" s="80"/>
      <c r="AI11756" s="80"/>
    </row>
    <row r="11757" spans="5:35" x14ac:dyDescent="0.25">
      <c r="E11757" s="16"/>
      <c r="F11757" s="16"/>
      <c r="H11757" s="16"/>
      <c r="AG11757" s="80"/>
      <c r="AH11757" s="80"/>
      <c r="AI11757" s="80"/>
    </row>
    <row r="11758" spans="5:35" x14ac:dyDescent="0.25">
      <c r="E11758" s="16"/>
      <c r="F11758" s="16"/>
      <c r="H11758" s="16"/>
      <c r="AG11758" s="80"/>
      <c r="AH11758" s="80"/>
      <c r="AI11758" s="80"/>
    </row>
    <row r="11759" spans="5:35" x14ac:dyDescent="0.25">
      <c r="E11759" s="16"/>
      <c r="F11759" s="16"/>
      <c r="H11759" s="16"/>
      <c r="AG11759" s="80"/>
      <c r="AH11759" s="80"/>
      <c r="AI11759" s="80"/>
    </row>
    <row r="11760" spans="5:35" x14ac:dyDescent="0.25">
      <c r="E11760" s="16"/>
      <c r="F11760" s="16"/>
      <c r="H11760" s="16"/>
      <c r="AG11760" s="80"/>
      <c r="AH11760" s="80"/>
      <c r="AI11760" s="80"/>
    </row>
    <row r="11761" spans="5:35" x14ac:dyDescent="0.25">
      <c r="E11761" s="16"/>
      <c r="F11761" s="16"/>
      <c r="H11761" s="16"/>
      <c r="AG11761" s="80"/>
      <c r="AH11761" s="80"/>
      <c r="AI11761" s="80"/>
    </row>
    <row r="11762" spans="5:35" x14ac:dyDescent="0.25">
      <c r="E11762" s="16"/>
      <c r="F11762" s="16"/>
      <c r="H11762" s="16"/>
      <c r="AG11762" s="80"/>
      <c r="AH11762" s="80"/>
      <c r="AI11762" s="80"/>
    </row>
    <row r="11763" spans="5:35" x14ac:dyDescent="0.25">
      <c r="E11763" s="16"/>
      <c r="F11763" s="16"/>
      <c r="H11763" s="16"/>
      <c r="AG11763" s="80"/>
      <c r="AH11763" s="80"/>
      <c r="AI11763" s="80"/>
    </row>
    <row r="11764" spans="5:35" x14ac:dyDescent="0.25">
      <c r="E11764" s="16"/>
      <c r="F11764" s="16"/>
      <c r="H11764" s="16"/>
      <c r="AG11764" s="80"/>
      <c r="AH11764" s="80"/>
      <c r="AI11764" s="80"/>
    </row>
    <row r="11765" spans="5:35" x14ac:dyDescent="0.25">
      <c r="E11765" s="16"/>
      <c r="F11765" s="16"/>
      <c r="H11765" s="16"/>
      <c r="AG11765" s="80"/>
      <c r="AH11765" s="80"/>
      <c r="AI11765" s="80"/>
    </row>
    <row r="11766" spans="5:35" x14ac:dyDescent="0.25">
      <c r="E11766" s="16"/>
      <c r="F11766" s="16"/>
      <c r="H11766" s="16"/>
      <c r="AG11766" s="80"/>
      <c r="AH11766" s="80"/>
      <c r="AI11766" s="80"/>
    </row>
    <row r="11767" spans="5:35" x14ac:dyDescent="0.25">
      <c r="E11767" s="16"/>
      <c r="F11767" s="16"/>
      <c r="H11767" s="16"/>
      <c r="AG11767" s="80"/>
      <c r="AH11767" s="80"/>
      <c r="AI11767" s="80"/>
    </row>
    <row r="11768" spans="5:35" x14ac:dyDescent="0.25">
      <c r="E11768" s="16"/>
      <c r="F11768" s="16"/>
      <c r="H11768" s="16"/>
      <c r="AG11768" s="80"/>
      <c r="AH11768" s="80"/>
      <c r="AI11768" s="80"/>
    </row>
    <row r="11769" spans="5:35" x14ac:dyDescent="0.25">
      <c r="E11769" s="16"/>
      <c r="F11769" s="16"/>
      <c r="H11769" s="16"/>
      <c r="AG11769" s="80"/>
      <c r="AH11769" s="80"/>
      <c r="AI11769" s="80"/>
    </row>
    <row r="11770" spans="5:35" x14ac:dyDescent="0.25">
      <c r="E11770" s="16"/>
      <c r="F11770" s="16"/>
      <c r="H11770" s="16"/>
      <c r="AG11770" s="80"/>
      <c r="AH11770" s="80"/>
      <c r="AI11770" s="80"/>
    </row>
    <row r="11771" spans="5:35" x14ac:dyDescent="0.25">
      <c r="E11771" s="16"/>
      <c r="F11771" s="16"/>
      <c r="H11771" s="16"/>
      <c r="AG11771" s="80"/>
      <c r="AH11771" s="80"/>
      <c r="AI11771" s="80"/>
    </row>
    <row r="11772" spans="5:35" x14ac:dyDescent="0.25">
      <c r="E11772" s="16"/>
      <c r="F11772" s="16"/>
      <c r="H11772" s="16"/>
      <c r="AG11772" s="80"/>
      <c r="AH11772" s="80"/>
      <c r="AI11772" s="80"/>
    </row>
    <row r="11773" spans="5:35" x14ac:dyDescent="0.25">
      <c r="E11773" s="16"/>
      <c r="F11773" s="16"/>
      <c r="H11773" s="16"/>
      <c r="AG11773" s="80"/>
      <c r="AH11773" s="80"/>
      <c r="AI11773" s="80"/>
    </row>
    <row r="11774" spans="5:35" x14ac:dyDescent="0.25">
      <c r="E11774" s="16"/>
      <c r="F11774" s="16"/>
      <c r="H11774" s="16"/>
      <c r="AG11774" s="80"/>
      <c r="AH11774" s="80"/>
      <c r="AI11774" s="80"/>
    </row>
    <row r="11775" spans="5:35" x14ac:dyDescent="0.25">
      <c r="E11775" s="16"/>
      <c r="F11775" s="16"/>
      <c r="H11775" s="16"/>
      <c r="AG11775" s="80"/>
      <c r="AH11775" s="80"/>
      <c r="AI11775" s="80"/>
    </row>
    <row r="11776" spans="5:35" x14ac:dyDescent="0.25">
      <c r="E11776" s="16"/>
      <c r="F11776" s="16"/>
      <c r="H11776" s="16"/>
      <c r="AG11776" s="80"/>
      <c r="AH11776" s="80"/>
      <c r="AI11776" s="80"/>
    </row>
    <row r="11777" spans="5:35" x14ac:dyDescent="0.25">
      <c r="E11777" s="16"/>
      <c r="F11777" s="16"/>
      <c r="H11777" s="16"/>
      <c r="AG11777" s="80"/>
      <c r="AH11777" s="80"/>
      <c r="AI11777" s="80"/>
    </row>
    <row r="11778" spans="5:35" x14ac:dyDescent="0.25">
      <c r="E11778" s="16"/>
      <c r="F11778" s="16"/>
      <c r="H11778" s="16"/>
      <c r="AG11778" s="80"/>
      <c r="AH11778" s="80"/>
      <c r="AI11778" s="80"/>
    </row>
    <row r="11779" spans="5:35" x14ac:dyDescent="0.25">
      <c r="E11779" s="16"/>
      <c r="F11779" s="16"/>
      <c r="H11779" s="16"/>
      <c r="AG11779" s="80"/>
      <c r="AH11779" s="80"/>
      <c r="AI11779" s="80"/>
    </row>
    <row r="11780" spans="5:35" x14ac:dyDescent="0.25">
      <c r="E11780" s="16"/>
      <c r="F11780" s="16"/>
      <c r="H11780" s="16"/>
      <c r="AG11780" s="80"/>
      <c r="AH11780" s="80"/>
      <c r="AI11780" s="80"/>
    </row>
    <row r="11781" spans="5:35" x14ac:dyDescent="0.25">
      <c r="E11781" s="16"/>
      <c r="F11781" s="16"/>
      <c r="H11781" s="16"/>
      <c r="AG11781" s="80"/>
      <c r="AH11781" s="80"/>
      <c r="AI11781" s="80"/>
    </row>
    <row r="11782" spans="5:35" x14ac:dyDescent="0.25">
      <c r="E11782" s="16"/>
      <c r="F11782" s="16"/>
      <c r="H11782" s="16"/>
      <c r="AG11782" s="80"/>
      <c r="AH11782" s="80"/>
      <c r="AI11782" s="80"/>
    </row>
    <row r="11783" spans="5:35" x14ac:dyDescent="0.25">
      <c r="E11783" s="16"/>
      <c r="F11783" s="16"/>
      <c r="H11783" s="16"/>
      <c r="AG11783" s="80"/>
      <c r="AH11783" s="80"/>
      <c r="AI11783" s="80"/>
    </row>
    <row r="11784" spans="5:35" x14ac:dyDescent="0.25">
      <c r="E11784" s="16"/>
      <c r="F11784" s="16"/>
      <c r="H11784" s="16"/>
      <c r="AG11784" s="80"/>
      <c r="AH11784" s="80"/>
      <c r="AI11784" s="80"/>
    </row>
    <row r="11785" spans="5:35" x14ac:dyDescent="0.25">
      <c r="E11785" s="16"/>
      <c r="F11785" s="16"/>
      <c r="H11785" s="16"/>
      <c r="AG11785" s="80"/>
      <c r="AH11785" s="80"/>
      <c r="AI11785" s="80"/>
    </row>
    <row r="11786" spans="5:35" x14ac:dyDescent="0.25">
      <c r="E11786" s="16"/>
      <c r="F11786" s="16"/>
      <c r="H11786" s="16"/>
      <c r="AG11786" s="80"/>
      <c r="AH11786" s="80"/>
      <c r="AI11786" s="80"/>
    </row>
    <row r="11787" spans="5:35" x14ac:dyDescent="0.25">
      <c r="E11787" s="16"/>
      <c r="F11787" s="16"/>
      <c r="H11787" s="16"/>
      <c r="AG11787" s="80"/>
      <c r="AH11787" s="80"/>
      <c r="AI11787" s="80"/>
    </row>
    <row r="11788" spans="5:35" x14ac:dyDescent="0.25">
      <c r="E11788" s="16"/>
      <c r="F11788" s="16"/>
      <c r="H11788" s="16"/>
      <c r="AG11788" s="80"/>
      <c r="AH11788" s="80"/>
      <c r="AI11788" s="80"/>
    </row>
    <row r="11789" spans="5:35" x14ac:dyDescent="0.25">
      <c r="E11789" s="16"/>
      <c r="F11789" s="16"/>
      <c r="H11789" s="16"/>
      <c r="AG11789" s="80"/>
      <c r="AH11789" s="80"/>
      <c r="AI11789" s="80"/>
    </row>
    <row r="11790" spans="5:35" x14ac:dyDescent="0.25">
      <c r="E11790" s="16"/>
      <c r="F11790" s="16"/>
      <c r="H11790" s="16"/>
      <c r="AG11790" s="80"/>
      <c r="AH11790" s="80"/>
      <c r="AI11790" s="80"/>
    </row>
    <row r="11791" spans="5:35" x14ac:dyDescent="0.25">
      <c r="E11791" s="16"/>
      <c r="F11791" s="16"/>
      <c r="H11791" s="16"/>
      <c r="AG11791" s="80"/>
      <c r="AH11791" s="80"/>
      <c r="AI11791" s="80"/>
    </row>
    <row r="11792" spans="5:35" x14ac:dyDescent="0.25">
      <c r="E11792" s="16"/>
      <c r="F11792" s="16"/>
      <c r="H11792" s="16"/>
      <c r="AG11792" s="80"/>
      <c r="AH11792" s="80"/>
      <c r="AI11792" s="80"/>
    </row>
    <row r="11793" spans="5:35" x14ac:dyDescent="0.25">
      <c r="E11793" s="16"/>
      <c r="F11793" s="16"/>
      <c r="H11793" s="16"/>
      <c r="AG11793" s="80"/>
      <c r="AH11793" s="80"/>
      <c r="AI11793" s="80"/>
    </row>
    <row r="11794" spans="5:35" x14ac:dyDescent="0.25">
      <c r="E11794" s="16"/>
      <c r="F11794" s="16"/>
      <c r="H11794" s="16"/>
      <c r="AG11794" s="80"/>
      <c r="AH11794" s="80"/>
      <c r="AI11794" s="80"/>
    </row>
    <row r="11795" spans="5:35" x14ac:dyDescent="0.25">
      <c r="E11795" s="16"/>
      <c r="F11795" s="16"/>
      <c r="H11795" s="16"/>
      <c r="AG11795" s="80"/>
      <c r="AH11795" s="80"/>
      <c r="AI11795" s="80"/>
    </row>
    <row r="11796" spans="5:35" x14ac:dyDescent="0.25">
      <c r="E11796" s="16"/>
      <c r="F11796" s="16"/>
      <c r="H11796" s="16"/>
      <c r="AG11796" s="80"/>
      <c r="AH11796" s="80"/>
      <c r="AI11796" s="80"/>
    </row>
    <row r="11797" spans="5:35" x14ac:dyDescent="0.25">
      <c r="E11797" s="16"/>
      <c r="F11797" s="16"/>
      <c r="H11797" s="16"/>
      <c r="AG11797" s="80"/>
      <c r="AH11797" s="80"/>
      <c r="AI11797" s="80"/>
    </row>
    <row r="11798" spans="5:35" x14ac:dyDescent="0.25">
      <c r="E11798" s="16"/>
      <c r="F11798" s="16"/>
      <c r="H11798" s="16"/>
      <c r="AG11798" s="80"/>
      <c r="AH11798" s="80"/>
      <c r="AI11798" s="80"/>
    </row>
    <row r="11799" spans="5:35" x14ac:dyDescent="0.25">
      <c r="E11799" s="16"/>
      <c r="F11799" s="16"/>
      <c r="H11799" s="16"/>
      <c r="AG11799" s="80"/>
      <c r="AH11799" s="80"/>
      <c r="AI11799" s="80"/>
    </row>
    <row r="11800" spans="5:35" x14ac:dyDescent="0.25">
      <c r="E11800" s="16"/>
      <c r="F11800" s="16"/>
      <c r="H11800" s="16"/>
      <c r="AG11800" s="80"/>
      <c r="AH11800" s="80"/>
      <c r="AI11800" s="80"/>
    </row>
    <row r="11801" spans="5:35" x14ac:dyDescent="0.25">
      <c r="E11801" s="16"/>
      <c r="F11801" s="16"/>
      <c r="H11801" s="16"/>
      <c r="AG11801" s="80"/>
      <c r="AH11801" s="80"/>
      <c r="AI11801" s="80"/>
    </row>
    <row r="11802" spans="5:35" x14ac:dyDescent="0.25">
      <c r="E11802" s="16"/>
      <c r="F11802" s="16"/>
      <c r="H11802" s="16"/>
      <c r="AG11802" s="80"/>
      <c r="AH11802" s="80"/>
      <c r="AI11802" s="80"/>
    </row>
    <row r="11803" spans="5:35" x14ac:dyDescent="0.25">
      <c r="E11803" s="16"/>
      <c r="F11803" s="16"/>
      <c r="H11803" s="16"/>
      <c r="AG11803" s="80"/>
      <c r="AH11803" s="80"/>
      <c r="AI11803" s="80"/>
    </row>
    <row r="11804" spans="5:35" x14ac:dyDescent="0.25">
      <c r="E11804" s="16"/>
      <c r="F11804" s="16"/>
      <c r="H11804" s="16"/>
      <c r="AG11804" s="80"/>
      <c r="AH11804" s="80"/>
      <c r="AI11804" s="80"/>
    </row>
    <row r="11805" spans="5:35" x14ac:dyDescent="0.25">
      <c r="E11805" s="16"/>
      <c r="F11805" s="16"/>
      <c r="H11805" s="16"/>
      <c r="AG11805" s="80"/>
      <c r="AH11805" s="80"/>
      <c r="AI11805" s="80"/>
    </row>
    <row r="11806" spans="5:35" x14ac:dyDescent="0.25">
      <c r="E11806" s="16"/>
      <c r="F11806" s="16"/>
      <c r="H11806" s="16"/>
      <c r="AG11806" s="80"/>
      <c r="AH11806" s="80"/>
      <c r="AI11806" s="80"/>
    </row>
    <row r="11807" spans="5:35" x14ac:dyDescent="0.25">
      <c r="E11807" s="16"/>
      <c r="F11807" s="16"/>
      <c r="H11807" s="16"/>
      <c r="AG11807" s="80"/>
      <c r="AH11807" s="80"/>
      <c r="AI11807" s="80"/>
    </row>
    <row r="11808" spans="5:35" x14ac:dyDescent="0.25">
      <c r="E11808" s="16"/>
      <c r="F11808" s="16"/>
      <c r="H11808" s="16"/>
      <c r="AG11808" s="80"/>
      <c r="AH11808" s="80"/>
      <c r="AI11808" s="80"/>
    </row>
    <row r="11809" spans="5:35" x14ac:dyDescent="0.25">
      <c r="E11809" s="16"/>
      <c r="F11809" s="16"/>
      <c r="H11809" s="16"/>
      <c r="AG11809" s="80"/>
      <c r="AH11809" s="80"/>
      <c r="AI11809" s="80"/>
    </row>
    <row r="11810" spans="5:35" x14ac:dyDescent="0.25">
      <c r="E11810" s="16"/>
      <c r="F11810" s="16"/>
      <c r="H11810" s="16"/>
      <c r="AG11810" s="80"/>
      <c r="AH11810" s="80"/>
      <c r="AI11810" s="80"/>
    </row>
    <row r="11811" spans="5:35" x14ac:dyDescent="0.25">
      <c r="E11811" s="16"/>
      <c r="F11811" s="16"/>
      <c r="H11811" s="16"/>
      <c r="AG11811" s="80"/>
      <c r="AH11811" s="80"/>
      <c r="AI11811" s="80"/>
    </row>
    <row r="11812" spans="5:35" x14ac:dyDescent="0.25">
      <c r="E11812" s="16"/>
      <c r="F11812" s="16"/>
      <c r="H11812" s="16"/>
      <c r="AG11812" s="80"/>
      <c r="AH11812" s="80"/>
      <c r="AI11812" s="80"/>
    </row>
    <row r="11813" spans="5:35" x14ac:dyDescent="0.25">
      <c r="E11813" s="16"/>
      <c r="F11813" s="16"/>
      <c r="H11813" s="16"/>
      <c r="AG11813" s="80"/>
      <c r="AH11813" s="80"/>
      <c r="AI11813" s="80"/>
    </row>
    <row r="11814" spans="5:35" x14ac:dyDescent="0.25">
      <c r="E11814" s="16"/>
      <c r="F11814" s="16"/>
      <c r="H11814" s="16"/>
      <c r="AG11814" s="80"/>
      <c r="AH11814" s="80"/>
      <c r="AI11814" s="80"/>
    </row>
    <row r="11815" spans="5:35" x14ac:dyDescent="0.25">
      <c r="E11815" s="16"/>
      <c r="F11815" s="16"/>
      <c r="H11815" s="16"/>
      <c r="AG11815" s="80"/>
      <c r="AH11815" s="80"/>
      <c r="AI11815" s="80"/>
    </row>
    <row r="11816" spans="5:35" x14ac:dyDescent="0.25">
      <c r="E11816" s="16"/>
      <c r="F11816" s="16"/>
      <c r="H11816" s="16"/>
      <c r="AG11816" s="80"/>
      <c r="AH11816" s="80"/>
      <c r="AI11816" s="80"/>
    </row>
    <row r="11817" spans="5:35" x14ac:dyDescent="0.25">
      <c r="E11817" s="16"/>
      <c r="F11817" s="16"/>
      <c r="H11817" s="16"/>
      <c r="AG11817" s="80"/>
      <c r="AH11817" s="80"/>
      <c r="AI11817" s="80"/>
    </row>
    <row r="11818" spans="5:35" x14ac:dyDescent="0.25">
      <c r="E11818" s="16"/>
      <c r="F11818" s="16"/>
      <c r="H11818" s="16"/>
      <c r="AG11818" s="80"/>
      <c r="AH11818" s="80"/>
      <c r="AI11818" s="80"/>
    </row>
    <row r="11819" spans="5:35" x14ac:dyDescent="0.25">
      <c r="E11819" s="16"/>
      <c r="F11819" s="16"/>
      <c r="H11819" s="16"/>
      <c r="AG11819" s="80"/>
      <c r="AH11819" s="80"/>
      <c r="AI11819" s="80"/>
    </row>
    <row r="11820" spans="5:35" x14ac:dyDescent="0.25">
      <c r="E11820" s="16"/>
      <c r="F11820" s="16"/>
      <c r="H11820" s="16"/>
      <c r="AG11820" s="80"/>
      <c r="AH11820" s="80"/>
      <c r="AI11820" s="80"/>
    </row>
    <row r="11821" spans="5:35" x14ac:dyDescent="0.25">
      <c r="E11821" s="16"/>
      <c r="F11821" s="16"/>
      <c r="H11821" s="16"/>
      <c r="AG11821" s="80"/>
      <c r="AH11821" s="80"/>
      <c r="AI11821" s="80"/>
    </row>
    <row r="11822" spans="5:35" x14ac:dyDescent="0.25">
      <c r="E11822" s="16"/>
      <c r="F11822" s="16"/>
      <c r="H11822" s="16"/>
      <c r="AG11822" s="80"/>
      <c r="AH11822" s="80"/>
      <c r="AI11822" s="80"/>
    </row>
    <row r="11823" spans="5:35" x14ac:dyDescent="0.25">
      <c r="E11823" s="16"/>
      <c r="F11823" s="16"/>
      <c r="H11823" s="16"/>
      <c r="AG11823" s="80"/>
      <c r="AH11823" s="80"/>
      <c r="AI11823" s="80"/>
    </row>
    <row r="11824" spans="5:35" x14ac:dyDescent="0.25">
      <c r="E11824" s="16"/>
      <c r="F11824" s="16"/>
      <c r="H11824" s="16"/>
      <c r="AG11824" s="80"/>
      <c r="AH11824" s="80"/>
      <c r="AI11824" s="80"/>
    </row>
    <row r="11825" spans="5:35" x14ac:dyDescent="0.25">
      <c r="E11825" s="16"/>
      <c r="F11825" s="16"/>
      <c r="H11825" s="16"/>
      <c r="AG11825" s="80"/>
      <c r="AH11825" s="80"/>
      <c r="AI11825" s="80"/>
    </row>
    <row r="11826" spans="5:35" x14ac:dyDescent="0.25">
      <c r="E11826" s="16"/>
      <c r="F11826" s="16"/>
      <c r="H11826" s="16"/>
      <c r="AG11826" s="80"/>
      <c r="AH11826" s="80"/>
      <c r="AI11826" s="80"/>
    </row>
    <row r="11827" spans="5:35" x14ac:dyDescent="0.25">
      <c r="E11827" s="16"/>
      <c r="F11827" s="16"/>
      <c r="H11827" s="16"/>
      <c r="AG11827" s="80"/>
      <c r="AH11827" s="80"/>
      <c r="AI11827" s="80"/>
    </row>
    <row r="11828" spans="5:35" x14ac:dyDescent="0.25">
      <c r="E11828" s="16"/>
      <c r="F11828" s="16"/>
      <c r="H11828" s="16"/>
      <c r="AG11828" s="80"/>
      <c r="AH11828" s="80"/>
      <c r="AI11828" s="80"/>
    </row>
    <row r="11829" spans="5:35" x14ac:dyDescent="0.25">
      <c r="E11829" s="16"/>
      <c r="F11829" s="16"/>
      <c r="H11829" s="16"/>
      <c r="AG11829" s="80"/>
      <c r="AH11829" s="80"/>
      <c r="AI11829" s="80"/>
    </row>
    <row r="11830" spans="5:35" x14ac:dyDescent="0.25">
      <c r="E11830" s="16"/>
      <c r="F11830" s="16"/>
      <c r="H11830" s="16"/>
      <c r="AG11830" s="80"/>
      <c r="AH11830" s="80"/>
      <c r="AI11830" s="80"/>
    </row>
    <row r="11831" spans="5:35" x14ac:dyDescent="0.25">
      <c r="E11831" s="16"/>
      <c r="F11831" s="16"/>
      <c r="H11831" s="16"/>
      <c r="AG11831" s="80"/>
      <c r="AH11831" s="80"/>
      <c r="AI11831" s="80"/>
    </row>
    <row r="11832" spans="5:35" x14ac:dyDescent="0.25">
      <c r="E11832" s="16"/>
      <c r="F11832" s="16"/>
      <c r="H11832" s="16"/>
      <c r="AG11832" s="80"/>
      <c r="AH11832" s="80"/>
      <c r="AI11832" s="80"/>
    </row>
    <row r="11833" spans="5:35" x14ac:dyDescent="0.25">
      <c r="E11833" s="16"/>
      <c r="F11833" s="16"/>
      <c r="H11833" s="16"/>
      <c r="AG11833" s="80"/>
      <c r="AH11833" s="80"/>
      <c r="AI11833" s="80"/>
    </row>
    <row r="11834" spans="5:35" x14ac:dyDescent="0.25">
      <c r="E11834" s="16"/>
      <c r="F11834" s="16"/>
      <c r="H11834" s="16"/>
      <c r="AG11834" s="80"/>
      <c r="AH11834" s="80"/>
      <c r="AI11834" s="80"/>
    </row>
    <row r="11835" spans="5:35" x14ac:dyDescent="0.25">
      <c r="E11835" s="16"/>
      <c r="F11835" s="16"/>
      <c r="H11835" s="16"/>
      <c r="AG11835" s="80"/>
      <c r="AH11835" s="80"/>
      <c r="AI11835" s="80"/>
    </row>
    <row r="11836" spans="5:35" x14ac:dyDescent="0.25">
      <c r="E11836" s="16"/>
      <c r="F11836" s="16"/>
      <c r="H11836" s="16"/>
      <c r="AG11836" s="80"/>
      <c r="AH11836" s="80"/>
      <c r="AI11836" s="80"/>
    </row>
    <row r="11837" spans="5:35" x14ac:dyDescent="0.25">
      <c r="E11837" s="16"/>
      <c r="F11837" s="16"/>
      <c r="H11837" s="16"/>
      <c r="AG11837" s="80"/>
      <c r="AH11837" s="80"/>
      <c r="AI11837" s="80"/>
    </row>
    <row r="11838" spans="5:35" x14ac:dyDescent="0.25">
      <c r="E11838" s="16"/>
      <c r="F11838" s="16"/>
      <c r="H11838" s="16"/>
      <c r="AG11838" s="80"/>
      <c r="AH11838" s="80"/>
      <c r="AI11838" s="80"/>
    </row>
    <row r="11839" spans="5:35" x14ac:dyDescent="0.25">
      <c r="E11839" s="16"/>
      <c r="F11839" s="16"/>
      <c r="H11839" s="16"/>
      <c r="AG11839" s="80"/>
      <c r="AH11839" s="80"/>
      <c r="AI11839" s="80"/>
    </row>
    <row r="11840" spans="5:35" x14ac:dyDescent="0.25">
      <c r="E11840" s="16"/>
      <c r="F11840" s="16"/>
      <c r="H11840" s="16"/>
      <c r="AG11840" s="80"/>
      <c r="AH11840" s="80"/>
      <c r="AI11840" s="80"/>
    </row>
    <row r="11841" spans="5:35" x14ac:dyDescent="0.25">
      <c r="E11841" s="16"/>
      <c r="F11841" s="16"/>
      <c r="H11841" s="16"/>
      <c r="AG11841" s="80"/>
      <c r="AH11841" s="80"/>
      <c r="AI11841" s="80"/>
    </row>
    <row r="11842" spans="5:35" x14ac:dyDescent="0.25">
      <c r="E11842" s="16"/>
      <c r="F11842" s="16"/>
      <c r="H11842" s="16"/>
      <c r="AG11842" s="80"/>
      <c r="AH11842" s="80"/>
      <c r="AI11842" s="80"/>
    </row>
    <row r="11843" spans="5:35" x14ac:dyDescent="0.25">
      <c r="E11843" s="16"/>
      <c r="F11843" s="16"/>
      <c r="H11843" s="16"/>
      <c r="AG11843" s="80"/>
      <c r="AH11843" s="80"/>
      <c r="AI11843" s="80"/>
    </row>
    <row r="11844" spans="5:35" x14ac:dyDescent="0.25">
      <c r="E11844" s="16"/>
      <c r="F11844" s="16"/>
      <c r="H11844" s="16"/>
      <c r="AG11844" s="80"/>
      <c r="AH11844" s="80"/>
      <c r="AI11844" s="80"/>
    </row>
    <row r="11845" spans="5:35" x14ac:dyDescent="0.25">
      <c r="E11845" s="16"/>
      <c r="F11845" s="16"/>
      <c r="H11845" s="16"/>
      <c r="AG11845" s="80"/>
      <c r="AH11845" s="80"/>
      <c r="AI11845" s="80"/>
    </row>
    <row r="11846" spans="5:35" x14ac:dyDescent="0.25">
      <c r="E11846" s="16"/>
      <c r="F11846" s="16"/>
      <c r="H11846" s="16"/>
      <c r="AG11846" s="80"/>
      <c r="AH11846" s="80"/>
      <c r="AI11846" s="80"/>
    </row>
    <row r="11847" spans="5:35" x14ac:dyDescent="0.25">
      <c r="E11847" s="16"/>
      <c r="F11847" s="16"/>
      <c r="H11847" s="16"/>
      <c r="AG11847" s="80"/>
      <c r="AH11847" s="80"/>
      <c r="AI11847" s="80"/>
    </row>
    <row r="11848" spans="5:35" x14ac:dyDescent="0.25">
      <c r="E11848" s="16"/>
      <c r="F11848" s="16"/>
      <c r="H11848" s="16"/>
      <c r="AG11848" s="80"/>
      <c r="AH11848" s="80"/>
      <c r="AI11848" s="80"/>
    </row>
    <row r="11849" spans="5:35" x14ac:dyDescent="0.25">
      <c r="E11849" s="16"/>
      <c r="F11849" s="16"/>
      <c r="H11849" s="16"/>
      <c r="AG11849" s="80"/>
      <c r="AH11849" s="80"/>
      <c r="AI11849" s="80"/>
    </row>
    <row r="11850" spans="5:35" x14ac:dyDescent="0.25">
      <c r="E11850" s="16"/>
      <c r="F11850" s="16"/>
      <c r="H11850" s="16"/>
      <c r="AG11850" s="80"/>
      <c r="AH11850" s="80"/>
      <c r="AI11850" s="80"/>
    </row>
    <row r="11851" spans="5:35" x14ac:dyDescent="0.25">
      <c r="E11851" s="16"/>
      <c r="F11851" s="16"/>
      <c r="H11851" s="16"/>
      <c r="AG11851" s="80"/>
      <c r="AH11851" s="80"/>
      <c r="AI11851" s="80"/>
    </row>
    <row r="11852" spans="5:35" x14ac:dyDescent="0.25">
      <c r="E11852" s="16"/>
      <c r="F11852" s="16"/>
      <c r="H11852" s="16"/>
      <c r="AG11852" s="80"/>
      <c r="AH11852" s="80"/>
      <c r="AI11852" s="80"/>
    </row>
    <row r="11853" spans="5:35" x14ac:dyDescent="0.25">
      <c r="E11853" s="16"/>
      <c r="F11853" s="16"/>
      <c r="H11853" s="16"/>
      <c r="AG11853" s="80"/>
      <c r="AH11853" s="80"/>
      <c r="AI11853" s="80"/>
    </row>
    <row r="11854" spans="5:35" x14ac:dyDescent="0.25">
      <c r="E11854" s="16"/>
      <c r="F11854" s="16"/>
      <c r="H11854" s="16"/>
      <c r="AG11854" s="80"/>
      <c r="AH11854" s="80"/>
      <c r="AI11854" s="80"/>
    </row>
    <row r="11855" spans="5:35" x14ac:dyDescent="0.25">
      <c r="E11855" s="16"/>
      <c r="F11855" s="16"/>
      <c r="H11855" s="16"/>
      <c r="AG11855" s="80"/>
      <c r="AH11855" s="80"/>
      <c r="AI11855" s="80"/>
    </row>
    <row r="11856" spans="5:35" x14ac:dyDescent="0.25">
      <c r="E11856" s="16"/>
      <c r="F11856" s="16"/>
      <c r="H11856" s="16"/>
      <c r="AG11856" s="80"/>
      <c r="AH11856" s="80"/>
      <c r="AI11856" s="80"/>
    </row>
    <row r="11857" spans="5:35" x14ac:dyDescent="0.25">
      <c r="E11857" s="16"/>
      <c r="F11857" s="16"/>
      <c r="H11857" s="16"/>
      <c r="AG11857" s="80"/>
      <c r="AH11857" s="80"/>
      <c r="AI11857" s="80"/>
    </row>
    <row r="11858" spans="5:35" x14ac:dyDescent="0.25">
      <c r="E11858" s="16"/>
      <c r="F11858" s="16"/>
      <c r="H11858" s="16"/>
      <c r="AG11858" s="80"/>
      <c r="AH11858" s="80"/>
      <c r="AI11858" s="80"/>
    </row>
    <row r="11859" spans="5:35" x14ac:dyDescent="0.25">
      <c r="E11859" s="16"/>
      <c r="F11859" s="16"/>
      <c r="H11859" s="16"/>
      <c r="AG11859" s="80"/>
      <c r="AH11859" s="80"/>
      <c r="AI11859" s="80"/>
    </row>
    <row r="11860" spans="5:35" x14ac:dyDescent="0.25">
      <c r="E11860" s="16"/>
      <c r="F11860" s="16"/>
      <c r="H11860" s="16"/>
      <c r="AG11860" s="80"/>
      <c r="AH11860" s="80"/>
      <c r="AI11860" s="80"/>
    </row>
    <row r="11861" spans="5:35" x14ac:dyDescent="0.25">
      <c r="E11861" s="16"/>
      <c r="F11861" s="16"/>
      <c r="H11861" s="16"/>
      <c r="AG11861" s="80"/>
      <c r="AH11861" s="80"/>
      <c r="AI11861" s="80"/>
    </row>
    <row r="11862" spans="5:35" x14ac:dyDescent="0.25">
      <c r="E11862" s="16"/>
      <c r="F11862" s="16"/>
      <c r="H11862" s="16"/>
      <c r="AG11862" s="80"/>
      <c r="AH11862" s="80"/>
      <c r="AI11862" s="80"/>
    </row>
    <row r="11863" spans="5:35" x14ac:dyDescent="0.25">
      <c r="E11863" s="16"/>
      <c r="F11863" s="16"/>
      <c r="H11863" s="16"/>
      <c r="AG11863" s="80"/>
      <c r="AH11863" s="80"/>
      <c r="AI11863" s="80"/>
    </row>
    <row r="11864" spans="5:35" x14ac:dyDescent="0.25">
      <c r="E11864" s="16"/>
      <c r="F11864" s="16"/>
      <c r="H11864" s="16"/>
      <c r="AG11864" s="80"/>
      <c r="AH11864" s="80"/>
      <c r="AI11864" s="80"/>
    </row>
    <row r="11865" spans="5:35" x14ac:dyDescent="0.25">
      <c r="E11865" s="16"/>
      <c r="F11865" s="16"/>
      <c r="H11865" s="16"/>
      <c r="AG11865" s="80"/>
      <c r="AH11865" s="80"/>
      <c r="AI11865" s="80"/>
    </row>
    <row r="11866" spans="5:35" x14ac:dyDescent="0.25">
      <c r="E11866" s="16"/>
      <c r="F11866" s="16"/>
      <c r="H11866" s="16"/>
      <c r="AG11866" s="80"/>
      <c r="AH11866" s="80"/>
      <c r="AI11866" s="80"/>
    </row>
    <row r="11867" spans="5:35" x14ac:dyDescent="0.25">
      <c r="E11867" s="16"/>
      <c r="F11867" s="16"/>
      <c r="H11867" s="16"/>
      <c r="AG11867" s="80"/>
      <c r="AH11867" s="80"/>
      <c r="AI11867" s="80"/>
    </row>
    <row r="11868" spans="5:35" x14ac:dyDescent="0.25">
      <c r="E11868" s="16"/>
      <c r="F11868" s="16"/>
      <c r="H11868" s="16"/>
      <c r="AG11868" s="80"/>
      <c r="AH11868" s="80"/>
      <c r="AI11868" s="80"/>
    </row>
    <row r="11869" spans="5:35" x14ac:dyDescent="0.25">
      <c r="E11869" s="16"/>
      <c r="F11869" s="16"/>
      <c r="H11869" s="16"/>
      <c r="AG11869" s="80"/>
      <c r="AH11869" s="80"/>
      <c r="AI11869" s="80"/>
    </row>
    <row r="11870" spans="5:35" x14ac:dyDescent="0.25">
      <c r="E11870" s="16"/>
      <c r="F11870" s="16"/>
      <c r="H11870" s="16"/>
      <c r="AG11870" s="80"/>
      <c r="AH11870" s="80"/>
      <c r="AI11870" s="80"/>
    </row>
    <row r="11871" spans="5:35" x14ac:dyDescent="0.25">
      <c r="E11871" s="16"/>
      <c r="F11871" s="16"/>
      <c r="H11871" s="16"/>
      <c r="AG11871" s="80"/>
      <c r="AH11871" s="80"/>
      <c r="AI11871" s="80"/>
    </row>
    <row r="11872" spans="5:35" x14ac:dyDescent="0.25">
      <c r="E11872" s="16"/>
      <c r="F11872" s="16"/>
      <c r="H11872" s="16"/>
      <c r="AG11872" s="80"/>
      <c r="AH11872" s="80"/>
      <c r="AI11872" s="80"/>
    </row>
    <row r="11873" spans="5:35" x14ac:dyDescent="0.25">
      <c r="E11873" s="16"/>
      <c r="F11873" s="16"/>
      <c r="H11873" s="16"/>
      <c r="AG11873" s="80"/>
      <c r="AH11873" s="80"/>
      <c r="AI11873" s="80"/>
    </row>
    <row r="11874" spans="5:35" x14ac:dyDescent="0.25">
      <c r="E11874" s="16"/>
      <c r="F11874" s="16"/>
      <c r="H11874" s="16"/>
      <c r="AG11874" s="80"/>
      <c r="AH11874" s="80"/>
      <c r="AI11874" s="80"/>
    </row>
    <row r="11875" spans="5:35" x14ac:dyDescent="0.25">
      <c r="E11875" s="16"/>
      <c r="F11875" s="16"/>
      <c r="H11875" s="16"/>
      <c r="AG11875" s="80"/>
      <c r="AH11875" s="80"/>
      <c r="AI11875" s="80"/>
    </row>
    <row r="11876" spans="5:35" x14ac:dyDescent="0.25">
      <c r="E11876" s="16"/>
      <c r="F11876" s="16"/>
      <c r="H11876" s="16"/>
      <c r="AG11876" s="80"/>
      <c r="AH11876" s="80"/>
      <c r="AI11876" s="80"/>
    </row>
    <row r="11877" spans="5:35" x14ac:dyDescent="0.25">
      <c r="E11877" s="16"/>
      <c r="F11877" s="16"/>
      <c r="H11877" s="16"/>
      <c r="AG11877" s="80"/>
      <c r="AH11877" s="80"/>
      <c r="AI11877" s="80"/>
    </row>
    <row r="11878" spans="5:35" x14ac:dyDescent="0.25">
      <c r="E11878" s="16"/>
      <c r="F11878" s="16"/>
      <c r="H11878" s="16"/>
      <c r="AG11878" s="80"/>
      <c r="AH11878" s="80"/>
      <c r="AI11878" s="80"/>
    </row>
    <row r="11879" spans="5:35" x14ac:dyDescent="0.25">
      <c r="E11879" s="16"/>
      <c r="F11879" s="16"/>
      <c r="H11879" s="16"/>
      <c r="AG11879" s="80"/>
      <c r="AH11879" s="80"/>
      <c r="AI11879" s="80"/>
    </row>
    <row r="11880" spans="5:35" x14ac:dyDescent="0.25">
      <c r="E11880" s="16"/>
      <c r="F11880" s="16"/>
      <c r="H11880" s="16"/>
      <c r="AG11880" s="80"/>
      <c r="AH11880" s="80"/>
      <c r="AI11880" s="80"/>
    </row>
    <row r="11881" spans="5:35" x14ac:dyDescent="0.25">
      <c r="E11881" s="16"/>
      <c r="F11881" s="16"/>
      <c r="H11881" s="16"/>
      <c r="AG11881" s="80"/>
      <c r="AH11881" s="80"/>
      <c r="AI11881" s="80"/>
    </row>
    <row r="11882" spans="5:35" x14ac:dyDescent="0.25">
      <c r="E11882" s="16"/>
      <c r="F11882" s="16"/>
      <c r="H11882" s="16"/>
      <c r="AG11882" s="80"/>
      <c r="AH11882" s="80"/>
      <c r="AI11882" s="80"/>
    </row>
    <row r="11883" spans="5:35" x14ac:dyDescent="0.25">
      <c r="E11883" s="16"/>
      <c r="F11883" s="16"/>
      <c r="H11883" s="16"/>
      <c r="AG11883" s="80"/>
      <c r="AH11883" s="80"/>
      <c r="AI11883" s="80"/>
    </row>
    <row r="11884" spans="5:35" x14ac:dyDescent="0.25">
      <c r="E11884" s="16"/>
      <c r="F11884" s="16"/>
      <c r="H11884" s="16"/>
      <c r="AG11884" s="80"/>
      <c r="AH11884" s="80"/>
      <c r="AI11884" s="80"/>
    </row>
    <row r="11885" spans="5:35" x14ac:dyDescent="0.25">
      <c r="E11885" s="16"/>
      <c r="F11885" s="16"/>
      <c r="H11885" s="16"/>
      <c r="AG11885" s="80"/>
      <c r="AH11885" s="80"/>
      <c r="AI11885" s="80"/>
    </row>
    <row r="11886" spans="5:35" x14ac:dyDescent="0.25">
      <c r="E11886" s="16"/>
      <c r="F11886" s="16"/>
      <c r="H11886" s="16"/>
      <c r="AG11886" s="80"/>
      <c r="AH11886" s="80"/>
      <c r="AI11886" s="80"/>
    </row>
    <row r="11887" spans="5:35" x14ac:dyDescent="0.25">
      <c r="E11887" s="16"/>
      <c r="F11887" s="16"/>
      <c r="H11887" s="16"/>
      <c r="AG11887" s="80"/>
      <c r="AH11887" s="80"/>
      <c r="AI11887" s="80"/>
    </row>
    <row r="11888" spans="5:35" x14ac:dyDescent="0.25">
      <c r="E11888" s="16"/>
      <c r="F11888" s="16"/>
      <c r="H11888" s="16"/>
      <c r="AG11888" s="80"/>
      <c r="AH11888" s="80"/>
      <c r="AI11888" s="80"/>
    </row>
    <row r="11889" spans="5:35" x14ac:dyDescent="0.25">
      <c r="E11889" s="16"/>
      <c r="F11889" s="16"/>
      <c r="H11889" s="16"/>
      <c r="AG11889" s="80"/>
      <c r="AH11889" s="80"/>
      <c r="AI11889" s="80"/>
    </row>
    <row r="11890" spans="5:35" x14ac:dyDescent="0.25">
      <c r="E11890" s="16"/>
      <c r="F11890" s="16"/>
      <c r="H11890" s="16"/>
      <c r="AG11890" s="80"/>
      <c r="AH11890" s="80"/>
      <c r="AI11890" s="80"/>
    </row>
    <row r="11891" spans="5:35" x14ac:dyDescent="0.25">
      <c r="E11891" s="16"/>
      <c r="F11891" s="16"/>
      <c r="H11891" s="16"/>
      <c r="AG11891" s="80"/>
      <c r="AH11891" s="80"/>
      <c r="AI11891" s="80"/>
    </row>
    <row r="11892" spans="5:35" x14ac:dyDescent="0.25">
      <c r="E11892" s="16"/>
      <c r="F11892" s="16"/>
      <c r="H11892" s="16"/>
      <c r="AG11892" s="80"/>
      <c r="AH11892" s="80"/>
      <c r="AI11892" s="80"/>
    </row>
    <row r="11893" spans="5:35" x14ac:dyDescent="0.25">
      <c r="E11893" s="16"/>
      <c r="F11893" s="16"/>
      <c r="H11893" s="16"/>
      <c r="AG11893" s="80"/>
      <c r="AH11893" s="80"/>
      <c r="AI11893" s="80"/>
    </row>
    <row r="11894" spans="5:35" x14ac:dyDescent="0.25">
      <c r="E11894" s="16"/>
      <c r="F11894" s="16"/>
      <c r="H11894" s="16"/>
      <c r="AG11894" s="80"/>
      <c r="AH11894" s="80"/>
      <c r="AI11894" s="80"/>
    </row>
    <row r="11895" spans="5:35" x14ac:dyDescent="0.25">
      <c r="E11895" s="16"/>
      <c r="F11895" s="16"/>
      <c r="H11895" s="16"/>
      <c r="AG11895" s="80"/>
      <c r="AH11895" s="80"/>
      <c r="AI11895" s="80"/>
    </row>
    <row r="11896" spans="5:35" x14ac:dyDescent="0.25">
      <c r="E11896" s="16"/>
      <c r="F11896" s="16"/>
      <c r="H11896" s="16"/>
      <c r="AG11896" s="80"/>
      <c r="AH11896" s="80"/>
      <c r="AI11896" s="80"/>
    </row>
    <row r="11897" spans="5:35" x14ac:dyDescent="0.25">
      <c r="E11897" s="16"/>
      <c r="F11897" s="16"/>
      <c r="H11897" s="16"/>
      <c r="AG11897" s="80"/>
      <c r="AH11897" s="80"/>
      <c r="AI11897" s="80"/>
    </row>
    <row r="11898" spans="5:35" x14ac:dyDescent="0.25">
      <c r="E11898" s="16"/>
      <c r="F11898" s="16"/>
      <c r="H11898" s="16"/>
      <c r="AG11898" s="80"/>
      <c r="AH11898" s="80"/>
      <c r="AI11898" s="80"/>
    </row>
    <row r="11899" spans="5:35" x14ac:dyDescent="0.25">
      <c r="E11899" s="16"/>
      <c r="F11899" s="16"/>
      <c r="H11899" s="16"/>
      <c r="AG11899" s="80"/>
      <c r="AH11899" s="80"/>
      <c r="AI11899" s="80"/>
    </row>
    <row r="11900" spans="5:35" x14ac:dyDescent="0.25">
      <c r="E11900" s="16"/>
      <c r="F11900" s="16"/>
      <c r="H11900" s="16"/>
      <c r="AG11900" s="80"/>
      <c r="AH11900" s="80"/>
      <c r="AI11900" s="80"/>
    </row>
    <row r="11901" spans="5:35" x14ac:dyDescent="0.25">
      <c r="E11901" s="16"/>
      <c r="F11901" s="16"/>
      <c r="H11901" s="16"/>
      <c r="AG11901" s="80"/>
      <c r="AH11901" s="80"/>
      <c r="AI11901" s="80"/>
    </row>
    <row r="11902" spans="5:35" x14ac:dyDescent="0.25">
      <c r="E11902" s="16"/>
      <c r="F11902" s="16"/>
      <c r="H11902" s="16"/>
      <c r="AG11902" s="80"/>
      <c r="AH11902" s="80"/>
      <c r="AI11902" s="80"/>
    </row>
    <row r="11903" spans="5:35" x14ac:dyDescent="0.25">
      <c r="E11903" s="16"/>
      <c r="F11903" s="16"/>
      <c r="H11903" s="16"/>
      <c r="AG11903" s="80"/>
      <c r="AH11903" s="80"/>
      <c r="AI11903" s="80"/>
    </row>
    <row r="11904" spans="5:35" x14ac:dyDescent="0.25">
      <c r="E11904" s="16"/>
      <c r="F11904" s="16"/>
      <c r="H11904" s="16"/>
      <c r="AG11904" s="80"/>
      <c r="AH11904" s="80"/>
      <c r="AI11904" s="80"/>
    </row>
    <row r="11905" spans="5:35" x14ac:dyDescent="0.25">
      <c r="E11905" s="16"/>
      <c r="F11905" s="16"/>
      <c r="H11905" s="16"/>
      <c r="AG11905" s="80"/>
      <c r="AH11905" s="80"/>
      <c r="AI11905" s="80"/>
    </row>
    <row r="11906" spans="5:35" x14ac:dyDescent="0.25">
      <c r="E11906" s="16"/>
      <c r="F11906" s="16"/>
      <c r="H11906" s="16"/>
      <c r="AG11906" s="80"/>
      <c r="AH11906" s="80"/>
      <c r="AI11906" s="80"/>
    </row>
    <row r="11907" spans="5:35" x14ac:dyDescent="0.25">
      <c r="E11907" s="16"/>
      <c r="F11907" s="16"/>
      <c r="H11907" s="16"/>
      <c r="AG11907" s="80"/>
      <c r="AH11907" s="80"/>
      <c r="AI11907" s="80"/>
    </row>
    <row r="11908" spans="5:35" x14ac:dyDescent="0.25">
      <c r="E11908" s="16"/>
      <c r="F11908" s="16"/>
      <c r="H11908" s="16"/>
      <c r="AG11908" s="80"/>
      <c r="AH11908" s="80"/>
      <c r="AI11908" s="80"/>
    </row>
    <row r="11909" spans="5:35" x14ac:dyDescent="0.25">
      <c r="E11909" s="16"/>
      <c r="F11909" s="16"/>
      <c r="H11909" s="16"/>
      <c r="AG11909" s="80"/>
      <c r="AH11909" s="80"/>
      <c r="AI11909" s="80"/>
    </row>
    <row r="11910" spans="5:35" x14ac:dyDescent="0.25">
      <c r="E11910" s="16"/>
      <c r="F11910" s="16"/>
      <c r="H11910" s="16"/>
      <c r="AG11910" s="80"/>
      <c r="AH11910" s="80"/>
      <c r="AI11910" s="80"/>
    </row>
    <row r="11911" spans="5:35" x14ac:dyDescent="0.25">
      <c r="E11911" s="16"/>
      <c r="F11911" s="16"/>
      <c r="H11911" s="16"/>
      <c r="AG11911" s="80"/>
      <c r="AH11911" s="80"/>
      <c r="AI11911" s="80"/>
    </row>
    <row r="11912" spans="5:35" x14ac:dyDescent="0.25">
      <c r="E11912" s="16"/>
      <c r="F11912" s="16"/>
      <c r="H11912" s="16"/>
      <c r="AG11912" s="80"/>
      <c r="AH11912" s="80"/>
      <c r="AI11912" s="80"/>
    </row>
    <row r="11913" spans="5:35" x14ac:dyDescent="0.25">
      <c r="E11913" s="16"/>
      <c r="F11913" s="16"/>
      <c r="H11913" s="16"/>
      <c r="AG11913" s="80"/>
      <c r="AH11913" s="80"/>
      <c r="AI11913" s="80"/>
    </row>
    <row r="11914" spans="5:35" x14ac:dyDescent="0.25">
      <c r="E11914" s="16"/>
      <c r="F11914" s="16"/>
      <c r="H11914" s="16"/>
      <c r="AG11914" s="80"/>
      <c r="AH11914" s="80"/>
      <c r="AI11914" s="80"/>
    </row>
    <row r="11915" spans="5:35" x14ac:dyDescent="0.25">
      <c r="E11915" s="16"/>
      <c r="F11915" s="16"/>
      <c r="H11915" s="16"/>
      <c r="AG11915" s="80"/>
      <c r="AH11915" s="80"/>
      <c r="AI11915" s="80"/>
    </row>
    <row r="11916" spans="5:35" x14ac:dyDescent="0.25">
      <c r="E11916" s="16"/>
      <c r="F11916" s="16"/>
      <c r="H11916" s="16"/>
      <c r="AG11916" s="80"/>
      <c r="AH11916" s="80"/>
      <c r="AI11916" s="80"/>
    </row>
    <row r="11917" spans="5:35" x14ac:dyDescent="0.25">
      <c r="E11917" s="16"/>
      <c r="F11917" s="16"/>
      <c r="H11917" s="16"/>
      <c r="AG11917" s="80"/>
      <c r="AH11917" s="80"/>
      <c r="AI11917" s="80"/>
    </row>
    <row r="11918" spans="5:35" x14ac:dyDescent="0.25">
      <c r="E11918" s="16"/>
      <c r="F11918" s="16"/>
      <c r="H11918" s="16"/>
      <c r="AG11918" s="80"/>
      <c r="AH11918" s="80"/>
      <c r="AI11918" s="80"/>
    </row>
    <row r="11919" spans="5:35" x14ac:dyDescent="0.25">
      <c r="E11919" s="16"/>
      <c r="F11919" s="16"/>
      <c r="H11919" s="16"/>
      <c r="AG11919" s="80"/>
      <c r="AH11919" s="80"/>
      <c r="AI11919" s="80"/>
    </row>
    <row r="11920" spans="5:35" x14ac:dyDescent="0.25">
      <c r="E11920" s="16"/>
      <c r="F11920" s="16"/>
      <c r="H11920" s="16"/>
      <c r="AG11920" s="80"/>
      <c r="AH11920" s="80"/>
      <c r="AI11920" s="80"/>
    </row>
    <row r="11921" spans="5:35" x14ac:dyDescent="0.25">
      <c r="E11921" s="16"/>
      <c r="F11921" s="16"/>
      <c r="H11921" s="16"/>
      <c r="AG11921" s="80"/>
      <c r="AH11921" s="80"/>
      <c r="AI11921" s="80"/>
    </row>
    <row r="11922" spans="5:35" x14ac:dyDescent="0.25">
      <c r="E11922" s="16"/>
      <c r="F11922" s="16"/>
      <c r="H11922" s="16"/>
      <c r="AG11922" s="80"/>
      <c r="AH11922" s="80"/>
      <c r="AI11922" s="80"/>
    </row>
    <row r="11923" spans="5:35" x14ac:dyDescent="0.25">
      <c r="E11923" s="16"/>
      <c r="F11923" s="16"/>
      <c r="H11923" s="16"/>
      <c r="AG11923" s="80"/>
      <c r="AH11923" s="80"/>
      <c r="AI11923" s="80"/>
    </row>
    <row r="11924" spans="5:35" x14ac:dyDescent="0.25">
      <c r="E11924" s="16"/>
      <c r="F11924" s="16"/>
      <c r="H11924" s="16"/>
      <c r="AG11924" s="80"/>
      <c r="AH11924" s="80"/>
      <c r="AI11924" s="80"/>
    </row>
    <row r="11925" spans="5:35" x14ac:dyDescent="0.25">
      <c r="E11925" s="16"/>
      <c r="F11925" s="16"/>
      <c r="H11925" s="16"/>
      <c r="AG11925" s="80"/>
      <c r="AH11925" s="80"/>
      <c r="AI11925" s="80"/>
    </row>
    <row r="11926" spans="5:35" x14ac:dyDescent="0.25">
      <c r="E11926" s="16"/>
      <c r="F11926" s="16"/>
      <c r="H11926" s="16"/>
      <c r="AG11926" s="80"/>
      <c r="AH11926" s="80"/>
      <c r="AI11926" s="80"/>
    </row>
    <row r="11927" spans="5:35" x14ac:dyDescent="0.25">
      <c r="E11927" s="16"/>
      <c r="F11927" s="16"/>
      <c r="H11927" s="16"/>
      <c r="AG11927" s="80"/>
      <c r="AH11927" s="80"/>
      <c r="AI11927" s="80"/>
    </row>
    <row r="11928" spans="5:35" x14ac:dyDescent="0.25">
      <c r="E11928" s="16"/>
      <c r="F11928" s="16"/>
      <c r="H11928" s="16"/>
      <c r="AG11928" s="80"/>
      <c r="AH11928" s="80"/>
      <c r="AI11928" s="80"/>
    </row>
    <row r="11929" spans="5:35" x14ac:dyDescent="0.25">
      <c r="E11929" s="16"/>
      <c r="F11929" s="16"/>
      <c r="H11929" s="16"/>
      <c r="AG11929" s="80"/>
      <c r="AH11929" s="80"/>
      <c r="AI11929" s="80"/>
    </row>
    <row r="11930" spans="5:35" x14ac:dyDescent="0.25">
      <c r="E11930" s="16"/>
      <c r="F11930" s="16"/>
      <c r="H11930" s="16"/>
      <c r="AG11930" s="80"/>
      <c r="AH11930" s="80"/>
      <c r="AI11930" s="80"/>
    </row>
    <row r="11931" spans="5:35" x14ac:dyDescent="0.25">
      <c r="E11931" s="16"/>
      <c r="F11931" s="16"/>
      <c r="H11931" s="16"/>
      <c r="AG11931" s="80"/>
      <c r="AH11931" s="80"/>
      <c r="AI11931" s="80"/>
    </row>
    <row r="11932" spans="5:35" x14ac:dyDescent="0.25">
      <c r="E11932" s="16"/>
      <c r="F11932" s="16"/>
      <c r="H11932" s="16"/>
      <c r="AG11932" s="80"/>
      <c r="AH11932" s="80"/>
      <c r="AI11932" s="80"/>
    </row>
    <row r="11933" spans="5:35" x14ac:dyDescent="0.25">
      <c r="E11933" s="16"/>
      <c r="F11933" s="16"/>
      <c r="H11933" s="16"/>
      <c r="AG11933" s="80"/>
      <c r="AH11933" s="80"/>
      <c r="AI11933" s="80"/>
    </row>
    <row r="11934" spans="5:35" x14ac:dyDescent="0.25">
      <c r="E11934" s="16"/>
      <c r="F11934" s="16"/>
      <c r="H11934" s="16"/>
      <c r="AG11934" s="80"/>
      <c r="AH11934" s="80"/>
      <c r="AI11934" s="80"/>
    </row>
    <row r="11935" spans="5:35" x14ac:dyDescent="0.25">
      <c r="E11935" s="16"/>
      <c r="F11935" s="16"/>
      <c r="H11935" s="16"/>
      <c r="AG11935" s="80"/>
      <c r="AH11935" s="80"/>
      <c r="AI11935" s="80"/>
    </row>
    <row r="11936" spans="5:35" x14ac:dyDescent="0.25">
      <c r="E11936" s="16"/>
      <c r="F11936" s="16"/>
      <c r="H11936" s="16"/>
      <c r="AG11936" s="80"/>
      <c r="AH11936" s="80"/>
      <c r="AI11936" s="80"/>
    </row>
    <row r="11937" spans="5:35" x14ac:dyDescent="0.25">
      <c r="E11937" s="16"/>
      <c r="F11937" s="16"/>
      <c r="H11937" s="16"/>
      <c r="AG11937" s="80"/>
      <c r="AH11937" s="80"/>
      <c r="AI11937" s="80"/>
    </row>
    <row r="11938" spans="5:35" x14ac:dyDescent="0.25">
      <c r="E11938" s="16"/>
      <c r="F11938" s="16"/>
      <c r="H11938" s="16"/>
      <c r="AG11938" s="80"/>
      <c r="AH11938" s="80"/>
      <c r="AI11938" s="80"/>
    </row>
    <row r="11939" spans="5:35" x14ac:dyDescent="0.25">
      <c r="E11939" s="16"/>
      <c r="F11939" s="16"/>
      <c r="H11939" s="16"/>
      <c r="AG11939" s="80"/>
      <c r="AH11939" s="80"/>
      <c r="AI11939" s="80"/>
    </row>
    <row r="11940" spans="5:35" x14ac:dyDescent="0.25">
      <c r="E11940" s="16"/>
      <c r="F11940" s="16"/>
      <c r="H11940" s="16"/>
      <c r="AG11940" s="80"/>
      <c r="AH11940" s="80"/>
      <c r="AI11940" s="80"/>
    </row>
    <row r="11941" spans="5:35" x14ac:dyDescent="0.25">
      <c r="E11941" s="16"/>
      <c r="F11941" s="16"/>
      <c r="H11941" s="16"/>
      <c r="AG11941" s="80"/>
      <c r="AH11941" s="80"/>
      <c r="AI11941" s="80"/>
    </row>
    <row r="11942" spans="5:35" x14ac:dyDescent="0.25">
      <c r="E11942" s="16"/>
      <c r="F11942" s="16"/>
      <c r="H11942" s="16"/>
      <c r="AG11942" s="80"/>
      <c r="AH11942" s="80"/>
      <c r="AI11942" s="80"/>
    </row>
    <row r="11943" spans="5:35" x14ac:dyDescent="0.25">
      <c r="E11943" s="16"/>
      <c r="F11943" s="16"/>
      <c r="H11943" s="16"/>
      <c r="AG11943" s="80"/>
      <c r="AH11943" s="80"/>
      <c r="AI11943" s="80"/>
    </row>
    <row r="11944" spans="5:35" x14ac:dyDescent="0.25">
      <c r="E11944" s="16"/>
      <c r="F11944" s="16"/>
      <c r="H11944" s="16"/>
      <c r="AG11944" s="80"/>
      <c r="AH11944" s="80"/>
      <c r="AI11944" s="80"/>
    </row>
    <row r="11945" spans="5:35" x14ac:dyDescent="0.25">
      <c r="E11945" s="16"/>
      <c r="F11945" s="16"/>
      <c r="H11945" s="16"/>
      <c r="AG11945" s="80"/>
      <c r="AH11945" s="80"/>
      <c r="AI11945" s="80"/>
    </row>
    <row r="11946" spans="5:35" x14ac:dyDescent="0.25">
      <c r="E11946" s="16"/>
      <c r="F11946" s="16"/>
      <c r="H11946" s="16"/>
      <c r="AG11946" s="80"/>
      <c r="AH11946" s="80"/>
      <c r="AI11946" s="80"/>
    </row>
    <row r="11947" spans="5:35" x14ac:dyDescent="0.25">
      <c r="E11947" s="16"/>
      <c r="F11947" s="16"/>
      <c r="H11947" s="16"/>
      <c r="AG11947" s="80"/>
      <c r="AH11947" s="80"/>
      <c r="AI11947" s="80"/>
    </row>
    <row r="11948" spans="5:35" x14ac:dyDescent="0.25">
      <c r="E11948" s="16"/>
      <c r="F11948" s="16"/>
      <c r="H11948" s="16"/>
      <c r="AG11948" s="80"/>
      <c r="AH11948" s="80"/>
      <c r="AI11948" s="80"/>
    </row>
    <row r="11949" spans="5:35" x14ac:dyDescent="0.25">
      <c r="E11949" s="16"/>
      <c r="F11949" s="16"/>
      <c r="H11949" s="16"/>
      <c r="AG11949" s="80"/>
      <c r="AH11949" s="80"/>
      <c r="AI11949" s="80"/>
    </row>
    <row r="11950" spans="5:35" x14ac:dyDescent="0.25">
      <c r="E11950" s="16"/>
      <c r="F11950" s="16"/>
      <c r="H11950" s="16"/>
      <c r="AG11950" s="80"/>
      <c r="AH11950" s="80"/>
      <c r="AI11950" s="80"/>
    </row>
    <row r="11951" spans="5:35" x14ac:dyDescent="0.25">
      <c r="E11951" s="16"/>
      <c r="F11951" s="16"/>
      <c r="H11951" s="16"/>
      <c r="AG11951" s="80"/>
      <c r="AH11951" s="80"/>
      <c r="AI11951" s="80"/>
    </row>
    <row r="11952" spans="5:35" x14ac:dyDescent="0.25">
      <c r="E11952" s="16"/>
      <c r="F11952" s="16"/>
      <c r="H11952" s="16"/>
      <c r="AG11952" s="80"/>
      <c r="AH11952" s="80"/>
      <c r="AI11952" s="80"/>
    </row>
    <row r="11953" spans="5:35" x14ac:dyDescent="0.25">
      <c r="E11953" s="16"/>
      <c r="F11953" s="16"/>
      <c r="H11953" s="16"/>
      <c r="AG11953" s="80"/>
      <c r="AH11953" s="80"/>
      <c r="AI11953" s="80"/>
    </row>
    <row r="11954" spans="5:35" x14ac:dyDescent="0.25">
      <c r="E11954" s="16"/>
      <c r="F11954" s="16"/>
      <c r="H11954" s="16"/>
      <c r="AG11954" s="80"/>
      <c r="AH11954" s="80"/>
      <c r="AI11954" s="80"/>
    </row>
    <row r="11955" spans="5:35" x14ac:dyDescent="0.25">
      <c r="E11955" s="16"/>
      <c r="F11955" s="16"/>
      <c r="H11955" s="16"/>
      <c r="AG11955" s="80"/>
      <c r="AH11955" s="80"/>
      <c r="AI11955" s="80"/>
    </row>
    <row r="11956" spans="5:35" x14ac:dyDescent="0.25">
      <c r="E11956" s="16"/>
      <c r="F11956" s="16"/>
      <c r="H11956" s="16"/>
      <c r="AG11956" s="80"/>
      <c r="AH11956" s="80"/>
      <c r="AI11956" s="80"/>
    </row>
    <row r="11957" spans="5:35" x14ac:dyDescent="0.25">
      <c r="E11957" s="16"/>
      <c r="F11957" s="16"/>
      <c r="H11957" s="16"/>
      <c r="AG11957" s="80"/>
      <c r="AH11957" s="80"/>
      <c r="AI11957" s="80"/>
    </row>
    <row r="11958" spans="5:35" x14ac:dyDescent="0.25">
      <c r="E11958" s="16"/>
      <c r="F11958" s="16"/>
      <c r="H11958" s="16"/>
      <c r="AG11958" s="80"/>
      <c r="AH11958" s="80"/>
      <c r="AI11958" s="80"/>
    </row>
    <row r="11959" spans="5:35" x14ac:dyDescent="0.25">
      <c r="E11959" s="16"/>
      <c r="F11959" s="16"/>
      <c r="H11959" s="16"/>
      <c r="AG11959" s="80"/>
      <c r="AH11959" s="80"/>
      <c r="AI11959" s="80"/>
    </row>
    <row r="11960" spans="5:35" x14ac:dyDescent="0.25">
      <c r="E11960" s="16"/>
      <c r="F11960" s="16"/>
      <c r="H11960" s="16"/>
      <c r="AG11960" s="80"/>
      <c r="AH11960" s="80"/>
      <c r="AI11960" s="80"/>
    </row>
    <row r="11961" spans="5:35" x14ac:dyDescent="0.25">
      <c r="E11961" s="16"/>
      <c r="F11961" s="16"/>
      <c r="H11961" s="16"/>
      <c r="AG11961" s="80"/>
      <c r="AH11961" s="80"/>
      <c r="AI11961" s="80"/>
    </row>
    <row r="11962" spans="5:35" x14ac:dyDescent="0.25">
      <c r="E11962" s="16"/>
      <c r="F11962" s="16"/>
      <c r="H11962" s="16"/>
      <c r="AG11962" s="80"/>
      <c r="AH11962" s="80"/>
      <c r="AI11962" s="80"/>
    </row>
    <row r="11963" spans="5:35" x14ac:dyDescent="0.25">
      <c r="E11963" s="16"/>
      <c r="F11963" s="16"/>
      <c r="H11963" s="16"/>
      <c r="AG11963" s="80"/>
      <c r="AH11963" s="80"/>
      <c r="AI11963" s="80"/>
    </row>
    <row r="11964" spans="5:35" x14ac:dyDescent="0.25">
      <c r="E11964" s="16"/>
      <c r="F11964" s="16"/>
      <c r="H11964" s="16"/>
      <c r="AG11964" s="80"/>
      <c r="AH11964" s="80"/>
      <c r="AI11964" s="80"/>
    </row>
    <row r="11965" spans="5:35" x14ac:dyDescent="0.25">
      <c r="E11965" s="16"/>
      <c r="F11965" s="16"/>
      <c r="H11965" s="16"/>
      <c r="AG11965" s="80"/>
      <c r="AH11965" s="80"/>
      <c r="AI11965" s="80"/>
    </row>
    <row r="11966" spans="5:35" x14ac:dyDescent="0.25">
      <c r="E11966" s="16"/>
      <c r="F11966" s="16"/>
      <c r="H11966" s="16"/>
      <c r="AG11966" s="80"/>
      <c r="AH11966" s="80"/>
      <c r="AI11966" s="80"/>
    </row>
    <row r="11967" spans="5:35" x14ac:dyDescent="0.25">
      <c r="E11967" s="16"/>
      <c r="F11967" s="16"/>
      <c r="H11967" s="16"/>
      <c r="AG11967" s="80"/>
      <c r="AH11967" s="80"/>
      <c r="AI11967" s="80"/>
    </row>
    <row r="11968" spans="5:35" x14ac:dyDescent="0.25">
      <c r="E11968" s="16"/>
      <c r="F11968" s="16"/>
      <c r="H11968" s="16"/>
      <c r="AG11968" s="80"/>
      <c r="AH11968" s="80"/>
      <c r="AI11968" s="80"/>
    </row>
    <row r="11969" spans="5:35" x14ac:dyDescent="0.25">
      <c r="E11969" s="16"/>
      <c r="F11969" s="16"/>
      <c r="H11969" s="16"/>
      <c r="AG11969" s="80"/>
      <c r="AH11969" s="80"/>
      <c r="AI11969" s="80"/>
    </row>
    <row r="11970" spans="5:35" x14ac:dyDescent="0.25">
      <c r="E11970" s="16"/>
      <c r="F11970" s="16"/>
      <c r="H11970" s="16"/>
      <c r="AG11970" s="80"/>
      <c r="AH11970" s="80"/>
      <c r="AI11970" s="80"/>
    </row>
    <row r="11971" spans="5:35" x14ac:dyDescent="0.25">
      <c r="E11971" s="16"/>
      <c r="F11971" s="16"/>
      <c r="H11971" s="16"/>
      <c r="AG11971" s="80"/>
      <c r="AH11971" s="80"/>
      <c r="AI11971" s="80"/>
    </row>
    <row r="11972" spans="5:35" x14ac:dyDescent="0.25">
      <c r="E11972" s="16"/>
      <c r="F11972" s="16"/>
      <c r="H11972" s="16"/>
      <c r="AG11972" s="80"/>
      <c r="AH11972" s="80"/>
      <c r="AI11972" s="80"/>
    </row>
    <row r="11973" spans="5:35" x14ac:dyDescent="0.25">
      <c r="E11973" s="16"/>
      <c r="F11973" s="16"/>
      <c r="H11973" s="16"/>
      <c r="AG11973" s="80"/>
      <c r="AH11973" s="80"/>
      <c r="AI11973" s="80"/>
    </row>
    <row r="11974" spans="5:35" x14ac:dyDescent="0.25">
      <c r="E11974" s="16"/>
      <c r="F11974" s="16"/>
      <c r="H11974" s="16"/>
      <c r="AG11974" s="80"/>
      <c r="AH11974" s="80"/>
      <c r="AI11974" s="80"/>
    </row>
    <row r="11975" spans="5:35" x14ac:dyDescent="0.25">
      <c r="E11975" s="16"/>
      <c r="F11975" s="16"/>
      <c r="H11975" s="16"/>
      <c r="AG11975" s="80"/>
      <c r="AH11975" s="80"/>
      <c r="AI11975" s="80"/>
    </row>
    <row r="11976" spans="5:35" x14ac:dyDescent="0.25">
      <c r="E11976" s="16"/>
      <c r="F11976" s="16"/>
      <c r="H11976" s="16"/>
      <c r="AG11976" s="80"/>
      <c r="AH11976" s="80"/>
      <c r="AI11976" s="80"/>
    </row>
    <row r="11977" spans="5:35" x14ac:dyDescent="0.25">
      <c r="E11977" s="16"/>
      <c r="F11977" s="16"/>
      <c r="H11977" s="16"/>
      <c r="AG11977" s="80"/>
      <c r="AH11977" s="80"/>
      <c r="AI11977" s="80"/>
    </row>
    <row r="11978" spans="5:35" x14ac:dyDescent="0.25">
      <c r="E11978" s="16"/>
      <c r="F11978" s="16"/>
      <c r="H11978" s="16"/>
      <c r="AG11978" s="80"/>
      <c r="AH11978" s="80"/>
      <c r="AI11978" s="80"/>
    </row>
    <row r="11979" spans="5:35" x14ac:dyDescent="0.25">
      <c r="E11979" s="16"/>
      <c r="F11979" s="16"/>
      <c r="H11979" s="16"/>
      <c r="AG11979" s="80"/>
      <c r="AH11979" s="80"/>
      <c r="AI11979" s="80"/>
    </row>
    <row r="11980" spans="5:35" x14ac:dyDescent="0.25">
      <c r="E11980" s="16"/>
      <c r="F11980" s="16"/>
      <c r="H11980" s="16"/>
      <c r="AG11980" s="80"/>
      <c r="AH11980" s="80"/>
      <c r="AI11980" s="80"/>
    </row>
    <row r="11981" spans="5:35" x14ac:dyDescent="0.25">
      <c r="E11981" s="16"/>
      <c r="F11981" s="16"/>
      <c r="H11981" s="16"/>
      <c r="AG11981" s="80"/>
      <c r="AH11981" s="80"/>
      <c r="AI11981" s="80"/>
    </row>
    <row r="11982" spans="5:35" x14ac:dyDescent="0.25">
      <c r="E11982" s="16"/>
      <c r="F11982" s="16"/>
      <c r="H11982" s="16"/>
      <c r="AG11982" s="80"/>
      <c r="AH11982" s="80"/>
      <c r="AI11982" s="80"/>
    </row>
    <row r="11983" spans="5:35" x14ac:dyDescent="0.25">
      <c r="E11983" s="16"/>
      <c r="F11983" s="16"/>
      <c r="H11983" s="16"/>
      <c r="AG11983" s="80"/>
      <c r="AH11983" s="80"/>
      <c r="AI11983" s="80"/>
    </row>
    <row r="11984" spans="5:35" x14ac:dyDescent="0.25">
      <c r="E11984" s="16"/>
      <c r="F11984" s="16"/>
      <c r="H11984" s="16"/>
      <c r="AG11984" s="80"/>
      <c r="AH11984" s="80"/>
      <c r="AI11984" s="80"/>
    </row>
    <row r="11985" spans="5:35" x14ac:dyDescent="0.25">
      <c r="E11985" s="16"/>
      <c r="F11985" s="16"/>
      <c r="H11985" s="16"/>
      <c r="AG11985" s="80"/>
      <c r="AH11985" s="80"/>
      <c r="AI11985" s="80"/>
    </row>
    <row r="11986" spans="5:35" x14ac:dyDescent="0.25">
      <c r="E11986" s="16"/>
      <c r="F11986" s="16"/>
      <c r="H11986" s="16"/>
      <c r="AG11986" s="80"/>
      <c r="AH11986" s="80"/>
      <c r="AI11986" s="80"/>
    </row>
    <row r="11987" spans="5:35" x14ac:dyDescent="0.25">
      <c r="E11987" s="16"/>
      <c r="F11987" s="16"/>
      <c r="H11987" s="16"/>
      <c r="AG11987" s="80"/>
      <c r="AH11987" s="80"/>
      <c r="AI11987" s="80"/>
    </row>
    <row r="11988" spans="5:35" x14ac:dyDescent="0.25">
      <c r="E11988" s="16"/>
      <c r="F11988" s="16"/>
      <c r="H11988" s="16"/>
      <c r="AG11988" s="80"/>
      <c r="AH11988" s="80"/>
      <c r="AI11988" s="80"/>
    </row>
    <row r="11989" spans="5:35" x14ac:dyDescent="0.25">
      <c r="E11989" s="16"/>
      <c r="F11989" s="16"/>
      <c r="H11989" s="16"/>
      <c r="AG11989" s="80"/>
      <c r="AH11989" s="80"/>
      <c r="AI11989" s="80"/>
    </row>
    <row r="11990" spans="5:35" x14ac:dyDescent="0.25">
      <c r="E11990" s="16"/>
      <c r="F11990" s="16"/>
      <c r="H11990" s="16"/>
      <c r="AG11990" s="80"/>
      <c r="AH11990" s="80"/>
      <c r="AI11990" s="80"/>
    </row>
    <row r="11991" spans="5:35" x14ac:dyDescent="0.25">
      <c r="E11991" s="16"/>
      <c r="F11991" s="16"/>
      <c r="H11991" s="16"/>
      <c r="AG11991" s="80"/>
      <c r="AH11991" s="80"/>
      <c r="AI11991" s="80"/>
    </row>
    <row r="11992" spans="5:35" x14ac:dyDescent="0.25">
      <c r="E11992" s="16"/>
      <c r="F11992" s="16"/>
      <c r="H11992" s="16"/>
      <c r="AG11992" s="80"/>
      <c r="AH11992" s="80"/>
      <c r="AI11992" s="80"/>
    </row>
    <row r="11993" spans="5:35" x14ac:dyDescent="0.25">
      <c r="E11993" s="16"/>
      <c r="F11993" s="16"/>
      <c r="H11993" s="16"/>
      <c r="AG11993" s="80"/>
      <c r="AH11993" s="80"/>
      <c r="AI11993" s="80"/>
    </row>
    <row r="11994" spans="5:35" x14ac:dyDescent="0.25">
      <c r="E11994" s="16"/>
      <c r="F11994" s="16"/>
      <c r="H11994" s="16"/>
      <c r="AG11994" s="80"/>
      <c r="AH11994" s="80"/>
      <c r="AI11994" s="80"/>
    </row>
    <row r="11995" spans="5:35" x14ac:dyDescent="0.25">
      <c r="E11995" s="16"/>
      <c r="F11995" s="16"/>
      <c r="H11995" s="16"/>
      <c r="AG11995" s="80"/>
      <c r="AH11995" s="80"/>
      <c r="AI11995" s="80"/>
    </row>
    <row r="11996" spans="5:35" x14ac:dyDescent="0.25">
      <c r="E11996" s="16"/>
      <c r="F11996" s="16"/>
      <c r="H11996" s="16"/>
      <c r="AG11996" s="80"/>
      <c r="AH11996" s="80"/>
      <c r="AI11996" s="80"/>
    </row>
    <row r="11997" spans="5:35" x14ac:dyDescent="0.25">
      <c r="E11997" s="16"/>
      <c r="F11997" s="16"/>
      <c r="H11997" s="16"/>
      <c r="AG11997" s="80"/>
      <c r="AH11997" s="80"/>
      <c r="AI11997" s="80"/>
    </row>
    <row r="11998" spans="5:35" x14ac:dyDescent="0.25">
      <c r="E11998" s="16"/>
      <c r="F11998" s="16"/>
      <c r="H11998" s="16"/>
      <c r="AG11998" s="80"/>
      <c r="AH11998" s="80"/>
      <c r="AI11998" s="80"/>
    </row>
    <row r="11999" spans="5:35" x14ac:dyDescent="0.25">
      <c r="E11999" s="16"/>
      <c r="F11999" s="16"/>
      <c r="H11999" s="16"/>
      <c r="AG11999" s="80"/>
      <c r="AH11999" s="80"/>
      <c r="AI11999" s="80"/>
    </row>
    <row r="12000" spans="5:35" x14ac:dyDescent="0.25">
      <c r="E12000" s="16"/>
      <c r="F12000" s="16"/>
      <c r="H12000" s="16"/>
      <c r="AG12000" s="80"/>
      <c r="AH12000" s="80"/>
      <c r="AI12000" s="80"/>
    </row>
    <row r="12001" spans="5:35" x14ac:dyDescent="0.25">
      <c r="E12001" s="16"/>
      <c r="F12001" s="16"/>
      <c r="H12001" s="16"/>
      <c r="AG12001" s="80"/>
      <c r="AH12001" s="80"/>
      <c r="AI12001" s="80"/>
    </row>
    <row r="12002" spans="5:35" x14ac:dyDescent="0.25">
      <c r="E12002" s="16"/>
      <c r="F12002" s="16"/>
      <c r="H12002" s="16"/>
      <c r="AG12002" s="80"/>
      <c r="AH12002" s="80"/>
      <c r="AI12002" s="80"/>
    </row>
    <row r="12003" spans="5:35" x14ac:dyDescent="0.25">
      <c r="E12003" s="16"/>
      <c r="F12003" s="16"/>
      <c r="H12003" s="16"/>
      <c r="AG12003" s="80"/>
      <c r="AH12003" s="80"/>
      <c r="AI12003" s="80"/>
    </row>
    <row r="12004" spans="5:35" x14ac:dyDescent="0.25">
      <c r="E12004" s="16"/>
      <c r="F12004" s="16"/>
      <c r="H12004" s="16"/>
      <c r="AG12004" s="80"/>
      <c r="AH12004" s="80"/>
      <c r="AI12004" s="80"/>
    </row>
    <row r="12005" spans="5:35" x14ac:dyDescent="0.25">
      <c r="E12005" s="16"/>
      <c r="F12005" s="16"/>
      <c r="H12005" s="16"/>
      <c r="AG12005" s="80"/>
      <c r="AH12005" s="80"/>
      <c r="AI12005" s="80"/>
    </row>
    <row r="12006" spans="5:35" x14ac:dyDescent="0.25">
      <c r="E12006" s="16"/>
      <c r="F12006" s="16"/>
      <c r="H12006" s="16"/>
      <c r="AG12006" s="80"/>
      <c r="AH12006" s="80"/>
      <c r="AI12006" s="80"/>
    </row>
    <row r="12007" spans="5:35" x14ac:dyDescent="0.25">
      <c r="E12007" s="16"/>
      <c r="F12007" s="16"/>
      <c r="H12007" s="16"/>
      <c r="AG12007" s="80"/>
      <c r="AH12007" s="80"/>
      <c r="AI12007" s="80"/>
    </row>
    <row r="12008" spans="5:35" x14ac:dyDescent="0.25">
      <c r="E12008" s="16"/>
      <c r="F12008" s="16"/>
      <c r="H12008" s="16"/>
      <c r="AG12008" s="80"/>
      <c r="AH12008" s="80"/>
      <c r="AI12008" s="80"/>
    </row>
    <row r="12009" spans="5:35" x14ac:dyDescent="0.25">
      <c r="E12009" s="16"/>
      <c r="F12009" s="16"/>
      <c r="H12009" s="16"/>
      <c r="AG12009" s="80"/>
      <c r="AH12009" s="80"/>
      <c r="AI12009" s="80"/>
    </row>
    <row r="12010" spans="5:35" x14ac:dyDescent="0.25">
      <c r="E12010" s="16"/>
      <c r="F12010" s="16"/>
      <c r="H12010" s="16"/>
      <c r="AG12010" s="80"/>
      <c r="AH12010" s="80"/>
      <c r="AI12010" s="80"/>
    </row>
    <row r="12011" spans="5:35" x14ac:dyDescent="0.25">
      <c r="E12011" s="16"/>
      <c r="F12011" s="16"/>
      <c r="H12011" s="16"/>
      <c r="AG12011" s="80"/>
      <c r="AH12011" s="80"/>
      <c r="AI12011" s="80"/>
    </row>
    <row r="12012" spans="5:35" x14ac:dyDescent="0.25">
      <c r="E12012" s="16"/>
      <c r="F12012" s="16"/>
      <c r="H12012" s="16"/>
      <c r="AG12012" s="80"/>
      <c r="AH12012" s="80"/>
      <c r="AI12012" s="80"/>
    </row>
    <row r="12013" spans="5:35" x14ac:dyDescent="0.25">
      <c r="E12013" s="16"/>
      <c r="F12013" s="16"/>
      <c r="H12013" s="16"/>
      <c r="AG12013" s="80"/>
      <c r="AH12013" s="80"/>
      <c r="AI12013" s="80"/>
    </row>
    <row r="12014" spans="5:35" x14ac:dyDescent="0.25">
      <c r="E12014" s="16"/>
      <c r="F12014" s="16"/>
      <c r="H12014" s="16"/>
      <c r="AG12014" s="80"/>
      <c r="AH12014" s="80"/>
      <c r="AI12014" s="80"/>
    </row>
    <row r="12015" spans="5:35" x14ac:dyDescent="0.25">
      <c r="E12015" s="16"/>
      <c r="F12015" s="16"/>
      <c r="H12015" s="16"/>
      <c r="AG12015" s="80"/>
      <c r="AH12015" s="80"/>
      <c r="AI12015" s="80"/>
    </row>
    <row r="12016" spans="5:35" x14ac:dyDescent="0.25">
      <c r="E12016" s="16"/>
      <c r="F12016" s="16"/>
      <c r="H12016" s="16"/>
      <c r="AG12016" s="80"/>
      <c r="AH12016" s="80"/>
      <c r="AI12016" s="80"/>
    </row>
    <row r="12017" spans="5:35" x14ac:dyDescent="0.25">
      <c r="E12017" s="16"/>
      <c r="F12017" s="16"/>
      <c r="H12017" s="16"/>
      <c r="AG12017" s="80"/>
      <c r="AH12017" s="80"/>
      <c r="AI12017" s="80"/>
    </row>
    <row r="12018" spans="5:35" x14ac:dyDescent="0.25">
      <c r="E12018" s="16"/>
      <c r="F12018" s="16"/>
      <c r="H12018" s="16"/>
      <c r="AG12018" s="80"/>
      <c r="AH12018" s="80"/>
      <c r="AI12018" s="80"/>
    </row>
    <row r="12019" spans="5:35" x14ac:dyDescent="0.25">
      <c r="E12019" s="16"/>
      <c r="F12019" s="16"/>
      <c r="H12019" s="16"/>
      <c r="AG12019" s="80"/>
      <c r="AH12019" s="80"/>
      <c r="AI12019" s="80"/>
    </row>
    <row r="12020" spans="5:35" x14ac:dyDescent="0.25">
      <c r="E12020" s="16"/>
      <c r="F12020" s="16"/>
      <c r="H12020" s="16"/>
      <c r="AG12020" s="80"/>
      <c r="AH12020" s="80"/>
      <c r="AI12020" s="80"/>
    </row>
    <row r="12021" spans="5:35" x14ac:dyDescent="0.25">
      <c r="E12021" s="16"/>
      <c r="F12021" s="16"/>
      <c r="H12021" s="16"/>
      <c r="AG12021" s="80"/>
      <c r="AH12021" s="80"/>
      <c r="AI12021" s="80"/>
    </row>
    <row r="12022" spans="5:35" x14ac:dyDescent="0.25">
      <c r="E12022" s="16"/>
      <c r="F12022" s="16"/>
      <c r="H12022" s="16"/>
      <c r="AG12022" s="80"/>
      <c r="AH12022" s="80"/>
      <c r="AI12022" s="80"/>
    </row>
    <row r="12023" spans="5:35" x14ac:dyDescent="0.25">
      <c r="E12023" s="16"/>
      <c r="F12023" s="16"/>
      <c r="H12023" s="16"/>
      <c r="AG12023" s="80"/>
      <c r="AH12023" s="80"/>
      <c r="AI12023" s="80"/>
    </row>
    <row r="12024" spans="5:35" x14ac:dyDescent="0.25">
      <c r="E12024" s="16"/>
      <c r="F12024" s="16"/>
      <c r="H12024" s="16"/>
      <c r="AG12024" s="80"/>
      <c r="AH12024" s="80"/>
      <c r="AI12024" s="80"/>
    </row>
    <row r="12025" spans="5:35" x14ac:dyDescent="0.25">
      <c r="E12025" s="16"/>
      <c r="F12025" s="16"/>
      <c r="H12025" s="16"/>
      <c r="AG12025" s="80"/>
      <c r="AH12025" s="80"/>
      <c r="AI12025" s="80"/>
    </row>
    <row r="12026" spans="5:35" x14ac:dyDescent="0.25">
      <c r="E12026" s="16"/>
      <c r="F12026" s="16"/>
      <c r="H12026" s="16"/>
      <c r="AG12026" s="80"/>
      <c r="AH12026" s="80"/>
      <c r="AI12026" s="80"/>
    </row>
    <row r="12027" spans="5:35" x14ac:dyDescent="0.25">
      <c r="E12027" s="16"/>
      <c r="F12027" s="16"/>
      <c r="H12027" s="16"/>
      <c r="AG12027" s="80"/>
      <c r="AH12027" s="80"/>
      <c r="AI12027" s="80"/>
    </row>
    <row r="12028" spans="5:35" x14ac:dyDescent="0.25">
      <c r="E12028" s="16"/>
      <c r="F12028" s="16"/>
      <c r="H12028" s="16"/>
      <c r="AG12028" s="80"/>
      <c r="AH12028" s="80"/>
      <c r="AI12028" s="80"/>
    </row>
    <row r="12029" spans="5:35" x14ac:dyDescent="0.25">
      <c r="E12029" s="16"/>
      <c r="F12029" s="16"/>
      <c r="H12029" s="16"/>
      <c r="AG12029" s="80"/>
      <c r="AH12029" s="80"/>
      <c r="AI12029" s="80"/>
    </row>
    <row r="12030" spans="5:35" x14ac:dyDescent="0.25">
      <c r="E12030" s="16"/>
      <c r="F12030" s="16"/>
      <c r="H12030" s="16"/>
      <c r="AG12030" s="80"/>
      <c r="AH12030" s="80"/>
      <c r="AI12030" s="80"/>
    </row>
    <row r="12031" spans="5:35" x14ac:dyDescent="0.25">
      <c r="E12031" s="16"/>
      <c r="F12031" s="16"/>
      <c r="H12031" s="16"/>
      <c r="AG12031" s="80"/>
      <c r="AH12031" s="80"/>
      <c r="AI12031" s="80"/>
    </row>
    <row r="12032" spans="5:35" x14ac:dyDescent="0.25">
      <c r="E12032" s="16"/>
      <c r="F12032" s="16"/>
      <c r="H12032" s="16"/>
      <c r="AG12032" s="80"/>
      <c r="AH12032" s="80"/>
      <c r="AI12032" s="80"/>
    </row>
    <row r="12033" spans="5:35" x14ac:dyDescent="0.25">
      <c r="E12033" s="16"/>
      <c r="F12033" s="16"/>
      <c r="H12033" s="16"/>
      <c r="AG12033" s="80"/>
      <c r="AH12033" s="80"/>
      <c r="AI12033" s="80"/>
    </row>
    <row r="12034" spans="5:35" x14ac:dyDescent="0.25">
      <c r="E12034" s="16"/>
      <c r="F12034" s="16"/>
      <c r="H12034" s="16"/>
      <c r="AG12034" s="80"/>
      <c r="AH12034" s="80"/>
      <c r="AI12034" s="80"/>
    </row>
    <row r="12035" spans="5:35" x14ac:dyDescent="0.25">
      <c r="E12035" s="16"/>
      <c r="F12035" s="16"/>
      <c r="H12035" s="16"/>
      <c r="AG12035" s="80"/>
      <c r="AH12035" s="80"/>
      <c r="AI12035" s="80"/>
    </row>
    <row r="12036" spans="5:35" x14ac:dyDescent="0.25">
      <c r="E12036" s="16"/>
      <c r="F12036" s="16"/>
      <c r="H12036" s="16"/>
      <c r="AG12036" s="80"/>
      <c r="AH12036" s="80"/>
      <c r="AI12036" s="80"/>
    </row>
    <row r="12037" spans="5:35" x14ac:dyDescent="0.25">
      <c r="E12037" s="16"/>
      <c r="F12037" s="16"/>
      <c r="H12037" s="16"/>
      <c r="AG12037" s="80"/>
      <c r="AH12037" s="80"/>
      <c r="AI12037" s="80"/>
    </row>
    <row r="12038" spans="5:35" x14ac:dyDescent="0.25">
      <c r="E12038" s="16"/>
      <c r="F12038" s="16"/>
      <c r="H12038" s="16"/>
      <c r="AG12038" s="80"/>
      <c r="AH12038" s="80"/>
      <c r="AI12038" s="80"/>
    </row>
    <row r="12039" spans="5:35" x14ac:dyDescent="0.25">
      <c r="E12039" s="16"/>
      <c r="F12039" s="16"/>
      <c r="H12039" s="16"/>
      <c r="AG12039" s="80"/>
      <c r="AH12039" s="80"/>
      <c r="AI12039" s="80"/>
    </row>
    <row r="12040" spans="5:35" x14ac:dyDescent="0.25">
      <c r="E12040" s="16"/>
      <c r="F12040" s="16"/>
      <c r="H12040" s="16"/>
      <c r="AG12040" s="80"/>
      <c r="AH12040" s="80"/>
      <c r="AI12040" s="80"/>
    </row>
    <row r="12041" spans="5:35" x14ac:dyDescent="0.25">
      <c r="E12041" s="16"/>
      <c r="F12041" s="16"/>
      <c r="H12041" s="16"/>
      <c r="AG12041" s="80"/>
      <c r="AH12041" s="80"/>
      <c r="AI12041" s="80"/>
    </row>
    <row r="12042" spans="5:35" x14ac:dyDescent="0.25">
      <c r="E12042" s="16"/>
      <c r="F12042" s="16"/>
      <c r="H12042" s="16"/>
      <c r="AG12042" s="80"/>
      <c r="AH12042" s="80"/>
      <c r="AI12042" s="80"/>
    </row>
    <row r="12043" spans="5:35" x14ac:dyDescent="0.25">
      <c r="E12043" s="16"/>
      <c r="F12043" s="16"/>
      <c r="H12043" s="16"/>
      <c r="AG12043" s="80"/>
      <c r="AH12043" s="80"/>
      <c r="AI12043" s="80"/>
    </row>
    <row r="12044" spans="5:35" x14ac:dyDescent="0.25">
      <c r="E12044" s="16"/>
      <c r="F12044" s="16"/>
      <c r="H12044" s="16"/>
      <c r="AG12044" s="80"/>
      <c r="AH12044" s="80"/>
      <c r="AI12044" s="80"/>
    </row>
    <row r="12045" spans="5:35" x14ac:dyDescent="0.25">
      <c r="E12045" s="16"/>
      <c r="F12045" s="16"/>
      <c r="H12045" s="16"/>
      <c r="AG12045" s="80"/>
      <c r="AH12045" s="80"/>
      <c r="AI12045" s="80"/>
    </row>
    <row r="12046" spans="5:35" x14ac:dyDescent="0.25">
      <c r="E12046" s="16"/>
      <c r="F12046" s="16"/>
      <c r="H12046" s="16"/>
      <c r="AG12046" s="80"/>
      <c r="AH12046" s="80"/>
      <c r="AI12046" s="80"/>
    </row>
    <row r="12047" spans="5:35" x14ac:dyDescent="0.25">
      <c r="E12047" s="16"/>
      <c r="F12047" s="16"/>
      <c r="H12047" s="16"/>
      <c r="AG12047" s="80"/>
      <c r="AH12047" s="80"/>
      <c r="AI12047" s="80"/>
    </row>
    <row r="12048" spans="5:35" x14ac:dyDescent="0.25">
      <c r="E12048" s="16"/>
      <c r="F12048" s="16"/>
      <c r="H12048" s="16"/>
      <c r="AG12048" s="80"/>
      <c r="AH12048" s="80"/>
      <c r="AI12048" s="80"/>
    </row>
    <row r="12049" spans="5:35" x14ac:dyDescent="0.25">
      <c r="E12049" s="16"/>
      <c r="F12049" s="16"/>
      <c r="H12049" s="16"/>
      <c r="AG12049" s="80"/>
      <c r="AH12049" s="80"/>
      <c r="AI12049" s="80"/>
    </row>
    <row r="12050" spans="5:35" x14ac:dyDescent="0.25">
      <c r="E12050" s="16"/>
      <c r="F12050" s="16"/>
      <c r="H12050" s="16"/>
      <c r="AG12050" s="80"/>
      <c r="AH12050" s="80"/>
      <c r="AI12050" s="80"/>
    </row>
    <row r="12051" spans="5:35" x14ac:dyDescent="0.25">
      <c r="E12051" s="16"/>
      <c r="F12051" s="16"/>
      <c r="H12051" s="16"/>
      <c r="AG12051" s="80"/>
      <c r="AH12051" s="80"/>
      <c r="AI12051" s="80"/>
    </row>
    <row r="12052" spans="5:35" x14ac:dyDescent="0.25">
      <c r="E12052" s="16"/>
      <c r="F12052" s="16"/>
      <c r="H12052" s="16"/>
      <c r="AG12052" s="80"/>
      <c r="AH12052" s="80"/>
      <c r="AI12052" s="80"/>
    </row>
    <row r="12053" spans="5:35" x14ac:dyDescent="0.25">
      <c r="E12053" s="16"/>
      <c r="F12053" s="16"/>
      <c r="H12053" s="16"/>
      <c r="AG12053" s="80"/>
      <c r="AH12053" s="80"/>
      <c r="AI12053" s="80"/>
    </row>
    <row r="12054" spans="5:35" x14ac:dyDescent="0.25">
      <c r="E12054" s="16"/>
      <c r="F12054" s="16"/>
      <c r="H12054" s="16"/>
      <c r="AG12054" s="80"/>
      <c r="AH12054" s="80"/>
      <c r="AI12054" s="80"/>
    </row>
    <row r="12055" spans="5:35" x14ac:dyDescent="0.25">
      <c r="E12055" s="16"/>
      <c r="F12055" s="16"/>
      <c r="H12055" s="16"/>
      <c r="AG12055" s="80"/>
      <c r="AH12055" s="80"/>
      <c r="AI12055" s="80"/>
    </row>
    <row r="12056" spans="5:35" x14ac:dyDescent="0.25">
      <c r="E12056" s="16"/>
      <c r="F12056" s="16"/>
      <c r="H12056" s="16"/>
      <c r="AG12056" s="80"/>
      <c r="AH12056" s="80"/>
      <c r="AI12056" s="80"/>
    </row>
    <row r="12057" spans="5:35" x14ac:dyDescent="0.25">
      <c r="E12057" s="16"/>
      <c r="F12057" s="16"/>
      <c r="H12057" s="16"/>
      <c r="AG12057" s="80"/>
      <c r="AH12057" s="80"/>
      <c r="AI12057" s="80"/>
    </row>
    <row r="12058" spans="5:35" x14ac:dyDescent="0.25">
      <c r="E12058" s="16"/>
      <c r="F12058" s="16"/>
      <c r="H12058" s="16"/>
      <c r="AG12058" s="80"/>
      <c r="AH12058" s="80"/>
      <c r="AI12058" s="80"/>
    </row>
    <row r="12059" spans="5:35" x14ac:dyDescent="0.25">
      <c r="E12059" s="16"/>
      <c r="F12059" s="16"/>
      <c r="H12059" s="16"/>
      <c r="AG12059" s="80"/>
      <c r="AH12059" s="80"/>
      <c r="AI12059" s="80"/>
    </row>
    <row r="12060" spans="5:35" x14ac:dyDescent="0.25">
      <c r="E12060" s="16"/>
      <c r="F12060" s="16"/>
      <c r="H12060" s="16"/>
      <c r="AG12060" s="80"/>
      <c r="AH12060" s="80"/>
      <c r="AI12060" s="80"/>
    </row>
    <row r="12061" spans="5:35" x14ac:dyDescent="0.25">
      <c r="E12061" s="16"/>
      <c r="F12061" s="16"/>
      <c r="H12061" s="16"/>
      <c r="AG12061" s="80"/>
      <c r="AH12061" s="80"/>
      <c r="AI12061" s="80"/>
    </row>
    <row r="12062" spans="5:35" x14ac:dyDescent="0.25">
      <c r="E12062" s="16"/>
      <c r="F12062" s="16"/>
      <c r="H12062" s="16"/>
      <c r="AG12062" s="80"/>
      <c r="AH12062" s="80"/>
      <c r="AI12062" s="80"/>
    </row>
    <row r="12063" spans="5:35" x14ac:dyDescent="0.25">
      <c r="E12063" s="16"/>
      <c r="F12063" s="16"/>
      <c r="H12063" s="16"/>
      <c r="AG12063" s="80"/>
      <c r="AH12063" s="80"/>
      <c r="AI12063" s="80"/>
    </row>
    <row r="12064" spans="5:35" x14ac:dyDescent="0.25">
      <c r="E12064" s="16"/>
      <c r="F12064" s="16"/>
      <c r="H12064" s="16"/>
      <c r="AG12064" s="80"/>
      <c r="AH12064" s="80"/>
      <c r="AI12064" s="80"/>
    </row>
    <row r="12065" spans="5:35" x14ac:dyDescent="0.25">
      <c r="E12065" s="16"/>
      <c r="F12065" s="16"/>
      <c r="H12065" s="16"/>
      <c r="AG12065" s="80"/>
      <c r="AH12065" s="80"/>
      <c r="AI12065" s="80"/>
    </row>
    <row r="12066" spans="5:35" x14ac:dyDescent="0.25">
      <c r="E12066" s="16"/>
      <c r="F12066" s="16"/>
      <c r="H12066" s="16"/>
      <c r="AG12066" s="80"/>
      <c r="AH12066" s="80"/>
      <c r="AI12066" s="80"/>
    </row>
    <row r="12067" spans="5:35" x14ac:dyDescent="0.25">
      <c r="E12067" s="16"/>
      <c r="F12067" s="16"/>
      <c r="H12067" s="16"/>
      <c r="AG12067" s="80"/>
      <c r="AH12067" s="80"/>
      <c r="AI12067" s="80"/>
    </row>
    <row r="12068" spans="5:35" x14ac:dyDescent="0.25">
      <c r="E12068" s="16"/>
      <c r="F12068" s="16"/>
      <c r="H12068" s="16"/>
      <c r="AG12068" s="80"/>
      <c r="AH12068" s="80"/>
      <c r="AI12068" s="80"/>
    </row>
    <row r="12069" spans="5:35" x14ac:dyDescent="0.25">
      <c r="E12069" s="16"/>
      <c r="F12069" s="16"/>
      <c r="H12069" s="16"/>
      <c r="AG12069" s="80"/>
      <c r="AH12069" s="80"/>
      <c r="AI12069" s="80"/>
    </row>
    <row r="12070" spans="5:35" x14ac:dyDescent="0.25">
      <c r="E12070" s="16"/>
      <c r="F12070" s="16"/>
      <c r="H12070" s="16"/>
      <c r="AG12070" s="80"/>
      <c r="AH12070" s="80"/>
      <c r="AI12070" s="80"/>
    </row>
    <row r="12071" spans="5:35" x14ac:dyDescent="0.25">
      <c r="E12071" s="16"/>
      <c r="F12071" s="16"/>
      <c r="H12071" s="16"/>
      <c r="AG12071" s="80"/>
      <c r="AH12071" s="80"/>
      <c r="AI12071" s="80"/>
    </row>
    <row r="12072" spans="5:35" x14ac:dyDescent="0.25">
      <c r="E12072" s="16"/>
      <c r="F12072" s="16"/>
      <c r="H12072" s="16"/>
      <c r="AG12072" s="80"/>
      <c r="AH12072" s="80"/>
      <c r="AI12072" s="80"/>
    </row>
    <row r="12073" spans="5:35" x14ac:dyDescent="0.25">
      <c r="E12073" s="16"/>
      <c r="F12073" s="16"/>
      <c r="H12073" s="16"/>
      <c r="AG12073" s="80"/>
      <c r="AH12073" s="80"/>
      <c r="AI12073" s="80"/>
    </row>
    <row r="12074" spans="5:35" x14ac:dyDescent="0.25">
      <c r="E12074" s="16"/>
      <c r="F12074" s="16"/>
      <c r="H12074" s="16"/>
      <c r="AG12074" s="80"/>
      <c r="AH12074" s="80"/>
      <c r="AI12074" s="80"/>
    </row>
    <row r="12075" spans="5:35" x14ac:dyDescent="0.25">
      <c r="E12075" s="16"/>
      <c r="F12075" s="16"/>
      <c r="H12075" s="16"/>
      <c r="AG12075" s="80"/>
      <c r="AH12075" s="80"/>
      <c r="AI12075" s="80"/>
    </row>
    <row r="12076" spans="5:35" x14ac:dyDescent="0.25">
      <c r="E12076" s="16"/>
      <c r="F12076" s="16"/>
      <c r="H12076" s="16"/>
      <c r="AG12076" s="80"/>
      <c r="AH12076" s="80"/>
      <c r="AI12076" s="80"/>
    </row>
    <row r="12077" spans="5:35" x14ac:dyDescent="0.25">
      <c r="E12077" s="16"/>
      <c r="F12077" s="16"/>
      <c r="H12077" s="16"/>
      <c r="AG12077" s="80"/>
      <c r="AH12077" s="80"/>
      <c r="AI12077" s="80"/>
    </row>
    <row r="12078" spans="5:35" x14ac:dyDescent="0.25">
      <c r="E12078" s="16"/>
      <c r="F12078" s="16"/>
      <c r="H12078" s="16"/>
      <c r="AG12078" s="80"/>
      <c r="AH12078" s="80"/>
      <c r="AI12078" s="80"/>
    </row>
    <row r="12079" spans="5:35" x14ac:dyDescent="0.25">
      <c r="E12079" s="16"/>
      <c r="F12079" s="16"/>
      <c r="H12079" s="16"/>
      <c r="AG12079" s="80"/>
      <c r="AH12079" s="80"/>
      <c r="AI12079" s="80"/>
    </row>
    <row r="12080" spans="5:35" x14ac:dyDescent="0.25">
      <c r="E12080" s="16"/>
      <c r="F12080" s="16"/>
      <c r="H12080" s="16"/>
      <c r="AG12080" s="80"/>
      <c r="AH12080" s="80"/>
      <c r="AI12080" s="80"/>
    </row>
    <row r="12081" spans="5:35" x14ac:dyDescent="0.25">
      <c r="E12081" s="16"/>
      <c r="F12081" s="16"/>
      <c r="H12081" s="16"/>
      <c r="AG12081" s="80"/>
      <c r="AH12081" s="80"/>
      <c r="AI12081" s="80"/>
    </row>
    <row r="12082" spans="5:35" x14ac:dyDescent="0.25">
      <c r="E12082" s="16"/>
      <c r="F12082" s="16"/>
      <c r="H12082" s="16"/>
      <c r="AG12082" s="80"/>
      <c r="AH12082" s="80"/>
      <c r="AI12082" s="80"/>
    </row>
    <row r="12083" spans="5:35" x14ac:dyDescent="0.25">
      <c r="E12083" s="16"/>
      <c r="F12083" s="16"/>
      <c r="H12083" s="16"/>
      <c r="AG12083" s="80"/>
      <c r="AH12083" s="80"/>
      <c r="AI12083" s="80"/>
    </row>
    <row r="12084" spans="5:35" x14ac:dyDescent="0.25">
      <c r="E12084" s="16"/>
      <c r="F12084" s="16"/>
      <c r="H12084" s="16"/>
      <c r="AG12084" s="80"/>
      <c r="AH12084" s="80"/>
      <c r="AI12084" s="80"/>
    </row>
    <row r="12085" spans="5:35" x14ac:dyDescent="0.25">
      <c r="E12085" s="16"/>
      <c r="F12085" s="16"/>
      <c r="H12085" s="16"/>
      <c r="AG12085" s="80"/>
      <c r="AH12085" s="80"/>
      <c r="AI12085" s="80"/>
    </row>
    <row r="12086" spans="5:35" x14ac:dyDescent="0.25">
      <c r="E12086" s="16"/>
      <c r="F12086" s="16"/>
      <c r="H12086" s="16"/>
      <c r="AG12086" s="80"/>
      <c r="AH12086" s="80"/>
      <c r="AI12086" s="80"/>
    </row>
    <row r="12087" spans="5:35" x14ac:dyDescent="0.25">
      <c r="E12087" s="16"/>
      <c r="F12087" s="16"/>
      <c r="H12087" s="16"/>
      <c r="AG12087" s="80"/>
      <c r="AH12087" s="80"/>
      <c r="AI12087" s="80"/>
    </row>
    <row r="12088" spans="5:35" x14ac:dyDescent="0.25">
      <c r="E12088" s="16"/>
      <c r="F12088" s="16"/>
      <c r="H12088" s="16"/>
      <c r="AG12088" s="80"/>
      <c r="AH12088" s="80"/>
      <c r="AI12088" s="80"/>
    </row>
    <row r="12089" spans="5:35" x14ac:dyDescent="0.25">
      <c r="E12089" s="16"/>
      <c r="F12089" s="16"/>
      <c r="H12089" s="16"/>
      <c r="AG12089" s="80"/>
      <c r="AH12089" s="80"/>
      <c r="AI12089" s="80"/>
    </row>
    <row r="12090" spans="5:35" x14ac:dyDescent="0.25">
      <c r="E12090" s="16"/>
      <c r="F12090" s="16"/>
      <c r="H12090" s="16"/>
      <c r="AG12090" s="80"/>
      <c r="AH12090" s="80"/>
      <c r="AI12090" s="80"/>
    </row>
    <row r="12091" spans="5:35" x14ac:dyDescent="0.25">
      <c r="E12091" s="16"/>
      <c r="F12091" s="16"/>
      <c r="H12091" s="16"/>
      <c r="AG12091" s="80"/>
      <c r="AH12091" s="80"/>
      <c r="AI12091" s="80"/>
    </row>
    <row r="12092" spans="5:35" x14ac:dyDescent="0.25">
      <c r="E12092" s="16"/>
      <c r="F12092" s="16"/>
      <c r="H12092" s="16"/>
      <c r="AG12092" s="80"/>
      <c r="AH12092" s="80"/>
      <c r="AI12092" s="80"/>
    </row>
    <row r="12093" spans="5:35" x14ac:dyDescent="0.25">
      <c r="E12093" s="16"/>
      <c r="F12093" s="16"/>
      <c r="H12093" s="16"/>
      <c r="AG12093" s="80"/>
      <c r="AH12093" s="80"/>
      <c r="AI12093" s="80"/>
    </row>
    <row r="12094" spans="5:35" x14ac:dyDescent="0.25">
      <c r="E12094" s="16"/>
      <c r="F12094" s="16"/>
      <c r="H12094" s="16"/>
      <c r="AG12094" s="80"/>
      <c r="AH12094" s="80"/>
      <c r="AI12094" s="80"/>
    </row>
    <row r="12095" spans="5:35" x14ac:dyDescent="0.25">
      <c r="E12095" s="16"/>
      <c r="F12095" s="16"/>
      <c r="H12095" s="16"/>
      <c r="AG12095" s="80"/>
      <c r="AH12095" s="80"/>
      <c r="AI12095" s="80"/>
    </row>
    <row r="12096" spans="5:35" x14ac:dyDescent="0.25">
      <c r="E12096" s="16"/>
      <c r="F12096" s="16"/>
      <c r="H12096" s="16"/>
      <c r="AG12096" s="80"/>
      <c r="AH12096" s="80"/>
      <c r="AI12096" s="80"/>
    </row>
    <row r="12097" spans="5:35" x14ac:dyDescent="0.25">
      <c r="E12097" s="16"/>
      <c r="F12097" s="16"/>
      <c r="H12097" s="16"/>
      <c r="AG12097" s="80"/>
      <c r="AH12097" s="80"/>
      <c r="AI12097" s="80"/>
    </row>
    <row r="12098" spans="5:35" x14ac:dyDescent="0.25">
      <c r="E12098" s="16"/>
      <c r="F12098" s="16"/>
      <c r="H12098" s="16"/>
      <c r="AG12098" s="80"/>
      <c r="AH12098" s="80"/>
      <c r="AI12098" s="80"/>
    </row>
    <row r="12099" spans="5:35" x14ac:dyDescent="0.25">
      <c r="E12099" s="16"/>
      <c r="F12099" s="16"/>
      <c r="H12099" s="16"/>
      <c r="AG12099" s="80"/>
      <c r="AH12099" s="80"/>
      <c r="AI12099" s="80"/>
    </row>
    <row r="12100" spans="5:35" x14ac:dyDescent="0.25">
      <c r="E12100" s="16"/>
      <c r="F12100" s="16"/>
      <c r="H12100" s="16"/>
      <c r="AG12100" s="80"/>
      <c r="AH12100" s="80"/>
      <c r="AI12100" s="80"/>
    </row>
    <row r="12101" spans="5:35" x14ac:dyDescent="0.25">
      <c r="E12101" s="16"/>
      <c r="F12101" s="16"/>
      <c r="H12101" s="16"/>
      <c r="AG12101" s="80"/>
      <c r="AH12101" s="80"/>
      <c r="AI12101" s="80"/>
    </row>
    <row r="12102" spans="5:35" x14ac:dyDescent="0.25">
      <c r="E12102" s="16"/>
      <c r="F12102" s="16"/>
      <c r="H12102" s="16"/>
      <c r="AG12102" s="80"/>
      <c r="AH12102" s="80"/>
      <c r="AI12102" s="80"/>
    </row>
    <row r="12103" spans="5:35" x14ac:dyDescent="0.25">
      <c r="E12103" s="16"/>
      <c r="F12103" s="16"/>
      <c r="H12103" s="16"/>
      <c r="AG12103" s="80"/>
      <c r="AH12103" s="80"/>
      <c r="AI12103" s="80"/>
    </row>
    <row r="12104" spans="5:35" x14ac:dyDescent="0.25">
      <c r="E12104" s="16"/>
      <c r="F12104" s="16"/>
      <c r="H12104" s="16"/>
      <c r="AG12104" s="80"/>
      <c r="AH12104" s="80"/>
      <c r="AI12104" s="80"/>
    </row>
    <row r="12105" spans="5:35" x14ac:dyDescent="0.25">
      <c r="E12105" s="16"/>
      <c r="F12105" s="16"/>
      <c r="H12105" s="16"/>
      <c r="AG12105" s="80"/>
      <c r="AH12105" s="80"/>
      <c r="AI12105" s="80"/>
    </row>
    <row r="12106" spans="5:35" x14ac:dyDescent="0.25">
      <c r="E12106" s="16"/>
      <c r="F12106" s="16"/>
      <c r="H12106" s="16"/>
      <c r="AG12106" s="80"/>
      <c r="AH12106" s="80"/>
      <c r="AI12106" s="80"/>
    </row>
    <row r="12107" spans="5:35" x14ac:dyDescent="0.25">
      <c r="E12107" s="16"/>
      <c r="F12107" s="16"/>
      <c r="H12107" s="16"/>
      <c r="AG12107" s="80"/>
      <c r="AH12107" s="80"/>
      <c r="AI12107" s="80"/>
    </row>
    <row r="12108" spans="5:35" x14ac:dyDescent="0.25">
      <c r="E12108" s="16"/>
      <c r="F12108" s="16"/>
      <c r="H12108" s="16"/>
      <c r="AG12108" s="80"/>
      <c r="AH12108" s="80"/>
      <c r="AI12108" s="80"/>
    </row>
    <row r="12109" spans="5:35" x14ac:dyDescent="0.25">
      <c r="E12109" s="16"/>
      <c r="F12109" s="16"/>
      <c r="H12109" s="16"/>
      <c r="AG12109" s="80"/>
      <c r="AH12109" s="80"/>
      <c r="AI12109" s="80"/>
    </row>
    <row r="12110" spans="5:35" x14ac:dyDescent="0.25">
      <c r="E12110" s="16"/>
      <c r="F12110" s="16"/>
      <c r="H12110" s="16"/>
      <c r="AG12110" s="80"/>
      <c r="AH12110" s="80"/>
      <c r="AI12110" s="80"/>
    </row>
    <row r="12111" spans="5:35" x14ac:dyDescent="0.25">
      <c r="E12111" s="16"/>
      <c r="F12111" s="16"/>
      <c r="H12111" s="16"/>
      <c r="AG12111" s="80"/>
      <c r="AH12111" s="80"/>
      <c r="AI12111" s="80"/>
    </row>
    <row r="12112" spans="5:35" x14ac:dyDescent="0.25">
      <c r="E12112" s="16"/>
      <c r="F12112" s="16"/>
      <c r="H12112" s="16"/>
      <c r="AG12112" s="80"/>
      <c r="AH12112" s="80"/>
      <c r="AI12112" s="80"/>
    </row>
    <row r="12113" spans="5:35" x14ac:dyDescent="0.25">
      <c r="E12113" s="16"/>
      <c r="F12113" s="16"/>
      <c r="H12113" s="16"/>
      <c r="AG12113" s="80"/>
      <c r="AH12113" s="80"/>
      <c r="AI12113" s="80"/>
    </row>
    <row r="12114" spans="5:35" x14ac:dyDescent="0.25">
      <c r="E12114" s="16"/>
      <c r="F12114" s="16"/>
      <c r="H12114" s="16"/>
      <c r="AG12114" s="80"/>
      <c r="AH12114" s="80"/>
      <c r="AI12114" s="80"/>
    </row>
    <row r="12115" spans="5:35" x14ac:dyDescent="0.25">
      <c r="E12115" s="16"/>
      <c r="F12115" s="16"/>
      <c r="H12115" s="16"/>
      <c r="AG12115" s="80"/>
      <c r="AH12115" s="80"/>
      <c r="AI12115" s="80"/>
    </row>
    <row r="12116" spans="5:35" x14ac:dyDescent="0.25">
      <c r="E12116" s="16"/>
      <c r="F12116" s="16"/>
      <c r="H12116" s="16"/>
      <c r="AG12116" s="80"/>
      <c r="AH12116" s="80"/>
      <c r="AI12116" s="80"/>
    </row>
    <row r="12117" spans="5:35" x14ac:dyDescent="0.25">
      <c r="E12117" s="16"/>
      <c r="F12117" s="16"/>
      <c r="H12117" s="16"/>
      <c r="AG12117" s="80"/>
      <c r="AH12117" s="80"/>
      <c r="AI12117" s="80"/>
    </row>
    <row r="12118" spans="5:35" x14ac:dyDescent="0.25">
      <c r="E12118" s="16"/>
      <c r="F12118" s="16"/>
      <c r="H12118" s="16"/>
      <c r="AG12118" s="80"/>
      <c r="AH12118" s="80"/>
      <c r="AI12118" s="80"/>
    </row>
    <row r="12119" spans="5:35" x14ac:dyDescent="0.25">
      <c r="E12119" s="16"/>
      <c r="F12119" s="16"/>
      <c r="H12119" s="16"/>
      <c r="AG12119" s="80"/>
      <c r="AH12119" s="80"/>
      <c r="AI12119" s="80"/>
    </row>
    <row r="12120" spans="5:35" x14ac:dyDescent="0.25">
      <c r="E12120" s="16"/>
      <c r="F12120" s="16"/>
      <c r="H12120" s="16"/>
      <c r="AG12120" s="80"/>
      <c r="AH12120" s="80"/>
      <c r="AI12120" s="80"/>
    </row>
    <row r="12121" spans="5:35" x14ac:dyDescent="0.25">
      <c r="E12121" s="16"/>
      <c r="F12121" s="16"/>
      <c r="H12121" s="16"/>
      <c r="AG12121" s="80"/>
      <c r="AH12121" s="80"/>
      <c r="AI12121" s="80"/>
    </row>
    <row r="12122" spans="5:35" x14ac:dyDescent="0.25">
      <c r="E12122" s="16"/>
      <c r="F12122" s="16"/>
      <c r="H12122" s="16"/>
      <c r="AG12122" s="80"/>
      <c r="AH12122" s="80"/>
      <c r="AI12122" s="80"/>
    </row>
    <row r="12123" spans="5:35" x14ac:dyDescent="0.25">
      <c r="E12123" s="16"/>
      <c r="F12123" s="16"/>
      <c r="H12123" s="16"/>
      <c r="AG12123" s="80"/>
      <c r="AH12123" s="80"/>
      <c r="AI12123" s="80"/>
    </row>
    <row r="12124" spans="5:35" x14ac:dyDescent="0.25">
      <c r="E12124" s="16"/>
      <c r="F12124" s="16"/>
      <c r="H12124" s="16"/>
      <c r="AG12124" s="80"/>
      <c r="AH12124" s="80"/>
      <c r="AI12124" s="80"/>
    </row>
    <row r="12125" spans="5:35" x14ac:dyDescent="0.25">
      <c r="E12125" s="16"/>
      <c r="F12125" s="16"/>
      <c r="H12125" s="16"/>
      <c r="AG12125" s="80"/>
      <c r="AH12125" s="80"/>
      <c r="AI12125" s="80"/>
    </row>
    <row r="12126" spans="5:35" x14ac:dyDescent="0.25">
      <c r="E12126" s="16"/>
      <c r="F12126" s="16"/>
      <c r="H12126" s="16"/>
      <c r="AG12126" s="80"/>
      <c r="AH12126" s="80"/>
      <c r="AI12126" s="80"/>
    </row>
    <row r="12127" spans="5:35" x14ac:dyDescent="0.25">
      <c r="E12127" s="16"/>
      <c r="F12127" s="16"/>
      <c r="H12127" s="16"/>
      <c r="AG12127" s="80"/>
      <c r="AH12127" s="80"/>
      <c r="AI12127" s="80"/>
    </row>
    <row r="12128" spans="5:35" x14ac:dyDescent="0.25">
      <c r="E12128" s="16"/>
      <c r="F12128" s="16"/>
      <c r="H12128" s="16"/>
      <c r="AG12128" s="80"/>
      <c r="AH12128" s="80"/>
      <c r="AI12128" s="80"/>
    </row>
    <row r="12129" spans="5:35" x14ac:dyDescent="0.25">
      <c r="E12129" s="16"/>
      <c r="F12129" s="16"/>
      <c r="H12129" s="16"/>
      <c r="AG12129" s="80"/>
      <c r="AH12129" s="80"/>
      <c r="AI12129" s="80"/>
    </row>
    <row r="12130" spans="5:35" x14ac:dyDescent="0.25">
      <c r="E12130" s="16"/>
      <c r="F12130" s="16"/>
      <c r="H12130" s="16"/>
      <c r="AG12130" s="80"/>
      <c r="AH12130" s="80"/>
      <c r="AI12130" s="80"/>
    </row>
    <row r="12131" spans="5:35" x14ac:dyDescent="0.25">
      <c r="E12131" s="16"/>
      <c r="F12131" s="16"/>
      <c r="H12131" s="16"/>
      <c r="AG12131" s="80"/>
      <c r="AH12131" s="80"/>
      <c r="AI12131" s="80"/>
    </row>
    <row r="12132" spans="5:35" x14ac:dyDescent="0.25">
      <c r="E12132" s="16"/>
      <c r="F12132" s="16"/>
      <c r="H12132" s="16"/>
      <c r="AG12132" s="80"/>
      <c r="AH12132" s="80"/>
      <c r="AI12132" s="80"/>
    </row>
    <row r="12133" spans="5:35" x14ac:dyDescent="0.25">
      <c r="E12133" s="16"/>
      <c r="F12133" s="16"/>
      <c r="H12133" s="16"/>
      <c r="AG12133" s="80"/>
      <c r="AH12133" s="80"/>
      <c r="AI12133" s="80"/>
    </row>
    <row r="12134" spans="5:35" x14ac:dyDescent="0.25">
      <c r="E12134" s="16"/>
      <c r="F12134" s="16"/>
      <c r="H12134" s="16"/>
      <c r="AG12134" s="80"/>
      <c r="AH12134" s="80"/>
      <c r="AI12134" s="80"/>
    </row>
    <row r="12135" spans="5:35" x14ac:dyDescent="0.25">
      <c r="E12135" s="16"/>
      <c r="F12135" s="16"/>
      <c r="H12135" s="16"/>
      <c r="AG12135" s="80"/>
      <c r="AH12135" s="80"/>
      <c r="AI12135" s="80"/>
    </row>
    <row r="12136" spans="5:35" x14ac:dyDescent="0.25">
      <c r="E12136" s="16"/>
      <c r="F12136" s="16"/>
      <c r="H12136" s="16"/>
      <c r="AG12136" s="80"/>
      <c r="AH12136" s="80"/>
      <c r="AI12136" s="80"/>
    </row>
    <row r="12137" spans="5:35" x14ac:dyDescent="0.25">
      <c r="E12137" s="16"/>
      <c r="F12137" s="16"/>
      <c r="H12137" s="16"/>
      <c r="AG12137" s="80"/>
      <c r="AH12137" s="80"/>
      <c r="AI12137" s="80"/>
    </row>
    <row r="12138" spans="5:35" x14ac:dyDescent="0.25">
      <c r="E12138" s="16"/>
      <c r="F12138" s="16"/>
      <c r="H12138" s="16"/>
      <c r="AG12138" s="80"/>
      <c r="AH12138" s="80"/>
      <c r="AI12138" s="80"/>
    </row>
    <row r="12139" spans="5:35" x14ac:dyDescent="0.25">
      <c r="E12139" s="16"/>
      <c r="F12139" s="16"/>
      <c r="H12139" s="16"/>
      <c r="AG12139" s="80"/>
      <c r="AH12139" s="80"/>
      <c r="AI12139" s="80"/>
    </row>
    <row r="12140" spans="5:35" x14ac:dyDescent="0.25">
      <c r="E12140" s="16"/>
      <c r="F12140" s="16"/>
      <c r="H12140" s="16"/>
      <c r="AG12140" s="80"/>
      <c r="AH12140" s="80"/>
      <c r="AI12140" s="80"/>
    </row>
    <row r="12141" spans="5:35" x14ac:dyDescent="0.25">
      <c r="E12141" s="16"/>
      <c r="F12141" s="16"/>
      <c r="H12141" s="16"/>
      <c r="AG12141" s="80"/>
      <c r="AH12141" s="80"/>
      <c r="AI12141" s="80"/>
    </row>
    <row r="12142" spans="5:35" x14ac:dyDescent="0.25">
      <c r="E12142" s="16"/>
      <c r="F12142" s="16"/>
      <c r="H12142" s="16"/>
      <c r="AG12142" s="80"/>
      <c r="AH12142" s="80"/>
      <c r="AI12142" s="80"/>
    </row>
    <row r="12143" spans="5:35" x14ac:dyDescent="0.25">
      <c r="E12143" s="16"/>
      <c r="F12143" s="16"/>
      <c r="H12143" s="16"/>
      <c r="AG12143" s="80"/>
      <c r="AH12143" s="80"/>
      <c r="AI12143" s="80"/>
    </row>
    <row r="12144" spans="5:35" x14ac:dyDescent="0.25">
      <c r="E12144" s="16"/>
      <c r="F12144" s="16"/>
      <c r="H12144" s="16"/>
      <c r="AG12144" s="80"/>
      <c r="AH12144" s="80"/>
      <c r="AI12144" s="80"/>
    </row>
    <row r="12145" spans="5:35" x14ac:dyDescent="0.25">
      <c r="E12145" s="16"/>
      <c r="F12145" s="16"/>
      <c r="H12145" s="16"/>
      <c r="AG12145" s="80"/>
      <c r="AH12145" s="80"/>
      <c r="AI12145" s="80"/>
    </row>
    <row r="12146" spans="5:35" x14ac:dyDescent="0.25">
      <c r="E12146" s="16"/>
      <c r="F12146" s="16"/>
      <c r="H12146" s="16"/>
      <c r="AG12146" s="80"/>
      <c r="AH12146" s="80"/>
      <c r="AI12146" s="80"/>
    </row>
    <row r="12147" spans="5:35" x14ac:dyDescent="0.25">
      <c r="E12147" s="16"/>
      <c r="F12147" s="16"/>
      <c r="H12147" s="16"/>
      <c r="AG12147" s="80"/>
      <c r="AH12147" s="80"/>
      <c r="AI12147" s="80"/>
    </row>
    <row r="12148" spans="5:35" x14ac:dyDescent="0.25">
      <c r="E12148" s="16"/>
      <c r="F12148" s="16"/>
      <c r="H12148" s="16"/>
      <c r="AG12148" s="80"/>
      <c r="AH12148" s="80"/>
      <c r="AI12148" s="80"/>
    </row>
    <row r="12149" spans="5:35" x14ac:dyDescent="0.25">
      <c r="E12149" s="16"/>
      <c r="F12149" s="16"/>
      <c r="H12149" s="16"/>
      <c r="AG12149" s="80"/>
      <c r="AH12149" s="80"/>
      <c r="AI12149" s="80"/>
    </row>
    <row r="12150" spans="5:35" x14ac:dyDescent="0.25">
      <c r="E12150" s="16"/>
      <c r="F12150" s="16"/>
      <c r="H12150" s="16"/>
      <c r="AG12150" s="80"/>
      <c r="AH12150" s="80"/>
      <c r="AI12150" s="80"/>
    </row>
    <row r="12151" spans="5:35" x14ac:dyDescent="0.25">
      <c r="E12151" s="16"/>
      <c r="F12151" s="16"/>
      <c r="H12151" s="16"/>
      <c r="AG12151" s="80"/>
      <c r="AH12151" s="80"/>
      <c r="AI12151" s="80"/>
    </row>
    <row r="12152" spans="5:35" x14ac:dyDescent="0.25">
      <c r="E12152" s="16"/>
      <c r="F12152" s="16"/>
      <c r="H12152" s="16"/>
      <c r="AG12152" s="80"/>
      <c r="AH12152" s="80"/>
      <c r="AI12152" s="80"/>
    </row>
    <row r="12153" spans="5:35" x14ac:dyDescent="0.25">
      <c r="E12153" s="16"/>
      <c r="F12153" s="16"/>
      <c r="H12153" s="16"/>
      <c r="AG12153" s="80"/>
      <c r="AH12153" s="80"/>
      <c r="AI12153" s="80"/>
    </row>
    <row r="12154" spans="5:35" x14ac:dyDescent="0.25">
      <c r="E12154" s="16"/>
      <c r="F12154" s="16"/>
      <c r="H12154" s="16"/>
      <c r="AG12154" s="80"/>
      <c r="AH12154" s="80"/>
      <c r="AI12154" s="80"/>
    </row>
    <row r="12155" spans="5:35" x14ac:dyDescent="0.25">
      <c r="E12155" s="16"/>
      <c r="F12155" s="16"/>
      <c r="H12155" s="16"/>
      <c r="AG12155" s="80"/>
      <c r="AH12155" s="80"/>
      <c r="AI12155" s="80"/>
    </row>
    <row r="12156" spans="5:35" x14ac:dyDescent="0.25">
      <c r="E12156" s="16"/>
      <c r="F12156" s="16"/>
      <c r="H12156" s="16"/>
      <c r="AG12156" s="80"/>
      <c r="AH12156" s="80"/>
      <c r="AI12156" s="80"/>
    </row>
    <row r="12157" spans="5:35" x14ac:dyDescent="0.25">
      <c r="E12157" s="16"/>
      <c r="F12157" s="16"/>
      <c r="H12157" s="16"/>
      <c r="AG12157" s="80"/>
      <c r="AH12157" s="80"/>
      <c r="AI12157" s="80"/>
    </row>
    <row r="12158" spans="5:35" x14ac:dyDescent="0.25">
      <c r="E12158" s="16"/>
      <c r="F12158" s="16"/>
      <c r="H12158" s="16"/>
      <c r="AG12158" s="80"/>
      <c r="AH12158" s="80"/>
      <c r="AI12158" s="80"/>
    </row>
    <row r="12159" spans="5:35" x14ac:dyDescent="0.25">
      <c r="E12159" s="16"/>
      <c r="F12159" s="16"/>
      <c r="H12159" s="16"/>
      <c r="AG12159" s="80"/>
      <c r="AH12159" s="80"/>
      <c r="AI12159" s="80"/>
    </row>
    <row r="12160" spans="5:35" x14ac:dyDescent="0.25">
      <c r="E12160" s="16"/>
      <c r="F12160" s="16"/>
      <c r="H12160" s="16"/>
      <c r="AG12160" s="80"/>
      <c r="AH12160" s="80"/>
      <c r="AI12160" s="80"/>
    </row>
    <row r="12161" spans="5:35" x14ac:dyDescent="0.25">
      <c r="E12161" s="16"/>
      <c r="F12161" s="16"/>
      <c r="H12161" s="16"/>
      <c r="AG12161" s="80"/>
      <c r="AH12161" s="80"/>
      <c r="AI12161" s="80"/>
    </row>
    <row r="12162" spans="5:35" x14ac:dyDescent="0.25">
      <c r="E12162" s="16"/>
      <c r="F12162" s="16"/>
      <c r="H12162" s="16"/>
      <c r="AG12162" s="80"/>
      <c r="AH12162" s="80"/>
      <c r="AI12162" s="80"/>
    </row>
    <row r="12163" spans="5:35" x14ac:dyDescent="0.25">
      <c r="E12163" s="16"/>
      <c r="F12163" s="16"/>
      <c r="H12163" s="16"/>
      <c r="AG12163" s="80"/>
      <c r="AH12163" s="80"/>
      <c r="AI12163" s="80"/>
    </row>
    <row r="12164" spans="5:35" x14ac:dyDescent="0.25">
      <c r="E12164" s="16"/>
      <c r="F12164" s="16"/>
      <c r="H12164" s="16"/>
      <c r="AG12164" s="80"/>
      <c r="AH12164" s="80"/>
      <c r="AI12164" s="80"/>
    </row>
    <row r="12165" spans="5:35" x14ac:dyDescent="0.25">
      <c r="E12165" s="16"/>
      <c r="F12165" s="16"/>
      <c r="H12165" s="16"/>
      <c r="AG12165" s="80"/>
      <c r="AH12165" s="80"/>
      <c r="AI12165" s="80"/>
    </row>
    <row r="12166" spans="5:35" x14ac:dyDescent="0.25">
      <c r="E12166" s="16"/>
      <c r="F12166" s="16"/>
      <c r="H12166" s="16"/>
      <c r="AG12166" s="80"/>
      <c r="AH12166" s="80"/>
      <c r="AI12166" s="80"/>
    </row>
    <row r="12167" spans="5:35" x14ac:dyDescent="0.25">
      <c r="E12167" s="16"/>
      <c r="F12167" s="16"/>
      <c r="H12167" s="16"/>
      <c r="AG12167" s="80"/>
      <c r="AH12167" s="80"/>
      <c r="AI12167" s="80"/>
    </row>
    <row r="12168" spans="5:35" x14ac:dyDescent="0.25">
      <c r="E12168" s="16"/>
      <c r="F12168" s="16"/>
      <c r="H12168" s="16"/>
      <c r="AG12168" s="80"/>
      <c r="AH12168" s="80"/>
      <c r="AI12168" s="80"/>
    </row>
    <row r="12169" spans="5:35" x14ac:dyDescent="0.25">
      <c r="E12169" s="16"/>
      <c r="F12169" s="16"/>
      <c r="H12169" s="16"/>
      <c r="AG12169" s="80"/>
      <c r="AH12169" s="80"/>
      <c r="AI12169" s="80"/>
    </row>
    <row r="12170" spans="5:35" x14ac:dyDescent="0.25">
      <c r="E12170" s="16"/>
      <c r="F12170" s="16"/>
      <c r="H12170" s="16"/>
      <c r="AG12170" s="80"/>
      <c r="AH12170" s="80"/>
      <c r="AI12170" s="80"/>
    </row>
    <row r="12171" spans="5:35" x14ac:dyDescent="0.25">
      <c r="E12171" s="16"/>
      <c r="F12171" s="16"/>
      <c r="H12171" s="16"/>
      <c r="AG12171" s="80"/>
      <c r="AH12171" s="80"/>
      <c r="AI12171" s="80"/>
    </row>
    <row r="12172" spans="5:35" x14ac:dyDescent="0.25">
      <c r="E12172" s="16"/>
      <c r="F12172" s="16"/>
      <c r="H12172" s="16"/>
      <c r="AG12172" s="80"/>
      <c r="AH12172" s="80"/>
      <c r="AI12172" s="80"/>
    </row>
    <row r="12173" spans="5:35" x14ac:dyDescent="0.25">
      <c r="E12173" s="16"/>
      <c r="F12173" s="16"/>
      <c r="H12173" s="16"/>
      <c r="AG12173" s="80"/>
      <c r="AH12173" s="80"/>
      <c r="AI12173" s="80"/>
    </row>
    <row r="12174" spans="5:35" x14ac:dyDescent="0.25">
      <c r="E12174" s="16"/>
      <c r="F12174" s="16"/>
      <c r="H12174" s="16"/>
      <c r="AG12174" s="80"/>
      <c r="AH12174" s="80"/>
      <c r="AI12174" s="80"/>
    </row>
    <row r="12175" spans="5:35" x14ac:dyDescent="0.25">
      <c r="E12175" s="16"/>
      <c r="F12175" s="16"/>
      <c r="H12175" s="16"/>
      <c r="AG12175" s="80"/>
      <c r="AH12175" s="80"/>
      <c r="AI12175" s="80"/>
    </row>
    <row r="12176" spans="5:35" x14ac:dyDescent="0.25">
      <c r="E12176" s="16"/>
      <c r="F12176" s="16"/>
      <c r="H12176" s="16"/>
      <c r="AG12176" s="80"/>
      <c r="AH12176" s="80"/>
      <c r="AI12176" s="80"/>
    </row>
    <row r="12177" spans="5:35" x14ac:dyDescent="0.25">
      <c r="E12177" s="16"/>
      <c r="F12177" s="16"/>
      <c r="H12177" s="16"/>
      <c r="AG12177" s="80"/>
      <c r="AH12177" s="80"/>
      <c r="AI12177" s="80"/>
    </row>
    <row r="12178" spans="5:35" x14ac:dyDescent="0.25">
      <c r="E12178" s="16"/>
      <c r="F12178" s="16"/>
      <c r="H12178" s="16"/>
      <c r="AG12178" s="80"/>
      <c r="AH12178" s="80"/>
      <c r="AI12178" s="80"/>
    </row>
    <row r="12179" spans="5:35" x14ac:dyDescent="0.25">
      <c r="E12179" s="16"/>
      <c r="F12179" s="16"/>
      <c r="H12179" s="16"/>
      <c r="AG12179" s="80"/>
      <c r="AH12179" s="80"/>
      <c r="AI12179" s="80"/>
    </row>
    <row r="12180" spans="5:35" x14ac:dyDescent="0.25">
      <c r="E12180" s="16"/>
      <c r="F12180" s="16"/>
      <c r="H12180" s="16"/>
      <c r="AG12180" s="80"/>
      <c r="AH12180" s="80"/>
      <c r="AI12180" s="80"/>
    </row>
    <row r="12181" spans="5:35" x14ac:dyDescent="0.25">
      <c r="E12181" s="16"/>
      <c r="F12181" s="16"/>
      <c r="H12181" s="16"/>
      <c r="AG12181" s="80"/>
      <c r="AH12181" s="80"/>
      <c r="AI12181" s="80"/>
    </row>
    <row r="12182" spans="5:35" x14ac:dyDescent="0.25">
      <c r="E12182" s="16"/>
      <c r="F12182" s="16"/>
      <c r="H12182" s="16"/>
      <c r="AG12182" s="80"/>
      <c r="AH12182" s="80"/>
      <c r="AI12182" s="80"/>
    </row>
    <row r="12183" spans="5:35" x14ac:dyDescent="0.25">
      <c r="E12183" s="16"/>
      <c r="F12183" s="16"/>
      <c r="H12183" s="16"/>
      <c r="AG12183" s="80"/>
      <c r="AH12183" s="80"/>
      <c r="AI12183" s="80"/>
    </row>
    <row r="12184" spans="5:35" x14ac:dyDescent="0.25">
      <c r="E12184" s="16"/>
      <c r="F12184" s="16"/>
      <c r="H12184" s="16"/>
      <c r="AG12184" s="80"/>
      <c r="AH12184" s="80"/>
      <c r="AI12184" s="80"/>
    </row>
    <row r="12185" spans="5:35" x14ac:dyDescent="0.25">
      <c r="E12185" s="16"/>
      <c r="F12185" s="16"/>
      <c r="H12185" s="16"/>
      <c r="AG12185" s="80"/>
      <c r="AH12185" s="80"/>
      <c r="AI12185" s="80"/>
    </row>
    <row r="12186" spans="5:35" x14ac:dyDescent="0.25">
      <c r="E12186" s="16"/>
      <c r="F12186" s="16"/>
      <c r="H12186" s="16"/>
      <c r="AG12186" s="80"/>
      <c r="AH12186" s="80"/>
      <c r="AI12186" s="80"/>
    </row>
    <row r="12187" spans="5:35" x14ac:dyDescent="0.25">
      <c r="E12187" s="16"/>
      <c r="F12187" s="16"/>
      <c r="H12187" s="16"/>
      <c r="AG12187" s="80"/>
      <c r="AH12187" s="80"/>
      <c r="AI12187" s="80"/>
    </row>
    <row r="12188" spans="5:35" x14ac:dyDescent="0.25">
      <c r="E12188" s="16"/>
      <c r="F12188" s="16"/>
      <c r="H12188" s="16"/>
      <c r="AG12188" s="80"/>
      <c r="AH12188" s="80"/>
      <c r="AI12188" s="80"/>
    </row>
    <row r="12189" spans="5:35" x14ac:dyDescent="0.25">
      <c r="E12189" s="16"/>
      <c r="F12189" s="16"/>
      <c r="H12189" s="16"/>
      <c r="AG12189" s="80"/>
      <c r="AH12189" s="80"/>
      <c r="AI12189" s="80"/>
    </row>
    <row r="12190" spans="5:35" x14ac:dyDescent="0.25">
      <c r="E12190" s="16"/>
      <c r="F12190" s="16"/>
      <c r="H12190" s="16"/>
      <c r="AG12190" s="80"/>
      <c r="AH12190" s="80"/>
      <c r="AI12190" s="80"/>
    </row>
    <row r="12191" spans="5:35" x14ac:dyDescent="0.25">
      <c r="E12191" s="16"/>
      <c r="F12191" s="16"/>
      <c r="H12191" s="16"/>
      <c r="AG12191" s="80"/>
      <c r="AH12191" s="80"/>
      <c r="AI12191" s="80"/>
    </row>
    <row r="12192" spans="5:35" x14ac:dyDescent="0.25">
      <c r="E12192" s="16"/>
      <c r="F12192" s="16"/>
      <c r="H12192" s="16"/>
      <c r="AG12192" s="80"/>
      <c r="AH12192" s="80"/>
      <c r="AI12192" s="80"/>
    </row>
    <row r="12193" spans="5:35" x14ac:dyDescent="0.25">
      <c r="E12193" s="16"/>
      <c r="F12193" s="16"/>
      <c r="H12193" s="16"/>
      <c r="AG12193" s="80"/>
      <c r="AH12193" s="80"/>
      <c r="AI12193" s="80"/>
    </row>
    <row r="12194" spans="5:35" x14ac:dyDescent="0.25">
      <c r="E12194" s="16"/>
      <c r="F12194" s="16"/>
      <c r="H12194" s="16"/>
      <c r="AG12194" s="80"/>
      <c r="AH12194" s="80"/>
      <c r="AI12194" s="80"/>
    </row>
    <row r="12195" spans="5:35" x14ac:dyDescent="0.25">
      <c r="E12195" s="16"/>
      <c r="F12195" s="16"/>
      <c r="H12195" s="16"/>
      <c r="AG12195" s="80"/>
      <c r="AH12195" s="80"/>
      <c r="AI12195" s="80"/>
    </row>
    <row r="12196" spans="5:35" x14ac:dyDescent="0.25">
      <c r="E12196" s="16"/>
      <c r="F12196" s="16"/>
      <c r="H12196" s="16"/>
      <c r="AG12196" s="80"/>
      <c r="AH12196" s="80"/>
      <c r="AI12196" s="80"/>
    </row>
    <row r="12197" spans="5:35" x14ac:dyDescent="0.25">
      <c r="E12197" s="16"/>
      <c r="F12197" s="16"/>
      <c r="H12197" s="16"/>
      <c r="AG12197" s="80"/>
      <c r="AH12197" s="80"/>
      <c r="AI12197" s="80"/>
    </row>
    <row r="12198" spans="5:35" x14ac:dyDescent="0.25">
      <c r="E12198" s="16"/>
      <c r="F12198" s="16"/>
      <c r="H12198" s="16"/>
      <c r="AG12198" s="80"/>
      <c r="AH12198" s="80"/>
      <c r="AI12198" s="80"/>
    </row>
    <row r="12199" spans="5:35" x14ac:dyDescent="0.25">
      <c r="E12199" s="16"/>
      <c r="F12199" s="16"/>
      <c r="H12199" s="16"/>
      <c r="AG12199" s="80"/>
      <c r="AH12199" s="80"/>
      <c r="AI12199" s="80"/>
    </row>
    <row r="12200" spans="5:35" x14ac:dyDescent="0.25">
      <c r="E12200" s="16"/>
      <c r="F12200" s="16"/>
      <c r="H12200" s="16"/>
      <c r="AG12200" s="80"/>
      <c r="AH12200" s="80"/>
      <c r="AI12200" s="80"/>
    </row>
    <row r="12201" spans="5:35" x14ac:dyDescent="0.25">
      <c r="E12201" s="16"/>
      <c r="F12201" s="16"/>
      <c r="H12201" s="16"/>
      <c r="AG12201" s="80"/>
      <c r="AH12201" s="80"/>
      <c r="AI12201" s="80"/>
    </row>
    <row r="12202" spans="5:35" x14ac:dyDescent="0.25">
      <c r="E12202" s="16"/>
      <c r="F12202" s="16"/>
      <c r="H12202" s="16"/>
      <c r="AG12202" s="80"/>
      <c r="AH12202" s="80"/>
      <c r="AI12202" s="80"/>
    </row>
    <row r="12203" spans="5:35" x14ac:dyDescent="0.25">
      <c r="E12203" s="16"/>
      <c r="F12203" s="16"/>
      <c r="H12203" s="16"/>
      <c r="AG12203" s="80"/>
      <c r="AH12203" s="80"/>
      <c r="AI12203" s="80"/>
    </row>
    <row r="12204" spans="5:35" x14ac:dyDescent="0.25">
      <c r="E12204" s="16"/>
      <c r="F12204" s="16"/>
      <c r="H12204" s="16"/>
      <c r="AG12204" s="80"/>
      <c r="AH12204" s="80"/>
      <c r="AI12204" s="80"/>
    </row>
    <row r="12205" spans="5:35" x14ac:dyDescent="0.25">
      <c r="E12205" s="16"/>
      <c r="F12205" s="16"/>
      <c r="H12205" s="16"/>
      <c r="AG12205" s="80"/>
      <c r="AH12205" s="80"/>
      <c r="AI12205" s="80"/>
    </row>
    <row r="12206" spans="5:35" x14ac:dyDescent="0.25">
      <c r="E12206" s="16"/>
      <c r="F12206" s="16"/>
      <c r="H12206" s="16"/>
      <c r="AG12206" s="80"/>
      <c r="AH12206" s="80"/>
      <c r="AI12206" s="80"/>
    </row>
    <row r="12207" spans="5:35" x14ac:dyDescent="0.25">
      <c r="E12207" s="16"/>
      <c r="F12207" s="16"/>
      <c r="H12207" s="16"/>
      <c r="AG12207" s="80"/>
      <c r="AH12207" s="80"/>
      <c r="AI12207" s="80"/>
    </row>
    <row r="12208" spans="5:35" x14ac:dyDescent="0.25">
      <c r="E12208" s="16"/>
      <c r="F12208" s="16"/>
      <c r="H12208" s="16"/>
      <c r="AG12208" s="80"/>
      <c r="AH12208" s="80"/>
      <c r="AI12208" s="80"/>
    </row>
    <row r="12209" spans="5:35" x14ac:dyDescent="0.25">
      <c r="E12209" s="16"/>
      <c r="F12209" s="16"/>
      <c r="H12209" s="16"/>
      <c r="AG12209" s="80"/>
      <c r="AH12209" s="80"/>
      <c r="AI12209" s="80"/>
    </row>
    <row r="12210" spans="5:35" x14ac:dyDescent="0.25">
      <c r="E12210" s="16"/>
      <c r="F12210" s="16"/>
      <c r="H12210" s="16"/>
      <c r="AG12210" s="80"/>
      <c r="AH12210" s="80"/>
      <c r="AI12210" s="80"/>
    </row>
    <row r="12211" spans="5:35" x14ac:dyDescent="0.25">
      <c r="E12211" s="16"/>
      <c r="F12211" s="16"/>
      <c r="H12211" s="16"/>
      <c r="AG12211" s="80"/>
      <c r="AH12211" s="80"/>
      <c r="AI12211" s="80"/>
    </row>
    <row r="12212" spans="5:35" x14ac:dyDescent="0.25">
      <c r="E12212" s="16"/>
      <c r="F12212" s="16"/>
      <c r="H12212" s="16"/>
      <c r="AG12212" s="80"/>
      <c r="AH12212" s="80"/>
      <c r="AI12212" s="80"/>
    </row>
    <row r="12213" spans="5:35" x14ac:dyDescent="0.25">
      <c r="E12213" s="16"/>
      <c r="F12213" s="16"/>
      <c r="H12213" s="16"/>
      <c r="AG12213" s="80"/>
      <c r="AH12213" s="80"/>
      <c r="AI12213" s="80"/>
    </row>
    <row r="12214" spans="5:35" x14ac:dyDescent="0.25">
      <c r="E12214" s="16"/>
      <c r="F12214" s="16"/>
      <c r="H12214" s="16"/>
      <c r="AG12214" s="80"/>
      <c r="AH12214" s="80"/>
      <c r="AI12214" s="80"/>
    </row>
    <row r="12215" spans="5:35" x14ac:dyDescent="0.25">
      <c r="E12215" s="16"/>
      <c r="F12215" s="16"/>
      <c r="H12215" s="16"/>
      <c r="AG12215" s="80"/>
      <c r="AH12215" s="80"/>
      <c r="AI12215" s="80"/>
    </row>
    <row r="12216" spans="5:35" x14ac:dyDescent="0.25">
      <c r="E12216" s="16"/>
      <c r="F12216" s="16"/>
      <c r="H12216" s="16"/>
      <c r="AG12216" s="80"/>
      <c r="AH12216" s="80"/>
      <c r="AI12216" s="80"/>
    </row>
    <row r="12217" spans="5:35" x14ac:dyDescent="0.25">
      <c r="E12217" s="16"/>
      <c r="F12217" s="16"/>
      <c r="H12217" s="16"/>
      <c r="AG12217" s="80"/>
      <c r="AH12217" s="80"/>
      <c r="AI12217" s="80"/>
    </row>
    <row r="12218" spans="5:35" x14ac:dyDescent="0.25">
      <c r="E12218" s="16"/>
      <c r="F12218" s="16"/>
      <c r="H12218" s="16"/>
      <c r="AG12218" s="80"/>
      <c r="AH12218" s="80"/>
      <c r="AI12218" s="80"/>
    </row>
    <row r="12219" spans="5:35" x14ac:dyDescent="0.25">
      <c r="E12219" s="16"/>
      <c r="F12219" s="16"/>
      <c r="H12219" s="16"/>
      <c r="AG12219" s="80"/>
      <c r="AH12219" s="80"/>
      <c r="AI12219" s="80"/>
    </row>
    <row r="12220" spans="5:35" x14ac:dyDescent="0.25">
      <c r="E12220" s="16"/>
      <c r="F12220" s="16"/>
      <c r="H12220" s="16"/>
      <c r="AG12220" s="80"/>
      <c r="AH12220" s="80"/>
      <c r="AI12220" s="80"/>
    </row>
    <row r="12221" spans="5:35" x14ac:dyDescent="0.25">
      <c r="E12221" s="16"/>
      <c r="F12221" s="16"/>
      <c r="H12221" s="16"/>
      <c r="AG12221" s="80"/>
      <c r="AH12221" s="80"/>
      <c r="AI12221" s="80"/>
    </row>
    <row r="12222" spans="5:35" x14ac:dyDescent="0.25">
      <c r="E12222" s="16"/>
      <c r="F12222" s="16"/>
      <c r="H12222" s="16"/>
      <c r="AG12222" s="80"/>
      <c r="AH12222" s="80"/>
      <c r="AI12222" s="80"/>
    </row>
    <row r="12223" spans="5:35" x14ac:dyDescent="0.25">
      <c r="E12223" s="16"/>
      <c r="F12223" s="16"/>
      <c r="H12223" s="16"/>
      <c r="AG12223" s="80"/>
      <c r="AH12223" s="80"/>
      <c r="AI12223" s="80"/>
    </row>
    <row r="12224" spans="5:35" x14ac:dyDescent="0.25">
      <c r="E12224" s="16"/>
      <c r="F12224" s="16"/>
      <c r="H12224" s="16"/>
      <c r="AG12224" s="80"/>
      <c r="AH12224" s="80"/>
      <c r="AI12224" s="80"/>
    </row>
    <row r="12225" spans="5:35" x14ac:dyDescent="0.25">
      <c r="E12225" s="16"/>
      <c r="F12225" s="16"/>
      <c r="H12225" s="16"/>
      <c r="AG12225" s="80"/>
      <c r="AH12225" s="80"/>
      <c r="AI12225" s="80"/>
    </row>
    <row r="12226" spans="5:35" x14ac:dyDescent="0.25">
      <c r="E12226" s="16"/>
      <c r="F12226" s="16"/>
      <c r="H12226" s="16"/>
      <c r="AG12226" s="80"/>
      <c r="AH12226" s="80"/>
      <c r="AI12226" s="80"/>
    </row>
    <row r="12227" spans="5:35" x14ac:dyDescent="0.25">
      <c r="E12227" s="16"/>
      <c r="F12227" s="16"/>
      <c r="H12227" s="16"/>
      <c r="AG12227" s="80"/>
      <c r="AH12227" s="80"/>
      <c r="AI12227" s="80"/>
    </row>
    <row r="12228" spans="5:35" x14ac:dyDescent="0.25">
      <c r="E12228" s="16"/>
      <c r="F12228" s="16"/>
      <c r="H12228" s="16"/>
      <c r="AG12228" s="80"/>
      <c r="AH12228" s="80"/>
      <c r="AI12228" s="80"/>
    </row>
    <row r="12229" spans="5:35" x14ac:dyDescent="0.25">
      <c r="E12229" s="16"/>
      <c r="F12229" s="16"/>
      <c r="H12229" s="16"/>
      <c r="AG12229" s="80"/>
      <c r="AH12229" s="80"/>
      <c r="AI12229" s="80"/>
    </row>
    <row r="12230" spans="5:35" x14ac:dyDescent="0.25">
      <c r="E12230" s="16"/>
      <c r="F12230" s="16"/>
      <c r="H12230" s="16"/>
      <c r="AG12230" s="80"/>
      <c r="AH12230" s="80"/>
      <c r="AI12230" s="80"/>
    </row>
    <row r="12231" spans="5:35" x14ac:dyDescent="0.25">
      <c r="E12231" s="16"/>
      <c r="F12231" s="16"/>
      <c r="H12231" s="16"/>
      <c r="AG12231" s="80"/>
      <c r="AH12231" s="80"/>
      <c r="AI12231" s="80"/>
    </row>
    <row r="12232" spans="5:35" x14ac:dyDescent="0.25">
      <c r="E12232" s="16"/>
      <c r="F12232" s="16"/>
      <c r="H12232" s="16"/>
      <c r="AG12232" s="80"/>
      <c r="AH12232" s="80"/>
      <c r="AI12232" s="80"/>
    </row>
    <row r="12233" spans="5:35" x14ac:dyDescent="0.25">
      <c r="E12233" s="16"/>
      <c r="F12233" s="16"/>
      <c r="H12233" s="16"/>
      <c r="AG12233" s="80"/>
      <c r="AH12233" s="80"/>
      <c r="AI12233" s="80"/>
    </row>
    <row r="12234" spans="5:35" x14ac:dyDescent="0.25">
      <c r="E12234" s="16"/>
      <c r="F12234" s="16"/>
      <c r="H12234" s="16"/>
      <c r="AG12234" s="80"/>
      <c r="AH12234" s="80"/>
      <c r="AI12234" s="80"/>
    </row>
    <row r="12235" spans="5:35" x14ac:dyDescent="0.25">
      <c r="E12235" s="16"/>
      <c r="F12235" s="16"/>
      <c r="H12235" s="16"/>
      <c r="AG12235" s="80"/>
      <c r="AH12235" s="80"/>
      <c r="AI12235" s="80"/>
    </row>
    <row r="12236" spans="5:35" x14ac:dyDescent="0.25">
      <c r="E12236" s="16"/>
      <c r="F12236" s="16"/>
      <c r="H12236" s="16"/>
      <c r="AG12236" s="80"/>
      <c r="AH12236" s="80"/>
      <c r="AI12236" s="80"/>
    </row>
    <row r="12237" spans="5:35" x14ac:dyDescent="0.25">
      <c r="E12237" s="16"/>
      <c r="F12237" s="16"/>
      <c r="H12237" s="16"/>
      <c r="AG12237" s="80"/>
      <c r="AH12237" s="80"/>
      <c r="AI12237" s="80"/>
    </row>
    <row r="12238" spans="5:35" x14ac:dyDescent="0.25">
      <c r="E12238" s="16"/>
      <c r="F12238" s="16"/>
      <c r="H12238" s="16"/>
      <c r="AG12238" s="80"/>
      <c r="AH12238" s="80"/>
      <c r="AI12238" s="80"/>
    </row>
    <row r="12239" spans="5:35" x14ac:dyDescent="0.25">
      <c r="E12239" s="16"/>
      <c r="F12239" s="16"/>
      <c r="H12239" s="16"/>
      <c r="AG12239" s="80"/>
      <c r="AH12239" s="80"/>
      <c r="AI12239" s="80"/>
    </row>
    <row r="12240" spans="5:35" x14ac:dyDescent="0.25">
      <c r="E12240" s="16"/>
      <c r="F12240" s="16"/>
      <c r="H12240" s="16"/>
      <c r="AG12240" s="80"/>
      <c r="AH12240" s="80"/>
      <c r="AI12240" s="80"/>
    </row>
    <row r="12241" spans="5:35" x14ac:dyDescent="0.25">
      <c r="E12241" s="16"/>
      <c r="F12241" s="16"/>
      <c r="H12241" s="16"/>
      <c r="AG12241" s="80"/>
      <c r="AH12241" s="80"/>
      <c r="AI12241" s="80"/>
    </row>
    <row r="12242" spans="5:35" x14ac:dyDescent="0.25">
      <c r="E12242" s="16"/>
      <c r="F12242" s="16"/>
      <c r="H12242" s="16"/>
      <c r="AG12242" s="80"/>
      <c r="AH12242" s="80"/>
      <c r="AI12242" s="80"/>
    </row>
    <row r="12243" spans="5:35" x14ac:dyDescent="0.25">
      <c r="E12243" s="16"/>
      <c r="F12243" s="16"/>
      <c r="H12243" s="16"/>
      <c r="AG12243" s="80"/>
      <c r="AH12243" s="80"/>
      <c r="AI12243" s="80"/>
    </row>
    <row r="12244" spans="5:35" x14ac:dyDescent="0.25">
      <c r="E12244" s="16"/>
      <c r="F12244" s="16"/>
      <c r="H12244" s="16"/>
      <c r="AG12244" s="80"/>
      <c r="AH12244" s="80"/>
      <c r="AI12244" s="80"/>
    </row>
    <row r="12245" spans="5:35" x14ac:dyDescent="0.25">
      <c r="E12245" s="16"/>
      <c r="F12245" s="16"/>
      <c r="H12245" s="16"/>
      <c r="AG12245" s="80"/>
      <c r="AH12245" s="80"/>
      <c r="AI12245" s="80"/>
    </row>
    <row r="12246" spans="5:35" x14ac:dyDescent="0.25">
      <c r="E12246" s="16"/>
      <c r="F12246" s="16"/>
      <c r="H12246" s="16"/>
      <c r="AG12246" s="80"/>
      <c r="AH12246" s="80"/>
      <c r="AI12246" s="80"/>
    </row>
    <row r="12247" spans="5:35" x14ac:dyDescent="0.25">
      <c r="E12247" s="16"/>
      <c r="F12247" s="16"/>
      <c r="H12247" s="16"/>
      <c r="AG12247" s="80"/>
      <c r="AH12247" s="80"/>
      <c r="AI12247" s="80"/>
    </row>
    <row r="12248" spans="5:35" x14ac:dyDescent="0.25">
      <c r="E12248" s="16"/>
      <c r="F12248" s="16"/>
      <c r="H12248" s="16"/>
      <c r="AG12248" s="80"/>
      <c r="AH12248" s="80"/>
      <c r="AI12248" s="80"/>
    </row>
    <row r="12249" spans="5:35" x14ac:dyDescent="0.25">
      <c r="E12249" s="16"/>
      <c r="F12249" s="16"/>
      <c r="H12249" s="16"/>
      <c r="AG12249" s="80"/>
      <c r="AH12249" s="80"/>
      <c r="AI12249" s="80"/>
    </row>
    <row r="12250" spans="5:35" x14ac:dyDescent="0.25">
      <c r="E12250" s="16"/>
      <c r="F12250" s="16"/>
      <c r="H12250" s="16"/>
      <c r="AG12250" s="80"/>
      <c r="AH12250" s="80"/>
      <c r="AI12250" s="80"/>
    </row>
    <row r="12251" spans="5:35" x14ac:dyDescent="0.25">
      <c r="E12251" s="16"/>
      <c r="F12251" s="16"/>
      <c r="H12251" s="16"/>
      <c r="AG12251" s="80"/>
      <c r="AH12251" s="80"/>
      <c r="AI12251" s="80"/>
    </row>
    <row r="12252" spans="5:35" x14ac:dyDescent="0.25">
      <c r="E12252" s="16"/>
      <c r="F12252" s="16"/>
      <c r="H12252" s="16"/>
      <c r="AG12252" s="80"/>
      <c r="AH12252" s="80"/>
      <c r="AI12252" s="80"/>
    </row>
    <row r="12253" spans="5:35" x14ac:dyDescent="0.25">
      <c r="E12253" s="16"/>
      <c r="F12253" s="16"/>
      <c r="H12253" s="16"/>
      <c r="AG12253" s="80"/>
      <c r="AH12253" s="80"/>
      <c r="AI12253" s="80"/>
    </row>
    <row r="12254" spans="5:35" x14ac:dyDescent="0.25">
      <c r="E12254" s="16"/>
      <c r="F12254" s="16"/>
      <c r="H12254" s="16"/>
      <c r="AG12254" s="80"/>
      <c r="AH12254" s="80"/>
      <c r="AI12254" s="80"/>
    </row>
    <row r="12255" spans="5:35" x14ac:dyDescent="0.25">
      <c r="E12255" s="16"/>
      <c r="F12255" s="16"/>
      <c r="H12255" s="16"/>
      <c r="AG12255" s="80"/>
      <c r="AH12255" s="80"/>
      <c r="AI12255" s="80"/>
    </row>
    <row r="12256" spans="5:35" x14ac:dyDescent="0.25">
      <c r="E12256" s="16"/>
      <c r="F12256" s="16"/>
      <c r="H12256" s="16"/>
      <c r="AG12256" s="80"/>
      <c r="AH12256" s="80"/>
      <c r="AI12256" s="80"/>
    </row>
    <row r="12257" spans="5:35" x14ac:dyDescent="0.25">
      <c r="E12257" s="16"/>
      <c r="F12257" s="16"/>
      <c r="H12257" s="16"/>
      <c r="AG12257" s="80"/>
      <c r="AH12257" s="80"/>
      <c r="AI12257" s="80"/>
    </row>
    <row r="12258" spans="5:35" x14ac:dyDescent="0.25">
      <c r="E12258" s="16"/>
      <c r="F12258" s="16"/>
      <c r="H12258" s="16"/>
      <c r="AG12258" s="80"/>
      <c r="AH12258" s="80"/>
      <c r="AI12258" s="80"/>
    </row>
    <row r="12259" spans="5:35" x14ac:dyDescent="0.25">
      <c r="E12259" s="16"/>
      <c r="F12259" s="16"/>
      <c r="H12259" s="16"/>
      <c r="AG12259" s="80"/>
      <c r="AH12259" s="80"/>
      <c r="AI12259" s="80"/>
    </row>
    <row r="12260" spans="5:35" x14ac:dyDescent="0.25">
      <c r="E12260" s="16"/>
      <c r="F12260" s="16"/>
      <c r="H12260" s="16"/>
      <c r="AG12260" s="80"/>
      <c r="AH12260" s="80"/>
      <c r="AI12260" s="80"/>
    </row>
    <row r="12261" spans="5:35" x14ac:dyDescent="0.25">
      <c r="E12261" s="16"/>
      <c r="F12261" s="16"/>
      <c r="H12261" s="16"/>
      <c r="AG12261" s="80"/>
      <c r="AH12261" s="80"/>
      <c r="AI12261" s="80"/>
    </row>
    <row r="12262" spans="5:35" x14ac:dyDescent="0.25">
      <c r="E12262" s="16"/>
      <c r="F12262" s="16"/>
      <c r="H12262" s="16"/>
      <c r="AG12262" s="80"/>
      <c r="AH12262" s="80"/>
      <c r="AI12262" s="80"/>
    </row>
    <row r="12263" spans="5:35" x14ac:dyDescent="0.25">
      <c r="E12263" s="16"/>
      <c r="F12263" s="16"/>
      <c r="H12263" s="16"/>
      <c r="AG12263" s="80"/>
      <c r="AH12263" s="80"/>
      <c r="AI12263" s="80"/>
    </row>
    <row r="12264" spans="5:35" x14ac:dyDescent="0.25">
      <c r="E12264" s="16"/>
      <c r="F12264" s="16"/>
      <c r="H12264" s="16"/>
      <c r="AG12264" s="80"/>
      <c r="AH12264" s="80"/>
      <c r="AI12264" s="80"/>
    </row>
    <row r="12265" spans="5:35" x14ac:dyDescent="0.25">
      <c r="E12265" s="16"/>
      <c r="F12265" s="16"/>
      <c r="H12265" s="16"/>
      <c r="AG12265" s="80"/>
      <c r="AH12265" s="80"/>
      <c r="AI12265" s="80"/>
    </row>
    <row r="12266" spans="5:35" x14ac:dyDescent="0.25">
      <c r="E12266" s="16"/>
      <c r="F12266" s="16"/>
      <c r="H12266" s="16"/>
      <c r="AG12266" s="80"/>
      <c r="AH12266" s="80"/>
      <c r="AI12266" s="80"/>
    </row>
    <row r="12267" spans="5:35" x14ac:dyDescent="0.25">
      <c r="E12267" s="16"/>
      <c r="F12267" s="16"/>
      <c r="H12267" s="16"/>
      <c r="AG12267" s="80"/>
      <c r="AH12267" s="80"/>
      <c r="AI12267" s="80"/>
    </row>
    <row r="12268" spans="5:35" x14ac:dyDescent="0.25">
      <c r="E12268" s="16"/>
      <c r="F12268" s="16"/>
      <c r="H12268" s="16"/>
      <c r="AG12268" s="80"/>
      <c r="AH12268" s="80"/>
      <c r="AI12268" s="80"/>
    </row>
    <row r="12269" spans="5:35" x14ac:dyDescent="0.25">
      <c r="E12269" s="16"/>
      <c r="F12269" s="16"/>
      <c r="H12269" s="16"/>
      <c r="AG12269" s="80"/>
      <c r="AH12269" s="80"/>
      <c r="AI12269" s="80"/>
    </row>
    <row r="12270" spans="5:35" x14ac:dyDescent="0.25">
      <c r="E12270" s="16"/>
      <c r="F12270" s="16"/>
      <c r="H12270" s="16"/>
      <c r="AG12270" s="80"/>
      <c r="AH12270" s="80"/>
      <c r="AI12270" s="80"/>
    </row>
    <row r="12271" spans="5:35" x14ac:dyDescent="0.25">
      <c r="E12271" s="16"/>
      <c r="F12271" s="16"/>
      <c r="H12271" s="16"/>
      <c r="AG12271" s="80"/>
      <c r="AH12271" s="80"/>
      <c r="AI12271" s="80"/>
    </row>
    <row r="12272" spans="5:35" x14ac:dyDescent="0.25">
      <c r="E12272" s="16"/>
      <c r="F12272" s="16"/>
      <c r="H12272" s="16"/>
      <c r="AG12272" s="80"/>
      <c r="AH12272" s="80"/>
      <c r="AI12272" s="80"/>
    </row>
    <row r="12273" spans="5:35" x14ac:dyDescent="0.25">
      <c r="E12273" s="16"/>
      <c r="F12273" s="16"/>
      <c r="H12273" s="16"/>
      <c r="AG12273" s="80"/>
      <c r="AH12273" s="80"/>
      <c r="AI12273" s="80"/>
    </row>
    <row r="12274" spans="5:35" x14ac:dyDescent="0.25">
      <c r="E12274" s="16"/>
      <c r="F12274" s="16"/>
      <c r="H12274" s="16"/>
      <c r="AG12274" s="80"/>
      <c r="AH12274" s="80"/>
      <c r="AI12274" s="80"/>
    </row>
    <row r="12275" spans="5:35" x14ac:dyDescent="0.25">
      <c r="E12275" s="16"/>
      <c r="F12275" s="16"/>
      <c r="H12275" s="16"/>
      <c r="AG12275" s="80"/>
      <c r="AH12275" s="80"/>
      <c r="AI12275" s="80"/>
    </row>
    <row r="12276" spans="5:35" x14ac:dyDescent="0.25">
      <c r="E12276" s="16"/>
      <c r="F12276" s="16"/>
      <c r="H12276" s="16"/>
      <c r="AG12276" s="80"/>
      <c r="AH12276" s="80"/>
      <c r="AI12276" s="80"/>
    </row>
    <row r="12277" spans="5:35" x14ac:dyDescent="0.25">
      <c r="E12277" s="16"/>
      <c r="F12277" s="16"/>
      <c r="H12277" s="16"/>
      <c r="AG12277" s="80"/>
      <c r="AH12277" s="80"/>
      <c r="AI12277" s="80"/>
    </row>
    <row r="12278" spans="5:35" x14ac:dyDescent="0.25">
      <c r="E12278" s="16"/>
      <c r="F12278" s="16"/>
      <c r="H12278" s="16"/>
      <c r="AG12278" s="80"/>
      <c r="AH12278" s="80"/>
      <c r="AI12278" s="80"/>
    </row>
    <row r="12279" spans="5:35" x14ac:dyDescent="0.25">
      <c r="E12279" s="16"/>
      <c r="F12279" s="16"/>
      <c r="H12279" s="16"/>
      <c r="AG12279" s="80"/>
      <c r="AH12279" s="80"/>
      <c r="AI12279" s="80"/>
    </row>
    <row r="12280" spans="5:35" x14ac:dyDescent="0.25">
      <c r="E12280" s="16"/>
      <c r="F12280" s="16"/>
      <c r="H12280" s="16"/>
      <c r="AG12280" s="80"/>
      <c r="AH12280" s="80"/>
      <c r="AI12280" s="80"/>
    </row>
    <row r="12281" spans="5:35" x14ac:dyDescent="0.25">
      <c r="E12281" s="16"/>
      <c r="F12281" s="16"/>
      <c r="H12281" s="16"/>
      <c r="AG12281" s="80"/>
      <c r="AH12281" s="80"/>
      <c r="AI12281" s="80"/>
    </row>
    <row r="12282" spans="5:35" x14ac:dyDescent="0.25">
      <c r="E12282" s="16"/>
      <c r="F12282" s="16"/>
      <c r="H12282" s="16"/>
      <c r="AG12282" s="80"/>
      <c r="AH12282" s="80"/>
      <c r="AI12282" s="80"/>
    </row>
    <row r="12283" spans="5:35" x14ac:dyDescent="0.25">
      <c r="E12283" s="16"/>
      <c r="F12283" s="16"/>
      <c r="H12283" s="16"/>
      <c r="AG12283" s="80"/>
      <c r="AH12283" s="80"/>
      <c r="AI12283" s="80"/>
    </row>
    <row r="12284" spans="5:35" x14ac:dyDescent="0.25">
      <c r="E12284" s="16"/>
      <c r="F12284" s="16"/>
      <c r="H12284" s="16"/>
      <c r="AG12284" s="80"/>
      <c r="AH12284" s="80"/>
      <c r="AI12284" s="80"/>
    </row>
    <row r="12285" spans="5:35" x14ac:dyDescent="0.25">
      <c r="E12285" s="16"/>
      <c r="F12285" s="16"/>
      <c r="H12285" s="16"/>
      <c r="AG12285" s="80"/>
      <c r="AH12285" s="80"/>
      <c r="AI12285" s="80"/>
    </row>
    <row r="12286" spans="5:35" x14ac:dyDescent="0.25">
      <c r="E12286" s="16"/>
      <c r="F12286" s="16"/>
      <c r="H12286" s="16"/>
      <c r="AG12286" s="80"/>
      <c r="AH12286" s="80"/>
      <c r="AI12286" s="80"/>
    </row>
    <row r="12287" spans="5:35" x14ac:dyDescent="0.25">
      <c r="E12287" s="16"/>
      <c r="F12287" s="16"/>
      <c r="H12287" s="16"/>
      <c r="AG12287" s="80"/>
      <c r="AH12287" s="80"/>
      <c r="AI12287" s="80"/>
    </row>
    <row r="12288" spans="5:35" x14ac:dyDescent="0.25">
      <c r="E12288" s="16"/>
      <c r="F12288" s="16"/>
      <c r="H12288" s="16"/>
      <c r="AG12288" s="80"/>
      <c r="AH12288" s="80"/>
      <c r="AI12288" s="80"/>
    </row>
    <row r="12289" spans="5:35" x14ac:dyDescent="0.25">
      <c r="E12289" s="16"/>
      <c r="F12289" s="16"/>
      <c r="H12289" s="16"/>
      <c r="AG12289" s="80"/>
      <c r="AH12289" s="80"/>
      <c r="AI12289" s="80"/>
    </row>
    <row r="12290" spans="5:35" x14ac:dyDescent="0.25">
      <c r="E12290" s="16"/>
      <c r="F12290" s="16"/>
      <c r="H12290" s="16"/>
      <c r="AG12290" s="80"/>
      <c r="AH12290" s="80"/>
      <c r="AI12290" s="80"/>
    </row>
    <row r="12291" spans="5:35" x14ac:dyDescent="0.25">
      <c r="E12291" s="16"/>
      <c r="F12291" s="16"/>
      <c r="H12291" s="16"/>
      <c r="AG12291" s="80"/>
      <c r="AH12291" s="80"/>
      <c r="AI12291" s="80"/>
    </row>
    <row r="12292" spans="5:35" x14ac:dyDescent="0.25">
      <c r="E12292" s="16"/>
      <c r="F12292" s="16"/>
      <c r="H12292" s="16"/>
      <c r="AG12292" s="80"/>
      <c r="AH12292" s="80"/>
      <c r="AI12292" s="80"/>
    </row>
    <row r="12293" spans="5:35" x14ac:dyDescent="0.25">
      <c r="E12293" s="16"/>
      <c r="F12293" s="16"/>
      <c r="H12293" s="16"/>
      <c r="AG12293" s="80"/>
      <c r="AH12293" s="80"/>
      <c r="AI12293" s="80"/>
    </row>
    <row r="12294" spans="5:35" x14ac:dyDescent="0.25">
      <c r="E12294" s="16"/>
      <c r="F12294" s="16"/>
      <c r="H12294" s="16"/>
      <c r="AG12294" s="80"/>
      <c r="AH12294" s="80"/>
      <c r="AI12294" s="80"/>
    </row>
    <row r="12295" spans="5:35" x14ac:dyDescent="0.25">
      <c r="E12295" s="16"/>
      <c r="F12295" s="16"/>
      <c r="H12295" s="16"/>
      <c r="AG12295" s="80"/>
      <c r="AH12295" s="80"/>
      <c r="AI12295" s="80"/>
    </row>
    <row r="12296" spans="5:35" x14ac:dyDescent="0.25">
      <c r="E12296" s="16"/>
      <c r="F12296" s="16"/>
      <c r="H12296" s="16"/>
      <c r="AG12296" s="80"/>
      <c r="AH12296" s="80"/>
      <c r="AI12296" s="80"/>
    </row>
    <row r="12297" spans="5:35" x14ac:dyDescent="0.25">
      <c r="E12297" s="16"/>
      <c r="F12297" s="16"/>
      <c r="H12297" s="16"/>
      <c r="AG12297" s="80"/>
      <c r="AH12297" s="80"/>
      <c r="AI12297" s="80"/>
    </row>
    <row r="12298" spans="5:35" x14ac:dyDescent="0.25">
      <c r="E12298" s="16"/>
      <c r="F12298" s="16"/>
      <c r="H12298" s="16"/>
      <c r="AG12298" s="80"/>
      <c r="AH12298" s="80"/>
      <c r="AI12298" s="80"/>
    </row>
    <row r="12299" spans="5:35" x14ac:dyDescent="0.25">
      <c r="E12299" s="16"/>
      <c r="F12299" s="16"/>
      <c r="H12299" s="16"/>
      <c r="AG12299" s="80"/>
      <c r="AH12299" s="80"/>
      <c r="AI12299" s="80"/>
    </row>
    <row r="12300" spans="5:35" x14ac:dyDescent="0.25">
      <c r="E12300" s="16"/>
      <c r="F12300" s="16"/>
      <c r="H12300" s="16"/>
      <c r="AG12300" s="80"/>
      <c r="AH12300" s="80"/>
      <c r="AI12300" s="80"/>
    </row>
    <row r="12301" spans="5:35" x14ac:dyDescent="0.25">
      <c r="E12301" s="16"/>
      <c r="F12301" s="16"/>
      <c r="H12301" s="16"/>
      <c r="AG12301" s="80"/>
      <c r="AH12301" s="80"/>
      <c r="AI12301" s="80"/>
    </row>
    <row r="12302" spans="5:35" x14ac:dyDescent="0.25">
      <c r="E12302" s="16"/>
      <c r="F12302" s="16"/>
      <c r="H12302" s="16"/>
      <c r="AG12302" s="80"/>
      <c r="AH12302" s="80"/>
      <c r="AI12302" s="80"/>
    </row>
    <row r="12303" spans="5:35" x14ac:dyDescent="0.25">
      <c r="E12303" s="16"/>
      <c r="F12303" s="16"/>
      <c r="H12303" s="16"/>
      <c r="AG12303" s="80"/>
      <c r="AH12303" s="80"/>
      <c r="AI12303" s="80"/>
    </row>
    <row r="12304" spans="5:35" x14ac:dyDescent="0.25">
      <c r="E12304" s="16"/>
      <c r="F12304" s="16"/>
      <c r="H12304" s="16"/>
      <c r="AG12304" s="80"/>
      <c r="AH12304" s="80"/>
      <c r="AI12304" s="80"/>
    </row>
    <row r="12305" spans="5:35" x14ac:dyDescent="0.25">
      <c r="E12305" s="16"/>
      <c r="F12305" s="16"/>
      <c r="H12305" s="16"/>
      <c r="AG12305" s="80"/>
      <c r="AH12305" s="80"/>
      <c r="AI12305" s="80"/>
    </row>
    <row r="12306" spans="5:35" x14ac:dyDescent="0.25">
      <c r="E12306" s="16"/>
      <c r="F12306" s="16"/>
      <c r="H12306" s="16"/>
      <c r="AG12306" s="80"/>
      <c r="AH12306" s="80"/>
      <c r="AI12306" s="80"/>
    </row>
    <row r="12307" spans="5:35" x14ac:dyDescent="0.25">
      <c r="E12307" s="16"/>
      <c r="F12307" s="16"/>
      <c r="H12307" s="16"/>
      <c r="AG12307" s="80"/>
      <c r="AH12307" s="80"/>
      <c r="AI12307" s="80"/>
    </row>
    <row r="12308" spans="5:35" x14ac:dyDescent="0.25">
      <c r="E12308" s="16"/>
      <c r="F12308" s="16"/>
      <c r="H12308" s="16"/>
      <c r="AG12308" s="80"/>
      <c r="AH12308" s="80"/>
      <c r="AI12308" s="80"/>
    </row>
    <row r="12309" spans="5:35" x14ac:dyDescent="0.25">
      <c r="E12309" s="16"/>
      <c r="F12309" s="16"/>
      <c r="H12309" s="16"/>
      <c r="AG12309" s="80"/>
      <c r="AH12309" s="80"/>
      <c r="AI12309" s="80"/>
    </row>
    <row r="12310" spans="5:35" x14ac:dyDescent="0.25">
      <c r="E12310" s="16"/>
      <c r="F12310" s="16"/>
      <c r="H12310" s="16"/>
      <c r="AG12310" s="80"/>
      <c r="AH12310" s="80"/>
      <c r="AI12310" s="80"/>
    </row>
    <row r="12311" spans="5:35" x14ac:dyDescent="0.25">
      <c r="E12311" s="16"/>
      <c r="F12311" s="16"/>
      <c r="H12311" s="16"/>
      <c r="AG12311" s="80"/>
      <c r="AH12311" s="80"/>
      <c r="AI12311" s="80"/>
    </row>
    <row r="12312" spans="5:35" x14ac:dyDescent="0.25">
      <c r="E12312" s="16"/>
      <c r="F12312" s="16"/>
      <c r="H12312" s="16"/>
      <c r="AG12312" s="80"/>
      <c r="AH12312" s="80"/>
      <c r="AI12312" s="80"/>
    </row>
    <row r="12313" spans="5:35" x14ac:dyDescent="0.25">
      <c r="E12313" s="16"/>
      <c r="F12313" s="16"/>
      <c r="H12313" s="16"/>
      <c r="AG12313" s="80"/>
      <c r="AH12313" s="80"/>
      <c r="AI12313" s="80"/>
    </row>
    <row r="12314" spans="5:35" x14ac:dyDescent="0.25">
      <c r="E12314" s="16"/>
      <c r="F12314" s="16"/>
      <c r="H12314" s="16"/>
      <c r="AG12314" s="80"/>
      <c r="AH12314" s="80"/>
      <c r="AI12314" s="80"/>
    </row>
    <row r="12315" spans="5:35" x14ac:dyDescent="0.25">
      <c r="E12315" s="16"/>
      <c r="F12315" s="16"/>
      <c r="H12315" s="16"/>
      <c r="AG12315" s="80"/>
      <c r="AH12315" s="80"/>
      <c r="AI12315" s="80"/>
    </row>
    <row r="12316" spans="5:35" x14ac:dyDescent="0.25">
      <c r="E12316" s="16"/>
      <c r="F12316" s="16"/>
      <c r="H12316" s="16"/>
      <c r="AG12316" s="80"/>
      <c r="AH12316" s="80"/>
      <c r="AI12316" s="80"/>
    </row>
    <row r="12317" spans="5:35" x14ac:dyDescent="0.25">
      <c r="E12317" s="16"/>
      <c r="F12317" s="16"/>
      <c r="H12317" s="16"/>
      <c r="AG12317" s="80"/>
      <c r="AH12317" s="80"/>
      <c r="AI12317" s="80"/>
    </row>
    <row r="12318" spans="5:35" x14ac:dyDescent="0.25">
      <c r="E12318" s="16"/>
      <c r="F12318" s="16"/>
      <c r="H12318" s="16"/>
      <c r="AG12318" s="80"/>
      <c r="AH12318" s="80"/>
      <c r="AI12318" s="80"/>
    </row>
    <row r="12319" spans="5:35" x14ac:dyDescent="0.25">
      <c r="E12319" s="16"/>
      <c r="F12319" s="16"/>
      <c r="H12319" s="16"/>
      <c r="AG12319" s="80"/>
      <c r="AH12319" s="80"/>
      <c r="AI12319" s="80"/>
    </row>
    <row r="12320" spans="5:35" x14ac:dyDescent="0.25">
      <c r="E12320" s="16"/>
      <c r="F12320" s="16"/>
      <c r="H12320" s="16"/>
      <c r="AG12320" s="80"/>
      <c r="AH12320" s="80"/>
      <c r="AI12320" s="80"/>
    </row>
    <row r="12321" spans="5:35" x14ac:dyDescent="0.25">
      <c r="E12321" s="16"/>
      <c r="F12321" s="16"/>
      <c r="H12321" s="16"/>
      <c r="AG12321" s="80"/>
      <c r="AH12321" s="80"/>
      <c r="AI12321" s="80"/>
    </row>
    <row r="12322" spans="5:35" x14ac:dyDescent="0.25">
      <c r="E12322" s="16"/>
      <c r="F12322" s="16"/>
      <c r="H12322" s="16"/>
      <c r="AG12322" s="80"/>
      <c r="AH12322" s="80"/>
      <c r="AI12322" s="80"/>
    </row>
    <row r="12323" spans="5:35" x14ac:dyDescent="0.25">
      <c r="E12323" s="16"/>
      <c r="F12323" s="16"/>
      <c r="H12323" s="16"/>
      <c r="AG12323" s="80"/>
      <c r="AH12323" s="80"/>
      <c r="AI12323" s="80"/>
    </row>
    <row r="12324" spans="5:35" x14ac:dyDescent="0.25">
      <c r="E12324" s="16"/>
      <c r="F12324" s="16"/>
      <c r="H12324" s="16"/>
      <c r="AG12324" s="80"/>
      <c r="AH12324" s="80"/>
      <c r="AI12324" s="80"/>
    </row>
    <row r="12325" spans="5:35" x14ac:dyDescent="0.25">
      <c r="E12325" s="16"/>
      <c r="F12325" s="16"/>
      <c r="H12325" s="16"/>
      <c r="AG12325" s="80"/>
      <c r="AH12325" s="80"/>
      <c r="AI12325" s="80"/>
    </row>
    <row r="12326" spans="5:35" x14ac:dyDescent="0.25">
      <c r="E12326" s="16"/>
      <c r="F12326" s="16"/>
      <c r="H12326" s="16"/>
      <c r="AG12326" s="80"/>
      <c r="AH12326" s="80"/>
      <c r="AI12326" s="80"/>
    </row>
    <row r="12327" spans="5:35" x14ac:dyDescent="0.25">
      <c r="E12327" s="16"/>
      <c r="F12327" s="16"/>
      <c r="H12327" s="16"/>
      <c r="AG12327" s="80"/>
      <c r="AH12327" s="80"/>
      <c r="AI12327" s="80"/>
    </row>
    <row r="12328" spans="5:35" x14ac:dyDescent="0.25">
      <c r="E12328" s="16"/>
      <c r="F12328" s="16"/>
      <c r="H12328" s="16"/>
      <c r="AG12328" s="80"/>
      <c r="AH12328" s="80"/>
      <c r="AI12328" s="80"/>
    </row>
    <row r="12329" spans="5:35" x14ac:dyDescent="0.25">
      <c r="E12329" s="16"/>
      <c r="F12329" s="16"/>
      <c r="H12329" s="16"/>
      <c r="AG12329" s="80"/>
      <c r="AH12329" s="80"/>
      <c r="AI12329" s="80"/>
    </row>
    <row r="12330" spans="5:35" x14ac:dyDescent="0.25">
      <c r="E12330" s="16"/>
      <c r="F12330" s="16"/>
      <c r="H12330" s="16"/>
      <c r="AG12330" s="80"/>
      <c r="AH12330" s="80"/>
      <c r="AI12330" s="80"/>
    </row>
    <row r="12331" spans="5:35" x14ac:dyDescent="0.25">
      <c r="E12331" s="16"/>
      <c r="F12331" s="16"/>
      <c r="H12331" s="16"/>
      <c r="AG12331" s="80"/>
      <c r="AH12331" s="80"/>
      <c r="AI12331" s="80"/>
    </row>
    <row r="12332" spans="5:35" x14ac:dyDescent="0.25">
      <c r="E12332" s="16"/>
      <c r="F12332" s="16"/>
      <c r="H12332" s="16"/>
      <c r="AG12332" s="80"/>
      <c r="AH12332" s="80"/>
      <c r="AI12332" s="80"/>
    </row>
    <row r="12333" spans="5:35" x14ac:dyDescent="0.25">
      <c r="E12333" s="16"/>
      <c r="F12333" s="16"/>
      <c r="H12333" s="16"/>
      <c r="AG12333" s="80"/>
      <c r="AH12333" s="80"/>
      <c r="AI12333" s="80"/>
    </row>
    <row r="12334" spans="5:35" x14ac:dyDescent="0.25">
      <c r="E12334" s="16"/>
      <c r="F12334" s="16"/>
      <c r="H12334" s="16"/>
      <c r="AG12334" s="80"/>
      <c r="AH12334" s="80"/>
      <c r="AI12334" s="80"/>
    </row>
    <row r="12335" spans="5:35" x14ac:dyDescent="0.25">
      <c r="E12335" s="16"/>
      <c r="F12335" s="16"/>
      <c r="H12335" s="16"/>
      <c r="AG12335" s="80"/>
      <c r="AH12335" s="80"/>
      <c r="AI12335" s="80"/>
    </row>
    <row r="12336" spans="5:35" x14ac:dyDescent="0.25">
      <c r="E12336" s="16"/>
      <c r="F12336" s="16"/>
      <c r="H12336" s="16"/>
      <c r="AG12336" s="80"/>
      <c r="AH12336" s="80"/>
      <c r="AI12336" s="80"/>
    </row>
    <row r="12337" spans="5:35" x14ac:dyDescent="0.25">
      <c r="E12337" s="16"/>
      <c r="F12337" s="16"/>
      <c r="H12337" s="16"/>
      <c r="AG12337" s="80"/>
      <c r="AH12337" s="80"/>
      <c r="AI12337" s="80"/>
    </row>
    <row r="12338" spans="5:35" x14ac:dyDescent="0.25">
      <c r="E12338" s="16"/>
      <c r="F12338" s="16"/>
      <c r="H12338" s="16"/>
      <c r="AG12338" s="80"/>
      <c r="AH12338" s="80"/>
      <c r="AI12338" s="80"/>
    </row>
    <row r="12339" spans="5:35" x14ac:dyDescent="0.25">
      <c r="E12339" s="16"/>
      <c r="F12339" s="16"/>
      <c r="H12339" s="16"/>
      <c r="AG12339" s="80"/>
      <c r="AH12339" s="80"/>
      <c r="AI12339" s="80"/>
    </row>
    <row r="12340" spans="5:35" x14ac:dyDescent="0.25">
      <c r="E12340" s="16"/>
      <c r="F12340" s="16"/>
      <c r="H12340" s="16"/>
      <c r="AG12340" s="80"/>
      <c r="AH12340" s="80"/>
      <c r="AI12340" s="80"/>
    </row>
    <row r="12341" spans="5:35" x14ac:dyDescent="0.25">
      <c r="E12341" s="16"/>
      <c r="F12341" s="16"/>
      <c r="H12341" s="16"/>
      <c r="AG12341" s="80"/>
      <c r="AH12341" s="80"/>
      <c r="AI12341" s="80"/>
    </row>
    <row r="12342" spans="5:35" x14ac:dyDescent="0.25">
      <c r="E12342" s="16"/>
      <c r="F12342" s="16"/>
      <c r="H12342" s="16"/>
      <c r="AG12342" s="80"/>
      <c r="AH12342" s="80"/>
      <c r="AI12342" s="80"/>
    </row>
    <row r="12343" spans="5:35" x14ac:dyDescent="0.25">
      <c r="E12343" s="16"/>
      <c r="F12343" s="16"/>
      <c r="H12343" s="16"/>
      <c r="AG12343" s="80"/>
      <c r="AH12343" s="80"/>
      <c r="AI12343" s="80"/>
    </row>
    <row r="12344" spans="5:35" x14ac:dyDescent="0.25">
      <c r="E12344" s="16"/>
      <c r="F12344" s="16"/>
      <c r="H12344" s="16"/>
      <c r="AG12344" s="80"/>
      <c r="AH12344" s="80"/>
      <c r="AI12344" s="80"/>
    </row>
    <row r="12345" spans="5:35" x14ac:dyDescent="0.25">
      <c r="E12345" s="16"/>
      <c r="F12345" s="16"/>
      <c r="H12345" s="16"/>
      <c r="AG12345" s="80"/>
      <c r="AH12345" s="80"/>
      <c r="AI12345" s="80"/>
    </row>
    <row r="12346" spans="5:35" x14ac:dyDescent="0.25">
      <c r="E12346" s="16"/>
      <c r="F12346" s="16"/>
      <c r="H12346" s="16"/>
      <c r="AG12346" s="80"/>
      <c r="AH12346" s="80"/>
      <c r="AI12346" s="80"/>
    </row>
    <row r="12347" spans="5:35" x14ac:dyDescent="0.25">
      <c r="E12347" s="16"/>
      <c r="F12347" s="16"/>
      <c r="H12347" s="16"/>
      <c r="AG12347" s="80"/>
      <c r="AH12347" s="80"/>
      <c r="AI12347" s="80"/>
    </row>
    <row r="12348" spans="5:35" x14ac:dyDescent="0.25">
      <c r="E12348" s="16"/>
      <c r="F12348" s="16"/>
      <c r="H12348" s="16"/>
      <c r="AG12348" s="80"/>
      <c r="AH12348" s="80"/>
      <c r="AI12348" s="80"/>
    </row>
    <row r="12349" spans="5:35" x14ac:dyDescent="0.25">
      <c r="E12349" s="16"/>
      <c r="F12349" s="16"/>
      <c r="H12349" s="16"/>
      <c r="AG12349" s="80"/>
      <c r="AH12349" s="80"/>
      <c r="AI12349" s="80"/>
    </row>
    <row r="12350" spans="5:35" x14ac:dyDescent="0.25">
      <c r="E12350" s="16"/>
      <c r="F12350" s="16"/>
      <c r="H12350" s="16"/>
      <c r="AG12350" s="80"/>
      <c r="AH12350" s="80"/>
      <c r="AI12350" s="80"/>
    </row>
    <row r="12351" spans="5:35" x14ac:dyDescent="0.25">
      <c r="E12351" s="16"/>
      <c r="F12351" s="16"/>
      <c r="H12351" s="16"/>
      <c r="AG12351" s="80"/>
      <c r="AH12351" s="80"/>
      <c r="AI12351" s="80"/>
    </row>
    <row r="12352" spans="5:35" x14ac:dyDescent="0.25">
      <c r="E12352" s="16"/>
      <c r="F12352" s="16"/>
      <c r="H12352" s="16"/>
      <c r="AG12352" s="80"/>
      <c r="AH12352" s="80"/>
      <c r="AI12352" s="80"/>
    </row>
    <row r="12353" spans="5:35" x14ac:dyDescent="0.25">
      <c r="E12353" s="16"/>
      <c r="F12353" s="16"/>
      <c r="H12353" s="16"/>
      <c r="AG12353" s="80"/>
      <c r="AH12353" s="80"/>
      <c r="AI12353" s="80"/>
    </row>
    <row r="12354" spans="5:35" x14ac:dyDescent="0.25">
      <c r="E12354" s="16"/>
      <c r="F12354" s="16"/>
      <c r="H12354" s="16"/>
      <c r="AG12354" s="80"/>
      <c r="AH12354" s="80"/>
      <c r="AI12354" s="80"/>
    </row>
    <row r="12355" spans="5:35" x14ac:dyDescent="0.25">
      <c r="E12355" s="16"/>
      <c r="F12355" s="16"/>
      <c r="H12355" s="16"/>
      <c r="AG12355" s="80"/>
      <c r="AH12355" s="80"/>
      <c r="AI12355" s="80"/>
    </row>
    <row r="12356" spans="5:35" x14ac:dyDescent="0.25">
      <c r="E12356" s="16"/>
      <c r="F12356" s="16"/>
      <c r="H12356" s="16"/>
      <c r="AG12356" s="80"/>
      <c r="AH12356" s="80"/>
      <c r="AI12356" s="80"/>
    </row>
    <row r="12357" spans="5:35" x14ac:dyDescent="0.25">
      <c r="E12357" s="16"/>
      <c r="F12357" s="16"/>
      <c r="H12357" s="16"/>
      <c r="AG12357" s="80"/>
      <c r="AH12357" s="80"/>
      <c r="AI12357" s="80"/>
    </row>
    <row r="12358" spans="5:35" x14ac:dyDescent="0.25">
      <c r="E12358" s="16"/>
      <c r="F12358" s="16"/>
      <c r="H12358" s="16"/>
      <c r="AG12358" s="80"/>
      <c r="AH12358" s="80"/>
      <c r="AI12358" s="80"/>
    </row>
    <row r="12359" spans="5:35" x14ac:dyDescent="0.25">
      <c r="E12359" s="16"/>
      <c r="F12359" s="16"/>
      <c r="H12359" s="16"/>
      <c r="AG12359" s="80"/>
      <c r="AH12359" s="80"/>
      <c r="AI12359" s="80"/>
    </row>
    <row r="12360" spans="5:35" x14ac:dyDescent="0.25">
      <c r="E12360" s="16"/>
      <c r="F12360" s="16"/>
      <c r="H12360" s="16"/>
      <c r="AG12360" s="80"/>
      <c r="AH12360" s="80"/>
      <c r="AI12360" s="80"/>
    </row>
    <row r="12361" spans="5:35" x14ac:dyDescent="0.25">
      <c r="E12361" s="16"/>
      <c r="F12361" s="16"/>
      <c r="H12361" s="16"/>
      <c r="AG12361" s="80"/>
      <c r="AH12361" s="80"/>
      <c r="AI12361" s="80"/>
    </row>
    <row r="12362" spans="5:35" x14ac:dyDescent="0.25">
      <c r="E12362" s="16"/>
      <c r="F12362" s="16"/>
      <c r="H12362" s="16"/>
      <c r="AG12362" s="80"/>
      <c r="AH12362" s="80"/>
      <c r="AI12362" s="80"/>
    </row>
    <row r="12363" spans="5:35" x14ac:dyDescent="0.25">
      <c r="E12363" s="16"/>
      <c r="F12363" s="16"/>
      <c r="H12363" s="16"/>
      <c r="AG12363" s="80"/>
      <c r="AH12363" s="80"/>
      <c r="AI12363" s="80"/>
    </row>
    <row r="12364" spans="5:35" x14ac:dyDescent="0.25">
      <c r="E12364" s="16"/>
      <c r="F12364" s="16"/>
      <c r="H12364" s="16"/>
      <c r="AG12364" s="80"/>
      <c r="AH12364" s="80"/>
      <c r="AI12364" s="80"/>
    </row>
    <row r="12365" spans="5:35" x14ac:dyDescent="0.25">
      <c r="E12365" s="16"/>
      <c r="F12365" s="16"/>
      <c r="H12365" s="16"/>
      <c r="AG12365" s="80"/>
      <c r="AH12365" s="80"/>
      <c r="AI12365" s="80"/>
    </row>
    <row r="12366" spans="5:35" x14ac:dyDescent="0.25">
      <c r="E12366" s="16"/>
      <c r="F12366" s="16"/>
      <c r="H12366" s="16"/>
      <c r="AG12366" s="80"/>
      <c r="AH12366" s="80"/>
      <c r="AI12366" s="80"/>
    </row>
    <row r="12367" spans="5:35" x14ac:dyDescent="0.25">
      <c r="E12367" s="16"/>
      <c r="F12367" s="16"/>
      <c r="H12367" s="16"/>
      <c r="AG12367" s="80"/>
      <c r="AH12367" s="80"/>
      <c r="AI12367" s="80"/>
    </row>
    <row r="12368" spans="5:35" x14ac:dyDescent="0.25">
      <c r="E12368" s="16"/>
      <c r="F12368" s="16"/>
      <c r="H12368" s="16"/>
      <c r="AG12368" s="80"/>
      <c r="AH12368" s="80"/>
      <c r="AI12368" s="80"/>
    </row>
    <row r="12369" spans="5:35" x14ac:dyDescent="0.25">
      <c r="E12369" s="16"/>
      <c r="F12369" s="16"/>
      <c r="H12369" s="16"/>
      <c r="AG12369" s="80"/>
      <c r="AH12369" s="80"/>
      <c r="AI12369" s="80"/>
    </row>
    <row r="12370" spans="5:35" x14ac:dyDescent="0.25">
      <c r="E12370" s="16"/>
      <c r="F12370" s="16"/>
      <c r="H12370" s="16"/>
      <c r="AG12370" s="80"/>
      <c r="AH12370" s="80"/>
      <c r="AI12370" s="80"/>
    </row>
    <row r="12371" spans="5:35" x14ac:dyDescent="0.25">
      <c r="E12371" s="16"/>
      <c r="F12371" s="16"/>
      <c r="H12371" s="16"/>
      <c r="AG12371" s="80"/>
      <c r="AH12371" s="80"/>
      <c r="AI12371" s="80"/>
    </row>
    <row r="12372" spans="5:35" x14ac:dyDescent="0.25">
      <c r="E12372" s="16"/>
      <c r="F12372" s="16"/>
      <c r="H12372" s="16"/>
      <c r="AG12372" s="80"/>
      <c r="AH12372" s="80"/>
      <c r="AI12372" s="80"/>
    </row>
    <row r="12373" spans="5:35" x14ac:dyDescent="0.25">
      <c r="E12373" s="16"/>
      <c r="F12373" s="16"/>
      <c r="H12373" s="16"/>
      <c r="AG12373" s="80"/>
      <c r="AH12373" s="80"/>
      <c r="AI12373" s="80"/>
    </row>
    <row r="12374" spans="5:35" x14ac:dyDescent="0.25">
      <c r="E12374" s="16"/>
      <c r="F12374" s="16"/>
      <c r="H12374" s="16"/>
      <c r="AG12374" s="80"/>
      <c r="AH12374" s="80"/>
      <c r="AI12374" s="80"/>
    </row>
    <row r="12375" spans="5:35" x14ac:dyDescent="0.25">
      <c r="E12375" s="16"/>
      <c r="F12375" s="16"/>
      <c r="H12375" s="16"/>
      <c r="AG12375" s="80"/>
      <c r="AH12375" s="80"/>
      <c r="AI12375" s="80"/>
    </row>
    <row r="12376" spans="5:35" x14ac:dyDescent="0.25">
      <c r="E12376" s="16"/>
      <c r="F12376" s="16"/>
      <c r="H12376" s="16"/>
      <c r="AG12376" s="80"/>
      <c r="AH12376" s="80"/>
      <c r="AI12376" s="80"/>
    </row>
    <row r="12377" spans="5:35" x14ac:dyDescent="0.25">
      <c r="E12377" s="16"/>
      <c r="F12377" s="16"/>
      <c r="H12377" s="16"/>
      <c r="AG12377" s="80"/>
      <c r="AH12377" s="80"/>
      <c r="AI12377" s="80"/>
    </row>
    <row r="12378" spans="5:35" x14ac:dyDescent="0.25">
      <c r="E12378" s="16"/>
      <c r="F12378" s="16"/>
      <c r="H12378" s="16"/>
      <c r="AG12378" s="80"/>
      <c r="AH12378" s="80"/>
      <c r="AI12378" s="80"/>
    </row>
    <row r="12379" spans="5:35" x14ac:dyDescent="0.25">
      <c r="E12379" s="16"/>
      <c r="F12379" s="16"/>
      <c r="H12379" s="16"/>
      <c r="AG12379" s="80"/>
      <c r="AH12379" s="80"/>
      <c r="AI12379" s="80"/>
    </row>
    <row r="12380" spans="5:35" x14ac:dyDescent="0.25">
      <c r="E12380" s="16"/>
      <c r="F12380" s="16"/>
      <c r="H12380" s="16"/>
      <c r="AG12380" s="80"/>
      <c r="AH12380" s="80"/>
      <c r="AI12380" s="80"/>
    </row>
    <row r="12381" spans="5:35" x14ac:dyDescent="0.25">
      <c r="E12381" s="16"/>
      <c r="F12381" s="16"/>
      <c r="H12381" s="16"/>
      <c r="AG12381" s="80"/>
      <c r="AH12381" s="80"/>
      <c r="AI12381" s="80"/>
    </row>
    <row r="12382" spans="5:35" x14ac:dyDescent="0.25">
      <c r="E12382" s="16"/>
      <c r="F12382" s="16"/>
      <c r="H12382" s="16"/>
      <c r="AG12382" s="80"/>
      <c r="AH12382" s="80"/>
      <c r="AI12382" s="80"/>
    </row>
    <row r="12383" spans="5:35" x14ac:dyDescent="0.25">
      <c r="E12383" s="16"/>
      <c r="F12383" s="16"/>
      <c r="H12383" s="16"/>
      <c r="AG12383" s="80"/>
      <c r="AH12383" s="80"/>
      <c r="AI12383" s="80"/>
    </row>
    <row r="12384" spans="5:35" x14ac:dyDescent="0.25">
      <c r="E12384" s="16"/>
      <c r="F12384" s="16"/>
      <c r="H12384" s="16"/>
      <c r="AG12384" s="80"/>
      <c r="AH12384" s="80"/>
      <c r="AI12384" s="80"/>
    </row>
    <row r="12385" spans="5:35" x14ac:dyDescent="0.25">
      <c r="E12385" s="16"/>
      <c r="F12385" s="16"/>
      <c r="H12385" s="16"/>
      <c r="AG12385" s="80"/>
      <c r="AH12385" s="80"/>
      <c r="AI12385" s="80"/>
    </row>
    <row r="12386" spans="5:35" x14ac:dyDescent="0.25">
      <c r="E12386" s="16"/>
      <c r="F12386" s="16"/>
      <c r="H12386" s="16"/>
      <c r="AG12386" s="80"/>
      <c r="AH12386" s="80"/>
      <c r="AI12386" s="80"/>
    </row>
    <row r="12387" spans="5:35" x14ac:dyDescent="0.25">
      <c r="E12387" s="16"/>
      <c r="F12387" s="16"/>
      <c r="H12387" s="16"/>
      <c r="AG12387" s="80"/>
      <c r="AH12387" s="80"/>
      <c r="AI12387" s="80"/>
    </row>
    <row r="12388" spans="5:35" x14ac:dyDescent="0.25">
      <c r="E12388" s="16"/>
      <c r="F12388" s="16"/>
      <c r="H12388" s="16"/>
      <c r="AG12388" s="80"/>
      <c r="AH12388" s="80"/>
      <c r="AI12388" s="80"/>
    </row>
    <row r="12389" spans="5:35" x14ac:dyDescent="0.25">
      <c r="E12389" s="16"/>
      <c r="F12389" s="16"/>
      <c r="H12389" s="16"/>
      <c r="AG12389" s="80"/>
      <c r="AH12389" s="80"/>
      <c r="AI12389" s="80"/>
    </row>
    <row r="12390" spans="5:35" x14ac:dyDescent="0.25">
      <c r="E12390" s="16"/>
      <c r="F12390" s="16"/>
      <c r="H12390" s="16"/>
      <c r="AG12390" s="80"/>
      <c r="AH12390" s="80"/>
      <c r="AI12390" s="80"/>
    </row>
    <row r="12391" spans="5:35" x14ac:dyDescent="0.25">
      <c r="E12391" s="16"/>
      <c r="F12391" s="16"/>
      <c r="H12391" s="16"/>
      <c r="AG12391" s="80"/>
      <c r="AH12391" s="80"/>
      <c r="AI12391" s="80"/>
    </row>
    <row r="12392" spans="5:35" x14ac:dyDescent="0.25">
      <c r="E12392" s="16"/>
      <c r="F12392" s="16"/>
      <c r="H12392" s="16"/>
      <c r="AG12392" s="80"/>
      <c r="AH12392" s="80"/>
      <c r="AI12392" s="80"/>
    </row>
    <row r="12393" spans="5:35" x14ac:dyDescent="0.25">
      <c r="E12393" s="16"/>
      <c r="F12393" s="16"/>
      <c r="H12393" s="16"/>
      <c r="AG12393" s="80"/>
      <c r="AH12393" s="80"/>
      <c r="AI12393" s="80"/>
    </row>
    <row r="12394" spans="5:35" x14ac:dyDescent="0.25">
      <c r="E12394" s="16"/>
      <c r="F12394" s="16"/>
      <c r="H12394" s="16"/>
      <c r="AG12394" s="80"/>
      <c r="AH12394" s="80"/>
      <c r="AI12394" s="80"/>
    </row>
    <row r="12395" spans="5:35" x14ac:dyDescent="0.25">
      <c r="E12395" s="16"/>
      <c r="F12395" s="16"/>
      <c r="H12395" s="16"/>
      <c r="AG12395" s="80"/>
      <c r="AH12395" s="80"/>
      <c r="AI12395" s="80"/>
    </row>
    <row r="12396" spans="5:35" x14ac:dyDescent="0.25">
      <c r="E12396" s="16"/>
      <c r="F12396" s="16"/>
      <c r="H12396" s="16"/>
      <c r="AG12396" s="80"/>
      <c r="AH12396" s="80"/>
      <c r="AI12396" s="80"/>
    </row>
    <row r="12397" spans="5:35" x14ac:dyDescent="0.25">
      <c r="E12397" s="16"/>
      <c r="F12397" s="16"/>
      <c r="H12397" s="16"/>
      <c r="AG12397" s="80"/>
      <c r="AH12397" s="80"/>
      <c r="AI12397" s="80"/>
    </row>
    <row r="12398" spans="5:35" x14ac:dyDescent="0.25">
      <c r="E12398" s="16"/>
      <c r="F12398" s="16"/>
      <c r="H12398" s="16"/>
      <c r="AG12398" s="80"/>
      <c r="AH12398" s="80"/>
      <c r="AI12398" s="80"/>
    </row>
    <row r="12399" spans="5:35" x14ac:dyDescent="0.25">
      <c r="E12399" s="16"/>
      <c r="F12399" s="16"/>
      <c r="H12399" s="16"/>
      <c r="AG12399" s="80"/>
      <c r="AH12399" s="80"/>
      <c r="AI12399" s="80"/>
    </row>
    <row r="12400" spans="5:35" x14ac:dyDescent="0.25">
      <c r="E12400" s="16"/>
      <c r="F12400" s="16"/>
      <c r="H12400" s="16"/>
      <c r="AG12400" s="80"/>
      <c r="AH12400" s="80"/>
      <c r="AI12400" s="80"/>
    </row>
    <row r="12401" spans="5:35" x14ac:dyDescent="0.25">
      <c r="E12401" s="16"/>
      <c r="F12401" s="16"/>
      <c r="H12401" s="16"/>
      <c r="AG12401" s="80"/>
      <c r="AH12401" s="80"/>
      <c r="AI12401" s="80"/>
    </row>
    <row r="12402" spans="5:35" x14ac:dyDescent="0.25">
      <c r="E12402" s="16"/>
      <c r="F12402" s="16"/>
      <c r="H12402" s="16"/>
      <c r="AG12402" s="80"/>
      <c r="AH12402" s="80"/>
      <c r="AI12402" s="80"/>
    </row>
    <row r="12403" spans="5:35" x14ac:dyDescent="0.25">
      <c r="E12403" s="16"/>
      <c r="F12403" s="16"/>
      <c r="H12403" s="16"/>
      <c r="AG12403" s="80"/>
      <c r="AH12403" s="80"/>
      <c r="AI12403" s="80"/>
    </row>
    <row r="12404" spans="5:35" x14ac:dyDescent="0.25">
      <c r="E12404" s="16"/>
      <c r="F12404" s="16"/>
      <c r="H12404" s="16"/>
      <c r="AG12404" s="80"/>
      <c r="AH12404" s="80"/>
      <c r="AI12404" s="80"/>
    </row>
    <row r="12405" spans="5:35" x14ac:dyDescent="0.25">
      <c r="E12405" s="16"/>
      <c r="F12405" s="16"/>
      <c r="H12405" s="16"/>
      <c r="AG12405" s="80"/>
      <c r="AH12405" s="80"/>
      <c r="AI12405" s="80"/>
    </row>
    <row r="12406" spans="5:35" x14ac:dyDescent="0.25">
      <c r="E12406" s="16"/>
      <c r="F12406" s="16"/>
      <c r="H12406" s="16"/>
      <c r="AG12406" s="80"/>
      <c r="AH12406" s="80"/>
      <c r="AI12406" s="80"/>
    </row>
    <row r="12407" spans="5:35" x14ac:dyDescent="0.25">
      <c r="E12407" s="16"/>
      <c r="F12407" s="16"/>
      <c r="H12407" s="16"/>
      <c r="AG12407" s="80"/>
      <c r="AH12407" s="80"/>
      <c r="AI12407" s="80"/>
    </row>
    <row r="12408" spans="5:35" x14ac:dyDescent="0.25">
      <c r="E12408" s="16"/>
      <c r="F12408" s="16"/>
      <c r="H12408" s="16"/>
      <c r="AG12408" s="80"/>
      <c r="AH12408" s="80"/>
      <c r="AI12408" s="80"/>
    </row>
    <row r="12409" spans="5:35" x14ac:dyDescent="0.25">
      <c r="E12409" s="16"/>
      <c r="F12409" s="16"/>
      <c r="H12409" s="16"/>
      <c r="AG12409" s="80"/>
      <c r="AH12409" s="80"/>
      <c r="AI12409" s="80"/>
    </row>
    <row r="12410" spans="5:35" x14ac:dyDescent="0.25">
      <c r="E12410" s="16"/>
      <c r="F12410" s="16"/>
      <c r="H12410" s="16"/>
      <c r="AG12410" s="80"/>
      <c r="AH12410" s="80"/>
      <c r="AI12410" s="80"/>
    </row>
    <row r="12411" spans="5:35" x14ac:dyDescent="0.25">
      <c r="E12411" s="16"/>
      <c r="F12411" s="16"/>
      <c r="H12411" s="16"/>
      <c r="AG12411" s="80"/>
      <c r="AH12411" s="80"/>
      <c r="AI12411" s="80"/>
    </row>
    <row r="12412" spans="5:35" x14ac:dyDescent="0.25">
      <c r="E12412" s="16"/>
      <c r="F12412" s="16"/>
      <c r="H12412" s="16"/>
      <c r="AG12412" s="80"/>
      <c r="AH12412" s="80"/>
      <c r="AI12412" s="80"/>
    </row>
    <row r="12413" spans="5:35" x14ac:dyDescent="0.25">
      <c r="E12413" s="16"/>
      <c r="F12413" s="16"/>
      <c r="H12413" s="16"/>
      <c r="AG12413" s="80"/>
      <c r="AH12413" s="80"/>
      <c r="AI12413" s="80"/>
    </row>
    <row r="12414" spans="5:35" x14ac:dyDescent="0.25">
      <c r="E12414" s="16"/>
      <c r="F12414" s="16"/>
      <c r="H12414" s="16"/>
      <c r="AG12414" s="80"/>
      <c r="AH12414" s="80"/>
      <c r="AI12414" s="80"/>
    </row>
    <row r="12415" spans="5:35" x14ac:dyDescent="0.25">
      <c r="E12415" s="16"/>
      <c r="F12415" s="16"/>
      <c r="H12415" s="16"/>
      <c r="AG12415" s="80"/>
      <c r="AH12415" s="80"/>
      <c r="AI12415" s="80"/>
    </row>
    <row r="12416" spans="5:35" x14ac:dyDescent="0.25">
      <c r="E12416" s="16"/>
      <c r="F12416" s="16"/>
      <c r="H12416" s="16"/>
      <c r="AG12416" s="80"/>
      <c r="AH12416" s="80"/>
      <c r="AI12416" s="80"/>
    </row>
    <row r="12417" spans="5:35" x14ac:dyDescent="0.25">
      <c r="E12417" s="16"/>
      <c r="F12417" s="16"/>
      <c r="H12417" s="16"/>
      <c r="AG12417" s="80"/>
      <c r="AH12417" s="80"/>
      <c r="AI12417" s="80"/>
    </row>
    <row r="12418" spans="5:35" x14ac:dyDescent="0.25">
      <c r="E12418" s="16"/>
      <c r="F12418" s="16"/>
      <c r="H12418" s="16"/>
      <c r="AG12418" s="80"/>
      <c r="AH12418" s="80"/>
      <c r="AI12418" s="80"/>
    </row>
    <row r="12419" spans="5:35" x14ac:dyDescent="0.25">
      <c r="E12419" s="16"/>
      <c r="F12419" s="16"/>
      <c r="H12419" s="16"/>
      <c r="AG12419" s="80"/>
      <c r="AH12419" s="80"/>
      <c r="AI12419" s="80"/>
    </row>
    <row r="12420" spans="5:35" x14ac:dyDescent="0.25">
      <c r="E12420" s="16"/>
      <c r="F12420" s="16"/>
      <c r="H12420" s="16"/>
      <c r="AG12420" s="80"/>
      <c r="AH12420" s="80"/>
      <c r="AI12420" s="80"/>
    </row>
    <row r="12421" spans="5:35" x14ac:dyDescent="0.25">
      <c r="E12421" s="16"/>
      <c r="F12421" s="16"/>
      <c r="H12421" s="16"/>
      <c r="AG12421" s="80"/>
      <c r="AH12421" s="80"/>
      <c r="AI12421" s="80"/>
    </row>
    <row r="12422" spans="5:35" x14ac:dyDescent="0.25">
      <c r="E12422" s="16"/>
      <c r="F12422" s="16"/>
      <c r="H12422" s="16"/>
      <c r="AG12422" s="80"/>
      <c r="AH12422" s="80"/>
      <c r="AI12422" s="80"/>
    </row>
    <row r="12423" spans="5:35" x14ac:dyDescent="0.25">
      <c r="E12423" s="16"/>
      <c r="F12423" s="16"/>
      <c r="H12423" s="16"/>
      <c r="AG12423" s="80"/>
      <c r="AH12423" s="80"/>
      <c r="AI12423" s="80"/>
    </row>
    <row r="12424" spans="5:35" x14ac:dyDescent="0.25">
      <c r="E12424" s="16"/>
      <c r="F12424" s="16"/>
      <c r="H12424" s="16"/>
      <c r="AG12424" s="80"/>
      <c r="AH12424" s="80"/>
      <c r="AI12424" s="80"/>
    </row>
    <row r="12425" spans="5:35" x14ac:dyDescent="0.25">
      <c r="E12425" s="16"/>
      <c r="F12425" s="16"/>
      <c r="H12425" s="16"/>
      <c r="AG12425" s="80"/>
      <c r="AH12425" s="80"/>
      <c r="AI12425" s="80"/>
    </row>
    <row r="12426" spans="5:35" x14ac:dyDescent="0.25">
      <c r="E12426" s="16"/>
      <c r="F12426" s="16"/>
      <c r="H12426" s="16"/>
      <c r="AG12426" s="80"/>
      <c r="AH12426" s="80"/>
      <c r="AI12426" s="80"/>
    </row>
    <row r="12427" spans="5:35" x14ac:dyDescent="0.25">
      <c r="E12427" s="16"/>
      <c r="F12427" s="16"/>
      <c r="H12427" s="16"/>
      <c r="AG12427" s="80"/>
      <c r="AH12427" s="80"/>
      <c r="AI12427" s="80"/>
    </row>
    <row r="12428" spans="5:35" x14ac:dyDescent="0.25">
      <c r="E12428" s="16"/>
      <c r="F12428" s="16"/>
      <c r="H12428" s="16"/>
      <c r="AG12428" s="80"/>
      <c r="AH12428" s="80"/>
      <c r="AI12428" s="80"/>
    </row>
    <row r="12429" spans="5:35" x14ac:dyDescent="0.25">
      <c r="E12429" s="16"/>
      <c r="F12429" s="16"/>
      <c r="H12429" s="16"/>
      <c r="AG12429" s="80"/>
      <c r="AH12429" s="80"/>
      <c r="AI12429" s="80"/>
    </row>
    <row r="12430" spans="5:35" x14ac:dyDescent="0.25">
      <c r="E12430" s="16"/>
      <c r="F12430" s="16"/>
      <c r="H12430" s="16"/>
      <c r="AG12430" s="80"/>
      <c r="AH12430" s="80"/>
      <c r="AI12430" s="80"/>
    </row>
    <row r="12431" spans="5:35" x14ac:dyDescent="0.25">
      <c r="E12431" s="16"/>
      <c r="F12431" s="16"/>
      <c r="H12431" s="16"/>
      <c r="AG12431" s="80"/>
      <c r="AH12431" s="80"/>
      <c r="AI12431" s="80"/>
    </row>
    <row r="12432" spans="5:35" x14ac:dyDescent="0.25">
      <c r="E12432" s="16"/>
      <c r="F12432" s="16"/>
      <c r="H12432" s="16"/>
      <c r="AG12432" s="80"/>
      <c r="AH12432" s="80"/>
      <c r="AI12432" s="80"/>
    </row>
    <row r="12433" spans="5:35" x14ac:dyDescent="0.25">
      <c r="E12433" s="16"/>
      <c r="F12433" s="16"/>
      <c r="H12433" s="16"/>
      <c r="AG12433" s="80"/>
      <c r="AH12433" s="80"/>
      <c r="AI12433" s="80"/>
    </row>
    <row r="12434" spans="5:35" x14ac:dyDescent="0.25">
      <c r="E12434" s="16"/>
      <c r="F12434" s="16"/>
      <c r="H12434" s="16"/>
      <c r="AG12434" s="80"/>
      <c r="AH12434" s="80"/>
      <c r="AI12434" s="80"/>
    </row>
    <row r="12435" spans="5:35" x14ac:dyDescent="0.25">
      <c r="E12435" s="16"/>
      <c r="F12435" s="16"/>
      <c r="H12435" s="16"/>
      <c r="AG12435" s="80"/>
      <c r="AH12435" s="80"/>
      <c r="AI12435" s="80"/>
    </row>
    <row r="12436" spans="5:35" x14ac:dyDescent="0.25">
      <c r="E12436" s="16"/>
      <c r="F12436" s="16"/>
      <c r="H12436" s="16"/>
      <c r="AG12436" s="80"/>
      <c r="AH12436" s="80"/>
      <c r="AI12436" s="80"/>
    </row>
    <row r="12437" spans="5:35" x14ac:dyDescent="0.25">
      <c r="E12437" s="16"/>
      <c r="F12437" s="16"/>
      <c r="H12437" s="16"/>
      <c r="AG12437" s="80"/>
      <c r="AH12437" s="80"/>
      <c r="AI12437" s="80"/>
    </row>
    <row r="12438" spans="5:35" x14ac:dyDescent="0.25">
      <c r="E12438" s="16"/>
      <c r="F12438" s="16"/>
      <c r="H12438" s="16"/>
      <c r="AG12438" s="80"/>
      <c r="AH12438" s="80"/>
      <c r="AI12438" s="80"/>
    </row>
    <row r="12439" spans="5:35" x14ac:dyDescent="0.25">
      <c r="E12439" s="16"/>
      <c r="F12439" s="16"/>
      <c r="H12439" s="16"/>
      <c r="AG12439" s="80"/>
      <c r="AH12439" s="80"/>
      <c r="AI12439" s="80"/>
    </row>
    <row r="12440" spans="5:35" x14ac:dyDescent="0.25">
      <c r="E12440" s="16"/>
      <c r="F12440" s="16"/>
      <c r="H12440" s="16"/>
      <c r="AG12440" s="80"/>
      <c r="AH12440" s="80"/>
      <c r="AI12440" s="80"/>
    </row>
    <row r="12441" spans="5:35" x14ac:dyDescent="0.25">
      <c r="E12441" s="16"/>
      <c r="F12441" s="16"/>
      <c r="H12441" s="16"/>
      <c r="AG12441" s="80"/>
      <c r="AH12441" s="80"/>
      <c r="AI12441" s="80"/>
    </row>
    <row r="12442" spans="5:35" x14ac:dyDescent="0.25">
      <c r="E12442" s="16"/>
      <c r="F12442" s="16"/>
      <c r="H12442" s="16"/>
      <c r="AG12442" s="80"/>
      <c r="AH12442" s="80"/>
      <c r="AI12442" s="80"/>
    </row>
    <row r="12443" spans="5:35" x14ac:dyDescent="0.25">
      <c r="E12443" s="16"/>
      <c r="F12443" s="16"/>
      <c r="H12443" s="16"/>
      <c r="AG12443" s="80"/>
      <c r="AH12443" s="80"/>
      <c r="AI12443" s="80"/>
    </row>
    <row r="12444" spans="5:35" x14ac:dyDescent="0.25">
      <c r="E12444" s="16"/>
      <c r="F12444" s="16"/>
      <c r="H12444" s="16"/>
      <c r="AG12444" s="80"/>
      <c r="AH12444" s="80"/>
      <c r="AI12444" s="80"/>
    </row>
    <row r="12445" spans="5:35" x14ac:dyDescent="0.25">
      <c r="E12445" s="16"/>
      <c r="F12445" s="16"/>
      <c r="H12445" s="16"/>
      <c r="AG12445" s="80"/>
      <c r="AH12445" s="80"/>
      <c r="AI12445" s="80"/>
    </row>
    <row r="12446" spans="5:35" x14ac:dyDescent="0.25">
      <c r="E12446" s="16"/>
      <c r="F12446" s="16"/>
      <c r="H12446" s="16"/>
      <c r="AG12446" s="80"/>
      <c r="AH12446" s="80"/>
      <c r="AI12446" s="80"/>
    </row>
    <row r="12447" spans="5:35" x14ac:dyDescent="0.25">
      <c r="E12447" s="16"/>
      <c r="F12447" s="16"/>
      <c r="H12447" s="16"/>
      <c r="AG12447" s="80"/>
      <c r="AH12447" s="80"/>
      <c r="AI12447" s="80"/>
    </row>
    <row r="12448" spans="5:35" x14ac:dyDescent="0.25">
      <c r="E12448" s="16"/>
      <c r="F12448" s="16"/>
      <c r="H12448" s="16"/>
      <c r="AG12448" s="80"/>
      <c r="AH12448" s="80"/>
      <c r="AI12448" s="80"/>
    </row>
    <row r="12449" spans="5:35" x14ac:dyDescent="0.25">
      <c r="E12449" s="16"/>
      <c r="F12449" s="16"/>
      <c r="H12449" s="16"/>
      <c r="AG12449" s="80"/>
      <c r="AH12449" s="80"/>
      <c r="AI12449" s="80"/>
    </row>
    <row r="12450" spans="5:35" x14ac:dyDescent="0.25">
      <c r="E12450" s="16"/>
      <c r="F12450" s="16"/>
      <c r="H12450" s="16"/>
      <c r="AG12450" s="80"/>
      <c r="AH12450" s="80"/>
      <c r="AI12450" s="80"/>
    </row>
    <row r="12451" spans="5:35" x14ac:dyDescent="0.25">
      <c r="E12451" s="16"/>
      <c r="F12451" s="16"/>
      <c r="H12451" s="16"/>
      <c r="AG12451" s="80"/>
      <c r="AH12451" s="80"/>
      <c r="AI12451" s="80"/>
    </row>
    <row r="12452" spans="5:35" x14ac:dyDescent="0.25">
      <c r="E12452" s="16"/>
      <c r="F12452" s="16"/>
      <c r="H12452" s="16"/>
      <c r="AG12452" s="80"/>
      <c r="AH12452" s="80"/>
      <c r="AI12452" s="80"/>
    </row>
    <row r="12453" spans="5:35" x14ac:dyDescent="0.25">
      <c r="E12453" s="16"/>
      <c r="F12453" s="16"/>
      <c r="H12453" s="16"/>
      <c r="AG12453" s="80"/>
      <c r="AH12453" s="80"/>
      <c r="AI12453" s="80"/>
    </row>
    <row r="12454" spans="5:35" x14ac:dyDescent="0.25">
      <c r="E12454" s="16"/>
      <c r="F12454" s="16"/>
      <c r="H12454" s="16"/>
      <c r="AG12454" s="80"/>
      <c r="AH12454" s="80"/>
      <c r="AI12454" s="80"/>
    </row>
    <row r="12455" spans="5:35" x14ac:dyDescent="0.25">
      <c r="E12455" s="16"/>
      <c r="F12455" s="16"/>
      <c r="H12455" s="16"/>
      <c r="AG12455" s="80"/>
      <c r="AH12455" s="80"/>
      <c r="AI12455" s="80"/>
    </row>
    <row r="12456" spans="5:35" x14ac:dyDescent="0.25">
      <c r="E12456" s="16"/>
      <c r="F12456" s="16"/>
      <c r="H12456" s="16"/>
      <c r="AG12456" s="80"/>
      <c r="AH12456" s="80"/>
      <c r="AI12456" s="80"/>
    </row>
    <row r="12457" spans="5:35" x14ac:dyDescent="0.25">
      <c r="E12457" s="16"/>
      <c r="F12457" s="16"/>
      <c r="H12457" s="16"/>
      <c r="AG12457" s="80"/>
      <c r="AH12457" s="80"/>
      <c r="AI12457" s="80"/>
    </row>
    <row r="12458" spans="5:35" x14ac:dyDescent="0.25">
      <c r="E12458" s="16"/>
      <c r="F12458" s="16"/>
      <c r="H12458" s="16"/>
      <c r="AG12458" s="80"/>
      <c r="AH12458" s="80"/>
      <c r="AI12458" s="80"/>
    </row>
    <row r="12459" spans="5:35" x14ac:dyDescent="0.25">
      <c r="E12459" s="16"/>
      <c r="F12459" s="16"/>
      <c r="H12459" s="16"/>
      <c r="AG12459" s="80"/>
      <c r="AH12459" s="80"/>
      <c r="AI12459" s="80"/>
    </row>
    <row r="12460" spans="5:35" x14ac:dyDescent="0.25">
      <c r="E12460" s="16"/>
      <c r="F12460" s="16"/>
      <c r="H12460" s="16"/>
      <c r="AG12460" s="80"/>
      <c r="AH12460" s="80"/>
      <c r="AI12460" s="80"/>
    </row>
    <row r="12461" spans="5:35" x14ac:dyDescent="0.25">
      <c r="E12461" s="16"/>
      <c r="F12461" s="16"/>
      <c r="H12461" s="16"/>
      <c r="AG12461" s="80"/>
      <c r="AH12461" s="80"/>
      <c r="AI12461" s="80"/>
    </row>
    <row r="12462" spans="5:35" x14ac:dyDescent="0.25">
      <c r="E12462" s="16"/>
      <c r="F12462" s="16"/>
      <c r="H12462" s="16"/>
      <c r="AG12462" s="80"/>
      <c r="AH12462" s="80"/>
      <c r="AI12462" s="80"/>
    </row>
    <row r="12463" spans="5:35" x14ac:dyDescent="0.25">
      <c r="E12463" s="16"/>
      <c r="F12463" s="16"/>
      <c r="H12463" s="16"/>
      <c r="AG12463" s="80"/>
      <c r="AH12463" s="80"/>
      <c r="AI12463" s="80"/>
    </row>
    <row r="12464" spans="5:35" x14ac:dyDescent="0.25">
      <c r="E12464" s="16"/>
      <c r="F12464" s="16"/>
      <c r="H12464" s="16"/>
      <c r="AG12464" s="80"/>
      <c r="AH12464" s="80"/>
      <c r="AI12464" s="80"/>
    </row>
    <row r="12465" spans="5:35" x14ac:dyDescent="0.25">
      <c r="E12465" s="16"/>
      <c r="F12465" s="16"/>
      <c r="H12465" s="16"/>
      <c r="AG12465" s="80"/>
      <c r="AH12465" s="80"/>
      <c r="AI12465" s="80"/>
    </row>
    <row r="12466" spans="5:35" x14ac:dyDescent="0.25">
      <c r="E12466" s="16"/>
      <c r="F12466" s="16"/>
      <c r="H12466" s="16"/>
      <c r="AG12466" s="80"/>
      <c r="AH12466" s="80"/>
      <c r="AI12466" s="80"/>
    </row>
    <row r="12467" spans="5:35" x14ac:dyDescent="0.25">
      <c r="E12467" s="16"/>
      <c r="F12467" s="16"/>
      <c r="H12467" s="16"/>
      <c r="AG12467" s="80"/>
      <c r="AH12467" s="80"/>
      <c r="AI12467" s="80"/>
    </row>
    <row r="12468" spans="5:35" x14ac:dyDescent="0.25">
      <c r="E12468" s="16"/>
      <c r="F12468" s="16"/>
      <c r="H12468" s="16"/>
      <c r="AG12468" s="80"/>
      <c r="AH12468" s="80"/>
      <c r="AI12468" s="80"/>
    </row>
    <row r="12469" spans="5:35" x14ac:dyDescent="0.25">
      <c r="E12469" s="16"/>
      <c r="F12469" s="16"/>
      <c r="H12469" s="16"/>
      <c r="AG12469" s="80"/>
      <c r="AH12469" s="80"/>
      <c r="AI12469" s="80"/>
    </row>
    <row r="12470" spans="5:35" x14ac:dyDescent="0.25">
      <c r="E12470" s="16"/>
      <c r="F12470" s="16"/>
      <c r="H12470" s="16"/>
      <c r="AG12470" s="80"/>
      <c r="AH12470" s="80"/>
      <c r="AI12470" s="80"/>
    </row>
    <row r="12471" spans="5:35" x14ac:dyDescent="0.25">
      <c r="E12471" s="16"/>
      <c r="F12471" s="16"/>
      <c r="H12471" s="16"/>
      <c r="AG12471" s="80"/>
      <c r="AH12471" s="80"/>
      <c r="AI12471" s="80"/>
    </row>
    <row r="12472" spans="5:35" x14ac:dyDescent="0.25">
      <c r="E12472" s="16"/>
      <c r="F12472" s="16"/>
      <c r="H12472" s="16"/>
      <c r="AG12472" s="80"/>
      <c r="AH12472" s="80"/>
      <c r="AI12472" s="80"/>
    </row>
    <row r="12473" spans="5:35" x14ac:dyDescent="0.25">
      <c r="E12473" s="16"/>
      <c r="F12473" s="16"/>
      <c r="H12473" s="16"/>
      <c r="AG12473" s="80"/>
      <c r="AH12473" s="80"/>
      <c r="AI12473" s="80"/>
    </row>
    <row r="12474" spans="5:35" x14ac:dyDescent="0.25">
      <c r="E12474" s="16"/>
      <c r="F12474" s="16"/>
      <c r="H12474" s="16"/>
      <c r="AG12474" s="80"/>
      <c r="AH12474" s="80"/>
      <c r="AI12474" s="80"/>
    </row>
    <row r="12475" spans="5:35" x14ac:dyDescent="0.25">
      <c r="E12475" s="16"/>
      <c r="F12475" s="16"/>
      <c r="H12475" s="16"/>
      <c r="AG12475" s="80"/>
      <c r="AH12475" s="80"/>
      <c r="AI12475" s="80"/>
    </row>
    <row r="12476" spans="5:35" x14ac:dyDescent="0.25">
      <c r="E12476" s="16"/>
      <c r="F12476" s="16"/>
      <c r="H12476" s="16"/>
      <c r="AG12476" s="80"/>
      <c r="AH12476" s="80"/>
      <c r="AI12476" s="80"/>
    </row>
    <row r="12477" spans="5:35" x14ac:dyDescent="0.25">
      <c r="E12477" s="16"/>
      <c r="F12477" s="16"/>
      <c r="H12477" s="16"/>
      <c r="AG12477" s="80"/>
      <c r="AH12477" s="80"/>
      <c r="AI12477" s="80"/>
    </row>
    <row r="12478" spans="5:35" x14ac:dyDescent="0.25">
      <c r="E12478" s="16"/>
      <c r="F12478" s="16"/>
      <c r="H12478" s="16"/>
      <c r="AG12478" s="80"/>
      <c r="AH12478" s="80"/>
      <c r="AI12478" s="80"/>
    </row>
    <row r="12479" spans="5:35" x14ac:dyDescent="0.25">
      <c r="E12479" s="16"/>
      <c r="F12479" s="16"/>
      <c r="H12479" s="16"/>
      <c r="AG12479" s="80"/>
      <c r="AH12479" s="80"/>
      <c r="AI12479" s="80"/>
    </row>
    <row r="12480" spans="5:35" x14ac:dyDescent="0.25">
      <c r="E12480" s="16"/>
      <c r="F12480" s="16"/>
      <c r="H12480" s="16"/>
      <c r="AG12480" s="80"/>
      <c r="AH12480" s="80"/>
      <c r="AI12480" s="80"/>
    </row>
    <row r="12481" spans="5:35" x14ac:dyDescent="0.25">
      <c r="E12481" s="16"/>
      <c r="F12481" s="16"/>
      <c r="H12481" s="16"/>
      <c r="AG12481" s="80"/>
      <c r="AH12481" s="80"/>
      <c r="AI12481" s="80"/>
    </row>
    <row r="12482" spans="5:35" x14ac:dyDescent="0.25">
      <c r="E12482" s="16"/>
      <c r="F12482" s="16"/>
      <c r="H12482" s="16"/>
      <c r="AG12482" s="80"/>
      <c r="AH12482" s="80"/>
      <c r="AI12482" s="80"/>
    </row>
    <row r="12483" spans="5:35" x14ac:dyDescent="0.25">
      <c r="E12483" s="16"/>
      <c r="F12483" s="16"/>
      <c r="H12483" s="16"/>
      <c r="AG12483" s="80"/>
      <c r="AH12483" s="80"/>
      <c r="AI12483" s="80"/>
    </row>
    <row r="12484" spans="5:35" x14ac:dyDescent="0.25">
      <c r="E12484" s="16"/>
      <c r="F12484" s="16"/>
      <c r="H12484" s="16"/>
      <c r="AG12484" s="80"/>
      <c r="AH12484" s="80"/>
      <c r="AI12484" s="80"/>
    </row>
    <row r="12485" spans="5:35" x14ac:dyDescent="0.25">
      <c r="E12485" s="16"/>
      <c r="F12485" s="16"/>
      <c r="H12485" s="16"/>
      <c r="AG12485" s="80"/>
      <c r="AH12485" s="80"/>
      <c r="AI12485" s="80"/>
    </row>
    <row r="12486" spans="5:35" x14ac:dyDescent="0.25">
      <c r="E12486" s="16"/>
      <c r="F12486" s="16"/>
      <c r="H12486" s="16"/>
      <c r="AG12486" s="80"/>
      <c r="AH12486" s="80"/>
      <c r="AI12486" s="80"/>
    </row>
    <row r="12487" spans="5:35" x14ac:dyDescent="0.25">
      <c r="E12487" s="16"/>
      <c r="F12487" s="16"/>
      <c r="H12487" s="16"/>
      <c r="AG12487" s="80"/>
      <c r="AH12487" s="80"/>
      <c r="AI12487" s="80"/>
    </row>
    <row r="12488" spans="5:35" x14ac:dyDescent="0.25">
      <c r="E12488" s="16"/>
      <c r="F12488" s="16"/>
      <c r="H12488" s="16"/>
      <c r="AG12488" s="80"/>
      <c r="AH12488" s="80"/>
      <c r="AI12488" s="80"/>
    </row>
    <row r="12489" spans="5:35" x14ac:dyDescent="0.25">
      <c r="E12489" s="16"/>
      <c r="F12489" s="16"/>
      <c r="H12489" s="16"/>
      <c r="AG12489" s="80"/>
      <c r="AH12489" s="80"/>
      <c r="AI12489" s="80"/>
    </row>
    <row r="12490" spans="5:35" x14ac:dyDescent="0.25">
      <c r="E12490" s="16"/>
      <c r="F12490" s="16"/>
      <c r="H12490" s="16"/>
      <c r="AG12490" s="80"/>
      <c r="AH12490" s="80"/>
      <c r="AI12490" s="80"/>
    </row>
    <row r="12491" spans="5:35" x14ac:dyDescent="0.25">
      <c r="E12491" s="16"/>
      <c r="F12491" s="16"/>
      <c r="H12491" s="16"/>
      <c r="AG12491" s="80"/>
      <c r="AH12491" s="80"/>
      <c r="AI12491" s="80"/>
    </row>
    <row r="12492" spans="5:35" x14ac:dyDescent="0.25">
      <c r="E12492" s="16"/>
      <c r="F12492" s="16"/>
      <c r="H12492" s="16"/>
      <c r="AG12492" s="80"/>
      <c r="AH12492" s="80"/>
      <c r="AI12492" s="80"/>
    </row>
    <row r="12493" spans="5:35" x14ac:dyDescent="0.25">
      <c r="E12493" s="16"/>
      <c r="F12493" s="16"/>
      <c r="H12493" s="16"/>
      <c r="AG12493" s="80"/>
      <c r="AH12493" s="80"/>
      <c r="AI12493" s="80"/>
    </row>
    <row r="12494" spans="5:35" x14ac:dyDescent="0.25">
      <c r="E12494" s="16"/>
      <c r="F12494" s="16"/>
      <c r="H12494" s="16"/>
      <c r="AG12494" s="80"/>
      <c r="AH12494" s="80"/>
      <c r="AI12494" s="80"/>
    </row>
    <row r="12495" spans="5:35" x14ac:dyDescent="0.25">
      <c r="E12495" s="16"/>
      <c r="F12495" s="16"/>
      <c r="H12495" s="16"/>
      <c r="AG12495" s="80"/>
      <c r="AH12495" s="80"/>
      <c r="AI12495" s="80"/>
    </row>
    <row r="12496" spans="5:35" x14ac:dyDescent="0.25">
      <c r="E12496" s="16"/>
      <c r="F12496" s="16"/>
      <c r="H12496" s="16"/>
      <c r="AG12496" s="80"/>
      <c r="AH12496" s="80"/>
      <c r="AI12496" s="80"/>
    </row>
    <row r="12497" spans="5:35" x14ac:dyDescent="0.25">
      <c r="E12497" s="16"/>
      <c r="F12497" s="16"/>
      <c r="H12497" s="16"/>
      <c r="AG12497" s="80"/>
      <c r="AH12497" s="80"/>
      <c r="AI12497" s="80"/>
    </row>
    <row r="12498" spans="5:35" x14ac:dyDescent="0.25">
      <c r="E12498" s="16"/>
      <c r="F12498" s="16"/>
      <c r="H12498" s="16"/>
      <c r="AG12498" s="80"/>
      <c r="AH12498" s="80"/>
      <c r="AI12498" s="80"/>
    </row>
    <row r="12499" spans="5:35" x14ac:dyDescent="0.25">
      <c r="E12499" s="16"/>
      <c r="F12499" s="16"/>
      <c r="H12499" s="16"/>
      <c r="AG12499" s="80"/>
      <c r="AH12499" s="80"/>
      <c r="AI12499" s="80"/>
    </row>
    <row r="12500" spans="5:35" x14ac:dyDescent="0.25">
      <c r="E12500" s="16"/>
      <c r="F12500" s="16"/>
      <c r="H12500" s="16"/>
      <c r="AG12500" s="80"/>
      <c r="AH12500" s="80"/>
      <c r="AI12500" s="80"/>
    </row>
    <row r="12501" spans="5:35" x14ac:dyDescent="0.25">
      <c r="E12501" s="16"/>
      <c r="F12501" s="16"/>
      <c r="H12501" s="16"/>
      <c r="AG12501" s="80"/>
      <c r="AH12501" s="80"/>
      <c r="AI12501" s="80"/>
    </row>
    <row r="12502" spans="5:35" x14ac:dyDescent="0.25">
      <c r="E12502" s="16"/>
      <c r="F12502" s="16"/>
      <c r="H12502" s="16"/>
      <c r="AG12502" s="80"/>
      <c r="AH12502" s="80"/>
      <c r="AI12502" s="80"/>
    </row>
    <row r="12503" spans="5:35" x14ac:dyDescent="0.25">
      <c r="E12503" s="16"/>
      <c r="F12503" s="16"/>
      <c r="H12503" s="16"/>
      <c r="AG12503" s="80"/>
      <c r="AH12503" s="80"/>
      <c r="AI12503" s="80"/>
    </row>
    <row r="12504" spans="5:35" x14ac:dyDescent="0.25">
      <c r="E12504" s="16"/>
      <c r="F12504" s="16"/>
      <c r="H12504" s="16"/>
      <c r="AG12504" s="80"/>
      <c r="AH12504" s="80"/>
      <c r="AI12504" s="80"/>
    </row>
    <row r="12505" spans="5:35" x14ac:dyDescent="0.25">
      <c r="E12505" s="16"/>
      <c r="F12505" s="16"/>
      <c r="H12505" s="16"/>
      <c r="AG12505" s="80"/>
      <c r="AH12505" s="80"/>
      <c r="AI12505" s="80"/>
    </row>
    <row r="12506" spans="5:35" x14ac:dyDescent="0.25">
      <c r="E12506" s="16"/>
      <c r="F12506" s="16"/>
      <c r="H12506" s="16"/>
      <c r="AG12506" s="80"/>
      <c r="AH12506" s="80"/>
      <c r="AI12506" s="80"/>
    </row>
    <row r="12507" spans="5:35" x14ac:dyDescent="0.25">
      <c r="E12507" s="16"/>
      <c r="F12507" s="16"/>
      <c r="H12507" s="16"/>
      <c r="AG12507" s="80"/>
      <c r="AH12507" s="80"/>
      <c r="AI12507" s="80"/>
    </row>
    <row r="12508" spans="5:35" x14ac:dyDescent="0.25">
      <c r="E12508" s="16"/>
      <c r="F12508" s="16"/>
      <c r="H12508" s="16"/>
      <c r="AG12508" s="80"/>
      <c r="AH12508" s="80"/>
      <c r="AI12508" s="80"/>
    </row>
    <row r="12509" spans="5:35" x14ac:dyDescent="0.25">
      <c r="E12509" s="16"/>
      <c r="F12509" s="16"/>
      <c r="H12509" s="16"/>
      <c r="AG12509" s="80"/>
      <c r="AH12509" s="80"/>
      <c r="AI12509" s="80"/>
    </row>
    <row r="12510" spans="5:35" x14ac:dyDescent="0.25">
      <c r="E12510" s="16"/>
      <c r="F12510" s="16"/>
      <c r="H12510" s="16"/>
      <c r="AG12510" s="80"/>
      <c r="AH12510" s="80"/>
      <c r="AI12510" s="80"/>
    </row>
    <row r="12511" spans="5:35" x14ac:dyDescent="0.25">
      <c r="E12511" s="16"/>
      <c r="F12511" s="16"/>
      <c r="H12511" s="16"/>
      <c r="AG12511" s="80"/>
      <c r="AH12511" s="80"/>
      <c r="AI12511" s="80"/>
    </row>
    <row r="12512" spans="5:35" x14ac:dyDescent="0.25">
      <c r="E12512" s="16"/>
      <c r="F12512" s="16"/>
      <c r="H12512" s="16"/>
      <c r="AG12512" s="80"/>
      <c r="AH12512" s="80"/>
      <c r="AI12512" s="80"/>
    </row>
    <row r="12513" spans="5:35" x14ac:dyDescent="0.25">
      <c r="E12513" s="16"/>
      <c r="F12513" s="16"/>
      <c r="H12513" s="16"/>
      <c r="AG12513" s="80"/>
      <c r="AH12513" s="80"/>
      <c r="AI12513" s="80"/>
    </row>
    <row r="12514" spans="5:35" x14ac:dyDescent="0.25">
      <c r="E12514" s="16"/>
      <c r="F12514" s="16"/>
      <c r="H12514" s="16"/>
      <c r="AG12514" s="80"/>
      <c r="AH12514" s="80"/>
      <c r="AI12514" s="80"/>
    </row>
    <row r="12515" spans="5:35" x14ac:dyDescent="0.25">
      <c r="E12515" s="16"/>
      <c r="F12515" s="16"/>
      <c r="H12515" s="16"/>
      <c r="AG12515" s="80"/>
      <c r="AH12515" s="80"/>
      <c r="AI12515" s="80"/>
    </row>
    <row r="12516" spans="5:35" x14ac:dyDescent="0.25">
      <c r="E12516" s="16"/>
      <c r="F12516" s="16"/>
      <c r="H12516" s="16"/>
      <c r="AG12516" s="80"/>
      <c r="AH12516" s="80"/>
      <c r="AI12516" s="80"/>
    </row>
    <row r="12517" spans="5:35" x14ac:dyDescent="0.25">
      <c r="E12517" s="16"/>
      <c r="F12517" s="16"/>
      <c r="H12517" s="16"/>
      <c r="AG12517" s="80"/>
      <c r="AH12517" s="80"/>
      <c r="AI12517" s="80"/>
    </row>
    <row r="12518" spans="5:35" x14ac:dyDescent="0.25">
      <c r="E12518" s="16"/>
      <c r="F12518" s="16"/>
      <c r="H12518" s="16"/>
      <c r="AG12518" s="80"/>
      <c r="AH12518" s="80"/>
      <c r="AI12518" s="80"/>
    </row>
    <row r="12519" spans="5:35" x14ac:dyDescent="0.25">
      <c r="E12519" s="16"/>
      <c r="F12519" s="16"/>
      <c r="H12519" s="16"/>
      <c r="AG12519" s="80"/>
      <c r="AH12519" s="80"/>
      <c r="AI12519" s="80"/>
    </row>
    <row r="12520" spans="5:35" x14ac:dyDescent="0.25">
      <c r="E12520" s="16"/>
      <c r="F12520" s="16"/>
      <c r="H12520" s="16"/>
      <c r="AG12520" s="80"/>
      <c r="AH12520" s="80"/>
      <c r="AI12520" s="80"/>
    </row>
    <row r="12521" spans="5:35" x14ac:dyDescent="0.25">
      <c r="E12521" s="16"/>
      <c r="F12521" s="16"/>
      <c r="H12521" s="16"/>
      <c r="AG12521" s="80"/>
      <c r="AH12521" s="80"/>
      <c r="AI12521" s="80"/>
    </row>
    <row r="12522" spans="5:35" x14ac:dyDescent="0.25">
      <c r="E12522" s="16"/>
      <c r="F12522" s="16"/>
      <c r="H12522" s="16"/>
      <c r="AG12522" s="80"/>
      <c r="AH12522" s="80"/>
      <c r="AI12522" s="80"/>
    </row>
    <row r="12523" spans="5:35" x14ac:dyDescent="0.25">
      <c r="E12523" s="16"/>
      <c r="F12523" s="16"/>
      <c r="H12523" s="16"/>
      <c r="AG12523" s="80"/>
      <c r="AH12523" s="80"/>
      <c r="AI12523" s="80"/>
    </row>
    <row r="12524" spans="5:35" x14ac:dyDescent="0.25">
      <c r="E12524" s="16"/>
      <c r="F12524" s="16"/>
      <c r="H12524" s="16"/>
      <c r="AG12524" s="80"/>
      <c r="AH12524" s="80"/>
      <c r="AI12524" s="80"/>
    </row>
    <row r="12525" spans="5:35" x14ac:dyDescent="0.25">
      <c r="E12525" s="16"/>
      <c r="F12525" s="16"/>
      <c r="H12525" s="16"/>
      <c r="AG12525" s="80"/>
      <c r="AH12525" s="80"/>
      <c r="AI12525" s="80"/>
    </row>
    <row r="12526" spans="5:35" x14ac:dyDescent="0.25">
      <c r="E12526" s="16"/>
      <c r="F12526" s="16"/>
      <c r="H12526" s="16"/>
      <c r="AG12526" s="80"/>
      <c r="AH12526" s="80"/>
      <c r="AI12526" s="80"/>
    </row>
    <row r="12527" spans="5:35" x14ac:dyDescent="0.25">
      <c r="E12527" s="16"/>
      <c r="F12527" s="16"/>
      <c r="H12527" s="16"/>
      <c r="AG12527" s="80"/>
      <c r="AH12527" s="80"/>
      <c r="AI12527" s="80"/>
    </row>
    <row r="12528" spans="5:35" x14ac:dyDescent="0.25">
      <c r="E12528" s="16"/>
      <c r="F12528" s="16"/>
      <c r="H12528" s="16"/>
      <c r="AG12528" s="80"/>
      <c r="AH12528" s="80"/>
      <c r="AI12528" s="80"/>
    </row>
    <row r="12529" spans="5:35" x14ac:dyDescent="0.25">
      <c r="E12529" s="16"/>
      <c r="F12529" s="16"/>
      <c r="H12529" s="16"/>
      <c r="AG12529" s="80"/>
      <c r="AH12529" s="80"/>
      <c r="AI12529" s="80"/>
    </row>
    <row r="12530" spans="5:35" x14ac:dyDescent="0.25">
      <c r="E12530" s="16"/>
      <c r="F12530" s="16"/>
      <c r="H12530" s="16"/>
      <c r="AG12530" s="80"/>
      <c r="AH12530" s="80"/>
      <c r="AI12530" s="80"/>
    </row>
    <row r="12531" spans="5:35" x14ac:dyDescent="0.25">
      <c r="E12531" s="16"/>
      <c r="F12531" s="16"/>
      <c r="H12531" s="16"/>
      <c r="AG12531" s="80"/>
      <c r="AH12531" s="80"/>
      <c r="AI12531" s="80"/>
    </row>
    <row r="12532" spans="5:35" x14ac:dyDescent="0.25">
      <c r="E12532" s="16"/>
      <c r="F12532" s="16"/>
      <c r="H12532" s="16"/>
      <c r="AG12532" s="80"/>
      <c r="AH12532" s="80"/>
      <c r="AI12532" s="80"/>
    </row>
    <row r="12533" spans="5:35" x14ac:dyDescent="0.25">
      <c r="E12533" s="16"/>
      <c r="F12533" s="16"/>
      <c r="H12533" s="16"/>
      <c r="AG12533" s="80"/>
      <c r="AH12533" s="80"/>
      <c r="AI12533" s="80"/>
    </row>
    <row r="12534" spans="5:35" x14ac:dyDescent="0.25">
      <c r="E12534" s="16"/>
      <c r="F12534" s="16"/>
      <c r="H12534" s="16"/>
      <c r="AG12534" s="80"/>
      <c r="AH12534" s="80"/>
      <c r="AI12534" s="80"/>
    </row>
    <row r="12535" spans="5:35" x14ac:dyDescent="0.25">
      <c r="E12535" s="16"/>
      <c r="F12535" s="16"/>
      <c r="H12535" s="16"/>
      <c r="AG12535" s="80"/>
      <c r="AH12535" s="80"/>
      <c r="AI12535" s="80"/>
    </row>
    <row r="12536" spans="5:35" x14ac:dyDescent="0.25">
      <c r="E12536" s="16"/>
      <c r="F12536" s="16"/>
      <c r="H12536" s="16"/>
      <c r="AG12536" s="80"/>
      <c r="AH12536" s="80"/>
      <c r="AI12536" s="80"/>
    </row>
    <row r="12537" spans="5:35" x14ac:dyDescent="0.25">
      <c r="E12537" s="16"/>
      <c r="F12537" s="16"/>
      <c r="H12537" s="16"/>
      <c r="AG12537" s="80"/>
      <c r="AH12537" s="80"/>
      <c r="AI12537" s="80"/>
    </row>
    <row r="12538" spans="5:35" x14ac:dyDescent="0.25">
      <c r="E12538" s="16"/>
      <c r="F12538" s="16"/>
      <c r="H12538" s="16"/>
      <c r="AG12538" s="80"/>
      <c r="AH12538" s="80"/>
      <c r="AI12538" s="80"/>
    </row>
    <row r="12539" spans="5:35" x14ac:dyDescent="0.25">
      <c r="E12539" s="16"/>
      <c r="F12539" s="16"/>
      <c r="H12539" s="16"/>
      <c r="AG12539" s="80"/>
      <c r="AH12539" s="80"/>
      <c r="AI12539" s="80"/>
    </row>
    <row r="12540" spans="5:35" x14ac:dyDescent="0.25">
      <c r="E12540" s="16"/>
      <c r="F12540" s="16"/>
      <c r="H12540" s="16"/>
      <c r="AG12540" s="80"/>
      <c r="AH12540" s="80"/>
      <c r="AI12540" s="80"/>
    </row>
    <row r="12541" spans="5:35" x14ac:dyDescent="0.25">
      <c r="E12541" s="16"/>
      <c r="F12541" s="16"/>
      <c r="H12541" s="16"/>
      <c r="AG12541" s="80"/>
      <c r="AH12541" s="80"/>
      <c r="AI12541" s="80"/>
    </row>
    <row r="12542" spans="5:35" x14ac:dyDescent="0.25">
      <c r="E12542" s="16"/>
      <c r="F12542" s="16"/>
      <c r="H12542" s="16"/>
      <c r="AG12542" s="80"/>
      <c r="AH12542" s="80"/>
      <c r="AI12542" s="80"/>
    </row>
    <row r="12543" spans="5:35" x14ac:dyDescent="0.25">
      <c r="E12543" s="16"/>
      <c r="F12543" s="16"/>
      <c r="H12543" s="16"/>
      <c r="AG12543" s="80"/>
      <c r="AH12543" s="80"/>
      <c r="AI12543" s="80"/>
    </row>
    <row r="12544" spans="5:35" x14ac:dyDescent="0.25">
      <c r="E12544" s="16"/>
      <c r="F12544" s="16"/>
      <c r="H12544" s="16"/>
      <c r="AG12544" s="80"/>
      <c r="AH12544" s="80"/>
      <c r="AI12544" s="80"/>
    </row>
    <row r="12545" spans="5:35" x14ac:dyDescent="0.25">
      <c r="E12545" s="16"/>
      <c r="F12545" s="16"/>
      <c r="H12545" s="16"/>
      <c r="AG12545" s="80"/>
      <c r="AH12545" s="80"/>
      <c r="AI12545" s="80"/>
    </row>
    <row r="12546" spans="5:35" x14ac:dyDescent="0.25">
      <c r="E12546" s="16"/>
      <c r="F12546" s="16"/>
      <c r="H12546" s="16"/>
      <c r="AG12546" s="80"/>
      <c r="AH12546" s="80"/>
      <c r="AI12546" s="80"/>
    </row>
    <row r="12547" spans="5:35" x14ac:dyDescent="0.25">
      <c r="E12547" s="16"/>
      <c r="F12547" s="16"/>
      <c r="H12547" s="16"/>
      <c r="AG12547" s="80"/>
      <c r="AH12547" s="80"/>
      <c r="AI12547" s="80"/>
    </row>
    <row r="12548" spans="5:35" x14ac:dyDescent="0.25">
      <c r="E12548" s="16"/>
      <c r="F12548" s="16"/>
      <c r="H12548" s="16"/>
      <c r="AG12548" s="80"/>
      <c r="AH12548" s="80"/>
      <c r="AI12548" s="80"/>
    </row>
    <row r="12549" spans="5:35" x14ac:dyDescent="0.25">
      <c r="E12549" s="16"/>
      <c r="F12549" s="16"/>
      <c r="H12549" s="16"/>
      <c r="AG12549" s="80"/>
      <c r="AH12549" s="80"/>
      <c r="AI12549" s="80"/>
    </row>
    <row r="12550" spans="5:35" x14ac:dyDescent="0.25">
      <c r="E12550" s="16"/>
      <c r="F12550" s="16"/>
      <c r="H12550" s="16"/>
      <c r="AG12550" s="80"/>
      <c r="AH12550" s="80"/>
      <c r="AI12550" s="80"/>
    </row>
    <row r="12551" spans="5:35" x14ac:dyDescent="0.25">
      <c r="E12551" s="16"/>
      <c r="F12551" s="16"/>
      <c r="H12551" s="16"/>
      <c r="AG12551" s="80"/>
      <c r="AH12551" s="80"/>
      <c r="AI12551" s="80"/>
    </row>
    <row r="12552" spans="5:35" x14ac:dyDescent="0.25">
      <c r="E12552" s="16"/>
      <c r="F12552" s="16"/>
      <c r="H12552" s="16"/>
      <c r="AG12552" s="80"/>
      <c r="AH12552" s="80"/>
      <c r="AI12552" s="80"/>
    </row>
    <row r="12553" spans="5:35" x14ac:dyDescent="0.25">
      <c r="E12553" s="16"/>
      <c r="F12553" s="16"/>
      <c r="H12553" s="16"/>
      <c r="AG12553" s="80"/>
      <c r="AH12553" s="80"/>
      <c r="AI12553" s="80"/>
    </row>
    <row r="12554" spans="5:35" x14ac:dyDescent="0.25">
      <c r="E12554" s="16"/>
      <c r="F12554" s="16"/>
      <c r="H12554" s="16"/>
      <c r="AG12554" s="80"/>
      <c r="AH12554" s="80"/>
      <c r="AI12554" s="80"/>
    </row>
    <row r="12555" spans="5:35" x14ac:dyDescent="0.25">
      <c r="E12555" s="16"/>
      <c r="F12555" s="16"/>
      <c r="H12555" s="16"/>
      <c r="AG12555" s="80"/>
      <c r="AH12555" s="80"/>
      <c r="AI12555" s="80"/>
    </row>
    <row r="12556" spans="5:35" x14ac:dyDescent="0.25">
      <c r="E12556" s="16"/>
      <c r="F12556" s="16"/>
      <c r="H12556" s="16"/>
      <c r="AG12556" s="80"/>
      <c r="AH12556" s="80"/>
      <c r="AI12556" s="80"/>
    </row>
    <row r="12557" spans="5:35" x14ac:dyDescent="0.25">
      <c r="E12557" s="16"/>
      <c r="F12557" s="16"/>
      <c r="H12557" s="16"/>
      <c r="AG12557" s="80"/>
      <c r="AH12557" s="80"/>
      <c r="AI12557" s="80"/>
    </row>
    <row r="12558" spans="5:35" x14ac:dyDescent="0.25">
      <c r="E12558" s="16"/>
      <c r="F12558" s="16"/>
      <c r="H12558" s="16"/>
      <c r="AG12558" s="80"/>
      <c r="AH12558" s="80"/>
      <c r="AI12558" s="80"/>
    </row>
    <row r="12559" spans="5:35" x14ac:dyDescent="0.25">
      <c r="E12559" s="16"/>
      <c r="F12559" s="16"/>
      <c r="H12559" s="16"/>
      <c r="AG12559" s="80"/>
      <c r="AH12559" s="80"/>
      <c r="AI12559" s="80"/>
    </row>
    <row r="12560" spans="5:35" x14ac:dyDescent="0.25">
      <c r="E12560" s="16"/>
      <c r="F12560" s="16"/>
      <c r="H12560" s="16"/>
      <c r="AG12560" s="80"/>
      <c r="AH12560" s="80"/>
      <c r="AI12560" s="80"/>
    </row>
    <row r="12561" spans="5:35" x14ac:dyDescent="0.25">
      <c r="E12561" s="16"/>
      <c r="F12561" s="16"/>
      <c r="H12561" s="16"/>
      <c r="AG12561" s="80"/>
      <c r="AH12561" s="80"/>
      <c r="AI12561" s="80"/>
    </row>
    <row r="12562" spans="5:35" x14ac:dyDescent="0.25">
      <c r="E12562" s="16"/>
      <c r="F12562" s="16"/>
      <c r="H12562" s="16"/>
      <c r="AG12562" s="80"/>
      <c r="AH12562" s="80"/>
      <c r="AI12562" s="80"/>
    </row>
    <row r="12563" spans="5:35" x14ac:dyDescent="0.25">
      <c r="E12563" s="16"/>
      <c r="F12563" s="16"/>
      <c r="H12563" s="16"/>
      <c r="AG12563" s="80"/>
      <c r="AH12563" s="80"/>
      <c r="AI12563" s="80"/>
    </row>
    <row r="12564" spans="5:35" x14ac:dyDescent="0.25">
      <c r="E12564" s="16"/>
      <c r="F12564" s="16"/>
      <c r="H12564" s="16"/>
      <c r="AG12564" s="80"/>
      <c r="AH12564" s="80"/>
      <c r="AI12564" s="80"/>
    </row>
    <row r="12565" spans="5:35" x14ac:dyDescent="0.25">
      <c r="E12565" s="16"/>
      <c r="F12565" s="16"/>
      <c r="H12565" s="16"/>
      <c r="AG12565" s="80"/>
      <c r="AH12565" s="80"/>
      <c r="AI12565" s="80"/>
    </row>
    <row r="12566" spans="5:35" x14ac:dyDescent="0.25">
      <c r="E12566" s="16"/>
      <c r="F12566" s="16"/>
      <c r="H12566" s="16"/>
      <c r="AG12566" s="80"/>
      <c r="AH12566" s="80"/>
      <c r="AI12566" s="80"/>
    </row>
    <row r="12567" spans="5:35" x14ac:dyDescent="0.25">
      <c r="E12567" s="16"/>
      <c r="F12567" s="16"/>
      <c r="H12567" s="16"/>
      <c r="AG12567" s="80"/>
      <c r="AH12567" s="80"/>
      <c r="AI12567" s="80"/>
    </row>
    <row r="12568" spans="5:35" x14ac:dyDescent="0.25">
      <c r="E12568" s="16"/>
      <c r="F12568" s="16"/>
      <c r="H12568" s="16"/>
      <c r="AG12568" s="80"/>
      <c r="AH12568" s="80"/>
      <c r="AI12568" s="80"/>
    </row>
    <row r="12569" spans="5:35" x14ac:dyDescent="0.25">
      <c r="E12569" s="16"/>
      <c r="F12569" s="16"/>
      <c r="H12569" s="16"/>
      <c r="AG12569" s="80"/>
      <c r="AH12569" s="80"/>
      <c r="AI12569" s="80"/>
    </row>
    <row r="12570" spans="5:35" x14ac:dyDescent="0.25">
      <c r="E12570" s="16"/>
      <c r="F12570" s="16"/>
      <c r="H12570" s="16"/>
      <c r="AG12570" s="80"/>
      <c r="AH12570" s="80"/>
      <c r="AI12570" s="80"/>
    </row>
    <row r="12571" spans="5:35" x14ac:dyDescent="0.25">
      <c r="E12571" s="16"/>
      <c r="F12571" s="16"/>
      <c r="H12571" s="16"/>
      <c r="AG12571" s="80"/>
      <c r="AH12571" s="80"/>
      <c r="AI12571" s="80"/>
    </row>
    <row r="12572" spans="5:35" x14ac:dyDescent="0.25">
      <c r="E12572" s="16"/>
      <c r="F12572" s="16"/>
      <c r="H12572" s="16"/>
      <c r="AG12572" s="80"/>
      <c r="AH12572" s="80"/>
      <c r="AI12572" s="80"/>
    </row>
    <row r="12573" spans="5:35" x14ac:dyDescent="0.25">
      <c r="E12573" s="16"/>
      <c r="F12573" s="16"/>
      <c r="H12573" s="16"/>
      <c r="AG12573" s="80"/>
      <c r="AH12573" s="80"/>
      <c r="AI12573" s="80"/>
    </row>
    <row r="12574" spans="5:35" x14ac:dyDescent="0.25">
      <c r="E12574" s="16"/>
      <c r="F12574" s="16"/>
      <c r="H12574" s="16"/>
      <c r="AG12574" s="80"/>
      <c r="AH12574" s="80"/>
      <c r="AI12574" s="80"/>
    </row>
    <row r="12575" spans="5:35" x14ac:dyDescent="0.25">
      <c r="E12575" s="16"/>
      <c r="F12575" s="16"/>
      <c r="H12575" s="16"/>
      <c r="AG12575" s="80"/>
      <c r="AH12575" s="80"/>
      <c r="AI12575" s="80"/>
    </row>
    <row r="12576" spans="5:35" x14ac:dyDescent="0.25">
      <c r="E12576" s="16"/>
      <c r="F12576" s="16"/>
      <c r="H12576" s="16"/>
      <c r="AG12576" s="80"/>
      <c r="AH12576" s="80"/>
      <c r="AI12576" s="80"/>
    </row>
    <row r="12577" spans="5:35" x14ac:dyDescent="0.25">
      <c r="E12577" s="16"/>
      <c r="F12577" s="16"/>
      <c r="H12577" s="16"/>
      <c r="AG12577" s="80"/>
      <c r="AH12577" s="80"/>
      <c r="AI12577" s="80"/>
    </row>
    <row r="12578" spans="5:35" x14ac:dyDescent="0.25">
      <c r="E12578" s="16"/>
      <c r="F12578" s="16"/>
      <c r="H12578" s="16"/>
      <c r="AG12578" s="80"/>
      <c r="AH12578" s="80"/>
      <c r="AI12578" s="80"/>
    </row>
    <row r="12579" spans="5:35" x14ac:dyDescent="0.25">
      <c r="E12579" s="16"/>
      <c r="F12579" s="16"/>
      <c r="H12579" s="16"/>
      <c r="AG12579" s="80"/>
      <c r="AH12579" s="80"/>
      <c r="AI12579" s="80"/>
    </row>
    <row r="12580" spans="5:35" x14ac:dyDescent="0.25">
      <c r="E12580" s="16"/>
      <c r="F12580" s="16"/>
      <c r="H12580" s="16"/>
      <c r="AG12580" s="80"/>
      <c r="AH12580" s="80"/>
      <c r="AI12580" s="80"/>
    </row>
    <row r="12581" spans="5:35" x14ac:dyDescent="0.25">
      <c r="E12581" s="16"/>
      <c r="F12581" s="16"/>
      <c r="H12581" s="16"/>
      <c r="AG12581" s="80"/>
      <c r="AH12581" s="80"/>
      <c r="AI12581" s="80"/>
    </row>
    <row r="12582" spans="5:35" x14ac:dyDescent="0.25">
      <c r="E12582" s="16"/>
      <c r="F12582" s="16"/>
      <c r="H12582" s="16"/>
      <c r="AG12582" s="80"/>
      <c r="AH12582" s="80"/>
      <c r="AI12582" s="80"/>
    </row>
    <row r="12583" spans="5:35" x14ac:dyDescent="0.25">
      <c r="E12583" s="16"/>
      <c r="F12583" s="16"/>
      <c r="H12583" s="16"/>
      <c r="AG12583" s="80"/>
      <c r="AH12583" s="80"/>
      <c r="AI12583" s="80"/>
    </row>
    <row r="12584" spans="5:35" x14ac:dyDescent="0.25">
      <c r="E12584" s="16"/>
      <c r="F12584" s="16"/>
      <c r="H12584" s="16"/>
      <c r="AG12584" s="80"/>
      <c r="AH12584" s="80"/>
      <c r="AI12584" s="80"/>
    </row>
    <row r="12585" spans="5:35" x14ac:dyDescent="0.25">
      <c r="E12585" s="16"/>
      <c r="F12585" s="16"/>
      <c r="H12585" s="16"/>
      <c r="AG12585" s="80"/>
      <c r="AH12585" s="80"/>
      <c r="AI12585" s="80"/>
    </row>
    <row r="12586" spans="5:35" x14ac:dyDescent="0.25">
      <c r="E12586" s="16"/>
      <c r="F12586" s="16"/>
      <c r="H12586" s="16"/>
      <c r="AG12586" s="80"/>
      <c r="AH12586" s="80"/>
      <c r="AI12586" s="80"/>
    </row>
    <row r="12587" spans="5:35" x14ac:dyDescent="0.25">
      <c r="E12587" s="16"/>
      <c r="F12587" s="16"/>
      <c r="H12587" s="16"/>
      <c r="AG12587" s="80"/>
      <c r="AH12587" s="80"/>
      <c r="AI12587" s="80"/>
    </row>
    <row r="12588" spans="5:35" x14ac:dyDescent="0.25">
      <c r="E12588" s="16"/>
      <c r="F12588" s="16"/>
      <c r="H12588" s="16"/>
      <c r="AG12588" s="80"/>
      <c r="AH12588" s="80"/>
      <c r="AI12588" s="80"/>
    </row>
    <row r="12589" spans="5:35" x14ac:dyDescent="0.25">
      <c r="E12589" s="16"/>
      <c r="F12589" s="16"/>
      <c r="H12589" s="16"/>
      <c r="AG12589" s="80"/>
      <c r="AH12589" s="80"/>
      <c r="AI12589" s="80"/>
    </row>
    <row r="12590" spans="5:35" x14ac:dyDescent="0.25">
      <c r="E12590" s="16"/>
      <c r="F12590" s="16"/>
      <c r="H12590" s="16"/>
      <c r="AG12590" s="80"/>
      <c r="AH12590" s="80"/>
      <c r="AI12590" s="80"/>
    </row>
    <row r="12591" spans="5:35" x14ac:dyDescent="0.25">
      <c r="E12591" s="16"/>
      <c r="F12591" s="16"/>
      <c r="H12591" s="16"/>
      <c r="AG12591" s="80"/>
      <c r="AH12591" s="80"/>
      <c r="AI12591" s="80"/>
    </row>
    <row r="12592" spans="5:35" x14ac:dyDescent="0.25">
      <c r="E12592" s="16"/>
      <c r="F12592" s="16"/>
      <c r="H12592" s="16"/>
      <c r="AG12592" s="80"/>
      <c r="AH12592" s="80"/>
      <c r="AI12592" s="80"/>
    </row>
    <row r="12593" spans="5:35" x14ac:dyDescent="0.25">
      <c r="E12593" s="16"/>
      <c r="F12593" s="16"/>
      <c r="H12593" s="16"/>
      <c r="AG12593" s="80"/>
      <c r="AH12593" s="80"/>
      <c r="AI12593" s="80"/>
    </row>
    <row r="12594" spans="5:35" x14ac:dyDescent="0.25">
      <c r="E12594" s="16"/>
      <c r="F12594" s="16"/>
      <c r="H12594" s="16"/>
      <c r="AG12594" s="80"/>
      <c r="AH12594" s="80"/>
      <c r="AI12594" s="80"/>
    </row>
    <row r="12595" spans="5:35" x14ac:dyDescent="0.25">
      <c r="E12595" s="16"/>
      <c r="F12595" s="16"/>
      <c r="H12595" s="16"/>
      <c r="AG12595" s="80"/>
      <c r="AH12595" s="80"/>
      <c r="AI12595" s="80"/>
    </row>
    <row r="12596" spans="5:35" x14ac:dyDescent="0.25">
      <c r="E12596" s="16"/>
      <c r="F12596" s="16"/>
      <c r="H12596" s="16"/>
      <c r="AG12596" s="80"/>
      <c r="AH12596" s="80"/>
      <c r="AI12596" s="80"/>
    </row>
    <row r="12597" spans="5:35" x14ac:dyDescent="0.25">
      <c r="E12597" s="16"/>
      <c r="F12597" s="16"/>
      <c r="H12597" s="16"/>
      <c r="AG12597" s="80"/>
      <c r="AH12597" s="80"/>
      <c r="AI12597" s="80"/>
    </row>
    <row r="12598" spans="5:35" x14ac:dyDescent="0.25">
      <c r="E12598" s="16"/>
      <c r="F12598" s="16"/>
      <c r="H12598" s="16"/>
      <c r="AG12598" s="80"/>
      <c r="AH12598" s="80"/>
      <c r="AI12598" s="80"/>
    </row>
    <row r="12599" spans="5:35" x14ac:dyDescent="0.25">
      <c r="E12599" s="16"/>
      <c r="F12599" s="16"/>
      <c r="H12599" s="16"/>
      <c r="AG12599" s="80"/>
      <c r="AH12599" s="80"/>
      <c r="AI12599" s="80"/>
    </row>
    <row r="12600" spans="5:35" x14ac:dyDescent="0.25">
      <c r="E12600" s="16"/>
      <c r="F12600" s="16"/>
      <c r="H12600" s="16"/>
      <c r="AG12600" s="80"/>
      <c r="AH12600" s="80"/>
      <c r="AI12600" s="80"/>
    </row>
    <row r="12601" spans="5:35" x14ac:dyDescent="0.25">
      <c r="E12601" s="16"/>
      <c r="F12601" s="16"/>
      <c r="H12601" s="16"/>
      <c r="AG12601" s="80"/>
      <c r="AH12601" s="80"/>
      <c r="AI12601" s="80"/>
    </row>
    <row r="12602" spans="5:35" x14ac:dyDescent="0.25">
      <c r="E12602" s="16"/>
      <c r="F12602" s="16"/>
      <c r="H12602" s="16"/>
      <c r="AG12602" s="80"/>
      <c r="AH12602" s="80"/>
      <c r="AI12602" s="80"/>
    </row>
    <row r="12603" spans="5:35" x14ac:dyDescent="0.25">
      <c r="E12603" s="16"/>
      <c r="F12603" s="16"/>
      <c r="H12603" s="16"/>
      <c r="AG12603" s="80"/>
      <c r="AH12603" s="80"/>
      <c r="AI12603" s="80"/>
    </row>
    <row r="12604" spans="5:35" x14ac:dyDescent="0.25">
      <c r="E12604" s="16"/>
      <c r="F12604" s="16"/>
      <c r="H12604" s="16"/>
      <c r="AG12604" s="80"/>
      <c r="AH12604" s="80"/>
      <c r="AI12604" s="80"/>
    </row>
    <row r="12605" spans="5:35" x14ac:dyDescent="0.25">
      <c r="E12605" s="16"/>
      <c r="F12605" s="16"/>
      <c r="H12605" s="16"/>
      <c r="AG12605" s="80"/>
      <c r="AH12605" s="80"/>
      <c r="AI12605" s="80"/>
    </row>
    <row r="12606" spans="5:35" x14ac:dyDescent="0.25">
      <c r="E12606" s="16"/>
      <c r="F12606" s="16"/>
      <c r="H12606" s="16"/>
      <c r="AG12606" s="80"/>
      <c r="AH12606" s="80"/>
      <c r="AI12606" s="80"/>
    </row>
    <row r="12607" spans="5:35" x14ac:dyDescent="0.25">
      <c r="E12607" s="16"/>
      <c r="F12607" s="16"/>
      <c r="H12607" s="16"/>
      <c r="AG12607" s="80"/>
      <c r="AH12607" s="80"/>
      <c r="AI12607" s="80"/>
    </row>
    <row r="12608" spans="5:35" x14ac:dyDescent="0.25">
      <c r="E12608" s="16"/>
      <c r="F12608" s="16"/>
      <c r="H12608" s="16"/>
      <c r="AG12608" s="80"/>
      <c r="AH12608" s="80"/>
      <c r="AI12608" s="80"/>
    </row>
    <row r="12609" spans="5:35" x14ac:dyDescent="0.25">
      <c r="E12609" s="16"/>
      <c r="F12609" s="16"/>
      <c r="H12609" s="16"/>
      <c r="AG12609" s="80"/>
      <c r="AH12609" s="80"/>
      <c r="AI12609" s="80"/>
    </row>
    <row r="12610" spans="5:35" x14ac:dyDescent="0.25">
      <c r="E12610" s="16"/>
      <c r="F12610" s="16"/>
      <c r="H12610" s="16"/>
      <c r="AG12610" s="80"/>
      <c r="AH12610" s="80"/>
      <c r="AI12610" s="80"/>
    </row>
    <row r="12611" spans="5:35" x14ac:dyDescent="0.25">
      <c r="E12611" s="16"/>
      <c r="F12611" s="16"/>
      <c r="H12611" s="16"/>
      <c r="AG12611" s="80"/>
      <c r="AH12611" s="80"/>
      <c r="AI12611" s="80"/>
    </row>
    <row r="12612" spans="5:35" x14ac:dyDescent="0.25">
      <c r="E12612" s="16"/>
      <c r="F12612" s="16"/>
      <c r="H12612" s="16"/>
      <c r="AG12612" s="80"/>
      <c r="AH12612" s="80"/>
      <c r="AI12612" s="80"/>
    </row>
    <row r="12613" spans="5:35" x14ac:dyDescent="0.25">
      <c r="E12613" s="16"/>
      <c r="F12613" s="16"/>
      <c r="H12613" s="16"/>
      <c r="AG12613" s="80"/>
      <c r="AH12613" s="80"/>
      <c r="AI12613" s="80"/>
    </row>
    <row r="12614" spans="5:35" x14ac:dyDescent="0.25">
      <c r="E12614" s="16"/>
      <c r="F12614" s="16"/>
      <c r="H12614" s="16"/>
      <c r="AG12614" s="80"/>
      <c r="AH12614" s="80"/>
      <c r="AI12614" s="80"/>
    </row>
    <row r="12615" spans="5:35" x14ac:dyDescent="0.25">
      <c r="E12615" s="16"/>
      <c r="F12615" s="16"/>
      <c r="H12615" s="16"/>
      <c r="AG12615" s="80"/>
      <c r="AH12615" s="80"/>
      <c r="AI12615" s="80"/>
    </row>
    <row r="12616" spans="5:35" x14ac:dyDescent="0.25">
      <c r="E12616" s="16"/>
      <c r="F12616" s="16"/>
      <c r="H12616" s="16"/>
      <c r="AG12616" s="80"/>
      <c r="AH12616" s="80"/>
      <c r="AI12616" s="80"/>
    </row>
    <row r="12617" spans="5:35" x14ac:dyDescent="0.25">
      <c r="E12617" s="16"/>
      <c r="F12617" s="16"/>
      <c r="H12617" s="16"/>
      <c r="AG12617" s="80"/>
      <c r="AH12617" s="80"/>
      <c r="AI12617" s="80"/>
    </row>
    <row r="12618" spans="5:35" x14ac:dyDescent="0.25">
      <c r="E12618" s="16"/>
      <c r="F12618" s="16"/>
      <c r="H12618" s="16"/>
      <c r="AG12618" s="80"/>
      <c r="AH12618" s="80"/>
      <c r="AI12618" s="80"/>
    </row>
    <row r="12619" spans="5:35" x14ac:dyDescent="0.25">
      <c r="E12619" s="16"/>
      <c r="F12619" s="16"/>
      <c r="H12619" s="16"/>
      <c r="AG12619" s="80"/>
      <c r="AH12619" s="80"/>
      <c r="AI12619" s="80"/>
    </row>
    <row r="12620" spans="5:35" x14ac:dyDescent="0.25">
      <c r="E12620" s="16"/>
      <c r="F12620" s="16"/>
      <c r="H12620" s="16"/>
      <c r="AG12620" s="80"/>
      <c r="AH12620" s="80"/>
      <c r="AI12620" s="80"/>
    </row>
    <row r="12621" spans="5:35" x14ac:dyDescent="0.25">
      <c r="E12621" s="16"/>
      <c r="F12621" s="16"/>
      <c r="H12621" s="16"/>
      <c r="AG12621" s="80"/>
      <c r="AH12621" s="80"/>
      <c r="AI12621" s="80"/>
    </row>
    <row r="12622" spans="5:35" x14ac:dyDescent="0.25">
      <c r="E12622" s="16"/>
      <c r="F12622" s="16"/>
      <c r="H12622" s="16"/>
      <c r="AG12622" s="80"/>
      <c r="AH12622" s="80"/>
      <c r="AI12622" s="80"/>
    </row>
    <row r="12623" spans="5:35" x14ac:dyDescent="0.25">
      <c r="E12623" s="16"/>
      <c r="F12623" s="16"/>
      <c r="H12623" s="16"/>
      <c r="AG12623" s="80"/>
      <c r="AH12623" s="80"/>
      <c r="AI12623" s="80"/>
    </row>
    <row r="12624" spans="5:35" x14ac:dyDescent="0.25">
      <c r="E12624" s="16"/>
      <c r="F12624" s="16"/>
      <c r="H12624" s="16"/>
      <c r="AG12624" s="80"/>
      <c r="AH12624" s="80"/>
      <c r="AI12624" s="80"/>
    </row>
    <row r="12625" spans="5:35" x14ac:dyDescent="0.25">
      <c r="E12625" s="16"/>
      <c r="F12625" s="16"/>
      <c r="H12625" s="16"/>
      <c r="AG12625" s="80"/>
      <c r="AH12625" s="80"/>
      <c r="AI12625" s="80"/>
    </row>
    <row r="12626" spans="5:35" x14ac:dyDescent="0.25">
      <c r="E12626" s="16"/>
      <c r="F12626" s="16"/>
      <c r="H12626" s="16"/>
      <c r="AG12626" s="80"/>
      <c r="AH12626" s="80"/>
      <c r="AI12626" s="80"/>
    </row>
    <row r="12627" spans="5:35" x14ac:dyDescent="0.25">
      <c r="E12627" s="16"/>
      <c r="F12627" s="16"/>
      <c r="H12627" s="16"/>
      <c r="AG12627" s="80"/>
      <c r="AH12627" s="80"/>
      <c r="AI12627" s="80"/>
    </row>
    <row r="12628" spans="5:35" x14ac:dyDescent="0.25">
      <c r="E12628" s="16"/>
      <c r="F12628" s="16"/>
      <c r="H12628" s="16"/>
      <c r="AG12628" s="80"/>
      <c r="AH12628" s="80"/>
      <c r="AI12628" s="80"/>
    </row>
    <row r="12629" spans="5:35" x14ac:dyDescent="0.25">
      <c r="E12629" s="16"/>
      <c r="F12629" s="16"/>
      <c r="H12629" s="16"/>
      <c r="AG12629" s="80"/>
      <c r="AH12629" s="80"/>
      <c r="AI12629" s="80"/>
    </row>
    <row r="12630" spans="5:35" x14ac:dyDescent="0.25">
      <c r="E12630" s="16"/>
      <c r="F12630" s="16"/>
      <c r="H12630" s="16"/>
      <c r="AG12630" s="80"/>
      <c r="AH12630" s="80"/>
      <c r="AI12630" s="80"/>
    </row>
    <row r="12631" spans="5:35" x14ac:dyDescent="0.25">
      <c r="E12631" s="16"/>
      <c r="F12631" s="16"/>
      <c r="H12631" s="16"/>
      <c r="AG12631" s="80"/>
      <c r="AH12631" s="80"/>
      <c r="AI12631" s="80"/>
    </row>
    <row r="12632" spans="5:35" x14ac:dyDescent="0.25">
      <c r="E12632" s="16"/>
      <c r="F12632" s="16"/>
      <c r="H12632" s="16"/>
      <c r="AG12632" s="80"/>
      <c r="AH12632" s="80"/>
      <c r="AI12632" s="80"/>
    </row>
    <row r="12633" spans="5:35" x14ac:dyDescent="0.25">
      <c r="E12633" s="16"/>
      <c r="F12633" s="16"/>
      <c r="H12633" s="16"/>
      <c r="AG12633" s="80"/>
      <c r="AH12633" s="80"/>
      <c r="AI12633" s="80"/>
    </row>
    <row r="12634" spans="5:35" x14ac:dyDescent="0.25">
      <c r="E12634" s="16"/>
      <c r="F12634" s="16"/>
      <c r="H12634" s="16"/>
      <c r="AG12634" s="80"/>
      <c r="AH12634" s="80"/>
      <c r="AI12634" s="80"/>
    </row>
    <row r="12635" spans="5:35" x14ac:dyDescent="0.25">
      <c r="E12635" s="16"/>
      <c r="F12635" s="16"/>
      <c r="H12635" s="16"/>
      <c r="AG12635" s="80"/>
      <c r="AH12635" s="80"/>
      <c r="AI12635" s="80"/>
    </row>
    <row r="12636" spans="5:35" x14ac:dyDescent="0.25">
      <c r="E12636" s="16"/>
      <c r="F12636" s="16"/>
      <c r="H12636" s="16"/>
      <c r="AG12636" s="80"/>
      <c r="AH12636" s="80"/>
      <c r="AI12636" s="80"/>
    </row>
    <row r="12637" spans="5:35" x14ac:dyDescent="0.25">
      <c r="E12637" s="16"/>
      <c r="F12637" s="16"/>
      <c r="H12637" s="16"/>
      <c r="AG12637" s="80"/>
      <c r="AH12637" s="80"/>
      <c r="AI12637" s="80"/>
    </row>
    <row r="12638" spans="5:35" x14ac:dyDescent="0.25">
      <c r="E12638" s="16"/>
      <c r="F12638" s="16"/>
      <c r="H12638" s="16"/>
      <c r="AG12638" s="80"/>
      <c r="AH12638" s="80"/>
      <c r="AI12638" s="80"/>
    </row>
    <row r="12639" spans="5:35" x14ac:dyDescent="0.25">
      <c r="E12639" s="16"/>
      <c r="F12639" s="16"/>
      <c r="H12639" s="16"/>
      <c r="AG12639" s="80"/>
      <c r="AH12639" s="80"/>
      <c r="AI12639" s="80"/>
    </row>
    <row r="12640" spans="5:35" x14ac:dyDescent="0.25">
      <c r="E12640" s="16"/>
      <c r="F12640" s="16"/>
      <c r="H12640" s="16"/>
      <c r="AG12640" s="80"/>
      <c r="AH12640" s="80"/>
      <c r="AI12640" s="80"/>
    </row>
    <row r="12641" spans="5:35" x14ac:dyDescent="0.25">
      <c r="E12641" s="16"/>
      <c r="F12641" s="16"/>
      <c r="H12641" s="16"/>
      <c r="AG12641" s="80"/>
      <c r="AH12641" s="80"/>
      <c r="AI12641" s="80"/>
    </row>
    <row r="12642" spans="5:35" x14ac:dyDescent="0.25">
      <c r="E12642" s="16"/>
      <c r="F12642" s="16"/>
      <c r="H12642" s="16"/>
      <c r="AG12642" s="80"/>
      <c r="AH12642" s="80"/>
      <c r="AI12642" s="80"/>
    </row>
    <row r="12643" spans="5:35" x14ac:dyDescent="0.25">
      <c r="E12643" s="16"/>
      <c r="F12643" s="16"/>
      <c r="H12643" s="16"/>
      <c r="AG12643" s="80"/>
      <c r="AH12643" s="80"/>
      <c r="AI12643" s="80"/>
    </row>
    <row r="12644" spans="5:35" x14ac:dyDescent="0.25">
      <c r="E12644" s="16"/>
      <c r="F12644" s="16"/>
      <c r="H12644" s="16"/>
      <c r="AG12644" s="80"/>
      <c r="AH12644" s="80"/>
      <c r="AI12644" s="80"/>
    </row>
    <row r="12645" spans="5:35" x14ac:dyDescent="0.25">
      <c r="E12645" s="16"/>
      <c r="F12645" s="16"/>
      <c r="H12645" s="16"/>
      <c r="AG12645" s="80"/>
      <c r="AH12645" s="80"/>
      <c r="AI12645" s="80"/>
    </row>
    <row r="12646" spans="5:35" x14ac:dyDescent="0.25">
      <c r="E12646" s="16"/>
      <c r="F12646" s="16"/>
      <c r="H12646" s="16"/>
      <c r="AG12646" s="80"/>
      <c r="AH12646" s="80"/>
      <c r="AI12646" s="80"/>
    </row>
    <row r="12647" spans="5:35" x14ac:dyDescent="0.25">
      <c r="E12647" s="16"/>
      <c r="F12647" s="16"/>
      <c r="H12647" s="16"/>
      <c r="AG12647" s="80"/>
      <c r="AH12647" s="80"/>
      <c r="AI12647" s="80"/>
    </row>
    <row r="12648" spans="5:35" x14ac:dyDescent="0.25">
      <c r="E12648" s="16"/>
      <c r="F12648" s="16"/>
      <c r="H12648" s="16"/>
      <c r="AG12648" s="80"/>
      <c r="AH12648" s="80"/>
      <c r="AI12648" s="80"/>
    </row>
    <row r="12649" spans="5:35" x14ac:dyDescent="0.25">
      <c r="E12649" s="16"/>
      <c r="F12649" s="16"/>
      <c r="H12649" s="16"/>
      <c r="AG12649" s="80"/>
      <c r="AH12649" s="80"/>
      <c r="AI12649" s="80"/>
    </row>
    <row r="12650" spans="5:35" x14ac:dyDescent="0.25">
      <c r="E12650" s="16"/>
      <c r="F12650" s="16"/>
      <c r="H12650" s="16"/>
      <c r="AG12650" s="80"/>
      <c r="AH12650" s="80"/>
      <c r="AI12650" s="80"/>
    </row>
    <row r="12651" spans="5:35" x14ac:dyDescent="0.25">
      <c r="E12651" s="16"/>
      <c r="F12651" s="16"/>
      <c r="H12651" s="16"/>
      <c r="AG12651" s="80"/>
      <c r="AH12651" s="80"/>
      <c r="AI12651" s="80"/>
    </row>
    <row r="12652" spans="5:35" x14ac:dyDescent="0.25">
      <c r="E12652" s="16"/>
      <c r="F12652" s="16"/>
      <c r="H12652" s="16"/>
      <c r="AG12652" s="80"/>
      <c r="AH12652" s="80"/>
      <c r="AI12652" s="80"/>
    </row>
    <row r="12653" spans="5:35" x14ac:dyDescent="0.25">
      <c r="E12653" s="16"/>
      <c r="F12653" s="16"/>
      <c r="H12653" s="16"/>
      <c r="AG12653" s="80"/>
      <c r="AH12653" s="80"/>
      <c r="AI12653" s="80"/>
    </row>
    <row r="12654" spans="5:35" x14ac:dyDescent="0.25">
      <c r="E12654" s="16"/>
      <c r="F12654" s="16"/>
      <c r="H12654" s="16"/>
      <c r="AG12654" s="80"/>
      <c r="AH12654" s="80"/>
      <c r="AI12654" s="80"/>
    </row>
    <row r="12655" spans="5:35" x14ac:dyDescent="0.25">
      <c r="E12655" s="16"/>
      <c r="F12655" s="16"/>
      <c r="H12655" s="16"/>
      <c r="AG12655" s="80"/>
      <c r="AH12655" s="80"/>
      <c r="AI12655" s="80"/>
    </row>
    <row r="12656" spans="5:35" x14ac:dyDescent="0.25">
      <c r="E12656" s="16"/>
      <c r="F12656" s="16"/>
      <c r="H12656" s="16"/>
      <c r="AG12656" s="80"/>
      <c r="AH12656" s="80"/>
      <c r="AI12656" s="80"/>
    </row>
    <row r="12657" spans="5:35" x14ac:dyDescent="0.25">
      <c r="E12657" s="16"/>
      <c r="F12657" s="16"/>
      <c r="H12657" s="16"/>
      <c r="AG12657" s="80"/>
      <c r="AH12657" s="80"/>
      <c r="AI12657" s="80"/>
    </row>
    <row r="12658" spans="5:35" x14ac:dyDescent="0.25">
      <c r="E12658" s="16"/>
      <c r="F12658" s="16"/>
      <c r="H12658" s="16"/>
      <c r="AG12658" s="80"/>
      <c r="AH12658" s="80"/>
      <c r="AI12658" s="80"/>
    </row>
    <row r="12659" spans="5:35" x14ac:dyDescent="0.25">
      <c r="E12659" s="16"/>
      <c r="F12659" s="16"/>
      <c r="H12659" s="16"/>
      <c r="AG12659" s="80"/>
      <c r="AH12659" s="80"/>
      <c r="AI12659" s="80"/>
    </row>
    <row r="12660" spans="5:35" x14ac:dyDescent="0.25">
      <c r="E12660" s="16"/>
      <c r="F12660" s="16"/>
      <c r="H12660" s="16"/>
      <c r="AG12660" s="80"/>
      <c r="AH12660" s="80"/>
      <c r="AI12660" s="80"/>
    </row>
    <row r="12661" spans="5:35" x14ac:dyDescent="0.25">
      <c r="E12661" s="16"/>
      <c r="F12661" s="16"/>
      <c r="H12661" s="16"/>
      <c r="AG12661" s="80"/>
      <c r="AH12661" s="80"/>
      <c r="AI12661" s="80"/>
    </row>
    <row r="12662" spans="5:35" x14ac:dyDescent="0.25">
      <c r="E12662" s="16"/>
      <c r="F12662" s="16"/>
      <c r="H12662" s="16"/>
      <c r="AG12662" s="80"/>
      <c r="AH12662" s="80"/>
      <c r="AI12662" s="80"/>
    </row>
    <row r="12663" spans="5:35" x14ac:dyDescent="0.25">
      <c r="E12663" s="16"/>
      <c r="F12663" s="16"/>
      <c r="H12663" s="16"/>
      <c r="AG12663" s="80"/>
      <c r="AH12663" s="80"/>
      <c r="AI12663" s="80"/>
    </row>
    <row r="12664" spans="5:35" x14ac:dyDescent="0.25">
      <c r="E12664" s="16"/>
      <c r="F12664" s="16"/>
      <c r="H12664" s="16"/>
      <c r="AG12664" s="80"/>
      <c r="AH12664" s="80"/>
      <c r="AI12664" s="80"/>
    </row>
    <row r="12665" spans="5:35" x14ac:dyDescent="0.25">
      <c r="E12665" s="16"/>
      <c r="F12665" s="16"/>
      <c r="H12665" s="16"/>
      <c r="AG12665" s="80"/>
      <c r="AH12665" s="80"/>
      <c r="AI12665" s="80"/>
    </row>
    <row r="12666" spans="5:35" x14ac:dyDescent="0.25">
      <c r="E12666" s="16"/>
      <c r="F12666" s="16"/>
      <c r="H12666" s="16"/>
      <c r="AG12666" s="80"/>
      <c r="AH12666" s="80"/>
      <c r="AI12666" s="80"/>
    </row>
    <row r="12667" spans="5:35" x14ac:dyDescent="0.25">
      <c r="E12667" s="16"/>
      <c r="F12667" s="16"/>
      <c r="H12667" s="16"/>
      <c r="AG12667" s="80"/>
      <c r="AH12667" s="80"/>
      <c r="AI12667" s="80"/>
    </row>
    <row r="12668" spans="5:35" x14ac:dyDescent="0.25">
      <c r="E12668" s="16"/>
      <c r="F12668" s="16"/>
      <c r="H12668" s="16"/>
      <c r="AG12668" s="80"/>
      <c r="AH12668" s="80"/>
      <c r="AI12668" s="80"/>
    </row>
    <row r="12669" spans="5:35" x14ac:dyDescent="0.25">
      <c r="E12669" s="16"/>
      <c r="F12669" s="16"/>
      <c r="H12669" s="16"/>
      <c r="AG12669" s="80"/>
      <c r="AH12669" s="80"/>
      <c r="AI12669" s="80"/>
    </row>
    <row r="12670" spans="5:35" x14ac:dyDescent="0.25">
      <c r="E12670" s="16"/>
      <c r="F12670" s="16"/>
      <c r="H12670" s="16"/>
      <c r="AG12670" s="80"/>
      <c r="AH12670" s="80"/>
      <c r="AI12670" s="80"/>
    </row>
    <row r="12671" spans="5:35" x14ac:dyDescent="0.25">
      <c r="E12671" s="16"/>
      <c r="F12671" s="16"/>
      <c r="H12671" s="16"/>
      <c r="AG12671" s="80"/>
      <c r="AH12671" s="80"/>
      <c r="AI12671" s="80"/>
    </row>
    <row r="12672" spans="5:35" x14ac:dyDescent="0.25">
      <c r="E12672" s="16"/>
      <c r="F12672" s="16"/>
      <c r="H12672" s="16"/>
      <c r="AG12672" s="80"/>
      <c r="AH12672" s="80"/>
      <c r="AI12672" s="80"/>
    </row>
    <row r="12673" spans="5:35" x14ac:dyDescent="0.25">
      <c r="E12673" s="16"/>
      <c r="F12673" s="16"/>
      <c r="H12673" s="16"/>
      <c r="AG12673" s="80"/>
      <c r="AH12673" s="80"/>
      <c r="AI12673" s="80"/>
    </row>
    <row r="12674" spans="5:35" x14ac:dyDescent="0.25">
      <c r="E12674" s="16"/>
      <c r="F12674" s="16"/>
      <c r="H12674" s="16"/>
      <c r="AG12674" s="80"/>
      <c r="AH12674" s="80"/>
      <c r="AI12674" s="80"/>
    </row>
    <row r="12675" spans="5:35" x14ac:dyDescent="0.25">
      <c r="E12675" s="16"/>
      <c r="F12675" s="16"/>
      <c r="H12675" s="16"/>
      <c r="AG12675" s="80"/>
      <c r="AH12675" s="80"/>
      <c r="AI12675" s="80"/>
    </row>
    <row r="12676" spans="5:35" x14ac:dyDescent="0.25">
      <c r="E12676" s="16"/>
      <c r="F12676" s="16"/>
      <c r="H12676" s="16"/>
      <c r="AG12676" s="80"/>
      <c r="AH12676" s="80"/>
      <c r="AI12676" s="80"/>
    </row>
    <row r="12677" spans="5:35" x14ac:dyDescent="0.25">
      <c r="E12677" s="16"/>
      <c r="F12677" s="16"/>
      <c r="H12677" s="16"/>
      <c r="AG12677" s="80"/>
      <c r="AH12677" s="80"/>
      <c r="AI12677" s="80"/>
    </row>
    <row r="12678" spans="5:35" x14ac:dyDescent="0.25">
      <c r="E12678" s="16"/>
      <c r="F12678" s="16"/>
      <c r="H12678" s="16"/>
      <c r="AG12678" s="80"/>
      <c r="AH12678" s="80"/>
      <c r="AI12678" s="80"/>
    </row>
    <row r="12679" spans="5:35" x14ac:dyDescent="0.25">
      <c r="E12679" s="16"/>
      <c r="F12679" s="16"/>
      <c r="H12679" s="16"/>
      <c r="AG12679" s="80"/>
      <c r="AH12679" s="80"/>
      <c r="AI12679" s="80"/>
    </row>
    <row r="12680" spans="5:35" x14ac:dyDescent="0.25">
      <c r="E12680" s="16"/>
      <c r="F12680" s="16"/>
      <c r="H12680" s="16"/>
      <c r="AG12680" s="80"/>
      <c r="AH12680" s="80"/>
      <c r="AI12680" s="80"/>
    </row>
    <row r="12681" spans="5:35" x14ac:dyDescent="0.25">
      <c r="E12681" s="16"/>
      <c r="F12681" s="16"/>
      <c r="H12681" s="16"/>
      <c r="AG12681" s="80"/>
      <c r="AH12681" s="80"/>
      <c r="AI12681" s="80"/>
    </row>
    <row r="12682" spans="5:35" x14ac:dyDescent="0.25">
      <c r="E12682" s="16"/>
      <c r="F12682" s="16"/>
      <c r="H12682" s="16"/>
      <c r="AG12682" s="80"/>
      <c r="AH12682" s="80"/>
      <c r="AI12682" s="80"/>
    </row>
    <row r="12683" spans="5:35" x14ac:dyDescent="0.25">
      <c r="E12683" s="16"/>
      <c r="F12683" s="16"/>
      <c r="H12683" s="16"/>
      <c r="AG12683" s="80"/>
      <c r="AH12683" s="80"/>
      <c r="AI12683" s="80"/>
    </row>
    <row r="12684" spans="5:35" x14ac:dyDescent="0.25">
      <c r="E12684" s="16"/>
      <c r="F12684" s="16"/>
      <c r="H12684" s="16"/>
      <c r="AG12684" s="80"/>
      <c r="AH12684" s="80"/>
      <c r="AI12684" s="80"/>
    </row>
    <row r="12685" spans="5:35" x14ac:dyDescent="0.25">
      <c r="E12685" s="16"/>
      <c r="F12685" s="16"/>
      <c r="H12685" s="16"/>
      <c r="AG12685" s="80"/>
      <c r="AH12685" s="80"/>
      <c r="AI12685" s="80"/>
    </row>
    <row r="12686" spans="5:35" x14ac:dyDescent="0.25">
      <c r="E12686" s="16"/>
      <c r="F12686" s="16"/>
      <c r="H12686" s="16"/>
      <c r="AG12686" s="80"/>
      <c r="AH12686" s="80"/>
      <c r="AI12686" s="80"/>
    </row>
    <row r="12687" spans="5:35" x14ac:dyDescent="0.25">
      <c r="E12687" s="16"/>
      <c r="F12687" s="16"/>
      <c r="H12687" s="16"/>
      <c r="AG12687" s="80"/>
      <c r="AH12687" s="80"/>
      <c r="AI12687" s="80"/>
    </row>
    <row r="12688" spans="5:35" x14ac:dyDescent="0.25">
      <c r="E12688" s="16"/>
      <c r="F12688" s="16"/>
      <c r="H12688" s="16"/>
      <c r="AG12688" s="80"/>
      <c r="AH12688" s="80"/>
      <c r="AI12688" s="80"/>
    </row>
    <row r="12689" spans="5:35" x14ac:dyDescent="0.25">
      <c r="E12689" s="16"/>
      <c r="F12689" s="16"/>
      <c r="H12689" s="16"/>
      <c r="AG12689" s="80"/>
      <c r="AH12689" s="80"/>
      <c r="AI12689" s="80"/>
    </row>
    <row r="12690" spans="5:35" x14ac:dyDescent="0.25">
      <c r="E12690" s="16"/>
      <c r="F12690" s="16"/>
      <c r="H12690" s="16"/>
      <c r="AG12690" s="80"/>
      <c r="AH12690" s="80"/>
      <c r="AI12690" s="80"/>
    </row>
    <row r="12691" spans="5:35" x14ac:dyDescent="0.25">
      <c r="E12691" s="16"/>
      <c r="F12691" s="16"/>
      <c r="H12691" s="16"/>
      <c r="AG12691" s="80"/>
      <c r="AH12691" s="80"/>
      <c r="AI12691" s="80"/>
    </row>
    <row r="12692" spans="5:35" x14ac:dyDescent="0.25">
      <c r="E12692" s="16"/>
      <c r="F12692" s="16"/>
      <c r="H12692" s="16"/>
      <c r="AG12692" s="80"/>
      <c r="AH12692" s="80"/>
      <c r="AI12692" s="80"/>
    </row>
    <row r="12693" spans="5:35" x14ac:dyDescent="0.25">
      <c r="E12693" s="16"/>
      <c r="F12693" s="16"/>
      <c r="H12693" s="16"/>
      <c r="AG12693" s="80"/>
      <c r="AH12693" s="80"/>
      <c r="AI12693" s="80"/>
    </row>
    <row r="12694" spans="5:35" x14ac:dyDescent="0.25">
      <c r="E12694" s="16"/>
      <c r="F12694" s="16"/>
      <c r="H12694" s="16"/>
      <c r="AG12694" s="80"/>
      <c r="AH12694" s="80"/>
      <c r="AI12694" s="80"/>
    </row>
    <row r="12695" spans="5:35" x14ac:dyDescent="0.25">
      <c r="E12695" s="16"/>
      <c r="F12695" s="16"/>
      <c r="H12695" s="16"/>
      <c r="AG12695" s="80"/>
      <c r="AH12695" s="80"/>
      <c r="AI12695" s="80"/>
    </row>
    <row r="12696" spans="5:35" x14ac:dyDescent="0.25">
      <c r="E12696" s="16"/>
      <c r="F12696" s="16"/>
      <c r="H12696" s="16"/>
      <c r="AG12696" s="80"/>
      <c r="AH12696" s="80"/>
      <c r="AI12696" s="80"/>
    </row>
    <row r="12697" spans="5:35" x14ac:dyDescent="0.25">
      <c r="E12697" s="16"/>
      <c r="F12697" s="16"/>
      <c r="H12697" s="16"/>
      <c r="AG12697" s="80"/>
      <c r="AH12697" s="80"/>
      <c r="AI12697" s="80"/>
    </row>
    <row r="12698" spans="5:35" x14ac:dyDescent="0.25">
      <c r="E12698" s="16"/>
      <c r="F12698" s="16"/>
      <c r="H12698" s="16"/>
      <c r="AG12698" s="80"/>
      <c r="AH12698" s="80"/>
      <c r="AI12698" s="80"/>
    </row>
    <row r="12699" spans="5:35" x14ac:dyDescent="0.25">
      <c r="E12699" s="16"/>
      <c r="F12699" s="16"/>
      <c r="H12699" s="16"/>
      <c r="AG12699" s="80"/>
      <c r="AH12699" s="80"/>
      <c r="AI12699" s="80"/>
    </row>
    <row r="12700" spans="5:35" x14ac:dyDescent="0.25">
      <c r="E12700" s="16"/>
      <c r="F12700" s="16"/>
      <c r="H12700" s="16"/>
      <c r="AG12700" s="80"/>
      <c r="AH12700" s="80"/>
      <c r="AI12700" s="80"/>
    </row>
    <row r="12701" spans="5:35" x14ac:dyDescent="0.25">
      <c r="E12701" s="16"/>
      <c r="F12701" s="16"/>
      <c r="H12701" s="16"/>
      <c r="AG12701" s="80"/>
      <c r="AH12701" s="80"/>
      <c r="AI12701" s="80"/>
    </row>
    <row r="12702" spans="5:35" x14ac:dyDescent="0.25">
      <c r="E12702" s="16"/>
      <c r="F12702" s="16"/>
      <c r="H12702" s="16"/>
      <c r="AG12702" s="80"/>
      <c r="AH12702" s="80"/>
      <c r="AI12702" s="80"/>
    </row>
    <row r="12703" spans="5:35" x14ac:dyDescent="0.25">
      <c r="E12703" s="16"/>
      <c r="F12703" s="16"/>
      <c r="H12703" s="16"/>
      <c r="AG12703" s="80"/>
      <c r="AH12703" s="80"/>
      <c r="AI12703" s="80"/>
    </row>
    <row r="12704" spans="5:35" x14ac:dyDescent="0.25">
      <c r="E12704" s="16"/>
      <c r="F12704" s="16"/>
      <c r="H12704" s="16"/>
      <c r="AG12704" s="80"/>
      <c r="AH12704" s="80"/>
      <c r="AI12704" s="80"/>
    </row>
    <row r="12705" spans="5:35" x14ac:dyDescent="0.25">
      <c r="E12705" s="16"/>
      <c r="F12705" s="16"/>
      <c r="H12705" s="16"/>
      <c r="AG12705" s="80"/>
      <c r="AH12705" s="80"/>
      <c r="AI12705" s="80"/>
    </row>
    <row r="12706" spans="5:35" x14ac:dyDescent="0.25">
      <c r="E12706" s="16"/>
      <c r="F12706" s="16"/>
      <c r="H12706" s="16"/>
      <c r="AG12706" s="80"/>
      <c r="AH12706" s="80"/>
      <c r="AI12706" s="80"/>
    </row>
    <row r="12707" spans="5:35" x14ac:dyDescent="0.25">
      <c r="E12707" s="16"/>
      <c r="F12707" s="16"/>
      <c r="H12707" s="16"/>
      <c r="AG12707" s="80"/>
      <c r="AH12707" s="80"/>
      <c r="AI12707" s="80"/>
    </row>
    <row r="12708" spans="5:35" x14ac:dyDescent="0.25">
      <c r="E12708" s="16"/>
      <c r="F12708" s="16"/>
      <c r="H12708" s="16"/>
      <c r="AG12708" s="80"/>
      <c r="AH12708" s="80"/>
      <c r="AI12708" s="80"/>
    </row>
    <row r="12709" spans="5:35" x14ac:dyDescent="0.25">
      <c r="E12709" s="16"/>
      <c r="F12709" s="16"/>
      <c r="H12709" s="16"/>
      <c r="AG12709" s="80"/>
      <c r="AH12709" s="80"/>
      <c r="AI12709" s="80"/>
    </row>
    <row r="12710" spans="5:35" x14ac:dyDescent="0.25">
      <c r="E12710" s="16"/>
      <c r="F12710" s="16"/>
      <c r="H12710" s="16"/>
      <c r="AG12710" s="80"/>
      <c r="AH12710" s="80"/>
      <c r="AI12710" s="80"/>
    </row>
    <row r="12711" spans="5:35" x14ac:dyDescent="0.25">
      <c r="E12711" s="16"/>
      <c r="F12711" s="16"/>
      <c r="H12711" s="16"/>
      <c r="AG12711" s="80"/>
      <c r="AH12711" s="80"/>
      <c r="AI12711" s="80"/>
    </row>
    <row r="12712" spans="5:35" x14ac:dyDescent="0.25">
      <c r="E12712" s="16"/>
      <c r="F12712" s="16"/>
      <c r="H12712" s="16"/>
      <c r="AG12712" s="80"/>
      <c r="AH12712" s="80"/>
      <c r="AI12712" s="80"/>
    </row>
    <row r="12713" spans="5:35" x14ac:dyDescent="0.25">
      <c r="E12713" s="16"/>
      <c r="F12713" s="16"/>
      <c r="H12713" s="16"/>
      <c r="AG12713" s="80"/>
      <c r="AH12713" s="80"/>
      <c r="AI12713" s="80"/>
    </row>
    <row r="12714" spans="5:35" x14ac:dyDescent="0.25">
      <c r="E12714" s="16"/>
      <c r="F12714" s="16"/>
      <c r="H12714" s="16"/>
      <c r="AG12714" s="80"/>
      <c r="AH12714" s="80"/>
      <c r="AI12714" s="80"/>
    </row>
    <row r="12715" spans="5:35" x14ac:dyDescent="0.25">
      <c r="E12715" s="16"/>
      <c r="F12715" s="16"/>
      <c r="H12715" s="16"/>
      <c r="AG12715" s="80"/>
      <c r="AH12715" s="80"/>
      <c r="AI12715" s="80"/>
    </row>
    <row r="12716" spans="5:35" x14ac:dyDescent="0.25">
      <c r="E12716" s="16"/>
      <c r="F12716" s="16"/>
      <c r="H12716" s="16"/>
      <c r="AG12716" s="80"/>
      <c r="AH12716" s="80"/>
      <c r="AI12716" s="80"/>
    </row>
    <row r="12717" spans="5:35" x14ac:dyDescent="0.25">
      <c r="E12717" s="16"/>
      <c r="F12717" s="16"/>
      <c r="H12717" s="16"/>
      <c r="AG12717" s="80"/>
      <c r="AH12717" s="80"/>
      <c r="AI12717" s="80"/>
    </row>
    <row r="12718" spans="5:35" x14ac:dyDescent="0.25">
      <c r="E12718" s="16"/>
      <c r="F12718" s="16"/>
      <c r="H12718" s="16"/>
      <c r="AG12718" s="80"/>
      <c r="AH12718" s="80"/>
      <c r="AI12718" s="80"/>
    </row>
    <row r="12719" spans="5:35" x14ac:dyDescent="0.25">
      <c r="E12719" s="16"/>
      <c r="F12719" s="16"/>
      <c r="H12719" s="16"/>
      <c r="AG12719" s="80"/>
      <c r="AH12719" s="80"/>
      <c r="AI12719" s="80"/>
    </row>
    <row r="12720" spans="5:35" x14ac:dyDescent="0.25">
      <c r="E12720" s="16"/>
      <c r="F12720" s="16"/>
      <c r="H12720" s="16"/>
      <c r="AG12720" s="80"/>
      <c r="AH12720" s="80"/>
      <c r="AI12720" s="80"/>
    </row>
    <row r="12721" spans="5:35" x14ac:dyDescent="0.25">
      <c r="E12721" s="16"/>
      <c r="F12721" s="16"/>
      <c r="H12721" s="16"/>
      <c r="AG12721" s="80"/>
      <c r="AH12721" s="80"/>
      <c r="AI12721" s="80"/>
    </row>
    <row r="12722" spans="5:35" x14ac:dyDescent="0.25">
      <c r="E12722" s="16"/>
      <c r="F12722" s="16"/>
      <c r="H12722" s="16"/>
      <c r="AG12722" s="80"/>
      <c r="AH12722" s="80"/>
      <c r="AI12722" s="80"/>
    </row>
    <row r="12723" spans="5:35" x14ac:dyDescent="0.25">
      <c r="E12723" s="16"/>
      <c r="F12723" s="16"/>
      <c r="H12723" s="16"/>
      <c r="AG12723" s="80"/>
      <c r="AH12723" s="80"/>
      <c r="AI12723" s="80"/>
    </row>
    <row r="12724" spans="5:35" x14ac:dyDescent="0.25">
      <c r="E12724" s="16"/>
      <c r="F12724" s="16"/>
      <c r="H12724" s="16"/>
      <c r="AG12724" s="80"/>
      <c r="AH12724" s="80"/>
      <c r="AI12724" s="80"/>
    </row>
    <row r="12725" spans="5:35" x14ac:dyDescent="0.25">
      <c r="E12725" s="16"/>
      <c r="F12725" s="16"/>
      <c r="H12725" s="16"/>
      <c r="AG12725" s="80"/>
      <c r="AH12725" s="80"/>
      <c r="AI12725" s="80"/>
    </row>
    <row r="12726" spans="5:35" x14ac:dyDescent="0.25">
      <c r="E12726" s="16"/>
      <c r="F12726" s="16"/>
      <c r="H12726" s="16"/>
      <c r="AG12726" s="80"/>
      <c r="AH12726" s="80"/>
      <c r="AI12726" s="80"/>
    </row>
    <row r="12727" spans="5:35" x14ac:dyDescent="0.25">
      <c r="E12727" s="16"/>
      <c r="F12727" s="16"/>
      <c r="H12727" s="16"/>
      <c r="AG12727" s="80"/>
      <c r="AH12727" s="80"/>
      <c r="AI12727" s="80"/>
    </row>
    <row r="12728" spans="5:35" x14ac:dyDescent="0.25">
      <c r="E12728" s="16"/>
      <c r="F12728" s="16"/>
      <c r="H12728" s="16"/>
      <c r="AG12728" s="80"/>
      <c r="AH12728" s="80"/>
      <c r="AI12728" s="80"/>
    </row>
    <row r="12729" spans="5:35" x14ac:dyDescent="0.25">
      <c r="E12729" s="16"/>
      <c r="F12729" s="16"/>
      <c r="H12729" s="16"/>
      <c r="AG12729" s="80"/>
      <c r="AH12729" s="80"/>
      <c r="AI12729" s="80"/>
    </row>
    <row r="12730" spans="5:35" x14ac:dyDescent="0.25">
      <c r="E12730" s="16"/>
      <c r="F12730" s="16"/>
      <c r="H12730" s="16"/>
      <c r="AG12730" s="80"/>
      <c r="AH12730" s="80"/>
      <c r="AI12730" s="80"/>
    </row>
    <row r="12731" spans="5:35" x14ac:dyDescent="0.25">
      <c r="E12731" s="16"/>
      <c r="F12731" s="16"/>
      <c r="H12731" s="16"/>
      <c r="AG12731" s="80"/>
      <c r="AH12731" s="80"/>
      <c r="AI12731" s="80"/>
    </row>
    <row r="12732" spans="5:35" x14ac:dyDescent="0.25">
      <c r="E12732" s="16"/>
      <c r="F12732" s="16"/>
      <c r="H12732" s="16"/>
      <c r="AG12732" s="80"/>
      <c r="AH12732" s="80"/>
      <c r="AI12732" s="80"/>
    </row>
    <row r="12733" spans="5:35" x14ac:dyDescent="0.25">
      <c r="E12733" s="16"/>
      <c r="F12733" s="16"/>
      <c r="H12733" s="16"/>
      <c r="AG12733" s="80"/>
      <c r="AH12733" s="80"/>
      <c r="AI12733" s="80"/>
    </row>
    <row r="12734" spans="5:35" x14ac:dyDescent="0.25">
      <c r="E12734" s="16"/>
      <c r="F12734" s="16"/>
      <c r="H12734" s="16"/>
      <c r="AG12734" s="80"/>
      <c r="AH12734" s="80"/>
      <c r="AI12734" s="80"/>
    </row>
    <row r="12735" spans="5:35" x14ac:dyDescent="0.25">
      <c r="E12735" s="16"/>
      <c r="F12735" s="16"/>
      <c r="H12735" s="16"/>
      <c r="AG12735" s="80"/>
      <c r="AH12735" s="80"/>
      <c r="AI12735" s="80"/>
    </row>
    <row r="12736" spans="5:35" x14ac:dyDescent="0.25">
      <c r="E12736" s="16"/>
      <c r="F12736" s="16"/>
      <c r="H12736" s="16"/>
      <c r="AG12736" s="80"/>
      <c r="AH12736" s="80"/>
      <c r="AI12736" s="80"/>
    </row>
    <row r="12737" spans="5:35" x14ac:dyDescent="0.25">
      <c r="E12737" s="16"/>
      <c r="F12737" s="16"/>
      <c r="H12737" s="16"/>
      <c r="AG12737" s="80"/>
      <c r="AH12737" s="80"/>
      <c r="AI12737" s="80"/>
    </row>
    <row r="12738" spans="5:35" x14ac:dyDescent="0.25">
      <c r="E12738" s="16"/>
      <c r="F12738" s="16"/>
      <c r="H12738" s="16"/>
      <c r="AG12738" s="80"/>
      <c r="AH12738" s="80"/>
      <c r="AI12738" s="80"/>
    </row>
    <row r="12739" spans="5:35" x14ac:dyDescent="0.25">
      <c r="E12739" s="16"/>
      <c r="F12739" s="16"/>
      <c r="H12739" s="16"/>
      <c r="AG12739" s="80"/>
      <c r="AH12739" s="80"/>
      <c r="AI12739" s="80"/>
    </row>
    <row r="12740" spans="5:35" x14ac:dyDescent="0.25">
      <c r="E12740" s="16"/>
      <c r="F12740" s="16"/>
      <c r="H12740" s="16"/>
      <c r="AG12740" s="80"/>
      <c r="AH12740" s="80"/>
      <c r="AI12740" s="80"/>
    </row>
    <row r="12741" spans="5:35" x14ac:dyDescent="0.25">
      <c r="E12741" s="16"/>
      <c r="F12741" s="16"/>
      <c r="H12741" s="16"/>
      <c r="AG12741" s="80"/>
      <c r="AH12741" s="80"/>
      <c r="AI12741" s="80"/>
    </row>
    <row r="12742" spans="5:35" x14ac:dyDescent="0.25">
      <c r="E12742" s="16"/>
      <c r="F12742" s="16"/>
      <c r="H12742" s="16"/>
      <c r="AG12742" s="80"/>
      <c r="AH12742" s="80"/>
      <c r="AI12742" s="80"/>
    </row>
    <row r="12743" spans="5:35" x14ac:dyDescent="0.25">
      <c r="E12743" s="16"/>
      <c r="F12743" s="16"/>
      <c r="H12743" s="16"/>
      <c r="AG12743" s="80"/>
      <c r="AH12743" s="80"/>
      <c r="AI12743" s="80"/>
    </row>
    <row r="12744" spans="5:35" x14ac:dyDescent="0.25">
      <c r="E12744" s="16"/>
      <c r="F12744" s="16"/>
      <c r="H12744" s="16"/>
      <c r="AG12744" s="80"/>
      <c r="AH12744" s="80"/>
      <c r="AI12744" s="80"/>
    </row>
    <row r="12745" spans="5:35" x14ac:dyDescent="0.25">
      <c r="E12745" s="16"/>
      <c r="F12745" s="16"/>
      <c r="H12745" s="16"/>
      <c r="AG12745" s="80"/>
      <c r="AH12745" s="80"/>
      <c r="AI12745" s="80"/>
    </row>
    <row r="12746" spans="5:35" x14ac:dyDescent="0.25">
      <c r="E12746" s="16"/>
      <c r="F12746" s="16"/>
      <c r="H12746" s="16"/>
      <c r="AG12746" s="80"/>
      <c r="AH12746" s="80"/>
      <c r="AI12746" s="80"/>
    </row>
    <row r="12747" spans="5:35" x14ac:dyDescent="0.25">
      <c r="E12747" s="16"/>
      <c r="F12747" s="16"/>
      <c r="H12747" s="16"/>
      <c r="AG12747" s="80"/>
      <c r="AH12747" s="80"/>
      <c r="AI12747" s="80"/>
    </row>
    <row r="12748" spans="5:35" x14ac:dyDescent="0.25">
      <c r="E12748" s="16"/>
      <c r="F12748" s="16"/>
      <c r="H12748" s="16"/>
      <c r="AG12748" s="80"/>
      <c r="AH12748" s="80"/>
      <c r="AI12748" s="80"/>
    </row>
    <row r="12749" spans="5:35" x14ac:dyDescent="0.25">
      <c r="E12749" s="16"/>
      <c r="F12749" s="16"/>
      <c r="H12749" s="16"/>
      <c r="AG12749" s="80"/>
      <c r="AH12749" s="80"/>
      <c r="AI12749" s="80"/>
    </row>
    <row r="12750" spans="5:35" x14ac:dyDescent="0.25">
      <c r="E12750" s="16"/>
      <c r="F12750" s="16"/>
      <c r="H12750" s="16"/>
      <c r="AG12750" s="80"/>
      <c r="AH12750" s="80"/>
      <c r="AI12750" s="80"/>
    </row>
    <row r="12751" spans="5:35" x14ac:dyDescent="0.25">
      <c r="E12751" s="16"/>
      <c r="F12751" s="16"/>
      <c r="H12751" s="16"/>
      <c r="AG12751" s="80"/>
      <c r="AH12751" s="80"/>
      <c r="AI12751" s="80"/>
    </row>
    <row r="12752" spans="5:35" x14ac:dyDescent="0.25">
      <c r="E12752" s="16"/>
      <c r="F12752" s="16"/>
      <c r="H12752" s="16"/>
      <c r="AG12752" s="80"/>
      <c r="AH12752" s="80"/>
      <c r="AI12752" s="80"/>
    </row>
    <row r="12753" spans="5:35" x14ac:dyDescent="0.25">
      <c r="E12753" s="16"/>
      <c r="F12753" s="16"/>
      <c r="H12753" s="16"/>
      <c r="AG12753" s="80"/>
      <c r="AH12753" s="80"/>
      <c r="AI12753" s="80"/>
    </row>
    <row r="12754" spans="5:35" x14ac:dyDescent="0.25">
      <c r="E12754" s="16"/>
      <c r="F12754" s="16"/>
      <c r="H12754" s="16"/>
      <c r="AG12754" s="80"/>
      <c r="AH12754" s="80"/>
      <c r="AI12754" s="80"/>
    </row>
    <row r="12755" spans="5:35" x14ac:dyDescent="0.25">
      <c r="E12755" s="16"/>
      <c r="F12755" s="16"/>
      <c r="H12755" s="16"/>
      <c r="AG12755" s="80"/>
      <c r="AH12755" s="80"/>
      <c r="AI12755" s="80"/>
    </row>
    <row r="12756" spans="5:35" x14ac:dyDescent="0.25">
      <c r="E12756" s="16"/>
      <c r="F12756" s="16"/>
      <c r="H12756" s="16"/>
      <c r="AG12756" s="80"/>
      <c r="AH12756" s="80"/>
      <c r="AI12756" s="80"/>
    </row>
    <row r="12757" spans="5:35" x14ac:dyDescent="0.25">
      <c r="E12757" s="16"/>
      <c r="F12757" s="16"/>
      <c r="H12757" s="16"/>
      <c r="AG12757" s="80"/>
      <c r="AH12757" s="80"/>
      <c r="AI12757" s="80"/>
    </row>
    <row r="12758" spans="5:35" x14ac:dyDescent="0.25">
      <c r="E12758" s="16"/>
      <c r="F12758" s="16"/>
      <c r="H12758" s="16"/>
      <c r="AG12758" s="80"/>
      <c r="AH12758" s="80"/>
      <c r="AI12758" s="80"/>
    </row>
    <row r="12759" spans="5:35" x14ac:dyDescent="0.25">
      <c r="E12759" s="16"/>
      <c r="F12759" s="16"/>
      <c r="H12759" s="16"/>
      <c r="AG12759" s="80"/>
      <c r="AH12759" s="80"/>
      <c r="AI12759" s="80"/>
    </row>
    <row r="12760" spans="5:35" x14ac:dyDescent="0.25">
      <c r="E12760" s="16"/>
      <c r="F12760" s="16"/>
      <c r="H12760" s="16"/>
      <c r="AG12760" s="80"/>
      <c r="AH12760" s="80"/>
      <c r="AI12760" s="80"/>
    </row>
    <row r="12761" spans="5:35" x14ac:dyDescent="0.25">
      <c r="E12761" s="16"/>
      <c r="F12761" s="16"/>
      <c r="H12761" s="16"/>
      <c r="AG12761" s="80"/>
      <c r="AH12761" s="80"/>
      <c r="AI12761" s="80"/>
    </row>
    <row r="12762" spans="5:35" x14ac:dyDescent="0.25">
      <c r="E12762" s="16"/>
      <c r="F12762" s="16"/>
      <c r="H12762" s="16"/>
      <c r="AG12762" s="80"/>
      <c r="AH12762" s="80"/>
      <c r="AI12762" s="80"/>
    </row>
    <row r="12763" spans="5:35" x14ac:dyDescent="0.25">
      <c r="E12763" s="16"/>
      <c r="F12763" s="16"/>
      <c r="H12763" s="16"/>
      <c r="AG12763" s="80"/>
      <c r="AH12763" s="80"/>
      <c r="AI12763" s="80"/>
    </row>
    <row r="12764" spans="5:35" x14ac:dyDescent="0.25">
      <c r="E12764" s="16"/>
      <c r="F12764" s="16"/>
      <c r="H12764" s="16"/>
      <c r="AG12764" s="80"/>
      <c r="AH12764" s="80"/>
      <c r="AI12764" s="80"/>
    </row>
    <row r="12765" spans="5:35" x14ac:dyDescent="0.25">
      <c r="E12765" s="16"/>
      <c r="F12765" s="16"/>
      <c r="H12765" s="16"/>
      <c r="AG12765" s="80"/>
      <c r="AH12765" s="80"/>
      <c r="AI12765" s="80"/>
    </row>
    <row r="12766" spans="5:35" x14ac:dyDescent="0.25">
      <c r="E12766" s="16"/>
      <c r="F12766" s="16"/>
      <c r="H12766" s="16"/>
      <c r="AG12766" s="80"/>
      <c r="AH12766" s="80"/>
      <c r="AI12766" s="80"/>
    </row>
    <row r="12767" spans="5:35" x14ac:dyDescent="0.25">
      <c r="E12767" s="16"/>
      <c r="F12767" s="16"/>
      <c r="H12767" s="16"/>
      <c r="AG12767" s="80"/>
      <c r="AH12767" s="80"/>
      <c r="AI12767" s="80"/>
    </row>
    <row r="12768" spans="5:35" x14ac:dyDescent="0.25">
      <c r="E12768" s="16"/>
      <c r="F12768" s="16"/>
      <c r="H12768" s="16"/>
      <c r="AG12768" s="80"/>
      <c r="AH12768" s="80"/>
      <c r="AI12768" s="80"/>
    </row>
    <row r="12769" spans="5:35" x14ac:dyDescent="0.25">
      <c r="E12769" s="16"/>
      <c r="F12769" s="16"/>
      <c r="H12769" s="16"/>
      <c r="AG12769" s="80"/>
      <c r="AH12769" s="80"/>
      <c r="AI12769" s="80"/>
    </row>
    <row r="12770" spans="5:35" x14ac:dyDescent="0.25">
      <c r="E12770" s="16"/>
      <c r="F12770" s="16"/>
      <c r="H12770" s="16"/>
      <c r="AG12770" s="80"/>
      <c r="AH12770" s="80"/>
      <c r="AI12770" s="80"/>
    </row>
    <row r="12771" spans="5:35" x14ac:dyDescent="0.25">
      <c r="E12771" s="16"/>
      <c r="F12771" s="16"/>
      <c r="H12771" s="16"/>
      <c r="AG12771" s="80"/>
      <c r="AH12771" s="80"/>
      <c r="AI12771" s="80"/>
    </row>
    <row r="12772" spans="5:35" x14ac:dyDescent="0.25">
      <c r="E12772" s="16"/>
      <c r="F12772" s="16"/>
      <c r="H12772" s="16"/>
      <c r="AG12772" s="80"/>
      <c r="AH12772" s="80"/>
      <c r="AI12772" s="80"/>
    </row>
    <row r="12773" spans="5:35" x14ac:dyDescent="0.25">
      <c r="E12773" s="16"/>
      <c r="F12773" s="16"/>
      <c r="H12773" s="16"/>
      <c r="AG12773" s="80"/>
      <c r="AH12773" s="80"/>
      <c r="AI12773" s="80"/>
    </row>
    <row r="12774" spans="5:35" x14ac:dyDescent="0.25">
      <c r="E12774" s="16"/>
      <c r="F12774" s="16"/>
      <c r="H12774" s="16"/>
      <c r="AG12774" s="80"/>
      <c r="AH12774" s="80"/>
      <c r="AI12774" s="80"/>
    </row>
    <row r="12775" spans="5:35" x14ac:dyDescent="0.25">
      <c r="E12775" s="16"/>
      <c r="F12775" s="16"/>
      <c r="H12775" s="16"/>
      <c r="AG12775" s="80"/>
      <c r="AH12775" s="80"/>
      <c r="AI12775" s="80"/>
    </row>
    <row r="12776" spans="5:35" x14ac:dyDescent="0.25">
      <c r="E12776" s="16"/>
      <c r="F12776" s="16"/>
      <c r="H12776" s="16"/>
      <c r="AG12776" s="80"/>
      <c r="AH12776" s="80"/>
      <c r="AI12776" s="80"/>
    </row>
    <row r="12777" spans="5:35" x14ac:dyDescent="0.25">
      <c r="E12777" s="16"/>
      <c r="F12777" s="16"/>
      <c r="H12777" s="16"/>
      <c r="AG12777" s="80"/>
      <c r="AH12777" s="80"/>
      <c r="AI12777" s="80"/>
    </row>
    <row r="12778" spans="5:35" x14ac:dyDescent="0.25">
      <c r="E12778" s="16"/>
      <c r="F12778" s="16"/>
      <c r="H12778" s="16"/>
      <c r="AG12778" s="80"/>
      <c r="AH12778" s="80"/>
      <c r="AI12778" s="80"/>
    </row>
    <row r="12779" spans="5:35" x14ac:dyDescent="0.25">
      <c r="E12779" s="16"/>
      <c r="F12779" s="16"/>
      <c r="H12779" s="16"/>
      <c r="AG12779" s="80"/>
      <c r="AH12779" s="80"/>
      <c r="AI12779" s="80"/>
    </row>
    <row r="12780" spans="5:35" x14ac:dyDescent="0.25">
      <c r="E12780" s="16"/>
      <c r="F12780" s="16"/>
      <c r="H12780" s="16"/>
      <c r="AG12780" s="80"/>
      <c r="AH12780" s="80"/>
      <c r="AI12780" s="80"/>
    </row>
    <row r="12781" spans="5:35" x14ac:dyDescent="0.25">
      <c r="E12781" s="16"/>
      <c r="F12781" s="16"/>
      <c r="H12781" s="16"/>
      <c r="AG12781" s="80"/>
      <c r="AH12781" s="80"/>
      <c r="AI12781" s="80"/>
    </row>
    <row r="12782" spans="5:35" x14ac:dyDescent="0.25">
      <c r="E12782" s="16"/>
      <c r="F12782" s="16"/>
      <c r="H12782" s="16"/>
      <c r="AG12782" s="80"/>
      <c r="AH12782" s="80"/>
      <c r="AI12782" s="80"/>
    </row>
    <row r="12783" spans="5:35" x14ac:dyDescent="0.25">
      <c r="E12783" s="16"/>
      <c r="F12783" s="16"/>
      <c r="H12783" s="16"/>
      <c r="AG12783" s="80"/>
      <c r="AH12783" s="80"/>
      <c r="AI12783" s="80"/>
    </row>
    <row r="12784" spans="5:35" x14ac:dyDescent="0.25">
      <c r="E12784" s="16"/>
      <c r="F12784" s="16"/>
      <c r="H12784" s="16"/>
      <c r="AG12784" s="80"/>
      <c r="AH12784" s="80"/>
      <c r="AI12784" s="80"/>
    </row>
    <row r="12785" spans="5:35" x14ac:dyDescent="0.25">
      <c r="E12785" s="16"/>
      <c r="F12785" s="16"/>
      <c r="H12785" s="16"/>
      <c r="AG12785" s="80"/>
      <c r="AH12785" s="80"/>
      <c r="AI12785" s="80"/>
    </row>
    <row r="12786" spans="5:35" x14ac:dyDescent="0.25">
      <c r="E12786" s="16"/>
      <c r="F12786" s="16"/>
      <c r="H12786" s="16"/>
      <c r="AG12786" s="80"/>
      <c r="AH12786" s="80"/>
      <c r="AI12786" s="80"/>
    </row>
    <row r="12787" spans="5:35" x14ac:dyDescent="0.25">
      <c r="E12787" s="16"/>
      <c r="F12787" s="16"/>
      <c r="H12787" s="16"/>
      <c r="AG12787" s="80"/>
      <c r="AH12787" s="80"/>
      <c r="AI12787" s="80"/>
    </row>
    <row r="12788" spans="5:35" x14ac:dyDescent="0.25">
      <c r="E12788" s="16"/>
      <c r="F12788" s="16"/>
      <c r="H12788" s="16"/>
      <c r="AG12788" s="80"/>
      <c r="AH12788" s="80"/>
      <c r="AI12788" s="80"/>
    </row>
    <row r="12789" spans="5:35" x14ac:dyDescent="0.25">
      <c r="E12789" s="16"/>
      <c r="F12789" s="16"/>
      <c r="H12789" s="16"/>
      <c r="AG12789" s="80"/>
      <c r="AH12789" s="80"/>
      <c r="AI12789" s="80"/>
    </row>
    <row r="12790" spans="5:35" x14ac:dyDescent="0.25">
      <c r="E12790" s="16"/>
      <c r="F12790" s="16"/>
      <c r="H12790" s="16"/>
      <c r="AG12790" s="80"/>
      <c r="AH12790" s="80"/>
      <c r="AI12790" s="80"/>
    </row>
    <row r="12791" spans="5:35" x14ac:dyDescent="0.25">
      <c r="E12791" s="16"/>
      <c r="F12791" s="16"/>
      <c r="H12791" s="16"/>
      <c r="AG12791" s="80"/>
      <c r="AH12791" s="80"/>
      <c r="AI12791" s="80"/>
    </row>
    <row r="12792" spans="5:35" x14ac:dyDescent="0.25">
      <c r="E12792" s="16"/>
      <c r="F12792" s="16"/>
      <c r="H12792" s="16"/>
      <c r="AG12792" s="80"/>
      <c r="AH12792" s="80"/>
      <c r="AI12792" s="80"/>
    </row>
    <row r="12793" spans="5:35" x14ac:dyDescent="0.25">
      <c r="E12793" s="16"/>
      <c r="F12793" s="16"/>
      <c r="H12793" s="16"/>
      <c r="AG12793" s="80"/>
      <c r="AH12793" s="80"/>
      <c r="AI12793" s="80"/>
    </row>
    <row r="12794" spans="5:35" x14ac:dyDescent="0.25">
      <c r="E12794" s="16"/>
      <c r="F12794" s="16"/>
      <c r="H12794" s="16"/>
      <c r="AG12794" s="80"/>
      <c r="AH12794" s="80"/>
      <c r="AI12794" s="80"/>
    </row>
    <row r="12795" spans="5:35" x14ac:dyDescent="0.25">
      <c r="E12795" s="16"/>
      <c r="F12795" s="16"/>
      <c r="H12795" s="16"/>
      <c r="AG12795" s="80"/>
      <c r="AH12795" s="80"/>
      <c r="AI12795" s="80"/>
    </row>
    <row r="12796" spans="5:35" x14ac:dyDescent="0.25">
      <c r="E12796" s="16"/>
      <c r="F12796" s="16"/>
      <c r="H12796" s="16"/>
      <c r="AG12796" s="80"/>
      <c r="AH12796" s="80"/>
      <c r="AI12796" s="80"/>
    </row>
    <row r="12797" spans="5:35" x14ac:dyDescent="0.25">
      <c r="E12797" s="16"/>
      <c r="F12797" s="16"/>
      <c r="H12797" s="16"/>
      <c r="AG12797" s="80"/>
      <c r="AH12797" s="80"/>
      <c r="AI12797" s="80"/>
    </row>
    <row r="12798" spans="5:35" x14ac:dyDescent="0.25">
      <c r="E12798" s="16"/>
      <c r="F12798" s="16"/>
      <c r="H12798" s="16"/>
      <c r="AG12798" s="80"/>
      <c r="AH12798" s="80"/>
      <c r="AI12798" s="80"/>
    </row>
    <row r="12799" spans="5:35" x14ac:dyDescent="0.25">
      <c r="E12799" s="16"/>
      <c r="F12799" s="16"/>
      <c r="H12799" s="16"/>
      <c r="AG12799" s="80"/>
      <c r="AH12799" s="80"/>
      <c r="AI12799" s="80"/>
    </row>
    <row r="12800" spans="5:35" x14ac:dyDescent="0.25">
      <c r="E12800" s="16"/>
      <c r="F12800" s="16"/>
      <c r="H12800" s="16"/>
      <c r="AG12800" s="80"/>
      <c r="AH12800" s="80"/>
      <c r="AI12800" s="80"/>
    </row>
    <row r="12801" spans="5:35" x14ac:dyDescent="0.25">
      <c r="E12801" s="16"/>
      <c r="F12801" s="16"/>
      <c r="H12801" s="16"/>
      <c r="AG12801" s="80"/>
      <c r="AH12801" s="80"/>
      <c r="AI12801" s="80"/>
    </row>
    <row r="12802" spans="5:35" x14ac:dyDescent="0.25">
      <c r="E12802" s="16"/>
      <c r="F12802" s="16"/>
      <c r="H12802" s="16"/>
      <c r="AG12802" s="80"/>
      <c r="AH12802" s="80"/>
      <c r="AI12802" s="80"/>
    </row>
    <row r="12803" spans="5:35" x14ac:dyDescent="0.25">
      <c r="E12803" s="16"/>
      <c r="F12803" s="16"/>
      <c r="H12803" s="16"/>
      <c r="AG12803" s="80"/>
      <c r="AH12803" s="80"/>
      <c r="AI12803" s="80"/>
    </row>
    <row r="12804" spans="5:35" x14ac:dyDescent="0.25">
      <c r="E12804" s="16"/>
      <c r="F12804" s="16"/>
      <c r="H12804" s="16"/>
      <c r="AG12804" s="80"/>
      <c r="AH12804" s="80"/>
      <c r="AI12804" s="80"/>
    </row>
    <row r="12805" spans="5:35" x14ac:dyDescent="0.25">
      <c r="E12805" s="16"/>
      <c r="F12805" s="16"/>
      <c r="H12805" s="16"/>
      <c r="AG12805" s="80"/>
      <c r="AH12805" s="80"/>
      <c r="AI12805" s="80"/>
    </row>
    <row r="12806" spans="5:35" x14ac:dyDescent="0.25">
      <c r="E12806" s="16"/>
      <c r="F12806" s="16"/>
      <c r="H12806" s="16"/>
      <c r="AG12806" s="80"/>
      <c r="AH12806" s="80"/>
      <c r="AI12806" s="80"/>
    </row>
    <row r="12807" spans="5:35" x14ac:dyDescent="0.25">
      <c r="E12807" s="16"/>
      <c r="F12807" s="16"/>
      <c r="H12807" s="16"/>
      <c r="AG12807" s="80"/>
      <c r="AH12807" s="80"/>
      <c r="AI12807" s="80"/>
    </row>
    <row r="12808" spans="5:35" x14ac:dyDescent="0.25">
      <c r="E12808" s="16"/>
      <c r="F12808" s="16"/>
      <c r="H12808" s="16"/>
      <c r="AG12808" s="80"/>
      <c r="AH12808" s="80"/>
      <c r="AI12808" s="80"/>
    </row>
    <row r="12809" spans="5:35" x14ac:dyDescent="0.25">
      <c r="E12809" s="16"/>
      <c r="F12809" s="16"/>
      <c r="H12809" s="16"/>
      <c r="AG12809" s="80"/>
      <c r="AH12809" s="80"/>
      <c r="AI12809" s="80"/>
    </row>
    <row r="12810" spans="5:35" x14ac:dyDescent="0.25">
      <c r="E12810" s="16"/>
      <c r="F12810" s="16"/>
      <c r="H12810" s="16"/>
      <c r="AG12810" s="80"/>
      <c r="AH12810" s="80"/>
      <c r="AI12810" s="80"/>
    </row>
    <row r="12811" spans="5:35" x14ac:dyDescent="0.25">
      <c r="E12811" s="16"/>
      <c r="F12811" s="16"/>
      <c r="H12811" s="16"/>
      <c r="AG12811" s="80"/>
      <c r="AH12811" s="80"/>
      <c r="AI12811" s="80"/>
    </row>
    <row r="12812" spans="5:35" x14ac:dyDescent="0.25">
      <c r="E12812" s="16"/>
      <c r="F12812" s="16"/>
      <c r="H12812" s="16"/>
      <c r="AG12812" s="80"/>
      <c r="AH12812" s="80"/>
      <c r="AI12812" s="80"/>
    </row>
    <row r="12813" spans="5:35" x14ac:dyDescent="0.25">
      <c r="E12813" s="16"/>
      <c r="F12813" s="16"/>
      <c r="H12813" s="16"/>
      <c r="AG12813" s="80"/>
      <c r="AH12813" s="80"/>
      <c r="AI12813" s="80"/>
    </row>
    <row r="12814" spans="5:35" x14ac:dyDescent="0.25">
      <c r="E12814" s="16"/>
      <c r="F12814" s="16"/>
      <c r="H12814" s="16"/>
      <c r="AG12814" s="80"/>
      <c r="AH12814" s="80"/>
      <c r="AI12814" s="80"/>
    </row>
    <row r="12815" spans="5:35" x14ac:dyDescent="0.25">
      <c r="E12815" s="16"/>
      <c r="F12815" s="16"/>
      <c r="H12815" s="16"/>
      <c r="AG12815" s="80"/>
      <c r="AH12815" s="80"/>
      <c r="AI12815" s="80"/>
    </row>
    <row r="12816" spans="5:35" x14ac:dyDescent="0.25">
      <c r="E12816" s="16"/>
      <c r="F12816" s="16"/>
      <c r="H12816" s="16"/>
      <c r="AG12816" s="80"/>
      <c r="AH12816" s="80"/>
      <c r="AI12816" s="80"/>
    </row>
    <row r="12817" spans="5:35" x14ac:dyDescent="0.25">
      <c r="E12817" s="16"/>
      <c r="F12817" s="16"/>
      <c r="H12817" s="16"/>
      <c r="AG12817" s="80"/>
      <c r="AH12817" s="80"/>
      <c r="AI12817" s="80"/>
    </row>
    <row r="12818" spans="5:35" x14ac:dyDescent="0.25">
      <c r="E12818" s="16"/>
      <c r="F12818" s="16"/>
      <c r="H12818" s="16"/>
      <c r="AG12818" s="80"/>
      <c r="AH12818" s="80"/>
      <c r="AI12818" s="80"/>
    </row>
    <row r="12819" spans="5:35" x14ac:dyDescent="0.25">
      <c r="E12819" s="16"/>
      <c r="F12819" s="16"/>
      <c r="H12819" s="16"/>
      <c r="AG12819" s="80"/>
      <c r="AH12819" s="80"/>
      <c r="AI12819" s="80"/>
    </row>
    <row r="12820" spans="5:35" x14ac:dyDescent="0.25">
      <c r="E12820" s="16"/>
      <c r="F12820" s="16"/>
      <c r="H12820" s="16"/>
      <c r="AG12820" s="80"/>
      <c r="AH12820" s="80"/>
      <c r="AI12820" s="80"/>
    </row>
    <row r="12821" spans="5:35" x14ac:dyDescent="0.25">
      <c r="E12821" s="16"/>
      <c r="F12821" s="16"/>
      <c r="H12821" s="16"/>
      <c r="AG12821" s="80"/>
      <c r="AH12821" s="80"/>
      <c r="AI12821" s="80"/>
    </row>
    <row r="12822" spans="5:35" x14ac:dyDescent="0.25">
      <c r="E12822" s="16"/>
      <c r="F12822" s="16"/>
      <c r="H12822" s="16"/>
      <c r="AG12822" s="80"/>
      <c r="AH12822" s="80"/>
      <c r="AI12822" s="80"/>
    </row>
    <row r="12823" spans="5:35" x14ac:dyDescent="0.25">
      <c r="E12823" s="16"/>
      <c r="F12823" s="16"/>
      <c r="H12823" s="16"/>
      <c r="AG12823" s="80"/>
      <c r="AH12823" s="80"/>
      <c r="AI12823" s="80"/>
    </row>
    <row r="12824" spans="5:35" x14ac:dyDescent="0.25">
      <c r="E12824" s="16"/>
      <c r="F12824" s="16"/>
      <c r="H12824" s="16"/>
      <c r="AG12824" s="80"/>
      <c r="AH12824" s="80"/>
      <c r="AI12824" s="80"/>
    </row>
    <row r="12825" spans="5:35" x14ac:dyDescent="0.25">
      <c r="E12825" s="16"/>
      <c r="F12825" s="16"/>
      <c r="H12825" s="16"/>
      <c r="AG12825" s="80"/>
      <c r="AH12825" s="80"/>
      <c r="AI12825" s="80"/>
    </row>
    <row r="12826" spans="5:35" x14ac:dyDescent="0.25">
      <c r="E12826" s="16"/>
      <c r="F12826" s="16"/>
      <c r="H12826" s="16"/>
      <c r="AG12826" s="80"/>
      <c r="AH12826" s="80"/>
      <c r="AI12826" s="80"/>
    </row>
    <row r="12827" spans="5:35" x14ac:dyDescent="0.25">
      <c r="E12827" s="16"/>
      <c r="F12827" s="16"/>
      <c r="H12827" s="16"/>
      <c r="AG12827" s="80"/>
      <c r="AH12827" s="80"/>
      <c r="AI12827" s="80"/>
    </row>
    <row r="12828" spans="5:35" x14ac:dyDescent="0.25">
      <c r="E12828" s="16"/>
      <c r="F12828" s="16"/>
      <c r="H12828" s="16"/>
      <c r="AG12828" s="80"/>
      <c r="AH12828" s="80"/>
      <c r="AI12828" s="80"/>
    </row>
    <row r="12829" spans="5:35" x14ac:dyDescent="0.25">
      <c r="E12829" s="16"/>
      <c r="F12829" s="16"/>
      <c r="H12829" s="16"/>
      <c r="AG12829" s="80"/>
      <c r="AH12829" s="80"/>
      <c r="AI12829" s="80"/>
    </row>
    <row r="12830" spans="5:35" x14ac:dyDescent="0.25">
      <c r="E12830" s="16"/>
      <c r="F12830" s="16"/>
      <c r="H12830" s="16"/>
      <c r="AG12830" s="80"/>
      <c r="AH12830" s="80"/>
      <c r="AI12830" s="80"/>
    </row>
    <row r="12831" spans="5:35" x14ac:dyDescent="0.25">
      <c r="E12831" s="16"/>
      <c r="F12831" s="16"/>
      <c r="H12831" s="16"/>
      <c r="AG12831" s="80"/>
      <c r="AH12831" s="80"/>
      <c r="AI12831" s="80"/>
    </row>
    <row r="12832" spans="5:35" x14ac:dyDescent="0.25">
      <c r="E12832" s="16"/>
      <c r="F12832" s="16"/>
      <c r="H12832" s="16"/>
      <c r="AG12832" s="80"/>
      <c r="AH12832" s="80"/>
      <c r="AI12832" s="80"/>
    </row>
    <row r="12833" spans="5:35" x14ac:dyDescent="0.25">
      <c r="E12833" s="16"/>
      <c r="F12833" s="16"/>
      <c r="H12833" s="16"/>
      <c r="AG12833" s="80"/>
      <c r="AH12833" s="80"/>
      <c r="AI12833" s="80"/>
    </row>
    <row r="12834" spans="5:35" x14ac:dyDescent="0.25">
      <c r="E12834" s="16"/>
      <c r="F12834" s="16"/>
      <c r="H12834" s="16"/>
      <c r="AG12834" s="80"/>
      <c r="AH12834" s="80"/>
      <c r="AI12834" s="80"/>
    </row>
    <row r="12835" spans="5:35" x14ac:dyDescent="0.25">
      <c r="E12835" s="16"/>
      <c r="F12835" s="16"/>
      <c r="H12835" s="16"/>
      <c r="AG12835" s="80"/>
      <c r="AH12835" s="80"/>
      <c r="AI12835" s="80"/>
    </row>
    <row r="12836" spans="5:35" x14ac:dyDescent="0.25">
      <c r="E12836" s="16"/>
      <c r="F12836" s="16"/>
      <c r="H12836" s="16"/>
      <c r="AG12836" s="80"/>
      <c r="AH12836" s="80"/>
      <c r="AI12836" s="80"/>
    </row>
    <row r="12837" spans="5:35" x14ac:dyDescent="0.25">
      <c r="E12837" s="16"/>
      <c r="F12837" s="16"/>
      <c r="H12837" s="16"/>
      <c r="AG12837" s="80"/>
      <c r="AH12837" s="80"/>
      <c r="AI12837" s="80"/>
    </row>
    <row r="12838" spans="5:35" x14ac:dyDescent="0.25">
      <c r="E12838" s="16"/>
      <c r="F12838" s="16"/>
      <c r="H12838" s="16"/>
      <c r="AG12838" s="80"/>
      <c r="AH12838" s="80"/>
      <c r="AI12838" s="80"/>
    </row>
    <row r="12839" spans="5:35" x14ac:dyDescent="0.25">
      <c r="E12839" s="16"/>
      <c r="F12839" s="16"/>
      <c r="H12839" s="16"/>
      <c r="AG12839" s="80"/>
      <c r="AH12839" s="80"/>
      <c r="AI12839" s="80"/>
    </row>
    <row r="12840" spans="5:35" x14ac:dyDescent="0.25">
      <c r="E12840" s="16"/>
      <c r="F12840" s="16"/>
      <c r="H12840" s="16"/>
      <c r="AG12840" s="80"/>
      <c r="AH12840" s="80"/>
      <c r="AI12840" s="80"/>
    </row>
    <row r="12841" spans="5:35" x14ac:dyDescent="0.25">
      <c r="E12841" s="16"/>
      <c r="F12841" s="16"/>
      <c r="H12841" s="16"/>
      <c r="AG12841" s="80"/>
      <c r="AH12841" s="80"/>
      <c r="AI12841" s="80"/>
    </row>
    <row r="12842" spans="5:35" x14ac:dyDescent="0.25">
      <c r="E12842" s="16"/>
      <c r="F12842" s="16"/>
      <c r="H12842" s="16"/>
      <c r="AG12842" s="80"/>
      <c r="AH12842" s="80"/>
      <c r="AI12842" s="80"/>
    </row>
    <row r="12843" spans="5:35" x14ac:dyDescent="0.25">
      <c r="E12843" s="16"/>
      <c r="F12843" s="16"/>
      <c r="H12843" s="16"/>
      <c r="AG12843" s="80"/>
      <c r="AH12843" s="80"/>
      <c r="AI12843" s="80"/>
    </row>
    <row r="12844" spans="5:35" x14ac:dyDescent="0.25">
      <c r="E12844" s="16"/>
      <c r="F12844" s="16"/>
      <c r="H12844" s="16"/>
      <c r="AG12844" s="80"/>
      <c r="AH12844" s="80"/>
      <c r="AI12844" s="80"/>
    </row>
    <row r="12845" spans="5:35" x14ac:dyDescent="0.25">
      <c r="E12845" s="16"/>
      <c r="F12845" s="16"/>
      <c r="H12845" s="16"/>
      <c r="AG12845" s="80"/>
      <c r="AH12845" s="80"/>
      <c r="AI12845" s="80"/>
    </row>
    <row r="12846" spans="5:35" x14ac:dyDescent="0.25">
      <c r="E12846" s="16"/>
      <c r="F12846" s="16"/>
      <c r="H12846" s="16"/>
      <c r="AG12846" s="80"/>
      <c r="AH12846" s="80"/>
      <c r="AI12846" s="80"/>
    </row>
    <row r="12847" spans="5:35" x14ac:dyDescent="0.25">
      <c r="E12847" s="16"/>
      <c r="F12847" s="16"/>
      <c r="H12847" s="16"/>
      <c r="AG12847" s="80"/>
      <c r="AH12847" s="80"/>
      <c r="AI12847" s="80"/>
    </row>
    <row r="12848" spans="5:35" x14ac:dyDescent="0.25">
      <c r="E12848" s="16"/>
      <c r="F12848" s="16"/>
      <c r="H12848" s="16"/>
      <c r="AG12848" s="80"/>
      <c r="AH12848" s="80"/>
      <c r="AI12848" s="80"/>
    </row>
    <row r="12849" spans="5:35" x14ac:dyDescent="0.25">
      <c r="E12849" s="16"/>
      <c r="F12849" s="16"/>
      <c r="H12849" s="16"/>
      <c r="AG12849" s="80"/>
      <c r="AH12849" s="80"/>
      <c r="AI12849" s="80"/>
    </row>
    <row r="12850" spans="5:35" x14ac:dyDescent="0.25">
      <c r="E12850" s="16"/>
      <c r="F12850" s="16"/>
      <c r="H12850" s="16"/>
      <c r="AG12850" s="80"/>
      <c r="AH12850" s="80"/>
      <c r="AI12850" s="80"/>
    </row>
    <row r="12851" spans="5:35" x14ac:dyDescent="0.25">
      <c r="E12851" s="16"/>
      <c r="F12851" s="16"/>
      <c r="H12851" s="16"/>
      <c r="AG12851" s="80"/>
      <c r="AH12851" s="80"/>
      <c r="AI12851" s="80"/>
    </row>
    <row r="12852" spans="5:35" x14ac:dyDescent="0.25">
      <c r="E12852" s="16"/>
      <c r="F12852" s="16"/>
      <c r="H12852" s="16"/>
      <c r="AG12852" s="80"/>
      <c r="AH12852" s="80"/>
      <c r="AI12852" s="80"/>
    </row>
    <row r="12853" spans="5:35" x14ac:dyDescent="0.25">
      <c r="E12853" s="16"/>
      <c r="F12853" s="16"/>
      <c r="H12853" s="16"/>
      <c r="AG12853" s="80"/>
      <c r="AH12853" s="80"/>
      <c r="AI12853" s="80"/>
    </row>
    <row r="12854" spans="5:35" x14ac:dyDescent="0.25">
      <c r="E12854" s="16"/>
      <c r="F12854" s="16"/>
      <c r="H12854" s="16"/>
      <c r="AG12854" s="80"/>
      <c r="AH12854" s="80"/>
      <c r="AI12854" s="80"/>
    </row>
    <row r="12855" spans="5:35" x14ac:dyDescent="0.25">
      <c r="E12855" s="16"/>
      <c r="F12855" s="16"/>
      <c r="H12855" s="16"/>
      <c r="AG12855" s="80"/>
      <c r="AH12855" s="80"/>
      <c r="AI12855" s="80"/>
    </row>
    <row r="12856" spans="5:35" x14ac:dyDescent="0.25">
      <c r="E12856" s="16"/>
      <c r="F12856" s="16"/>
      <c r="H12856" s="16"/>
      <c r="AG12856" s="80"/>
      <c r="AH12856" s="80"/>
      <c r="AI12856" s="80"/>
    </row>
    <row r="12857" spans="5:35" x14ac:dyDescent="0.25">
      <c r="E12857" s="16"/>
      <c r="F12857" s="16"/>
      <c r="H12857" s="16"/>
      <c r="AG12857" s="80"/>
      <c r="AH12857" s="80"/>
      <c r="AI12857" s="80"/>
    </row>
    <row r="12858" spans="5:35" x14ac:dyDescent="0.25">
      <c r="E12858" s="16"/>
      <c r="F12858" s="16"/>
      <c r="H12858" s="16"/>
      <c r="AG12858" s="80"/>
      <c r="AH12858" s="80"/>
      <c r="AI12858" s="80"/>
    </row>
    <row r="12859" spans="5:35" x14ac:dyDescent="0.25">
      <c r="E12859" s="16"/>
      <c r="F12859" s="16"/>
      <c r="H12859" s="16"/>
      <c r="AG12859" s="80"/>
      <c r="AH12859" s="80"/>
      <c r="AI12859" s="80"/>
    </row>
    <row r="12860" spans="5:35" x14ac:dyDescent="0.25">
      <c r="E12860" s="16"/>
      <c r="F12860" s="16"/>
      <c r="H12860" s="16"/>
      <c r="AG12860" s="80"/>
      <c r="AH12860" s="80"/>
      <c r="AI12860" s="80"/>
    </row>
    <row r="12861" spans="5:35" x14ac:dyDescent="0.25">
      <c r="E12861" s="16"/>
      <c r="F12861" s="16"/>
      <c r="H12861" s="16"/>
      <c r="AG12861" s="80"/>
      <c r="AH12861" s="80"/>
      <c r="AI12861" s="80"/>
    </row>
    <row r="12862" spans="5:35" x14ac:dyDescent="0.25">
      <c r="E12862" s="16"/>
      <c r="F12862" s="16"/>
      <c r="H12862" s="16"/>
      <c r="AG12862" s="80"/>
      <c r="AH12862" s="80"/>
      <c r="AI12862" s="80"/>
    </row>
    <row r="12863" spans="5:35" x14ac:dyDescent="0.25">
      <c r="E12863" s="16"/>
      <c r="F12863" s="16"/>
      <c r="H12863" s="16"/>
      <c r="AG12863" s="80"/>
      <c r="AH12863" s="80"/>
      <c r="AI12863" s="80"/>
    </row>
    <row r="12864" spans="5:35" x14ac:dyDescent="0.25">
      <c r="E12864" s="16"/>
      <c r="F12864" s="16"/>
      <c r="H12864" s="16"/>
      <c r="AG12864" s="80"/>
      <c r="AH12864" s="80"/>
      <c r="AI12864" s="80"/>
    </row>
    <row r="12865" spans="5:35" x14ac:dyDescent="0.25">
      <c r="E12865" s="16"/>
      <c r="F12865" s="16"/>
      <c r="H12865" s="16"/>
      <c r="AG12865" s="80"/>
      <c r="AH12865" s="80"/>
      <c r="AI12865" s="80"/>
    </row>
    <row r="12866" spans="5:35" x14ac:dyDescent="0.25">
      <c r="E12866" s="16"/>
      <c r="F12866" s="16"/>
      <c r="H12866" s="16"/>
      <c r="AG12866" s="80"/>
      <c r="AH12866" s="80"/>
      <c r="AI12866" s="80"/>
    </row>
    <row r="12867" spans="5:35" x14ac:dyDescent="0.25">
      <c r="E12867" s="16"/>
      <c r="F12867" s="16"/>
      <c r="H12867" s="16"/>
      <c r="AG12867" s="80"/>
      <c r="AH12867" s="80"/>
      <c r="AI12867" s="80"/>
    </row>
    <row r="12868" spans="5:35" x14ac:dyDescent="0.25">
      <c r="E12868" s="16"/>
      <c r="F12868" s="16"/>
      <c r="H12868" s="16"/>
      <c r="AG12868" s="80"/>
      <c r="AH12868" s="80"/>
      <c r="AI12868" s="80"/>
    </row>
    <row r="12869" spans="5:35" x14ac:dyDescent="0.25">
      <c r="E12869" s="16"/>
      <c r="F12869" s="16"/>
      <c r="H12869" s="16"/>
      <c r="AG12869" s="80"/>
      <c r="AH12869" s="80"/>
      <c r="AI12869" s="80"/>
    </row>
    <row r="12870" spans="5:35" x14ac:dyDescent="0.25">
      <c r="E12870" s="16"/>
      <c r="F12870" s="16"/>
      <c r="H12870" s="16"/>
      <c r="AG12870" s="80"/>
      <c r="AH12870" s="80"/>
      <c r="AI12870" s="80"/>
    </row>
    <row r="12871" spans="5:35" x14ac:dyDescent="0.25">
      <c r="E12871" s="16"/>
      <c r="F12871" s="16"/>
      <c r="H12871" s="16"/>
      <c r="AG12871" s="80"/>
      <c r="AH12871" s="80"/>
      <c r="AI12871" s="80"/>
    </row>
    <row r="12872" spans="5:35" x14ac:dyDescent="0.25">
      <c r="E12872" s="16"/>
      <c r="F12872" s="16"/>
      <c r="H12872" s="16"/>
      <c r="AG12872" s="80"/>
      <c r="AH12872" s="80"/>
      <c r="AI12872" s="80"/>
    </row>
    <row r="12873" spans="5:35" x14ac:dyDescent="0.25">
      <c r="E12873" s="16"/>
      <c r="F12873" s="16"/>
      <c r="H12873" s="16"/>
      <c r="AG12873" s="80"/>
      <c r="AH12873" s="80"/>
      <c r="AI12873" s="80"/>
    </row>
    <row r="12874" spans="5:35" x14ac:dyDescent="0.25">
      <c r="E12874" s="16"/>
      <c r="F12874" s="16"/>
      <c r="H12874" s="16"/>
      <c r="AG12874" s="80"/>
      <c r="AH12874" s="80"/>
      <c r="AI12874" s="80"/>
    </row>
    <row r="12875" spans="5:35" x14ac:dyDescent="0.25">
      <c r="E12875" s="16"/>
      <c r="F12875" s="16"/>
      <c r="H12875" s="16"/>
      <c r="AG12875" s="80"/>
      <c r="AH12875" s="80"/>
      <c r="AI12875" s="80"/>
    </row>
    <row r="12876" spans="5:35" x14ac:dyDescent="0.25">
      <c r="E12876" s="16"/>
      <c r="F12876" s="16"/>
      <c r="H12876" s="16"/>
      <c r="AG12876" s="80"/>
      <c r="AH12876" s="80"/>
      <c r="AI12876" s="80"/>
    </row>
    <row r="12877" spans="5:35" x14ac:dyDescent="0.25">
      <c r="E12877" s="16"/>
      <c r="F12877" s="16"/>
      <c r="H12877" s="16"/>
      <c r="AG12877" s="80"/>
      <c r="AH12877" s="80"/>
      <c r="AI12877" s="80"/>
    </row>
    <row r="12878" spans="5:35" x14ac:dyDescent="0.25">
      <c r="E12878" s="16"/>
      <c r="F12878" s="16"/>
      <c r="H12878" s="16"/>
      <c r="AG12878" s="80"/>
      <c r="AH12878" s="80"/>
      <c r="AI12878" s="80"/>
    </row>
    <row r="12879" spans="5:35" x14ac:dyDescent="0.25">
      <c r="E12879" s="16"/>
      <c r="F12879" s="16"/>
      <c r="H12879" s="16"/>
      <c r="AG12879" s="80"/>
      <c r="AH12879" s="80"/>
      <c r="AI12879" s="80"/>
    </row>
    <row r="12880" spans="5:35" x14ac:dyDescent="0.25">
      <c r="E12880" s="16"/>
      <c r="F12880" s="16"/>
      <c r="H12880" s="16"/>
      <c r="AG12880" s="80"/>
      <c r="AH12880" s="80"/>
      <c r="AI12880" s="80"/>
    </row>
    <row r="12881" spans="5:35" x14ac:dyDescent="0.25">
      <c r="E12881" s="16"/>
      <c r="F12881" s="16"/>
      <c r="H12881" s="16"/>
      <c r="AG12881" s="80"/>
      <c r="AH12881" s="80"/>
      <c r="AI12881" s="80"/>
    </row>
    <row r="12882" spans="5:35" x14ac:dyDescent="0.25">
      <c r="E12882" s="16"/>
      <c r="F12882" s="16"/>
      <c r="H12882" s="16"/>
      <c r="AG12882" s="80"/>
      <c r="AH12882" s="80"/>
      <c r="AI12882" s="80"/>
    </row>
    <row r="12883" spans="5:35" x14ac:dyDescent="0.25">
      <c r="E12883" s="16"/>
      <c r="F12883" s="16"/>
      <c r="H12883" s="16"/>
      <c r="AG12883" s="80"/>
      <c r="AH12883" s="80"/>
      <c r="AI12883" s="80"/>
    </row>
    <row r="12884" spans="5:35" x14ac:dyDescent="0.25">
      <c r="E12884" s="16"/>
      <c r="F12884" s="16"/>
      <c r="H12884" s="16"/>
      <c r="AG12884" s="80"/>
      <c r="AH12884" s="80"/>
      <c r="AI12884" s="80"/>
    </row>
    <row r="12885" spans="5:35" x14ac:dyDescent="0.25">
      <c r="E12885" s="16"/>
      <c r="F12885" s="16"/>
      <c r="H12885" s="16"/>
      <c r="AG12885" s="80"/>
      <c r="AH12885" s="80"/>
      <c r="AI12885" s="80"/>
    </row>
    <row r="12886" spans="5:35" x14ac:dyDescent="0.25">
      <c r="E12886" s="16"/>
      <c r="F12886" s="16"/>
      <c r="H12886" s="16"/>
      <c r="AG12886" s="80"/>
      <c r="AH12886" s="80"/>
      <c r="AI12886" s="80"/>
    </row>
    <row r="12887" spans="5:35" x14ac:dyDescent="0.25">
      <c r="E12887" s="16"/>
      <c r="F12887" s="16"/>
      <c r="H12887" s="16"/>
      <c r="AG12887" s="80"/>
      <c r="AH12887" s="80"/>
      <c r="AI12887" s="80"/>
    </row>
    <row r="12888" spans="5:35" x14ac:dyDescent="0.25">
      <c r="E12888" s="16"/>
      <c r="F12888" s="16"/>
      <c r="H12888" s="16"/>
      <c r="AG12888" s="80"/>
      <c r="AH12888" s="80"/>
      <c r="AI12888" s="80"/>
    </row>
    <row r="12889" spans="5:35" x14ac:dyDescent="0.25">
      <c r="E12889" s="16"/>
      <c r="F12889" s="16"/>
      <c r="H12889" s="16"/>
      <c r="AG12889" s="80"/>
      <c r="AH12889" s="80"/>
      <c r="AI12889" s="80"/>
    </row>
    <row r="12890" spans="5:35" x14ac:dyDescent="0.25">
      <c r="E12890" s="16"/>
      <c r="F12890" s="16"/>
      <c r="H12890" s="16"/>
      <c r="AG12890" s="80"/>
      <c r="AH12890" s="80"/>
      <c r="AI12890" s="80"/>
    </row>
    <row r="12891" spans="5:35" x14ac:dyDescent="0.25">
      <c r="E12891" s="16"/>
      <c r="F12891" s="16"/>
      <c r="H12891" s="16"/>
      <c r="AG12891" s="80"/>
      <c r="AH12891" s="80"/>
      <c r="AI12891" s="80"/>
    </row>
    <row r="12892" spans="5:35" x14ac:dyDescent="0.25">
      <c r="E12892" s="16"/>
      <c r="F12892" s="16"/>
      <c r="H12892" s="16"/>
      <c r="AG12892" s="80"/>
      <c r="AH12892" s="80"/>
      <c r="AI12892" s="80"/>
    </row>
    <row r="12893" spans="5:35" x14ac:dyDescent="0.25">
      <c r="E12893" s="16"/>
      <c r="F12893" s="16"/>
      <c r="H12893" s="16"/>
      <c r="AG12893" s="80"/>
      <c r="AH12893" s="80"/>
      <c r="AI12893" s="80"/>
    </row>
    <row r="12894" spans="5:35" x14ac:dyDescent="0.25">
      <c r="E12894" s="16"/>
      <c r="F12894" s="16"/>
      <c r="H12894" s="16"/>
      <c r="AG12894" s="80"/>
      <c r="AH12894" s="80"/>
      <c r="AI12894" s="80"/>
    </row>
    <row r="12895" spans="5:35" x14ac:dyDescent="0.25">
      <c r="E12895" s="16"/>
      <c r="F12895" s="16"/>
      <c r="H12895" s="16"/>
      <c r="AG12895" s="80"/>
      <c r="AH12895" s="80"/>
      <c r="AI12895" s="80"/>
    </row>
    <row r="12896" spans="5:35" x14ac:dyDescent="0.25">
      <c r="E12896" s="16"/>
      <c r="F12896" s="16"/>
      <c r="H12896" s="16"/>
      <c r="AG12896" s="80"/>
      <c r="AH12896" s="80"/>
      <c r="AI12896" s="80"/>
    </row>
    <row r="12897" spans="5:35" x14ac:dyDescent="0.25">
      <c r="E12897" s="16"/>
      <c r="F12897" s="16"/>
      <c r="H12897" s="16"/>
      <c r="AG12897" s="80"/>
      <c r="AH12897" s="80"/>
      <c r="AI12897" s="80"/>
    </row>
    <row r="12898" spans="5:35" x14ac:dyDescent="0.25">
      <c r="E12898" s="16"/>
      <c r="F12898" s="16"/>
      <c r="H12898" s="16"/>
      <c r="AG12898" s="80"/>
      <c r="AH12898" s="80"/>
      <c r="AI12898" s="80"/>
    </row>
    <row r="12899" spans="5:35" x14ac:dyDescent="0.25">
      <c r="E12899" s="16"/>
      <c r="F12899" s="16"/>
      <c r="H12899" s="16"/>
      <c r="AG12899" s="80"/>
      <c r="AH12899" s="80"/>
      <c r="AI12899" s="80"/>
    </row>
    <row r="12900" spans="5:35" x14ac:dyDescent="0.25">
      <c r="E12900" s="16"/>
      <c r="F12900" s="16"/>
      <c r="H12900" s="16"/>
      <c r="AG12900" s="80"/>
      <c r="AH12900" s="80"/>
      <c r="AI12900" s="80"/>
    </row>
    <row r="12901" spans="5:35" x14ac:dyDescent="0.25">
      <c r="E12901" s="16"/>
      <c r="F12901" s="16"/>
      <c r="H12901" s="16"/>
      <c r="AG12901" s="80"/>
      <c r="AH12901" s="80"/>
      <c r="AI12901" s="80"/>
    </row>
    <row r="12902" spans="5:35" x14ac:dyDescent="0.25">
      <c r="E12902" s="16"/>
      <c r="F12902" s="16"/>
      <c r="H12902" s="16"/>
      <c r="AG12902" s="80"/>
      <c r="AH12902" s="80"/>
      <c r="AI12902" s="80"/>
    </row>
    <row r="12903" spans="5:35" x14ac:dyDescent="0.25">
      <c r="E12903" s="16"/>
      <c r="F12903" s="16"/>
      <c r="H12903" s="16"/>
      <c r="AG12903" s="80"/>
      <c r="AH12903" s="80"/>
      <c r="AI12903" s="80"/>
    </row>
    <row r="12904" spans="5:35" x14ac:dyDescent="0.25">
      <c r="E12904" s="16"/>
      <c r="F12904" s="16"/>
      <c r="H12904" s="16"/>
      <c r="AG12904" s="80"/>
      <c r="AH12904" s="80"/>
      <c r="AI12904" s="80"/>
    </row>
    <row r="12905" spans="5:35" x14ac:dyDescent="0.25">
      <c r="E12905" s="16"/>
      <c r="F12905" s="16"/>
      <c r="H12905" s="16"/>
      <c r="AG12905" s="80"/>
      <c r="AH12905" s="80"/>
      <c r="AI12905" s="80"/>
    </row>
    <row r="12906" spans="5:35" x14ac:dyDescent="0.25">
      <c r="E12906" s="16"/>
      <c r="F12906" s="16"/>
      <c r="H12906" s="16"/>
      <c r="AG12906" s="80"/>
      <c r="AH12906" s="80"/>
      <c r="AI12906" s="80"/>
    </row>
    <row r="12907" spans="5:35" x14ac:dyDescent="0.25">
      <c r="E12907" s="16"/>
      <c r="F12907" s="16"/>
      <c r="H12907" s="16"/>
      <c r="AG12907" s="80"/>
      <c r="AH12907" s="80"/>
      <c r="AI12907" s="80"/>
    </row>
    <row r="12908" spans="5:35" x14ac:dyDescent="0.25">
      <c r="E12908" s="16"/>
      <c r="F12908" s="16"/>
      <c r="H12908" s="16"/>
      <c r="AG12908" s="80"/>
      <c r="AH12908" s="80"/>
      <c r="AI12908" s="80"/>
    </row>
    <row r="12909" spans="5:35" x14ac:dyDescent="0.25">
      <c r="E12909" s="16"/>
      <c r="F12909" s="16"/>
      <c r="H12909" s="16"/>
      <c r="AG12909" s="80"/>
      <c r="AH12909" s="80"/>
      <c r="AI12909" s="80"/>
    </row>
    <row r="12910" spans="5:35" x14ac:dyDescent="0.25">
      <c r="E12910" s="16"/>
      <c r="F12910" s="16"/>
      <c r="H12910" s="16"/>
      <c r="AG12910" s="80"/>
      <c r="AH12910" s="80"/>
      <c r="AI12910" s="80"/>
    </row>
    <row r="12911" spans="5:35" x14ac:dyDescent="0.25">
      <c r="E12911" s="16"/>
      <c r="F12911" s="16"/>
      <c r="H12911" s="16"/>
      <c r="AG12911" s="80"/>
      <c r="AH12911" s="80"/>
      <c r="AI12911" s="80"/>
    </row>
    <row r="12912" spans="5:35" x14ac:dyDescent="0.25">
      <c r="E12912" s="16"/>
      <c r="F12912" s="16"/>
      <c r="H12912" s="16"/>
      <c r="AG12912" s="80"/>
      <c r="AH12912" s="80"/>
      <c r="AI12912" s="80"/>
    </row>
    <row r="12913" spans="5:35" x14ac:dyDescent="0.25">
      <c r="E12913" s="16"/>
      <c r="F12913" s="16"/>
      <c r="H12913" s="16"/>
      <c r="AG12913" s="80"/>
      <c r="AH12913" s="80"/>
      <c r="AI12913" s="80"/>
    </row>
    <row r="12914" spans="5:35" x14ac:dyDescent="0.25">
      <c r="E12914" s="16"/>
      <c r="F12914" s="16"/>
      <c r="H12914" s="16"/>
      <c r="AG12914" s="80"/>
      <c r="AH12914" s="80"/>
      <c r="AI12914" s="80"/>
    </row>
    <row r="12915" spans="5:35" x14ac:dyDescent="0.25">
      <c r="E12915" s="16"/>
      <c r="F12915" s="16"/>
      <c r="H12915" s="16"/>
      <c r="AG12915" s="80"/>
      <c r="AH12915" s="80"/>
      <c r="AI12915" s="80"/>
    </row>
    <row r="12916" spans="5:35" x14ac:dyDescent="0.25">
      <c r="E12916" s="16"/>
      <c r="F12916" s="16"/>
      <c r="H12916" s="16"/>
      <c r="AG12916" s="80"/>
      <c r="AH12916" s="80"/>
      <c r="AI12916" s="80"/>
    </row>
    <row r="12917" spans="5:35" x14ac:dyDescent="0.25">
      <c r="E12917" s="16"/>
      <c r="F12917" s="16"/>
      <c r="H12917" s="16"/>
      <c r="AG12917" s="80"/>
      <c r="AH12917" s="80"/>
      <c r="AI12917" s="80"/>
    </row>
    <row r="12918" spans="5:35" x14ac:dyDescent="0.25">
      <c r="E12918" s="16"/>
      <c r="F12918" s="16"/>
      <c r="H12918" s="16"/>
      <c r="AG12918" s="80"/>
      <c r="AH12918" s="80"/>
      <c r="AI12918" s="80"/>
    </row>
    <row r="12919" spans="5:35" x14ac:dyDescent="0.25">
      <c r="E12919" s="16"/>
      <c r="F12919" s="16"/>
      <c r="H12919" s="16"/>
      <c r="AG12919" s="80"/>
      <c r="AH12919" s="80"/>
      <c r="AI12919" s="80"/>
    </row>
    <row r="12920" spans="5:35" x14ac:dyDescent="0.25">
      <c r="E12920" s="16"/>
      <c r="F12920" s="16"/>
      <c r="H12920" s="16"/>
      <c r="AG12920" s="80"/>
      <c r="AH12920" s="80"/>
      <c r="AI12920" s="80"/>
    </row>
    <row r="12921" spans="5:35" x14ac:dyDescent="0.25">
      <c r="E12921" s="16"/>
      <c r="F12921" s="16"/>
      <c r="H12921" s="16"/>
      <c r="AG12921" s="80"/>
      <c r="AH12921" s="80"/>
      <c r="AI12921" s="80"/>
    </row>
    <row r="12922" spans="5:35" x14ac:dyDescent="0.25">
      <c r="E12922" s="16"/>
      <c r="F12922" s="16"/>
      <c r="H12922" s="16"/>
      <c r="AG12922" s="80"/>
      <c r="AH12922" s="80"/>
      <c r="AI12922" s="80"/>
    </row>
    <row r="12923" spans="5:35" x14ac:dyDescent="0.25">
      <c r="E12923" s="16"/>
      <c r="F12923" s="16"/>
      <c r="H12923" s="16"/>
      <c r="AG12923" s="80"/>
      <c r="AH12923" s="80"/>
      <c r="AI12923" s="80"/>
    </row>
    <row r="12924" spans="5:35" x14ac:dyDescent="0.25">
      <c r="E12924" s="16"/>
      <c r="F12924" s="16"/>
      <c r="H12924" s="16"/>
      <c r="AG12924" s="80"/>
      <c r="AH12924" s="80"/>
      <c r="AI12924" s="80"/>
    </row>
    <row r="12925" spans="5:35" x14ac:dyDescent="0.25">
      <c r="E12925" s="16"/>
      <c r="F12925" s="16"/>
      <c r="H12925" s="16"/>
      <c r="AG12925" s="80"/>
      <c r="AH12925" s="80"/>
      <c r="AI12925" s="80"/>
    </row>
    <row r="12926" spans="5:35" x14ac:dyDescent="0.25">
      <c r="E12926" s="16"/>
      <c r="F12926" s="16"/>
      <c r="H12926" s="16"/>
      <c r="AG12926" s="80"/>
      <c r="AH12926" s="80"/>
      <c r="AI12926" s="80"/>
    </row>
    <row r="12927" spans="5:35" x14ac:dyDescent="0.25">
      <c r="E12927" s="16"/>
      <c r="F12927" s="16"/>
      <c r="H12927" s="16"/>
      <c r="AG12927" s="80"/>
      <c r="AH12927" s="80"/>
      <c r="AI12927" s="80"/>
    </row>
    <row r="12928" spans="5:35" x14ac:dyDescent="0.25">
      <c r="E12928" s="16"/>
      <c r="F12928" s="16"/>
      <c r="H12928" s="16"/>
      <c r="AG12928" s="80"/>
      <c r="AH12928" s="80"/>
      <c r="AI12928" s="80"/>
    </row>
    <row r="12929" spans="5:35" x14ac:dyDescent="0.25">
      <c r="E12929" s="16"/>
      <c r="F12929" s="16"/>
      <c r="H12929" s="16"/>
      <c r="AG12929" s="80"/>
      <c r="AH12929" s="80"/>
      <c r="AI12929" s="80"/>
    </row>
    <row r="12930" spans="5:35" x14ac:dyDescent="0.25">
      <c r="E12930" s="16"/>
      <c r="F12930" s="16"/>
      <c r="H12930" s="16"/>
      <c r="AG12930" s="80"/>
      <c r="AH12930" s="80"/>
      <c r="AI12930" s="80"/>
    </row>
    <row r="12931" spans="5:35" x14ac:dyDescent="0.25">
      <c r="E12931" s="16"/>
      <c r="F12931" s="16"/>
      <c r="H12931" s="16"/>
      <c r="AG12931" s="80"/>
      <c r="AH12931" s="80"/>
      <c r="AI12931" s="80"/>
    </row>
    <row r="12932" spans="5:35" x14ac:dyDescent="0.25">
      <c r="E12932" s="16"/>
      <c r="F12932" s="16"/>
      <c r="H12932" s="16"/>
      <c r="AG12932" s="80"/>
      <c r="AH12932" s="80"/>
      <c r="AI12932" s="80"/>
    </row>
    <row r="12933" spans="5:35" x14ac:dyDescent="0.25">
      <c r="E12933" s="16"/>
      <c r="F12933" s="16"/>
      <c r="H12933" s="16"/>
      <c r="AG12933" s="80"/>
      <c r="AH12933" s="80"/>
      <c r="AI12933" s="80"/>
    </row>
    <row r="12934" spans="5:35" x14ac:dyDescent="0.25">
      <c r="E12934" s="16"/>
      <c r="F12934" s="16"/>
      <c r="H12934" s="16"/>
      <c r="AG12934" s="80"/>
      <c r="AH12934" s="80"/>
      <c r="AI12934" s="80"/>
    </row>
    <row r="12935" spans="5:35" x14ac:dyDescent="0.25">
      <c r="E12935" s="16"/>
      <c r="F12935" s="16"/>
      <c r="H12935" s="16"/>
      <c r="AG12935" s="80"/>
      <c r="AH12935" s="80"/>
      <c r="AI12935" s="80"/>
    </row>
    <row r="12936" spans="5:35" x14ac:dyDescent="0.25">
      <c r="E12936" s="16"/>
      <c r="F12936" s="16"/>
      <c r="H12936" s="16"/>
      <c r="AG12936" s="80"/>
      <c r="AH12936" s="80"/>
      <c r="AI12936" s="80"/>
    </row>
    <row r="12937" spans="5:35" x14ac:dyDescent="0.25">
      <c r="E12937" s="16"/>
      <c r="F12937" s="16"/>
      <c r="H12937" s="16"/>
      <c r="AG12937" s="80"/>
      <c r="AH12937" s="80"/>
      <c r="AI12937" s="80"/>
    </row>
    <row r="12938" spans="5:35" x14ac:dyDescent="0.25">
      <c r="E12938" s="16"/>
      <c r="F12938" s="16"/>
      <c r="H12938" s="16"/>
      <c r="AG12938" s="80"/>
      <c r="AH12938" s="80"/>
      <c r="AI12938" s="80"/>
    </row>
    <row r="12939" spans="5:35" x14ac:dyDescent="0.25">
      <c r="E12939" s="16"/>
      <c r="F12939" s="16"/>
      <c r="H12939" s="16"/>
      <c r="AG12939" s="80"/>
      <c r="AH12939" s="80"/>
      <c r="AI12939" s="80"/>
    </row>
    <row r="12940" spans="5:35" x14ac:dyDescent="0.25">
      <c r="E12940" s="16"/>
      <c r="F12940" s="16"/>
      <c r="H12940" s="16"/>
      <c r="AG12940" s="80"/>
      <c r="AH12940" s="80"/>
      <c r="AI12940" s="80"/>
    </row>
    <row r="12941" spans="5:35" x14ac:dyDescent="0.25">
      <c r="E12941" s="16"/>
      <c r="F12941" s="16"/>
      <c r="H12941" s="16"/>
      <c r="AG12941" s="80"/>
      <c r="AH12941" s="80"/>
      <c r="AI12941" s="80"/>
    </row>
    <row r="12942" spans="5:35" x14ac:dyDescent="0.25">
      <c r="E12942" s="16"/>
      <c r="F12942" s="16"/>
      <c r="H12942" s="16"/>
      <c r="AG12942" s="80"/>
      <c r="AH12942" s="80"/>
      <c r="AI12942" s="80"/>
    </row>
    <row r="12943" spans="5:35" x14ac:dyDescent="0.25">
      <c r="E12943" s="16"/>
      <c r="F12943" s="16"/>
      <c r="H12943" s="16"/>
      <c r="AG12943" s="80"/>
      <c r="AH12943" s="80"/>
      <c r="AI12943" s="80"/>
    </row>
    <row r="12944" spans="5:35" x14ac:dyDescent="0.25">
      <c r="E12944" s="16"/>
      <c r="F12944" s="16"/>
      <c r="H12944" s="16"/>
      <c r="AG12944" s="80"/>
      <c r="AH12944" s="80"/>
      <c r="AI12944" s="80"/>
    </row>
    <row r="12945" spans="5:35" x14ac:dyDescent="0.25">
      <c r="E12945" s="16"/>
      <c r="F12945" s="16"/>
      <c r="H12945" s="16"/>
      <c r="AG12945" s="80"/>
      <c r="AH12945" s="80"/>
      <c r="AI12945" s="80"/>
    </row>
    <row r="12946" spans="5:35" x14ac:dyDescent="0.25">
      <c r="E12946" s="16"/>
      <c r="F12946" s="16"/>
      <c r="H12946" s="16"/>
      <c r="AG12946" s="80"/>
      <c r="AH12946" s="80"/>
      <c r="AI12946" s="80"/>
    </row>
    <row r="12947" spans="5:35" x14ac:dyDescent="0.25">
      <c r="E12947" s="16"/>
      <c r="F12947" s="16"/>
      <c r="H12947" s="16"/>
      <c r="AG12947" s="80"/>
      <c r="AH12947" s="80"/>
      <c r="AI12947" s="80"/>
    </row>
    <row r="12948" spans="5:35" x14ac:dyDescent="0.25">
      <c r="E12948" s="16"/>
      <c r="F12948" s="16"/>
      <c r="H12948" s="16"/>
      <c r="AG12948" s="80"/>
      <c r="AH12948" s="80"/>
      <c r="AI12948" s="80"/>
    </row>
    <row r="12949" spans="5:35" x14ac:dyDescent="0.25">
      <c r="E12949" s="16"/>
      <c r="F12949" s="16"/>
      <c r="H12949" s="16"/>
      <c r="AG12949" s="80"/>
      <c r="AH12949" s="80"/>
      <c r="AI12949" s="80"/>
    </row>
    <row r="12950" spans="5:35" x14ac:dyDescent="0.25">
      <c r="E12950" s="16"/>
      <c r="F12950" s="16"/>
      <c r="H12950" s="16"/>
      <c r="AG12950" s="80"/>
      <c r="AH12950" s="80"/>
      <c r="AI12950" s="80"/>
    </row>
    <row r="12951" spans="5:35" x14ac:dyDescent="0.25">
      <c r="E12951" s="16"/>
      <c r="F12951" s="16"/>
      <c r="H12951" s="16"/>
      <c r="AG12951" s="80"/>
      <c r="AH12951" s="80"/>
      <c r="AI12951" s="80"/>
    </row>
    <row r="12952" spans="5:35" x14ac:dyDescent="0.25">
      <c r="E12952" s="16"/>
      <c r="F12952" s="16"/>
      <c r="H12952" s="16"/>
      <c r="AG12952" s="80"/>
      <c r="AH12952" s="80"/>
      <c r="AI12952" s="80"/>
    </row>
    <row r="12953" spans="5:35" x14ac:dyDescent="0.25">
      <c r="E12953" s="16"/>
      <c r="F12953" s="16"/>
      <c r="H12953" s="16"/>
      <c r="AG12953" s="80"/>
      <c r="AH12953" s="80"/>
      <c r="AI12953" s="80"/>
    </row>
    <row r="12954" spans="5:35" x14ac:dyDescent="0.25">
      <c r="E12954" s="16"/>
      <c r="F12954" s="16"/>
      <c r="H12954" s="16"/>
      <c r="AG12954" s="80"/>
      <c r="AH12954" s="80"/>
      <c r="AI12954" s="80"/>
    </row>
    <row r="12955" spans="5:35" x14ac:dyDescent="0.25">
      <c r="E12955" s="16"/>
      <c r="F12955" s="16"/>
      <c r="H12955" s="16"/>
      <c r="AG12955" s="80"/>
      <c r="AH12955" s="80"/>
      <c r="AI12955" s="80"/>
    </row>
    <row r="12956" spans="5:35" x14ac:dyDescent="0.25">
      <c r="E12956" s="16"/>
      <c r="F12956" s="16"/>
      <c r="H12956" s="16"/>
      <c r="AG12956" s="80"/>
      <c r="AH12956" s="80"/>
      <c r="AI12956" s="80"/>
    </row>
    <row r="12957" spans="5:35" x14ac:dyDescent="0.25">
      <c r="E12957" s="16"/>
      <c r="F12957" s="16"/>
      <c r="H12957" s="16"/>
      <c r="AG12957" s="80"/>
      <c r="AH12957" s="80"/>
      <c r="AI12957" s="80"/>
    </row>
    <row r="12958" spans="5:35" x14ac:dyDescent="0.25">
      <c r="E12958" s="16"/>
      <c r="F12958" s="16"/>
      <c r="H12958" s="16"/>
      <c r="AG12958" s="80"/>
      <c r="AH12958" s="80"/>
      <c r="AI12958" s="80"/>
    </row>
    <row r="12959" spans="5:35" x14ac:dyDescent="0.25">
      <c r="E12959" s="16"/>
      <c r="F12959" s="16"/>
      <c r="H12959" s="16"/>
      <c r="AG12959" s="80"/>
      <c r="AH12959" s="80"/>
      <c r="AI12959" s="80"/>
    </row>
    <row r="12960" spans="5:35" x14ac:dyDescent="0.25">
      <c r="E12960" s="16"/>
      <c r="F12960" s="16"/>
      <c r="H12960" s="16"/>
      <c r="AG12960" s="80"/>
      <c r="AH12960" s="80"/>
      <c r="AI12960" s="80"/>
    </row>
    <row r="12961" spans="5:35" x14ac:dyDescent="0.25">
      <c r="E12961" s="16"/>
      <c r="F12961" s="16"/>
      <c r="H12961" s="16"/>
      <c r="AG12961" s="80"/>
      <c r="AH12961" s="80"/>
      <c r="AI12961" s="80"/>
    </row>
    <row r="12962" spans="5:35" x14ac:dyDescent="0.25">
      <c r="E12962" s="16"/>
      <c r="F12962" s="16"/>
      <c r="H12962" s="16"/>
      <c r="AG12962" s="80"/>
      <c r="AH12962" s="80"/>
      <c r="AI12962" s="80"/>
    </row>
    <row r="12963" spans="5:35" x14ac:dyDescent="0.25">
      <c r="E12963" s="16"/>
      <c r="F12963" s="16"/>
      <c r="H12963" s="16"/>
      <c r="AG12963" s="80"/>
      <c r="AH12963" s="80"/>
      <c r="AI12963" s="80"/>
    </row>
    <row r="12964" spans="5:35" x14ac:dyDescent="0.25">
      <c r="E12964" s="16"/>
      <c r="F12964" s="16"/>
      <c r="H12964" s="16"/>
      <c r="AG12964" s="80"/>
      <c r="AH12964" s="80"/>
      <c r="AI12964" s="80"/>
    </row>
    <row r="12965" spans="5:35" x14ac:dyDescent="0.25">
      <c r="E12965" s="16"/>
      <c r="F12965" s="16"/>
      <c r="H12965" s="16"/>
      <c r="AG12965" s="80"/>
      <c r="AH12965" s="80"/>
      <c r="AI12965" s="80"/>
    </row>
    <row r="12966" spans="5:35" x14ac:dyDescent="0.25">
      <c r="E12966" s="16"/>
      <c r="F12966" s="16"/>
      <c r="H12966" s="16"/>
      <c r="AG12966" s="80"/>
      <c r="AH12966" s="80"/>
      <c r="AI12966" s="80"/>
    </row>
    <row r="12967" spans="5:35" x14ac:dyDescent="0.25">
      <c r="E12967" s="16"/>
      <c r="F12967" s="16"/>
      <c r="H12967" s="16"/>
      <c r="AG12967" s="80"/>
      <c r="AH12967" s="80"/>
      <c r="AI12967" s="80"/>
    </row>
    <row r="12968" spans="5:35" x14ac:dyDescent="0.25">
      <c r="E12968" s="16"/>
      <c r="F12968" s="16"/>
      <c r="H12968" s="16"/>
      <c r="AG12968" s="80"/>
      <c r="AH12968" s="80"/>
      <c r="AI12968" s="80"/>
    </row>
    <row r="12969" spans="5:35" x14ac:dyDescent="0.25">
      <c r="E12969" s="16"/>
      <c r="F12969" s="16"/>
      <c r="H12969" s="16"/>
      <c r="AG12969" s="80"/>
      <c r="AH12969" s="80"/>
      <c r="AI12969" s="80"/>
    </row>
    <row r="12970" spans="5:35" x14ac:dyDescent="0.25">
      <c r="E12970" s="16"/>
      <c r="F12970" s="16"/>
      <c r="H12970" s="16"/>
      <c r="AG12970" s="80"/>
      <c r="AH12970" s="80"/>
      <c r="AI12970" s="80"/>
    </row>
    <row r="12971" spans="5:35" x14ac:dyDescent="0.25">
      <c r="E12971" s="16"/>
      <c r="F12971" s="16"/>
      <c r="H12971" s="16"/>
      <c r="AG12971" s="80"/>
      <c r="AH12971" s="80"/>
      <c r="AI12971" s="80"/>
    </row>
    <row r="12972" spans="5:35" x14ac:dyDescent="0.25">
      <c r="E12972" s="16"/>
      <c r="F12972" s="16"/>
      <c r="H12972" s="16"/>
      <c r="AG12972" s="80"/>
      <c r="AH12972" s="80"/>
      <c r="AI12972" s="80"/>
    </row>
    <row r="12973" spans="5:35" x14ac:dyDescent="0.25">
      <c r="E12973" s="16"/>
      <c r="F12973" s="16"/>
      <c r="H12973" s="16"/>
      <c r="AG12973" s="80"/>
      <c r="AH12973" s="80"/>
      <c r="AI12973" s="80"/>
    </row>
    <row r="12974" spans="5:35" x14ac:dyDescent="0.25">
      <c r="E12974" s="16"/>
      <c r="F12974" s="16"/>
      <c r="H12974" s="16"/>
      <c r="AG12974" s="80"/>
      <c r="AH12974" s="80"/>
      <c r="AI12974" s="80"/>
    </row>
    <row r="12975" spans="5:35" x14ac:dyDescent="0.25">
      <c r="E12975" s="16"/>
      <c r="F12975" s="16"/>
      <c r="H12975" s="16"/>
      <c r="AG12975" s="80"/>
      <c r="AH12975" s="80"/>
      <c r="AI12975" s="80"/>
    </row>
    <row r="12976" spans="5:35" x14ac:dyDescent="0.25">
      <c r="E12976" s="16"/>
      <c r="F12976" s="16"/>
      <c r="H12976" s="16"/>
      <c r="AG12976" s="80"/>
      <c r="AH12976" s="80"/>
      <c r="AI12976" s="80"/>
    </row>
    <row r="12977" spans="5:35" x14ac:dyDescent="0.25">
      <c r="E12977" s="16"/>
      <c r="F12977" s="16"/>
      <c r="H12977" s="16"/>
      <c r="AG12977" s="80"/>
      <c r="AH12977" s="80"/>
      <c r="AI12977" s="80"/>
    </row>
    <row r="12978" spans="5:35" x14ac:dyDescent="0.25">
      <c r="E12978" s="16"/>
      <c r="F12978" s="16"/>
      <c r="H12978" s="16"/>
      <c r="AG12978" s="80"/>
      <c r="AH12978" s="80"/>
      <c r="AI12978" s="80"/>
    </row>
    <row r="12979" spans="5:35" x14ac:dyDescent="0.25">
      <c r="E12979" s="16"/>
      <c r="F12979" s="16"/>
      <c r="H12979" s="16"/>
      <c r="AG12979" s="80"/>
      <c r="AH12979" s="80"/>
      <c r="AI12979" s="80"/>
    </row>
    <row r="12980" spans="5:35" x14ac:dyDescent="0.25">
      <c r="E12980" s="16"/>
      <c r="F12980" s="16"/>
      <c r="H12980" s="16"/>
      <c r="AG12980" s="80"/>
      <c r="AH12980" s="80"/>
      <c r="AI12980" s="80"/>
    </row>
    <row r="12981" spans="5:35" x14ac:dyDescent="0.25">
      <c r="E12981" s="16"/>
      <c r="F12981" s="16"/>
      <c r="H12981" s="16"/>
      <c r="AG12981" s="80"/>
      <c r="AH12981" s="80"/>
      <c r="AI12981" s="80"/>
    </row>
    <row r="12982" spans="5:35" x14ac:dyDescent="0.25">
      <c r="E12982" s="16"/>
      <c r="F12982" s="16"/>
      <c r="H12982" s="16"/>
      <c r="AG12982" s="80"/>
      <c r="AH12982" s="80"/>
      <c r="AI12982" s="80"/>
    </row>
    <row r="12983" spans="5:35" x14ac:dyDescent="0.25">
      <c r="E12983" s="16"/>
      <c r="F12983" s="16"/>
      <c r="H12983" s="16"/>
      <c r="AG12983" s="80"/>
      <c r="AH12983" s="80"/>
      <c r="AI12983" s="80"/>
    </row>
    <row r="12984" spans="5:35" x14ac:dyDescent="0.25">
      <c r="E12984" s="16"/>
      <c r="F12984" s="16"/>
      <c r="H12984" s="16"/>
      <c r="AG12984" s="80"/>
      <c r="AH12984" s="80"/>
      <c r="AI12984" s="80"/>
    </row>
    <row r="12985" spans="5:35" x14ac:dyDescent="0.25">
      <c r="E12985" s="16"/>
      <c r="F12985" s="16"/>
      <c r="H12985" s="16"/>
      <c r="AG12985" s="80"/>
      <c r="AH12985" s="80"/>
      <c r="AI12985" s="80"/>
    </row>
    <row r="12986" spans="5:35" x14ac:dyDescent="0.25">
      <c r="E12986" s="16"/>
      <c r="F12986" s="16"/>
      <c r="H12986" s="16"/>
      <c r="AG12986" s="80"/>
      <c r="AH12986" s="80"/>
      <c r="AI12986" s="80"/>
    </row>
    <row r="12987" spans="5:35" x14ac:dyDescent="0.25">
      <c r="E12987" s="16"/>
      <c r="F12987" s="16"/>
      <c r="H12987" s="16"/>
      <c r="AG12987" s="80"/>
      <c r="AH12987" s="80"/>
      <c r="AI12987" s="80"/>
    </row>
    <row r="12988" spans="5:35" x14ac:dyDescent="0.25">
      <c r="E12988" s="16"/>
      <c r="F12988" s="16"/>
      <c r="H12988" s="16"/>
      <c r="AG12988" s="80"/>
      <c r="AH12988" s="80"/>
      <c r="AI12988" s="80"/>
    </row>
    <row r="12989" spans="5:35" x14ac:dyDescent="0.25">
      <c r="E12989" s="16"/>
      <c r="F12989" s="16"/>
      <c r="H12989" s="16"/>
      <c r="AG12989" s="80"/>
      <c r="AH12989" s="80"/>
      <c r="AI12989" s="80"/>
    </row>
    <row r="12990" spans="5:35" x14ac:dyDescent="0.25">
      <c r="E12990" s="16"/>
      <c r="F12990" s="16"/>
      <c r="H12990" s="16"/>
      <c r="AG12990" s="80"/>
      <c r="AH12990" s="80"/>
      <c r="AI12990" s="80"/>
    </row>
    <row r="12991" spans="5:35" x14ac:dyDescent="0.25">
      <c r="E12991" s="16"/>
      <c r="F12991" s="16"/>
      <c r="H12991" s="16"/>
      <c r="AG12991" s="80"/>
      <c r="AH12991" s="80"/>
      <c r="AI12991" s="80"/>
    </row>
    <row r="12992" spans="5:35" x14ac:dyDescent="0.25">
      <c r="E12992" s="16"/>
      <c r="F12992" s="16"/>
      <c r="H12992" s="16"/>
      <c r="AG12992" s="80"/>
      <c r="AH12992" s="80"/>
      <c r="AI12992" s="80"/>
    </row>
    <row r="12993" spans="5:35" x14ac:dyDescent="0.25">
      <c r="E12993" s="16"/>
      <c r="F12993" s="16"/>
      <c r="H12993" s="16"/>
      <c r="AG12993" s="80"/>
      <c r="AH12993" s="80"/>
      <c r="AI12993" s="80"/>
    </row>
    <row r="12994" spans="5:35" x14ac:dyDescent="0.25">
      <c r="E12994" s="16"/>
      <c r="F12994" s="16"/>
      <c r="H12994" s="16"/>
      <c r="AG12994" s="80"/>
      <c r="AH12994" s="80"/>
      <c r="AI12994" s="80"/>
    </row>
    <row r="12995" spans="5:35" x14ac:dyDescent="0.25">
      <c r="E12995" s="16"/>
      <c r="F12995" s="16"/>
      <c r="H12995" s="16"/>
      <c r="AG12995" s="80"/>
      <c r="AH12995" s="80"/>
      <c r="AI12995" s="80"/>
    </row>
    <row r="12996" spans="5:35" x14ac:dyDescent="0.25">
      <c r="E12996" s="16"/>
      <c r="F12996" s="16"/>
      <c r="H12996" s="16"/>
      <c r="AG12996" s="80"/>
      <c r="AH12996" s="80"/>
      <c r="AI12996" s="80"/>
    </row>
    <row r="12997" spans="5:35" x14ac:dyDescent="0.25">
      <c r="E12997" s="16"/>
      <c r="F12997" s="16"/>
      <c r="H12997" s="16"/>
      <c r="AG12997" s="80"/>
      <c r="AH12997" s="80"/>
      <c r="AI12997" s="80"/>
    </row>
    <row r="12998" spans="5:35" x14ac:dyDescent="0.25">
      <c r="E12998" s="16"/>
      <c r="F12998" s="16"/>
      <c r="H12998" s="16"/>
      <c r="AG12998" s="80"/>
      <c r="AH12998" s="80"/>
      <c r="AI12998" s="80"/>
    </row>
    <row r="12999" spans="5:35" x14ac:dyDescent="0.25">
      <c r="E12999" s="16"/>
      <c r="F12999" s="16"/>
      <c r="H12999" s="16"/>
      <c r="AG12999" s="80"/>
      <c r="AH12999" s="80"/>
      <c r="AI12999" s="80"/>
    </row>
    <row r="13000" spans="5:35" x14ac:dyDescent="0.25">
      <c r="E13000" s="16"/>
      <c r="F13000" s="16"/>
      <c r="H13000" s="16"/>
      <c r="AG13000" s="80"/>
      <c r="AH13000" s="80"/>
      <c r="AI13000" s="80"/>
    </row>
    <row r="13001" spans="5:35" x14ac:dyDescent="0.25">
      <c r="E13001" s="16"/>
      <c r="F13001" s="16"/>
      <c r="H13001" s="16"/>
      <c r="AG13001" s="80"/>
      <c r="AH13001" s="80"/>
      <c r="AI13001" s="80"/>
    </row>
    <row r="13002" spans="5:35" x14ac:dyDescent="0.25">
      <c r="E13002" s="16"/>
      <c r="F13002" s="16"/>
      <c r="H13002" s="16"/>
      <c r="AG13002" s="80"/>
      <c r="AH13002" s="80"/>
      <c r="AI13002" s="80"/>
    </row>
    <row r="13003" spans="5:35" x14ac:dyDescent="0.25">
      <c r="E13003" s="16"/>
      <c r="F13003" s="16"/>
      <c r="H13003" s="16"/>
      <c r="AG13003" s="80"/>
      <c r="AH13003" s="80"/>
      <c r="AI13003" s="80"/>
    </row>
    <row r="13004" spans="5:35" x14ac:dyDescent="0.25">
      <c r="E13004" s="16"/>
      <c r="F13004" s="16"/>
      <c r="H13004" s="16"/>
      <c r="AG13004" s="80"/>
      <c r="AH13004" s="80"/>
      <c r="AI13004" s="80"/>
    </row>
    <row r="13005" spans="5:35" x14ac:dyDescent="0.25">
      <c r="E13005" s="16"/>
      <c r="F13005" s="16"/>
      <c r="H13005" s="16"/>
      <c r="AG13005" s="80"/>
      <c r="AH13005" s="80"/>
      <c r="AI13005" s="80"/>
    </row>
    <row r="13006" spans="5:35" x14ac:dyDescent="0.25">
      <c r="E13006" s="16"/>
      <c r="F13006" s="16"/>
      <c r="H13006" s="16"/>
      <c r="AG13006" s="80"/>
      <c r="AH13006" s="80"/>
      <c r="AI13006" s="80"/>
    </row>
    <row r="13007" spans="5:35" x14ac:dyDescent="0.25">
      <c r="E13007" s="16"/>
      <c r="F13007" s="16"/>
      <c r="H13007" s="16"/>
      <c r="AG13007" s="80"/>
      <c r="AH13007" s="80"/>
      <c r="AI13007" s="80"/>
    </row>
    <row r="13008" spans="5:35" x14ac:dyDescent="0.25">
      <c r="E13008" s="16"/>
      <c r="F13008" s="16"/>
      <c r="H13008" s="16"/>
      <c r="AG13008" s="80"/>
      <c r="AH13008" s="80"/>
      <c r="AI13008" s="80"/>
    </row>
    <row r="13009" spans="5:35" x14ac:dyDescent="0.25">
      <c r="E13009" s="16"/>
      <c r="F13009" s="16"/>
      <c r="H13009" s="16"/>
      <c r="AG13009" s="80"/>
      <c r="AH13009" s="80"/>
      <c r="AI13009" s="80"/>
    </row>
    <row r="13010" spans="5:35" x14ac:dyDescent="0.25">
      <c r="E13010" s="16"/>
      <c r="F13010" s="16"/>
      <c r="H13010" s="16"/>
      <c r="AG13010" s="80"/>
      <c r="AH13010" s="80"/>
      <c r="AI13010" s="80"/>
    </row>
    <row r="13011" spans="5:35" x14ac:dyDescent="0.25">
      <c r="E13011" s="16"/>
      <c r="F13011" s="16"/>
      <c r="H13011" s="16"/>
      <c r="AG13011" s="80"/>
      <c r="AH13011" s="80"/>
      <c r="AI13011" s="80"/>
    </row>
    <row r="13012" spans="5:35" x14ac:dyDescent="0.25">
      <c r="E13012" s="16"/>
      <c r="F13012" s="16"/>
      <c r="H13012" s="16"/>
      <c r="AG13012" s="80"/>
      <c r="AH13012" s="80"/>
      <c r="AI13012" s="80"/>
    </row>
    <row r="13013" spans="5:35" x14ac:dyDescent="0.25">
      <c r="E13013" s="16"/>
      <c r="F13013" s="16"/>
      <c r="H13013" s="16"/>
      <c r="AG13013" s="80"/>
      <c r="AH13013" s="80"/>
      <c r="AI13013" s="80"/>
    </row>
    <row r="13014" spans="5:35" x14ac:dyDescent="0.25">
      <c r="E13014" s="16"/>
      <c r="F13014" s="16"/>
      <c r="H13014" s="16"/>
      <c r="AG13014" s="80"/>
      <c r="AH13014" s="80"/>
      <c r="AI13014" s="80"/>
    </row>
    <row r="13015" spans="5:35" x14ac:dyDescent="0.25">
      <c r="E13015" s="16"/>
      <c r="F13015" s="16"/>
      <c r="H13015" s="16"/>
      <c r="AG13015" s="80"/>
      <c r="AH13015" s="80"/>
      <c r="AI13015" s="80"/>
    </row>
    <row r="13016" spans="5:35" x14ac:dyDescent="0.25">
      <c r="E13016" s="16"/>
      <c r="F13016" s="16"/>
      <c r="H13016" s="16"/>
      <c r="AG13016" s="80"/>
      <c r="AH13016" s="80"/>
      <c r="AI13016" s="80"/>
    </row>
    <row r="13017" spans="5:35" x14ac:dyDescent="0.25">
      <c r="E13017" s="16"/>
      <c r="F13017" s="16"/>
      <c r="H13017" s="16"/>
      <c r="AG13017" s="80"/>
      <c r="AH13017" s="80"/>
      <c r="AI13017" s="80"/>
    </row>
    <row r="13018" spans="5:35" x14ac:dyDescent="0.25">
      <c r="E13018" s="16"/>
      <c r="F13018" s="16"/>
      <c r="H13018" s="16"/>
      <c r="AG13018" s="80"/>
      <c r="AH13018" s="80"/>
      <c r="AI13018" s="80"/>
    </row>
    <row r="13019" spans="5:35" x14ac:dyDescent="0.25">
      <c r="E13019" s="16"/>
      <c r="F13019" s="16"/>
      <c r="H13019" s="16"/>
      <c r="AG13019" s="80"/>
      <c r="AH13019" s="80"/>
      <c r="AI13019" s="80"/>
    </row>
    <row r="13020" spans="5:35" x14ac:dyDescent="0.25">
      <c r="E13020" s="16"/>
      <c r="F13020" s="16"/>
      <c r="H13020" s="16"/>
      <c r="AG13020" s="80"/>
      <c r="AH13020" s="80"/>
      <c r="AI13020" s="80"/>
    </row>
    <row r="13021" spans="5:35" x14ac:dyDescent="0.25">
      <c r="E13021" s="16"/>
      <c r="F13021" s="16"/>
      <c r="H13021" s="16"/>
      <c r="AG13021" s="80"/>
      <c r="AH13021" s="80"/>
      <c r="AI13021" s="80"/>
    </row>
    <row r="13022" spans="5:35" x14ac:dyDescent="0.25">
      <c r="E13022" s="16"/>
      <c r="F13022" s="16"/>
      <c r="H13022" s="16"/>
      <c r="AG13022" s="80"/>
      <c r="AH13022" s="80"/>
      <c r="AI13022" s="80"/>
    </row>
    <row r="13023" spans="5:35" x14ac:dyDescent="0.25">
      <c r="E13023" s="16"/>
      <c r="F13023" s="16"/>
      <c r="H13023" s="16"/>
      <c r="AG13023" s="80"/>
      <c r="AH13023" s="80"/>
      <c r="AI13023" s="80"/>
    </row>
    <row r="13024" spans="5:35" x14ac:dyDescent="0.25">
      <c r="E13024" s="16"/>
      <c r="F13024" s="16"/>
      <c r="H13024" s="16"/>
      <c r="AG13024" s="80"/>
      <c r="AH13024" s="80"/>
      <c r="AI13024" s="80"/>
    </row>
    <row r="13025" spans="5:35" x14ac:dyDescent="0.25">
      <c r="E13025" s="16"/>
      <c r="F13025" s="16"/>
      <c r="H13025" s="16"/>
      <c r="AG13025" s="80"/>
      <c r="AH13025" s="80"/>
      <c r="AI13025" s="80"/>
    </row>
    <row r="13026" spans="5:35" x14ac:dyDescent="0.25">
      <c r="E13026" s="16"/>
      <c r="F13026" s="16"/>
      <c r="H13026" s="16"/>
      <c r="AG13026" s="80"/>
      <c r="AH13026" s="80"/>
      <c r="AI13026" s="80"/>
    </row>
    <row r="13027" spans="5:35" x14ac:dyDescent="0.25">
      <c r="E13027" s="16"/>
      <c r="F13027" s="16"/>
      <c r="H13027" s="16"/>
      <c r="AG13027" s="80"/>
      <c r="AH13027" s="80"/>
      <c r="AI13027" s="80"/>
    </row>
    <row r="13028" spans="5:35" x14ac:dyDescent="0.25">
      <c r="E13028" s="16"/>
      <c r="F13028" s="16"/>
      <c r="H13028" s="16"/>
      <c r="AG13028" s="80"/>
      <c r="AH13028" s="80"/>
      <c r="AI13028" s="80"/>
    </row>
    <row r="13029" spans="5:35" x14ac:dyDescent="0.25">
      <c r="E13029" s="16"/>
      <c r="F13029" s="16"/>
      <c r="H13029" s="16"/>
      <c r="AG13029" s="80"/>
      <c r="AH13029" s="80"/>
      <c r="AI13029" s="80"/>
    </row>
    <row r="13030" spans="5:35" x14ac:dyDescent="0.25">
      <c r="E13030" s="16"/>
      <c r="F13030" s="16"/>
      <c r="H13030" s="16"/>
      <c r="AG13030" s="80"/>
      <c r="AH13030" s="80"/>
      <c r="AI13030" s="80"/>
    </row>
    <row r="13031" spans="5:35" x14ac:dyDescent="0.25">
      <c r="E13031" s="16"/>
      <c r="F13031" s="16"/>
      <c r="H13031" s="16"/>
      <c r="AG13031" s="80"/>
      <c r="AH13031" s="80"/>
      <c r="AI13031" s="80"/>
    </row>
    <row r="13032" spans="5:35" x14ac:dyDescent="0.25">
      <c r="E13032" s="16"/>
      <c r="F13032" s="16"/>
      <c r="H13032" s="16"/>
      <c r="AG13032" s="80"/>
      <c r="AH13032" s="80"/>
      <c r="AI13032" s="80"/>
    </row>
    <row r="13033" spans="5:35" x14ac:dyDescent="0.25">
      <c r="E13033" s="16"/>
      <c r="F13033" s="16"/>
      <c r="H13033" s="16"/>
      <c r="AG13033" s="80"/>
      <c r="AH13033" s="80"/>
      <c r="AI13033" s="80"/>
    </row>
    <row r="13034" spans="5:35" x14ac:dyDescent="0.25">
      <c r="E13034" s="16"/>
      <c r="F13034" s="16"/>
      <c r="H13034" s="16"/>
      <c r="AG13034" s="80"/>
      <c r="AH13034" s="80"/>
      <c r="AI13034" s="80"/>
    </row>
    <row r="13035" spans="5:35" x14ac:dyDescent="0.25">
      <c r="E13035" s="16"/>
      <c r="F13035" s="16"/>
      <c r="H13035" s="16"/>
      <c r="AG13035" s="80"/>
      <c r="AH13035" s="80"/>
      <c r="AI13035" s="80"/>
    </row>
    <row r="13036" spans="5:35" x14ac:dyDescent="0.25">
      <c r="E13036" s="16"/>
      <c r="F13036" s="16"/>
      <c r="H13036" s="16"/>
      <c r="AG13036" s="80"/>
      <c r="AH13036" s="80"/>
      <c r="AI13036" s="80"/>
    </row>
    <row r="13037" spans="5:35" x14ac:dyDescent="0.25">
      <c r="E13037" s="16"/>
      <c r="F13037" s="16"/>
      <c r="H13037" s="16"/>
      <c r="AG13037" s="80"/>
      <c r="AH13037" s="80"/>
      <c r="AI13037" s="80"/>
    </row>
    <row r="13038" spans="5:35" x14ac:dyDescent="0.25">
      <c r="E13038" s="16"/>
      <c r="F13038" s="16"/>
      <c r="H13038" s="16"/>
      <c r="AG13038" s="80"/>
      <c r="AH13038" s="80"/>
      <c r="AI13038" s="80"/>
    </row>
    <row r="13039" spans="5:35" x14ac:dyDescent="0.25">
      <c r="E13039" s="16"/>
      <c r="F13039" s="16"/>
      <c r="H13039" s="16"/>
      <c r="AG13039" s="80"/>
      <c r="AH13039" s="80"/>
      <c r="AI13039" s="80"/>
    </row>
    <row r="13040" spans="5:35" x14ac:dyDescent="0.25">
      <c r="E13040" s="16"/>
      <c r="F13040" s="16"/>
      <c r="H13040" s="16"/>
      <c r="AG13040" s="80"/>
      <c r="AH13040" s="80"/>
      <c r="AI13040" s="80"/>
    </row>
    <row r="13041" spans="5:35" x14ac:dyDescent="0.25">
      <c r="E13041" s="16"/>
      <c r="F13041" s="16"/>
      <c r="H13041" s="16"/>
      <c r="AG13041" s="80"/>
      <c r="AH13041" s="80"/>
      <c r="AI13041" s="80"/>
    </row>
    <row r="13042" spans="5:35" x14ac:dyDescent="0.25">
      <c r="E13042" s="16"/>
      <c r="F13042" s="16"/>
      <c r="H13042" s="16"/>
      <c r="AG13042" s="80"/>
      <c r="AH13042" s="80"/>
      <c r="AI13042" s="80"/>
    </row>
    <row r="13043" spans="5:35" x14ac:dyDescent="0.25">
      <c r="E13043" s="16"/>
      <c r="F13043" s="16"/>
      <c r="H13043" s="16"/>
      <c r="AG13043" s="80"/>
      <c r="AH13043" s="80"/>
      <c r="AI13043" s="80"/>
    </row>
    <row r="13044" spans="5:35" x14ac:dyDescent="0.25">
      <c r="E13044" s="16"/>
      <c r="F13044" s="16"/>
      <c r="H13044" s="16"/>
      <c r="AG13044" s="80"/>
      <c r="AH13044" s="80"/>
      <c r="AI13044" s="80"/>
    </row>
    <row r="13045" spans="5:35" x14ac:dyDescent="0.25">
      <c r="E13045" s="16"/>
      <c r="F13045" s="16"/>
      <c r="H13045" s="16"/>
      <c r="AG13045" s="80"/>
      <c r="AH13045" s="80"/>
      <c r="AI13045" s="80"/>
    </row>
    <row r="13046" spans="5:35" x14ac:dyDescent="0.25">
      <c r="E13046" s="16"/>
      <c r="F13046" s="16"/>
      <c r="H13046" s="16"/>
      <c r="AG13046" s="80"/>
      <c r="AH13046" s="80"/>
      <c r="AI13046" s="80"/>
    </row>
    <row r="13047" spans="5:35" x14ac:dyDescent="0.25">
      <c r="E13047" s="16"/>
      <c r="F13047" s="16"/>
      <c r="H13047" s="16"/>
      <c r="AG13047" s="80"/>
      <c r="AH13047" s="80"/>
      <c r="AI13047" s="80"/>
    </row>
    <row r="13048" spans="5:35" x14ac:dyDescent="0.25">
      <c r="E13048" s="16"/>
      <c r="F13048" s="16"/>
      <c r="H13048" s="16"/>
      <c r="AG13048" s="80"/>
      <c r="AH13048" s="80"/>
      <c r="AI13048" s="80"/>
    </row>
    <row r="13049" spans="5:35" x14ac:dyDescent="0.25">
      <c r="E13049" s="16"/>
      <c r="F13049" s="16"/>
      <c r="H13049" s="16"/>
      <c r="AG13049" s="80"/>
      <c r="AH13049" s="80"/>
      <c r="AI13049" s="80"/>
    </row>
    <row r="13050" spans="5:35" x14ac:dyDescent="0.25">
      <c r="E13050" s="16"/>
      <c r="F13050" s="16"/>
      <c r="H13050" s="16"/>
      <c r="AG13050" s="80"/>
      <c r="AH13050" s="80"/>
      <c r="AI13050" s="80"/>
    </row>
    <row r="13051" spans="5:35" x14ac:dyDescent="0.25">
      <c r="E13051" s="16"/>
      <c r="F13051" s="16"/>
      <c r="H13051" s="16"/>
      <c r="AG13051" s="80"/>
      <c r="AH13051" s="80"/>
      <c r="AI13051" s="80"/>
    </row>
    <row r="13052" spans="5:35" x14ac:dyDescent="0.25">
      <c r="E13052" s="16"/>
      <c r="F13052" s="16"/>
      <c r="H13052" s="16"/>
      <c r="AG13052" s="80"/>
      <c r="AH13052" s="80"/>
      <c r="AI13052" s="80"/>
    </row>
    <row r="13053" spans="5:35" x14ac:dyDescent="0.25">
      <c r="E13053" s="16"/>
      <c r="F13053" s="16"/>
      <c r="H13053" s="16"/>
      <c r="AG13053" s="80"/>
      <c r="AH13053" s="80"/>
      <c r="AI13053" s="80"/>
    </row>
    <row r="13054" spans="5:35" x14ac:dyDescent="0.25">
      <c r="E13054" s="16"/>
      <c r="F13054" s="16"/>
      <c r="H13054" s="16"/>
      <c r="AG13054" s="80"/>
      <c r="AH13054" s="80"/>
      <c r="AI13054" s="80"/>
    </row>
    <row r="13055" spans="5:35" x14ac:dyDescent="0.25">
      <c r="E13055" s="16"/>
      <c r="F13055" s="16"/>
      <c r="H13055" s="16"/>
      <c r="AG13055" s="80"/>
      <c r="AH13055" s="80"/>
      <c r="AI13055" s="80"/>
    </row>
    <row r="13056" spans="5:35" x14ac:dyDescent="0.25">
      <c r="E13056" s="16"/>
      <c r="F13056" s="16"/>
      <c r="H13056" s="16"/>
      <c r="AG13056" s="80"/>
      <c r="AH13056" s="80"/>
      <c r="AI13056" s="80"/>
    </row>
    <row r="13057" spans="5:35" x14ac:dyDescent="0.25">
      <c r="E13057" s="16"/>
      <c r="F13057" s="16"/>
      <c r="H13057" s="16"/>
      <c r="AG13057" s="80"/>
      <c r="AH13057" s="80"/>
      <c r="AI13057" s="80"/>
    </row>
    <row r="13058" spans="5:35" x14ac:dyDescent="0.25">
      <c r="E13058" s="16"/>
      <c r="F13058" s="16"/>
      <c r="H13058" s="16"/>
      <c r="AG13058" s="80"/>
      <c r="AH13058" s="80"/>
      <c r="AI13058" s="80"/>
    </row>
    <row r="13059" spans="5:35" x14ac:dyDescent="0.25">
      <c r="E13059" s="16"/>
      <c r="F13059" s="16"/>
      <c r="H13059" s="16"/>
      <c r="AG13059" s="80"/>
      <c r="AH13059" s="80"/>
      <c r="AI13059" s="80"/>
    </row>
    <row r="13060" spans="5:35" x14ac:dyDescent="0.25">
      <c r="E13060" s="16"/>
      <c r="F13060" s="16"/>
      <c r="H13060" s="16"/>
      <c r="AG13060" s="80"/>
      <c r="AH13060" s="80"/>
      <c r="AI13060" s="80"/>
    </row>
    <row r="13061" spans="5:35" x14ac:dyDescent="0.25">
      <c r="E13061" s="16"/>
      <c r="F13061" s="16"/>
      <c r="H13061" s="16"/>
      <c r="AG13061" s="80"/>
      <c r="AH13061" s="80"/>
      <c r="AI13061" s="80"/>
    </row>
    <row r="13062" spans="5:35" x14ac:dyDescent="0.25">
      <c r="E13062" s="16"/>
      <c r="F13062" s="16"/>
      <c r="H13062" s="16"/>
      <c r="AG13062" s="80"/>
      <c r="AH13062" s="80"/>
      <c r="AI13062" s="80"/>
    </row>
    <row r="13063" spans="5:35" x14ac:dyDescent="0.25">
      <c r="E13063" s="16"/>
      <c r="F13063" s="16"/>
      <c r="H13063" s="16"/>
      <c r="AG13063" s="80"/>
      <c r="AH13063" s="80"/>
      <c r="AI13063" s="80"/>
    </row>
    <row r="13064" spans="5:35" x14ac:dyDescent="0.25">
      <c r="E13064" s="16"/>
      <c r="F13064" s="16"/>
      <c r="H13064" s="16"/>
      <c r="AG13064" s="80"/>
      <c r="AH13064" s="80"/>
      <c r="AI13064" s="80"/>
    </row>
    <row r="13065" spans="5:35" x14ac:dyDescent="0.25">
      <c r="E13065" s="16"/>
      <c r="F13065" s="16"/>
      <c r="H13065" s="16"/>
      <c r="AG13065" s="80"/>
      <c r="AH13065" s="80"/>
      <c r="AI13065" s="80"/>
    </row>
    <row r="13066" spans="5:35" x14ac:dyDescent="0.25">
      <c r="E13066" s="16"/>
      <c r="F13066" s="16"/>
      <c r="H13066" s="16"/>
      <c r="AG13066" s="80"/>
      <c r="AH13066" s="80"/>
      <c r="AI13066" s="80"/>
    </row>
    <row r="13067" spans="5:35" x14ac:dyDescent="0.25">
      <c r="E13067" s="16"/>
      <c r="F13067" s="16"/>
      <c r="H13067" s="16"/>
      <c r="AG13067" s="80"/>
      <c r="AH13067" s="80"/>
      <c r="AI13067" s="80"/>
    </row>
    <row r="13068" spans="5:35" x14ac:dyDescent="0.25">
      <c r="E13068" s="16"/>
      <c r="F13068" s="16"/>
      <c r="H13068" s="16"/>
      <c r="AG13068" s="80"/>
      <c r="AH13068" s="80"/>
      <c r="AI13068" s="80"/>
    </row>
    <row r="13069" spans="5:35" x14ac:dyDescent="0.25">
      <c r="E13069" s="16"/>
      <c r="F13069" s="16"/>
      <c r="H13069" s="16"/>
      <c r="AG13069" s="80"/>
      <c r="AH13069" s="80"/>
      <c r="AI13069" s="80"/>
    </row>
    <row r="13070" spans="5:35" x14ac:dyDescent="0.25">
      <c r="E13070" s="16"/>
      <c r="F13070" s="16"/>
      <c r="H13070" s="16"/>
      <c r="AG13070" s="80"/>
      <c r="AH13070" s="80"/>
      <c r="AI13070" s="80"/>
    </row>
    <row r="13071" spans="5:35" x14ac:dyDescent="0.25">
      <c r="E13071" s="16"/>
      <c r="F13071" s="16"/>
      <c r="H13071" s="16"/>
      <c r="AG13071" s="80"/>
      <c r="AH13071" s="80"/>
      <c r="AI13071" s="80"/>
    </row>
    <row r="13072" spans="5:35" x14ac:dyDescent="0.25">
      <c r="E13072" s="16"/>
      <c r="F13072" s="16"/>
      <c r="H13072" s="16"/>
      <c r="AG13072" s="80"/>
      <c r="AH13072" s="80"/>
      <c r="AI13072" s="80"/>
    </row>
    <row r="13073" spans="5:35" x14ac:dyDescent="0.25">
      <c r="E13073" s="16"/>
      <c r="F13073" s="16"/>
      <c r="H13073" s="16"/>
      <c r="AG13073" s="80"/>
      <c r="AH13073" s="80"/>
      <c r="AI13073" s="80"/>
    </row>
    <row r="13074" spans="5:35" x14ac:dyDescent="0.25">
      <c r="E13074" s="16"/>
      <c r="F13074" s="16"/>
      <c r="H13074" s="16"/>
      <c r="AG13074" s="80"/>
      <c r="AH13074" s="80"/>
      <c r="AI13074" s="80"/>
    </row>
    <row r="13075" spans="5:35" x14ac:dyDescent="0.25">
      <c r="E13075" s="16"/>
      <c r="F13075" s="16"/>
      <c r="H13075" s="16"/>
      <c r="AG13075" s="80"/>
      <c r="AH13075" s="80"/>
      <c r="AI13075" s="80"/>
    </row>
    <row r="13076" spans="5:35" x14ac:dyDescent="0.25">
      <c r="E13076" s="16"/>
      <c r="F13076" s="16"/>
      <c r="H13076" s="16"/>
      <c r="AG13076" s="80"/>
      <c r="AH13076" s="80"/>
      <c r="AI13076" s="80"/>
    </row>
    <row r="13077" spans="5:35" x14ac:dyDescent="0.25">
      <c r="E13077" s="16"/>
      <c r="F13077" s="16"/>
      <c r="H13077" s="16"/>
      <c r="AG13077" s="80"/>
      <c r="AH13077" s="80"/>
      <c r="AI13077" s="80"/>
    </row>
    <row r="13078" spans="5:35" x14ac:dyDescent="0.25">
      <c r="E13078" s="16"/>
      <c r="F13078" s="16"/>
      <c r="H13078" s="16"/>
      <c r="AG13078" s="80"/>
      <c r="AH13078" s="80"/>
      <c r="AI13078" s="80"/>
    </row>
    <row r="13079" spans="5:35" x14ac:dyDescent="0.25">
      <c r="E13079" s="16"/>
      <c r="F13079" s="16"/>
      <c r="H13079" s="16"/>
      <c r="AG13079" s="80"/>
      <c r="AH13079" s="80"/>
      <c r="AI13079" s="80"/>
    </row>
    <row r="13080" spans="5:35" x14ac:dyDescent="0.25">
      <c r="E13080" s="16"/>
      <c r="F13080" s="16"/>
      <c r="H13080" s="16"/>
      <c r="AG13080" s="80"/>
      <c r="AH13080" s="80"/>
      <c r="AI13080" s="80"/>
    </row>
    <row r="13081" spans="5:35" x14ac:dyDescent="0.25">
      <c r="E13081" s="16"/>
      <c r="F13081" s="16"/>
      <c r="H13081" s="16"/>
      <c r="AG13081" s="80"/>
      <c r="AH13081" s="80"/>
      <c r="AI13081" s="80"/>
    </row>
    <row r="13082" spans="5:35" x14ac:dyDescent="0.25">
      <c r="E13082" s="16"/>
      <c r="F13082" s="16"/>
      <c r="H13082" s="16"/>
      <c r="AG13082" s="80"/>
      <c r="AH13082" s="80"/>
      <c r="AI13082" s="80"/>
    </row>
    <row r="13083" spans="5:35" x14ac:dyDescent="0.25">
      <c r="E13083" s="16"/>
      <c r="F13083" s="16"/>
      <c r="H13083" s="16"/>
      <c r="AG13083" s="80"/>
      <c r="AH13083" s="80"/>
      <c r="AI13083" s="80"/>
    </row>
    <row r="13084" spans="5:35" x14ac:dyDescent="0.25">
      <c r="E13084" s="16"/>
      <c r="F13084" s="16"/>
      <c r="H13084" s="16"/>
      <c r="AG13084" s="80"/>
      <c r="AH13084" s="80"/>
      <c r="AI13084" s="80"/>
    </row>
    <row r="13085" spans="5:35" x14ac:dyDescent="0.25">
      <c r="E13085" s="16"/>
      <c r="F13085" s="16"/>
      <c r="H13085" s="16"/>
      <c r="AG13085" s="80"/>
      <c r="AH13085" s="80"/>
      <c r="AI13085" s="80"/>
    </row>
    <row r="13086" spans="5:35" x14ac:dyDescent="0.25">
      <c r="E13086" s="16"/>
      <c r="F13086" s="16"/>
      <c r="H13086" s="16"/>
      <c r="AG13086" s="80"/>
      <c r="AH13086" s="80"/>
      <c r="AI13086" s="80"/>
    </row>
    <row r="13087" spans="5:35" x14ac:dyDescent="0.25">
      <c r="E13087" s="16"/>
      <c r="F13087" s="16"/>
      <c r="H13087" s="16"/>
      <c r="AG13087" s="80"/>
      <c r="AH13087" s="80"/>
      <c r="AI13087" s="80"/>
    </row>
    <row r="13088" spans="5:35" x14ac:dyDescent="0.25">
      <c r="E13088" s="16"/>
      <c r="F13088" s="16"/>
      <c r="H13088" s="16"/>
      <c r="AG13088" s="80"/>
      <c r="AH13088" s="80"/>
      <c r="AI13088" s="80"/>
    </row>
    <row r="13089" spans="5:35" x14ac:dyDescent="0.25">
      <c r="E13089" s="16"/>
      <c r="F13089" s="16"/>
      <c r="H13089" s="16"/>
      <c r="AG13089" s="80"/>
      <c r="AH13089" s="80"/>
      <c r="AI13089" s="80"/>
    </row>
    <row r="13090" spans="5:35" x14ac:dyDescent="0.25">
      <c r="E13090" s="16"/>
      <c r="F13090" s="16"/>
      <c r="H13090" s="16"/>
      <c r="AG13090" s="80"/>
      <c r="AH13090" s="80"/>
      <c r="AI13090" s="80"/>
    </row>
    <row r="13091" spans="5:35" x14ac:dyDescent="0.25">
      <c r="E13091" s="16"/>
      <c r="F13091" s="16"/>
      <c r="H13091" s="16"/>
      <c r="AG13091" s="80"/>
      <c r="AH13091" s="80"/>
      <c r="AI13091" s="80"/>
    </row>
    <row r="13092" spans="5:35" x14ac:dyDescent="0.25">
      <c r="E13092" s="16"/>
      <c r="F13092" s="16"/>
      <c r="H13092" s="16"/>
      <c r="AG13092" s="80"/>
      <c r="AH13092" s="80"/>
      <c r="AI13092" s="80"/>
    </row>
    <row r="13093" spans="5:35" x14ac:dyDescent="0.25">
      <c r="E13093" s="16"/>
      <c r="F13093" s="16"/>
      <c r="H13093" s="16"/>
      <c r="AG13093" s="80"/>
      <c r="AH13093" s="80"/>
      <c r="AI13093" s="80"/>
    </row>
    <row r="13094" spans="5:35" x14ac:dyDescent="0.25">
      <c r="E13094" s="16"/>
      <c r="F13094" s="16"/>
      <c r="H13094" s="16"/>
      <c r="AG13094" s="80"/>
      <c r="AH13094" s="80"/>
      <c r="AI13094" s="80"/>
    </row>
    <row r="13095" spans="5:35" x14ac:dyDescent="0.25">
      <c r="E13095" s="16"/>
      <c r="F13095" s="16"/>
      <c r="H13095" s="16"/>
      <c r="AG13095" s="80"/>
      <c r="AH13095" s="80"/>
      <c r="AI13095" s="80"/>
    </row>
    <row r="13096" spans="5:35" x14ac:dyDescent="0.25">
      <c r="E13096" s="16"/>
      <c r="F13096" s="16"/>
      <c r="H13096" s="16"/>
      <c r="AG13096" s="80"/>
      <c r="AH13096" s="80"/>
      <c r="AI13096" s="80"/>
    </row>
    <row r="13097" spans="5:35" x14ac:dyDescent="0.25">
      <c r="E13097" s="16"/>
      <c r="F13097" s="16"/>
      <c r="H13097" s="16"/>
      <c r="AG13097" s="80"/>
      <c r="AH13097" s="80"/>
      <c r="AI13097" s="80"/>
    </row>
    <row r="13098" spans="5:35" x14ac:dyDescent="0.25">
      <c r="E13098" s="16"/>
      <c r="F13098" s="16"/>
      <c r="H13098" s="16"/>
      <c r="AG13098" s="80"/>
      <c r="AH13098" s="80"/>
      <c r="AI13098" s="80"/>
    </row>
    <row r="13099" spans="5:35" x14ac:dyDescent="0.25">
      <c r="E13099" s="16"/>
      <c r="F13099" s="16"/>
      <c r="H13099" s="16"/>
      <c r="AG13099" s="80"/>
      <c r="AH13099" s="80"/>
      <c r="AI13099" s="80"/>
    </row>
    <row r="13100" spans="5:35" x14ac:dyDescent="0.25">
      <c r="E13100" s="16"/>
      <c r="F13100" s="16"/>
      <c r="H13100" s="16"/>
      <c r="AG13100" s="80"/>
      <c r="AH13100" s="80"/>
      <c r="AI13100" s="80"/>
    </row>
    <row r="13101" spans="5:35" x14ac:dyDescent="0.25">
      <c r="E13101" s="16"/>
      <c r="F13101" s="16"/>
      <c r="H13101" s="16"/>
      <c r="AG13101" s="80"/>
      <c r="AH13101" s="80"/>
      <c r="AI13101" s="80"/>
    </row>
    <row r="13102" spans="5:35" x14ac:dyDescent="0.25">
      <c r="E13102" s="16"/>
      <c r="F13102" s="16"/>
      <c r="H13102" s="16"/>
      <c r="AG13102" s="80"/>
      <c r="AH13102" s="80"/>
      <c r="AI13102" s="80"/>
    </row>
    <row r="13103" spans="5:35" x14ac:dyDescent="0.25">
      <c r="E13103" s="16"/>
      <c r="F13103" s="16"/>
      <c r="H13103" s="16"/>
      <c r="AG13103" s="80"/>
      <c r="AH13103" s="80"/>
      <c r="AI13103" s="80"/>
    </row>
    <row r="13104" spans="5:35" x14ac:dyDescent="0.25">
      <c r="E13104" s="16"/>
      <c r="F13104" s="16"/>
      <c r="H13104" s="16"/>
      <c r="AG13104" s="80"/>
      <c r="AH13104" s="80"/>
      <c r="AI13104" s="80"/>
    </row>
    <row r="13105" spans="5:35" x14ac:dyDescent="0.25">
      <c r="E13105" s="16"/>
      <c r="F13105" s="16"/>
      <c r="H13105" s="16"/>
      <c r="AG13105" s="80"/>
      <c r="AH13105" s="80"/>
      <c r="AI13105" s="80"/>
    </row>
    <row r="13106" spans="5:35" x14ac:dyDescent="0.25">
      <c r="E13106" s="16"/>
      <c r="F13106" s="16"/>
      <c r="H13106" s="16"/>
      <c r="AG13106" s="80"/>
      <c r="AH13106" s="80"/>
      <c r="AI13106" s="80"/>
    </row>
    <row r="13107" spans="5:35" x14ac:dyDescent="0.25">
      <c r="E13107" s="16"/>
      <c r="F13107" s="16"/>
      <c r="H13107" s="16"/>
      <c r="AG13107" s="80"/>
      <c r="AH13107" s="80"/>
      <c r="AI13107" s="80"/>
    </row>
    <row r="13108" spans="5:35" x14ac:dyDescent="0.25">
      <c r="E13108" s="16"/>
      <c r="F13108" s="16"/>
      <c r="H13108" s="16"/>
      <c r="AG13108" s="80"/>
      <c r="AH13108" s="80"/>
      <c r="AI13108" s="80"/>
    </row>
    <row r="13109" spans="5:35" x14ac:dyDescent="0.25">
      <c r="E13109" s="16"/>
      <c r="F13109" s="16"/>
      <c r="H13109" s="16"/>
      <c r="AG13109" s="80"/>
      <c r="AH13109" s="80"/>
      <c r="AI13109" s="80"/>
    </row>
    <row r="13110" spans="5:35" x14ac:dyDescent="0.25">
      <c r="E13110" s="16"/>
      <c r="F13110" s="16"/>
      <c r="H13110" s="16"/>
      <c r="AG13110" s="80"/>
      <c r="AH13110" s="80"/>
      <c r="AI13110" s="80"/>
    </row>
    <row r="13111" spans="5:35" x14ac:dyDescent="0.25">
      <c r="E13111" s="16"/>
      <c r="F13111" s="16"/>
      <c r="H13111" s="16"/>
      <c r="AG13111" s="80"/>
      <c r="AH13111" s="80"/>
      <c r="AI13111" s="80"/>
    </row>
    <row r="13112" spans="5:35" x14ac:dyDescent="0.25">
      <c r="E13112" s="16"/>
      <c r="F13112" s="16"/>
      <c r="H13112" s="16"/>
      <c r="AG13112" s="80"/>
      <c r="AH13112" s="80"/>
      <c r="AI13112" s="80"/>
    </row>
    <row r="13113" spans="5:35" x14ac:dyDescent="0.25">
      <c r="E13113" s="16"/>
      <c r="F13113" s="16"/>
      <c r="H13113" s="16"/>
      <c r="AG13113" s="80"/>
      <c r="AH13113" s="80"/>
      <c r="AI13113" s="80"/>
    </row>
    <row r="13114" spans="5:35" x14ac:dyDescent="0.25">
      <c r="E13114" s="16"/>
      <c r="F13114" s="16"/>
      <c r="H13114" s="16"/>
      <c r="AG13114" s="80"/>
      <c r="AH13114" s="80"/>
      <c r="AI13114" s="80"/>
    </row>
    <row r="13115" spans="5:35" x14ac:dyDescent="0.25">
      <c r="E13115" s="16"/>
      <c r="F13115" s="16"/>
      <c r="H13115" s="16"/>
      <c r="AG13115" s="80"/>
      <c r="AH13115" s="80"/>
      <c r="AI13115" s="80"/>
    </row>
    <row r="13116" spans="5:35" x14ac:dyDescent="0.25">
      <c r="E13116" s="16"/>
      <c r="F13116" s="16"/>
      <c r="H13116" s="16"/>
      <c r="AG13116" s="80"/>
      <c r="AH13116" s="80"/>
      <c r="AI13116" s="80"/>
    </row>
    <row r="13117" spans="5:35" x14ac:dyDescent="0.25">
      <c r="E13117" s="16"/>
      <c r="F13117" s="16"/>
      <c r="H13117" s="16"/>
      <c r="AG13117" s="80"/>
      <c r="AH13117" s="80"/>
      <c r="AI13117" s="80"/>
    </row>
    <row r="13118" spans="5:35" x14ac:dyDescent="0.25">
      <c r="E13118" s="16"/>
      <c r="F13118" s="16"/>
      <c r="H13118" s="16"/>
      <c r="AG13118" s="80"/>
      <c r="AH13118" s="80"/>
      <c r="AI13118" s="80"/>
    </row>
    <row r="13119" spans="5:35" x14ac:dyDescent="0.25">
      <c r="E13119" s="16"/>
      <c r="F13119" s="16"/>
      <c r="H13119" s="16"/>
      <c r="AG13119" s="80"/>
      <c r="AH13119" s="80"/>
      <c r="AI13119" s="80"/>
    </row>
    <row r="13120" spans="5:35" x14ac:dyDescent="0.25">
      <c r="E13120" s="16"/>
      <c r="F13120" s="16"/>
      <c r="H13120" s="16"/>
      <c r="AG13120" s="80"/>
      <c r="AH13120" s="80"/>
      <c r="AI13120" s="80"/>
    </row>
    <row r="13121" spans="5:35" x14ac:dyDescent="0.25">
      <c r="E13121" s="16"/>
      <c r="F13121" s="16"/>
      <c r="H13121" s="16"/>
      <c r="AG13121" s="80"/>
      <c r="AH13121" s="80"/>
      <c r="AI13121" s="80"/>
    </row>
    <row r="13122" spans="5:35" x14ac:dyDescent="0.25">
      <c r="E13122" s="16"/>
      <c r="F13122" s="16"/>
      <c r="H13122" s="16"/>
      <c r="AG13122" s="80"/>
      <c r="AH13122" s="80"/>
      <c r="AI13122" s="80"/>
    </row>
    <row r="13123" spans="5:35" x14ac:dyDescent="0.25">
      <c r="E13123" s="16"/>
      <c r="F13123" s="16"/>
      <c r="H13123" s="16"/>
      <c r="AG13123" s="80"/>
      <c r="AH13123" s="80"/>
      <c r="AI13123" s="80"/>
    </row>
    <row r="13124" spans="5:35" x14ac:dyDescent="0.25">
      <c r="E13124" s="16"/>
      <c r="F13124" s="16"/>
      <c r="H13124" s="16"/>
      <c r="AG13124" s="80"/>
      <c r="AH13124" s="80"/>
      <c r="AI13124" s="80"/>
    </row>
    <row r="13125" spans="5:35" x14ac:dyDescent="0.25">
      <c r="E13125" s="16"/>
      <c r="F13125" s="16"/>
      <c r="H13125" s="16"/>
      <c r="AG13125" s="80"/>
      <c r="AH13125" s="80"/>
      <c r="AI13125" s="80"/>
    </row>
    <row r="13126" spans="5:35" x14ac:dyDescent="0.25">
      <c r="E13126" s="16"/>
      <c r="F13126" s="16"/>
      <c r="H13126" s="16"/>
      <c r="AG13126" s="80"/>
      <c r="AH13126" s="80"/>
      <c r="AI13126" s="80"/>
    </row>
    <row r="13127" spans="5:35" x14ac:dyDescent="0.25">
      <c r="E13127" s="16"/>
      <c r="F13127" s="16"/>
      <c r="H13127" s="16"/>
      <c r="AG13127" s="80"/>
      <c r="AH13127" s="80"/>
      <c r="AI13127" s="80"/>
    </row>
    <row r="13128" spans="5:35" x14ac:dyDescent="0.25">
      <c r="E13128" s="16"/>
      <c r="F13128" s="16"/>
      <c r="H13128" s="16"/>
      <c r="AG13128" s="80"/>
      <c r="AH13128" s="80"/>
      <c r="AI13128" s="80"/>
    </row>
    <row r="13129" spans="5:35" x14ac:dyDescent="0.25">
      <c r="E13129" s="16"/>
      <c r="F13129" s="16"/>
      <c r="H13129" s="16"/>
      <c r="AG13129" s="80"/>
      <c r="AH13129" s="80"/>
      <c r="AI13129" s="80"/>
    </row>
    <row r="13130" spans="5:35" x14ac:dyDescent="0.25">
      <c r="E13130" s="16"/>
      <c r="F13130" s="16"/>
      <c r="H13130" s="16"/>
      <c r="AG13130" s="80"/>
      <c r="AH13130" s="80"/>
      <c r="AI13130" s="80"/>
    </row>
    <row r="13131" spans="5:35" x14ac:dyDescent="0.25">
      <c r="E13131" s="16"/>
      <c r="F13131" s="16"/>
      <c r="H13131" s="16"/>
      <c r="AG13131" s="80"/>
      <c r="AH13131" s="80"/>
      <c r="AI13131" s="80"/>
    </row>
    <row r="13132" spans="5:35" x14ac:dyDescent="0.25">
      <c r="E13132" s="16"/>
      <c r="F13132" s="16"/>
      <c r="H13132" s="16"/>
      <c r="AG13132" s="80"/>
      <c r="AH13132" s="80"/>
      <c r="AI13132" s="80"/>
    </row>
    <row r="13133" spans="5:35" x14ac:dyDescent="0.25">
      <c r="E13133" s="16"/>
      <c r="F13133" s="16"/>
      <c r="H13133" s="16"/>
      <c r="AG13133" s="80"/>
      <c r="AH13133" s="80"/>
      <c r="AI13133" s="80"/>
    </row>
    <row r="13134" spans="5:35" x14ac:dyDescent="0.25">
      <c r="E13134" s="16"/>
      <c r="F13134" s="16"/>
      <c r="H13134" s="16"/>
      <c r="AG13134" s="80"/>
      <c r="AH13134" s="80"/>
      <c r="AI13134" s="80"/>
    </row>
    <row r="13135" spans="5:35" x14ac:dyDescent="0.25">
      <c r="E13135" s="16"/>
      <c r="F13135" s="16"/>
      <c r="H13135" s="16"/>
      <c r="AG13135" s="80"/>
      <c r="AH13135" s="80"/>
      <c r="AI13135" s="80"/>
    </row>
    <row r="13136" spans="5:35" x14ac:dyDescent="0.25">
      <c r="E13136" s="16"/>
      <c r="F13136" s="16"/>
      <c r="H13136" s="16"/>
      <c r="AG13136" s="80"/>
      <c r="AH13136" s="80"/>
      <c r="AI13136" s="80"/>
    </row>
    <row r="13137" spans="5:35" x14ac:dyDescent="0.25">
      <c r="E13137" s="16"/>
      <c r="F13137" s="16"/>
      <c r="H13137" s="16"/>
      <c r="AG13137" s="80"/>
      <c r="AH13137" s="80"/>
      <c r="AI13137" s="80"/>
    </row>
    <row r="13138" spans="5:35" x14ac:dyDescent="0.25">
      <c r="E13138" s="16"/>
      <c r="F13138" s="16"/>
      <c r="H13138" s="16"/>
      <c r="AG13138" s="80"/>
      <c r="AH13138" s="80"/>
      <c r="AI13138" s="80"/>
    </row>
    <row r="13139" spans="5:35" x14ac:dyDescent="0.25">
      <c r="E13139" s="16"/>
      <c r="F13139" s="16"/>
      <c r="H13139" s="16"/>
      <c r="AG13139" s="80"/>
      <c r="AH13139" s="80"/>
      <c r="AI13139" s="80"/>
    </row>
    <row r="13140" spans="5:35" x14ac:dyDescent="0.25">
      <c r="E13140" s="16"/>
      <c r="F13140" s="16"/>
      <c r="H13140" s="16"/>
      <c r="AG13140" s="80"/>
      <c r="AH13140" s="80"/>
      <c r="AI13140" s="80"/>
    </row>
    <row r="13141" spans="5:35" x14ac:dyDescent="0.25">
      <c r="E13141" s="16"/>
      <c r="F13141" s="16"/>
      <c r="H13141" s="16"/>
      <c r="AG13141" s="80"/>
      <c r="AH13141" s="80"/>
      <c r="AI13141" s="80"/>
    </row>
    <row r="13142" spans="5:35" x14ac:dyDescent="0.25">
      <c r="E13142" s="16"/>
      <c r="F13142" s="16"/>
      <c r="H13142" s="16"/>
      <c r="AG13142" s="80"/>
      <c r="AH13142" s="80"/>
      <c r="AI13142" s="80"/>
    </row>
    <row r="13143" spans="5:35" x14ac:dyDescent="0.25">
      <c r="E13143" s="16"/>
      <c r="F13143" s="16"/>
      <c r="H13143" s="16"/>
      <c r="AG13143" s="80"/>
      <c r="AH13143" s="80"/>
      <c r="AI13143" s="80"/>
    </row>
    <row r="13144" spans="5:35" x14ac:dyDescent="0.25">
      <c r="E13144" s="16"/>
      <c r="F13144" s="16"/>
      <c r="H13144" s="16"/>
      <c r="AG13144" s="80"/>
      <c r="AH13144" s="80"/>
      <c r="AI13144" s="80"/>
    </row>
    <row r="13145" spans="5:35" x14ac:dyDescent="0.25">
      <c r="E13145" s="16"/>
      <c r="F13145" s="16"/>
      <c r="H13145" s="16"/>
      <c r="AG13145" s="80"/>
      <c r="AH13145" s="80"/>
      <c r="AI13145" s="80"/>
    </row>
    <row r="13146" spans="5:35" x14ac:dyDescent="0.25">
      <c r="E13146" s="16"/>
      <c r="F13146" s="16"/>
      <c r="H13146" s="16"/>
      <c r="AG13146" s="80"/>
      <c r="AH13146" s="80"/>
      <c r="AI13146" s="80"/>
    </row>
    <row r="13147" spans="5:35" x14ac:dyDescent="0.25">
      <c r="E13147" s="16"/>
      <c r="F13147" s="16"/>
      <c r="H13147" s="16"/>
      <c r="AG13147" s="80"/>
      <c r="AH13147" s="80"/>
      <c r="AI13147" s="80"/>
    </row>
    <row r="13148" spans="5:35" x14ac:dyDescent="0.25">
      <c r="E13148" s="16"/>
      <c r="F13148" s="16"/>
      <c r="H13148" s="16"/>
      <c r="AG13148" s="80"/>
      <c r="AH13148" s="80"/>
      <c r="AI13148" s="80"/>
    </row>
    <row r="13149" spans="5:35" x14ac:dyDescent="0.25">
      <c r="E13149" s="16"/>
      <c r="F13149" s="16"/>
      <c r="H13149" s="16"/>
      <c r="AG13149" s="80"/>
      <c r="AH13149" s="80"/>
      <c r="AI13149" s="80"/>
    </row>
    <row r="13150" spans="5:35" x14ac:dyDescent="0.25">
      <c r="E13150" s="16"/>
      <c r="F13150" s="16"/>
      <c r="H13150" s="16"/>
      <c r="AG13150" s="80"/>
      <c r="AH13150" s="80"/>
      <c r="AI13150" s="80"/>
    </row>
    <row r="13151" spans="5:35" x14ac:dyDescent="0.25">
      <c r="E13151" s="16"/>
      <c r="F13151" s="16"/>
      <c r="H13151" s="16"/>
      <c r="AG13151" s="80"/>
      <c r="AH13151" s="80"/>
      <c r="AI13151" s="80"/>
    </row>
    <row r="13152" spans="5:35" x14ac:dyDescent="0.25">
      <c r="E13152" s="16"/>
      <c r="F13152" s="16"/>
      <c r="H13152" s="16"/>
      <c r="AG13152" s="80"/>
      <c r="AH13152" s="80"/>
      <c r="AI13152" s="80"/>
    </row>
    <row r="13153" spans="5:35" x14ac:dyDescent="0.25">
      <c r="E13153" s="16"/>
      <c r="F13153" s="16"/>
      <c r="H13153" s="16"/>
      <c r="AG13153" s="80"/>
      <c r="AH13153" s="80"/>
      <c r="AI13153" s="80"/>
    </row>
    <row r="13154" spans="5:35" x14ac:dyDescent="0.25">
      <c r="E13154" s="16"/>
      <c r="F13154" s="16"/>
      <c r="H13154" s="16"/>
      <c r="AG13154" s="80"/>
      <c r="AH13154" s="80"/>
      <c r="AI13154" s="80"/>
    </row>
    <row r="13155" spans="5:35" x14ac:dyDescent="0.25">
      <c r="E13155" s="16"/>
      <c r="F13155" s="16"/>
      <c r="H13155" s="16"/>
      <c r="AG13155" s="80"/>
      <c r="AH13155" s="80"/>
      <c r="AI13155" s="80"/>
    </row>
    <row r="13156" spans="5:35" x14ac:dyDescent="0.25">
      <c r="E13156" s="16"/>
      <c r="F13156" s="16"/>
      <c r="H13156" s="16"/>
      <c r="AG13156" s="80"/>
      <c r="AH13156" s="80"/>
      <c r="AI13156" s="80"/>
    </row>
    <row r="13157" spans="5:35" x14ac:dyDescent="0.25">
      <c r="E13157" s="16"/>
      <c r="F13157" s="16"/>
      <c r="H13157" s="16"/>
      <c r="AG13157" s="80"/>
      <c r="AH13157" s="80"/>
      <c r="AI13157" s="80"/>
    </row>
    <row r="13158" spans="5:35" x14ac:dyDescent="0.25">
      <c r="E13158" s="16"/>
      <c r="F13158" s="16"/>
      <c r="H13158" s="16"/>
      <c r="AG13158" s="80"/>
      <c r="AH13158" s="80"/>
      <c r="AI13158" s="80"/>
    </row>
    <row r="13159" spans="5:35" x14ac:dyDescent="0.25">
      <c r="E13159" s="16"/>
      <c r="F13159" s="16"/>
      <c r="H13159" s="16"/>
      <c r="AG13159" s="80"/>
      <c r="AH13159" s="80"/>
      <c r="AI13159" s="80"/>
    </row>
    <row r="13160" spans="5:35" x14ac:dyDescent="0.25">
      <c r="E13160" s="16"/>
      <c r="F13160" s="16"/>
      <c r="H13160" s="16"/>
      <c r="AG13160" s="80"/>
      <c r="AH13160" s="80"/>
      <c r="AI13160" s="80"/>
    </row>
    <row r="13161" spans="5:35" x14ac:dyDescent="0.25">
      <c r="E13161" s="16"/>
      <c r="F13161" s="16"/>
      <c r="H13161" s="16"/>
      <c r="AG13161" s="80"/>
      <c r="AH13161" s="80"/>
      <c r="AI13161" s="80"/>
    </row>
    <row r="13162" spans="5:35" x14ac:dyDescent="0.25">
      <c r="E13162" s="16"/>
      <c r="F13162" s="16"/>
      <c r="H13162" s="16"/>
      <c r="AG13162" s="80"/>
      <c r="AH13162" s="80"/>
      <c r="AI13162" s="80"/>
    </row>
    <row r="13163" spans="5:35" x14ac:dyDescent="0.25">
      <c r="E13163" s="16"/>
      <c r="F13163" s="16"/>
      <c r="H13163" s="16"/>
      <c r="AG13163" s="80"/>
      <c r="AH13163" s="80"/>
      <c r="AI13163" s="80"/>
    </row>
    <row r="13164" spans="5:35" x14ac:dyDescent="0.25">
      <c r="E13164" s="16"/>
      <c r="F13164" s="16"/>
      <c r="H13164" s="16"/>
      <c r="AG13164" s="80"/>
      <c r="AH13164" s="80"/>
      <c r="AI13164" s="80"/>
    </row>
    <row r="13165" spans="5:35" x14ac:dyDescent="0.25">
      <c r="E13165" s="16"/>
      <c r="F13165" s="16"/>
      <c r="H13165" s="16"/>
      <c r="AG13165" s="80"/>
      <c r="AH13165" s="80"/>
      <c r="AI13165" s="80"/>
    </row>
    <row r="13166" spans="5:35" x14ac:dyDescent="0.25">
      <c r="E13166" s="16"/>
      <c r="F13166" s="16"/>
      <c r="H13166" s="16"/>
      <c r="AG13166" s="80"/>
      <c r="AH13166" s="80"/>
      <c r="AI13166" s="80"/>
    </row>
    <row r="13167" spans="5:35" x14ac:dyDescent="0.25">
      <c r="E13167" s="16"/>
      <c r="F13167" s="16"/>
      <c r="H13167" s="16"/>
      <c r="AG13167" s="80"/>
      <c r="AH13167" s="80"/>
      <c r="AI13167" s="80"/>
    </row>
    <row r="13168" spans="5:35" x14ac:dyDescent="0.25">
      <c r="E13168" s="16"/>
      <c r="F13168" s="16"/>
      <c r="H13168" s="16"/>
      <c r="AG13168" s="80"/>
      <c r="AH13168" s="80"/>
      <c r="AI13168" s="80"/>
    </row>
    <row r="13169" spans="5:35" x14ac:dyDescent="0.25">
      <c r="E13169" s="16"/>
      <c r="F13169" s="16"/>
      <c r="H13169" s="16"/>
      <c r="AG13169" s="80"/>
      <c r="AH13169" s="80"/>
      <c r="AI13169" s="80"/>
    </row>
    <row r="13170" spans="5:35" x14ac:dyDescent="0.25">
      <c r="E13170" s="16"/>
      <c r="F13170" s="16"/>
      <c r="H13170" s="16"/>
      <c r="AG13170" s="80"/>
      <c r="AH13170" s="80"/>
      <c r="AI13170" s="80"/>
    </row>
    <row r="13171" spans="5:35" x14ac:dyDescent="0.25">
      <c r="E13171" s="16"/>
      <c r="F13171" s="16"/>
      <c r="H13171" s="16"/>
      <c r="AG13171" s="80"/>
      <c r="AH13171" s="80"/>
      <c r="AI13171" s="80"/>
    </row>
    <row r="13172" spans="5:35" x14ac:dyDescent="0.25">
      <c r="E13172" s="16"/>
      <c r="F13172" s="16"/>
      <c r="H13172" s="16"/>
      <c r="AG13172" s="80"/>
      <c r="AH13172" s="80"/>
      <c r="AI13172" s="80"/>
    </row>
    <row r="13173" spans="5:35" x14ac:dyDescent="0.25">
      <c r="E13173" s="16"/>
      <c r="F13173" s="16"/>
      <c r="H13173" s="16"/>
      <c r="AG13173" s="80"/>
      <c r="AH13173" s="80"/>
      <c r="AI13173" s="80"/>
    </row>
    <row r="13174" spans="5:35" x14ac:dyDescent="0.25">
      <c r="E13174" s="16"/>
      <c r="F13174" s="16"/>
      <c r="H13174" s="16"/>
      <c r="AG13174" s="80"/>
      <c r="AH13174" s="80"/>
      <c r="AI13174" s="80"/>
    </row>
    <row r="13175" spans="5:35" x14ac:dyDescent="0.25">
      <c r="E13175" s="16"/>
      <c r="F13175" s="16"/>
      <c r="H13175" s="16"/>
      <c r="AG13175" s="80"/>
      <c r="AH13175" s="80"/>
      <c r="AI13175" s="80"/>
    </row>
    <row r="13176" spans="5:35" x14ac:dyDescent="0.25">
      <c r="E13176" s="16"/>
      <c r="F13176" s="16"/>
      <c r="H13176" s="16"/>
      <c r="AG13176" s="80"/>
      <c r="AH13176" s="80"/>
      <c r="AI13176" s="80"/>
    </row>
    <row r="13177" spans="5:35" x14ac:dyDescent="0.25">
      <c r="E13177" s="16"/>
      <c r="F13177" s="16"/>
      <c r="H13177" s="16"/>
      <c r="AG13177" s="80"/>
      <c r="AH13177" s="80"/>
      <c r="AI13177" s="80"/>
    </row>
    <row r="13178" spans="5:35" x14ac:dyDescent="0.25">
      <c r="E13178" s="16"/>
      <c r="F13178" s="16"/>
      <c r="H13178" s="16"/>
      <c r="AG13178" s="80"/>
      <c r="AH13178" s="80"/>
      <c r="AI13178" s="80"/>
    </row>
    <row r="13179" spans="5:35" x14ac:dyDescent="0.25">
      <c r="E13179" s="16"/>
      <c r="F13179" s="16"/>
      <c r="H13179" s="16"/>
      <c r="AG13179" s="80"/>
      <c r="AH13179" s="80"/>
      <c r="AI13179" s="80"/>
    </row>
    <row r="13180" spans="5:35" x14ac:dyDescent="0.25">
      <c r="E13180" s="16"/>
      <c r="F13180" s="16"/>
      <c r="H13180" s="16"/>
      <c r="AG13180" s="80"/>
      <c r="AH13180" s="80"/>
      <c r="AI13180" s="80"/>
    </row>
    <row r="13181" spans="5:35" x14ac:dyDescent="0.25">
      <c r="E13181" s="16"/>
      <c r="F13181" s="16"/>
      <c r="H13181" s="16"/>
      <c r="AG13181" s="80"/>
      <c r="AH13181" s="80"/>
      <c r="AI13181" s="80"/>
    </row>
    <row r="13182" spans="5:35" x14ac:dyDescent="0.25">
      <c r="E13182" s="16"/>
      <c r="F13182" s="16"/>
      <c r="H13182" s="16"/>
      <c r="AG13182" s="80"/>
      <c r="AH13182" s="80"/>
      <c r="AI13182" s="80"/>
    </row>
    <row r="13183" spans="5:35" x14ac:dyDescent="0.25">
      <c r="E13183" s="16"/>
      <c r="F13183" s="16"/>
      <c r="H13183" s="16"/>
      <c r="AG13183" s="80"/>
      <c r="AH13183" s="80"/>
      <c r="AI13183" s="80"/>
    </row>
    <row r="13184" spans="5:35" x14ac:dyDescent="0.25">
      <c r="E13184" s="16"/>
      <c r="F13184" s="16"/>
      <c r="H13184" s="16"/>
      <c r="AG13184" s="80"/>
      <c r="AH13184" s="80"/>
      <c r="AI13184" s="80"/>
    </row>
    <row r="13185" spans="5:35" x14ac:dyDescent="0.25">
      <c r="E13185" s="16"/>
      <c r="F13185" s="16"/>
      <c r="H13185" s="16"/>
      <c r="AG13185" s="80"/>
      <c r="AH13185" s="80"/>
      <c r="AI13185" s="80"/>
    </row>
    <row r="13186" spans="5:35" x14ac:dyDescent="0.25">
      <c r="E13186" s="16"/>
      <c r="F13186" s="16"/>
      <c r="H13186" s="16"/>
      <c r="AG13186" s="80"/>
      <c r="AH13186" s="80"/>
      <c r="AI13186" s="80"/>
    </row>
    <row r="13187" spans="5:35" x14ac:dyDescent="0.25">
      <c r="E13187" s="16"/>
      <c r="F13187" s="16"/>
      <c r="H13187" s="16"/>
      <c r="AG13187" s="80"/>
      <c r="AH13187" s="80"/>
      <c r="AI13187" s="80"/>
    </row>
    <row r="13188" spans="5:35" x14ac:dyDescent="0.25">
      <c r="E13188" s="16"/>
      <c r="F13188" s="16"/>
      <c r="H13188" s="16"/>
      <c r="AG13188" s="80"/>
      <c r="AH13188" s="80"/>
      <c r="AI13188" s="80"/>
    </row>
    <row r="13189" spans="5:35" x14ac:dyDescent="0.25">
      <c r="E13189" s="16"/>
      <c r="F13189" s="16"/>
      <c r="H13189" s="16"/>
      <c r="AG13189" s="80"/>
      <c r="AH13189" s="80"/>
      <c r="AI13189" s="80"/>
    </row>
    <row r="13190" spans="5:35" x14ac:dyDescent="0.25">
      <c r="E13190" s="16"/>
      <c r="F13190" s="16"/>
      <c r="H13190" s="16"/>
      <c r="AG13190" s="80"/>
      <c r="AH13190" s="80"/>
      <c r="AI13190" s="80"/>
    </row>
    <row r="13191" spans="5:35" x14ac:dyDescent="0.25">
      <c r="E13191" s="16"/>
      <c r="F13191" s="16"/>
      <c r="H13191" s="16"/>
      <c r="AG13191" s="80"/>
      <c r="AH13191" s="80"/>
      <c r="AI13191" s="80"/>
    </row>
    <row r="13192" spans="5:35" x14ac:dyDescent="0.25">
      <c r="E13192" s="16"/>
      <c r="F13192" s="16"/>
      <c r="H13192" s="16"/>
      <c r="AG13192" s="80"/>
      <c r="AH13192" s="80"/>
      <c r="AI13192" s="80"/>
    </row>
    <row r="13193" spans="5:35" x14ac:dyDescent="0.25">
      <c r="E13193" s="16"/>
      <c r="F13193" s="16"/>
      <c r="H13193" s="16"/>
      <c r="AG13193" s="80"/>
      <c r="AH13193" s="80"/>
      <c r="AI13193" s="80"/>
    </row>
    <row r="13194" spans="5:35" x14ac:dyDescent="0.25">
      <c r="E13194" s="16"/>
      <c r="F13194" s="16"/>
      <c r="H13194" s="16"/>
      <c r="AG13194" s="80"/>
      <c r="AH13194" s="80"/>
      <c r="AI13194" s="80"/>
    </row>
    <row r="13195" spans="5:35" x14ac:dyDescent="0.25">
      <c r="E13195" s="16"/>
      <c r="F13195" s="16"/>
      <c r="H13195" s="16"/>
      <c r="AG13195" s="80"/>
      <c r="AH13195" s="80"/>
      <c r="AI13195" s="80"/>
    </row>
    <row r="13196" spans="5:35" x14ac:dyDescent="0.25">
      <c r="E13196" s="16"/>
      <c r="F13196" s="16"/>
      <c r="H13196" s="16"/>
      <c r="AG13196" s="80"/>
      <c r="AH13196" s="80"/>
      <c r="AI13196" s="80"/>
    </row>
    <row r="13197" spans="5:35" x14ac:dyDescent="0.25">
      <c r="E13197" s="16"/>
      <c r="F13197" s="16"/>
      <c r="H13197" s="16"/>
      <c r="AG13197" s="80"/>
      <c r="AH13197" s="80"/>
      <c r="AI13197" s="80"/>
    </row>
    <row r="13198" spans="5:35" x14ac:dyDescent="0.25">
      <c r="E13198" s="16"/>
      <c r="F13198" s="16"/>
      <c r="H13198" s="16"/>
      <c r="AG13198" s="80"/>
      <c r="AH13198" s="80"/>
      <c r="AI13198" s="80"/>
    </row>
    <row r="13199" spans="5:35" x14ac:dyDescent="0.25">
      <c r="E13199" s="16"/>
      <c r="F13199" s="16"/>
      <c r="H13199" s="16"/>
      <c r="AG13199" s="80"/>
      <c r="AH13199" s="80"/>
      <c r="AI13199" s="80"/>
    </row>
    <row r="13200" spans="5:35" x14ac:dyDescent="0.25">
      <c r="E13200" s="16"/>
      <c r="F13200" s="16"/>
      <c r="H13200" s="16"/>
      <c r="AG13200" s="80"/>
      <c r="AH13200" s="80"/>
      <c r="AI13200" s="80"/>
    </row>
    <row r="13201" spans="5:35" x14ac:dyDescent="0.25">
      <c r="E13201" s="16"/>
      <c r="F13201" s="16"/>
      <c r="H13201" s="16"/>
      <c r="AG13201" s="80"/>
      <c r="AH13201" s="80"/>
      <c r="AI13201" s="80"/>
    </row>
    <row r="13202" spans="5:35" x14ac:dyDescent="0.25">
      <c r="E13202" s="16"/>
      <c r="F13202" s="16"/>
      <c r="H13202" s="16"/>
      <c r="AG13202" s="80"/>
      <c r="AH13202" s="80"/>
      <c r="AI13202" s="80"/>
    </row>
    <row r="13203" spans="5:35" x14ac:dyDescent="0.25">
      <c r="E13203" s="16"/>
      <c r="F13203" s="16"/>
      <c r="H13203" s="16"/>
      <c r="AG13203" s="80"/>
      <c r="AH13203" s="80"/>
      <c r="AI13203" s="80"/>
    </row>
    <row r="13204" spans="5:35" x14ac:dyDescent="0.25">
      <c r="E13204" s="16"/>
      <c r="F13204" s="16"/>
      <c r="H13204" s="16"/>
      <c r="AG13204" s="80"/>
      <c r="AH13204" s="80"/>
      <c r="AI13204" s="80"/>
    </row>
    <row r="13205" spans="5:35" x14ac:dyDescent="0.25">
      <c r="E13205" s="16"/>
      <c r="F13205" s="16"/>
      <c r="H13205" s="16"/>
      <c r="AG13205" s="80"/>
      <c r="AH13205" s="80"/>
      <c r="AI13205" s="80"/>
    </row>
    <row r="13206" spans="5:35" x14ac:dyDescent="0.25">
      <c r="E13206" s="16"/>
      <c r="F13206" s="16"/>
      <c r="H13206" s="16"/>
      <c r="AG13206" s="80"/>
      <c r="AH13206" s="80"/>
      <c r="AI13206" s="80"/>
    </row>
    <row r="13207" spans="5:35" x14ac:dyDescent="0.25">
      <c r="E13207" s="16"/>
      <c r="F13207" s="16"/>
      <c r="H13207" s="16"/>
      <c r="AG13207" s="80"/>
      <c r="AH13207" s="80"/>
      <c r="AI13207" s="80"/>
    </row>
    <row r="13208" spans="5:35" x14ac:dyDescent="0.25">
      <c r="E13208" s="16"/>
      <c r="F13208" s="16"/>
      <c r="H13208" s="16"/>
      <c r="AG13208" s="80"/>
      <c r="AH13208" s="80"/>
      <c r="AI13208" s="80"/>
    </row>
    <row r="13209" spans="5:35" x14ac:dyDescent="0.25">
      <c r="E13209" s="16"/>
      <c r="F13209" s="16"/>
      <c r="H13209" s="16"/>
      <c r="AG13209" s="80"/>
      <c r="AH13209" s="80"/>
      <c r="AI13209" s="80"/>
    </row>
    <row r="13210" spans="5:35" x14ac:dyDescent="0.25">
      <c r="E13210" s="16"/>
      <c r="F13210" s="16"/>
      <c r="H13210" s="16"/>
      <c r="AG13210" s="80"/>
      <c r="AH13210" s="80"/>
      <c r="AI13210" s="80"/>
    </row>
    <row r="13211" spans="5:35" x14ac:dyDescent="0.25">
      <c r="E13211" s="16"/>
      <c r="F13211" s="16"/>
      <c r="H13211" s="16"/>
      <c r="AG13211" s="80"/>
      <c r="AH13211" s="80"/>
      <c r="AI13211" s="80"/>
    </row>
    <row r="13212" spans="5:35" x14ac:dyDescent="0.25">
      <c r="E13212" s="16"/>
      <c r="F13212" s="16"/>
      <c r="H13212" s="16"/>
      <c r="AG13212" s="80"/>
      <c r="AH13212" s="80"/>
      <c r="AI13212" s="80"/>
    </row>
    <row r="13213" spans="5:35" x14ac:dyDescent="0.25">
      <c r="E13213" s="16"/>
      <c r="F13213" s="16"/>
      <c r="H13213" s="16"/>
      <c r="AG13213" s="80"/>
      <c r="AH13213" s="80"/>
      <c r="AI13213" s="80"/>
    </row>
    <row r="13214" spans="5:35" x14ac:dyDescent="0.25">
      <c r="E13214" s="16"/>
      <c r="F13214" s="16"/>
      <c r="H13214" s="16"/>
      <c r="AG13214" s="80"/>
      <c r="AH13214" s="80"/>
      <c r="AI13214" s="80"/>
    </row>
    <row r="13215" spans="5:35" x14ac:dyDescent="0.25">
      <c r="E13215" s="16"/>
      <c r="F13215" s="16"/>
      <c r="H13215" s="16"/>
      <c r="AG13215" s="80"/>
      <c r="AH13215" s="80"/>
      <c r="AI13215" s="80"/>
    </row>
    <row r="13216" spans="5:35" x14ac:dyDescent="0.25">
      <c r="E13216" s="16"/>
      <c r="F13216" s="16"/>
      <c r="H13216" s="16"/>
      <c r="AG13216" s="80"/>
      <c r="AH13216" s="80"/>
      <c r="AI13216" s="80"/>
    </row>
    <row r="13217" spans="5:35" x14ac:dyDescent="0.25">
      <c r="E13217" s="16"/>
      <c r="F13217" s="16"/>
      <c r="H13217" s="16"/>
      <c r="AG13217" s="80"/>
      <c r="AH13217" s="80"/>
      <c r="AI13217" s="80"/>
    </row>
    <row r="13218" spans="5:35" x14ac:dyDescent="0.25">
      <c r="E13218" s="16"/>
      <c r="F13218" s="16"/>
      <c r="H13218" s="16"/>
      <c r="AG13218" s="80"/>
      <c r="AH13218" s="80"/>
      <c r="AI13218" s="80"/>
    </row>
    <row r="13219" spans="5:35" x14ac:dyDescent="0.25">
      <c r="E13219" s="16"/>
      <c r="F13219" s="16"/>
      <c r="H13219" s="16"/>
      <c r="AG13219" s="80"/>
      <c r="AH13219" s="80"/>
      <c r="AI13219" s="80"/>
    </row>
    <row r="13220" spans="5:35" x14ac:dyDescent="0.25">
      <c r="E13220" s="16"/>
      <c r="F13220" s="16"/>
      <c r="H13220" s="16"/>
      <c r="AG13220" s="80"/>
      <c r="AH13220" s="80"/>
      <c r="AI13220" s="80"/>
    </row>
    <row r="13221" spans="5:35" x14ac:dyDescent="0.25">
      <c r="E13221" s="16"/>
      <c r="F13221" s="16"/>
      <c r="H13221" s="16"/>
      <c r="AG13221" s="80"/>
      <c r="AH13221" s="80"/>
      <c r="AI13221" s="80"/>
    </row>
    <row r="13222" spans="5:35" x14ac:dyDescent="0.25">
      <c r="E13222" s="16"/>
      <c r="F13222" s="16"/>
      <c r="H13222" s="16"/>
      <c r="AG13222" s="80"/>
      <c r="AH13222" s="80"/>
      <c r="AI13222" s="80"/>
    </row>
    <row r="13223" spans="5:35" x14ac:dyDescent="0.25">
      <c r="E13223" s="16"/>
      <c r="F13223" s="16"/>
      <c r="H13223" s="16"/>
      <c r="AG13223" s="80"/>
      <c r="AH13223" s="80"/>
      <c r="AI13223" s="80"/>
    </row>
    <row r="13224" spans="5:35" x14ac:dyDescent="0.25">
      <c r="E13224" s="16"/>
      <c r="F13224" s="16"/>
      <c r="H13224" s="16"/>
      <c r="AG13224" s="80"/>
      <c r="AH13224" s="80"/>
      <c r="AI13224" s="80"/>
    </row>
    <row r="13225" spans="5:35" x14ac:dyDescent="0.25">
      <c r="E13225" s="16"/>
      <c r="F13225" s="16"/>
      <c r="H13225" s="16"/>
      <c r="AG13225" s="80"/>
      <c r="AH13225" s="80"/>
      <c r="AI13225" s="80"/>
    </row>
    <row r="13226" spans="5:35" x14ac:dyDescent="0.25">
      <c r="E13226" s="16"/>
      <c r="F13226" s="16"/>
      <c r="H13226" s="16"/>
      <c r="AG13226" s="80"/>
      <c r="AH13226" s="80"/>
      <c r="AI13226" s="80"/>
    </row>
    <row r="13227" spans="5:35" x14ac:dyDescent="0.25">
      <c r="E13227" s="16"/>
      <c r="F13227" s="16"/>
      <c r="H13227" s="16"/>
      <c r="AG13227" s="80"/>
      <c r="AH13227" s="80"/>
      <c r="AI13227" s="80"/>
    </row>
    <row r="13228" spans="5:35" x14ac:dyDescent="0.25">
      <c r="E13228" s="16"/>
      <c r="F13228" s="16"/>
      <c r="H13228" s="16"/>
      <c r="AG13228" s="80"/>
      <c r="AH13228" s="80"/>
      <c r="AI13228" s="80"/>
    </row>
    <row r="13229" spans="5:35" x14ac:dyDescent="0.25">
      <c r="E13229" s="16"/>
      <c r="F13229" s="16"/>
      <c r="H13229" s="16"/>
      <c r="AG13229" s="80"/>
      <c r="AH13229" s="80"/>
      <c r="AI13229" s="80"/>
    </row>
    <row r="13230" spans="5:35" x14ac:dyDescent="0.25">
      <c r="E13230" s="16"/>
      <c r="F13230" s="16"/>
      <c r="H13230" s="16"/>
      <c r="AG13230" s="80"/>
      <c r="AH13230" s="80"/>
      <c r="AI13230" s="80"/>
    </row>
    <row r="13231" spans="5:35" x14ac:dyDescent="0.25">
      <c r="E13231" s="16"/>
      <c r="F13231" s="16"/>
      <c r="H13231" s="16"/>
      <c r="AG13231" s="80"/>
      <c r="AH13231" s="80"/>
      <c r="AI13231" s="80"/>
    </row>
    <row r="13232" spans="5:35" x14ac:dyDescent="0.25">
      <c r="E13232" s="16"/>
      <c r="F13232" s="16"/>
      <c r="H13232" s="16"/>
      <c r="AG13232" s="80"/>
      <c r="AH13232" s="80"/>
      <c r="AI13232" s="80"/>
    </row>
    <row r="13233" spans="5:35" x14ac:dyDescent="0.25">
      <c r="E13233" s="16"/>
      <c r="F13233" s="16"/>
      <c r="H13233" s="16"/>
      <c r="AG13233" s="80"/>
      <c r="AH13233" s="80"/>
      <c r="AI13233" s="80"/>
    </row>
    <row r="13234" spans="5:35" x14ac:dyDescent="0.25">
      <c r="E13234" s="16"/>
      <c r="F13234" s="16"/>
      <c r="H13234" s="16"/>
      <c r="AG13234" s="80"/>
      <c r="AH13234" s="80"/>
      <c r="AI13234" s="80"/>
    </row>
    <row r="13235" spans="5:35" x14ac:dyDescent="0.25">
      <c r="E13235" s="16"/>
      <c r="F13235" s="16"/>
      <c r="H13235" s="16"/>
      <c r="AG13235" s="80"/>
      <c r="AH13235" s="80"/>
      <c r="AI13235" s="80"/>
    </row>
    <row r="13236" spans="5:35" x14ac:dyDescent="0.25">
      <c r="E13236" s="16"/>
      <c r="F13236" s="16"/>
      <c r="H13236" s="16"/>
      <c r="AG13236" s="80"/>
      <c r="AH13236" s="80"/>
      <c r="AI13236" s="80"/>
    </row>
    <row r="13237" spans="5:35" x14ac:dyDescent="0.25">
      <c r="E13237" s="16"/>
      <c r="F13237" s="16"/>
      <c r="H13237" s="16"/>
      <c r="AG13237" s="80"/>
      <c r="AH13237" s="80"/>
      <c r="AI13237" s="80"/>
    </row>
    <row r="13238" spans="5:35" x14ac:dyDescent="0.25">
      <c r="E13238" s="16"/>
      <c r="F13238" s="16"/>
      <c r="H13238" s="16"/>
      <c r="AG13238" s="80"/>
      <c r="AH13238" s="80"/>
      <c r="AI13238" s="80"/>
    </row>
    <row r="13239" spans="5:35" x14ac:dyDescent="0.25">
      <c r="E13239" s="16"/>
      <c r="F13239" s="16"/>
      <c r="H13239" s="16"/>
      <c r="AG13239" s="80"/>
      <c r="AH13239" s="80"/>
      <c r="AI13239" s="80"/>
    </row>
    <row r="13240" spans="5:35" x14ac:dyDescent="0.25">
      <c r="E13240" s="16"/>
      <c r="F13240" s="16"/>
      <c r="H13240" s="16"/>
      <c r="AG13240" s="80"/>
      <c r="AH13240" s="80"/>
      <c r="AI13240" s="80"/>
    </row>
    <row r="13241" spans="5:35" x14ac:dyDescent="0.25">
      <c r="E13241" s="16"/>
      <c r="F13241" s="16"/>
      <c r="H13241" s="16"/>
      <c r="AG13241" s="80"/>
      <c r="AH13241" s="80"/>
      <c r="AI13241" s="80"/>
    </row>
    <row r="13242" spans="5:35" x14ac:dyDescent="0.25">
      <c r="E13242" s="16"/>
      <c r="F13242" s="16"/>
      <c r="H13242" s="16"/>
      <c r="AG13242" s="80"/>
      <c r="AH13242" s="80"/>
      <c r="AI13242" s="80"/>
    </row>
    <row r="13243" spans="5:35" x14ac:dyDescent="0.25">
      <c r="E13243" s="16"/>
      <c r="F13243" s="16"/>
      <c r="H13243" s="16"/>
      <c r="AG13243" s="80"/>
      <c r="AH13243" s="80"/>
      <c r="AI13243" s="80"/>
    </row>
    <row r="13244" spans="5:35" x14ac:dyDescent="0.25">
      <c r="E13244" s="16"/>
      <c r="F13244" s="16"/>
      <c r="H13244" s="16"/>
      <c r="AG13244" s="80"/>
      <c r="AH13244" s="80"/>
      <c r="AI13244" s="80"/>
    </row>
    <row r="13245" spans="5:35" x14ac:dyDescent="0.25">
      <c r="E13245" s="16"/>
      <c r="F13245" s="16"/>
      <c r="H13245" s="16"/>
      <c r="AG13245" s="80"/>
      <c r="AH13245" s="80"/>
      <c r="AI13245" s="80"/>
    </row>
    <row r="13246" spans="5:35" x14ac:dyDescent="0.25">
      <c r="E13246" s="16"/>
      <c r="F13246" s="16"/>
      <c r="H13246" s="16"/>
      <c r="AG13246" s="80"/>
      <c r="AH13246" s="80"/>
      <c r="AI13246" s="80"/>
    </row>
    <row r="13247" spans="5:35" x14ac:dyDescent="0.25">
      <c r="E13247" s="16"/>
      <c r="F13247" s="16"/>
      <c r="H13247" s="16"/>
      <c r="AG13247" s="80"/>
      <c r="AH13247" s="80"/>
      <c r="AI13247" s="80"/>
    </row>
    <row r="13248" spans="5:35" x14ac:dyDescent="0.25">
      <c r="E13248" s="16"/>
      <c r="F13248" s="16"/>
      <c r="H13248" s="16"/>
      <c r="AG13248" s="80"/>
      <c r="AH13248" s="80"/>
      <c r="AI13248" s="80"/>
    </row>
    <row r="13249" spans="5:35" x14ac:dyDescent="0.25">
      <c r="E13249" s="16"/>
      <c r="F13249" s="16"/>
      <c r="H13249" s="16"/>
      <c r="AG13249" s="80"/>
      <c r="AH13249" s="80"/>
      <c r="AI13249" s="80"/>
    </row>
    <row r="13250" spans="5:35" x14ac:dyDescent="0.25">
      <c r="E13250" s="16"/>
      <c r="F13250" s="16"/>
      <c r="H13250" s="16"/>
      <c r="AG13250" s="80"/>
      <c r="AH13250" s="80"/>
      <c r="AI13250" s="80"/>
    </row>
    <row r="13251" spans="5:35" x14ac:dyDescent="0.25">
      <c r="E13251" s="16"/>
      <c r="F13251" s="16"/>
      <c r="H13251" s="16"/>
      <c r="AG13251" s="80"/>
      <c r="AH13251" s="80"/>
      <c r="AI13251" s="80"/>
    </row>
    <row r="13252" spans="5:35" x14ac:dyDescent="0.25">
      <c r="E13252" s="16"/>
      <c r="F13252" s="16"/>
      <c r="H13252" s="16"/>
      <c r="AG13252" s="80"/>
      <c r="AH13252" s="80"/>
      <c r="AI13252" s="80"/>
    </row>
    <row r="13253" spans="5:35" x14ac:dyDescent="0.25">
      <c r="E13253" s="16"/>
      <c r="F13253" s="16"/>
      <c r="H13253" s="16"/>
      <c r="AG13253" s="80"/>
      <c r="AH13253" s="80"/>
      <c r="AI13253" s="80"/>
    </row>
    <row r="13254" spans="5:35" x14ac:dyDescent="0.25">
      <c r="E13254" s="16"/>
      <c r="F13254" s="16"/>
      <c r="H13254" s="16"/>
      <c r="AG13254" s="80"/>
      <c r="AH13254" s="80"/>
      <c r="AI13254" s="80"/>
    </row>
    <row r="13255" spans="5:35" x14ac:dyDescent="0.25">
      <c r="E13255" s="16"/>
      <c r="F13255" s="16"/>
      <c r="H13255" s="16"/>
      <c r="AG13255" s="80"/>
      <c r="AH13255" s="80"/>
      <c r="AI13255" s="80"/>
    </row>
    <row r="13256" spans="5:35" x14ac:dyDescent="0.25">
      <c r="E13256" s="16"/>
      <c r="F13256" s="16"/>
      <c r="H13256" s="16"/>
      <c r="AG13256" s="80"/>
      <c r="AH13256" s="80"/>
      <c r="AI13256" s="80"/>
    </row>
    <row r="13257" spans="5:35" x14ac:dyDescent="0.25">
      <c r="E13257" s="16"/>
      <c r="F13257" s="16"/>
      <c r="H13257" s="16"/>
      <c r="AG13257" s="80"/>
      <c r="AH13257" s="80"/>
      <c r="AI13257" s="80"/>
    </row>
    <row r="13258" spans="5:35" x14ac:dyDescent="0.25">
      <c r="E13258" s="16"/>
      <c r="F13258" s="16"/>
      <c r="H13258" s="16"/>
      <c r="AG13258" s="80"/>
      <c r="AH13258" s="80"/>
      <c r="AI13258" s="80"/>
    </row>
    <row r="13259" spans="5:35" x14ac:dyDescent="0.25">
      <c r="E13259" s="16"/>
      <c r="F13259" s="16"/>
      <c r="H13259" s="16"/>
      <c r="AG13259" s="80"/>
      <c r="AH13259" s="80"/>
      <c r="AI13259" s="80"/>
    </row>
    <row r="13260" spans="5:35" x14ac:dyDescent="0.25">
      <c r="E13260" s="16"/>
      <c r="F13260" s="16"/>
      <c r="H13260" s="16"/>
      <c r="AG13260" s="80"/>
      <c r="AH13260" s="80"/>
      <c r="AI13260" s="80"/>
    </row>
    <row r="13261" spans="5:35" x14ac:dyDescent="0.25">
      <c r="E13261" s="16"/>
      <c r="F13261" s="16"/>
      <c r="H13261" s="16"/>
      <c r="AG13261" s="80"/>
      <c r="AH13261" s="80"/>
      <c r="AI13261" s="80"/>
    </row>
    <row r="13262" spans="5:35" x14ac:dyDescent="0.25">
      <c r="E13262" s="16"/>
      <c r="F13262" s="16"/>
      <c r="H13262" s="16"/>
      <c r="AG13262" s="80"/>
      <c r="AH13262" s="80"/>
      <c r="AI13262" s="80"/>
    </row>
    <row r="13263" spans="5:35" x14ac:dyDescent="0.25">
      <c r="E13263" s="16"/>
      <c r="F13263" s="16"/>
      <c r="H13263" s="16"/>
      <c r="AG13263" s="80"/>
      <c r="AH13263" s="80"/>
      <c r="AI13263" s="80"/>
    </row>
    <row r="13264" spans="5:35" x14ac:dyDescent="0.25">
      <c r="E13264" s="16"/>
      <c r="F13264" s="16"/>
      <c r="H13264" s="16"/>
      <c r="AG13264" s="80"/>
      <c r="AH13264" s="80"/>
      <c r="AI13264" s="80"/>
    </row>
    <row r="13265" spans="5:35" x14ac:dyDescent="0.25">
      <c r="E13265" s="16"/>
      <c r="F13265" s="16"/>
      <c r="H13265" s="16"/>
      <c r="AG13265" s="80"/>
      <c r="AH13265" s="80"/>
      <c r="AI13265" s="80"/>
    </row>
    <row r="13266" spans="5:35" x14ac:dyDescent="0.25">
      <c r="E13266" s="16"/>
      <c r="F13266" s="16"/>
      <c r="H13266" s="16"/>
      <c r="AG13266" s="80"/>
      <c r="AH13266" s="80"/>
      <c r="AI13266" s="80"/>
    </row>
    <row r="13267" spans="5:35" x14ac:dyDescent="0.25">
      <c r="E13267" s="16"/>
      <c r="F13267" s="16"/>
      <c r="H13267" s="16"/>
      <c r="AG13267" s="80"/>
      <c r="AH13267" s="80"/>
      <c r="AI13267" s="80"/>
    </row>
    <row r="13268" spans="5:35" x14ac:dyDescent="0.25">
      <c r="E13268" s="16"/>
      <c r="F13268" s="16"/>
      <c r="H13268" s="16"/>
      <c r="AG13268" s="80"/>
      <c r="AH13268" s="80"/>
      <c r="AI13268" s="80"/>
    </row>
    <row r="13269" spans="5:35" x14ac:dyDescent="0.25">
      <c r="E13269" s="16"/>
      <c r="F13269" s="16"/>
      <c r="H13269" s="16"/>
      <c r="AG13269" s="80"/>
      <c r="AH13269" s="80"/>
      <c r="AI13269" s="80"/>
    </row>
    <row r="13270" spans="5:35" x14ac:dyDescent="0.25">
      <c r="E13270" s="16"/>
      <c r="F13270" s="16"/>
      <c r="H13270" s="16"/>
      <c r="AG13270" s="80"/>
      <c r="AH13270" s="80"/>
      <c r="AI13270" s="80"/>
    </row>
    <row r="13271" spans="5:35" x14ac:dyDescent="0.25">
      <c r="E13271" s="16"/>
      <c r="F13271" s="16"/>
      <c r="H13271" s="16"/>
      <c r="AG13271" s="80"/>
      <c r="AH13271" s="80"/>
      <c r="AI13271" s="80"/>
    </row>
    <row r="13272" spans="5:35" x14ac:dyDescent="0.25">
      <c r="E13272" s="16"/>
      <c r="F13272" s="16"/>
      <c r="H13272" s="16"/>
      <c r="AG13272" s="80"/>
      <c r="AH13272" s="80"/>
      <c r="AI13272" s="80"/>
    </row>
    <row r="13273" spans="5:35" x14ac:dyDescent="0.25">
      <c r="E13273" s="16"/>
      <c r="F13273" s="16"/>
      <c r="H13273" s="16"/>
      <c r="AG13273" s="80"/>
      <c r="AH13273" s="80"/>
      <c r="AI13273" s="80"/>
    </row>
    <row r="13274" spans="5:35" x14ac:dyDescent="0.25">
      <c r="E13274" s="16"/>
      <c r="F13274" s="16"/>
      <c r="H13274" s="16"/>
      <c r="AG13274" s="80"/>
      <c r="AH13274" s="80"/>
      <c r="AI13274" s="80"/>
    </row>
    <row r="13275" spans="5:35" x14ac:dyDescent="0.25">
      <c r="E13275" s="16"/>
      <c r="F13275" s="16"/>
      <c r="H13275" s="16"/>
      <c r="AG13275" s="80"/>
      <c r="AH13275" s="80"/>
      <c r="AI13275" s="80"/>
    </row>
    <row r="13276" spans="5:35" x14ac:dyDescent="0.25">
      <c r="E13276" s="16"/>
      <c r="F13276" s="16"/>
      <c r="H13276" s="16"/>
      <c r="AG13276" s="80"/>
      <c r="AH13276" s="80"/>
      <c r="AI13276" s="80"/>
    </row>
    <row r="13277" spans="5:35" x14ac:dyDescent="0.25">
      <c r="E13277" s="16"/>
      <c r="F13277" s="16"/>
      <c r="H13277" s="16"/>
      <c r="AG13277" s="80"/>
      <c r="AH13277" s="80"/>
      <c r="AI13277" s="80"/>
    </row>
    <row r="13278" spans="5:35" x14ac:dyDescent="0.25">
      <c r="E13278" s="16"/>
      <c r="F13278" s="16"/>
      <c r="H13278" s="16"/>
      <c r="AG13278" s="80"/>
      <c r="AH13278" s="80"/>
      <c r="AI13278" s="80"/>
    </row>
    <row r="13279" spans="5:35" x14ac:dyDescent="0.25">
      <c r="E13279" s="16"/>
      <c r="F13279" s="16"/>
      <c r="H13279" s="16"/>
      <c r="AG13279" s="80"/>
      <c r="AH13279" s="80"/>
      <c r="AI13279" s="80"/>
    </row>
    <row r="13280" spans="5:35" x14ac:dyDescent="0.25">
      <c r="E13280" s="16"/>
      <c r="F13280" s="16"/>
      <c r="H13280" s="16"/>
      <c r="AG13280" s="80"/>
      <c r="AH13280" s="80"/>
      <c r="AI13280" s="80"/>
    </row>
    <row r="13281" spans="5:35" x14ac:dyDescent="0.25">
      <c r="E13281" s="16"/>
      <c r="F13281" s="16"/>
      <c r="H13281" s="16"/>
      <c r="AG13281" s="80"/>
      <c r="AH13281" s="80"/>
      <c r="AI13281" s="80"/>
    </row>
    <row r="13282" spans="5:35" x14ac:dyDescent="0.25">
      <c r="E13282" s="16"/>
      <c r="F13282" s="16"/>
      <c r="H13282" s="16"/>
      <c r="AG13282" s="80"/>
      <c r="AH13282" s="80"/>
      <c r="AI13282" s="80"/>
    </row>
    <row r="13283" spans="5:35" x14ac:dyDescent="0.25">
      <c r="E13283" s="16"/>
      <c r="F13283" s="16"/>
      <c r="H13283" s="16"/>
      <c r="AG13283" s="80"/>
      <c r="AH13283" s="80"/>
      <c r="AI13283" s="80"/>
    </row>
    <row r="13284" spans="5:35" x14ac:dyDescent="0.25">
      <c r="E13284" s="16"/>
      <c r="F13284" s="16"/>
      <c r="H13284" s="16"/>
      <c r="AG13284" s="80"/>
      <c r="AH13284" s="80"/>
      <c r="AI13284" s="80"/>
    </row>
    <row r="13285" spans="5:35" x14ac:dyDescent="0.25">
      <c r="E13285" s="16"/>
      <c r="F13285" s="16"/>
      <c r="H13285" s="16"/>
      <c r="AG13285" s="80"/>
      <c r="AH13285" s="80"/>
      <c r="AI13285" s="80"/>
    </row>
    <row r="13286" spans="5:35" x14ac:dyDescent="0.25">
      <c r="E13286" s="16"/>
      <c r="F13286" s="16"/>
      <c r="H13286" s="16"/>
      <c r="AG13286" s="80"/>
      <c r="AH13286" s="80"/>
      <c r="AI13286" s="80"/>
    </row>
    <row r="13287" spans="5:35" x14ac:dyDescent="0.25">
      <c r="E13287" s="16"/>
      <c r="F13287" s="16"/>
      <c r="H13287" s="16"/>
      <c r="AG13287" s="80"/>
      <c r="AH13287" s="80"/>
      <c r="AI13287" s="80"/>
    </row>
    <row r="13288" spans="5:35" x14ac:dyDescent="0.25">
      <c r="E13288" s="16"/>
      <c r="F13288" s="16"/>
      <c r="H13288" s="16"/>
      <c r="AG13288" s="80"/>
      <c r="AH13288" s="80"/>
      <c r="AI13288" s="80"/>
    </row>
    <row r="13289" spans="5:35" x14ac:dyDescent="0.25">
      <c r="E13289" s="16"/>
      <c r="F13289" s="16"/>
      <c r="H13289" s="16"/>
      <c r="AG13289" s="80"/>
      <c r="AH13289" s="80"/>
      <c r="AI13289" s="80"/>
    </row>
    <row r="13290" spans="5:35" x14ac:dyDescent="0.25">
      <c r="E13290" s="16"/>
      <c r="F13290" s="16"/>
      <c r="H13290" s="16"/>
      <c r="AG13290" s="80"/>
      <c r="AH13290" s="80"/>
      <c r="AI13290" s="80"/>
    </row>
    <row r="13291" spans="5:35" x14ac:dyDescent="0.25">
      <c r="E13291" s="16"/>
      <c r="F13291" s="16"/>
      <c r="H13291" s="16"/>
      <c r="AG13291" s="80"/>
      <c r="AH13291" s="80"/>
      <c r="AI13291" s="80"/>
    </row>
    <row r="13292" spans="5:35" x14ac:dyDescent="0.25">
      <c r="E13292" s="16"/>
      <c r="F13292" s="16"/>
      <c r="H13292" s="16"/>
      <c r="AG13292" s="80"/>
      <c r="AH13292" s="80"/>
      <c r="AI13292" s="80"/>
    </row>
    <row r="13293" spans="5:35" x14ac:dyDescent="0.25">
      <c r="E13293" s="16"/>
      <c r="F13293" s="16"/>
      <c r="H13293" s="16"/>
      <c r="AG13293" s="80"/>
      <c r="AH13293" s="80"/>
      <c r="AI13293" s="80"/>
    </row>
    <row r="13294" spans="5:35" x14ac:dyDescent="0.25">
      <c r="E13294" s="16"/>
      <c r="F13294" s="16"/>
      <c r="H13294" s="16"/>
      <c r="AG13294" s="80"/>
      <c r="AH13294" s="80"/>
      <c r="AI13294" s="80"/>
    </row>
    <row r="13295" spans="5:35" x14ac:dyDescent="0.25">
      <c r="E13295" s="16"/>
      <c r="F13295" s="16"/>
      <c r="H13295" s="16"/>
      <c r="AG13295" s="80"/>
      <c r="AH13295" s="80"/>
      <c r="AI13295" s="80"/>
    </row>
    <row r="13296" spans="5:35" x14ac:dyDescent="0.25">
      <c r="E13296" s="16"/>
      <c r="F13296" s="16"/>
      <c r="H13296" s="16"/>
      <c r="AG13296" s="80"/>
      <c r="AH13296" s="80"/>
      <c r="AI13296" s="80"/>
    </row>
    <row r="13297" spans="5:35" x14ac:dyDescent="0.25">
      <c r="E13297" s="16"/>
      <c r="F13297" s="16"/>
      <c r="H13297" s="16"/>
      <c r="AG13297" s="80"/>
      <c r="AH13297" s="80"/>
      <c r="AI13297" s="80"/>
    </row>
    <row r="13298" spans="5:35" x14ac:dyDescent="0.25">
      <c r="E13298" s="16"/>
      <c r="F13298" s="16"/>
      <c r="H13298" s="16"/>
      <c r="AG13298" s="80"/>
      <c r="AH13298" s="80"/>
      <c r="AI13298" s="80"/>
    </row>
    <row r="13299" spans="5:35" x14ac:dyDescent="0.25">
      <c r="E13299" s="16"/>
      <c r="F13299" s="16"/>
      <c r="H13299" s="16"/>
      <c r="AG13299" s="80"/>
      <c r="AH13299" s="80"/>
      <c r="AI13299" s="80"/>
    </row>
    <row r="13300" spans="5:35" x14ac:dyDescent="0.25">
      <c r="E13300" s="16"/>
      <c r="F13300" s="16"/>
      <c r="H13300" s="16"/>
      <c r="AG13300" s="80"/>
      <c r="AH13300" s="80"/>
      <c r="AI13300" s="80"/>
    </row>
    <row r="13301" spans="5:35" x14ac:dyDescent="0.25">
      <c r="E13301" s="16"/>
      <c r="F13301" s="16"/>
      <c r="H13301" s="16"/>
      <c r="AG13301" s="80"/>
      <c r="AH13301" s="80"/>
      <c r="AI13301" s="80"/>
    </row>
    <row r="13302" spans="5:35" x14ac:dyDescent="0.25">
      <c r="E13302" s="16"/>
      <c r="F13302" s="16"/>
      <c r="H13302" s="16"/>
      <c r="AG13302" s="80"/>
      <c r="AH13302" s="80"/>
      <c r="AI13302" s="80"/>
    </row>
    <row r="13303" spans="5:35" x14ac:dyDescent="0.25">
      <c r="E13303" s="16"/>
      <c r="F13303" s="16"/>
      <c r="H13303" s="16"/>
      <c r="AG13303" s="80"/>
      <c r="AH13303" s="80"/>
      <c r="AI13303" s="80"/>
    </row>
    <row r="13304" spans="5:35" x14ac:dyDescent="0.25">
      <c r="E13304" s="16"/>
      <c r="F13304" s="16"/>
      <c r="H13304" s="16"/>
      <c r="AG13304" s="80"/>
      <c r="AH13304" s="80"/>
      <c r="AI13304" s="80"/>
    </row>
    <row r="13305" spans="5:35" x14ac:dyDescent="0.25">
      <c r="E13305" s="16"/>
      <c r="F13305" s="16"/>
      <c r="H13305" s="16"/>
      <c r="AG13305" s="80"/>
      <c r="AH13305" s="80"/>
      <c r="AI13305" s="80"/>
    </row>
    <row r="13306" spans="5:35" x14ac:dyDescent="0.25">
      <c r="E13306" s="16"/>
      <c r="F13306" s="16"/>
      <c r="H13306" s="16"/>
      <c r="AG13306" s="80"/>
      <c r="AH13306" s="80"/>
      <c r="AI13306" s="80"/>
    </row>
    <row r="13307" spans="5:35" x14ac:dyDescent="0.25">
      <c r="E13307" s="16"/>
      <c r="F13307" s="16"/>
      <c r="H13307" s="16"/>
      <c r="AG13307" s="80"/>
      <c r="AH13307" s="80"/>
      <c r="AI13307" s="80"/>
    </row>
    <row r="13308" spans="5:35" x14ac:dyDescent="0.25">
      <c r="E13308" s="16"/>
      <c r="F13308" s="16"/>
      <c r="H13308" s="16"/>
      <c r="AG13308" s="80"/>
      <c r="AH13308" s="80"/>
      <c r="AI13308" s="80"/>
    </row>
    <row r="13309" spans="5:35" x14ac:dyDescent="0.25">
      <c r="E13309" s="16"/>
      <c r="F13309" s="16"/>
      <c r="H13309" s="16"/>
      <c r="AG13309" s="80"/>
      <c r="AH13309" s="80"/>
      <c r="AI13309" s="80"/>
    </row>
    <row r="13310" spans="5:35" x14ac:dyDescent="0.25">
      <c r="E13310" s="16"/>
      <c r="F13310" s="16"/>
      <c r="H13310" s="16"/>
      <c r="AG13310" s="80"/>
      <c r="AH13310" s="80"/>
      <c r="AI13310" s="80"/>
    </row>
    <row r="13311" spans="5:35" x14ac:dyDescent="0.25">
      <c r="E13311" s="16"/>
      <c r="F13311" s="16"/>
      <c r="H13311" s="16"/>
      <c r="AG13311" s="80"/>
      <c r="AH13311" s="80"/>
      <c r="AI13311" s="80"/>
    </row>
    <row r="13312" spans="5:35" x14ac:dyDescent="0.25">
      <c r="E13312" s="16"/>
      <c r="F13312" s="16"/>
      <c r="H13312" s="16"/>
      <c r="AG13312" s="80"/>
      <c r="AH13312" s="80"/>
      <c r="AI13312" s="80"/>
    </row>
    <row r="13313" spans="5:35" x14ac:dyDescent="0.25">
      <c r="E13313" s="16"/>
      <c r="F13313" s="16"/>
      <c r="H13313" s="16"/>
      <c r="AG13313" s="80"/>
      <c r="AH13313" s="80"/>
      <c r="AI13313" s="80"/>
    </row>
    <row r="13314" spans="5:35" x14ac:dyDescent="0.25">
      <c r="E13314" s="16"/>
      <c r="F13314" s="16"/>
      <c r="H13314" s="16"/>
      <c r="AG13314" s="80"/>
      <c r="AH13314" s="80"/>
      <c r="AI13314" s="80"/>
    </row>
    <row r="13315" spans="5:35" x14ac:dyDescent="0.25">
      <c r="E13315" s="16"/>
      <c r="F13315" s="16"/>
      <c r="H13315" s="16"/>
      <c r="AG13315" s="80"/>
      <c r="AH13315" s="80"/>
      <c r="AI13315" s="80"/>
    </row>
    <row r="13316" spans="5:35" x14ac:dyDescent="0.25">
      <c r="E13316" s="16"/>
      <c r="F13316" s="16"/>
      <c r="H13316" s="16"/>
      <c r="AG13316" s="80"/>
      <c r="AH13316" s="80"/>
      <c r="AI13316" s="80"/>
    </row>
    <row r="13317" spans="5:35" x14ac:dyDescent="0.25">
      <c r="E13317" s="16"/>
      <c r="F13317" s="16"/>
      <c r="H13317" s="16"/>
      <c r="AG13317" s="80"/>
      <c r="AH13317" s="80"/>
      <c r="AI13317" s="80"/>
    </row>
    <row r="13318" spans="5:35" x14ac:dyDescent="0.25">
      <c r="E13318" s="16"/>
      <c r="F13318" s="16"/>
      <c r="H13318" s="16"/>
      <c r="AG13318" s="80"/>
      <c r="AH13318" s="80"/>
      <c r="AI13318" s="80"/>
    </row>
    <row r="13319" spans="5:35" x14ac:dyDescent="0.25">
      <c r="E13319" s="16"/>
      <c r="F13319" s="16"/>
      <c r="H13319" s="16"/>
      <c r="AG13319" s="80"/>
      <c r="AH13319" s="80"/>
      <c r="AI13319" s="80"/>
    </row>
    <row r="13320" spans="5:35" x14ac:dyDescent="0.25">
      <c r="E13320" s="16"/>
      <c r="F13320" s="16"/>
      <c r="H13320" s="16"/>
      <c r="AG13320" s="80"/>
      <c r="AH13320" s="80"/>
      <c r="AI13320" s="80"/>
    </row>
    <row r="13321" spans="5:35" x14ac:dyDescent="0.25">
      <c r="E13321" s="16"/>
      <c r="F13321" s="16"/>
      <c r="H13321" s="16"/>
      <c r="AG13321" s="80"/>
      <c r="AH13321" s="80"/>
      <c r="AI13321" s="80"/>
    </row>
    <row r="13322" spans="5:35" x14ac:dyDescent="0.25">
      <c r="E13322" s="16"/>
      <c r="F13322" s="16"/>
      <c r="H13322" s="16"/>
      <c r="AG13322" s="80"/>
      <c r="AH13322" s="80"/>
      <c r="AI13322" s="80"/>
    </row>
    <row r="13323" spans="5:35" x14ac:dyDescent="0.25">
      <c r="E13323" s="16"/>
      <c r="F13323" s="16"/>
      <c r="H13323" s="16"/>
      <c r="AG13323" s="80"/>
      <c r="AH13323" s="80"/>
      <c r="AI13323" s="80"/>
    </row>
    <row r="13324" spans="5:35" x14ac:dyDescent="0.25">
      <c r="E13324" s="16"/>
      <c r="F13324" s="16"/>
      <c r="H13324" s="16"/>
      <c r="AG13324" s="80"/>
      <c r="AH13324" s="80"/>
      <c r="AI13324" s="80"/>
    </row>
    <row r="13325" spans="5:35" x14ac:dyDescent="0.25">
      <c r="E13325" s="16"/>
      <c r="F13325" s="16"/>
      <c r="H13325" s="16"/>
      <c r="AG13325" s="80"/>
      <c r="AH13325" s="80"/>
      <c r="AI13325" s="80"/>
    </row>
    <row r="13326" spans="5:35" x14ac:dyDescent="0.25">
      <c r="E13326" s="16"/>
      <c r="F13326" s="16"/>
      <c r="H13326" s="16"/>
      <c r="AG13326" s="80"/>
      <c r="AH13326" s="80"/>
      <c r="AI13326" s="80"/>
    </row>
    <row r="13327" spans="5:35" x14ac:dyDescent="0.25">
      <c r="E13327" s="16"/>
      <c r="F13327" s="16"/>
      <c r="H13327" s="16"/>
      <c r="AG13327" s="80"/>
      <c r="AH13327" s="80"/>
      <c r="AI13327" s="80"/>
    </row>
    <row r="13328" spans="5:35" x14ac:dyDescent="0.25">
      <c r="E13328" s="16"/>
      <c r="F13328" s="16"/>
      <c r="H13328" s="16"/>
      <c r="AG13328" s="80"/>
      <c r="AH13328" s="80"/>
      <c r="AI13328" s="80"/>
    </row>
    <row r="13329" spans="5:35" x14ac:dyDescent="0.25">
      <c r="E13329" s="16"/>
      <c r="F13329" s="16"/>
      <c r="H13329" s="16"/>
      <c r="AG13329" s="80"/>
      <c r="AH13329" s="80"/>
      <c r="AI13329" s="80"/>
    </row>
    <row r="13330" spans="5:35" x14ac:dyDescent="0.25">
      <c r="E13330" s="16"/>
      <c r="F13330" s="16"/>
      <c r="H13330" s="16"/>
      <c r="AG13330" s="80"/>
      <c r="AH13330" s="80"/>
      <c r="AI13330" s="80"/>
    </row>
    <row r="13331" spans="5:35" x14ac:dyDescent="0.25">
      <c r="E13331" s="16"/>
      <c r="F13331" s="16"/>
      <c r="H13331" s="16"/>
      <c r="AG13331" s="80"/>
      <c r="AH13331" s="80"/>
      <c r="AI13331" s="80"/>
    </row>
    <row r="13332" spans="5:35" x14ac:dyDescent="0.25">
      <c r="E13332" s="16"/>
      <c r="F13332" s="16"/>
      <c r="H13332" s="16"/>
      <c r="AG13332" s="80"/>
      <c r="AH13332" s="80"/>
      <c r="AI13332" s="80"/>
    </row>
    <row r="13333" spans="5:35" x14ac:dyDescent="0.25">
      <c r="E13333" s="16"/>
      <c r="F13333" s="16"/>
      <c r="H13333" s="16"/>
      <c r="AG13333" s="80"/>
      <c r="AH13333" s="80"/>
      <c r="AI13333" s="80"/>
    </row>
    <row r="13334" spans="5:35" x14ac:dyDescent="0.25">
      <c r="E13334" s="16"/>
      <c r="F13334" s="16"/>
      <c r="H13334" s="16"/>
      <c r="AG13334" s="80"/>
      <c r="AH13334" s="80"/>
      <c r="AI13334" s="80"/>
    </row>
    <row r="13335" spans="5:35" x14ac:dyDescent="0.25">
      <c r="E13335" s="16"/>
      <c r="F13335" s="16"/>
      <c r="H13335" s="16"/>
      <c r="AG13335" s="80"/>
      <c r="AH13335" s="80"/>
      <c r="AI13335" s="80"/>
    </row>
    <row r="13336" spans="5:35" x14ac:dyDescent="0.25">
      <c r="E13336" s="16"/>
      <c r="F13336" s="16"/>
      <c r="H13336" s="16"/>
      <c r="AG13336" s="80"/>
      <c r="AH13336" s="80"/>
      <c r="AI13336" s="80"/>
    </row>
    <row r="13337" spans="5:35" x14ac:dyDescent="0.25">
      <c r="E13337" s="16"/>
      <c r="F13337" s="16"/>
      <c r="H13337" s="16"/>
      <c r="AG13337" s="80"/>
      <c r="AH13337" s="80"/>
      <c r="AI13337" s="80"/>
    </row>
    <row r="13338" spans="5:35" x14ac:dyDescent="0.25">
      <c r="E13338" s="16"/>
      <c r="F13338" s="16"/>
      <c r="H13338" s="16"/>
      <c r="AG13338" s="80"/>
      <c r="AH13338" s="80"/>
      <c r="AI13338" s="80"/>
    </row>
    <row r="13339" spans="5:35" x14ac:dyDescent="0.25">
      <c r="E13339" s="16"/>
      <c r="F13339" s="16"/>
      <c r="H13339" s="16"/>
      <c r="AG13339" s="80"/>
      <c r="AH13339" s="80"/>
      <c r="AI13339" s="80"/>
    </row>
    <row r="13340" spans="5:35" x14ac:dyDescent="0.25">
      <c r="E13340" s="16"/>
      <c r="F13340" s="16"/>
      <c r="H13340" s="16"/>
      <c r="AG13340" s="80"/>
      <c r="AH13340" s="80"/>
      <c r="AI13340" s="80"/>
    </row>
    <row r="13341" spans="5:35" x14ac:dyDescent="0.25">
      <c r="E13341" s="16"/>
      <c r="F13341" s="16"/>
      <c r="H13341" s="16"/>
      <c r="AG13341" s="80"/>
      <c r="AH13341" s="80"/>
      <c r="AI13341" s="80"/>
    </row>
    <row r="13342" spans="5:35" x14ac:dyDescent="0.25">
      <c r="E13342" s="16"/>
      <c r="F13342" s="16"/>
      <c r="H13342" s="16"/>
      <c r="AG13342" s="80"/>
      <c r="AH13342" s="80"/>
      <c r="AI13342" s="80"/>
    </row>
    <row r="13343" spans="5:35" x14ac:dyDescent="0.25">
      <c r="E13343" s="16"/>
      <c r="F13343" s="16"/>
      <c r="H13343" s="16"/>
      <c r="AG13343" s="80"/>
      <c r="AH13343" s="80"/>
      <c r="AI13343" s="80"/>
    </row>
    <row r="13344" spans="5:35" x14ac:dyDescent="0.25">
      <c r="E13344" s="16"/>
      <c r="F13344" s="16"/>
      <c r="H13344" s="16"/>
      <c r="AG13344" s="80"/>
      <c r="AH13344" s="80"/>
      <c r="AI13344" s="80"/>
    </row>
    <row r="13345" spans="5:35" x14ac:dyDescent="0.25">
      <c r="E13345" s="16"/>
      <c r="F13345" s="16"/>
      <c r="H13345" s="16"/>
      <c r="AG13345" s="80"/>
      <c r="AH13345" s="80"/>
      <c r="AI13345" s="80"/>
    </row>
    <row r="13346" spans="5:35" x14ac:dyDescent="0.25">
      <c r="E13346" s="16"/>
      <c r="F13346" s="16"/>
      <c r="H13346" s="16"/>
      <c r="AG13346" s="80"/>
      <c r="AH13346" s="80"/>
      <c r="AI13346" s="80"/>
    </row>
    <row r="13347" spans="5:35" x14ac:dyDescent="0.25">
      <c r="E13347" s="16"/>
      <c r="F13347" s="16"/>
      <c r="H13347" s="16"/>
      <c r="AG13347" s="80"/>
      <c r="AH13347" s="80"/>
      <c r="AI13347" s="80"/>
    </row>
    <row r="13348" spans="5:35" x14ac:dyDescent="0.25">
      <c r="E13348" s="16"/>
      <c r="F13348" s="16"/>
      <c r="H13348" s="16"/>
      <c r="AG13348" s="80"/>
      <c r="AH13348" s="80"/>
      <c r="AI13348" s="80"/>
    </row>
    <row r="13349" spans="5:35" x14ac:dyDescent="0.25">
      <c r="E13349" s="16"/>
      <c r="F13349" s="16"/>
      <c r="H13349" s="16"/>
      <c r="AG13349" s="80"/>
      <c r="AH13349" s="80"/>
      <c r="AI13349" s="80"/>
    </row>
    <row r="13350" spans="5:35" x14ac:dyDescent="0.25">
      <c r="E13350" s="16"/>
      <c r="F13350" s="16"/>
      <c r="H13350" s="16"/>
      <c r="AG13350" s="80"/>
      <c r="AH13350" s="80"/>
      <c r="AI13350" s="80"/>
    </row>
    <row r="13351" spans="5:35" x14ac:dyDescent="0.25">
      <c r="E13351" s="16"/>
      <c r="F13351" s="16"/>
      <c r="H13351" s="16"/>
      <c r="AG13351" s="80"/>
      <c r="AH13351" s="80"/>
      <c r="AI13351" s="80"/>
    </row>
    <row r="13352" spans="5:35" x14ac:dyDescent="0.25">
      <c r="E13352" s="16"/>
      <c r="F13352" s="16"/>
      <c r="H13352" s="16"/>
      <c r="AG13352" s="80"/>
      <c r="AH13352" s="80"/>
      <c r="AI13352" s="80"/>
    </row>
    <row r="13353" spans="5:35" x14ac:dyDescent="0.25">
      <c r="E13353" s="16"/>
      <c r="F13353" s="16"/>
      <c r="H13353" s="16"/>
      <c r="AG13353" s="80"/>
      <c r="AH13353" s="80"/>
      <c r="AI13353" s="80"/>
    </row>
    <row r="13354" spans="5:35" x14ac:dyDescent="0.25">
      <c r="E13354" s="16"/>
      <c r="F13354" s="16"/>
      <c r="H13354" s="16"/>
      <c r="AG13354" s="80"/>
      <c r="AH13354" s="80"/>
      <c r="AI13354" s="80"/>
    </row>
    <row r="13355" spans="5:35" x14ac:dyDescent="0.25">
      <c r="E13355" s="16"/>
      <c r="F13355" s="16"/>
      <c r="H13355" s="16"/>
      <c r="AG13355" s="80"/>
      <c r="AH13355" s="80"/>
      <c r="AI13355" s="80"/>
    </row>
    <row r="13356" spans="5:35" x14ac:dyDescent="0.25">
      <c r="E13356" s="16"/>
      <c r="F13356" s="16"/>
      <c r="H13356" s="16"/>
      <c r="AG13356" s="80"/>
      <c r="AH13356" s="80"/>
      <c r="AI13356" s="80"/>
    </row>
    <row r="13357" spans="5:35" x14ac:dyDescent="0.25">
      <c r="E13357" s="16"/>
      <c r="F13357" s="16"/>
      <c r="H13357" s="16"/>
      <c r="AG13357" s="80"/>
      <c r="AH13357" s="80"/>
      <c r="AI13357" s="80"/>
    </row>
    <row r="13358" spans="5:35" x14ac:dyDescent="0.25">
      <c r="E13358" s="16"/>
      <c r="F13358" s="16"/>
      <c r="H13358" s="16"/>
      <c r="AG13358" s="80"/>
      <c r="AH13358" s="80"/>
      <c r="AI13358" s="80"/>
    </row>
    <row r="13359" spans="5:35" x14ac:dyDescent="0.25">
      <c r="E13359" s="16"/>
      <c r="F13359" s="16"/>
      <c r="H13359" s="16"/>
      <c r="AG13359" s="80"/>
      <c r="AH13359" s="80"/>
      <c r="AI13359" s="80"/>
    </row>
    <row r="13360" spans="5:35" x14ac:dyDescent="0.25">
      <c r="E13360" s="16"/>
      <c r="F13360" s="16"/>
      <c r="H13360" s="16"/>
      <c r="AG13360" s="80"/>
      <c r="AH13360" s="80"/>
      <c r="AI13360" s="80"/>
    </row>
    <row r="13361" spans="5:35" x14ac:dyDescent="0.25">
      <c r="E13361" s="16"/>
      <c r="F13361" s="16"/>
      <c r="H13361" s="16"/>
      <c r="AG13361" s="80"/>
      <c r="AH13361" s="80"/>
      <c r="AI13361" s="80"/>
    </row>
    <row r="13362" spans="5:35" x14ac:dyDescent="0.25">
      <c r="E13362" s="16"/>
      <c r="F13362" s="16"/>
      <c r="H13362" s="16"/>
      <c r="AG13362" s="80"/>
      <c r="AH13362" s="80"/>
      <c r="AI13362" s="80"/>
    </row>
    <row r="13363" spans="5:35" x14ac:dyDescent="0.25">
      <c r="E13363" s="16"/>
      <c r="F13363" s="16"/>
      <c r="H13363" s="16"/>
      <c r="AG13363" s="80"/>
      <c r="AH13363" s="80"/>
      <c r="AI13363" s="80"/>
    </row>
    <row r="13364" spans="5:35" x14ac:dyDescent="0.25">
      <c r="E13364" s="16"/>
      <c r="F13364" s="16"/>
      <c r="H13364" s="16"/>
      <c r="AG13364" s="80"/>
      <c r="AH13364" s="80"/>
      <c r="AI13364" s="80"/>
    </row>
    <row r="13365" spans="5:35" x14ac:dyDescent="0.25">
      <c r="E13365" s="16"/>
      <c r="F13365" s="16"/>
      <c r="H13365" s="16"/>
      <c r="AG13365" s="80"/>
      <c r="AH13365" s="80"/>
      <c r="AI13365" s="80"/>
    </row>
    <row r="13366" spans="5:35" x14ac:dyDescent="0.25">
      <c r="E13366" s="16"/>
      <c r="F13366" s="16"/>
      <c r="H13366" s="16"/>
      <c r="AG13366" s="80"/>
      <c r="AH13366" s="80"/>
      <c r="AI13366" s="80"/>
    </row>
    <row r="13367" spans="5:35" x14ac:dyDescent="0.25">
      <c r="E13367" s="16"/>
      <c r="F13367" s="16"/>
      <c r="H13367" s="16"/>
      <c r="AG13367" s="80"/>
      <c r="AH13367" s="80"/>
      <c r="AI13367" s="80"/>
    </row>
    <row r="13368" spans="5:35" x14ac:dyDescent="0.25">
      <c r="E13368" s="16"/>
      <c r="F13368" s="16"/>
      <c r="H13368" s="16"/>
      <c r="AG13368" s="80"/>
      <c r="AH13368" s="80"/>
      <c r="AI13368" s="80"/>
    </row>
    <row r="13369" spans="5:35" x14ac:dyDescent="0.25">
      <c r="E13369" s="16"/>
      <c r="F13369" s="16"/>
      <c r="H13369" s="16"/>
      <c r="AG13369" s="80"/>
      <c r="AH13369" s="80"/>
      <c r="AI13369" s="80"/>
    </row>
    <row r="13370" spans="5:35" x14ac:dyDescent="0.25">
      <c r="E13370" s="16"/>
      <c r="F13370" s="16"/>
      <c r="H13370" s="16"/>
      <c r="AG13370" s="80"/>
      <c r="AH13370" s="80"/>
      <c r="AI13370" s="80"/>
    </row>
    <row r="13371" spans="5:35" x14ac:dyDescent="0.25">
      <c r="E13371" s="16"/>
      <c r="F13371" s="16"/>
      <c r="H13371" s="16"/>
      <c r="AG13371" s="80"/>
      <c r="AH13371" s="80"/>
      <c r="AI13371" s="80"/>
    </row>
    <row r="13372" spans="5:35" x14ac:dyDescent="0.25">
      <c r="E13372" s="16"/>
      <c r="F13372" s="16"/>
      <c r="H13372" s="16"/>
      <c r="AG13372" s="80"/>
      <c r="AH13372" s="80"/>
      <c r="AI13372" s="80"/>
    </row>
    <row r="13373" spans="5:35" x14ac:dyDescent="0.25">
      <c r="E13373" s="16"/>
      <c r="F13373" s="16"/>
      <c r="H13373" s="16"/>
      <c r="AG13373" s="80"/>
      <c r="AH13373" s="80"/>
      <c r="AI13373" s="80"/>
    </row>
    <row r="13374" spans="5:35" x14ac:dyDescent="0.25">
      <c r="E13374" s="16"/>
      <c r="F13374" s="16"/>
      <c r="H13374" s="16"/>
      <c r="AG13374" s="80"/>
      <c r="AH13374" s="80"/>
      <c r="AI13374" s="80"/>
    </row>
    <row r="13375" spans="5:35" x14ac:dyDescent="0.25">
      <c r="E13375" s="16"/>
      <c r="F13375" s="16"/>
      <c r="H13375" s="16"/>
      <c r="AG13375" s="80"/>
      <c r="AH13375" s="80"/>
      <c r="AI13375" s="80"/>
    </row>
    <row r="13376" spans="5:35" x14ac:dyDescent="0.25">
      <c r="E13376" s="16"/>
      <c r="F13376" s="16"/>
      <c r="H13376" s="16"/>
      <c r="AG13376" s="80"/>
      <c r="AH13376" s="80"/>
      <c r="AI13376" s="80"/>
    </row>
    <row r="13377" spans="5:35" x14ac:dyDescent="0.25">
      <c r="E13377" s="16"/>
      <c r="F13377" s="16"/>
      <c r="H13377" s="16"/>
      <c r="AG13377" s="80"/>
      <c r="AH13377" s="80"/>
      <c r="AI13377" s="80"/>
    </row>
    <row r="13378" spans="5:35" x14ac:dyDescent="0.25">
      <c r="E13378" s="16"/>
      <c r="F13378" s="16"/>
      <c r="H13378" s="16"/>
      <c r="AG13378" s="80"/>
      <c r="AH13378" s="80"/>
      <c r="AI13378" s="80"/>
    </row>
    <row r="13379" spans="5:35" x14ac:dyDescent="0.25">
      <c r="E13379" s="16"/>
      <c r="F13379" s="16"/>
      <c r="H13379" s="16"/>
      <c r="AG13379" s="80"/>
      <c r="AH13379" s="80"/>
      <c r="AI13379" s="80"/>
    </row>
    <row r="13380" spans="5:35" x14ac:dyDescent="0.25">
      <c r="E13380" s="16"/>
      <c r="F13380" s="16"/>
      <c r="H13380" s="16"/>
      <c r="AG13380" s="80"/>
      <c r="AH13380" s="80"/>
      <c r="AI13380" s="80"/>
    </row>
    <row r="13381" spans="5:35" x14ac:dyDescent="0.25">
      <c r="E13381" s="16"/>
      <c r="F13381" s="16"/>
      <c r="H13381" s="16"/>
      <c r="AG13381" s="80"/>
      <c r="AH13381" s="80"/>
      <c r="AI13381" s="80"/>
    </row>
    <row r="13382" spans="5:35" x14ac:dyDescent="0.25">
      <c r="E13382" s="16"/>
      <c r="F13382" s="16"/>
      <c r="H13382" s="16"/>
      <c r="AG13382" s="80"/>
      <c r="AH13382" s="80"/>
      <c r="AI13382" s="80"/>
    </row>
    <row r="13383" spans="5:35" x14ac:dyDescent="0.25">
      <c r="E13383" s="16"/>
      <c r="F13383" s="16"/>
      <c r="H13383" s="16"/>
      <c r="AG13383" s="80"/>
      <c r="AH13383" s="80"/>
      <c r="AI13383" s="80"/>
    </row>
    <row r="13384" spans="5:35" x14ac:dyDescent="0.25">
      <c r="E13384" s="16"/>
      <c r="F13384" s="16"/>
      <c r="H13384" s="16"/>
      <c r="AG13384" s="80"/>
      <c r="AH13384" s="80"/>
      <c r="AI13384" s="80"/>
    </row>
    <row r="13385" spans="5:35" x14ac:dyDescent="0.25">
      <c r="E13385" s="16"/>
      <c r="F13385" s="16"/>
      <c r="H13385" s="16"/>
      <c r="AG13385" s="80"/>
      <c r="AH13385" s="80"/>
      <c r="AI13385" s="80"/>
    </row>
    <row r="13386" spans="5:35" x14ac:dyDescent="0.25">
      <c r="E13386" s="16"/>
      <c r="F13386" s="16"/>
      <c r="H13386" s="16"/>
      <c r="AG13386" s="80"/>
      <c r="AH13386" s="80"/>
      <c r="AI13386" s="80"/>
    </row>
    <row r="13387" spans="5:35" x14ac:dyDescent="0.25">
      <c r="E13387" s="16"/>
      <c r="F13387" s="16"/>
      <c r="H13387" s="16"/>
      <c r="AG13387" s="80"/>
      <c r="AH13387" s="80"/>
      <c r="AI13387" s="80"/>
    </row>
    <row r="13388" spans="5:35" x14ac:dyDescent="0.25">
      <c r="E13388" s="16"/>
      <c r="F13388" s="16"/>
      <c r="H13388" s="16"/>
      <c r="AG13388" s="80"/>
      <c r="AH13388" s="80"/>
      <c r="AI13388" s="80"/>
    </row>
    <row r="13389" spans="5:35" x14ac:dyDescent="0.25">
      <c r="E13389" s="16"/>
      <c r="F13389" s="16"/>
      <c r="H13389" s="16"/>
      <c r="AG13389" s="80"/>
      <c r="AH13389" s="80"/>
      <c r="AI13389" s="80"/>
    </row>
    <row r="13390" spans="5:35" x14ac:dyDescent="0.25">
      <c r="E13390" s="16"/>
      <c r="F13390" s="16"/>
      <c r="H13390" s="16"/>
      <c r="AG13390" s="80"/>
      <c r="AH13390" s="80"/>
      <c r="AI13390" s="80"/>
    </row>
    <row r="13391" spans="5:35" x14ac:dyDescent="0.25">
      <c r="E13391" s="16"/>
      <c r="F13391" s="16"/>
      <c r="H13391" s="16"/>
      <c r="AG13391" s="80"/>
      <c r="AH13391" s="80"/>
      <c r="AI13391" s="80"/>
    </row>
    <row r="13392" spans="5:35" x14ac:dyDescent="0.25">
      <c r="E13392" s="16"/>
      <c r="F13392" s="16"/>
      <c r="H13392" s="16"/>
      <c r="AG13392" s="80"/>
      <c r="AH13392" s="80"/>
      <c r="AI13392" s="80"/>
    </row>
    <row r="13393" spans="5:35" x14ac:dyDescent="0.25">
      <c r="E13393" s="16"/>
      <c r="F13393" s="16"/>
      <c r="H13393" s="16"/>
      <c r="AG13393" s="80"/>
      <c r="AH13393" s="80"/>
      <c r="AI13393" s="80"/>
    </row>
    <row r="13394" spans="5:35" x14ac:dyDescent="0.25">
      <c r="E13394" s="16"/>
      <c r="F13394" s="16"/>
      <c r="H13394" s="16"/>
      <c r="AG13394" s="80"/>
      <c r="AH13394" s="80"/>
      <c r="AI13394" s="80"/>
    </row>
    <row r="13395" spans="5:35" x14ac:dyDescent="0.25">
      <c r="E13395" s="16"/>
      <c r="F13395" s="16"/>
      <c r="H13395" s="16"/>
      <c r="AG13395" s="80"/>
      <c r="AH13395" s="80"/>
      <c r="AI13395" s="80"/>
    </row>
    <row r="13396" spans="5:35" x14ac:dyDescent="0.25">
      <c r="E13396" s="16"/>
      <c r="F13396" s="16"/>
      <c r="H13396" s="16"/>
      <c r="AG13396" s="80"/>
      <c r="AH13396" s="80"/>
      <c r="AI13396" s="80"/>
    </row>
    <row r="13397" spans="5:35" x14ac:dyDescent="0.25">
      <c r="E13397" s="16"/>
      <c r="F13397" s="16"/>
      <c r="H13397" s="16"/>
      <c r="AG13397" s="80"/>
      <c r="AH13397" s="80"/>
      <c r="AI13397" s="80"/>
    </row>
    <row r="13398" spans="5:35" x14ac:dyDescent="0.25">
      <c r="E13398" s="16"/>
      <c r="F13398" s="16"/>
      <c r="H13398" s="16"/>
      <c r="AG13398" s="80"/>
      <c r="AH13398" s="80"/>
      <c r="AI13398" s="80"/>
    </row>
    <row r="13399" spans="5:35" x14ac:dyDescent="0.25">
      <c r="E13399" s="16"/>
      <c r="F13399" s="16"/>
      <c r="H13399" s="16"/>
      <c r="AG13399" s="80"/>
      <c r="AH13399" s="80"/>
      <c r="AI13399" s="80"/>
    </row>
    <row r="13400" spans="5:35" x14ac:dyDescent="0.25">
      <c r="E13400" s="16"/>
      <c r="F13400" s="16"/>
      <c r="H13400" s="16"/>
      <c r="AG13400" s="80"/>
      <c r="AH13400" s="80"/>
      <c r="AI13400" s="80"/>
    </row>
    <row r="13401" spans="5:35" x14ac:dyDescent="0.25">
      <c r="E13401" s="16"/>
      <c r="F13401" s="16"/>
      <c r="H13401" s="16"/>
      <c r="AG13401" s="80"/>
      <c r="AH13401" s="80"/>
      <c r="AI13401" s="80"/>
    </row>
    <row r="13402" spans="5:35" x14ac:dyDescent="0.25">
      <c r="E13402" s="16"/>
      <c r="F13402" s="16"/>
      <c r="H13402" s="16"/>
      <c r="AG13402" s="80"/>
      <c r="AH13402" s="80"/>
      <c r="AI13402" s="80"/>
    </row>
    <row r="13403" spans="5:35" x14ac:dyDescent="0.25">
      <c r="E13403" s="16"/>
      <c r="F13403" s="16"/>
      <c r="H13403" s="16"/>
      <c r="AG13403" s="80"/>
      <c r="AH13403" s="80"/>
      <c r="AI13403" s="80"/>
    </row>
    <row r="13404" spans="5:35" x14ac:dyDescent="0.25">
      <c r="E13404" s="16"/>
      <c r="F13404" s="16"/>
      <c r="H13404" s="16"/>
      <c r="AG13404" s="80"/>
      <c r="AH13404" s="80"/>
      <c r="AI13404" s="80"/>
    </row>
    <row r="13405" spans="5:35" x14ac:dyDescent="0.25">
      <c r="E13405" s="16"/>
      <c r="F13405" s="16"/>
      <c r="H13405" s="16"/>
      <c r="AG13405" s="80"/>
      <c r="AH13405" s="80"/>
      <c r="AI13405" s="80"/>
    </row>
    <row r="13406" spans="5:35" x14ac:dyDescent="0.25">
      <c r="E13406" s="16"/>
      <c r="F13406" s="16"/>
      <c r="H13406" s="16"/>
      <c r="AG13406" s="80"/>
      <c r="AH13406" s="80"/>
      <c r="AI13406" s="80"/>
    </row>
    <row r="13407" spans="5:35" x14ac:dyDescent="0.25">
      <c r="E13407" s="16"/>
      <c r="F13407" s="16"/>
      <c r="H13407" s="16"/>
      <c r="AG13407" s="80"/>
      <c r="AH13407" s="80"/>
      <c r="AI13407" s="80"/>
    </row>
    <row r="13408" spans="5:35" x14ac:dyDescent="0.25">
      <c r="E13408" s="16"/>
      <c r="F13408" s="16"/>
      <c r="H13408" s="16"/>
      <c r="AG13408" s="80"/>
      <c r="AH13408" s="80"/>
      <c r="AI13408" s="80"/>
    </row>
    <row r="13409" spans="5:35" x14ac:dyDescent="0.25">
      <c r="E13409" s="16"/>
      <c r="F13409" s="16"/>
      <c r="H13409" s="16"/>
      <c r="AG13409" s="80"/>
      <c r="AH13409" s="80"/>
      <c r="AI13409" s="80"/>
    </row>
    <row r="13410" spans="5:35" x14ac:dyDescent="0.25">
      <c r="E13410" s="16"/>
      <c r="F13410" s="16"/>
      <c r="H13410" s="16"/>
      <c r="AG13410" s="80"/>
      <c r="AH13410" s="80"/>
      <c r="AI13410" s="80"/>
    </row>
    <row r="13411" spans="5:35" x14ac:dyDescent="0.25">
      <c r="E13411" s="16"/>
      <c r="F13411" s="16"/>
      <c r="H13411" s="16"/>
      <c r="AG13411" s="80"/>
      <c r="AH13411" s="80"/>
      <c r="AI13411" s="80"/>
    </row>
    <row r="13412" spans="5:35" x14ac:dyDescent="0.25">
      <c r="E13412" s="16"/>
      <c r="F13412" s="16"/>
      <c r="H13412" s="16"/>
      <c r="AG13412" s="80"/>
      <c r="AH13412" s="80"/>
      <c r="AI13412" s="80"/>
    </row>
    <row r="13413" spans="5:35" x14ac:dyDescent="0.25">
      <c r="E13413" s="16"/>
      <c r="F13413" s="16"/>
      <c r="H13413" s="16"/>
      <c r="AG13413" s="80"/>
      <c r="AH13413" s="80"/>
      <c r="AI13413" s="80"/>
    </row>
    <row r="13414" spans="5:35" x14ac:dyDescent="0.25">
      <c r="E13414" s="16"/>
      <c r="F13414" s="16"/>
      <c r="H13414" s="16"/>
      <c r="AG13414" s="80"/>
      <c r="AH13414" s="80"/>
      <c r="AI13414" s="80"/>
    </row>
    <row r="13415" spans="5:35" x14ac:dyDescent="0.25">
      <c r="E13415" s="16"/>
      <c r="F13415" s="16"/>
      <c r="H13415" s="16"/>
      <c r="AG13415" s="80"/>
      <c r="AH13415" s="80"/>
      <c r="AI13415" s="80"/>
    </row>
    <row r="13416" spans="5:35" x14ac:dyDescent="0.25">
      <c r="E13416" s="16"/>
      <c r="F13416" s="16"/>
      <c r="H13416" s="16"/>
      <c r="AG13416" s="80"/>
      <c r="AH13416" s="80"/>
      <c r="AI13416" s="80"/>
    </row>
    <row r="13417" spans="5:35" x14ac:dyDescent="0.25">
      <c r="E13417" s="16"/>
      <c r="F13417" s="16"/>
      <c r="H13417" s="16"/>
      <c r="AG13417" s="80"/>
      <c r="AH13417" s="80"/>
      <c r="AI13417" s="80"/>
    </row>
    <row r="13418" spans="5:35" x14ac:dyDescent="0.25">
      <c r="E13418" s="16"/>
      <c r="F13418" s="16"/>
      <c r="H13418" s="16"/>
      <c r="AG13418" s="80"/>
      <c r="AH13418" s="80"/>
      <c r="AI13418" s="80"/>
    </row>
    <row r="13419" spans="5:35" x14ac:dyDescent="0.25">
      <c r="E13419" s="16"/>
      <c r="F13419" s="16"/>
      <c r="H13419" s="16"/>
      <c r="AG13419" s="80"/>
      <c r="AH13419" s="80"/>
      <c r="AI13419" s="80"/>
    </row>
    <row r="13420" spans="5:35" x14ac:dyDescent="0.25">
      <c r="E13420" s="16"/>
      <c r="F13420" s="16"/>
      <c r="H13420" s="16"/>
      <c r="AG13420" s="80"/>
      <c r="AH13420" s="80"/>
      <c r="AI13420" s="80"/>
    </row>
    <row r="13421" spans="5:35" x14ac:dyDescent="0.25">
      <c r="E13421" s="16"/>
      <c r="F13421" s="16"/>
      <c r="H13421" s="16"/>
      <c r="AG13421" s="80"/>
      <c r="AH13421" s="80"/>
      <c r="AI13421" s="80"/>
    </row>
    <row r="13422" spans="5:35" x14ac:dyDescent="0.25">
      <c r="E13422" s="16"/>
      <c r="F13422" s="16"/>
      <c r="H13422" s="16"/>
      <c r="AG13422" s="80"/>
      <c r="AH13422" s="80"/>
      <c r="AI13422" s="80"/>
    </row>
    <row r="13423" spans="5:35" x14ac:dyDescent="0.25">
      <c r="E13423" s="16"/>
      <c r="F13423" s="16"/>
      <c r="H13423" s="16"/>
      <c r="AG13423" s="80"/>
      <c r="AH13423" s="80"/>
      <c r="AI13423" s="80"/>
    </row>
    <row r="13424" spans="5:35" x14ac:dyDescent="0.25">
      <c r="E13424" s="16"/>
      <c r="F13424" s="16"/>
      <c r="H13424" s="16"/>
      <c r="AG13424" s="80"/>
      <c r="AH13424" s="80"/>
      <c r="AI13424" s="80"/>
    </row>
    <row r="13425" spans="5:35" x14ac:dyDescent="0.25">
      <c r="E13425" s="16"/>
      <c r="F13425" s="16"/>
      <c r="H13425" s="16"/>
      <c r="AG13425" s="80"/>
      <c r="AH13425" s="80"/>
      <c r="AI13425" s="80"/>
    </row>
    <row r="13426" spans="5:35" x14ac:dyDescent="0.25">
      <c r="E13426" s="16"/>
      <c r="F13426" s="16"/>
      <c r="H13426" s="16"/>
      <c r="AG13426" s="80"/>
      <c r="AH13426" s="80"/>
      <c r="AI13426" s="80"/>
    </row>
    <row r="13427" spans="5:35" x14ac:dyDescent="0.25">
      <c r="E13427" s="16"/>
      <c r="F13427" s="16"/>
      <c r="H13427" s="16"/>
      <c r="AG13427" s="80"/>
      <c r="AH13427" s="80"/>
      <c r="AI13427" s="80"/>
    </row>
    <row r="13428" spans="5:35" x14ac:dyDescent="0.25">
      <c r="E13428" s="16"/>
      <c r="F13428" s="16"/>
      <c r="H13428" s="16"/>
      <c r="AG13428" s="80"/>
      <c r="AH13428" s="80"/>
      <c r="AI13428" s="80"/>
    </row>
    <row r="13429" spans="5:35" x14ac:dyDescent="0.25">
      <c r="E13429" s="16"/>
      <c r="F13429" s="16"/>
      <c r="H13429" s="16"/>
      <c r="AG13429" s="80"/>
      <c r="AH13429" s="80"/>
      <c r="AI13429" s="80"/>
    </row>
    <row r="13430" spans="5:35" x14ac:dyDescent="0.25">
      <c r="E13430" s="16"/>
      <c r="F13430" s="16"/>
      <c r="H13430" s="16"/>
      <c r="AG13430" s="80"/>
      <c r="AH13430" s="80"/>
      <c r="AI13430" s="80"/>
    </row>
    <row r="13431" spans="5:35" x14ac:dyDescent="0.25">
      <c r="E13431" s="16"/>
      <c r="F13431" s="16"/>
      <c r="H13431" s="16"/>
      <c r="AG13431" s="80"/>
      <c r="AH13431" s="80"/>
      <c r="AI13431" s="80"/>
    </row>
    <row r="13432" spans="5:35" x14ac:dyDescent="0.25">
      <c r="E13432" s="16"/>
      <c r="F13432" s="16"/>
      <c r="H13432" s="16"/>
      <c r="AG13432" s="80"/>
      <c r="AH13432" s="80"/>
      <c r="AI13432" s="80"/>
    </row>
    <row r="13433" spans="5:35" x14ac:dyDescent="0.25">
      <c r="E13433" s="16"/>
      <c r="F13433" s="16"/>
      <c r="H13433" s="16"/>
      <c r="AG13433" s="80"/>
      <c r="AH13433" s="80"/>
      <c r="AI13433" s="80"/>
    </row>
    <row r="13434" spans="5:35" x14ac:dyDescent="0.25">
      <c r="E13434" s="16"/>
      <c r="F13434" s="16"/>
      <c r="H13434" s="16"/>
      <c r="AG13434" s="80"/>
      <c r="AH13434" s="80"/>
      <c r="AI13434" s="80"/>
    </row>
    <row r="13435" spans="5:35" x14ac:dyDescent="0.25">
      <c r="E13435" s="16"/>
      <c r="F13435" s="16"/>
      <c r="H13435" s="16"/>
      <c r="AG13435" s="80"/>
      <c r="AH13435" s="80"/>
      <c r="AI13435" s="80"/>
    </row>
    <row r="13436" spans="5:35" x14ac:dyDescent="0.25">
      <c r="E13436" s="16"/>
      <c r="F13436" s="16"/>
      <c r="H13436" s="16"/>
      <c r="AG13436" s="80"/>
      <c r="AH13436" s="80"/>
      <c r="AI13436" s="80"/>
    </row>
    <row r="13437" spans="5:35" x14ac:dyDescent="0.25">
      <c r="E13437" s="16"/>
      <c r="F13437" s="16"/>
      <c r="H13437" s="16"/>
      <c r="AG13437" s="80"/>
      <c r="AH13437" s="80"/>
      <c r="AI13437" s="80"/>
    </row>
    <row r="13438" spans="5:35" x14ac:dyDescent="0.25">
      <c r="E13438" s="16"/>
      <c r="F13438" s="16"/>
      <c r="H13438" s="16"/>
      <c r="AG13438" s="80"/>
      <c r="AH13438" s="80"/>
      <c r="AI13438" s="80"/>
    </row>
    <row r="13439" spans="5:35" x14ac:dyDescent="0.25">
      <c r="E13439" s="16"/>
      <c r="F13439" s="16"/>
      <c r="H13439" s="16"/>
      <c r="AG13439" s="80"/>
      <c r="AH13439" s="80"/>
      <c r="AI13439" s="80"/>
    </row>
    <row r="13440" spans="5:35" x14ac:dyDescent="0.25">
      <c r="E13440" s="16"/>
      <c r="F13440" s="16"/>
      <c r="H13440" s="16"/>
      <c r="AG13440" s="80"/>
      <c r="AH13440" s="80"/>
      <c r="AI13440" s="80"/>
    </row>
    <row r="13441" spans="5:35" x14ac:dyDescent="0.25">
      <c r="E13441" s="16"/>
      <c r="F13441" s="16"/>
      <c r="H13441" s="16"/>
      <c r="AG13441" s="80"/>
      <c r="AH13441" s="80"/>
      <c r="AI13441" s="80"/>
    </row>
    <row r="13442" spans="5:35" x14ac:dyDescent="0.25">
      <c r="E13442" s="16"/>
      <c r="F13442" s="16"/>
      <c r="H13442" s="16"/>
      <c r="AG13442" s="80"/>
      <c r="AH13442" s="80"/>
      <c r="AI13442" s="80"/>
    </row>
    <row r="13443" spans="5:35" x14ac:dyDescent="0.25">
      <c r="E13443" s="16"/>
      <c r="F13443" s="16"/>
      <c r="H13443" s="16"/>
      <c r="AG13443" s="80"/>
      <c r="AH13443" s="80"/>
      <c r="AI13443" s="80"/>
    </row>
    <row r="13444" spans="5:35" x14ac:dyDescent="0.25">
      <c r="E13444" s="16"/>
      <c r="F13444" s="16"/>
      <c r="H13444" s="16"/>
      <c r="AG13444" s="80"/>
      <c r="AH13444" s="80"/>
      <c r="AI13444" s="80"/>
    </row>
    <row r="13445" spans="5:35" x14ac:dyDescent="0.25">
      <c r="E13445" s="16"/>
      <c r="F13445" s="16"/>
      <c r="H13445" s="16"/>
      <c r="AG13445" s="80"/>
      <c r="AH13445" s="80"/>
      <c r="AI13445" s="80"/>
    </row>
    <row r="13446" spans="5:35" x14ac:dyDescent="0.25">
      <c r="E13446" s="16"/>
      <c r="F13446" s="16"/>
      <c r="H13446" s="16"/>
      <c r="AG13446" s="80"/>
      <c r="AH13446" s="80"/>
      <c r="AI13446" s="80"/>
    </row>
    <row r="13447" spans="5:35" x14ac:dyDescent="0.25">
      <c r="E13447" s="16"/>
      <c r="F13447" s="16"/>
      <c r="H13447" s="16"/>
      <c r="AG13447" s="80"/>
      <c r="AH13447" s="80"/>
      <c r="AI13447" s="80"/>
    </row>
    <row r="13448" spans="5:35" x14ac:dyDescent="0.25">
      <c r="E13448" s="16"/>
      <c r="F13448" s="16"/>
      <c r="H13448" s="16"/>
      <c r="AG13448" s="80"/>
      <c r="AH13448" s="80"/>
      <c r="AI13448" s="80"/>
    </row>
    <row r="13449" spans="5:35" x14ac:dyDescent="0.25">
      <c r="E13449" s="16"/>
      <c r="F13449" s="16"/>
      <c r="H13449" s="16"/>
      <c r="AG13449" s="80"/>
      <c r="AH13449" s="80"/>
      <c r="AI13449" s="80"/>
    </row>
    <row r="13450" spans="5:35" x14ac:dyDescent="0.25">
      <c r="E13450" s="16"/>
      <c r="F13450" s="16"/>
      <c r="H13450" s="16"/>
      <c r="AG13450" s="80"/>
      <c r="AH13450" s="80"/>
      <c r="AI13450" s="80"/>
    </row>
    <row r="13451" spans="5:35" x14ac:dyDescent="0.25">
      <c r="E13451" s="16"/>
      <c r="F13451" s="16"/>
      <c r="H13451" s="16"/>
      <c r="AG13451" s="80"/>
      <c r="AH13451" s="80"/>
      <c r="AI13451" s="80"/>
    </row>
    <row r="13452" spans="5:35" x14ac:dyDescent="0.25">
      <c r="E13452" s="16"/>
      <c r="F13452" s="16"/>
      <c r="H13452" s="16"/>
      <c r="AG13452" s="80"/>
      <c r="AH13452" s="80"/>
      <c r="AI13452" s="80"/>
    </row>
    <row r="13453" spans="5:35" x14ac:dyDescent="0.25">
      <c r="E13453" s="16"/>
      <c r="F13453" s="16"/>
      <c r="H13453" s="16"/>
      <c r="AG13453" s="80"/>
      <c r="AH13453" s="80"/>
      <c r="AI13453" s="80"/>
    </row>
    <row r="13454" spans="5:35" x14ac:dyDescent="0.25">
      <c r="E13454" s="16"/>
      <c r="F13454" s="16"/>
      <c r="H13454" s="16"/>
      <c r="AG13454" s="80"/>
      <c r="AH13454" s="80"/>
      <c r="AI13454" s="80"/>
    </row>
    <row r="13455" spans="5:35" x14ac:dyDescent="0.25">
      <c r="E13455" s="16"/>
      <c r="F13455" s="16"/>
      <c r="H13455" s="16"/>
      <c r="AG13455" s="80"/>
      <c r="AH13455" s="80"/>
      <c r="AI13455" s="80"/>
    </row>
    <row r="13456" spans="5:35" x14ac:dyDescent="0.25">
      <c r="E13456" s="16"/>
      <c r="F13456" s="16"/>
      <c r="H13456" s="16"/>
      <c r="AG13456" s="80"/>
      <c r="AH13456" s="80"/>
      <c r="AI13456" s="80"/>
    </row>
    <row r="13457" spans="5:35" x14ac:dyDescent="0.25">
      <c r="E13457" s="16"/>
      <c r="F13457" s="16"/>
      <c r="H13457" s="16"/>
      <c r="AG13457" s="80"/>
      <c r="AH13457" s="80"/>
      <c r="AI13457" s="80"/>
    </row>
    <row r="13458" spans="5:35" x14ac:dyDescent="0.25">
      <c r="E13458" s="16"/>
      <c r="F13458" s="16"/>
      <c r="H13458" s="16"/>
      <c r="AG13458" s="80"/>
      <c r="AH13458" s="80"/>
      <c r="AI13458" s="80"/>
    </row>
    <row r="13459" spans="5:35" x14ac:dyDescent="0.25">
      <c r="E13459" s="16"/>
      <c r="F13459" s="16"/>
      <c r="H13459" s="16"/>
      <c r="AG13459" s="80"/>
      <c r="AH13459" s="80"/>
      <c r="AI13459" s="80"/>
    </row>
    <row r="13460" spans="5:35" x14ac:dyDescent="0.25">
      <c r="E13460" s="16"/>
      <c r="F13460" s="16"/>
      <c r="H13460" s="16"/>
      <c r="AG13460" s="80"/>
      <c r="AH13460" s="80"/>
      <c r="AI13460" s="80"/>
    </row>
    <row r="13461" spans="5:35" x14ac:dyDescent="0.25">
      <c r="E13461" s="16"/>
      <c r="F13461" s="16"/>
      <c r="H13461" s="16"/>
      <c r="AG13461" s="80"/>
      <c r="AH13461" s="80"/>
      <c r="AI13461" s="80"/>
    </row>
    <row r="13462" spans="5:35" x14ac:dyDescent="0.25">
      <c r="E13462" s="16"/>
      <c r="F13462" s="16"/>
      <c r="H13462" s="16"/>
      <c r="AG13462" s="80"/>
      <c r="AH13462" s="80"/>
      <c r="AI13462" s="80"/>
    </row>
    <row r="13463" spans="5:35" x14ac:dyDescent="0.25">
      <c r="E13463" s="16"/>
      <c r="F13463" s="16"/>
      <c r="H13463" s="16"/>
      <c r="AG13463" s="80"/>
      <c r="AH13463" s="80"/>
      <c r="AI13463" s="80"/>
    </row>
    <row r="13464" spans="5:35" x14ac:dyDescent="0.25">
      <c r="E13464" s="16"/>
      <c r="F13464" s="16"/>
      <c r="H13464" s="16"/>
      <c r="AG13464" s="80"/>
      <c r="AH13464" s="80"/>
      <c r="AI13464" s="80"/>
    </row>
    <row r="13465" spans="5:35" x14ac:dyDescent="0.25">
      <c r="E13465" s="16"/>
      <c r="F13465" s="16"/>
      <c r="H13465" s="16"/>
      <c r="AG13465" s="80"/>
      <c r="AH13465" s="80"/>
      <c r="AI13465" s="80"/>
    </row>
    <row r="13466" spans="5:35" x14ac:dyDescent="0.25">
      <c r="E13466" s="16"/>
      <c r="F13466" s="16"/>
      <c r="H13466" s="16"/>
      <c r="AG13466" s="80"/>
      <c r="AH13466" s="80"/>
      <c r="AI13466" s="80"/>
    </row>
    <row r="13467" spans="5:35" x14ac:dyDescent="0.25">
      <c r="E13467" s="16"/>
      <c r="F13467" s="16"/>
      <c r="H13467" s="16"/>
      <c r="AG13467" s="80"/>
      <c r="AH13467" s="80"/>
      <c r="AI13467" s="80"/>
    </row>
    <row r="13468" spans="5:35" x14ac:dyDescent="0.25">
      <c r="E13468" s="16"/>
      <c r="F13468" s="16"/>
      <c r="H13468" s="16"/>
      <c r="AG13468" s="80"/>
      <c r="AH13468" s="80"/>
      <c r="AI13468" s="80"/>
    </row>
    <row r="13469" spans="5:35" x14ac:dyDescent="0.25">
      <c r="E13469" s="16"/>
      <c r="F13469" s="16"/>
      <c r="H13469" s="16"/>
      <c r="AG13469" s="80"/>
      <c r="AH13469" s="80"/>
      <c r="AI13469" s="80"/>
    </row>
    <row r="13470" spans="5:35" x14ac:dyDescent="0.25">
      <c r="E13470" s="16"/>
      <c r="F13470" s="16"/>
      <c r="H13470" s="16"/>
      <c r="AG13470" s="80"/>
      <c r="AH13470" s="80"/>
      <c r="AI13470" s="80"/>
    </row>
    <row r="13471" spans="5:35" x14ac:dyDescent="0.25">
      <c r="E13471" s="16"/>
      <c r="F13471" s="16"/>
      <c r="H13471" s="16"/>
      <c r="AG13471" s="80"/>
      <c r="AH13471" s="80"/>
      <c r="AI13471" s="80"/>
    </row>
    <row r="13472" spans="5:35" x14ac:dyDescent="0.25">
      <c r="E13472" s="16"/>
      <c r="F13472" s="16"/>
      <c r="H13472" s="16"/>
      <c r="AG13472" s="80"/>
      <c r="AH13472" s="80"/>
      <c r="AI13472" s="80"/>
    </row>
    <row r="13473" spans="5:35" x14ac:dyDescent="0.25">
      <c r="E13473" s="16"/>
      <c r="F13473" s="16"/>
      <c r="H13473" s="16"/>
      <c r="AG13473" s="80"/>
      <c r="AH13473" s="80"/>
      <c r="AI13473" s="80"/>
    </row>
    <row r="13474" spans="5:35" x14ac:dyDescent="0.25">
      <c r="E13474" s="16"/>
      <c r="F13474" s="16"/>
      <c r="H13474" s="16"/>
      <c r="AG13474" s="80"/>
      <c r="AH13474" s="80"/>
      <c r="AI13474" s="80"/>
    </row>
    <row r="13475" spans="5:35" x14ac:dyDescent="0.25">
      <c r="E13475" s="16"/>
      <c r="F13475" s="16"/>
      <c r="H13475" s="16"/>
      <c r="AG13475" s="80"/>
      <c r="AH13475" s="80"/>
      <c r="AI13475" s="80"/>
    </row>
    <row r="13476" spans="5:35" x14ac:dyDescent="0.25">
      <c r="E13476" s="16"/>
      <c r="F13476" s="16"/>
      <c r="H13476" s="16"/>
      <c r="AG13476" s="80"/>
      <c r="AH13476" s="80"/>
      <c r="AI13476" s="80"/>
    </row>
    <row r="13477" spans="5:35" x14ac:dyDescent="0.25">
      <c r="E13477" s="16"/>
      <c r="F13477" s="16"/>
      <c r="H13477" s="16"/>
      <c r="AG13477" s="80"/>
      <c r="AH13477" s="80"/>
      <c r="AI13477" s="80"/>
    </row>
    <row r="13478" spans="5:35" x14ac:dyDescent="0.25">
      <c r="E13478" s="16"/>
      <c r="F13478" s="16"/>
      <c r="H13478" s="16"/>
      <c r="AG13478" s="80"/>
      <c r="AH13478" s="80"/>
      <c r="AI13478" s="80"/>
    </row>
    <row r="13479" spans="5:35" x14ac:dyDescent="0.25">
      <c r="E13479" s="16"/>
      <c r="F13479" s="16"/>
      <c r="H13479" s="16"/>
      <c r="AG13479" s="80"/>
      <c r="AH13479" s="80"/>
      <c r="AI13479" s="80"/>
    </row>
    <row r="13480" spans="5:35" x14ac:dyDescent="0.25">
      <c r="E13480" s="16"/>
      <c r="F13480" s="16"/>
      <c r="H13480" s="16"/>
      <c r="AG13480" s="80"/>
      <c r="AH13480" s="80"/>
      <c r="AI13480" s="80"/>
    </row>
    <row r="13481" spans="5:35" x14ac:dyDescent="0.25">
      <c r="E13481" s="16"/>
      <c r="F13481" s="16"/>
      <c r="H13481" s="16"/>
      <c r="AG13481" s="80"/>
      <c r="AH13481" s="80"/>
      <c r="AI13481" s="80"/>
    </row>
    <row r="13482" spans="5:35" x14ac:dyDescent="0.25">
      <c r="E13482" s="16"/>
      <c r="F13482" s="16"/>
      <c r="H13482" s="16"/>
      <c r="AG13482" s="80"/>
      <c r="AH13482" s="80"/>
      <c r="AI13482" s="80"/>
    </row>
    <row r="13483" spans="5:35" x14ac:dyDescent="0.25">
      <c r="E13483" s="16"/>
      <c r="F13483" s="16"/>
      <c r="H13483" s="16"/>
      <c r="AG13483" s="80"/>
      <c r="AH13483" s="80"/>
      <c r="AI13483" s="80"/>
    </row>
    <row r="13484" spans="5:35" x14ac:dyDescent="0.25">
      <c r="E13484" s="16"/>
      <c r="F13484" s="16"/>
      <c r="H13484" s="16"/>
      <c r="AG13484" s="80"/>
      <c r="AH13484" s="80"/>
      <c r="AI13484" s="80"/>
    </row>
    <row r="13485" spans="5:35" x14ac:dyDescent="0.25">
      <c r="E13485" s="16"/>
      <c r="F13485" s="16"/>
      <c r="H13485" s="16"/>
      <c r="AG13485" s="80"/>
      <c r="AH13485" s="80"/>
      <c r="AI13485" s="80"/>
    </row>
    <row r="13486" spans="5:35" x14ac:dyDescent="0.25">
      <c r="E13486" s="16"/>
      <c r="F13486" s="16"/>
      <c r="H13486" s="16"/>
      <c r="AG13486" s="80"/>
      <c r="AH13486" s="80"/>
      <c r="AI13486" s="80"/>
    </row>
    <row r="13487" spans="5:35" x14ac:dyDescent="0.25">
      <c r="E13487" s="16"/>
      <c r="F13487" s="16"/>
      <c r="H13487" s="16"/>
      <c r="AG13487" s="80"/>
      <c r="AH13487" s="80"/>
      <c r="AI13487" s="80"/>
    </row>
    <row r="13488" spans="5:35" x14ac:dyDescent="0.25">
      <c r="E13488" s="16"/>
      <c r="F13488" s="16"/>
      <c r="H13488" s="16"/>
      <c r="AG13488" s="80"/>
      <c r="AH13488" s="80"/>
      <c r="AI13488" s="80"/>
    </row>
    <row r="13489" spans="5:35" x14ac:dyDescent="0.25">
      <c r="E13489" s="16"/>
      <c r="F13489" s="16"/>
      <c r="H13489" s="16"/>
      <c r="AG13489" s="80"/>
      <c r="AH13489" s="80"/>
      <c r="AI13489" s="80"/>
    </row>
    <row r="13490" spans="5:35" x14ac:dyDescent="0.25">
      <c r="E13490" s="16"/>
      <c r="F13490" s="16"/>
      <c r="H13490" s="16"/>
      <c r="AG13490" s="80"/>
      <c r="AH13490" s="80"/>
      <c r="AI13490" s="80"/>
    </row>
    <row r="13491" spans="5:35" x14ac:dyDescent="0.25">
      <c r="E13491" s="16"/>
      <c r="F13491" s="16"/>
      <c r="H13491" s="16"/>
      <c r="AG13491" s="80"/>
      <c r="AH13491" s="80"/>
      <c r="AI13491" s="80"/>
    </row>
    <row r="13492" spans="5:35" x14ac:dyDescent="0.25">
      <c r="E13492" s="16"/>
      <c r="F13492" s="16"/>
      <c r="H13492" s="16"/>
      <c r="AG13492" s="80"/>
      <c r="AH13492" s="80"/>
      <c r="AI13492" s="80"/>
    </row>
    <row r="13493" spans="5:35" x14ac:dyDescent="0.25">
      <c r="E13493" s="16"/>
      <c r="F13493" s="16"/>
      <c r="H13493" s="16"/>
      <c r="AG13493" s="80"/>
      <c r="AH13493" s="80"/>
      <c r="AI13493" s="80"/>
    </row>
    <row r="13494" spans="5:35" x14ac:dyDescent="0.25">
      <c r="E13494" s="16"/>
      <c r="F13494" s="16"/>
      <c r="H13494" s="16"/>
      <c r="AG13494" s="80"/>
      <c r="AH13494" s="80"/>
      <c r="AI13494" s="80"/>
    </row>
    <row r="13495" spans="5:35" x14ac:dyDescent="0.25">
      <c r="E13495" s="16"/>
      <c r="F13495" s="16"/>
      <c r="H13495" s="16"/>
      <c r="AG13495" s="80"/>
      <c r="AH13495" s="80"/>
      <c r="AI13495" s="80"/>
    </row>
    <row r="13496" spans="5:35" x14ac:dyDescent="0.25">
      <c r="E13496" s="16"/>
      <c r="F13496" s="16"/>
      <c r="H13496" s="16"/>
      <c r="AG13496" s="80"/>
      <c r="AH13496" s="80"/>
      <c r="AI13496" s="80"/>
    </row>
    <row r="13497" spans="5:35" x14ac:dyDescent="0.25">
      <c r="E13497" s="16"/>
      <c r="F13497" s="16"/>
      <c r="H13497" s="16"/>
      <c r="AG13497" s="80"/>
      <c r="AH13497" s="80"/>
      <c r="AI13497" s="80"/>
    </row>
    <row r="13498" spans="5:35" x14ac:dyDescent="0.25">
      <c r="E13498" s="16"/>
      <c r="F13498" s="16"/>
      <c r="H13498" s="16"/>
      <c r="AG13498" s="80"/>
      <c r="AH13498" s="80"/>
      <c r="AI13498" s="80"/>
    </row>
    <row r="13499" spans="5:35" x14ac:dyDescent="0.25">
      <c r="E13499" s="16"/>
      <c r="F13499" s="16"/>
      <c r="H13499" s="16"/>
      <c r="AG13499" s="80"/>
      <c r="AH13499" s="80"/>
      <c r="AI13499" s="80"/>
    </row>
    <row r="13500" spans="5:35" x14ac:dyDescent="0.25">
      <c r="E13500" s="16"/>
      <c r="F13500" s="16"/>
      <c r="H13500" s="16"/>
      <c r="AG13500" s="80"/>
      <c r="AH13500" s="80"/>
      <c r="AI13500" s="80"/>
    </row>
    <row r="13501" spans="5:35" x14ac:dyDescent="0.25">
      <c r="E13501" s="16"/>
      <c r="F13501" s="16"/>
      <c r="H13501" s="16"/>
      <c r="AG13501" s="80"/>
      <c r="AH13501" s="80"/>
      <c r="AI13501" s="80"/>
    </row>
    <row r="13502" spans="5:35" x14ac:dyDescent="0.25">
      <c r="E13502" s="16"/>
      <c r="F13502" s="16"/>
      <c r="H13502" s="16"/>
      <c r="AG13502" s="80"/>
      <c r="AH13502" s="80"/>
      <c r="AI13502" s="80"/>
    </row>
    <row r="13503" spans="5:35" x14ac:dyDescent="0.25">
      <c r="E13503" s="16"/>
      <c r="F13503" s="16"/>
      <c r="H13503" s="16"/>
      <c r="AG13503" s="80"/>
      <c r="AH13503" s="80"/>
      <c r="AI13503" s="80"/>
    </row>
    <row r="13504" spans="5:35" x14ac:dyDescent="0.25">
      <c r="E13504" s="16"/>
      <c r="F13504" s="16"/>
      <c r="H13504" s="16"/>
      <c r="AG13504" s="80"/>
      <c r="AH13504" s="80"/>
      <c r="AI13504" s="80"/>
    </row>
    <row r="13505" spans="5:35" x14ac:dyDescent="0.25">
      <c r="E13505" s="16"/>
      <c r="F13505" s="16"/>
      <c r="H13505" s="16"/>
      <c r="AG13505" s="80"/>
      <c r="AH13505" s="80"/>
      <c r="AI13505" s="80"/>
    </row>
    <row r="13506" spans="5:35" x14ac:dyDescent="0.25">
      <c r="E13506" s="16"/>
      <c r="F13506" s="16"/>
      <c r="H13506" s="16"/>
      <c r="AG13506" s="80"/>
      <c r="AH13506" s="80"/>
      <c r="AI13506" s="80"/>
    </row>
    <row r="13507" spans="5:35" x14ac:dyDescent="0.25">
      <c r="E13507" s="16"/>
      <c r="F13507" s="16"/>
      <c r="H13507" s="16"/>
      <c r="AG13507" s="80"/>
      <c r="AH13507" s="80"/>
      <c r="AI13507" s="80"/>
    </row>
    <row r="13508" spans="5:35" x14ac:dyDescent="0.25">
      <c r="E13508" s="16"/>
      <c r="F13508" s="16"/>
      <c r="H13508" s="16"/>
      <c r="AG13508" s="80"/>
      <c r="AH13508" s="80"/>
      <c r="AI13508" s="80"/>
    </row>
    <row r="13509" spans="5:35" x14ac:dyDescent="0.25">
      <c r="E13509" s="16"/>
      <c r="F13509" s="16"/>
      <c r="H13509" s="16"/>
      <c r="AG13509" s="80"/>
      <c r="AH13509" s="80"/>
      <c r="AI13509" s="80"/>
    </row>
    <row r="13510" spans="5:35" x14ac:dyDescent="0.25">
      <c r="E13510" s="16"/>
      <c r="F13510" s="16"/>
      <c r="H13510" s="16"/>
      <c r="AG13510" s="80"/>
      <c r="AH13510" s="80"/>
      <c r="AI13510" s="80"/>
    </row>
    <row r="13511" spans="5:35" x14ac:dyDescent="0.25">
      <c r="E13511" s="16"/>
      <c r="F13511" s="16"/>
      <c r="H13511" s="16"/>
      <c r="AG13511" s="80"/>
      <c r="AH13511" s="80"/>
      <c r="AI13511" s="80"/>
    </row>
    <row r="13512" spans="5:35" x14ac:dyDescent="0.25">
      <c r="E13512" s="16"/>
      <c r="F13512" s="16"/>
      <c r="H13512" s="16"/>
      <c r="AG13512" s="80"/>
      <c r="AH13512" s="80"/>
      <c r="AI13512" s="80"/>
    </row>
    <row r="13513" spans="5:35" x14ac:dyDescent="0.25">
      <c r="E13513" s="16"/>
      <c r="F13513" s="16"/>
      <c r="H13513" s="16"/>
      <c r="AG13513" s="80"/>
      <c r="AH13513" s="80"/>
      <c r="AI13513" s="80"/>
    </row>
    <row r="13514" spans="5:35" x14ac:dyDescent="0.25">
      <c r="E13514" s="16"/>
      <c r="F13514" s="16"/>
      <c r="H13514" s="16"/>
      <c r="AG13514" s="80"/>
      <c r="AH13514" s="80"/>
      <c r="AI13514" s="80"/>
    </row>
    <row r="13515" spans="5:35" x14ac:dyDescent="0.25">
      <c r="E13515" s="16"/>
      <c r="F13515" s="16"/>
      <c r="H13515" s="16"/>
      <c r="AG13515" s="80"/>
      <c r="AH13515" s="80"/>
      <c r="AI13515" s="80"/>
    </row>
    <row r="13516" spans="5:35" x14ac:dyDescent="0.25">
      <c r="E13516" s="16"/>
      <c r="F13516" s="16"/>
      <c r="H13516" s="16"/>
      <c r="AG13516" s="80"/>
      <c r="AH13516" s="80"/>
      <c r="AI13516" s="80"/>
    </row>
    <row r="13517" spans="5:35" x14ac:dyDescent="0.25">
      <c r="E13517" s="16"/>
      <c r="F13517" s="16"/>
      <c r="H13517" s="16"/>
      <c r="AG13517" s="80"/>
      <c r="AH13517" s="80"/>
      <c r="AI13517" s="80"/>
    </row>
    <row r="13518" spans="5:35" x14ac:dyDescent="0.25">
      <c r="E13518" s="16"/>
      <c r="F13518" s="16"/>
      <c r="H13518" s="16"/>
      <c r="AG13518" s="80"/>
      <c r="AH13518" s="80"/>
      <c r="AI13518" s="80"/>
    </row>
    <row r="13519" spans="5:35" x14ac:dyDescent="0.25">
      <c r="E13519" s="16"/>
      <c r="F13519" s="16"/>
      <c r="H13519" s="16"/>
      <c r="AG13519" s="80"/>
      <c r="AH13519" s="80"/>
      <c r="AI13519" s="80"/>
    </row>
    <row r="13520" spans="5:35" x14ac:dyDescent="0.25">
      <c r="E13520" s="16"/>
      <c r="F13520" s="16"/>
      <c r="H13520" s="16"/>
      <c r="AG13520" s="80"/>
      <c r="AH13520" s="80"/>
      <c r="AI13520" s="80"/>
    </row>
    <row r="13521" spans="5:35" x14ac:dyDescent="0.25">
      <c r="E13521" s="16"/>
      <c r="F13521" s="16"/>
      <c r="H13521" s="16"/>
      <c r="AG13521" s="80"/>
      <c r="AH13521" s="80"/>
      <c r="AI13521" s="80"/>
    </row>
    <row r="13522" spans="5:35" x14ac:dyDescent="0.25">
      <c r="E13522" s="16"/>
      <c r="F13522" s="16"/>
      <c r="H13522" s="16"/>
      <c r="AG13522" s="80"/>
      <c r="AH13522" s="80"/>
      <c r="AI13522" s="80"/>
    </row>
    <row r="13523" spans="5:35" x14ac:dyDescent="0.25">
      <c r="E13523" s="16"/>
      <c r="F13523" s="16"/>
      <c r="H13523" s="16"/>
      <c r="AG13523" s="80"/>
      <c r="AH13523" s="80"/>
      <c r="AI13523" s="80"/>
    </row>
    <row r="13524" spans="5:35" x14ac:dyDescent="0.25">
      <c r="E13524" s="16"/>
      <c r="F13524" s="16"/>
      <c r="H13524" s="16"/>
      <c r="AG13524" s="80"/>
      <c r="AH13524" s="80"/>
      <c r="AI13524" s="80"/>
    </row>
    <row r="13525" spans="5:35" x14ac:dyDescent="0.25">
      <c r="E13525" s="16"/>
      <c r="F13525" s="16"/>
      <c r="H13525" s="16"/>
      <c r="AG13525" s="80"/>
      <c r="AH13525" s="80"/>
      <c r="AI13525" s="80"/>
    </row>
    <row r="13526" spans="5:35" x14ac:dyDescent="0.25">
      <c r="E13526" s="16"/>
      <c r="F13526" s="16"/>
      <c r="H13526" s="16"/>
      <c r="AG13526" s="80"/>
      <c r="AH13526" s="80"/>
      <c r="AI13526" s="80"/>
    </row>
    <row r="13527" spans="5:35" x14ac:dyDescent="0.25">
      <c r="E13527" s="16"/>
      <c r="F13527" s="16"/>
      <c r="H13527" s="16"/>
      <c r="AG13527" s="80"/>
      <c r="AH13527" s="80"/>
      <c r="AI13527" s="80"/>
    </row>
    <row r="13528" spans="5:35" x14ac:dyDescent="0.25">
      <c r="E13528" s="16"/>
      <c r="F13528" s="16"/>
      <c r="H13528" s="16"/>
      <c r="AG13528" s="80"/>
      <c r="AH13528" s="80"/>
      <c r="AI13528" s="80"/>
    </row>
    <row r="13529" spans="5:35" x14ac:dyDescent="0.25">
      <c r="E13529" s="16"/>
      <c r="F13529" s="16"/>
      <c r="H13529" s="16"/>
      <c r="AG13529" s="80"/>
      <c r="AH13529" s="80"/>
      <c r="AI13529" s="80"/>
    </row>
    <row r="13530" spans="5:35" x14ac:dyDescent="0.25">
      <c r="E13530" s="16"/>
      <c r="F13530" s="16"/>
      <c r="H13530" s="16"/>
      <c r="AG13530" s="80"/>
      <c r="AH13530" s="80"/>
      <c r="AI13530" s="80"/>
    </row>
    <row r="13531" spans="5:35" x14ac:dyDescent="0.25">
      <c r="E13531" s="16"/>
      <c r="F13531" s="16"/>
      <c r="H13531" s="16"/>
      <c r="AG13531" s="80"/>
      <c r="AH13531" s="80"/>
      <c r="AI13531" s="80"/>
    </row>
    <row r="13532" spans="5:35" x14ac:dyDescent="0.25">
      <c r="E13532" s="16"/>
      <c r="F13532" s="16"/>
      <c r="H13532" s="16"/>
      <c r="AG13532" s="80"/>
      <c r="AH13532" s="80"/>
      <c r="AI13532" s="80"/>
    </row>
    <row r="13533" spans="5:35" x14ac:dyDescent="0.25">
      <c r="E13533" s="16"/>
      <c r="F13533" s="16"/>
      <c r="H13533" s="16"/>
      <c r="AG13533" s="80"/>
      <c r="AH13533" s="80"/>
      <c r="AI13533" s="80"/>
    </row>
    <row r="13534" spans="5:35" x14ac:dyDescent="0.25">
      <c r="E13534" s="16"/>
      <c r="F13534" s="16"/>
      <c r="H13534" s="16"/>
      <c r="AG13534" s="80"/>
      <c r="AH13534" s="80"/>
      <c r="AI13534" s="80"/>
    </row>
    <row r="13535" spans="5:35" x14ac:dyDescent="0.25">
      <c r="E13535" s="16"/>
      <c r="F13535" s="16"/>
      <c r="H13535" s="16"/>
      <c r="AG13535" s="80"/>
      <c r="AH13535" s="80"/>
      <c r="AI13535" s="80"/>
    </row>
    <row r="13536" spans="5:35" x14ac:dyDescent="0.25">
      <c r="E13536" s="16"/>
      <c r="F13536" s="16"/>
      <c r="H13536" s="16"/>
      <c r="AG13536" s="80"/>
      <c r="AH13536" s="80"/>
      <c r="AI13536" s="80"/>
    </row>
    <row r="13537" spans="5:35" x14ac:dyDescent="0.25">
      <c r="E13537" s="16"/>
      <c r="F13537" s="16"/>
      <c r="H13537" s="16"/>
      <c r="AG13537" s="80"/>
      <c r="AH13537" s="80"/>
      <c r="AI13537" s="80"/>
    </row>
    <row r="13538" spans="5:35" x14ac:dyDescent="0.25">
      <c r="E13538" s="16"/>
      <c r="F13538" s="16"/>
      <c r="H13538" s="16"/>
      <c r="AG13538" s="80"/>
      <c r="AH13538" s="80"/>
      <c r="AI13538" s="80"/>
    </row>
    <row r="13539" spans="5:35" x14ac:dyDescent="0.25">
      <c r="E13539" s="16"/>
      <c r="F13539" s="16"/>
      <c r="H13539" s="16"/>
      <c r="AG13539" s="80"/>
      <c r="AH13539" s="80"/>
      <c r="AI13539" s="80"/>
    </row>
    <row r="13540" spans="5:35" x14ac:dyDescent="0.25">
      <c r="E13540" s="16"/>
      <c r="F13540" s="16"/>
      <c r="H13540" s="16"/>
      <c r="AG13540" s="80"/>
      <c r="AH13540" s="80"/>
      <c r="AI13540" s="80"/>
    </row>
    <row r="13541" spans="5:35" x14ac:dyDescent="0.25">
      <c r="E13541" s="16"/>
      <c r="F13541" s="16"/>
      <c r="H13541" s="16"/>
      <c r="AG13541" s="80"/>
      <c r="AH13541" s="80"/>
      <c r="AI13541" s="80"/>
    </row>
    <row r="13542" spans="5:35" x14ac:dyDescent="0.25">
      <c r="E13542" s="16"/>
      <c r="F13542" s="16"/>
      <c r="H13542" s="16"/>
      <c r="AG13542" s="80"/>
      <c r="AH13542" s="80"/>
      <c r="AI13542" s="80"/>
    </row>
    <row r="13543" spans="5:35" x14ac:dyDescent="0.25">
      <c r="E13543" s="16"/>
      <c r="F13543" s="16"/>
      <c r="H13543" s="16"/>
      <c r="AG13543" s="80"/>
      <c r="AH13543" s="80"/>
      <c r="AI13543" s="80"/>
    </row>
    <row r="13544" spans="5:35" x14ac:dyDescent="0.25">
      <c r="E13544" s="16"/>
      <c r="F13544" s="16"/>
      <c r="H13544" s="16"/>
      <c r="AG13544" s="80"/>
      <c r="AH13544" s="80"/>
      <c r="AI13544" s="80"/>
    </row>
    <row r="13545" spans="5:35" x14ac:dyDescent="0.25">
      <c r="E13545" s="16"/>
      <c r="F13545" s="16"/>
      <c r="H13545" s="16"/>
      <c r="AG13545" s="80"/>
      <c r="AH13545" s="80"/>
      <c r="AI13545" s="80"/>
    </row>
    <row r="13546" spans="5:35" x14ac:dyDescent="0.25">
      <c r="E13546" s="16"/>
      <c r="F13546" s="16"/>
      <c r="H13546" s="16"/>
      <c r="AG13546" s="80"/>
      <c r="AH13546" s="80"/>
      <c r="AI13546" s="80"/>
    </row>
    <row r="13547" spans="5:35" x14ac:dyDescent="0.25">
      <c r="E13547" s="16"/>
      <c r="F13547" s="16"/>
      <c r="H13547" s="16"/>
      <c r="AG13547" s="80"/>
      <c r="AH13547" s="80"/>
      <c r="AI13547" s="80"/>
    </row>
    <row r="13548" spans="5:35" x14ac:dyDescent="0.25">
      <c r="E13548" s="16"/>
      <c r="F13548" s="16"/>
      <c r="H13548" s="16"/>
      <c r="AG13548" s="80"/>
      <c r="AH13548" s="80"/>
      <c r="AI13548" s="80"/>
    </row>
    <row r="13549" spans="5:35" x14ac:dyDescent="0.25">
      <c r="E13549" s="16"/>
      <c r="F13549" s="16"/>
      <c r="H13549" s="16"/>
      <c r="AG13549" s="80"/>
      <c r="AH13549" s="80"/>
      <c r="AI13549" s="80"/>
    </row>
    <row r="13550" spans="5:35" x14ac:dyDescent="0.25">
      <c r="E13550" s="16"/>
      <c r="F13550" s="16"/>
      <c r="H13550" s="16"/>
      <c r="AG13550" s="80"/>
      <c r="AH13550" s="80"/>
      <c r="AI13550" s="80"/>
    </row>
    <row r="13551" spans="5:35" x14ac:dyDescent="0.25">
      <c r="E13551" s="16"/>
      <c r="F13551" s="16"/>
      <c r="H13551" s="16"/>
      <c r="AG13551" s="80"/>
      <c r="AH13551" s="80"/>
      <c r="AI13551" s="80"/>
    </row>
    <row r="13552" spans="5:35" x14ac:dyDescent="0.25">
      <c r="E13552" s="16"/>
      <c r="F13552" s="16"/>
      <c r="H13552" s="16"/>
      <c r="AG13552" s="80"/>
      <c r="AH13552" s="80"/>
      <c r="AI13552" s="80"/>
    </row>
    <row r="13553" spans="5:35" x14ac:dyDescent="0.25">
      <c r="E13553" s="16"/>
      <c r="F13553" s="16"/>
      <c r="H13553" s="16"/>
      <c r="AG13553" s="80"/>
      <c r="AH13553" s="80"/>
      <c r="AI13553" s="80"/>
    </row>
    <row r="13554" spans="5:35" x14ac:dyDescent="0.25">
      <c r="E13554" s="16"/>
      <c r="F13554" s="16"/>
      <c r="H13554" s="16"/>
      <c r="AG13554" s="80"/>
      <c r="AH13554" s="80"/>
      <c r="AI13554" s="80"/>
    </row>
    <row r="13555" spans="5:35" x14ac:dyDescent="0.25">
      <c r="E13555" s="16"/>
      <c r="F13555" s="16"/>
      <c r="H13555" s="16"/>
      <c r="AG13555" s="80"/>
      <c r="AH13555" s="80"/>
      <c r="AI13555" s="80"/>
    </row>
    <row r="13556" spans="5:35" x14ac:dyDescent="0.25">
      <c r="E13556" s="16"/>
      <c r="F13556" s="16"/>
      <c r="H13556" s="16"/>
      <c r="AG13556" s="80"/>
      <c r="AH13556" s="80"/>
      <c r="AI13556" s="80"/>
    </row>
    <row r="13557" spans="5:35" x14ac:dyDescent="0.25">
      <c r="E13557" s="16"/>
      <c r="F13557" s="16"/>
      <c r="H13557" s="16"/>
      <c r="AG13557" s="80"/>
      <c r="AH13557" s="80"/>
      <c r="AI13557" s="80"/>
    </row>
    <row r="13558" spans="5:35" x14ac:dyDescent="0.25">
      <c r="E13558" s="16"/>
      <c r="F13558" s="16"/>
      <c r="H13558" s="16"/>
      <c r="AG13558" s="80"/>
      <c r="AH13558" s="80"/>
      <c r="AI13558" s="80"/>
    </row>
    <row r="13559" spans="5:35" x14ac:dyDescent="0.25">
      <c r="E13559" s="16"/>
      <c r="F13559" s="16"/>
      <c r="H13559" s="16"/>
      <c r="AG13559" s="80"/>
      <c r="AH13559" s="80"/>
      <c r="AI13559" s="80"/>
    </row>
    <row r="13560" spans="5:35" x14ac:dyDescent="0.25">
      <c r="E13560" s="16"/>
      <c r="F13560" s="16"/>
      <c r="H13560" s="16"/>
      <c r="AG13560" s="80"/>
      <c r="AH13560" s="80"/>
      <c r="AI13560" s="80"/>
    </row>
    <row r="13561" spans="5:35" x14ac:dyDescent="0.25">
      <c r="E13561" s="16"/>
      <c r="F13561" s="16"/>
      <c r="H13561" s="16"/>
      <c r="AG13561" s="80"/>
      <c r="AH13561" s="80"/>
      <c r="AI13561" s="80"/>
    </row>
    <row r="13562" spans="5:35" x14ac:dyDescent="0.25">
      <c r="E13562" s="16"/>
      <c r="F13562" s="16"/>
      <c r="H13562" s="16"/>
      <c r="AG13562" s="80"/>
      <c r="AH13562" s="80"/>
      <c r="AI13562" s="80"/>
    </row>
    <row r="13563" spans="5:35" x14ac:dyDescent="0.25">
      <c r="E13563" s="16"/>
      <c r="F13563" s="16"/>
      <c r="H13563" s="16"/>
      <c r="AG13563" s="80"/>
      <c r="AH13563" s="80"/>
      <c r="AI13563" s="80"/>
    </row>
    <row r="13564" spans="5:35" x14ac:dyDescent="0.25">
      <c r="E13564" s="16"/>
      <c r="F13564" s="16"/>
      <c r="H13564" s="16"/>
      <c r="AG13564" s="80"/>
      <c r="AH13564" s="80"/>
      <c r="AI13564" s="80"/>
    </row>
    <row r="13565" spans="5:35" x14ac:dyDescent="0.25">
      <c r="E13565" s="16"/>
      <c r="F13565" s="16"/>
      <c r="H13565" s="16"/>
      <c r="AG13565" s="80"/>
      <c r="AH13565" s="80"/>
      <c r="AI13565" s="80"/>
    </row>
    <row r="13566" spans="5:35" x14ac:dyDescent="0.25">
      <c r="E13566" s="16"/>
      <c r="F13566" s="16"/>
      <c r="H13566" s="16"/>
      <c r="AG13566" s="80"/>
      <c r="AH13566" s="80"/>
      <c r="AI13566" s="80"/>
    </row>
    <row r="13567" spans="5:35" x14ac:dyDescent="0.25">
      <c r="E13567" s="16"/>
      <c r="F13567" s="16"/>
      <c r="H13567" s="16"/>
      <c r="AG13567" s="80"/>
      <c r="AH13567" s="80"/>
      <c r="AI13567" s="80"/>
    </row>
    <row r="13568" spans="5:35" x14ac:dyDescent="0.25">
      <c r="E13568" s="16"/>
      <c r="F13568" s="16"/>
      <c r="H13568" s="16"/>
      <c r="AG13568" s="80"/>
      <c r="AH13568" s="80"/>
      <c r="AI13568" s="80"/>
    </row>
    <row r="13569" spans="5:35" x14ac:dyDescent="0.25">
      <c r="E13569" s="16"/>
      <c r="F13569" s="16"/>
      <c r="H13569" s="16"/>
      <c r="AG13569" s="80"/>
      <c r="AH13569" s="80"/>
      <c r="AI13569" s="80"/>
    </row>
    <row r="13570" spans="5:35" x14ac:dyDescent="0.25">
      <c r="E13570" s="16"/>
      <c r="F13570" s="16"/>
      <c r="H13570" s="16"/>
      <c r="AG13570" s="80"/>
      <c r="AH13570" s="80"/>
      <c r="AI13570" s="80"/>
    </row>
    <row r="13571" spans="5:35" x14ac:dyDescent="0.25">
      <c r="E13571" s="16"/>
      <c r="F13571" s="16"/>
      <c r="H13571" s="16"/>
      <c r="AG13571" s="80"/>
      <c r="AH13571" s="80"/>
      <c r="AI13571" s="80"/>
    </row>
    <row r="13572" spans="5:35" x14ac:dyDescent="0.25">
      <c r="E13572" s="16"/>
      <c r="F13572" s="16"/>
      <c r="H13572" s="16"/>
      <c r="AG13572" s="80"/>
      <c r="AH13572" s="80"/>
      <c r="AI13572" s="80"/>
    </row>
    <row r="13573" spans="5:35" x14ac:dyDescent="0.25">
      <c r="E13573" s="16"/>
      <c r="F13573" s="16"/>
      <c r="H13573" s="16"/>
      <c r="AG13573" s="80"/>
      <c r="AH13573" s="80"/>
      <c r="AI13573" s="80"/>
    </row>
    <row r="13574" spans="5:35" x14ac:dyDescent="0.25">
      <c r="E13574" s="16"/>
      <c r="F13574" s="16"/>
      <c r="H13574" s="16"/>
      <c r="AG13574" s="80"/>
      <c r="AH13574" s="80"/>
      <c r="AI13574" s="80"/>
    </row>
    <row r="13575" spans="5:35" x14ac:dyDescent="0.25">
      <c r="E13575" s="16"/>
      <c r="F13575" s="16"/>
      <c r="H13575" s="16"/>
      <c r="AG13575" s="80"/>
      <c r="AH13575" s="80"/>
      <c r="AI13575" s="80"/>
    </row>
    <row r="13576" spans="5:35" x14ac:dyDescent="0.25">
      <c r="E13576" s="16"/>
      <c r="F13576" s="16"/>
      <c r="H13576" s="16"/>
      <c r="AG13576" s="80"/>
      <c r="AH13576" s="80"/>
      <c r="AI13576" s="80"/>
    </row>
    <row r="13577" spans="5:35" x14ac:dyDescent="0.25">
      <c r="E13577" s="16"/>
      <c r="F13577" s="16"/>
      <c r="H13577" s="16"/>
      <c r="AG13577" s="80"/>
      <c r="AH13577" s="80"/>
      <c r="AI13577" s="80"/>
    </row>
    <row r="13578" spans="5:35" x14ac:dyDescent="0.25">
      <c r="E13578" s="16"/>
      <c r="F13578" s="16"/>
      <c r="H13578" s="16"/>
      <c r="AG13578" s="80"/>
      <c r="AH13578" s="80"/>
      <c r="AI13578" s="80"/>
    </row>
    <row r="13579" spans="5:35" x14ac:dyDescent="0.25">
      <c r="E13579" s="16"/>
      <c r="F13579" s="16"/>
      <c r="H13579" s="16"/>
      <c r="AG13579" s="80"/>
      <c r="AH13579" s="80"/>
      <c r="AI13579" s="80"/>
    </row>
    <row r="13580" spans="5:35" x14ac:dyDescent="0.25">
      <c r="E13580" s="16"/>
      <c r="F13580" s="16"/>
      <c r="H13580" s="16"/>
      <c r="AG13580" s="80"/>
      <c r="AH13580" s="80"/>
      <c r="AI13580" s="80"/>
    </row>
    <row r="13581" spans="5:35" x14ac:dyDescent="0.25">
      <c r="E13581" s="16"/>
      <c r="F13581" s="16"/>
      <c r="H13581" s="16"/>
      <c r="AG13581" s="80"/>
      <c r="AH13581" s="80"/>
      <c r="AI13581" s="80"/>
    </row>
    <row r="13582" spans="5:35" x14ac:dyDescent="0.25">
      <c r="E13582" s="16"/>
      <c r="F13582" s="16"/>
      <c r="H13582" s="16"/>
      <c r="AG13582" s="80"/>
      <c r="AH13582" s="80"/>
      <c r="AI13582" s="80"/>
    </row>
    <row r="13583" spans="5:35" x14ac:dyDescent="0.25">
      <c r="E13583" s="16"/>
      <c r="F13583" s="16"/>
      <c r="H13583" s="16"/>
      <c r="AG13583" s="80"/>
      <c r="AH13583" s="80"/>
      <c r="AI13583" s="80"/>
    </row>
    <row r="13584" spans="5:35" x14ac:dyDescent="0.25">
      <c r="E13584" s="16"/>
      <c r="F13584" s="16"/>
      <c r="H13584" s="16"/>
      <c r="AG13584" s="80"/>
      <c r="AH13584" s="80"/>
      <c r="AI13584" s="80"/>
    </row>
    <row r="13585" spans="5:35" x14ac:dyDescent="0.25">
      <c r="E13585" s="16"/>
      <c r="F13585" s="16"/>
      <c r="H13585" s="16"/>
      <c r="AG13585" s="80"/>
      <c r="AH13585" s="80"/>
      <c r="AI13585" s="80"/>
    </row>
    <row r="13586" spans="5:35" x14ac:dyDescent="0.25">
      <c r="E13586" s="16"/>
      <c r="F13586" s="16"/>
      <c r="H13586" s="16"/>
      <c r="AG13586" s="80"/>
      <c r="AH13586" s="80"/>
      <c r="AI13586" s="80"/>
    </row>
    <row r="13587" spans="5:35" x14ac:dyDescent="0.25">
      <c r="E13587" s="16"/>
      <c r="F13587" s="16"/>
      <c r="H13587" s="16"/>
      <c r="AG13587" s="80"/>
      <c r="AH13587" s="80"/>
      <c r="AI13587" s="80"/>
    </row>
    <row r="13588" spans="5:35" x14ac:dyDescent="0.25">
      <c r="E13588" s="16"/>
      <c r="F13588" s="16"/>
      <c r="H13588" s="16"/>
      <c r="AG13588" s="80"/>
      <c r="AH13588" s="80"/>
      <c r="AI13588" s="80"/>
    </row>
    <row r="13589" spans="5:35" x14ac:dyDescent="0.25">
      <c r="E13589" s="16"/>
      <c r="F13589" s="16"/>
      <c r="H13589" s="16"/>
      <c r="AG13589" s="80"/>
      <c r="AH13589" s="80"/>
      <c r="AI13589" s="80"/>
    </row>
    <row r="13590" spans="5:35" x14ac:dyDescent="0.25">
      <c r="E13590" s="16"/>
      <c r="F13590" s="16"/>
      <c r="H13590" s="16"/>
      <c r="AG13590" s="80"/>
      <c r="AH13590" s="80"/>
      <c r="AI13590" s="80"/>
    </row>
    <row r="13591" spans="5:35" x14ac:dyDescent="0.25">
      <c r="E13591" s="16"/>
      <c r="F13591" s="16"/>
      <c r="H13591" s="16"/>
      <c r="AG13591" s="80"/>
      <c r="AH13591" s="80"/>
      <c r="AI13591" s="80"/>
    </row>
    <row r="13592" spans="5:35" x14ac:dyDescent="0.25">
      <c r="E13592" s="16"/>
      <c r="F13592" s="16"/>
      <c r="H13592" s="16"/>
      <c r="AG13592" s="80"/>
      <c r="AH13592" s="80"/>
      <c r="AI13592" s="80"/>
    </row>
    <row r="13593" spans="5:35" x14ac:dyDescent="0.25">
      <c r="E13593" s="16"/>
      <c r="F13593" s="16"/>
      <c r="H13593" s="16"/>
      <c r="AG13593" s="80"/>
      <c r="AH13593" s="80"/>
      <c r="AI13593" s="80"/>
    </row>
    <row r="13594" spans="5:35" x14ac:dyDescent="0.25">
      <c r="E13594" s="16"/>
      <c r="F13594" s="16"/>
      <c r="H13594" s="16"/>
      <c r="AG13594" s="80"/>
      <c r="AH13594" s="80"/>
      <c r="AI13594" s="80"/>
    </row>
    <row r="13595" spans="5:35" x14ac:dyDescent="0.25">
      <c r="E13595" s="16"/>
      <c r="F13595" s="16"/>
      <c r="H13595" s="16"/>
      <c r="AG13595" s="80"/>
      <c r="AH13595" s="80"/>
      <c r="AI13595" s="80"/>
    </row>
    <row r="13596" spans="5:35" x14ac:dyDescent="0.25">
      <c r="E13596" s="16"/>
      <c r="F13596" s="16"/>
      <c r="H13596" s="16"/>
      <c r="AG13596" s="80"/>
      <c r="AH13596" s="80"/>
      <c r="AI13596" s="80"/>
    </row>
    <row r="13597" spans="5:35" x14ac:dyDescent="0.25">
      <c r="E13597" s="16"/>
      <c r="F13597" s="16"/>
      <c r="H13597" s="16"/>
      <c r="AG13597" s="80"/>
      <c r="AH13597" s="80"/>
      <c r="AI13597" s="80"/>
    </row>
    <row r="13598" spans="5:35" x14ac:dyDescent="0.25">
      <c r="E13598" s="16"/>
      <c r="F13598" s="16"/>
      <c r="H13598" s="16"/>
      <c r="AG13598" s="80"/>
      <c r="AH13598" s="80"/>
      <c r="AI13598" s="80"/>
    </row>
    <row r="13599" spans="5:35" x14ac:dyDescent="0.25">
      <c r="E13599" s="16"/>
      <c r="F13599" s="16"/>
      <c r="H13599" s="16"/>
      <c r="AG13599" s="80"/>
      <c r="AH13599" s="80"/>
      <c r="AI13599" s="80"/>
    </row>
    <row r="13600" spans="5:35" x14ac:dyDescent="0.25">
      <c r="E13600" s="16"/>
      <c r="F13600" s="16"/>
      <c r="H13600" s="16"/>
      <c r="AG13600" s="80"/>
      <c r="AH13600" s="80"/>
      <c r="AI13600" s="80"/>
    </row>
    <row r="13601" spans="5:35" x14ac:dyDescent="0.25">
      <c r="E13601" s="16"/>
      <c r="F13601" s="16"/>
      <c r="H13601" s="16"/>
      <c r="AG13601" s="80"/>
      <c r="AH13601" s="80"/>
      <c r="AI13601" s="80"/>
    </row>
    <row r="13602" spans="5:35" x14ac:dyDescent="0.25">
      <c r="E13602" s="16"/>
      <c r="F13602" s="16"/>
      <c r="H13602" s="16"/>
      <c r="AG13602" s="80"/>
      <c r="AH13602" s="80"/>
      <c r="AI13602" s="80"/>
    </row>
    <row r="13603" spans="5:35" x14ac:dyDescent="0.25">
      <c r="E13603" s="16"/>
      <c r="F13603" s="16"/>
      <c r="H13603" s="16"/>
      <c r="AG13603" s="80"/>
      <c r="AH13603" s="80"/>
      <c r="AI13603" s="80"/>
    </row>
    <row r="13604" spans="5:35" x14ac:dyDescent="0.25">
      <c r="E13604" s="16"/>
      <c r="F13604" s="16"/>
      <c r="H13604" s="16"/>
      <c r="AG13604" s="80"/>
      <c r="AH13604" s="80"/>
      <c r="AI13604" s="80"/>
    </row>
    <row r="13605" spans="5:35" x14ac:dyDescent="0.25">
      <c r="E13605" s="16"/>
      <c r="F13605" s="16"/>
      <c r="H13605" s="16"/>
      <c r="AG13605" s="80"/>
      <c r="AH13605" s="80"/>
      <c r="AI13605" s="80"/>
    </row>
    <row r="13606" spans="5:35" x14ac:dyDescent="0.25">
      <c r="E13606" s="16"/>
      <c r="F13606" s="16"/>
      <c r="H13606" s="16"/>
      <c r="AG13606" s="80"/>
      <c r="AH13606" s="80"/>
      <c r="AI13606" s="80"/>
    </row>
    <row r="13607" spans="5:35" x14ac:dyDescent="0.25">
      <c r="E13607" s="16"/>
      <c r="F13607" s="16"/>
      <c r="H13607" s="16"/>
      <c r="AG13607" s="80"/>
      <c r="AH13607" s="80"/>
      <c r="AI13607" s="80"/>
    </row>
    <row r="13608" spans="5:35" x14ac:dyDescent="0.25">
      <c r="E13608" s="16"/>
      <c r="F13608" s="16"/>
      <c r="H13608" s="16"/>
      <c r="AG13608" s="80"/>
      <c r="AH13608" s="80"/>
      <c r="AI13608" s="80"/>
    </row>
    <row r="13609" spans="5:35" x14ac:dyDescent="0.25">
      <c r="E13609" s="16"/>
      <c r="F13609" s="16"/>
      <c r="H13609" s="16"/>
      <c r="AG13609" s="80"/>
      <c r="AH13609" s="80"/>
      <c r="AI13609" s="80"/>
    </row>
    <row r="13610" spans="5:35" x14ac:dyDescent="0.25">
      <c r="E13610" s="16"/>
      <c r="F13610" s="16"/>
      <c r="H13610" s="16"/>
      <c r="AG13610" s="80"/>
      <c r="AH13610" s="80"/>
      <c r="AI13610" s="80"/>
    </row>
    <row r="13611" spans="5:35" x14ac:dyDescent="0.25">
      <c r="E13611" s="16"/>
      <c r="F13611" s="16"/>
      <c r="H13611" s="16"/>
      <c r="AG13611" s="80"/>
      <c r="AH13611" s="80"/>
      <c r="AI13611" s="80"/>
    </row>
    <row r="13612" spans="5:35" x14ac:dyDescent="0.25">
      <c r="E13612" s="16"/>
      <c r="F13612" s="16"/>
      <c r="H13612" s="16"/>
      <c r="AG13612" s="80"/>
      <c r="AH13612" s="80"/>
      <c r="AI13612" s="80"/>
    </row>
    <row r="13613" spans="5:35" x14ac:dyDescent="0.25">
      <c r="E13613" s="16"/>
      <c r="F13613" s="16"/>
      <c r="H13613" s="16"/>
      <c r="AG13613" s="80"/>
      <c r="AH13613" s="80"/>
      <c r="AI13613" s="80"/>
    </row>
    <row r="13614" spans="5:35" x14ac:dyDescent="0.25">
      <c r="E13614" s="16"/>
      <c r="F13614" s="16"/>
      <c r="H13614" s="16"/>
      <c r="AG13614" s="80"/>
      <c r="AH13614" s="80"/>
      <c r="AI13614" s="80"/>
    </row>
    <row r="13615" spans="5:35" x14ac:dyDescent="0.25">
      <c r="E13615" s="16"/>
      <c r="F13615" s="16"/>
      <c r="H13615" s="16"/>
      <c r="AG13615" s="80"/>
      <c r="AH13615" s="80"/>
      <c r="AI13615" s="80"/>
    </row>
    <row r="13616" spans="5:35" x14ac:dyDescent="0.25">
      <c r="E13616" s="16"/>
      <c r="F13616" s="16"/>
      <c r="H13616" s="16"/>
      <c r="AG13616" s="80"/>
      <c r="AH13616" s="80"/>
      <c r="AI13616" s="80"/>
    </row>
    <row r="13617" spans="5:35" x14ac:dyDescent="0.25">
      <c r="E13617" s="16"/>
      <c r="F13617" s="16"/>
      <c r="H13617" s="16"/>
      <c r="AG13617" s="80"/>
      <c r="AH13617" s="80"/>
      <c r="AI13617" s="80"/>
    </row>
    <row r="13618" spans="5:35" x14ac:dyDescent="0.25">
      <c r="E13618" s="16"/>
      <c r="F13618" s="16"/>
      <c r="H13618" s="16"/>
      <c r="AG13618" s="80"/>
      <c r="AH13618" s="80"/>
      <c r="AI13618" s="80"/>
    </row>
    <row r="13619" spans="5:35" x14ac:dyDescent="0.25">
      <c r="E13619" s="16"/>
      <c r="F13619" s="16"/>
      <c r="H13619" s="16"/>
      <c r="AG13619" s="80"/>
      <c r="AH13619" s="80"/>
      <c r="AI13619" s="80"/>
    </row>
    <row r="13620" spans="5:35" x14ac:dyDescent="0.25">
      <c r="E13620" s="16"/>
      <c r="F13620" s="16"/>
      <c r="H13620" s="16"/>
      <c r="AG13620" s="80"/>
      <c r="AH13620" s="80"/>
      <c r="AI13620" s="80"/>
    </row>
    <row r="13621" spans="5:35" x14ac:dyDescent="0.25">
      <c r="E13621" s="16"/>
      <c r="F13621" s="16"/>
      <c r="H13621" s="16"/>
      <c r="AG13621" s="80"/>
      <c r="AH13621" s="80"/>
      <c r="AI13621" s="80"/>
    </row>
    <row r="13622" spans="5:35" x14ac:dyDescent="0.25">
      <c r="E13622" s="16"/>
      <c r="F13622" s="16"/>
      <c r="H13622" s="16"/>
      <c r="AG13622" s="80"/>
      <c r="AH13622" s="80"/>
      <c r="AI13622" s="80"/>
    </row>
    <row r="13623" spans="5:35" x14ac:dyDescent="0.25">
      <c r="E13623" s="16"/>
      <c r="F13623" s="16"/>
      <c r="H13623" s="16"/>
      <c r="AG13623" s="80"/>
      <c r="AH13623" s="80"/>
      <c r="AI13623" s="80"/>
    </row>
    <row r="13624" spans="5:35" x14ac:dyDescent="0.25">
      <c r="E13624" s="16"/>
      <c r="F13624" s="16"/>
      <c r="H13624" s="16"/>
      <c r="AG13624" s="80"/>
      <c r="AH13624" s="80"/>
      <c r="AI13624" s="80"/>
    </row>
    <row r="13625" spans="5:35" x14ac:dyDescent="0.25">
      <c r="E13625" s="16"/>
      <c r="F13625" s="16"/>
      <c r="H13625" s="16"/>
      <c r="AG13625" s="80"/>
      <c r="AH13625" s="80"/>
      <c r="AI13625" s="80"/>
    </row>
    <row r="13626" spans="5:35" x14ac:dyDescent="0.25">
      <c r="E13626" s="16"/>
      <c r="F13626" s="16"/>
      <c r="H13626" s="16"/>
      <c r="AG13626" s="80"/>
      <c r="AH13626" s="80"/>
      <c r="AI13626" s="80"/>
    </row>
    <row r="13627" spans="5:35" x14ac:dyDescent="0.25">
      <c r="E13627" s="16"/>
      <c r="F13627" s="16"/>
      <c r="H13627" s="16"/>
      <c r="AG13627" s="80"/>
      <c r="AH13627" s="80"/>
      <c r="AI13627" s="80"/>
    </row>
    <row r="13628" spans="5:35" x14ac:dyDescent="0.25">
      <c r="E13628" s="16"/>
      <c r="F13628" s="16"/>
      <c r="H13628" s="16"/>
      <c r="AG13628" s="80"/>
      <c r="AH13628" s="80"/>
      <c r="AI13628" s="80"/>
    </row>
    <row r="13629" spans="5:35" x14ac:dyDescent="0.25">
      <c r="E13629" s="16"/>
      <c r="F13629" s="16"/>
      <c r="H13629" s="16"/>
      <c r="AG13629" s="80"/>
      <c r="AH13629" s="80"/>
      <c r="AI13629" s="80"/>
    </row>
    <row r="13630" spans="5:35" x14ac:dyDescent="0.25">
      <c r="E13630" s="16"/>
      <c r="F13630" s="16"/>
      <c r="H13630" s="16"/>
      <c r="AG13630" s="80"/>
      <c r="AH13630" s="80"/>
      <c r="AI13630" s="80"/>
    </row>
    <row r="13631" spans="5:35" x14ac:dyDescent="0.25">
      <c r="E13631" s="16"/>
      <c r="F13631" s="16"/>
      <c r="H13631" s="16"/>
      <c r="AG13631" s="80"/>
      <c r="AH13631" s="80"/>
      <c r="AI13631" s="80"/>
    </row>
    <row r="13632" spans="5:35" x14ac:dyDescent="0.25">
      <c r="E13632" s="16"/>
      <c r="F13632" s="16"/>
      <c r="H13632" s="16"/>
      <c r="AG13632" s="80"/>
      <c r="AH13632" s="80"/>
      <c r="AI13632" s="80"/>
    </row>
    <row r="13633" spans="5:35" x14ac:dyDescent="0.25">
      <c r="E13633" s="16"/>
      <c r="F13633" s="16"/>
      <c r="H13633" s="16"/>
      <c r="AG13633" s="80"/>
      <c r="AH13633" s="80"/>
      <c r="AI13633" s="80"/>
    </row>
    <row r="13634" spans="5:35" x14ac:dyDescent="0.25">
      <c r="E13634" s="16"/>
      <c r="F13634" s="16"/>
      <c r="H13634" s="16"/>
      <c r="AG13634" s="80"/>
      <c r="AH13634" s="80"/>
      <c r="AI13634" s="80"/>
    </row>
    <row r="13635" spans="5:35" x14ac:dyDescent="0.25">
      <c r="E13635" s="16"/>
      <c r="F13635" s="16"/>
      <c r="H13635" s="16"/>
      <c r="AG13635" s="80"/>
      <c r="AH13635" s="80"/>
      <c r="AI13635" s="80"/>
    </row>
    <row r="13636" spans="5:35" x14ac:dyDescent="0.25">
      <c r="E13636" s="16"/>
      <c r="F13636" s="16"/>
      <c r="H13636" s="16"/>
      <c r="AG13636" s="80"/>
      <c r="AH13636" s="80"/>
      <c r="AI13636" s="80"/>
    </row>
    <row r="13637" spans="5:35" x14ac:dyDescent="0.25">
      <c r="E13637" s="16"/>
      <c r="F13637" s="16"/>
      <c r="H13637" s="16"/>
      <c r="AG13637" s="80"/>
      <c r="AH13637" s="80"/>
      <c r="AI13637" s="80"/>
    </row>
    <row r="13638" spans="5:35" x14ac:dyDescent="0.25">
      <c r="E13638" s="16"/>
      <c r="F13638" s="16"/>
      <c r="H13638" s="16"/>
      <c r="AG13638" s="80"/>
      <c r="AH13638" s="80"/>
      <c r="AI13638" s="80"/>
    </row>
    <row r="13639" spans="5:35" x14ac:dyDescent="0.25">
      <c r="E13639" s="16"/>
      <c r="F13639" s="16"/>
      <c r="H13639" s="16"/>
      <c r="AG13639" s="80"/>
      <c r="AH13639" s="80"/>
      <c r="AI13639" s="80"/>
    </row>
    <row r="13640" spans="5:35" x14ac:dyDescent="0.25">
      <c r="E13640" s="16"/>
      <c r="F13640" s="16"/>
      <c r="H13640" s="16"/>
      <c r="AG13640" s="80"/>
      <c r="AH13640" s="80"/>
      <c r="AI13640" s="80"/>
    </row>
    <row r="13641" spans="5:35" x14ac:dyDescent="0.25">
      <c r="E13641" s="16"/>
      <c r="F13641" s="16"/>
      <c r="H13641" s="16"/>
      <c r="AG13641" s="80"/>
      <c r="AH13641" s="80"/>
      <c r="AI13641" s="80"/>
    </row>
    <row r="13642" spans="5:35" x14ac:dyDescent="0.25">
      <c r="E13642" s="16"/>
      <c r="F13642" s="16"/>
      <c r="H13642" s="16"/>
      <c r="AG13642" s="80"/>
      <c r="AH13642" s="80"/>
      <c r="AI13642" s="80"/>
    </row>
    <row r="13643" spans="5:35" x14ac:dyDescent="0.25">
      <c r="E13643" s="16"/>
      <c r="F13643" s="16"/>
      <c r="H13643" s="16"/>
      <c r="AG13643" s="80"/>
      <c r="AH13643" s="80"/>
      <c r="AI13643" s="80"/>
    </row>
    <row r="13644" spans="5:35" x14ac:dyDescent="0.25">
      <c r="E13644" s="16"/>
      <c r="F13644" s="16"/>
      <c r="H13644" s="16"/>
      <c r="AG13644" s="80"/>
      <c r="AH13644" s="80"/>
      <c r="AI13644" s="80"/>
    </row>
    <row r="13645" spans="5:35" x14ac:dyDescent="0.25">
      <c r="E13645" s="16"/>
      <c r="F13645" s="16"/>
      <c r="H13645" s="16"/>
      <c r="AG13645" s="80"/>
      <c r="AH13645" s="80"/>
      <c r="AI13645" s="80"/>
    </row>
    <row r="13646" spans="5:35" x14ac:dyDescent="0.25">
      <c r="E13646" s="16"/>
      <c r="F13646" s="16"/>
      <c r="H13646" s="16"/>
      <c r="AG13646" s="80"/>
      <c r="AH13646" s="80"/>
      <c r="AI13646" s="80"/>
    </row>
    <row r="13647" spans="5:35" x14ac:dyDescent="0.25">
      <c r="E13647" s="16"/>
      <c r="F13647" s="16"/>
      <c r="H13647" s="16"/>
      <c r="AG13647" s="80"/>
      <c r="AH13647" s="80"/>
      <c r="AI13647" s="80"/>
    </row>
    <row r="13648" spans="5:35" x14ac:dyDescent="0.25">
      <c r="E13648" s="16"/>
      <c r="F13648" s="16"/>
      <c r="H13648" s="16"/>
      <c r="AG13648" s="80"/>
      <c r="AH13648" s="80"/>
      <c r="AI13648" s="80"/>
    </row>
    <row r="13649" spans="5:35" x14ac:dyDescent="0.25">
      <c r="E13649" s="16"/>
      <c r="F13649" s="16"/>
      <c r="H13649" s="16"/>
      <c r="AG13649" s="80"/>
      <c r="AH13649" s="80"/>
      <c r="AI13649" s="80"/>
    </row>
    <row r="13650" spans="5:35" x14ac:dyDescent="0.25">
      <c r="E13650" s="16"/>
      <c r="F13650" s="16"/>
      <c r="H13650" s="16"/>
      <c r="AG13650" s="80"/>
      <c r="AH13650" s="80"/>
      <c r="AI13650" s="80"/>
    </row>
    <row r="13651" spans="5:35" x14ac:dyDescent="0.25">
      <c r="E13651" s="16"/>
      <c r="F13651" s="16"/>
      <c r="H13651" s="16"/>
      <c r="AG13651" s="80"/>
      <c r="AH13651" s="80"/>
      <c r="AI13651" s="80"/>
    </row>
    <row r="13652" spans="5:35" x14ac:dyDescent="0.25">
      <c r="E13652" s="16"/>
      <c r="F13652" s="16"/>
      <c r="H13652" s="16"/>
      <c r="AG13652" s="80"/>
      <c r="AH13652" s="80"/>
      <c r="AI13652" s="80"/>
    </row>
    <row r="13653" spans="5:35" x14ac:dyDescent="0.25">
      <c r="E13653" s="16"/>
      <c r="F13653" s="16"/>
      <c r="H13653" s="16"/>
      <c r="AG13653" s="80"/>
      <c r="AH13653" s="80"/>
      <c r="AI13653" s="80"/>
    </row>
    <row r="13654" spans="5:35" x14ac:dyDescent="0.25">
      <c r="E13654" s="16"/>
      <c r="F13654" s="16"/>
      <c r="H13654" s="16"/>
      <c r="AG13654" s="80"/>
      <c r="AH13654" s="80"/>
      <c r="AI13654" s="80"/>
    </row>
    <row r="13655" spans="5:35" x14ac:dyDescent="0.25">
      <c r="E13655" s="16"/>
      <c r="F13655" s="16"/>
      <c r="H13655" s="16"/>
      <c r="AG13655" s="80"/>
      <c r="AH13655" s="80"/>
      <c r="AI13655" s="80"/>
    </row>
    <row r="13656" spans="5:35" x14ac:dyDescent="0.25">
      <c r="E13656" s="16"/>
      <c r="F13656" s="16"/>
      <c r="H13656" s="16"/>
      <c r="AG13656" s="80"/>
      <c r="AH13656" s="80"/>
      <c r="AI13656" s="80"/>
    </row>
    <row r="13657" spans="5:35" x14ac:dyDescent="0.25">
      <c r="E13657" s="16"/>
      <c r="F13657" s="16"/>
      <c r="H13657" s="16"/>
      <c r="AG13657" s="80"/>
      <c r="AH13657" s="80"/>
      <c r="AI13657" s="80"/>
    </row>
    <row r="13658" spans="5:35" x14ac:dyDescent="0.25">
      <c r="E13658" s="16"/>
      <c r="F13658" s="16"/>
      <c r="H13658" s="16"/>
      <c r="AG13658" s="80"/>
      <c r="AH13658" s="80"/>
      <c r="AI13658" s="80"/>
    </row>
    <row r="13659" spans="5:35" x14ac:dyDescent="0.25">
      <c r="E13659" s="16"/>
      <c r="F13659" s="16"/>
      <c r="H13659" s="16"/>
      <c r="AG13659" s="80"/>
      <c r="AH13659" s="80"/>
      <c r="AI13659" s="80"/>
    </row>
    <row r="13660" spans="5:35" x14ac:dyDescent="0.25">
      <c r="E13660" s="16"/>
      <c r="F13660" s="16"/>
      <c r="H13660" s="16"/>
      <c r="AG13660" s="80"/>
      <c r="AH13660" s="80"/>
      <c r="AI13660" s="80"/>
    </row>
    <row r="13661" spans="5:35" x14ac:dyDescent="0.25">
      <c r="E13661" s="16"/>
      <c r="F13661" s="16"/>
      <c r="H13661" s="16"/>
      <c r="AG13661" s="80"/>
      <c r="AH13661" s="80"/>
      <c r="AI13661" s="80"/>
    </row>
    <row r="13662" spans="5:35" x14ac:dyDescent="0.25">
      <c r="E13662" s="16"/>
      <c r="F13662" s="16"/>
      <c r="H13662" s="16"/>
      <c r="AG13662" s="80"/>
      <c r="AH13662" s="80"/>
      <c r="AI13662" s="80"/>
    </row>
    <row r="13663" spans="5:35" x14ac:dyDescent="0.25">
      <c r="E13663" s="16"/>
      <c r="F13663" s="16"/>
      <c r="H13663" s="16"/>
      <c r="AG13663" s="80"/>
      <c r="AH13663" s="80"/>
      <c r="AI13663" s="80"/>
    </row>
    <row r="13664" spans="5:35" x14ac:dyDescent="0.25">
      <c r="E13664" s="16"/>
      <c r="F13664" s="16"/>
      <c r="H13664" s="16"/>
      <c r="AG13664" s="80"/>
      <c r="AH13664" s="80"/>
      <c r="AI13664" s="80"/>
    </row>
    <row r="13665" spans="5:35" x14ac:dyDescent="0.25">
      <c r="E13665" s="16"/>
      <c r="F13665" s="16"/>
      <c r="H13665" s="16"/>
      <c r="AG13665" s="80"/>
      <c r="AH13665" s="80"/>
      <c r="AI13665" s="80"/>
    </row>
    <row r="13666" spans="5:35" x14ac:dyDescent="0.25">
      <c r="E13666" s="16"/>
      <c r="F13666" s="16"/>
      <c r="H13666" s="16"/>
      <c r="AG13666" s="80"/>
      <c r="AH13666" s="80"/>
      <c r="AI13666" s="80"/>
    </row>
    <row r="13667" spans="5:35" x14ac:dyDescent="0.25">
      <c r="E13667" s="16"/>
      <c r="F13667" s="16"/>
      <c r="H13667" s="16"/>
      <c r="AG13667" s="80"/>
      <c r="AH13667" s="80"/>
      <c r="AI13667" s="80"/>
    </row>
    <row r="13668" spans="5:35" x14ac:dyDescent="0.25">
      <c r="E13668" s="16"/>
      <c r="F13668" s="16"/>
      <c r="H13668" s="16"/>
      <c r="AG13668" s="80"/>
      <c r="AH13668" s="80"/>
      <c r="AI13668" s="80"/>
    </row>
    <row r="13669" spans="5:35" x14ac:dyDescent="0.25">
      <c r="E13669" s="16"/>
      <c r="F13669" s="16"/>
      <c r="H13669" s="16"/>
      <c r="AG13669" s="80"/>
      <c r="AH13669" s="80"/>
      <c r="AI13669" s="80"/>
    </row>
    <row r="13670" spans="5:35" x14ac:dyDescent="0.25">
      <c r="E13670" s="16"/>
      <c r="F13670" s="16"/>
      <c r="H13670" s="16"/>
      <c r="AG13670" s="80"/>
      <c r="AH13670" s="80"/>
      <c r="AI13670" s="80"/>
    </row>
    <row r="13671" spans="5:35" x14ac:dyDescent="0.25">
      <c r="E13671" s="16"/>
      <c r="F13671" s="16"/>
      <c r="H13671" s="16"/>
      <c r="AG13671" s="80"/>
      <c r="AH13671" s="80"/>
      <c r="AI13671" s="80"/>
    </row>
    <row r="13672" spans="5:35" x14ac:dyDescent="0.25">
      <c r="E13672" s="16"/>
      <c r="F13672" s="16"/>
      <c r="H13672" s="16"/>
      <c r="AG13672" s="80"/>
      <c r="AH13672" s="80"/>
      <c r="AI13672" s="80"/>
    </row>
    <row r="13673" spans="5:35" x14ac:dyDescent="0.25">
      <c r="E13673" s="16"/>
      <c r="F13673" s="16"/>
      <c r="H13673" s="16"/>
      <c r="AG13673" s="80"/>
      <c r="AH13673" s="80"/>
      <c r="AI13673" s="80"/>
    </row>
    <row r="13674" spans="5:35" x14ac:dyDescent="0.25">
      <c r="E13674" s="16"/>
      <c r="F13674" s="16"/>
      <c r="H13674" s="16"/>
      <c r="AG13674" s="80"/>
      <c r="AH13674" s="80"/>
      <c r="AI13674" s="80"/>
    </row>
    <row r="13675" spans="5:35" x14ac:dyDescent="0.25">
      <c r="E13675" s="16"/>
      <c r="F13675" s="16"/>
      <c r="H13675" s="16"/>
      <c r="AG13675" s="80"/>
      <c r="AH13675" s="80"/>
      <c r="AI13675" s="80"/>
    </row>
    <row r="13676" spans="5:35" x14ac:dyDescent="0.25">
      <c r="E13676" s="16"/>
      <c r="F13676" s="16"/>
      <c r="H13676" s="16"/>
      <c r="AG13676" s="80"/>
      <c r="AH13676" s="80"/>
      <c r="AI13676" s="80"/>
    </row>
    <row r="13677" spans="5:35" x14ac:dyDescent="0.25">
      <c r="E13677" s="16"/>
      <c r="F13677" s="16"/>
      <c r="H13677" s="16"/>
      <c r="AG13677" s="80"/>
      <c r="AH13677" s="80"/>
      <c r="AI13677" s="80"/>
    </row>
    <row r="13678" spans="5:35" x14ac:dyDescent="0.25">
      <c r="E13678" s="16"/>
      <c r="F13678" s="16"/>
      <c r="H13678" s="16"/>
      <c r="AG13678" s="80"/>
      <c r="AH13678" s="80"/>
      <c r="AI13678" s="80"/>
    </row>
    <row r="13679" spans="5:35" x14ac:dyDescent="0.25">
      <c r="E13679" s="16"/>
      <c r="F13679" s="16"/>
      <c r="H13679" s="16"/>
      <c r="AG13679" s="80"/>
      <c r="AH13679" s="80"/>
      <c r="AI13679" s="80"/>
    </row>
    <row r="13680" spans="5:35" x14ac:dyDescent="0.25">
      <c r="E13680" s="16"/>
      <c r="F13680" s="16"/>
      <c r="H13680" s="16"/>
      <c r="AG13680" s="80"/>
      <c r="AH13680" s="80"/>
      <c r="AI13680" s="80"/>
    </row>
    <row r="13681" spans="5:35" x14ac:dyDescent="0.25">
      <c r="E13681" s="16"/>
      <c r="F13681" s="16"/>
      <c r="H13681" s="16"/>
      <c r="AG13681" s="80"/>
      <c r="AH13681" s="80"/>
      <c r="AI13681" s="80"/>
    </row>
    <row r="13682" spans="5:35" x14ac:dyDescent="0.25">
      <c r="E13682" s="16"/>
      <c r="F13682" s="16"/>
      <c r="H13682" s="16"/>
      <c r="AG13682" s="80"/>
      <c r="AH13682" s="80"/>
      <c r="AI13682" s="80"/>
    </row>
    <row r="13683" spans="5:35" x14ac:dyDescent="0.25">
      <c r="E13683" s="16"/>
      <c r="F13683" s="16"/>
      <c r="H13683" s="16"/>
      <c r="AG13683" s="80"/>
      <c r="AH13683" s="80"/>
      <c r="AI13683" s="80"/>
    </row>
    <row r="13684" spans="5:35" x14ac:dyDescent="0.25">
      <c r="E13684" s="16"/>
      <c r="F13684" s="16"/>
      <c r="H13684" s="16"/>
      <c r="AG13684" s="80"/>
      <c r="AH13684" s="80"/>
      <c r="AI13684" s="80"/>
    </row>
    <row r="13685" spans="5:35" x14ac:dyDescent="0.25">
      <c r="E13685" s="16"/>
      <c r="F13685" s="16"/>
      <c r="H13685" s="16"/>
      <c r="AG13685" s="80"/>
      <c r="AH13685" s="80"/>
      <c r="AI13685" s="80"/>
    </row>
    <row r="13686" spans="5:35" x14ac:dyDescent="0.25">
      <c r="E13686" s="16"/>
      <c r="F13686" s="16"/>
      <c r="H13686" s="16"/>
      <c r="AG13686" s="80"/>
      <c r="AH13686" s="80"/>
      <c r="AI13686" s="80"/>
    </row>
    <row r="13687" spans="5:35" x14ac:dyDescent="0.25">
      <c r="E13687" s="16"/>
      <c r="F13687" s="16"/>
      <c r="H13687" s="16"/>
      <c r="AG13687" s="80"/>
      <c r="AH13687" s="80"/>
      <c r="AI13687" s="80"/>
    </row>
    <row r="13688" spans="5:35" x14ac:dyDescent="0.25">
      <c r="E13688" s="16"/>
      <c r="F13688" s="16"/>
      <c r="H13688" s="16"/>
      <c r="AG13688" s="80"/>
      <c r="AH13688" s="80"/>
      <c r="AI13688" s="80"/>
    </row>
    <row r="13689" spans="5:35" x14ac:dyDescent="0.25">
      <c r="E13689" s="16"/>
      <c r="F13689" s="16"/>
      <c r="H13689" s="16"/>
      <c r="AG13689" s="80"/>
      <c r="AH13689" s="80"/>
      <c r="AI13689" s="80"/>
    </row>
    <row r="13690" spans="5:35" x14ac:dyDescent="0.25">
      <c r="E13690" s="16"/>
      <c r="F13690" s="16"/>
      <c r="H13690" s="16"/>
      <c r="AG13690" s="80"/>
      <c r="AH13690" s="80"/>
      <c r="AI13690" s="80"/>
    </row>
    <row r="13691" spans="5:35" x14ac:dyDescent="0.25">
      <c r="E13691" s="16"/>
      <c r="F13691" s="16"/>
      <c r="H13691" s="16"/>
      <c r="AG13691" s="80"/>
      <c r="AH13691" s="80"/>
      <c r="AI13691" s="80"/>
    </row>
    <row r="13692" spans="5:35" x14ac:dyDescent="0.25">
      <c r="E13692" s="16"/>
      <c r="F13692" s="16"/>
      <c r="H13692" s="16"/>
      <c r="AG13692" s="80"/>
      <c r="AH13692" s="80"/>
      <c r="AI13692" s="80"/>
    </row>
    <row r="13693" spans="5:35" x14ac:dyDescent="0.25">
      <c r="E13693" s="16"/>
      <c r="F13693" s="16"/>
      <c r="H13693" s="16"/>
      <c r="AG13693" s="80"/>
      <c r="AH13693" s="80"/>
      <c r="AI13693" s="80"/>
    </row>
    <row r="13694" spans="5:35" x14ac:dyDescent="0.25">
      <c r="E13694" s="16"/>
      <c r="F13694" s="16"/>
      <c r="H13694" s="16"/>
      <c r="AG13694" s="80"/>
      <c r="AH13694" s="80"/>
      <c r="AI13694" s="80"/>
    </row>
    <row r="13695" spans="5:35" x14ac:dyDescent="0.25">
      <c r="E13695" s="16"/>
      <c r="F13695" s="16"/>
      <c r="H13695" s="16"/>
      <c r="AG13695" s="80"/>
      <c r="AH13695" s="80"/>
      <c r="AI13695" s="80"/>
    </row>
    <row r="13696" spans="5:35" x14ac:dyDescent="0.25">
      <c r="E13696" s="16"/>
      <c r="F13696" s="16"/>
      <c r="H13696" s="16"/>
      <c r="AG13696" s="80"/>
      <c r="AH13696" s="80"/>
      <c r="AI13696" s="80"/>
    </row>
    <row r="13697" spans="5:35" x14ac:dyDescent="0.25">
      <c r="E13697" s="16"/>
      <c r="F13697" s="16"/>
      <c r="H13697" s="16"/>
      <c r="AG13697" s="80"/>
      <c r="AH13697" s="80"/>
      <c r="AI13697" s="80"/>
    </row>
    <row r="13698" spans="5:35" x14ac:dyDescent="0.25">
      <c r="E13698" s="16"/>
      <c r="F13698" s="16"/>
      <c r="H13698" s="16"/>
      <c r="AG13698" s="80"/>
      <c r="AH13698" s="80"/>
      <c r="AI13698" s="80"/>
    </row>
    <row r="13699" spans="5:35" x14ac:dyDescent="0.25">
      <c r="E13699" s="16"/>
      <c r="F13699" s="16"/>
      <c r="H13699" s="16"/>
      <c r="AG13699" s="80"/>
      <c r="AH13699" s="80"/>
      <c r="AI13699" s="80"/>
    </row>
    <row r="13700" spans="5:35" x14ac:dyDescent="0.25">
      <c r="E13700" s="16"/>
      <c r="F13700" s="16"/>
      <c r="H13700" s="16"/>
      <c r="AG13700" s="80"/>
      <c r="AH13700" s="80"/>
      <c r="AI13700" s="80"/>
    </row>
    <row r="13701" spans="5:35" x14ac:dyDescent="0.25">
      <c r="E13701" s="16"/>
      <c r="F13701" s="16"/>
      <c r="H13701" s="16"/>
      <c r="AG13701" s="80"/>
      <c r="AH13701" s="80"/>
      <c r="AI13701" s="80"/>
    </row>
    <row r="13702" spans="5:35" x14ac:dyDescent="0.25">
      <c r="E13702" s="16"/>
      <c r="F13702" s="16"/>
      <c r="H13702" s="16"/>
      <c r="AG13702" s="80"/>
      <c r="AH13702" s="80"/>
      <c r="AI13702" s="80"/>
    </row>
    <row r="13703" spans="5:35" x14ac:dyDescent="0.25">
      <c r="E13703" s="16"/>
      <c r="F13703" s="16"/>
      <c r="H13703" s="16"/>
      <c r="AG13703" s="80"/>
      <c r="AH13703" s="80"/>
      <c r="AI13703" s="80"/>
    </row>
    <row r="13704" spans="5:35" x14ac:dyDescent="0.25">
      <c r="E13704" s="16"/>
      <c r="F13704" s="16"/>
      <c r="H13704" s="16"/>
      <c r="AG13704" s="80"/>
      <c r="AH13704" s="80"/>
      <c r="AI13704" s="80"/>
    </row>
    <row r="13705" spans="5:35" x14ac:dyDescent="0.25">
      <c r="E13705" s="16"/>
      <c r="F13705" s="16"/>
      <c r="H13705" s="16"/>
      <c r="AG13705" s="80"/>
      <c r="AH13705" s="80"/>
      <c r="AI13705" s="80"/>
    </row>
    <row r="13706" spans="5:35" x14ac:dyDescent="0.25">
      <c r="E13706" s="16"/>
      <c r="F13706" s="16"/>
      <c r="H13706" s="16"/>
      <c r="AG13706" s="80"/>
      <c r="AH13706" s="80"/>
      <c r="AI13706" s="80"/>
    </row>
    <row r="13707" spans="5:35" x14ac:dyDescent="0.25">
      <c r="E13707" s="16"/>
      <c r="F13707" s="16"/>
      <c r="H13707" s="16"/>
      <c r="AG13707" s="80"/>
      <c r="AH13707" s="80"/>
      <c r="AI13707" s="80"/>
    </row>
    <row r="13708" spans="5:35" x14ac:dyDescent="0.25">
      <c r="E13708" s="16"/>
      <c r="F13708" s="16"/>
      <c r="H13708" s="16"/>
      <c r="AG13708" s="80"/>
      <c r="AH13708" s="80"/>
      <c r="AI13708" s="80"/>
    </row>
    <row r="13709" spans="5:35" x14ac:dyDescent="0.25">
      <c r="E13709" s="16"/>
      <c r="F13709" s="16"/>
      <c r="H13709" s="16"/>
      <c r="AG13709" s="80"/>
      <c r="AH13709" s="80"/>
      <c r="AI13709" s="80"/>
    </row>
    <row r="13710" spans="5:35" x14ac:dyDescent="0.25">
      <c r="E13710" s="16"/>
      <c r="F13710" s="16"/>
      <c r="H13710" s="16"/>
      <c r="AG13710" s="80"/>
      <c r="AH13710" s="80"/>
      <c r="AI13710" s="80"/>
    </row>
    <row r="13711" spans="5:35" x14ac:dyDescent="0.25">
      <c r="E13711" s="16"/>
      <c r="F13711" s="16"/>
      <c r="H13711" s="16"/>
      <c r="AG13711" s="80"/>
      <c r="AH13711" s="80"/>
      <c r="AI13711" s="80"/>
    </row>
    <row r="13712" spans="5:35" x14ac:dyDescent="0.25">
      <c r="E13712" s="16"/>
      <c r="F13712" s="16"/>
      <c r="H13712" s="16"/>
      <c r="AG13712" s="80"/>
      <c r="AH13712" s="80"/>
      <c r="AI13712" s="80"/>
    </row>
    <row r="13713" spans="5:35" x14ac:dyDescent="0.25">
      <c r="E13713" s="16"/>
      <c r="F13713" s="16"/>
      <c r="H13713" s="16"/>
      <c r="AG13713" s="80"/>
      <c r="AH13713" s="80"/>
      <c r="AI13713" s="80"/>
    </row>
    <row r="13714" spans="5:35" x14ac:dyDescent="0.25">
      <c r="E13714" s="16"/>
      <c r="F13714" s="16"/>
      <c r="H13714" s="16"/>
      <c r="AG13714" s="80"/>
      <c r="AH13714" s="80"/>
      <c r="AI13714" s="80"/>
    </row>
    <row r="13715" spans="5:35" x14ac:dyDescent="0.25">
      <c r="E13715" s="16"/>
      <c r="F13715" s="16"/>
      <c r="H13715" s="16"/>
      <c r="AG13715" s="80"/>
      <c r="AH13715" s="80"/>
      <c r="AI13715" s="80"/>
    </row>
    <row r="13716" spans="5:35" x14ac:dyDescent="0.25">
      <c r="E13716" s="16"/>
      <c r="F13716" s="16"/>
      <c r="H13716" s="16"/>
      <c r="AG13716" s="80"/>
      <c r="AH13716" s="80"/>
      <c r="AI13716" s="80"/>
    </row>
    <row r="13717" spans="5:35" x14ac:dyDescent="0.25">
      <c r="E13717" s="16"/>
      <c r="F13717" s="16"/>
      <c r="H13717" s="16"/>
      <c r="AG13717" s="80"/>
      <c r="AH13717" s="80"/>
      <c r="AI13717" s="80"/>
    </row>
    <row r="13718" spans="5:35" x14ac:dyDescent="0.25">
      <c r="E13718" s="16"/>
      <c r="F13718" s="16"/>
      <c r="H13718" s="16"/>
      <c r="AG13718" s="80"/>
      <c r="AH13718" s="80"/>
      <c r="AI13718" s="80"/>
    </row>
    <row r="13719" spans="5:35" x14ac:dyDescent="0.25">
      <c r="E13719" s="16"/>
      <c r="F13719" s="16"/>
      <c r="H13719" s="16"/>
      <c r="AG13719" s="80"/>
      <c r="AH13719" s="80"/>
      <c r="AI13719" s="80"/>
    </row>
    <row r="13720" spans="5:35" x14ac:dyDescent="0.25">
      <c r="E13720" s="16"/>
      <c r="F13720" s="16"/>
      <c r="H13720" s="16"/>
      <c r="AG13720" s="80"/>
      <c r="AH13720" s="80"/>
      <c r="AI13720" s="80"/>
    </row>
    <row r="13721" spans="5:35" x14ac:dyDescent="0.25">
      <c r="E13721" s="16"/>
      <c r="F13721" s="16"/>
      <c r="H13721" s="16"/>
      <c r="AG13721" s="80"/>
      <c r="AH13721" s="80"/>
      <c r="AI13721" s="80"/>
    </row>
    <row r="13722" spans="5:35" x14ac:dyDescent="0.25">
      <c r="E13722" s="16"/>
      <c r="F13722" s="16"/>
      <c r="H13722" s="16"/>
      <c r="AG13722" s="80"/>
      <c r="AH13722" s="80"/>
      <c r="AI13722" s="80"/>
    </row>
    <row r="13723" spans="5:35" x14ac:dyDescent="0.25">
      <c r="E13723" s="16"/>
      <c r="F13723" s="16"/>
      <c r="H13723" s="16"/>
      <c r="AG13723" s="80"/>
      <c r="AH13723" s="80"/>
      <c r="AI13723" s="80"/>
    </row>
    <row r="13724" spans="5:35" x14ac:dyDescent="0.25">
      <c r="E13724" s="16"/>
      <c r="F13724" s="16"/>
      <c r="H13724" s="16"/>
      <c r="AG13724" s="80"/>
      <c r="AH13724" s="80"/>
      <c r="AI13724" s="80"/>
    </row>
    <row r="13725" spans="5:35" x14ac:dyDescent="0.25">
      <c r="E13725" s="16"/>
      <c r="F13725" s="16"/>
      <c r="H13725" s="16"/>
      <c r="AG13725" s="80"/>
      <c r="AH13725" s="80"/>
      <c r="AI13725" s="80"/>
    </row>
    <row r="13726" spans="5:35" x14ac:dyDescent="0.25">
      <c r="E13726" s="16"/>
      <c r="F13726" s="16"/>
      <c r="H13726" s="16"/>
      <c r="AG13726" s="80"/>
      <c r="AH13726" s="80"/>
      <c r="AI13726" s="80"/>
    </row>
    <row r="13727" spans="5:35" x14ac:dyDescent="0.25">
      <c r="E13727" s="16"/>
      <c r="F13727" s="16"/>
      <c r="H13727" s="16"/>
      <c r="AG13727" s="80"/>
      <c r="AH13727" s="80"/>
      <c r="AI13727" s="80"/>
    </row>
    <row r="13728" spans="5:35" x14ac:dyDescent="0.25">
      <c r="E13728" s="16"/>
      <c r="F13728" s="16"/>
      <c r="H13728" s="16"/>
      <c r="AG13728" s="80"/>
      <c r="AH13728" s="80"/>
      <c r="AI13728" s="80"/>
    </row>
    <row r="13729" spans="5:35" x14ac:dyDescent="0.25">
      <c r="E13729" s="16"/>
      <c r="F13729" s="16"/>
      <c r="H13729" s="16"/>
      <c r="AG13729" s="80"/>
      <c r="AH13729" s="80"/>
      <c r="AI13729" s="80"/>
    </row>
    <row r="13730" spans="5:35" x14ac:dyDescent="0.25">
      <c r="E13730" s="16"/>
      <c r="F13730" s="16"/>
      <c r="H13730" s="16"/>
      <c r="AG13730" s="80"/>
      <c r="AH13730" s="80"/>
      <c r="AI13730" s="80"/>
    </row>
    <row r="13731" spans="5:35" x14ac:dyDescent="0.25">
      <c r="E13731" s="16"/>
      <c r="F13731" s="16"/>
      <c r="H13731" s="16"/>
      <c r="AG13731" s="80"/>
      <c r="AH13731" s="80"/>
      <c r="AI13731" s="80"/>
    </row>
    <row r="13732" spans="5:35" x14ac:dyDescent="0.25">
      <c r="E13732" s="16"/>
      <c r="F13732" s="16"/>
      <c r="H13732" s="16"/>
      <c r="AG13732" s="80"/>
      <c r="AH13732" s="80"/>
      <c r="AI13732" s="80"/>
    </row>
    <row r="13733" spans="5:35" x14ac:dyDescent="0.25">
      <c r="E13733" s="16"/>
      <c r="F13733" s="16"/>
      <c r="H13733" s="16"/>
      <c r="AG13733" s="80"/>
      <c r="AH13733" s="80"/>
      <c r="AI13733" s="80"/>
    </row>
    <row r="13734" spans="5:35" x14ac:dyDescent="0.25">
      <c r="E13734" s="16"/>
      <c r="F13734" s="16"/>
      <c r="H13734" s="16"/>
      <c r="AG13734" s="80"/>
      <c r="AH13734" s="80"/>
      <c r="AI13734" s="80"/>
    </row>
    <row r="13735" spans="5:35" x14ac:dyDescent="0.25">
      <c r="E13735" s="16"/>
      <c r="F13735" s="16"/>
      <c r="H13735" s="16"/>
      <c r="AG13735" s="80"/>
      <c r="AH13735" s="80"/>
      <c r="AI13735" s="80"/>
    </row>
    <row r="13736" spans="5:35" x14ac:dyDescent="0.25">
      <c r="E13736" s="16"/>
      <c r="F13736" s="16"/>
      <c r="H13736" s="16"/>
      <c r="AG13736" s="80"/>
      <c r="AH13736" s="80"/>
      <c r="AI13736" s="80"/>
    </row>
    <row r="13737" spans="5:35" x14ac:dyDescent="0.25">
      <c r="E13737" s="16"/>
      <c r="F13737" s="16"/>
      <c r="H13737" s="16"/>
      <c r="AG13737" s="80"/>
      <c r="AH13737" s="80"/>
      <c r="AI13737" s="80"/>
    </row>
    <row r="13738" spans="5:35" x14ac:dyDescent="0.25">
      <c r="E13738" s="16"/>
      <c r="F13738" s="16"/>
      <c r="H13738" s="16"/>
      <c r="AG13738" s="80"/>
      <c r="AH13738" s="80"/>
      <c r="AI13738" s="80"/>
    </row>
    <row r="13739" spans="5:35" x14ac:dyDescent="0.25">
      <c r="E13739" s="16"/>
      <c r="F13739" s="16"/>
      <c r="H13739" s="16"/>
      <c r="AG13739" s="80"/>
      <c r="AH13739" s="80"/>
      <c r="AI13739" s="80"/>
    </row>
    <row r="13740" spans="5:35" x14ac:dyDescent="0.25">
      <c r="E13740" s="16"/>
      <c r="F13740" s="16"/>
      <c r="H13740" s="16"/>
      <c r="AG13740" s="80"/>
      <c r="AH13740" s="80"/>
      <c r="AI13740" s="80"/>
    </row>
    <row r="13741" spans="5:35" x14ac:dyDescent="0.25">
      <c r="E13741" s="16"/>
      <c r="F13741" s="16"/>
      <c r="H13741" s="16"/>
      <c r="AG13741" s="80"/>
      <c r="AH13741" s="80"/>
      <c r="AI13741" s="80"/>
    </row>
    <row r="13742" spans="5:35" x14ac:dyDescent="0.25">
      <c r="E13742" s="16"/>
      <c r="F13742" s="16"/>
      <c r="H13742" s="16"/>
      <c r="AG13742" s="80"/>
      <c r="AH13742" s="80"/>
      <c r="AI13742" s="80"/>
    </row>
    <row r="13743" spans="5:35" x14ac:dyDescent="0.25">
      <c r="E13743" s="16"/>
      <c r="F13743" s="16"/>
      <c r="H13743" s="16"/>
      <c r="AG13743" s="80"/>
      <c r="AH13743" s="80"/>
      <c r="AI13743" s="80"/>
    </row>
    <row r="13744" spans="5:35" x14ac:dyDescent="0.25">
      <c r="E13744" s="16"/>
      <c r="F13744" s="16"/>
      <c r="H13744" s="16"/>
      <c r="AG13744" s="80"/>
      <c r="AH13744" s="80"/>
      <c r="AI13744" s="80"/>
    </row>
    <row r="13745" spans="5:35" x14ac:dyDescent="0.25">
      <c r="E13745" s="16"/>
      <c r="F13745" s="16"/>
      <c r="H13745" s="16"/>
      <c r="AG13745" s="80"/>
      <c r="AH13745" s="80"/>
      <c r="AI13745" s="80"/>
    </row>
    <row r="13746" spans="5:35" x14ac:dyDescent="0.25">
      <c r="E13746" s="16"/>
      <c r="F13746" s="16"/>
      <c r="H13746" s="16"/>
      <c r="AG13746" s="80"/>
      <c r="AH13746" s="80"/>
      <c r="AI13746" s="80"/>
    </row>
    <row r="13747" spans="5:35" x14ac:dyDescent="0.25">
      <c r="E13747" s="16"/>
      <c r="F13747" s="16"/>
      <c r="H13747" s="16"/>
      <c r="AG13747" s="80"/>
      <c r="AH13747" s="80"/>
      <c r="AI13747" s="80"/>
    </row>
    <row r="13748" spans="5:35" x14ac:dyDescent="0.25">
      <c r="E13748" s="16"/>
      <c r="F13748" s="16"/>
      <c r="H13748" s="16"/>
      <c r="AG13748" s="80"/>
      <c r="AH13748" s="80"/>
      <c r="AI13748" s="80"/>
    </row>
    <row r="13749" spans="5:35" x14ac:dyDescent="0.25">
      <c r="E13749" s="16"/>
      <c r="F13749" s="16"/>
      <c r="H13749" s="16"/>
      <c r="AG13749" s="80"/>
      <c r="AH13749" s="80"/>
      <c r="AI13749" s="80"/>
    </row>
    <row r="13750" spans="5:35" x14ac:dyDescent="0.25">
      <c r="E13750" s="16"/>
      <c r="F13750" s="16"/>
      <c r="H13750" s="16"/>
      <c r="AG13750" s="80"/>
      <c r="AH13750" s="80"/>
      <c r="AI13750" s="80"/>
    </row>
    <row r="13751" spans="5:35" x14ac:dyDescent="0.25">
      <c r="E13751" s="16"/>
      <c r="F13751" s="16"/>
      <c r="H13751" s="16"/>
      <c r="AG13751" s="80"/>
      <c r="AH13751" s="80"/>
      <c r="AI13751" s="80"/>
    </row>
    <row r="13752" spans="5:35" x14ac:dyDescent="0.25">
      <c r="E13752" s="16"/>
      <c r="F13752" s="16"/>
      <c r="H13752" s="16"/>
      <c r="AG13752" s="80"/>
      <c r="AH13752" s="80"/>
      <c r="AI13752" s="80"/>
    </row>
    <row r="13753" spans="5:35" x14ac:dyDescent="0.25">
      <c r="E13753" s="16"/>
      <c r="F13753" s="16"/>
      <c r="H13753" s="16"/>
      <c r="AG13753" s="80"/>
      <c r="AH13753" s="80"/>
      <c r="AI13753" s="80"/>
    </row>
    <row r="13754" spans="5:35" x14ac:dyDescent="0.25">
      <c r="E13754" s="16"/>
      <c r="F13754" s="16"/>
      <c r="H13754" s="16"/>
      <c r="AG13754" s="80"/>
      <c r="AH13754" s="80"/>
      <c r="AI13754" s="80"/>
    </row>
    <row r="13755" spans="5:35" x14ac:dyDescent="0.25">
      <c r="E13755" s="16"/>
      <c r="F13755" s="16"/>
      <c r="H13755" s="16"/>
      <c r="AG13755" s="80"/>
      <c r="AH13755" s="80"/>
      <c r="AI13755" s="80"/>
    </row>
    <row r="13756" spans="5:35" x14ac:dyDescent="0.25">
      <c r="E13756" s="16"/>
      <c r="F13756" s="16"/>
      <c r="H13756" s="16"/>
      <c r="AG13756" s="80"/>
      <c r="AH13756" s="80"/>
      <c r="AI13756" s="80"/>
    </row>
    <row r="13757" spans="5:35" x14ac:dyDescent="0.25">
      <c r="E13757" s="16"/>
      <c r="F13757" s="16"/>
      <c r="H13757" s="16"/>
      <c r="AG13757" s="80"/>
      <c r="AH13757" s="80"/>
      <c r="AI13757" s="80"/>
    </row>
    <row r="13758" spans="5:35" x14ac:dyDescent="0.25">
      <c r="E13758" s="16"/>
      <c r="F13758" s="16"/>
      <c r="H13758" s="16"/>
      <c r="AG13758" s="80"/>
      <c r="AH13758" s="80"/>
      <c r="AI13758" s="80"/>
    </row>
    <row r="13759" spans="5:35" x14ac:dyDescent="0.25">
      <c r="E13759" s="16"/>
      <c r="F13759" s="16"/>
      <c r="H13759" s="16"/>
      <c r="AG13759" s="80"/>
      <c r="AH13759" s="80"/>
      <c r="AI13759" s="80"/>
    </row>
    <row r="13760" spans="5:35" x14ac:dyDescent="0.25">
      <c r="E13760" s="16"/>
      <c r="F13760" s="16"/>
      <c r="H13760" s="16"/>
      <c r="AG13760" s="80"/>
      <c r="AH13760" s="80"/>
      <c r="AI13760" s="80"/>
    </row>
    <row r="13761" spans="5:35" x14ac:dyDescent="0.25">
      <c r="E13761" s="16"/>
      <c r="F13761" s="16"/>
      <c r="H13761" s="16"/>
      <c r="AG13761" s="80"/>
      <c r="AH13761" s="80"/>
      <c r="AI13761" s="80"/>
    </row>
    <row r="13762" spans="5:35" x14ac:dyDescent="0.25">
      <c r="E13762" s="16"/>
      <c r="F13762" s="16"/>
      <c r="H13762" s="16"/>
      <c r="AG13762" s="80"/>
      <c r="AH13762" s="80"/>
      <c r="AI13762" s="80"/>
    </row>
    <row r="13763" spans="5:35" x14ac:dyDescent="0.25">
      <c r="E13763" s="16"/>
      <c r="F13763" s="16"/>
      <c r="H13763" s="16"/>
      <c r="AG13763" s="80"/>
      <c r="AH13763" s="80"/>
      <c r="AI13763" s="80"/>
    </row>
    <row r="13764" spans="5:35" x14ac:dyDescent="0.25">
      <c r="E13764" s="16"/>
      <c r="F13764" s="16"/>
      <c r="H13764" s="16"/>
      <c r="AG13764" s="80"/>
      <c r="AH13764" s="80"/>
      <c r="AI13764" s="80"/>
    </row>
    <row r="13765" spans="5:35" x14ac:dyDescent="0.25">
      <c r="E13765" s="16"/>
      <c r="F13765" s="16"/>
      <c r="H13765" s="16"/>
      <c r="AG13765" s="80"/>
      <c r="AH13765" s="80"/>
      <c r="AI13765" s="80"/>
    </row>
    <row r="13766" spans="5:35" x14ac:dyDescent="0.25">
      <c r="E13766" s="16"/>
      <c r="F13766" s="16"/>
      <c r="H13766" s="16"/>
      <c r="AG13766" s="80"/>
      <c r="AH13766" s="80"/>
      <c r="AI13766" s="80"/>
    </row>
    <row r="13767" spans="5:35" x14ac:dyDescent="0.25">
      <c r="E13767" s="16"/>
      <c r="F13767" s="16"/>
      <c r="H13767" s="16"/>
      <c r="AG13767" s="80"/>
      <c r="AH13767" s="80"/>
      <c r="AI13767" s="80"/>
    </row>
    <row r="13768" spans="5:35" x14ac:dyDescent="0.25">
      <c r="E13768" s="16"/>
      <c r="F13768" s="16"/>
      <c r="H13768" s="16"/>
      <c r="AG13768" s="80"/>
      <c r="AH13768" s="80"/>
      <c r="AI13768" s="80"/>
    </row>
    <row r="13769" spans="5:35" x14ac:dyDescent="0.25">
      <c r="E13769" s="16"/>
      <c r="F13769" s="16"/>
      <c r="H13769" s="16"/>
      <c r="AG13769" s="80"/>
      <c r="AH13769" s="80"/>
      <c r="AI13769" s="80"/>
    </row>
    <row r="13770" spans="5:35" x14ac:dyDescent="0.25">
      <c r="E13770" s="16"/>
      <c r="F13770" s="16"/>
      <c r="H13770" s="16"/>
      <c r="AG13770" s="80"/>
      <c r="AH13770" s="80"/>
      <c r="AI13770" s="80"/>
    </row>
    <row r="13771" spans="5:35" x14ac:dyDescent="0.25">
      <c r="E13771" s="16"/>
      <c r="F13771" s="16"/>
      <c r="H13771" s="16"/>
      <c r="AG13771" s="80"/>
      <c r="AH13771" s="80"/>
      <c r="AI13771" s="80"/>
    </row>
    <row r="13772" spans="5:35" x14ac:dyDescent="0.25">
      <c r="E13772" s="16"/>
      <c r="F13772" s="16"/>
      <c r="H13772" s="16"/>
      <c r="AG13772" s="80"/>
      <c r="AH13772" s="80"/>
      <c r="AI13772" s="80"/>
    </row>
    <row r="13773" spans="5:35" x14ac:dyDescent="0.25">
      <c r="E13773" s="16"/>
      <c r="F13773" s="16"/>
      <c r="H13773" s="16"/>
      <c r="AG13773" s="80"/>
      <c r="AH13773" s="80"/>
      <c r="AI13773" s="80"/>
    </row>
    <row r="13774" spans="5:35" x14ac:dyDescent="0.25">
      <c r="E13774" s="16"/>
      <c r="F13774" s="16"/>
      <c r="H13774" s="16"/>
      <c r="AG13774" s="80"/>
      <c r="AH13774" s="80"/>
      <c r="AI13774" s="80"/>
    </row>
    <row r="13775" spans="5:35" x14ac:dyDescent="0.25">
      <c r="E13775" s="16"/>
      <c r="F13775" s="16"/>
      <c r="H13775" s="16"/>
      <c r="AG13775" s="80"/>
      <c r="AH13775" s="80"/>
      <c r="AI13775" s="80"/>
    </row>
    <row r="13776" spans="5:35" x14ac:dyDescent="0.25">
      <c r="E13776" s="16"/>
      <c r="F13776" s="16"/>
      <c r="H13776" s="16"/>
      <c r="AG13776" s="80"/>
      <c r="AH13776" s="80"/>
      <c r="AI13776" s="80"/>
    </row>
    <row r="13777" spans="5:35" x14ac:dyDescent="0.25">
      <c r="E13777" s="16"/>
      <c r="F13777" s="16"/>
      <c r="H13777" s="16"/>
      <c r="AG13777" s="80"/>
      <c r="AH13777" s="80"/>
      <c r="AI13777" s="80"/>
    </row>
    <row r="13778" spans="5:35" x14ac:dyDescent="0.25">
      <c r="E13778" s="16"/>
      <c r="F13778" s="16"/>
      <c r="H13778" s="16"/>
      <c r="AG13778" s="80"/>
      <c r="AH13778" s="80"/>
      <c r="AI13778" s="80"/>
    </row>
    <row r="13779" spans="5:35" x14ac:dyDescent="0.25">
      <c r="E13779" s="16"/>
      <c r="F13779" s="16"/>
      <c r="H13779" s="16"/>
      <c r="AG13779" s="80"/>
      <c r="AH13779" s="80"/>
      <c r="AI13779" s="80"/>
    </row>
    <row r="13780" spans="5:35" x14ac:dyDescent="0.25">
      <c r="E13780" s="16"/>
      <c r="F13780" s="16"/>
      <c r="H13780" s="16"/>
      <c r="AG13780" s="80"/>
      <c r="AH13780" s="80"/>
      <c r="AI13780" s="80"/>
    </row>
    <row r="13781" spans="5:35" x14ac:dyDescent="0.25">
      <c r="E13781" s="16"/>
      <c r="F13781" s="16"/>
      <c r="H13781" s="16"/>
      <c r="AG13781" s="80"/>
      <c r="AH13781" s="80"/>
      <c r="AI13781" s="80"/>
    </row>
    <row r="13782" spans="5:35" x14ac:dyDescent="0.25">
      <c r="E13782" s="16"/>
      <c r="F13782" s="16"/>
      <c r="H13782" s="16"/>
      <c r="AG13782" s="80"/>
      <c r="AH13782" s="80"/>
      <c r="AI13782" s="80"/>
    </row>
    <row r="13783" spans="5:35" x14ac:dyDescent="0.25">
      <c r="E13783" s="16"/>
      <c r="F13783" s="16"/>
      <c r="H13783" s="16"/>
      <c r="AG13783" s="80"/>
      <c r="AH13783" s="80"/>
      <c r="AI13783" s="80"/>
    </row>
    <row r="13784" spans="5:35" x14ac:dyDescent="0.25">
      <c r="E13784" s="16"/>
      <c r="F13784" s="16"/>
      <c r="H13784" s="16"/>
      <c r="AG13784" s="80"/>
      <c r="AH13784" s="80"/>
      <c r="AI13784" s="80"/>
    </row>
    <row r="13785" spans="5:35" x14ac:dyDescent="0.25">
      <c r="E13785" s="16"/>
      <c r="F13785" s="16"/>
      <c r="H13785" s="16"/>
      <c r="AG13785" s="80"/>
      <c r="AH13785" s="80"/>
      <c r="AI13785" s="80"/>
    </row>
    <row r="13786" spans="5:35" x14ac:dyDescent="0.25">
      <c r="E13786" s="16"/>
      <c r="F13786" s="16"/>
      <c r="H13786" s="16"/>
      <c r="AG13786" s="80"/>
      <c r="AH13786" s="80"/>
      <c r="AI13786" s="80"/>
    </row>
    <row r="13787" spans="5:35" x14ac:dyDescent="0.25">
      <c r="E13787" s="16"/>
      <c r="F13787" s="16"/>
      <c r="H13787" s="16"/>
      <c r="AG13787" s="80"/>
      <c r="AH13787" s="80"/>
      <c r="AI13787" s="80"/>
    </row>
    <row r="13788" spans="5:35" x14ac:dyDescent="0.25">
      <c r="E13788" s="16"/>
      <c r="F13788" s="16"/>
      <c r="H13788" s="16"/>
      <c r="AG13788" s="80"/>
      <c r="AH13788" s="80"/>
      <c r="AI13788" s="80"/>
    </row>
    <row r="13789" spans="5:35" x14ac:dyDescent="0.25">
      <c r="E13789" s="16"/>
      <c r="F13789" s="16"/>
      <c r="H13789" s="16"/>
      <c r="AG13789" s="80"/>
      <c r="AH13789" s="80"/>
      <c r="AI13789" s="80"/>
    </row>
    <row r="13790" spans="5:35" x14ac:dyDescent="0.25">
      <c r="E13790" s="16"/>
      <c r="F13790" s="16"/>
      <c r="H13790" s="16"/>
      <c r="AG13790" s="80"/>
      <c r="AH13790" s="80"/>
      <c r="AI13790" s="80"/>
    </row>
    <row r="13791" spans="5:35" x14ac:dyDescent="0.25">
      <c r="E13791" s="16"/>
      <c r="F13791" s="16"/>
      <c r="H13791" s="16"/>
      <c r="AG13791" s="80"/>
      <c r="AH13791" s="80"/>
      <c r="AI13791" s="80"/>
    </row>
    <row r="13792" spans="5:35" x14ac:dyDescent="0.25">
      <c r="E13792" s="16"/>
      <c r="F13792" s="16"/>
      <c r="H13792" s="16"/>
      <c r="AG13792" s="80"/>
      <c r="AH13792" s="80"/>
      <c r="AI13792" s="80"/>
    </row>
    <row r="13793" spans="5:35" x14ac:dyDescent="0.25">
      <c r="E13793" s="16"/>
      <c r="F13793" s="16"/>
      <c r="H13793" s="16"/>
      <c r="AG13793" s="80"/>
      <c r="AH13793" s="80"/>
      <c r="AI13793" s="80"/>
    </row>
    <row r="13794" spans="5:35" x14ac:dyDescent="0.25">
      <c r="E13794" s="16"/>
      <c r="F13794" s="16"/>
      <c r="H13794" s="16"/>
      <c r="AG13794" s="80"/>
      <c r="AH13794" s="80"/>
      <c r="AI13794" s="80"/>
    </row>
    <row r="13795" spans="5:35" x14ac:dyDescent="0.25">
      <c r="E13795" s="16"/>
      <c r="F13795" s="16"/>
      <c r="H13795" s="16"/>
      <c r="AG13795" s="80"/>
      <c r="AH13795" s="80"/>
      <c r="AI13795" s="80"/>
    </row>
    <row r="13796" spans="5:35" x14ac:dyDescent="0.25">
      <c r="E13796" s="16"/>
      <c r="F13796" s="16"/>
      <c r="H13796" s="16"/>
      <c r="AG13796" s="80"/>
      <c r="AH13796" s="80"/>
      <c r="AI13796" s="80"/>
    </row>
    <row r="13797" spans="5:35" x14ac:dyDescent="0.25">
      <c r="E13797" s="16"/>
      <c r="F13797" s="16"/>
      <c r="H13797" s="16"/>
      <c r="AG13797" s="80"/>
      <c r="AH13797" s="80"/>
      <c r="AI13797" s="80"/>
    </row>
    <row r="13798" spans="5:35" x14ac:dyDescent="0.25">
      <c r="E13798" s="16"/>
      <c r="F13798" s="16"/>
      <c r="H13798" s="16"/>
      <c r="AG13798" s="80"/>
      <c r="AH13798" s="80"/>
      <c r="AI13798" s="80"/>
    </row>
    <row r="13799" spans="5:35" x14ac:dyDescent="0.25">
      <c r="E13799" s="16"/>
      <c r="F13799" s="16"/>
      <c r="H13799" s="16"/>
      <c r="AG13799" s="80"/>
      <c r="AH13799" s="80"/>
      <c r="AI13799" s="80"/>
    </row>
    <row r="13800" spans="5:35" x14ac:dyDescent="0.25">
      <c r="E13800" s="16"/>
      <c r="F13800" s="16"/>
      <c r="H13800" s="16"/>
      <c r="AG13800" s="80"/>
      <c r="AH13800" s="80"/>
      <c r="AI13800" s="80"/>
    </row>
    <row r="13801" spans="5:35" x14ac:dyDescent="0.25">
      <c r="E13801" s="16"/>
      <c r="F13801" s="16"/>
      <c r="H13801" s="16"/>
      <c r="AG13801" s="80"/>
      <c r="AH13801" s="80"/>
      <c r="AI13801" s="80"/>
    </row>
    <row r="13802" spans="5:35" x14ac:dyDescent="0.25">
      <c r="E13802" s="16"/>
      <c r="F13802" s="16"/>
      <c r="H13802" s="16"/>
      <c r="AG13802" s="80"/>
      <c r="AH13802" s="80"/>
      <c r="AI13802" s="80"/>
    </row>
    <row r="13803" spans="5:35" x14ac:dyDescent="0.25">
      <c r="E13803" s="16"/>
      <c r="F13803" s="16"/>
      <c r="H13803" s="16"/>
      <c r="AG13803" s="80"/>
      <c r="AH13803" s="80"/>
      <c r="AI13803" s="80"/>
    </row>
    <row r="13804" spans="5:35" x14ac:dyDescent="0.25">
      <c r="E13804" s="16"/>
      <c r="F13804" s="16"/>
      <c r="H13804" s="16"/>
      <c r="AG13804" s="80"/>
      <c r="AH13804" s="80"/>
      <c r="AI13804" s="80"/>
    </row>
    <row r="13805" spans="5:35" x14ac:dyDescent="0.25">
      <c r="E13805" s="16"/>
      <c r="F13805" s="16"/>
      <c r="H13805" s="16"/>
      <c r="AG13805" s="80"/>
      <c r="AH13805" s="80"/>
      <c r="AI13805" s="80"/>
    </row>
    <row r="13806" spans="5:35" x14ac:dyDescent="0.25">
      <c r="E13806" s="16"/>
      <c r="F13806" s="16"/>
      <c r="H13806" s="16"/>
      <c r="AG13806" s="80"/>
      <c r="AH13806" s="80"/>
      <c r="AI13806" s="80"/>
    </row>
    <row r="13807" spans="5:35" x14ac:dyDescent="0.25">
      <c r="E13807" s="16"/>
      <c r="F13807" s="16"/>
      <c r="H13807" s="16"/>
      <c r="AG13807" s="80"/>
      <c r="AH13807" s="80"/>
      <c r="AI13807" s="80"/>
    </row>
    <row r="13808" spans="5:35" x14ac:dyDescent="0.25">
      <c r="E13808" s="16"/>
      <c r="F13808" s="16"/>
      <c r="H13808" s="16"/>
      <c r="AG13808" s="80"/>
      <c r="AH13808" s="80"/>
      <c r="AI13808" s="80"/>
    </row>
    <row r="13809" spans="5:35" x14ac:dyDescent="0.25">
      <c r="E13809" s="16"/>
      <c r="F13809" s="16"/>
      <c r="H13809" s="16"/>
      <c r="AG13809" s="80"/>
      <c r="AH13809" s="80"/>
      <c r="AI13809" s="80"/>
    </row>
    <row r="13810" spans="5:35" x14ac:dyDescent="0.25">
      <c r="E13810" s="16"/>
      <c r="F13810" s="16"/>
      <c r="H13810" s="16"/>
      <c r="AG13810" s="80"/>
      <c r="AH13810" s="80"/>
      <c r="AI13810" s="80"/>
    </row>
    <row r="13811" spans="5:35" x14ac:dyDescent="0.25">
      <c r="E13811" s="16"/>
      <c r="F13811" s="16"/>
      <c r="H13811" s="16"/>
      <c r="AG13811" s="80"/>
      <c r="AH13811" s="80"/>
      <c r="AI13811" s="80"/>
    </row>
    <row r="13812" spans="5:35" x14ac:dyDescent="0.25">
      <c r="E13812" s="16"/>
      <c r="F13812" s="16"/>
      <c r="H13812" s="16"/>
      <c r="AG13812" s="80"/>
      <c r="AH13812" s="80"/>
      <c r="AI13812" s="80"/>
    </row>
    <row r="13813" spans="5:35" x14ac:dyDescent="0.25">
      <c r="E13813" s="16"/>
      <c r="F13813" s="16"/>
      <c r="H13813" s="16"/>
      <c r="AG13813" s="80"/>
      <c r="AH13813" s="80"/>
      <c r="AI13813" s="80"/>
    </row>
    <row r="13814" spans="5:35" x14ac:dyDescent="0.25">
      <c r="E13814" s="16"/>
      <c r="F13814" s="16"/>
      <c r="H13814" s="16"/>
      <c r="AG13814" s="80"/>
      <c r="AH13814" s="80"/>
      <c r="AI13814" s="80"/>
    </row>
    <row r="13815" spans="5:35" x14ac:dyDescent="0.25">
      <c r="E13815" s="16"/>
      <c r="F13815" s="16"/>
      <c r="H13815" s="16"/>
      <c r="AG13815" s="80"/>
      <c r="AH13815" s="80"/>
      <c r="AI13815" s="80"/>
    </row>
    <row r="13816" spans="5:35" x14ac:dyDescent="0.25">
      <c r="E13816" s="16"/>
      <c r="F13816" s="16"/>
      <c r="H13816" s="16"/>
      <c r="AG13816" s="80"/>
      <c r="AH13816" s="80"/>
      <c r="AI13816" s="80"/>
    </row>
    <row r="13817" spans="5:35" x14ac:dyDescent="0.25">
      <c r="E13817" s="16"/>
      <c r="F13817" s="16"/>
      <c r="H13817" s="16"/>
      <c r="AG13817" s="80"/>
      <c r="AH13817" s="80"/>
      <c r="AI13817" s="80"/>
    </row>
    <row r="13818" spans="5:35" x14ac:dyDescent="0.25">
      <c r="E13818" s="16"/>
      <c r="F13818" s="16"/>
      <c r="H13818" s="16"/>
      <c r="AG13818" s="80"/>
      <c r="AH13818" s="80"/>
      <c r="AI13818" s="80"/>
    </row>
    <row r="13819" spans="5:35" x14ac:dyDescent="0.25">
      <c r="E13819" s="16"/>
      <c r="F13819" s="16"/>
      <c r="H13819" s="16"/>
      <c r="AG13819" s="80"/>
      <c r="AH13819" s="80"/>
      <c r="AI13819" s="80"/>
    </row>
    <row r="13820" spans="5:35" x14ac:dyDescent="0.25">
      <c r="E13820" s="16"/>
      <c r="F13820" s="16"/>
      <c r="H13820" s="16"/>
      <c r="AG13820" s="80"/>
      <c r="AH13820" s="80"/>
      <c r="AI13820" s="80"/>
    </row>
    <row r="13821" spans="5:35" x14ac:dyDescent="0.25">
      <c r="E13821" s="16"/>
      <c r="F13821" s="16"/>
      <c r="H13821" s="16"/>
      <c r="AG13821" s="80"/>
      <c r="AH13821" s="80"/>
      <c r="AI13821" s="80"/>
    </row>
    <row r="13822" spans="5:35" x14ac:dyDescent="0.25">
      <c r="E13822" s="16"/>
      <c r="F13822" s="16"/>
      <c r="H13822" s="16"/>
      <c r="AG13822" s="80"/>
      <c r="AH13822" s="80"/>
      <c r="AI13822" s="80"/>
    </row>
    <row r="13823" spans="5:35" x14ac:dyDescent="0.25">
      <c r="E13823" s="16"/>
      <c r="F13823" s="16"/>
      <c r="H13823" s="16"/>
      <c r="AG13823" s="80"/>
      <c r="AH13823" s="80"/>
      <c r="AI13823" s="80"/>
    </row>
    <row r="13824" spans="5:35" x14ac:dyDescent="0.25">
      <c r="E13824" s="16"/>
      <c r="F13824" s="16"/>
      <c r="H13824" s="16"/>
      <c r="AG13824" s="80"/>
      <c r="AH13824" s="80"/>
      <c r="AI13824" s="80"/>
    </row>
    <row r="13825" spans="5:35" x14ac:dyDescent="0.25">
      <c r="E13825" s="16"/>
      <c r="F13825" s="16"/>
      <c r="H13825" s="16"/>
      <c r="AG13825" s="80"/>
      <c r="AH13825" s="80"/>
      <c r="AI13825" s="80"/>
    </row>
    <row r="13826" spans="5:35" x14ac:dyDescent="0.25">
      <c r="E13826" s="16"/>
      <c r="F13826" s="16"/>
      <c r="H13826" s="16"/>
      <c r="AG13826" s="80"/>
      <c r="AH13826" s="80"/>
      <c r="AI13826" s="80"/>
    </row>
    <row r="13827" spans="5:35" x14ac:dyDescent="0.25">
      <c r="E13827" s="16"/>
      <c r="F13827" s="16"/>
      <c r="H13827" s="16"/>
      <c r="AG13827" s="80"/>
      <c r="AH13827" s="80"/>
      <c r="AI13827" s="80"/>
    </row>
    <row r="13828" spans="5:35" x14ac:dyDescent="0.25">
      <c r="E13828" s="16"/>
      <c r="F13828" s="16"/>
      <c r="H13828" s="16"/>
      <c r="AG13828" s="80"/>
      <c r="AH13828" s="80"/>
      <c r="AI13828" s="80"/>
    </row>
    <row r="13829" spans="5:35" x14ac:dyDescent="0.25">
      <c r="E13829" s="16"/>
      <c r="F13829" s="16"/>
      <c r="H13829" s="16"/>
      <c r="AG13829" s="80"/>
      <c r="AH13829" s="80"/>
      <c r="AI13829" s="80"/>
    </row>
    <row r="13830" spans="5:35" x14ac:dyDescent="0.25">
      <c r="E13830" s="16"/>
      <c r="F13830" s="16"/>
      <c r="H13830" s="16"/>
      <c r="AG13830" s="80"/>
      <c r="AH13830" s="80"/>
      <c r="AI13830" s="80"/>
    </row>
    <row r="13831" spans="5:35" x14ac:dyDescent="0.25">
      <c r="E13831" s="16"/>
      <c r="F13831" s="16"/>
      <c r="H13831" s="16"/>
      <c r="AG13831" s="80"/>
      <c r="AH13831" s="80"/>
      <c r="AI13831" s="80"/>
    </row>
    <row r="13832" spans="5:35" x14ac:dyDescent="0.25">
      <c r="E13832" s="16"/>
      <c r="F13832" s="16"/>
      <c r="H13832" s="16"/>
      <c r="AG13832" s="80"/>
      <c r="AH13832" s="80"/>
      <c r="AI13832" s="80"/>
    </row>
    <row r="13833" spans="5:35" x14ac:dyDescent="0.25">
      <c r="E13833" s="16"/>
      <c r="F13833" s="16"/>
      <c r="H13833" s="16"/>
      <c r="AG13833" s="80"/>
      <c r="AH13833" s="80"/>
      <c r="AI13833" s="80"/>
    </row>
    <row r="13834" spans="5:35" x14ac:dyDescent="0.25">
      <c r="E13834" s="16"/>
      <c r="F13834" s="16"/>
      <c r="H13834" s="16"/>
      <c r="AG13834" s="80"/>
      <c r="AH13834" s="80"/>
      <c r="AI13834" s="80"/>
    </row>
    <row r="13835" spans="5:35" x14ac:dyDescent="0.25">
      <c r="E13835" s="16"/>
      <c r="F13835" s="16"/>
      <c r="H13835" s="16"/>
      <c r="AG13835" s="80"/>
      <c r="AH13835" s="80"/>
      <c r="AI13835" s="80"/>
    </row>
    <row r="13836" spans="5:35" x14ac:dyDescent="0.25">
      <c r="E13836" s="16"/>
      <c r="F13836" s="16"/>
      <c r="H13836" s="16"/>
      <c r="AG13836" s="80"/>
      <c r="AH13836" s="80"/>
      <c r="AI13836" s="80"/>
    </row>
    <row r="13837" spans="5:35" x14ac:dyDescent="0.25">
      <c r="E13837" s="16"/>
      <c r="F13837" s="16"/>
      <c r="H13837" s="16"/>
      <c r="AG13837" s="80"/>
      <c r="AH13837" s="80"/>
      <c r="AI13837" s="80"/>
    </row>
    <row r="13838" spans="5:35" x14ac:dyDescent="0.25">
      <c r="E13838" s="16"/>
      <c r="F13838" s="16"/>
      <c r="H13838" s="16"/>
      <c r="AG13838" s="80"/>
      <c r="AH13838" s="80"/>
      <c r="AI13838" s="80"/>
    </row>
    <row r="13839" spans="5:35" x14ac:dyDescent="0.25">
      <c r="E13839" s="16"/>
      <c r="F13839" s="16"/>
      <c r="H13839" s="16"/>
      <c r="AG13839" s="80"/>
      <c r="AH13839" s="80"/>
      <c r="AI13839" s="80"/>
    </row>
    <row r="13840" spans="5:35" x14ac:dyDescent="0.25">
      <c r="E13840" s="16"/>
      <c r="F13840" s="16"/>
      <c r="H13840" s="16"/>
      <c r="AG13840" s="80"/>
      <c r="AH13840" s="80"/>
      <c r="AI13840" s="80"/>
    </row>
    <row r="13841" spans="5:35" x14ac:dyDescent="0.25">
      <c r="E13841" s="16"/>
      <c r="F13841" s="16"/>
      <c r="H13841" s="16"/>
      <c r="AG13841" s="80"/>
      <c r="AH13841" s="80"/>
      <c r="AI13841" s="80"/>
    </row>
    <row r="13842" spans="5:35" x14ac:dyDescent="0.25">
      <c r="E13842" s="16"/>
      <c r="F13842" s="16"/>
      <c r="H13842" s="16"/>
      <c r="AG13842" s="80"/>
      <c r="AH13842" s="80"/>
      <c r="AI13842" s="80"/>
    </row>
    <row r="13843" spans="5:35" x14ac:dyDescent="0.25">
      <c r="E13843" s="16"/>
      <c r="F13843" s="16"/>
      <c r="H13843" s="16"/>
      <c r="AG13843" s="80"/>
      <c r="AH13843" s="80"/>
      <c r="AI13843" s="80"/>
    </row>
    <row r="13844" spans="5:35" x14ac:dyDescent="0.25">
      <c r="E13844" s="16"/>
      <c r="F13844" s="16"/>
      <c r="H13844" s="16"/>
      <c r="AG13844" s="80"/>
      <c r="AH13844" s="80"/>
      <c r="AI13844" s="80"/>
    </row>
    <row r="13845" spans="5:35" x14ac:dyDescent="0.25">
      <c r="E13845" s="16"/>
      <c r="F13845" s="16"/>
      <c r="H13845" s="16"/>
      <c r="AG13845" s="80"/>
      <c r="AH13845" s="80"/>
      <c r="AI13845" s="80"/>
    </row>
    <row r="13846" spans="5:35" x14ac:dyDescent="0.25">
      <c r="E13846" s="16"/>
      <c r="F13846" s="16"/>
      <c r="H13846" s="16"/>
      <c r="AG13846" s="80"/>
      <c r="AH13846" s="80"/>
      <c r="AI13846" s="80"/>
    </row>
    <row r="13847" spans="5:35" x14ac:dyDescent="0.25">
      <c r="E13847" s="16"/>
      <c r="F13847" s="16"/>
      <c r="H13847" s="16"/>
      <c r="AG13847" s="80"/>
      <c r="AH13847" s="80"/>
      <c r="AI13847" s="80"/>
    </row>
    <row r="13848" spans="5:35" x14ac:dyDescent="0.25">
      <c r="E13848" s="16"/>
      <c r="F13848" s="16"/>
      <c r="H13848" s="16"/>
      <c r="AG13848" s="80"/>
      <c r="AH13848" s="80"/>
      <c r="AI13848" s="80"/>
    </row>
    <row r="13849" spans="5:35" x14ac:dyDescent="0.25">
      <c r="E13849" s="16"/>
      <c r="F13849" s="16"/>
      <c r="H13849" s="16"/>
      <c r="AG13849" s="80"/>
      <c r="AH13849" s="80"/>
      <c r="AI13849" s="80"/>
    </row>
    <row r="13850" spans="5:35" x14ac:dyDescent="0.25">
      <c r="E13850" s="16"/>
      <c r="F13850" s="16"/>
      <c r="H13850" s="16"/>
      <c r="AG13850" s="80"/>
      <c r="AH13850" s="80"/>
      <c r="AI13850" s="80"/>
    </row>
    <row r="13851" spans="5:35" x14ac:dyDescent="0.25">
      <c r="E13851" s="16"/>
      <c r="F13851" s="16"/>
      <c r="H13851" s="16"/>
      <c r="AG13851" s="80"/>
      <c r="AH13851" s="80"/>
      <c r="AI13851" s="80"/>
    </row>
    <row r="13852" spans="5:35" x14ac:dyDescent="0.25">
      <c r="E13852" s="16"/>
      <c r="F13852" s="16"/>
      <c r="H13852" s="16"/>
      <c r="AG13852" s="80"/>
      <c r="AH13852" s="80"/>
      <c r="AI13852" s="80"/>
    </row>
    <row r="13853" spans="5:35" x14ac:dyDescent="0.25">
      <c r="E13853" s="16"/>
      <c r="F13853" s="16"/>
      <c r="H13853" s="16"/>
      <c r="AG13853" s="80"/>
      <c r="AH13853" s="80"/>
      <c r="AI13853" s="80"/>
    </row>
    <row r="13854" spans="5:35" x14ac:dyDescent="0.25">
      <c r="E13854" s="16"/>
      <c r="F13854" s="16"/>
      <c r="H13854" s="16"/>
      <c r="AG13854" s="80"/>
      <c r="AH13854" s="80"/>
      <c r="AI13854" s="80"/>
    </row>
    <row r="13855" spans="5:35" x14ac:dyDescent="0.25">
      <c r="E13855" s="16"/>
      <c r="F13855" s="16"/>
      <c r="H13855" s="16"/>
      <c r="AG13855" s="80"/>
      <c r="AH13855" s="80"/>
      <c r="AI13855" s="80"/>
    </row>
    <row r="13856" spans="5:35" x14ac:dyDescent="0.25">
      <c r="E13856" s="16"/>
      <c r="F13856" s="16"/>
      <c r="H13856" s="16"/>
      <c r="AG13856" s="80"/>
      <c r="AH13856" s="80"/>
      <c r="AI13856" s="80"/>
    </row>
    <row r="13857" spans="5:35" x14ac:dyDescent="0.25">
      <c r="E13857" s="16"/>
      <c r="F13857" s="16"/>
      <c r="H13857" s="16"/>
      <c r="AG13857" s="80"/>
      <c r="AH13857" s="80"/>
      <c r="AI13857" s="80"/>
    </row>
    <row r="13858" spans="5:35" x14ac:dyDescent="0.25">
      <c r="E13858" s="16"/>
      <c r="F13858" s="16"/>
      <c r="H13858" s="16"/>
      <c r="AG13858" s="80"/>
      <c r="AH13858" s="80"/>
      <c r="AI13858" s="80"/>
    </row>
    <row r="13859" spans="5:35" x14ac:dyDescent="0.25">
      <c r="E13859" s="16"/>
      <c r="F13859" s="16"/>
      <c r="H13859" s="16"/>
      <c r="AG13859" s="80"/>
      <c r="AH13859" s="80"/>
      <c r="AI13859" s="80"/>
    </row>
    <row r="13860" spans="5:35" x14ac:dyDescent="0.25">
      <c r="E13860" s="16"/>
      <c r="F13860" s="16"/>
      <c r="H13860" s="16"/>
      <c r="AG13860" s="80"/>
      <c r="AH13860" s="80"/>
      <c r="AI13860" s="80"/>
    </row>
    <row r="13861" spans="5:35" x14ac:dyDescent="0.25">
      <c r="E13861" s="16"/>
      <c r="F13861" s="16"/>
      <c r="H13861" s="16"/>
      <c r="AG13861" s="80"/>
      <c r="AH13861" s="80"/>
      <c r="AI13861" s="80"/>
    </row>
    <row r="13862" spans="5:35" x14ac:dyDescent="0.25">
      <c r="E13862" s="16"/>
      <c r="F13862" s="16"/>
      <c r="H13862" s="16"/>
      <c r="AG13862" s="80"/>
      <c r="AH13862" s="80"/>
      <c r="AI13862" s="80"/>
    </row>
    <row r="13863" spans="5:35" x14ac:dyDescent="0.25">
      <c r="E13863" s="16"/>
      <c r="F13863" s="16"/>
      <c r="H13863" s="16"/>
      <c r="AG13863" s="80"/>
      <c r="AH13863" s="80"/>
      <c r="AI13863" s="80"/>
    </row>
    <row r="13864" spans="5:35" x14ac:dyDescent="0.25">
      <c r="E13864" s="16"/>
      <c r="F13864" s="16"/>
      <c r="H13864" s="16"/>
      <c r="AG13864" s="80"/>
      <c r="AH13864" s="80"/>
      <c r="AI13864" s="80"/>
    </row>
    <row r="13865" spans="5:35" x14ac:dyDescent="0.25">
      <c r="E13865" s="16"/>
      <c r="F13865" s="16"/>
      <c r="H13865" s="16"/>
      <c r="AG13865" s="80"/>
      <c r="AH13865" s="80"/>
      <c r="AI13865" s="80"/>
    </row>
    <row r="13866" spans="5:35" x14ac:dyDescent="0.25">
      <c r="E13866" s="16"/>
      <c r="F13866" s="16"/>
      <c r="H13866" s="16"/>
      <c r="AG13866" s="80"/>
      <c r="AH13866" s="80"/>
      <c r="AI13866" s="80"/>
    </row>
    <row r="13867" spans="5:35" x14ac:dyDescent="0.25">
      <c r="E13867" s="16"/>
      <c r="F13867" s="16"/>
      <c r="H13867" s="16"/>
      <c r="AG13867" s="80"/>
      <c r="AH13867" s="80"/>
      <c r="AI13867" s="80"/>
    </row>
    <row r="13868" spans="5:35" x14ac:dyDescent="0.25">
      <c r="E13868" s="16"/>
      <c r="F13868" s="16"/>
      <c r="H13868" s="16"/>
      <c r="AG13868" s="80"/>
      <c r="AH13868" s="80"/>
      <c r="AI13868" s="80"/>
    </row>
    <row r="13869" spans="5:35" x14ac:dyDescent="0.25">
      <c r="E13869" s="16"/>
      <c r="F13869" s="16"/>
      <c r="H13869" s="16"/>
      <c r="AG13869" s="80"/>
      <c r="AH13869" s="80"/>
      <c r="AI13869" s="80"/>
    </row>
    <row r="13870" spans="5:35" x14ac:dyDescent="0.25">
      <c r="E13870" s="16"/>
      <c r="F13870" s="16"/>
      <c r="H13870" s="16"/>
      <c r="AG13870" s="80"/>
      <c r="AH13870" s="80"/>
      <c r="AI13870" s="80"/>
    </row>
    <row r="13871" spans="5:35" x14ac:dyDescent="0.25">
      <c r="E13871" s="16"/>
      <c r="F13871" s="16"/>
      <c r="H13871" s="16"/>
      <c r="AG13871" s="80"/>
      <c r="AH13871" s="80"/>
      <c r="AI13871" s="80"/>
    </row>
    <row r="13872" spans="5:35" x14ac:dyDescent="0.25">
      <c r="E13872" s="16"/>
      <c r="F13872" s="16"/>
      <c r="H13872" s="16"/>
      <c r="AG13872" s="80"/>
      <c r="AH13872" s="80"/>
      <c r="AI13872" s="80"/>
    </row>
    <row r="13873" spans="5:35" x14ac:dyDescent="0.25">
      <c r="E13873" s="16"/>
      <c r="F13873" s="16"/>
      <c r="H13873" s="16"/>
      <c r="AG13873" s="80"/>
      <c r="AH13873" s="80"/>
      <c r="AI13873" s="80"/>
    </row>
    <row r="13874" spans="5:35" x14ac:dyDescent="0.25">
      <c r="E13874" s="16"/>
      <c r="F13874" s="16"/>
      <c r="H13874" s="16"/>
      <c r="AG13874" s="80"/>
      <c r="AH13874" s="80"/>
      <c r="AI13874" s="80"/>
    </row>
    <row r="13875" spans="5:35" x14ac:dyDescent="0.25">
      <c r="E13875" s="16"/>
      <c r="F13875" s="16"/>
      <c r="H13875" s="16"/>
      <c r="AG13875" s="80"/>
      <c r="AH13875" s="80"/>
      <c r="AI13875" s="80"/>
    </row>
    <row r="13876" spans="5:35" x14ac:dyDescent="0.25">
      <c r="E13876" s="16"/>
      <c r="F13876" s="16"/>
      <c r="H13876" s="16"/>
      <c r="AG13876" s="80"/>
      <c r="AH13876" s="80"/>
      <c r="AI13876" s="80"/>
    </row>
    <row r="13877" spans="5:35" x14ac:dyDescent="0.25">
      <c r="E13877" s="16"/>
      <c r="F13877" s="16"/>
      <c r="H13877" s="16"/>
      <c r="AG13877" s="80"/>
      <c r="AH13877" s="80"/>
      <c r="AI13877" s="80"/>
    </row>
    <row r="13878" spans="5:35" x14ac:dyDescent="0.25">
      <c r="E13878" s="16"/>
      <c r="F13878" s="16"/>
      <c r="H13878" s="16"/>
      <c r="AG13878" s="80"/>
      <c r="AH13878" s="80"/>
      <c r="AI13878" s="80"/>
    </row>
    <row r="13879" spans="5:35" x14ac:dyDescent="0.25">
      <c r="E13879" s="16"/>
      <c r="F13879" s="16"/>
      <c r="H13879" s="16"/>
      <c r="AG13879" s="80"/>
      <c r="AH13879" s="80"/>
      <c r="AI13879" s="80"/>
    </row>
    <row r="13880" spans="5:35" x14ac:dyDescent="0.25">
      <c r="E13880" s="16"/>
      <c r="F13880" s="16"/>
      <c r="H13880" s="16"/>
      <c r="AG13880" s="80"/>
      <c r="AH13880" s="80"/>
      <c r="AI13880" s="80"/>
    </row>
    <row r="13881" spans="5:35" x14ac:dyDescent="0.25">
      <c r="E13881" s="16"/>
      <c r="F13881" s="16"/>
      <c r="H13881" s="16"/>
      <c r="AG13881" s="80"/>
      <c r="AH13881" s="80"/>
      <c r="AI13881" s="80"/>
    </row>
    <row r="13882" spans="5:35" x14ac:dyDescent="0.25">
      <c r="E13882" s="16"/>
      <c r="F13882" s="16"/>
      <c r="H13882" s="16"/>
      <c r="AG13882" s="80"/>
      <c r="AH13882" s="80"/>
      <c r="AI13882" s="80"/>
    </row>
    <row r="13883" spans="5:35" x14ac:dyDescent="0.25">
      <c r="E13883" s="16"/>
      <c r="F13883" s="16"/>
      <c r="H13883" s="16"/>
      <c r="AG13883" s="80"/>
      <c r="AH13883" s="80"/>
      <c r="AI13883" s="80"/>
    </row>
    <row r="13884" spans="5:35" x14ac:dyDescent="0.25">
      <c r="E13884" s="16"/>
      <c r="F13884" s="16"/>
      <c r="H13884" s="16"/>
      <c r="AG13884" s="80"/>
      <c r="AH13884" s="80"/>
      <c r="AI13884" s="80"/>
    </row>
    <row r="13885" spans="5:35" x14ac:dyDescent="0.25">
      <c r="E13885" s="16"/>
      <c r="F13885" s="16"/>
      <c r="H13885" s="16"/>
      <c r="AG13885" s="80"/>
      <c r="AH13885" s="80"/>
      <c r="AI13885" s="80"/>
    </row>
    <row r="13886" spans="5:35" x14ac:dyDescent="0.25">
      <c r="E13886" s="16"/>
      <c r="F13886" s="16"/>
      <c r="H13886" s="16"/>
      <c r="AG13886" s="80"/>
      <c r="AH13886" s="80"/>
      <c r="AI13886" s="80"/>
    </row>
    <row r="13887" spans="5:35" x14ac:dyDescent="0.25">
      <c r="E13887" s="16"/>
      <c r="F13887" s="16"/>
      <c r="H13887" s="16"/>
      <c r="AG13887" s="80"/>
      <c r="AH13887" s="80"/>
      <c r="AI13887" s="80"/>
    </row>
    <row r="13888" spans="5:35" x14ac:dyDescent="0.25">
      <c r="E13888" s="16"/>
      <c r="F13888" s="16"/>
      <c r="H13888" s="16"/>
      <c r="AG13888" s="80"/>
      <c r="AH13888" s="80"/>
      <c r="AI13888" s="80"/>
    </row>
    <row r="13889" spans="5:35" x14ac:dyDescent="0.25">
      <c r="E13889" s="16"/>
      <c r="F13889" s="16"/>
      <c r="H13889" s="16"/>
      <c r="AG13889" s="80"/>
      <c r="AH13889" s="80"/>
      <c r="AI13889" s="80"/>
    </row>
    <row r="13890" spans="5:35" x14ac:dyDescent="0.25">
      <c r="E13890" s="16"/>
      <c r="F13890" s="16"/>
      <c r="H13890" s="16"/>
      <c r="AG13890" s="80"/>
      <c r="AH13890" s="80"/>
      <c r="AI13890" s="80"/>
    </row>
    <row r="13891" spans="5:35" x14ac:dyDescent="0.25">
      <c r="E13891" s="16"/>
      <c r="F13891" s="16"/>
      <c r="H13891" s="16"/>
      <c r="AG13891" s="80"/>
      <c r="AH13891" s="80"/>
      <c r="AI13891" s="80"/>
    </row>
    <row r="13892" spans="5:35" x14ac:dyDescent="0.25">
      <c r="E13892" s="16"/>
      <c r="F13892" s="16"/>
      <c r="H13892" s="16"/>
      <c r="AG13892" s="80"/>
      <c r="AH13892" s="80"/>
      <c r="AI13892" s="80"/>
    </row>
    <row r="13893" spans="5:35" x14ac:dyDescent="0.25">
      <c r="E13893" s="16"/>
      <c r="F13893" s="16"/>
      <c r="H13893" s="16"/>
      <c r="AG13893" s="80"/>
      <c r="AH13893" s="80"/>
      <c r="AI13893" s="80"/>
    </row>
    <row r="13894" spans="5:35" x14ac:dyDescent="0.25">
      <c r="E13894" s="16"/>
      <c r="F13894" s="16"/>
      <c r="H13894" s="16"/>
      <c r="AG13894" s="80"/>
      <c r="AH13894" s="80"/>
      <c r="AI13894" s="80"/>
    </row>
    <row r="13895" spans="5:35" x14ac:dyDescent="0.25">
      <c r="E13895" s="16"/>
      <c r="F13895" s="16"/>
      <c r="H13895" s="16"/>
      <c r="AG13895" s="80"/>
      <c r="AH13895" s="80"/>
      <c r="AI13895" s="80"/>
    </row>
    <row r="13896" spans="5:35" x14ac:dyDescent="0.25">
      <c r="E13896" s="16"/>
      <c r="F13896" s="16"/>
      <c r="H13896" s="16"/>
      <c r="AG13896" s="80"/>
      <c r="AH13896" s="80"/>
      <c r="AI13896" s="80"/>
    </row>
    <row r="13897" spans="5:35" x14ac:dyDescent="0.25">
      <c r="E13897" s="16"/>
      <c r="F13897" s="16"/>
      <c r="H13897" s="16"/>
      <c r="AG13897" s="80"/>
      <c r="AH13897" s="80"/>
      <c r="AI13897" s="80"/>
    </row>
    <row r="13898" spans="5:35" x14ac:dyDescent="0.25">
      <c r="E13898" s="16"/>
      <c r="F13898" s="16"/>
      <c r="H13898" s="16"/>
      <c r="AG13898" s="80"/>
      <c r="AH13898" s="80"/>
      <c r="AI13898" s="80"/>
    </row>
    <row r="13899" spans="5:35" x14ac:dyDescent="0.25">
      <c r="E13899" s="16"/>
      <c r="F13899" s="16"/>
      <c r="H13899" s="16"/>
      <c r="AG13899" s="80"/>
      <c r="AH13899" s="80"/>
      <c r="AI13899" s="80"/>
    </row>
    <row r="13900" spans="5:35" x14ac:dyDescent="0.25">
      <c r="E13900" s="16"/>
      <c r="F13900" s="16"/>
      <c r="H13900" s="16"/>
      <c r="AG13900" s="80"/>
      <c r="AH13900" s="80"/>
      <c r="AI13900" s="80"/>
    </row>
    <row r="13901" spans="5:35" x14ac:dyDescent="0.25">
      <c r="E13901" s="16"/>
      <c r="F13901" s="16"/>
      <c r="H13901" s="16"/>
      <c r="AG13901" s="80"/>
      <c r="AH13901" s="80"/>
      <c r="AI13901" s="80"/>
    </row>
    <row r="13902" spans="5:35" x14ac:dyDescent="0.25">
      <c r="E13902" s="16"/>
      <c r="F13902" s="16"/>
      <c r="H13902" s="16"/>
      <c r="AG13902" s="80"/>
      <c r="AH13902" s="80"/>
      <c r="AI13902" s="80"/>
    </row>
    <row r="13903" spans="5:35" x14ac:dyDescent="0.25">
      <c r="E13903" s="16"/>
      <c r="F13903" s="16"/>
      <c r="H13903" s="16"/>
      <c r="AG13903" s="80"/>
      <c r="AH13903" s="80"/>
      <c r="AI13903" s="80"/>
    </row>
    <row r="13904" spans="5:35" x14ac:dyDescent="0.25">
      <c r="E13904" s="16"/>
      <c r="F13904" s="16"/>
      <c r="H13904" s="16"/>
      <c r="AG13904" s="80"/>
      <c r="AH13904" s="80"/>
      <c r="AI13904" s="80"/>
    </row>
    <row r="13905" spans="5:35" x14ac:dyDescent="0.25">
      <c r="E13905" s="16"/>
      <c r="F13905" s="16"/>
      <c r="H13905" s="16"/>
      <c r="AG13905" s="80"/>
      <c r="AH13905" s="80"/>
      <c r="AI13905" s="80"/>
    </row>
    <row r="13906" spans="5:35" x14ac:dyDescent="0.25">
      <c r="E13906" s="16"/>
      <c r="F13906" s="16"/>
      <c r="H13906" s="16"/>
      <c r="AG13906" s="80"/>
      <c r="AH13906" s="80"/>
      <c r="AI13906" s="80"/>
    </row>
    <row r="13907" spans="5:35" x14ac:dyDescent="0.25">
      <c r="E13907" s="16"/>
      <c r="F13907" s="16"/>
      <c r="H13907" s="16"/>
      <c r="AG13907" s="80"/>
      <c r="AH13907" s="80"/>
      <c r="AI13907" s="80"/>
    </row>
    <row r="13908" spans="5:35" x14ac:dyDescent="0.25">
      <c r="E13908" s="16"/>
      <c r="F13908" s="16"/>
      <c r="H13908" s="16"/>
      <c r="AG13908" s="80"/>
      <c r="AH13908" s="80"/>
      <c r="AI13908" s="80"/>
    </row>
    <row r="13909" spans="5:35" x14ac:dyDescent="0.25">
      <c r="E13909" s="16"/>
      <c r="F13909" s="16"/>
      <c r="H13909" s="16"/>
      <c r="AG13909" s="80"/>
      <c r="AH13909" s="80"/>
      <c r="AI13909" s="80"/>
    </row>
    <row r="13910" spans="5:35" x14ac:dyDescent="0.25">
      <c r="E13910" s="16"/>
      <c r="F13910" s="16"/>
      <c r="H13910" s="16"/>
      <c r="AG13910" s="80"/>
      <c r="AH13910" s="80"/>
      <c r="AI13910" s="80"/>
    </row>
    <row r="13911" spans="5:35" x14ac:dyDescent="0.25">
      <c r="E13911" s="16"/>
      <c r="F13911" s="16"/>
      <c r="H13911" s="16"/>
      <c r="AG13911" s="80"/>
      <c r="AH13911" s="80"/>
      <c r="AI13911" s="80"/>
    </row>
    <row r="13912" spans="5:35" x14ac:dyDescent="0.25">
      <c r="E13912" s="16"/>
      <c r="F13912" s="16"/>
      <c r="H13912" s="16"/>
      <c r="AG13912" s="80"/>
      <c r="AH13912" s="80"/>
      <c r="AI13912" s="80"/>
    </row>
    <row r="13913" spans="5:35" x14ac:dyDescent="0.25">
      <c r="E13913" s="16"/>
      <c r="F13913" s="16"/>
      <c r="H13913" s="16"/>
      <c r="AG13913" s="80"/>
      <c r="AH13913" s="80"/>
      <c r="AI13913" s="80"/>
    </row>
    <row r="13914" spans="5:35" x14ac:dyDescent="0.25">
      <c r="E13914" s="16"/>
      <c r="F13914" s="16"/>
      <c r="H13914" s="16"/>
      <c r="AG13914" s="80"/>
      <c r="AH13914" s="80"/>
      <c r="AI13914" s="80"/>
    </row>
    <row r="13915" spans="5:35" x14ac:dyDescent="0.25">
      <c r="E13915" s="16"/>
      <c r="F13915" s="16"/>
      <c r="H13915" s="16"/>
      <c r="AG13915" s="80"/>
      <c r="AH13915" s="80"/>
      <c r="AI13915" s="80"/>
    </row>
    <row r="13916" spans="5:35" x14ac:dyDescent="0.25">
      <c r="E13916" s="16"/>
      <c r="F13916" s="16"/>
      <c r="H13916" s="16"/>
      <c r="AG13916" s="80"/>
      <c r="AH13916" s="80"/>
      <c r="AI13916" s="80"/>
    </row>
    <row r="13917" spans="5:35" x14ac:dyDescent="0.25">
      <c r="E13917" s="16"/>
      <c r="F13917" s="16"/>
      <c r="H13917" s="16"/>
      <c r="AG13917" s="80"/>
      <c r="AH13917" s="80"/>
      <c r="AI13917" s="80"/>
    </row>
    <row r="13918" spans="5:35" x14ac:dyDescent="0.25">
      <c r="E13918" s="16"/>
      <c r="F13918" s="16"/>
      <c r="H13918" s="16"/>
      <c r="AG13918" s="80"/>
      <c r="AH13918" s="80"/>
      <c r="AI13918" s="80"/>
    </row>
    <row r="13919" spans="5:35" x14ac:dyDescent="0.25">
      <c r="E13919" s="16"/>
      <c r="F13919" s="16"/>
      <c r="H13919" s="16"/>
      <c r="AG13919" s="80"/>
      <c r="AH13919" s="80"/>
      <c r="AI13919" s="80"/>
    </row>
    <row r="13920" spans="5:35" x14ac:dyDescent="0.25">
      <c r="E13920" s="16"/>
      <c r="F13920" s="16"/>
      <c r="H13920" s="16"/>
      <c r="AG13920" s="80"/>
      <c r="AH13920" s="80"/>
      <c r="AI13920" s="80"/>
    </row>
    <row r="13921" spans="5:35" x14ac:dyDescent="0.25">
      <c r="E13921" s="16"/>
      <c r="F13921" s="16"/>
      <c r="H13921" s="16"/>
      <c r="AG13921" s="80"/>
      <c r="AH13921" s="80"/>
      <c r="AI13921" s="80"/>
    </row>
    <row r="13922" spans="5:35" x14ac:dyDescent="0.25">
      <c r="E13922" s="16"/>
      <c r="F13922" s="16"/>
      <c r="H13922" s="16"/>
      <c r="AG13922" s="80"/>
      <c r="AH13922" s="80"/>
      <c r="AI13922" s="80"/>
    </row>
    <row r="13923" spans="5:35" x14ac:dyDescent="0.25">
      <c r="E13923" s="16"/>
      <c r="F13923" s="16"/>
      <c r="H13923" s="16"/>
      <c r="AG13923" s="80"/>
      <c r="AH13923" s="80"/>
      <c r="AI13923" s="80"/>
    </row>
    <row r="13924" spans="5:35" x14ac:dyDescent="0.25">
      <c r="E13924" s="16"/>
      <c r="F13924" s="16"/>
      <c r="H13924" s="16"/>
      <c r="AG13924" s="80"/>
      <c r="AH13924" s="80"/>
      <c r="AI13924" s="80"/>
    </row>
    <row r="13925" spans="5:35" x14ac:dyDescent="0.25">
      <c r="E13925" s="16"/>
      <c r="F13925" s="16"/>
      <c r="H13925" s="16"/>
      <c r="AG13925" s="80"/>
      <c r="AH13925" s="80"/>
      <c r="AI13925" s="80"/>
    </row>
    <row r="13926" spans="5:35" x14ac:dyDescent="0.25">
      <c r="E13926" s="16"/>
      <c r="F13926" s="16"/>
      <c r="H13926" s="16"/>
      <c r="AG13926" s="80"/>
      <c r="AH13926" s="80"/>
      <c r="AI13926" s="80"/>
    </row>
    <row r="13927" spans="5:35" x14ac:dyDescent="0.25">
      <c r="E13927" s="16"/>
      <c r="F13927" s="16"/>
      <c r="H13927" s="16"/>
      <c r="AG13927" s="80"/>
      <c r="AH13927" s="80"/>
      <c r="AI13927" s="80"/>
    </row>
    <row r="13928" spans="5:35" x14ac:dyDescent="0.25">
      <c r="E13928" s="16"/>
      <c r="F13928" s="16"/>
      <c r="H13928" s="16"/>
      <c r="AG13928" s="80"/>
      <c r="AH13928" s="80"/>
      <c r="AI13928" s="80"/>
    </row>
    <row r="13929" spans="5:35" x14ac:dyDescent="0.25">
      <c r="E13929" s="16"/>
      <c r="F13929" s="16"/>
      <c r="H13929" s="16"/>
      <c r="AG13929" s="80"/>
      <c r="AH13929" s="80"/>
      <c r="AI13929" s="80"/>
    </row>
    <row r="13930" spans="5:35" x14ac:dyDescent="0.25">
      <c r="E13930" s="16"/>
      <c r="F13930" s="16"/>
      <c r="H13930" s="16"/>
      <c r="AG13930" s="80"/>
      <c r="AH13930" s="80"/>
      <c r="AI13930" s="80"/>
    </row>
    <row r="13931" spans="5:35" x14ac:dyDescent="0.25">
      <c r="E13931" s="16"/>
      <c r="F13931" s="16"/>
      <c r="H13931" s="16"/>
      <c r="AG13931" s="80"/>
      <c r="AH13931" s="80"/>
      <c r="AI13931" s="80"/>
    </row>
    <row r="13932" spans="5:35" x14ac:dyDescent="0.25">
      <c r="E13932" s="16"/>
      <c r="F13932" s="16"/>
      <c r="H13932" s="16"/>
      <c r="AG13932" s="80"/>
      <c r="AH13932" s="80"/>
      <c r="AI13932" s="80"/>
    </row>
    <row r="13933" spans="5:35" x14ac:dyDescent="0.25">
      <c r="E13933" s="16"/>
      <c r="F13933" s="16"/>
      <c r="H13933" s="16"/>
      <c r="AG13933" s="80"/>
      <c r="AH13933" s="80"/>
      <c r="AI13933" s="80"/>
    </row>
    <row r="13934" spans="5:35" x14ac:dyDescent="0.25">
      <c r="E13934" s="16"/>
      <c r="F13934" s="16"/>
      <c r="H13934" s="16"/>
      <c r="AG13934" s="80"/>
      <c r="AH13934" s="80"/>
      <c r="AI13934" s="80"/>
    </row>
    <row r="13935" spans="5:35" x14ac:dyDescent="0.25">
      <c r="E13935" s="16"/>
      <c r="F13935" s="16"/>
      <c r="H13935" s="16"/>
      <c r="AG13935" s="80"/>
      <c r="AH13935" s="80"/>
      <c r="AI13935" s="80"/>
    </row>
    <row r="13936" spans="5:35" x14ac:dyDescent="0.25">
      <c r="E13936" s="16"/>
      <c r="F13936" s="16"/>
      <c r="H13936" s="16"/>
      <c r="AG13936" s="80"/>
      <c r="AH13936" s="80"/>
      <c r="AI13936" s="80"/>
    </row>
    <row r="13937" spans="5:35" x14ac:dyDescent="0.25">
      <c r="E13937" s="16"/>
      <c r="F13937" s="16"/>
      <c r="H13937" s="16"/>
      <c r="AG13937" s="80"/>
      <c r="AH13937" s="80"/>
      <c r="AI13937" s="80"/>
    </row>
    <row r="13938" spans="5:35" x14ac:dyDescent="0.25">
      <c r="E13938" s="16"/>
      <c r="F13938" s="16"/>
      <c r="H13938" s="16"/>
      <c r="AG13938" s="80"/>
      <c r="AH13938" s="80"/>
      <c r="AI13938" s="80"/>
    </row>
    <row r="13939" spans="5:35" x14ac:dyDescent="0.25">
      <c r="E13939" s="16"/>
      <c r="F13939" s="16"/>
      <c r="H13939" s="16"/>
      <c r="AG13939" s="80"/>
      <c r="AH13939" s="80"/>
      <c r="AI13939" s="80"/>
    </row>
    <row r="13940" spans="5:35" x14ac:dyDescent="0.25">
      <c r="E13940" s="16"/>
      <c r="F13940" s="16"/>
      <c r="H13940" s="16"/>
      <c r="AG13940" s="80"/>
      <c r="AH13940" s="80"/>
      <c r="AI13940" s="80"/>
    </row>
    <row r="13941" spans="5:35" x14ac:dyDescent="0.25">
      <c r="E13941" s="16"/>
      <c r="F13941" s="16"/>
      <c r="H13941" s="16"/>
      <c r="AG13941" s="80"/>
      <c r="AH13941" s="80"/>
      <c r="AI13941" s="80"/>
    </row>
    <row r="13942" spans="5:35" x14ac:dyDescent="0.25">
      <c r="E13942" s="16"/>
      <c r="F13942" s="16"/>
      <c r="H13942" s="16"/>
      <c r="AG13942" s="80"/>
      <c r="AH13942" s="80"/>
      <c r="AI13942" s="80"/>
    </row>
    <row r="13943" spans="5:35" x14ac:dyDescent="0.25">
      <c r="E13943" s="16"/>
      <c r="F13943" s="16"/>
      <c r="H13943" s="16"/>
      <c r="AG13943" s="80"/>
      <c r="AH13943" s="80"/>
      <c r="AI13943" s="80"/>
    </row>
    <row r="13944" spans="5:35" x14ac:dyDescent="0.25">
      <c r="E13944" s="16"/>
      <c r="F13944" s="16"/>
      <c r="H13944" s="16"/>
      <c r="AG13944" s="80"/>
      <c r="AH13944" s="80"/>
      <c r="AI13944" s="80"/>
    </row>
    <row r="13945" spans="5:35" x14ac:dyDescent="0.25">
      <c r="E13945" s="16"/>
      <c r="F13945" s="16"/>
      <c r="H13945" s="16"/>
      <c r="AG13945" s="80"/>
      <c r="AH13945" s="80"/>
      <c r="AI13945" s="80"/>
    </row>
    <row r="13946" spans="5:35" x14ac:dyDescent="0.25">
      <c r="E13946" s="16"/>
      <c r="F13946" s="16"/>
      <c r="H13946" s="16"/>
      <c r="AG13946" s="80"/>
      <c r="AH13946" s="80"/>
      <c r="AI13946" s="80"/>
    </row>
    <row r="13947" spans="5:35" x14ac:dyDescent="0.25">
      <c r="E13947" s="16"/>
      <c r="F13947" s="16"/>
      <c r="H13947" s="16"/>
      <c r="AG13947" s="80"/>
      <c r="AH13947" s="80"/>
      <c r="AI13947" s="80"/>
    </row>
    <row r="13948" spans="5:35" x14ac:dyDescent="0.25">
      <c r="E13948" s="16"/>
      <c r="F13948" s="16"/>
      <c r="H13948" s="16"/>
      <c r="AG13948" s="80"/>
      <c r="AH13948" s="80"/>
      <c r="AI13948" s="80"/>
    </row>
    <row r="13949" spans="5:35" x14ac:dyDescent="0.25">
      <c r="E13949" s="16"/>
      <c r="F13949" s="16"/>
      <c r="H13949" s="16"/>
      <c r="AG13949" s="80"/>
      <c r="AH13949" s="80"/>
      <c r="AI13949" s="80"/>
    </row>
    <row r="13950" spans="5:35" x14ac:dyDescent="0.25">
      <c r="E13950" s="16"/>
      <c r="F13950" s="16"/>
      <c r="H13950" s="16"/>
      <c r="AG13950" s="80"/>
      <c r="AH13950" s="80"/>
      <c r="AI13950" s="80"/>
    </row>
    <row r="13951" spans="5:35" x14ac:dyDescent="0.25">
      <c r="E13951" s="16"/>
      <c r="F13951" s="16"/>
      <c r="H13951" s="16"/>
      <c r="AG13951" s="80"/>
      <c r="AH13951" s="80"/>
      <c r="AI13951" s="80"/>
    </row>
    <row r="13952" spans="5:35" x14ac:dyDescent="0.25">
      <c r="E13952" s="16"/>
      <c r="F13952" s="16"/>
      <c r="H13952" s="16"/>
      <c r="AG13952" s="80"/>
      <c r="AH13952" s="80"/>
      <c r="AI13952" s="80"/>
    </row>
    <row r="13953" spans="5:35" x14ac:dyDescent="0.25">
      <c r="E13953" s="16"/>
      <c r="F13953" s="16"/>
      <c r="H13953" s="16"/>
      <c r="AG13953" s="80"/>
      <c r="AH13953" s="80"/>
      <c r="AI13953" s="80"/>
    </row>
    <row r="13954" spans="5:35" x14ac:dyDescent="0.25">
      <c r="E13954" s="16"/>
      <c r="F13954" s="16"/>
      <c r="H13954" s="16"/>
      <c r="AG13954" s="80"/>
      <c r="AH13954" s="80"/>
      <c r="AI13954" s="80"/>
    </row>
    <row r="13955" spans="5:35" x14ac:dyDescent="0.25">
      <c r="E13955" s="16"/>
      <c r="F13955" s="16"/>
      <c r="H13955" s="16"/>
      <c r="AG13955" s="80"/>
      <c r="AH13955" s="80"/>
      <c r="AI13955" s="80"/>
    </row>
    <row r="13956" spans="5:35" x14ac:dyDescent="0.25">
      <c r="E13956" s="16"/>
      <c r="F13956" s="16"/>
      <c r="H13956" s="16"/>
      <c r="AG13956" s="80"/>
      <c r="AH13956" s="80"/>
      <c r="AI13956" s="80"/>
    </row>
    <row r="13957" spans="5:35" x14ac:dyDescent="0.25">
      <c r="E13957" s="16"/>
      <c r="F13957" s="16"/>
      <c r="H13957" s="16"/>
      <c r="AG13957" s="80"/>
      <c r="AH13957" s="80"/>
      <c r="AI13957" s="80"/>
    </row>
    <row r="13958" spans="5:35" x14ac:dyDescent="0.25">
      <c r="E13958" s="16"/>
      <c r="F13958" s="16"/>
      <c r="H13958" s="16"/>
      <c r="AG13958" s="80"/>
      <c r="AH13958" s="80"/>
      <c r="AI13958" s="80"/>
    </row>
    <row r="13959" spans="5:35" x14ac:dyDescent="0.25">
      <c r="E13959" s="16"/>
      <c r="F13959" s="16"/>
      <c r="H13959" s="16"/>
      <c r="AG13959" s="80"/>
      <c r="AH13959" s="80"/>
      <c r="AI13959" s="80"/>
    </row>
    <row r="13960" spans="5:35" x14ac:dyDescent="0.25">
      <c r="E13960" s="16"/>
      <c r="F13960" s="16"/>
      <c r="H13960" s="16"/>
      <c r="AG13960" s="80"/>
      <c r="AH13960" s="80"/>
      <c r="AI13960" s="80"/>
    </row>
    <row r="13961" spans="5:35" x14ac:dyDescent="0.25">
      <c r="E13961" s="16"/>
      <c r="F13961" s="16"/>
      <c r="H13961" s="16"/>
      <c r="AG13961" s="80"/>
      <c r="AH13961" s="80"/>
      <c r="AI13961" s="80"/>
    </row>
    <row r="13962" spans="5:35" x14ac:dyDescent="0.25">
      <c r="E13962" s="16"/>
      <c r="F13962" s="16"/>
      <c r="H13962" s="16"/>
      <c r="AG13962" s="80"/>
      <c r="AH13962" s="80"/>
      <c r="AI13962" s="80"/>
    </row>
    <row r="13963" spans="5:35" x14ac:dyDescent="0.25">
      <c r="E13963" s="16"/>
      <c r="F13963" s="16"/>
      <c r="H13963" s="16"/>
      <c r="AG13963" s="80"/>
      <c r="AH13963" s="80"/>
      <c r="AI13963" s="80"/>
    </row>
    <row r="13964" spans="5:35" x14ac:dyDescent="0.25">
      <c r="E13964" s="16"/>
      <c r="F13964" s="16"/>
      <c r="H13964" s="16"/>
      <c r="AG13964" s="80"/>
      <c r="AH13964" s="80"/>
      <c r="AI13964" s="80"/>
    </row>
    <row r="13965" spans="5:35" x14ac:dyDescent="0.25">
      <c r="E13965" s="16"/>
      <c r="F13965" s="16"/>
      <c r="H13965" s="16"/>
      <c r="AG13965" s="80"/>
      <c r="AH13965" s="80"/>
      <c r="AI13965" s="80"/>
    </row>
    <row r="13966" spans="5:35" x14ac:dyDescent="0.25">
      <c r="E13966" s="16"/>
      <c r="F13966" s="16"/>
      <c r="H13966" s="16"/>
      <c r="AG13966" s="80"/>
      <c r="AH13966" s="80"/>
      <c r="AI13966" s="80"/>
    </row>
    <row r="13967" spans="5:35" x14ac:dyDescent="0.25">
      <c r="E13967" s="16"/>
      <c r="F13967" s="16"/>
      <c r="H13967" s="16"/>
      <c r="AG13967" s="80"/>
      <c r="AH13967" s="80"/>
      <c r="AI13967" s="80"/>
    </row>
    <row r="13968" spans="5:35" x14ac:dyDescent="0.25">
      <c r="E13968" s="16"/>
      <c r="F13968" s="16"/>
      <c r="H13968" s="16"/>
      <c r="AG13968" s="80"/>
      <c r="AH13968" s="80"/>
      <c r="AI13968" s="80"/>
    </row>
    <row r="13969" spans="5:35" x14ac:dyDescent="0.25">
      <c r="E13969" s="16"/>
      <c r="F13969" s="16"/>
      <c r="H13969" s="16"/>
      <c r="AG13969" s="80"/>
      <c r="AH13969" s="80"/>
      <c r="AI13969" s="80"/>
    </row>
    <row r="13970" spans="5:35" x14ac:dyDescent="0.25">
      <c r="E13970" s="16"/>
      <c r="F13970" s="16"/>
      <c r="H13970" s="16"/>
      <c r="AG13970" s="80"/>
      <c r="AH13970" s="80"/>
      <c r="AI13970" s="80"/>
    </row>
    <row r="13971" spans="5:35" x14ac:dyDescent="0.25">
      <c r="E13971" s="16"/>
      <c r="F13971" s="16"/>
      <c r="H13971" s="16"/>
      <c r="AG13971" s="80"/>
      <c r="AH13971" s="80"/>
      <c r="AI13971" s="80"/>
    </row>
    <row r="13972" spans="5:35" x14ac:dyDescent="0.25">
      <c r="E13972" s="16"/>
      <c r="F13972" s="16"/>
      <c r="H13972" s="16"/>
      <c r="AG13972" s="80"/>
      <c r="AH13972" s="80"/>
      <c r="AI13972" s="80"/>
    </row>
    <row r="13973" spans="5:35" x14ac:dyDescent="0.25">
      <c r="E13973" s="16"/>
      <c r="F13973" s="16"/>
      <c r="H13973" s="16"/>
      <c r="AG13973" s="80"/>
      <c r="AH13973" s="80"/>
      <c r="AI13973" s="80"/>
    </row>
    <row r="13974" spans="5:35" x14ac:dyDescent="0.25">
      <c r="E13974" s="16"/>
      <c r="F13974" s="16"/>
      <c r="H13974" s="16"/>
      <c r="AG13974" s="80"/>
      <c r="AH13974" s="80"/>
      <c r="AI13974" s="80"/>
    </row>
    <row r="13975" spans="5:35" x14ac:dyDescent="0.25">
      <c r="E13975" s="16"/>
      <c r="F13975" s="16"/>
      <c r="H13975" s="16"/>
      <c r="AG13975" s="80"/>
      <c r="AH13975" s="80"/>
      <c r="AI13975" s="80"/>
    </row>
    <row r="13976" spans="5:35" x14ac:dyDescent="0.25">
      <c r="E13976" s="16"/>
      <c r="F13976" s="16"/>
      <c r="H13976" s="16"/>
      <c r="AG13976" s="80"/>
      <c r="AH13976" s="80"/>
      <c r="AI13976" s="80"/>
    </row>
    <row r="13977" spans="5:35" x14ac:dyDescent="0.25">
      <c r="E13977" s="16"/>
      <c r="F13977" s="16"/>
      <c r="H13977" s="16"/>
      <c r="AG13977" s="80"/>
      <c r="AH13977" s="80"/>
      <c r="AI13977" s="80"/>
    </row>
    <row r="13978" spans="5:35" x14ac:dyDescent="0.25">
      <c r="E13978" s="16"/>
      <c r="F13978" s="16"/>
      <c r="H13978" s="16"/>
      <c r="AG13978" s="80"/>
      <c r="AH13978" s="80"/>
      <c r="AI13978" s="80"/>
    </row>
    <row r="13979" spans="5:35" x14ac:dyDescent="0.25">
      <c r="E13979" s="16"/>
      <c r="F13979" s="16"/>
      <c r="H13979" s="16"/>
      <c r="AG13979" s="80"/>
      <c r="AH13979" s="80"/>
      <c r="AI13979" s="80"/>
    </row>
    <row r="13980" spans="5:35" x14ac:dyDescent="0.25">
      <c r="E13980" s="16"/>
      <c r="F13980" s="16"/>
      <c r="H13980" s="16"/>
      <c r="AG13980" s="80"/>
      <c r="AH13980" s="80"/>
      <c r="AI13980" s="80"/>
    </row>
    <row r="13981" spans="5:35" x14ac:dyDescent="0.25">
      <c r="E13981" s="16"/>
      <c r="F13981" s="16"/>
      <c r="H13981" s="16"/>
      <c r="AG13981" s="80"/>
      <c r="AH13981" s="80"/>
      <c r="AI13981" s="80"/>
    </row>
    <row r="13982" spans="5:35" x14ac:dyDescent="0.25">
      <c r="E13982" s="16"/>
      <c r="F13982" s="16"/>
      <c r="H13982" s="16"/>
      <c r="AG13982" s="80"/>
      <c r="AH13982" s="80"/>
      <c r="AI13982" s="80"/>
    </row>
    <row r="13983" spans="5:35" x14ac:dyDescent="0.25">
      <c r="E13983" s="16"/>
      <c r="F13983" s="16"/>
      <c r="H13983" s="16"/>
      <c r="AG13983" s="80"/>
      <c r="AH13983" s="80"/>
      <c r="AI13983" s="80"/>
    </row>
    <row r="13984" spans="5:35" x14ac:dyDescent="0.25">
      <c r="E13984" s="16"/>
      <c r="F13984" s="16"/>
      <c r="H13984" s="16"/>
      <c r="AG13984" s="80"/>
      <c r="AH13984" s="80"/>
      <c r="AI13984" s="80"/>
    </row>
    <row r="13985" spans="5:35" x14ac:dyDescent="0.25">
      <c r="E13985" s="16"/>
      <c r="F13985" s="16"/>
      <c r="H13985" s="16"/>
      <c r="AG13985" s="80"/>
      <c r="AH13985" s="80"/>
      <c r="AI13985" s="80"/>
    </row>
    <row r="13986" spans="5:35" x14ac:dyDescent="0.25">
      <c r="E13986" s="16"/>
      <c r="F13986" s="16"/>
      <c r="H13986" s="16"/>
      <c r="AG13986" s="80"/>
      <c r="AH13986" s="80"/>
      <c r="AI13986" s="80"/>
    </row>
    <row r="13987" spans="5:35" x14ac:dyDescent="0.25">
      <c r="E13987" s="16"/>
      <c r="F13987" s="16"/>
      <c r="H13987" s="16"/>
      <c r="AG13987" s="80"/>
      <c r="AH13987" s="80"/>
      <c r="AI13987" s="80"/>
    </row>
    <row r="13988" spans="5:35" x14ac:dyDescent="0.25">
      <c r="E13988" s="16"/>
      <c r="F13988" s="16"/>
      <c r="H13988" s="16"/>
      <c r="AG13988" s="80"/>
      <c r="AH13988" s="80"/>
      <c r="AI13988" s="80"/>
    </row>
    <row r="13989" spans="5:35" x14ac:dyDescent="0.25">
      <c r="E13989" s="16"/>
      <c r="F13989" s="16"/>
      <c r="H13989" s="16"/>
      <c r="AG13989" s="80"/>
      <c r="AH13989" s="80"/>
      <c r="AI13989" s="80"/>
    </row>
    <row r="13990" spans="5:35" x14ac:dyDescent="0.25">
      <c r="E13990" s="16"/>
      <c r="F13990" s="16"/>
      <c r="H13990" s="16"/>
      <c r="AG13990" s="80"/>
      <c r="AH13990" s="80"/>
      <c r="AI13990" s="80"/>
    </row>
    <row r="13991" spans="5:35" x14ac:dyDescent="0.25">
      <c r="E13991" s="16"/>
      <c r="F13991" s="16"/>
      <c r="H13991" s="16"/>
      <c r="AG13991" s="80"/>
      <c r="AH13991" s="80"/>
      <c r="AI13991" s="80"/>
    </row>
    <row r="13992" spans="5:35" x14ac:dyDescent="0.25">
      <c r="E13992" s="16"/>
      <c r="F13992" s="16"/>
      <c r="H13992" s="16"/>
      <c r="AG13992" s="80"/>
      <c r="AH13992" s="80"/>
      <c r="AI13992" s="80"/>
    </row>
    <row r="13993" spans="5:35" x14ac:dyDescent="0.25">
      <c r="E13993" s="16"/>
      <c r="F13993" s="16"/>
      <c r="H13993" s="16"/>
      <c r="AG13993" s="80"/>
      <c r="AH13993" s="80"/>
      <c r="AI13993" s="80"/>
    </row>
    <row r="13994" spans="5:35" x14ac:dyDescent="0.25">
      <c r="E13994" s="16"/>
      <c r="F13994" s="16"/>
      <c r="H13994" s="16"/>
      <c r="AG13994" s="80"/>
      <c r="AH13994" s="80"/>
      <c r="AI13994" s="80"/>
    </row>
    <row r="13995" spans="5:35" x14ac:dyDescent="0.25">
      <c r="E13995" s="16"/>
      <c r="F13995" s="16"/>
      <c r="H13995" s="16"/>
      <c r="AG13995" s="80"/>
      <c r="AH13995" s="80"/>
      <c r="AI13995" s="80"/>
    </row>
    <row r="13996" spans="5:35" x14ac:dyDescent="0.25">
      <c r="E13996" s="16"/>
      <c r="F13996" s="16"/>
      <c r="H13996" s="16"/>
      <c r="AG13996" s="80"/>
      <c r="AH13996" s="80"/>
      <c r="AI13996" s="80"/>
    </row>
    <row r="13997" spans="5:35" x14ac:dyDescent="0.25">
      <c r="E13997" s="16"/>
      <c r="F13997" s="16"/>
      <c r="H13997" s="16"/>
      <c r="AG13997" s="80"/>
      <c r="AH13997" s="80"/>
      <c r="AI13997" s="80"/>
    </row>
    <row r="13998" spans="5:35" x14ac:dyDescent="0.25">
      <c r="E13998" s="16"/>
      <c r="F13998" s="16"/>
      <c r="H13998" s="16"/>
      <c r="AG13998" s="80"/>
      <c r="AH13998" s="80"/>
      <c r="AI13998" s="80"/>
    </row>
    <row r="13999" spans="5:35" x14ac:dyDescent="0.25">
      <c r="E13999" s="16"/>
      <c r="F13999" s="16"/>
      <c r="H13999" s="16"/>
      <c r="AG13999" s="80"/>
      <c r="AH13999" s="80"/>
      <c r="AI13999" s="80"/>
    </row>
    <row r="14000" spans="5:35" x14ac:dyDescent="0.25">
      <c r="E14000" s="16"/>
      <c r="F14000" s="16"/>
      <c r="H14000" s="16"/>
      <c r="AG14000" s="80"/>
      <c r="AH14000" s="80"/>
      <c r="AI14000" s="80"/>
    </row>
    <row r="14001" spans="5:35" x14ac:dyDescent="0.25">
      <c r="E14001" s="16"/>
      <c r="F14001" s="16"/>
      <c r="H14001" s="16"/>
      <c r="AG14001" s="80"/>
      <c r="AH14001" s="80"/>
      <c r="AI14001" s="80"/>
    </row>
    <row r="14002" spans="5:35" x14ac:dyDescent="0.25">
      <c r="E14002" s="16"/>
      <c r="F14002" s="16"/>
      <c r="H14002" s="16"/>
      <c r="AG14002" s="80"/>
      <c r="AH14002" s="80"/>
      <c r="AI14002" s="80"/>
    </row>
    <row r="14003" spans="5:35" x14ac:dyDescent="0.25">
      <c r="E14003" s="16"/>
      <c r="F14003" s="16"/>
      <c r="H14003" s="16"/>
      <c r="AG14003" s="80"/>
      <c r="AH14003" s="80"/>
      <c r="AI14003" s="80"/>
    </row>
    <row r="14004" spans="5:35" x14ac:dyDescent="0.25">
      <c r="E14004" s="16"/>
      <c r="F14004" s="16"/>
      <c r="H14004" s="16"/>
      <c r="AG14004" s="80"/>
      <c r="AH14004" s="80"/>
      <c r="AI14004" s="80"/>
    </row>
    <row r="14005" spans="5:35" x14ac:dyDescent="0.25">
      <c r="E14005" s="16"/>
      <c r="F14005" s="16"/>
      <c r="H14005" s="16"/>
      <c r="AG14005" s="80"/>
      <c r="AH14005" s="80"/>
      <c r="AI14005" s="80"/>
    </row>
    <row r="14006" spans="5:35" x14ac:dyDescent="0.25">
      <c r="E14006" s="16"/>
      <c r="F14006" s="16"/>
      <c r="H14006" s="16"/>
      <c r="AG14006" s="80"/>
      <c r="AH14006" s="80"/>
      <c r="AI14006" s="80"/>
    </row>
    <row r="14007" spans="5:35" x14ac:dyDescent="0.25">
      <c r="E14007" s="16"/>
      <c r="F14007" s="16"/>
      <c r="H14007" s="16"/>
      <c r="AG14007" s="80"/>
      <c r="AH14007" s="80"/>
      <c r="AI14007" s="80"/>
    </row>
    <row r="14008" spans="5:35" x14ac:dyDescent="0.25">
      <c r="E14008" s="16"/>
      <c r="F14008" s="16"/>
      <c r="H14008" s="16"/>
      <c r="AG14008" s="80"/>
      <c r="AH14008" s="80"/>
      <c r="AI14008" s="80"/>
    </row>
    <row r="14009" spans="5:35" x14ac:dyDescent="0.25">
      <c r="E14009" s="16"/>
      <c r="F14009" s="16"/>
      <c r="H14009" s="16"/>
      <c r="AG14009" s="80"/>
      <c r="AH14009" s="80"/>
      <c r="AI14009" s="80"/>
    </row>
    <row r="14010" spans="5:35" x14ac:dyDescent="0.25">
      <c r="E14010" s="16"/>
      <c r="F14010" s="16"/>
      <c r="H14010" s="16"/>
      <c r="AG14010" s="80"/>
      <c r="AH14010" s="80"/>
      <c r="AI14010" s="80"/>
    </row>
    <row r="14011" spans="5:35" x14ac:dyDescent="0.25">
      <c r="E14011" s="16"/>
      <c r="F14011" s="16"/>
      <c r="H14011" s="16"/>
      <c r="AG14011" s="80"/>
      <c r="AH14011" s="80"/>
      <c r="AI14011" s="80"/>
    </row>
    <row r="14012" spans="5:35" x14ac:dyDescent="0.25">
      <c r="E14012" s="16"/>
      <c r="F14012" s="16"/>
      <c r="H14012" s="16"/>
      <c r="AG14012" s="80"/>
      <c r="AH14012" s="80"/>
      <c r="AI14012" s="80"/>
    </row>
    <row r="14013" spans="5:35" x14ac:dyDescent="0.25">
      <c r="E14013" s="16"/>
      <c r="F14013" s="16"/>
      <c r="H14013" s="16"/>
      <c r="AG14013" s="80"/>
      <c r="AH14013" s="80"/>
      <c r="AI14013" s="80"/>
    </row>
    <row r="14014" spans="5:35" x14ac:dyDescent="0.25">
      <c r="E14014" s="16"/>
      <c r="F14014" s="16"/>
      <c r="H14014" s="16"/>
      <c r="AG14014" s="80"/>
      <c r="AH14014" s="80"/>
      <c r="AI14014" s="80"/>
    </row>
    <row r="14015" spans="5:35" x14ac:dyDescent="0.25">
      <c r="E14015" s="16"/>
      <c r="F14015" s="16"/>
      <c r="H14015" s="16"/>
      <c r="AG14015" s="80"/>
      <c r="AH14015" s="80"/>
      <c r="AI14015" s="80"/>
    </row>
    <row r="14016" spans="5:35" x14ac:dyDescent="0.25">
      <c r="E14016" s="16"/>
      <c r="F14016" s="16"/>
      <c r="H14016" s="16"/>
      <c r="AG14016" s="80"/>
      <c r="AH14016" s="80"/>
      <c r="AI14016" s="80"/>
    </row>
    <row r="14017" spans="5:35" x14ac:dyDescent="0.25">
      <c r="E14017" s="16"/>
      <c r="F14017" s="16"/>
      <c r="H14017" s="16"/>
      <c r="AG14017" s="80"/>
      <c r="AH14017" s="80"/>
      <c r="AI14017" s="80"/>
    </row>
    <row r="14018" spans="5:35" x14ac:dyDescent="0.25">
      <c r="E14018" s="16"/>
      <c r="F14018" s="16"/>
      <c r="H14018" s="16"/>
      <c r="AG14018" s="80"/>
      <c r="AH14018" s="80"/>
      <c r="AI14018" s="80"/>
    </row>
    <row r="14019" spans="5:35" x14ac:dyDescent="0.25">
      <c r="E14019" s="16"/>
      <c r="F14019" s="16"/>
      <c r="H14019" s="16"/>
      <c r="AG14019" s="80"/>
      <c r="AH14019" s="80"/>
      <c r="AI14019" s="80"/>
    </row>
    <row r="14020" spans="5:35" x14ac:dyDescent="0.25">
      <c r="E14020" s="16"/>
      <c r="F14020" s="16"/>
      <c r="H14020" s="16"/>
      <c r="AG14020" s="80"/>
      <c r="AH14020" s="80"/>
      <c r="AI14020" s="80"/>
    </row>
    <row r="14021" spans="5:35" x14ac:dyDescent="0.25">
      <c r="E14021" s="16"/>
      <c r="F14021" s="16"/>
      <c r="H14021" s="16"/>
      <c r="AG14021" s="80"/>
      <c r="AH14021" s="80"/>
      <c r="AI14021" s="80"/>
    </row>
    <row r="14022" spans="5:35" x14ac:dyDescent="0.25">
      <c r="E14022" s="16"/>
      <c r="F14022" s="16"/>
      <c r="H14022" s="16"/>
      <c r="AG14022" s="80"/>
      <c r="AH14022" s="80"/>
      <c r="AI14022" s="80"/>
    </row>
    <row r="14023" spans="5:35" x14ac:dyDescent="0.25">
      <c r="E14023" s="16"/>
      <c r="F14023" s="16"/>
      <c r="H14023" s="16"/>
      <c r="AG14023" s="80"/>
      <c r="AH14023" s="80"/>
      <c r="AI14023" s="80"/>
    </row>
    <row r="14024" spans="5:35" x14ac:dyDescent="0.25">
      <c r="E14024" s="16"/>
      <c r="F14024" s="16"/>
      <c r="H14024" s="16"/>
      <c r="AG14024" s="80"/>
      <c r="AH14024" s="80"/>
      <c r="AI14024" s="80"/>
    </row>
    <row r="14025" spans="5:35" x14ac:dyDescent="0.25">
      <c r="E14025" s="16"/>
      <c r="F14025" s="16"/>
      <c r="H14025" s="16"/>
      <c r="AG14025" s="80"/>
      <c r="AH14025" s="80"/>
      <c r="AI14025" s="80"/>
    </row>
    <row r="14026" spans="5:35" x14ac:dyDescent="0.25">
      <c r="E14026" s="16"/>
      <c r="F14026" s="16"/>
      <c r="H14026" s="16"/>
      <c r="AG14026" s="80"/>
      <c r="AH14026" s="80"/>
      <c r="AI14026" s="80"/>
    </row>
    <row r="14027" spans="5:35" x14ac:dyDescent="0.25">
      <c r="E14027" s="16"/>
      <c r="F14027" s="16"/>
      <c r="H14027" s="16"/>
      <c r="AG14027" s="80"/>
      <c r="AH14027" s="80"/>
      <c r="AI14027" s="80"/>
    </row>
    <row r="14028" spans="5:35" x14ac:dyDescent="0.25">
      <c r="E14028" s="16"/>
      <c r="F14028" s="16"/>
      <c r="H14028" s="16"/>
      <c r="AG14028" s="80"/>
      <c r="AH14028" s="80"/>
      <c r="AI14028" s="80"/>
    </row>
    <row r="14029" spans="5:35" x14ac:dyDescent="0.25">
      <c r="E14029" s="16"/>
      <c r="F14029" s="16"/>
      <c r="H14029" s="16"/>
      <c r="AG14029" s="80"/>
      <c r="AH14029" s="80"/>
      <c r="AI14029" s="80"/>
    </row>
    <row r="14030" spans="5:35" x14ac:dyDescent="0.25">
      <c r="E14030" s="16"/>
      <c r="F14030" s="16"/>
      <c r="H14030" s="16"/>
      <c r="AG14030" s="80"/>
      <c r="AH14030" s="80"/>
      <c r="AI14030" s="80"/>
    </row>
    <row r="14031" spans="5:35" x14ac:dyDescent="0.25">
      <c r="E14031" s="16"/>
      <c r="F14031" s="16"/>
      <c r="H14031" s="16"/>
      <c r="AG14031" s="80"/>
      <c r="AH14031" s="80"/>
      <c r="AI14031" s="80"/>
    </row>
    <row r="14032" spans="5:35" x14ac:dyDescent="0.25">
      <c r="E14032" s="16"/>
      <c r="F14032" s="16"/>
      <c r="H14032" s="16"/>
      <c r="AG14032" s="80"/>
      <c r="AH14032" s="80"/>
      <c r="AI14032" s="80"/>
    </row>
    <row r="14033" spans="5:35" x14ac:dyDescent="0.25">
      <c r="E14033" s="16"/>
      <c r="F14033" s="16"/>
      <c r="H14033" s="16"/>
      <c r="AG14033" s="80"/>
      <c r="AH14033" s="80"/>
      <c r="AI14033" s="80"/>
    </row>
    <row r="14034" spans="5:35" x14ac:dyDescent="0.25">
      <c r="E14034" s="16"/>
      <c r="F14034" s="16"/>
      <c r="H14034" s="16"/>
      <c r="AG14034" s="80"/>
      <c r="AH14034" s="80"/>
      <c r="AI14034" s="80"/>
    </row>
    <row r="14035" spans="5:35" x14ac:dyDescent="0.25">
      <c r="E14035" s="16"/>
      <c r="F14035" s="16"/>
      <c r="H14035" s="16"/>
      <c r="AG14035" s="80"/>
      <c r="AH14035" s="80"/>
      <c r="AI14035" s="80"/>
    </row>
    <row r="14036" spans="5:35" x14ac:dyDescent="0.25">
      <c r="E14036" s="16"/>
      <c r="F14036" s="16"/>
      <c r="H14036" s="16"/>
      <c r="AG14036" s="80"/>
      <c r="AH14036" s="80"/>
      <c r="AI14036" s="80"/>
    </row>
    <row r="14037" spans="5:35" x14ac:dyDescent="0.25">
      <c r="E14037" s="16"/>
      <c r="F14037" s="16"/>
      <c r="H14037" s="16"/>
      <c r="AG14037" s="80"/>
      <c r="AH14037" s="80"/>
      <c r="AI14037" s="80"/>
    </row>
    <row r="14038" spans="5:35" x14ac:dyDescent="0.25">
      <c r="E14038" s="16"/>
      <c r="F14038" s="16"/>
      <c r="H14038" s="16"/>
      <c r="AG14038" s="80"/>
      <c r="AH14038" s="80"/>
      <c r="AI14038" s="80"/>
    </row>
    <row r="14039" spans="5:35" x14ac:dyDescent="0.25">
      <c r="E14039" s="16"/>
      <c r="F14039" s="16"/>
      <c r="H14039" s="16"/>
      <c r="AG14039" s="80"/>
      <c r="AH14039" s="80"/>
      <c r="AI14039" s="80"/>
    </row>
    <row r="14040" spans="5:35" x14ac:dyDescent="0.25">
      <c r="E14040" s="16"/>
      <c r="F14040" s="16"/>
      <c r="H14040" s="16"/>
      <c r="AG14040" s="80"/>
      <c r="AH14040" s="80"/>
      <c r="AI14040" s="80"/>
    </row>
    <row r="14041" spans="5:35" x14ac:dyDescent="0.25">
      <c r="E14041" s="16"/>
      <c r="F14041" s="16"/>
      <c r="H14041" s="16"/>
      <c r="AG14041" s="80"/>
      <c r="AH14041" s="80"/>
      <c r="AI14041" s="80"/>
    </row>
    <row r="14042" spans="5:35" x14ac:dyDescent="0.25">
      <c r="E14042" s="16"/>
      <c r="F14042" s="16"/>
      <c r="H14042" s="16"/>
      <c r="AG14042" s="80"/>
      <c r="AH14042" s="80"/>
      <c r="AI14042" s="80"/>
    </row>
    <row r="14043" spans="5:35" x14ac:dyDescent="0.25">
      <c r="E14043" s="16"/>
      <c r="F14043" s="16"/>
      <c r="H14043" s="16"/>
      <c r="AG14043" s="80"/>
      <c r="AH14043" s="80"/>
      <c r="AI14043" s="80"/>
    </row>
    <row r="14044" spans="5:35" x14ac:dyDescent="0.25">
      <c r="E14044" s="16"/>
      <c r="F14044" s="16"/>
      <c r="H14044" s="16"/>
      <c r="AG14044" s="80"/>
      <c r="AH14044" s="80"/>
      <c r="AI14044" s="80"/>
    </row>
    <row r="14045" spans="5:35" x14ac:dyDescent="0.25">
      <c r="E14045" s="16"/>
      <c r="F14045" s="16"/>
      <c r="H14045" s="16"/>
      <c r="AG14045" s="80"/>
      <c r="AH14045" s="80"/>
      <c r="AI14045" s="80"/>
    </row>
    <row r="14046" spans="5:35" x14ac:dyDescent="0.25">
      <c r="E14046" s="16"/>
      <c r="F14046" s="16"/>
      <c r="H14046" s="16"/>
      <c r="AG14046" s="80"/>
      <c r="AH14046" s="80"/>
      <c r="AI14046" s="80"/>
    </row>
    <row r="14047" spans="5:35" x14ac:dyDescent="0.25">
      <c r="E14047" s="16"/>
      <c r="F14047" s="16"/>
      <c r="H14047" s="16"/>
      <c r="AG14047" s="80"/>
      <c r="AH14047" s="80"/>
      <c r="AI14047" s="80"/>
    </row>
    <row r="14048" spans="5:35" x14ac:dyDescent="0.25">
      <c r="E14048" s="16"/>
      <c r="F14048" s="16"/>
      <c r="H14048" s="16"/>
      <c r="AG14048" s="80"/>
      <c r="AH14048" s="80"/>
      <c r="AI14048" s="80"/>
    </row>
    <row r="14049" spans="5:35" x14ac:dyDescent="0.25">
      <c r="E14049" s="16"/>
      <c r="F14049" s="16"/>
      <c r="H14049" s="16"/>
      <c r="AG14049" s="80"/>
      <c r="AH14049" s="80"/>
      <c r="AI14049" s="80"/>
    </row>
    <row r="14050" spans="5:35" x14ac:dyDescent="0.25">
      <c r="E14050" s="16"/>
      <c r="F14050" s="16"/>
      <c r="H14050" s="16"/>
      <c r="AG14050" s="80"/>
      <c r="AH14050" s="80"/>
      <c r="AI14050" s="80"/>
    </row>
    <row r="14051" spans="5:35" x14ac:dyDescent="0.25">
      <c r="E14051" s="16"/>
      <c r="F14051" s="16"/>
      <c r="H14051" s="16"/>
      <c r="AG14051" s="80"/>
      <c r="AH14051" s="80"/>
      <c r="AI14051" s="80"/>
    </row>
    <row r="14052" spans="5:35" x14ac:dyDescent="0.25">
      <c r="E14052" s="16"/>
      <c r="F14052" s="16"/>
      <c r="H14052" s="16"/>
      <c r="AG14052" s="80"/>
      <c r="AH14052" s="80"/>
      <c r="AI14052" s="80"/>
    </row>
    <row r="14053" spans="5:35" x14ac:dyDescent="0.25">
      <c r="E14053" s="16"/>
      <c r="F14053" s="16"/>
      <c r="H14053" s="16"/>
      <c r="AG14053" s="80"/>
      <c r="AH14053" s="80"/>
      <c r="AI14053" s="80"/>
    </row>
    <row r="14054" spans="5:35" x14ac:dyDescent="0.25">
      <c r="E14054" s="16"/>
      <c r="F14054" s="16"/>
      <c r="H14054" s="16"/>
      <c r="AG14054" s="80"/>
      <c r="AH14054" s="80"/>
      <c r="AI14054" s="80"/>
    </row>
    <row r="14055" spans="5:35" x14ac:dyDescent="0.25">
      <c r="E14055" s="16"/>
      <c r="F14055" s="16"/>
      <c r="H14055" s="16"/>
      <c r="AG14055" s="80"/>
      <c r="AH14055" s="80"/>
      <c r="AI14055" s="80"/>
    </row>
    <row r="14056" spans="5:35" x14ac:dyDescent="0.25">
      <c r="E14056" s="16"/>
      <c r="F14056" s="16"/>
      <c r="H14056" s="16"/>
      <c r="AG14056" s="80"/>
      <c r="AH14056" s="80"/>
      <c r="AI14056" s="80"/>
    </row>
    <row r="14057" spans="5:35" x14ac:dyDescent="0.25">
      <c r="E14057" s="16"/>
      <c r="F14057" s="16"/>
      <c r="H14057" s="16"/>
      <c r="AG14057" s="80"/>
      <c r="AH14057" s="80"/>
      <c r="AI14057" s="80"/>
    </row>
    <row r="14058" spans="5:35" x14ac:dyDescent="0.25">
      <c r="E14058" s="16"/>
      <c r="F14058" s="16"/>
      <c r="H14058" s="16"/>
      <c r="AG14058" s="80"/>
      <c r="AH14058" s="80"/>
      <c r="AI14058" s="80"/>
    </row>
    <row r="14059" spans="5:35" x14ac:dyDescent="0.25">
      <c r="E14059" s="16"/>
      <c r="F14059" s="16"/>
      <c r="H14059" s="16"/>
      <c r="AG14059" s="80"/>
      <c r="AH14059" s="80"/>
      <c r="AI14059" s="80"/>
    </row>
    <row r="14060" spans="5:35" x14ac:dyDescent="0.25">
      <c r="E14060" s="16"/>
      <c r="F14060" s="16"/>
      <c r="H14060" s="16"/>
      <c r="AG14060" s="80"/>
      <c r="AH14060" s="80"/>
      <c r="AI14060" s="80"/>
    </row>
    <row r="14061" spans="5:35" x14ac:dyDescent="0.25">
      <c r="E14061" s="16"/>
      <c r="F14061" s="16"/>
      <c r="H14061" s="16"/>
      <c r="AG14061" s="80"/>
      <c r="AH14061" s="80"/>
      <c r="AI14061" s="80"/>
    </row>
    <row r="14062" spans="5:35" x14ac:dyDescent="0.25">
      <c r="E14062" s="16"/>
      <c r="F14062" s="16"/>
      <c r="H14062" s="16"/>
      <c r="AG14062" s="80"/>
      <c r="AH14062" s="80"/>
      <c r="AI14062" s="80"/>
    </row>
    <row r="14063" spans="5:35" x14ac:dyDescent="0.25">
      <c r="E14063" s="16"/>
      <c r="F14063" s="16"/>
      <c r="H14063" s="16"/>
      <c r="AG14063" s="80"/>
      <c r="AH14063" s="80"/>
      <c r="AI14063" s="80"/>
    </row>
    <row r="14064" spans="5:35" x14ac:dyDescent="0.25">
      <c r="E14064" s="16"/>
      <c r="F14064" s="16"/>
      <c r="H14064" s="16"/>
      <c r="AG14064" s="80"/>
      <c r="AH14064" s="80"/>
      <c r="AI14064" s="80"/>
    </row>
    <row r="14065" spans="5:35" x14ac:dyDescent="0.25">
      <c r="E14065" s="16"/>
      <c r="F14065" s="16"/>
      <c r="H14065" s="16"/>
      <c r="AG14065" s="80"/>
      <c r="AH14065" s="80"/>
      <c r="AI14065" s="80"/>
    </row>
    <row r="14066" spans="5:35" x14ac:dyDescent="0.25">
      <c r="E14066" s="16"/>
      <c r="F14066" s="16"/>
      <c r="H14066" s="16"/>
      <c r="AG14066" s="80"/>
      <c r="AH14066" s="80"/>
      <c r="AI14066" s="80"/>
    </row>
    <row r="14067" spans="5:35" x14ac:dyDescent="0.25">
      <c r="E14067" s="16"/>
      <c r="F14067" s="16"/>
      <c r="H14067" s="16"/>
      <c r="AG14067" s="80"/>
      <c r="AH14067" s="80"/>
      <c r="AI14067" s="80"/>
    </row>
    <row r="14068" spans="5:35" x14ac:dyDescent="0.25">
      <c r="E14068" s="16"/>
      <c r="F14068" s="16"/>
      <c r="H14068" s="16"/>
      <c r="AG14068" s="80"/>
      <c r="AH14068" s="80"/>
      <c r="AI14068" s="80"/>
    </row>
    <row r="14069" spans="5:35" x14ac:dyDescent="0.25">
      <c r="E14069" s="16"/>
      <c r="F14069" s="16"/>
      <c r="H14069" s="16"/>
      <c r="AG14069" s="80"/>
      <c r="AH14069" s="80"/>
      <c r="AI14069" s="80"/>
    </row>
    <row r="14070" spans="5:35" x14ac:dyDescent="0.25">
      <c r="E14070" s="16"/>
      <c r="F14070" s="16"/>
      <c r="H14070" s="16"/>
      <c r="AG14070" s="80"/>
      <c r="AH14070" s="80"/>
      <c r="AI14070" s="80"/>
    </row>
    <row r="14071" spans="5:35" x14ac:dyDescent="0.25">
      <c r="E14071" s="16"/>
      <c r="F14071" s="16"/>
      <c r="H14071" s="16"/>
      <c r="AG14071" s="80"/>
      <c r="AH14071" s="80"/>
      <c r="AI14071" s="80"/>
    </row>
    <row r="14072" spans="5:35" x14ac:dyDescent="0.25">
      <c r="E14072" s="16"/>
      <c r="F14072" s="16"/>
      <c r="H14072" s="16"/>
      <c r="AG14072" s="80"/>
      <c r="AH14072" s="80"/>
      <c r="AI14072" s="80"/>
    </row>
    <row r="14073" spans="5:35" x14ac:dyDescent="0.25">
      <c r="E14073" s="16"/>
      <c r="F14073" s="16"/>
      <c r="H14073" s="16"/>
      <c r="AG14073" s="80"/>
      <c r="AH14073" s="80"/>
      <c r="AI14073" s="80"/>
    </row>
    <row r="14074" spans="5:35" x14ac:dyDescent="0.25">
      <c r="E14074" s="16"/>
      <c r="F14074" s="16"/>
      <c r="H14074" s="16"/>
      <c r="AG14074" s="80"/>
      <c r="AH14074" s="80"/>
      <c r="AI14074" s="80"/>
    </row>
    <row r="14075" spans="5:35" x14ac:dyDescent="0.25">
      <c r="E14075" s="16"/>
      <c r="F14075" s="16"/>
      <c r="H14075" s="16"/>
      <c r="AG14075" s="80"/>
      <c r="AH14075" s="80"/>
      <c r="AI14075" s="80"/>
    </row>
    <row r="14076" spans="5:35" x14ac:dyDescent="0.25">
      <c r="E14076" s="16"/>
      <c r="F14076" s="16"/>
      <c r="H14076" s="16"/>
      <c r="AG14076" s="80"/>
      <c r="AH14076" s="80"/>
      <c r="AI14076" s="80"/>
    </row>
    <row r="14077" spans="5:35" x14ac:dyDescent="0.25">
      <c r="E14077" s="16"/>
      <c r="F14077" s="16"/>
      <c r="H14077" s="16"/>
      <c r="AG14077" s="80"/>
      <c r="AH14077" s="80"/>
      <c r="AI14077" s="80"/>
    </row>
    <row r="14078" spans="5:35" x14ac:dyDescent="0.25">
      <c r="E14078" s="16"/>
      <c r="F14078" s="16"/>
      <c r="H14078" s="16"/>
      <c r="AG14078" s="80"/>
      <c r="AH14078" s="80"/>
      <c r="AI14078" s="80"/>
    </row>
    <row r="14079" spans="5:35" x14ac:dyDescent="0.25">
      <c r="E14079" s="16"/>
      <c r="F14079" s="16"/>
      <c r="H14079" s="16"/>
      <c r="AG14079" s="80"/>
      <c r="AH14079" s="80"/>
      <c r="AI14079" s="80"/>
    </row>
    <row r="14080" spans="5:35" x14ac:dyDescent="0.25">
      <c r="E14080" s="16"/>
      <c r="F14080" s="16"/>
      <c r="H14080" s="16"/>
      <c r="AG14080" s="80"/>
      <c r="AH14080" s="80"/>
      <c r="AI14080" s="80"/>
    </row>
    <row r="14081" spans="5:35" x14ac:dyDescent="0.25">
      <c r="E14081" s="16"/>
      <c r="F14081" s="16"/>
      <c r="H14081" s="16"/>
      <c r="AG14081" s="80"/>
      <c r="AH14081" s="80"/>
      <c r="AI14081" s="80"/>
    </row>
    <row r="14082" spans="5:35" x14ac:dyDescent="0.25">
      <c r="E14082" s="16"/>
      <c r="F14082" s="16"/>
      <c r="H14082" s="16"/>
      <c r="AG14082" s="80"/>
      <c r="AH14082" s="80"/>
      <c r="AI14082" s="80"/>
    </row>
    <row r="14083" spans="5:35" x14ac:dyDescent="0.25">
      <c r="E14083" s="16"/>
      <c r="F14083" s="16"/>
      <c r="H14083" s="16"/>
      <c r="AG14083" s="80"/>
      <c r="AH14083" s="80"/>
      <c r="AI14083" s="80"/>
    </row>
    <row r="14084" spans="5:35" x14ac:dyDescent="0.25">
      <c r="E14084" s="16"/>
      <c r="F14084" s="16"/>
      <c r="H14084" s="16"/>
      <c r="AG14084" s="80"/>
      <c r="AH14084" s="80"/>
      <c r="AI14084" s="80"/>
    </row>
    <row r="14085" spans="5:35" x14ac:dyDescent="0.25">
      <c r="E14085" s="16"/>
      <c r="F14085" s="16"/>
      <c r="H14085" s="16"/>
      <c r="AG14085" s="80"/>
      <c r="AH14085" s="80"/>
      <c r="AI14085" s="80"/>
    </row>
    <row r="14086" spans="5:35" x14ac:dyDescent="0.25">
      <c r="E14086" s="16"/>
      <c r="F14086" s="16"/>
      <c r="H14086" s="16"/>
      <c r="AG14086" s="80"/>
      <c r="AH14086" s="80"/>
      <c r="AI14086" s="80"/>
    </row>
    <row r="14087" spans="5:35" x14ac:dyDescent="0.25">
      <c r="E14087" s="16"/>
      <c r="F14087" s="16"/>
      <c r="H14087" s="16"/>
      <c r="AG14087" s="80"/>
      <c r="AH14087" s="80"/>
      <c r="AI14087" s="80"/>
    </row>
    <row r="14088" spans="5:35" x14ac:dyDescent="0.25">
      <c r="E14088" s="16"/>
      <c r="F14088" s="16"/>
      <c r="H14088" s="16"/>
      <c r="AG14088" s="80"/>
      <c r="AH14088" s="80"/>
      <c r="AI14088" s="80"/>
    </row>
    <row r="14089" spans="5:35" x14ac:dyDescent="0.25">
      <c r="E14089" s="16"/>
      <c r="F14089" s="16"/>
      <c r="H14089" s="16"/>
      <c r="AG14089" s="80"/>
      <c r="AH14089" s="80"/>
      <c r="AI14089" s="80"/>
    </row>
    <row r="14090" spans="5:35" x14ac:dyDescent="0.25">
      <c r="E14090" s="16"/>
      <c r="F14090" s="16"/>
      <c r="H14090" s="16"/>
      <c r="AG14090" s="80"/>
      <c r="AH14090" s="80"/>
      <c r="AI14090" s="80"/>
    </row>
    <row r="14091" spans="5:35" x14ac:dyDescent="0.25">
      <c r="E14091" s="16"/>
      <c r="F14091" s="16"/>
      <c r="H14091" s="16"/>
      <c r="AG14091" s="80"/>
      <c r="AH14091" s="80"/>
      <c r="AI14091" s="80"/>
    </row>
    <row r="14092" spans="5:35" x14ac:dyDescent="0.25">
      <c r="E14092" s="16"/>
      <c r="F14092" s="16"/>
      <c r="H14092" s="16"/>
      <c r="AG14092" s="80"/>
      <c r="AH14092" s="80"/>
      <c r="AI14092" s="80"/>
    </row>
    <row r="14093" spans="5:35" x14ac:dyDescent="0.25">
      <c r="E14093" s="16"/>
      <c r="F14093" s="16"/>
      <c r="H14093" s="16"/>
      <c r="AG14093" s="80"/>
      <c r="AH14093" s="80"/>
      <c r="AI14093" s="80"/>
    </row>
    <row r="14094" spans="5:35" x14ac:dyDescent="0.25">
      <c r="E14094" s="16"/>
      <c r="F14094" s="16"/>
      <c r="H14094" s="16"/>
      <c r="AG14094" s="80"/>
      <c r="AH14094" s="80"/>
      <c r="AI14094" s="80"/>
    </row>
    <row r="14095" spans="5:35" x14ac:dyDescent="0.25">
      <c r="E14095" s="16"/>
      <c r="F14095" s="16"/>
      <c r="H14095" s="16"/>
      <c r="AG14095" s="80"/>
      <c r="AH14095" s="80"/>
      <c r="AI14095" s="80"/>
    </row>
    <row r="14096" spans="5:35" x14ac:dyDescent="0.25">
      <c r="E14096" s="16"/>
      <c r="F14096" s="16"/>
      <c r="H14096" s="16"/>
      <c r="AG14096" s="80"/>
      <c r="AH14096" s="80"/>
      <c r="AI14096" s="80"/>
    </row>
    <row r="14097" spans="5:35" x14ac:dyDescent="0.25">
      <c r="E14097" s="16"/>
      <c r="F14097" s="16"/>
      <c r="H14097" s="16"/>
      <c r="AG14097" s="80"/>
      <c r="AH14097" s="80"/>
      <c r="AI14097" s="80"/>
    </row>
    <row r="14098" spans="5:35" x14ac:dyDescent="0.25">
      <c r="E14098" s="16"/>
      <c r="F14098" s="16"/>
      <c r="H14098" s="16"/>
      <c r="AG14098" s="80"/>
      <c r="AH14098" s="80"/>
      <c r="AI14098" s="80"/>
    </row>
    <row r="14099" spans="5:35" x14ac:dyDescent="0.25">
      <c r="E14099" s="16"/>
      <c r="F14099" s="16"/>
      <c r="H14099" s="16"/>
      <c r="AG14099" s="80"/>
      <c r="AH14099" s="80"/>
      <c r="AI14099" s="80"/>
    </row>
    <row r="14100" spans="5:35" x14ac:dyDescent="0.25">
      <c r="E14100" s="16"/>
      <c r="F14100" s="16"/>
      <c r="H14100" s="16"/>
      <c r="AG14100" s="80"/>
      <c r="AH14100" s="80"/>
      <c r="AI14100" s="80"/>
    </row>
    <row r="14101" spans="5:35" x14ac:dyDescent="0.25">
      <c r="E14101" s="16"/>
      <c r="F14101" s="16"/>
      <c r="H14101" s="16"/>
      <c r="AG14101" s="80"/>
      <c r="AH14101" s="80"/>
      <c r="AI14101" s="80"/>
    </row>
    <row r="14102" spans="5:35" x14ac:dyDescent="0.25">
      <c r="E14102" s="16"/>
      <c r="F14102" s="16"/>
      <c r="H14102" s="16"/>
      <c r="AG14102" s="80"/>
      <c r="AH14102" s="80"/>
      <c r="AI14102" s="80"/>
    </row>
    <row r="14103" spans="5:35" x14ac:dyDescent="0.25">
      <c r="E14103" s="16"/>
      <c r="F14103" s="16"/>
      <c r="H14103" s="16"/>
      <c r="AG14103" s="80"/>
      <c r="AH14103" s="80"/>
      <c r="AI14103" s="80"/>
    </row>
    <row r="14104" spans="5:35" x14ac:dyDescent="0.25">
      <c r="E14104" s="16"/>
      <c r="F14104" s="16"/>
      <c r="H14104" s="16"/>
      <c r="AG14104" s="80"/>
      <c r="AH14104" s="80"/>
      <c r="AI14104" s="80"/>
    </row>
    <row r="14105" spans="5:35" x14ac:dyDescent="0.25">
      <c r="E14105" s="16"/>
      <c r="F14105" s="16"/>
      <c r="H14105" s="16"/>
      <c r="AG14105" s="80"/>
      <c r="AH14105" s="80"/>
      <c r="AI14105" s="80"/>
    </row>
    <row r="14106" spans="5:35" x14ac:dyDescent="0.25">
      <c r="E14106" s="16"/>
      <c r="F14106" s="16"/>
      <c r="H14106" s="16"/>
      <c r="AG14106" s="80"/>
      <c r="AH14106" s="80"/>
      <c r="AI14106" s="80"/>
    </row>
    <row r="14107" spans="5:35" x14ac:dyDescent="0.25">
      <c r="E14107" s="16"/>
      <c r="F14107" s="16"/>
      <c r="H14107" s="16"/>
      <c r="AG14107" s="80"/>
      <c r="AH14107" s="80"/>
      <c r="AI14107" s="80"/>
    </row>
    <row r="14108" spans="5:35" x14ac:dyDescent="0.25">
      <c r="E14108" s="16"/>
      <c r="F14108" s="16"/>
      <c r="H14108" s="16"/>
      <c r="AG14108" s="80"/>
      <c r="AH14108" s="80"/>
      <c r="AI14108" s="80"/>
    </row>
    <row r="14109" spans="5:35" x14ac:dyDescent="0.25">
      <c r="E14109" s="16"/>
      <c r="F14109" s="16"/>
      <c r="H14109" s="16"/>
      <c r="AG14109" s="80"/>
      <c r="AH14109" s="80"/>
      <c r="AI14109" s="80"/>
    </row>
    <row r="14110" spans="5:35" x14ac:dyDescent="0.25">
      <c r="E14110" s="16"/>
      <c r="F14110" s="16"/>
      <c r="H14110" s="16"/>
      <c r="AG14110" s="80"/>
      <c r="AH14110" s="80"/>
      <c r="AI14110" s="80"/>
    </row>
    <row r="14111" spans="5:35" x14ac:dyDescent="0.25">
      <c r="E14111" s="16"/>
      <c r="F14111" s="16"/>
      <c r="H14111" s="16"/>
      <c r="AG14111" s="80"/>
      <c r="AH14111" s="80"/>
      <c r="AI14111" s="80"/>
    </row>
    <row r="14112" spans="5:35" x14ac:dyDescent="0.25">
      <c r="E14112" s="16"/>
      <c r="F14112" s="16"/>
      <c r="H14112" s="16"/>
      <c r="AG14112" s="80"/>
      <c r="AH14112" s="80"/>
      <c r="AI14112" s="80"/>
    </row>
    <row r="14113" spans="5:35" x14ac:dyDescent="0.25">
      <c r="E14113" s="16"/>
      <c r="F14113" s="16"/>
      <c r="H14113" s="16"/>
      <c r="AG14113" s="80"/>
      <c r="AH14113" s="80"/>
      <c r="AI14113" s="80"/>
    </row>
    <row r="14114" spans="5:35" x14ac:dyDescent="0.25">
      <c r="E14114" s="16"/>
      <c r="F14114" s="16"/>
      <c r="H14114" s="16"/>
      <c r="AG14114" s="80"/>
      <c r="AH14114" s="80"/>
      <c r="AI14114" s="80"/>
    </row>
    <row r="14115" spans="5:35" x14ac:dyDescent="0.25">
      <c r="E14115" s="16"/>
      <c r="F14115" s="16"/>
      <c r="H14115" s="16"/>
      <c r="AG14115" s="80"/>
      <c r="AH14115" s="80"/>
      <c r="AI14115" s="80"/>
    </row>
    <row r="14116" spans="5:35" x14ac:dyDescent="0.25">
      <c r="E14116" s="16"/>
      <c r="F14116" s="16"/>
      <c r="H14116" s="16"/>
      <c r="AG14116" s="80"/>
      <c r="AH14116" s="80"/>
      <c r="AI14116" s="80"/>
    </row>
    <row r="14117" spans="5:35" x14ac:dyDescent="0.25">
      <c r="E14117" s="16"/>
      <c r="F14117" s="16"/>
      <c r="H14117" s="16"/>
      <c r="AG14117" s="80"/>
      <c r="AH14117" s="80"/>
      <c r="AI14117" s="80"/>
    </row>
    <row r="14118" spans="5:35" x14ac:dyDescent="0.25">
      <c r="E14118" s="16"/>
      <c r="F14118" s="16"/>
      <c r="H14118" s="16"/>
      <c r="AG14118" s="80"/>
      <c r="AH14118" s="80"/>
      <c r="AI14118" s="80"/>
    </row>
    <row r="14119" spans="5:35" x14ac:dyDescent="0.25">
      <c r="E14119" s="16"/>
      <c r="F14119" s="16"/>
      <c r="H14119" s="16"/>
      <c r="AG14119" s="80"/>
      <c r="AH14119" s="80"/>
      <c r="AI14119" s="80"/>
    </row>
    <row r="14120" spans="5:35" x14ac:dyDescent="0.25">
      <c r="E14120" s="16"/>
      <c r="F14120" s="16"/>
      <c r="H14120" s="16"/>
      <c r="AG14120" s="80"/>
      <c r="AH14120" s="80"/>
      <c r="AI14120" s="80"/>
    </row>
    <row r="14121" spans="5:35" x14ac:dyDescent="0.25">
      <c r="E14121" s="16"/>
      <c r="F14121" s="16"/>
      <c r="H14121" s="16"/>
      <c r="AG14121" s="80"/>
      <c r="AH14121" s="80"/>
      <c r="AI14121" s="80"/>
    </row>
    <row r="14122" spans="5:35" x14ac:dyDescent="0.25">
      <c r="E14122" s="16"/>
      <c r="F14122" s="16"/>
      <c r="H14122" s="16"/>
      <c r="AG14122" s="80"/>
      <c r="AH14122" s="80"/>
      <c r="AI14122" s="80"/>
    </row>
    <row r="14123" spans="5:35" x14ac:dyDescent="0.25">
      <c r="E14123" s="16"/>
      <c r="F14123" s="16"/>
      <c r="H14123" s="16"/>
      <c r="AG14123" s="80"/>
      <c r="AH14123" s="80"/>
      <c r="AI14123" s="80"/>
    </row>
    <row r="14124" spans="5:35" x14ac:dyDescent="0.25">
      <c r="E14124" s="16"/>
      <c r="F14124" s="16"/>
      <c r="H14124" s="16"/>
      <c r="AG14124" s="80"/>
      <c r="AH14124" s="80"/>
      <c r="AI14124" s="80"/>
    </row>
    <row r="14125" spans="5:35" x14ac:dyDescent="0.25">
      <c r="E14125" s="16"/>
      <c r="F14125" s="16"/>
      <c r="H14125" s="16"/>
      <c r="AG14125" s="80"/>
      <c r="AH14125" s="80"/>
      <c r="AI14125" s="80"/>
    </row>
    <row r="14126" spans="5:35" x14ac:dyDescent="0.25">
      <c r="E14126" s="16"/>
      <c r="F14126" s="16"/>
      <c r="H14126" s="16"/>
      <c r="AG14126" s="80"/>
      <c r="AH14126" s="80"/>
      <c r="AI14126" s="80"/>
    </row>
    <row r="14127" spans="5:35" x14ac:dyDescent="0.25">
      <c r="E14127" s="16"/>
      <c r="F14127" s="16"/>
      <c r="H14127" s="16"/>
      <c r="AG14127" s="80"/>
      <c r="AH14127" s="80"/>
      <c r="AI14127" s="80"/>
    </row>
    <row r="14128" spans="5:35" x14ac:dyDescent="0.25">
      <c r="E14128" s="16"/>
      <c r="F14128" s="16"/>
      <c r="H14128" s="16"/>
      <c r="AG14128" s="80"/>
      <c r="AH14128" s="80"/>
      <c r="AI14128" s="80"/>
    </row>
    <row r="14129" spans="5:35" x14ac:dyDescent="0.25">
      <c r="E14129" s="16"/>
      <c r="F14129" s="16"/>
      <c r="H14129" s="16"/>
      <c r="AG14129" s="80"/>
      <c r="AH14129" s="80"/>
      <c r="AI14129" s="80"/>
    </row>
    <row r="14130" spans="5:35" x14ac:dyDescent="0.25">
      <c r="E14130" s="16"/>
      <c r="F14130" s="16"/>
      <c r="H14130" s="16"/>
      <c r="AG14130" s="80"/>
      <c r="AH14130" s="80"/>
      <c r="AI14130" s="80"/>
    </row>
    <row r="14131" spans="5:35" x14ac:dyDescent="0.25">
      <c r="E14131" s="16"/>
      <c r="F14131" s="16"/>
      <c r="H14131" s="16"/>
      <c r="AG14131" s="80"/>
      <c r="AH14131" s="80"/>
      <c r="AI14131" s="80"/>
    </row>
    <row r="14132" spans="5:35" x14ac:dyDescent="0.25">
      <c r="E14132" s="16"/>
      <c r="F14132" s="16"/>
      <c r="H14132" s="16"/>
      <c r="AG14132" s="80"/>
      <c r="AH14132" s="80"/>
      <c r="AI14132" s="80"/>
    </row>
    <row r="14133" spans="5:35" x14ac:dyDescent="0.25">
      <c r="E14133" s="16"/>
      <c r="F14133" s="16"/>
      <c r="H14133" s="16"/>
      <c r="AG14133" s="80"/>
      <c r="AH14133" s="80"/>
      <c r="AI14133" s="80"/>
    </row>
    <row r="14134" spans="5:35" x14ac:dyDescent="0.25">
      <c r="E14134" s="16"/>
      <c r="F14134" s="16"/>
      <c r="H14134" s="16"/>
      <c r="AG14134" s="80"/>
      <c r="AH14134" s="80"/>
      <c r="AI14134" s="80"/>
    </row>
    <row r="14135" spans="5:35" x14ac:dyDescent="0.25">
      <c r="E14135" s="16"/>
      <c r="F14135" s="16"/>
      <c r="H14135" s="16"/>
      <c r="AG14135" s="80"/>
      <c r="AH14135" s="80"/>
      <c r="AI14135" s="80"/>
    </row>
    <row r="14136" spans="5:35" x14ac:dyDescent="0.25">
      <c r="E14136" s="16"/>
      <c r="F14136" s="16"/>
      <c r="H14136" s="16"/>
      <c r="AG14136" s="80"/>
      <c r="AH14136" s="80"/>
      <c r="AI14136" s="80"/>
    </row>
    <row r="14137" spans="5:35" x14ac:dyDescent="0.25">
      <c r="E14137" s="16"/>
      <c r="F14137" s="16"/>
      <c r="H14137" s="16"/>
      <c r="AG14137" s="80"/>
      <c r="AH14137" s="80"/>
      <c r="AI14137" s="80"/>
    </row>
    <row r="14138" spans="5:35" x14ac:dyDescent="0.25">
      <c r="E14138" s="16"/>
      <c r="F14138" s="16"/>
      <c r="H14138" s="16"/>
      <c r="AG14138" s="80"/>
      <c r="AH14138" s="80"/>
      <c r="AI14138" s="80"/>
    </row>
    <row r="14139" spans="5:35" x14ac:dyDescent="0.25">
      <c r="E14139" s="16"/>
      <c r="F14139" s="16"/>
      <c r="H14139" s="16"/>
      <c r="AG14139" s="80"/>
      <c r="AH14139" s="80"/>
      <c r="AI14139" s="80"/>
    </row>
    <row r="14140" spans="5:35" x14ac:dyDescent="0.25">
      <c r="E14140" s="16"/>
      <c r="F14140" s="16"/>
      <c r="H14140" s="16"/>
      <c r="AG14140" s="80"/>
      <c r="AH14140" s="80"/>
      <c r="AI14140" s="80"/>
    </row>
    <row r="14141" spans="5:35" x14ac:dyDescent="0.25">
      <c r="E14141" s="16"/>
      <c r="F14141" s="16"/>
      <c r="H14141" s="16"/>
      <c r="AG14141" s="80"/>
      <c r="AH14141" s="80"/>
      <c r="AI14141" s="80"/>
    </row>
    <row r="14142" spans="5:35" x14ac:dyDescent="0.25">
      <c r="E14142" s="16"/>
      <c r="F14142" s="16"/>
      <c r="H14142" s="16"/>
      <c r="AG14142" s="80"/>
      <c r="AH14142" s="80"/>
      <c r="AI14142" s="80"/>
    </row>
    <row r="14143" spans="5:35" x14ac:dyDescent="0.25">
      <c r="E14143" s="16"/>
      <c r="F14143" s="16"/>
      <c r="H14143" s="16"/>
      <c r="AG14143" s="80"/>
      <c r="AH14143" s="80"/>
      <c r="AI14143" s="80"/>
    </row>
    <row r="14144" spans="5:35" x14ac:dyDescent="0.25">
      <c r="E14144" s="16"/>
      <c r="F14144" s="16"/>
      <c r="H14144" s="16"/>
      <c r="AG14144" s="80"/>
      <c r="AH14144" s="80"/>
      <c r="AI14144" s="80"/>
    </row>
    <row r="14145" spans="5:35" x14ac:dyDescent="0.25">
      <c r="E14145" s="16"/>
      <c r="F14145" s="16"/>
      <c r="H14145" s="16"/>
      <c r="AG14145" s="80"/>
      <c r="AH14145" s="80"/>
      <c r="AI14145" s="80"/>
    </row>
    <row r="14146" spans="5:35" x14ac:dyDescent="0.25">
      <c r="E14146" s="16"/>
      <c r="F14146" s="16"/>
      <c r="H14146" s="16"/>
      <c r="AG14146" s="80"/>
      <c r="AH14146" s="80"/>
      <c r="AI14146" s="80"/>
    </row>
    <row r="14147" spans="5:35" x14ac:dyDescent="0.25">
      <c r="E14147" s="16"/>
      <c r="F14147" s="16"/>
      <c r="H14147" s="16"/>
      <c r="AG14147" s="80"/>
      <c r="AH14147" s="80"/>
      <c r="AI14147" s="80"/>
    </row>
    <row r="14148" spans="5:35" x14ac:dyDescent="0.25">
      <c r="E14148" s="16"/>
      <c r="F14148" s="16"/>
      <c r="H14148" s="16"/>
      <c r="AG14148" s="80"/>
      <c r="AH14148" s="80"/>
      <c r="AI14148" s="80"/>
    </row>
    <row r="14149" spans="5:35" x14ac:dyDescent="0.25">
      <c r="E14149" s="16"/>
      <c r="F14149" s="16"/>
      <c r="H14149" s="16"/>
      <c r="AG14149" s="80"/>
      <c r="AH14149" s="80"/>
      <c r="AI14149" s="80"/>
    </row>
    <row r="14150" spans="5:35" x14ac:dyDescent="0.25">
      <c r="E14150" s="16"/>
      <c r="F14150" s="16"/>
      <c r="H14150" s="16"/>
      <c r="AG14150" s="80"/>
      <c r="AH14150" s="80"/>
      <c r="AI14150" s="80"/>
    </row>
    <row r="14151" spans="5:35" x14ac:dyDescent="0.25">
      <c r="E14151" s="16"/>
      <c r="F14151" s="16"/>
      <c r="H14151" s="16"/>
      <c r="AG14151" s="80"/>
      <c r="AH14151" s="80"/>
      <c r="AI14151" s="80"/>
    </row>
    <row r="14152" spans="5:35" x14ac:dyDescent="0.25">
      <c r="E14152" s="16"/>
      <c r="F14152" s="16"/>
      <c r="H14152" s="16"/>
      <c r="AG14152" s="80"/>
      <c r="AH14152" s="80"/>
      <c r="AI14152" s="80"/>
    </row>
    <row r="14153" spans="5:35" x14ac:dyDescent="0.25">
      <c r="E14153" s="16"/>
      <c r="F14153" s="16"/>
      <c r="H14153" s="16"/>
      <c r="AG14153" s="80"/>
      <c r="AH14153" s="80"/>
      <c r="AI14153" s="80"/>
    </row>
    <row r="14154" spans="5:35" x14ac:dyDescent="0.25">
      <c r="E14154" s="16"/>
      <c r="F14154" s="16"/>
      <c r="H14154" s="16"/>
      <c r="AG14154" s="80"/>
      <c r="AH14154" s="80"/>
      <c r="AI14154" s="80"/>
    </row>
    <row r="14155" spans="5:35" x14ac:dyDescent="0.25">
      <c r="E14155" s="16"/>
      <c r="F14155" s="16"/>
      <c r="H14155" s="16"/>
      <c r="AG14155" s="80"/>
      <c r="AH14155" s="80"/>
      <c r="AI14155" s="80"/>
    </row>
    <row r="14156" spans="5:35" x14ac:dyDescent="0.25">
      <c r="E14156" s="16"/>
      <c r="F14156" s="16"/>
      <c r="H14156" s="16"/>
      <c r="AG14156" s="80"/>
      <c r="AH14156" s="80"/>
      <c r="AI14156" s="80"/>
    </row>
    <row r="14157" spans="5:35" x14ac:dyDescent="0.25">
      <c r="E14157" s="16"/>
      <c r="F14157" s="16"/>
      <c r="H14157" s="16"/>
      <c r="AG14157" s="80"/>
      <c r="AH14157" s="80"/>
      <c r="AI14157" s="80"/>
    </row>
    <row r="14158" spans="5:35" x14ac:dyDescent="0.25">
      <c r="E14158" s="16"/>
      <c r="F14158" s="16"/>
      <c r="H14158" s="16"/>
      <c r="AG14158" s="80"/>
      <c r="AH14158" s="80"/>
      <c r="AI14158" s="80"/>
    </row>
    <row r="14159" spans="5:35" x14ac:dyDescent="0.25">
      <c r="E14159" s="16"/>
      <c r="F14159" s="16"/>
      <c r="H14159" s="16"/>
      <c r="AG14159" s="80"/>
      <c r="AH14159" s="80"/>
      <c r="AI14159" s="80"/>
    </row>
    <row r="14160" spans="5:35" x14ac:dyDescent="0.25">
      <c r="E14160" s="16"/>
      <c r="F14160" s="16"/>
      <c r="H14160" s="16"/>
      <c r="AG14160" s="80"/>
      <c r="AH14160" s="80"/>
      <c r="AI14160" s="80"/>
    </row>
    <row r="14161" spans="5:35" x14ac:dyDescent="0.25">
      <c r="E14161" s="16"/>
      <c r="F14161" s="16"/>
      <c r="H14161" s="16"/>
      <c r="AG14161" s="80"/>
      <c r="AH14161" s="80"/>
      <c r="AI14161" s="80"/>
    </row>
    <row r="14162" spans="5:35" x14ac:dyDescent="0.25">
      <c r="E14162" s="16"/>
      <c r="F14162" s="16"/>
      <c r="H14162" s="16"/>
      <c r="AG14162" s="80"/>
      <c r="AH14162" s="80"/>
      <c r="AI14162" s="80"/>
    </row>
    <row r="14163" spans="5:35" x14ac:dyDescent="0.25">
      <c r="E14163" s="16"/>
      <c r="F14163" s="16"/>
      <c r="H14163" s="16"/>
      <c r="AG14163" s="80"/>
      <c r="AH14163" s="80"/>
      <c r="AI14163" s="80"/>
    </row>
    <row r="14164" spans="5:35" x14ac:dyDescent="0.25">
      <c r="E14164" s="16"/>
      <c r="F14164" s="16"/>
      <c r="H14164" s="16"/>
      <c r="AG14164" s="80"/>
      <c r="AH14164" s="80"/>
      <c r="AI14164" s="80"/>
    </row>
    <row r="14165" spans="5:35" x14ac:dyDescent="0.25">
      <c r="E14165" s="16"/>
      <c r="F14165" s="16"/>
      <c r="H14165" s="16"/>
      <c r="AG14165" s="80"/>
      <c r="AH14165" s="80"/>
      <c r="AI14165" s="80"/>
    </row>
    <row r="14166" spans="5:35" x14ac:dyDescent="0.25">
      <c r="E14166" s="16"/>
      <c r="F14166" s="16"/>
      <c r="H14166" s="16"/>
      <c r="AG14166" s="80"/>
      <c r="AH14166" s="80"/>
      <c r="AI14166" s="80"/>
    </row>
    <row r="14167" spans="5:35" x14ac:dyDescent="0.25">
      <c r="E14167" s="16"/>
      <c r="F14167" s="16"/>
      <c r="H14167" s="16"/>
      <c r="AG14167" s="80"/>
      <c r="AH14167" s="80"/>
      <c r="AI14167" s="80"/>
    </row>
    <row r="14168" spans="5:35" x14ac:dyDescent="0.25">
      <c r="E14168" s="16"/>
      <c r="F14168" s="16"/>
      <c r="H14168" s="16"/>
      <c r="AG14168" s="80"/>
      <c r="AH14168" s="80"/>
      <c r="AI14168" s="80"/>
    </row>
    <row r="14169" spans="5:35" x14ac:dyDescent="0.25">
      <c r="E14169" s="16"/>
      <c r="F14169" s="16"/>
      <c r="H14169" s="16"/>
      <c r="AG14169" s="80"/>
      <c r="AH14169" s="80"/>
      <c r="AI14169" s="80"/>
    </row>
    <row r="14170" spans="5:35" x14ac:dyDescent="0.25">
      <c r="E14170" s="16"/>
      <c r="F14170" s="16"/>
      <c r="H14170" s="16"/>
      <c r="AG14170" s="80"/>
      <c r="AH14170" s="80"/>
      <c r="AI14170" s="80"/>
    </row>
    <row r="14171" spans="5:35" x14ac:dyDescent="0.25">
      <c r="E14171" s="16"/>
      <c r="F14171" s="16"/>
      <c r="H14171" s="16"/>
      <c r="AG14171" s="80"/>
      <c r="AH14171" s="80"/>
      <c r="AI14171" s="80"/>
    </row>
    <row r="14172" spans="5:35" x14ac:dyDescent="0.25">
      <c r="E14172" s="16"/>
      <c r="F14172" s="16"/>
      <c r="H14172" s="16"/>
      <c r="AG14172" s="80"/>
      <c r="AH14172" s="80"/>
      <c r="AI14172" s="80"/>
    </row>
    <row r="14173" spans="5:35" x14ac:dyDescent="0.25">
      <c r="E14173" s="16"/>
      <c r="F14173" s="16"/>
      <c r="H14173" s="16"/>
      <c r="AG14173" s="80"/>
      <c r="AH14173" s="80"/>
      <c r="AI14173" s="80"/>
    </row>
    <row r="14174" spans="5:35" x14ac:dyDescent="0.25">
      <c r="E14174" s="16"/>
      <c r="F14174" s="16"/>
      <c r="H14174" s="16"/>
      <c r="AG14174" s="80"/>
      <c r="AH14174" s="80"/>
      <c r="AI14174" s="80"/>
    </row>
    <row r="14175" spans="5:35" x14ac:dyDescent="0.25">
      <c r="E14175" s="16"/>
      <c r="F14175" s="16"/>
      <c r="H14175" s="16"/>
      <c r="AG14175" s="80"/>
      <c r="AH14175" s="80"/>
      <c r="AI14175" s="80"/>
    </row>
    <row r="14176" spans="5:35" x14ac:dyDescent="0.25">
      <c r="E14176" s="16"/>
      <c r="F14176" s="16"/>
      <c r="H14176" s="16"/>
      <c r="AG14176" s="80"/>
      <c r="AH14176" s="80"/>
      <c r="AI14176" s="80"/>
    </row>
    <row r="14177" spans="5:35" x14ac:dyDescent="0.25">
      <c r="E14177" s="16"/>
      <c r="F14177" s="16"/>
      <c r="H14177" s="16"/>
      <c r="AG14177" s="80"/>
      <c r="AH14177" s="80"/>
      <c r="AI14177" s="80"/>
    </row>
    <row r="14178" spans="5:35" x14ac:dyDescent="0.25">
      <c r="E14178" s="16"/>
      <c r="F14178" s="16"/>
      <c r="H14178" s="16"/>
      <c r="AG14178" s="80"/>
      <c r="AH14178" s="80"/>
      <c r="AI14178" s="80"/>
    </row>
    <row r="14179" spans="5:35" x14ac:dyDescent="0.25">
      <c r="E14179" s="16"/>
      <c r="F14179" s="16"/>
      <c r="H14179" s="16"/>
      <c r="AG14179" s="80"/>
      <c r="AH14179" s="80"/>
      <c r="AI14179" s="80"/>
    </row>
    <row r="14180" spans="5:35" x14ac:dyDescent="0.25">
      <c r="E14180" s="16"/>
      <c r="F14180" s="16"/>
      <c r="H14180" s="16"/>
      <c r="AG14180" s="80"/>
      <c r="AH14180" s="80"/>
      <c r="AI14180" s="80"/>
    </row>
    <row r="14181" spans="5:35" x14ac:dyDescent="0.25">
      <c r="E14181" s="16"/>
      <c r="F14181" s="16"/>
      <c r="H14181" s="16"/>
      <c r="AG14181" s="80"/>
      <c r="AH14181" s="80"/>
      <c r="AI14181" s="80"/>
    </row>
    <row r="14182" spans="5:35" x14ac:dyDescent="0.25">
      <c r="E14182" s="16"/>
      <c r="F14182" s="16"/>
      <c r="H14182" s="16"/>
      <c r="AG14182" s="80"/>
      <c r="AH14182" s="80"/>
      <c r="AI14182" s="80"/>
    </row>
    <row r="14183" spans="5:35" x14ac:dyDescent="0.25">
      <c r="E14183" s="16"/>
      <c r="F14183" s="16"/>
      <c r="H14183" s="16"/>
      <c r="AG14183" s="80"/>
      <c r="AH14183" s="80"/>
      <c r="AI14183" s="80"/>
    </row>
    <row r="14184" spans="5:35" x14ac:dyDescent="0.25">
      <c r="E14184" s="16"/>
      <c r="F14184" s="16"/>
      <c r="H14184" s="16"/>
      <c r="AG14184" s="80"/>
      <c r="AH14184" s="80"/>
      <c r="AI14184" s="80"/>
    </row>
    <row r="14185" spans="5:35" x14ac:dyDescent="0.25">
      <c r="E14185" s="16"/>
      <c r="F14185" s="16"/>
      <c r="H14185" s="16"/>
      <c r="AG14185" s="80"/>
      <c r="AH14185" s="80"/>
      <c r="AI14185" s="80"/>
    </row>
    <row r="14186" spans="5:35" x14ac:dyDescent="0.25">
      <c r="E14186" s="16"/>
      <c r="F14186" s="16"/>
      <c r="H14186" s="16"/>
      <c r="AG14186" s="80"/>
      <c r="AH14186" s="80"/>
      <c r="AI14186" s="80"/>
    </row>
    <row r="14187" spans="5:35" x14ac:dyDescent="0.25">
      <c r="E14187" s="16"/>
      <c r="F14187" s="16"/>
      <c r="H14187" s="16"/>
      <c r="AG14187" s="80"/>
      <c r="AH14187" s="80"/>
      <c r="AI14187" s="80"/>
    </row>
    <row r="14188" spans="5:35" x14ac:dyDescent="0.25">
      <c r="E14188" s="16"/>
      <c r="F14188" s="16"/>
      <c r="H14188" s="16"/>
      <c r="AG14188" s="80"/>
      <c r="AH14188" s="80"/>
      <c r="AI14188" s="80"/>
    </row>
    <row r="14189" spans="5:35" x14ac:dyDescent="0.25">
      <c r="E14189" s="16"/>
      <c r="F14189" s="16"/>
      <c r="H14189" s="16"/>
      <c r="AG14189" s="80"/>
      <c r="AH14189" s="80"/>
      <c r="AI14189" s="80"/>
    </row>
    <row r="14190" spans="5:35" x14ac:dyDescent="0.25">
      <c r="E14190" s="16"/>
      <c r="F14190" s="16"/>
      <c r="H14190" s="16"/>
      <c r="AG14190" s="80"/>
      <c r="AH14190" s="80"/>
      <c r="AI14190" s="80"/>
    </row>
    <row r="14191" spans="5:35" x14ac:dyDescent="0.25">
      <c r="E14191" s="16"/>
      <c r="F14191" s="16"/>
      <c r="H14191" s="16"/>
      <c r="AG14191" s="80"/>
      <c r="AH14191" s="80"/>
      <c r="AI14191" s="80"/>
    </row>
    <row r="14192" spans="5:35" x14ac:dyDescent="0.25">
      <c r="E14192" s="16"/>
      <c r="F14192" s="16"/>
      <c r="H14192" s="16"/>
      <c r="AG14192" s="80"/>
      <c r="AH14192" s="80"/>
      <c r="AI14192" s="80"/>
    </row>
    <row r="14193" spans="5:35" x14ac:dyDescent="0.25">
      <c r="E14193" s="16"/>
      <c r="F14193" s="16"/>
      <c r="H14193" s="16"/>
      <c r="AG14193" s="80"/>
      <c r="AH14193" s="80"/>
      <c r="AI14193" s="80"/>
    </row>
    <row r="14194" spans="5:35" x14ac:dyDescent="0.25">
      <c r="E14194" s="16"/>
      <c r="F14194" s="16"/>
      <c r="H14194" s="16"/>
      <c r="AG14194" s="80"/>
      <c r="AH14194" s="80"/>
      <c r="AI14194" s="80"/>
    </row>
    <row r="14195" spans="5:35" x14ac:dyDescent="0.25">
      <c r="E14195" s="16"/>
      <c r="F14195" s="16"/>
      <c r="H14195" s="16"/>
      <c r="AG14195" s="80"/>
      <c r="AH14195" s="80"/>
      <c r="AI14195" s="80"/>
    </row>
    <row r="14196" spans="5:35" x14ac:dyDescent="0.25">
      <c r="E14196" s="16"/>
      <c r="F14196" s="16"/>
      <c r="H14196" s="16"/>
      <c r="AG14196" s="80"/>
      <c r="AH14196" s="80"/>
      <c r="AI14196" s="80"/>
    </row>
    <row r="14197" spans="5:35" x14ac:dyDescent="0.25">
      <c r="E14197" s="16"/>
      <c r="F14197" s="16"/>
      <c r="H14197" s="16"/>
      <c r="AG14197" s="80"/>
      <c r="AH14197" s="80"/>
      <c r="AI14197" s="80"/>
    </row>
    <row r="14198" spans="5:35" x14ac:dyDescent="0.25">
      <c r="E14198" s="16"/>
      <c r="F14198" s="16"/>
      <c r="H14198" s="16"/>
      <c r="AG14198" s="80"/>
      <c r="AH14198" s="80"/>
      <c r="AI14198" s="80"/>
    </row>
    <row r="14199" spans="5:35" x14ac:dyDescent="0.25">
      <c r="E14199" s="16"/>
      <c r="F14199" s="16"/>
      <c r="H14199" s="16"/>
      <c r="AG14199" s="80"/>
      <c r="AH14199" s="80"/>
      <c r="AI14199" s="80"/>
    </row>
    <row r="14200" spans="5:35" x14ac:dyDescent="0.25">
      <c r="E14200" s="16"/>
      <c r="F14200" s="16"/>
      <c r="H14200" s="16"/>
      <c r="AG14200" s="80"/>
      <c r="AH14200" s="80"/>
      <c r="AI14200" s="80"/>
    </row>
    <row r="14201" spans="5:35" x14ac:dyDescent="0.25">
      <c r="E14201" s="16"/>
      <c r="F14201" s="16"/>
      <c r="H14201" s="16"/>
      <c r="AG14201" s="80"/>
      <c r="AH14201" s="80"/>
      <c r="AI14201" s="80"/>
    </row>
    <row r="14202" spans="5:35" x14ac:dyDescent="0.25">
      <c r="E14202" s="16"/>
      <c r="F14202" s="16"/>
      <c r="H14202" s="16"/>
      <c r="AG14202" s="80"/>
      <c r="AH14202" s="80"/>
      <c r="AI14202" s="80"/>
    </row>
    <row r="14203" spans="5:35" x14ac:dyDescent="0.25">
      <c r="E14203" s="16"/>
      <c r="F14203" s="16"/>
      <c r="H14203" s="16"/>
      <c r="AG14203" s="80"/>
      <c r="AH14203" s="80"/>
      <c r="AI14203" s="80"/>
    </row>
    <row r="14204" spans="5:35" x14ac:dyDescent="0.25">
      <c r="E14204" s="16"/>
      <c r="F14204" s="16"/>
      <c r="H14204" s="16"/>
      <c r="AG14204" s="80"/>
      <c r="AH14204" s="80"/>
      <c r="AI14204" s="80"/>
    </row>
    <row r="14205" spans="5:35" x14ac:dyDescent="0.25">
      <c r="E14205" s="16"/>
      <c r="F14205" s="16"/>
      <c r="H14205" s="16"/>
      <c r="AG14205" s="80"/>
      <c r="AH14205" s="80"/>
      <c r="AI14205" s="80"/>
    </row>
    <row r="14206" spans="5:35" x14ac:dyDescent="0.25">
      <c r="E14206" s="16"/>
      <c r="F14206" s="16"/>
      <c r="H14206" s="16"/>
      <c r="AG14206" s="80"/>
      <c r="AH14206" s="80"/>
      <c r="AI14206" s="80"/>
    </row>
    <row r="14207" spans="5:35" x14ac:dyDescent="0.25">
      <c r="E14207" s="16"/>
      <c r="F14207" s="16"/>
      <c r="H14207" s="16"/>
      <c r="AG14207" s="80"/>
      <c r="AH14207" s="80"/>
      <c r="AI14207" s="80"/>
    </row>
    <row r="14208" spans="5:35" x14ac:dyDescent="0.25">
      <c r="E14208" s="16"/>
      <c r="F14208" s="16"/>
      <c r="H14208" s="16"/>
      <c r="AG14208" s="80"/>
      <c r="AH14208" s="80"/>
      <c r="AI14208" s="80"/>
    </row>
    <row r="14209" spans="5:35" x14ac:dyDescent="0.25">
      <c r="E14209" s="16"/>
      <c r="F14209" s="16"/>
      <c r="H14209" s="16"/>
      <c r="AG14209" s="80"/>
      <c r="AH14209" s="80"/>
      <c r="AI14209" s="80"/>
    </row>
    <row r="14210" spans="5:35" x14ac:dyDescent="0.25">
      <c r="E14210" s="16"/>
      <c r="F14210" s="16"/>
      <c r="H14210" s="16"/>
      <c r="AG14210" s="80"/>
      <c r="AH14210" s="80"/>
      <c r="AI14210" s="80"/>
    </row>
    <row r="14211" spans="5:35" x14ac:dyDescent="0.25">
      <c r="E14211" s="16"/>
      <c r="F14211" s="16"/>
      <c r="H14211" s="16"/>
      <c r="AG14211" s="80"/>
      <c r="AH14211" s="80"/>
      <c r="AI14211" s="80"/>
    </row>
    <row r="14212" spans="5:35" x14ac:dyDescent="0.25">
      <c r="E14212" s="16"/>
      <c r="F14212" s="16"/>
      <c r="H14212" s="16"/>
      <c r="AG14212" s="80"/>
      <c r="AH14212" s="80"/>
      <c r="AI14212" s="80"/>
    </row>
    <row r="14213" spans="5:35" x14ac:dyDescent="0.25">
      <c r="E14213" s="16"/>
      <c r="F14213" s="16"/>
      <c r="H14213" s="16"/>
      <c r="AG14213" s="80"/>
      <c r="AH14213" s="80"/>
      <c r="AI14213" s="80"/>
    </row>
    <row r="14214" spans="5:35" x14ac:dyDescent="0.25">
      <c r="E14214" s="16"/>
      <c r="F14214" s="16"/>
      <c r="H14214" s="16"/>
      <c r="AG14214" s="80"/>
      <c r="AH14214" s="80"/>
      <c r="AI14214" s="80"/>
    </row>
    <row r="14215" spans="5:35" x14ac:dyDescent="0.25">
      <c r="E14215" s="16"/>
      <c r="F14215" s="16"/>
      <c r="H14215" s="16"/>
      <c r="AG14215" s="80"/>
      <c r="AH14215" s="80"/>
      <c r="AI14215" s="80"/>
    </row>
    <row r="14216" spans="5:35" x14ac:dyDescent="0.25">
      <c r="E14216" s="16"/>
      <c r="F14216" s="16"/>
      <c r="H14216" s="16"/>
      <c r="AG14216" s="80"/>
      <c r="AH14216" s="80"/>
      <c r="AI14216" s="80"/>
    </row>
    <row r="14217" spans="5:35" x14ac:dyDescent="0.25">
      <c r="E14217" s="16"/>
      <c r="F14217" s="16"/>
      <c r="H14217" s="16"/>
      <c r="AG14217" s="80"/>
      <c r="AH14217" s="80"/>
      <c r="AI14217" s="80"/>
    </row>
    <row r="14218" spans="5:35" x14ac:dyDescent="0.25">
      <c r="E14218" s="16"/>
      <c r="F14218" s="16"/>
      <c r="H14218" s="16"/>
      <c r="AG14218" s="80"/>
      <c r="AH14218" s="80"/>
      <c r="AI14218" s="80"/>
    </row>
    <row r="14219" spans="5:35" x14ac:dyDescent="0.25">
      <c r="E14219" s="16"/>
      <c r="F14219" s="16"/>
      <c r="H14219" s="16"/>
      <c r="AG14219" s="80"/>
      <c r="AH14219" s="80"/>
      <c r="AI14219" s="80"/>
    </row>
    <row r="14220" spans="5:35" x14ac:dyDescent="0.25">
      <c r="E14220" s="16"/>
      <c r="F14220" s="16"/>
      <c r="H14220" s="16"/>
      <c r="AG14220" s="80"/>
      <c r="AH14220" s="80"/>
      <c r="AI14220" s="80"/>
    </row>
    <row r="14221" spans="5:35" x14ac:dyDescent="0.25">
      <c r="E14221" s="16"/>
      <c r="F14221" s="16"/>
      <c r="H14221" s="16"/>
      <c r="AG14221" s="80"/>
      <c r="AH14221" s="80"/>
      <c r="AI14221" s="80"/>
    </row>
    <row r="14222" spans="5:35" x14ac:dyDescent="0.25">
      <c r="E14222" s="16"/>
      <c r="F14222" s="16"/>
      <c r="H14222" s="16"/>
      <c r="AG14222" s="80"/>
      <c r="AH14222" s="80"/>
      <c r="AI14222" s="80"/>
    </row>
    <row r="14223" spans="5:35" x14ac:dyDescent="0.25">
      <c r="E14223" s="16"/>
      <c r="F14223" s="16"/>
      <c r="H14223" s="16"/>
      <c r="AG14223" s="80"/>
      <c r="AH14223" s="80"/>
      <c r="AI14223" s="80"/>
    </row>
    <row r="14224" spans="5:35" x14ac:dyDescent="0.25">
      <c r="E14224" s="16"/>
      <c r="F14224" s="16"/>
      <c r="H14224" s="16"/>
      <c r="AG14224" s="80"/>
      <c r="AH14224" s="80"/>
      <c r="AI14224" s="80"/>
    </row>
    <row r="14225" spans="5:35" x14ac:dyDescent="0.25">
      <c r="E14225" s="16"/>
      <c r="F14225" s="16"/>
      <c r="H14225" s="16"/>
      <c r="AG14225" s="80"/>
      <c r="AH14225" s="80"/>
      <c r="AI14225" s="80"/>
    </row>
    <row r="14226" spans="5:35" x14ac:dyDescent="0.25">
      <c r="E14226" s="16"/>
      <c r="F14226" s="16"/>
      <c r="H14226" s="16"/>
      <c r="AG14226" s="80"/>
      <c r="AH14226" s="80"/>
      <c r="AI14226" s="80"/>
    </row>
    <row r="14227" spans="5:35" x14ac:dyDescent="0.25">
      <c r="E14227" s="16"/>
      <c r="F14227" s="16"/>
      <c r="H14227" s="16"/>
      <c r="AG14227" s="80"/>
      <c r="AH14227" s="80"/>
      <c r="AI14227" s="80"/>
    </row>
    <row r="14228" spans="5:35" x14ac:dyDescent="0.25">
      <c r="E14228" s="16"/>
      <c r="F14228" s="16"/>
      <c r="H14228" s="16"/>
      <c r="AG14228" s="80"/>
      <c r="AH14228" s="80"/>
      <c r="AI14228" s="80"/>
    </row>
    <row r="14229" spans="5:35" x14ac:dyDescent="0.25">
      <c r="E14229" s="16"/>
      <c r="F14229" s="16"/>
      <c r="H14229" s="16"/>
      <c r="AG14229" s="80"/>
      <c r="AH14229" s="80"/>
      <c r="AI14229" s="80"/>
    </row>
    <row r="14230" spans="5:35" x14ac:dyDescent="0.25">
      <c r="E14230" s="16"/>
      <c r="F14230" s="16"/>
      <c r="H14230" s="16"/>
      <c r="AG14230" s="80"/>
      <c r="AH14230" s="80"/>
      <c r="AI14230" s="80"/>
    </row>
    <row r="14231" spans="5:35" x14ac:dyDescent="0.25">
      <c r="E14231" s="16"/>
      <c r="F14231" s="16"/>
      <c r="H14231" s="16"/>
      <c r="AG14231" s="80"/>
      <c r="AH14231" s="80"/>
      <c r="AI14231" s="80"/>
    </row>
    <row r="14232" spans="5:35" x14ac:dyDescent="0.25">
      <c r="E14232" s="16"/>
      <c r="F14232" s="16"/>
      <c r="H14232" s="16"/>
      <c r="AG14232" s="80"/>
      <c r="AH14232" s="80"/>
      <c r="AI14232" s="80"/>
    </row>
    <row r="14233" spans="5:35" x14ac:dyDescent="0.25">
      <c r="E14233" s="16"/>
      <c r="F14233" s="16"/>
      <c r="H14233" s="16"/>
      <c r="AG14233" s="80"/>
      <c r="AH14233" s="80"/>
      <c r="AI14233" s="80"/>
    </row>
    <row r="14234" spans="5:35" x14ac:dyDescent="0.25">
      <c r="E14234" s="16"/>
      <c r="F14234" s="16"/>
      <c r="H14234" s="16"/>
      <c r="AG14234" s="80"/>
      <c r="AH14234" s="80"/>
      <c r="AI14234" s="80"/>
    </row>
    <row r="14235" spans="5:35" x14ac:dyDescent="0.25">
      <c r="E14235" s="16"/>
      <c r="F14235" s="16"/>
      <c r="H14235" s="16"/>
      <c r="AG14235" s="80"/>
      <c r="AH14235" s="80"/>
      <c r="AI14235" s="80"/>
    </row>
    <row r="14236" spans="5:35" x14ac:dyDescent="0.25">
      <c r="E14236" s="16"/>
      <c r="F14236" s="16"/>
      <c r="H14236" s="16"/>
      <c r="AG14236" s="80"/>
      <c r="AH14236" s="80"/>
      <c r="AI14236" s="80"/>
    </row>
    <row r="14237" spans="5:35" x14ac:dyDescent="0.25">
      <c r="E14237" s="16"/>
      <c r="F14237" s="16"/>
      <c r="H14237" s="16"/>
      <c r="AG14237" s="80"/>
      <c r="AH14237" s="80"/>
      <c r="AI14237" s="80"/>
    </row>
    <row r="14238" spans="5:35" x14ac:dyDescent="0.25">
      <c r="E14238" s="16"/>
      <c r="F14238" s="16"/>
      <c r="H14238" s="16"/>
      <c r="AG14238" s="80"/>
      <c r="AH14238" s="80"/>
      <c r="AI14238" s="80"/>
    </row>
    <row r="14239" spans="5:35" x14ac:dyDescent="0.25">
      <c r="E14239" s="16"/>
      <c r="F14239" s="16"/>
      <c r="H14239" s="16"/>
      <c r="AG14239" s="80"/>
      <c r="AH14239" s="80"/>
      <c r="AI14239" s="80"/>
    </row>
    <row r="14240" spans="5:35" x14ac:dyDescent="0.25">
      <c r="E14240" s="16"/>
      <c r="F14240" s="16"/>
      <c r="H14240" s="16"/>
      <c r="AG14240" s="80"/>
      <c r="AH14240" s="80"/>
      <c r="AI14240" s="80"/>
    </row>
    <row r="14241" spans="5:35" x14ac:dyDescent="0.25">
      <c r="E14241" s="16"/>
      <c r="F14241" s="16"/>
      <c r="H14241" s="16"/>
      <c r="AG14241" s="80"/>
      <c r="AH14241" s="80"/>
      <c r="AI14241" s="80"/>
    </row>
    <row r="14242" spans="5:35" x14ac:dyDescent="0.25">
      <c r="E14242" s="16"/>
      <c r="F14242" s="16"/>
      <c r="H14242" s="16"/>
      <c r="AG14242" s="80"/>
      <c r="AH14242" s="80"/>
      <c r="AI14242" s="80"/>
    </row>
    <row r="14243" spans="5:35" x14ac:dyDescent="0.25">
      <c r="E14243" s="16"/>
      <c r="F14243" s="16"/>
      <c r="H14243" s="16"/>
      <c r="AG14243" s="80"/>
      <c r="AH14243" s="80"/>
      <c r="AI14243" s="80"/>
    </row>
    <row r="14244" spans="5:35" x14ac:dyDescent="0.25">
      <c r="E14244" s="16"/>
      <c r="F14244" s="16"/>
      <c r="H14244" s="16"/>
      <c r="AG14244" s="80"/>
      <c r="AH14244" s="80"/>
      <c r="AI14244" s="80"/>
    </row>
    <row r="14245" spans="5:35" x14ac:dyDescent="0.25">
      <c r="E14245" s="16"/>
      <c r="F14245" s="16"/>
      <c r="H14245" s="16"/>
      <c r="AG14245" s="80"/>
      <c r="AH14245" s="80"/>
      <c r="AI14245" s="80"/>
    </row>
    <row r="14246" spans="5:35" x14ac:dyDescent="0.25">
      <c r="E14246" s="16"/>
      <c r="F14246" s="16"/>
      <c r="H14246" s="16"/>
      <c r="AG14246" s="80"/>
      <c r="AH14246" s="80"/>
      <c r="AI14246" s="80"/>
    </row>
    <row r="14247" spans="5:35" x14ac:dyDescent="0.25">
      <c r="E14247" s="16"/>
      <c r="F14247" s="16"/>
      <c r="H14247" s="16"/>
      <c r="AG14247" s="80"/>
      <c r="AH14247" s="80"/>
      <c r="AI14247" s="80"/>
    </row>
    <row r="14248" spans="5:35" x14ac:dyDescent="0.25">
      <c r="E14248" s="16"/>
      <c r="F14248" s="16"/>
      <c r="H14248" s="16"/>
      <c r="AG14248" s="80"/>
      <c r="AH14248" s="80"/>
      <c r="AI14248" s="80"/>
    </row>
    <row r="14249" spans="5:35" x14ac:dyDescent="0.25">
      <c r="E14249" s="16"/>
      <c r="F14249" s="16"/>
      <c r="H14249" s="16"/>
      <c r="AG14249" s="80"/>
      <c r="AH14249" s="80"/>
      <c r="AI14249" s="80"/>
    </row>
    <row r="14250" spans="5:35" x14ac:dyDescent="0.25">
      <c r="E14250" s="16"/>
      <c r="F14250" s="16"/>
      <c r="H14250" s="16"/>
      <c r="AG14250" s="80"/>
      <c r="AH14250" s="80"/>
      <c r="AI14250" s="80"/>
    </row>
    <row r="14251" spans="5:35" x14ac:dyDescent="0.25">
      <c r="E14251" s="16"/>
      <c r="F14251" s="16"/>
      <c r="H14251" s="16"/>
      <c r="AG14251" s="80"/>
      <c r="AH14251" s="80"/>
      <c r="AI14251" s="80"/>
    </row>
    <row r="14252" spans="5:35" x14ac:dyDescent="0.25">
      <c r="E14252" s="16"/>
      <c r="F14252" s="16"/>
      <c r="H14252" s="16"/>
      <c r="AG14252" s="80"/>
      <c r="AH14252" s="80"/>
      <c r="AI14252" s="80"/>
    </row>
    <row r="14253" spans="5:35" x14ac:dyDescent="0.25">
      <c r="E14253" s="16"/>
      <c r="F14253" s="16"/>
      <c r="H14253" s="16"/>
      <c r="AG14253" s="80"/>
      <c r="AH14253" s="80"/>
      <c r="AI14253" s="80"/>
    </row>
    <row r="14254" spans="5:35" x14ac:dyDescent="0.25">
      <c r="E14254" s="16"/>
      <c r="F14254" s="16"/>
      <c r="H14254" s="16"/>
      <c r="AG14254" s="80"/>
      <c r="AH14254" s="80"/>
      <c r="AI14254" s="80"/>
    </row>
    <row r="14255" spans="5:35" x14ac:dyDescent="0.25">
      <c r="E14255" s="16"/>
      <c r="F14255" s="16"/>
      <c r="H14255" s="16"/>
      <c r="AG14255" s="80"/>
      <c r="AH14255" s="80"/>
      <c r="AI14255" s="80"/>
    </row>
    <row r="14256" spans="5:35" x14ac:dyDescent="0.25">
      <c r="E14256" s="16"/>
      <c r="F14256" s="16"/>
      <c r="H14256" s="16"/>
      <c r="AG14256" s="80"/>
      <c r="AH14256" s="80"/>
      <c r="AI14256" s="80"/>
    </row>
    <row r="14257" spans="5:35" x14ac:dyDescent="0.25">
      <c r="E14257" s="16"/>
      <c r="F14257" s="16"/>
      <c r="H14257" s="16"/>
      <c r="AG14257" s="80"/>
      <c r="AH14257" s="80"/>
      <c r="AI14257" s="80"/>
    </row>
    <row r="14258" spans="5:35" x14ac:dyDescent="0.25">
      <c r="E14258" s="16"/>
      <c r="F14258" s="16"/>
      <c r="H14258" s="16"/>
      <c r="AG14258" s="80"/>
      <c r="AH14258" s="80"/>
      <c r="AI14258" s="80"/>
    </row>
    <row r="14259" spans="5:35" x14ac:dyDescent="0.25">
      <c r="E14259" s="16"/>
      <c r="F14259" s="16"/>
      <c r="H14259" s="16"/>
      <c r="AG14259" s="80"/>
      <c r="AH14259" s="80"/>
      <c r="AI14259" s="80"/>
    </row>
    <row r="14260" spans="5:35" x14ac:dyDescent="0.25">
      <c r="E14260" s="16"/>
      <c r="F14260" s="16"/>
      <c r="H14260" s="16"/>
      <c r="AG14260" s="80"/>
      <c r="AH14260" s="80"/>
      <c r="AI14260" s="80"/>
    </row>
    <row r="14261" spans="5:35" x14ac:dyDescent="0.25">
      <c r="E14261" s="16"/>
      <c r="F14261" s="16"/>
      <c r="H14261" s="16"/>
      <c r="AG14261" s="80"/>
      <c r="AH14261" s="80"/>
      <c r="AI14261" s="80"/>
    </row>
    <row r="14262" spans="5:35" x14ac:dyDescent="0.25">
      <c r="E14262" s="16"/>
      <c r="F14262" s="16"/>
      <c r="H14262" s="16"/>
      <c r="AG14262" s="80"/>
      <c r="AH14262" s="80"/>
      <c r="AI14262" s="80"/>
    </row>
    <row r="14263" spans="5:35" x14ac:dyDescent="0.25">
      <c r="E14263" s="16"/>
      <c r="F14263" s="16"/>
      <c r="H14263" s="16"/>
      <c r="AG14263" s="80"/>
      <c r="AH14263" s="80"/>
      <c r="AI14263" s="80"/>
    </row>
    <row r="14264" spans="5:35" x14ac:dyDescent="0.25">
      <c r="E14264" s="16"/>
      <c r="F14264" s="16"/>
      <c r="H14264" s="16"/>
      <c r="AG14264" s="80"/>
      <c r="AH14264" s="80"/>
      <c r="AI14264" s="80"/>
    </row>
    <row r="14265" spans="5:35" x14ac:dyDescent="0.25">
      <c r="E14265" s="16"/>
      <c r="F14265" s="16"/>
      <c r="H14265" s="16"/>
      <c r="AG14265" s="80"/>
      <c r="AH14265" s="80"/>
      <c r="AI14265" s="80"/>
    </row>
    <row r="14266" spans="5:35" x14ac:dyDescent="0.25">
      <c r="E14266" s="16"/>
      <c r="F14266" s="16"/>
      <c r="H14266" s="16"/>
      <c r="AG14266" s="80"/>
      <c r="AH14266" s="80"/>
      <c r="AI14266" s="80"/>
    </row>
    <row r="14267" spans="5:35" x14ac:dyDescent="0.25">
      <c r="E14267" s="16"/>
      <c r="F14267" s="16"/>
      <c r="H14267" s="16"/>
      <c r="AG14267" s="80"/>
      <c r="AH14267" s="80"/>
      <c r="AI14267" s="80"/>
    </row>
    <row r="14268" spans="5:35" x14ac:dyDescent="0.25">
      <c r="E14268" s="16"/>
      <c r="F14268" s="16"/>
      <c r="H14268" s="16"/>
      <c r="AG14268" s="80"/>
      <c r="AH14268" s="80"/>
      <c r="AI14268" s="80"/>
    </row>
    <row r="14269" spans="5:35" x14ac:dyDescent="0.25">
      <c r="E14269" s="16"/>
      <c r="F14269" s="16"/>
      <c r="H14269" s="16"/>
      <c r="AG14269" s="80"/>
      <c r="AH14269" s="80"/>
      <c r="AI14269" s="80"/>
    </row>
    <row r="14270" spans="5:35" x14ac:dyDescent="0.25">
      <c r="E14270" s="16"/>
      <c r="F14270" s="16"/>
      <c r="H14270" s="16"/>
      <c r="AG14270" s="80"/>
      <c r="AH14270" s="80"/>
      <c r="AI14270" s="80"/>
    </row>
    <row r="14271" spans="5:35" x14ac:dyDescent="0.25">
      <c r="E14271" s="16"/>
      <c r="F14271" s="16"/>
      <c r="H14271" s="16"/>
      <c r="AG14271" s="80"/>
      <c r="AH14271" s="80"/>
      <c r="AI14271" s="80"/>
    </row>
    <row r="14272" spans="5:35" x14ac:dyDescent="0.25">
      <c r="E14272" s="16"/>
      <c r="F14272" s="16"/>
      <c r="H14272" s="16"/>
      <c r="AG14272" s="80"/>
      <c r="AH14272" s="80"/>
      <c r="AI14272" s="80"/>
    </row>
    <row r="14273" spans="5:35" x14ac:dyDescent="0.25">
      <c r="E14273" s="16"/>
      <c r="F14273" s="16"/>
      <c r="H14273" s="16"/>
      <c r="AG14273" s="80"/>
      <c r="AH14273" s="80"/>
      <c r="AI14273" s="80"/>
    </row>
    <row r="14274" spans="5:35" x14ac:dyDescent="0.25">
      <c r="E14274" s="16"/>
      <c r="F14274" s="16"/>
      <c r="H14274" s="16"/>
      <c r="AG14274" s="80"/>
      <c r="AH14274" s="80"/>
      <c r="AI14274" s="80"/>
    </row>
    <row r="14275" spans="5:35" x14ac:dyDescent="0.25">
      <c r="E14275" s="16"/>
      <c r="F14275" s="16"/>
      <c r="H14275" s="16"/>
      <c r="AG14275" s="80"/>
      <c r="AH14275" s="80"/>
      <c r="AI14275" s="80"/>
    </row>
    <row r="14276" spans="5:35" x14ac:dyDescent="0.25">
      <c r="E14276" s="16"/>
      <c r="F14276" s="16"/>
      <c r="H14276" s="16"/>
      <c r="AG14276" s="80"/>
      <c r="AH14276" s="80"/>
      <c r="AI14276" s="80"/>
    </row>
    <row r="14277" spans="5:35" x14ac:dyDescent="0.25">
      <c r="E14277" s="16"/>
      <c r="F14277" s="16"/>
      <c r="H14277" s="16"/>
      <c r="AG14277" s="80"/>
      <c r="AH14277" s="80"/>
      <c r="AI14277" s="80"/>
    </row>
    <row r="14278" spans="5:35" x14ac:dyDescent="0.25">
      <c r="E14278" s="16"/>
      <c r="F14278" s="16"/>
      <c r="H14278" s="16"/>
      <c r="AG14278" s="80"/>
      <c r="AH14278" s="80"/>
      <c r="AI14278" s="80"/>
    </row>
    <row r="14279" spans="5:35" x14ac:dyDescent="0.25">
      <c r="E14279" s="16"/>
      <c r="F14279" s="16"/>
      <c r="H14279" s="16"/>
      <c r="AG14279" s="80"/>
      <c r="AH14279" s="80"/>
      <c r="AI14279" s="80"/>
    </row>
    <row r="14280" spans="5:35" x14ac:dyDescent="0.25">
      <c r="E14280" s="16"/>
      <c r="F14280" s="16"/>
      <c r="H14280" s="16"/>
      <c r="AG14280" s="80"/>
      <c r="AH14280" s="80"/>
      <c r="AI14280" s="80"/>
    </row>
    <row r="14281" spans="5:35" x14ac:dyDescent="0.25">
      <c r="E14281" s="16"/>
      <c r="F14281" s="16"/>
      <c r="H14281" s="16"/>
      <c r="AG14281" s="80"/>
      <c r="AH14281" s="80"/>
      <c r="AI14281" s="80"/>
    </row>
    <row r="14282" spans="5:35" x14ac:dyDescent="0.25">
      <c r="E14282" s="16"/>
      <c r="F14282" s="16"/>
      <c r="H14282" s="16"/>
      <c r="AG14282" s="80"/>
      <c r="AH14282" s="80"/>
      <c r="AI14282" s="80"/>
    </row>
    <row r="14283" spans="5:35" x14ac:dyDescent="0.25">
      <c r="E14283" s="16"/>
      <c r="F14283" s="16"/>
      <c r="H14283" s="16"/>
      <c r="AG14283" s="80"/>
      <c r="AH14283" s="80"/>
      <c r="AI14283" s="80"/>
    </row>
    <row r="14284" spans="5:35" x14ac:dyDescent="0.25">
      <c r="E14284" s="16"/>
      <c r="F14284" s="16"/>
      <c r="H14284" s="16"/>
      <c r="AG14284" s="80"/>
      <c r="AH14284" s="80"/>
      <c r="AI14284" s="80"/>
    </row>
    <row r="14285" spans="5:35" x14ac:dyDescent="0.25">
      <c r="E14285" s="16"/>
      <c r="F14285" s="16"/>
      <c r="H14285" s="16"/>
      <c r="AG14285" s="80"/>
      <c r="AH14285" s="80"/>
      <c r="AI14285" s="80"/>
    </row>
    <row r="14286" spans="5:35" x14ac:dyDescent="0.25">
      <c r="E14286" s="16"/>
      <c r="F14286" s="16"/>
      <c r="H14286" s="16"/>
      <c r="AG14286" s="80"/>
      <c r="AH14286" s="80"/>
      <c r="AI14286" s="80"/>
    </row>
    <row r="14287" spans="5:35" x14ac:dyDescent="0.25">
      <c r="E14287" s="16"/>
      <c r="F14287" s="16"/>
      <c r="H14287" s="16"/>
      <c r="AG14287" s="80"/>
      <c r="AH14287" s="80"/>
      <c r="AI14287" s="80"/>
    </row>
    <row r="14288" spans="5:35" x14ac:dyDescent="0.25">
      <c r="E14288" s="16"/>
      <c r="F14288" s="16"/>
      <c r="H14288" s="16"/>
      <c r="AG14288" s="80"/>
      <c r="AH14288" s="80"/>
      <c r="AI14288" s="80"/>
    </row>
    <row r="14289" spans="5:35" x14ac:dyDescent="0.25">
      <c r="E14289" s="16"/>
      <c r="F14289" s="16"/>
      <c r="H14289" s="16"/>
      <c r="AG14289" s="80"/>
      <c r="AH14289" s="80"/>
      <c r="AI14289" s="80"/>
    </row>
    <row r="14290" spans="5:35" x14ac:dyDescent="0.25">
      <c r="E14290" s="16"/>
      <c r="F14290" s="16"/>
      <c r="H14290" s="16"/>
      <c r="AG14290" s="80"/>
      <c r="AH14290" s="80"/>
      <c r="AI14290" s="80"/>
    </row>
    <row r="14291" spans="5:35" x14ac:dyDescent="0.25">
      <c r="E14291" s="16"/>
      <c r="F14291" s="16"/>
      <c r="H14291" s="16"/>
      <c r="AG14291" s="80"/>
      <c r="AH14291" s="80"/>
      <c r="AI14291" s="80"/>
    </row>
    <row r="14292" spans="5:35" x14ac:dyDescent="0.25">
      <c r="E14292" s="16"/>
      <c r="F14292" s="16"/>
      <c r="H14292" s="16"/>
      <c r="AG14292" s="80"/>
      <c r="AH14292" s="80"/>
      <c r="AI14292" s="80"/>
    </row>
    <row r="14293" spans="5:35" x14ac:dyDescent="0.25">
      <c r="E14293" s="16"/>
      <c r="F14293" s="16"/>
      <c r="H14293" s="16"/>
      <c r="AG14293" s="80"/>
      <c r="AH14293" s="80"/>
      <c r="AI14293" s="80"/>
    </row>
    <row r="14294" spans="5:35" x14ac:dyDescent="0.25">
      <c r="E14294" s="16"/>
      <c r="F14294" s="16"/>
      <c r="H14294" s="16"/>
      <c r="AG14294" s="80"/>
      <c r="AH14294" s="80"/>
      <c r="AI14294" s="80"/>
    </row>
    <row r="14295" spans="5:35" x14ac:dyDescent="0.25">
      <c r="E14295" s="16"/>
      <c r="F14295" s="16"/>
      <c r="H14295" s="16"/>
      <c r="AG14295" s="80"/>
      <c r="AH14295" s="80"/>
      <c r="AI14295" s="80"/>
    </row>
    <row r="14296" spans="5:35" x14ac:dyDescent="0.25">
      <c r="E14296" s="16"/>
      <c r="F14296" s="16"/>
      <c r="H14296" s="16"/>
      <c r="AG14296" s="80"/>
      <c r="AH14296" s="80"/>
      <c r="AI14296" s="80"/>
    </row>
    <row r="14297" spans="5:35" x14ac:dyDescent="0.25">
      <c r="E14297" s="16"/>
      <c r="F14297" s="16"/>
      <c r="H14297" s="16"/>
      <c r="AG14297" s="80"/>
      <c r="AH14297" s="80"/>
      <c r="AI14297" s="80"/>
    </row>
    <row r="14298" spans="5:35" x14ac:dyDescent="0.25">
      <c r="E14298" s="16"/>
      <c r="F14298" s="16"/>
      <c r="H14298" s="16"/>
      <c r="AG14298" s="80"/>
      <c r="AH14298" s="80"/>
      <c r="AI14298" s="80"/>
    </row>
    <row r="14299" spans="5:35" x14ac:dyDescent="0.25">
      <c r="E14299" s="16"/>
      <c r="F14299" s="16"/>
      <c r="H14299" s="16"/>
      <c r="AG14299" s="80"/>
      <c r="AH14299" s="80"/>
      <c r="AI14299" s="80"/>
    </row>
    <row r="14300" spans="5:35" x14ac:dyDescent="0.25">
      <c r="E14300" s="16"/>
      <c r="F14300" s="16"/>
      <c r="H14300" s="16"/>
      <c r="AG14300" s="80"/>
      <c r="AH14300" s="80"/>
      <c r="AI14300" s="80"/>
    </row>
    <row r="14301" spans="5:35" x14ac:dyDescent="0.25">
      <c r="E14301" s="16"/>
      <c r="F14301" s="16"/>
      <c r="H14301" s="16"/>
      <c r="AG14301" s="80"/>
      <c r="AH14301" s="80"/>
      <c r="AI14301" s="80"/>
    </row>
    <row r="14302" spans="5:35" x14ac:dyDescent="0.25">
      <c r="E14302" s="16"/>
      <c r="F14302" s="16"/>
      <c r="H14302" s="16"/>
      <c r="AG14302" s="80"/>
      <c r="AH14302" s="80"/>
      <c r="AI14302" s="80"/>
    </row>
    <row r="14303" spans="5:35" x14ac:dyDescent="0.25">
      <c r="E14303" s="16"/>
      <c r="F14303" s="16"/>
      <c r="H14303" s="16"/>
      <c r="AG14303" s="80"/>
      <c r="AH14303" s="80"/>
      <c r="AI14303" s="80"/>
    </row>
    <row r="14304" spans="5:35" x14ac:dyDescent="0.25">
      <c r="E14304" s="16"/>
      <c r="F14304" s="16"/>
      <c r="H14304" s="16"/>
      <c r="AG14304" s="80"/>
      <c r="AH14304" s="80"/>
      <c r="AI14304" s="80"/>
    </row>
    <row r="14305" spans="5:35" x14ac:dyDescent="0.25">
      <c r="E14305" s="16"/>
      <c r="F14305" s="16"/>
      <c r="H14305" s="16"/>
      <c r="AG14305" s="80"/>
      <c r="AH14305" s="80"/>
      <c r="AI14305" s="80"/>
    </row>
    <row r="14306" spans="5:35" x14ac:dyDescent="0.25">
      <c r="E14306" s="16"/>
      <c r="F14306" s="16"/>
      <c r="H14306" s="16"/>
      <c r="AG14306" s="80"/>
      <c r="AH14306" s="80"/>
      <c r="AI14306" s="80"/>
    </row>
    <row r="14307" spans="5:35" x14ac:dyDescent="0.25">
      <c r="E14307" s="16"/>
      <c r="F14307" s="16"/>
      <c r="H14307" s="16"/>
      <c r="AG14307" s="80"/>
      <c r="AH14307" s="80"/>
      <c r="AI14307" s="80"/>
    </row>
    <row r="14308" spans="5:35" x14ac:dyDescent="0.25">
      <c r="E14308" s="16"/>
      <c r="F14308" s="16"/>
      <c r="H14308" s="16"/>
      <c r="AG14308" s="80"/>
      <c r="AH14308" s="80"/>
      <c r="AI14308" s="80"/>
    </row>
    <row r="14309" spans="5:35" x14ac:dyDescent="0.25">
      <c r="E14309" s="16"/>
      <c r="F14309" s="16"/>
      <c r="H14309" s="16"/>
      <c r="AG14309" s="80"/>
      <c r="AH14309" s="80"/>
      <c r="AI14309" s="80"/>
    </row>
    <row r="14310" spans="5:35" x14ac:dyDescent="0.25">
      <c r="E14310" s="16"/>
      <c r="F14310" s="16"/>
      <c r="H14310" s="16"/>
      <c r="AG14310" s="80"/>
      <c r="AH14310" s="80"/>
      <c r="AI14310" s="80"/>
    </row>
    <row r="14311" spans="5:35" x14ac:dyDescent="0.25">
      <c r="E14311" s="16"/>
      <c r="F14311" s="16"/>
      <c r="H14311" s="16"/>
      <c r="AG14311" s="80"/>
      <c r="AH14311" s="80"/>
      <c r="AI14311" s="80"/>
    </row>
    <row r="14312" spans="5:35" x14ac:dyDescent="0.25">
      <c r="E14312" s="16"/>
      <c r="F14312" s="16"/>
      <c r="H14312" s="16"/>
      <c r="AG14312" s="80"/>
      <c r="AH14312" s="80"/>
      <c r="AI14312" s="80"/>
    </row>
    <row r="14313" spans="5:35" x14ac:dyDescent="0.25">
      <c r="E14313" s="16"/>
      <c r="F14313" s="16"/>
      <c r="H14313" s="16"/>
      <c r="AG14313" s="80"/>
      <c r="AH14313" s="80"/>
      <c r="AI14313" s="80"/>
    </row>
    <row r="14314" spans="5:35" x14ac:dyDescent="0.25">
      <c r="E14314" s="16"/>
      <c r="F14314" s="16"/>
      <c r="H14314" s="16"/>
      <c r="AG14314" s="80"/>
      <c r="AH14314" s="80"/>
      <c r="AI14314" s="80"/>
    </row>
    <row r="14315" spans="5:35" x14ac:dyDescent="0.25">
      <c r="E14315" s="16"/>
      <c r="F14315" s="16"/>
      <c r="H14315" s="16"/>
      <c r="AG14315" s="80"/>
      <c r="AH14315" s="80"/>
      <c r="AI14315" s="80"/>
    </row>
    <row r="14316" spans="5:35" x14ac:dyDescent="0.25">
      <c r="E14316" s="16"/>
      <c r="F14316" s="16"/>
      <c r="H14316" s="16"/>
      <c r="AG14316" s="80"/>
      <c r="AH14316" s="80"/>
      <c r="AI14316" s="80"/>
    </row>
    <row r="14317" spans="5:35" x14ac:dyDescent="0.25">
      <c r="E14317" s="16"/>
      <c r="F14317" s="16"/>
      <c r="H14317" s="16"/>
      <c r="AG14317" s="80"/>
      <c r="AH14317" s="80"/>
      <c r="AI14317" s="80"/>
    </row>
    <row r="14318" spans="5:35" x14ac:dyDescent="0.25">
      <c r="E14318" s="16"/>
      <c r="F14318" s="16"/>
      <c r="H14318" s="16"/>
      <c r="AG14318" s="80"/>
      <c r="AH14318" s="80"/>
      <c r="AI14318" s="80"/>
    </row>
    <row r="14319" spans="5:35" x14ac:dyDescent="0.25">
      <c r="E14319" s="16"/>
      <c r="F14319" s="16"/>
      <c r="H14319" s="16"/>
      <c r="AG14319" s="80"/>
      <c r="AH14319" s="80"/>
      <c r="AI14319" s="80"/>
    </row>
    <row r="14320" spans="5:35" x14ac:dyDescent="0.25">
      <c r="E14320" s="16"/>
      <c r="F14320" s="16"/>
      <c r="H14320" s="16"/>
      <c r="AG14320" s="80"/>
      <c r="AH14320" s="80"/>
      <c r="AI14320" s="80"/>
    </row>
    <row r="14321" spans="5:35" x14ac:dyDescent="0.25">
      <c r="E14321" s="16"/>
      <c r="F14321" s="16"/>
      <c r="H14321" s="16"/>
      <c r="AG14321" s="80"/>
      <c r="AH14321" s="80"/>
      <c r="AI14321" s="80"/>
    </row>
    <row r="14322" spans="5:35" x14ac:dyDescent="0.25">
      <c r="E14322" s="16"/>
      <c r="F14322" s="16"/>
      <c r="H14322" s="16"/>
      <c r="AG14322" s="80"/>
      <c r="AH14322" s="80"/>
      <c r="AI14322" s="80"/>
    </row>
    <row r="14323" spans="5:35" x14ac:dyDescent="0.25">
      <c r="E14323" s="16"/>
      <c r="F14323" s="16"/>
      <c r="H14323" s="16"/>
      <c r="AG14323" s="80"/>
      <c r="AH14323" s="80"/>
      <c r="AI14323" s="80"/>
    </row>
    <row r="14324" spans="5:35" x14ac:dyDescent="0.25">
      <c r="E14324" s="16"/>
      <c r="F14324" s="16"/>
      <c r="H14324" s="16"/>
      <c r="AG14324" s="80"/>
      <c r="AH14324" s="80"/>
      <c r="AI14324" s="80"/>
    </row>
    <row r="14325" spans="5:35" x14ac:dyDescent="0.25">
      <c r="E14325" s="16"/>
      <c r="F14325" s="16"/>
      <c r="H14325" s="16"/>
      <c r="AG14325" s="80"/>
      <c r="AH14325" s="80"/>
      <c r="AI14325" s="80"/>
    </row>
    <row r="14326" spans="5:35" x14ac:dyDescent="0.25">
      <c r="E14326" s="16"/>
      <c r="F14326" s="16"/>
      <c r="H14326" s="16"/>
      <c r="AG14326" s="80"/>
      <c r="AH14326" s="80"/>
      <c r="AI14326" s="80"/>
    </row>
    <row r="14327" spans="5:35" x14ac:dyDescent="0.25">
      <c r="E14327" s="16"/>
      <c r="F14327" s="16"/>
      <c r="H14327" s="16"/>
      <c r="AG14327" s="80"/>
      <c r="AH14327" s="80"/>
      <c r="AI14327" s="80"/>
    </row>
    <row r="14328" spans="5:35" x14ac:dyDescent="0.25">
      <c r="E14328" s="16"/>
      <c r="F14328" s="16"/>
      <c r="H14328" s="16"/>
      <c r="AG14328" s="80"/>
      <c r="AH14328" s="80"/>
      <c r="AI14328" s="80"/>
    </row>
    <row r="14329" spans="5:35" x14ac:dyDescent="0.25">
      <c r="E14329" s="16"/>
      <c r="F14329" s="16"/>
      <c r="H14329" s="16"/>
      <c r="AG14329" s="80"/>
      <c r="AH14329" s="80"/>
      <c r="AI14329" s="80"/>
    </row>
    <row r="14330" spans="5:35" x14ac:dyDescent="0.25">
      <c r="E14330" s="16"/>
      <c r="F14330" s="16"/>
      <c r="H14330" s="16"/>
      <c r="AG14330" s="80"/>
      <c r="AH14330" s="80"/>
      <c r="AI14330" s="80"/>
    </row>
    <row r="14331" spans="5:35" x14ac:dyDescent="0.25">
      <c r="E14331" s="16"/>
      <c r="F14331" s="16"/>
      <c r="H14331" s="16"/>
      <c r="AG14331" s="80"/>
      <c r="AH14331" s="80"/>
      <c r="AI14331" s="80"/>
    </row>
    <row r="14332" spans="5:35" x14ac:dyDescent="0.25">
      <c r="E14332" s="16"/>
      <c r="F14332" s="16"/>
      <c r="H14332" s="16"/>
      <c r="AG14332" s="80"/>
      <c r="AH14332" s="80"/>
      <c r="AI14332" s="80"/>
    </row>
    <row r="14333" spans="5:35" x14ac:dyDescent="0.25">
      <c r="E14333" s="16"/>
      <c r="F14333" s="16"/>
      <c r="H14333" s="16"/>
      <c r="AG14333" s="80"/>
      <c r="AH14333" s="80"/>
      <c r="AI14333" s="80"/>
    </row>
    <row r="14334" spans="5:35" x14ac:dyDescent="0.25">
      <c r="E14334" s="16"/>
      <c r="F14334" s="16"/>
      <c r="H14334" s="16"/>
      <c r="AG14334" s="80"/>
      <c r="AH14334" s="80"/>
      <c r="AI14334" s="80"/>
    </row>
    <row r="14335" spans="5:35" x14ac:dyDescent="0.25">
      <c r="E14335" s="16"/>
      <c r="F14335" s="16"/>
      <c r="H14335" s="16"/>
      <c r="AG14335" s="80"/>
      <c r="AH14335" s="80"/>
      <c r="AI14335" s="80"/>
    </row>
    <row r="14336" spans="5:35" x14ac:dyDescent="0.25">
      <c r="E14336" s="16"/>
      <c r="F14336" s="16"/>
      <c r="H14336" s="16"/>
      <c r="AG14336" s="80"/>
      <c r="AH14336" s="80"/>
      <c r="AI14336" s="80"/>
    </row>
    <row r="14337" spans="5:35" x14ac:dyDescent="0.25">
      <c r="E14337" s="16"/>
      <c r="F14337" s="16"/>
      <c r="H14337" s="16"/>
      <c r="AG14337" s="80"/>
      <c r="AH14337" s="80"/>
      <c r="AI14337" s="80"/>
    </row>
    <row r="14338" spans="5:35" x14ac:dyDescent="0.25">
      <c r="E14338" s="16"/>
      <c r="F14338" s="16"/>
      <c r="H14338" s="16"/>
      <c r="AG14338" s="80"/>
      <c r="AH14338" s="80"/>
      <c r="AI14338" s="80"/>
    </row>
    <row r="14339" spans="5:35" x14ac:dyDescent="0.25">
      <c r="E14339" s="16"/>
      <c r="F14339" s="16"/>
      <c r="H14339" s="16"/>
      <c r="AG14339" s="80"/>
      <c r="AH14339" s="80"/>
      <c r="AI14339" s="80"/>
    </row>
    <row r="14340" spans="5:35" x14ac:dyDescent="0.25">
      <c r="E14340" s="16"/>
      <c r="F14340" s="16"/>
      <c r="H14340" s="16"/>
      <c r="AG14340" s="80"/>
      <c r="AH14340" s="80"/>
      <c r="AI14340" s="80"/>
    </row>
    <row r="14341" spans="5:35" x14ac:dyDescent="0.25">
      <c r="E14341" s="16"/>
      <c r="F14341" s="16"/>
      <c r="H14341" s="16"/>
      <c r="AG14341" s="80"/>
      <c r="AH14341" s="80"/>
      <c r="AI14341" s="80"/>
    </row>
    <row r="14342" spans="5:35" x14ac:dyDescent="0.25">
      <c r="E14342" s="16"/>
      <c r="F14342" s="16"/>
      <c r="H14342" s="16"/>
      <c r="AG14342" s="80"/>
      <c r="AH14342" s="80"/>
      <c r="AI14342" s="80"/>
    </row>
    <row r="14343" spans="5:35" x14ac:dyDescent="0.25">
      <c r="E14343" s="16"/>
      <c r="F14343" s="16"/>
      <c r="H14343" s="16"/>
      <c r="AG14343" s="80"/>
      <c r="AH14343" s="80"/>
      <c r="AI14343" s="80"/>
    </row>
    <row r="14344" spans="5:35" x14ac:dyDescent="0.25">
      <c r="E14344" s="16"/>
      <c r="F14344" s="16"/>
      <c r="H14344" s="16"/>
      <c r="AG14344" s="80"/>
      <c r="AH14344" s="80"/>
      <c r="AI14344" s="80"/>
    </row>
    <row r="14345" spans="5:35" x14ac:dyDescent="0.25">
      <c r="E14345" s="16"/>
      <c r="F14345" s="16"/>
      <c r="H14345" s="16"/>
      <c r="AG14345" s="80"/>
      <c r="AH14345" s="80"/>
      <c r="AI14345" s="80"/>
    </row>
    <row r="14346" spans="5:35" x14ac:dyDescent="0.25">
      <c r="E14346" s="16"/>
      <c r="F14346" s="16"/>
      <c r="H14346" s="16"/>
      <c r="AG14346" s="80"/>
      <c r="AH14346" s="80"/>
      <c r="AI14346" s="80"/>
    </row>
    <row r="14347" spans="5:35" x14ac:dyDescent="0.25">
      <c r="E14347" s="16"/>
      <c r="F14347" s="16"/>
      <c r="H14347" s="16"/>
      <c r="AG14347" s="80"/>
      <c r="AH14347" s="80"/>
      <c r="AI14347" s="80"/>
    </row>
    <row r="14348" spans="5:35" x14ac:dyDescent="0.25">
      <c r="E14348" s="16"/>
      <c r="F14348" s="16"/>
      <c r="H14348" s="16"/>
      <c r="AG14348" s="80"/>
      <c r="AH14348" s="80"/>
      <c r="AI14348" s="80"/>
    </row>
    <row r="14349" spans="5:35" x14ac:dyDescent="0.25">
      <c r="E14349" s="16"/>
      <c r="F14349" s="16"/>
      <c r="H14349" s="16"/>
      <c r="AG14349" s="80"/>
      <c r="AH14349" s="80"/>
      <c r="AI14349" s="80"/>
    </row>
    <row r="14350" spans="5:35" x14ac:dyDescent="0.25">
      <c r="E14350" s="16"/>
      <c r="F14350" s="16"/>
      <c r="H14350" s="16"/>
      <c r="AG14350" s="80"/>
      <c r="AH14350" s="80"/>
      <c r="AI14350" s="80"/>
    </row>
    <row r="14351" spans="5:35" x14ac:dyDescent="0.25">
      <c r="E14351" s="16"/>
      <c r="F14351" s="16"/>
      <c r="H14351" s="16"/>
      <c r="AG14351" s="80"/>
      <c r="AH14351" s="80"/>
      <c r="AI14351" s="80"/>
    </row>
    <row r="14352" spans="5:35" x14ac:dyDescent="0.25">
      <c r="E14352" s="16"/>
      <c r="F14352" s="16"/>
      <c r="H14352" s="16"/>
      <c r="AG14352" s="80"/>
      <c r="AH14352" s="80"/>
      <c r="AI14352" s="80"/>
    </row>
    <row r="14353" spans="5:35" x14ac:dyDescent="0.25">
      <c r="E14353" s="16"/>
      <c r="F14353" s="16"/>
      <c r="H14353" s="16"/>
      <c r="AG14353" s="80"/>
      <c r="AH14353" s="80"/>
      <c r="AI14353" s="80"/>
    </row>
    <row r="14354" spans="5:35" x14ac:dyDescent="0.25">
      <c r="E14354" s="16"/>
      <c r="F14354" s="16"/>
      <c r="H14354" s="16"/>
      <c r="AG14354" s="80"/>
      <c r="AH14354" s="80"/>
      <c r="AI14354" s="80"/>
    </row>
    <row r="14355" spans="5:35" x14ac:dyDescent="0.25">
      <c r="E14355" s="16"/>
      <c r="F14355" s="16"/>
      <c r="H14355" s="16"/>
      <c r="AG14355" s="80"/>
      <c r="AH14355" s="80"/>
      <c r="AI14355" s="80"/>
    </row>
    <row r="14356" spans="5:35" x14ac:dyDescent="0.25">
      <c r="E14356" s="16"/>
      <c r="F14356" s="16"/>
      <c r="H14356" s="16"/>
      <c r="AG14356" s="80"/>
      <c r="AH14356" s="80"/>
      <c r="AI14356" s="80"/>
    </row>
    <row r="14357" spans="5:35" x14ac:dyDescent="0.25">
      <c r="E14357" s="16"/>
      <c r="F14357" s="16"/>
      <c r="H14357" s="16"/>
      <c r="AG14357" s="80"/>
      <c r="AH14357" s="80"/>
      <c r="AI14357" s="80"/>
    </row>
    <row r="14358" spans="5:35" x14ac:dyDescent="0.25">
      <c r="E14358" s="16"/>
      <c r="F14358" s="16"/>
      <c r="H14358" s="16"/>
      <c r="AG14358" s="80"/>
      <c r="AH14358" s="80"/>
      <c r="AI14358" s="80"/>
    </row>
    <row r="14359" spans="5:35" x14ac:dyDescent="0.25">
      <c r="E14359" s="16"/>
      <c r="F14359" s="16"/>
      <c r="H14359" s="16"/>
      <c r="AG14359" s="80"/>
      <c r="AH14359" s="80"/>
      <c r="AI14359" s="80"/>
    </row>
    <row r="14360" spans="5:35" x14ac:dyDescent="0.25">
      <c r="E14360" s="16"/>
      <c r="F14360" s="16"/>
      <c r="H14360" s="16"/>
      <c r="AG14360" s="80"/>
      <c r="AH14360" s="80"/>
      <c r="AI14360" s="80"/>
    </row>
    <row r="14361" spans="5:35" x14ac:dyDescent="0.25">
      <c r="E14361" s="16"/>
      <c r="F14361" s="16"/>
      <c r="H14361" s="16"/>
      <c r="AG14361" s="80"/>
      <c r="AH14361" s="80"/>
      <c r="AI14361" s="80"/>
    </row>
    <row r="14362" spans="5:35" x14ac:dyDescent="0.25">
      <c r="E14362" s="16"/>
      <c r="F14362" s="16"/>
      <c r="H14362" s="16"/>
      <c r="AG14362" s="80"/>
      <c r="AH14362" s="80"/>
      <c r="AI14362" s="80"/>
    </row>
    <row r="14363" spans="5:35" x14ac:dyDescent="0.25">
      <c r="E14363" s="16"/>
      <c r="F14363" s="16"/>
      <c r="H14363" s="16"/>
      <c r="AG14363" s="80"/>
      <c r="AH14363" s="80"/>
      <c r="AI14363" s="80"/>
    </row>
    <row r="14364" spans="5:35" x14ac:dyDescent="0.25">
      <c r="E14364" s="16"/>
      <c r="F14364" s="16"/>
      <c r="H14364" s="16"/>
      <c r="AG14364" s="80"/>
      <c r="AH14364" s="80"/>
      <c r="AI14364" s="80"/>
    </row>
    <row r="14365" spans="5:35" x14ac:dyDescent="0.25">
      <c r="E14365" s="16"/>
      <c r="F14365" s="16"/>
      <c r="H14365" s="16"/>
      <c r="AG14365" s="80"/>
      <c r="AH14365" s="80"/>
      <c r="AI14365" s="80"/>
    </row>
    <row r="14366" spans="5:35" x14ac:dyDescent="0.25">
      <c r="E14366" s="16"/>
      <c r="F14366" s="16"/>
      <c r="H14366" s="16"/>
      <c r="AG14366" s="80"/>
      <c r="AH14366" s="80"/>
      <c r="AI14366" s="80"/>
    </row>
    <row r="14367" spans="5:35" x14ac:dyDescent="0.25">
      <c r="E14367" s="16"/>
      <c r="F14367" s="16"/>
      <c r="H14367" s="16"/>
      <c r="AG14367" s="80"/>
      <c r="AH14367" s="80"/>
      <c r="AI14367" s="80"/>
    </row>
    <row r="14368" spans="5:35" x14ac:dyDescent="0.25">
      <c r="E14368" s="16"/>
      <c r="F14368" s="16"/>
      <c r="H14368" s="16"/>
      <c r="AG14368" s="80"/>
      <c r="AH14368" s="80"/>
      <c r="AI14368" s="80"/>
    </row>
    <row r="14369" spans="5:35" x14ac:dyDescent="0.25">
      <c r="E14369" s="16"/>
      <c r="F14369" s="16"/>
      <c r="H14369" s="16"/>
      <c r="AG14369" s="80"/>
      <c r="AH14369" s="80"/>
      <c r="AI14369" s="80"/>
    </row>
    <row r="14370" spans="5:35" x14ac:dyDescent="0.25">
      <c r="E14370" s="16"/>
      <c r="F14370" s="16"/>
      <c r="H14370" s="16"/>
      <c r="AG14370" s="80"/>
      <c r="AH14370" s="80"/>
      <c r="AI14370" s="80"/>
    </row>
    <row r="14371" spans="5:35" x14ac:dyDescent="0.25">
      <c r="E14371" s="16"/>
      <c r="F14371" s="16"/>
      <c r="H14371" s="16"/>
      <c r="AG14371" s="80"/>
      <c r="AH14371" s="80"/>
      <c r="AI14371" s="80"/>
    </row>
    <row r="14372" spans="5:35" x14ac:dyDescent="0.25">
      <c r="E14372" s="16"/>
      <c r="F14372" s="16"/>
      <c r="H14372" s="16"/>
      <c r="AG14372" s="80"/>
      <c r="AH14372" s="80"/>
      <c r="AI14372" s="80"/>
    </row>
    <row r="14373" spans="5:35" x14ac:dyDescent="0.25">
      <c r="E14373" s="16"/>
      <c r="F14373" s="16"/>
      <c r="H14373" s="16"/>
      <c r="AG14373" s="80"/>
      <c r="AH14373" s="80"/>
      <c r="AI14373" s="80"/>
    </row>
    <row r="14374" spans="5:35" x14ac:dyDescent="0.25">
      <c r="E14374" s="16"/>
      <c r="F14374" s="16"/>
      <c r="H14374" s="16"/>
      <c r="AG14374" s="80"/>
      <c r="AH14374" s="80"/>
      <c r="AI14374" s="80"/>
    </row>
    <row r="14375" spans="5:35" x14ac:dyDescent="0.25">
      <c r="E14375" s="16"/>
      <c r="F14375" s="16"/>
      <c r="H14375" s="16"/>
      <c r="AG14375" s="80"/>
      <c r="AH14375" s="80"/>
      <c r="AI14375" s="80"/>
    </row>
    <row r="14376" spans="5:35" x14ac:dyDescent="0.25">
      <c r="E14376" s="16"/>
      <c r="F14376" s="16"/>
      <c r="H14376" s="16"/>
      <c r="AG14376" s="80"/>
      <c r="AH14376" s="80"/>
      <c r="AI14376" s="80"/>
    </row>
    <row r="14377" spans="5:35" x14ac:dyDescent="0.25">
      <c r="E14377" s="16"/>
      <c r="F14377" s="16"/>
      <c r="H14377" s="16"/>
      <c r="AG14377" s="80"/>
      <c r="AH14377" s="80"/>
      <c r="AI14377" s="80"/>
    </row>
    <row r="14378" spans="5:35" x14ac:dyDescent="0.25">
      <c r="E14378" s="16"/>
      <c r="F14378" s="16"/>
      <c r="H14378" s="16"/>
      <c r="AG14378" s="80"/>
      <c r="AH14378" s="80"/>
      <c r="AI14378" s="80"/>
    </row>
    <row r="14379" spans="5:35" x14ac:dyDescent="0.25">
      <c r="E14379" s="16"/>
      <c r="F14379" s="16"/>
      <c r="H14379" s="16"/>
      <c r="AG14379" s="80"/>
      <c r="AH14379" s="80"/>
      <c r="AI14379" s="80"/>
    </row>
    <row r="14380" spans="5:35" x14ac:dyDescent="0.25">
      <c r="E14380" s="16"/>
      <c r="F14380" s="16"/>
      <c r="H14380" s="16"/>
      <c r="AG14380" s="80"/>
      <c r="AH14380" s="80"/>
      <c r="AI14380" s="80"/>
    </row>
    <row r="14381" spans="5:35" x14ac:dyDescent="0.25">
      <c r="E14381" s="16"/>
      <c r="F14381" s="16"/>
      <c r="H14381" s="16"/>
      <c r="AG14381" s="80"/>
      <c r="AH14381" s="80"/>
      <c r="AI14381" s="80"/>
    </row>
    <row r="14382" spans="5:35" x14ac:dyDescent="0.25">
      <c r="E14382" s="16"/>
      <c r="F14382" s="16"/>
      <c r="H14382" s="16"/>
      <c r="AG14382" s="80"/>
      <c r="AH14382" s="80"/>
      <c r="AI14382" s="80"/>
    </row>
    <row r="14383" spans="5:35" x14ac:dyDescent="0.25">
      <c r="E14383" s="16"/>
      <c r="F14383" s="16"/>
      <c r="H14383" s="16"/>
      <c r="AG14383" s="80"/>
      <c r="AH14383" s="80"/>
      <c r="AI14383" s="80"/>
    </row>
    <row r="14384" spans="5:35" x14ac:dyDescent="0.25">
      <c r="E14384" s="16"/>
      <c r="F14384" s="16"/>
      <c r="H14384" s="16"/>
      <c r="AG14384" s="80"/>
      <c r="AH14384" s="80"/>
      <c r="AI14384" s="80"/>
    </row>
    <row r="14385" spans="5:35" x14ac:dyDescent="0.25">
      <c r="E14385" s="16"/>
      <c r="F14385" s="16"/>
      <c r="H14385" s="16"/>
      <c r="AG14385" s="80"/>
      <c r="AH14385" s="80"/>
      <c r="AI14385" s="80"/>
    </row>
    <row r="14386" spans="5:35" x14ac:dyDescent="0.25">
      <c r="E14386" s="16"/>
      <c r="F14386" s="16"/>
      <c r="H14386" s="16"/>
      <c r="AG14386" s="80"/>
      <c r="AH14386" s="80"/>
      <c r="AI14386" s="80"/>
    </row>
    <row r="14387" spans="5:35" x14ac:dyDescent="0.25">
      <c r="E14387" s="16"/>
      <c r="F14387" s="16"/>
      <c r="H14387" s="16"/>
      <c r="AG14387" s="80"/>
      <c r="AH14387" s="80"/>
      <c r="AI14387" s="80"/>
    </row>
    <row r="14388" spans="5:35" x14ac:dyDescent="0.25">
      <c r="E14388" s="16"/>
      <c r="F14388" s="16"/>
      <c r="H14388" s="16"/>
      <c r="AG14388" s="80"/>
      <c r="AH14388" s="80"/>
      <c r="AI14388" s="80"/>
    </row>
    <row r="14389" spans="5:35" x14ac:dyDescent="0.25">
      <c r="E14389" s="16"/>
      <c r="F14389" s="16"/>
      <c r="H14389" s="16"/>
      <c r="AG14389" s="80"/>
      <c r="AH14389" s="80"/>
      <c r="AI14389" s="80"/>
    </row>
    <row r="14390" spans="5:35" x14ac:dyDescent="0.25">
      <c r="E14390" s="16"/>
      <c r="F14390" s="16"/>
      <c r="H14390" s="16"/>
      <c r="AG14390" s="80"/>
      <c r="AH14390" s="80"/>
      <c r="AI14390" s="80"/>
    </row>
    <row r="14391" spans="5:35" x14ac:dyDescent="0.25">
      <c r="E14391" s="16"/>
      <c r="F14391" s="16"/>
      <c r="H14391" s="16"/>
      <c r="AG14391" s="80"/>
      <c r="AH14391" s="80"/>
      <c r="AI14391" s="80"/>
    </row>
    <row r="14392" spans="5:35" x14ac:dyDescent="0.25">
      <c r="E14392" s="16"/>
      <c r="F14392" s="16"/>
      <c r="H14392" s="16"/>
      <c r="AG14392" s="80"/>
      <c r="AH14392" s="80"/>
      <c r="AI14392" s="80"/>
    </row>
    <row r="14393" spans="5:35" x14ac:dyDescent="0.25">
      <c r="E14393" s="16"/>
      <c r="F14393" s="16"/>
      <c r="H14393" s="16"/>
      <c r="AG14393" s="80"/>
      <c r="AH14393" s="80"/>
      <c r="AI14393" s="80"/>
    </row>
    <row r="14394" spans="5:35" x14ac:dyDescent="0.25">
      <c r="E14394" s="16"/>
      <c r="F14394" s="16"/>
      <c r="H14394" s="16"/>
      <c r="AG14394" s="80"/>
      <c r="AH14394" s="80"/>
      <c r="AI14394" s="80"/>
    </row>
    <row r="14395" spans="5:35" x14ac:dyDescent="0.25">
      <c r="E14395" s="16"/>
      <c r="F14395" s="16"/>
      <c r="H14395" s="16"/>
      <c r="AG14395" s="80"/>
      <c r="AH14395" s="80"/>
      <c r="AI14395" s="80"/>
    </row>
    <row r="14396" spans="5:35" x14ac:dyDescent="0.25">
      <c r="E14396" s="16"/>
      <c r="F14396" s="16"/>
      <c r="H14396" s="16"/>
      <c r="AG14396" s="80"/>
      <c r="AH14396" s="80"/>
      <c r="AI14396" s="80"/>
    </row>
    <row r="14397" spans="5:35" x14ac:dyDescent="0.25">
      <c r="E14397" s="16"/>
      <c r="F14397" s="16"/>
      <c r="H14397" s="16"/>
      <c r="AG14397" s="80"/>
      <c r="AH14397" s="80"/>
      <c r="AI14397" s="80"/>
    </row>
    <row r="14398" spans="5:35" x14ac:dyDescent="0.25">
      <c r="E14398" s="16"/>
      <c r="F14398" s="16"/>
      <c r="H14398" s="16"/>
      <c r="AG14398" s="80"/>
      <c r="AH14398" s="80"/>
      <c r="AI14398" s="80"/>
    </row>
    <row r="14399" spans="5:35" x14ac:dyDescent="0.25">
      <c r="E14399" s="16"/>
      <c r="F14399" s="16"/>
      <c r="H14399" s="16"/>
      <c r="AG14399" s="80"/>
      <c r="AH14399" s="80"/>
      <c r="AI14399" s="80"/>
    </row>
    <row r="14400" spans="5:35" x14ac:dyDescent="0.25">
      <c r="E14400" s="16"/>
      <c r="F14400" s="16"/>
      <c r="H14400" s="16"/>
      <c r="AG14400" s="80"/>
      <c r="AH14400" s="80"/>
      <c r="AI14400" s="80"/>
    </row>
    <row r="14401" spans="5:35" x14ac:dyDescent="0.25">
      <c r="E14401" s="16"/>
      <c r="F14401" s="16"/>
      <c r="H14401" s="16"/>
      <c r="AG14401" s="80"/>
      <c r="AH14401" s="80"/>
      <c r="AI14401" s="80"/>
    </row>
    <row r="14402" spans="5:35" x14ac:dyDescent="0.25">
      <c r="E14402" s="16"/>
      <c r="F14402" s="16"/>
      <c r="H14402" s="16"/>
      <c r="AG14402" s="80"/>
      <c r="AH14402" s="80"/>
      <c r="AI14402" s="80"/>
    </row>
    <row r="14403" spans="5:35" x14ac:dyDescent="0.25">
      <c r="E14403" s="16"/>
      <c r="F14403" s="16"/>
      <c r="H14403" s="16"/>
      <c r="AG14403" s="80"/>
      <c r="AH14403" s="80"/>
      <c r="AI14403" s="80"/>
    </row>
    <row r="14404" spans="5:35" x14ac:dyDescent="0.25">
      <c r="E14404" s="16"/>
      <c r="F14404" s="16"/>
      <c r="H14404" s="16"/>
      <c r="AG14404" s="80"/>
      <c r="AH14404" s="80"/>
      <c r="AI14404" s="80"/>
    </row>
    <row r="14405" spans="5:35" x14ac:dyDescent="0.25">
      <c r="E14405" s="16"/>
      <c r="F14405" s="16"/>
      <c r="H14405" s="16"/>
      <c r="AG14405" s="80"/>
      <c r="AH14405" s="80"/>
      <c r="AI14405" s="80"/>
    </row>
    <row r="14406" spans="5:35" x14ac:dyDescent="0.25">
      <c r="E14406" s="16"/>
      <c r="F14406" s="16"/>
      <c r="H14406" s="16"/>
      <c r="AG14406" s="80"/>
      <c r="AH14406" s="80"/>
      <c r="AI14406" s="80"/>
    </row>
    <row r="14407" spans="5:35" x14ac:dyDescent="0.25">
      <c r="E14407" s="16"/>
      <c r="F14407" s="16"/>
      <c r="H14407" s="16"/>
      <c r="AG14407" s="80"/>
      <c r="AH14407" s="80"/>
      <c r="AI14407" s="80"/>
    </row>
    <row r="14408" spans="5:35" x14ac:dyDescent="0.25">
      <c r="E14408" s="16"/>
      <c r="F14408" s="16"/>
      <c r="H14408" s="16"/>
      <c r="AG14408" s="80"/>
      <c r="AH14408" s="80"/>
      <c r="AI14408" s="80"/>
    </row>
    <row r="14409" spans="5:35" x14ac:dyDescent="0.25">
      <c r="E14409" s="16"/>
      <c r="F14409" s="16"/>
      <c r="H14409" s="16"/>
      <c r="AG14409" s="80"/>
      <c r="AH14409" s="80"/>
      <c r="AI14409" s="80"/>
    </row>
    <row r="14410" spans="5:35" x14ac:dyDescent="0.25">
      <c r="E14410" s="16"/>
      <c r="F14410" s="16"/>
      <c r="H14410" s="16"/>
      <c r="AG14410" s="80"/>
      <c r="AH14410" s="80"/>
      <c r="AI14410" s="80"/>
    </row>
    <row r="14411" spans="5:35" x14ac:dyDescent="0.25">
      <c r="E14411" s="16"/>
      <c r="F14411" s="16"/>
      <c r="H14411" s="16"/>
      <c r="AG14411" s="80"/>
      <c r="AH14411" s="80"/>
      <c r="AI14411" s="80"/>
    </row>
    <row r="14412" spans="5:35" x14ac:dyDescent="0.25">
      <c r="E14412" s="16"/>
      <c r="F14412" s="16"/>
      <c r="H14412" s="16"/>
      <c r="AG14412" s="80"/>
      <c r="AH14412" s="80"/>
      <c r="AI14412" s="80"/>
    </row>
    <row r="14413" spans="5:35" x14ac:dyDescent="0.25">
      <c r="E14413" s="16"/>
      <c r="F14413" s="16"/>
      <c r="H14413" s="16"/>
      <c r="AG14413" s="80"/>
      <c r="AH14413" s="80"/>
      <c r="AI14413" s="80"/>
    </row>
    <row r="14414" spans="5:35" x14ac:dyDescent="0.25">
      <c r="E14414" s="16"/>
      <c r="F14414" s="16"/>
      <c r="H14414" s="16"/>
      <c r="AG14414" s="80"/>
      <c r="AH14414" s="80"/>
      <c r="AI14414" s="80"/>
    </row>
    <row r="14415" spans="5:35" x14ac:dyDescent="0.25">
      <c r="E14415" s="16"/>
      <c r="F14415" s="16"/>
      <c r="H14415" s="16"/>
      <c r="AG14415" s="80"/>
      <c r="AH14415" s="80"/>
      <c r="AI14415" s="80"/>
    </row>
    <row r="14416" spans="5:35" x14ac:dyDescent="0.25">
      <c r="E14416" s="16"/>
      <c r="F14416" s="16"/>
      <c r="H14416" s="16"/>
      <c r="AG14416" s="80"/>
      <c r="AH14416" s="80"/>
      <c r="AI14416" s="80"/>
    </row>
    <row r="14417" spans="5:35" x14ac:dyDescent="0.25">
      <c r="E14417" s="16"/>
      <c r="F14417" s="16"/>
      <c r="H14417" s="16"/>
      <c r="AG14417" s="80"/>
      <c r="AH14417" s="80"/>
      <c r="AI14417" s="80"/>
    </row>
    <row r="14418" spans="5:35" x14ac:dyDescent="0.25">
      <c r="E14418" s="16"/>
      <c r="F14418" s="16"/>
      <c r="H14418" s="16"/>
      <c r="AG14418" s="80"/>
      <c r="AH14418" s="80"/>
      <c r="AI14418" s="80"/>
    </row>
    <row r="14419" spans="5:35" x14ac:dyDescent="0.25">
      <c r="E14419" s="16"/>
      <c r="F14419" s="16"/>
      <c r="H14419" s="16"/>
      <c r="AG14419" s="80"/>
      <c r="AH14419" s="80"/>
      <c r="AI14419" s="80"/>
    </row>
    <row r="14420" spans="5:35" x14ac:dyDescent="0.25">
      <c r="E14420" s="16"/>
      <c r="F14420" s="16"/>
      <c r="H14420" s="16"/>
      <c r="AG14420" s="80"/>
      <c r="AH14420" s="80"/>
      <c r="AI14420" s="80"/>
    </row>
    <row r="14421" spans="5:35" x14ac:dyDescent="0.25">
      <c r="E14421" s="16"/>
      <c r="F14421" s="16"/>
      <c r="H14421" s="16"/>
      <c r="AG14421" s="80"/>
      <c r="AH14421" s="80"/>
      <c r="AI14421" s="80"/>
    </row>
    <row r="14422" spans="5:35" x14ac:dyDescent="0.25">
      <c r="E14422" s="16"/>
      <c r="F14422" s="16"/>
      <c r="H14422" s="16"/>
      <c r="AG14422" s="80"/>
      <c r="AH14422" s="80"/>
      <c r="AI14422" s="80"/>
    </row>
    <row r="14423" spans="5:35" x14ac:dyDescent="0.25">
      <c r="E14423" s="16"/>
      <c r="F14423" s="16"/>
      <c r="H14423" s="16"/>
      <c r="AG14423" s="80"/>
      <c r="AH14423" s="80"/>
      <c r="AI14423" s="80"/>
    </row>
    <row r="14424" spans="5:35" x14ac:dyDescent="0.25">
      <c r="E14424" s="16"/>
      <c r="F14424" s="16"/>
      <c r="H14424" s="16"/>
      <c r="AG14424" s="80"/>
      <c r="AH14424" s="80"/>
      <c r="AI14424" s="80"/>
    </row>
    <row r="14425" spans="5:35" x14ac:dyDescent="0.25">
      <c r="E14425" s="16"/>
      <c r="F14425" s="16"/>
      <c r="H14425" s="16"/>
      <c r="AG14425" s="80"/>
      <c r="AH14425" s="80"/>
      <c r="AI14425" s="80"/>
    </row>
    <row r="14426" spans="5:35" x14ac:dyDescent="0.25">
      <c r="E14426" s="16"/>
      <c r="F14426" s="16"/>
      <c r="H14426" s="16"/>
      <c r="AG14426" s="80"/>
      <c r="AH14426" s="80"/>
      <c r="AI14426" s="80"/>
    </row>
    <row r="14427" spans="5:35" x14ac:dyDescent="0.25">
      <c r="E14427" s="16"/>
      <c r="F14427" s="16"/>
      <c r="H14427" s="16"/>
      <c r="AG14427" s="80"/>
      <c r="AH14427" s="80"/>
      <c r="AI14427" s="80"/>
    </row>
    <row r="14428" spans="5:35" x14ac:dyDescent="0.25">
      <c r="E14428" s="16"/>
      <c r="F14428" s="16"/>
      <c r="H14428" s="16"/>
      <c r="AG14428" s="80"/>
      <c r="AH14428" s="80"/>
      <c r="AI14428" s="80"/>
    </row>
    <row r="14429" spans="5:35" x14ac:dyDescent="0.25">
      <c r="E14429" s="16"/>
      <c r="F14429" s="16"/>
      <c r="H14429" s="16"/>
      <c r="AG14429" s="80"/>
      <c r="AH14429" s="80"/>
      <c r="AI14429" s="80"/>
    </row>
    <row r="14430" spans="5:35" x14ac:dyDescent="0.25">
      <c r="E14430" s="16"/>
      <c r="F14430" s="16"/>
      <c r="H14430" s="16"/>
      <c r="AG14430" s="80"/>
      <c r="AH14430" s="80"/>
      <c r="AI14430" s="80"/>
    </row>
    <row r="14431" spans="5:35" x14ac:dyDescent="0.25">
      <c r="E14431" s="16"/>
      <c r="F14431" s="16"/>
      <c r="H14431" s="16"/>
      <c r="AG14431" s="80"/>
      <c r="AH14431" s="80"/>
      <c r="AI14431" s="80"/>
    </row>
    <row r="14432" spans="5:35" x14ac:dyDescent="0.25">
      <c r="E14432" s="16"/>
      <c r="F14432" s="16"/>
      <c r="H14432" s="16"/>
      <c r="AG14432" s="80"/>
      <c r="AH14432" s="80"/>
      <c r="AI14432" s="80"/>
    </row>
    <row r="14433" spans="5:35" x14ac:dyDescent="0.25">
      <c r="E14433" s="16"/>
      <c r="F14433" s="16"/>
      <c r="H14433" s="16"/>
      <c r="AG14433" s="80"/>
      <c r="AH14433" s="80"/>
      <c r="AI14433" s="80"/>
    </row>
    <row r="14434" spans="5:35" x14ac:dyDescent="0.25">
      <c r="E14434" s="16"/>
      <c r="F14434" s="16"/>
      <c r="H14434" s="16"/>
      <c r="AG14434" s="80"/>
      <c r="AH14434" s="80"/>
      <c r="AI14434" s="80"/>
    </row>
    <row r="14435" spans="5:35" x14ac:dyDescent="0.25">
      <c r="E14435" s="16"/>
      <c r="F14435" s="16"/>
      <c r="H14435" s="16"/>
      <c r="AG14435" s="80"/>
      <c r="AH14435" s="80"/>
      <c r="AI14435" s="80"/>
    </row>
    <row r="14436" spans="5:35" x14ac:dyDescent="0.25">
      <c r="E14436" s="16"/>
      <c r="F14436" s="16"/>
      <c r="H14436" s="16"/>
      <c r="AG14436" s="80"/>
      <c r="AH14436" s="80"/>
      <c r="AI14436" s="80"/>
    </row>
    <row r="14437" spans="5:35" x14ac:dyDescent="0.25">
      <c r="E14437" s="16"/>
      <c r="F14437" s="16"/>
      <c r="H14437" s="16"/>
      <c r="AG14437" s="80"/>
      <c r="AH14437" s="80"/>
      <c r="AI14437" s="80"/>
    </row>
    <row r="14438" spans="5:35" x14ac:dyDescent="0.25">
      <c r="E14438" s="16"/>
      <c r="F14438" s="16"/>
      <c r="H14438" s="16"/>
      <c r="AG14438" s="80"/>
      <c r="AH14438" s="80"/>
      <c r="AI14438" s="80"/>
    </row>
    <row r="14439" spans="5:35" x14ac:dyDescent="0.25">
      <c r="E14439" s="16"/>
      <c r="F14439" s="16"/>
      <c r="H14439" s="16"/>
      <c r="AG14439" s="80"/>
      <c r="AH14439" s="80"/>
      <c r="AI14439" s="80"/>
    </row>
    <row r="14440" spans="5:35" x14ac:dyDescent="0.25">
      <c r="E14440" s="16"/>
      <c r="F14440" s="16"/>
      <c r="H14440" s="16"/>
      <c r="AG14440" s="80"/>
      <c r="AH14440" s="80"/>
      <c r="AI14440" s="80"/>
    </row>
    <row r="14441" spans="5:35" x14ac:dyDescent="0.25">
      <c r="E14441" s="16"/>
      <c r="F14441" s="16"/>
      <c r="H14441" s="16"/>
      <c r="AG14441" s="80"/>
      <c r="AH14441" s="80"/>
      <c r="AI14441" s="80"/>
    </row>
    <row r="14442" spans="5:35" x14ac:dyDescent="0.25">
      <c r="E14442" s="16"/>
      <c r="F14442" s="16"/>
      <c r="H14442" s="16"/>
      <c r="AG14442" s="80"/>
      <c r="AH14442" s="80"/>
      <c r="AI14442" s="80"/>
    </row>
    <row r="14443" spans="5:35" x14ac:dyDescent="0.25">
      <c r="E14443" s="16"/>
      <c r="F14443" s="16"/>
      <c r="H14443" s="16"/>
      <c r="AG14443" s="80"/>
      <c r="AH14443" s="80"/>
      <c r="AI14443" s="80"/>
    </row>
    <row r="14444" spans="5:35" x14ac:dyDescent="0.25">
      <c r="E14444" s="16"/>
      <c r="F14444" s="16"/>
      <c r="H14444" s="16"/>
      <c r="AG14444" s="80"/>
      <c r="AH14444" s="80"/>
      <c r="AI14444" s="80"/>
    </row>
    <row r="14445" spans="5:35" x14ac:dyDescent="0.25">
      <c r="E14445" s="16"/>
      <c r="F14445" s="16"/>
      <c r="H14445" s="16"/>
      <c r="AG14445" s="80"/>
      <c r="AH14445" s="80"/>
      <c r="AI14445" s="80"/>
    </row>
    <row r="14446" spans="5:35" x14ac:dyDescent="0.25">
      <c r="E14446" s="16"/>
      <c r="F14446" s="16"/>
      <c r="H14446" s="16"/>
      <c r="AG14446" s="80"/>
      <c r="AH14446" s="80"/>
      <c r="AI14446" s="80"/>
    </row>
    <row r="14447" spans="5:35" x14ac:dyDescent="0.25">
      <c r="E14447" s="16"/>
      <c r="F14447" s="16"/>
      <c r="H14447" s="16"/>
      <c r="AG14447" s="80"/>
      <c r="AH14447" s="80"/>
      <c r="AI14447" s="80"/>
    </row>
    <row r="14448" spans="5:35" x14ac:dyDescent="0.25">
      <c r="E14448" s="16"/>
      <c r="F14448" s="16"/>
      <c r="H14448" s="16"/>
      <c r="AG14448" s="80"/>
      <c r="AH14448" s="80"/>
      <c r="AI14448" s="80"/>
    </row>
    <row r="14449" spans="5:35" x14ac:dyDescent="0.25">
      <c r="E14449" s="16"/>
      <c r="F14449" s="16"/>
      <c r="H14449" s="16"/>
      <c r="AG14449" s="80"/>
      <c r="AH14449" s="80"/>
      <c r="AI14449" s="80"/>
    </row>
    <row r="14450" spans="5:35" x14ac:dyDescent="0.25">
      <c r="E14450" s="16"/>
      <c r="F14450" s="16"/>
      <c r="H14450" s="16"/>
      <c r="AG14450" s="80"/>
      <c r="AH14450" s="80"/>
      <c r="AI14450" s="80"/>
    </row>
    <row r="14451" spans="5:35" x14ac:dyDescent="0.25">
      <c r="E14451" s="16"/>
      <c r="F14451" s="16"/>
      <c r="H14451" s="16"/>
      <c r="AG14451" s="80"/>
      <c r="AH14451" s="80"/>
      <c r="AI14451" s="80"/>
    </row>
    <row r="14452" spans="5:35" x14ac:dyDescent="0.25">
      <c r="E14452" s="16"/>
      <c r="F14452" s="16"/>
      <c r="H14452" s="16"/>
      <c r="AG14452" s="80"/>
      <c r="AH14452" s="80"/>
      <c r="AI14452" s="80"/>
    </row>
    <row r="14453" spans="5:35" x14ac:dyDescent="0.25">
      <c r="E14453" s="16"/>
      <c r="F14453" s="16"/>
      <c r="H14453" s="16"/>
      <c r="AG14453" s="80"/>
      <c r="AH14453" s="80"/>
      <c r="AI14453" s="80"/>
    </row>
    <row r="14454" spans="5:35" x14ac:dyDescent="0.25">
      <c r="E14454" s="16"/>
      <c r="F14454" s="16"/>
      <c r="H14454" s="16"/>
      <c r="AG14454" s="80"/>
      <c r="AH14454" s="80"/>
      <c r="AI14454" s="80"/>
    </row>
    <row r="14455" spans="5:35" x14ac:dyDescent="0.25">
      <c r="E14455" s="16"/>
      <c r="F14455" s="16"/>
      <c r="H14455" s="16"/>
      <c r="AG14455" s="80"/>
      <c r="AH14455" s="80"/>
      <c r="AI14455" s="80"/>
    </row>
    <row r="14456" spans="5:35" x14ac:dyDescent="0.25">
      <c r="E14456" s="16"/>
      <c r="F14456" s="16"/>
      <c r="H14456" s="16"/>
      <c r="AG14456" s="80"/>
      <c r="AH14456" s="80"/>
      <c r="AI14456" s="80"/>
    </row>
    <row r="14457" spans="5:35" x14ac:dyDescent="0.25">
      <c r="E14457" s="16"/>
      <c r="F14457" s="16"/>
      <c r="H14457" s="16"/>
      <c r="AG14457" s="80"/>
      <c r="AH14457" s="80"/>
      <c r="AI14457" s="80"/>
    </row>
    <row r="14458" spans="5:35" x14ac:dyDescent="0.25">
      <c r="E14458" s="16"/>
      <c r="F14458" s="16"/>
      <c r="H14458" s="16"/>
      <c r="AG14458" s="80"/>
      <c r="AH14458" s="80"/>
      <c r="AI14458" s="80"/>
    </row>
    <row r="14459" spans="5:35" x14ac:dyDescent="0.25">
      <c r="E14459" s="16"/>
      <c r="F14459" s="16"/>
      <c r="H14459" s="16"/>
      <c r="AG14459" s="80"/>
      <c r="AH14459" s="80"/>
      <c r="AI14459" s="80"/>
    </row>
    <row r="14460" spans="5:35" x14ac:dyDescent="0.25">
      <c r="E14460" s="16"/>
      <c r="F14460" s="16"/>
      <c r="H14460" s="16"/>
      <c r="AG14460" s="80"/>
      <c r="AH14460" s="80"/>
      <c r="AI14460" s="80"/>
    </row>
    <row r="14461" spans="5:35" x14ac:dyDescent="0.25">
      <c r="E14461" s="16"/>
      <c r="F14461" s="16"/>
      <c r="H14461" s="16"/>
      <c r="AG14461" s="80"/>
      <c r="AH14461" s="80"/>
      <c r="AI14461" s="80"/>
    </row>
    <row r="14462" spans="5:35" x14ac:dyDescent="0.25">
      <c r="E14462" s="16"/>
      <c r="F14462" s="16"/>
      <c r="H14462" s="16"/>
      <c r="AG14462" s="80"/>
      <c r="AH14462" s="80"/>
      <c r="AI14462" s="80"/>
    </row>
    <row r="14463" spans="5:35" x14ac:dyDescent="0.25">
      <c r="E14463" s="16"/>
      <c r="F14463" s="16"/>
      <c r="H14463" s="16"/>
      <c r="AG14463" s="80"/>
      <c r="AH14463" s="80"/>
      <c r="AI14463" s="80"/>
    </row>
    <row r="14464" spans="5:35" x14ac:dyDescent="0.25">
      <c r="E14464" s="16"/>
      <c r="F14464" s="16"/>
      <c r="H14464" s="16"/>
      <c r="AG14464" s="80"/>
      <c r="AH14464" s="80"/>
      <c r="AI14464" s="80"/>
    </row>
    <row r="14465" spans="5:35" x14ac:dyDescent="0.25">
      <c r="E14465" s="16"/>
      <c r="F14465" s="16"/>
      <c r="H14465" s="16"/>
      <c r="AG14465" s="80"/>
      <c r="AH14465" s="80"/>
      <c r="AI14465" s="80"/>
    </row>
    <row r="14466" spans="5:35" x14ac:dyDescent="0.25">
      <c r="E14466" s="16"/>
      <c r="F14466" s="16"/>
      <c r="H14466" s="16"/>
      <c r="AG14466" s="80"/>
      <c r="AH14466" s="80"/>
      <c r="AI14466" s="80"/>
    </row>
    <row r="14467" spans="5:35" x14ac:dyDescent="0.25">
      <c r="E14467" s="16"/>
      <c r="F14467" s="16"/>
      <c r="H14467" s="16"/>
      <c r="AG14467" s="80"/>
      <c r="AH14467" s="80"/>
      <c r="AI14467" s="80"/>
    </row>
    <row r="14468" spans="5:35" x14ac:dyDescent="0.25">
      <c r="E14468" s="16"/>
      <c r="F14468" s="16"/>
      <c r="H14468" s="16"/>
      <c r="AG14468" s="80"/>
      <c r="AH14468" s="80"/>
      <c r="AI14468" s="80"/>
    </row>
    <row r="14469" spans="5:35" x14ac:dyDescent="0.25">
      <c r="E14469" s="16"/>
      <c r="F14469" s="16"/>
      <c r="H14469" s="16"/>
      <c r="AG14469" s="80"/>
      <c r="AH14469" s="80"/>
      <c r="AI14469" s="80"/>
    </row>
    <row r="14470" spans="5:35" x14ac:dyDescent="0.25">
      <c r="E14470" s="16"/>
      <c r="F14470" s="16"/>
      <c r="H14470" s="16"/>
      <c r="AG14470" s="80"/>
      <c r="AH14470" s="80"/>
      <c r="AI14470" s="80"/>
    </row>
    <row r="14471" spans="5:35" x14ac:dyDescent="0.25">
      <c r="E14471" s="16"/>
      <c r="F14471" s="16"/>
      <c r="H14471" s="16"/>
      <c r="AG14471" s="80"/>
      <c r="AH14471" s="80"/>
      <c r="AI14471" s="80"/>
    </row>
    <row r="14472" spans="5:35" x14ac:dyDescent="0.25">
      <c r="E14472" s="16"/>
      <c r="F14472" s="16"/>
      <c r="H14472" s="16"/>
      <c r="AG14472" s="80"/>
      <c r="AH14472" s="80"/>
      <c r="AI14472" s="80"/>
    </row>
    <row r="14473" spans="5:35" x14ac:dyDescent="0.25">
      <c r="E14473" s="16"/>
      <c r="F14473" s="16"/>
      <c r="H14473" s="16"/>
      <c r="AG14473" s="80"/>
      <c r="AH14473" s="80"/>
      <c r="AI14473" s="80"/>
    </row>
    <row r="14474" spans="5:35" x14ac:dyDescent="0.25">
      <c r="E14474" s="16"/>
      <c r="F14474" s="16"/>
      <c r="H14474" s="16"/>
      <c r="AG14474" s="80"/>
      <c r="AH14474" s="80"/>
      <c r="AI14474" s="80"/>
    </row>
    <row r="14475" spans="5:35" x14ac:dyDescent="0.25">
      <c r="E14475" s="16"/>
      <c r="F14475" s="16"/>
      <c r="H14475" s="16"/>
      <c r="AG14475" s="80"/>
      <c r="AH14475" s="80"/>
      <c r="AI14475" s="80"/>
    </row>
    <row r="14476" spans="5:35" x14ac:dyDescent="0.25">
      <c r="E14476" s="16"/>
      <c r="F14476" s="16"/>
      <c r="H14476" s="16"/>
      <c r="AG14476" s="80"/>
      <c r="AH14476" s="80"/>
      <c r="AI14476" s="80"/>
    </row>
    <row r="14477" spans="5:35" x14ac:dyDescent="0.25">
      <c r="E14477" s="16"/>
      <c r="F14477" s="16"/>
      <c r="H14477" s="16"/>
      <c r="AG14477" s="80"/>
      <c r="AH14477" s="80"/>
      <c r="AI14477" s="80"/>
    </row>
    <row r="14478" spans="5:35" x14ac:dyDescent="0.25">
      <c r="E14478" s="16"/>
      <c r="F14478" s="16"/>
      <c r="H14478" s="16"/>
      <c r="AG14478" s="80"/>
      <c r="AH14478" s="80"/>
      <c r="AI14478" s="80"/>
    </row>
    <row r="14479" spans="5:35" x14ac:dyDescent="0.25">
      <c r="E14479" s="16"/>
      <c r="F14479" s="16"/>
      <c r="H14479" s="16"/>
      <c r="AG14479" s="80"/>
      <c r="AH14479" s="80"/>
      <c r="AI14479" s="80"/>
    </row>
    <row r="14480" spans="5:35" x14ac:dyDescent="0.25">
      <c r="E14480" s="16"/>
      <c r="F14480" s="16"/>
      <c r="H14480" s="16"/>
      <c r="AG14480" s="80"/>
      <c r="AH14480" s="80"/>
      <c r="AI14480" s="80"/>
    </row>
    <row r="14481" spans="5:35" x14ac:dyDescent="0.25">
      <c r="E14481" s="16"/>
      <c r="F14481" s="16"/>
      <c r="H14481" s="16"/>
      <c r="AG14481" s="80"/>
      <c r="AH14481" s="80"/>
      <c r="AI14481" s="80"/>
    </row>
    <row r="14482" spans="5:35" x14ac:dyDescent="0.25">
      <c r="E14482" s="16"/>
      <c r="F14482" s="16"/>
      <c r="H14482" s="16"/>
      <c r="AG14482" s="80"/>
      <c r="AH14482" s="80"/>
      <c r="AI14482" s="80"/>
    </row>
    <row r="14483" spans="5:35" x14ac:dyDescent="0.25">
      <c r="E14483" s="16"/>
      <c r="F14483" s="16"/>
      <c r="H14483" s="16"/>
      <c r="AG14483" s="80"/>
      <c r="AH14483" s="80"/>
      <c r="AI14483" s="80"/>
    </row>
    <row r="14484" spans="5:35" x14ac:dyDescent="0.25">
      <c r="E14484" s="16"/>
      <c r="F14484" s="16"/>
      <c r="H14484" s="16"/>
      <c r="AG14484" s="80"/>
      <c r="AH14484" s="80"/>
      <c r="AI14484" s="80"/>
    </row>
    <row r="14485" spans="5:35" x14ac:dyDescent="0.25">
      <c r="E14485" s="16"/>
      <c r="F14485" s="16"/>
      <c r="H14485" s="16"/>
      <c r="AG14485" s="80"/>
      <c r="AH14485" s="80"/>
      <c r="AI14485" s="80"/>
    </row>
    <row r="14486" spans="5:35" x14ac:dyDescent="0.25">
      <c r="E14486" s="16"/>
      <c r="F14486" s="16"/>
      <c r="H14486" s="16"/>
      <c r="AG14486" s="80"/>
      <c r="AH14486" s="80"/>
      <c r="AI14486" s="80"/>
    </row>
    <row r="14487" spans="5:35" x14ac:dyDescent="0.25">
      <c r="E14487" s="16"/>
      <c r="F14487" s="16"/>
      <c r="H14487" s="16"/>
      <c r="AG14487" s="80"/>
      <c r="AH14487" s="80"/>
      <c r="AI14487" s="80"/>
    </row>
    <row r="14488" spans="5:35" x14ac:dyDescent="0.25">
      <c r="E14488" s="16"/>
      <c r="F14488" s="16"/>
      <c r="H14488" s="16"/>
      <c r="AG14488" s="80"/>
      <c r="AH14488" s="80"/>
      <c r="AI14488" s="80"/>
    </row>
    <row r="14489" spans="5:35" x14ac:dyDescent="0.25">
      <c r="E14489" s="16"/>
      <c r="F14489" s="16"/>
      <c r="H14489" s="16"/>
      <c r="AG14489" s="80"/>
      <c r="AH14489" s="80"/>
      <c r="AI14489" s="80"/>
    </row>
    <row r="14490" spans="5:35" x14ac:dyDescent="0.25">
      <c r="E14490" s="16"/>
      <c r="F14490" s="16"/>
      <c r="H14490" s="16"/>
      <c r="AG14490" s="80"/>
      <c r="AH14490" s="80"/>
      <c r="AI14490" s="80"/>
    </row>
    <row r="14491" spans="5:35" x14ac:dyDescent="0.25">
      <c r="E14491" s="16"/>
      <c r="F14491" s="16"/>
      <c r="H14491" s="16"/>
      <c r="AG14491" s="80"/>
      <c r="AH14491" s="80"/>
      <c r="AI14491" s="80"/>
    </row>
    <row r="14492" spans="5:35" x14ac:dyDescent="0.25">
      <c r="E14492" s="16"/>
      <c r="F14492" s="16"/>
      <c r="H14492" s="16"/>
      <c r="AG14492" s="80"/>
      <c r="AH14492" s="80"/>
      <c r="AI14492" s="80"/>
    </row>
    <row r="14493" spans="5:35" x14ac:dyDescent="0.25">
      <c r="E14493" s="16"/>
      <c r="F14493" s="16"/>
      <c r="H14493" s="16"/>
      <c r="AG14493" s="80"/>
      <c r="AH14493" s="80"/>
      <c r="AI14493" s="80"/>
    </row>
    <row r="14494" spans="5:35" x14ac:dyDescent="0.25">
      <c r="E14494" s="16"/>
      <c r="F14494" s="16"/>
      <c r="H14494" s="16"/>
      <c r="AG14494" s="80"/>
      <c r="AH14494" s="80"/>
      <c r="AI14494" s="80"/>
    </row>
    <row r="14495" spans="5:35" x14ac:dyDescent="0.25">
      <c r="E14495" s="16"/>
      <c r="F14495" s="16"/>
      <c r="H14495" s="16"/>
      <c r="AG14495" s="80"/>
      <c r="AH14495" s="80"/>
      <c r="AI14495" s="80"/>
    </row>
    <row r="14496" spans="5:35" x14ac:dyDescent="0.25">
      <c r="E14496" s="16"/>
      <c r="F14496" s="16"/>
      <c r="H14496" s="16"/>
      <c r="AG14496" s="80"/>
      <c r="AH14496" s="80"/>
      <c r="AI14496" s="80"/>
    </row>
    <row r="14497" spans="5:35" x14ac:dyDescent="0.25">
      <c r="E14497" s="16"/>
      <c r="F14497" s="16"/>
      <c r="H14497" s="16"/>
      <c r="AG14497" s="80"/>
      <c r="AH14497" s="80"/>
      <c r="AI14497" s="80"/>
    </row>
    <row r="14498" spans="5:35" x14ac:dyDescent="0.25">
      <c r="E14498" s="16"/>
      <c r="F14498" s="16"/>
      <c r="H14498" s="16"/>
      <c r="AG14498" s="80"/>
      <c r="AH14498" s="80"/>
      <c r="AI14498" s="80"/>
    </row>
    <row r="14499" spans="5:35" x14ac:dyDescent="0.25">
      <c r="E14499" s="16"/>
      <c r="F14499" s="16"/>
      <c r="H14499" s="16"/>
      <c r="AG14499" s="80"/>
      <c r="AH14499" s="80"/>
      <c r="AI14499" s="80"/>
    </row>
    <row r="14500" spans="5:35" x14ac:dyDescent="0.25">
      <c r="E14500" s="16"/>
      <c r="F14500" s="16"/>
      <c r="H14500" s="16"/>
      <c r="AG14500" s="80"/>
      <c r="AH14500" s="80"/>
      <c r="AI14500" s="80"/>
    </row>
    <row r="14501" spans="5:35" x14ac:dyDescent="0.25">
      <c r="E14501" s="16"/>
      <c r="F14501" s="16"/>
      <c r="H14501" s="16"/>
      <c r="AG14501" s="80"/>
      <c r="AH14501" s="80"/>
      <c r="AI14501" s="80"/>
    </row>
    <row r="14502" spans="5:35" x14ac:dyDescent="0.25">
      <c r="E14502" s="16"/>
      <c r="F14502" s="16"/>
      <c r="H14502" s="16"/>
      <c r="AG14502" s="80"/>
      <c r="AH14502" s="80"/>
      <c r="AI14502" s="80"/>
    </row>
    <row r="14503" spans="5:35" x14ac:dyDescent="0.25">
      <c r="E14503" s="16"/>
      <c r="F14503" s="16"/>
      <c r="H14503" s="16"/>
      <c r="AG14503" s="80"/>
      <c r="AH14503" s="80"/>
      <c r="AI14503" s="80"/>
    </row>
    <row r="14504" spans="5:35" x14ac:dyDescent="0.25">
      <c r="E14504" s="16"/>
      <c r="F14504" s="16"/>
      <c r="H14504" s="16"/>
      <c r="AG14504" s="80"/>
      <c r="AH14504" s="80"/>
      <c r="AI14504" s="80"/>
    </row>
    <row r="14505" spans="5:35" x14ac:dyDescent="0.25">
      <c r="E14505" s="16"/>
      <c r="F14505" s="16"/>
      <c r="H14505" s="16"/>
      <c r="AG14505" s="80"/>
      <c r="AH14505" s="80"/>
      <c r="AI14505" s="80"/>
    </row>
    <row r="14506" spans="5:35" x14ac:dyDescent="0.25">
      <c r="E14506" s="16"/>
      <c r="F14506" s="16"/>
      <c r="H14506" s="16"/>
      <c r="AG14506" s="80"/>
      <c r="AH14506" s="80"/>
      <c r="AI14506" s="80"/>
    </row>
    <row r="14507" spans="5:35" x14ac:dyDescent="0.25">
      <c r="E14507" s="16"/>
      <c r="F14507" s="16"/>
      <c r="H14507" s="16"/>
      <c r="AG14507" s="80"/>
      <c r="AH14507" s="80"/>
      <c r="AI14507" s="80"/>
    </row>
    <row r="14508" spans="5:35" x14ac:dyDescent="0.25">
      <c r="E14508" s="16"/>
      <c r="F14508" s="16"/>
      <c r="H14508" s="16"/>
      <c r="AG14508" s="80"/>
      <c r="AH14508" s="80"/>
      <c r="AI14508" s="80"/>
    </row>
    <row r="14509" spans="5:35" x14ac:dyDescent="0.25">
      <c r="E14509" s="16"/>
      <c r="F14509" s="16"/>
      <c r="H14509" s="16"/>
      <c r="AG14509" s="80"/>
      <c r="AH14509" s="80"/>
      <c r="AI14509" s="80"/>
    </row>
    <row r="14510" spans="5:35" x14ac:dyDescent="0.25">
      <c r="E14510" s="16"/>
      <c r="F14510" s="16"/>
      <c r="H14510" s="16"/>
      <c r="AG14510" s="80"/>
      <c r="AH14510" s="80"/>
      <c r="AI14510" s="80"/>
    </row>
    <row r="14511" spans="5:35" x14ac:dyDescent="0.25">
      <c r="E14511" s="16"/>
      <c r="F14511" s="16"/>
      <c r="H14511" s="16"/>
      <c r="AG14511" s="80"/>
      <c r="AH14511" s="80"/>
      <c r="AI14511" s="80"/>
    </row>
    <row r="14512" spans="5:35" x14ac:dyDescent="0.25">
      <c r="E14512" s="16"/>
      <c r="F14512" s="16"/>
      <c r="H14512" s="16"/>
      <c r="AG14512" s="80"/>
      <c r="AH14512" s="80"/>
      <c r="AI14512" s="80"/>
    </row>
    <row r="14513" spans="5:35" x14ac:dyDescent="0.25">
      <c r="E14513" s="16"/>
      <c r="F14513" s="16"/>
      <c r="H14513" s="16"/>
      <c r="AG14513" s="80"/>
      <c r="AH14513" s="80"/>
      <c r="AI14513" s="80"/>
    </row>
    <row r="14514" spans="5:35" x14ac:dyDescent="0.25">
      <c r="E14514" s="16"/>
      <c r="F14514" s="16"/>
      <c r="H14514" s="16"/>
      <c r="AG14514" s="80"/>
      <c r="AH14514" s="80"/>
      <c r="AI14514" s="80"/>
    </row>
    <row r="14515" spans="5:35" x14ac:dyDescent="0.25">
      <c r="E14515" s="16"/>
      <c r="F14515" s="16"/>
      <c r="H14515" s="16"/>
      <c r="AG14515" s="80"/>
      <c r="AH14515" s="80"/>
      <c r="AI14515" s="80"/>
    </row>
    <row r="14516" spans="5:35" x14ac:dyDescent="0.25">
      <c r="E14516" s="16"/>
      <c r="F14516" s="16"/>
      <c r="H14516" s="16"/>
      <c r="AG14516" s="80"/>
      <c r="AH14516" s="80"/>
      <c r="AI14516" s="80"/>
    </row>
    <row r="14517" spans="5:35" x14ac:dyDescent="0.25">
      <c r="E14517" s="16"/>
      <c r="F14517" s="16"/>
      <c r="H14517" s="16"/>
      <c r="AG14517" s="80"/>
      <c r="AH14517" s="80"/>
      <c r="AI14517" s="80"/>
    </row>
    <row r="14518" spans="5:35" x14ac:dyDescent="0.25">
      <c r="E14518" s="16"/>
      <c r="F14518" s="16"/>
      <c r="H14518" s="16"/>
      <c r="AG14518" s="80"/>
      <c r="AH14518" s="80"/>
      <c r="AI14518" s="80"/>
    </row>
    <row r="14519" spans="5:35" x14ac:dyDescent="0.25">
      <c r="E14519" s="16"/>
      <c r="F14519" s="16"/>
      <c r="H14519" s="16"/>
      <c r="AG14519" s="80"/>
      <c r="AH14519" s="80"/>
      <c r="AI14519" s="80"/>
    </row>
    <row r="14520" spans="5:35" x14ac:dyDescent="0.25">
      <c r="E14520" s="16"/>
      <c r="F14520" s="16"/>
      <c r="H14520" s="16"/>
      <c r="AG14520" s="80"/>
      <c r="AH14520" s="80"/>
      <c r="AI14520" s="80"/>
    </row>
    <row r="14521" spans="5:35" x14ac:dyDescent="0.25">
      <c r="E14521" s="16"/>
      <c r="F14521" s="16"/>
      <c r="H14521" s="16"/>
      <c r="AG14521" s="80"/>
      <c r="AH14521" s="80"/>
      <c r="AI14521" s="80"/>
    </row>
    <row r="14522" spans="5:35" x14ac:dyDescent="0.25">
      <c r="E14522" s="16"/>
      <c r="F14522" s="16"/>
      <c r="H14522" s="16"/>
      <c r="AG14522" s="80"/>
      <c r="AH14522" s="80"/>
      <c r="AI14522" s="80"/>
    </row>
    <row r="14523" spans="5:35" x14ac:dyDescent="0.25">
      <c r="E14523" s="16"/>
      <c r="F14523" s="16"/>
      <c r="H14523" s="16"/>
      <c r="AG14523" s="80"/>
      <c r="AH14523" s="80"/>
      <c r="AI14523" s="80"/>
    </row>
    <row r="14524" spans="5:35" x14ac:dyDescent="0.25">
      <c r="E14524" s="16"/>
      <c r="F14524" s="16"/>
      <c r="H14524" s="16"/>
      <c r="AG14524" s="80"/>
      <c r="AH14524" s="80"/>
      <c r="AI14524" s="80"/>
    </row>
    <row r="14525" spans="5:35" x14ac:dyDescent="0.25">
      <c r="E14525" s="16"/>
      <c r="F14525" s="16"/>
      <c r="H14525" s="16"/>
      <c r="AG14525" s="80"/>
      <c r="AH14525" s="80"/>
      <c r="AI14525" s="80"/>
    </row>
    <row r="14526" spans="5:35" x14ac:dyDescent="0.25">
      <c r="E14526" s="16"/>
      <c r="F14526" s="16"/>
      <c r="H14526" s="16"/>
      <c r="AG14526" s="80"/>
      <c r="AH14526" s="80"/>
      <c r="AI14526" s="80"/>
    </row>
    <row r="14527" spans="5:35" x14ac:dyDescent="0.25">
      <c r="E14527" s="16"/>
      <c r="F14527" s="16"/>
      <c r="H14527" s="16"/>
      <c r="AG14527" s="80"/>
      <c r="AH14527" s="80"/>
      <c r="AI14527" s="80"/>
    </row>
    <row r="14528" spans="5:35" x14ac:dyDescent="0.25">
      <c r="E14528" s="16"/>
      <c r="F14528" s="16"/>
      <c r="H14528" s="16"/>
      <c r="AG14528" s="80"/>
      <c r="AH14528" s="80"/>
      <c r="AI14528" s="80"/>
    </row>
    <row r="14529" spans="5:35" x14ac:dyDescent="0.25">
      <c r="E14529" s="16"/>
      <c r="F14529" s="16"/>
      <c r="H14529" s="16"/>
      <c r="AG14529" s="80"/>
      <c r="AH14529" s="80"/>
      <c r="AI14529" s="80"/>
    </row>
    <row r="14530" spans="5:35" x14ac:dyDescent="0.25">
      <c r="E14530" s="16"/>
      <c r="F14530" s="16"/>
      <c r="H14530" s="16"/>
      <c r="AG14530" s="80"/>
      <c r="AH14530" s="80"/>
      <c r="AI14530" s="80"/>
    </row>
    <row r="14531" spans="5:35" x14ac:dyDescent="0.25">
      <c r="E14531" s="16"/>
      <c r="F14531" s="16"/>
      <c r="H14531" s="16"/>
      <c r="AG14531" s="80"/>
      <c r="AH14531" s="80"/>
      <c r="AI14531" s="80"/>
    </row>
    <row r="14532" spans="5:35" x14ac:dyDescent="0.25">
      <c r="E14532" s="16"/>
      <c r="F14532" s="16"/>
      <c r="H14532" s="16"/>
      <c r="AG14532" s="80"/>
      <c r="AH14532" s="80"/>
      <c r="AI14532" s="80"/>
    </row>
    <row r="14533" spans="5:35" x14ac:dyDescent="0.25">
      <c r="E14533" s="16"/>
      <c r="F14533" s="16"/>
      <c r="H14533" s="16"/>
      <c r="AG14533" s="80"/>
      <c r="AH14533" s="80"/>
      <c r="AI14533" s="80"/>
    </row>
    <row r="14534" spans="5:35" x14ac:dyDescent="0.25">
      <c r="E14534" s="16"/>
      <c r="F14534" s="16"/>
      <c r="H14534" s="16"/>
      <c r="AG14534" s="80"/>
      <c r="AH14534" s="80"/>
      <c r="AI14534" s="80"/>
    </row>
    <row r="14535" spans="5:35" x14ac:dyDescent="0.25">
      <c r="E14535" s="16"/>
      <c r="F14535" s="16"/>
      <c r="H14535" s="16"/>
      <c r="AG14535" s="80"/>
      <c r="AH14535" s="80"/>
      <c r="AI14535" s="80"/>
    </row>
    <row r="14536" spans="5:35" x14ac:dyDescent="0.25">
      <c r="E14536" s="16"/>
      <c r="F14536" s="16"/>
      <c r="H14536" s="16"/>
      <c r="AG14536" s="80"/>
      <c r="AH14536" s="80"/>
      <c r="AI14536" s="80"/>
    </row>
    <row r="14537" spans="5:35" x14ac:dyDescent="0.25">
      <c r="E14537" s="16"/>
      <c r="F14537" s="16"/>
      <c r="H14537" s="16"/>
      <c r="AG14537" s="80"/>
      <c r="AH14537" s="80"/>
      <c r="AI14537" s="80"/>
    </row>
    <row r="14538" spans="5:35" x14ac:dyDescent="0.25">
      <c r="E14538" s="16"/>
      <c r="F14538" s="16"/>
      <c r="H14538" s="16"/>
      <c r="AG14538" s="80"/>
      <c r="AH14538" s="80"/>
      <c r="AI14538" s="80"/>
    </row>
    <row r="14539" spans="5:35" x14ac:dyDescent="0.25">
      <c r="E14539" s="16"/>
      <c r="F14539" s="16"/>
      <c r="H14539" s="16"/>
      <c r="AG14539" s="80"/>
      <c r="AH14539" s="80"/>
      <c r="AI14539" s="80"/>
    </row>
    <row r="14540" spans="5:35" x14ac:dyDescent="0.25">
      <c r="E14540" s="16"/>
      <c r="F14540" s="16"/>
      <c r="H14540" s="16"/>
      <c r="AG14540" s="80"/>
      <c r="AH14540" s="80"/>
      <c r="AI14540" s="80"/>
    </row>
    <row r="14541" spans="5:35" x14ac:dyDescent="0.25">
      <c r="E14541" s="16"/>
      <c r="F14541" s="16"/>
      <c r="H14541" s="16"/>
      <c r="AG14541" s="80"/>
      <c r="AH14541" s="80"/>
      <c r="AI14541" s="80"/>
    </row>
    <row r="14542" spans="5:35" x14ac:dyDescent="0.25">
      <c r="E14542" s="16"/>
      <c r="F14542" s="16"/>
      <c r="H14542" s="16"/>
      <c r="AG14542" s="80"/>
      <c r="AH14542" s="80"/>
      <c r="AI14542" s="80"/>
    </row>
    <row r="14543" spans="5:35" x14ac:dyDescent="0.25">
      <c r="E14543" s="16"/>
      <c r="F14543" s="16"/>
      <c r="H14543" s="16"/>
      <c r="AG14543" s="80"/>
      <c r="AH14543" s="80"/>
      <c r="AI14543" s="80"/>
    </row>
    <row r="14544" spans="5:35" x14ac:dyDescent="0.25">
      <c r="E14544" s="16"/>
      <c r="F14544" s="16"/>
      <c r="H14544" s="16"/>
      <c r="AG14544" s="80"/>
      <c r="AH14544" s="80"/>
      <c r="AI14544" s="80"/>
    </row>
    <row r="14545" spans="5:35" x14ac:dyDescent="0.25">
      <c r="E14545" s="16"/>
      <c r="F14545" s="16"/>
      <c r="H14545" s="16"/>
      <c r="AG14545" s="80"/>
      <c r="AH14545" s="80"/>
      <c r="AI14545" s="80"/>
    </row>
    <row r="14546" spans="5:35" x14ac:dyDescent="0.25">
      <c r="E14546" s="16"/>
      <c r="F14546" s="16"/>
      <c r="H14546" s="16"/>
      <c r="AG14546" s="80"/>
      <c r="AH14546" s="80"/>
      <c r="AI14546" s="80"/>
    </row>
    <row r="14547" spans="5:35" x14ac:dyDescent="0.25">
      <c r="E14547" s="16"/>
      <c r="F14547" s="16"/>
      <c r="H14547" s="16"/>
      <c r="AG14547" s="80"/>
      <c r="AH14547" s="80"/>
      <c r="AI14547" s="80"/>
    </row>
    <row r="14548" spans="5:35" x14ac:dyDescent="0.25">
      <c r="E14548" s="16"/>
      <c r="F14548" s="16"/>
      <c r="H14548" s="16"/>
      <c r="AG14548" s="80"/>
      <c r="AH14548" s="80"/>
      <c r="AI14548" s="80"/>
    </row>
    <row r="14549" spans="5:35" x14ac:dyDescent="0.25">
      <c r="E14549" s="16"/>
      <c r="F14549" s="16"/>
      <c r="H14549" s="16"/>
      <c r="AG14549" s="80"/>
      <c r="AH14549" s="80"/>
      <c r="AI14549" s="80"/>
    </row>
    <row r="14550" spans="5:35" x14ac:dyDescent="0.25">
      <c r="E14550" s="16"/>
      <c r="F14550" s="16"/>
      <c r="H14550" s="16"/>
      <c r="AG14550" s="80"/>
      <c r="AH14550" s="80"/>
      <c r="AI14550" s="80"/>
    </row>
    <row r="14551" spans="5:35" x14ac:dyDescent="0.25">
      <c r="E14551" s="16"/>
      <c r="F14551" s="16"/>
      <c r="H14551" s="16"/>
      <c r="AG14551" s="80"/>
      <c r="AH14551" s="80"/>
      <c r="AI14551" s="80"/>
    </row>
    <row r="14552" spans="5:35" x14ac:dyDescent="0.25">
      <c r="E14552" s="16"/>
      <c r="F14552" s="16"/>
      <c r="H14552" s="16"/>
      <c r="AG14552" s="80"/>
      <c r="AH14552" s="80"/>
      <c r="AI14552" s="80"/>
    </row>
    <row r="14553" spans="5:35" x14ac:dyDescent="0.25">
      <c r="E14553" s="16"/>
      <c r="F14553" s="16"/>
      <c r="H14553" s="16"/>
      <c r="AG14553" s="80"/>
      <c r="AH14553" s="80"/>
      <c r="AI14553" s="80"/>
    </row>
    <row r="14554" spans="5:35" x14ac:dyDescent="0.25">
      <c r="E14554" s="16"/>
      <c r="F14554" s="16"/>
      <c r="H14554" s="16"/>
      <c r="AG14554" s="80"/>
      <c r="AH14554" s="80"/>
      <c r="AI14554" s="80"/>
    </row>
    <row r="14555" spans="5:35" x14ac:dyDescent="0.25">
      <c r="E14555" s="16"/>
      <c r="F14555" s="16"/>
      <c r="H14555" s="16"/>
      <c r="AG14555" s="80"/>
      <c r="AH14555" s="80"/>
      <c r="AI14555" s="80"/>
    </row>
    <row r="14556" spans="5:35" x14ac:dyDescent="0.25">
      <c r="E14556" s="16"/>
      <c r="F14556" s="16"/>
      <c r="H14556" s="16"/>
      <c r="AG14556" s="80"/>
      <c r="AH14556" s="80"/>
      <c r="AI14556" s="80"/>
    </row>
    <row r="14557" spans="5:35" x14ac:dyDescent="0.25">
      <c r="E14557" s="16"/>
      <c r="F14557" s="16"/>
      <c r="H14557" s="16"/>
      <c r="AG14557" s="80"/>
      <c r="AH14557" s="80"/>
      <c r="AI14557" s="80"/>
    </row>
    <row r="14558" spans="5:35" x14ac:dyDescent="0.25">
      <c r="E14558" s="16"/>
      <c r="F14558" s="16"/>
      <c r="H14558" s="16"/>
      <c r="AG14558" s="80"/>
      <c r="AH14558" s="80"/>
      <c r="AI14558" s="80"/>
    </row>
    <row r="14559" spans="5:35" x14ac:dyDescent="0.25">
      <c r="E14559" s="16"/>
      <c r="F14559" s="16"/>
      <c r="H14559" s="16"/>
      <c r="AG14559" s="80"/>
      <c r="AH14559" s="80"/>
      <c r="AI14559" s="80"/>
    </row>
    <row r="14560" spans="5:35" x14ac:dyDescent="0.25">
      <c r="E14560" s="16"/>
      <c r="F14560" s="16"/>
      <c r="H14560" s="16"/>
      <c r="AG14560" s="80"/>
      <c r="AH14560" s="80"/>
      <c r="AI14560" s="80"/>
    </row>
    <row r="14561" spans="5:35" x14ac:dyDescent="0.25">
      <c r="E14561" s="16"/>
      <c r="F14561" s="16"/>
      <c r="H14561" s="16"/>
      <c r="AG14561" s="80"/>
      <c r="AH14561" s="80"/>
      <c r="AI14561" s="80"/>
    </row>
    <row r="14562" spans="5:35" x14ac:dyDescent="0.25">
      <c r="E14562" s="16"/>
      <c r="F14562" s="16"/>
      <c r="H14562" s="16"/>
      <c r="AG14562" s="80"/>
      <c r="AH14562" s="80"/>
      <c r="AI14562" s="80"/>
    </row>
    <row r="14563" spans="5:35" x14ac:dyDescent="0.25">
      <c r="E14563" s="16"/>
      <c r="F14563" s="16"/>
      <c r="H14563" s="16"/>
      <c r="AG14563" s="80"/>
      <c r="AH14563" s="80"/>
      <c r="AI14563" s="80"/>
    </row>
    <row r="14564" spans="5:35" x14ac:dyDescent="0.25">
      <c r="E14564" s="16"/>
      <c r="F14564" s="16"/>
      <c r="H14564" s="16"/>
      <c r="AG14564" s="80"/>
      <c r="AH14564" s="80"/>
      <c r="AI14564" s="80"/>
    </row>
    <row r="14565" spans="5:35" x14ac:dyDescent="0.25">
      <c r="E14565" s="16"/>
      <c r="F14565" s="16"/>
      <c r="H14565" s="16"/>
      <c r="AG14565" s="80"/>
      <c r="AH14565" s="80"/>
      <c r="AI14565" s="80"/>
    </row>
    <row r="14566" spans="5:35" x14ac:dyDescent="0.25">
      <c r="E14566" s="16"/>
      <c r="F14566" s="16"/>
      <c r="H14566" s="16"/>
      <c r="AG14566" s="80"/>
      <c r="AH14566" s="80"/>
      <c r="AI14566" s="80"/>
    </row>
    <row r="14567" spans="5:35" x14ac:dyDescent="0.25">
      <c r="E14567" s="16"/>
      <c r="F14567" s="16"/>
      <c r="H14567" s="16"/>
      <c r="AG14567" s="80"/>
      <c r="AH14567" s="80"/>
      <c r="AI14567" s="80"/>
    </row>
    <row r="14568" spans="5:35" x14ac:dyDescent="0.25">
      <c r="E14568" s="16"/>
      <c r="F14568" s="16"/>
      <c r="H14568" s="16"/>
      <c r="AG14568" s="80"/>
      <c r="AH14568" s="80"/>
      <c r="AI14568" s="80"/>
    </row>
    <row r="14569" spans="5:35" x14ac:dyDescent="0.25">
      <c r="E14569" s="16"/>
      <c r="F14569" s="16"/>
      <c r="H14569" s="16"/>
      <c r="AG14569" s="80"/>
      <c r="AH14569" s="80"/>
      <c r="AI14569" s="80"/>
    </row>
    <row r="14570" spans="5:35" x14ac:dyDescent="0.25">
      <c r="E14570" s="16"/>
      <c r="F14570" s="16"/>
      <c r="H14570" s="16"/>
      <c r="AG14570" s="80"/>
      <c r="AH14570" s="80"/>
      <c r="AI14570" s="80"/>
    </row>
    <row r="14571" spans="5:35" x14ac:dyDescent="0.25">
      <c r="E14571" s="16"/>
      <c r="F14571" s="16"/>
      <c r="H14571" s="16"/>
      <c r="AG14571" s="80"/>
      <c r="AH14571" s="80"/>
      <c r="AI14571" s="80"/>
    </row>
    <row r="14572" spans="5:35" x14ac:dyDescent="0.25">
      <c r="E14572" s="16"/>
      <c r="F14572" s="16"/>
      <c r="H14572" s="16"/>
      <c r="AG14572" s="80"/>
      <c r="AH14572" s="80"/>
      <c r="AI14572" s="80"/>
    </row>
    <row r="14573" spans="5:35" x14ac:dyDescent="0.25">
      <c r="E14573" s="16"/>
      <c r="F14573" s="16"/>
      <c r="H14573" s="16"/>
      <c r="AG14573" s="80"/>
      <c r="AH14573" s="80"/>
      <c r="AI14573" s="80"/>
    </row>
    <row r="14574" spans="5:35" x14ac:dyDescent="0.25">
      <c r="E14574" s="16"/>
      <c r="F14574" s="16"/>
      <c r="H14574" s="16"/>
      <c r="AG14574" s="80"/>
      <c r="AH14574" s="80"/>
      <c r="AI14574" s="80"/>
    </row>
    <row r="14575" spans="5:35" x14ac:dyDescent="0.25">
      <c r="E14575" s="16"/>
      <c r="F14575" s="16"/>
      <c r="H14575" s="16"/>
      <c r="AG14575" s="80"/>
      <c r="AH14575" s="80"/>
      <c r="AI14575" s="80"/>
    </row>
    <row r="14576" spans="5:35" x14ac:dyDescent="0.25">
      <c r="E14576" s="16"/>
      <c r="F14576" s="16"/>
      <c r="H14576" s="16"/>
      <c r="AG14576" s="80"/>
      <c r="AH14576" s="80"/>
      <c r="AI14576" s="80"/>
    </row>
    <row r="14577" spans="5:35" x14ac:dyDescent="0.25">
      <c r="E14577" s="16"/>
      <c r="F14577" s="16"/>
      <c r="H14577" s="16"/>
      <c r="AG14577" s="80"/>
      <c r="AH14577" s="80"/>
      <c r="AI14577" s="80"/>
    </row>
    <row r="14578" spans="5:35" x14ac:dyDescent="0.25">
      <c r="E14578" s="16"/>
      <c r="F14578" s="16"/>
      <c r="H14578" s="16"/>
      <c r="AG14578" s="80"/>
      <c r="AH14578" s="80"/>
      <c r="AI14578" s="80"/>
    </row>
    <row r="14579" spans="5:35" x14ac:dyDescent="0.25">
      <c r="E14579" s="16"/>
      <c r="F14579" s="16"/>
      <c r="H14579" s="16"/>
      <c r="AG14579" s="80"/>
      <c r="AH14579" s="80"/>
      <c r="AI14579" s="80"/>
    </row>
    <row r="14580" spans="5:35" x14ac:dyDescent="0.25">
      <c r="E14580" s="16"/>
      <c r="F14580" s="16"/>
      <c r="H14580" s="16"/>
      <c r="AG14580" s="80"/>
      <c r="AH14580" s="80"/>
      <c r="AI14580" s="80"/>
    </row>
    <row r="14581" spans="5:35" x14ac:dyDescent="0.25">
      <c r="E14581" s="16"/>
      <c r="F14581" s="16"/>
      <c r="H14581" s="16"/>
      <c r="AG14581" s="80"/>
      <c r="AH14581" s="80"/>
      <c r="AI14581" s="80"/>
    </row>
    <row r="14582" spans="5:35" x14ac:dyDescent="0.25">
      <c r="E14582" s="16"/>
      <c r="F14582" s="16"/>
      <c r="H14582" s="16"/>
      <c r="AG14582" s="80"/>
      <c r="AH14582" s="80"/>
      <c r="AI14582" s="80"/>
    </row>
    <row r="14583" spans="5:35" x14ac:dyDescent="0.25">
      <c r="E14583" s="16"/>
      <c r="F14583" s="16"/>
      <c r="H14583" s="16"/>
      <c r="AG14583" s="80"/>
      <c r="AH14583" s="80"/>
      <c r="AI14583" s="80"/>
    </row>
    <row r="14584" spans="5:35" x14ac:dyDescent="0.25">
      <c r="E14584" s="16"/>
      <c r="F14584" s="16"/>
      <c r="H14584" s="16"/>
      <c r="AG14584" s="80"/>
      <c r="AH14584" s="80"/>
      <c r="AI14584" s="80"/>
    </row>
    <row r="14585" spans="5:35" x14ac:dyDescent="0.25">
      <c r="E14585" s="16"/>
      <c r="F14585" s="16"/>
      <c r="H14585" s="16"/>
      <c r="AG14585" s="80"/>
      <c r="AH14585" s="80"/>
      <c r="AI14585" s="80"/>
    </row>
    <row r="14586" spans="5:35" x14ac:dyDescent="0.25">
      <c r="E14586" s="16"/>
      <c r="F14586" s="16"/>
      <c r="H14586" s="16"/>
      <c r="AG14586" s="80"/>
      <c r="AH14586" s="80"/>
      <c r="AI14586" s="80"/>
    </row>
    <row r="14587" spans="5:35" x14ac:dyDescent="0.25">
      <c r="E14587" s="16"/>
      <c r="F14587" s="16"/>
      <c r="H14587" s="16"/>
      <c r="AG14587" s="80"/>
      <c r="AH14587" s="80"/>
      <c r="AI14587" s="80"/>
    </row>
    <row r="14588" spans="5:35" x14ac:dyDescent="0.25">
      <c r="E14588" s="16"/>
      <c r="F14588" s="16"/>
      <c r="H14588" s="16"/>
      <c r="AG14588" s="80"/>
      <c r="AH14588" s="80"/>
      <c r="AI14588" s="80"/>
    </row>
    <row r="14589" spans="5:35" x14ac:dyDescent="0.25">
      <c r="E14589" s="16"/>
      <c r="F14589" s="16"/>
      <c r="H14589" s="16"/>
      <c r="AG14589" s="80"/>
      <c r="AH14589" s="80"/>
      <c r="AI14589" s="80"/>
    </row>
    <row r="14590" spans="5:35" x14ac:dyDescent="0.25">
      <c r="E14590" s="16"/>
      <c r="F14590" s="16"/>
      <c r="H14590" s="16"/>
      <c r="AG14590" s="80"/>
      <c r="AH14590" s="80"/>
      <c r="AI14590" s="80"/>
    </row>
    <row r="14591" spans="5:35" x14ac:dyDescent="0.25">
      <c r="E14591" s="16"/>
      <c r="F14591" s="16"/>
      <c r="H14591" s="16"/>
      <c r="AG14591" s="80"/>
      <c r="AH14591" s="80"/>
      <c r="AI14591" s="80"/>
    </row>
    <row r="14592" spans="5:35" x14ac:dyDescent="0.25">
      <c r="E14592" s="16"/>
      <c r="F14592" s="16"/>
      <c r="H14592" s="16"/>
      <c r="AG14592" s="80"/>
      <c r="AH14592" s="80"/>
      <c r="AI14592" s="80"/>
    </row>
    <row r="14593" spans="5:35" x14ac:dyDescent="0.25">
      <c r="E14593" s="16"/>
      <c r="F14593" s="16"/>
      <c r="H14593" s="16"/>
      <c r="AG14593" s="80"/>
      <c r="AH14593" s="80"/>
      <c r="AI14593" s="80"/>
    </row>
    <row r="14594" spans="5:35" x14ac:dyDescent="0.25">
      <c r="E14594" s="16"/>
      <c r="F14594" s="16"/>
      <c r="H14594" s="16"/>
      <c r="AG14594" s="80"/>
      <c r="AH14594" s="80"/>
      <c r="AI14594" s="80"/>
    </row>
    <row r="14595" spans="5:35" x14ac:dyDescent="0.25">
      <c r="E14595" s="16"/>
      <c r="F14595" s="16"/>
      <c r="H14595" s="16"/>
      <c r="AG14595" s="80"/>
      <c r="AH14595" s="80"/>
      <c r="AI14595" s="80"/>
    </row>
    <row r="14596" spans="5:35" x14ac:dyDescent="0.25">
      <c r="E14596" s="16"/>
      <c r="F14596" s="16"/>
      <c r="H14596" s="16"/>
      <c r="AG14596" s="80"/>
      <c r="AH14596" s="80"/>
      <c r="AI14596" s="80"/>
    </row>
    <row r="14597" spans="5:35" x14ac:dyDescent="0.25">
      <c r="E14597" s="16"/>
      <c r="F14597" s="16"/>
      <c r="H14597" s="16"/>
      <c r="AG14597" s="80"/>
      <c r="AH14597" s="80"/>
      <c r="AI14597" s="80"/>
    </row>
    <row r="14598" spans="5:35" x14ac:dyDescent="0.25">
      <c r="E14598" s="16"/>
      <c r="F14598" s="16"/>
      <c r="H14598" s="16"/>
      <c r="AG14598" s="80"/>
      <c r="AH14598" s="80"/>
      <c r="AI14598" s="80"/>
    </row>
    <row r="14599" spans="5:35" x14ac:dyDescent="0.25">
      <c r="E14599" s="16"/>
      <c r="F14599" s="16"/>
      <c r="H14599" s="16"/>
      <c r="AG14599" s="80"/>
      <c r="AH14599" s="80"/>
      <c r="AI14599" s="80"/>
    </row>
    <row r="14600" spans="5:35" x14ac:dyDescent="0.25">
      <c r="E14600" s="16"/>
      <c r="F14600" s="16"/>
      <c r="H14600" s="16"/>
      <c r="AG14600" s="80"/>
      <c r="AH14600" s="80"/>
      <c r="AI14600" s="80"/>
    </row>
    <row r="14601" spans="5:35" x14ac:dyDescent="0.25">
      <c r="E14601" s="16"/>
      <c r="F14601" s="16"/>
      <c r="H14601" s="16"/>
      <c r="AG14601" s="80"/>
      <c r="AH14601" s="80"/>
      <c r="AI14601" s="80"/>
    </row>
    <row r="14602" spans="5:35" x14ac:dyDescent="0.25">
      <c r="E14602" s="16"/>
      <c r="F14602" s="16"/>
      <c r="H14602" s="16"/>
      <c r="AG14602" s="80"/>
      <c r="AH14602" s="80"/>
      <c r="AI14602" s="80"/>
    </row>
    <row r="14603" spans="5:35" x14ac:dyDescent="0.25">
      <c r="E14603" s="16"/>
      <c r="F14603" s="16"/>
      <c r="H14603" s="16"/>
      <c r="AG14603" s="80"/>
      <c r="AH14603" s="80"/>
      <c r="AI14603" s="80"/>
    </row>
    <row r="14604" spans="5:35" x14ac:dyDescent="0.25">
      <c r="E14604" s="16"/>
      <c r="F14604" s="16"/>
      <c r="H14604" s="16"/>
      <c r="AG14604" s="80"/>
      <c r="AH14604" s="80"/>
      <c r="AI14604" s="80"/>
    </row>
    <row r="14605" spans="5:35" x14ac:dyDescent="0.25">
      <c r="E14605" s="16"/>
      <c r="F14605" s="16"/>
      <c r="H14605" s="16"/>
      <c r="AG14605" s="80"/>
      <c r="AH14605" s="80"/>
      <c r="AI14605" s="80"/>
    </row>
    <row r="14606" spans="5:35" x14ac:dyDescent="0.25">
      <c r="E14606" s="16"/>
      <c r="F14606" s="16"/>
      <c r="H14606" s="16"/>
      <c r="AG14606" s="80"/>
      <c r="AH14606" s="80"/>
      <c r="AI14606" s="80"/>
    </row>
    <row r="14607" spans="5:35" x14ac:dyDescent="0.25">
      <c r="E14607" s="16"/>
      <c r="F14607" s="16"/>
      <c r="H14607" s="16"/>
      <c r="AG14607" s="80"/>
      <c r="AH14607" s="80"/>
      <c r="AI14607" s="80"/>
    </row>
    <row r="14608" spans="5:35" x14ac:dyDescent="0.25">
      <c r="E14608" s="16"/>
      <c r="F14608" s="16"/>
      <c r="H14608" s="16"/>
      <c r="AG14608" s="80"/>
      <c r="AH14608" s="80"/>
      <c r="AI14608" s="80"/>
    </row>
    <row r="14609" spans="5:35" x14ac:dyDescent="0.25">
      <c r="E14609" s="16"/>
      <c r="F14609" s="16"/>
      <c r="H14609" s="16"/>
      <c r="AG14609" s="80"/>
      <c r="AH14609" s="80"/>
      <c r="AI14609" s="80"/>
    </row>
    <row r="14610" spans="5:35" x14ac:dyDescent="0.25">
      <c r="E14610" s="16"/>
      <c r="F14610" s="16"/>
      <c r="H14610" s="16"/>
      <c r="AG14610" s="80"/>
      <c r="AH14610" s="80"/>
      <c r="AI14610" s="80"/>
    </row>
    <row r="14611" spans="5:35" x14ac:dyDescent="0.25">
      <c r="E14611" s="16"/>
      <c r="F14611" s="16"/>
      <c r="H14611" s="16"/>
      <c r="AG14611" s="80"/>
      <c r="AH14611" s="80"/>
      <c r="AI14611" s="80"/>
    </row>
    <row r="14612" spans="5:35" x14ac:dyDescent="0.25">
      <c r="E14612" s="16"/>
      <c r="F14612" s="16"/>
      <c r="H14612" s="16"/>
      <c r="AG14612" s="80"/>
      <c r="AH14612" s="80"/>
      <c r="AI14612" s="80"/>
    </row>
    <row r="14613" spans="5:35" x14ac:dyDescent="0.25">
      <c r="E14613" s="16"/>
      <c r="F14613" s="16"/>
      <c r="H14613" s="16"/>
      <c r="AG14613" s="80"/>
      <c r="AH14613" s="80"/>
      <c r="AI14613" s="80"/>
    </row>
    <row r="14614" spans="5:35" x14ac:dyDescent="0.25">
      <c r="E14614" s="16"/>
      <c r="F14614" s="16"/>
      <c r="H14614" s="16"/>
      <c r="AG14614" s="80"/>
      <c r="AH14614" s="80"/>
      <c r="AI14614" s="80"/>
    </row>
    <row r="14615" spans="5:35" x14ac:dyDescent="0.25">
      <c r="E14615" s="16"/>
      <c r="F14615" s="16"/>
      <c r="H14615" s="16"/>
      <c r="AG14615" s="80"/>
      <c r="AH14615" s="80"/>
      <c r="AI14615" s="80"/>
    </row>
    <row r="14616" spans="5:35" x14ac:dyDescent="0.25">
      <c r="E14616" s="16"/>
      <c r="F14616" s="16"/>
      <c r="H14616" s="16"/>
      <c r="AG14616" s="80"/>
      <c r="AH14616" s="80"/>
      <c r="AI14616" s="80"/>
    </row>
    <row r="14617" spans="5:35" x14ac:dyDescent="0.25">
      <c r="E14617" s="16"/>
      <c r="F14617" s="16"/>
      <c r="H14617" s="16"/>
      <c r="AG14617" s="80"/>
      <c r="AH14617" s="80"/>
      <c r="AI14617" s="80"/>
    </row>
    <row r="14618" spans="5:35" x14ac:dyDescent="0.25">
      <c r="E14618" s="16"/>
      <c r="F14618" s="16"/>
      <c r="H14618" s="16"/>
      <c r="AG14618" s="80"/>
      <c r="AH14618" s="80"/>
      <c r="AI14618" s="80"/>
    </row>
    <row r="14619" spans="5:35" x14ac:dyDescent="0.25">
      <c r="E14619" s="16"/>
      <c r="F14619" s="16"/>
      <c r="H14619" s="16"/>
      <c r="AG14619" s="80"/>
      <c r="AH14619" s="80"/>
      <c r="AI14619" s="80"/>
    </row>
    <row r="14620" spans="5:35" x14ac:dyDescent="0.25">
      <c r="E14620" s="16"/>
      <c r="F14620" s="16"/>
      <c r="H14620" s="16"/>
      <c r="AG14620" s="80"/>
      <c r="AH14620" s="80"/>
      <c r="AI14620" s="80"/>
    </row>
    <row r="14621" spans="5:35" x14ac:dyDescent="0.25">
      <c r="E14621" s="16"/>
      <c r="F14621" s="16"/>
      <c r="H14621" s="16"/>
      <c r="AG14621" s="80"/>
      <c r="AH14621" s="80"/>
      <c r="AI14621" s="80"/>
    </row>
    <row r="14622" spans="5:35" x14ac:dyDescent="0.25">
      <c r="E14622" s="16"/>
      <c r="F14622" s="16"/>
      <c r="H14622" s="16"/>
      <c r="AG14622" s="80"/>
      <c r="AH14622" s="80"/>
      <c r="AI14622" s="80"/>
    </row>
    <row r="14623" spans="5:35" x14ac:dyDescent="0.25">
      <c r="E14623" s="16"/>
      <c r="F14623" s="16"/>
      <c r="H14623" s="16"/>
      <c r="AG14623" s="80"/>
      <c r="AH14623" s="80"/>
      <c r="AI14623" s="80"/>
    </row>
    <row r="14624" spans="5:35" x14ac:dyDescent="0.25">
      <c r="E14624" s="16"/>
      <c r="F14624" s="16"/>
      <c r="H14624" s="16"/>
      <c r="AG14624" s="80"/>
      <c r="AH14624" s="80"/>
      <c r="AI14624" s="80"/>
    </row>
    <row r="14625" spans="5:35" x14ac:dyDescent="0.25">
      <c r="E14625" s="16"/>
      <c r="F14625" s="16"/>
      <c r="H14625" s="16"/>
      <c r="AG14625" s="80"/>
      <c r="AH14625" s="80"/>
      <c r="AI14625" s="80"/>
    </row>
    <row r="14626" spans="5:35" x14ac:dyDescent="0.25">
      <c r="E14626" s="16"/>
      <c r="F14626" s="16"/>
      <c r="H14626" s="16"/>
      <c r="AG14626" s="80"/>
      <c r="AH14626" s="80"/>
      <c r="AI14626" s="80"/>
    </row>
    <row r="14627" spans="5:35" x14ac:dyDescent="0.25">
      <c r="E14627" s="16"/>
      <c r="F14627" s="16"/>
      <c r="H14627" s="16"/>
      <c r="AG14627" s="80"/>
      <c r="AH14627" s="80"/>
      <c r="AI14627" s="80"/>
    </row>
    <row r="14628" spans="5:35" x14ac:dyDescent="0.25">
      <c r="E14628" s="16"/>
      <c r="F14628" s="16"/>
      <c r="H14628" s="16"/>
      <c r="AG14628" s="80"/>
      <c r="AH14628" s="80"/>
      <c r="AI14628" s="80"/>
    </row>
    <row r="14629" spans="5:35" x14ac:dyDescent="0.25">
      <c r="E14629" s="16"/>
      <c r="F14629" s="16"/>
      <c r="H14629" s="16"/>
      <c r="AG14629" s="80"/>
      <c r="AH14629" s="80"/>
      <c r="AI14629" s="80"/>
    </row>
    <row r="14630" spans="5:35" x14ac:dyDescent="0.25">
      <c r="E14630" s="16"/>
      <c r="F14630" s="16"/>
      <c r="H14630" s="16"/>
      <c r="AG14630" s="80"/>
      <c r="AH14630" s="80"/>
      <c r="AI14630" s="80"/>
    </row>
    <row r="14631" spans="5:35" x14ac:dyDescent="0.25">
      <c r="E14631" s="16"/>
      <c r="F14631" s="16"/>
      <c r="H14631" s="16"/>
      <c r="AG14631" s="80"/>
      <c r="AH14631" s="80"/>
      <c r="AI14631" s="80"/>
    </row>
    <row r="14632" spans="5:35" x14ac:dyDescent="0.25">
      <c r="E14632" s="16"/>
      <c r="F14632" s="16"/>
      <c r="H14632" s="16"/>
      <c r="AG14632" s="80"/>
      <c r="AH14632" s="80"/>
      <c r="AI14632" s="80"/>
    </row>
    <row r="14633" spans="5:35" x14ac:dyDescent="0.25">
      <c r="E14633" s="16"/>
      <c r="F14633" s="16"/>
      <c r="H14633" s="16"/>
      <c r="AG14633" s="80"/>
      <c r="AH14633" s="80"/>
      <c r="AI14633" s="80"/>
    </row>
    <row r="14634" spans="5:35" x14ac:dyDescent="0.25">
      <c r="E14634" s="16"/>
      <c r="F14634" s="16"/>
      <c r="H14634" s="16"/>
      <c r="AG14634" s="80"/>
      <c r="AH14634" s="80"/>
      <c r="AI14634" s="80"/>
    </row>
    <row r="14635" spans="5:35" x14ac:dyDescent="0.25">
      <c r="E14635" s="16"/>
      <c r="F14635" s="16"/>
      <c r="H14635" s="16"/>
      <c r="AG14635" s="80"/>
      <c r="AH14635" s="80"/>
      <c r="AI14635" s="80"/>
    </row>
    <row r="14636" spans="5:35" x14ac:dyDescent="0.25">
      <c r="E14636" s="16"/>
      <c r="F14636" s="16"/>
      <c r="H14636" s="16"/>
      <c r="AG14636" s="80"/>
      <c r="AH14636" s="80"/>
      <c r="AI14636" s="80"/>
    </row>
    <row r="14637" spans="5:35" x14ac:dyDescent="0.25">
      <c r="E14637" s="16"/>
      <c r="F14637" s="16"/>
      <c r="H14637" s="16"/>
      <c r="AG14637" s="80"/>
      <c r="AH14637" s="80"/>
      <c r="AI14637" s="80"/>
    </row>
    <row r="14638" spans="5:35" x14ac:dyDescent="0.25">
      <c r="E14638" s="16"/>
      <c r="F14638" s="16"/>
      <c r="H14638" s="16"/>
      <c r="AG14638" s="80"/>
      <c r="AH14638" s="80"/>
      <c r="AI14638" s="80"/>
    </row>
    <row r="14639" spans="5:35" x14ac:dyDescent="0.25">
      <c r="E14639" s="16"/>
      <c r="F14639" s="16"/>
      <c r="H14639" s="16"/>
      <c r="AG14639" s="80"/>
      <c r="AH14639" s="80"/>
      <c r="AI14639" s="80"/>
    </row>
    <row r="14640" spans="5:35" x14ac:dyDescent="0.25">
      <c r="E14640" s="16"/>
      <c r="F14640" s="16"/>
      <c r="H14640" s="16"/>
      <c r="AG14640" s="80"/>
      <c r="AH14640" s="80"/>
      <c r="AI14640" s="80"/>
    </row>
    <row r="14641" spans="5:35" x14ac:dyDescent="0.25">
      <c r="E14641" s="16"/>
      <c r="F14641" s="16"/>
      <c r="H14641" s="16"/>
      <c r="AG14641" s="80"/>
      <c r="AH14641" s="80"/>
      <c r="AI14641" s="80"/>
    </row>
    <row r="14642" spans="5:35" x14ac:dyDescent="0.25">
      <c r="E14642" s="16"/>
      <c r="F14642" s="16"/>
      <c r="H14642" s="16"/>
      <c r="AG14642" s="80"/>
      <c r="AH14642" s="80"/>
      <c r="AI14642" s="80"/>
    </row>
    <row r="14643" spans="5:35" x14ac:dyDescent="0.25">
      <c r="E14643" s="16"/>
      <c r="F14643" s="16"/>
      <c r="H14643" s="16"/>
      <c r="AG14643" s="80"/>
      <c r="AH14643" s="80"/>
      <c r="AI14643" s="80"/>
    </row>
    <row r="14644" spans="5:35" x14ac:dyDescent="0.25">
      <c r="E14644" s="16"/>
      <c r="F14644" s="16"/>
      <c r="H14644" s="16"/>
      <c r="AG14644" s="80"/>
      <c r="AH14644" s="80"/>
      <c r="AI14644" s="80"/>
    </row>
    <row r="14645" spans="5:35" x14ac:dyDescent="0.25">
      <c r="E14645" s="16"/>
      <c r="F14645" s="16"/>
      <c r="H14645" s="16"/>
      <c r="AG14645" s="80"/>
      <c r="AH14645" s="80"/>
      <c r="AI14645" s="80"/>
    </row>
    <row r="14646" spans="5:35" x14ac:dyDescent="0.25">
      <c r="E14646" s="16"/>
      <c r="F14646" s="16"/>
      <c r="H14646" s="16"/>
      <c r="AG14646" s="80"/>
      <c r="AH14646" s="80"/>
      <c r="AI14646" s="80"/>
    </row>
    <row r="14647" spans="5:35" x14ac:dyDescent="0.25">
      <c r="E14647" s="16"/>
      <c r="F14647" s="16"/>
      <c r="H14647" s="16"/>
      <c r="AG14647" s="80"/>
      <c r="AH14647" s="80"/>
      <c r="AI14647" s="80"/>
    </row>
    <row r="14648" spans="5:35" x14ac:dyDescent="0.25">
      <c r="E14648" s="16"/>
      <c r="F14648" s="16"/>
      <c r="H14648" s="16"/>
      <c r="AG14648" s="80"/>
      <c r="AH14648" s="80"/>
      <c r="AI14648" s="80"/>
    </row>
    <row r="14649" spans="5:35" x14ac:dyDescent="0.25">
      <c r="E14649" s="16"/>
      <c r="F14649" s="16"/>
      <c r="H14649" s="16"/>
      <c r="AG14649" s="80"/>
      <c r="AH14649" s="80"/>
      <c r="AI14649" s="80"/>
    </row>
    <row r="14650" spans="5:35" x14ac:dyDescent="0.25">
      <c r="E14650" s="16"/>
      <c r="F14650" s="16"/>
      <c r="H14650" s="16"/>
      <c r="AG14650" s="80"/>
      <c r="AH14650" s="80"/>
      <c r="AI14650" s="80"/>
    </row>
    <row r="14651" spans="5:35" x14ac:dyDescent="0.25">
      <c r="E14651" s="16"/>
      <c r="F14651" s="16"/>
      <c r="H14651" s="16"/>
      <c r="AG14651" s="80"/>
      <c r="AH14651" s="80"/>
      <c r="AI14651" s="80"/>
    </row>
    <row r="14652" spans="5:35" x14ac:dyDescent="0.25">
      <c r="E14652" s="16"/>
      <c r="F14652" s="16"/>
      <c r="H14652" s="16"/>
      <c r="AG14652" s="80"/>
      <c r="AH14652" s="80"/>
      <c r="AI14652" s="80"/>
    </row>
    <row r="14653" spans="5:35" x14ac:dyDescent="0.25">
      <c r="E14653" s="16"/>
      <c r="F14653" s="16"/>
      <c r="H14653" s="16"/>
      <c r="AG14653" s="80"/>
      <c r="AH14653" s="80"/>
      <c r="AI14653" s="80"/>
    </row>
    <row r="14654" spans="5:35" x14ac:dyDescent="0.25">
      <c r="E14654" s="16"/>
      <c r="F14654" s="16"/>
      <c r="H14654" s="16"/>
      <c r="AG14654" s="80"/>
      <c r="AH14654" s="80"/>
      <c r="AI14654" s="80"/>
    </row>
    <row r="14655" spans="5:35" x14ac:dyDescent="0.25">
      <c r="E14655" s="16"/>
      <c r="F14655" s="16"/>
      <c r="H14655" s="16"/>
      <c r="AG14655" s="80"/>
      <c r="AH14655" s="80"/>
      <c r="AI14655" s="80"/>
    </row>
    <row r="14656" spans="5:35" x14ac:dyDescent="0.25">
      <c r="E14656" s="16"/>
      <c r="F14656" s="16"/>
      <c r="H14656" s="16"/>
      <c r="AG14656" s="80"/>
      <c r="AH14656" s="80"/>
      <c r="AI14656" s="80"/>
    </row>
    <row r="14657" spans="5:35" x14ac:dyDescent="0.25">
      <c r="E14657" s="16"/>
      <c r="F14657" s="16"/>
      <c r="H14657" s="16"/>
      <c r="AG14657" s="80"/>
      <c r="AH14657" s="80"/>
      <c r="AI14657" s="80"/>
    </row>
    <row r="14658" spans="5:35" x14ac:dyDescent="0.25">
      <c r="E14658" s="16"/>
      <c r="F14658" s="16"/>
      <c r="H14658" s="16"/>
      <c r="AG14658" s="80"/>
      <c r="AH14658" s="80"/>
      <c r="AI14658" s="80"/>
    </row>
    <row r="14659" spans="5:35" x14ac:dyDescent="0.25">
      <c r="E14659" s="16"/>
      <c r="F14659" s="16"/>
      <c r="H14659" s="16"/>
      <c r="AG14659" s="80"/>
      <c r="AH14659" s="80"/>
      <c r="AI14659" s="80"/>
    </row>
    <row r="14660" spans="5:35" x14ac:dyDescent="0.25">
      <c r="E14660" s="16"/>
      <c r="F14660" s="16"/>
      <c r="H14660" s="16"/>
      <c r="AG14660" s="80"/>
      <c r="AH14660" s="80"/>
      <c r="AI14660" s="80"/>
    </row>
    <row r="14661" spans="5:35" x14ac:dyDescent="0.25">
      <c r="E14661" s="16"/>
      <c r="F14661" s="16"/>
      <c r="H14661" s="16"/>
      <c r="AG14661" s="80"/>
      <c r="AH14661" s="80"/>
      <c r="AI14661" s="80"/>
    </row>
    <row r="14662" spans="5:35" x14ac:dyDescent="0.25">
      <c r="E14662" s="16"/>
      <c r="F14662" s="16"/>
      <c r="H14662" s="16"/>
      <c r="AG14662" s="80"/>
      <c r="AH14662" s="80"/>
      <c r="AI14662" s="80"/>
    </row>
    <row r="14663" spans="5:35" x14ac:dyDescent="0.25">
      <c r="E14663" s="16"/>
      <c r="F14663" s="16"/>
      <c r="H14663" s="16"/>
      <c r="AG14663" s="80"/>
      <c r="AH14663" s="80"/>
      <c r="AI14663" s="80"/>
    </row>
    <row r="14664" spans="5:35" x14ac:dyDescent="0.25">
      <c r="E14664" s="16"/>
      <c r="F14664" s="16"/>
      <c r="H14664" s="16"/>
      <c r="AG14664" s="80"/>
      <c r="AH14664" s="80"/>
      <c r="AI14664" s="80"/>
    </row>
    <row r="14665" spans="5:35" x14ac:dyDescent="0.25">
      <c r="E14665" s="16"/>
      <c r="F14665" s="16"/>
      <c r="H14665" s="16"/>
      <c r="AG14665" s="80"/>
      <c r="AH14665" s="80"/>
      <c r="AI14665" s="80"/>
    </row>
    <row r="14666" spans="5:35" x14ac:dyDescent="0.25">
      <c r="E14666" s="16"/>
      <c r="F14666" s="16"/>
      <c r="H14666" s="16"/>
      <c r="AG14666" s="80"/>
      <c r="AH14666" s="80"/>
      <c r="AI14666" s="80"/>
    </row>
    <row r="14667" spans="5:35" x14ac:dyDescent="0.25">
      <c r="E14667" s="16"/>
      <c r="F14667" s="16"/>
      <c r="H14667" s="16"/>
      <c r="AG14667" s="80"/>
      <c r="AH14667" s="80"/>
      <c r="AI14667" s="80"/>
    </row>
    <row r="14668" spans="5:35" x14ac:dyDescent="0.25">
      <c r="E14668" s="16"/>
      <c r="F14668" s="16"/>
      <c r="H14668" s="16"/>
      <c r="AG14668" s="80"/>
      <c r="AH14668" s="80"/>
      <c r="AI14668" s="80"/>
    </row>
    <row r="14669" spans="5:35" x14ac:dyDescent="0.25">
      <c r="E14669" s="16"/>
      <c r="F14669" s="16"/>
      <c r="H14669" s="16"/>
      <c r="AG14669" s="80"/>
      <c r="AH14669" s="80"/>
      <c r="AI14669" s="80"/>
    </row>
    <row r="14670" spans="5:35" x14ac:dyDescent="0.25">
      <c r="E14670" s="16"/>
      <c r="F14670" s="16"/>
      <c r="H14670" s="16"/>
      <c r="AG14670" s="80"/>
      <c r="AH14670" s="80"/>
      <c r="AI14670" s="80"/>
    </row>
    <row r="14671" spans="5:35" x14ac:dyDescent="0.25">
      <c r="E14671" s="16"/>
      <c r="F14671" s="16"/>
      <c r="H14671" s="16"/>
      <c r="AG14671" s="80"/>
      <c r="AH14671" s="80"/>
      <c r="AI14671" s="80"/>
    </row>
    <row r="14672" spans="5:35" x14ac:dyDescent="0.25">
      <c r="E14672" s="16"/>
      <c r="F14672" s="16"/>
      <c r="H14672" s="16"/>
      <c r="AG14672" s="80"/>
      <c r="AH14672" s="80"/>
      <c r="AI14672" s="80"/>
    </row>
    <row r="14673" spans="5:35" x14ac:dyDescent="0.25">
      <c r="E14673" s="16"/>
      <c r="F14673" s="16"/>
      <c r="H14673" s="16"/>
      <c r="AG14673" s="80"/>
      <c r="AH14673" s="80"/>
      <c r="AI14673" s="80"/>
    </row>
    <row r="14674" spans="5:35" x14ac:dyDescent="0.25">
      <c r="E14674" s="16"/>
      <c r="F14674" s="16"/>
      <c r="H14674" s="16"/>
      <c r="AG14674" s="80"/>
      <c r="AH14674" s="80"/>
      <c r="AI14674" s="80"/>
    </row>
    <row r="14675" spans="5:35" x14ac:dyDescent="0.25">
      <c r="E14675" s="16"/>
      <c r="F14675" s="16"/>
      <c r="H14675" s="16"/>
      <c r="AG14675" s="80"/>
      <c r="AH14675" s="80"/>
      <c r="AI14675" s="80"/>
    </row>
    <row r="14676" spans="5:35" x14ac:dyDescent="0.25">
      <c r="E14676" s="16"/>
      <c r="F14676" s="16"/>
      <c r="H14676" s="16"/>
      <c r="AG14676" s="80"/>
      <c r="AH14676" s="80"/>
      <c r="AI14676" s="80"/>
    </row>
    <row r="14677" spans="5:35" x14ac:dyDescent="0.25">
      <c r="E14677" s="16"/>
      <c r="F14677" s="16"/>
      <c r="H14677" s="16"/>
      <c r="AG14677" s="80"/>
      <c r="AH14677" s="80"/>
      <c r="AI14677" s="80"/>
    </row>
    <row r="14678" spans="5:35" x14ac:dyDescent="0.25">
      <c r="E14678" s="16"/>
      <c r="F14678" s="16"/>
      <c r="H14678" s="16"/>
      <c r="AG14678" s="80"/>
      <c r="AH14678" s="80"/>
      <c r="AI14678" s="80"/>
    </row>
    <row r="14679" spans="5:35" x14ac:dyDescent="0.25">
      <c r="E14679" s="16"/>
      <c r="F14679" s="16"/>
      <c r="H14679" s="16"/>
      <c r="AG14679" s="80"/>
      <c r="AH14679" s="80"/>
      <c r="AI14679" s="80"/>
    </row>
    <row r="14680" spans="5:35" x14ac:dyDescent="0.25">
      <c r="E14680" s="16"/>
      <c r="F14680" s="16"/>
      <c r="H14680" s="16"/>
      <c r="AG14680" s="80"/>
      <c r="AH14680" s="80"/>
      <c r="AI14680" s="80"/>
    </row>
    <row r="14681" spans="5:35" x14ac:dyDescent="0.25">
      <c r="E14681" s="16"/>
      <c r="F14681" s="16"/>
      <c r="H14681" s="16"/>
      <c r="AG14681" s="80"/>
      <c r="AH14681" s="80"/>
      <c r="AI14681" s="80"/>
    </row>
    <row r="14682" spans="5:35" x14ac:dyDescent="0.25">
      <c r="E14682" s="16"/>
      <c r="F14682" s="16"/>
      <c r="H14682" s="16"/>
      <c r="AG14682" s="80"/>
      <c r="AH14682" s="80"/>
      <c r="AI14682" s="80"/>
    </row>
    <row r="14683" spans="5:35" x14ac:dyDescent="0.25">
      <c r="E14683" s="16"/>
      <c r="F14683" s="16"/>
      <c r="H14683" s="16"/>
      <c r="AG14683" s="80"/>
      <c r="AH14683" s="80"/>
      <c r="AI14683" s="80"/>
    </row>
    <row r="14684" spans="5:35" x14ac:dyDescent="0.25">
      <c r="E14684" s="16"/>
      <c r="F14684" s="16"/>
      <c r="H14684" s="16"/>
      <c r="AG14684" s="80"/>
      <c r="AH14684" s="80"/>
      <c r="AI14684" s="80"/>
    </row>
    <row r="14685" spans="5:35" x14ac:dyDescent="0.25">
      <c r="E14685" s="16"/>
      <c r="F14685" s="16"/>
      <c r="H14685" s="16"/>
      <c r="AG14685" s="80"/>
      <c r="AH14685" s="80"/>
      <c r="AI14685" s="80"/>
    </row>
    <row r="14686" spans="5:35" x14ac:dyDescent="0.25">
      <c r="E14686" s="16"/>
      <c r="F14686" s="16"/>
      <c r="H14686" s="16"/>
      <c r="AG14686" s="80"/>
      <c r="AH14686" s="80"/>
      <c r="AI14686" s="80"/>
    </row>
    <row r="14687" spans="5:35" x14ac:dyDescent="0.25">
      <c r="E14687" s="16"/>
      <c r="F14687" s="16"/>
      <c r="H14687" s="16"/>
      <c r="AG14687" s="80"/>
      <c r="AH14687" s="80"/>
      <c r="AI14687" s="80"/>
    </row>
    <row r="14688" spans="5:35" x14ac:dyDescent="0.25">
      <c r="E14688" s="16"/>
      <c r="F14688" s="16"/>
      <c r="H14688" s="16"/>
      <c r="AG14688" s="80"/>
      <c r="AH14688" s="80"/>
      <c r="AI14688" s="80"/>
    </row>
    <row r="14689" spans="5:35" x14ac:dyDescent="0.25">
      <c r="E14689" s="16"/>
      <c r="F14689" s="16"/>
      <c r="H14689" s="16"/>
      <c r="AG14689" s="80"/>
      <c r="AH14689" s="80"/>
      <c r="AI14689" s="80"/>
    </row>
    <row r="14690" spans="5:35" x14ac:dyDescent="0.25">
      <c r="E14690" s="16"/>
      <c r="F14690" s="16"/>
      <c r="H14690" s="16"/>
      <c r="AG14690" s="80"/>
      <c r="AH14690" s="80"/>
      <c r="AI14690" s="80"/>
    </row>
    <row r="14691" spans="5:35" x14ac:dyDescent="0.25">
      <c r="E14691" s="16"/>
      <c r="F14691" s="16"/>
      <c r="H14691" s="16"/>
      <c r="AG14691" s="80"/>
      <c r="AH14691" s="80"/>
      <c r="AI14691" s="80"/>
    </row>
    <row r="14692" spans="5:35" x14ac:dyDescent="0.25">
      <c r="E14692" s="16"/>
      <c r="F14692" s="16"/>
      <c r="H14692" s="16"/>
      <c r="AG14692" s="80"/>
      <c r="AH14692" s="80"/>
      <c r="AI14692" s="80"/>
    </row>
    <row r="14693" spans="5:35" x14ac:dyDescent="0.25">
      <c r="E14693" s="16"/>
      <c r="F14693" s="16"/>
      <c r="H14693" s="16"/>
      <c r="AG14693" s="80"/>
      <c r="AH14693" s="80"/>
      <c r="AI14693" s="80"/>
    </row>
    <row r="14694" spans="5:35" x14ac:dyDescent="0.25">
      <c r="E14694" s="16"/>
      <c r="F14694" s="16"/>
      <c r="H14694" s="16"/>
      <c r="AG14694" s="80"/>
      <c r="AH14694" s="80"/>
      <c r="AI14694" s="80"/>
    </row>
    <row r="14695" spans="5:35" x14ac:dyDescent="0.25">
      <c r="E14695" s="16"/>
      <c r="F14695" s="16"/>
      <c r="H14695" s="16"/>
      <c r="AG14695" s="80"/>
      <c r="AH14695" s="80"/>
      <c r="AI14695" s="80"/>
    </row>
    <row r="14696" spans="5:35" x14ac:dyDescent="0.25">
      <c r="E14696" s="16"/>
      <c r="F14696" s="16"/>
      <c r="H14696" s="16"/>
      <c r="AG14696" s="80"/>
      <c r="AH14696" s="80"/>
      <c r="AI14696" s="80"/>
    </row>
    <row r="14697" spans="5:35" x14ac:dyDescent="0.25">
      <c r="E14697" s="16"/>
      <c r="F14697" s="16"/>
      <c r="H14697" s="16"/>
      <c r="AG14697" s="80"/>
      <c r="AH14697" s="80"/>
      <c r="AI14697" s="80"/>
    </row>
    <row r="14698" spans="5:35" x14ac:dyDescent="0.25">
      <c r="E14698" s="16"/>
      <c r="F14698" s="16"/>
      <c r="H14698" s="16"/>
      <c r="AG14698" s="80"/>
      <c r="AH14698" s="80"/>
      <c r="AI14698" s="80"/>
    </row>
    <row r="14699" spans="5:35" x14ac:dyDescent="0.25">
      <c r="E14699" s="16"/>
      <c r="F14699" s="16"/>
      <c r="H14699" s="16"/>
      <c r="AG14699" s="80"/>
      <c r="AH14699" s="80"/>
      <c r="AI14699" s="80"/>
    </row>
    <row r="14700" spans="5:35" x14ac:dyDescent="0.25">
      <c r="E14700" s="16"/>
      <c r="F14700" s="16"/>
      <c r="H14700" s="16"/>
      <c r="AG14700" s="80"/>
      <c r="AH14700" s="80"/>
      <c r="AI14700" s="80"/>
    </row>
    <row r="14701" spans="5:35" x14ac:dyDescent="0.25">
      <c r="E14701" s="16"/>
      <c r="F14701" s="16"/>
      <c r="H14701" s="16"/>
      <c r="AG14701" s="80"/>
      <c r="AH14701" s="80"/>
      <c r="AI14701" s="80"/>
    </row>
    <row r="14702" spans="5:35" x14ac:dyDescent="0.25">
      <c r="E14702" s="16"/>
      <c r="F14702" s="16"/>
      <c r="H14702" s="16"/>
      <c r="AG14702" s="80"/>
      <c r="AH14702" s="80"/>
      <c r="AI14702" s="80"/>
    </row>
    <row r="14703" spans="5:35" x14ac:dyDescent="0.25">
      <c r="E14703" s="16"/>
      <c r="F14703" s="16"/>
      <c r="H14703" s="16"/>
      <c r="AG14703" s="80"/>
      <c r="AH14703" s="80"/>
      <c r="AI14703" s="80"/>
    </row>
    <row r="14704" spans="5:35" x14ac:dyDescent="0.25">
      <c r="E14704" s="16"/>
      <c r="F14704" s="16"/>
      <c r="H14704" s="16"/>
      <c r="AG14704" s="80"/>
      <c r="AH14704" s="80"/>
      <c r="AI14704" s="80"/>
    </row>
    <row r="14705" spans="5:35" x14ac:dyDescent="0.25">
      <c r="E14705" s="16"/>
      <c r="F14705" s="16"/>
      <c r="H14705" s="16"/>
      <c r="AG14705" s="80"/>
      <c r="AH14705" s="80"/>
      <c r="AI14705" s="80"/>
    </row>
    <row r="14706" spans="5:35" x14ac:dyDescent="0.25">
      <c r="E14706" s="16"/>
      <c r="F14706" s="16"/>
      <c r="H14706" s="16"/>
      <c r="AG14706" s="80"/>
      <c r="AH14706" s="80"/>
      <c r="AI14706" s="80"/>
    </row>
    <row r="14707" spans="5:35" x14ac:dyDescent="0.25">
      <c r="E14707" s="16"/>
      <c r="F14707" s="16"/>
      <c r="H14707" s="16"/>
      <c r="AG14707" s="80"/>
      <c r="AH14707" s="80"/>
      <c r="AI14707" s="80"/>
    </row>
    <row r="14708" spans="5:35" x14ac:dyDescent="0.25">
      <c r="E14708" s="16"/>
      <c r="F14708" s="16"/>
      <c r="H14708" s="16"/>
      <c r="AG14708" s="80"/>
      <c r="AH14708" s="80"/>
      <c r="AI14708" s="80"/>
    </row>
    <row r="14709" spans="5:35" x14ac:dyDescent="0.25">
      <c r="E14709" s="16"/>
      <c r="F14709" s="16"/>
      <c r="H14709" s="16"/>
      <c r="AG14709" s="80"/>
      <c r="AH14709" s="80"/>
      <c r="AI14709" s="80"/>
    </row>
    <row r="14710" spans="5:35" x14ac:dyDescent="0.25">
      <c r="E14710" s="16"/>
      <c r="F14710" s="16"/>
      <c r="H14710" s="16"/>
      <c r="AG14710" s="80"/>
      <c r="AH14710" s="80"/>
      <c r="AI14710" s="80"/>
    </row>
    <row r="14711" spans="5:35" x14ac:dyDescent="0.25">
      <c r="E14711" s="16"/>
      <c r="F14711" s="16"/>
      <c r="H14711" s="16"/>
      <c r="AG14711" s="80"/>
      <c r="AH14711" s="80"/>
      <c r="AI14711" s="80"/>
    </row>
    <row r="14712" spans="5:35" x14ac:dyDescent="0.25">
      <c r="E14712" s="16"/>
      <c r="F14712" s="16"/>
      <c r="H14712" s="16"/>
      <c r="AG14712" s="80"/>
      <c r="AH14712" s="80"/>
      <c r="AI14712" s="80"/>
    </row>
    <row r="14713" spans="5:35" x14ac:dyDescent="0.25">
      <c r="E14713" s="16"/>
      <c r="F14713" s="16"/>
      <c r="H14713" s="16"/>
      <c r="AG14713" s="80"/>
      <c r="AH14713" s="80"/>
      <c r="AI14713" s="80"/>
    </row>
    <row r="14714" spans="5:35" x14ac:dyDescent="0.25">
      <c r="E14714" s="16"/>
      <c r="F14714" s="16"/>
      <c r="H14714" s="16"/>
      <c r="AG14714" s="80"/>
      <c r="AH14714" s="80"/>
      <c r="AI14714" s="80"/>
    </row>
    <row r="14715" spans="5:35" x14ac:dyDescent="0.25">
      <c r="E14715" s="16"/>
      <c r="F14715" s="16"/>
      <c r="H14715" s="16"/>
      <c r="AG14715" s="80"/>
      <c r="AH14715" s="80"/>
      <c r="AI14715" s="80"/>
    </row>
    <row r="14716" spans="5:35" x14ac:dyDescent="0.25">
      <c r="E14716" s="16"/>
      <c r="F14716" s="16"/>
      <c r="H14716" s="16"/>
      <c r="AG14716" s="80"/>
      <c r="AH14716" s="80"/>
      <c r="AI14716" s="80"/>
    </row>
    <row r="14717" spans="5:35" x14ac:dyDescent="0.25">
      <c r="E14717" s="16"/>
      <c r="F14717" s="16"/>
      <c r="H14717" s="16"/>
      <c r="AG14717" s="80"/>
      <c r="AH14717" s="80"/>
      <c r="AI14717" s="80"/>
    </row>
    <row r="14718" spans="5:35" x14ac:dyDescent="0.25">
      <c r="E14718" s="16"/>
      <c r="F14718" s="16"/>
      <c r="H14718" s="16"/>
      <c r="AG14718" s="80"/>
      <c r="AH14718" s="80"/>
      <c r="AI14718" s="80"/>
    </row>
    <row r="14719" spans="5:35" x14ac:dyDescent="0.25">
      <c r="E14719" s="16"/>
      <c r="F14719" s="16"/>
      <c r="H14719" s="16"/>
      <c r="AG14719" s="80"/>
      <c r="AH14719" s="80"/>
      <c r="AI14719" s="80"/>
    </row>
    <row r="14720" spans="5:35" x14ac:dyDescent="0.25">
      <c r="E14720" s="16"/>
      <c r="F14720" s="16"/>
      <c r="H14720" s="16"/>
      <c r="AG14720" s="80"/>
      <c r="AH14720" s="80"/>
      <c r="AI14720" s="80"/>
    </row>
    <row r="14721" spans="5:35" x14ac:dyDescent="0.25">
      <c r="E14721" s="16"/>
      <c r="F14721" s="16"/>
      <c r="H14721" s="16"/>
      <c r="AG14721" s="80"/>
      <c r="AH14721" s="80"/>
      <c r="AI14721" s="80"/>
    </row>
    <row r="14722" spans="5:35" x14ac:dyDescent="0.25">
      <c r="E14722" s="16"/>
      <c r="F14722" s="16"/>
      <c r="H14722" s="16"/>
      <c r="AG14722" s="80"/>
      <c r="AH14722" s="80"/>
      <c r="AI14722" s="80"/>
    </row>
    <row r="14723" spans="5:35" x14ac:dyDescent="0.25">
      <c r="E14723" s="16"/>
      <c r="F14723" s="16"/>
      <c r="H14723" s="16"/>
      <c r="AG14723" s="80"/>
      <c r="AH14723" s="80"/>
      <c r="AI14723" s="80"/>
    </row>
    <row r="14724" spans="5:35" x14ac:dyDescent="0.25">
      <c r="E14724" s="16"/>
      <c r="F14724" s="16"/>
      <c r="H14724" s="16"/>
      <c r="AG14724" s="80"/>
      <c r="AH14724" s="80"/>
      <c r="AI14724" s="80"/>
    </row>
    <row r="14725" spans="5:35" x14ac:dyDescent="0.25">
      <c r="E14725" s="16"/>
      <c r="F14725" s="16"/>
      <c r="H14725" s="16"/>
      <c r="AG14725" s="80"/>
      <c r="AH14725" s="80"/>
      <c r="AI14725" s="80"/>
    </row>
    <row r="14726" spans="5:35" x14ac:dyDescent="0.25">
      <c r="E14726" s="16"/>
      <c r="F14726" s="16"/>
      <c r="H14726" s="16"/>
      <c r="AG14726" s="80"/>
      <c r="AH14726" s="80"/>
      <c r="AI14726" s="80"/>
    </row>
    <row r="14727" spans="5:35" x14ac:dyDescent="0.25">
      <c r="E14727" s="16"/>
      <c r="F14727" s="16"/>
      <c r="H14727" s="16"/>
      <c r="AG14727" s="80"/>
      <c r="AH14727" s="80"/>
      <c r="AI14727" s="80"/>
    </row>
    <row r="14728" spans="5:35" x14ac:dyDescent="0.25">
      <c r="E14728" s="16"/>
      <c r="F14728" s="16"/>
      <c r="H14728" s="16"/>
      <c r="AG14728" s="80"/>
      <c r="AH14728" s="80"/>
      <c r="AI14728" s="80"/>
    </row>
    <row r="14729" spans="5:35" x14ac:dyDescent="0.25">
      <c r="E14729" s="16"/>
      <c r="F14729" s="16"/>
      <c r="H14729" s="16"/>
      <c r="AG14729" s="80"/>
      <c r="AH14729" s="80"/>
      <c r="AI14729" s="80"/>
    </row>
    <row r="14730" spans="5:35" x14ac:dyDescent="0.25">
      <c r="E14730" s="16"/>
      <c r="F14730" s="16"/>
      <c r="H14730" s="16"/>
      <c r="AG14730" s="80"/>
      <c r="AH14730" s="80"/>
      <c r="AI14730" s="80"/>
    </row>
    <row r="14731" spans="5:35" x14ac:dyDescent="0.25">
      <c r="E14731" s="16"/>
      <c r="F14731" s="16"/>
      <c r="H14731" s="16"/>
      <c r="AG14731" s="80"/>
      <c r="AH14731" s="80"/>
      <c r="AI14731" s="80"/>
    </row>
    <row r="14732" spans="5:35" x14ac:dyDescent="0.25">
      <c r="E14732" s="16"/>
      <c r="F14732" s="16"/>
      <c r="H14732" s="16"/>
      <c r="AG14732" s="80"/>
      <c r="AH14732" s="80"/>
      <c r="AI14732" s="80"/>
    </row>
    <row r="14733" spans="5:35" x14ac:dyDescent="0.25">
      <c r="E14733" s="16"/>
      <c r="F14733" s="16"/>
      <c r="H14733" s="16"/>
      <c r="AG14733" s="80"/>
      <c r="AH14733" s="80"/>
      <c r="AI14733" s="80"/>
    </row>
    <row r="14734" spans="5:35" x14ac:dyDescent="0.25">
      <c r="E14734" s="16"/>
      <c r="F14734" s="16"/>
      <c r="H14734" s="16"/>
      <c r="AG14734" s="80"/>
      <c r="AH14734" s="80"/>
      <c r="AI14734" s="80"/>
    </row>
    <row r="14735" spans="5:35" x14ac:dyDescent="0.25">
      <c r="E14735" s="16"/>
      <c r="F14735" s="16"/>
      <c r="H14735" s="16"/>
      <c r="AG14735" s="80"/>
      <c r="AH14735" s="80"/>
      <c r="AI14735" s="80"/>
    </row>
    <row r="14736" spans="5:35" x14ac:dyDescent="0.25">
      <c r="E14736" s="16"/>
      <c r="F14736" s="16"/>
      <c r="H14736" s="16"/>
      <c r="AG14736" s="80"/>
      <c r="AH14736" s="80"/>
      <c r="AI14736" s="80"/>
    </row>
    <row r="14737" spans="5:35" x14ac:dyDescent="0.25">
      <c r="E14737" s="16"/>
      <c r="F14737" s="16"/>
      <c r="H14737" s="16"/>
      <c r="AG14737" s="80"/>
      <c r="AH14737" s="80"/>
      <c r="AI14737" s="80"/>
    </row>
    <row r="14738" spans="5:35" x14ac:dyDescent="0.25">
      <c r="E14738" s="16"/>
      <c r="F14738" s="16"/>
      <c r="H14738" s="16"/>
      <c r="AG14738" s="80"/>
      <c r="AH14738" s="80"/>
      <c r="AI14738" s="80"/>
    </row>
    <row r="14739" spans="5:35" x14ac:dyDescent="0.25">
      <c r="E14739" s="16"/>
      <c r="F14739" s="16"/>
      <c r="H14739" s="16"/>
      <c r="AG14739" s="80"/>
      <c r="AH14739" s="80"/>
      <c r="AI14739" s="80"/>
    </row>
    <row r="14740" spans="5:35" x14ac:dyDescent="0.25">
      <c r="E14740" s="16"/>
      <c r="F14740" s="16"/>
      <c r="H14740" s="16"/>
      <c r="AG14740" s="80"/>
      <c r="AH14740" s="80"/>
      <c r="AI14740" s="80"/>
    </row>
    <row r="14741" spans="5:35" x14ac:dyDescent="0.25">
      <c r="E14741" s="16"/>
      <c r="F14741" s="16"/>
      <c r="H14741" s="16"/>
      <c r="AG14741" s="80"/>
      <c r="AH14741" s="80"/>
      <c r="AI14741" s="80"/>
    </row>
    <row r="14742" spans="5:35" x14ac:dyDescent="0.25">
      <c r="E14742" s="16"/>
      <c r="F14742" s="16"/>
      <c r="H14742" s="16"/>
      <c r="AG14742" s="80"/>
      <c r="AH14742" s="80"/>
      <c r="AI14742" s="80"/>
    </row>
    <row r="14743" spans="5:35" x14ac:dyDescent="0.25">
      <c r="E14743" s="16"/>
      <c r="F14743" s="16"/>
      <c r="H14743" s="16"/>
      <c r="AG14743" s="80"/>
      <c r="AH14743" s="80"/>
      <c r="AI14743" s="80"/>
    </row>
    <row r="14744" spans="5:35" x14ac:dyDescent="0.25">
      <c r="E14744" s="16"/>
      <c r="F14744" s="16"/>
      <c r="H14744" s="16"/>
      <c r="AG14744" s="80"/>
      <c r="AH14744" s="80"/>
      <c r="AI14744" s="80"/>
    </row>
    <row r="14745" spans="5:35" x14ac:dyDescent="0.25">
      <c r="E14745" s="16"/>
      <c r="F14745" s="16"/>
      <c r="H14745" s="16"/>
      <c r="AG14745" s="80"/>
      <c r="AH14745" s="80"/>
      <c r="AI14745" s="80"/>
    </row>
    <row r="14746" spans="5:35" x14ac:dyDescent="0.25">
      <c r="E14746" s="16"/>
      <c r="F14746" s="16"/>
      <c r="H14746" s="16"/>
      <c r="AG14746" s="80"/>
      <c r="AH14746" s="80"/>
      <c r="AI14746" s="80"/>
    </row>
    <row r="14747" spans="5:35" x14ac:dyDescent="0.25">
      <c r="E14747" s="16"/>
      <c r="F14747" s="16"/>
      <c r="H14747" s="16"/>
      <c r="AG14747" s="80"/>
      <c r="AH14747" s="80"/>
      <c r="AI14747" s="80"/>
    </row>
    <row r="14748" spans="5:35" x14ac:dyDescent="0.25">
      <c r="E14748" s="16"/>
      <c r="F14748" s="16"/>
      <c r="H14748" s="16"/>
      <c r="AG14748" s="80"/>
      <c r="AH14748" s="80"/>
      <c r="AI14748" s="80"/>
    </row>
    <row r="14749" spans="5:35" x14ac:dyDescent="0.25">
      <c r="E14749" s="16"/>
      <c r="F14749" s="16"/>
      <c r="H14749" s="16"/>
      <c r="AG14749" s="80"/>
      <c r="AH14749" s="80"/>
      <c r="AI14749" s="80"/>
    </row>
    <row r="14750" spans="5:35" x14ac:dyDescent="0.25">
      <c r="E14750" s="16"/>
      <c r="F14750" s="16"/>
      <c r="H14750" s="16"/>
      <c r="AG14750" s="80"/>
      <c r="AH14750" s="80"/>
      <c r="AI14750" s="80"/>
    </row>
    <row r="14751" spans="5:35" x14ac:dyDescent="0.25">
      <c r="E14751" s="16"/>
      <c r="F14751" s="16"/>
      <c r="H14751" s="16"/>
      <c r="AG14751" s="80"/>
      <c r="AH14751" s="80"/>
      <c r="AI14751" s="80"/>
    </row>
    <row r="14752" spans="5:35" x14ac:dyDescent="0.25">
      <c r="E14752" s="16"/>
      <c r="F14752" s="16"/>
      <c r="H14752" s="16"/>
      <c r="AG14752" s="80"/>
      <c r="AH14752" s="80"/>
      <c r="AI14752" s="80"/>
    </row>
    <row r="14753" spans="5:35" x14ac:dyDescent="0.25">
      <c r="E14753" s="16"/>
      <c r="F14753" s="16"/>
      <c r="H14753" s="16"/>
      <c r="AG14753" s="80"/>
      <c r="AH14753" s="80"/>
      <c r="AI14753" s="80"/>
    </row>
    <row r="14754" spans="5:35" x14ac:dyDescent="0.25">
      <c r="E14754" s="16"/>
      <c r="F14754" s="16"/>
      <c r="H14754" s="16"/>
      <c r="AG14754" s="80"/>
      <c r="AH14754" s="80"/>
      <c r="AI14754" s="80"/>
    </row>
    <row r="14755" spans="5:35" x14ac:dyDescent="0.25">
      <c r="E14755" s="16"/>
      <c r="F14755" s="16"/>
      <c r="H14755" s="16"/>
      <c r="AG14755" s="80"/>
      <c r="AH14755" s="80"/>
      <c r="AI14755" s="80"/>
    </row>
    <row r="14756" spans="5:35" x14ac:dyDescent="0.25">
      <c r="E14756" s="16"/>
      <c r="F14756" s="16"/>
      <c r="H14756" s="16"/>
      <c r="AG14756" s="80"/>
      <c r="AH14756" s="80"/>
      <c r="AI14756" s="80"/>
    </row>
    <row r="14757" spans="5:35" x14ac:dyDescent="0.25">
      <c r="E14757" s="16"/>
      <c r="F14757" s="16"/>
      <c r="H14757" s="16"/>
      <c r="AG14757" s="80"/>
      <c r="AH14757" s="80"/>
      <c r="AI14757" s="80"/>
    </row>
    <row r="14758" spans="5:35" x14ac:dyDescent="0.25">
      <c r="E14758" s="16"/>
      <c r="F14758" s="16"/>
      <c r="H14758" s="16"/>
      <c r="AG14758" s="80"/>
      <c r="AH14758" s="80"/>
      <c r="AI14758" s="80"/>
    </row>
    <row r="14759" spans="5:35" x14ac:dyDescent="0.25">
      <c r="E14759" s="16"/>
      <c r="F14759" s="16"/>
      <c r="H14759" s="16"/>
      <c r="AG14759" s="80"/>
      <c r="AH14759" s="80"/>
      <c r="AI14759" s="80"/>
    </row>
    <row r="14760" spans="5:35" x14ac:dyDescent="0.25">
      <c r="E14760" s="16"/>
      <c r="F14760" s="16"/>
      <c r="H14760" s="16"/>
      <c r="AG14760" s="80"/>
      <c r="AH14760" s="80"/>
      <c r="AI14760" s="80"/>
    </row>
    <row r="14761" spans="5:35" x14ac:dyDescent="0.25">
      <c r="E14761" s="16"/>
      <c r="F14761" s="16"/>
      <c r="H14761" s="16"/>
      <c r="AG14761" s="80"/>
      <c r="AH14761" s="80"/>
      <c r="AI14761" s="80"/>
    </row>
    <row r="14762" spans="5:35" x14ac:dyDescent="0.25">
      <c r="E14762" s="16"/>
      <c r="F14762" s="16"/>
      <c r="H14762" s="16"/>
      <c r="AG14762" s="80"/>
      <c r="AH14762" s="80"/>
      <c r="AI14762" s="80"/>
    </row>
    <row r="14763" spans="5:35" x14ac:dyDescent="0.25">
      <c r="E14763" s="16"/>
      <c r="F14763" s="16"/>
      <c r="H14763" s="16"/>
      <c r="AG14763" s="80"/>
      <c r="AH14763" s="80"/>
      <c r="AI14763" s="80"/>
    </row>
    <row r="14764" spans="5:35" x14ac:dyDescent="0.25">
      <c r="E14764" s="16"/>
      <c r="F14764" s="16"/>
      <c r="H14764" s="16"/>
      <c r="AG14764" s="80"/>
      <c r="AH14764" s="80"/>
      <c r="AI14764" s="80"/>
    </row>
    <row r="14765" spans="5:35" x14ac:dyDescent="0.25">
      <c r="E14765" s="16"/>
      <c r="F14765" s="16"/>
      <c r="H14765" s="16"/>
      <c r="AG14765" s="80"/>
      <c r="AH14765" s="80"/>
      <c r="AI14765" s="80"/>
    </row>
    <row r="14766" spans="5:35" x14ac:dyDescent="0.25">
      <c r="E14766" s="16"/>
      <c r="F14766" s="16"/>
      <c r="H14766" s="16"/>
      <c r="AG14766" s="80"/>
      <c r="AH14766" s="80"/>
      <c r="AI14766" s="80"/>
    </row>
    <row r="14767" spans="5:35" x14ac:dyDescent="0.25">
      <c r="E14767" s="16"/>
      <c r="F14767" s="16"/>
      <c r="H14767" s="16"/>
      <c r="AG14767" s="80"/>
      <c r="AH14767" s="80"/>
      <c r="AI14767" s="80"/>
    </row>
    <row r="14768" spans="5:35" x14ac:dyDescent="0.25">
      <c r="E14768" s="16"/>
      <c r="F14768" s="16"/>
      <c r="H14768" s="16"/>
      <c r="AG14768" s="80"/>
      <c r="AH14768" s="80"/>
      <c r="AI14768" s="80"/>
    </row>
    <row r="14769" spans="5:35" x14ac:dyDescent="0.25">
      <c r="E14769" s="16"/>
      <c r="F14769" s="16"/>
      <c r="H14769" s="16"/>
      <c r="AG14769" s="80"/>
      <c r="AH14769" s="80"/>
      <c r="AI14769" s="80"/>
    </row>
    <row r="14770" spans="5:35" x14ac:dyDescent="0.25">
      <c r="E14770" s="16"/>
      <c r="F14770" s="16"/>
      <c r="H14770" s="16"/>
      <c r="AG14770" s="80"/>
      <c r="AH14770" s="80"/>
      <c r="AI14770" s="80"/>
    </row>
    <row r="14771" spans="5:35" x14ac:dyDescent="0.25">
      <c r="E14771" s="16"/>
      <c r="F14771" s="16"/>
      <c r="H14771" s="16"/>
      <c r="AG14771" s="80"/>
      <c r="AH14771" s="80"/>
      <c r="AI14771" s="80"/>
    </row>
    <row r="14772" spans="5:35" x14ac:dyDescent="0.25">
      <c r="E14772" s="16"/>
      <c r="F14772" s="16"/>
      <c r="H14772" s="16"/>
      <c r="AG14772" s="80"/>
      <c r="AH14772" s="80"/>
      <c r="AI14772" s="80"/>
    </row>
    <row r="14773" spans="5:35" x14ac:dyDescent="0.25">
      <c r="E14773" s="16"/>
      <c r="F14773" s="16"/>
      <c r="H14773" s="16"/>
      <c r="AG14773" s="80"/>
      <c r="AH14773" s="80"/>
      <c r="AI14773" s="80"/>
    </row>
    <row r="14774" spans="5:35" x14ac:dyDescent="0.25">
      <c r="E14774" s="16"/>
      <c r="F14774" s="16"/>
      <c r="H14774" s="16"/>
      <c r="AG14774" s="80"/>
      <c r="AH14774" s="80"/>
      <c r="AI14774" s="80"/>
    </row>
    <row r="14775" spans="5:35" x14ac:dyDescent="0.25">
      <c r="E14775" s="16"/>
      <c r="F14775" s="16"/>
      <c r="H14775" s="16"/>
      <c r="AG14775" s="80"/>
      <c r="AH14775" s="80"/>
      <c r="AI14775" s="80"/>
    </row>
    <row r="14776" spans="5:35" x14ac:dyDescent="0.25">
      <c r="E14776" s="16"/>
      <c r="F14776" s="16"/>
      <c r="H14776" s="16"/>
      <c r="AG14776" s="80"/>
      <c r="AH14776" s="80"/>
      <c r="AI14776" s="80"/>
    </row>
    <row r="14777" spans="5:35" x14ac:dyDescent="0.25">
      <c r="E14777" s="16"/>
      <c r="F14777" s="16"/>
      <c r="H14777" s="16"/>
      <c r="AG14777" s="80"/>
      <c r="AH14777" s="80"/>
      <c r="AI14777" s="80"/>
    </row>
    <row r="14778" spans="5:35" x14ac:dyDescent="0.25">
      <c r="E14778" s="16"/>
      <c r="F14778" s="16"/>
      <c r="H14778" s="16"/>
      <c r="AG14778" s="80"/>
      <c r="AH14778" s="80"/>
      <c r="AI14778" s="80"/>
    </row>
    <row r="14779" spans="5:35" x14ac:dyDescent="0.25">
      <c r="E14779" s="16"/>
      <c r="F14779" s="16"/>
      <c r="H14779" s="16"/>
      <c r="AG14779" s="80"/>
      <c r="AH14779" s="80"/>
      <c r="AI14779" s="80"/>
    </row>
    <row r="14780" spans="5:35" x14ac:dyDescent="0.25">
      <c r="E14780" s="16"/>
      <c r="F14780" s="16"/>
      <c r="H14780" s="16"/>
      <c r="AG14780" s="80"/>
      <c r="AH14780" s="80"/>
      <c r="AI14780" s="80"/>
    </row>
    <row r="14781" spans="5:35" x14ac:dyDescent="0.25">
      <c r="E14781" s="16"/>
      <c r="F14781" s="16"/>
      <c r="H14781" s="16"/>
      <c r="AG14781" s="80"/>
      <c r="AH14781" s="80"/>
      <c r="AI14781" s="80"/>
    </row>
    <row r="14782" spans="5:35" x14ac:dyDescent="0.25">
      <c r="E14782" s="16"/>
      <c r="F14782" s="16"/>
      <c r="H14782" s="16"/>
      <c r="AG14782" s="80"/>
      <c r="AH14782" s="80"/>
      <c r="AI14782" s="80"/>
    </row>
    <row r="14783" spans="5:35" x14ac:dyDescent="0.25">
      <c r="E14783" s="16"/>
      <c r="F14783" s="16"/>
      <c r="H14783" s="16"/>
      <c r="AG14783" s="80"/>
      <c r="AH14783" s="80"/>
      <c r="AI14783" s="80"/>
    </row>
    <row r="14784" spans="5:35" x14ac:dyDescent="0.25">
      <c r="E14784" s="16"/>
      <c r="F14784" s="16"/>
      <c r="H14784" s="16"/>
      <c r="AG14784" s="80"/>
      <c r="AH14784" s="80"/>
      <c r="AI14784" s="80"/>
    </row>
    <row r="14785" spans="5:35" x14ac:dyDescent="0.25">
      <c r="E14785" s="16"/>
      <c r="F14785" s="16"/>
      <c r="H14785" s="16"/>
      <c r="AG14785" s="80"/>
      <c r="AH14785" s="80"/>
      <c r="AI14785" s="80"/>
    </row>
    <row r="14786" spans="5:35" x14ac:dyDescent="0.25">
      <c r="E14786" s="16"/>
      <c r="F14786" s="16"/>
      <c r="H14786" s="16"/>
      <c r="AG14786" s="80"/>
      <c r="AH14786" s="80"/>
      <c r="AI14786" s="80"/>
    </row>
    <row r="14787" spans="5:35" x14ac:dyDescent="0.25">
      <c r="E14787" s="16"/>
      <c r="F14787" s="16"/>
      <c r="H14787" s="16"/>
      <c r="AG14787" s="80"/>
      <c r="AH14787" s="80"/>
      <c r="AI14787" s="80"/>
    </row>
    <row r="14788" spans="5:35" x14ac:dyDescent="0.25">
      <c r="E14788" s="16"/>
      <c r="F14788" s="16"/>
      <c r="H14788" s="16"/>
      <c r="AG14788" s="80"/>
      <c r="AH14788" s="80"/>
      <c r="AI14788" s="80"/>
    </row>
    <row r="14789" spans="5:35" x14ac:dyDescent="0.25">
      <c r="E14789" s="16"/>
      <c r="F14789" s="16"/>
      <c r="H14789" s="16"/>
      <c r="AG14789" s="80"/>
      <c r="AH14789" s="80"/>
      <c r="AI14789" s="80"/>
    </row>
    <row r="14790" spans="5:35" x14ac:dyDescent="0.25">
      <c r="E14790" s="16"/>
      <c r="F14790" s="16"/>
      <c r="H14790" s="16"/>
      <c r="AG14790" s="80"/>
      <c r="AH14790" s="80"/>
      <c r="AI14790" s="80"/>
    </row>
    <row r="14791" spans="5:35" x14ac:dyDescent="0.25">
      <c r="E14791" s="16"/>
      <c r="F14791" s="16"/>
      <c r="H14791" s="16"/>
      <c r="AG14791" s="80"/>
      <c r="AH14791" s="80"/>
      <c r="AI14791" s="80"/>
    </row>
    <row r="14792" spans="5:35" x14ac:dyDescent="0.25">
      <c r="E14792" s="16"/>
      <c r="F14792" s="16"/>
      <c r="H14792" s="16"/>
      <c r="AG14792" s="80"/>
      <c r="AH14792" s="80"/>
      <c r="AI14792" s="80"/>
    </row>
    <row r="14793" spans="5:35" x14ac:dyDescent="0.25">
      <c r="E14793" s="16"/>
      <c r="F14793" s="16"/>
      <c r="H14793" s="16"/>
      <c r="AG14793" s="80"/>
      <c r="AH14793" s="80"/>
      <c r="AI14793" s="80"/>
    </row>
    <row r="14794" spans="5:35" x14ac:dyDescent="0.25">
      <c r="E14794" s="16"/>
      <c r="F14794" s="16"/>
      <c r="H14794" s="16"/>
      <c r="AG14794" s="80"/>
      <c r="AH14794" s="80"/>
      <c r="AI14794" s="80"/>
    </row>
    <row r="14795" spans="5:35" x14ac:dyDescent="0.25">
      <c r="E14795" s="16"/>
      <c r="F14795" s="16"/>
      <c r="H14795" s="16"/>
      <c r="AG14795" s="80"/>
      <c r="AH14795" s="80"/>
      <c r="AI14795" s="80"/>
    </row>
    <row r="14796" spans="5:35" x14ac:dyDescent="0.25">
      <c r="E14796" s="16"/>
      <c r="F14796" s="16"/>
      <c r="H14796" s="16"/>
      <c r="AG14796" s="80"/>
      <c r="AH14796" s="80"/>
      <c r="AI14796" s="80"/>
    </row>
    <row r="14797" spans="5:35" x14ac:dyDescent="0.25">
      <c r="E14797" s="16"/>
      <c r="F14797" s="16"/>
      <c r="H14797" s="16"/>
      <c r="AG14797" s="80"/>
      <c r="AH14797" s="80"/>
      <c r="AI14797" s="80"/>
    </row>
    <row r="14798" spans="5:35" x14ac:dyDescent="0.25">
      <c r="E14798" s="16"/>
      <c r="F14798" s="16"/>
      <c r="H14798" s="16"/>
      <c r="AG14798" s="80"/>
      <c r="AH14798" s="80"/>
      <c r="AI14798" s="80"/>
    </row>
    <row r="14799" spans="5:35" x14ac:dyDescent="0.25">
      <c r="E14799" s="16"/>
      <c r="F14799" s="16"/>
      <c r="H14799" s="16"/>
      <c r="AG14799" s="80"/>
      <c r="AH14799" s="80"/>
      <c r="AI14799" s="80"/>
    </row>
    <row r="14800" spans="5:35" x14ac:dyDescent="0.25">
      <c r="E14800" s="16"/>
      <c r="F14800" s="16"/>
      <c r="H14800" s="16"/>
      <c r="AG14800" s="80"/>
      <c r="AH14800" s="80"/>
      <c r="AI14800" s="80"/>
    </row>
    <row r="14801" spans="5:35" x14ac:dyDescent="0.25">
      <c r="E14801" s="16"/>
      <c r="F14801" s="16"/>
      <c r="H14801" s="16"/>
      <c r="AG14801" s="80"/>
      <c r="AH14801" s="80"/>
      <c r="AI14801" s="80"/>
    </row>
    <row r="14802" spans="5:35" x14ac:dyDescent="0.25">
      <c r="E14802" s="16"/>
      <c r="F14802" s="16"/>
      <c r="H14802" s="16"/>
      <c r="AG14802" s="80"/>
      <c r="AH14802" s="80"/>
      <c r="AI14802" s="80"/>
    </row>
    <row r="14803" spans="5:35" x14ac:dyDescent="0.25">
      <c r="E14803" s="16"/>
      <c r="F14803" s="16"/>
      <c r="H14803" s="16"/>
      <c r="AG14803" s="80"/>
      <c r="AH14803" s="80"/>
      <c r="AI14803" s="80"/>
    </row>
    <row r="14804" spans="5:35" x14ac:dyDescent="0.25">
      <c r="E14804" s="16"/>
      <c r="F14804" s="16"/>
      <c r="H14804" s="16"/>
      <c r="AG14804" s="80"/>
      <c r="AH14804" s="80"/>
      <c r="AI14804" s="80"/>
    </row>
    <row r="14805" spans="5:35" x14ac:dyDescent="0.25">
      <c r="E14805" s="16"/>
      <c r="F14805" s="16"/>
      <c r="H14805" s="16"/>
      <c r="AG14805" s="80"/>
      <c r="AH14805" s="80"/>
      <c r="AI14805" s="80"/>
    </row>
    <row r="14806" spans="5:35" x14ac:dyDescent="0.25">
      <c r="E14806" s="16"/>
      <c r="F14806" s="16"/>
      <c r="H14806" s="16"/>
      <c r="AG14806" s="80"/>
      <c r="AH14806" s="80"/>
      <c r="AI14806" s="80"/>
    </row>
    <row r="14807" spans="5:35" x14ac:dyDescent="0.25">
      <c r="E14807" s="16"/>
      <c r="F14807" s="16"/>
      <c r="H14807" s="16"/>
      <c r="AG14807" s="80"/>
      <c r="AH14807" s="80"/>
      <c r="AI14807" s="80"/>
    </row>
    <row r="14808" spans="5:35" x14ac:dyDescent="0.25">
      <c r="E14808" s="16"/>
      <c r="F14808" s="16"/>
      <c r="H14808" s="16"/>
      <c r="AG14808" s="80"/>
      <c r="AH14808" s="80"/>
      <c r="AI14808" s="80"/>
    </row>
    <row r="14809" spans="5:35" x14ac:dyDescent="0.25">
      <c r="E14809" s="16"/>
      <c r="F14809" s="16"/>
      <c r="H14809" s="16"/>
      <c r="AG14809" s="80"/>
      <c r="AH14809" s="80"/>
      <c r="AI14809" s="80"/>
    </row>
    <row r="14810" spans="5:35" x14ac:dyDescent="0.25">
      <c r="E14810" s="16"/>
      <c r="F14810" s="16"/>
      <c r="H14810" s="16"/>
      <c r="AG14810" s="80"/>
      <c r="AH14810" s="80"/>
      <c r="AI14810" s="80"/>
    </row>
    <row r="14811" spans="5:35" x14ac:dyDescent="0.25">
      <c r="E14811" s="16"/>
      <c r="F14811" s="16"/>
      <c r="H14811" s="16"/>
      <c r="AG14811" s="80"/>
      <c r="AH14811" s="80"/>
      <c r="AI14811" s="80"/>
    </row>
    <row r="14812" spans="5:35" x14ac:dyDescent="0.25">
      <c r="E14812" s="16"/>
      <c r="F14812" s="16"/>
      <c r="H14812" s="16"/>
      <c r="AG14812" s="80"/>
      <c r="AH14812" s="80"/>
      <c r="AI14812" s="80"/>
    </row>
    <row r="14813" spans="5:35" x14ac:dyDescent="0.25">
      <c r="E14813" s="16"/>
      <c r="F14813" s="16"/>
      <c r="H14813" s="16"/>
      <c r="AG14813" s="80"/>
      <c r="AH14813" s="80"/>
      <c r="AI14813" s="80"/>
    </row>
    <row r="14814" spans="5:35" x14ac:dyDescent="0.25">
      <c r="E14814" s="16"/>
      <c r="F14814" s="16"/>
      <c r="H14814" s="16"/>
      <c r="AG14814" s="80"/>
      <c r="AH14814" s="80"/>
      <c r="AI14814" s="80"/>
    </row>
    <row r="14815" spans="5:35" x14ac:dyDescent="0.25">
      <c r="E14815" s="16"/>
      <c r="F14815" s="16"/>
      <c r="H14815" s="16"/>
      <c r="AG14815" s="80"/>
      <c r="AH14815" s="80"/>
      <c r="AI14815" s="80"/>
    </row>
    <row r="14816" spans="5:35" x14ac:dyDescent="0.25">
      <c r="E14816" s="16"/>
      <c r="F14816" s="16"/>
      <c r="H14816" s="16"/>
      <c r="AG14816" s="80"/>
      <c r="AH14816" s="80"/>
      <c r="AI14816" s="80"/>
    </row>
    <row r="14817" spans="5:35" x14ac:dyDescent="0.25">
      <c r="E14817" s="16"/>
      <c r="F14817" s="16"/>
      <c r="H14817" s="16"/>
      <c r="AG14817" s="80"/>
      <c r="AH14817" s="80"/>
      <c r="AI14817" s="80"/>
    </row>
    <row r="14818" spans="5:35" x14ac:dyDescent="0.25">
      <c r="E14818" s="16"/>
      <c r="F14818" s="16"/>
      <c r="H14818" s="16"/>
      <c r="AG14818" s="80"/>
      <c r="AH14818" s="80"/>
      <c r="AI14818" s="80"/>
    </row>
    <row r="14819" spans="5:35" x14ac:dyDescent="0.25">
      <c r="E14819" s="16"/>
      <c r="F14819" s="16"/>
      <c r="H14819" s="16"/>
      <c r="AG14819" s="80"/>
      <c r="AH14819" s="80"/>
      <c r="AI14819" s="80"/>
    </row>
    <row r="14820" spans="5:35" x14ac:dyDescent="0.25">
      <c r="E14820" s="16"/>
      <c r="F14820" s="16"/>
      <c r="H14820" s="16"/>
      <c r="AG14820" s="80"/>
      <c r="AH14820" s="80"/>
      <c r="AI14820" s="80"/>
    </row>
    <row r="14821" spans="5:35" x14ac:dyDescent="0.25">
      <c r="E14821" s="16"/>
      <c r="F14821" s="16"/>
      <c r="H14821" s="16"/>
      <c r="AG14821" s="80"/>
      <c r="AH14821" s="80"/>
      <c r="AI14821" s="80"/>
    </row>
    <row r="14822" spans="5:35" x14ac:dyDescent="0.25">
      <c r="E14822" s="16"/>
      <c r="F14822" s="16"/>
      <c r="H14822" s="16"/>
      <c r="AG14822" s="80"/>
      <c r="AH14822" s="80"/>
      <c r="AI14822" s="80"/>
    </row>
    <row r="14823" spans="5:35" x14ac:dyDescent="0.25">
      <c r="E14823" s="16"/>
      <c r="F14823" s="16"/>
      <c r="H14823" s="16"/>
      <c r="AG14823" s="80"/>
      <c r="AH14823" s="80"/>
      <c r="AI14823" s="80"/>
    </row>
    <row r="14824" spans="5:35" x14ac:dyDescent="0.25">
      <c r="E14824" s="16"/>
      <c r="F14824" s="16"/>
      <c r="H14824" s="16"/>
      <c r="AG14824" s="80"/>
      <c r="AH14824" s="80"/>
      <c r="AI14824" s="80"/>
    </row>
    <row r="14825" spans="5:35" x14ac:dyDescent="0.25">
      <c r="E14825" s="16"/>
      <c r="F14825" s="16"/>
      <c r="H14825" s="16"/>
      <c r="AG14825" s="80"/>
      <c r="AH14825" s="80"/>
      <c r="AI14825" s="80"/>
    </row>
    <row r="14826" spans="5:35" x14ac:dyDescent="0.25">
      <c r="E14826" s="16"/>
      <c r="F14826" s="16"/>
      <c r="H14826" s="16"/>
      <c r="AG14826" s="80"/>
      <c r="AH14826" s="80"/>
      <c r="AI14826" s="80"/>
    </row>
    <row r="14827" spans="5:35" x14ac:dyDescent="0.25">
      <c r="E14827" s="16"/>
      <c r="F14827" s="16"/>
      <c r="H14827" s="16"/>
      <c r="AG14827" s="80"/>
      <c r="AH14827" s="80"/>
      <c r="AI14827" s="80"/>
    </row>
    <row r="14828" spans="5:35" x14ac:dyDescent="0.25">
      <c r="E14828" s="16"/>
      <c r="F14828" s="16"/>
      <c r="H14828" s="16"/>
      <c r="AG14828" s="80"/>
      <c r="AH14828" s="80"/>
      <c r="AI14828" s="80"/>
    </row>
    <row r="14829" spans="5:35" x14ac:dyDescent="0.25">
      <c r="E14829" s="16"/>
      <c r="F14829" s="16"/>
      <c r="H14829" s="16"/>
      <c r="AG14829" s="80"/>
      <c r="AH14829" s="80"/>
      <c r="AI14829" s="80"/>
    </row>
    <row r="14830" spans="5:35" x14ac:dyDescent="0.25">
      <c r="E14830" s="16"/>
      <c r="F14830" s="16"/>
      <c r="H14830" s="16"/>
      <c r="AG14830" s="80"/>
      <c r="AH14830" s="80"/>
      <c r="AI14830" s="80"/>
    </row>
    <row r="14831" spans="5:35" x14ac:dyDescent="0.25">
      <c r="E14831" s="16"/>
      <c r="F14831" s="16"/>
      <c r="H14831" s="16"/>
      <c r="AG14831" s="80"/>
      <c r="AH14831" s="80"/>
      <c r="AI14831" s="80"/>
    </row>
    <row r="14832" spans="5:35" x14ac:dyDescent="0.25">
      <c r="E14832" s="16"/>
      <c r="F14832" s="16"/>
      <c r="H14832" s="16"/>
      <c r="AG14832" s="80"/>
      <c r="AH14832" s="80"/>
      <c r="AI14832" s="80"/>
    </row>
    <row r="14833" spans="5:35" x14ac:dyDescent="0.25">
      <c r="E14833" s="16"/>
      <c r="F14833" s="16"/>
      <c r="H14833" s="16"/>
      <c r="AG14833" s="80"/>
      <c r="AH14833" s="80"/>
      <c r="AI14833" s="80"/>
    </row>
    <row r="14834" spans="5:35" x14ac:dyDescent="0.25">
      <c r="E14834" s="16"/>
      <c r="F14834" s="16"/>
      <c r="H14834" s="16"/>
      <c r="AG14834" s="80"/>
      <c r="AH14834" s="80"/>
      <c r="AI14834" s="80"/>
    </row>
    <row r="14835" spans="5:35" x14ac:dyDescent="0.25">
      <c r="E14835" s="16"/>
      <c r="F14835" s="16"/>
      <c r="H14835" s="16"/>
      <c r="AG14835" s="80"/>
      <c r="AH14835" s="80"/>
      <c r="AI14835" s="80"/>
    </row>
    <row r="14836" spans="5:35" x14ac:dyDescent="0.25">
      <c r="E14836" s="16"/>
      <c r="F14836" s="16"/>
      <c r="H14836" s="16"/>
      <c r="AG14836" s="80"/>
      <c r="AH14836" s="80"/>
      <c r="AI14836" s="80"/>
    </row>
    <row r="14837" spans="5:35" x14ac:dyDescent="0.25">
      <c r="E14837" s="16"/>
      <c r="F14837" s="16"/>
      <c r="H14837" s="16"/>
      <c r="AG14837" s="80"/>
      <c r="AH14837" s="80"/>
      <c r="AI14837" s="80"/>
    </row>
    <row r="14838" spans="5:35" x14ac:dyDescent="0.25">
      <c r="E14838" s="16"/>
      <c r="F14838" s="16"/>
      <c r="H14838" s="16"/>
      <c r="AG14838" s="80"/>
      <c r="AH14838" s="80"/>
      <c r="AI14838" s="80"/>
    </row>
    <row r="14839" spans="5:35" x14ac:dyDescent="0.25">
      <c r="E14839" s="16"/>
      <c r="F14839" s="16"/>
      <c r="H14839" s="16"/>
      <c r="AG14839" s="80"/>
      <c r="AH14839" s="80"/>
      <c r="AI14839" s="80"/>
    </row>
    <row r="14840" spans="5:35" x14ac:dyDescent="0.25">
      <c r="E14840" s="16"/>
      <c r="F14840" s="16"/>
      <c r="H14840" s="16"/>
      <c r="AG14840" s="80"/>
      <c r="AH14840" s="80"/>
      <c r="AI14840" s="80"/>
    </row>
    <row r="14841" spans="5:35" x14ac:dyDescent="0.25">
      <c r="E14841" s="16"/>
      <c r="F14841" s="16"/>
      <c r="H14841" s="16"/>
      <c r="AG14841" s="80"/>
      <c r="AH14841" s="80"/>
      <c r="AI14841" s="80"/>
    </row>
    <row r="14842" spans="5:35" x14ac:dyDescent="0.25">
      <c r="E14842" s="16"/>
      <c r="F14842" s="16"/>
      <c r="H14842" s="16"/>
      <c r="AG14842" s="80"/>
      <c r="AH14842" s="80"/>
      <c r="AI14842" s="80"/>
    </row>
    <row r="14843" spans="5:35" x14ac:dyDescent="0.25">
      <c r="E14843" s="16"/>
      <c r="F14843" s="16"/>
      <c r="H14843" s="16"/>
      <c r="AG14843" s="80"/>
      <c r="AH14843" s="80"/>
      <c r="AI14843" s="80"/>
    </row>
    <row r="14844" spans="5:35" x14ac:dyDescent="0.25">
      <c r="E14844" s="16"/>
      <c r="F14844" s="16"/>
      <c r="H14844" s="16"/>
      <c r="AG14844" s="80"/>
      <c r="AH14844" s="80"/>
      <c r="AI14844" s="80"/>
    </row>
    <row r="14845" spans="5:35" x14ac:dyDescent="0.25">
      <c r="E14845" s="16"/>
      <c r="F14845" s="16"/>
      <c r="H14845" s="16"/>
      <c r="AG14845" s="80"/>
      <c r="AH14845" s="80"/>
      <c r="AI14845" s="80"/>
    </row>
    <row r="14846" spans="5:35" x14ac:dyDescent="0.25">
      <c r="E14846" s="16"/>
      <c r="F14846" s="16"/>
      <c r="H14846" s="16"/>
      <c r="AG14846" s="80"/>
      <c r="AH14846" s="80"/>
      <c r="AI14846" s="80"/>
    </row>
    <row r="14847" spans="5:35" x14ac:dyDescent="0.25">
      <c r="E14847" s="16"/>
      <c r="F14847" s="16"/>
      <c r="H14847" s="16"/>
      <c r="AG14847" s="80"/>
      <c r="AH14847" s="80"/>
      <c r="AI14847" s="80"/>
    </row>
    <row r="14848" spans="5:35" x14ac:dyDescent="0.25">
      <c r="E14848" s="16"/>
      <c r="F14848" s="16"/>
      <c r="H14848" s="16"/>
      <c r="AG14848" s="80"/>
      <c r="AH14848" s="80"/>
      <c r="AI14848" s="80"/>
    </row>
    <row r="14849" spans="5:35" x14ac:dyDescent="0.25">
      <c r="E14849" s="16"/>
      <c r="F14849" s="16"/>
      <c r="H14849" s="16"/>
      <c r="AG14849" s="80"/>
      <c r="AH14849" s="80"/>
      <c r="AI14849" s="80"/>
    </row>
    <row r="14850" spans="5:35" x14ac:dyDescent="0.25">
      <c r="E14850" s="16"/>
      <c r="F14850" s="16"/>
      <c r="H14850" s="16"/>
      <c r="AG14850" s="80"/>
      <c r="AH14850" s="80"/>
      <c r="AI14850" s="80"/>
    </row>
    <row r="14851" spans="5:35" x14ac:dyDescent="0.25">
      <c r="E14851" s="16"/>
      <c r="F14851" s="16"/>
      <c r="H14851" s="16"/>
      <c r="AG14851" s="80"/>
      <c r="AH14851" s="80"/>
      <c r="AI14851" s="80"/>
    </row>
    <row r="14852" spans="5:35" x14ac:dyDescent="0.25">
      <c r="E14852" s="16"/>
      <c r="F14852" s="16"/>
      <c r="H14852" s="16"/>
      <c r="AG14852" s="80"/>
      <c r="AH14852" s="80"/>
      <c r="AI14852" s="80"/>
    </row>
    <row r="14853" spans="5:35" x14ac:dyDescent="0.25">
      <c r="E14853" s="16"/>
      <c r="F14853" s="16"/>
      <c r="H14853" s="16"/>
      <c r="AG14853" s="80"/>
      <c r="AH14853" s="80"/>
      <c r="AI14853" s="80"/>
    </row>
    <row r="14854" spans="5:35" x14ac:dyDescent="0.25">
      <c r="E14854" s="16"/>
      <c r="F14854" s="16"/>
      <c r="H14854" s="16"/>
      <c r="AG14854" s="80"/>
      <c r="AH14854" s="80"/>
      <c r="AI14854" s="80"/>
    </row>
    <row r="14855" spans="5:35" x14ac:dyDescent="0.25">
      <c r="E14855" s="16"/>
      <c r="F14855" s="16"/>
      <c r="H14855" s="16"/>
      <c r="AG14855" s="80"/>
      <c r="AH14855" s="80"/>
      <c r="AI14855" s="80"/>
    </row>
    <row r="14856" spans="5:35" x14ac:dyDescent="0.25">
      <c r="E14856" s="16"/>
      <c r="F14856" s="16"/>
      <c r="H14856" s="16"/>
      <c r="AG14856" s="80"/>
      <c r="AH14856" s="80"/>
      <c r="AI14856" s="80"/>
    </row>
    <row r="14857" spans="5:35" x14ac:dyDescent="0.25">
      <c r="E14857" s="16"/>
      <c r="F14857" s="16"/>
      <c r="H14857" s="16"/>
      <c r="AG14857" s="80"/>
      <c r="AH14857" s="80"/>
      <c r="AI14857" s="80"/>
    </row>
    <row r="14858" spans="5:35" x14ac:dyDescent="0.25">
      <c r="E14858" s="16"/>
      <c r="F14858" s="16"/>
      <c r="H14858" s="16"/>
      <c r="AG14858" s="80"/>
      <c r="AH14858" s="80"/>
      <c r="AI14858" s="80"/>
    </row>
    <row r="14859" spans="5:35" x14ac:dyDescent="0.25">
      <c r="E14859" s="16"/>
      <c r="F14859" s="16"/>
      <c r="H14859" s="16"/>
      <c r="AG14859" s="80"/>
      <c r="AH14859" s="80"/>
      <c r="AI14859" s="80"/>
    </row>
    <row r="14860" spans="5:35" x14ac:dyDescent="0.25">
      <c r="E14860" s="16"/>
      <c r="F14860" s="16"/>
      <c r="H14860" s="16"/>
      <c r="AG14860" s="80"/>
      <c r="AH14860" s="80"/>
      <c r="AI14860" s="80"/>
    </row>
    <row r="14861" spans="5:35" x14ac:dyDescent="0.25">
      <c r="E14861" s="16"/>
      <c r="F14861" s="16"/>
      <c r="H14861" s="16"/>
      <c r="AG14861" s="80"/>
      <c r="AH14861" s="80"/>
      <c r="AI14861" s="80"/>
    </row>
    <row r="14862" spans="5:35" x14ac:dyDescent="0.25">
      <c r="E14862" s="16"/>
      <c r="F14862" s="16"/>
      <c r="H14862" s="16"/>
      <c r="AG14862" s="80"/>
      <c r="AH14862" s="80"/>
      <c r="AI14862" s="80"/>
    </row>
    <row r="14863" spans="5:35" x14ac:dyDescent="0.25">
      <c r="E14863" s="16"/>
      <c r="F14863" s="16"/>
      <c r="H14863" s="16"/>
      <c r="AG14863" s="80"/>
      <c r="AH14863" s="80"/>
      <c r="AI14863" s="80"/>
    </row>
    <row r="14864" spans="5:35" x14ac:dyDescent="0.25">
      <c r="E14864" s="16"/>
      <c r="F14864" s="16"/>
      <c r="H14864" s="16"/>
      <c r="AG14864" s="80"/>
      <c r="AH14864" s="80"/>
      <c r="AI14864" s="80"/>
    </row>
    <row r="14865" spans="5:35" x14ac:dyDescent="0.25">
      <c r="E14865" s="16"/>
      <c r="F14865" s="16"/>
      <c r="H14865" s="16"/>
      <c r="AG14865" s="80"/>
      <c r="AH14865" s="80"/>
      <c r="AI14865" s="80"/>
    </row>
    <row r="14866" spans="5:35" x14ac:dyDescent="0.25">
      <c r="E14866" s="16"/>
      <c r="F14866" s="16"/>
      <c r="H14866" s="16"/>
      <c r="AG14866" s="80"/>
      <c r="AH14866" s="80"/>
      <c r="AI14866" s="80"/>
    </row>
    <row r="14867" spans="5:35" x14ac:dyDescent="0.25">
      <c r="E14867" s="16"/>
      <c r="F14867" s="16"/>
      <c r="H14867" s="16"/>
      <c r="AG14867" s="80"/>
      <c r="AH14867" s="80"/>
      <c r="AI14867" s="80"/>
    </row>
    <row r="14868" spans="5:35" x14ac:dyDescent="0.25">
      <c r="E14868" s="16"/>
      <c r="F14868" s="16"/>
      <c r="H14868" s="16"/>
      <c r="AG14868" s="80"/>
      <c r="AH14868" s="80"/>
      <c r="AI14868" s="80"/>
    </row>
    <row r="14869" spans="5:35" x14ac:dyDescent="0.25">
      <c r="E14869" s="16"/>
      <c r="F14869" s="16"/>
      <c r="H14869" s="16"/>
      <c r="AG14869" s="80"/>
      <c r="AH14869" s="80"/>
      <c r="AI14869" s="80"/>
    </row>
    <row r="14870" spans="5:35" x14ac:dyDescent="0.25">
      <c r="E14870" s="16"/>
      <c r="F14870" s="16"/>
      <c r="H14870" s="16"/>
      <c r="AG14870" s="80"/>
      <c r="AH14870" s="80"/>
      <c r="AI14870" s="80"/>
    </row>
    <row r="14871" spans="5:35" x14ac:dyDescent="0.25">
      <c r="E14871" s="16"/>
      <c r="F14871" s="16"/>
      <c r="H14871" s="16"/>
      <c r="AG14871" s="80"/>
      <c r="AH14871" s="80"/>
      <c r="AI14871" s="80"/>
    </row>
    <row r="14872" spans="5:35" x14ac:dyDescent="0.25">
      <c r="E14872" s="16"/>
      <c r="F14872" s="16"/>
      <c r="H14872" s="16"/>
      <c r="AG14872" s="80"/>
      <c r="AH14872" s="80"/>
      <c r="AI14872" s="80"/>
    </row>
    <row r="14873" spans="5:35" x14ac:dyDescent="0.25">
      <c r="E14873" s="16"/>
      <c r="F14873" s="16"/>
      <c r="H14873" s="16"/>
      <c r="AG14873" s="80"/>
      <c r="AH14873" s="80"/>
      <c r="AI14873" s="80"/>
    </row>
    <row r="14874" spans="5:35" x14ac:dyDescent="0.25">
      <c r="E14874" s="16"/>
      <c r="F14874" s="16"/>
      <c r="H14874" s="16"/>
      <c r="AG14874" s="80"/>
      <c r="AH14874" s="80"/>
      <c r="AI14874" s="80"/>
    </row>
    <row r="14875" spans="5:35" x14ac:dyDescent="0.25">
      <c r="E14875" s="16"/>
      <c r="F14875" s="16"/>
      <c r="H14875" s="16"/>
      <c r="AG14875" s="80"/>
      <c r="AH14875" s="80"/>
      <c r="AI14875" s="80"/>
    </row>
    <row r="14876" spans="5:35" x14ac:dyDescent="0.25">
      <c r="E14876" s="16"/>
      <c r="F14876" s="16"/>
      <c r="H14876" s="16"/>
      <c r="AG14876" s="80"/>
      <c r="AH14876" s="80"/>
      <c r="AI14876" s="80"/>
    </row>
    <row r="14877" spans="5:35" x14ac:dyDescent="0.25">
      <c r="E14877" s="16"/>
      <c r="F14877" s="16"/>
      <c r="H14877" s="16"/>
      <c r="AG14877" s="80"/>
      <c r="AH14877" s="80"/>
      <c r="AI14877" s="80"/>
    </row>
    <row r="14878" spans="5:35" x14ac:dyDescent="0.25">
      <c r="E14878" s="16"/>
      <c r="F14878" s="16"/>
      <c r="H14878" s="16"/>
      <c r="AG14878" s="80"/>
      <c r="AH14878" s="80"/>
      <c r="AI14878" s="80"/>
    </row>
    <row r="14879" spans="5:35" x14ac:dyDescent="0.25">
      <c r="E14879" s="16"/>
      <c r="F14879" s="16"/>
      <c r="H14879" s="16"/>
      <c r="AG14879" s="80"/>
      <c r="AH14879" s="80"/>
      <c r="AI14879" s="80"/>
    </row>
    <row r="14880" spans="5:35" x14ac:dyDescent="0.25">
      <c r="E14880" s="16"/>
      <c r="F14880" s="16"/>
      <c r="H14880" s="16"/>
      <c r="AG14880" s="80"/>
      <c r="AH14880" s="80"/>
      <c r="AI14880" s="80"/>
    </row>
    <row r="14881" spans="5:35" x14ac:dyDescent="0.25">
      <c r="E14881" s="16"/>
      <c r="F14881" s="16"/>
      <c r="H14881" s="16"/>
      <c r="AG14881" s="80"/>
      <c r="AH14881" s="80"/>
      <c r="AI14881" s="80"/>
    </row>
    <row r="14882" spans="5:35" x14ac:dyDescent="0.25">
      <c r="E14882" s="16"/>
      <c r="F14882" s="16"/>
      <c r="H14882" s="16"/>
      <c r="AG14882" s="80"/>
      <c r="AH14882" s="80"/>
      <c r="AI14882" s="80"/>
    </row>
    <row r="14883" spans="5:35" x14ac:dyDescent="0.25">
      <c r="E14883" s="16"/>
      <c r="F14883" s="16"/>
      <c r="H14883" s="16"/>
      <c r="AG14883" s="80"/>
      <c r="AH14883" s="80"/>
      <c r="AI14883" s="80"/>
    </row>
    <row r="14884" spans="5:35" x14ac:dyDescent="0.25">
      <c r="E14884" s="16"/>
      <c r="F14884" s="16"/>
      <c r="H14884" s="16"/>
      <c r="AG14884" s="80"/>
      <c r="AH14884" s="80"/>
      <c r="AI14884" s="80"/>
    </row>
    <row r="14885" spans="5:35" x14ac:dyDescent="0.25">
      <c r="E14885" s="16"/>
      <c r="F14885" s="16"/>
      <c r="H14885" s="16"/>
      <c r="AG14885" s="80"/>
      <c r="AH14885" s="80"/>
      <c r="AI14885" s="80"/>
    </row>
    <row r="14886" spans="5:35" x14ac:dyDescent="0.25">
      <c r="E14886" s="16"/>
      <c r="F14886" s="16"/>
      <c r="H14886" s="16"/>
      <c r="AG14886" s="80"/>
      <c r="AH14886" s="80"/>
      <c r="AI14886" s="80"/>
    </row>
    <row r="14887" spans="5:35" x14ac:dyDescent="0.25">
      <c r="E14887" s="16"/>
      <c r="F14887" s="16"/>
      <c r="H14887" s="16"/>
      <c r="AG14887" s="80"/>
      <c r="AH14887" s="80"/>
      <c r="AI14887" s="80"/>
    </row>
    <row r="14888" spans="5:35" x14ac:dyDescent="0.25">
      <c r="E14888" s="16"/>
      <c r="F14888" s="16"/>
      <c r="H14888" s="16"/>
      <c r="AG14888" s="80"/>
      <c r="AH14888" s="80"/>
      <c r="AI14888" s="80"/>
    </row>
    <row r="14889" spans="5:35" x14ac:dyDescent="0.25">
      <c r="E14889" s="16"/>
      <c r="F14889" s="16"/>
      <c r="H14889" s="16"/>
      <c r="AG14889" s="80"/>
      <c r="AH14889" s="80"/>
      <c r="AI14889" s="80"/>
    </row>
    <row r="14890" spans="5:35" x14ac:dyDescent="0.25">
      <c r="E14890" s="16"/>
      <c r="F14890" s="16"/>
      <c r="H14890" s="16"/>
      <c r="AG14890" s="80"/>
      <c r="AH14890" s="80"/>
      <c r="AI14890" s="80"/>
    </row>
    <row r="14891" spans="5:35" x14ac:dyDescent="0.25">
      <c r="E14891" s="16"/>
      <c r="F14891" s="16"/>
      <c r="H14891" s="16"/>
      <c r="AG14891" s="80"/>
      <c r="AH14891" s="80"/>
      <c r="AI14891" s="80"/>
    </row>
    <row r="14892" spans="5:35" x14ac:dyDescent="0.25">
      <c r="E14892" s="16"/>
      <c r="F14892" s="16"/>
      <c r="H14892" s="16"/>
      <c r="AG14892" s="80"/>
      <c r="AH14892" s="80"/>
      <c r="AI14892" s="80"/>
    </row>
    <row r="14893" spans="5:35" x14ac:dyDescent="0.25">
      <c r="E14893" s="16"/>
      <c r="F14893" s="16"/>
      <c r="H14893" s="16"/>
      <c r="AG14893" s="80"/>
      <c r="AH14893" s="80"/>
      <c r="AI14893" s="80"/>
    </row>
    <row r="14894" spans="5:35" x14ac:dyDescent="0.25">
      <c r="E14894" s="16"/>
      <c r="F14894" s="16"/>
      <c r="H14894" s="16"/>
      <c r="AG14894" s="80"/>
      <c r="AH14894" s="80"/>
      <c r="AI14894" s="80"/>
    </row>
    <row r="14895" spans="5:35" x14ac:dyDescent="0.25">
      <c r="E14895" s="16"/>
      <c r="F14895" s="16"/>
      <c r="H14895" s="16"/>
      <c r="AG14895" s="80"/>
      <c r="AH14895" s="80"/>
      <c r="AI14895" s="80"/>
    </row>
    <row r="14896" spans="5:35" x14ac:dyDescent="0.25">
      <c r="E14896" s="16"/>
      <c r="F14896" s="16"/>
      <c r="H14896" s="16"/>
      <c r="AG14896" s="80"/>
      <c r="AH14896" s="80"/>
      <c r="AI14896" s="80"/>
    </row>
    <row r="14897" spans="5:35" x14ac:dyDescent="0.25">
      <c r="E14897" s="16"/>
      <c r="F14897" s="16"/>
      <c r="H14897" s="16"/>
      <c r="AG14897" s="80"/>
      <c r="AH14897" s="80"/>
      <c r="AI14897" s="80"/>
    </row>
    <row r="14898" spans="5:35" x14ac:dyDescent="0.25">
      <c r="E14898" s="16"/>
      <c r="F14898" s="16"/>
      <c r="H14898" s="16"/>
      <c r="AG14898" s="80"/>
      <c r="AH14898" s="80"/>
      <c r="AI14898" s="80"/>
    </row>
    <row r="14899" spans="5:35" x14ac:dyDescent="0.25">
      <c r="E14899" s="16"/>
      <c r="F14899" s="16"/>
      <c r="H14899" s="16"/>
      <c r="AG14899" s="80"/>
      <c r="AH14899" s="80"/>
      <c r="AI14899" s="80"/>
    </row>
    <row r="14900" spans="5:35" x14ac:dyDescent="0.25">
      <c r="E14900" s="16"/>
      <c r="F14900" s="16"/>
      <c r="H14900" s="16"/>
      <c r="AG14900" s="80"/>
      <c r="AH14900" s="80"/>
      <c r="AI14900" s="80"/>
    </row>
    <row r="14901" spans="5:35" x14ac:dyDescent="0.25">
      <c r="E14901" s="16"/>
      <c r="F14901" s="16"/>
      <c r="H14901" s="16"/>
      <c r="AG14901" s="80"/>
      <c r="AH14901" s="80"/>
      <c r="AI14901" s="80"/>
    </row>
    <row r="14902" spans="5:35" x14ac:dyDescent="0.25">
      <c r="E14902" s="16"/>
      <c r="F14902" s="16"/>
      <c r="H14902" s="16"/>
      <c r="AG14902" s="80"/>
      <c r="AH14902" s="80"/>
      <c r="AI14902" s="80"/>
    </row>
    <row r="14903" spans="5:35" x14ac:dyDescent="0.25">
      <c r="E14903" s="16"/>
      <c r="F14903" s="16"/>
      <c r="H14903" s="16"/>
      <c r="AG14903" s="80"/>
      <c r="AH14903" s="80"/>
      <c r="AI14903" s="80"/>
    </row>
    <row r="14904" spans="5:35" x14ac:dyDescent="0.25">
      <c r="E14904" s="16"/>
      <c r="F14904" s="16"/>
      <c r="H14904" s="16"/>
      <c r="AG14904" s="80"/>
      <c r="AH14904" s="80"/>
      <c r="AI14904" s="80"/>
    </row>
    <row r="14905" spans="5:35" x14ac:dyDescent="0.25">
      <c r="E14905" s="16"/>
      <c r="F14905" s="16"/>
      <c r="H14905" s="16"/>
      <c r="AG14905" s="80"/>
      <c r="AH14905" s="80"/>
      <c r="AI14905" s="80"/>
    </row>
    <row r="14906" spans="5:35" x14ac:dyDescent="0.25">
      <c r="E14906" s="16"/>
      <c r="F14906" s="16"/>
      <c r="H14906" s="16"/>
      <c r="AG14906" s="80"/>
      <c r="AH14906" s="80"/>
      <c r="AI14906" s="80"/>
    </row>
    <row r="14907" spans="5:35" x14ac:dyDescent="0.25">
      <c r="E14907" s="16"/>
      <c r="F14907" s="16"/>
      <c r="H14907" s="16"/>
      <c r="AG14907" s="80"/>
      <c r="AH14907" s="80"/>
      <c r="AI14907" s="80"/>
    </row>
    <row r="14908" spans="5:35" x14ac:dyDescent="0.25">
      <c r="E14908" s="16"/>
      <c r="F14908" s="16"/>
      <c r="H14908" s="16"/>
      <c r="AG14908" s="80"/>
      <c r="AH14908" s="80"/>
      <c r="AI14908" s="80"/>
    </row>
    <row r="14909" spans="5:35" x14ac:dyDescent="0.25">
      <c r="E14909" s="16"/>
      <c r="F14909" s="16"/>
      <c r="H14909" s="16"/>
      <c r="AG14909" s="80"/>
      <c r="AH14909" s="80"/>
      <c r="AI14909" s="80"/>
    </row>
    <row r="14910" spans="5:35" x14ac:dyDescent="0.25">
      <c r="E14910" s="16"/>
      <c r="F14910" s="16"/>
      <c r="H14910" s="16"/>
      <c r="AG14910" s="80"/>
      <c r="AH14910" s="80"/>
      <c r="AI14910" s="80"/>
    </row>
    <row r="14911" spans="5:35" x14ac:dyDescent="0.25">
      <c r="E14911" s="16"/>
      <c r="F14911" s="16"/>
      <c r="H14911" s="16"/>
      <c r="AG14911" s="80"/>
      <c r="AH14911" s="80"/>
      <c r="AI14911" s="80"/>
    </row>
    <row r="14912" spans="5:35" x14ac:dyDescent="0.25">
      <c r="E14912" s="16"/>
      <c r="F14912" s="16"/>
      <c r="H14912" s="16"/>
      <c r="AG14912" s="80"/>
      <c r="AH14912" s="80"/>
      <c r="AI14912" s="80"/>
    </row>
    <row r="14913" spans="5:35" x14ac:dyDescent="0.25">
      <c r="E14913" s="16"/>
      <c r="F14913" s="16"/>
      <c r="H14913" s="16"/>
      <c r="AG14913" s="80"/>
      <c r="AH14913" s="80"/>
      <c r="AI14913" s="80"/>
    </row>
    <row r="14914" spans="5:35" x14ac:dyDescent="0.25">
      <c r="E14914" s="16"/>
      <c r="F14914" s="16"/>
      <c r="H14914" s="16"/>
      <c r="AG14914" s="80"/>
      <c r="AH14914" s="80"/>
      <c r="AI14914" s="80"/>
    </row>
    <row r="14915" spans="5:35" x14ac:dyDescent="0.25">
      <c r="E14915" s="16"/>
      <c r="F14915" s="16"/>
      <c r="H14915" s="16"/>
      <c r="AG14915" s="80"/>
      <c r="AH14915" s="80"/>
      <c r="AI14915" s="80"/>
    </row>
    <row r="14916" spans="5:35" x14ac:dyDescent="0.25">
      <c r="E14916" s="16"/>
      <c r="F14916" s="16"/>
      <c r="H14916" s="16"/>
      <c r="AG14916" s="80"/>
      <c r="AH14916" s="80"/>
      <c r="AI14916" s="80"/>
    </row>
    <row r="14917" spans="5:35" x14ac:dyDescent="0.25">
      <c r="E14917" s="16"/>
      <c r="F14917" s="16"/>
      <c r="H14917" s="16"/>
      <c r="AG14917" s="80"/>
      <c r="AH14917" s="80"/>
      <c r="AI14917" s="80"/>
    </row>
    <row r="14918" spans="5:35" x14ac:dyDescent="0.25">
      <c r="E14918" s="16"/>
      <c r="F14918" s="16"/>
      <c r="H14918" s="16"/>
      <c r="AG14918" s="80"/>
      <c r="AH14918" s="80"/>
      <c r="AI14918" s="80"/>
    </row>
    <row r="14919" spans="5:35" x14ac:dyDescent="0.25">
      <c r="E14919" s="16"/>
      <c r="F14919" s="16"/>
      <c r="H14919" s="16"/>
      <c r="AG14919" s="80"/>
      <c r="AH14919" s="80"/>
      <c r="AI14919" s="80"/>
    </row>
    <row r="14920" spans="5:35" x14ac:dyDescent="0.25">
      <c r="E14920" s="16"/>
      <c r="F14920" s="16"/>
      <c r="H14920" s="16"/>
      <c r="AG14920" s="80"/>
      <c r="AH14920" s="80"/>
      <c r="AI14920" s="80"/>
    </row>
    <row r="14921" spans="5:35" x14ac:dyDescent="0.25">
      <c r="E14921" s="16"/>
      <c r="F14921" s="16"/>
      <c r="H14921" s="16"/>
      <c r="AG14921" s="80"/>
      <c r="AH14921" s="80"/>
      <c r="AI14921" s="80"/>
    </row>
    <row r="14922" spans="5:35" x14ac:dyDescent="0.25">
      <c r="E14922" s="16"/>
      <c r="F14922" s="16"/>
      <c r="H14922" s="16"/>
      <c r="AG14922" s="80"/>
      <c r="AH14922" s="80"/>
      <c r="AI14922" s="80"/>
    </row>
    <row r="14923" spans="5:35" x14ac:dyDescent="0.25">
      <c r="E14923" s="16"/>
      <c r="F14923" s="16"/>
      <c r="H14923" s="16"/>
      <c r="AG14923" s="80"/>
      <c r="AH14923" s="80"/>
      <c r="AI14923" s="80"/>
    </row>
    <row r="14924" spans="5:35" x14ac:dyDescent="0.25">
      <c r="E14924" s="16"/>
      <c r="F14924" s="16"/>
      <c r="H14924" s="16"/>
      <c r="AG14924" s="80"/>
      <c r="AH14924" s="80"/>
      <c r="AI14924" s="80"/>
    </row>
    <row r="14925" spans="5:35" x14ac:dyDescent="0.25">
      <c r="E14925" s="16"/>
      <c r="F14925" s="16"/>
      <c r="H14925" s="16"/>
      <c r="AG14925" s="80"/>
      <c r="AH14925" s="80"/>
      <c r="AI14925" s="80"/>
    </row>
    <row r="14926" spans="5:35" x14ac:dyDescent="0.25">
      <c r="E14926" s="16"/>
      <c r="F14926" s="16"/>
      <c r="H14926" s="16"/>
      <c r="AG14926" s="80"/>
      <c r="AH14926" s="80"/>
      <c r="AI14926" s="80"/>
    </row>
    <row r="14927" spans="5:35" x14ac:dyDescent="0.25">
      <c r="E14927" s="16"/>
      <c r="F14927" s="16"/>
      <c r="H14927" s="16"/>
      <c r="AG14927" s="80"/>
      <c r="AH14927" s="80"/>
      <c r="AI14927" s="80"/>
    </row>
    <row r="14928" spans="5:35" x14ac:dyDescent="0.25">
      <c r="E14928" s="16"/>
      <c r="F14928" s="16"/>
      <c r="H14928" s="16"/>
      <c r="AG14928" s="80"/>
      <c r="AH14928" s="80"/>
      <c r="AI14928" s="80"/>
    </row>
    <row r="14929" spans="5:35" x14ac:dyDescent="0.25">
      <c r="E14929" s="16"/>
      <c r="F14929" s="16"/>
      <c r="H14929" s="16"/>
      <c r="AG14929" s="80"/>
      <c r="AH14929" s="80"/>
      <c r="AI14929" s="80"/>
    </row>
    <row r="14930" spans="5:35" x14ac:dyDescent="0.25">
      <c r="E14930" s="16"/>
      <c r="F14930" s="16"/>
      <c r="H14930" s="16"/>
      <c r="AG14930" s="80"/>
      <c r="AH14930" s="80"/>
      <c r="AI14930" s="80"/>
    </row>
    <row r="14931" spans="5:35" x14ac:dyDescent="0.25">
      <c r="E14931" s="16"/>
      <c r="F14931" s="16"/>
      <c r="H14931" s="16"/>
      <c r="AG14931" s="80"/>
      <c r="AH14931" s="80"/>
      <c r="AI14931" s="80"/>
    </row>
    <row r="14932" spans="5:35" x14ac:dyDescent="0.25">
      <c r="E14932" s="16"/>
      <c r="F14932" s="16"/>
      <c r="H14932" s="16"/>
      <c r="AG14932" s="80"/>
      <c r="AH14932" s="80"/>
      <c r="AI14932" s="80"/>
    </row>
    <row r="14933" spans="5:35" x14ac:dyDescent="0.25">
      <c r="E14933" s="16"/>
      <c r="F14933" s="16"/>
      <c r="H14933" s="16"/>
      <c r="AG14933" s="80"/>
      <c r="AH14933" s="80"/>
      <c r="AI14933" s="80"/>
    </row>
    <row r="14934" spans="5:35" x14ac:dyDescent="0.25">
      <c r="E14934" s="16"/>
      <c r="F14934" s="16"/>
      <c r="H14934" s="16"/>
      <c r="AG14934" s="80"/>
      <c r="AH14934" s="80"/>
      <c r="AI14934" s="80"/>
    </row>
    <row r="14935" spans="5:35" x14ac:dyDescent="0.25">
      <c r="E14935" s="16"/>
      <c r="F14935" s="16"/>
      <c r="H14935" s="16"/>
      <c r="AG14935" s="80"/>
      <c r="AH14935" s="80"/>
      <c r="AI14935" s="80"/>
    </row>
    <row r="14936" spans="5:35" x14ac:dyDescent="0.25">
      <c r="E14936" s="16"/>
      <c r="F14936" s="16"/>
      <c r="H14936" s="16"/>
      <c r="AG14936" s="80"/>
      <c r="AH14936" s="80"/>
      <c r="AI14936" s="80"/>
    </row>
    <row r="14937" spans="5:35" x14ac:dyDescent="0.25">
      <c r="E14937" s="16"/>
      <c r="F14937" s="16"/>
      <c r="H14937" s="16"/>
      <c r="AG14937" s="80"/>
      <c r="AH14937" s="80"/>
      <c r="AI14937" s="80"/>
    </row>
    <row r="14938" spans="5:35" x14ac:dyDescent="0.25">
      <c r="E14938" s="16"/>
      <c r="F14938" s="16"/>
      <c r="H14938" s="16"/>
      <c r="AG14938" s="80"/>
      <c r="AH14938" s="80"/>
      <c r="AI14938" s="80"/>
    </row>
    <row r="14939" spans="5:35" x14ac:dyDescent="0.25">
      <c r="E14939" s="16"/>
      <c r="F14939" s="16"/>
      <c r="H14939" s="16"/>
      <c r="AG14939" s="80"/>
      <c r="AH14939" s="80"/>
      <c r="AI14939" s="80"/>
    </row>
    <row r="14940" spans="5:35" x14ac:dyDescent="0.25">
      <c r="E14940" s="16"/>
      <c r="F14940" s="16"/>
      <c r="H14940" s="16"/>
      <c r="AG14940" s="80"/>
      <c r="AH14940" s="80"/>
      <c r="AI14940" s="80"/>
    </row>
    <row r="14941" spans="5:35" x14ac:dyDescent="0.25">
      <c r="E14941" s="16"/>
      <c r="F14941" s="16"/>
      <c r="H14941" s="16"/>
      <c r="AG14941" s="80"/>
      <c r="AH14941" s="80"/>
      <c r="AI14941" s="80"/>
    </row>
    <row r="14942" spans="5:35" x14ac:dyDescent="0.25">
      <c r="E14942" s="16"/>
      <c r="F14942" s="16"/>
      <c r="H14942" s="16"/>
      <c r="AG14942" s="80"/>
      <c r="AH14942" s="80"/>
      <c r="AI14942" s="80"/>
    </row>
    <row r="14943" spans="5:35" x14ac:dyDescent="0.25">
      <c r="E14943" s="16"/>
      <c r="F14943" s="16"/>
      <c r="H14943" s="16"/>
      <c r="AG14943" s="80"/>
      <c r="AH14943" s="80"/>
      <c r="AI14943" s="80"/>
    </row>
    <row r="14944" spans="5:35" x14ac:dyDescent="0.25">
      <c r="E14944" s="16"/>
      <c r="F14944" s="16"/>
      <c r="H14944" s="16"/>
      <c r="AG14944" s="80"/>
      <c r="AH14944" s="80"/>
      <c r="AI14944" s="80"/>
    </row>
    <row r="14945" spans="5:35" x14ac:dyDescent="0.25">
      <c r="E14945" s="16"/>
      <c r="F14945" s="16"/>
      <c r="H14945" s="16"/>
      <c r="AG14945" s="80"/>
      <c r="AH14945" s="80"/>
      <c r="AI14945" s="80"/>
    </row>
    <row r="14946" spans="5:35" x14ac:dyDescent="0.25">
      <c r="E14946" s="16"/>
      <c r="F14946" s="16"/>
      <c r="H14946" s="16"/>
      <c r="AG14946" s="80"/>
      <c r="AH14946" s="80"/>
      <c r="AI14946" s="80"/>
    </row>
    <row r="14947" spans="5:35" x14ac:dyDescent="0.25">
      <c r="E14947" s="16"/>
      <c r="F14947" s="16"/>
      <c r="H14947" s="16"/>
      <c r="AG14947" s="80"/>
      <c r="AH14947" s="80"/>
      <c r="AI14947" s="80"/>
    </row>
    <row r="14948" spans="5:35" x14ac:dyDescent="0.25">
      <c r="E14948" s="16"/>
      <c r="F14948" s="16"/>
      <c r="H14948" s="16"/>
      <c r="AG14948" s="80"/>
      <c r="AH14948" s="80"/>
      <c r="AI14948" s="80"/>
    </row>
    <row r="14949" spans="5:35" x14ac:dyDescent="0.25">
      <c r="E14949" s="16"/>
      <c r="F14949" s="16"/>
      <c r="H14949" s="16"/>
      <c r="AG14949" s="80"/>
      <c r="AH14949" s="80"/>
      <c r="AI14949" s="80"/>
    </row>
    <row r="14950" spans="5:35" x14ac:dyDescent="0.25">
      <c r="E14950" s="16"/>
      <c r="F14950" s="16"/>
      <c r="H14950" s="16"/>
      <c r="AG14950" s="80"/>
      <c r="AH14950" s="80"/>
      <c r="AI14950" s="80"/>
    </row>
    <row r="14951" spans="5:35" x14ac:dyDescent="0.25">
      <c r="E14951" s="16"/>
      <c r="F14951" s="16"/>
      <c r="H14951" s="16"/>
      <c r="AG14951" s="80"/>
      <c r="AH14951" s="80"/>
      <c r="AI14951" s="80"/>
    </row>
    <row r="14952" spans="5:35" x14ac:dyDescent="0.25">
      <c r="E14952" s="16"/>
      <c r="F14952" s="16"/>
      <c r="H14952" s="16"/>
      <c r="AG14952" s="80"/>
      <c r="AH14952" s="80"/>
      <c r="AI14952" s="80"/>
    </row>
    <row r="14953" spans="5:35" x14ac:dyDescent="0.25">
      <c r="E14953" s="16"/>
      <c r="F14953" s="16"/>
      <c r="H14953" s="16"/>
      <c r="AG14953" s="80"/>
      <c r="AH14953" s="80"/>
      <c r="AI14953" s="80"/>
    </row>
    <row r="14954" spans="5:35" x14ac:dyDescent="0.25">
      <c r="E14954" s="16"/>
      <c r="F14954" s="16"/>
      <c r="H14954" s="16"/>
      <c r="AG14954" s="80"/>
      <c r="AH14954" s="80"/>
      <c r="AI14954" s="80"/>
    </row>
    <row r="14955" spans="5:35" x14ac:dyDescent="0.25">
      <c r="E14955" s="16"/>
      <c r="F14955" s="16"/>
      <c r="H14955" s="16"/>
      <c r="AG14955" s="80"/>
      <c r="AH14955" s="80"/>
      <c r="AI14955" s="80"/>
    </row>
    <row r="14956" spans="5:35" x14ac:dyDescent="0.25">
      <c r="E14956" s="16"/>
      <c r="F14956" s="16"/>
      <c r="H14956" s="16"/>
      <c r="AG14956" s="80"/>
      <c r="AH14956" s="80"/>
      <c r="AI14956" s="80"/>
    </row>
    <row r="14957" spans="5:35" x14ac:dyDescent="0.25">
      <c r="E14957" s="16"/>
      <c r="F14957" s="16"/>
      <c r="H14957" s="16"/>
      <c r="AG14957" s="80"/>
      <c r="AH14957" s="80"/>
      <c r="AI14957" s="80"/>
    </row>
    <row r="14958" spans="5:35" x14ac:dyDescent="0.25">
      <c r="E14958" s="16"/>
      <c r="F14958" s="16"/>
      <c r="H14958" s="16"/>
      <c r="AG14958" s="80"/>
      <c r="AH14958" s="80"/>
      <c r="AI14958" s="80"/>
    </row>
    <row r="14959" spans="5:35" x14ac:dyDescent="0.25">
      <c r="E14959" s="16"/>
      <c r="F14959" s="16"/>
      <c r="H14959" s="16"/>
      <c r="AG14959" s="80"/>
      <c r="AH14959" s="80"/>
      <c r="AI14959" s="80"/>
    </row>
    <row r="14960" spans="5:35" x14ac:dyDescent="0.25">
      <c r="E14960" s="16"/>
      <c r="F14960" s="16"/>
      <c r="H14960" s="16"/>
      <c r="AG14960" s="80"/>
      <c r="AH14960" s="80"/>
      <c r="AI14960" s="80"/>
    </row>
    <row r="14961" spans="5:35" x14ac:dyDescent="0.25">
      <c r="E14961" s="16"/>
      <c r="F14961" s="16"/>
      <c r="H14961" s="16"/>
      <c r="AG14961" s="80"/>
      <c r="AH14961" s="80"/>
      <c r="AI14961" s="80"/>
    </row>
    <row r="14962" spans="5:35" x14ac:dyDescent="0.25">
      <c r="E14962" s="16"/>
      <c r="F14962" s="16"/>
      <c r="H14962" s="16"/>
      <c r="AG14962" s="80"/>
      <c r="AH14962" s="80"/>
      <c r="AI14962" s="80"/>
    </row>
    <row r="14963" spans="5:35" x14ac:dyDescent="0.25">
      <c r="E14963" s="16"/>
      <c r="F14963" s="16"/>
      <c r="H14963" s="16"/>
      <c r="AG14963" s="80"/>
      <c r="AH14963" s="80"/>
      <c r="AI14963" s="80"/>
    </row>
    <row r="14964" spans="5:35" x14ac:dyDescent="0.25">
      <c r="E14964" s="16"/>
      <c r="F14964" s="16"/>
      <c r="H14964" s="16"/>
      <c r="AG14964" s="80"/>
      <c r="AH14964" s="80"/>
      <c r="AI14964" s="80"/>
    </row>
    <row r="14965" spans="5:35" x14ac:dyDescent="0.25">
      <c r="E14965" s="16"/>
      <c r="F14965" s="16"/>
      <c r="H14965" s="16"/>
      <c r="AG14965" s="80"/>
      <c r="AH14965" s="80"/>
      <c r="AI14965" s="80"/>
    </row>
    <row r="14966" spans="5:35" x14ac:dyDescent="0.25">
      <c r="E14966" s="16"/>
      <c r="F14966" s="16"/>
      <c r="H14966" s="16"/>
      <c r="AG14966" s="80"/>
      <c r="AH14966" s="80"/>
      <c r="AI14966" s="80"/>
    </row>
    <row r="14967" spans="5:35" x14ac:dyDescent="0.25">
      <c r="E14967" s="16"/>
      <c r="F14967" s="16"/>
      <c r="H14967" s="16"/>
      <c r="AG14967" s="80"/>
      <c r="AH14967" s="80"/>
      <c r="AI14967" s="80"/>
    </row>
    <row r="14968" spans="5:35" x14ac:dyDescent="0.25">
      <c r="E14968" s="16"/>
      <c r="F14968" s="16"/>
      <c r="H14968" s="16"/>
      <c r="AG14968" s="80"/>
      <c r="AH14968" s="80"/>
      <c r="AI14968" s="80"/>
    </row>
    <row r="14969" spans="5:35" x14ac:dyDescent="0.25">
      <c r="E14969" s="16"/>
      <c r="F14969" s="16"/>
      <c r="H14969" s="16"/>
      <c r="AG14969" s="80"/>
      <c r="AH14969" s="80"/>
      <c r="AI14969" s="80"/>
    </row>
    <row r="14970" spans="5:35" x14ac:dyDescent="0.25">
      <c r="E14970" s="16"/>
      <c r="F14970" s="16"/>
      <c r="H14970" s="16"/>
      <c r="AG14970" s="80"/>
      <c r="AH14970" s="80"/>
      <c r="AI14970" s="80"/>
    </row>
    <row r="14971" spans="5:35" x14ac:dyDescent="0.25">
      <c r="E14971" s="16"/>
      <c r="F14971" s="16"/>
      <c r="H14971" s="16"/>
      <c r="AG14971" s="80"/>
      <c r="AH14971" s="80"/>
      <c r="AI14971" s="80"/>
    </row>
    <row r="14972" spans="5:35" x14ac:dyDescent="0.25">
      <c r="E14972" s="16"/>
      <c r="F14972" s="16"/>
      <c r="H14972" s="16"/>
      <c r="AG14972" s="80"/>
      <c r="AH14972" s="80"/>
      <c r="AI14972" s="80"/>
    </row>
    <row r="14973" spans="5:35" x14ac:dyDescent="0.25">
      <c r="E14973" s="16"/>
      <c r="F14973" s="16"/>
      <c r="H14973" s="16"/>
      <c r="AG14973" s="80"/>
      <c r="AH14973" s="80"/>
      <c r="AI14973" s="80"/>
    </row>
    <row r="14974" spans="5:35" x14ac:dyDescent="0.25">
      <c r="E14974" s="16"/>
      <c r="F14974" s="16"/>
      <c r="H14974" s="16"/>
      <c r="AG14974" s="80"/>
      <c r="AH14974" s="80"/>
      <c r="AI14974" s="80"/>
    </row>
    <row r="14975" spans="5:35" x14ac:dyDescent="0.25">
      <c r="E14975" s="16"/>
      <c r="F14975" s="16"/>
      <c r="H14975" s="16"/>
      <c r="AG14975" s="80"/>
      <c r="AH14975" s="80"/>
      <c r="AI14975" s="80"/>
    </row>
    <row r="14976" spans="5:35" x14ac:dyDescent="0.25">
      <c r="E14976" s="16"/>
      <c r="F14976" s="16"/>
      <c r="H14976" s="16"/>
      <c r="AG14976" s="80"/>
      <c r="AH14976" s="80"/>
      <c r="AI14976" s="80"/>
    </row>
    <row r="14977" spans="5:35" x14ac:dyDescent="0.25">
      <c r="E14977" s="16"/>
      <c r="F14977" s="16"/>
      <c r="H14977" s="16"/>
      <c r="AG14977" s="80"/>
      <c r="AH14977" s="80"/>
      <c r="AI14977" s="80"/>
    </row>
    <row r="14978" spans="5:35" x14ac:dyDescent="0.25">
      <c r="E14978" s="16"/>
      <c r="F14978" s="16"/>
      <c r="H14978" s="16"/>
      <c r="AG14978" s="80"/>
      <c r="AH14978" s="80"/>
      <c r="AI14978" s="80"/>
    </row>
    <row r="14979" spans="5:35" x14ac:dyDescent="0.25">
      <c r="E14979" s="16"/>
      <c r="F14979" s="16"/>
      <c r="H14979" s="16"/>
      <c r="AG14979" s="80"/>
      <c r="AH14979" s="80"/>
      <c r="AI14979" s="80"/>
    </row>
    <row r="14980" spans="5:35" x14ac:dyDescent="0.25">
      <c r="E14980" s="16"/>
      <c r="F14980" s="16"/>
      <c r="H14980" s="16"/>
      <c r="AG14980" s="80"/>
      <c r="AH14980" s="80"/>
      <c r="AI14980" s="80"/>
    </row>
    <row r="14981" spans="5:35" x14ac:dyDescent="0.25">
      <c r="E14981" s="16"/>
      <c r="F14981" s="16"/>
      <c r="H14981" s="16"/>
      <c r="AG14981" s="80"/>
      <c r="AH14981" s="80"/>
      <c r="AI14981" s="80"/>
    </row>
    <row r="14982" spans="5:35" x14ac:dyDescent="0.25">
      <c r="E14982" s="16"/>
      <c r="F14982" s="16"/>
      <c r="H14982" s="16"/>
      <c r="AG14982" s="80"/>
      <c r="AH14982" s="80"/>
      <c r="AI14982" s="80"/>
    </row>
    <row r="14983" spans="5:35" x14ac:dyDescent="0.25">
      <c r="E14983" s="16"/>
      <c r="F14983" s="16"/>
      <c r="H14983" s="16"/>
      <c r="AG14983" s="80"/>
      <c r="AH14983" s="80"/>
      <c r="AI14983" s="80"/>
    </row>
    <row r="14984" spans="5:35" x14ac:dyDescent="0.25">
      <c r="E14984" s="16"/>
      <c r="F14984" s="16"/>
      <c r="H14984" s="16"/>
      <c r="AG14984" s="80"/>
      <c r="AH14984" s="80"/>
      <c r="AI14984" s="80"/>
    </row>
    <row r="14985" spans="5:35" x14ac:dyDescent="0.25">
      <c r="E14985" s="16"/>
      <c r="F14985" s="16"/>
      <c r="H14985" s="16"/>
      <c r="AG14985" s="80"/>
      <c r="AH14985" s="80"/>
      <c r="AI14985" s="80"/>
    </row>
    <row r="14986" spans="5:35" x14ac:dyDescent="0.25">
      <c r="E14986" s="16"/>
      <c r="F14986" s="16"/>
      <c r="H14986" s="16"/>
      <c r="AG14986" s="80"/>
      <c r="AH14986" s="80"/>
      <c r="AI14986" s="80"/>
    </row>
    <row r="14987" spans="5:35" x14ac:dyDescent="0.25">
      <c r="E14987" s="16"/>
      <c r="F14987" s="16"/>
      <c r="H14987" s="16"/>
      <c r="AG14987" s="80"/>
      <c r="AH14987" s="80"/>
      <c r="AI14987" s="80"/>
    </row>
    <row r="14988" spans="5:35" x14ac:dyDescent="0.25">
      <c r="E14988" s="16"/>
      <c r="F14988" s="16"/>
      <c r="H14988" s="16"/>
      <c r="AG14988" s="80"/>
      <c r="AH14988" s="80"/>
      <c r="AI14988" s="80"/>
    </row>
    <row r="14989" spans="5:35" x14ac:dyDescent="0.25">
      <c r="E14989" s="16"/>
      <c r="F14989" s="16"/>
      <c r="H14989" s="16"/>
      <c r="AG14989" s="80"/>
      <c r="AH14989" s="80"/>
      <c r="AI14989" s="80"/>
    </row>
    <row r="14990" spans="5:35" x14ac:dyDescent="0.25">
      <c r="E14990" s="16"/>
      <c r="F14990" s="16"/>
      <c r="H14990" s="16"/>
      <c r="AG14990" s="80"/>
      <c r="AH14990" s="80"/>
      <c r="AI14990" s="80"/>
    </row>
    <row r="14991" spans="5:35" x14ac:dyDescent="0.25">
      <c r="E14991" s="16"/>
      <c r="F14991" s="16"/>
      <c r="H14991" s="16"/>
      <c r="AG14991" s="80"/>
      <c r="AH14991" s="80"/>
      <c r="AI14991" s="80"/>
    </row>
    <row r="14992" spans="5:35" x14ac:dyDescent="0.25">
      <c r="E14992" s="16"/>
      <c r="F14992" s="16"/>
      <c r="H14992" s="16"/>
      <c r="AG14992" s="80"/>
      <c r="AH14992" s="80"/>
      <c r="AI14992" s="80"/>
    </row>
    <row r="14993" spans="5:35" x14ac:dyDescent="0.25">
      <c r="E14993" s="16"/>
      <c r="F14993" s="16"/>
      <c r="H14993" s="16"/>
      <c r="AG14993" s="80"/>
      <c r="AH14993" s="80"/>
      <c r="AI14993" s="80"/>
    </row>
    <row r="14994" spans="5:35" x14ac:dyDescent="0.25">
      <c r="E14994" s="16"/>
      <c r="F14994" s="16"/>
      <c r="H14994" s="16"/>
      <c r="AG14994" s="80"/>
      <c r="AH14994" s="80"/>
      <c r="AI14994" s="80"/>
    </row>
    <row r="14995" spans="5:35" x14ac:dyDescent="0.25">
      <c r="E14995" s="16"/>
      <c r="F14995" s="16"/>
      <c r="H14995" s="16"/>
      <c r="AG14995" s="80"/>
      <c r="AH14995" s="80"/>
      <c r="AI14995" s="80"/>
    </row>
    <row r="14996" spans="5:35" x14ac:dyDescent="0.25">
      <c r="E14996" s="16"/>
      <c r="F14996" s="16"/>
      <c r="H14996" s="16"/>
      <c r="AG14996" s="80"/>
      <c r="AH14996" s="80"/>
      <c r="AI14996" s="80"/>
    </row>
    <row r="14997" spans="5:35" x14ac:dyDescent="0.25">
      <c r="E14997" s="16"/>
      <c r="F14997" s="16"/>
      <c r="H14997" s="16"/>
      <c r="AG14997" s="80"/>
      <c r="AH14997" s="80"/>
      <c r="AI14997" s="80"/>
    </row>
    <row r="14998" spans="5:35" x14ac:dyDescent="0.25">
      <c r="E14998" s="16"/>
      <c r="F14998" s="16"/>
      <c r="H14998" s="16"/>
      <c r="AG14998" s="80"/>
      <c r="AH14998" s="80"/>
      <c r="AI14998" s="80"/>
    </row>
    <row r="14999" spans="5:35" x14ac:dyDescent="0.25">
      <c r="E14999" s="16"/>
      <c r="F14999" s="16"/>
      <c r="H14999" s="16"/>
      <c r="AG14999" s="80"/>
      <c r="AH14999" s="80"/>
      <c r="AI14999" s="80"/>
    </row>
    <row r="15000" spans="5:35" x14ac:dyDescent="0.25">
      <c r="E15000" s="16"/>
      <c r="F15000" s="16"/>
      <c r="H15000" s="16"/>
      <c r="AG15000" s="80"/>
      <c r="AH15000" s="80"/>
      <c r="AI15000" s="80"/>
    </row>
    <row r="15001" spans="5:35" x14ac:dyDescent="0.25">
      <c r="E15001" s="16"/>
      <c r="F15001" s="16"/>
      <c r="H15001" s="16"/>
      <c r="AG15001" s="80"/>
      <c r="AH15001" s="80"/>
      <c r="AI15001" s="80"/>
    </row>
    <row r="15002" spans="5:35" x14ac:dyDescent="0.25">
      <c r="E15002" s="16"/>
      <c r="F15002" s="16"/>
      <c r="H15002" s="16"/>
      <c r="AG15002" s="80"/>
      <c r="AH15002" s="80"/>
      <c r="AI15002" s="80"/>
    </row>
    <row r="15003" spans="5:35" x14ac:dyDescent="0.25">
      <c r="E15003" s="16"/>
      <c r="F15003" s="16"/>
      <c r="H15003" s="16"/>
      <c r="AG15003" s="80"/>
      <c r="AH15003" s="80"/>
      <c r="AI15003" s="80"/>
    </row>
    <row r="15004" spans="5:35" x14ac:dyDescent="0.25">
      <c r="E15004" s="16"/>
      <c r="F15004" s="16"/>
      <c r="H15004" s="16"/>
      <c r="AG15004" s="80"/>
      <c r="AH15004" s="80"/>
      <c r="AI15004" s="80"/>
    </row>
    <row r="15005" spans="5:35" x14ac:dyDescent="0.25">
      <c r="E15005" s="16"/>
      <c r="F15005" s="16"/>
      <c r="H15005" s="16"/>
      <c r="AG15005" s="80"/>
      <c r="AH15005" s="80"/>
      <c r="AI15005" s="80"/>
    </row>
    <row r="15006" spans="5:35" x14ac:dyDescent="0.25">
      <c r="E15006" s="16"/>
      <c r="F15006" s="16"/>
      <c r="H15006" s="16"/>
      <c r="AG15006" s="80"/>
      <c r="AH15006" s="80"/>
      <c r="AI15006" s="80"/>
    </row>
    <row r="15007" spans="5:35" x14ac:dyDescent="0.25">
      <c r="E15007" s="16"/>
      <c r="F15007" s="16"/>
      <c r="H15007" s="16"/>
      <c r="AG15007" s="80"/>
      <c r="AH15007" s="80"/>
      <c r="AI15007" s="80"/>
    </row>
    <row r="15008" spans="5:35" x14ac:dyDescent="0.25">
      <c r="E15008" s="16"/>
      <c r="F15008" s="16"/>
      <c r="H15008" s="16"/>
      <c r="AG15008" s="80"/>
      <c r="AH15008" s="80"/>
      <c r="AI15008" s="80"/>
    </row>
    <row r="15009" spans="5:35" x14ac:dyDescent="0.25">
      <c r="E15009" s="16"/>
      <c r="F15009" s="16"/>
      <c r="H15009" s="16"/>
      <c r="AG15009" s="80"/>
      <c r="AH15009" s="80"/>
      <c r="AI15009" s="80"/>
    </row>
    <row r="15010" spans="5:35" x14ac:dyDescent="0.25">
      <c r="E15010" s="16"/>
      <c r="F15010" s="16"/>
      <c r="H15010" s="16"/>
      <c r="AG15010" s="80"/>
      <c r="AH15010" s="80"/>
      <c r="AI15010" s="80"/>
    </row>
    <row r="15011" spans="5:35" x14ac:dyDescent="0.25">
      <c r="E15011" s="16"/>
      <c r="F15011" s="16"/>
      <c r="H15011" s="16"/>
      <c r="AG15011" s="80"/>
      <c r="AH15011" s="80"/>
      <c r="AI15011" s="80"/>
    </row>
    <row r="15012" spans="5:35" x14ac:dyDescent="0.25">
      <c r="E15012" s="16"/>
      <c r="F15012" s="16"/>
      <c r="H15012" s="16"/>
      <c r="AG15012" s="80"/>
      <c r="AH15012" s="80"/>
      <c r="AI15012" s="80"/>
    </row>
    <row r="15013" spans="5:35" x14ac:dyDescent="0.25">
      <c r="E15013" s="16"/>
      <c r="F15013" s="16"/>
      <c r="H15013" s="16"/>
      <c r="AG15013" s="80"/>
      <c r="AH15013" s="80"/>
      <c r="AI15013" s="80"/>
    </row>
    <row r="15014" spans="5:35" x14ac:dyDescent="0.25">
      <c r="E15014" s="16"/>
      <c r="F15014" s="16"/>
      <c r="H15014" s="16"/>
      <c r="AG15014" s="80"/>
      <c r="AH15014" s="80"/>
      <c r="AI15014" s="80"/>
    </row>
    <row r="15015" spans="5:35" x14ac:dyDescent="0.25">
      <c r="E15015" s="16"/>
      <c r="F15015" s="16"/>
      <c r="H15015" s="16"/>
      <c r="AG15015" s="80"/>
      <c r="AH15015" s="80"/>
      <c r="AI15015" s="80"/>
    </row>
    <row r="15016" spans="5:35" x14ac:dyDescent="0.25">
      <c r="E15016" s="16"/>
      <c r="F15016" s="16"/>
      <c r="H15016" s="16"/>
      <c r="AG15016" s="80"/>
      <c r="AH15016" s="80"/>
      <c r="AI15016" s="80"/>
    </row>
    <row r="15017" spans="5:35" x14ac:dyDescent="0.25">
      <c r="E15017" s="16"/>
      <c r="F15017" s="16"/>
      <c r="H15017" s="16"/>
      <c r="AG15017" s="80"/>
      <c r="AH15017" s="80"/>
      <c r="AI15017" s="80"/>
    </row>
    <row r="15018" spans="5:35" x14ac:dyDescent="0.25">
      <c r="E15018" s="16"/>
      <c r="F15018" s="16"/>
      <c r="H15018" s="16"/>
      <c r="AG15018" s="80"/>
      <c r="AH15018" s="80"/>
      <c r="AI15018" s="80"/>
    </row>
    <row r="15019" spans="5:35" x14ac:dyDescent="0.25">
      <c r="E15019" s="16"/>
      <c r="F15019" s="16"/>
      <c r="H15019" s="16"/>
      <c r="AG15019" s="80"/>
      <c r="AH15019" s="80"/>
      <c r="AI15019" s="80"/>
    </row>
    <row r="15020" spans="5:35" x14ac:dyDescent="0.25">
      <c r="E15020" s="16"/>
      <c r="F15020" s="16"/>
      <c r="H15020" s="16"/>
      <c r="AG15020" s="80"/>
      <c r="AH15020" s="80"/>
      <c r="AI15020" s="80"/>
    </row>
    <row r="15021" spans="5:35" x14ac:dyDescent="0.25">
      <c r="E15021" s="16"/>
      <c r="F15021" s="16"/>
      <c r="H15021" s="16"/>
      <c r="AG15021" s="80"/>
      <c r="AH15021" s="80"/>
      <c r="AI15021" s="80"/>
    </row>
    <row r="15022" spans="5:35" x14ac:dyDescent="0.25">
      <c r="E15022" s="16"/>
      <c r="F15022" s="16"/>
      <c r="H15022" s="16"/>
      <c r="AG15022" s="80"/>
      <c r="AH15022" s="80"/>
      <c r="AI15022" s="80"/>
    </row>
    <row r="15023" spans="5:35" x14ac:dyDescent="0.25">
      <c r="E15023" s="16"/>
      <c r="F15023" s="16"/>
      <c r="H15023" s="16"/>
      <c r="AG15023" s="80"/>
      <c r="AH15023" s="80"/>
      <c r="AI15023" s="80"/>
    </row>
    <row r="15024" spans="5:35" x14ac:dyDescent="0.25">
      <c r="E15024" s="16"/>
      <c r="F15024" s="16"/>
      <c r="H15024" s="16"/>
      <c r="AG15024" s="80"/>
      <c r="AH15024" s="80"/>
      <c r="AI15024" s="80"/>
    </row>
    <row r="15025" spans="5:35" x14ac:dyDescent="0.25">
      <c r="E15025" s="16"/>
      <c r="F15025" s="16"/>
      <c r="H15025" s="16"/>
      <c r="AG15025" s="80"/>
      <c r="AH15025" s="80"/>
      <c r="AI15025" s="80"/>
    </row>
    <row r="15026" spans="5:35" x14ac:dyDescent="0.25">
      <c r="E15026" s="16"/>
      <c r="F15026" s="16"/>
      <c r="H15026" s="16"/>
      <c r="AG15026" s="80"/>
      <c r="AH15026" s="80"/>
      <c r="AI15026" s="80"/>
    </row>
    <row r="15027" spans="5:35" x14ac:dyDescent="0.25">
      <c r="E15027" s="16"/>
      <c r="F15027" s="16"/>
      <c r="H15027" s="16"/>
      <c r="AG15027" s="80"/>
      <c r="AH15027" s="80"/>
      <c r="AI15027" s="80"/>
    </row>
    <row r="15028" spans="5:35" x14ac:dyDescent="0.25">
      <c r="E15028" s="16"/>
      <c r="F15028" s="16"/>
      <c r="H15028" s="16"/>
      <c r="AG15028" s="80"/>
      <c r="AH15028" s="80"/>
      <c r="AI15028" s="80"/>
    </row>
    <row r="15029" spans="5:35" x14ac:dyDescent="0.25">
      <c r="E15029" s="16"/>
      <c r="F15029" s="16"/>
      <c r="H15029" s="16"/>
      <c r="AG15029" s="80"/>
      <c r="AH15029" s="80"/>
      <c r="AI15029" s="80"/>
    </row>
    <row r="15030" spans="5:35" x14ac:dyDescent="0.25">
      <c r="E15030" s="16"/>
      <c r="F15030" s="16"/>
      <c r="H15030" s="16"/>
      <c r="AG15030" s="80"/>
      <c r="AH15030" s="80"/>
      <c r="AI15030" s="80"/>
    </row>
    <row r="15031" spans="5:35" x14ac:dyDescent="0.25">
      <c r="E15031" s="16"/>
      <c r="F15031" s="16"/>
      <c r="H15031" s="16"/>
      <c r="AG15031" s="80"/>
      <c r="AH15031" s="80"/>
      <c r="AI15031" s="80"/>
    </row>
    <row r="15032" spans="5:35" x14ac:dyDescent="0.25">
      <c r="E15032" s="16"/>
      <c r="F15032" s="16"/>
      <c r="H15032" s="16"/>
      <c r="AG15032" s="80"/>
      <c r="AH15032" s="80"/>
      <c r="AI15032" s="80"/>
    </row>
    <row r="15033" spans="5:35" x14ac:dyDescent="0.25">
      <c r="E15033" s="16"/>
      <c r="F15033" s="16"/>
      <c r="H15033" s="16"/>
      <c r="AG15033" s="80"/>
      <c r="AH15033" s="80"/>
      <c r="AI15033" s="80"/>
    </row>
    <row r="15034" spans="5:35" x14ac:dyDescent="0.25">
      <c r="E15034" s="16"/>
      <c r="F15034" s="16"/>
      <c r="H15034" s="16"/>
      <c r="AG15034" s="80"/>
      <c r="AH15034" s="80"/>
      <c r="AI15034" s="80"/>
    </row>
    <row r="15035" spans="5:35" x14ac:dyDescent="0.25">
      <c r="E15035" s="16"/>
      <c r="F15035" s="16"/>
      <c r="H15035" s="16"/>
      <c r="AG15035" s="80"/>
      <c r="AH15035" s="80"/>
      <c r="AI15035" s="80"/>
    </row>
    <row r="15036" spans="5:35" x14ac:dyDescent="0.25">
      <c r="E15036" s="16"/>
      <c r="F15036" s="16"/>
      <c r="H15036" s="16"/>
      <c r="AG15036" s="80"/>
      <c r="AH15036" s="80"/>
      <c r="AI15036" s="80"/>
    </row>
    <row r="15037" spans="5:35" x14ac:dyDescent="0.25">
      <c r="E15037" s="16"/>
      <c r="F15037" s="16"/>
      <c r="H15037" s="16"/>
      <c r="AG15037" s="80"/>
      <c r="AH15037" s="80"/>
      <c r="AI15037" s="80"/>
    </row>
    <row r="15038" spans="5:35" x14ac:dyDescent="0.25">
      <c r="E15038" s="16"/>
      <c r="F15038" s="16"/>
      <c r="H15038" s="16"/>
      <c r="AG15038" s="80"/>
      <c r="AH15038" s="80"/>
      <c r="AI15038" s="80"/>
    </row>
    <row r="15039" spans="5:35" x14ac:dyDescent="0.25">
      <c r="E15039" s="16"/>
      <c r="F15039" s="16"/>
      <c r="H15039" s="16"/>
      <c r="AG15039" s="80"/>
      <c r="AH15039" s="80"/>
      <c r="AI15039" s="80"/>
    </row>
    <row r="15040" spans="5:35" x14ac:dyDescent="0.25">
      <c r="E15040" s="16"/>
      <c r="F15040" s="16"/>
      <c r="H15040" s="16"/>
      <c r="AG15040" s="80"/>
      <c r="AH15040" s="80"/>
      <c r="AI15040" s="80"/>
    </row>
    <row r="15041" spans="5:35" x14ac:dyDescent="0.25">
      <c r="E15041" s="16"/>
      <c r="F15041" s="16"/>
      <c r="H15041" s="16"/>
      <c r="AG15041" s="80"/>
      <c r="AH15041" s="80"/>
      <c r="AI15041" s="80"/>
    </row>
    <row r="15042" spans="5:35" x14ac:dyDescent="0.25">
      <c r="E15042" s="16"/>
      <c r="F15042" s="16"/>
      <c r="H15042" s="16"/>
      <c r="AG15042" s="80"/>
      <c r="AH15042" s="80"/>
      <c r="AI15042" s="80"/>
    </row>
    <row r="15043" spans="5:35" x14ac:dyDescent="0.25">
      <c r="E15043" s="16"/>
      <c r="F15043" s="16"/>
      <c r="H15043" s="16"/>
      <c r="AG15043" s="80"/>
      <c r="AH15043" s="80"/>
      <c r="AI15043" s="80"/>
    </row>
    <row r="15044" spans="5:35" x14ac:dyDescent="0.25">
      <c r="E15044" s="16"/>
      <c r="F15044" s="16"/>
      <c r="H15044" s="16"/>
      <c r="AG15044" s="80"/>
      <c r="AH15044" s="80"/>
      <c r="AI15044" s="80"/>
    </row>
    <row r="15045" spans="5:35" x14ac:dyDescent="0.25">
      <c r="E15045" s="16"/>
      <c r="F15045" s="16"/>
      <c r="H15045" s="16"/>
      <c r="AG15045" s="80"/>
      <c r="AH15045" s="80"/>
      <c r="AI15045" s="80"/>
    </row>
    <row r="15046" spans="5:35" x14ac:dyDescent="0.25">
      <c r="E15046" s="16"/>
      <c r="F15046" s="16"/>
      <c r="H15046" s="16"/>
      <c r="AG15046" s="80"/>
      <c r="AH15046" s="80"/>
      <c r="AI15046" s="80"/>
    </row>
    <row r="15047" spans="5:35" x14ac:dyDescent="0.25">
      <c r="E15047" s="16"/>
      <c r="F15047" s="16"/>
      <c r="H15047" s="16"/>
      <c r="AG15047" s="80"/>
      <c r="AH15047" s="80"/>
      <c r="AI15047" s="80"/>
    </row>
    <row r="15048" spans="5:35" x14ac:dyDescent="0.25">
      <c r="E15048" s="16"/>
      <c r="F15048" s="16"/>
      <c r="H15048" s="16"/>
      <c r="AG15048" s="80"/>
      <c r="AH15048" s="80"/>
      <c r="AI15048" s="80"/>
    </row>
    <row r="15049" spans="5:35" x14ac:dyDescent="0.25">
      <c r="E15049" s="16"/>
      <c r="F15049" s="16"/>
      <c r="H15049" s="16"/>
      <c r="AG15049" s="80"/>
      <c r="AH15049" s="80"/>
      <c r="AI15049" s="80"/>
    </row>
    <row r="15050" spans="5:35" x14ac:dyDescent="0.25">
      <c r="E15050" s="16"/>
      <c r="F15050" s="16"/>
      <c r="H15050" s="16"/>
      <c r="AG15050" s="80"/>
      <c r="AH15050" s="80"/>
      <c r="AI15050" s="80"/>
    </row>
    <row r="15051" spans="5:35" x14ac:dyDescent="0.25">
      <c r="E15051" s="16"/>
      <c r="F15051" s="16"/>
      <c r="H15051" s="16"/>
      <c r="AG15051" s="80"/>
      <c r="AH15051" s="80"/>
      <c r="AI15051" s="80"/>
    </row>
    <row r="15052" spans="5:35" x14ac:dyDescent="0.25">
      <c r="E15052" s="16"/>
      <c r="F15052" s="16"/>
      <c r="H15052" s="16"/>
      <c r="AG15052" s="80"/>
      <c r="AH15052" s="80"/>
      <c r="AI15052" s="80"/>
    </row>
    <row r="15053" spans="5:35" x14ac:dyDescent="0.25">
      <c r="E15053" s="16"/>
      <c r="F15053" s="16"/>
      <c r="H15053" s="16"/>
      <c r="AG15053" s="80"/>
      <c r="AH15053" s="80"/>
      <c r="AI15053" s="80"/>
    </row>
    <row r="15054" spans="5:35" x14ac:dyDescent="0.25">
      <c r="E15054" s="16"/>
      <c r="F15054" s="16"/>
      <c r="H15054" s="16"/>
      <c r="AG15054" s="80"/>
      <c r="AH15054" s="80"/>
      <c r="AI15054" s="80"/>
    </row>
    <row r="15055" spans="5:35" x14ac:dyDescent="0.25">
      <c r="E15055" s="16"/>
      <c r="F15055" s="16"/>
      <c r="H15055" s="16"/>
      <c r="AG15055" s="80"/>
      <c r="AH15055" s="80"/>
      <c r="AI15055" s="80"/>
    </row>
    <row r="15056" spans="5:35" x14ac:dyDescent="0.25">
      <c r="E15056" s="16"/>
      <c r="F15056" s="16"/>
      <c r="H15056" s="16"/>
      <c r="AG15056" s="80"/>
      <c r="AH15056" s="80"/>
      <c r="AI15056" s="80"/>
    </row>
    <row r="15057" spans="5:35" x14ac:dyDescent="0.25">
      <c r="E15057" s="16"/>
      <c r="F15057" s="16"/>
      <c r="H15057" s="16"/>
      <c r="AG15057" s="80"/>
      <c r="AH15057" s="80"/>
      <c r="AI15057" s="80"/>
    </row>
    <row r="15058" spans="5:35" x14ac:dyDescent="0.25">
      <c r="E15058" s="16"/>
      <c r="F15058" s="16"/>
      <c r="H15058" s="16"/>
      <c r="AG15058" s="80"/>
      <c r="AH15058" s="80"/>
      <c r="AI15058" s="80"/>
    </row>
    <row r="15059" spans="5:35" x14ac:dyDescent="0.25">
      <c r="E15059" s="16"/>
      <c r="F15059" s="16"/>
      <c r="H15059" s="16"/>
      <c r="AG15059" s="80"/>
      <c r="AH15059" s="80"/>
      <c r="AI15059" s="80"/>
    </row>
    <row r="15060" spans="5:35" x14ac:dyDescent="0.25">
      <c r="E15060" s="16"/>
      <c r="F15060" s="16"/>
      <c r="H15060" s="16"/>
      <c r="AG15060" s="80"/>
      <c r="AH15060" s="80"/>
      <c r="AI15060" s="80"/>
    </row>
    <row r="15061" spans="5:35" x14ac:dyDescent="0.25">
      <c r="E15061" s="16"/>
      <c r="F15061" s="16"/>
      <c r="H15061" s="16"/>
      <c r="AG15061" s="80"/>
      <c r="AH15061" s="80"/>
      <c r="AI15061" s="80"/>
    </row>
    <row r="15062" spans="5:35" x14ac:dyDescent="0.25">
      <c r="E15062" s="16"/>
      <c r="F15062" s="16"/>
      <c r="H15062" s="16"/>
      <c r="AG15062" s="80"/>
      <c r="AH15062" s="80"/>
      <c r="AI15062" s="80"/>
    </row>
    <row r="15063" spans="5:35" x14ac:dyDescent="0.25">
      <c r="E15063" s="16"/>
      <c r="F15063" s="16"/>
      <c r="H15063" s="16"/>
      <c r="AG15063" s="80"/>
      <c r="AH15063" s="80"/>
      <c r="AI15063" s="80"/>
    </row>
    <row r="15064" spans="5:35" x14ac:dyDescent="0.25">
      <c r="E15064" s="16"/>
      <c r="F15064" s="16"/>
      <c r="H15064" s="16"/>
      <c r="AG15064" s="80"/>
      <c r="AH15064" s="80"/>
      <c r="AI15064" s="80"/>
    </row>
    <row r="15065" spans="5:35" x14ac:dyDescent="0.25">
      <c r="E15065" s="16"/>
      <c r="F15065" s="16"/>
      <c r="H15065" s="16"/>
      <c r="AG15065" s="80"/>
      <c r="AH15065" s="80"/>
      <c r="AI15065" s="80"/>
    </row>
    <row r="15066" spans="5:35" x14ac:dyDescent="0.25">
      <c r="E15066" s="16"/>
      <c r="F15066" s="16"/>
      <c r="H15066" s="16"/>
      <c r="AG15066" s="80"/>
      <c r="AH15066" s="80"/>
      <c r="AI15066" s="80"/>
    </row>
    <row r="15067" spans="5:35" x14ac:dyDescent="0.25">
      <c r="E15067" s="16"/>
      <c r="F15067" s="16"/>
      <c r="H15067" s="16"/>
      <c r="AG15067" s="80"/>
      <c r="AH15067" s="80"/>
      <c r="AI15067" s="80"/>
    </row>
    <row r="15068" spans="5:35" x14ac:dyDescent="0.25">
      <c r="E15068" s="16"/>
      <c r="F15068" s="16"/>
      <c r="H15068" s="16"/>
      <c r="AG15068" s="80"/>
      <c r="AH15068" s="80"/>
      <c r="AI15068" s="80"/>
    </row>
    <row r="15069" spans="5:35" x14ac:dyDescent="0.25">
      <c r="E15069" s="16"/>
      <c r="F15069" s="16"/>
      <c r="H15069" s="16"/>
      <c r="AG15069" s="80"/>
      <c r="AH15069" s="80"/>
      <c r="AI15069" s="80"/>
    </row>
    <row r="15070" spans="5:35" x14ac:dyDescent="0.25">
      <c r="E15070" s="16"/>
      <c r="F15070" s="16"/>
      <c r="H15070" s="16"/>
      <c r="AG15070" s="80"/>
      <c r="AH15070" s="80"/>
      <c r="AI15070" s="80"/>
    </row>
    <row r="15071" spans="5:35" x14ac:dyDescent="0.25">
      <c r="E15071" s="16"/>
      <c r="F15071" s="16"/>
      <c r="H15071" s="16"/>
      <c r="AG15071" s="80"/>
      <c r="AH15071" s="80"/>
      <c r="AI15071" s="80"/>
    </row>
    <row r="15072" spans="5:35" x14ac:dyDescent="0.25">
      <c r="E15072" s="16"/>
      <c r="F15072" s="16"/>
      <c r="H15072" s="16"/>
      <c r="AG15072" s="80"/>
      <c r="AH15072" s="80"/>
      <c r="AI15072" s="80"/>
    </row>
    <row r="15073" spans="5:35" x14ac:dyDescent="0.25">
      <c r="E15073" s="16"/>
      <c r="F15073" s="16"/>
      <c r="H15073" s="16"/>
      <c r="AG15073" s="80"/>
      <c r="AH15073" s="80"/>
      <c r="AI15073" s="80"/>
    </row>
    <row r="15074" spans="5:35" x14ac:dyDescent="0.25">
      <c r="E15074" s="16"/>
      <c r="F15074" s="16"/>
      <c r="H15074" s="16"/>
      <c r="AG15074" s="80"/>
      <c r="AH15074" s="80"/>
      <c r="AI15074" s="80"/>
    </row>
    <row r="15075" spans="5:35" x14ac:dyDescent="0.25">
      <c r="E15075" s="16"/>
      <c r="F15075" s="16"/>
      <c r="H15075" s="16"/>
      <c r="AG15075" s="80"/>
      <c r="AH15075" s="80"/>
      <c r="AI15075" s="80"/>
    </row>
    <row r="15076" spans="5:35" x14ac:dyDescent="0.25">
      <c r="E15076" s="16"/>
      <c r="F15076" s="16"/>
      <c r="H15076" s="16"/>
      <c r="AG15076" s="80"/>
      <c r="AH15076" s="80"/>
      <c r="AI15076" s="80"/>
    </row>
    <row r="15077" spans="5:35" x14ac:dyDescent="0.25">
      <c r="E15077" s="16"/>
      <c r="F15077" s="16"/>
      <c r="H15077" s="16"/>
      <c r="AG15077" s="80"/>
      <c r="AH15077" s="80"/>
      <c r="AI15077" s="80"/>
    </row>
    <row r="15078" spans="5:35" x14ac:dyDescent="0.25">
      <c r="E15078" s="16"/>
      <c r="F15078" s="16"/>
      <c r="H15078" s="16"/>
      <c r="AG15078" s="80"/>
      <c r="AH15078" s="80"/>
      <c r="AI15078" s="80"/>
    </row>
    <row r="15079" spans="5:35" x14ac:dyDescent="0.25">
      <c r="E15079" s="16"/>
      <c r="F15079" s="16"/>
      <c r="H15079" s="16"/>
      <c r="AG15079" s="80"/>
      <c r="AH15079" s="80"/>
      <c r="AI15079" s="80"/>
    </row>
    <row r="15080" spans="5:35" x14ac:dyDescent="0.25">
      <c r="E15080" s="16"/>
      <c r="F15080" s="16"/>
      <c r="H15080" s="16"/>
      <c r="AG15080" s="80"/>
      <c r="AH15080" s="80"/>
      <c r="AI15080" s="80"/>
    </row>
    <row r="15081" spans="5:35" x14ac:dyDescent="0.25">
      <c r="E15081" s="16"/>
      <c r="F15081" s="16"/>
      <c r="H15081" s="16"/>
      <c r="AG15081" s="80"/>
      <c r="AH15081" s="80"/>
      <c r="AI15081" s="80"/>
    </row>
    <row r="15082" spans="5:35" x14ac:dyDescent="0.25">
      <c r="E15082" s="16"/>
      <c r="F15082" s="16"/>
      <c r="H15082" s="16"/>
      <c r="AG15082" s="80"/>
      <c r="AH15082" s="80"/>
      <c r="AI15082" s="80"/>
    </row>
    <row r="15083" spans="5:35" x14ac:dyDescent="0.25">
      <c r="E15083" s="16"/>
      <c r="F15083" s="16"/>
      <c r="H15083" s="16"/>
      <c r="AG15083" s="80"/>
      <c r="AH15083" s="80"/>
      <c r="AI15083" s="80"/>
    </row>
    <row r="15084" spans="5:35" x14ac:dyDescent="0.25">
      <c r="E15084" s="16"/>
      <c r="F15084" s="16"/>
      <c r="H15084" s="16"/>
      <c r="AG15084" s="80"/>
      <c r="AH15084" s="80"/>
      <c r="AI15084" s="80"/>
    </row>
    <row r="15085" spans="5:35" x14ac:dyDescent="0.25">
      <c r="E15085" s="16"/>
      <c r="F15085" s="16"/>
      <c r="H15085" s="16"/>
      <c r="AG15085" s="80"/>
      <c r="AH15085" s="80"/>
      <c r="AI15085" s="80"/>
    </row>
    <row r="15086" spans="5:35" x14ac:dyDescent="0.25">
      <c r="E15086" s="16"/>
      <c r="F15086" s="16"/>
      <c r="H15086" s="16"/>
      <c r="AG15086" s="80"/>
      <c r="AH15086" s="80"/>
      <c r="AI15086" s="80"/>
    </row>
    <row r="15087" spans="5:35" x14ac:dyDescent="0.25">
      <c r="E15087" s="16"/>
      <c r="F15087" s="16"/>
      <c r="H15087" s="16"/>
      <c r="AG15087" s="80"/>
      <c r="AH15087" s="80"/>
      <c r="AI15087" s="80"/>
    </row>
    <row r="15088" spans="5:35" x14ac:dyDescent="0.25">
      <c r="E15088" s="16"/>
      <c r="F15088" s="16"/>
      <c r="H15088" s="16"/>
      <c r="AG15088" s="80"/>
      <c r="AH15088" s="80"/>
      <c r="AI15088" s="80"/>
    </row>
    <row r="15089" spans="5:35" x14ac:dyDescent="0.25">
      <c r="E15089" s="16"/>
      <c r="F15089" s="16"/>
      <c r="H15089" s="16"/>
      <c r="AG15089" s="80"/>
      <c r="AH15089" s="80"/>
      <c r="AI15089" s="80"/>
    </row>
    <row r="15090" spans="5:35" x14ac:dyDescent="0.25">
      <c r="E15090" s="16"/>
      <c r="F15090" s="16"/>
      <c r="H15090" s="16"/>
      <c r="AG15090" s="80"/>
      <c r="AH15090" s="80"/>
      <c r="AI15090" s="80"/>
    </row>
    <row r="15091" spans="5:35" x14ac:dyDescent="0.25">
      <c r="E15091" s="16"/>
      <c r="F15091" s="16"/>
      <c r="H15091" s="16"/>
      <c r="AG15091" s="80"/>
      <c r="AH15091" s="80"/>
      <c r="AI15091" s="80"/>
    </row>
    <row r="15092" spans="5:35" x14ac:dyDescent="0.25">
      <c r="E15092" s="16"/>
      <c r="F15092" s="16"/>
      <c r="H15092" s="16"/>
      <c r="AG15092" s="80"/>
      <c r="AH15092" s="80"/>
      <c r="AI15092" s="80"/>
    </row>
    <row r="15093" spans="5:35" x14ac:dyDescent="0.25">
      <c r="E15093" s="16"/>
      <c r="F15093" s="16"/>
      <c r="H15093" s="16"/>
      <c r="AG15093" s="80"/>
      <c r="AH15093" s="80"/>
      <c r="AI15093" s="80"/>
    </row>
    <row r="15094" spans="5:35" x14ac:dyDescent="0.25">
      <c r="E15094" s="16"/>
      <c r="F15094" s="16"/>
      <c r="H15094" s="16"/>
      <c r="AG15094" s="80"/>
      <c r="AH15094" s="80"/>
      <c r="AI15094" s="80"/>
    </row>
    <row r="15095" spans="5:35" x14ac:dyDescent="0.25">
      <c r="E15095" s="16"/>
      <c r="F15095" s="16"/>
      <c r="H15095" s="16"/>
      <c r="AG15095" s="80"/>
      <c r="AH15095" s="80"/>
      <c r="AI15095" s="80"/>
    </row>
    <row r="15096" spans="5:35" x14ac:dyDescent="0.25">
      <c r="E15096" s="16"/>
      <c r="F15096" s="16"/>
      <c r="H15096" s="16"/>
      <c r="AG15096" s="80"/>
      <c r="AH15096" s="80"/>
      <c r="AI15096" s="80"/>
    </row>
    <row r="15097" spans="5:35" x14ac:dyDescent="0.25">
      <c r="E15097" s="16"/>
      <c r="F15097" s="16"/>
      <c r="H15097" s="16"/>
      <c r="AG15097" s="80"/>
      <c r="AH15097" s="80"/>
      <c r="AI15097" s="80"/>
    </row>
    <row r="15098" spans="5:35" x14ac:dyDescent="0.25">
      <c r="E15098" s="16"/>
      <c r="F15098" s="16"/>
      <c r="H15098" s="16"/>
      <c r="AG15098" s="80"/>
      <c r="AH15098" s="80"/>
      <c r="AI15098" s="80"/>
    </row>
    <row r="15099" spans="5:35" x14ac:dyDescent="0.25">
      <c r="E15099" s="16"/>
      <c r="F15099" s="16"/>
      <c r="H15099" s="16"/>
      <c r="AG15099" s="80"/>
      <c r="AH15099" s="80"/>
      <c r="AI15099" s="80"/>
    </row>
    <row r="15100" spans="5:35" x14ac:dyDescent="0.25">
      <c r="E15100" s="16"/>
      <c r="F15100" s="16"/>
      <c r="H15100" s="16"/>
      <c r="AG15100" s="80"/>
      <c r="AH15100" s="80"/>
      <c r="AI15100" s="80"/>
    </row>
    <row r="15101" spans="5:35" x14ac:dyDescent="0.25">
      <c r="E15101" s="16"/>
      <c r="F15101" s="16"/>
      <c r="H15101" s="16"/>
      <c r="AG15101" s="80"/>
      <c r="AH15101" s="80"/>
      <c r="AI15101" s="80"/>
    </row>
    <row r="15102" spans="5:35" x14ac:dyDescent="0.25">
      <c r="E15102" s="16"/>
      <c r="F15102" s="16"/>
      <c r="H15102" s="16"/>
      <c r="AG15102" s="80"/>
      <c r="AH15102" s="80"/>
      <c r="AI15102" s="80"/>
    </row>
    <row r="15103" spans="5:35" x14ac:dyDescent="0.25">
      <c r="E15103" s="16"/>
      <c r="F15103" s="16"/>
      <c r="H15103" s="16"/>
      <c r="AG15103" s="80"/>
      <c r="AH15103" s="80"/>
      <c r="AI15103" s="80"/>
    </row>
    <row r="15104" spans="5:35" x14ac:dyDescent="0.25">
      <c r="E15104" s="16"/>
      <c r="F15104" s="16"/>
      <c r="H15104" s="16"/>
      <c r="AG15104" s="80"/>
      <c r="AH15104" s="80"/>
      <c r="AI15104" s="80"/>
    </row>
    <row r="15105" spans="5:35" x14ac:dyDescent="0.25">
      <c r="E15105" s="16"/>
      <c r="F15105" s="16"/>
      <c r="H15105" s="16"/>
      <c r="AG15105" s="80"/>
      <c r="AH15105" s="80"/>
      <c r="AI15105" s="80"/>
    </row>
    <row r="15106" spans="5:35" x14ac:dyDescent="0.25">
      <c r="E15106" s="16"/>
      <c r="F15106" s="16"/>
      <c r="H15106" s="16"/>
      <c r="AG15106" s="80"/>
      <c r="AH15106" s="80"/>
      <c r="AI15106" s="80"/>
    </row>
    <row r="15107" spans="5:35" x14ac:dyDescent="0.25">
      <c r="E15107" s="16"/>
      <c r="F15107" s="16"/>
      <c r="H15107" s="16"/>
      <c r="AG15107" s="80"/>
      <c r="AH15107" s="80"/>
      <c r="AI15107" s="80"/>
    </row>
    <row r="15108" spans="5:35" x14ac:dyDescent="0.25">
      <c r="E15108" s="16"/>
      <c r="F15108" s="16"/>
      <c r="H15108" s="16"/>
      <c r="AG15108" s="80"/>
      <c r="AH15108" s="80"/>
      <c r="AI15108" s="80"/>
    </row>
    <row r="15109" spans="5:35" x14ac:dyDescent="0.25">
      <c r="E15109" s="16"/>
      <c r="F15109" s="16"/>
      <c r="H15109" s="16"/>
      <c r="AG15109" s="80"/>
      <c r="AH15109" s="80"/>
      <c r="AI15109" s="80"/>
    </row>
    <row r="15110" spans="5:35" x14ac:dyDescent="0.25">
      <c r="E15110" s="16"/>
      <c r="F15110" s="16"/>
      <c r="H15110" s="16"/>
      <c r="AG15110" s="80"/>
      <c r="AH15110" s="80"/>
      <c r="AI15110" s="80"/>
    </row>
    <row r="15111" spans="5:35" x14ac:dyDescent="0.25">
      <c r="E15111" s="16"/>
      <c r="F15111" s="16"/>
      <c r="H15111" s="16"/>
      <c r="AG15111" s="80"/>
      <c r="AH15111" s="80"/>
      <c r="AI15111" s="80"/>
    </row>
    <row r="15112" spans="5:35" x14ac:dyDescent="0.25">
      <c r="E15112" s="16"/>
      <c r="F15112" s="16"/>
      <c r="H15112" s="16"/>
      <c r="AG15112" s="80"/>
      <c r="AH15112" s="80"/>
      <c r="AI15112" s="80"/>
    </row>
    <row r="15113" spans="5:35" x14ac:dyDescent="0.25">
      <c r="E15113" s="16"/>
      <c r="F15113" s="16"/>
      <c r="H15113" s="16"/>
      <c r="AG15113" s="80"/>
      <c r="AH15113" s="80"/>
      <c r="AI15113" s="80"/>
    </row>
    <row r="15114" spans="5:35" x14ac:dyDescent="0.25">
      <c r="E15114" s="16"/>
      <c r="F15114" s="16"/>
      <c r="H15114" s="16"/>
      <c r="AG15114" s="80"/>
      <c r="AH15114" s="80"/>
      <c r="AI15114" s="80"/>
    </row>
    <row r="15115" spans="5:35" x14ac:dyDescent="0.25">
      <c r="E15115" s="16"/>
      <c r="F15115" s="16"/>
      <c r="H15115" s="16"/>
      <c r="AG15115" s="80"/>
      <c r="AH15115" s="80"/>
      <c r="AI15115" s="80"/>
    </row>
    <row r="15116" spans="5:35" x14ac:dyDescent="0.25">
      <c r="E15116" s="16"/>
      <c r="F15116" s="16"/>
      <c r="H15116" s="16"/>
      <c r="AG15116" s="80"/>
      <c r="AH15116" s="80"/>
      <c r="AI15116" s="80"/>
    </row>
    <row r="15117" spans="5:35" x14ac:dyDescent="0.25">
      <c r="E15117" s="16"/>
      <c r="F15117" s="16"/>
      <c r="H15117" s="16"/>
      <c r="AG15117" s="80"/>
      <c r="AH15117" s="80"/>
      <c r="AI15117" s="80"/>
    </row>
    <row r="15118" spans="5:35" x14ac:dyDescent="0.25">
      <c r="E15118" s="16"/>
      <c r="F15118" s="16"/>
      <c r="H15118" s="16"/>
      <c r="AG15118" s="80"/>
      <c r="AH15118" s="80"/>
      <c r="AI15118" s="80"/>
    </row>
    <row r="15119" spans="5:35" x14ac:dyDescent="0.25">
      <c r="E15119" s="16"/>
      <c r="F15119" s="16"/>
      <c r="H15119" s="16"/>
      <c r="AG15119" s="80"/>
      <c r="AH15119" s="80"/>
      <c r="AI15119" s="80"/>
    </row>
    <row r="15120" spans="5:35" x14ac:dyDescent="0.25">
      <c r="E15120" s="16"/>
      <c r="F15120" s="16"/>
      <c r="H15120" s="16"/>
      <c r="AG15120" s="80"/>
      <c r="AH15120" s="80"/>
      <c r="AI15120" s="80"/>
    </row>
    <row r="15121" spans="5:35" x14ac:dyDescent="0.25">
      <c r="E15121" s="16"/>
      <c r="F15121" s="16"/>
      <c r="H15121" s="16"/>
      <c r="AG15121" s="80"/>
      <c r="AH15121" s="80"/>
      <c r="AI15121" s="80"/>
    </row>
    <row r="15122" spans="5:35" x14ac:dyDescent="0.25">
      <c r="E15122" s="16"/>
      <c r="F15122" s="16"/>
      <c r="H15122" s="16"/>
      <c r="AG15122" s="80"/>
      <c r="AH15122" s="80"/>
      <c r="AI15122" s="80"/>
    </row>
    <row r="15123" spans="5:35" x14ac:dyDescent="0.25">
      <c r="E15123" s="16"/>
      <c r="F15123" s="16"/>
      <c r="H15123" s="16"/>
      <c r="AG15123" s="80"/>
      <c r="AH15123" s="80"/>
      <c r="AI15123" s="80"/>
    </row>
    <row r="15124" spans="5:35" x14ac:dyDescent="0.25">
      <c r="E15124" s="16"/>
      <c r="F15124" s="16"/>
      <c r="H15124" s="16"/>
      <c r="AG15124" s="80"/>
      <c r="AH15124" s="80"/>
      <c r="AI15124" s="80"/>
    </row>
    <row r="15125" spans="5:35" x14ac:dyDescent="0.25">
      <c r="E15125" s="16"/>
      <c r="F15125" s="16"/>
      <c r="H15125" s="16"/>
      <c r="AG15125" s="80"/>
      <c r="AH15125" s="80"/>
      <c r="AI15125" s="80"/>
    </row>
    <row r="15126" spans="5:35" x14ac:dyDescent="0.25">
      <c r="E15126" s="16"/>
      <c r="F15126" s="16"/>
      <c r="H15126" s="16"/>
      <c r="AG15126" s="80"/>
      <c r="AH15126" s="80"/>
      <c r="AI15126" s="80"/>
    </row>
    <row r="15127" spans="5:35" x14ac:dyDescent="0.25">
      <c r="E15127" s="16"/>
      <c r="F15127" s="16"/>
      <c r="H15127" s="16"/>
      <c r="AG15127" s="80"/>
      <c r="AH15127" s="80"/>
      <c r="AI15127" s="80"/>
    </row>
    <row r="15128" spans="5:35" x14ac:dyDescent="0.25">
      <c r="E15128" s="16"/>
      <c r="F15128" s="16"/>
      <c r="H15128" s="16"/>
      <c r="AG15128" s="80"/>
      <c r="AH15128" s="80"/>
      <c r="AI15128" s="80"/>
    </row>
    <row r="15129" spans="5:35" x14ac:dyDescent="0.25">
      <c r="E15129" s="16"/>
      <c r="F15129" s="16"/>
      <c r="H15129" s="16"/>
      <c r="AG15129" s="80"/>
      <c r="AH15129" s="80"/>
      <c r="AI15129" s="80"/>
    </row>
    <row r="15130" spans="5:35" x14ac:dyDescent="0.25">
      <c r="E15130" s="16"/>
      <c r="F15130" s="16"/>
      <c r="H15130" s="16"/>
      <c r="AG15130" s="80"/>
      <c r="AH15130" s="80"/>
      <c r="AI15130" s="80"/>
    </row>
    <row r="15131" spans="5:35" x14ac:dyDescent="0.25">
      <c r="E15131" s="16"/>
      <c r="F15131" s="16"/>
      <c r="H15131" s="16"/>
      <c r="AG15131" s="80"/>
      <c r="AH15131" s="80"/>
      <c r="AI15131" s="80"/>
    </row>
    <row r="15132" spans="5:35" x14ac:dyDescent="0.25">
      <c r="E15132" s="16"/>
      <c r="F15132" s="16"/>
      <c r="H15132" s="16"/>
      <c r="AG15132" s="80"/>
      <c r="AH15132" s="80"/>
      <c r="AI15132" s="80"/>
    </row>
    <row r="15133" spans="5:35" x14ac:dyDescent="0.25">
      <c r="E15133" s="16"/>
      <c r="F15133" s="16"/>
      <c r="H15133" s="16"/>
      <c r="AG15133" s="80"/>
      <c r="AH15133" s="80"/>
      <c r="AI15133" s="80"/>
    </row>
    <row r="15134" spans="5:35" x14ac:dyDescent="0.25">
      <c r="E15134" s="16"/>
      <c r="F15134" s="16"/>
      <c r="H15134" s="16"/>
      <c r="AG15134" s="80"/>
      <c r="AH15134" s="80"/>
      <c r="AI15134" s="80"/>
    </row>
    <row r="15135" spans="5:35" x14ac:dyDescent="0.25">
      <c r="E15135" s="16"/>
      <c r="F15135" s="16"/>
      <c r="H15135" s="16"/>
      <c r="AG15135" s="80"/>
      <c r="AH15135" s="80"/>
      <c r="AI15135" s="80"/>
    </row>
    <row r="15136" spans="5:35" x14ac:dyDescent="0.25">
      <c r="E15136" s="16"/>
      <c r="F15136" s="16"/>
      <c r="H15136" s="16"/>
      <c r="AG15136" s="80"/>
      <c r="AH15136" s="80"/>
      <c r="AI15136" s="80"/>
    </row>
    <row r="15137" spans="5:35" x14ac:dyDescent="0.25">
      <c r="E15137" s="16"/>
      <c r="F15137" s="16"/>
      <c r="H15137" s="16"/>
      <c r="AG15137" s="80"/>
      <c r="AH15137" s="80"/>
      <c r="AI15137" s="80"/>
    </row>
    <row r="15138" spans="5:35" x14ac:dyDescent="0.25">
      <c r="E15138" s="16"/>
      <c r="F15138" s="16"/>
      <c r="H15138" s="16"/>
      <c r="AG15138" s="80"/>
      <c r="AH15138" s="80"/>
      <c r="AI15138" s="80"/>
    </row>
    <row r="15139" spans="5:35" x14ac:dyDescent="0.25">
      <c r="E15139" s="16"/>
      <c r="F15139" s="16"/>
      <c r="H15139" s="16"/>
      <c r="AG15139" s="80"/>
      <c r="AH15139" s="80"/>
      <c r="AI15139" s="80"/>
    </row>
    <row r="15140" spans="5:35" x14ac:dyDescent="0.25">
      <c r="E15140" s="16"/>
      <c r="F15140" s="16"/>
      <c r="H15140" s="16"/>
      <c r="AG15140" s="80"/>
      <c r="AH15140" s="80"/>
      <c r="AI15140" s="80"/>
    </row>
    <row r="15141" spans="5:35" x14ac:dyDescent="0.25">
      <c r="E15141" s="16"/>
      <c r="F15141" s="16"/>
      <c r="H15141" s="16"/>
      <c r="AG15141" s="80"/>
      <c r="AH15141" s="80"/>
      <c r="AI15141" s="80"/>
    </row>
    <row r="15142" spans="5:35" x14ac:dyDescent="0.25">
      <c r="E15142" s="16"/>
      <c r="F15142" s="16"/>
      <c r="H15142" s="16"/>
      <c r="AG15142" s="80"/>
      <c r="AH15142" s="80"/>
      <c r="AI15142" s="80"/>
    </row>
    <row r="15143" spans="5:35" x14ac:dyDescent="0.25">
      <c r="E15143" s="16"/>
      <c r="F15143" s="16"/>
      <c r="H15143" s="16"/>
      <c r="AG15143" s="80"/>
      <c r="AH15143" s="80"/>
      <c r="AI15143" s="80"/>
    </row>
    <row r="15144" spans="5:35" x14ac:dyDescent="0.25">
      <c r="E15144" s="16"/>
      <c r="F15144" s="16"/>
      <c r="H15144" s="16"/>
      <c r="AG15144" s="80"/>
      <c r="AH15144" s="80"/>
      <c r="AI15144" s="80"/>
    </row>
    <row r="15145" spans="5:35" x14ac:dyDescent="0.25">
      <c r="E15145" s="16"/>
      <c r="F15145" s="16"/>
      <c r="H15145" s="16"/>
      <c r="AG15145" s="80"/>
      <c r="AH15145" s="80"/>
      <c r="AI15145" s="80"/>
    </row>
    <row r="15146" spans="5:35" x14ac:dyDescent="0.25">
      <c r="E15146" s="16"/>
      <c r="F15146" s="16"/>
      <c r="H15146" s="16"/>
      <c r="AG15146" s="80"/>
      <c r="AH15146" s="80"/>
      <c r="AI15146" s="80"/>
    </row>
    <row r="15147" spans="5:35" x14ac:dyDescent="0.25">
      <c r="E15147" s="16"/>
      <c r="F15147" s="16"/>
      <c r="H15147" s="16"/>
      <c r="AG15147" s="80"/>
      <c r="AH15147" s="80"/>
      <c r="AI15147" s="80"/>
    </row>
    <row r="15148" spans="5:35" x14ac:dyDescent="0.25">
      <c r="E15148" s="16"/>
      <c r="F15148" s="16"/>
      <c r="H15148" s="16"/>
      <c r="AG15148" s="80"/>
      <c r="AH15148" s="80"/>
      <c r="AI15148" s="80"/>
    </row>
    <row r="15149" spans="5:35" x14ac:dyDescent="0.25">
      <c r="E15149" s="16"/>
      <c r="F15149" s="16"/>
      <c r="H15149" s="16"/>
      <c r="AG15149" s="80"/>
      <c r="AH15149" s="80"/>
      <c r="AI15149" s="80"/>
    </row>
    <row r="15150" spans="5:35" x14ac:dyDescent="0.25">
      <c r="E15150" s="16"/>
      <c r="F15150" s="16"/>
      <c r="H15150" s="16"/>
      <c r="AG15150" s="80"/>
      <c r="AH15150" s="80"/>
      <c r="AI15150" s="80"/>
    </row>
    <row r="15151" spans="5:35" x14ac:dyDescent="0.25">
      <c r="E15151" s="16"/>
      <c r="F15151" s="16"/>
      <c r="H15151" s="16"/>
      <c r="AG15151" s="80"/>
      <c r="AH15151" s="80"/>
      <c r="AI15151" s="80"/>
    </row>
    <row r="15152" spans="5:35" x14ac:dyDescent="0.25">
      <c r="E15152" s="16"/>
      <c r="F15152" s="16"/>
      <c r="H15152" s="16"/>
      <c r="AG15152" s="80"/>
      <c r="AH15152" s="80"/>
      <c r="AI15152" s="80"/>
    </row>
    <row r="15153" spans="5:35" x14ac:dyDescent="0.25">
      <c r="E15153" s="16"/>
      <c r="F15153" s="16"/>
      <c r="H15153" s="16"/>
      <c r="AG15153" s="80"/>
      <c r="AH15153" s="80"/>
      <c r="AI15153" s="80"/>
    </row>
    <row r="15154" spans="5:35" x14ac:dyDescent="0.25">
      <c r="E15154" s="16"/>
      <c r="F15154" s="16"/>
      <c r="H15154" s="16"/>
      <c r="AG15154" s="80"/>
      <c r="AH15154" s="80"/>
      <c r="AI15154" s="80"/>
    </row>
    <row r="15155" spans="5:35" x14ac:dyDescent="0.25">
      <c r="E15155" s="16"/>
      <c r="F15155" s="16"/>
      <c r="H15155" s="16"/>
      <c r="AG15155" s="80"/>
      <c r="AH15155" s="80"/>
      <c r="AI15155" s="80"/>
    </row>
    <row r="15156" spans="5:35" x14ac:dyDescent="0.25">
      <c r="E15156" s="16"/>
      <c r="F15156" s="16"/>
      <c r="H15156" s="16"/>
      <c r="AG15156" s="80"/>
      <c r="AH15156" s="80"/>
      <c r="AI15156" s="80"/>
    </row>
    <row r="15157" spans="5:35" x14ac:dyDescent="0.25">
      <c r="E15157" s="16"/>
      <c r="F15157" s="16"/>
      <c r="H15157" s="16"/>
      <c r="AG15157" s="80"/>
      <c r="AH15157" s="80"/>
      <c r="AI15157" s="80"/>
    </row>
    <row r="15158" spans="5:35" x14ac:dyDescent="0.25">
      <c r="E15158" s="16"/>
      <c r="F15158" s="16"/>
      <c r="H15158" s="16"/>
      <c r="AG15158" s="80"/>
      <c r="AH15158" s="80"/>
      <c r="AI15158" s="80"/>
    </row>
    <row r="15159" spans="5:35" x14ac:dyDescent="0.25">
      <c r="E15159" s="16"/>
      <c r="F15159" s="16"/>
      <c r="H15159" s="16"/>
      <c r="AG15159" s="80"/>
      <c r="AH15159" s="80"/>
      <c r="AI15159" s="80"/>
    </row>
    <row r="15160" spans="5:35" x14ac:dyDescent="0.25">
      <c r="E15160" s="16"/>
      <c r="F15160" s="16"/>
      <c r="H15160" s="16"/>
      <c r="AG15160" s="80"/>
      <c r="AH15160" s="80"/>
      <c r="AI15160" s="80"/>
    </row>
    <row r="15161" spans="5:35" x14ac:dyDescent="0.25">
      <c r="E15161" s="16"/>
      <c r="F15161" s="16"/>
      <c r="H15161" s="16"/>
      <c r="AG15161" s="80"/>
      <c r="AH15161" s="80"/>
      <c r="AI15161" s="80"/>
    </row>
    <row r="15162" spans="5:35" x14ac:dyDescent="0.25">
      <c r="E15162" s="16"/>
      <c r="F15162" s="16"/>
      <c r="H15162" s="16"/>
      <c r="AG15162" s="80"/>
      <c r="AH15162" s="80"/>
      <c r="AI15162" s="80"/>
    </row>
    <row r="15163" spans="5:35" x14ac:dyDescent="0.25">
      <c r="E15163" s="16"/>
      <c r="F15163" s="16"/>
      <c r="H15163" s="16"/>
      <c r="AG15163" s="80"/>
      <c r="AH15163" s="80"/>
      <c r="AI15163" s="80"/>
    </row>
    <row r="15164" spans="5:35" x14ac:dyDescent="0.25">
      <c r="E15164" s="16"/>
      <c r="F15164" s="16"/>
      <c r="H15164" s="16"/>
      <c r="AG15164" s="80"/>
      <c r="AH15164" s="80"/>
      <c r="AI15164" s="80"/>
    </row>
    <row r="15165" spans="5:35" x14ac:dyDescent="0.25">
      <c r="E15165" s="16"/>
      <c r="F15165" s="16"/>
      <c r="H15165" s="16"/>
      <c r="AG15165" s="80"/>
      <c r="AH15165" s="80"/>
      <c r="AI15165" s="80"/>
    </row>
    <row r="15166" spans="5:35" x14ac:dyDescent="0.25">
      <c r="E15166" s="16"/>
      <c r="F15166" s="16"/>
      <c r="H15166" s="16"/>
      <c r="AG15166" s="80"/>
      <c r="AH15166" s="80"/>
      <c r="AI15166" s="80"/>
    </row>
    <row r="15167" spans="5:35" x14ac:dyDescent="0.25">
      <c r="E15167" s="16"/>
      <c r="F15167" s="16"/>
      <c r="H15167" s="16"/>
      <c r="AG15167" s="80"/>
      <c r="AH15167" s="80"/>
      <c r="AI15167" s="80"/>
    </row>
    <row r="15168" spans="5:35" x14ac:dyDescent="0.25">
      <c r="E15168" s="16"/>
      <c r="F15168" s="16"/>
      <c r="H15168" s="16"/>
      <c r="AG15168" s="80"/>
      <c r="AH15168" s="80"/>
      <c r="AI15168" s="80"/>
    </row>
    <row r="15169" spans="5:35" x14ac:dyDescent="0.25">
      <c r="E15169" s="16"/>
      <c r="F15169" s="16"/>
      <c r="H15169" s="16"/>
      <c r="AG15169" s="80"/>
      <c r="AH15169" s="80"/>
      <c r="AI15169" s="80"/>
    </row>
    <row r="15170" spans="5:35" x14ac:dyDescent="0.25">
      <c r="E15170" s="16"/>
      <c r="F15170" s="16"/>
      <c r="H15170" s="16"/>
      <c r="AG15170" s="80"/>
      <c r="AH15170" s="80"/>
      <c r="AI15170" s="80"/>
    </row>
    <row r="15171" spans="5:35" x14ac:dyDescent="0.25">
      <c r="E15171" s="16"/>
      <c r="F15171" s="16"/>
      <c r="H15171" s="16"/>
      <c r="AG15171" s="80"/>
      <c r="AH15171" s="80"/>
      <c r="AI15171" s="80"/>
    </row>
    <row r="15172" spans="5:35" x14ac:dyDescent="0.25">
      <c r="E15172" s="16"/>
      <c r="F15172" s="16"/>
      <c r="H15172" s="16"/>
      <c r="AG15172" s="80"/>
      <c r="AH15172" s="80"/>
      <c r="AI15172" s="80"/>
    </row>
    <row r="15173" spans="5:35" x14ac:dyDescent="0.25">
      <c r="E15173" s="16"/>
      <c r="F15173" s="16"/>
      <c r="H15173" s="16"/>
      <c r="AG15173" s="80"/>
      <c r="AH15173" s="80"/>
      <c r="AI15173" s="80"/>
    </row>
    <row r="15174" spans="5:35" x14ac:dyDescent="0.25">
      <c r="E15174" s="16"/>
      <c r="F15174" s="16"/>
      <c r="H15174" s="16"/>
      <c r="AG15174" s="80"/>
      <c r="AH15174" s="80"/>
      <c r="AI15174" s="80"/>
    </row>
    <row r="15175" spans="5:35" x14ac:dyDescent="0.25">
      <c r="E15175" s="16"/>
      <c r="F15175" s="16"/>
      <c r="H15175" s="16"/>
      <c r="AG15175" s="80"/>
      <c r="AH15175" s="80"/>
      <c r="AI15175" s="80"/>
    </row>
    <row r="15176" spans="5:35" x14ac:dyDescent="0.25">
      <c r="E15176" s="16"/>
      <c r="F15176" s="16"/>
      <c r="H15176" s="16"/>
      <c r="AG15176" s="80"/>
      <c r="AH15176" s="80"/>
      <c r="AI15176" s="80"/>
    </row>
    <row r="15177" spans="5:35" x14ac:dyDescent="0.25">
      <c r="E15177" s="16"/>
      <c r="F15177" s="16"/>
      <c r="H15177" s="16"/>
      <c r="AG15177" s="80"/>
      <c r="AH15177" s="80"/>
      <c r="AI15177" s="80"/>
    </row>
    <row r="15178" spans="5:35" x14ac:dyDescent="0.25">
      <c r="E15178" s="16"/>
      <c r="F15178" s="16"/>
      <c r="H15178" s="16"/>
      <c r="AG15178" s="80"/>
      <c r="AH15178" s="80"/>
      <c r="AI15178" s="80"/>
    </row>
    <row r="15179" spans="5:35" x14ac:dyDescent="0.25">
      <c r="E15179" s="16"/>
      <c r="F15179" s="16"/>
      <c r="H15179" s="16"/>
      <c r="AG15179" s="80"/>
      <c r="AH15179" s="80"/>
      <c r="AI15179" s="80"/>
    </row>
    <row r="15180" spans="5:35" x14ac:dyDescent="0.25">
      <c r="E15180" s="16"/>
      <c r="F15180" s="16"/>
      <c r="H15180" s="16"/>
      <c r="AG15180" s="80"/>
      <c r="AH15180" s="80"/>
      <c r="AI15180" s="80"/>
    </row>
    <row r="15181" spans="5:35" x14ac:dyDescent="0.25">
      <c r="E15181" s="16"/>
      <c r="F15181" s="16"/>
      <c r="H15181" s="16"/>
      <c r="AG15181" s="80"/>
      <c r="AH15181" s="80"/>
      <c r="AI15181" s="80"/>
    </row>
    <row r="15182" spans="5:35" x14ac:dyDescent="0.25">
      <c r="E15182" s="16"/>
      <c r="F15182" s="16"/>
      <c r="H15182" s="16"/>
      <c r="AG15182" s="80"/>
      <c r="AH15182" s="80"/>
      <c r="AI15182" s="80"/>
    </row>
    <row r="15183" spans="5:35" x14ac:dyDescent="0.25">
      <c r="E15183" s="16"/>
      <c r="F15183" s="16"/>
      <c r="H15183" s="16"/>
      <c r="AG15183" s="80"/>
      <c r="AH15183" s="80"/>
      <c r="AI15183" s="80"/>
    </row>
    <row r="15184" spans="5:35" x14ac:dyDescent="0.25">
      <c r="E15184" s="16"/>
      <c r="F15184" s="16"/>
      <c r="H15184" s="16"/>
      <c r="AG15184" s="80"/>
      <c r="AH15184" s="80"/>
      <c r="AI15184" s="80"/>
    </row>
    <row r="15185" spans="5:35" x14ac:dyDescent="0.25">
      <c r="E15185" s="16"/>
      <c r="F15185" s="16"/>
      <c r="H15185" s="16"/>
      <c r="AG15185" s="80"/>
      <c r="AH15185" s="80"/>
      <c r="AI15185" s="80"/>
    </row>
    <row r="15186" spans="5:35" x14ac:dyDescent="0.25">
      <c r="E15186" s="16"/>
      <c r="F15186" s="16"/>
      <c r="H15186" s="16"/>
      <c r="AG15186" s="80"/>
      <c r="AH15186" s="80"/>
      <c r="AI15186" s="80"/>
    </row>
    <row r="15187" spans="5:35" x14ac:dyDescent="0.25">
      <c r="E15187" s="16"/>
      <c r="F15187" s="16"/>
      <c r="H15187" s="16"/>
      <c r="AG15187" s="80"/>
      <c r="AH15187" s="80"/>
      <c r="AI15187" s="80"/>
    </row>
    <row r="15188" spans="5:35" x14ac:dyDescent="0.25">
      <c r="E15188" s="16"/>
      <c r="F15188" s="16"/>
      <c r="H15188" s="16"/>
      <c r="AG15188" s="80"/>
      <c r="AH15188" s="80"/>
      <c r="AI15188" s="80"/>
    </row>
    <row r="15189" spans="5:35" x14ac:dyDescent="0.25">
      <c r="E15189" s="16"/>
      <c r="F15189" s="16"/>
      <c r="H15189" s="16"/>
      <c r="AG15189" s="80"/>
      <c r="AH15189" s="80"/>
      <c r="AI15189" s="80"/>
    </row>
    <row r="15190" spans="5:35" x14ac:dyDescent="0.25">
      <c r="E15190" s="16"/>
      <c r="F15190" s="16"/>
      <c r="H15190" s="16"/>
      <c r="AG15190" s="80"/>
      <c r="AH15190" s="80"/>
      <c r="AI15190" s="80"/>
    </row>
    <row r="15191" spans="5:35" x14ac:dyDescent="0.25">
      <c r="E15191" s="16"/>
      <c r="F15191" s="16"/>
      <c r="H15191" s="16"/>
      <c r="AG15191" s="80"/>
      <c r="AH15191" s="80"/>
      <c r="AI15191" s="80"/>
    </row>
    <row r="15192" spans="5:35" x14ac:dyDescent="0.25">
      <c r="E15192" s="16"/>
      <c r="F15192" s="16"/>
      <c r="H15192" s="16"/>
      <c r="AG15192" s="80"/>
      <c r="AH15192" s="80"/>
      <c r="AI15192" s="80"/>
    </row>
    <row r="15193" spans="5:35" x14ac:dyDescent="0.25">
      <c r="E15193" s="16"/>
      <c r="F15193" s="16"/>
      <c r="H15193" s="16"/>
      <c r="AG15193" s="80"/>
      <c r="AH15193" s="80"/>
      <c r="AI15193" s="80"/>
    </row>
    <row r="15194" spans="5:35" x14ac:dyDescent="0.25">
      <c r="E15194" s="16"/>
      <c r="F15194" s="16"/>
      <c r="H15194" s="16"/>
      <c r="AG15194" s="80"/>
      <c r="AH15194" s="80"/>
      <c r="AI15194" s="80"/>
    </row>
    <row r="15195" spans="5:35" x14ac:dyDescent="0.25">
      <c r="E15195" s="16"/>
      <c r="F15195" s="16"/>
      <c r="H15195" s="16"/>
      <c r="AG15195" s="80"/>
      <c r="AH15195" s="80"/>
      <c r="AI15195" s="80"/>
    </row>
    <row r="15196" spans="5:35" x14ac:dyDescent="0.25">
      <c r="E15196" s="16"/>
      <c r="F15196" s="16"/>
      <c r="H15196" s="16"/>
      <c r="AG15196" s="80"/>
      <c r="AH15196" s="80"/>
      <c r="AI15196" s="80"/>
    </row>
    <row r="15197" spans="5:35" x14ac:dyDescent="0.25">
      <c r="E15197" s="16"/>
      <c r="F15197" s="16"/>
      <c r="H15197" s="16"/>
      <c r="AG15197" s="80"/>
      <c r="AH15197" s="80"/>
      <c r="AI15197" s="80"/>
    </row>
    <row r="15198" spans="5:35" x14ac:dyDescent="0.25">
      <c r="E15198" s="16"/>
      <c r="F15198" s="16"/>
      <c r="H15198" s="16"/>
      <c r="AG15198" s="80"/>
      <c r="AH15198" s="80"/>
      <c r="AI15198" s="80"/>
    </row>
    <row r="15199" spans="5:35" x14ac:dyDescent="0.25">
      <c r="E15199" s="16"/>
      <c r="F15199" s="16"/>
      <c r="H15199" s="16"/>
      <c r="AG15199" s="80"/>
      <c r="AH15199" s="80"/>
      <c r="AI15199" s="80"/>
    </row>
    <row r="15200" spans="5:35" x14ac:dyDescent="0.25">
      <c r="E15200" s="16"/>
      <c r="F15200" s="16"/>
      <c r="H15200" s="16"/>
      <c r="AG15200" s="80"/>
      <c r="AH15200" s="80"/>
      <c r="AI15200" s="80"/>
    </row>
    <row r="15201" spans="5:35" x14ac:dyDescent="0.25">
      <c r="E15201" s="16"/>
      <c r="F15201" s="16"/>
      <c r="H15201" s="16"/>
      <c r="AG15201" s="80"/>
      <c r="AH15201" s="80"/>
      <c r="AI15201" s="80"/>
    </row>
    <row r="15202" spans="5:35" x14ac:dyDescent="0.25">
      <c r="E15202" s="16"/>
      <c r="F15202" s="16"/>
      <c r="H15202" s="16"/>
      <c r="AG15202" s="80"/>
      <c r="AH15202" s="80"/>
      <c r="AI15202" s="80"/>
    </row>
    <row r="15203" spans="5:35" x14ac:dyDescent="0.25">
      <c r="E15203" s="16"/>
      <c r="F15203" s="16"/>
      <c r="H15203" s="16"/>
      <c r="AG15203" s="80"/>
      <c r="AH15203" s="80"/>
      <c r="AI15203" s="80"/>
    </row>
    <row r="15204" spans="5:35" x14ac:dyDescent="0.25">
      <c r="E15204" s="16"/>
      <c r="F15204" s="16"/>
      <c r="H15204" s="16"/>
      <c r="AG15204" s="80"/>
      <c r="AH15204" s="80"/>
      <c r="AI15204" s="80"/>
    </row>
    <row r="15205" spans="5:35" x14ac:dyDescent="0.25">
      <c r="E15205" s="16"/>
      <c r="F15205" s="16"/>
      <c r="H15205" s="16"/>
      <c r="AG15205" s="80"/>
      <c r="AH15205" s="80"/>
      <c r="AI15205" s="80"/>
    </row>
    <row r="15206" spans="5:35" x14ac:dyDescent="0.25">
      <c r="E15206" s="16"/>
      <c r="F15206" s="16"/>
      <c r="H15206" s="16"/>
      <c r="AG15206" s="80"/>
      <c r="AH15206" s="80"/>
      <c r="AI15206" s="80"/>
    </row>
    <row r="15207" spans="5:35" x14ac:dyDescent="0.25">
      <c r="E15207" s="16"/>
      <c r="F15207" s="16"/>
      <c r="H15207" s="16"/>
      <c r="AG15207" s="80"/>
      <c r="AH15207" s="80"/>
      <c r="AI15207" s="80"/>
    </row>
    <row r="15208" spans="5:35" x14ac:dyDescent="0.25">
      <c r="E15208" s="16"/>
      <c r="F15208" s="16"/>
      <c r="H15208" s="16"/>
      <c r="AG15208" s="80"/>
      <c r="AH15208" s="80"/>
      <c r="AI15208" s="80"/>
    </row>
    <row r="15209" spans="5:35" x14ac:dyDescent="0.25">
      <c r="E15209" s="16"/>
      <c r="F15209" s="16"/>
      <c r="H15209" s="16"/>
      <c r="AG15209" s="80"/>
      <c r="AH15209" s="80"/>
      <c r="AI15209" s="80"/>
    </row>
    <row r="15210" spans="5:35" x14ac:dyDescent="0.25">
      <c r="E15210" s="16"/>
      <c r="F15210" s="16"/>
      <c r="H15210" s="16"/>
      <c r="AG15210" s="80"/>
      <c r="AH15210" s="80"/>
      <c r="AI15210" s="80"/>
    </row>
    <row r="15211" spans="5:35" x14ac:dyDescent="0.25">
      <c r="E15211" s="16"/>
      <c r="F15211" s="16"/>
      <c r="H15211" s="16"/>
      <c r="AG15211" s="80"/>
      <c r="AH15211" s="80"/>
      <c r="AI15211" s="80"/>
    </row>
    <row r="15212" spans="5:35" x14ac:dyDescent="0.25">
      <c r="E15212" s="16"/>
      <c r="F15212" s="16"/>
      <c r="H15212" s="16"/>
      <c r="AG15212" s="80"/>
      <c r="AH15212" s="80"/>
      <c r="AI15212" s="80"/>
    </row>
    <row r="15213" spans="5:35" x14ac:dyDescent="0.25">
      <c r="E15213" s="16"/>
      <c r="F15213" s="16"/>
      <c r="H15213" s="16"/>
      <c r="AG15213" s="80"/>
      <c r="AH15213" s="80"/>
      <c r="AI15213" s="80"/>
    </row>
    <row r="15214" spans="5:35" x14ac:dyDescent="0.25">
      <c r="E15214" s="16"/>
      <c r="F15214" s="16"/>
      <c r="H15214" s="16"/>
      <c r="AG15214" s="80"/>
      <c r="AH15214" s="80"/>
      <c r="AI15214" s="80"/>
    </row>
    <row r="15215" spans="5:35" x14ac:dyDescent="0.25">
      <c r="E15215" s="16"/>
      <c r="F15215" s="16"/>
      <c r="H15215" s="16"/>
      <c r="AG15215" s="80"/>
      <c r="AH15215" s="80"/>
      <c r="AI15215" s="80"/>
    </row>
    <row r="15216" spans="5:35" x14ac:dyDescent="0.25">
      <c r="E15216" s="16"/>
      <c r="F15216" s="16"/>
      <c r="H15216" s="16"/>
      <c r="AG15216" s="80"/>
      <c r="AH15216" s="80"/>
      <c r="AI15216" s="80"/>
    </row>
    <row r="15217" spans="5:35" x14ac:dyDescent="0.25">
      <c r="E15217" s="16"/>
      <c r="F15217" s="16"/>
      <c r="H15217" s="16"/>
      <c r="AG15217" s="80"/>
      <c r="AH15217" s="80"/>
      <c r="AI15217" s="80"/>
    </row>
    <row r="15218" spans="5:35" x14ac:dyDescent="0.25">
      <c r="E15218" s="16"/>
      <c r="F15218" s="16"/>
      <c r="H15218" s="16"/>
      <c r="AG15218" s="80"/>
      <c r="AH15218" s="80"/>
      <c r="AI15218" s="80"/>
    </row>
    <row r="15219" spans="5:35" x14ac:dyDescent="0.25">
      <c r="E15219" s="16"/>
      <c r="F15219" s="16"/>
      <c r="H15219" s="16"/>
      <c r="AG15219" s="80"/>
      <c r="AH15219" s="80"/>
      <c r="AI15219" s="80"/>
    </row>
    <row r="15220" spans="5:35" x14ac:dyDescent="0.25">
      <c r="E15220" s="16"/>
      <c r="F15220" s="16"/>
      <c r="H15220" s="16"/>
      <c r="AG15220" s="80"/>
      <c r="AH15220" s="80"/>
      <c r="AI15220" s="80"/>
    </row>
    <row r="15221" spans="5:35" x14ac:dyDescent="0.25">
      <c r="E15221" s="16"/>
      <c r="F15221" s="16"/>
      <c r="H15221" s="16"/>
      <c r="AG15221" s="80"/>
      <c r="AH15221" s="80"/>
      <c r="AI15221" s="80"/>
    </row>
    <row r="15222" spans="5:35" x14ac:dyDescent="0.25">
      <c r="E15222" s="16"/>
      <c r="F15222" s="16"/>
      <c r="H15222" s="16"/>
      <c r="AG15222" s="80"/>
      <c r="AH15222" s="80"/>
      <c r="AI15222" s="80"/>
    </row>
    <row r="15223" spans="5:35" x14ac:dyDescent="0.25">
      <c r="E15223" s="16"/>
      <c r="F15223" s="16"/>
      <c r="H15223" s="16"/>
      <c r="AG15223" s="80"/>
      <c r="AH15223" s="80"/>
      <c r="AI15223" s="80"/>
    </row>
    <row r="15224" spans="5:35" x14ac:dyDescent="0.25">
      <c r="E15224" s="16"/>
      <c r="F15224" s="16"/>
      <c r="H15224" s="16"/>
      <c r="AG15224" s="80"/>
      <c r="AH15224" s="80"/>
      <c r="AI15224" s="80"/>
    </row>
    <row r="15225" spans="5:35" x14ac:dyDescent="0.25">
      <c r="E15225" s="16"/>
      <c r="F15225" s="16"/>
      <c r="H15225" s="16"/>
      <c r="AG15225" s="80"/>
      <c r="AH15225" s="80"/>
      <c r="AI15225" s="80"/>
    </row>
    <row r="15226" spans="5:35" x14ac:dyDescent="0.25">
      <c r="E15226" s="16"/>
      <c r="F15226" s="16"/>
      <c r="H15226" s="16"/>
      <c r="AG15226" s="80"/>
      <c r="AH15226" s="80"/>
      <c r="AI15226" s="80"/>
    </row>
    <row r="15227" spans="5:35" x14ac:dyDescent="0.25">
      <c r="E15227" s="16"/>
      <c r="F15227" s="16"/>
      <c r="H15227" s="16"/>
      <c r="AG15227" s="80"/>
      <c r="AH15227" s="80"/>
      <c r="AI15227" s="80"/>
    </row>
    <row r="15228" spans="5:35" x14ac:dyDescent="0.25">
      <c r="E15228" s="16"/>
      <c r="F15228" s="16"/>
      <c r="H15228" s="16"/>
      <c r="AG15228" s="80"/>
      <c r="AH15228" s="80"/>
      <c r="AI15228" s="80"/>
    </row>
    <row r="15229" spans="5:35" x14ac:dyDescent="0.25">
      <c r="E15229" s="16"/>
      <c r="F15229" s="16"/>
      <c r="H15229" s="16"/>
      <c r="AG15229" s="80"/>
      <c r="AH15229" s="80"/>
      <c r="AI15229" s="80"/>
    </row>
    <row r="15230" spans="5:35" x14ac:dyDescent="0.25">
      <c r="E15230" s="16"/>
      <c r="F15230" s="16"/>
      <c r="H15230" s="16"/>
      <c r="AG15230" s="80"/>
      <c r="AH15230" s="80"/>
      <c r="AI15230" s="80"/>
    </row>
    <row r="15231" spans="5:35" x14ac:dyDescent="0.25">
      <c r="E15231" s="16"/>
      <c r="F15231" s="16"/>
      <c r="H15231" s="16"/>
      <c r="AG15231" s="80"/>
      <c r="AH15231" s="80"/>
      <c r="AI15231" s="80"/>
    </row>
    <row r="15232" spans="5:35" x14ac:dyDescent="0.25">
      <c r="E15232" s="16"/>
      <c r="F15232" s="16"/>
      <c r="H15232" s="16"/>
      <c r="AG15232" s="80"/>
      <c r="AH15232" s="80"/>
      <c r="AI15232" s="80"/>
    </row>
    <row r="15233" spans="5:35" x14ac:dyDescent="0.25">
      <c r="E15233" s="16"/>
      <c r="F15233" s="16"/>
      <c r="H15233" s="16"/>
      <c r="AG15233" s="80"/>
      <c r="AH15233" s="80"/>
      <c r="AI15233" s="80"/>
    </row>
    <row r="15234" spans="5:35" x14ac:dyDescent="0.25">
      <c r="E15234" s="16"/>
      <c r="F15234" s="16"/>
      <c r="H15234" s="16"/>
      <c r="AG15234" s="80"/>
      <c r="AH15234" s="80"/>
      <c r="AI15234" s="80"/>
    </row>
    <row r="15235" spans="5:35" x14ac:dyDescent="0.25">
      <c r="E15235" s="16"/>
      <c r="F15235" s="16"/>
      <c r="H15235" s="16"/>
      <c r="AG15235" s="80"/>
      <c r="AH15235" s="80"/>
      <c r="AI15235" s="80"/>
    </row>
    <row r="15236" spans="5:35" x14ac:dyDescent="0.25">
      <c r="E15236" s="16"/>
      <c r="F15236" s="16"/>
      <c r="H15236" s="16"/>
      <c r="AG15236" s="80"/>
      <c r="AH15236" s="80"/>
      <c r="AI15236" s="80"/>
    </row>
    <row r="15237" spans="5:35" x14ac:dyDescent="0.25">
      <c r="E15237" s="16"/>
      <c r="F15237" s="16"/>
      <c r="H15237" s="16"/>
      <c r="AG15237" s="80"/>
      <c r="AH15237" s="80"/>
      <c r="AI15237" s="80"/>
    </row>
    <row r="15238" spans="5:35" x14ac:dyDescent="0.25">
      <c r="E15238" s="16"/>
      <c r="F15238" s="16"/>
      <c r="H15238" s="16"/>
      <c r="AG15238" s="80"/>
      <c r="AH15238" s="80"/>
      <c r="AI15238" s="80"/>
    </row>
    <row r="15239" spans="5:35" x14ac:dyDescent="0.25">
      <c r="E15239" s="16"/>
      <c r="F15239" s="16"/>
      <c r="H15239" s="16"/>
      <c r="AG15239" s="80"/>
      <c r="AH15239" s="80"/>
      <c r="AI15239" s="80"/>
    </row>
    <row r="15240" spans="5:35" x14ac:dyDescent="0.25">
      <c r="E15240" s="16"/>
      <c r="F15240" s="16"/>
      <c r="H15240" s="16"/>
      <c r="AG15240" s="80"/>
      <c r="AH15240" s="80"/>
      <c r="AI15240" s="80"/>
    </row>
    <row r="15241" spans="5:35" x14ac:dyDescent="0.25">
      <c r="E15241" s="16"/>
      <c r="F15241" s="16"/>
      <c r="H15241" s="16"/>
      <c r="AG15241" s="80"/>
      <c r="AH15241" s="80"/>
      <c r="AI15241" s="80"/>
    </row>
    <row r="15242" spans="5:35" x14ac:dyDescent="0.25">
      <c r="E15242" s="16"/>
      <c r="F15242" s="16"/>
      <c r="H15242" s="16"/>
      <c r="AG15242" s="80"/>
      <c r="AH15242" s="80"/>
      <c r="AI15242" s="80"/>
    </row>
    <row r="15243" spans="5:35" x14ac:dyDescent="0.25">
      <c r="E15243" s="16"/>
      <c r="F15243" s="16"/>
      <c r="H15243" s="16"/>
      <c r="AG15243" s="80"/>
      <c r="AH15243" s="80"/>
      <c r="AI15243" s="80"/>
    </row>
    <row r="15244" spans="5:35" x14ac:dyDescent="0.25">
      <c r="E15244" s="16"/>
      <c r="F15244" s="16"/>
      <c r="H15244" s="16"/>
      <c r="AG15244" s="80"/>
      <c r="AH15244" s="80"/>
      <c r="AI15244" s="80"/>
    </row>
    <row r="15245" spans="5:35" x14ac:dyDescent="0.25">
      <c r="E15245" s="16"/>
      <c r="F15245" s="16"/>
      <c r="H15245" s="16"/>
      <c r="AG15245" s="80"/>
      <c r="AH15245" s="80"/>
      <c r="AI15245" s="80"/>
    </row>
    <row r="15246" spans="5:35" x14ac:dyDescent="0.25">
      <c r="E15246" s="16"/>
      <c r="F15246" s="16"/>
      <c r="H15246" s="16"/>
      <c r="AG15246" s="80"/>
      <c r="AH15246" s="80"/>
      <c r="AI15246" s="80"/>
    </row>
    <row r="15247" spans="5:35" x14ac:dyDescent="0.25">
      <c r="E15247" s="16"/>
      <c r="F15247" s="16"/>
      <c r="H15247" s="16"/>
      <c r="AG15247" s="80"/>
      <c r="AH15247" s="80"/>
      <c r="AI15247" s="80"/>
    </row>
    <row r="15248" spans="5:35" x14ac:dyDescent="0.25">
      <c r="E15248" s="16"/>
      <c r="F15248" s="16"/>
      <c r="H15248" s="16"/>
      <c r="AG15248" s="80"/>
      <c r="AH15248" s="80"/>
      <c r="AI15248" s="80"/>
    </row>
    <row r="15249" spans="5:35" x14ac:dyDescent="0.25">
      <c r="E15249" s="16"/>
      <c r="F15249" s="16"/>
      <c r="H15249" s="16"/>
      <c r="AG15249" s="80"/>
      <c r="AH15249" s="80"/>
      <c r="AI15249" s="80"/>
    </row>
    <row r="15250" spans="5:35" x14ac:dyDescent="0.25">
      <c r="E15250" s="16"/>
      <c r="F15250" s="16"/>
      <c r="H15250" s="16"/>
      <c r="AG15250" s="80"/>
      <c r="AH15250" s="80"/>
      <c r="AI15250" s="80"/>
    </row>
    <row r="15251" spans="5:35" x14ac:dyDescent="0.25">
      <c r="E15251" s="16"/>
      <c r="F15251" s="16"/>
      <c r="H15251" s="16"/>
      <c r="AG15251" s="80"/>
      <c r="AH15251" s="80"/>
      <c r="AI15251" s="80"/>
    </row>
    <row r="15252" spans="5:35" x14ac:dyDescent="0.25">
      <c r="E15252" s="16"/>
      <c r="F15252" s="16"/>
      <c r="H15252" s="16"/>
      <c r="AG15252" s="80"/>
      <c r="AH15252" s="80"/>
      <c r="AI15252" s="80"/>
    </row>
    <row r="15253" spans="5:35" x14ac:dyDescent="0.25">
      <c r="E15253" s="16"/>
      <c r="F15253" s="16"/>
      <c r="H15253" s="16"/>
      <c r="AG15253" s="80"/>
      <c r="AH15253" s="80"/>
      <c r="AI15253" s="80"/>
    </row>
    <row r="15254" spans="5:35" x14ac:dyDescent="0.25">
      <c r="E15254" s="16"/>
      <c r="F15254" s="16"/>
      <c r="H15254" s="16"/>
      <c r="AG15254" s="80"/>
      <c r="AH15254" s="80"/>
      <c r="AI15254" s="80"/>
    </row>
    <row r="15255" spans="5:35" x14ac:dyDescent="0.25">
      <c r="E15255" s="16"/>
      <c r="F15255" s="16"/>
      <c r="H15255" s="16"/>
      <c r="AG15255" s="80"/>
      <c r="AH15255" s="80"/>
      <c r="AI15255" s="80"/>
    </row>
    <row r="15256" spans="5:35" x14ac:dyDescent="0.25">
      <c r="E15256" s="16"/>
      <c r="F15256" s="16"/>
      <c r="H15256" s="16"/>
      <c r="AG15256" s="80"/>
      <c r="AH15256" s="80"/>
      <c r="AI15256" s="80"/>
    </row>
    <row r="15257" spans="5:35" x14ac:dyDescent="0.25">
      <c r="E15257" s="16"/>
      <c r="F15257" s="16"/>
      <c r="H15257" s="16"/>
      <c r="AG15257" s="80"/>
      <c r="AH15257" s="80"/>
      <c r="AI15257" s="80"/>
    </row>
    <row r="15258" spans="5:35" x14ac:dyDescent="0.25">
      <c r="E15258" s="16"/>
      <c r="F15258" s="16"/>
      <c r="H15258" s="16"/>
      <c r="AG15258" s="80"/>
      <c r="AH15258" s="80"/>
      <c r="AI15258" s="80"/>
    </row>
    <row r="15259" spans="5:35" x14ac:dyDescent="0.25">
      <c r="E15259" s="16"/>
      <c r="F15259" s="16"/>
      <c r="H15259" s="16"/>
      <c r="AG15259" s="80"/>
      <c r="AH15259" s="80"/>
      <c r="AI15259" s="80"/>
    </row>
    <row r="15260" spans="5:35" x14ac:dyDescent="0.25">
      <c r="E15260" s="16"/>
      <c r="F15260" s="16"/>
      <c r="H15260" s="16"/>
      <c r="AG15260" s="80"/>
      <c r="AH15260" s="80"/>
      <c r="AI15260" s="80"/>
    </row>
    <row r="15261" spans="5:35" x14ac:dyDescent="0.25">
      <c r="E15261" s="16"/>
      <c r="F15261" s="16"/>
      <c r="H15261" s="16"/>
      <c r="AG15261" s="80"/>
      <c r="AH15261" s="80"/>
      <c r="AI15261" s="80"/>
    </row>
    <row r="15262" spans="5:35" x14ac:dyDescent="0.25">
      <c r="E15262" s="16"/>
      <c r="F15262" s="16"/>
      <c r="H15262" s="16"/>
      <c r="AG15262" s="80"/>
      <c r="AH15262" s="80"/>
      <c r="AI15262" s="80"/>
    </row>
    <row r="15263" spans="5:35" x14ac:dyDescent="0.25">
      <c r="E15263" s="16"/>
      <c r="F15263" s="16"/>
      <c r="H15263" s="16"/>
      <c r="AG15263" s="80"/>
      <c r="AH15263" s="80"/>
      <c r="AI15263" s="80"/>
    </row>
    <row r="15264" spans="5:35" x14ac:dyDescent="0.25">
      <c r="E15264" s="16"/>
      <c r="F15264" s="16"/>
      <c r="H15264" s="16"/>
      <c r="AG15264" s="80"/>
      <c r="AH15264" s="80"/>
      <c r="AI15264" s="80"/>
    </row>
    <row r="15265" spans="5:35" x14ac:dyDescent="0.25">
      <c r="E15265" s="16"/>
      <c r="F15265" s="16"/>
      <c r="H15265" s="16"/>
      <c r="AG15265" s="80"/>
      <c r="AH15265" s="80"/>
      <c r="AI15265" s="80"/>
    </row>
    <row r="15266" spans="5:35" x14ac:dyDescent="0.25">
      <c r="E15266" s="16"/>
      <c r="F15266" s="16"/>
      <c r="H15266" s="16"/>
      <c r="AG15266" s="80"/>
      <c r="AH15266" s="80"/>
      <c r="AI15266" s="80"/>
    </row>
    <row r="15267" spans="5:35" x14ac:dyDescent="0.25">
      <c r="E15267" s="16"/>
      <c r="F15267" s="16"/>
      <c r="H15267" s="16"/>
      <c r="AG15267" s="80"/>
      <c r="AH15267" s="80"/>
      <c r="AI15267" s="80"/>
    </row>
    <row r="15268" spans="5:35" x14ac:dyDescent="0.25">
      <c r="E15268" s="16"/>
      <c r="F15268" s="16"/>
      <c r="H15268" s="16"/>
      <c r="AG15268" s="80"/>
      <c r="AH15268" s="80"/>
      <c r="AI15268" s="80"/>
    </row>
    <row r="15269" spans="5:35" x14ac:dyDescent="0.25">
      <c r="E15269" s="16"/>
      <c r="F15269" s="16"/>
      <c r="H15269" s="16"/>
      <c r="AG15269" s="80"/>
      <c r="AH15269" s="80"/>
      <c r="AI15269" s="80"/>
    </row>
    <row r="15270" spans="5:35" x14ac:dyDescent="0.25">
      <c r="E15270" s="16"/>
      <c r="F15270" s="16"/>
      <c r="H15270" s="16"/>
      <c r="AG15270" s="80"/>
      <c r="AH15270" s="80"/>
      <c r="AI15270" s="80"/>
    </row>
    <row r="15271" spans="5:35" x14ac:dyDescent="0.25">
      <c r="E15271" s="16"/>
      <c r="F15271" s="16"/>
      <c r="H15271" s="16"/>
      <c r="AG15271" s="80"/>
      <c r="AH15271" s="80"/>
      <c r="AI15271" s="80"/>
    </row>
    <row r="15272" spans="5:35" x14ac:dyDescent="0.25">
      <c r="E15272" s="16"/>
      <c r="F15272" s="16"/>
      <c r="H15272" s="16"/>
      <c r="AG15272" s="80"/>
      <c r="AH15272" s="80"/>
      <c r="AI15272" s="80"/>
    </row>
    <row r="15273" spans="5:35" x14ac:dyDescent="0.25">
      <c r="E15273" s="16"/>
      <c r="F15273" s="16"/>
      <c r="H15273" s="16"/>
      <c r="AG15273" s="80"/>
      <c r="AH15273" s="80"/>
      <c r="AI15273" s="80"/>
    </row>
    <row r="15274" spans="5:35" x14ac:dyDescent="0.25">
      <c r="E15274" s="16"/>
      <c r="F15274" s="16"/>
      <c r="H15274" s="16"/>
      <c r="AG15274" s="80"/>
      <c r="AH15274" s="80"/>
      <c r="AI15274" s="80"/>
    </row>
    <row r="15275" spans="5:35" x14ac:dyDescent="0.25">
      <c r="E15275" s="16"/>
      <c r="F15275" s="16"/>
      <c r="H15275" s="16"/>
      <c r="AG15275" s="80"/>
      <c r="AH15275" s="80"/>
      <c r="AI15275" s="80"/>
    </row>
    <row r="15276" spans="5:35" x14ac:dyDescent="0.25">
      <c r="E15276" s="16"/>
      <c r="F15276" s="16"/>
      <c r="H15276" s="16"/>
      <c r="AG15276" s="80"/>
      <c r="AH15276" s="80"/>
      <c r="AI15276" s="80"/>
    </row>
    <row r="15277" spans="5:35" x14ac:dyDescent="0.25">
      <c r="E15277" s="16"/>
      <c r="F15277" s="16"/>
      <c r="H15277" s="16"/>
      <c r="AG15277" s="80"/>
      <c r="AH15277" s="80"/>
      <c r="AI15277" s="80"/>
    </row>
    <row r="15278" spans="5:35" x14ac:dyDescent="0.25">
      <c r="E15278" s="16"/>
      <c r="F15278" s="16"/>
      <c r="H15278" s="16"/>
      <c r="AG15278" s="80"/>
      <c r="AH15278" s="80"/>
      <c r="AI15278" s="80"/>
    </row>
    <row r="15279" spans="5:35" x14ac:dyDescent="0.25">
      <c r="E15279" s="16"/>
      <c r="F15279" s="16"/>
      <c r="H15279" s="16"/>
      <c r="AG15279" s="80"/>
      <c r="AH15279" s="80"/>
      <c r="AI15279" s="80"/>
    </row>
    <row r="15280" spans="5:35" x14ac:dyDescent="0.25">
      <c r="E15280" s="16"/>
      <c r="F15280" s="16"/>
      <c r="H15280" s="16"/>
      <c r="AG15280" s="80"/>
      <c r="AH15280" s="80"/>
      <c r="AI15280" s="80"/>
    </row>
    <row r="15281" spans="5:35" x14ac:dyDescent="0.25">
      <c r="E15281" s="16"/>
      <c r="F15281" s="16"/>
      <c r="H15281" s="16"/>
      <c r="AG15281" s="80"/>
      <c r="AH15281" s="80"/>
      <c r="AI15281" s="80"/>
    </row>
    <row r="15282" spans="5:35" x14ac:dyDescent="0.25">
      <c r="E15282" s="16"/>
      <c r="F15282" s="16"/>
      <c r="H15282" s="16"/>
      <c r="AG15282" s="80"/>
      <c r="AH15282" s="80"/>
      <c r="AI15282" s="80"/>
    </row>
    <row r="15283" spans="5:35" x14ac:dyDescent="0.25">
      <c r="E15283" s="16"/>
      <c r="F15283" s="16"/>
      <c r="H15283" s="16"/>
      <c r="AG15283" s="80"/>
      <c r="AH15283" s="80"/>
      <c r="AI15283" s="80"/>
    </row>
    <row r="15284" spans="5:35" x14ac:dyDescent="0.25">
      <c r="E15284" s="16"/>
      <c r="F15284" s="16"/>
      <c r="H15284" s="16"/>
      <c r="AG15284" s="80"/>
      <c r="AH15284" s="80"/>
      <c r="AI15284" s="80"/>
    </row>
    <row r="15285" spans="5:35" x14ac:dyDescent="0.25">
      <c r="E15285" s="16"/>
      <c r="F15285" s="16"/>
      <c r="H15285" s="16"/>
      <c r="AG15285" s="80"/>
      <c r="AH15285" s="80"/>
      <c r="AI15285" s="80"/>
    </row>
    <row r="15286" spans="5:35" x14ac:dyDescent="0.25">
      <c r="E15286" s="16"/>
      <c r="F15286" s="16"/>
      <c r="H15286" s="16"/>
      <c r="AG15286" s="80"/>
      <c r="AH15286" s="80"/>
      <c r="AI15286" s="80"/>
    </row>
    <row r="15287" spans="5:35" x14ac:dyDescent="0.25">
      <c r="E15287" s="16"/>
      <c r="F15287" s="16"/>
      <c r="H15287" s="16"/>
      <c r="AG15287" s="80"/>
      <c r="AH15287" s="80"/>
      <c r="AI15287" s="80"/>
    </row>
    <row r="15288" spans="5:35" x14ac:dyDescent="0.25">
      <c r="E15288" s="16"/>
      <c r="F15288" s="16"/>
      <c r="H15288" s="16"/>
      <c r="AG15288" s="80"/>
      <c r="AH15288" s="80"/>
      <c r="AI15288" s="80"/>
    </row>
    <row r="15289" spans="5:35" x14ac:dyDescent="0.25">
      <c r="E15289" s="16"/>
      <c r="F15289" s="16"/>
      <c r="H15289" s="16"/>
      <c r="AG15289" s="80"/>
      <c r="AH15289" s="80"/>
      <c r="AI15289" s="80"/>
    </row>
    <row r="15290" spans="5:35" x14ac:dyDescent="0.25">
      <c r="E15290" s="16"/>
      <c r="F15290" s="16"/>
      <c r="H15290" s="16"/>
      <c r="AG15290" s="80"/>
      <c r="AH15290" s="80"/>
      <c r="AI15290" s="80"/>
    </row>
    <row r="15291" spans="5:35" x14ac:dyDescent="0.25">
      <c r="E15291" s="16"/>
      <c r="F15291" s="16"/>
      <c r="H15291" s="16"/>
      <c r="AG15291" s="80"/>
      <c r="AH15291" s="80"/>
      <c r="AI15291" s="80"/>
    </row>
    <row r="15292" spans="5:35" x14ac:dyDescent="0.25">
      <c r="E15292" s="16"/>
      <c r="F15292" s="16"/>
      <c r="H15292" s="16"/>
      <c r="AG15292" s="80"/>
      <c r="AH15292" s="80"/>
      <c r="AI15292" s="80"/>
    </row>
    <row r="15293" spans="5:35" x14ac:dyDescent="0.25">
      <c r="E15293" s="16"/>
      <c r="F15293" s="16"/>
      <c r="H15293" s="16"/>
      <c r="AG15293" s="80"/>
      <c r="AH15293" s="80"/>
      <c r="AI15293" s="80"/>
    </row>
    <row r="15294" spans="5:35" x14ac:dyDescent="0.25">
      <c r="E15294" s="16"/>
      <c r="F15294" s="16"/>
      <c r="H15294" s="16"/>
      <c r="AG15294" s="80"/>
      <c r="AH15294" s="80"/>
      <c r="AI15294" s="80"/>
    </row>
    <row r="15295" spans="5:35" x14ac:dyDescent="0.25">
      <c r="E15295" s="16"/>
      <c r="F15295" s="16"/>
      <c r="H15295" s="16"/>
      <c r="AG15295" s="80"/>
      <c r="AH15295" s="80"/>
      <c r="AI15295" s="80"/>
    </row>
    <row r="15296" spans="5:35" x14ac:dyDescent="0.25">
      <c r="E15296" s="16"/>
      <c r="F15296" s="16"/>
      <c r="H15296" s="16"/>
      <c r="AG15296" s="80"/>
      <c r="AH15296" s="80"/>
      <c r="AI15296" s="80"/>
    </row>
    <row r="15297" spans="5:35" x14ac:dyDescent="0.25">
      <c r="E15297" s="16"/>
      <c r="F15297" s="16"/>
      <c r="H15297" s="16"/>
      <c r="AG15297" s="80"/>
      <c r="AH15297" s="80"/>
      <c r="AI15297" s="80"/>
    </row>
    <row r="15298" spans="5:35" x14ac:dyDescent="0.25">
      <c r="E15298" s="16"/>
      <c r="F15298" s="16"/>
      <c r="H15298" s="16"/>
      <c r="AG15298" s="80"/>
      <c r="AH15298" s="80"/>
      <c r="AI15298" s="80"/>
    </row>
    <row r="15299" spans="5:35" x14ac:dyDescent="0.25">
      <c r="E15299" s="16"/>
      <c r="F15299" s="16"/>
      <c r="H15299" s="16"/>
      <c r="AG15299" s="80"/>
      <c r="AH15299" s="80"/>
      <c r="AI15299" s="80"/>
    </row>
    <row r="15300" spans="5:35" x14ac:dyDescent="0.25">
      <c r="E15300" s="16"/>
      <c r="F15300" s="16"/>
      <c r="H15300" s="16"/>
      <c r="AG15300" s="80"/>
      <c r="AH15300" s="80"/>
      <c r="AI15300" s="80"/>
    </row>
    <row r="15301" spans="5:35" x14ac:dyDescent="0.25">
      <c r="E15301" s="16"/>
      <c r="F15301" s="16"/>
      <c r="H15301" s="16"/>
      <c r="AG15301" s="80"/>
      <c r="AH15301" s="80"/>
      <c r="AI15301" s="80"/>
    </row>
    <row r="15302" spans="5:35" x14ac:dyDescent="0.25">
      <c r="E15302" s="16"/>
      <c r="F15302" s="16"/>
      <c r="H15302" s="16"/>
      <c r="AG15302" s="80"/>
      <c r="AH15302" s="80"/>
      <c r="AI15302" s="80"/>
    </row>
    <row r="15303" spans="5:35" x14ac:dyDescent="0.25">
      <c r="E15303" s="16"/>
      <c r="F15303" s="16"/>
      <c r="H15303" s="16"/>
      <c r="AG15303" s="80"/>
      <c r="AH15303" s="80"/>
      <c r="AI15303" s="80"/>
    </row>
    <row r="15304" spans="5:35" x14ac:dyDescent="0.25">
      <c r="E15304" s="16"/>
      <c r="F15304" s="16"/>
      <c r="H15304" s="16"/>
      <c r="AG15304" s="80"/>
      <c r="AH15304" s="80"/>
      <c r="AI15304" s="80"/>
    </row>
    <row r="15305" spans="5:35" x14ac:dyDescent="0.25">
      <c r="E15305" s="16"/>
      <c r="F15305" s="16"/>
      <c r="H15305" s="16"/>
      <c r="AG15305" s="80"/>
      <c r="AH15305" s="80"/>
      <c r="AI15305" s="80"/>
    </row>
    <row r="15306" spans="5:35" x14ac:dyDescent="0.25">
      <c r="E15306" s="16"/>
      <c r="F15306" s="16"/>
      <c r="H15306" s="16"/>
      <c r="AG15306" s="80"/>
      <c r="AH15306" s="80"/>
      <c r="AI15306" s="80"/>
    </row>
    <row r="15307" spans="5:35" x14ac:dyDescent="0.25">
      <c r="E15307" s="16"/>
      <c r="F15307" s="16"/>
      <c r="H15307" s="16"/>
      <c r="AG15307" s="80"/>
      <c r="AH15307" s="80"/>
      <c r="AI15307" s="80"/>
    </row>
    <row r="15308" spans="5:35" x14ac:dyDescent="0.25">
      <c r="E15308" s="16"/>
      <c r="F15308" s="16"/>
      <c r="H15308" s="16"/>
      <c r="AG15308" s="80"/>
      <c r="AH15308" s="80"/>
      <c r="AI15308" s="80"/>
    </row>
    <row r="15309" spans="5:35" x14ac:dyDescent="0.25">
      <c r="E15309" s="16"/>
      <c r="F15309" s="16"/>
      <c r="H15309" s="16"/>
      <c r="AG15309" s="80"/>
      <c r="AH15309" s="80"/>
      <c r="AI15309" s="80"/>
    </row>
    <row r="15310" spans="5:35" x14ac:dyDescent="0.25">
      <c r="E15310" s="16"/>
      <c r="F15310" s="16"/>
      <c r="H15310" s="16"/>
      <c r="AG15310" s="80"/>
      <c r="AH15310" s="80"/>
      <c r="AI15310" s="80"/>
    </row>
    <row r="15311" spans="5:35" x14ac:dyDescent="0.25">
      <c r="E15311" s="16"/>
      <c r="F15311" s="16"/>
      <c r="H15311" s="16"/>
      <c r="AG15311" s="80"/>
      <c r="AH15311" s="80"/>
      <c r="AI15311" s="80"/>
    </row>
    <row r="15312" spans="5:35" x14ac:dyDescent="0.25">
      <c r="E15312" s="16"/>
      <c r="F15312" s="16"/>
      <c r="H15312" s="16"/>
      <c r="AG15312" s="80"/>
      <c r="AH15312" s="80"/>
      <c r="AI15312" s="80"/>
    </row>
    <row r="15313" spans="5:35" x14ac:dyDescent="0.25">
      <c r="E15313" s="16"/>
      <c r="F15313" s="16"/>
      <c r="H15313" s="16"/>
      <c r="AG15313" s="80"/>
      <c r="AH15313" s="80"/>
      <c r="AI15313" s="80"/>
    </row>
    <row r="15314" spans="5:35" x14ac:dyDescent="0.25">
      <c r="E15314" s="16"/>
      <c r="F15314" s="16"/>
      <c r="H15314" s="16"/>
      <c r="AG15314" s="80"/>
      <c r="AH15314" s="80"/>
      <c r="AI15314" s="80"/>
    </row>
    <row r="15315" spans="5:35" x14ac:dyDescent="0.25">
      <c r="E15315" s="16"/>
      <c r="F15315" s="16"/>
      <c r="H15315" s="16"/>
      <c r="AG15315" s="80"/>
      <c r="AH15315" s="80"/>
      <c r="AI15315" s="80"/>
    </row>
    <row r="15316" spans="5:35" x14ac:dyDescent="0.25">
      <c r="E15316" s="16"/>
      <c r="F15316" s="16"/>
      <c r="H15316" s="16"/>
      <c r="AG15316" s="80"/>
      <c r="AH15316" s="80"/>
      <c r="AI15316" s="80"/>
    </row>
    <row r="15317" spans="5:35" x14ac:dyDescent="0.25">
      <c r="E15317" s="16"/>
      <c r="F15317" s="16"/>
      <c r="H15317" s="16"/>
      <c r="AG15317" s="80"/>
      <c r="AH15317" s="80"/>
      <c r="AI15317" s="80"/>
    </row>
    <row r="15318" spans="5:35" x14ac:dyDescent="0.25">
      <c r="E15318" s="16"/>
      <c r="F15318" s="16"/>
      <c r="H15318" s="16"/>
      <c r="AG15318" s="80"/>
      <c r="AH15318" s="80"/>
      <c r="AI15318" s="80"/>
    </row>
    <row r="15319" spans="5:35" x14ac:dyDescent="0.25">
      <c r="E15319" s="16"/>
      <c r="F15319" s="16"/>
      <c r="H15319" s="16"/>
      <c r="AG15319" s="80"/>
      <c r="AH15319" s="80"/>
      <c r="AI15319" s="80"/>
    </row>
    <row r="15320" spans="5:35" x14ac:dyDescent="0.25">
      <c r="E15320" s="16"/>
      <c r="F15320" s="16"/>
      <c r="H15320" s="16"/>
      <c r="AG15320" s="80"/>
      <c r="AH15320" s="80"/>
      <c r="AI15320" s="80"/>
    </row>
    <row r="15321" spans="5:35" x14ac:dyDescent="0.25">
      <c r="E15321" s="16"/>
      <c r="F15321" s="16"/>
      <c r="H15321" s="16"/>
      <c r="AG15321" s="80"/>
      <c r="AH15321" s="80"/>
      <c r="AI15321" s="80"/>
    </row>
    <row r="15322" spans="5:35" x14ac:dyDescent="0.25">
      <c r="E15322" s="16"/>
      <c r="F15322" s="16"/>
      <c r="H15322" s="16"/>
      <c r="AG15322" s="80"/>
      <c r="AH15322" s="80"/>
      <c r="AI15322" s="80"/>
    </row>
    <row r="15323" spans="5:35" x14ac:dyDescent="0.25">
      <c r="E15323" s="16"/>
      <c r="F15323" s="16"/>
      <c r="H15323" s="16"/>
      <c r="AG15323" s="80"/>
      <c r="AH15323" s="80"/>
      <c r="AI15323" s="80"/>
    </row>
    <row r="15324" spans="5:35" x14ac:dyDescent="0.25">
      <c r="E15324" s="16"/>
      <c r="F15324" s="16"/>
      <c r="H15324" s="16"/>
      <c r="AG15324" s="80"/>
      <c r="AH15324" s="80"/>
      <c r="AI15324" s="80"/>
    </row>
    <row r="15325" spans="5:35" x14ac:dyDescent="0.25">
      <c r="E15325" s="16"/>
      <c r="F15325" s="16"/>
      <c r="H15325" s="16"/>
      <c r="AG15325" s="80"/>
      <c r="AH15325" s="80"/>
      <c r="AI15325" s="80"/>
    </row>
    <row r="15326" spans="5:35" x14ac:dyDescent="0.25">
      <c r="E15326" s="16"/>
      <c r="F15326" s="16"/>
      <c r="H15326" s="16"/>
      <c r="AG15326" s="80"/>
      <c r="AH15326" s="80"/>
      <c r="AI15326" s="80"/>
    </row>
    <row r="15327" spans="5:35" x14ac:dyDescent="0.25">
      <c r="E15327" s="16"/>
      <c r="F15327" s="16"/>
      <c r="H15327" s="16"/>
      <c r="AG15327" s="80"/>
      <c r="AH15327" s="80"/>
      <c r="AI15327" s="80"/>
    </row>
    <row r="15328" spans="5:35" x14ac:dyDescent="0.25">
      <c r="E15328" s="16"/>
      <c r="F15328" s="16"/>
      <c r="H15328" s="16"/>
      <c r="AG15328" s="80"/>
      <c r="AH15328" s="80"/>
      <c r="AI15328" s="80"/>
    </row>
    <row r="15329" spans="5:35" x14ac:dyDescent="0.25">
      <c r="E15329" s="16"/>
      <c r="F15329" s="16"/>
      <c r="H15329" s="16"/>
      <c r="AG15329" s="80"/>
      <c r="AH15329" s="80"/>
      <c r="AI15329" s="80"/>
    </row>
    <row r="15330" spans="5:35" x14ac:dyDescent="0.25">
      <c r="E15330" s="16"/>
      <c r="F15330" s="16"/>
      <c r="H15330" s="16"/>
      <c r="AG15330" s="80"/>
      <c r="AH15330" s="80"/>
      <c r="AI15330" s="80"/>
    </row>
    <row r="15331" spans="5:35" x14ac:dyDescent="0.25">
      <c r="E15331" s="16"/>
      <c r="F15331" s="16"/>
      <c r="H15331" s="16"/>
      <c r="AG15331" s="80"/>
      <c r="AH15331" s="80"/>
      <c r="AI15331" s="80"/>
    </row>
    <row r="15332" spans="5:35" x14ac:dyDescent="0.25">
      <c r="E15332" s="16"/>
      <c r="F15332" s="16"/>
      <c r="H15332" s="16"/>
      <c r="AG15332" s="80"/>
      <c r="AH15332" s="80"/>
      <c r="AI15332" s="80"/>
    </row>
    <row r="15333" spans="5:35" x14ac:dyDescent="0.25">
      <c r="E15333" s="16"/>
      <c r="F15333" s="16"/>
      <c r="H15333" s="16"/>
      <c r="AG15333" s="80"/>
      <c r="AH15333" s="80"/>
      <c r="AI15333" s="80"/>
    </row>
    <row r="15334" spans="5:35" x14ac:dyDescent="0.25">
      <c r="E15334" s="16"/>
      <c r="F15334" s="16"/>
      <c r="H15334" s="16"/>
      <c r="AG15334" s="80"/>
      <c r="AH15334" s="80"/>
      <c r="AI15334" s="80"/>
    </row>
    <row r="15335" spans="5:35" x14ac:dyDescent="0.25">
      <c r="E15335" s="16"/>
      <c r="F15335" s="16"/>
      <c r="H15335" s="16"/>
      <c r="AG15335" s="80"/>
      <c r="AH15335" s="80"/>
      <c r="AI15335" s="80"/>
    </row>
    <row r="15336" spans="5:35" x14ac:dyDescent="0.25">
      <c r="E15336" s="16"/>
      <c r="F15336" s="16"/>
      <c r="H15336" s="16"/>
      <c r="AG15336" s="80"/>
      <c r="AH15336" s="80"/>
      <c r="AI15336" s="80"/>
    </row>
    <row r="15337" spans="5:35" x14ac:dyDescent="0.25">
      <c r="E15337" s="16"/>
      <c r="F15337" s="16"/>
      <c r="H15337" s="16"/>
      <c r="AG15337" s="80"/>
      <c r="AH15337" s="80"/>
      <c r="AI15337" s="80"/>
    </row>
    <row r="15338" spans="5:35" x14ac:dyDescent="0.25">
      <c r="E15338" s="16"/>
      <c r="F15338" s="16"/>
      <c r="H15338" s="16"/>
      <c r="AG15338" s="80"/>
      <c r="AH15338" s="80"/>
      <c r="AI15338" s="80"/>
    </row>
    <row r="15339" spans="5:35" x14ac:dyDescent="0.25">
      <c r="E15339" s="16"/>
      <c r="F15339" s="16"/>
      <c r="H15339" s="16"/>
      <c r="AG15339" s="80"/>
      <c r="AH15339" s="80"/>
      <c r="AI15339" s="80"/>
    </row>
    <row r="15340" spans="5:35" x14ac:dyDescent="0.25">
      <c r="E15340" s="16"/>
      <c r="F15340" s="16"/>
      <c r="H15340" s="16"/>
      <c r="AG15340" s="80"/>
      <c r="AH15340" s="80"/>
      <c r="AI15340" s="80"/>
    </row>
    <row r="15341" spans="5:35" x14ac:dyDescent="0.25">
      <c r="E15341" s="16"/>
      <c r="F15341" s="16"/>
      <c r="H15341" s="16"/>
      <c r="AG15341" s="80"/>
      <c r="AH15341" s="80"/>
      <c r="AI15341" s="80"/>
    </row>
    <row r="15342" spans="5:35" x14ac:dyDescent="0.25">
      <c r="E15342" s="16"/>
      <c r="F15342" s="16"/>
      <c r="H15342" s="16"/>
      <c r="AG15342" s="80"/>
      <c r="AH15342" s="80"/>
      <c r="AI15342" s="80"/>
    </row>
    <row r="15343" spans="5:35" x14ac:dyDescent="0.25">
      <c r="E15343" s="16"/>
      <c r="F15343" s="16"/>
      <c r="H15343" s="16"/>
      <c r="AG15343" s="80"/>
      <c r="AH15343" s="80"/>
      <c r="AI15343" s="80"/>
    </row>
    <row r="15344" spans="5:35" x14ac:dyDescent="0.25">
      <c r="E15344" s="16"/>
      <c r="F15344" s="16"/>
      <c r="H15344" s="16"/>
      <c r="AG15344" s="80"/>
      <c r="AH15344" s="80"/>
      <c r="AI15344" s="80"/>
    </row>
    <row r="15345" spans="5:35" x14ac:dyDescent="0.25">
      <c r="E15345" s="16"/>
      <c r="F15345" s="16"/>
      <c r="H15345" s="16"/>
      <c r="AG15345" s="80"/>
      <c r="AH15345" s="80"/>
      <c r="AI15345" s="80"/>
    </row>
    <row r="15346" spans="5:35" x14ac:dyDescent="0.25">
      <c r="E15346" s="16"/>
      <c r="F15346" s="16"/>
      <c r="H15346" s="16"/>
      <c r="AG15346" s="80"/>
      <c r="AH15346" s="80"/>
      <c r="AI15346" s="80"/>
    </row>
    <row r="15347" spans="5:35" x14ac:dyDescent="0.25">
      <c r="E15347" s="16"/>
      <c r="F15347" s="16"/>
      <c r="H15347" s="16"/>
      <c r="AG15347" s="80"/>
      <c r="AH15347" s="80"/>
      <c r="AI15347" s="80"/>
    </row>
    <row r="15348" spans="5:35" x14ac:dyDescent="0.25">
      <c r="E15348" s="16"/>
      <c r="F15348" s="16"/>
      <c r="H15348" s="16"/>
      <c r="AG15348" s="80"/>
      <c r="AH15348" s="80"/>
      <c r="AI15348" s="80"/>
    </row>
    <row r="15349" spans="5:35" x14ac:dyDescent="0.25">
      <c r="E15349" s="16"/>
      <c r="F15349" s="16"/>
      <c r="H15349" s="16"/>
      <c r="AG15349" s="80"/>
      <c r="AH15349" s="80"/>
      <c r="AI15349" s="80"/>
    </row>
    <row r="15350" spans="5:35" x14ac:dyDescent="0.25">
      <c r="E15350" s="16"/>
      <c r="F15350" s="16"/>
      <c r="H15350" s="16"/>
      <c r="AG15350" s="80"/>
      <c r="AH15350" s="80"/>
      <c r="AI15350" s="80"/>
    </row>
    <row r="15351" spans="5:35" x14ac:dyDescent="0.25">
      <c r="E15351" s="16"/>
      <c r="F15351" s="16"/>
      <c r="H15351" s="16"/>
      <c r="AG15351" s="80"/>
      <c r="AH15351" s="80"/>
      <c r="AI15351" s="80"/>
    </row>
    <row r="15352" spans="5:35" x14ac:dyDescent="0.25">
      <c r="E15352" s="16"/>
      <c r="F15352" s="16"/>
      <c r="H15352" s="16"/>
      <c r="AG15352" s="80"/>
      <c r="AH15352" s="80"/>
      <c r="AI15352" s="80"/>
    </row>
    <row r="15353" spans="5:35" x14ac:dyDescent="0.25">
      <c r="E15353" s="16"/>
      <c r="F15353" s="16"/>
      <c r="H15353" s="16"/>
      <c r="AG15353" s="80"/>
      <c r="AH15353" s="80"/>
      <c r="AI15353" s="80"/>
    </row>
    <row r="15354" spans="5:35" x14ac:dyDescent="0.25">
      <c r="E15354" s="16"/>
      <c r="F15354" s="16"/>
      <c r="H15354" s="16"/>
      <c r="AG15354" s="80"/>
      <c r="AH15354" s="80"/>
      <c r="AI15354" s="80"/>
    </row>
    <row r="15355" spans="5:35" x14ac:dyDescent="0.25">
      <c r="E15355" s="16"/>
      <c r="F15355" s="16"/>
      <c r="H15355" s="16"/>
      <c r="AG15355" s="80"/>
      <c r="AH15355" s="80"/>
      <c r="AI15355" s="80"/>
    </row>
    <row r="15356" spans="5:35" x14ac:dyDescent="0.25">
      <c r="E15356" s="16"/>
      <c r="F15356" s="16"/>
      <c r="H15356" s="16"/>
      <c r="AG15356" s="80"/>
      <c r="AH15356" s="80"/>
      <c r="AI15356" s="80"/>
    </row>
    <row r="15357" spans="5:35" x14ac:dyDescent="0.25">
      <c r="E15357" s="16"/>
      <c r="F15357" s="16"/>
      <c r="H15357" s="16"/>
      <c r="AG15357" s="80"/>
      <c r="AH15357" s="80"/>
      <c r="AI15357" s="80"/>
    </row>
    <row r="15358" spans="5:35" x14ac:dyDescent="0.25">
      <c r="E15358" s="16"/>
      <c r="F15358" s="16"/>
      <c r="H15358" s="16"/>
      <c r="AG15358" s="80"/>
      <c r="AH15358" s="80"/>
      <c r="AI15358" s="80"/>
    </row>
    <row r="15359" spans="5:35" x14ac:dyDescent="0.25">
      <c r="E15359" s="16"/>
      <c r="F15359" s="16"/>
      <c r="H15359" s="16"/>
      <c r="AG15359" s="80"/>
      <c r="AH15359" s="80"/>
      <c r="AI15359" s="80"/>
    </row>
    <row r="15360" spans="5:35" x14ac:dyDescent="0.25">
      <c r="E15360" s="16"/>
      <c r="F15360" s="16"/>
      <c r="H15360" s="16"/>
      <c r="AG15360" s="80"/>
      <c r="AH15360" s="80"/>
      <c r="AI15360" s="80"/>
    </row>
    <row r="15361" spans="5:35" x14ac:dyDescent="0.25">
      <c r="E15361" s="16"/>
      <c r="F15361" s="16"/>
      <c r="H15361" s="16"/>
      <c r="AG15361" s="80"/>
      <c r="AH15361" s="80"/>
      <c r="AI15361" s="80"/>
    </row>
    <row r="15362" spans="5:35" x14ac:dyDescent="0.25">
      <c r="E15362" s="16"/>
      <c r="F15362" s="16"/>
      <c r="H15362" s="16"/>
      <c r="AG15362" s="80"/>
      <c r="AH15362" s="80"/>
      <c r="AI15362" s="80"/>
    </row>
    <row r="15363" spans="5:35" x14ac:dyDescent="0.25">
      <c r="E15363" s="16"/>
      <c r="F15363" s="16"/>
      <c r="H15363" s="16"/>
      <c r="AG15363" s="80"/>
      <c r="AH15363" s="80"/>
      <c r="AI15363" s="80"/>
    </row>
    <row r="15364" spans="5:35" x14ac:dyDescent="0.25">
      <c r="E15364" s="16"/>
      <c r="F15364" s="16"/>
      <c r="H15364" s="16"/>
      <c r="AG15364" s="80"/>
      <c r="AH15364" s="80"/>
      <c r="AI15364" s="80"/>
    </row>
    <row r="15365" spans="5:35" x14ac:dyDescent="0.25">
      <c r="E15365" s="16"/>
      <c r="F15365" s="16"/>
      <c r="H15365" s="16"/>
      <c r="AG15365" s="80"/>
      <c r="AH15365" s="80"/>
      <c r="AI15365" s="80"/>
    </row>
    <row r="15366" spans="5:35" x14ac:dyDescent="0.25">
      <c r="E15366" s="16"/>
      <c r="F15366" s="16"/>
      <c r="H15366" s="16"/>
      <c r="AG15366" s="80"/>
      <c r="AH15366" s="80"/>
      <c r="AI15366" s="80"/>
    </row>
    <row r="15367" spans="5:35" x14ac:dyDescent="0.25">
      <c r="E15367" s="16"/>
      <c r="F15367" s="16"/>
      <c r="H15367" s="16"/>
      <c r="AG15367" s="80"/>
      <c r="AH15367" s="80"/>
      <c r="AI15367" s="80"/>
    </row>
    <row r="15368" spans="5:35" x14ac:dyDescent="0.25">
      <c r="E15368" s="16"/>
      <c r="F15368" s="16"/>
      <c r="H15368" s="16"/>
      <c r="AG15368" s="80"/>
      <c r="AH15368" s="80"/>
      <c r="AI15368" s="80"/>
    </row>
    <row r="15369" spans="5:35" x14ac:dyDescent="0.25">
      <c r="E15369" s="16"/>
      <c r="F15369" s="16"/>
      <c r="H15369" s="16"/>
      <c r="AG15369" s="80"/>
      <c r="AH15369" s="80"/>
      <c r="AI15369" s="80"/>
    </row>
    <row r="15370" spans="5:35" x14ac:dyDescent="0.25">
      <c r="E15370" s="16"/>
      <c r="F15370" s="16"/>
      <c r="H15370" s="16"/>
      <c r="AG15370" s="80"/>
      <c r="AH15370" s="80"/>
      <c r="AI15370" s="80"/>
    </row>
    <row r="15371" spans="5:35" x14ac:dyDescent="0.25">
      <c r="E15371" s="16"/>
      <c r="F15371" s="16"/>
      <c r="H15371" s="16"/>
      <c r="AG15371" s="80"/>
      <c r="AH15371" s="80"/>
      <c r="AI15371" s="80"/>
    </row>
    <row r="15372" spans="5:35" x14ac:dyDescent="0.25">
      <c r="E15372" s="16"/>
      <c r="F15372" s="16"/>
      <c r="H15372" s="16"/>
      <c r="AG15372" s="80"/>
      <c r="AH15372" s="80"/>
      <c r="AI15372" s="80"/>
    </row>
    <row r="15373" spans="5:35" x14ac:dyDescent="0.25">
      <c r="E15373" s="16"/>
      <c r="F15373" s="16"/>
      <c r="H15373" s="16"/>
      <c r="AG15373" s="80"/>
      <c r="AH15373" s="80"/>
      <c r="AI15373" s="80"/>
    </row>
    <row r="15374" spans="5:35" x14ac:dyDescent="0.25">
      <c r="E15374" s="16"/>
      <c r="F15374" s="16"/>
      <c r="H15374" s="16"/>
      <c r="AG15374" s="80"/>
      <c r="AH15374" s="80"/>
      <c r="AI15374" s="80"/>
    </row>
    <row r="15375" spans="5:35" x14ac:dyDescent="0.25">
      <c r="E15375" s="16"/>
      <c r="F15375" s="16"/>
      <c r="H15375" s="16"/>
      <c r="AG15375" s="80"/>
      <c r="AH15375" s="80"/>
      <c r="AI15375" s="80"/>
    </row>
    <row r="15376" spans="5:35" x14ac:dyDescent="0.25">
      <c r="E15376" s="16"/>
      <c r="F15376" s="16"/>
      <c r="H15376" s="16"/>
      <c r="AG15376" s="80"/>
      <c r="AH15376" s="80"/>
      <c r="AI15376" s="80"/>
    </row>
    <row r="15377" spans="5:35" x14ac:dyDescent="0.25">
      <c r="E15377" s="16"/>
      <c r="F15377" s="16"/>
      <c r="H15377" s="16"/>
      <c r="AG15377" s="80"/>
      <c r="AH15377" s="80"/>
      <c r="AI15377" s="80"/>
    </row>
    <row r="15378" spans="5:35" x14ac:dyDescent="0.25">
      <c r="E15378" s="16"/>
      <c r="F15378" s="16"/>
      <c r="H15378" s="16"/>
      <c r="AG15378" s="80"/>
      <c r="AH15378" s="80"/>
      <c r="AI15378" s="80"/>
    </row>
    <row r="15379" spans="5:35" x14ac:dyDescent="0.25">
      <c r="E15379" s="16"/>
      <c r="F15379" s="16"/>
      <c r="H15379" s="16"/>
      <c r="AG15379" s="80"/>
      <c r="AH15379" s="80"/>
      <c r="AI15379" s="80"/>
    </row>
    <row r="15380" spans="5:35" x14ac:dyDescent="0.25">
      <c r="E15380" s="16"/>
      <c r="F15380" s="16"/>
      <c r="H15380" s="16"/>
      <c r="AG15380" s="80"/>
      <c r="AH15380" s="80"/>
      <c r="AI15380" s="80"/>
    </row>
    <row r="15381" spans="5:35" x14ac:dyDescent="0.25">
      <c r="E15381" s="16"/>
      <c r="F15381" s="16"/>
      <c r="H15381" s="16"/>
      <c r="AG15381" s="80"/>
      <c r="AH15381" s="80"/>
      <c r="AI15381" s="80"/>
    </row>
    <row r="15382" spans="5:35" x14ac:dyDescent="0.25">
      <c r="E15382" s="16"/>
      <c r="F15382" s="16"/>
      <c r="H15382" s="16"/>
      <c r="AG15382" s="80"/>
      <c r="AH15382" s="80"/>
      <c r="AI15382" s="80"/>
    </row>
    <row r="15383" spans="5:35" x14ac:dyDescent="0.25">
      <c r="E15383" s="16"/>
      <c r="F15383" s="16"/>
      <c r="H15383" s="16"/>
      <c r="AG15383" s="80"/>
      <c r="AH15383" s="80"/>
      <c r="AI15383" s="80"/>
    </row>
    <row r="15384" spans="5:35" x14ac:dyDescent="0.25">
      <c r="E15384" s="16"/>
      <c r="F15384" s="16"/>
      <c r="H15384" s="16"/>
      <c r="AG15384" s="80"/>
      <c r="AH15384" s="80"/>
      <c r="AI15384" s="80"/>
    </row>
    <row r="15385" spans="5:35" x14ac:dyDescent="0.25">
      <c r="E15385" s="16"/>
      <c r="F15385" s="16"/>
      <c r="H15385" s="16"/>
      <c r="AG15385" s="80"/>
      <c r="AH15385" s="80"/>
      <c r="AI15385" s="80"/>
    </row>
    <row r="15386" spans="5:35" x14ac:dyDescent="0.25">
      <c r="E15386" s="16"/>
      <c r="F15386" s="16"/>
      <c r="H15386" s="16"/>
      <c r="AG15386" s="80"/>
      <c r="AH15386" s="80"/>
      <c r="AI15386" s="80"/>
    </row>
    <row r="15387" spans="5:35" x14ac:dyDescent="0.25">
      <c r="E15387" s="16"/>
      <c r="F15387" s="16"/>
      <c r="H15387" s="16"/>
      <c r="AG15387" s="80"/>
      <c r="AH15387" s="80"/>
      <c r="AI15387" s="80"/>
    </row>
    <row r="15388" spans="5:35" x14ac:dyDescent="0.25">
      <c r="E15388" s="16"/>
      <c r="F15388" s="16"/>
      <c r="H15388" s="16"/>
      <c r="AG15388" s="80"/>
      <c r="AH15388" s="80"/>
      <c r="AI15388" s="80"/>
    </row>
    <row r="15389" spans="5:35" x14ac:dyDescent="0.25">
      <c r="E15389" s="16"/>
      <c r="F15389" s="16"/>
      <c r="H15389" s="16"/>
      <c r="AG15389" s="80"/>
      <c r="AH15389" s="80"/>
      <c r="AI15389" s="80"/>
    </row>
    <row r="15390" spans="5:35" x14ac:dyDescent="0.25">
      <c r="E15390" s="16"/>
      <c r="F15390" s="16"/>
      <c r="H15390" s="16"/>
      <c r="AG15390" s="80"/>
      <c r="AH15390" s="80"/>
      <c r="AI15390" s="80"/>
    </row>
    <row r="15391" spans="5:35" x14ac:dyDescent="0.25">
      <c r="E15391" s="16"/>
      <c r="F15391" s="16"/>
      <c r="H15391" s="16"/>
      <c r="AG15391" s="80"/>
      <c r="AH15391" s="80"/>
      <c r="AI15391" s="80"/>
    </row>
    <row r="15392" spans="5:35" x14ac:dyDescent="0.25">
      <c r="E15392" s="16"/>
      <c r="F15392" s="16"/>
      <c r="H15392" s="16"/>
      <c r="AG15392" s="80"/>
      <c r="AH15392" s="80"/>
      <c r="AI15392" s="80"/>
    </row>
    <row r="15393" spans="5:35" x14ac:dyDescent="0.25">
      <c r="E15393" s="16"/>
      <c r="F15393" s="16"/>
      <c r="H15393" s="16"/>
      <c r="AG15393" s="80"/>
      <c r="AH15393" s="80"/>
      <c r="AI15393" s="80"/>
    </row>
    <row r="15394" spans="5:35" x14ac:dyDescent="0.25">
      <c r="E15394" s="16"/>
      <c r="F15394" s="16"/>
      <c r="H15394" s="16"/>
      <c r="AG15394" s="80"/>
      <c r="AH15394" s="80"/>
      <c r="AI15394" s="80"/>
    </row>
    <row r="15395" spans="5:35" x14ac:dyDescent="0.25">
      <c r="E15395" s="16"/>
      <c r="F15395" s="16"/>
      <c r="H15395" s="16"/>
      <c r="AG15395" s="80"/>
      <c r="AH15395" s="80"/>
      <c r="AI15395" s="80"/>
    </row>
    <row r="15396" spans="5:35" x14ac:dyDescent="0.25">
      <c r="E15396" s="16"/>
      <c r="F15396" s="16"/>
      <c r="H15396" s="16"/>
      <c r="AG15396" s="80"/>
      <c r="AH15396" s="80"/>
      <c r="AI15396" s="80"/>
    </row>
    <row r="15397" spans="5:35" x14ac:dyDescent="0.25">
      <c r="E15397" s="16"/>
      <c r="F15397" s="16"/>
      <c r="H15397" s="16"/>
      <c r="AG15397" s="80"/>
      <c r="AH15397" s="80"/>
      <c r="AI15397" s="80"/>
    </row>
    <row r="15398" spans="5:35" x14ac:dyDescent="0.25">
      <c r="E15398" s="16"/>
      <c r="F15398" s="16"/>
      <c r="H15398" s="16"/>
      <c r="AG15398" s="80"/>
      <c r="AH15398" s="80"/>
      <c r="AI15398" s="80"/>
    </row>
    <row r="15399" spans="5:35" x14ac:dyDescent="0.25">
      <c r="E15399" s="16"/>
      <c r="F15399" s="16"/>
      <c r="H15399" s="16"/>
      <c r="AG15399" s="80"/>
      <c r="AH15399" s="80"/>
      <c r="AI15399" s="80"/>
    </row>
    <row r="15400" spans="5:35" x14ac:dyDescent="0.25">
      <c r="E15400" s="16"/>
      <c r="F15400" s="16"/>
      <c r="H15400" s="16"/>
      <c r="AG15400" s="80"/>
      <c r="AH15400" s="80"/>
      <c r="AI15400" s="80"/>
    </row>
    <row r="15401" spans="5:35" x14ac:dyDescent="0.25">
      <c r="E15401" s="16"/>
      <c r="F15401" s="16"/>
      <c r="H15401" s="16"/>
      <c r="AG15401" s="80"/>
      <c r="AH15401" s="80"/>
      <c r="AI15401" s="80"/>
    </row>
    <row r="15402" spans="5:35" x14ac:dyDescent="0.25">
      <c r="E15402" s="16"/>
      <c r="F15402" s="16"/>
      <c r="H15402" s="16"/>
      <c r="AG15402" s="80"/>
      <c r="AH15402" s="80"/>
      <c r="AI15402" s="80"/>
    </row>
    <row r="15403" spans="5:35" x14ac:dyDescent="0.25">
      <c r="E15403" s="16"/>
      <c r="F15403" s="16"/>
      <c r="H15403" s="16"/>
      <c r="AG15403" s="80"/>
      <c r="AH15403" s="80"/>
      <c r="AI15403" s="80"/>
    </row>
    <row r="15404" spans="5:35" x14ac:dyDescent="0.25">
      <c r="E15404" s="16"/>
      <c r="F15404" s="16"/>
      <c r="H15404" s="16"/>
      <c r="AG15404" s="80"/>
      <c r="AH15404" s="80"/>
      <c r="AI15404" s="80"/>
    </row>
    <row r="15405" spans="5:35" x14ac:dyDescent="0.25">
      <c r="E15405" s="16"/>
      <c r="F15405" s="16"/>
      <c r="H15405" s="16"/>
      <c r="AG15405" s="80"/>
      <c r="AH15405" s="80"/>
      <c r="AI15405" s="80"/>
    </row>
    <row r="15406" spans="5:35" x14ac:dyDescent="0.25">
      <c r="E15406" s="16"/>
      <c r="F15406" s="16"/>
      <c r="H15406" s="16"/>
      <c r="AG15406" s="80"/>
      <c r="AH15406" s="80"/>
      <c r="AI15406" s="80"/>
    </row>
    <row r="15407" spans="5:35" x14ac:dyDescent="0.25">
      <c r="E15407" s="16"/>
      <c r="F15407" s="16"/>
      <c r="H15407" s="16"/>
      <c r="AG15407" s="80"/>
      <c r="AH15407" s="80"/>
      <c r="AI15407" s="80"/>
    </row>
    <row r="15408" spans="5:35" x14ac:dyDescent="0.25">
      <c r="E15408" s="16"/>
      <c r="F15408" s="16"/>
      <c r="H15408" s="16"/>
      <c r="AG15408" s="80"/>
      <c r="AH15408" s="80"/>
      <c r="AI15408" s="80"/>
    </row>
    <row r="15409" spans="5:35" x14ac:dyDescent="0.25">
      <c r="E15409" s="16"/>
      <c r="F15409" s="16"/>
      <c r="H15409" s="16"/>
      <c r="AG15409" s="80"/>
      <c r="AH15409" s="80"/>
      <c r="AI15409" s="80"/>
    </row>
    <row r="15410" spans="5:35" x14ac:dyDescent="0.25">
      <c r="E15410" s="16"/>
      <c r="F15410" s="16"/>
      <c r="H15410" s="16"/>
      <c r="AG15410" s="80"/>
      <c r="AH15410" s="80"/>
      <c r="AI15410" s="80"/>
    </row>
    <row r="15411" spans="5:35" x14ac:dyDescent="0.25">
      <c r="E15411" s="16"/>
      <c r="F15411" s="16"/>
      <c r="H15411" s="16"/>
      <c r="AG15411" s="80"/>
      <c r="AH15411" s="80"/>
      <c r="AI15411" s="80"/>
    </row>
    <row r="15412" spans="5:35" x14ac:dyDescent="0.25">
      <c r="E15412" s="16"/>
      <c r="F15412" s="16"/>
      <c r="H15412" s="16"/>
      <c r="AG15412" s="80"/>
      <c r="AH15412" s="80"/>
      <c r="AI15412" s="80"/>
    </row>
    <row r="15413" spans="5:35" x14ac:dyDescent="0.25">
      <c r="E15413" s="16"/>
      <c r="F15413" s="16"/>
      <c r="H15413" s="16"/>
      <c r="AG15413" s="80"/>
      <c r="AH15413" s="80"/>
      <c r="AI15413" s="80"/>
    </row>
    <row r="15414" spans="5:35" x14ac:dyDescent="0.25">
      <c r="E15414" s="16"/>
      <c r="F15414" s="16"/>
      <c r="H15414" s="16"/>
      <c r="AG15414" s="80"/>
      <c r="AH15414" s="80"/>
      <c r="AI15414" s="80"/>
    </row>
    <row r="15415" spans="5:35" x14ac:dyDescent="0.25">
      <c r="E15415" s="16"/>
      <c r="F15415" s="16"/>
      <c r="H15415" s="16"/>
      <c r="AG15415" s="80"/>
      <c r="AH15415" s="80"/>
      <c r="AI15415" s="80"/>
    </row>
    <row r="15416" spans="5:35" x14ac:dyDescent="0.25">
      <c r="E15416" s="16"/>
      <c r="F15416" s="16"/>
      <c r="H15416" s="16"/>
      <c r="AG15416" s="80"/>
      <c r="AH15416" s="80"/>
      <c r="AI15416" s="80"/>
    </row>
    <row r="15417" spans="5:35" x14ac:dyDescent="0.25">
      <c r="E15417" s="16"/>
      <c r="F15417" s="16"/>
      <c r="H15417" s="16"/>
      <c r="AG15417" s="80"/>
      <c r="AH15417" s="80"/>
      <c r="AI15417" s="80"/>
    </row>
    <row r="15418" spans="5:35" x14ac:dyDescent="0.25">
      <c r="E15418" s="16"/>
      <c r="F15418" s="16"/>
      <c r="H15418" s="16"/>
      <c r="AG15418" s="80"/>
      <c r="AH15418" s="80"/>
      <c r="AI15418" s="80"/>
    </row>
    <row r="15419" spans="5:35" x14ac:dyDescent="0.25">
      <c r="E15419" s="16"/>
      <c r="F15419" s="16"/>
      <c r="H15419" s="16"/>
      <c r="AG15419" s="80"/>
      <c r="AH15419" s="80"/>
      <c r="AI15419" s="80"/>
    </row>
    <row r="15420" spans="5:35" x14ac:dyDescent="0.25">
      <c r="E15420" s="16"/>
      <c r="F15420" s="16"/>
      <c r="H15420" s="16"/>
      <c r="AG15420" s="80"/>
      <c r="AH15420" s="80"/>
      <c r="AI15420" s="80"/>
    </row>
    <row r="15421" spans="5:35" x14ac:dyDescent="0.25">
      <c r="E15421" s="16"/>
      <c r="F15421" s="16"/>
      <c r="H15421" s="16"/>
      <c r="AG15421" s="80"/>
      <c r="AH15421" s="80"/>
      <c r="AI15421" s="80"/>
    </row>
    <row r="15422" spans="5:35" x14ac:dyDescent="0.25">
      <c r="E15422" s="16"/>
      <c r="F15422" s="16"/>
      <c r="H15422" s="16"/>
      <c r="AG15422" s="80"/>
      <c r="AH15422" s="80"/>
      <c r="AI15422" s="80"/>
    </row>
    <row r="15423" spans="5:35" x14ac:dyDescent="0.25">
      <c r="E15423" s="16"/>
      <c r="F15423" s="16"/>
      <c r="H15423" s="16"/>
      <c r="AG15423" s="80"/>
      <c r="AH15423" s="80"/>
      <c r="AI15423" s="80"/>
    </row>
    <row r="15424" spans="5:35" x14ac:dyDescent="0.25">
      <c r="E15424" s="16"/>
      <c r="F15424" s="16"/>
      <c r="H15424" s="16"/>
      <c r="AG15424" s="80"/>
      <c r="AH15424" s="80"/>
      <c r="AI15424" s="80"/>
    </row>
    <row r="15425" spans="5:35" x14ac:dyDescent="0.25">
      <c r="E15425" s="16"/>
      <c r="F15425" s="16"/>
      <c r="H15425" s="16"/>
      <c r="AG15425" s="80"/>
      <c r="AH15425" s="80"/>
      <c r="AI15425" s="80"/>
    </row>
    <row r="15426" spans="5:35" x14ac:dyDescent="0.25">
      <c r="E15426" s="16"/>
      <c r="F15426" s="16"/>
      <c r="H15426" s="16"/>
      <c r="AG15426" s="80"/>
      <c r="AH15426" s="80"/>
      <c r="AI15426" s="80"/>
    </row>
    <row r="15427" spans="5:35" x14ac:dyDescent="0.25">
      <c r="E15427" s="16"/>
      <c r="F15427" s="16"/>
      <c r="H15427" s="16"/>
      <c r="AG15427" s="80"/>
      <c r="AH15427" s="80"/>
      <c r="AI15427" s="80"/>
    </row>
    <row r="15428" spans="5:35" x14ac:dyDescent="0.25">
      <c r="E15428" s="16"/>
      <c r="F15428" s="16"/>
      <c r="H15428" s="16"/>
      <c r="AG15428" s="80"/>
      <c r="AH15428" s="80"/>
      <c r="AI15428" s="80"/>
    </row>
    <row r="15429" spans="5:35" x14ac:dyDescent="0.25">
      <c r="E15429" s="16"/>
      <c r="F15429" s="16"/>
      <c r="H15429" s="16"/>
      <c r="AG15429" s="80"/>
      <c r="AH15429" s="80"/>
      <c r="AI15429" s="80"/>
    </row>
    <row r="15430" spans="5:35" x14ac:dyDescent="0.25">
      <c r="E15430" s="16"/>
      <c r="F15430" s="16"/>
      <c r="H15430" s="16"/>
      <c r="AG15430" s="80"/>
      <c r="AH15430" s="80"/>
      <c r="AI15430" s="80"/>
    </row>
    <row r="15431" spans="5:35" x14ac:dyDescent="0.25">
      <c r="E15431" s="16"/>
      <c r="F15431" s="16"/>
      <c r="H15431" s="16"/>
      <c r="AG15431" s="80"/>
      <c r="AH15431" s="80"/>
      <c r="AI15431" s="80"/>
    </row>
    <row r="15432" spans="5:35" x14ac:dyDescent="0.25">
      <c r="E15432" s="16"/>
      <c r="F15432" s="16"/>
      <c r="H15432" s="16"/>
      <c r="AG15432" s="80"/>
      <c r="AH15432" s="80"/>
      <c r="AI15432" s="80"/>
    </row>
    <row r="15433" spans="5:35" x14ac:dyDescent="0.25">
      <c r="E15433" s="16"/>
      <c r="F15433" s="16"/>
      <c r="H15433" s="16"/>
      <c r="AG15433" s="80"/>
      <c r="AH15433" s="80"/>
      <c r="AI15433" s="80"/>
    </row>
    <row r="15434" spans="5:35" x14ac:dyDescent="0.25">
      <c r="E15434" s="16"/>
      <c r="F15434" s="16"/>
      <c r="H15434" s="16"/>
      <c r="AG15434" s="80"/>
      <c r="AH15434" s="80"/>
      <c r="AI15434" s="80"/>
    </row>
    <row r="15435" spans="5:35" x14ac:dyDescent="0.25">
      <c r="E15435" s="16"/>
      <c r="F15435" s="16"/>
      <c r="H15435" s="16"/>
      <c r="AG15435" s="80"/>
      <c r="AH15435" s="80"/>
      <c r="AI15435" s="80"/>
    </row>
    <row r="15436" spans="5:35" x14ac:dyDescent="0.25">
      <c r="E15436" s="16"/>
      <c r="F15436" s="16"/>
      <c r="H15436" s="16"/>
      <c r="AG15436" s="80"/>
      <c r="AH15436" s="80"/>
      <c r="AI15436" s="80"/>
    </row>
    <row r="15437" spans="5:35" x14ac:dyDescent="0.25">
      <c r="E15437" s="16"/>
      <c r="F15437" s="16"/>
      <c r="H15437" s="16"/>
      <c r="AG15437" s="80"/>
      <c r="AH15437" s="80"/>
      <c r="AI15437" s="80"/>
    </row>
    <row r="15438" spans="5:35" x14ac:dyDescent="0.25">
      <c r="E15438" s="16"/>
      <c r="F15438" s="16"/>
      <c r="H15438" s="16"/>
      <c r="AG15438" s="80"/>
      <c r="AH15438" s="80"/>
      <c r="AI15438" s="80"/>
    </row>
    <row r="15439" spans="5:35" x14ac:dyDescent="0.25">
      <c r="E15439" s="16"/>
      <c r="F15439" s="16"/>
      <c r="H15439" s="16"/>
      <c r="AG15439" s="80"/>
      <c r="AH15439" s="80"/>
      <c r="AI15439" s="80"/>
    </row>
    <row r="15440" spans="5:35" x14ac:dyDescent="0.25">
      <c r="E15440" s="16"/>
      <c r="F15440" s="16"/>
      <c r="H15440" s="16"/>
      <c r="AG15440" s="80"/>
      <c r="AH15440" s="80"/>
      <c r="AI15440" s="80"/>
    </row>
    <row r="15441" spans="5:35" x14ac:dyDescent="0.25">
      <c r="E15441" s="16"/>
      <c r="F15441" s="16"/>
      <c r="H15441" s="16"/>
      <c r="AG15441" s="80"/>
      <c r="AH15441" s="80"/>
      <c r="AI15441" s="80"/>
    </row>
    <row r="15442" spans="5:35" x14ac:dyDescent="0.25">
      <c r="E15442" s="16"/>
      <c r="F15442" s="16"/>
      <c r="H15442" s="16"/>
      <c r="AG15442" s="80"/>
      <c r="AH15442" s="80"/>
      <c r="AI15442" s="80"/>
    </row>
    <row r="15443" spans="5:35" x14ac:dyDescent="0.25">
      <c r="E15443" s="16"/>
      <c r="F15443" s="16"/>
      <c r="H15443" s="16"/>
      <c r="AG15443" s="80"/>
      <c r="AH15443" s="80"/>
      <c r="AI15443" s="80"/>
    </row>
    <row r="15444" spans="5:35" x14ac:dyDescent="0.25">
      <c r="E15444" s="16"/>
      <c r="F15444" s="16"/>
      <c r="H15444" s="16"/>
      <c r="AG15444" s="80"/>
      <c r="AH15444" s="80"/>
      <c r="AI15444" s="80"/>
    </row>
    <row r="15445" spans="5:35" x14ac:dyDescent="0.25">
      <c r="E15445" s="16"/>
      <c r="F15445" s="16"/>
      <c r="H15445" s="16"/>
      <c r="AG15445" s="80"/>
      <c r="AH15445" s="80"/>
      <c r="AI15445" s="80"/>
    </row>
    <row r="15446" spans="5:35" x14ac:dyDescent="0.25">
      <c r="E15446" s="16"/>
      <c r="F15446" s="16"/>
      <c r="H15446" s="16"/>
      <c r="AG15446" s="80"/>
      <c r="AH15446" s="80"/>
      <c r="AI15446" s="80"/>
    </row>
    <row r="15447" spans="5:35" x14ac:dyDescent="0.25">
      <c r="E15447" s="16"/>
      <c r="F15447" s="16"/>
      <c r="H15447" s="16"/>
      <c r="AG15447" s="80"/>
      <c r="AH15447" s="80"/>
      <c r="AI15447" s="80"/>
    </row>
    <row r="15448" spans="5:35" x14ac:dyDescent="0.25">
      <c r="E15448" s="16"/>
      <c r="F15448" s="16"/>
      <c r="H15448" s="16"/>
      <c r="AG15448" s="80"/>
      <c r="AH15448" s="80"/>
      <c r="AI15448" s="80"/>
    </row>
    <row r="15449" spans="5:35" x14ac:dyDescent="0.25">
      <c r="E15449" s="16"/>
      <c r="F15449" s="16"/>
      <c r="H15449" s="16"/>
      <c r="AG15449" s="80"/>
      <c r="AH15449" s="80"/>
      <c r="AI15449" s="80"/>
    </row>
    <row r="15450" spans="5:35" x14ac:dyDescent="0.25">
      <c r="E15450" s="16"/>
      <c r="F15450" s="16"/>
      <c r="H15450" s="16"/>
      <c r="AG15450" s="80"/>
      <c r="AH15450" s="80"/>
      <c r="AI15450" s="80"/>
    </row>
    <row r="15451" spans="5:35" x14ac:dyDescent="0.25">
      <c r="E15451" s="16"/>
      <c r="F15451" s="16"/>
      <c r="H15451" s="16"/>
      <c r="AG15451" s="80"/>
      <c r="AH15451" s="80"/>
      <c r="AI15451" s="80"/>
    </row>
    <row r="15452" spans="5:35" x14ac:dyDescent="0.25">
      <c r="E15452" s="16"/>
      <c r="F15452" s="16"/>
      <c r="H15452" s="16"/>
      <c r="AG15452" s="80"/>
      <c r="AH15452" s="80"/>
      <c r="AI15452" s="80"/>
    </row>
    <row r="15453" spans="5:35" x14ac:dyDescent="0.25">
      <c r="E15453" s="16"/>
      <c r="F15453" s="16"/>
      <c r="H15453" s="16"/>
      <c r="AG15453" s="80"/>
      <c r="AH15453" s="80"/>
      <c r="AI15453" s="80"/>
    </row>
    <row r="15454" spans="5:35" x14ac:dyDescent="0.25">
      <c r="E15454" s="16"/>
      <c r="F15454" s="16"/>
      <c r="H15454" s="16"/>
      <c r="AG15454" s="80"/>
      <c r="AH15454" s="80"/>
      <c r="AI15454" s="80"/>
    </row>
    <row r="15455" spans="5:35" x14ac:dyDescent="0.25">
      <c r="E15455" s="16"/>
      <c r="F15455" s="16"/>
      <c r="H15455" s="16"/>
      <c r="AG15455" s="80"/>
      <c r="AH15455" s="80"/>
      <c r="AI15455" s="80"/>
    </row>
    <row r="15456" spans="5:35" x14ac:dyDescent="0.25">
      <c r="E15456" s="16"/>
      <c r="F15456" s="16"/>
      <c r="H15456" s="16"/>
      <c r="AG15456" s="80"/>
      <c r="AH15456" s="80"/>
      <c r="AI15456" s="80"/>
    </row>
    <row r="15457" spans="5:35" x14ac:dyDescent="0.25">
      <c r="E15457" s="16"/>
      <c r="F15457" s="16"/>
      <c r="H15457" s="16"/>
      <c r="AG15457" s="80"/>
      <c r="AH15457" s="80"/>
      <c r="AI15457" s="80"/>
    </row>
    <row r="15458" spans="5:35" x14ac:dyDescent="0.25">
      <c r="E15458" s="16"/>
      <c r="F15458" s="16"/>
      <c r="H15458" s="16"/>
      <c r="AG15458" s="80"/>
      <c r="AH15458" s="80"/>
      <c r="AI15458" s="80"/>
    </row>
    <row r="15459" spans="5:35" x14ac:dyDescent="0.25">
      <c r="E15459" s="16"/>
      <c r="F15459" s="16"/>
      <c r="H15459" s="16"/>
      <c r="AG15459" s="80"/>
      <c r="AH15459" s="80"/>
      <c r="AI15459" s="80"/>
    </row>
    <row r="15460" spans="5:35" x14ac:dyDescent="0.25">
      <c r="E15460" s="16"/>
      <c r="F15460" s="16"/>
      <c r="H15460" s="16"/>
      <c r="AG15460" s="80"/>
      <c r="AH15460" s="80"/>
      <c r="AI15460" s="80"/>
    </row>
    <row r="15461" spans="5:35" x14ac:dyDescent="0.25">
      <c r="E15461" s="16"/>
      <c r="F15461" s="16"/>
      <c r="H15461" s="16"/>
      <c r="AG15461" s="80"/>
      <c r="AH15461" s="80"/>
      <c r="AI15461" s="80"/>
    </row>
    <row r="15462" spans="5:35" x14ac:dyDescent="0.25">
      <c r="E15462" s="16"/>
      <c r="F15462" s="16"/>
      <c r="H15462" s="16"/>
      <c r="AG15462" s="80"/>
      <c r="AH15462" s="80"/>
      <c r="AI15462" s="80"/>
    </row>
    <row r="15463" spans="5:35" x14ac:dyDescent="0.25">
      <c r="E15463" s="16"/>
      <c r="F15463" s="16"/>
      <c r="H15463" s="16"/>
      <c r="AG15463" s="80"/>
      <c r="AH15463" s="80"/>
      <c r="AI15463" s="80"/>
    </row>
    <row r="15464" spans="5:35" x14ac:dyDescent="0.25">
      <c r="E15464" s="16"/>
      <c r="F15464" s="16"/>
      <c r="H15464" s="16"/>
      <c r="AG15464" s="80"/>
      <c r="AH15464" s="80"/>
      <c r="AI15464" s="80"/>
    </row>
    <row r="15465" spans="5:35" x14ac:dyDescent="0.25">
      <c r="E15465" s="16"/>
      <c r="F15465" s="16"/>
      <c r="H15465" s="16"/>
      <c r="AG15465" s="80"/>
      <c r="AH15465" s="80"/>
      <c r="AI15465" s="80"/>
    </row>
    <row r="15466" spans="5:35" x14ac:dyDescent="0.25">
      <c r="E15466" s="16"/>
      <c r="F15466" s="16"/>
      <c r="H15466" s="16"/>
      <c r="AG15466" s="80"/>
      <c r="AH15466" s="80"/>
      <c r="AI15466" s="80"/>
    </row>
    <row r="15467" spans="5:35" x14ac:dyDescent="0.25">
      <c r="E15467" s="16"/>
      <c r="F15467" s="16"/>
      <c r="H15467" s="16"/>
      <c r="AG15467" s="80"/>
      <c r="AH15467" s="80"/>
      <c r="AI15467" s="80"/>
    </row>
    <row r="15468" spans="5:35" x14ac:dyDescent="0.25">
      <c r="E15468" s="16"/>
      <c r="F15468" s="16"/>
      <c r="H15468" s="16"/>
      <c r="AG15468" s="80"/>
      <c r="AH15468" s="80"/>
      <c r="AI15468" s="80"/>
    </row>
    <row r="15469" spans="5:35" x14ac:dyDescent="0.25">
      <c r="E15469" s="16"/>
      <c r="F15469" s="16"/>
      <c r="H15469" s="16"/>
      <c r="AG15469" s="80"/>
      <c r="AH15469" s="80"/>
      <c r="AI15469" s="80"/>
    </row>
    <row r="15470" spans="5:35" x14ac:dyDescent="0.25">
      <c r="E15470" s="16"/>
      <c r="F15470" s="16"/>
      <c r="H15470" s="16"/>
      <c r="AG15470" s="80"/>
      <c r="AH15470" s="80"/>
      <c r="AI15470" s="80"/>
    </row>
    <row r="15471" spans="5:35" x14ac:dyDescent="0.25">
      <c r="E15471" s="16"/>
      <c r="F15471" s="16"/>
      <c r="H15471" s="16"/>
      <c r="AG15471" s="80"/>
      <c r="AH15471" s="80"/>
      <c r="AI15471" s="80"/>
    </row>
    <row r="15472" spans="5:35" x14ac:dyDescent="0.25">
      <c r="E15472" s="16"/>
      <c r="F15472" s="16"/>
      <c r="H15472" s="16"/>
      <c r="AG15472" s="80"/>
      <c r="AH15472" s="80"/>
      <c r="AI15472" s="80"/>
    </row>
    <row r="15473" spans="5:35" x14ac:dyDescent="0.25">
      <c r="E15473" s="16"/>
      <c r="F15473" s="16"/>
      <c r="H15473" s="16"/>
      <c r="AG15473" s="80"/>
      <c r="AH15473" s="80"/>
      <c r="AI15473" s="80"/>
    </row>
    <row r="15474" spans="5:35" x14ac:dyDescent="0.25">
      <c r="E15474" s="16"/>
      <c r="F15474" s="16"/>
      <c r="H15474" s="16"/>
      <c r="AG15474" s="80"/>
      <c r="AH15474" s="80"/>
      <c r="AI15474" s="80"/>
    </row>
    <row r="15475" spans="5:35" x14ac:dyDescent="0.25">
      <c r="E15475" s="16"/>
      <c r="F15475" s="16"/>
      <c r="H15475" s="16"/>
      <c r="AG15475" s="80"/>
      <c r="AH15475" s="80"/>
      <c r="AI15475" s="80"/>
    </row>
    <row r="15476" spans="5:35" x14ac:dyDescent="0.25">
      <c r="E15476" s="16"/>
      <c r="F15476" s="16"/>
      <c r="H15476" s="16"/>
      <c r="AG15476" s="80"/>
      <c r="AH15476" s="80"/>
      <c r="AI15476" s="80"/>
    </row>
    <row r="15477" spans="5:35" x14ac:dyDescent="0.25">
      <c r="E15477" s="16"/>
      <c r="F15477" s="16"/>
      <c r="H15477" s="16"/>
      <c r="AG15477" s="80"/>
      <c r="AH15477" s="80"/>
      <c r="AI15477" s="80"/>
    </row>
    <row r="15478" spans="5:35" x14ac:dyDescent="0.25">
      <c r="E15478" s="16"/>
      <c r="F15478" s="16"/>
      <c r="H15478" s="16"/>
      <c r="AG15478" s="80"/>
      <c r="AH15478" s="80"/>
      <c r="AI15478" s="80"/>
    </row>
    <row r="15479" spans="5:35" x14ac:dyDescent="0.25">
      <c r="E15479" s="16"/>
      <c r="F15479" s="16"/>
      <c r="H15479" s="16"/>
      <c r="AG15479" s="80"/>
      <c r="AH15479" s="80"/>
      <c r="AI15479" s="80"/>
    </row>
    <row r="15480" spans="5:35" x14ac:dyDescent="0.25">
      <c r="E15480" s="16"/>
      <c r="F15480" s="16"/>
      <c r="H15480" s="16"/>
      <c r="AG15480" s="80"/>
      <c r="AH15480" s="80"/>
      <c r="AI15480" s="80"/>
    </row>
    <row r="15481" spans="5:35" x14ac:dyDescent="0.25">
      <c r="E15481" s="16"/>
      <c r="F15481" s="16"/>
      <c r="H15481" s="16"/>
      <c r="AG15481" s="80"/>
      <c r="AH15481" s="80"/>
      <c r="AI15481" s="80"/>
    </row>
    <row r="15482" spans="5:35" x14ac:dyDescent="0.25">
      <c r="E15482" s="16"/>
      <c r="F15482" s="16"/>
      <c r="H15482" s="16"/>
      <c r="AG15482" s="80"/>
      <c r="AH15482" s="80"/>
      <c r="AI15482" s="80"/>
    </row>
    <row r="15483" spans="5:35" x14ac:dyDescent="0.25">
      <c r="E15483" s="16"/>
      <c r="F15483" s="16"/>
      <c r="H15483" s="16"/>
      <c r="AG15483" s="80"/>
      <c r="AH15483" s="80"/>
      <c r="AI15483" s="80"/>
    </row>
    <row r="15484" spans="5:35" x14ac:dyDescent="0.25">
      <c r="E15484" s="16"/>
      <c r="F15484" s="16"/>
      <c r="H15484" s="16"/>
      <c r="AG15484" s="80"/>
      <c r="AH15484" s="80"/>
      <c r="AI15484" s="80"/>
    </row>
    <row r="15485" spans="5:35" x14ac:dyDescent="0.25">
      <c r="E15485" s="16"/>
      <c r="F15485" s="16"/>
      <c r="H15485" s="16"/>
      <c r="AG15485" s="80"/>
      <c r="AH15485" s="80"/>
      <c r="AI15485" s="80"/>
    </row>
    <row r="15486" spans="5:35" x14ac:dyDescent="0.25">
      <c r="E15486" s="16"/>
      <c r="F15486" s="16"/>
      <c r="H15486" s="16"/>
      <c r="AG15486" s="80"/>
      <c r="AH15486" s="80"/>
      <c r="AI15486" s="80"/>
    </row>
    <row r="15487" spans="5:35" x14ac:dyDescent="0.25">
      <c r="E15487" s="16"/>
      <c r="F15487" s="16"/>
      <c r="H15487" s="16"/>
      <c r="AG15487" s="80"/>
      <c r="AH15487" s="80"/>
      <c r="AI15487" s="80"/>
    </row>
    <row r="15488" spans="5:35" x14ac:dyDescent="0.25">
      <c r="E15488" s="16"/>
      <c r="F15488" s="16"/>
      <c r="H15488" s="16"/>
      <c r="AG15488" s="80"/>
      <c r="AH15488" s="80"/>
      <c r="AI15488" s="80"/>
    </row>
    <row r="15489" spans="5:35" x14ac:dyDescent="0.25">
      <c r="E15489" s="16"/>
      <c r="F15489" s="16"/>
      <c r="H15489" s="16"/>
      <c r="AG15489" s="80"/>
      <c r="AH15489" s="80"/>
      <c r="AI15489" s="80"/>
    </row>
    <row r="15490" spans="5:35" x14ac:dyDescent="0.25">
      <c r="E15490" s="16"/>
      <c r="F15490" s="16"/>
      <c r="H15490" s="16"/>
      <c r="AG15490" s="80"/>
      <c r="AH15490" s="80"/>
      <c r="AI15490" s="80"/>
    </row>
    <row r="15491" spans="5:35" x14ac:dyDescent="0.25">
      <c r="E15491" s="16"/>
      <c r="F15491" s="16"/>
      <c r="H15491" s="16"/>
      <c r="AG15491" s="80"/>
      <c r="AH15491" s="80"/>
      <c r="AI15491" s="80"/>
    </row>
    <row r="15492" spans="5:35" x14ac:dyDescent="0.25">
      <c r="E15492" s="16"/>
      <c r="F15492" s="16"/>
      <c r="H15492" s="16"/>
      <c r="AG15492" s="80"/>
      <c r="AH15492" s="80"/>
      <c r="AI15492" s="80"/>
    </row>
    <row r="15493" spans="5:35" x14ac:dyDescent="0.25">
      <c r="E15493" s="16"/>
      <c r="F15493" s="16"/>
      <c r="H15493" s="16"/>
      <c r="AG15493" s="80"/>
      <c r="AH15493" s="80"/>
      <c r="AI15493" s="80"/>
    </row>
    <row r="15494" spans="5:35" x14ac:dyDescent="0.25">
      <c r="E15494" s="16"/>
      <c r="F15494" s="16"/>
      <c r="H15494" s="16"/>
      <c r="AG15494" s="80"/>
      <c r="AH15494" s="80"/>
      <c r="AI15494" s="80"/>
    </row>
    <row r="15495" spans="5:35" x14ac:dyDescent="0.25">
      <c r="E15495" s="16"/>
      <c r="F15495" s="16"/>
      <c r="H15495" s="16"/>
      <c r="AG15495" s="80"/>
      <c r="AH15495" s="80"/>
      <c r="AI15495" s="80"/>
    </row>
    <row r="15496" spans="5:35" x14ac:dyDescent="0.25">
      <c r="E15496" s="16"/>
      <c r="F15496" s="16"/>
      <c r="H15496" s="16"/>
      <c r="AG15496" s="80"/>
      <c r="AH15496" s="80"/>
      <c r="AI15496" s="80"/>
    </row>
    <row r="15497" spans="5:35" x14ac:dyDescent="0.25">
      <c r="E15497" s="16"/>
      <c r="F15497" s="16"/>
      <c r="H15497" s="16"/>
      <c r="AG15497" s="80"/>
      <c r="AH15497" s="80"/>
      <c r="AI15497" s="80"/>
    </row>
    <row r="15498" spans="5:35" x14ac:dyDescent="0.25">
      <c r="E15498" s="16"/>
      <c r="F15498" s="16"/>
      <c r="H15498" s="16"/>
      <c r="AG15498" s="80"/>
      <c r="AH15498" s="80"/>
      <c r="AI15498" s="80"/>
    </row>
    <row r="15499" spans="5:35" x14ac:dyDescent="0.25">
      <c r="E15499" s="16"/>
      <c r="F15499" s="16"/>
      <c r="H15499" s="16"/>
      <c r="AG15499" s="80"/>
      <c r="AH15499" s="80"/>
      <c r="AI15499" s="80"/>
    </row>
    <row r="15500" spans="5:35" x14ac:dyDescent="0.25">
      <c r="E15500" s="16"/>
      <c r="F15500" s="16"/>
      <c r="H15500" s="16"/>
      <c r="AG15500" s="80"/>
      <c r="AH15500" s="80"/>
      <c r="AI15500" s="80"/>
    </row>
    <row r="15501" spans="5:35" x14ac:dyDescent="0.25">
      <c r="E15501" s="16"/>
      <c r="F15501" s="16"/>
      <c r="H15501" s="16"/>
      <c r="AG15501" s="80"/>
      <c r="AH15501" s="80"/>
      <c r="AI15501" s="80"/>
    </row>
    <row r="15502" spans="5:35" x14ac:dyDescent="0.25">
      <c r="E15502" s="16"/>
      <c r="F15502" s="16"/>
      <c r="H15502" s="16"/>
      <c r="AG15502" s="80"/>
      <c r="AH15502" s="80"/>
      <c r="AI15502" s="80"/>
    </row>
    <row r="15503" spans="5:35" x14ac:dyDescent="0.25">
      <c r="E15503" s="16"/>
      <c r="F15503" s="16"/>
      <c r="H15503" s="16"/>
      <c r="AG15503" s="80"/>
      <c r="AH15503" s="80"/>
      <c r="AI15503" s="80"/>
    </row>
    <row r="15504" spans="5:35" x14ac:dyDescent="0.25">
      <c r="E15504" s="16"/>
      <c r="F15504" s="16"/>
      <c r="H15504" s="16"/>
      <c r="AG15504" s="80"/>
      <c r="AH15504" s="80"/>
      <c r="AI15504" s="80"/>
    </row>
    <row r="15505" spans="5:35" x14ac:dyDescent="0.25">
      <c r="E15505" s="16"/>
      <c r="F15505" s="16"/>
      <c r="H15505" s="16"/>
      <c r="AG15505" s="80"/>
      <c r="AH15505" s="80"/>
      <c r="AI15505" s="80"/>
    </row>
    <row r="15506" spans="5:35" x14ac:dyDescent="0.25">
      <c r="E15506" s="16"/>
      <c r="F15506" s="16"/>
      <c r="H15506" s="16"/>
      <c r="AG15506" s="80"/>
      <c r="AH15506" s="80"/>
      <c r="AI15506" s="80"/>
    </row>
    <row r="15507" spans="5:35" x14ac:dyDescent="0.25">
      <c r="E15507" s="16"/>
      <c r="F15507" s="16"/>
      <c r="H15507" s="16"/>
      <c r="AG15507" s="80"/>
      <c r="AH15507" s="80"/>
      <c r="AI15507" s="80"/>
    </row>
    <row r="15508" spans="5:35" x14ac:dyDescent="0.25">
      <c r="E15508" s="16"/>
      <c r="F15508" s="16"/>
      <c r="H15508" s="16"/>
      <c r="AG15508" s="80"/>
      <c r="AH15508" s="80"/>
      <c r="AI15508" s="80"/>
    </row>
    <row r="15509" spans="5:35" x14ac:dyDescent="0.25">
      <c r="E15509" s="16"/>
      <c r="F15509" s="16"/>
      <c r="H15509" s="16"/>
      <c r="AG15509" s="80"/>
      <c r="AH15509" s="80"/>
      <c r="AI15509" s="80"/>
    </row>
    <row r="15510" spans="5:35" x14ac:dyDescent="0.25">
      <c r="E15510" s="16"/>
      <c r="F15510" s="16"/>
      <c r="H15510" s="16"/>
      <c r="AG15510" s="80"/>
      <c r="AH15510" s="80"/>
      <c r="AI15510" s="80"/>
    </row>
    <row r="15511" spans="5:35" x14ac:dyDescent="0.25">
      <c r="E15511" s="16"/>
      <c r="F15511" s="16"/>
      <c r="H15511" s="16"/>
      <c r="AG15511" s="80"/>
      <c r="AH15511" s="80"/>
      <c r="AI15511" s="80"/>
    </row>
    <row r="15512" spans="5:35" x14ac:dyDescent="0.25">
      <c r="E15512" s="16"/>
      <c r="F15512" s="16"/>
      <c r="H15512" s="16"/>
      <c r="AG15512" s="80"/>
      <c r="AH15512" s="80"/>
      <c r="AI15512" s="80"/>
    </row>
    <row r="15513" spans="5:35" x14ac:dyDescent="0.25">
      <c r="E15513" s="16"/>
      <c r="F15513" s="16"/>
      <c r="H15513" s="16"/>
      <c r="AG15513" s="80"/>
      <c r="AH15513" s="80"/>
      <c r="AI15513" s="80"/>
    </row>
    <row r="15514" spans="5:35" x14ac:dyDescent="0.25">
      <c r="E15514" s="16"/>
      <c r="F15514" s="16"/>
      <c r="H15514" s="16"/>
      <c r="AG15514" s="80"/>
      <c r="AH15514" s="80"/>
      <c r="AI15514" s="80"/>
    </row>
    <row r="15515" spans="5:35" x14ac:dyDescent="0.25">
      <c r="E15515" s="16"/>
      <c r="F15515" s="16"/>
      <c r="H15515" s="16"/>
      <c r="AG15515" s="80"/>
      <c r="AH15515" s="80"/>
      <c r="AI15515" s="80"/>
    </row>
    <row r="15516" spans="5:35" x14ac:dyDescent="0.25">
      <c r="E15516" s="16"/>
      <c r="F15516" s="16"/>
      <c r="H15516" s="16"/>
      <c r="AG15516" s="80"/>
      <c r="AH15516" s="80"/>
      <c r="AI15516" s="80"/>
    </row>
    <row r="15517" spans="5:35" x14ac:dyDescent="0.25">
      <c r="E15517" s="16"/>
      <c r="F15517" s="16"/>
      <c r="H15517" s="16"/>
      <c r="AG15517" s="80"/>
      <c r="AH15517" s="80"/>
      <c r="AI15517" s="80"/>
    </row>
    <row r="15518" spans="5:35" x14ac:dyDescent="0.25">
      <c r="E15518" s="16"/>
      <c r="F15518" s="16"/>
      <c r="H15518" s="16"/>
      <c r="AG15518" s="80"/>
      <c r="AH15518" s="80"/>
      <c r="AI15518" s="80"/>
    </row>
    <row r="15519" spans="5:35" x14ac:dyDescent="0.25">
      <c r="E15519" s="16"/>
      <c r="F15519" s="16"/>
      <c r="H15519" s="16"/>
      <c r="AG15519" s="80"/>
      <c r="AH15519" s="80"/>
      <c r="AI15519" s="80"/>
    </row>
    <row r="15520" spans="5:35" x14ac:dyDescent="0.25">
      <c r="E15520" s="16"/>
      <c r="F15520" s="16"/>
      <c r="H15520" s="16"/>
      <c r="AG15520" s="80"/>
      <c r="AH15520" s="80"/>
      <c r="AI15520" s="80"/>
    </row>
    <row r="15521" spans="5:35" x14ac:dyDescent="0.25">
      <c r="E15521" s="16"/>
      <c r="F15521" s="16"/>
      <c r="H15521" s="16"/>
      <c r="AG15521" s="80"/>
      <c r="AH15521" s="80"/>
      <c r="AI15521" s="80"/>
    </row>
    <row r="15522" spans="5:35" x14ac:dyDescent="0.25">
      <c r="E15522" s="16"/>
      <c r="F15522" s="16"/>
      <c r="H15522" s="16"/>
      <c r="AG15522" s="80"/>
      <c r="AH15522" s="80"/>
      <c r="AI15522" s="80"/>
    </row>
    <row r="15523" spans="5:35" x14ac:dyDescent="0.25">
      <c r="E15523" s="16"/>
      <c r="F15523" s="16"/>
      <c r="H15523" s="16"/>
      <c r="AG15523" s="80"/>
      <c r="AH15523" s="80"/>
      <c r="AI15523" s="80"/>
    </row>
    <row r="15524" spans="5:35" x14ac:dyDescent="0.25">
      <c r="E15524" s="16"/>
      <c r="F15524" s="16"/>
      <c r="H15524" s="16"/>
      <c r="AG15524" s="80"/>
      <c r="AH15524" s="80"/>
      <c r="AI15524" s="80"/>
    </row>
    <row r="15525" spans="5:35" x14ac:dyDescent="0.25">
      <c r="E15525" s="16"/>
      <c r="F15525" s="16"/>
      <c r="H15525" s="16"/>
      <c r="AG15525" s="80"/>
      <c r="AH15525" s="80"/>
      <c r="AI15525" s="80"/>
    </row>
    <row r="15526" spans="5:35" x14ac:dyDescent="0.25">
      <c r="E15526" s="16"/>
      <c r="F15526" s="16"/>
      <c r="H15526" s="16"/>
      <c r="AG15526" s="80"/>
      <c r="AH15526" s="80"/>
      <c r="AI15526" s="80"/>
    </row>
    <row r="15527" spans="5:35" x14ac:dyDescent="0.25">
      <c r="E15527" s="16"/>
      <c r="F15527" s="16"/>
      <c r="H15527" s="16"/>
      <c r="AG15527" s="80"/>
      <c r="AH15527" s="80"/>
      <c r="AI15527" s="80"/>
    </row>
    <row r="15528" spans="5:35" x14ac:dyDescent="0.25">
      <c r="E15528" s="16"/>
      <c r="F15528" s="16"/>
      <c r="H15528" s="16"/>
      <c r="AG15528" s="80"/>
      <c r="AH15528" s="80"/>
      <c r="AI15528" s="80"/>
    </row>
    <row r="15529" spans="5:35" x14ac:dyDescent="0.25">
      <c r="E15529" s="16"/>
      <c r="F15529" s="16"/>
      <c r="H15529" s="16"/>
      <c r="AG15529" s="80"/>
      <c r="AH15529" s="80"/>
      <c r="AI15529" s="80"/>
    </row>
    <row r="15530" spans="5:35" x14ac:dyDescent="0.25">
      <c r="E15530" s="16"/>
      <c r="F15530" s="16"/>
      <c r="H15530" s="16"/>
      <c r="AG15530" s="80"/>
      <c r="AH15530" s="80"/>
      <c r="AI15530" s="80"/>
    </row>
    <row r="15531" spans="5:35" x14ac:dyDescent="0.25">
      <c r="E15531" s="16"/>
      <c r="F15531" s="16"/>
      <c r="H15531" s="16"/>
      <c r="AG15531" s="80"/>
      <c r="AH15531" s="80"/>
      <c r="AI15531" s="80"/>
    </row>
    <row r="15532" spans="5:35" x14ac:dyDescent="0.25">
      <c r="E15532" s="16"/>
      <c r="F15532" s="16"/>
      <c r="H15532" s="16"/>
      <c r="AG15532" s="80"/>
      <c r="AH15532" s="80"/>
      <c r="AI15532" s="80"/>
    </row>
    <row r="15533" spans="5:35" x14ac:dyDescent="0.25">
      <c r="E15533" s="16"/>
      <c r="F15533" s="16"/>
      <c r="H15533" s="16"/>
      <c r="AG15533" s="80"/>
      <c r="AH15533" s="80"/>
      <c r="AI15533" s="80"/>
    </row>
    <row r="15534" spans="5:35" x14ac:dyDescent="0.25">
      <c r="E15534" s="16"/>
      <c r="F15534" s="16"/>
      <c r="H15534" s="16"/>
      <c r="AG15534" s="80"/>
      <c r="AH15534" s="80"/>
      <c r="AI15534" s="80"/>
    </row>
    <row r="15535" spans="5:35" x14ac:dyDescent="0.25">
      <c r="E15535" s="16"/>
      <c r="F15535" s="16"/>
      <c r="H15535" s="16"/>
      <c r="AG15535" s="80"/>
      <c r="AH15535" s="80"/>
      <c r="AI15535" s="80"/>
    </row>
    <row r="15536" spans="5:35" x14ac:dyDescent="0.25">
      <c r="E15536" s="16"/>
      <c r="F15536" s="16"/>
      <c r="H15536" s="16"/>
      <c r="AG15536" s="80"/>
      <c r="AH15536" s="80"/>
      <c r="AI15536" s="80"/>
    </row>
    <row r="15537" spans="5:35" x14ac:dyDescent="0.25">
      <c r="E15537" s="16"/>
      <c r="F15537" s="16"/>
      <c r="H15537" s="16"/>
      <c r="AG15537" s="80"/>
      <c r="AH15537" s="80"/>
      <c r="AI15537" s="80"/>
    </row>
    <row r="15538" spans="5:35" x14ac:dyDescent="0.25">
      <c r="E15538" s="16"/>
      <c r="F15538" s="16"/>
      <c r="H15538" s="16"/>
      <c r="AG15538" s="80"/>
      <c r="AH15538" s="80"/>
      <c r="AI15538" s="80"/>
    </row>
    <row r="15539" spans="5:35" x14ac:dyDescent="0.25">
      <c r="E15539" s="16"/>
      <c r="F15539" s="16"/>
      <c r="H15539" s="16"/>
      <c r="AG15539" s="80"/>
      <c r="AH15539" s="80"/>
      <c r="AI15539" s="80"/>
    </row>
    <row r="15540" spans="5:35" x14ac:dyDescent="0.25">
      <c r="E15540" s="16"/>
      <c r="F15540" s="16"/>
      <c r="H15540" s="16"/>
      <c r="AG15540" s="80"/>
      <c r="AH15540" s="80"/>
      <c r="AI15540" s="80"/>
    </row>
    <row r="15541" spans="5:35" x14ac:dyDescent="0.25">
      <c r="E15541" s="16"/>
      <c r="F15541" s="16"/>
      <c r="H15541" s="16"/>
      <c r="AG15541" s="80"/>
      <c r="AH15541" s="80"/>
      <c r="AI15541" s="80"/>
    </row>
    <row r="15542" spans="5:35" x14ac:dyDescent="0.25">
      <c r="E15542" s="16"/>
      <c r="F15542" s="16"/>
      <c r="H15542" s="16"/>
      <c r="AG15542" s="80"/>
      <c r="AH15542" s="80"/>
      <c r="AI15542" s="80"/>
    </row>
    <row r="15543" spans="5:35" x14ac:dyDescent="0.25">
      <c r="E15543" s="16"/>
      <c r="F15543" s="16"/>
      <c r="H15543" s="16"/>
      <c r="AG15543" s="80"/>
      <c r="AH15543" s="80"/>
      <c r="AI15543" s="80"/>
    </row>
    <row r="15544" spans="5:35" x14ac:dyDescent="0.25">
      <c r="E15544" s="16"/>
      <c r="F15544" s="16"/>
      <c r="H15544" s="16"/>
      <c r="AG15544" s="80"/>
      <c r="AH15544" s="80"/>
      <c r="AI15544" s="80"/>
    </row>
    <row r="15545" spans="5:35" x14ac:dyDescent="0.25">
      <c r="E15545" s="16"/>
      <c r="F15545" s="16"/>
      <c r="H15545" s="16"/>
      <c r="AG15545" s="80"/>
      <c r="AH15545" s="80"/>
      <c r="AI15545" s="80"/>
    </row>
    <row r="15546" spans="5:35" x14ac:dyDescent="0.25">
      <c r="E15546" s="16"/>
      <c r="F15546" s="16"/>
      <c r="H15546" s="16"/>
      <c r="AG15546" s="80"/>
      <c r="AH15546" s="80"/>
      <c r="AI15546" s="80"/>
    </row>
    <row r="15547" spans="5:35" x14ac:dyDescent="0.25">
      <c r="E15547" s="16"/>
      <c r="F15547" s="16"/>
      <c r="H15547" s="16"/>
      <c r="AG15547" s="80"/>
      <c r="AH15547" s="80"/>
      <c r="AI15547" s="80"/>
    </row>
    <row r="15548" spans="5:35" x14ac:dyDescent="0.25">
      <c r="E15548" s="16"/>
      <c r="F15548" s="16"/>
      <c r="H15548" s="16"/>
      <c r="AG15548" s="80"/>
      <c r="AH15548" s="80"/>
      <c r="AI15548" s="80"/>
    </row>
    <row r="15549" spans="5:35" x14ac:dyDescent="0.25">
      <c r="E15549" s="16"/>
      <c r="F15549" s="16"/>
      <c r="H15549" s="16"/>
      <c r="AG15549" s="80"/>
      <c r="AH15549" s="80"/>
      <c r="AI15549" s="80"/>
    </row>
    <row r="15550" spans="5:35" x14ac:dyDescent="0.25">
      <c r="E15550" s="16"/>
      <c r="F15550" s="16"/>
      <c r="H15550" s="16"/>
      <c r="AG15550" s="80"/>
      <c r="AH15550" s="80"/>
      <c r="AI15550" s="80"/>
    </row>
    <row r="15551" spans="5:35" x14ac:dyDescent="0.25">
      <c r="E15551" s="16"/>
      <c r="F15551" s="16"/>
      <c r="H15551" s="16"/>
      <c r="AG15551" s="80"/>
      <c r="AH15551" s="80"/>
      <c r="AI15551" s="80"/>
    </row>
    <row r="15552" spans="5:35" x14ac:dyDescent="0.25">
      <c r="E15552" s="16"/>
      <c r="F15552" s="16"/>
      <c r="H15552" s="16"/>
      <c r="AG15552" s="80"/>
      <c r="AH15552" s="80"/>
      <c r="AI15552" s="80"/>
    </row>
    <row r="15553" spans="5:35" x14ac:dyDescent="0.25">
      <c r="E15553" s="16"/>
      <c r="F15553" s="16"/>
      <c r="H15553" s="16"/>
      <c r="AG15553" s="80"/>
      <c r="AH15553" s="80"/>
      <c r="AI15553" s="80"/>
    </row>
    <row r="15554" spans="5:35" x14ac:dyDescent="0.25">
      <c r="E15554" s="16"/>
      <c r="F15554" s="16"/>
      <c r="H15554" s="16"/>
      <c r="AG15554" s="80"/>
      <c r="AH15554" s="80"/>
      <c r="AI15554" s="80"/>
    </row>
    <row r="15555" spans="5:35" x14ac:dyDescent="0.25">
      <c r="E15555" s="16"/>
      <c r="F15555" s="16"/>
      <c r="H15555" s="16"/>
      <c r="AG15555" s="80"/>
      <c r="AH15555" s="80"/>
      <c r="AI15555" s="80"/>
    </row>
    <row r="15556" spans="5:35" x14ac:dyDescent="0.25">
      <c r="E15556" s="16"/>
      <c r="F15556" s="16"/>
      <c r="H15556" s="16"/>
      <c r="AG15556" s="80"/>
      <c r="AH15556" s="80"/>
      <c r="AI15556" s="80"/>
    </row>
    <row r="15557" spans="5:35" x14ac:dyDescent="0.25">
      <c r="E15557" s="16"/>
      <c r="F15557" s="16"/>
      <c r="H15557" s="16"/>
      <c r="AG15557" s="80"/>
      <c r="AH15557" s="80"/>
      <c r="AI15557" s="80"/>
    </row>
    <row r="15558" spans="5:35" x14ac:dyDescent="0.25">
      <c r="E15558" s="16"/>
      <c r="F15558" s="16"/>
      <c r="H15558" s="16"/>
      <c r="AG15558" s="80"/>
      <c r="AH15558" s="80"/>
      <c r="AI15558" s="80"/>
    </row>
    <row r="15559" spans="5:35" x14ac:dyDescent="0.25">
      <c r="E15559" s="16"/>
      <c r="F15559" s="16"/>
      <c r="H15559" s="16"/>
      <c r="AG15559" s="80"/>
      <c r="AH15559" s="80"/>
      <c r="AI15559" s="80"/>
    </row>
    <row r="15560" spans="5:35" x14ac:dyDescent="0.25">
      <c r="E15560" s="16"/>
      <c r="F15560" s="16"/>
      <c r="H15560" s="16"/>
      <c r="AG15560" s="80"/>
      <c r="AH15560" s="80"/>
      <c r="AI15560" s="80"/>
    </row>
    <row r="15561" spans="5:35" x14ac:dyDescent="0.25">
      <c r="E15561" s="16"/>
      <c r="F15561" s="16"/>
      <c r="H15561" s="16"/>
      <c r="AG15561" s="80"/>
      <c r="AH15561" s="80"/>
      <c r="AI15561" s="80"/>
    </row>
    <row r="15562" spans="5:35" x14ac:dyDescent="0.25">
      <c r="E15562" s="16"/>
      <c r="F15562" s="16"/>
      <c r="H15562" s="16"/>
      <c r="AG15562" s="80"/>
      <c r="AH15562" s="80"/>
      <c r="AI15562" s="80"/>
    </row>
    <row r="15563" spans="5:35" x14ac:dyDescent="0.25">
      <c r="E15563" s="16"/>
      <c r="F15563" s="16"/>
      <c r="H15563" s="16"/>
      <c r="AG15563" s="80"/>
      <c r="AH15563" s="80"/>
      <c r="AI15563" s="80"/>
    </row>
    <row r="15564" spans="5:35" x14ac:dyDescent="0.25">
      <c r="E15564" s="16"/>
      <c r="F15564" s="16"/>
      <c r="H15564" s="16"/>
      <c r="AG15564" s="80"/>
      <c r="AH15564" s="80"/>
      <c r="AI15564" s="80"/>
    </row>
    <row r="15565" spans="5:35" x14ac:dyDescent="0.25">
      <c r="E15565" s="16"/>
      <c r="F15565" s="16"/>
      <c r="H15565" s="16"/>
      <c r="AG15565" s="80"/>
      <c r="AH15565" s="80"/>
      <c r="AI15565" s="80"/>
    </row>
    <row r="15566" spans="5:35" x14ac:dyDescent="0.25">
      <c r="E15566" s="16"/>
      <c r="F15566" s="16"/>
      <c r="H15566" s="16"/>
      <c r="AG15566" s="80"/>
      <c r="AH15566" s="80"/>
      <c r="AI15566" s="80"/>
    </row>
    <row r="15567" spans="5:35" x14ac:dyDescent="0.25">
      <c r="E15567" s="16"/>
      <c r="F15567" s="16"/>
      <c r="H15567" s="16"/>
      <c r="AG15567" s="80"/>
      <c r="AH15567" s="80"/>
      <c r="AI15567" s="80"/>
    </row>
    <row r="15568" spans="5:35" x14ac:dyDescent="0.25">
      <c r="E15568" s="16"/>
      <c r="F15568" s="16"/>
      <c r="H15568" s="16"/>
      <c r="AG15568" s="80"/>
      <c r="AH15568" s="80"/>
      <c r="AI15568" s="80"/>
    </row>
    <row r="15569" spans="5:35" x14ac:dyDescent="0.25">
      <c r="E15569" s="16"/>
      <c r="F15569" s="16"/>
      <c r="H15569" s="16"/>
      <c r="AG15569" s="80"/>
      <c r="AH15569" s="80"/>
      <c r="AI15569" s="80"/>
    </row>
    <row r="15570" spans="5:35" x14ac:dyDescent="0.25">
      <c r="E15570" s="16"/>
      <c r="F15570" s="16"/>
      <c r="H15570" s="16"/>
      <c r="AG15570" s="80"/>
      <c r="AH15570" s="80"/>
      <c r="AI15570" s="80"/>
    </row>
    <row r="15571" spans="5:35" x14ac:dyDescent="0.25">
      <c r="E15571" s="16"/>
      <c r="F15571" s="16"/>
      <c r="H15571" s="16"/>
      <c r="AG15571" s="80"/>
      <c r="AH15571" s="80"/>
      <c r="AI15571" s="80"/>
    </row>
    <row r="15572" spans="5:35" x14ac:dyDescent="0.25">
      <c r="E15572" s="16"/>
      <c r="F15572" s="16"/>
      <c r="H15572" s="16"/>
      <c r="AG15572" s="80"/>
      <c r="AH15572" s="80"/>
      <c r="AI15572" s="80"/>
    </row>
    <row r="15573" spans="5:35" x14ac:dyDescent="0.25">
      <c r="E15573" s="16"/>
      <c r="F15573" s="16"/>
      <c r="H15573" s="16"/>
      <c r="AG15573" s="80"/>
      <c r="AH15573" s="80"/>
      <c r="AI15573" s="80"/>
    </row>
    <row r="15574" spans="5:35" x14ac:dyDescent="0.25">
      <c r="E15574" s="16"/>
      <c r="F15574" s="16"/>
      <c r="H15574" s="16"/>
      <c r="AG15574" s="80"/>
      <c r="AH15574" s="80"/>
      <c r="AI15574" s="80"/>
    </row>
    <row r="15575" spans="5:35" x14ac:dyDescent="0.25">
      <c r="E15575" s="16"/>
      <c r="F15575" s="16"/>
      <c r="H15575" s="16"/>
      <c r="AG15575" s="80"/>
      <c r="AH15575" s="80"/>
      <c r="AI15575" s="80"/>
    </row>
    <row r="15576" spans="5:35" x14ac:dyDescent="0.25">
      <c r="E15576" s="16"/>
      <c r="F15576" s="16"/>
      <c r="H15576" s="16"/>
      <c r="AG15576" s="80"/>
      <c r="AH15576" s="80"/>
      <c r="AI15576" s="80"/>
    </row>
    <row r="15577" spans="5:35" x14ac:dyDescent="0.25">
      <c r="E15577" s="16"/>
      <c r="F15577" s="16"/>
      <c r="H15577" s="16"/>
      <c r="AG15577" s="80"/>
      <c r="AH15577" s="80"/>
      <c r="AI15577" s="80"/>
    </row>
    <row r="15578" spans="5:35" x14ac:dyDescent="0.25">
      <c r="E15578" s="16"/>
      <c r="F15578" s="16"/>
      <c r="H15578" s="16"/>
      <c r="AG15578" s="80"/>
      <c r="AH15578" s="80"/>
      <c r="AI15578" s="80"/>
    </row>
    <row r="15579" spans="5:35" x14ac:dyDescent="0.25">
      <c r="E15579" s="16"/>
      <c r="F15579" s="16"/>
      <c r="H15579" s="16"/>
      <c r="AG15579" s="80"/>
      <c r="AH15579" s="80"/>
      <c r="AI15579" s="80"/>
    </row>
    <row r="15580" spans="5:35" x14ac:dyDescent="0.25">
      <c r="E15580" s="16"/>
      <c r="F15580" s="16"/>
      <c r="H15580" s="16"/>
      <c r="AG15580" s="80"/>
      <c r="AH15580" s="80"/>
      <c r="AI15580" s="80"/>
    </row>
    <row r="15581" spans="5:35" x14ac:dyDescent="0.25">
      <c r="E15581" s="16"/>
      <c r="F15581" s="16"/>
      <c r="H15581" s="16"/>
      <c r="AG15581" s="80"/>
      <c r="AH15581" s="80"/>
      <c r="AI15581" s="80"/>
    </row>
    <row r="15582" spans="5:35" x14ac:dyDescent="0.25">
      <c r="E15582" s="16"/>
      <c r="F15582" s="16"/>
      <c r="H15582" s="16"/>
      <c r="AG15582" s="80"/>
      <c r="AH15582" s="80"/>
      <c r="AI15582" s="80"/>
    </row>
    <row r="15583" spans="5:35" x14ac:dyDescent="0.25">
      <c r="E15583" s="16"/>
      <c r="F15583" s="16"/>
      <c r="H15583" s="16"/>
      <c r="AG15583" s="80"/>
      <c r="AH15583" s="80"/>
      <c r="AI15583" s="80"/>
    </row>
    <row r="15584" spans="5:35" x14ac:dyDescent="0.25">
      <c r="E15584" s="16"/>
      <c r="F15584" s="16"/>
      <c r="H15584" s="16"/>
      <c r="AG15584" s="80"/>
      <c r="AH15584" s="80"/>
      <c r="AI15584" s="80"/>
    </row>
    <row r="15585" spans="5:35" x14ac:dyDescent="0.25">
      <c r="E15585" s="16"/>
      <c r="F15585" s="16"/>
      <c r="H15585" s="16"/>
      <c r="AG15585" s="80"/>
      <c r="AH15585" s="80"/>
      <c r="AI15585" s="80"/>
    </row>
    <row r="15586" spans="5:35" x14ac:dyDescent="0.25">
      <c r="E15586" s="16"/>
      <c r="F15586" s="16"/>
      <c r="H15586" s="16"/>
      <c r="AG15586" s="80"/>
      <c r="AH15586" s="80"/>
      <c r="AI15586" s="80"/>
    </row>
    <row r="15587" spans="5:35" x14ac:dyDescent="0.25">
      <c r="E15587" s="16"/>
      <c r="F15587" s="16"/>
      <c r="H15587" s="16"/>
      <c r="AG15587" s="80"/>
      <c r="AH15587" s="80"/>
      <c r="AI15587" s="80"/>
    </row>
    <row r="15588" spans="5:35" x14ac:dyDescent="0.25">
      <c r="E15588" s="16"/>
      <c r="F15588" s="16"/>
      <c r="H15588" s="16"/>
      <c r="AG15588" s="80"/>
      <c r="AH15588" s="80"/>
      <c r="AI15588" s="80"/>
    </row>
    <row r="15589" spans="5:35" x14ac:dyDescent="0.25">
      <c r="E15589" s="16"/>
      <c r="F15589" s="16"/>
      <c r="H15589" s="16"/>
      <c r="AG15589" s="80"/>
      <c r="AH15589" s="80"/>
      <c r="AI15589" s="80"/>
    </row>
    <row r="15590" spans="5:35" x14ac:dyDescent="0.25">
      <c r="E15590" s="16"/>
      <c r="F15590" s="16"/>
      <c r="H15590" s="16"/>
      <c r="AG15590" s="80"/>
      <c r="AH15590" s="80"/>
      <c r="AI15590" s="80"/>
    </row>
    <row r="15591" spans="5:35" x14ac:dyDescent="0.25">
      <c r="E15591" s="16"/>
      <c r="F15591" s="16"/>
      <c r="H15591" s="16"/>
      <c r="AG15591" s="80"/>
      <c r="AH15591" s="80"/>
      <c r="AI15591" s="80"/>
    </row>
    <row r="15592" spans="5:35" x14ac:dyDescent="0.25">
      <c r="E15592" s="16"/>
      <c r="F15592" s="16"/>
      <c r="H15592" s="16"/>
      <c r="AG15592" s="80"/>
      <c r="AH15592" s="80"/>
      <c r="AI15592" s="80"/>
    </row>
    <row r="15593" spans="5:35" x14ac:dyDescent="0.25">
      <c r="E15593" s="16"/>
      <c r="F15593" s="16"/>
      <c r="H15593" s="16"/>
      <c r="AG15593" s="80"/>
      <c r="AH15593" s="80"/>
      <c r="AI15593" s="80"/>
    </row>
    <row r="15594" spans="5:35" x14ac:dyDescent="0.25">
      <c r="E15594" s="16"/>
      <c r="F15594" s="16"/>
      <c r="H15594" s="16"/>
      <c r="AG15594" s="80"/>
      <c r="AH15594" s="80"/>
      <c r="AI15594" s="80"/>
    </row>
    <row r="15595" spans="5:35" x14ac:dyDescent="0.25">
      <c r="E15595" s="16"/>
      <c r="F15595" s="16"/>
      <c r="H15595" s="16"/>
      <c r="AG15595" s="80"/>
      <c r="AH15595" s="80"/>
      <c r="AI15595" s="80"/>
    </row>
    <row r="15596" spans="5:35" x14ac:dyDescent="0.25">
      <c r="E15596" s="16"/>
      <c r="F15596" s="16"/>
      <c r="H15596" s="16"/>
      <c r="AG15596" s="80"/>
      <c r="AH15596" s="80"/>
      <c r="AI15596" s="80"/>
    </row>
    <row r="15597" spans="5:35" x14ac:dyDescent="0.25">
      <c r="E15597" s="16"/>
      <c r="F15597" s="16"/>
      <c r="H15597" s="16"/>
      <c r="AG15597" s="80"/>
      <c r="AH15597" s="80"/>
      <c r="AI15597" s="80"/>
    </row>
    <row r="15598" spans="5:35" x14ac:dyDescent="0.25">
      <c r="E15598" s="16"/>
      <c r="F15598" s="16"/>
      <c r="H15598" s="16"/>
      <c r="AG15598" s="80"/>
      <c r="AH15598" s="80"/>
      <c r="AI15598" s="80"/>
    </row>
    <row r="15599" spans="5:35" x14ac:dyDescent="0.25">
      <c r="E15599" s="16"/>
      <c r="F15599" s="16"/>
      <c r="H15599" s="16"/>
      <c r="AG15599" s="80"/>
      <c r="AH15599" s="80"/>
      <c r="AI15599" s="80"/>
    </row>
    <row r="15600" spans="5:35" x14ac:dyDescent="0.25">
      <c r="E15600" s="16"/>
      <c r="F15600" s="16"/>
      <c r="H15600" s="16"/>
      <c r="AG15600" s="80"/>
      <c r="AH15600" s="80"/>
      <c r="AI15600" s="80"/>
    </row>
    <row r="15601" spans="5:35" x14ac:dyDescent="0.25">
      <c r="E15601" s="16"/>
      <c r="F15601" s="16"/>
      <c r="H15601" s="16"/>
      <c r="AG15601" s="80"/>
      <c r="AH15601" s="80"/>
      <c r="AI15601" s="80"/>
    </row>
    <row r="15602" spans="5:35" x14ac:dyDescent="0.25">
      <c r="E15602" s="16"/>
      <c r="F15602" s="16"/>
      <c r="H15602" s="16"/>
      <c r="AG15602" s="80"/>
      <c r="AH15602" s="80"/>
      <c r="AI15602" s="80"/>
    </row>
    <row r="15603" spans="5:35" x14ac:dyDescent="0.25">
      <c r="E15603" s="16"/>
      <c r="F15603" s="16"/>
      <c r="H15603" s="16"/>
      <c r="AG15603" s="80"/>
      <c r="AH15603" s="80"/>
      <c r="AI15603" s="80"/>
    </row>
    <row r="15604" spans="5:35" x14ac:dyDescent="0.25">
      <c r="E15604" s="16"/>
      <c r="F15604" s="16"/>
      <c r="H15604" s="16"/>
      <c r="AG15604" s="80"/>
      <c r="AH15604" s="80"/>
      <c r="AI15604" s="80"/>
    </row>
    <row r="15605" spans="5:35" x14ac:dyDescent="0.25">
      <c r="E15605" s="16"/>
      <c r="F15605" s="16"/>
      <c r="H15605" s="16"/>
      <c r="AG15605" s="80"/>
      <c r="AH15605" s="80"/>
      <c r="AI15605" s="80"/>
    </row>
    <row r="15606" spans="5:35" x14ac:dyDescent="0.25">
      <c r="E15606" s="16"/>
      <c r="F15606" s="16"/>
      <c r="H15606" s="16"/>
      <c r="AG15606" s="80"/>
      <c r="AH15606" s="80"/>
      <c r="AI15606" s="80"/>
    </row>
    <row r="15607" spans="5:35" x14ac:dyDescent="0.25">
      <c r="E15607" s="16"/>
      <c r="F15607" s="16"/>
      <c r="H15607" s="16"/>
      <c r="AG15607" s="80"/>
      <c r="AH15607" s="80"/>
      <c r="AI15607" s="80"/>
    </row>
    <row r="15608" spans="5:35" x14ac:dyDescent="0.25">
      <c r="E15608" s="16"/>
      <c r="F15608" s="16"/>
      <c r="H15608" s="16"/>
      <c r="AG15608" s="80"/>
      <c r="AH15608" s="80"/>
      <c r="AI15608" s="80"/>
    </row>
    <row r="15609" spans="5:35" x14ac:dyDescent="0.25">
      <c r="E15609" s="16"/>
      <c r="F15609" s="16"/>
      <c r="H15609" s="16"/>
      <c r="AG15609" s="80"/>
      <c r="AH15609" s="80"/>
      <c r="AI15609" s="80"/>
    </row>
    <row r="15610" spans="5:35" x14ac:dyDescent="0.25">
      <c r="E15610" s="16"/>
      <c r="F15610" s="16"/>
      <c r="H15610" s="16"/>
      <c r="AG15610" s="80"/>
      <c r="AH15610" s="80"/>
      <c r="AI15610" s="80"/>
    </row>
    <row r="15611" spans="5:35" x14ac:dyDescent="0.25">
      <c r="E15611" s="16"/>
      <c r="F15611" s="16"/>
      <c r="H15611" s="16"/>
      <c r="AG15611" s="80"/>
      <c r="AH15611" s="80"/>
      <c r="AI15611" s="80"/>
    </row>
    <row r="15612" spans="5:35" x14ac:dyDescent="0.25">
      <c r="E15612" s="16"/>
      <c r="F15612" s="16"/>
      <c r="H15612" s="16"/>
      <c r="AG15612" s="80"/>
      <c r="AH15612" s="80"/>
      <c r="AI15612" s="80"/>
    </row>
    <row r="15613" spans="5:35" x14ac:dyDescent="0.25">
      <c r="E15613" s="16"/>
      <c r="F15613" s="16"/>
      <c r="H15613" s="16"/>
      <c r="AG15613" s="80"/>
      <c r="AH15613" s="80"/>
      <c r="AI15613" s="80"/>
    </row>
    <row r="15614" spans="5:35" x14ac:dyDescent="0.25">
      <c r="E15614" s="16"/>
      <c r="F15614" s="16"/>
      <c r="H15614" s="16"/>
      <c r="AG15614" s="80"/>
      <c r="AH15614" s="80"/>
      <c r="AI15614" s="80"/>
    </row>
    <row r="15615" spans="5:35" x14ac:dyDescent="0.25">
      <c r="E15615" s="16"/>
      <c r="F15615" s="16"/>
      <c r="H15615" s="16"/>
      <c r="AG15615" s="80"/>
      <c r="AH15615" s="80"/>
      <c r="AI15615" s="80"/>
    </row>
    <row r="15616" spans="5:35" x14ac:dyDescent="0.25">
      <c r="E15616" s="16"/>
      <c r="F15616" s="16"/>
      <c r="H15616" s="16"/>
      <c r="AG15616" s="80"/>
      <c r="AH15616" s="80"/>
      <c r="AI15616" s="80"/>
    </row>
    <row r="15617" spans="5:35" x14ac:dyDescent="0.25">
      <c r="E15617" s="16"/>
      <c r="F15617" s="16"/>
      <c r="H15617" s="16"/>
      <c r="AG15617" s="80"/>
      <c r="AH15617" s="80"/>
      <c r="AI15617" s="80"/>
    </row>
    <row r="15618" spans="5:35" x14ac:dyDescent="0.25">
      <c r="E15618" s="16"/>
      <c r="F15618" s="16"/>
      <c r="H15618" s="16"/>
      <c r="AG15618" s="80"/>
      <c r="AH15618" s="80"/>
      <c r="AI15618" s="80"/>
    </row>
    <row r="15619" spans="5:35" x14ac:dyDescent="0.25">
      <c r="E15619" s="16"/>
      <c r="F15619" s="16"/>
      <c r="H15619" s="16"/>
      <c r="AG15619" s="80"/>
      <c r="AH15619" s="80"/>
      <c r="AI15619" s="80"/>
    </row>
    <row r="15620" spans="5:35" x14ac:dyDescent="0.25">
      <c r="E15620" s="16"/>
      <c r="F15620" s="16"/>
      <c r="H15620" s="16"/>
      <c r="AG15620" s="80"/>
      <c r="AH15620" s="80"/>
      <c r="AI15620" s="80"/>
    </row>
    <row r="15621" spans="5:35" x14ac:dyDescent="0.25">
      <c r="E15621" s="16"/>
      <c r="F15621" s="16"/>
      <c r="H15621" s="16"/>
      <c r="AG15621" s="80"/>
      <c r="AH15621" s="80"/>
      <c r="AI15621" s="80"/>
    </row>
    <row r="15622" spans="5:35" x14ac:dyDescent="0.25">
      <c r="E15622" s="16"/>
      <c r="F15622" s="16"/>
      <c r="H15622" s="16"/>
      <c r="AG15622" s="80"/>
      <c r="AH15622" s="80"/>
      <c r="AI15622" s="80"/>
    </row>
    <row r="15623" spans="5:35" x14ac:dyDescent="0.25">
      <c r="E15623" s="16"/>
      <c r="F15623" s="16"/>
      <c r="H15623" s="16"/>
      <c r="AG15623" s="80"/>
      <c r="AH15623" s="80"/>
      <c r="AI15623" s="80"/>
    </row>
    <row r="15624" spans="5:35" x14ac:dyDescent="0.25">
      <c r="E15624" s="16"/>
      <c r="F15624" s="16"/>
      <c r="H15624" s="16"/>
      <c r="AG15624" s="80"/>
      <c r="AH15624" s="80"/>
      <c r="AI15624" s="80"/>
    </row>
    <row r="15625" spans="5:35" x14ac:dyDescent="0.25">
      <c r="E15625" s="16"/>
      <c r="F15625" s="16"/>
      <c r="H15625" s="16"/>
      <c r="AG15625" s="80"/>
      <c r="AH15625" s="80"/>
      <c r="AI15625" s="80"/>
    </row>
    <row r="15626" spans="5:35" x14ac:dyDescent="0.25">
      <c r="E15626" s="16"/>
      <c r="F15626" s="16"/>
      <c r="H15626" s="16"/>
      <c r="AG15626" s="80"/>
      <c r="AH15626" s="80"/>
      <c r="AI15626" s="80"/>
    </row>
    <row r="15627" spans="5:35" x14ac:dyDescent="0.25">
      <c r="E15627" s="16"/>
      <c r="F15627" s="16"/>
      <c r="H15627" s="16"/>
      <c r="AG15627" s="80"/>
      <c r="AH15627" s="80"/>
      <c r="AI15627" s="80"/>
    </row>
    <row r="15628" spans="5:35" x14ac:dyDescent="0.25">
      <c r="E15628" s="16"/>
      <c r="F15628" s="16"/>
      <c r="H15628" s="16"/>
      <c r="AG15628" s="80"/>
      <c r="AH15628" s="80"/>
      <c r="AI15628" s="80"/>
    </row>
    <row r="15629" spans="5:35" x14ac:dyDescent="0.25">
      <c r="E15629" s="16"/>
      <c r="F15629" s="16"/>
      <c r="H15629" s="16"/>
      <c r="AG15629" s="80"/>
      <c r="AH15629" s="80"/>
      <c r="AI15629" s="80"/>
    </row>
    <row r="15630" spans="5:35" x14ac:dyDescent="0.25">
      <c r="E15630" s="16"/>
      <c r="F15630" s="16"/>
      <c r="H15630" s="16"/>
      <c r="AG15630" s="80"/>
      <c r="AH15630" s="80"/>
      <c r="AI15630" s="80"/>
    </row>
    <row r="15631" spans="5:35" x14ac:dyDescent="0.25">
      <c r="E15631" s="16"/>
      <c r="F15631" s="16"/>
      <c r="H15631" s="16"/>
      <c r="AG15631" s="80"/>
      <c r="AH15631" s="80"/>
      <c r="AI15631" s="80"/>
    </row>
    <row r="15632" spans="5:35" x14ac:dyDescent="0.25">
      <c r="E15632" s="16"/>
      <c r="F15632" s="16"/>
      <c r="H15632" s="16"/>
      <c r="AG15632" s="80"/>
      <c r="AH15632" s="80"/>
      <c r="AI15632" s="80"/>
    </row>
    <row r="15633" spans="5:35" x14ac:dyDescent="0.25">
      <c r="E15633" s="16"/>
      <c r="F15633" s="16"/>
      <c r="H15633" s="16"/>
      <c r="AG15633" s="80"/>
      <c r="AH15633" s="80"/>
      <c r="AI15633" s="80"/>
    </row>
    <row r="15634" spans="5:35" x14ac:dyDescent="0.25">
      <c r="E15634" s="16"/>
      <c r="F15634" s="16"/>
      <c r="H15634" s="16"/>
      <c r="AG15634" s="80"/>
      <c r="AH15634" s="80"/>
      <c r="AI15634" s="80"/>
    </row>
    <row r="15635" spans="5:35" x14ac:dyDescent="0.25">
      <c r="E15635" s="16"/>
      <c r="F15635" s="16"/>
      <c r="H15635" s="16"/>
      <c r="AG15635" s="80"/>
      <c r="AH15635" s="80"/>
      <c r="AI15635" s="80"/>
    </row>
    <row r="15636" spans="5:35" x14ac:dyDescent="0.25">
      <c r="E15636" s="16"/>
      <c r="F15636" s="16"/>
      <c r="H15636" s="16"/>
      <c r="AG15636" s="80"/>
      <c r="AH15636" s="80"/>
      <c r="AI15636" s="80"/>
    </row>
    <row r="15637" spans="5:35" x14ac:dyDescent="0.25">
      <c r="E15637" s="16"/>
      <c r="F15637" s="16"/>
      <c r="H15637" s="16"/>
      <c r="AG15637" s="80"/>
      <c r="AH15637" s="80"/>
      <c r="AI15637" s="80"/>
    </row>
    <row r="15638" spans="5:35" x14ac:dyDescent="0.25">
      <c r="E15638" s="16"/>
      <c r="F15638" s="16"/>
      <c r="H15638" s="16"/>
      <c r="AG15638" s="80"/>
      <c r="AH15638" s="80"/>
      <c r="AI15638" s="80"/>
    </row>
    <row r="15639" spans="5:35" x14ac:dyDescent="0.25">
      <c r="E15639" s="16"/>
      <c r="F15639" s="16"/>
      <c r="H15639" s="16"/>
      <c r="AG15639" s="80"/>
      <c r="AH15639" s="80"/>
      <c r="AI15639" s="80"/>
    </row>
    <row r="15640" spans="5:35" x14ac:dyDescent="0.25">
      <c r="E15640" s="16"/>
      <c r="F15640" s="16"/>
      <c r="H15640" s="16"/>
      <c r="AG15640" s="80"/>
      <c r="AH15640" s="80"/>
      <c r="AI15640" s="80"/>
    </row>
    <row r="15641" spans="5:35" x14ac:dyDescent="0.25">
      <c r="E15641" s="16"/>
      <c r="F15641" s="16"/>
      <c r="H15641" s="16"/>
      <c r="AG15641" s="80"/>
      <c r="AH15641" s="80"/>
      <c r="AI15641" s="80"/>
    </row>
    <row r="15642" spans="5:35" x14ac:dyDescent="0.25">
      <c r="E15642" s="16"/>
      <c r="F15642" s="16"/>
      <c r="H15642" s="16"/>
      <c r="AG15642" s="80"/>
      <c r="AH15642" s="80"/>
      <c r="AI15642" s="80"/>
    </row>
    <row r="15643" spans="5:35" x14ac:dyDescent="0.25">
      <c r="E15643" s="16"/>
      <c r="F15643" s="16"/>
      <c r="H15643" s="16"/>
      <c r="AG15643" s="80"/>
      <c r="AH15643" s="80"/>
      <c r="AI15643" s="80"/>
    </row>
    <row r="15644" spans="5:35" x14ac:dyDescent="0.25">
      <c r="E15644" s="16"/>
      <c r="F15644" s="16"/>
      <c r="H15644" s="16"/>
      <c r="AG15644" s="80"/>
      <c r="AH15644" s="80"/>
      <c r="AI15644" s="80"/>
    </row>
    <row r="15645" spans="5:35" x14ac:dyDescent="0.25">
      <c r="E15645" s="16"/>
      <c r="F15645" s="16"/>
      <c r="H15645" s="16"/>
      <c r="AG15645" s="80"/>
      <c r="AH15645" s="80"/>
      <c r="AI15645" s="80"/>
    </row>
    <row r="15646" spans="5:35" x14ac:dyDescent="0.25">
      <c r="E15646" s="16"/>
      <c r="F15646" s="16"/>
      <c r="H15646" s="16"/>
      <c r="AG15646" s="80"/>
      <c r="AH15646" s="80"/>
      <c r="AI15646" s="80"/>
    </row>
    <row r="15647" spans="5:35" x14ac:dyDescent="0.25">
      <c r="E15647" s="16"/>
      <c r="F15647" s="16"/>
      <c r="H15647" s="16"/>
      <c r="AG15647" s="80"/>
      <c r="AH15647" s="80"/>
      <c r="AI15647" s="80"/>
    </row>
    <row r="15648" spans="5:35" x14ac:dyDescent="0.25">
      <c r="E15648" s="16"/>
      <c r="F15648" s="16"/>
      <c r="H15648" s="16"/>
      <c r="AG15648" s="80"/>
      <c r="AH15648" s="80"/>
      <c r="AI15648" s="80"/>
    </row>
    <row r="15649" spans="5:35" x14ac:dyDescent="0.25">
      <c r="E15649" s="16"/>
      <c r="F15649" s="16"/>
      <c r="H15649" s="16"/>
      <c r="AG15649" s="80"/>
      <c r="AH15649" s="80"/>
      <c r="AI15649" s="80"/>
    </row>
    <row r="15650" spans="5:35" x14ac:dyDescent="0.25">
      <c r="E15650" s="16"/>
      <c r="F15650" s="16"/>
      <c r="H15650" s="16"/>
      <c r="AG15650" s="80"/>
      <c r="AH15650" s="80"/>
      <c r="AI15650" s="80"/>
    </row>
    <row r="15651" spans="5:35" x14ac:dyDescent="0.25">
      <c r="E15651" s="16"/>
      <c r="F15651" s="16"/>
      <c r="H15651" s="16"/>
      <c r="AG15651" s="80"/>
      <c r="AH15651" s="80"/>
      <c r="AI15651" s="80"/>
    </row>
    <row r="15652" spans="5:35" x14ac:dyDescent="0.25">
      <c r="E15652" s="16"/>
      <c r="F15652" s="16"/>
      <c r="H15652" s="16"/>
      <c r="AG15652" s="80"/>
      <c r="AH15652" s="80"/>
      <c r="AI15652" s="80"/>
    </row>
    <row r="15653" spans="5:35" x14ac:dyDescent="0.25">
      <c r="E15653" s="16"/>
      <c r="F15653" s="16"/>
      <c r="H15653" s="16"/>
      <c r="AG15653" s="80"/>
      <c r="AH15653" s="80"/>
      <c r="AI15653" s="80"/>
    </row>
    <row r="15654" spans="5:35" x14ac:dyDescent="0.25">
      <c r="E15654" s="16"/>
      <c r="F15654" s="16"/>
      <c r="H15654" s="16"/>
      <c r="AG15654" s="80"/>
      <c r="AH15654" s="80"/>
      <c r="AI15654" s="80"/>
    </row>
    <row r="15655" spans="5:35" x14ac:dyDescent="0.25">
      <c r="E15655" s="16"/>
      <c r="F15655" s="16"/>
      <c r="H15655" s="16"/>
      <c r="AG15655" s="80"/>
      <c r="AH15655" s="80"/>
      <c r="AI15655" s="80"/>
    </row>
    <row r="15656" spans="5:35" x14ac:dyDescent="0.25">
      <c r="E15656" s="16"/>
      <c r="F15656" s="16"/>
      <c r="H15656" s="16"/>
      <c r="AG15656" s="80"/>
      <c r="AH15656" s="80"/>
      <c r="AI15656" s="80"/>
    </row>
    <row r="15657" spans="5:35" x14ac:dyDescent="0.25">
      <c r="E15657" s="16"/>
      <c r="F15657" s="16"/>
      <c r="H15657" s="16"/>
      <c r="AG15657" s="80"/>
      <c r="AH15657" s="80"/>
      <c r="AI15657" s="80"/>
    </row>
    <row r="15658" spans="5:35" x14ac:dyDescent="0.25">
      <c r="E15658" s="16"/>
      <c r="F15658" s="16"/>
      <c r="H15658" s="16"/>
      <c r="AG15658" s="80"/>
      <c r="AH15658" s="80"/>
      <c r="AI15658" s="80"/>
    </row>
    <row r="15659" spans="5:35" x14ac:dyDescent="0.25">
      <c r="E15659" s="16"/>
      <c r="F15659" s="16"/>
      <c r="H15659" s="16"/>
      <c r="AG15659" s="80"/>
      <c r="AH15659" s="80"/>
      <c r="AI15659" s="80"/>
    </row>
    <row r="15660" spans="5:35" x14ac:dyDescent="0.25">
      <c r="E15660" s="16"/>
      <c r="F15660" s="16"/>
      <c r="H15660" s="16"/>
      <c r="AG15660" s="80"/>
      <c r="AH15660" s="80"/>
      <c r="AI15660" s="80"/>
    </row>
    <row r="15661" spans="5:35" x14ac:dyDescent="0.25">
      <c r="E15661" s="16"/>
      <c r="F15661" s="16"/>
      <c r="H15661" s="16"/>
      <c r="AG15661" s="80"/>
      <c r="AH15661" s="80"/>
      <c r="AI15661" s="80"/>
    </row>
    <row r="15662" spans="5:35" x14ac:dyDescent="0.25">
      <c r="E15662" s="16"/>
      <c r="F15662" s="16"/>
      <c r="H15662" s="16"/>
      <c r="AG15662" s="80"/>
      <c r="AH15662" s="80"/>
      <c r="AI15662" s="80"/>
    </row>
    <row r="15663" spans="5:35" x14ac:dyDescent="0.25">
      <c r="E15663" s="16"/>
      <c r="F15663" s="16"/>
      <c r="H15663" s="16"/>
      <c r="AG15663" s="80"/>
      <c r="AH15663" s="80"/>
      <c r="AI15663" s="80"/>
    </row>
    <row r="15664" spans="5:35" x14ac:dyDescent="0.25">
      <c r="E15664" s="16"/>
      <c r="F15664" s="16"/>
      <c r="H15664" s="16"/>
      <c r="AG15664" s="80"/>
      <c r="AH15664" s="80"/>
      <c r="AI15664" s="80"/>
    </row>
    <row r="15665" spans="5:35" x14ac:dyDescent="0.25">
      <c r="E15665" s="16"/>
      <c r="F15665" s="16"/>
      <c r="H15665" s="16"/>
      <c r="AG15665" s="80"/>
      <c r="AH15665" s="80"/>
      <c r="AI15665" s="80"/>
    </row>
    <row r="15666" spans="5:35" x14ac:dyDescent="0.25">
      <c r="E15666" s="16"/>
      <c r="F15666" s="16"/>
      <c r="H15666" s="16"/>
      <c r="AG15666" s="80"/>
      <c r="AH15666" s="80"/>
      <c r="AI15666" s="80"/>
    </row>
    <row r="15667" spans="5:35" x14ac:dyDescent="0.25">
      <c r="E15667" s="16"/>
      <c r="F15667" s="16"/>
      <c r="H15667" s="16"/>
      <c r="AG15667" s="80"/>
      <c r="AH15667" s="80"/>
      <c r="AI15667" s="80"/>
    </row>
    <row r="15668" spans="5:35" x14ac:dyDescent="0.25">
      <c r="E15668" s="16"/>
      <c r="F15668" s="16"/>
      <c r="H15668" s="16"/>
      <c r="AG15668" s="80"/>
      <c r="AH15668" s="80"/>
      <c r="AI15668" s="80"/>
    </row>
    <row r="15669" spans="5:35" x14ac:dyDescent="0.25">
      <c r="E15669" s="16"/>
      <c r="F15669" s="16"/>
      <c r="H15669" s="16"/>
      <c r="AG15669" s="80"/>
      <c r="AH15669" s="80"/>
      <c r="AI15669" s="80"/>
    </row>
    <row r="15670" spans="5:35" x14ac:dyDescent="0.25">
      <c r="E15670" s="16"/>
      <c r="F15670" s="16"/>
      <c r="H15670" s="16"/>
      <c r="AG15670" s="80"/>
      <c r="AH15670" s="80"/>
      <c r="AI15670" s="80"/>
    </row>
    <row r="15671" spans="5:35" x14ac:dyDescent="0.25">
      <c r="E15671" s="16"/>
      <c r="F15671" s="16"/>
      <c r="H15671" s="16"/>
      <c r="AG15671" s="80"/>
      <c r="AH15671" s="80"/>
      <c r="AI15671" s="80"/>
    </row>
    <row r="15672" spans="5:35" x14ac:dyDescent="0.25">
      <c r="E15672" s="16"/>
      <c r="F15672" s="16"/>
      <c r="H15672" s="16"/>
      <c r="AG15672" s="80"/>
      <c r="AH15672" s="80"/>
      <c r="AI15672" s="80"/>
    </row>
    <row r="15673" spans="5:35" x14ac:dyDescent="0.25">
      <c r="E15673" s="16"/>
      <c r="F15673" s="16"/>
      <c r="H15673" s="16"/>
      <c r="AG15673" s="80"/>
      <c r="AH15673" s="80"/>
      <c r="AI15673" s="80"/>
    </row>
    <row r="15674" spans="5:35" x14ac:dyDescent="0.25">
      <c r="E15674" s="16"/>
      <c r="F15674" s="16"/>
      <c r="H15674" s="16"/>
      <c r="AG15674" s="80"/>
      <c r="AH15674" s="80"/>
      <c r="AI15674" s="80"/>
    </row>
    <row r="15675" spans="5:35" x14ac:dyDescent="0.25">
      <c r="E15675" s="16"/>
      <c r="F15675" s="16"/>
      <c r="H15675" s="16"/>
      <c r="AG15675" s="80"/>
      <c r="AH15675" s="80"/>
      <c r="AI15675" s="80"/>
    </row>
    <row r="15676" spans="5:35" x14ac:dyDescent="0.25">
      <c r="E15676" s="16"/>
      <c r="F15676" s="16"/>
      <c r="H15676" s="16"/>
      <c r="AG15676" s="80"/>
      <c r="AH15676" s="80"/>
      <c r="AI15676" s="80"/>
    </row>
    <row r="15677" spans="5:35" x14ac:dyDescent="0.25">
      <c r="E15677" s="16"/>
      <c r="F15677" s="16"/>
      <c r="H15677" s="16"/>
      <c r="AG15677" s="80"/>
      <c r="AH15677" s="80"/>
      <c r="AI15677" s="80"/>
    </row>
    <row r="15678" spans="5:35" x14ac:dyDescent="0.25">
      <c r="E15678" s="16"/>
      <c r="F15678" s="16"/>
      <c r="H15678" s="16"/>
      <c r="AG15678" s="80"/>
      <c r="AH15678" s="80"/>
      <c r="AI15678" s="80"/>
    </row>
    <row r="15679" spans="5:35" x14ac:dyDescent="0.25">
      <c r="E15679" s="16"/>
      <c r="F15679" s="16"/>
      <c r="H15679" s="16"/>
      <c r="AG15679" s="80"/>
      <c r="AH15679" s="80"/>
      <c r="AI15679" s="80"/>
    </row>
    <row r="15680" spans="5:35" x14ac:dyDescent="0.25">
      <c r="E15680" s="16"/>
      <c r="F15680" s="16"/>
      <c r="H15680" s="16"/>
      <c r="AG15680" s="80"/>
      <c r="AH15680" s="80"/>
      <c r="AI15680" s="80"/>
    </row>
    <row r="15681" spans="5:35" x14ac:dyDescent="0.25">
      <c r="E15681" s="16"/>
      <c r="F15681" s="16"/>
      <c r="H15681" s="16"/>
      <c r="AG15681" s="80"/>
      <c r="AH15681" s="80"/>
      <c r="AI15681" s="80"/>
    </row>
    <row r="15682" spans="5:35" x14ac:dyDescent="0.25">
      <c r="E15682" s="16"/>
      <c r="F15682" s="16"/>
      <c r="H15682" s="16"/>
      <c r="AG15682" s="80"/>
      <c r="AH15682" s="80"/>
      <c r="AI15682" s="80"/>
    </row>
    <row r="15683" spans="5:35" x14ac:dyDescent="0.25">
      <c r="E15683" s="16"/>
      <c r="F15683" s="16"/>
      <c r="H15683" s="16"/>
      <c r="AG15683" s="80"/>
      <c r="AH15683" s="80"/>
      <c r="AI15683" s="80"/>
    </row>
    <row r="15684" spans="5:35" x14ac:dyDescent="0.25">
      <c r="E15684" s="16"/>
      <c r="F15684" s="16"/>
      <c r="H15684" s="16"/>
      <c r="AG15684" s="80"/>
      <c r="AH15684" s="80"/>
      <c r="AI15684" s="80"/>
    </row>
    <row r="15685" spans="5:35" x14ac:dyDescent="0.25">
      <c r="E15685" s="16"/>
      <c r="F15685" s="16"/>
      <c r="H15685" s="16"/>
      <c r="AG15685" s="80"/>
      <c r="AH15685" s="80"/>
      <c r="AI15685" s="80"/>
    </row>
    <row r="15686" spans="5:35" x14ac:dyDescent="0.25">
      <c r="E15686" s="16"/>
      <c r="F15686" s="16"/>
      <c r="H15686" s="16"/>
      <c r="AG15686" s="80"/>
      <c r="AH15686" s="80"/>
      <c r="AI15686" s="80"/>
    </row>
    <row r="15687" spans="5:35" x14ac:dyDescent="0.25">
      <c r="E15687" s="16"/>
      <c r="F15687" s="16"/>
      <c r="H15687" s="16"/>
      <c r="AG15687" s="80"/>
      <c r="AH15687" s="80"/>
      <c r="AI15687" s="80"/>
    </row>
    <row r="15688" spans="5:35" x14ac:dyDescent="0.25">
      <c r="E15688" s="16"/>
      <c r="F15688" s="16"/>
      <c r="H15688" s="16"/>
      <c r="AG15688" s="80"/>
      <c r="AH15688" s="80"/>
      <c r="AI15688" s="80"/>
    </row>
    <row r="15689" spans="5:35" x14ac:dyDescent="0.25">
      <c r="E15689" s="16"/>
      <c r="F15689" s="16"/>
      <c r="H15689" s="16"/>
      <c r="AG15689" s="80"/>
      <c r="AH15689" s="80"/>
      <c r="AI15689" s="80"/>
    </row>
    <row r="15690" spans="5:35" x14ac:dyDescent="0.25">
      <c r="E15690" s="16"/>
      <c r="F15690" s="16"/>
      <c r="H15690" s="16"/>
      <c r="AG15690" s="80"/>
      <c r="AH15690" s="80"/>
      <c r="AI15690" s="80"/>
    </row>
    <row r="15691" spans="5:35" x14ac:dyDescent="0.25">
      <c r="E15691" s="16"/>
      <c r="F15691" s="16"/>
      <c r="H15691" s="16"/>
      <c r="AG15691" s="80"/>
      <c r="AH15691" s="80"/>
      <c r="AI15691" s="80"/>
    </row>
    <row r="15692" spans="5:35" x14ac:dyDescent="0.25">
      <c r="E15692" s="16"/>
      <c r="F15692" s="16"/>
      <c r="H15692" s="16"/>
      <c r="AG15692" s="80"/>
      <c r="AH15692" s="80"/>
      <c r="AI15692" s="80"/>
    </row>
    <row r="15693" spans="5:35" x14ac:dyDescent="0.25">
      <c r="E15693" s="16"/>
      <c r="F15693" s="16"/>
      <c r="H15693" s="16"/>
      <c r="AG15693" s="80"/>
      <c r="AH15693" s="80"/>
      <c r="AI15693" s="80"/>
    </row>
    <row r="15694" spans="5:35" x14ac:dyDescent="0.25">
      <c r="E15694" s="16"/>
      <c r="F15694" s="16"/>
      <c r="H15694" s="16"/>
      <c r="AG15694" s="80"/>
      <c r="AH15694" s="80"/>
      <c r="AI15694" s="80"/>
    </row>
    <row r="15695" spans="5:35" x14ac:dyDescent="0.25">
      <c r="E15695" s="16"/>
      <c r="F15695" s="16"/>
      <c r="H15695" s="16"/>
      <c r="AG15695" s="80"/>
      <c r="AH15695" s="80"/>
      <c r="AI15695" s="80"/>
    </row>
    <row r="15696" spans="5:35" x14ac:dyDescent="0.25">
      <c r="E15696" s="16"/>
      <c r="F15696" s="16"/>
      <c r="H15696" s="16"/>
      <c r="AG15696" s="80"/>
      <c r="AH15696" s="80"/>
      <c r="AI15696" s="80"/>
    </row>
    <row r="15697" spans="5:35" x14ac:dyDescent="0.25">
      <c r="E15697" s="16"/>
      <c r="F15697" s="16"/>
      <c r="H15697" s="16"/>
      <c r="AG15697" s="80"/>
      <c r="AH15697" s="80"/>
      <c r="AI15697" s="80"/>
    </row>
    <row r="15698" spans="5:35" x14ac:dyDescent="0.25">
      <c r="E15698" s="16"/>
      <c r="F15698" s="16"/>
      <c r="H15698" s="16"/>
      <c r="AG15698" s="80"/>
      <c r="AH15698" s="80"/>
      <c r="AI15698" s="80"/>
    </row>
    <row r="15699" spans="5:35" x14ac:dyDescent="0.25">
      <c r="E15699" s="16"/>
      <c r="F15699" s="16"/>
      <c r="H15699" s="16"/>
      <c r="AG15699" s="80"/>
      <c r="AH15699" s="80"/>
      <c r="AI15699" s="80"/>
    </row>
    <row r="15700" spans="5:35" x14ac:dyDescent="0.25">
      <c r="E15700" s="16"/>
      <c r="F15700" s="16"/>
      <c r="H15700" s="16"/>
      <c r="AG15700" s="80"/>
      <c r="AH15700" s="80"/>
      <c r="AI15700" s="80"/>
    </row>
    <row r="15701" spans="5:35" x14ac:dyDescent="0.25">
      <c r="E15701" s="16"/>
      <c r="F15701" s="16"/>
      <c r="H15701" s="16"/>
      <c r="AG15701" s="80"/>
      <c r="AH15701" s="80"/>
      <c r="AI15701" s="80"/>
    </row>
    <row r="15702" spans="5:35" x14ac:dyDescent="0.25">
      <c r="E15702" s="16"/>
      <c r="F15702" s="16"/>
      <c r="H15702" s="16"/>
      <c r="AG15702" s="80"/>
      <c r="AH15702" s="80"/>
      <c r="AI15702" s="80"/>
    </row>
    <row r="15703" spans="5:35" x14ac:dyDescent="0.25">
      <c r="E15703" s="16"/>
      <c r="F15703" s="16"/>
      <c r="H15703" s="16"/>
      <c r="AG15703" s="80"/>
      <c r="AH15703" s="80"/>
      <c r="AI15703" s="80"/>
    </row>
    <row r="15704" spans="5:35" x14ac:dyDescent="0.25">
      <c r="E15704" s="16"/>
      <c r="F15704" s="16"/>
      <c r="H15704" s="16"/>
      <c r="AG15704" s="80"/>
      <c r="AH15704" s="80"/>
      <c r="AI15704" s="80"/>
    </row>
    <row r="15705" spans="5:35" x14ac:dyDescent="0.25">
      <c r="E15705" s="16"/>
      <c r="F15705" s="16"/>
      <c r="H15705" s="16"/>
      <c r="AG15705" s="80"/>
      <c r="AH15705" s="80"/>
      <c r="AI15705" s="80"/>
    </row>
    <row r="15706" spans="5:35" x14ac:dyDescent="0.25">
      <c r="E15706" s="16"/>
      <c r="F15706" s="16"/>
      <c r="H15706" s="16"/>
      <c r="AG15706" s="80"/>
      <c r="AH15706" s="80"/>
      <c r="AI15706" s="80"/>
    </row>
    <row r="15707" spans="5:35" x14ac:dyDescent="0.25">
      <c r="E15707" s="16"/>
      <c r="F15707" s="16"/>
      <c r="H15707" s="16"/>
      <c r="AG15707" s="80"/>
      <c r="AH15707" s="80"/>
      <c r="AI15707" s="80"/>
    </row>
    <row r="15708" spans="5:35" x14ac:dyDescent="0.25">
      <c r="E15708" s="16"/>
      <c r="F15708" s="16"/>
      <c r="H15708" s="16"/>
      <c r="AG15708" s="80"/>
      <c r="AH15708" s="80"/>
      <c r="AI15708" s="80"/>
    </row>
    <row r="15709" spans="5:35" x14ac:dyDescent="0.25">
      <c r="E15709" s="16"/>
      <c r="F15709" s="16"/>
      <c r="H15709" s="16"/>
      <c r="AG15709" s="80"/>
      <c r="AH15709" s="80"/>
      <c r="AI15709" s="80"/>
    </row>
    <row r="15710" spans="5:35" x14ac:dyDescent="0.25">
      <c r="E15710" s="16"/>
      <c r="F15710" s="16"/>
      <c r="H15710" s="16"/>
      <c r="AG15710" s="80"/>
      <c r="AH15710" s="80"/>
      <c r="AI15710" s="80"/>
    </row>
    <row r="15711" spans="5:35" x14ac:dyDescent="0.25">
      <c r="E15711" s="16"/>
      <c r="F15711" s="16"/>
      <c r="H15711" s="16"/>
      <c r="AG15711" s="80"/>
      <c r="AH15711" s="80"/>
      <c r="AI15711" s="80"/>
    </row>
    <row r="15712" spans="5:35" x14ac:dyDescent="0.25">
      <c r="E15712" s="16"/>
      <c r="F15712" s="16"/>
      <c r="H15712" s="16"/>
      <c r="AG15712" s="80"/>
      <c r="AH15712" s="80"/>
      <c r="AI15712" s="80"/>
    </row>
    <row r="15713" spans="5:35" x14ac:dyDescent="0.25">
      <c r="E15713" s="16"/>
      <c r="F15713" s="16"/>
      <c r="H15713" s="16"/>
      <c r="AG15713" s="80"/>
      <c r="AH15713" s="80"/>
      <c r="AI15713" s="80"/>
    </row>
    <row r="15714" spans="5:35" x14ac:dyDescent="0.25">
      <c r="E15714" s="16"/>
      <c r="F15714" s="16"/>
      <c r="H15714" s="16"/>
      <c r="AG15714" s="80"/>
      <c r="AH15714" s="80"/>
      <c r="AI15714" s="80"/>
    </row>
    <row r="15715" spans="5:35" x14ac:dyDescent="0.25">
      <c r="E15715" s="16"/>
      <c r="F15715" s="16"/>
      <c r="H15715" s="16"/>
      <c r="AG15715" s="80"/>
      <c r="AH15715" s="80"/>
      <c r="AI15715" s="80"/>
    </row>
    <row r="15716" spans="5:35" x14ac:dyDescent="0.25">
      <c r="E15716" s="16"/>
      <c r="F15716" s="16"/>
      <c r="H15716" s="16"/>
      <c r="AG15716" s="80"/>
      <c r="AH15716" s="80"/>
      <c r="AI15716" s="80"/>
    </row>
    <row r="15717" spans="5:35" x14ac:dyDescent="0.25">
      <c r="E15717" s="16"/>
      <c r="F15717" s="16"/>
      <c r="H15717" s="16"/>
      <c r="AG15717" s="80"/>
      <c r="AH15717" s="80"/>
      <c r="AI15717" s="80"/>
    </row>
    <row r="15718" spans="5:35" x14ac:dyDescent="0.25">
      <c r="E15718" s="16"/>
      <c r="F15718" s="16"/>
      <c r="H15718" s="16"/>
      <c r="AG15718" s="80"/>
      <c r="AH15718" s="80"/>
      <c r="AI15718" s="80"/>
    </row>
    <row r="15719" spans="5:35" x14ac:dyDescent="0.25">
      <c r="E15719" s="16"/>
      <c r="F15719" s="16"/>
      <c r="H15719" s="16"/>
      <c r="AG15719" s="80"/>
      <c r="AH15719" s="80"/>
      <c r="AI15719" s="80"/>
    </row>
    <row r="15720" spans="5:35" x14ac:dyDescent="0.25">
      <c r="E15720" s="16"/>
      <c r="F15720" s="16"/>
      <c r="H15720" s="16"/>
      <c r="AG15720" s="80"/>
      <c r="AH15720" s="80"/>
      <c r="AI15720" s="80"/>
    </row>
    <row r="15721" spans="5:35" x14ac:dyDescent="0.25">
      <c r="E15721" s="16"/>
      <c r="F15721" s="16"/>
      <c r="H15721" s="16"/>
      <c r="AG15721" s="80"/>
      <c r="AH15721" s="80"/>
      <c r="AI15721" s="80"/>
    </row>
    <row r="15722" spans="5:35" x14ac:dyDescent="0.25">
      <c r="E15722" s="16"/>
      <c r="F15722" s="16"/>
      <c r="H15722" s="16"/>
      <c r="AG15722" s="80"/>
      <c r="AH15722" s="80"/>
      <c r="AI15722" s="80"/>
    </row>
    <row r="15723" spans="5:35" x14ac:dyDescent="0.25">
      <c r="E15723" s="16"/>
      <c r="F15723" s="16"/>
      <c r="H15723" s="16"/>
      <c r="AG15723" s="80"/>
      <c r="AH15723" s="80"/>
      <c r="AI15723" s="80"/>
    </row>
    <row r="15724" spans="5:35" x14ac:dyDescent="0.25">
      <c r="E15724" s="16"/>
      <c r="F15724" s="16"/>
      <c r="H15724" s="16"/>
      <c r="AG15724" s="80"/>
      <c r="AH15724" s="80"/>
      <c r="AI15724" s="80"/>
    </row>
    <row r="15725" spans="5:35" x14ac:dyDescent="0.25">
      <c r="E15725" s="16"/>
      <c r="F15725" s="16"/>
      <c r="H15725" s="16"/>
      <c r="AG15725" s="80"/>
      <c r="AH15725" s="80"/>
      <c r="AI15725" s="80"/>
    </row>
    <row r="15726" spans="5:35" x14ac:dyDescent="0.25">
      <c r="E15726" s="16"/>
      <c r="F15726" s="16"/>
      <c r="H15726" s="16"/>
      <c r="AG15726" s="80"/>
      <c r="AH15726" s="80"/>
      <c r="AI15726" s="80"/>
    </row>
    <row r="15727" spans="5:35" x14ac:dyDescent="0.25">
      <c r="E15727" s="16"/>
      <c r="F15727" s="16"/>
      <c r="H15727" s="16"/>
      <c r="AG15727" s="80"/>
      <c r="AH15727" s="80"/>
      <c r="AI15727" s="80"/>
    </row>
    <row r="15728" spans="5:35" x14ac:dyDescent="0.25">
      <c r="E15728" s="16"/>
      <c r="F15728" s="16"/>
      <c r="H15728" s="16"/>
      <c r="AG15728" s="80"/>
      <c r="AH15728" s="80"/>
      <c r="AI15728" s="80"/>
    </row>
    <row r="15729" spans="5:35" x14ac:dyDescent="0.25">
      <c r="E15729" s="16"/>
      <c r="F15729" s="16"/>
      <c r="H15729" s="16"/>
      <c r="AG15729" s="80"/>
      <c r="AH15729" s="80"/>
      <c r="AI15729" s="80"/>
    </row>
    <row r="15730" spans="5:35" x14ac:dyDescent="0.25">
      <c r="E15730" s="16"/>
      <c r="F15730" s="16"/>
      <c r="H15730" s="16"/>
      <c r="AG15730" s="80"/>
      <c r="AH15730" s="80"/>
      <c r="AI15730" s="80"/>
    </row>
    <row r="15731" spans="5:35" x14ac:dyDescent="0.25">
      <c r="E15731" s="16"/>
      <c r="F15731" s="16"/>
      <c r="H15731" s="16"/>
      <c r="AG15731" s="80"/>
      <c r="AH15731" s="80"/>
      <c r="AI15731" s="80"/>
    </row>
    <row r="15732" spans="5:35" x14ac:dyDescent="0.25">
      <c r="E15732" s="16"/>
      <c r="F15732" s="16"/>
      <c r="H15732" s="16"/>
      <c r="AG15732" s="80"/>
      <c r="AH15732" s="80"/>
      <c r="AI15732" s="80"/>
    </row>
    <row r="15733" spans="5:35" x14ac:dyDescent="0.25">
      <c r="E15733" s="16"/>
      <c r="F15733" s="16"/>
      <c r="H15733" s="16"/>
      <c r="AG15733" s="80"/>
      <c r="AH15733" s="80"/>
      <c r="AI15733" s="80"/>
    </row>
    <row r="15734" spans="5:35" x14ac:dyDescent="0.25">
      <c r="E15734" s="16"/>
      <c r="F15734" s="16"/>
      <c r="H15734" s="16"/>
      <c r="AG15734" s="80"/>
      <c r="AH15734" s="80"/>
      <c r="AI15734" s="80"/>
    </row>
    <row r="15735" spans="5:35" x14ac:dyDescent="0.25">
      <c r="E15735" s="16"/>
      <c r="F15735" s="16"/>
      <c r="H15735" s="16"/>
      <c r="AG15735" s="80"/>
      <c r="AH15735" s="80"/>
      <c r="AI15735" s="80"/>
    </row>
    <row r="15736" spans="5:35" x14ac:dyDescent="0.25">
      <c r="E15736" s="16"/>
      <c r="F15736" s="16"/>
      <c r="H15736" s="16"/>
      <c r="AG15736" s="80"/>
      <c r="AH15736" s="80"/>
      <c r="AI15736" s="80"/>
    </row>
    <row r="15737" spans="5:35" x14ac:dyDescent="0.25">
      <c r="E15737" s="16"/>
      <c r="F15737" s="16"/>
      <c r="H15737" s="16"/>
      <c r="AG15737" s="80"/>
      <c r="AH15737" s="80"/>
      <c r="AI15737" s="80"/>
    </row>
    <row r="15738" spans="5:35" x14ac:dyDescent="0.25">
      <c r="E15738" s="16"/>
      <c r="F15738" s="16"/>
      <c r="H15738" s="16"/>
      <c r="AG15738" s="80"/>
      <c r="AH15738" s="80"/>
      <c r="AI15738" s="80"/>
    </row>
    <row r="15739" spans="5:35" x14ac:dyDescent="0.25">
      <c r="E15739" s="16"/>
      <c r="F15739" s="16"/>
      <c r="H15739" s="16"/>
      <c r="AG15739" s="80"/>
      <c r="AH15739" s="80"/>
      <c r="AI15739" s="80"/>
    </row>
    <row r="15740" spans="5:35" x14ac:dyDescent="0.25">
      <c r="E15740" s="16"/>
      <c r="F15740" s="16"/>
      <c r="H15740" s="16"/>
      <c r="AG15740" s="80"/>
      <c r="AH15740" s="80"/>
      <c r="AI15740" s="80"/>
    </row>
    <row r="15741" spans="5:35" x14ac:dyDescent="0.25">
      <c r="E15741" s="16"/>
      <c r="F15741" s="16"/>
      <c r="H15741" s="16"/>
      <c r="AG15741" s="80"/>
      <c r="AH15741" s="80"/>
      <c r="AI15741" s="80"/>
    </row>
    <row r="15742" spans="5:35" x14ac:dyDescent="0.25">
      <c r="E15742" s="16"/>
      <c r="F15742" s="16"/>
      <c r="H15742" s="16"/>
      <c r="AG15742" s="80"/>
      <c r="AH15742" s="80"/>
      <c r="AI15742" s="80"/>
    </row>
    <row r="15743" spans="5:35" x14ac:dyDescent="0.25">
      <c r="E15743" s="16"/>
      <c r="F15743" s="16"/>
      <c r="H15743" s="16"/>
      <c r="AG15743" s="80"/>
      <c r="AH15743" s="80"/>
      <c r="AI15743" s="80"/>
    </row>
    <row r="15744" spans="5:35" x14ac:dyDescent="0.25">
      <c r="E15744" s="16"/>
      <c r="F15744" s="16"/>
      <c r="H15744" s="16"/>
      <c r="AG15744" s="80"/>
      <c r="AH15744" s="80"/>
      <c r="AI15744" s="80"/>
    </row>
    <row r="15745" spans="5:35" x14ac:dyDescent="0.25">
      <c r="E15745" s="16"/>
      <c r="F15745" s="16"/>
      <c r="H15745" s="16"/>
      <c r="AG15745" s="80"/>
      <c r="AH15745" s="80"/>
      <c r="AI15745" s="80"/>
    </row>
    <row r="15746" spans="5:35" x14ac:dyDescent="0.25">
      <c r="E15746" s="16"/>
      <c r="F15746" s="16"/>
      <c r="H15746" s="16"/>
      <c r="AG15746" s="80"/>
      <c r="AH15746" s="80"/>
      <c r="AI15746" s="80"/>
    </row>
    <row r="15747" spans="5:35" x14ac:dyDescent="0.25">
      <c r="E15747" s="16"/>
      <c r="F15747" s="16"/>
      <c r="H15747" s="16"/>
      <c r="AG15747" s="80"/>
      <c r="AH15747" s="80"/>
      <c r="AI15747" s="80"/>
    </row>
    <row r="15748" spans="5:35" x14ac:dyDescent="0.25">
      <c r="E15748" s="16"/>
      <c r="F15748" s="16"/>
      <c r="H15748" s="16"/>
      <c r="AG15748" s="80"/>
      <c r="AH15748" s="80"/>
      <c r="AI15748" s="80"/>
    </row>
    <row r="15749" spans="5:35" x14ac:dyDescent="0.25">
      <c r="E15749" s="16"/>
      <c r="F15749" s="16"/>
      <c r="H15749" s="16"/>
      <c r="AG15749" s="80"/>
      <c r="AH15749" s="80"/>
      <c r="AI15749" s="80"/>
    </row>
    <row r="15750" spans="5:35" x14ac:dyDescent="0.25">
      <c r="E15750" s="16"/>
      <c r="F15750" s="16"/>
      <c r="H15750" s="16"/>
      <c r="AG15750" s="80"/>
      <c r="AH15750" s="80"/>
      <c r="AI15750" s="80"/>
    </row>
    <row r="15751" spans="5:35" x14ac:dyDescent="0.25">
      <c r="E15751" s="16"/>
      <c r="F15751" s="16"/>
      <c r="H15751" s="16"/>
      <c r="AG15751" s="80"/>
      <c r="AH15751" s="80"/>
      <c r="AI15751" s="80"/>
    </row>
    <row r="15752" spans="5:35" x14ac:dyDescent="0.25">
      <c r="E15752" s="16"/>
      <c r="F15752" s="16"/>
      <c r="H15752" s="16"/>
      <c r="AG15752" s="80"/>
      <c r="AH15752" s="80"/>
      <c r="AI15752" s="80"/>
    </row>
    <row r="15753" spans="5:35" x14ac:dyDescent="0.25">
      <c r="E15753" s="16"/>
      <c r="F15753" s="16"/>
      <c r="H15753" s="16"/>
      <c r="AG15753" s="80"/>
      <c r="AH15753" s="80"/>
      <c r="AI15753" s="80"/>
    </row>
    <row r="15754" spans="5:35" x14ac:dyDescent="0.25">
      <c r="E15754" s="16"/>
      <c r="F15754" s="16"/>
      <c r="H15754" s="16"/>
      <c r="AG15754" s="80"/>
      <c r="AH15754" s="80"/>
      <c r="AI15754" s="80"/>
    </row>
    <row r="15755" spans="5:35" x14ac:dyDescent="0.25">
      <c r="E15755" s="16"/>
      <c r="F15755" s="16"/>
      <c r="H15755" s="16"/>
      <c r="AG15755" s="80"/>
      <c r="AH15755" s="80"/>
      <c r="AI15755" s="80"/>
    </row>
    <row r="15756" spans="5:35" x14ac:dyDescent="0.25">
      <c r="E15756" s="16"/>
      <c r="F15756" s="16"/>
      <c r="H15756" s="16"/>
      <c r="AG15756" s="80"/>
      <c r="AH15756" s="80"/>
      <c r="AI15756" s="80"/>
    </row>
    <row r="15757" spans="5:35" x14ac:dyDescent="0.25">
      <c r="E15757" s="16"/>
      <c r="F15757" s="16"/>
      <c r="H15757" s="16"/>
      <c r="AG15757" s="80"/>
      <c r="AH15757" s="80"/>
      <c r="AI15757" s="80"/>
    </row>
    <row r="15758" spans="5:35" x14ac:dyDescent="0.25">
      <c r="E15758" s="16"/>
      <c r="F15758" s="16"/>
      <c r="H15758" s="16"/>
      <c r="AG15758" s="80"/>
      <c r="AH15758" s="80"/>
      <c r="AI15758" s="80"/>
    </row>
    <row r="15759" spans="5:35" x14ac:dyDescent="0.25">
      <c r="E15759" s="16"/>
      <c r="F15759" s="16"/>
      <c r="H15759" s="16"/>
      <c r="AG15759" s="80"/>
      <c r="AH15759" s="80"/>
      <c r="AI15759" s="80"/>
    </row>
    <row r="15760" spans="5:35" x14ac:dyDescent="0.25">
      <c r="E15760" s="16"/>
      <c r="F15760" s="16"/>
      <c r="H15760" s="16"/>
      <c r="AG15760" s="80"/>
      <c r="AH15760" s="80"/>
      <c r="AI15760" s="80"/>
    </row>
    <row r="15761" spans="5:35" x14ac:dyDescent="0.25">
      <c r="E15761" s="16"/>
      <c r="F15761" s="16"/>
      <c r="H15761" s="16"/>
      <c r="AG15761" s="80"/>
      <c r="AH15761" s="80"/>
      <c r="AI15761" s="80"/>
    </row>
    <row r="15762" spans="5:35" x14ac:dyDescent="0.25">
      <c r="E15762" s="16"/>
      <c r="F15762" s="16"/>
      <c r="H15762" s="16"/>
      <c r="AG15762" s="80"/>
      <c r="AH15762" s="80"/>
      <c r="AI15762" s="80"/>
    </row>
    <row r="15763" spans="5:35" x14ac:dyDescent="0.25">
      <c r="E15763" s="16"/>
      <c r="F15763" s="16"/>
      <c r="H15763" s="16"/>
      <c r="AG15763" s="80"/>
      <c r="AH15763" s="80"/>
      <c r="AI15763" s="80"/>
    </row>
    <row r="15764" spans="5:35" x14ac:dyDescent="0.25">
      <c r="E15764" s="16"/>
      <c r="F15764" s="16"/>
      <c r="H15764" s="16"/>
      <c r="AG15764" s="80"/>
      <c r="AH15764" s="80"/>
      <c r="AI15764" s="80"/>
    </row>
    <row r="15765" spans="5:35" x14ac:dyDescent="0.25">
      <c r="E15765" s="16"/>
      <c r="F15765" s="16"/>
      <c r="H15765" s="16"/>
      <c r="AG15765" s="80"/>
      <c r="AH15765" s="80"/>
      <c r="AI15765" s="80"/>
    </row>
    <row r="15766" spans="5:35" x14ac:dyDescent="0.25">
      <c r="E15766" s="16"/>
      <c r="F15766" s="16"/>
      <c r="H15766" s="16"/>
      <c r="AG15766" s="80"/>
      <c r="AH15766" s="80"/>
      <c r="AI15766" s="80"/>
    </row>
    <row r="15767" spans="5:35" x14ac:dyDescent="0.25">
      <c r="E15767" s="16"/>
      <c r="F15767" s="16"/>
      <c r="H15767" s="16"/>
      <c r="AG15767" s="80"/>
      <c r="AH15767" s="80"/>
      <c r="AI15767" s="80"/>
    </row>
    <row r="15768" spans="5:35" x14ac:dyDescent="0.25">
      <c r="E15768" s="16"/>
      <c r="F15768" s="16"/>
      <c r="H15768" s="16"/>
      <c r="AG15768" s="80"/>
      <c r="AH15768" s="80"/>
      <c r="AI15768" s="80"/>
    </row>
    <row r="15769" spans="5:35" x14ac:dyDescent="0.25">
      <c r="E15769" s="16"/>
      <c r="F15769" s="16"/>
      <c r="H15769" s="16"/>
      <c r="AG15769" s="80"/>
      <c r="AH15769" s="80"/>
      <c r="AI15769" s="80"/>
    </row>
    <row r="15770" spans="5:35" x14ac:dyDescent="0.25">
      <c r="E15770" s="16"/>
      <c r="F15770" s="16"/>
      <c r="H15770" s="16"/>
      <c r="AG15770" s="80"/>
      <c r="AH15770" s="80"/>
      <c r="AI15770" s="80"/>
    </row>
    <row r="15771" spans="5:35" x14ac:dyDescent="0.25">
      <c r="E15771" s="16"/>
      <c r="F15771" s="16"/>
      <c r="H15771" s="16"/>
      <c r="AG15771" s="80"/>
      <c r="AH15771" s="80"/>
      <c r="AI15771" s="80"/>
    </row>
    <row r="15772" spans="5:35" x14ac:dyDescent="0.25">
      <c r="E15772" s="16"/>
      <c r="F15772" s="16"/>
      <c r="H15772" s="16"/>
      <c r="AG15772" s="80"/>
      <c r="AH15772" s="80"/>
      <c r="AI15772" s="80"/>
    </row>
    <row r="15773" spans="5:35" x14ac:dyDescent="0.25">
      <c r="E15773" s="16"/>
      <c r="F15773" s="16"/>
      <c r="H15773" s="16"/>
      <c r="AG15773" s="80"/>
      <c r="AH15773" s="80"/>
      <c r="AI15773" s="80"/>
    </row>
    <row r="15774" spans="5:35" x14ac:dyDescent="0.25">
      <c r="E15774" s="16"/>
      <c r="F15774" s="16"/>
      <c r="H15774" s="16"/>
      <c r="AG15774" s="80"/>
      <c r="AH15774" s="80"/>
      <c r="AI15774" s="80"/>
    </row>
    <row r="15775" spans="5:35" x14ac:dyDescent="0.25">
      <c r="E15775" s="16"/>
      <c r="F15775" s="16"/>
      <c r="H15775" s="16"/>
      <c r="AG15775" s="80"/>
      <c r="AH15775" s="80"/>
      <c r="AI15775" s="80"/>
    </row>
    <row r="15776" spans="5:35" x14ac:dyDescent="0.25">
      <c r="E15776" s="16"/>
      <c r="F15776" s="16"/>
      <c r="H15776" s="16"/>
      <c r="AG15776" s="80"/>
      <c r="AH15776" s="80"/>
      <c r="AI15776" s="80"/>
    </row>
    <row r="15777" spans="5:35" x14ac:dyDescent="0.25">
      <c r="E15777" s="16"/>
      <c r="F15777" s="16"/>
      <c r="H15777" s="16"/>
      <c r="AG15777" s="80"/>
      <c r="AH15777" s="80"/>
      <c r="AI15777" s="80"/>
    </row>
    <row r="15778" spans="5:35" x14ac:dyDescent="0.25">
      <c r="E15778" s="16"/>
      <c r="F15778" s="16"/>
      <c r="H15778" s="16"/>
      <c r="AG15778" s="80"/>
      <c r="AH15778" s="80"/>
      <c r="AI15778" s="80"/>
    </row>
    <row r="15779" spans="5:35" x14ac:dyDescent="0.25">
      <c r="E15779" s="16"/>
      <c r="F15779" s="16"/>
      <c r="H15779" s="16"/>
      <c r="AG15779" s="80"/>
      <c r="AH15779" s="80"/>
      <c r="AI15779" s="80"/>
    </row>
    <row r="15780" spans="5:35" x14ac:dyDescent="0.25">
      <c r="E15780" s="16"/>
      <c r="F15780" s="16"/>
      <c r="H15780" s="16"/>
      <c r="AG15780" s="80"/>
      <c r="AH15780" s="80"/>
      <c r="AI15780" s="80"/>
    </row>
    <row r="15781" spans="5:35" x14ac:dyDescent="0.25">
      <c r="E15781" s="16"/>
      <c r="F15781" s="16"/>
      <c r="H15781" s="16"/>
      <c r="AG15781" s="80"/>
      <c r="AH15781" s="80"/>
      <c r="AI15781" s="80"/>
    </row>
    <row r="15782" spans="5:35" x14ac:dyDescent="0.25">
      <c r="E15782" s="16"/>
      <c r="F15782" s="16"/>
      <c r="H15782" s="16"/>
      <c r="AG15782" s="80"/>
      <c r="AH15782" s="80"/>
      <c r="AI15782" s="80"/>
    </row>
    <row r="15783" spans="5:35" x14ac:dyDescent="0.25">
      <c r="E15783" s="16"/>
      <c r="F15783" s="16"/>
      <c r="H15783" s="16"/>
      <c r="AG15783" s="80"/>
      <c r="AH15783" s="80"/>
      <c r="AI15783" s="80"/>
    </row>
    <row r="15784" spans="5:35" x14ac:dyDescent="0.25">
      <c r="E15784" s="16"/>
      <c r="F15784" s="16"/>
      <c r="H15784" s="16"/>
      <c r="AG15784" s="80"/>
      <c r="AH15784" s="80"/>
      <c r="AI15784" s="80"/>
    </row>
    <row r="15785" spans="5:35" x14ac:dyDescent="0.25">
      <c r="E15785" s="16"/>
      <c r="F15785" s="16"/>
      <c r="H15785" s="16"/>
      <c r="AG15785" s="80"/>
      <c r="AH15785" s="80"/>
      <c r="AI15785" s="80"/>
    </row>
    <row r="15786" spans="5:35" x14ac:dyDescent="0.25">
      <c r="E15786" s="16"/>
      <c r="F15786" s="16"/>
      <c r="H15786" s="16"/>
      <c r="AG15786" s="80"/>
      <c r="AH15786" s="80"/>
      <c r="AI15786" s="80"/>
    </row>
    <row r="15787" spans="5:35" x14ac:dyDescent="0.25">
      <c r="E15787" s="16"/>
      <c r="F15787" s="16"/>
      <c r="H15787" s="16"/>
      <c r="AG15787" s="80"/>
      <c r="AH15787" s="80"/>
      <c r="AI15787" s="80"/>
    </row>
    <row r="15788" spans="5:35" x14ac:dyDescent="0.25">
      <c r="E15788" s="16"/>
      <c r="F15788" s="16"/>
      <c r="H15788" s="16"/>
      <c r="AG15788" s="80"/>
      <c r="AH15788" s="80"/>
      <c r="AI15788" s="80"/>
    </row>
    <row r="15789" spans="5:35" x14ac:dyDescent="0.25">
      <c r="E15789" s="16"/>
      <c r="F15789" s="16"/>
      <c r="H15789" s="16"/>
      <c r="AG15789" s="80"/>
      <c r="AH15789" s="80"/>
      <c r="AI15789" s="80"/>
    </row>
    <row r="15790" spans="5:35" x14ac:dyDescent="0.25">
      <c r="E15790" s="16"/>
      <c r="F15790" s="16"/>
      <c r="H15790" s="16"/>
      <c r="AG15790" s="80"/>
      <c r="AH15790" s="80"/>
      <c r="AI15790" s="80"/>
    </row>
    <row r="15791" spans="5:35" x14ac:dyDescent="0.25">
      <c r="E15791" s="16"/>
      <c r="F15791" s="16"/>
      <c r="H15791" s="16"/>
      <c r="AG15791" s="80"/>
      <c r="AH15791" s="80"/>
      <c r="AI15791" s="80"/>
    </row>
    <row r="15792" spans="5:35" x14ac:dyDescent="0.25">
      <c r="E15792" s="16"/>
      <c r="F15792" s="16"/>
      <c r="H15792" s="16"/>
      <c r="AG15792" s="80"/>
      <c r="AH15792" s="80"/>
      <c r="AI15792" s="80"/>
    </row>
    <row r="15793" spans="5:35" x14ac:dyDescent="0.25">
      <c r="E15793" s="16"/>
      <c r="F15793" s="16"/>
      <c r="H15793" s="16"/>
      <c r="AG15793" s="80"/>
      <c r="AH15793" s="80"/>
      <c r="AI15793" s="80"/>
    </row>
    <row r="15794" spans="5:35" x14ac:dyDescent="0.25">
      <c r="E15794" s="16"/>
      <c r="F15794" s="16"/>
      <c r="H15794" s="16"/>
      <c r="AG15794" s="80"/>
      <c r="AH15794" s="80"/>
      <c r="AI15794" s="80"/>
    </row>
    <row r="15795" spans="5:35" x14ac:dyDescent="0.25">
      <c r="E15795" s="16"/>
      <c r="F15795" s="16"/>
      <c r="H15795" s="16"/>
      <c r="AG15795" s="80"/>
      <c r="AH15795" s="80"/>
      <c r="AI15795" s="80"/>
    </row>
    <row r="15796" spans="5:35" x14ac:dyDescent="0.25">
      <c r="E15796" s="16"/>
      <c r="F15796" s="16"/>
      <c r="H15796" s="16"/>
      <c r="AG15796" s="80"/>
      <c r="AH15796" s="80"/>
      <c r="AI15796" s="80"/>
    </row>
    <row r="15797" spans="5:35" x14ac:dyDescent="0.25">
      <c r="E15797" s="16"/>
      <c r="F15797" s="16"/>
      <c r="H15797" s="16"/>
      <c r="AG15797" s="80"/>
      <c r="AH15797" s="80"/>
      <c r="AI15797" s="80"/>
    </row>
    <row r="15798" spans="5:35" x14ac:dyDescent="0.25">
      <c r="E15798" s="16"/>
      <c r="F15798" s="16"/>
      <c r="H15798" s="16"/>
      <c r="AG15798" s="80"/>
      <c r="AH15798" s="80"/>
      <c r="AI15798" s="80"/>
    </row>
    <row r="15799" spans="5:35" x14ac:dyDescent="0.25">
      <c r="E15799" s="16"/>
      <c r="F15799" s="16"/>
      <c r="H15799" s="16"/>
      <c r="AG15799" s="80"/>
      <c r="AH15799" s="80"/>
      <c r="AI15799" s="80"/>
    </row>
    <row r="15800" spans="5:35" x14ac:dyDescent="0.25">
      <c r="E15800" s="16"/>
      <c r="F15800" s="16"/>
      <c r="H15800" s="16"/>
      <c r="AG15800" s="80"/>
      <c r="AH15800" s="80"/>
      <c r="AI15800" s="80"/>
    </row>
    <row r="15801" spans="5:35" x14ac:dyDescent="0.25">
      <c r="E15801" s="16"/>
      <c r="F15801" s="16"/>
      <c r="H15801" s="16"/>
      <c r="AG15801" s="80"/>
      <c r="AH15801" s="80"/>
      <c r="AI15801" s="80"/>
    </row>
    <row r="15802" spans="5:35" x14ac:dyDescent="0.25">
      <c r="E15802" s="16"/>
      <c r="F15802" s="16"/>
      <c r="H15802" s="16"/>
      <c r="AG15802" s="80"/>
      <c r="AH15802" s="80"/>
      <c r="AI15802" s="80"/>
    </row>
    <row r="15803" spans="5:35" x14ac:dyDescent="0.25">
      <c r="E15803" s="16"/>
      <c r="F15803" s="16"/>
      <c r="H15803" s="16"/>
      <c r="AG15803" s="80"/>
      <c r="AH15803" s="80"/>
      <c r="AI15803" s="80"/>
    </row>
    <row r="15804" spans="5:35" x14ac:dyDescent="0.25">
      <c r="E15804" s="16"/>
      <c r="F15804" s="16"/>
      <c r="H15804" s="16"/>
      <c r="AG15804" s="80"/>
      <c r="AH15804" s="80"/>
      <c r="AI15804" s="80"/>
    </row>
    <row r="15805" spans="5:35" x14ac:dyDescent="0.25">
      <c r="E15805" s="16"/>
      <c r="F15805" s="16"/>
      <c r="H15805" s="16"/>
      <c r="AG15805" s="80"/>
      <c r="AH15805" s="80"/>
      <c r="AI15805" s="80"/>
    </row>
    <row r="15806" spans="5:35" x14ac:dyDescent="0.25">
      <c r="E15806" s="16"/>
      <c r="F15806" s="16"/>
      <c r="H15806" s="16"/>
      <c r="AG15806" s="80"/>
      <c r="AH15806" s="80"/>
      <c r="AI15806" s="80"/>
    </row>
    <row r="15807" spans="5:35" x14ac:dyDescent="0.25">
      <c r="E15807" s="16"/>
      <c r="F15807" s="16"/>
      <c r="H15807" s="16"/>
      <c r="AG15807" s="80"/>
      <c r="AH15807" s="80"/>
      <c r="AI15807" s="80"/>
    </row>
    <row r="15808" spans="5:35" x14ac:dyDescent="0.25">
      <c r="E15808" s="16"/>
      <c r="F15808" s="16"/>
      <c r="H15808" s="16"/>
      <c r="AG15808" s="80"/>
      <c r="AH15808" s="80"/>
      <c r="AI15808" s="80"/>
    </row>
    <row r="15809" spans="5:35" x14ac:dyDescent="0.25">
      <c r="E15809" s="16"/>
      <c r="F15809" s="16"/>
      <c r="H15809" s="16"/>
      <c r="AG15809" s="80"/>
      <c r="AH15809" s="80"/>
      <c r="AI15809" s="80"/>
    </row>
    <row r="15810" spans="5:35" x14ac:dyDescent="0.25">
      <c r="E15810" s="16"/>
      <c r="F15810" s="16"/>
      <c r="H15810" s="16"/>
      <c r="AG15810" s="80"/>
      <c r="AH15810" s="80"/>
      <c r="AI15810" s="80"/>
    </row>
    <row r="15811" spans="5:35" x14ac:dyDescent="0.25">
      <c r="E15811" s="16"/>
      <c r="F15811" s="16"/>
      <c r="H15811" s="16"/>
      <c r="AG15811" s="80"/>
      <c r="AH15811" s="80"/>
      <c r="AI15811" s="80"/>
    </row>
    <row r="15812" spans="5:35" x14ac:dyDescent="0.25">
      <c r="E15812" s="16"/>
      <c r="F15812" s="16"/>
      <c r="H15812" s="16"/>
      <c r="AG15812" s="80"/>
      <c r="AH15812" s="80"/>
      <c r="AI15812" s="80"/>
    </row>
    <row r="15813" spans="5:35" x14ac:dyDescent="0.25">
      <c r="E15813" s="16"/>
      <c r="F15813" s="16"/>
      <c r="H15813" s="16"/>
      <c r="AG15813" s="80"/>
      <c r="AH15813" s="80"/>
      <c r="AI15813" s="80"/>
    </row>
    <row r="15814" spans="5:35" x14ac:dyDescent="0.25">
      <c r="E15814" s="16"/>
      <c r="F15814" s="16"/>
      <c r="H15814" s="16"/>
      <c r="AG15814" s="80"/>
      <c r="AH15814" s="80"/>
      <c r="AI15814" s="80"/>
    </row>
    <row r="15815" spans="5:35" x14ac:dyDescent="0.25">
      <c r="E15815" s="16"/>
      <c r="F15815" s="16"/>
      <c r="H15815" s="16"/>
      <c r="AG15815" s="80"/>
      <c r="AH15815" s="80"/>
      <c r="AI15815" s="80"/>
    </row>
    <row r="15816" spans="5:35" x14ac:dyDescent="0.25">
      <c r="E15816" s="16"/>
      <c r="F15816" s="16"/>
      <c r="H15816" s="16"/>
      <c r="AG15816" s="80"/>
      <c r="AH15816" s="80"/>
      <c r="AI15816" s="80"/>
    </row>
    <row r="15817" spans="5:35" x14ac:dyDescent="0.25">
      <c r="E15817" s="16"/>
      <c r="F15817" s="16"/>
      <c r="H15817" s="16"/>
      <c r="AG15817" s="80"/>
      <c r="AH15817" s="80"/>
      <c r="AI15817" s="80"/>
    </row>
    <row r="15818" spans="5:35" x14ac:dyDescent="0.25">
      <c r="E15818" s="16"/>
      <c r="F15818" s="16"/>
      <c r="H15818" s="16"/>
      <c r="AG15818" s="80"/>
      <c r="AH15818" s="80"/>
      <c r="AI15818" s="80"/>
    </row>
    <row r="15819" spans="5:35" x14ac:dyDescent="0.25">
      <c r="E15819" s="16"/>
      <c r="F15819" s="16"/>
      <c r="H15819" s="16"/>
      <c r="AG15819" s="80"/>
      <c r="AH15819" s="80"/>
      <c r="AI15819" s="80"/>
    </row>
    <row r="15820" spans="5:35" x14ac:dyDescent="0.25">
      <c r="E15820" s="16"/>
      <c r="F15820" s="16"/>
      <c r="H15820" s="16"/>
      <c r="AG15820" s="80"/>
      <c r="AH15820" s="80"/>
      <c r="AI15820" s="80"/>
    </row>
    <row r="15821" spans="5:35" x14ac:dyDescent="0.25">
      <c r="E15821" s="16"/>
      <c r="F15821" s="16"/>
      <c r="H15821" s="16"/>
      <c r="AG15821" s="80"/>
      <c r="AH15821" s="80"/>
      <c r="AI15821" s="80"/>
    </row>
    <row r="15822" spans="5:35" x14ac:dyDescent="0.25">
      <c r="E15822" s="16"/>
      <c r="F15822" s="16"/>
      <c r="H15822" s="16"/>
      <c r="AG15822" s="80"/>
      <c r="AH15822" s="80"/>
      <c r="AI15822" s="80"/>
    </row>
    <row r="15823" spans="5:35" x14ac:dyDescent="0.25">
      <c r="E15823" s="16"/>
      <c r="F15823" s="16"/>
      <c r="H15823" s="16"/>
      <c r="AG15823" s="80"/>
      <c r="AH15823" s="80"/>
      <c r="AI15823" s="80"/>
    </row>
    <row r="15824" spans="5:35" x14ac:dyDescent="0.25">
      <c r="E15824" s="16"/>
      <c r="F15824" s="16"/>
      <c r="H15824" s="16"/>
      <c r="AG15824" s="80"/>
      <c r="AH15824" s="80"/>
      <c r="AI15824" s="80"/>
    </row>
    <row r="15825" spans="5:35" x14ac:dyDescent="0.25">
      <c r="E15825" s="16"/>
      <c r="F15825" s="16"/>
      <c r="H15825" s="16"/>
      <c r="AG15825" s="80"/>
      <c r="AH15825" s="80"/>
      <c r="AI15825" s="80"/>
    </row>
    <row r="15826" spans="5:35" x14ac:dyDescent="0.25">
      <c r="E15826" s="16"/>
      <c r="F15826" s="16"/>
      <c r="H15826" s="16"/>
      <c r="AG15826" s="80"/>
      <c r="AH15826" s="80"/>
      <c r="AI15826" s="80"/>
    </row>
    <row r="15827" spans="5:35" x14ac:dyDescent="0.25">
      <c r="E15827" s="16"/>
      <c r="F15827" s="16"/>
      <c r="H15827" s="16"/>
      <c r="AG15827" s="80"/>
      <c r="AH15827" s="80"/>
      <c r="AI15827" s="80"/>
    </row>
    <row r="15828" spans="5:35" x14ac:dyDescent="0.25">
      <c r="E15828" s="16"/>
      <c r="F15828" s="16"/>
      <c r="H15828" s="16"/>
      <c r="AG15828" s="80"/>
      <c r="AH15828" s="80"/>
      <c r="AI15828" s="80"/>
    </row>
    <row r="15829" spans="5:35" x14ac:dyDescent="0.25">
      <c r="E15829" s="16"/>
      <c r="F15829" s="16"/>
      <c r="H15829" s="16"/>
      <c r="AG15829" s="80"/>
      <c r="AH15829" s="80"/>
      <c r="AI15829" s="80"/>
    </row>
    <row r="15830" spans="5:35" x14ac:dyDescent="0.25">
      <c r="E15830" s="16"/>
      <c r="F15830" s="16"/>
      <c r="H15830" s="16"/>
      <c r="AG15830" s="80"/>
      <c r="AH15830" s="80"/>
      <c r="AI15830" s="80"/>
    </row>
    <row r="15831" spans="5:35" x14ac:dyDescent="0.25">
      <c r="E15831" s="16"/>
      <c r="F15831" s="16"/>
      <c r="H15831" s="16"/>
      <c r="AG15831" s="80"/>
      <c r="AH15831" s="80"/>
      <c r="AI15831" s="80"/>
    </row>
    <row r="15832" spans="5:35" x14ac:dyDescent="0.25">
      <c r="E15832" s="16"/>
      <c r="F15832" s="16"/>
      <c r="H15832" s="16"/>
      <c r="AG15832" s="80"/>
      <c r="AH15832" s="80"/>
      <c r="AI15832" s="80"/>
    </row>
    <row r="15833" spans="5:35" x14ac:dyDescent="0.25">
      <c r="E15833" s="16"/>
      <c r="F15833" s="16"/>
      <c r="H15833" s="16"/>
      <c r="AG15833" s="80"/>
      <c r="AH15833" s="80"/>
      <c r="AI15833" s="80"/>
    </row>
    <row r="15834" spans="5:35" x14ac:dyDescent="0.25">
      <c r="E15834" s="16"/>
      <c r="F15834" s="16"/>
      <c r="H15834" s="16"/>
      <c r="AG15834" s="80"/>
      <c r="AH15834" s="80"/>
      <c r="AI15834" s="80"/>
    </row>
    <row r="15835" spans="5:35" x14ac:dyDescent="0.25">
      <c r="E15835" s="16"/>
      <c r="F15835" s="16"/>
      <c r="H15835" s="16"/>
      <c r="AG15835" s="80"/>
      <c r="AH15835" s="80"/>
      <c r="AI15835" s="80"/>
    </row>
    <row r="15836" spans="5:35" x14ac:dyDescent="0.25">
      <c r="E15836" s="16"/>
      <c r="F15836" s="16"/>
      <c r="H15836" s="16"/>
      <c r="AG15836" s="80"/>
      <c r="AH15836" s="80"/>
      <c r="AI15836" s="80"/>
    </row>
    <row r="15837" spans="5:35" x14ac:dyDescent="0.25">
      <c r="E15837" s="16"/>
      <c r="F15837" s="16"/>
      <c r="H15837" s="16"/>
      <c r="AG15837" s="80"/>
      <c r="AH15837" s="80"/>
      <c r="AI15837" s="80"/>
    </row>
    <row r="15838" spans="5:35" x14ac:dyDescent="0.25">
      <c r="E15838" s="16"/>
      <c r="F15838" s="16"/>
      <c r="H15838" s="16"/>
      <c r="AG15838" s="80"/>
      <c r="AH15838" s="80"/>
      <c r="AI15838" s="80"/>
    </row>
    <row r="15839" spans="5:35" x14ac:dyDescent="0.25">
      <c r="E15839" s="16"/>
      <c r="F15839" s="16"/>
      <c r="H15839" s="16"/>
      <c r="AG15839" s="80"/>
      <c r="AH15839" s="80"/>
      <c r="AI15839" s="80"/>
    </row>
    <row r="15840" spans="5:35" x14ac:dyDescent="0.25">
      <c r="E15840" s="16"/>
      <c r="F15840" s="16"/>
      <c r="H15840" s="16"/>
      <c r="AG15840" s="80"/>
      <c r="AH15840" s="80"/>
      <c r="AI15840" s="80"/>
    </row>
    <row r="15841" spans="5:35" x14ac:dyDescent="0.25">
      <c r="E15841" s="16"/>
      <c r="F15841" s="16"/>
      <c r="H15841" s="16"/>
      <c r="AG15841" s="80"/>
      <c r="AH15841" s="80"/>
      <c r="AI15841" s="80"/>
    </row>
    <row r="15842" spans="5:35" x14ac:dyDescent="0.25">
      <c r="E15842" s="16"/>
      <c r="F15842" s="16"/>
      <c r="H15842" s="16"/>
      <c r="AG15842" s="80"/>
      <c r="AH15842" s="80"/>
      <c r="AI15842" s="80"/>
    </row>
    <row r="15843" spans="5:35" x14ac:dyDescent="0.25">
      <c r="E15843" s="16"/>
      <c r="F15843" s="16"/>
      <c r="H15843" s="16"/>
      <c r="AG15843" s="80"/>
      <c r="AH15843" s="80"/>
      <c r="AI15843" s="80"/>
    </row>
    <row r="15844" spans="5:35" x14ac:dyDescent="0.25">
      <c r="E15844" s="16"/>
      <c r="F15844" s="16"/>
      <c r="H15844" s="16"/>
      <c r="AG15844" s="80"/>
      <c r="AH15844" s="80"/>
      <c r="AI15844" s="80"/>
    </row>
    <row r="15845" spans="5:35" x14ac:dyDescent="0.25">
      <c r="E15845" s="16"/>
      <c r="F15845" s="16"/>
      <c r="H15845" s="16"/>
      <c r="AG15845" s="80"/>
      <c r="AH15845" s="80"/>
      <c r="AI15845" s="80"/>
    </row>
    <row r="15846" spans="5:35" x14ac:dyDescent="0.25">
      <c r="E15846" s="16"/>
      <c r="F15846" s="16"/>
      <c r="H15846" s="16"/>
      <c r="AG15846" s="80"/>
      <c r="AH15846" s="80"/>
      <c r="AI15846" s="80"/>
    </row>
    <row r="15847" spans="5:35" x14ac:dyDescent="0.25">
      <c r="E15847" s="16"/>
      <c r="F15847" s="16"/>
      <c r="H15847" s="16"/>
      <c r="AG15847" s="80"/>
      <c r="AH15847" s="80"/>
      <c r="AI15847" s="80"/>
    </row>
    <row r="15848" spans="5:35" x14ac:dyDescent="0.25">
      <c r="E15848" s="16"/>
      <c r="F15848" s="16"/>
      <c r="H15848" s="16"/>
      <c r="AG15848" s="80"/>
      <c r="AH15848" s="80"/>
      <c r="AI15848" s="80"/>
    </row>
    <row r="15849" spans="5:35" x14ac:dyDescent="0.25">
      <c r="E15849" s="16"/>
      <c r="F15849" s="16"/>
      <c r="H15849" s="16"/>
      <c r="AG15849" s="80"/>
      <c r="AH15849" s="80"/>
      <c r="AI15849" s="80"/>
    </row>
    <row r="15850" spans="5:35" x14ac:dyDescent="0.25">
      <c r="E15850" s="16"/>
      <c r="F15850" s="16"/>
      <c r="H15850" s="16"/>
      <c r="AG15850" s="80"/>
      <c r="AH15850" s="80"/>
      <c r="AI15850" s="80"/>
    </row>
    <row r="15851" spans="5:35" x14ac:dyDescent="0.25">
      <c r="E15851" s="16"/>
      <c r="F15851" s="16"/>
      <c r="H15851" s="16"/>
      <c r="AG15851" s="80"/>
      <c r="AH15851" s="80"/>
      <c r="AI15851" s="80"/>
    </row>
    <row r="15852" spans="5:35" x14ac:dyDescent="0.25">
      <c r="E15852" s="16"/>
      <c r="F15852" s="16"/>
      <c r="H15852" s="16"/>
      <c r="AG15852" s="80"/>
      <c r="AH15852" s="80"/>
      <c r="AI15852" s="80"/>
    </row>
    <row r="15853" spans="5:35" x14ac:dyDescent="0.25">
      <c r="E15853" s="16"/>
      <c r="F15853" s="16"/>
      <c r="H15853" s="16"/>
      <c r="AG15853" s="80"/>
      <c r="AH15853" s="80"/>
      <c r="AI15853" s="80"/>
    </row>
    <row r="15854" spans="5:35" x14ac:dyDescent="0.25">
      <c r="E15854" s="16"/>
      <c r="F15854" s="16"/>
      <c r="H15854" s="16"/>
      <c r="AG15854" s="80"/>
      <c r="AH15854" s="80"/>
      <c r="AI15854" s="80"/>
    </row>
    <row r="15855" spans="5:35" x14ac:dyDescent="0.25">
      <c r="E15855" s="16"/>
      <c r="F15855" s="16"/>
      <c r="H15855" s="16"/>
      <c r="AG15855" s="80"/>
      <c r="AH15855" s="80"/>
      <c r="AI15855" s="80"/>
    </row>
    <row r="15856" spans="5:35" x14ac:dyDescent="0.25">
      <c r="E15856" s="16"/>
      <c r="F15856" s="16"/>
      <c r="H15856" s="16"/>
      <c r="AG15856" s="80"/>
      <c r="AH15856" s="80"/>
      <c r="AI15856" s="80"/>
    </row>
    <row r="15857" spans="5:35" x14ac:dyDescent="0.25">
      <c r="E15857" s="16"/>
      <c r="F15857" s="16"/>
      <c r="H15857" s="16"/>
      <c r="AG15857" s="80"/>
      <c r="AH15857" s="80"/>
      <c r="AI15857" s="80"/>
    </row>
    <row r="15858" spans="5:35" x14ac:dyDescent="0.25">
      <c r="E15858" s="16"/>
      <c r="F15858" s="16"/>
      <c r="H15858" s="16"/>
      <c r="AG15858" s="80"/>
      <c r="AH15858" s="80"/>
      <c r="AI15858" s="80"/>
    </row>
    <row r="15859" spans="5:35" x14ac:dyDescent="0.25">
      <c r="E15859" s="16"/>
      <c r="F15859" s="16"/>
      <c r="H15859" s="16"/>
      <c r="AG15859" s="80"/>
      <c r="AH15859" s="80"/>
      <c r="AI15859" s="80"/>
    </row>
    <row r="15860" spans="5:35" x14ac:dyDescent="0.25">
      <c r="E15860" s="16"/>
      <c r="F15860" s="16"/>
      <c r="H15860" s="16"/>
      <c r="AG15860" s="80"/>
      <c r="AH15860" s="80"/>
      <c r="AI15860" s="80"/>
    </row>
    <row r="15861" spans="5:35" x14ac:dyDescent="0.25">
      <c r="E15861" s="16"/>
      <c r="F15861" s="16"/>
      <c r="H15861" s="16"/>
      <c r="AG15861" s="80"/>
      <c r="AH15861" s="80"/>
      <c r="AI15861" s="80"/>
    </row>
    <row r="15862" spans="5:35" x14ac:dyDescent="0.25">
      <c r="E15862" s="16"/>
      <c r="F15862" s="16"/>
      <c r="H15862" s="16"/>
      <c r="AG15862" s="80"/>
      <c r="AH15862" s="80"/>
      <c r="AI15862" s="80"/>
    </row>
    <row r="15863" spans="5:35" x14ac:dyDescent="0.25">
      <c r="E15863" s="16"/>
      <c r="F15863" s="16"/>
      <c r="H15863" s="16"/>
      <c r="AG15863" s="80"/>
      <c r="AH15863" s="80"/>
      <c r="AI15863" s="80"/>
    </row>
    <row r="15864" spans="5:35" x14ac:dyDescent="0.25">
      <c r="E15864" s="16"/>
      <c r="F15864" s="16"/>
      <c r="H15864" s="16"/>
      <c r="AG15864" s="80"/>
      <c r="AH15864" s="80"/>
      <c r="AI15864" s="80"/>
    </row>
    <row r="15865" spans="5:35" x14ac:dyDescent="0.25">
      <c r="E15865" s="16"/>
      <c r="F15865" s="16"/>
      <c r="H15865" s="16"/>
      <c r="AG15865" s="80"/>
      <c r="AH15865" s="80"/>
      <c r="AI15865" s="80"/>
    </row>
    <row r="15866" spans="5:35" x14ac:dyDescent="0.25">
      <c r="E15866" s="16"/>
      <c r="F15866" s="16"/>
      <c r="H15866" s="16"/>
      <c r="AG15866" s="80"/>
      <c r="AH15866" s="80"/>
      <c r="AI15866" s="80"/>
    </row>
    <row r="15867" spans="5:35" x14ac:dyDescent="0.25">
      <c r="E15867" s="16"/>
      <c r="F15867" s="16"/>
      <c r="H15867" s="16"/>
      <c r="AG15867" s="80"/>
      <c r="AH15867" s="80"/>
      <c r="AI15867" s="80"/>
    </row>
    <row r="15868" spans="5:35" x14ac:dyDescent="0.25">
      <c r="E15868" s="16"/>
      <c r="F15868" s="16"/>
      <c r="H15868" s="16"/>
      <c r="AG15868" s="80"/>
      <c r="AH15868" s="80"/>
      <c r="AI15868" s="80"/>
    </row>
    <row r="15869" spans="5:35" x14ac:dyDescent="0.25">
      <c r="E15869" s="16"/>
      <c r="F15869" s="16"/>
      <c r="H15869" s="16"/>
      <c r="AG15869" s="80"/>
      <c r="AH15869" s="80"/>
      <c r="AI15869" s="80"/>
    </row>
    <row r="15870" spans="5:35" x14ac:dyDescent="0.25">
      <c r="E15870" s="16"/>
      <c r="F15870" s="16"/>
      <c r="H15870" s="16"/>
      <c r="AG15870" s="80"/>
      <c r="AH15870" s="80"/>
      <c r="AI15870" s="80"/>
    </row>
    <row r="15871" spans="5:35" x14ac:dyDescent="0.25">
      <c r="E15871" s="16"/>
      <c r="F15871" s="16"/>
      <c r="H15871" s="16"/>
      <c r="AG15871" s="80"/>
      <c r="AH15871" s="80"/>
      <c r="AI15871" s="80"/>
    </row>
    <row r="15872" spans="5:35" x14ac:dyDescent="0.25">
      <c r="E15872" s="16"/>
      <c r="F15872" s="16"/>
      <c r="H15872" s="16"/>
      <c r="AG15872" s="80"/>
      <c r="AH15872" s="80"/>
      <c r="AI15872" s="80"/>
    </row>
    <row r="15873" spans="5:35" x14ac:dyDescent="0.25">
      <c r="E15873" s="16"/>
      <c r="F15873" s="16"/>
      <c r="H15873" s="16"/>
      <c r="AG15873" s="80"/>
      <c r="AH15873" s="80"/>
      <c r="AI15873" s="80"/>
    </row>
    <row r="15874" spans="5:35" x14ac:dyDescent="0.25">
      <c r="E15874" s="16"/>
      <c r="F15874" s="16"/>
      <c r="H15874" s="16"/>
      <c r="AG15874" s="80"/>
      <c r="AH15874" s="80"/>
      <c r="AI15874" s="80"/>
    </row>
    <row r="15875" spans="5:35" x14ac:dyDescent="0.25">
      <c r="E15875" s="16"/>
      <c r="F15875" s="16"/>
      <c r="H15875" s="16"/>
      <c r="AG15875" s="80"/>
      <c r="AH15875" s="80"/>
      <c r="AI15875" s="80"/>
    </row>
    <row r="15876" spans="5:35" x14ac:dyDescent="0.25">
      <c r="E15876" s="16"/>
      <c r="F15876" s="16"/>
      <c r="H15876" s="16"/>
      <c r="AG15876" s="80"/>
      <c r="AH15876" s="80"/>
      <c r="AI15876" s="80"/>
    </row>
    <row r="15877" spans="5:35" x14ac:dyDescent="0.25">
      <c r="E15877" s="16"/>
      <c r="F15877" s="16"/>
      <c r="H15877" s="16"/>
      <c r="AG15877" s="80"/>
      <c r="AH15877" s="80"/>
      <c r="AI15877" s="80"/>
    </row>
    <row r="15878" spans="5:35" x14ac:dyDescent="0.25">
      <c r="E15878" s="16"/>
      <c r="F15878" s="16"/>
      <c r="H15878" s="16"/>
      <c r="AG15878" s="80"/>
      <c r="AH15878" s="80"/>
      <c r="AI15878" s="80"/>
    </row>
    <row r="15879" spans="5:35" x14ac:dyDescent="0.25">
      <c r="E15879" s="16"/>
      <c r="F15879" s="16"/>
      <c r="H15879" s="16"/>
      <c r="AG15879" s="80"/>
      <c r="AH15879" s="80"/>
      <c r="AI15879" s="80"/>
    </row>
    <row r="15880" spans="5:35" x14ac:dyDescent="0.25">
      <c r="E15880" s="16"/>
      <c r="F15880" s="16"/>
      <c r="H15880" s="16"/>
      <c r="AG15880" s="80"/>
      <c r="AH15880" s="80"/>
      <c r="AI15880" s="80"/>
    </row>
    <row r="15881" spans="5:35" x14ac:dyDescent="0.25">
      <c r="E15881" s="16"/>
      <c r="F15881" s="16"/>
      <c r="H15881" s="16"/>
      <c r="AG15881" s="80"/>
      <c r="AH15881" s="80"/>
      <c r="AI15881" s="80"/>
    </row>
    <row r="15882" spans="5:35" x14ac:dyDescent="0.25">
      <c r="E15882" s="16"/>
      <c r="F15882" s="16"/>
      <c r="H15882" s="16"/>
      <c r="AG15882" s="80"/>
      <c r="AH15882" s="80"/>
      <c r="AI15882" s="80"/>
    </row>
    <row r="15883" spans="5:35" x14ac:dyDescent="0.25">
      <c r="E15883" s="16"/>
      <c r="F15883" s="16"/>
      <c r="H15883" s="16"/>
      <c r="AG15883" s="80"/>
      <c r="AH15883" s="80"/>
      <c r="AI15883" s="80"/>
    </row>
    <row r="15884" spans="5:35" x14ac:dyDescent="0.25">
      <c r="E15884" s="16"/>
      <c r="F15884" s="16"/>
      <c r="H15884" s="16"/>
      <c r="AG15884" s="80"/>
      <c r="AH15884" s="80"/>
      <c r="AI15884" s="80"/>
    </row>
    <row r="15885" spans="5:35" x14ac:dyDescent="0.25">
      <c r="E15885" s="16"/>
      <c r="F15885" s="16"/>
      <c r="H15885" s="16"/>
      <c r="AG15885" s="80"/>
      <c r="AH15885" s="80"/>
      <c r="AI15885" s="80"/>
    </row>
    <row r="15886" spans="5:35" x14ac:dyDescent="0.25">
      <c r="E15886" s="16"/>
      <c r="F15886" s="16"/>
      <c r="H15886" s="16"/>
      <c r="AG15886" s="80"/>
      <c r="AH15886" s="80"/>
      <c r="AI15886" s="80"/>
    </row>
    <row r="15887" spans="5:35" x14ac:dyDescent="0.25">
      <c r="E15887" s="16"/>
      <c r="F15887" s="16"/>
      <c r="H15887" s="16"/>
      <c r="AG15887" s="80"/>
      <c r="AH15887" s="80"/>
      <c r="AI15887" s="80"/>
    </row>
    <row r="15888" spans="5:35" x14ac:dyDescent="0.25">
      <c r="E15888" s="16"/>
      <c r="F15888" s="16"/>
      <c r="H15888" s="16"/>
      <c r="AG15888" s="80"/>
      <c r="AH15888" s="80"/>
      <c r="AI15888" s="80"/>
    </row>
    <row r="15889" spans="5:35" x14ac:dyDescent="0.25">
      <c r="E15889" s="16"/>
      <c r="F15889" s="16"/>
      <c r="H15889" s="16"/>
      <c r="AG15889" s="80"/>
      <c r="AH15889" s="80"/>
      <c r="AI15889" s="80"/>
    </row>
    <row r="15890" spans="5:35" x14ac:dyDescent="0.25">
      <c r="E15890" s="16"/>
      <c r="F15890" s="16"/>
      <c r="H15890" s="16"/>
      <c r="AG15890" s="80"/>
      <c r="AH15890" s="80"/>
      <c r="AI15890" s="80"/>
    </row>
    <row r="15891" spans="5:35" x14ac:dyDescent="0.25">
      <c r="E15891" s="16"/>
      <c r="F15891" s="16"/>
      <c r="H15891" s="16"/>
      <c r="AG15891" s="80"/>
      <c r="AH15891" s="80"/>
      <c r="AI15891" s="80"/>
    </row>
    <row r="15892" spans="5:35" x14ac:dyDescent="0.25">
      <c r="E15892" s="16"/>
      <c r="F15892" s="16"/>
      <c r="H15892" s="16"/>
      <c r="AG15892" s="80"/>
      <c r="AH15892" s="80"/>
      <c r="AI15892" s="80"/>
    </row>
    <row r="15893" spans="5:35" x14ac:dyDescent="0.25">
      <c r="E15893" s="16"/>
      <c r="F15893" s="16"/>
      <c r="H15893" s="16"/>
      <c r="AG15893" s="80"/>
      <c r="AH15893" s="80"/>
      <c r="AI15893" s="80"/>
    </row>
    <row r="15894" spans="5:35" x14ac:dyDescent="0.25">
      <c r="E15894" s="16"/>
      <c r="F15894" s="16"/>
      <c r="H15894" s="16"/>
      <c r="AG15894" s="80"/>
      <c r="AH15894" s="80"/>
      <c r="AI15894" s="80"/>
    </row>
    <row r="15895" spans="5:35" x14ac:dyDescent="0.25">
      <c r="E15895" s="16"/>
      <c r="F15895" s="16"/>
      <c r="H15895" s="16"/>
      <c r="AG15895" s="80"/>
      <c r="AH15895" s="80"/>
      <c r="AI15895" s="80"/>
    </row>
    <row r="15896" spans="5:35" x14ac:dyDescent="0.25">
      <c r="E15896" s="16"/>
      <c r="F15896" s="16"/>
      <c r="H15896" s="16"/>
      <c r="AG15896" s="80"/>
      <c r="AH15896" s="80"/>
      <c r="AI15896" s="80"/>
    </row>
    <row r="15897" spans="5:35" x14ac:dyDescent="0.25">
      <c r="E15897" s="16"/>
      <c r="F15897" s="16"/>
      <c r="H15897" s="16"/>
      <c r="AG15897" s="80"/>
      <c r="AH15897" s="80"/>
      <c r="AI15897" s="80"/>
    </row>
    <row r="15898" spans="5:35" x14ac:dyDescent="0.25">
      <c r="E15898" s="16"/>
      <c r="F15898" s="16"/>
      <c r="H15898" s="16"/>
      <c r="AG15898" s="80"/>
      <c r="AH15898" s="80"/>
      <c r="AI15898" s="80"/>
    </row>
    <row r="15899" spans="5:35" x14ac:dyDescent="0.25">
      <c r="E15899" s="16"/>
      <c r="F15899" s="16"/>
      <c r="H15899" s="16"/>
      <c r="AG15899" s="80"/>
      <c r="AH15899" s="80"/>
      <c r="AI15899" s="80"/>
    </row>
    <row r="15900" spans="5:35" x14ac:dyDescent="0.25">
      <c r="E15900" s="16"/>
      <c r="F15900" s="16"/>
      <c r="H15900" s="16"/>
      <c r="AG15900" s="80"/>
      <c r="AH15900" s="80"/>
      <c r="AI15900" s="80"/>
    </row>
    <row r="15901" spans="5:35" x14ac:dyDescent="0.25">
      <c r="E15901" s="16"/>
      <c r="F15901" s="16"/>
      <c r="H15901" s="16"/>
      <c r="AG15901" s="80"/>
      <c r="AH15901" s="80"/>
      <c r="AI15901" s="80"/>
    </row>
    <row r="15902" spans="5:35" x14ac:dyDescent="0.25">
      <c r="E15902" s="16"/>
      <c r="F15902" s="16"/>
      <c r="H15902" s="16"/>
      <c r="AG15902" s="80"/>
      <c r="AH15902" s="80"/>
      <c r="AI15902" s="80"/>
    </row>
    <row r="15903" spans="5:35" x14ac:dyDescent="0.25">
      <c r="E15903" s="16"/>
      <c r="F15903" s="16"/>
      <c r="H15903" s="16"/>
      <c r="AG15903" s="80"/>
      <c r="AH15903" s="80"/>
      <c r="AI15903" s="80"/>
    </row>
    <row r="15904" spans="5:35" x14ac:dyDescent="0.25">
      <c r="E15904" s="16"/>
      <c r="F15904" s="16"/>
      <c r="H15904" s="16"/>
      <c r="AG15904" s="80"/>
      <c r="AH15904" s="80"/>
      <c r="AI15904" s="80"/>
    </row>
    <row r="15905" spans="5:35" x14ac:dyDescent="0.25">
      <c r="E15905" s="16"/>
      <c r="F15905" s="16"/>
      <c r="H15905" s="16"/>
      <c r="AG15905" s="80"/>
      <c r="AH15905" s="80"/>
      <c r="AI15905" s="80"/>
    </row>
    <row r="15906" spans="5:35" x14ac:dyDescent="0.25">
      <c r="E15906" s="16"/>
      <c r="F15906" s="16"/>
      <c r="H15906" s="16"/>
      <c r="AG15906" s="80"/>
      <c r="AH15906" s="80"/>
      <c r="AI15906" s="80"/>
    </row>
    <row r="15907" spans="5:35" x14ac:dyDescent="0.25">
      <c r="E15907" s="16"/>
      <c r="F15907" s="16"/>
      <c r="H15907" s="16"/>
      <c r="AG15907" s="80"/>
      <c r="AH15907" s="80"/>
      <c r="AI15907" s="80"/>
    </row>
    <row r="15908" spans="5:35" x14ac:dyDescent="0.25">
      <c r="E15908" s="16"/>
      <c r="F15908" s="16"/>
      <c r="H15908" s="16"/>
      <c r="AG15908" s="80"/>
      <c r="AH15908" s="80"/>
      <c r="AI15908" s="80"/>
    </row>
    <row r="15909" spans="5:35" x14ac:dyDescent="0.25">
      <c r="E15909" s="16"/>
      <c r="F15909" s="16"/>
      <c r="H15909" s="16"/>
      <c r="AG15909" s="80"/>
      <c r="AH15909" s="80"/>
      <c r="AI15909" s="80"/>
    </row>
    <row r="15910" spans="5:35" x14ac:dyDescent="0.25">
      <c r="E15910" s="16"/>
      <c r="F15910" s="16"/>
      <c r="H15910" s="16"/>
      <c r="AG15910" s="80"/>
      <c r="AH15910" s="80"/>
      <c r="AI15910" s="80"/>
    </row>
    <row r="15911" spans="5:35" x14ac:dyDescent="0.25">
      <c r="E15911" s="16"/>
      <c r="F15911" s="16"/>
      <c r="H15911" s="16"/>
      <c r="AG15911" s="80"/>
      <c r="AH15911" s="80"/>
      <c r="AI15911" s="80"/>
    </row>
    <row r="15912" spans="5:35" x14ac:dyDescent="0.25">
      <c r="E15912" s="16"/>
      <c r="F15912" s="16"/>
      <c r="H15912" s="16"/>
      <c r="AG15912" s="80"/>
      <c r="AH15912" s="80"/>
      <c r="AI15912" s="80"/>
    </row>
    <row r="15913" spans="5:35" x14ac:dyDescent="0.25">
      <c r="E15913" s="16"/>
      <c r="F15913" s="16"/>
      <c r="H15913" s="16"/>
      <c r="AG15913" s="80"/>
      <c r="AH15913" s="80"/>
      <c r="AI15913" s="80"/>
    </row>
    <row r="15914" spans="5:35" x14ac:dyDescent="0.25">
      <c r="E15914" s="16"/>
      <c r="F15914" s="16"/>
      <c r="H15914" s="16"/>
      <c r="AG15914" s="80"/>
      <c r="AH15914" s="80"/>
      <c r="AI15914" s="80"/>
    </row>
    <row r="15915" spans="5:35" x14ac:dyDescent="0.25">
      <c r="E15915" s="16"/>
      <c r="F15915" s="16"/>
      <c r="H15915" s="16"/>
      <c r="AG15915" s="80"/>
      <c r="AH15915" s="80"/>
      <c r="AI15915" s="80"/>
    </row>
    <row r="15916" spans="5:35" x14ac:dyDescent="0.25">
      <c r="E15916" s="16"/>
      <c r="F15916" s="16"/>
      <c r="H15916" s="16"/>
      <c r="AG15916" s="80"/>
      <c r="AH15916" s="80"/>
      <c r="AI15916" s="80"/>
    </row>
    <row r="15917" spans="5:35" x14ac:dyDescent="0.25">
      <c r="E15917" s="16"/>
      <c r="F15917" s="16"/>
      <c r="H15917" s="16"/>
      <c r="AG15917" s="80"/>
      <c r="AH15917" s="80"/>
      <c r="AI15917" s="80"/>
    </row>
    <row r="15918" spans="5:35" x14ac:dyDescent="0.25">
      <c r="E15918" s="16"/>
      <c r="F15918" s="16"/>
      <c r="H15918" s="16"/>
      <c r="AG15918" s="80"/>
      <c r="AH15918" s="80"/>
      <c r="AI15918" s="80"/>
    </row>
    <row r="15919" spans="5:35" x14ac:dyDescent="0.25">
      <c r="E15919" s="16"/>
      <c r="F15919" s="16"/>
      <c r="H15919" s="16"/>
      <c r="AG15919" s="80"/>
      <c r="AH15919" s="80"/>
      <c r="AI15919" s="80"/>
    </row>
    <row r="15920" spans="5:35" x14ac:dyDescent="0.25">
      <c r="E15920" s="16"/>
      <c r="F15920" s="16"/>
      <c r="H15920" s="16"/>
      <c r="AG15920" s="80"/>
      <c r="AH15920" s="80"/>
      <c r="AI15920" s="80"/>
    </row>
    <row r="15921" spans="5:35" x14ac:dyDescent="0.25">
      <c r="E15921" s="16"/>
      <c r="F15921" s="16"/>
      <c r="H15921" s="16"/>
      <c r="AG15921" s="80"/>
      <c r="AH15921" s="80"/>
      <c r="AI15921" s="80"/>
    </row>
    <row r="15922" spans="5:35" x14ac:dyDescent="0.25">
      <c r="E15922" s="16"/>
      <c r="F15922" s="16"/>
      <c r="H15922" s="16"/>
      <c r="AG15922" s="80"/>
      <c r="AH15922" s="80"/>
      <c r="AI15922" s="80"/>
    </row>
    <row r="15923" spans="5:35" x14ac:dyDescent="0.25">
      <c r="E15923" s="16"/>
      <c r="F15923" s="16"/>
      <c r="H15923" s="16"/>
      <c r="AG15923" s="80"/>
      <c r="AH15923" s="80"/>
      <c r="AI15923" s="80"/>
    </row>
    <row r="15924" spans="5:35" x14ac:dyDescent="0.25">
      <c r="E15924" s="16"/>
      <c r="F15924" s="16"/>
      <c r="H15924" s="16"/>
      <c r="AG15924" s="80"/>
      <c r="AH15924" s="80"/>
      <c r="AI15924" s="80"/>
    </row>
    <row r="15925" spans="5:35" x14ac:dyDescent="0.25">
      <c r="E15925" s="16"/>
      <c r="F15925" s="16"/>
      <c r="H15925" s="16"/>
      <c r="AG15925" s="80"/>
      <c r="AH15925" s="80"/>
      <c r="AI15925" s="80"/>
    </row>
    <row r="15926" spans="5:35" x14ac:dyDescent="0.25">
      <c r="E15926" s="16"/>
      <c r="F15926" s="16"/>
      <c r="H15926" s="16"/>
    </row>
    <row r="15927" spans="5:35" x14ac:dyDescent="0.25">
      <c r="E15927" s="16"/>
      <c r="F15927" s="16"/>
      <c r="H15927" s="16"/>
    </row>
    <row r="15928" spans="5:35" x14ac:dyDescent="0.25">
      <c r="E15928" s="16"/>
      <c r="F15928" s="16"/>
      <c r="H15928" s="16"/>
    </row>
    <row r="15929" spans="5:35" x14ac:dyDescent="0.25">
      <c r="E15929" s="16"/>
      <c r="F15929" s="16"/>
      <c r="H15929" s="16"/>
    </row>
    <row r="15930" spans="5:35" x14ac:dyDescent="0.25">
      <c r="E15930" s="16"/>
      <c r="F15930" s="16"/>
      <c r="H15930" s="16"/>
    </row>
    <row r="15931" spans="5:35" x14ac:dyDescent="0.25">
      <c r="E15931" s="16"/>
      <c r="F15931" s="16"/>
      <c r="H15931" s="16"/>
    </row>
    <row r="15932" spans="5:35" x14ac:dyDescent="0.25">
      <c r="E15932" s="16"/>
      <c r="F15932" s="16"/>
      <c r="H15932" s="16"/>
    </row>
    <row r="15933" spans="5:35" x14ac:dyDescent="0.25">
      <c r="E15933" s="16"/>
      <c r="F15933" s="16"/>
      <c r="H15933" s="16"/>
    </row>
    <row r="15934" spans="5:35" x14ac:dyDescent="0.25">
      <c r="E15934" s="16"/>
      <c r="F15934" s="16"/>
      <c r="H15934" s="16"/>
    </row>
    <row r="15935" spans="5:35" x14ac:dyDescent="0.25">
      <c r="E15935" s="16"/>
      <c r="F15935" s="16"/>
      <c r="H15935" s="16"/>
    </row>
    <row r="15936" spans="5:35" x14ac:dyDescent="0.25">
      <c r="E15936" s="16"/>
      <c r="F15936" s="16"/>
      <c r="H15936" s="16"/>
    </row>
    <row r="15937" spans="5:8" x14ac:dyDescent="0.25">
      <c r="E15937" s="16"/>
      <c r="F15937" s="16"/>
      <c r="H15937" s="16"/>
    </row>
    <row r="15938" spans="5:8" x14ac:dyDescent="0.25">
      <c r="E15938" s="16"/>
      <c r="F15938" s="16"/>
      <c r="H15938" s="16"/>
    </row>
    <row r="15939" spans="5:8" x14ac:dyDescent="0.25">
      <c r="E15939" s="16"/>
      <c r="F15939" s="16"/>
      <c r="H15939" s="16"/>
    </row>
    <row r="15940" spans="5:8" x14ac:dyDescent="0.25">
      <c r="E15940" s="16"/>
      <c r="F15940" s="16"/>
      <c r="H15940" s="16"/>
    </row>
    <row r="15941" spans="5:8" x14ac:dyDescent="0.25">
      <c r="E15941" s="16"/>
      <c r="F15941" s="16"/>
      <c r="H15941" s="16"/>
    </row>
    <row r="15942" spans="5:8" x14ac:dyDescent="0.25">
      <c r="E15942" s="16"/>
      <c r="F15942" s="16"/>
      <c r="H15942" s="16"/>
    </row>
    <row r="15943" spans="5:8" x14ac:dyDescent="0.25">
      <c r="E15943" s="16"/>
      <c r="F15943" s="16"/>
      <c r="H15943" s="16"/>
    </row>
    <row r="15944" spans="5:8" x14ac:dyDescent="0.25">
      <c r="E15944" s="16"/>
      <c r="F15944" s="16"/>
      <c r="H15944" s="16"/>
    </row>
    <row r="15945" spans="5:8" x14ac:dyDescent="0.25">
      <c r="E15945" s="16"/>
      <c r="F15945" s="16"/>
      <c r="H15945" s="16"/>
    </row>
    <row r="15946" spans="5:8" x14ac:dyDescent="0.25">
      <c r="E15946" s="16"/>
      <c r="F15946" s="16"/>
      <c r="H15946" s="16"/>
    </row>
    <row r="15947" spans="5:8" x14ac:dyDescent="0.25">
      <c r="E15947" s="16"/>
      <c r="F15947" s="16"/>
      <c r="H15947" s="16"/>
    </row>
    <row r="15948" spans="5:8" x14ac:dyDescent="0.25">
      <c r="E15948" s="16"/>
      <c r="F15948" s="16"/>
      <c r="H15948" s="16"/>
    </row>
    <row r="15949" spans="5:8" x14ac:dyDescent="0.25">
      <c r="E15949" s="16"/>
      <c r="F15949" s="16"/>
      <c r="H15949" s="16"/>
    </row>
    <row r="15950" spans="5:8" x14ac:dyDescent="0.25">
      <c r="E15950" s="16"/>
      <c r="F15950" s="16"/>
      <c r="H15950" s="16"/>
    </row>
    <row r="15951" spans="5:8" x14ac:dyDescent="0.25">
      <c r="E15951" s="16"/>
      <c r="F15951" s="16"/>
      <c r="H15951" s="16"/>
    </row>
    <row r="15952" spans="5:8" x14ac:dyDescent="0.25">
      <c r="E15952" s="16"/>
      <c r="F15952" s="16"/>
      <c r="H15952" s="16"/>
    </row>
    <row r="15953" spans="5:8" x14ac:dyDescent="0.25">
      <c r="E15953" s="16"/>
      <c r="F15953" s="16"/>
      <c r="H15953" s="16"/>
    </row>
    <row r="15954" spans="5:8" x14ac:dyDescent="0.25">
      <c r="E15954" s="16"/>
      <c r="F15954" s="16"/>
      <c r="H15954" s="16"/>
    </row>
    <row r="15955" spans="5:8" x14ac:dyDescent="0.25">
      <c r="E15955" s="16"/>
      <c r="F15955" s="16"/>
      <c r="H15955" s="16"/>
    </row>
    <row r="15956" spans="5:8" x14ac:dyDescent="0.25">
      <c r="E15956" s="16"/>
      <c r="F15956" s="16"/>
      <c r="H15956" s="16"/>
    </row>
    <row r="15957" spans="5:8" x14ac:dyDescent="0.25">
      <c r="E15957" s="16"/>
      <c r="F15957" s="16"/>
      <c r="H15957" s="16"/>
    </row>
    <row r="15958" spans="5:8" x14ac:dyDescent="0.25">
      <c r="E15958" s="16"/>
      <c r="F15958" s="16"/>
      <c r="H15958" s="16"/>
    </row>
    <row r="15959" spans="5:8" x14ac:dyDescent="0.25">
      <c r="E15959" s="16"/>
      <c r="F15959" s="16"/>
      <c r="H15959" s="16"/>
    </row>
    <row r="15960" spans="5:8" x14ac:dyDescent="0.25">
      <c r="E15960" s="16"/>
      <c r="F15960" s="16"/>
      <c r="H15960" s="16"/>
    </row>
    <row r="15961" spans="5:8" x14ac:dyDescent="0.25">
      <c r="E15961" s="16"/>
      <c r="F15961" s="16"/>
      <c r="H15961" s="16"/>
    </row>
    <row r="15962" spans="5:8" x14ac:dyDescent="0.25">
      <c r="E15962" s="16"/>
      <c r="F15962" s="16"/>
      <c r="H15962" s="16"/>
    </row>
    <row r="15963" spans="5:8" x14ac:dyDescent="0.25">
      <c r="E15963" s="16"/>
      <c r="F15963" s="16"/>
      <c r="H15963" s="16"/>
    </row>
    <row r="15964" spans="5:8" x14ac:dyDescent="0.25">
      <c r="E15964" s="16"/>
      <c r="F15964" s="16"/>
      <c r="H15964" s="16"/>
    </row>
    <row r="15965" spans="5:8" x14ac:dyDescent="0.25">
      <c r="E15965" s="16"/>
      <c r="F15965" s="16"/>
      <c r="H15965" s="16"/>
    </row>
    <row r="15966" spans="5:8" x14ac:dyDescent="0.25">
      <c r="E15966" s="16"/>
      <c r="F15966" s="16"/>
      <c r="H15966" s="16"/>
    </row>
    <row r="15967" spans="5:8" x14ac:dyDescent="0.25">
      <c r="E15967" s="16"/>
      <c r="F15967" s="16"/>
      <c r="H15967" s="16"/>
    </row>
    <row r="15968" spans="5:8" x14ac:dyDescent="0.25">
      <c r="E15968" s="16"/>
      <c r="F15968" s="16"/>
      <c r="H15968" s="16"/>
    </row>
    <row r="15969" spans="5:8" x14ac:dyDescent="0.25">
      <c r="E15969" s="16"/>
      <c r="F15969" s="16"/>
      <c r="H15969" s="16"/>
    </row>
    <row r="15970" spans="5:8" x14ac:dyDescent="0.25">
      <c r="E15970" s="16"/>
      <c r="F15970" s="16"/>
      <c r="H15970" s="16"/>
    </row>
    <row r="15971" spans="5:8" x14ac:dyDescent="0.25">
      <c r="E15971" s="16"/>
      <c r="F15971" s="16"/>
      <c r="H15971" s="16"/>
    </row>
    <row r="15972" spans="5:8" x14ac:dyDescent="0.25">
      <c r="E15972" s="16"/>
      <c r="F15972" s="16"/>
      <c r="H15972" s="16"/>
    </row>
    <row r="15973" spans="5:8" x14ac:dyDescent="0.25">
      <c r="E15973" s="16"/>
      <c r="F15973" s="16"/>
      <c r="H15973" s="16"/>
    </row>
    <row r="15974" spans="5:8" x14ac:dyDescent="0.25">
      <c r="E15974" s="16"/>
      <c r="F15974" s="16"/>
      <c r="H15974" s="16"/>
    </row>
    <row r="15975" spans="5:8" x14ac:dyDescent="0.25">
      <c r="E15975" s="16"/>
      <c r="F15975" s="16"/>
      <c r="H15975" s="16"/>
    </row>
    <row r="15976" spans="5:8" x14ac:dyDescent="0.25">
      <c r="E15976" s="16"/>
      <c r="F15976" s="16"/>
      <c r="H15976" s="16"/>
    </row>
    <row r="15977" spans="5:8" x14ac:dyDescent="0.25">
      <c r="E15977" s="16"/>
      <c r="F15977" s="16"/>
      <c r="H15977" s="16"/>
    </row>
    <row r="15978" spans="5:8" x14ac:dyDescent="0.25">
      <c r="E15978" s="16"/>
      <c r="F15978" s="16"/>
      <c r="H15978" s="16"/>
    </row>
    <row r="15979" spans="5:8" x14ac:dyDescent="0.25">
      <c r="E15979" s="16"/>
      <c r="F15979" s="16"/>
      <c r="H15979" s="16"/>
    </row>
    <row r="15980" spans="5:8" x14ac:dyDescent="0.25">
      <c r="E15980" s="16"/>
      <c r="F15980" s="16"/>
      <c r="H15980" s="16"/>
    </row>
    <row r="15981" spans="5:8" x14ac:dyDescent="0.25">
      <c r="E15981" s="16"/>
      <c r="F15981" s="16"/>
      <c r="H15981" s="16"/>
    </row>
    <row r="15982" spans="5:8" x14ac:dyDescent="0.25">
      <c r="E15982" s="16"/>
      <c r="F15982" s="16"/>
      <c r="H15982" s="16"/>
    </row>
    <row r="15983" spans="5:8" x14ac:dyDescent="0.25">
      <c r="E15983" s="16"/>
      <c r="F15983" s="16"/>
      <c r="H15983" s="16"/>
    </row>
    <row r="15984" spans="5:8" x14ac:dyDescent="0.25">
      <c r="E15984" s="16"/>
      <c r="F15984" s="16"/>
      <c r="H15984" s="16"/>
    </row>
    <row r="15985" spans="5:8" x14ac:dyDescent="0.25">
      <c r="E15985" s="16"/>
      <c r="F15985" s="16"/>
      <c r="H15985" s="16"/>
    </row>
    <row r="15986" spans="5:8" x14ac:dyDescent="0.25">
      <c r="E15986" s="16"/>
      <c r="F15986" s="16"/>
      <c r="H15986" s="16"/>
    </row>
    <row r="15987" spans="5:8" x14ac:dyDescent="0.25">
      <c r="E15987" s="16"/>
      <c r="F15987" s="16"/>
      <c r="H15987" s="16"/>
    </row>
    <row r="15988" spans="5:8" x14ac:dyDescent="0.25">
      <c r="E15988" s="16"/>
      <c r="F15988" s="16"/>
      <c r="H15988" s="16"/>
    </row>
    <row r="15989" spans="5:8" x14ac:dyDescent="0.25">
      <c r="E15989" s="16"/>
      <c r="F15989" s="16"/>
      <c r="H15989" s="16"/>
    </row>
    <row r="15990" spans="5:8" x14ac:dyDescent="0.25">
      <c r="E15990" s="16"/>
      <c r="F15990" s="16"/>
      <c r="H15990" s="16"/>
    </row>
    <row r="15991" spans="5:8" x14ac:dyDescent="0.25">
      <c r="E15991" s="16"/>
      <c r="F15991" s="16"/>
      <c r="H15991" s="16"/>
    </row>
    <row r="15992" spans="5:8" x14ac:dyDescent="0.25">
      <c r="E15992" s="16"/>
      <c r="F15992" s="16"/>
      <c r="H15992" s="16"/>
    </row>
    <row r="15993" spans="5:8" x14ac:dyDescent="0.25">
      <c r="E15993" s="16"/>
      <c r="F15993" s="16"/>
      <c r="H15993" s="16"/>
    </row>
    <row r="15994" spans="5:8" x14ac:dyDescent="0.25">
      <c r="E15994" s="16"/>
      <c r="F15994" s="16"/>
      <c r="H15994" s="16"/>
    </row>
    <row r="15995" spans="5:8" x14ac:dyDescent="0.25">
      <c r="E15995" s="16"/>
      <c r="F15995" s="16"/>
      <c r="H15995" s="16"/>
    </row>
    <row r="15996" spans="5:8" x14ac:dyDescent="0.25">
      <c r="E15996" s="16"/>
      <c r="F15996" s="16"/>
      <c r="H15996" s="16"/>
    </row>
    <row r="15997" spans="5:8" x14ac:dyDescent="0.25">
      <c r="E15997" s="16"/>
      <c r="F15997" s="16"/>
      <c r="H15997" s="16"/>
    </row>
    <row r="15998" spans="5:8" x14ac:dyDescent="0.25">
      <c r="E15998" s="16"/>
      <c r="F15998" s="16"/>
      <c r="H15998" s="16"/>
    </row>
    <row r="15999" spans="5:8" x14ac:dyDescent="0.25">
      <c r="E15999" s="16"/>
      <c r="F15999" s="16"/>
      <c r="H15999" s="16"/>
    </row>
    <row r="16000" spans="5:8" x14ac:dyDescent="0.25">
      <c r="E16000" s="16"/>
      <c r="F16000" s="16"/>
      <c r="H16000" s="16"/>
    </row>
    <row r="16001" spans="5:8" x14ac:dyDescent="0.25">
      <c r="E16001" s="16"/>
      <c r="F16001" s="16"/>
      <c r="H16001" s="16"/>
    </row>
    <row r="16002" spans="5:8" x14ac:dyDescent="0.25">
      <c r="E16002" s="16"/>
      <c r="F16002" s="16"/>
      <c r="H16002" s="16"/>
    </row>
    <row r="16003" spans="5:8" x14ac:dyDescent="0.25">
      <c r="E16003" s="16"/>
      <c r="F16003" s="16"/>
      <c r="H16003" s="16"/>
    </row>
    <row r="16004" spans="5:8" x14ac:dyDescent="0.25">
      <c r="E16004" s="16"/>
      <c r="F16004" s="16"/>
      <c r="H16004" s="16"/>
    </row>
    <row r="16005" spans="5:8" x14ac:dyDescent="0.25">
      <c r="E16005" s="16"/>
      <c r="F16005" s="16"/>
      <c r="H16005" s="16"/>
    </row>
    <row r="16006" spans="5:8" x14ac:dyDescent="0.25">
      <c r="E16006" s="16"/>
      <c r="F16006" s="16"/>
      <c r="H16006" s="16"/>
    </row>
    <row r="16007" spans="5:8" x14ac:dyDescent="0.25">
      <c r="E16007" s="16"/>
      <c r="F16007" s="16"/>
      <c r="H16007" s="16"/>
    </row>
    <row r="16008" spans="5:8" x14ac:dyDescent="0.25">
      <c r="E16008" s="16"/>
      <c r="F16008" s="16"/>
      <c r="H16008" s="16"/>
    </row>
    <row r="16009" spans="5:8" x14ac:dyDescent="0.25">
      <c r="E16009" s="16"/>
      <c r="F16009" s="16"/>
      <c r="H16009" s="16"/>
    </row>
    <row r="16010" spans="5:8" x14ac:dyDescent="0.25">
      <c r="E16010" s="16"/>
      <c r="F16010" s="16"/>
      <c r="H16010" s="16"/>
    </row>
    <row r="16011" spans="5:8" x14ac:dyDescent="0.25">
      <c r="E16011" s="16"/>
      <c r="F16011" s="16"/>
      <c r="H16011" s="16"/>
    </row>
    <row r="16012" spans="5:8" x14ac:dyDescent="0.25">
      <c r="E16012" s="16"/>
      <c r="F16012" s="16"/>
      <c r="H16012" s="16"/>
    </row>
    <row r="16013" spans="5:8" x14ac:dyDescent="0.25">
      <c r="E16013" s="16"/>
      <c r="F16013" s="16"/>
      <c r="H16013" s="16"/>
    </row>
    <row r="16014" spans="5:8" x14ac:dyDescent="0.25">
      <c r="E16014" s="16"/>
      <c r="F16014" s="16"/>
      <c r="H16014" s="16"/>
    </row>
    <row r="16015" spans="5:8" x14ac:dyDescent="0.25">
      <c r="E16015" s="16"/>
      <c r="F16015" s="16"/>
      <c r="H16015" s="16"/>
    </row>
    <row r="16016" spans="5:8" x14ac:dyDescent="0.25">
      <c r="E16016" s="16"/>
      <c r="F16016" s="16"/>
      <c r="H16016" s="16"/>
    </row>
    <row r="16017" spans="5:8" x14ac:dyDescent="0.25">
      <c r="E16017" s="16"/>
      <c r="F16017" s="16"/>
      <c r="H16017" s="16"/>
    </row>
    <row r="16018" spans="5:8" x14ac:dyDescent="0.25">
      <c r="E16018" s="16"/>
      <c r="F16018" s="16"/>
      <c r="H16018" s="16"/>
    </row>
    <row r="16019" spans="5:8" x14ac:dyDescent="0.25">
      <c r="E16019" s="16"/>
      <c r="F16019" s="16"/>
      <c r="H16019" s="16"/>
    </row>
    <row r="16020" spans="5:8" x14ac:dyDescent="0.25">
      <c r="E16020" s="16"/>
      <c r="F16020" s="16"/>
      <c r="H16020" s="16"/>
    </row>
    <row r="16021" spans="5:8" x14ac:dyDescent="0.25">
      <c r="E16021" s="16"/>
      <c r="F16021" s="16"/>
      <c r="H16021" s="16"/>
    </row>
    <row r="16022" spans="5:8" x14ac:dyDescent="0.25">
      <c r="E16022" s="16"/>
      <c r="F16022" s="16"/>
      <c r="H16022" s="16"/>
    </row>
    <row r="16023" spans="5:8" x14ac:dyDescent="0.25">
      <c r="E16023" s="16"/>
      <c r="F16023" s="16"/>
      <c r="H16023" s="16"/>
    </row>
    <row r="16024" spans="5:8" x14ac:dyDescent="0.25">
      <c r="E16024" s="16"/>
      <c r="F16024" s="16"/>
      <c r="H16024" s="16"/>
    </row>
    <row r="16025" spans="5:8" x14ac:dyDescent="0.25">
      <c r="E16025" s="16"/>
      <c r="F16025" s="16"/>
      <c r="H16025" s="16"/>
    </row>
    <row r="16026" spans="5:8" x14ac:dyDescent="0.25">
      <c r="E16026" s="16"/>
      <c r="F16026" s="16"/>
      <c r="H16026" s="16"/>
    </row>
    <row r="16027" spans="5:8" x14ac:dyDescent="0.25">
      <c r="E16027" s="16"/>
      <c r="F16027" s="16"/>
      <c r="H16027" s="16"/>
    </row>
    <row r="16028" spans="5:8" x14ac:dyDescent="0.25">
      <c r="E16028" s="16"/>
      <c r="F16028" s="16"/>
      <c r="H16028" s="16"/>
    </row>
    <row r="16029" spans="5:8" x14ac:dyDescent="0.25">
      <c r="E16029" s="16"/>
      <c r="F16029" s="16"/>
      <c r="H16029" s="16"/>
    </row>
    <row r="16030" spans="5:8" x14ac:dyDescent="0.25">
      <c r="E16030" s="16"/>
      <c r="F16030" s="16"/>
      <c r="H16030" s="16"/>
    </row>
    <row r="16031" spans="5:8" x14ac:dyDescent="0.25">
      <c r="E16031" s="16"/>
      <c r="F16031" s="16"/>
      <c r="H16031" s="16"/>
    </row>
    <row r="16032" spans="5:8" x14ac:dyDescent="0.25">
      <c r="E16032" s="16"/>
      <c r="F16032" s="16"/>
      <c r="H16032" s="16"/>
    </row>
    <row r="16033" spans="5:8" x14ac:dyDescent="0.25">
      <c r="E16033" s="16"/>
      <c r="F16033" s="16"/>
      <c r="H16033" s="16"/>
    </row>
    <row r="16034" spans="5:8" x14ac:dyDescent="0.25">
      <c r="E16034" s="16"/>
      <c r="F16034" s="16"/>
      <c r="H16034" s="16"/>
    </row>
    <row r="16035" spans="5:8" x14ac:dyDescent="0.25">
      <c r="E16035" s="16"/>
      <c r="F16035" s="16"/>
      <c r="H16035" s="16"/>
    </row>
    <row r="16036" spans="5:8" x14ac:dyDescent="0.25">
      <c r="E16036" s="16"/>
      <c r="F16036" s="16"/>
      <c r="H16036" s="16"/>
    </row>
    <row r="16037" spans="5:8" x14ac:dyDescent="0.25">
      <c r="E16037" s="16"/>
      <c r="F16037" s="16"/>
      <c r="H16037" s="16"/>
    </row>
    <row r="16038" spans="5:8" x14ac:dyDescent="0.25">
      <c r="E16038" s="16"/>
      <c r="F16038" s="16"/>
      <c r="H16038" s="16"/>
    </row>
    <row r="16039" spans="5:8" x14ac:dyDescent="0.25">
      <c r="E16039" s="16"/>
      <c r="F16039" s="16"/>
      <c r="H16039" s="16"/>
    </row>
    <row r="16040" spans="5:8" x14ac:dyDescent="0.25">
      <c r="E16040" s="16"/>
      <c r="F16040" s="16"/>
      <c r="H16040" s="16"/>
    </row>
    <row r="16041" spans="5:8" x14ac:dyDescent="0.25">
      <c r="E16041" s="16"/>
      <c r="F16041" s="16"/>
      <c r="H16041" s="16"/>
    </row>
    <row r="16042" spans="5:8" x14ac:dyDescent="0.25">
      <c r="E16042" s="16"/>
      <c r="F16042" s="16"/>
      <c r="H16042" s="16"/>
    </row>
    <row r="16043" spans="5:8" x14ac:dyDescent="0.25">
      <c r="E16043" s="16"/>
      <c r="F16043" s="16"/>
      <c r="H16043" s="16"/>
    </row>
    <row r="16044" spans="5:8" x14ac:dyDescent="0.25">
      <c r="E16044" s="16"/>
      <c r="F16044" s="16"/>
      <c r="H16044" s="16"/>
    </row>
    <row r="16045" spans="5:8" x14ac:dyDescent="0.25">
      <c r="E16045" s="16"/>
      <c r="F16045" s="16"/>
      <c r="H16045" s="16"/>
    </row>
    <row r="16046" spans="5:8" x14ac:dyDescent="0.25">
      <c r="E16046" s="16"/>
      <c r="F16046" s="16"/>
      <c r="H16046" s="16"/>
    </row>
    <row r="16047" spans="5:8" x14ac:dyDescent="0.25">
      <c r="E16047" s="16"/>
      <c r="F16047" s="16"/>
      <c r="H16047" s="16"/>
    </row>
    <row r="16048" spans="5:8" x14ac:dyDescent="0.25">
      <c r="E16048" s="16"/>
      <c r="F16048" s="16"/>
      <c r="H16048" s="16"/>
    </row>
    <row r="16049" spans="5:8" x14ac:dyDescent="0.25">
      <c r="E16049" s="16"/>
      <c r="F16049" s="16"/>
      <c r="H16049" s="16"/>
    </row>
    <row r="16050" spans="5:8" x14ac:dyDescent="0.25">
      <c r="E16050" s="16"/>
      <c r="F16050" s="16"/>
      <c r="H16050" s="16"/>
    </row>
    <row r="16051" spans="5:8" x14ac:dyDescent="0.25">
      <c r="E16051" s="16"/>
      <c r="F16051" s="16"/>
      <c r="H16051" s="16"/>
    </row>
    <row r="16052" spans="5:8" x14ac:dyDescent="0.25">
      <c r="E16052" s="16"/>
      <c r="F16052" s="16"/>
      <c r="H16052" s="16"/>
    </row>
    <row r="16053" spans="5:8" x14ac:dyDescent="0.25">
      <c r="E16053" s="16"/>
      <c r="F16053" s="16"/>
      <c r="H16053" s="16"/>
    </row>
    <row r="16054" spans="5:8" x14ac:dyDescent="0.25">
      <c r="E16054" s="16"/>
      <c r="F16054" s="16"/>
      <c r="H16054" s="16"/>
    </row>
    <row r="16055" spans="5:8" x14ac:dyDescent="0.25">
      <c r="E16055" s="16"/>
      <c r="F16055" s="16"/>
      <c r="H16055" s="16"/>
    </row>
    <row r="16056" spans="5:8" x14ac:dyDescent="0.25">
      <c r="E16056" s="16"/>
      <c r="F16056" s="16"/>
      <c r="H16056" s="16"/>
    </row>
    <row r="16057" spans="5:8" x14ac:dyDescent="0.25">
      <c r="E16057" s="16"/>
      <c r="F16057" s="16"/>
      <c r="H16057" s="16"/>
    </row>
    <row r="16058" spans="5:8" x14ac:dyDescent="0.25">
      <c r="E16058" s="16"/>
      <c r="F16058" s="16"/>
      <c r="H16058" s="16"/>
    </row>
    <row r="16059" spans="5:8" x14ac:dyDescent="0.25">
      <c r="E16059" s="16"/>
      <c r="F16059" s="16"/>
      <c r="H16059" s="16"/>
    </row>
    <row r="16060" spans="5:8" x14ac:dyDescent="0.25">
      <c r="E16060" s="16"/>
      <c r="F16060" s="16"/>
      <c r="H16060" s="16"/>
    </row>
    <row r="16061" spans="5:8" x14ac:dyDescent="0.25">
      <c r="E16061" s="16"/>
      <c r="F16061" s="16"/>
      <c r="H16061" s="16"/>
    </row>
    <row r="16062" spans="5:8" x14ac:dyDescent="0.25">
      <c r="E16062" s="16"/>
      <c r="F16062" s="16"/>
      <c r="H16062" s="16"/>
    </row>
    <row r="16063" spans="5:8" x14ac:dyDescent="0.25">
      <c r="E16063" s="16"/>
      <c r="F16063" s="16"/>
      <c r="H16063" s="16"/>
    </row>
    <row r="16064" spans="5:8" x14ac:dyDescent="0.25">
      <c r="E16064" s="16"/>
      <c r="F16064" s="16"/>
      <c r="H16064" s="16"/>
    </row>
    <row r="16065" spans="5:8" x14ac:dyDescent="0.25">
      <c r="E16065" s="16"/>
      <c r="F16065" s="16"/>
      <c r="H16065" s="16"/>
    </row>
    <row r="16066" spans="5:8" x14ac:dyDescent="0.25">
      <c r="E16066" s="16"/>
      <c r="F16066" s="16"/>
      <c r="H16066" s="16"/>
    </row>
    <row r="16067" spans="5:8" x14ac:dyDescent="0.25">
      <c r="E16067" s="16"/>
      <c r="F16067" s="16"/>
      <c r="H16067" s="16"/>
    </row>
    <row r="16068" spans="5:8" x14ac:dyDescent="0.25">
      <c r="E16068" s="16"/>
      <c r="F16068" s="16"/>
      <c r="H16068" s="16"/>
    </row>
    <row r="16069" spans="5:8" x14ac:dyDescent="0.25">
      <c r="E16069" s="16"/>
      <c r="F16069" s="16"/>
      <c r="H16069" s="16"/>
    </row>
    <row r="16070" spans="5:8" x14ac:dyDescent="0.25">
      <c r="E16070" s="16"/>
      <c r="F16070" s="16"/>
      <c r="H16070" s="16"/>
    </row>
    <row r="16071" spans="5:8" x14ac:dyDescent="0.25">
      <c r="E16071" s="16"/>
      <c r="F16071" s="16"/>
      <c r="H16071" s="16"/>
    </row>
    <row r="16072" spans="5:8" x14ac:dyDescent="0.25">
      <c r="E16072" s="16"/>
      <c r="F16072" s="16"/>
      <c r="H16072" s="16"/>
    </row>
    <row r="16073" spans="5:8" x14ac:dyDescent="0.25">
      <c r="E16073" s="16"/>
      <c r="F16073" s="16"/>
      <c r="H16073" s="16"/>
    </row>
    <row r="16074" spans="5:8" x14ac:dyDescent="0.25">
      <c r="E16074" s="16"/>
      <c r="F16074" s="16"/>
      <c r="H16074" s="16"/>
    </row>
    <row r="16075" spans="5:8" x14ac:dyDescent="0.25">
      <c r="E16075" s="16"/>
      <c r="F16075" s="16"/>
      <c r="H16075" s="16"/>
    </row>
    <row r="16076" spans="5:8" x14ac:dyDescent="0.25">
      <c r="E16076" s="16"/>
      <c r="F16076" s="16"/>
      <c r="H16076" s="16"/>
    </row>
    <row r="16077" spans="5:8" x14ac:dyDescent="0.25">
      <c r="E16077" s="16"/>
      <c r="F16077" s="16"/>
      <c r="H16077" s="16"/>
    </row>
    <row r="16078" spans="5:8" x14ac:dyDescent="0.25">
      <c r="E16078" s="16"/>
      <c r="F16078" s="16"/>
      <c r="H16078" s="16"/>
    </row>
    <row r="16079" spans="5:8" x14ac:dyDescent="0.25">
      <c r="E16079" s="16"/>
      <c r="F16079" s="16"/>
      <c r="H16079" s="16"/>
    </row>
    <row r="16080" spans="5:8" x14ac:dyDescent="0.25">
      <c r="E16080" s="16"/>
      <c r="F16080" s="16"/>
      <c r="H16080" s="16"/>
    </row>
    <row r="16081" spans="5:8" x14ac:dyDescent="0.25">
      <c r="E16081" s="16"/>
      <c r="F16081" s="16"/>
      <c r="H16081" s="16"/>
    </row>
    <row r="16082" spans="5:8" x14ac:dyDescent="0.25">
      <c r="E16082" s="16"/>
      <c r="F16082" s="16"/>
      <c r="H16082" s="16"/>
    </row>
    <row r="16083" spans="5:8" x14ac:dyDescent="0.25">
      <c r="E16083" s="16"/>
      <c r="F16083" s="16"/>
      <c r="H16083" s="16"/>
    </row>
    <row r="16084" spans="5:8" x14ac:dyDescent="0.25">
      <c r="E16084" s="16"/>
      <c r="F16084" s="16"/>
      <c r="H16084" s="16"/>
    </row>
    <row r="16085" spans="5:8" x14ac:dyDescent="0.25">
      <c r="E16085" s="16"/>
      <c r="F16085" s="16"/>
      <c r="H16085" s="16"/>
    </row>
    <row r="16086" spans="5:8" x14ac:dyDescent="0.25">
      <c r="E16086" s="16"/>
      <c r="F16086" s="16"/>
      <c r="H16086" s="16"/>
    </row>
    <row r="16087" spans="5:8" x14ac:dyDescent="0.25">
      <c r="E16087" s="16"/>
      <c r="F16087" s="16"/>
      <c r="H16087" s="16"/>
    </row>
    <row r="16088" spans="5:8" x14ac:dyDescent="0.25">
      <c r="E16088" s="16"/>
      <c r="F16088" s="16"/>
      <c r="H16088" s="16"/>
    </row>
    <row r="16089" spans="5:8" x14ac:dyDescent="0.25">
      <c r="E16089" s="16"/>
      <c r="F16089" s="16"/>
      <c r="H16089" s="16"/>
    </row>
    <row r="16090" spans="5:8" x14ac:dyDescent="0.25">
      <c r="E16090" s="16"/>
      <c r="F16090" s="16"/>
      <c r="H16090" s="16"/>
    </row>
    <row r="16091" spans="5:8" x14ac:dyDescent="0.25">
      <c r="E16091" s="16"/>
      <c r="F16091" s="16"/>
      <c r="H16091" s="16"/>
    </row>
    <row r="16092" spans="5:8" x14ac:dyDescent="0.25">
      <c r="E16092" s="16"/>
      <c r="F16092" s="16"/>
      <c r="H16092" s="16"/>
    </row>
    <row r="16093" spans="5:8" x14ac:dyDescent="0.25">
      <c r="E16093" s="16"/>
      <c r="F16093" s="16"/>
      <c r="H16093" s="16"/>
    </row>
    <row r="16094" spans="5:8" x14ac:dyDescent="0.25">
      <c r="E16094" s="16"/>
      <c r="F16094" s="16"/>
      <c r="H16094" s="16"/>
    </row>
    <row r="16095" spans="5:8" x14ac:dyDescent="0.25">
      <c r="E16095" s="16"/>
      <c r="F16095" s="16"/>
      <c r="H16095" s="16"/>
    </row>
    <row r="16096" spans="5:8" x14ac:dyDescent="0.25">
      <c r="E16096" s="16"/>
      <c r="F16096" s="16"/>
      <c r="H16096" s="16"/>
    </row>
    <row r="16097" spans="5:8" x14ac:dyDescent="0.25">
      <c r="E16097" s="16"/>
      <c r="F16097" s="16"/>
      <c r="H16097" s="16"/>
    </row>
    <row r="16098" spans="5:8" x14ac:dyDescent="0.25">
      <c r="E16098" s="16"/>
      <c r="F16098" s="16"/>
      <c r="H16098" s="16"/>
    </row>
    <row r="16099" spans="5:8" x14ac:dyDescent="0.25">
      <c r="E16099" s="16"/>
      <c r="F16099" s="16"/>
      <c r="H16099" s="16"/>
    </row>
    <row r="16100" spans="5:8" x14ac:dyDescent="0.25">
      <c r="E16100" s="16"/>
      <c r="F16100" s="16"/>
      <c r="H16100" s="16"/>
    </row>
    <row r="16101" spans="5:8" x14ac:dyDescent="0.25">
      <c r="E16101" s="16"/>
      <c r="F16101" s="16"/>
      <c r="H16101" s="16"/>
    </row>
    <row r="16102" spans="5:8" x14ac:dyDescent="0.25">
      <c r="E16102" s="16"/>
      <c r="F16102" s="16"/>
      <c r="H16102" s="16"/>
    </row>
    <row r="16103" spans="5:8" x14ac:dyDescent="0.25">
      <c r="E16103" s="16"/>
      <c r="F16103" s="16"/>
      <c r="H16103" s="16"/>
    </row>
    <row r="16104" spans="5:8" x14ac:dyDescent="0.25">
      <c r="E16104" s="16"/>
      <c r="F16104" s="16"/>
      <c r="H16104" s="16"/>
    </row>
    <row r="16105" spans="5:8" x14ac:dyDescent="0.25">
      <c r="E16105" s="16"/>
      <c r="F16105" s="16"/>
      <c r="H16105" s="16"/>
    </row>
    <row r="16106" spans="5:8" x14ac:dyDescent="0.25">
      <c r="E16106" s="16"/>
      <c r="F16106" s="16"/>
      <c r="H16106" s="16"/>
    </row>
    <row r="16107" spans="5:8" x14ac:dyDescent="0.25">
      <c r="E16107" s="16"/>
      <c r="F16107" s="16"/>
      <c r="H16107" s="16"/>
    </row>
    <row r="16108" spans="5:8" x14ac:dyDescent="0.25">
      <c r="E16108" s="16"/>
      <c r="F16108" s="16"/>
      <c r="H16108" s="16"/>
    </row>
    <row r="16109" spans="5:8" x14ac:dyDescent="0.25">
      <c r="E16109" s="16"/>
      <c r="F16109" s="16"/>
      <c r="H16109" s="16"/>
    </row>
    <row r="16110" spans="5:8" x14ac:dyDescent="0.25">
      <c r="E16110" s="16"/>
      <c r="F16110" s="16"/>
      <c r="H16110" s="16"/>
    </row>
    <row r="16111" spans="5:8" x14ac:dyDescent="0.25">
      <c r="E16111" s="16"/>
      <c r="F16111" s="16"/>
      <c r="H16111" s="16"/>
    </row>
    <row r="16112" spans="5:8" x14ac:dyDescent="0.25">
      <c r="E16112" s="16"/>
      <c r="F16112" s="16"/>
      <c r="H16112" s="16"/>
    </row>
    <row r="16113" spans="5:8" x14ac:dyDescent="0.25">
      <c r="E16113" s="16"/>
      <c r="F16113" s="16"/>
      <c r="H16113" s="16"/>
    </row>
    <row r="16114" spans="5:8" x14ac:dyDescent="0.25">
      <c r="E16114" s="16"/>
      <c r="F16114" s="16"/>
      <c r="H16114" s="16"/>
    </row>
    <row r="16115" spans="5:8" x14ac:dyDescent="0.25">
      <c r="E16115" s="16"/>
      <c r="F16115" s="16"/>
      <c r="H16115" s="16"/>
    </row>
    <row r="16116" spans="5:8" x14ac:dyDescent="0.25">
      <c r="E16116" s="16"/>
      <c r="F16116" s="16"/>
      <c r="H16116" s="16"/>
    </row>
    <row r="16117" spans="5:8" x14ac:dyDescent="0.25">
      <c r="E16117" s="16"/>
      <c r="F16117" s="16"/>
      <c r="H16117" s="16"/>
    </row>
    <row r="16118" spans="5:8" x14ac:dyDescent="0.25">
      <c r="E16118" s="16"/>
      <c r="F16118" s="16"/>
      <c r="H16118" s="16"/>
    </row>
    <row r="16119" spans="5:8" x14ac:dyDescent="0.25">
      <c r="E16119" s="16"/>
      <c r="F16119" s="16"/>
      <c r="H16119" s="16"/>
    </row>
    <row r="16120" spans="5:8" x14ac:dyDescent="0.25">
      <c r="E16120" s="16"/>
      <c r="F16120" s="16"/>
      <c r="H16120" s="16"/>
    </row>
    <row r="16121" spans="5:8" x14ac:dyDescent="0.25">
      <c r="E16121" s="16"/>
      <c r="F16121" s="16"/>
      <c r="H16121" s="16"/>
    </row>
    <row r="16122" spans="5:8" x14ac:dyDescent="0.25">
      <c r="E16122" s="16"/>
      <c r="F16122" s="16"/>
      <c r="H16122" s="16"/>
    </row>
    <row r="16123" spans="5:8" x14ac:dyDescent="0.25">
      <c r="E16123" s="16"/>
      <c r="F16123" s="16"/>
      <c r="H16123" s="16"/>
    </row>
    <row r="16124" spans="5:8" x14ac:dyDescent="0.25">
      <c r="E16124" s="16"/>
      <c r="F16124" s="16"/>
      <c r="H16124" s="16"/>
    </row>
    <row r="16125" spans="5:8" x14ac:dyDescent="0.25">
      <c r="E16125" s="16"/>
      <c r="F16125" s="16"/>
      <c r="H16125" s="16"/>
    </row>
    <row r="16126" spans="5:8" x14ac:dyDescent="0.25">
      <c r="E16126" s="16"/>
      <c r="F16126" s="16"/>
      <c r="H16126" s="16"/>
    </row>
    <row r="16127" spans="5:8" x14ac:dyDescent="0.25">
      <c r="E16127" s="16"/>
      <c r="F16127" s="16"/>
      <c r="H16127" s="16"/>
    </row>
    <row r="16128" spans="5:8" x14ac:dyDescent="0.25">
      <c r="E16128" s="16"/>
      <c r="F16128" s="16"/>
      <c r="H16128" s="16"/>
    </row>
    <row r="16129" spans="5:8" x14ac:dyDescent="0.25">
      <c r="E16129" s="16"/>
      <c r="F16129" s="16"/>
      <c r="H16129" s="16"/>
    </row>
    <row r="16130" spans="5:8" x14ac:dyDescent="0.25">
      <c r="E16130" s="16"/>
      <c r="F16130" s="16"/>
      <c r="H16130" s="16"/>
    </row>
    <row r="16131" spans="5:8" x14ac:dyDescent="0.25">
      <c r="E16131" s="16"/>
      <c r="F16131" s="16"/>
      <c r="H16131" s="16"/>
    </row>
    <row r="16132" spans="5:8" x14ac:dyDescent="0.25">
      <c r="E16132" s="16"/>
      <c r="F16132" s="16"/>
      <c r="H16132" s="16"/>
    </row>
    <row r="16133" spans="5:8" x14ac:dyDescent="0.25">
      <c r="E16133" s="16"/>
      <c r="F16133" s="16"/>
      <c r="H16133" s="16"/>
    </row>
    <row r="16134" spans="5:8" x14ac:dyDescent="0.25">
      <c r="E16134" s="16"/>
      <c r="F16134" s="16"/>
      <c r="H16134" s="16"/>
    </row>
    <row r="16135" spans="5:8" x14ac:dyDescent="0.25">
      <c r="E16135" s="16"/>
      <c r="F16135" s="16"/>
      <c r="H16135" s="16"/>
    </row>
    <row r="16136" spans="5:8" x14ac:dyDescent="0.25">
      <c r="E16136" s="16"/>
      <c r="F16136" s="16"/>
      <c r="H16136" s="16"/>
    </row>
    <row r="16137" spans="5:8" x14ac:dyDescent="0.25">
      <c r="E16137" s="16"/>
      <c r="F16137" s="16"/>
      <c r="H16137" s="16"/>
    </row>
    <row r="16138" spans="5:8" x14ac:dyDescent="0.25">
      <c r="E16138" s="16"/>
      <c r="F16138" s="16"/>
      <c r="H16138" s="16"/>
    </row>
    <row r="16139" spans="5:8" x14ac:dyDescent="0.25">
      <c r="E16139" s="16"/>
      <c r="F16139" s="16"/>
      <c r="H16139" s="16"/>
    </row>
    <row r="16140" spans="5:8" x14ac:dyDescent="0.25">
      <c r="E16140" s="16"/>
      <c r="F16140" s="16"/>
      <c r="H16140" s="16"/>
    </row>
    <row r="16141" spans="5:8" x14ac:dyDescent="0.25">
      <c r="E16141" s="16"/>
      <c r="F16141" s="16"/>
      <c r="H16141" s="16"/>
    </row>
    <row r="16142" spans="5:8" x14ac:dyDescent="0.25">
      <c r="E16142" s="16"/>
      <c r="F16142" s="16"/>
      <c r="H16142" s="16"/>
    </row>
    <row r="16143" spans="5:8" x14ac:dyDescent="0.25">
      <c r="E16143" s="16"/>
      <c r="F16143" s="16"/>
      <c r="H16143" s="16"/>
    </row>
    <row r="16144" spans="5:8" x14ac:dyDescent="0.25">
      <c r="E16144" s="16"/>
      <c r="F16144" s="16"/>
      <c r="H16144" s="16"/>
    </row>
    <row r="16145" spans="5:8" x14ac:dyDescent="0.25">
      <c r="E16145" s="16"/>
      <c r="F16145" s="16"/>
      <c r="H16145" s="16"/>
    </row>
    <row r="16146" spans="5:8" x14ac:dyDescent="0.25">
      <c r="E16146" s="16"/>
      <c r="F16146" s="16"/>
      <c r="H16146" s="16"/>
    </row>
    <row r="16147" spans="5:8" x14ac:dyDescent="0.25">
      <c r="E16147" s="16"/>
      <c r="F16147" s="16"/>
      <c r="H16147" s="16"/>
    </row>
    <row r="16148" spans="5:8" x14ac:dyDescent="0.25">
      <c r="E16148" s="16"/>
      <c r="F16148" s="16"/>
      <c r="H16148" s="16"/>
    </row>
    <row r="16149" spans="5:8" x14ac:dyDescent="0.25">
      <c r="E16149" s="16"/>
      <c r="F16149" s="16"/>
      <c r="H16149" s="16"/>
    </row>
    <row r="16150" spans="5:8" x14ac:dyDescent="0.25">
      <c r="E16150" s="16"/>
      <c r="F16150" s="16"/>
      <c r="H16150" s="16"/>
    </row>
    <row r="16151" spans="5:8" x14ac:dyDescent="0.25">
      <c r="E16151" s="16"/>
      <c r="F16151" s="16"/>
      <c r="H16151" s="16"/>
    </row>
    <row r="16152" spans="5:8" x14ac:dyDescent="0.25">
      <c r="E16152" s="16"/>
      <c r="F16152" s="16"/>
      <c r="H16152" s="16"/>
    </row>
    <row r="16153" spans="5:8" x14ac:dyDescent="0.25">
      <c r="E16153" s="16"/>
      <c r="F16153" s="16"/>
      <c r="H16153" s="16"/>
    </row>
    <row r="16154" spans="5:8" x14ac:dyDescent="0.25">
      <c r="E16154" s="16"/>
      <c r="F16154" s="16"/>
      <c r="H16154" s="16"/>
    </row>
    <row r="16155" spans="5:8" x14ac:dyDescent="0.25">
      <c r="E16155" s="16"/>
      <c r="F16155" s="16"/>
      <c r="H16155" s="16"/>
    </row>
    <row r="16156" spans="5:8" x14ac:dyDescent="0.25">
      <c r="E16156" s="16"/>
      <c r="F16156" s="16"/>
      <c r="H16156" s="16"/>
    </row>
    <row r="16157" spans="5:8" x14ac:dyDescent="0.25">
      <c r="E16157" s="16"/>
      <c r="F16157" s="16"/>
      <c r="H16157" s="16"/>
    </row>
    <row r="16158" spans="5:8" x14ac:dyDescent="0.25">
      <c r="E16158" s="16"/>
      <c r="F16158" s="16"/>
      <c r="H16158" s="16"/>
    </row>
    <row r="16159" spans="5:8" x14ac:dyDescent="0.25">
      <c r="E16159" s="16"/>
      <c r="F16159" s="16"/>
      <c r="H16159" s="16"/>
    </row>
    <row r="16160" spans="5:8" x14ac:dyDescent="0.25">
      <c r="E16160" s="16"/>
      <c r="F16160" s="16"/>
      <c r="H16160" s="16"/>
    </row>
    <row r="16161" spans="5:8" x14ac:dyDescent="0.25">
      <c r="E16161" s="16"/>
      <c r="F16161" s="16"/>
      <c r="H16161" s="16"/>
    </row>
    <row r="16162" spans="5:8" x14ac:dyDescent="0.25">
      <c r="E16162" s="16"/>
      <c r="F16162" s="16"/>
      <c r="H16162" s="16"/>
    </row>
    <row r="16163" spans="5:8" x14ac:dyDescent="0.25">
      <c r="E16163" s="16"/>
      <c r="F16163" s="16"/>
      <c r="H16163" s="16"/>
    </row>
    <row r="16164" spans="5:8" x14ac:dyDescent="0.25">
      <c r="E16164" s="16"/>
      <c r="F16164" s="16"/>
      <c r="H16164" s="16"/>
    </row>
    <row r="16165" spans="5:8" x14ac:dyDescent="0.25">
      <c r="E16165" s="16"/>
      <c r="F16165" s="16"/>
      <c r="H16165" s="16"/>
    </row>
    <row r="16166" spans="5:8" x14ac:dyDescent="0.25">
      <c r="E16166" s="16"/>
      <c r="F16166" s="16"/>
      <c r="H16166" s="16"/>
    </row>
    <row r="16167" spans="5:8" x14ac:dyDescent="0.25">
      <c r="E16167" s="16"/>
      <c r="F16167" s="16"/>
      <c r="H16167" s="16"/>
    </row>
    <row r="16168" spans="5:8" x14ac:dyDescent="0.25">
      <c r="E16168" s="16"/>
      <c r="F16168" s="16"/>
      <c r="H16168" s="16"/>
    </row>
    <row r="16169" spans="5:8" x14ac:dyDescent="0.25">
      <c r="E16169" s="16"/>
      <c r="F16169" s="16"/>
      <c r="H16169" s="16"/>
    </row>
    <row r="16170" spans="5:8" x14ac:dyDescent="0.25">
      <c r="E16170" s="16"/>
      <c r="F16170" s="16"/>
      <c r="H16170" s="16"/>
    </row>
    <row r="16171" spans="5:8" x14ac:dyDescent="0.25">
      <c r="E16171" s="16"/>
      <c r="F16171" s="16"/>
      <c r="H16171" s="16"/>
    </row>
    <row r="16172" spans="5:8" x14ac:dyDescent="0.25">
      <c r="E16172" s="16"/>
      <c r="F16172" s="16"/>
      <c r="H16172" s="16"/>
    </row>
    <row r="16173" spans="5:8" x14ac:dyDescent="0.25">
      <c r="E16173" s="16"/>
      <c r="F16173" s="16"/>
      <c r="H16173" s="16"/>
    </row>
    <row r="16174" spans="5:8" x14ac:dyDescent="0.25">
      <c r="E16174" s="16"/>
      <c r="F16174" s="16"/>
      <c r="H16174" s="16"/>
    </row>
    <row r="16175" spans="5:8" x14ac:dyDescent="0.25">
      <c r="E16175" s="16"/>
      <c r="F16175" s="16"/>
      <c r="H16175" s="16"/>
    </row>
    <row r="16176" spans="5:8" x14ac:dyDescent="0.25">
      <c r="E16176" s="16"/>
      <c r="F16176" s="16"/>
      <c r="H16176" s="16"/>
    </row>
    <row r="16177" spans="5:8" x14ac:dyDescent="0.25">
      <c r="E16177" s="16"/>
      <c r="F16177" s="16"/>
      <c r="H16177" s="16"/>
    </row>
    <row r="16178" spans="5:8" x14ac:dyDescent="0.25">
      <c r="E16178" s="16"/>
      <c r="F16178" s="16"/>
      <c r="H16178" s="16"/>
    </row>
    <row r="16179" spans="5:8" x14ac:dyDescent="0.25">
      <c r="E16179" s="16"/>
      <c r="F16179" s="16"/>
      <c r="H16179" s="16"/>
    </row>
    <row r="16180" spans="5:8" x14ac:dyDescent="0.25">
      <c r="E16180" s="16"/>
      <c r="F16180" s="16"/>
      <c r="H16180" s="16"/>
    </row>
    <row r="16181" spans="5:8" x14ac:dyDescent="0.25">
      <c r="E16181" s="16"/>
      <c r="F16181" s="16"/>
      <c r="H16181" s="16"/>
    </row>
    <row r="16182" spans="5:8" x14ac:dyDescent="0.25">
      <c r="E16182" s="16"/>
      <c r="F16182" s="16"/>
      <c r="H16182" s="16"/>
    </row>
    <row r="16183" spans="5:8" x14ac:dyDescent="0.25">
      <c r="E16183" s="16"/>
      <c r="F16183" s="16"/>
      <c r="H16183" s="16"/>
    </row>
    <row r="16184" spans="5:8" x14ac:dyDescent="0.25">
      <c r="E16184" s="16"/>
      <c r="F16184" s="16"/>
      <c r="H16184" s="16"/>
    </row>
    <row r="16185" spans="5:8" x14ac:dyDescent="0.25">
      <c r="E16185" s="16"/>
      <c r="F16185" s="16"/>
      <c r="H16185" s="16"/>
    </row>
    <row r="16186" spans="5:8" x14ac:dyDescent="0.25">
      <c r="E16186" s="16"/>
      <c r="F16186" s="16"/>
      <c r="H16186" s="16"/>
    </row>
    <row r="16187" spans="5:8" x14ac:dyDescent="0.25">
      <c r="E16187" s="16"/>
      <c r="F16187" s="16"/>
      <c r="H16187" s="16"/>
    </row>
    <row r="16188" spans="5:8" x14ac:dyDescent="0.25">
      <c r="E16188" s="16"/>
      <c r="F16188" s="16"/>
      <c r="H16188" s="16"/>
    </row>
    <row r="16189" spans="5:8" x14ac:dyDescent="0.25">
      <c r="E16189" s="16"/>
      <c r="F16189" s="16"/>
      <c r="H16189" s="16"/>
    </row>
    <row r="16190" spans="5:8" x14ac:dyDescent="0.25">
      <c r="E16190" s="16"/>
      <c r="F16190" s="16"/>
      <c r="H16190" s="16"/>
    </row>
    <row r="16191" spans="5:8" x14ac:dyDescent="0.25">
      <c r="E16191" s="16"/>
      <c r="F16191" s="16"/>
      <c r="H16191" s="16"/>
    </row>
    <row r="16192" spans="5:8" x14ac:dyDescent="0.25">
      <c r="E16192" s="16"/>
      <c r="F16192" s="16"/>
      <c r="H16192" s="16"/>
    </row>
    <row r="16193" spans="5:8" x14ac:dyDescent="0.25">
      <c r="E16193" s="16"/>
      <c r="F16193" s="16"/>
      <c r="H16193" s="16"/>
    </row>
    <row r="16194" spans="5:8" x14ac:dyDescent="0.25">
      <c r="E16194" s="16"/>
      <c r="F16194" s="16"/>
      <c r="H16194" s="16"/>
    </row>
    <row r="16195" spans="5:8" x14ac:dyDescent="0.25">
      <c r="E16195" s="16"/>
      <c r="F16195" s="16"/>
      <c r="H16195" s="16"/>
    </row>
    <row r="16196" spans="5:8" x14ac:dyDescent="0.25">
      <c r="E16196" s="16"/>
      <c r="F16196" s="16"/>
      <c r="H16196" s="16"/>
    </row>
    <row r="16197" spans="5:8" x14ac:dyDescent="0.25">
      <c r="E16197" s="16"/>
      <c r="F16197" s="16"/>
      <c r="H16197" s="16"/>
    </row>
    <row r="16198" spans="5:8" x14ac:dyDescent="0.25">
      <c r="E16198" s="16"/>
      <c r="F16198" s="16"/>
      <c r="H16198" s="16"/>
    </row>
    <row r="16199" spans="5:8" x14ac:dyDescent="0.25">
      <c r="E16199" s="16"/>
      <c r="F16199" s="16"/>
      <c r="H16199" s="16"/>
    </row>
    <row r="16200" spans="5:8" x14ac:dyDescent="0.25">
      <c r="E16200" s="16"/>
      <c r="F16200" s="16"/>
      <c r="H16200" s="16"/>
    </row>
    <row r="16201" spans="5:8" x14ac:dyDescent="0.25">
      <c r="E16201" s="16"/>
      <c r="F16201" s="16"/>
      <c r="H16201" s="16"/>
    </row>
    <row r="16202" spans="5:8" x14ac:dyDescent="0.25">
      <c r="E16202" s="16"/>
      <c r="F16202" s="16"/>
      <c r="H16202" s="16"/>
    </row>
    <row r="16203" spans="5:8" x14ac:dyDescent="0.25">
      <c r="E16203" s="16"/>
      <c r="F16203" s="16"/>
      <c r="H16203" s="16"/>
    </row>
    <row r="16204" spans="5:8" x14ac:dyDescent="0.25">
      <c r="E16204" s="16"/>
      <c r="F16204" s="16"/>
      <c r="H16204" s="16"/>
    </row>
    <row r="16205" spans="5:8" x14ac:dyDescent="0.25">
      <c r="E16205" s="16"/>
      <c r="F16205" s="16"/>
      <c r="H16205" s="16"/>
    </row>
    <row r="16206" spans="5:8" x14ac:dyDescent="0.25">
      <c r="E16206" s="16"/>
      <c r="F16206" s="16"/>
      <c r="H16206" s="16"/>
    </row>
    <row r="16207" spans="5:8" x14ac:dyDescent="0.25">
      <c r="E16207" s="16"/>
      <c r="F16207" s="16"/>
      <c r="H16207" s="16"/>
    </row>
    <row r="16208" spans="5:8" x14ac:dyDescent="0.25">
      <c r="E16208" s="16"/>
      <c r="F16208" s="16"/>
      <c r="H16208" s="16"/>
    </row>
    <row r="16209" spans="5:8" x14ac:dyDescent="0.25">
      <c r="E16209" s="16"/>
      <c r="F16209" s="16"/>
      <c r="H16209" s="16"/>
    </row>
    <row r="16210" spans="5:8" x14ac:dyDescent="0.25">
      <c r="E16210" s="16"/>
      <c r="F16210" s="16"/>
      <c r="H16210" s="16"/>
    </row>
    <row r="16211" spans="5:8" x14ac:dyDescent="0.25">
      <c r="E16211" s="16"/>
      <c r="F16211" s="16"/>
      <c r="H16211" s="16"/>
    </row>
    <row r="16212" spans="5:8" x14ac:dyDescent="0.25">
      <c r="E16212" s="16"/>
      <c r="F16212" s="16"/>
      <c r="H16212" s="16"/>
    </row>
    <row r="16213" spans="5:8" x14ac:dyDescent="0.25">
      <c r="E16213" s="16"/>
      <c r="F16213" s="16"/>
      <c r="H16213" s="16"/>
    </row>
    <row r="16214" spans="5:8" x14ac:dyDescent="0.25">
      <c r="E16214" s="16"/>
      <c r="F16214" s="16"/>
      <c r="H16214" s="16"/>
    </row>
    <row r="16215" spans="5:8" x14ac:dyDescent="0.25">
      <c r="E16215" s="16"/>
      <c r="F16215" s="16"/>
      <c r="H16215" s="16"/>
    </row>
    <row r="16216" spans="5:8" x14ac:dyDescent="0.25">
      <c r="E16216" s="16"/>
      <c r="F16216" s="16"/>
      <c r="H16216" s="16"/>
    </row>
    <row r="16217" spans="5:8" x14ac:dyDescent="0.25">
      <c r="E16217" s="16"/>
      <c r="F16217" s="16"/>
      <c r="H16217" s="16"/>
    </row>
    <row r="16218" spans="5:8" x14ac:dyDescent="0.25">
      <c r="E16218" s="16"/>
      <c r="F16218" s="16"/>
      <c r="H16218" s="16"/>
    </row>
    <row r="16219" spans="5:8" x14ac:dyDescent="0.25">
      <c r="E16219" s="16"/>
      <c r="F16219" s="16"/>
      <c r="H16219" s="16"/>
    </row>
    <row r="16220" spans="5:8" x14ac:dyDescent="0.25">
      <c r="E16220" s="16"/>
      <c r="F16220" s="16"/>
      <c r="H16220" s="16"/>
    </row>
    <row r="16221" spans="5:8" x14ac:dyDescent="0.25">
      <c r="E16221" s="16"/>
      <c r="F16221" s="16"/>
      <c r="H16221" s="16"/>
    </row>
    <row r="16222" spans="5:8" x14ac:dyDescent="0.25">
      <c r="E16222" s="16"/>
      <c r="F16222" s="16"/>
      <c r="H16222" s="16"/>
    </row>
    <row r="16223" spans="5:8" x14ac:dyDescent="0.25">
      <c r="E16223" s="16"/>
      <c r="F16223" s="16"/>
      <c r="H16223" s="16"/>
    </row>
    <row r="16224" spans="5:8" x14ac:dyDescent="0.25">
      <c r="E16224" s="16"/>
      <c r="F16224" s="16"/>
      <c r="H16224" s="16"/>
    </row>
    <row r="16225" spans="5:8" x14ac:dyDescent="0.25">
      <c r="E16225" s="16"/>
      <c r="F16225" s="16"/>
      <c r="H16225" s="16"/>
    </row>
    <row r="16226" spans="5:8" x14ac:dyDescent="0.25">
      <c r="E16226" s="16"/>
      <c r="F16226" s="16"/>
      <c r="H16226" s="16"/>
    </row>
    <row r="16227" spans="5:8" x14ac:dyDescent="0.25">
      <c r="E16227" s="16"/>
      <c r="F16227" s="16"/>
      <c r="H16227" s="16"/>
    </row>
    <row r="16228" spans="5:8" x14ac:dyDescent="0.25">
      <c r="E16228" s="16"/>
      <c r="F16228" s="16"/>
      <c r="H16228" s="16"/>
    </row>
    <row r="16229" spans="5:8" x14ac:dyDescent="0.25">
      <c r="E16229" s="16"/>
      <c r="F16229" s="16"/>
      <c r="H16229" s="16"/>
    </row>
    <row r="16230" spans="5:8" x14ac:dyDescent="0.25">
      <c r="E16230" s="16"/>
      <c r="F16230" s="16"/>
      <c r="H16230" s="16"/>
    </row>
    <row r="16231" spans="5:8" x14ac:dyDescent="0.25">
      <c r="E16231" s="16"/>
      <c r="F16231" s="16"/>
      <c r="H16231" s="16"/>
    </row>
    <row r="16232" spans="5:8" x14ac:dyDescent="0.25">
      <c r="E16232" s="16"/>
      <c r="F16232" s="16"/>
      <c r="H16232" s="16"/>
    </row>
    <row r="16233" spans="5:8" x14ac:dyDescent="0.25">
      <c r="E16233" s="16"/>
      <c r="F16233" s="16"/>
      <c r="H16233" s="16"/>
    </row>
    <row r="16234" spans="5:8" x14ac:dyDescent="0.25">
      <c r="E16234" s="16"/>
      <c r="F16234" s="16"/>
      <c r="H16234" s="16"/>
    </row>
    <row r="16235" spans="5:8" x14ac:dyDescent="0.25">
      <c r="E16235" s="16"/>
      <c r="F16235" s="16"/>
      <c r="H16235" s="16"/>
    </row>
    <row r="16236" spans="5:8" x14ac:dyDescent="0.25">
      <c r="E16236" s="16"/>
      <c r="F16236" s="16"/>
      <c r="H16236" s="16"/>
    </row>
    <row r="16237" spans="5:8" x14ac:dyDescent="0.25">
      <c r="E16237" s="16"/>
      <c r="F16237" s="16"/>
      <c r="H16237" s="16"/>
    </row>
    <row r="16238" spans="5:8" x14ac:dyDescent="0.25">
      <c r="E16238" s="16"/>
      <c r="F16238" s="16"/>
      <c r="H16238" s="16"/>
    </row>
    <row r="16239" spans="5:8" x14ac:dyDescent="0.25">
      <c r="E16239" s="16"/>
      <c r="F16239" s="16"/>
      <c r="H16239" s="16"/>
    </row>
    <row r="16240" spans="5:8" x14ac:dyDescent="0.25">
      <c r="E16240" s="16"/>
      <c r="F16240" s="16"/>
      <c r="H16240" s="16"/>
    </row>
    <row r="16241" spans="5:8" x14ac:dyDescent="0.25">
      <c r="E16241" s="16"/>
      <c r="F16241" s="16"/>
      <c r="H16241" s="16"/>
    </row>
    <row r="16242" spans="5:8" x14ac:dyDescent="0.25">
      <c r="E16242" s="16"/>
      <c r="F16242" s="16"/>
      <c r="H16242" s="16"/>
    </row>
    <row r="16243" spans="5:8" x14ac:dyDescent="0.25">
      <c r="E16243" s="16"/>
      <c r="F16243" s="16"/>
      <c r="H16243" s="16"/>
    </row>
    <row r="16244" spans="5:8" x14ac:dyDescent="0.25">
      <c r="E16244" s="16"/>
      <c r="F16244" s="16"/>
      <c r="H16244" s="16"/>
    </row>
    <row r="16245" spans="5:8" x14ac:dyDescent="0.25">
      <c r="E16245" s="16"/>
      <c r="F16245" s="16"/>
      <c r="H16245" s="16"/>
    </row>
    <row r="16246" spans="5:8" x14ac:dyDescent="0.25">
      <c r="E16246" s="16"/>
      <c r="F16246" s="16"/>
      <c r="H16246" s="16"/>
    </row>
    <row r="16247" spans="5:8" x14ac:dyDescent="0.25">
      <c r="E16247" s="16"/>
      <c r="F16247" s="16"/>
      <c r="H16247" s="16"/>
    </row>
    <row r="16248" spans="5:8" x14ac:dyDescent="0.25">
      <c r="E16248" s="16"/>
      <c r="F16248" s="16"/>
      <c r="H16248" s="16"/>
    </row>
    <row r="16249" spans="5:8" x14ac:dyDescent="0.25">
      <c r="E16249" s="16"/>
      <c r="F16249" s="16"/>
      <c r="H16249" s="16"/>
    </row>
    <row r="16250" spans="5:8" x14ac:dyDescent="0.25">
      <c r="E16250" s="16"/>
      <c r="F16250" s="16"/>
      <c r="H16250" s="16"/>
    </row>
    <row r="16251" spans="5:8" x14ac:dyDescent="0.25">
      <c r="E16251" s="16"/>
      <c r="F16251" s="16"/>
      <c r="H16251" s="16"/>
    </row>
    <row r="16252" spans="5:8" x14ac:dyDescent="0.25">
      <c r="E16252" s="16"/>
      <c r="F16252" s="16"/>
      <c r="H16252" s="16"/>
    </row>
    <row r="16253" spans="5:8" x14ac:dyDescent="0.25">
      <c r="E16253" s="16"/>
      <c r="F16253" s="16"/>
      <c r="H16253" s="16"/>
    </row>
    <row r="16254" spans="5:8" x14ac:dyDescent="0.25">
      <c r="E16254" s="16"/>
      <c r="F16254" s="16"/>
      <c r="H16254" s="16"/>
    </row>
    <row r="16255" spans="5:8" x14ac:dyDescent="0.25">
      <c r="E16255" s="16"/>
      <c r="F16255" s="16"/>
      <c r="H16255" s="16"/>
    </row>
    <row r="16256" spans="5:8" x14ac:dyDescent="0.25">
      <c r="E16256" s="16"/>
      <c r="F16256" s="16"/>
      <c r="H16256" s="16"/>
    </row>
    <row r="16257" spans="5:8" x14ac:dyDescent="0.25">
      <c r="E16257" s="16"/>
      <c r="F16257" s="16"/>
      <c r="H16257" s="16"/>
    </row>
    <row r="16258" spans="5:8" x14ac:dyDescent="0.25">
      <c r="E16258" s="16"/>
      <c r="F16258" s="16"/>
      <c r="H16258" s="16"/>
    </row>
    <row r="16259" spans="5:8" x14ac:dyDescent="0.25">
      <c r="E16259" s="16"/>
      <c r="F16259" s="16"/>
      <c r="H16259" s="16"/>
    </row>
    <row r="16260" spans="5:8" x14ac:dyDescent="0.25">
      <c r="E16260" s="16"/>
      <c r="F16260" s="16"/>
      <c r="H16260" s="16"/>
    </row>
    <row r="16261" spans="5:8" x14ac:dyDescent="0.25">
      <c r="E16261" s="16"/>
      <c r="F16261" s="16"/>
      <c r="H16261" s="16"/>
    </row>
    <row r="16262" spans="5:8" x14ac:dyDescent="0.25">
      <c r="E16262" s="16"/>
      <c r="F16262" s="16"/>
      <c r="H16262" s="16"/>
    </row>
    <row r="16263" spans="5:8" x14ac:dyDescent="0.25">
      <c r="E16263" s="16"/>
      <c r="F16263" s="16"/>
      <c r="H16263" s="16"/>
    </row>
    <row r="16264" spans="5:8" x14ac:dyDescent="0.25">
      <c r="E16264" s="16"/>
      <c r="F16264" s="16"/>
      <c r="H16264" s="16"/>
    </row>
    <row r="16265" spans="5:8" x14ac:dyDescent="0.25">
      <c r="E16265" s="16"/>
      <c r="F16265" s="16"/>
      <c r="H16265" s="16"/>
    </row>
    <row r="16266" spans="5:8" x14ac:dyDescent="0.25">
      <c r="E16266" s="16"/>
      <c r="F16266" s="16"/>
      <c r="H16266" s="16"/>
    </row>
    <row r="16267" spans="5:8" x14ac:dyDescent="0.25">
      <c r="E16267" s="16"/>
      <c r="F16267" s="16"/>
      <c r="H16267" s="16"/>
    </row>
    <row r="16268" spans="5:8" x14ac:dyDescent="0.25">
      <c r="E16268" s="16"/>
      <c r="F16268" s="16"/>
      <c r="H16268" s="16"/>
    </row>
    <row r="16269" spans="5:8" x14ac:dyDescent="0.25">
      <c r="E16269" s="16"/>
      <c r="F16269" s="16"/>
      <c r="H16269" s="16"/>
    </row>
    <row r="16270" spans="5:8" x14ac:dyDescent="0.25">
      <c r="E16270" s="16"/>
      <c r="F16270" s="16"/>
      <c r="H16270" s="16"/>
    </row>
    <row r="16271" spans="5:8" x14ac:dyDescent="0.25">
      <c r="E16271" s="16"/>
      <c r="F16271" s="16"/>
      <c r="H16271" s="16"/>
    </row>
    <row r="16272" spans="5:8" x14ac:dyDescent="0.25">
      <c r="E16272" s="16"/>
      <c r="F16272" s="16"/>
      <c r="H16272" s="16"/>
    </row>
    <row r="16273" spans="5:8" x14ac:dyDescent="0.25">
      <c r="E16273" s="16"/>
      <c r="F16273" s="16"/>
      <c r="H16273" s="16"/>
    </row>
    <row r="16274" spans="5:8" x14ac:dyDescent="0.25">
      <c r="E16274" s="16"/>
      <c r="F16274" s="16"/>
      <c r="H16274" s="16"/>
    </row>
    <row r="16275" spans="5:8" x14ac:dyDescent="0.25">
      <c r="E16275" s="16"/>
      <c r="F16275" s="16"/>
      <c r="H16275" s="16"/>
    </row>
    <row r="16276" spans="5:8" x14ac:dyDescent="0.25">
      <c r="E16276" s="16"/>
      <c r="F16276" s="16"/>
      <c r="H16276" s="16"/>
    </row>
    <row r="16277" spans="5:8" x14ac:dyDescent="0.25">
      <c r="E16277" s="16"/>
      <c r="F16277" s="16"/>
      <c r="H16277" s="16"/>
    </row>
    <row r="16278" spans="5:8" x14ac:dyDescent="0.25">
      <c r="E16278" s="16"/>
      <c r="F16278" s="16"/>
      <c r="H16278" s="16"/>
    </row>
    <row r="16279" spans="5:8" x14ac:dyDescent="0.25">
      <c r="E16279" s="16"/>
      <c r="F16279" s="16"/>
      <c r="H16279" s="16"/>
    </row>
    <row r="16280" spans="5:8" x14ac:dyDescent="0.25">
      <c r="E16280" s="16"/>
      <c r="F16280" s="16"/>
      <c r="H16280" s="16"/>
    </row>
    <row r="16281" spans="5:8" x14ac:dyDescent="0.25">
      <c r="E16281" s="16"/>
      <c r="F16281" s="16"/>
      <c r="H16281" s="16"/>
    </row>
    <row r="16282" spans="5:8" x14ac:dyDescent="0.25">
      <c r="E16282" s="16"/>
      <c r="F16282" s="16"/>
      <c r="H16282" s="16"/>
    </row>
    <row r="16283" spans="5:8" x14ac:dyDescent="0.25">
      <c r="E16283" s="16"/>
      <c r="F16283" s="16"/>
      <c r="H16283" s="16"/>
    </row>
    <row r="16284" spans="5:8" x14ac:dyDescent="0.25">
      <c r="E16284" s="16"/>
      <c r="F16284" s="16"/>
      <c r="H16284" s="16"/>
    </row>
    <row r="16285" spans="5:8" x14ac:dyDescent="0.25">
      <c r="E16285" s="16"/>
      <c r="F16285" s="16"/>
      <c r="H16285" s="16"/>
    </row>
    <row r="16286" spans="5:8" x14ac:dyDescent="0.25">
      <c r="E16286" s="16"/>
      <c r="F16286" s="16"/>
      <c r="H16286" s="16"/>
    </row>
    <row r="16287" spans="5:8" x14ac:dyDescent="0.25">
      <c r="E16287" s="16"/>
      <c r="F16287" s="16"/>
      <c r="H16287" s="16"/>
    </row>
    <row r="16288" spans="5:8" x14ac:dyDescent="0.25">
      <c r="E16288" s="16"/>
      <c r="F16288" s="16"/>
      <c r="H16288" s="16"/>
    </row>
    <row r="16289" spans="5:8" x14ac:dyDescent="0.25">
      <c r="E16289" s="16"/>
      <c r="F16289" s="16"/>
      <c r="H16289" s="16"/>
    </row>
    <row r="16290" spans="5:8" x14ac:dyDescent="0.25">
      <c r="E16290" s="16"/>
      <c r="F16290" s="16"/>
      <c r="H16290" s="16"/>
    </row>
    <row r="16291" spans="5:8" x14ac:dyDescent="0.25">
      <c r="E16291" s="16"/>
      <c r="F16291" s="16"/>
      <c r="H16291" s="16"/>
    </row>
    <row r="16292" spans="5:8" x14ac:dyDescent="0.25">
      <c r="E16292" s="16"/>
      <c r="F16292" s="16"/>
      <c r="H16292" s="16"/>
    </row>
    <row r="16293" spans="5:8" x14ac:dyDescent="0.25">
      <c r="E16293" s="16"/>
      <c r="F16293" s="16"/>
      <c r="H16293" s="16"/>
    </row>
    <row r="16294" spans="5:8" x14ac:dyDescent="0.25">
      <c r="E16294" s="16"/>
      <c r="F16294" s="16"/>
      <c r="H16294" s="16"/>
    </row>
    <row r="16295" spans="5:8" x14ac:dyDescent="0.25">
      <c r="E16295" s="16"/>
      <c r="F16295" s="16"/>
      <c r="H16295" s="16"/>
    </row>
    <row r="16296" spans="5:8" x14ac:dyDescent="0.25">
      <c r="E16296" s="16"/>
      <c r="F16296" s="16"/>
      <c r="H16296" s="16"/>
    </row>
    <row r="16297" spans="5:8" x14ac:dyDescent="0.25">
      <c r="E16297" s="16"/>
      <c r="F16297" s="16"/>
      <c r="H16297" s="16"/>
    </row>
    <row r="16298" spans="5:8" x14ac:dyDescent="0.25">
      <c r="E16298" s="16"/>
      <c r="F16298" s="16"/>
      <c r="H16298" s="16"/>
    </row>
    <row r="16299" spans="5:8" x14ac:dyDescent="0.25">
      <c r="E16299" s="16"/>
      <c r="F16299" s="16"/>
      <c r="H16299" s="16"/>
    </row>
    <row r="16300" spans="5:8" x14ac:dyDescent="0.25">
      <c r="E16300" s="16"/>
      <c r="F16300" s="16"/>
      <c r="H16300" s="16"/>
    </row>
    <row r="16301" spans="5:8" x14ac:dyDescent="0.25">
      <c r="E16301" s="16"/>
      <c r="F16301" s="16"/>
      <c r="H16301" s="16"/>
    </row>
    <row r="16302" spans="5:8" x14ac:dyDescent="0.25">
      <c r="E16302" s="16"/>
      <c r="F16302" s="16"/>
      <c r="H16302" s="16"/>
    </row>
    <row r="16303" spans="5:8" x14ac:dyDescent="0.25">
      <c r="E16303" s="16"/>
      <c r="F16303" s="16"/>
      <c r="H16303" s="16"/>
    </row>
    <row r="16304" spans="5:8" x14ac:dyDescent="0.25">
      <c r="E16304" s="16"/>
      <c r="F16304" s="16"/>
      <c r="H16304" s="16"/>
    </row>
    <row r="16305" spans="5:8" x14ac:dyDescent="0.25">
      <c r="E16305" s="16"/>
      <c r="F16305" s="16"/>
      <c r="H16305" s="16"/>
    </row>
    <row r="16306" spans="5:8" x14ac:dyDescent="0.25">
      <c r="E16306" s="16"/>
      <c r="F16306" s="16"/>
      <c r="H16306" s="16"/>
    </row>
    <row r="16307" spans="5:8" x14ac:dyDescent="0.25">
      <c r="E16307" s="16"/>
      <c r="F16307" s="16"/>
      <c r="H16307" s="16"/>
    </row>
    <row r="16308" spans="5:8" x14ac:dyDescent="0.25">
      <c r="E16308" s="16"/>
      <c r="F16308" s="16"/>
      <c r="H16308" s="16"/>
    </row>
    <row r="16309" spans="5:8" x14ac:dyDescent="0.25">
      <c r="E16309" s="16"/>
      <c r="F16309" s="16"/>
      <c r="H16309" s="16"/>
    </row>
    <row r="16310" spans="5:8" x14ac:dyDescent="0.25">
      <c r="E16310" s="16"/>
      <c r="F16310" s="16"/>
      <c r="H16310" s="16"/>
    </row>
    <row r="16311" spans="5:8" x14ac:dyDescent="0.25">
      <c r="E16311" s="16"/>
      <c r="F16311" s="16"/>
      <c r="H16311" s="16"/>
    </row>
    <row r="16312" spans="5:8" x14ac:dyDescent="0.25">
      <c r="E16312" s="16"/>
      <c r="F16312" s="16"/>
      <c r="H16312" s="16"/>
    </row>
    <row r="16313" spans="5:8" x14ac:dyDescent="0.25">
      <c r="E16313" s="16"/>
      <c r="F16313" s="16"/>
      <c r="H16313" s="16"/>
    </row>
    <row r="16314" spans="5:8" x14ac:dyDescent="0.25">
      <c r="E16314" s="16"/>
      <c r="F16314" s="16"/>
      <c r="H16314" s="16"/>
    </row>
    <row r="16315" spans="5:8" x14ac:dyDescent="0.25">
      <c r="E16315" s="16"/>
      <c r="F16315" s="16"/>
      <c r="H16315" s="16"/>
    </row>
    <row r="16316" spans="5:8" x14ac:dyDescent="0.25">
      <c r="E16316" s="16"/>
      <c r="F16316" s="16"/>
      <c r="H16316" s="16"/>
    </row>
    <row r="16317" spans="5:8" x14ac:dyDescent="0.25">
      <c r="E16317" s="16"/>
      <c r="F16317" s="16"/>
      <c r="H16317" s="16"/>
    </row>
    <row r="16318" spans="5:8" x14ac:dyDescent="0.25">
      <c r="E16318" s="16"/>
      <c r="F16318" s="16"/>
      <c r="H16318" s="16"/>
    </row>
    <row r="16319" spans="5:8" x14ac:dyDescent="0.25">
      <c r="E16319" s="16"/>
      <c r="F16319" s="16"/>
      <c r="H16319" s="16"/>
    </row>
    <row r="16320" spans="5:8" x14ac:dyDescent="0.25">
      <c r="E16320" s="16"/>
      <c r="F16320" s="16"/>
      <c r="H16320" s="16"/>
    </row>
    <row r="16321" spans="5:8" x14ac:dyDescent="0.25">
      <c r="E16321" s="16"/>
      <c r="F16321" s="16"/>
      <c r="H16321" s="16"/>
    </row>
    <row r="16322" spans="5:8" x14ac:dyDescent="0.25">
      <c r="E16322" s="16"/>
      <c r="F16322" s="16"/>
      <c r="H16322" s="16"/>
    </row>
    <row r="16323" spans="5:8" x14ac:dyDescent="0.25">
      <c r="E16323" s="16"/>
      <c r="F16323" s="16"/>
      <c r="H16323" s="16"/>
    </row>
    <row r="16324" spans="5:8" x14ac:dyDescent="0.25">
      <c r="E16324" s="16"/>
      <c r="F16324" s="16"/>
      <c r="H16324" s="16"/>
    </row>
    <row r="16325" spans="5:8" x14ac:dyDescent="0.25">
      <c r="E16325" s="16"/>
      <c r="F16325" s="16"/>
      <c r="H16325" s="16"/>
    </row>
    <row r="16326" spans="5:8" x14ac:dyDescent="0.25">
      <c r="E16326" s="16"/>
      <c r="F16326" s="16"/>
      <c r="H16326" s="16"/>
    </row>
    <row r="16327" spans="5:8" x14ac:dyDescent="0.25">
      <c r="E16327" s="16"/>
      <c r="F16327" s="16"/>
      <c r="H16327" s="16"/>
    </row>
    <row r="16328" spans="5:8" x14ac:dyDescent="0.25">
      <c r="E16328" s="16"/>
      <c r="F16328" s="16"/>
      <c r="H16328" s="16"/>
    </row>
    <row r="16329" spans="5:8" x14ac:dyDescent="0.25">
      <c r="E16329" s="16"/>
      <c r="F16329" s="16"/>
      <c r="H16329" s="16"/>
    </row>
    <row r="16330" spans="5:8" x14ac:dyDescent="0.25">
      <c r="E16330" s="16"/>
      <c r="F16330" s="16"/>
      <c r="H16330" s="16"/>
    </row>
    <row r="16331" spans="5:8" x14ac:dyDescent="0.25">
      <c r="E16331" s="16"/>
      <c r="F16331" s="16"/>
      <c r="H16331" s="16"/>
    </row>
    <row r="16332" spans="5:8" x14ac:dyDescent="0.25">
      <c r="E16332" s="16"/>
      <c r="F16332" s="16"/>
      <c r="H16332" s="16"/>
    </row>
    <row r="16333" spans="5:8" x14ac:dyDescent="0.25">
      <c r="E16333" s="16"/>
      <c r="F16333" s="16"/>
      <c r="H16333" s="16"/>
    </row>
    <row r="16334" spans="5:8" x14ac:dyDescent="0.25">
      <c r="E16334" s="16"/>
      <c r="F16334" s="16"/>
      <c r="H16334" s="16"/>
    </row>
    <row r="16335" spans="5:8" x14ac:dyDescent="0.25">
      <c r="E16335" s="16"/>
      <c r="F16335" s="16"/>
      <c r="H16335" s="16"/>
    </row>
    <row r="16336" spans="5:8" x14ac:dyDescent="0.25">
      <c r="E16336" s="16"/>
      <c r="F16336" s="16"/>
      <c r="H16336" s="16"/>
    </row>
    <row r="16337" spans="5:8" x14ac:dyDescent="0.25">
      <c r="E16337" s="16"/>
      <c r="F16337" s="16"/>
      <c r="H16337" s="16"/>
    </row>
    <row r="16338" spans="5:8" x14ac:dyDescent="0.25">
      <c r="E16338" s="16"/>
      <c r="F16338" s="16"/>
      <c r="H16338" s="16"/>
    </row>
    <row r="16339" spans="5:8" x14ac:dyDescent="0.25">
      <c r="E16339" s="16"/>
      <c r="F16339" s="16"/>
      <c r="H16339" s="16"/>
    </row>
    <row r="16340" spans="5:8" x14ac:dyDescent="0.25">
      <c r="E16340" s="16"/>
      <c r="F16340" s="16"/>
      <c r="H16340" s="16"/>
    </row>
    <row r="16341" spans="5:8" x14ac:dyDescent="0.25">
      <c r="E16341" s="16"/>
      <c r="F16341" s="16"/>
      <c r="H16341" s="16"/>
    </row>
    <row r="16342" spans="5:8" x14ac:dyDescent="0.25">
      <c r="E16342" s="16"/>
      <c r="F16342" s="16"/>
      <c r="H16342" s="16"/>
    </row>
    <row r="16343" spans="5:8" x14ac:dyDescent="0.25">
      <c r="E16343" s="16"/>
      <c r="F16343" s="16"/>
      <c r="H16343" s="16"/>
    </row>
    <row r="16344" spans="5:8" x14ac:dyDescent="0.25">
      <c r="E16344" s="16"/>
      <c r="F16344" s="16"/>
      <c r="H16344" s="16"/>
    </row>
    <row r="16345" spans="5:8" x14ac:dyDescent="0.25">
      <c r="E16345" s="16"/>
      <c r="F16345" s="16"/>
      <c r="H16345" s="16"/>
    </row>
    <row r="16346" spans="5:8" x14ac:dyDescent="0.25">
      <c r="E16346" s="16"/>
      <c r="F16346" s="16"/>
      <c r="H16346" s="16"/>
    </row>
    <row r="16347" spans="5:8" x14ac:dyDescent="0.25">
      <c r="E16347" s="16"/>
      <c r="F16347" s="16"/>
      <c r="H16347" s="16"/>
    </row>
    <row r="16348" spans="5:8" x14ac:dyDescent="0.25">
      <c r="E16348" s="16"/>
      <c r="F16348" s="16"/>
      <c r="H16348" s="16"/>
    </row>
    <row r="16349" spans="5:8" x14ac:dyDescent="0.25">
      <c r="E16349" s="16"/>
      <c r="F16349" s="16"/>
      <c r="H16349" s="16"/>
    </row>
    <row r="16350" spans="5:8" x14ac:dyDescent="0.25">
      <c r="E16350" s="16"/>
      <c r="F16350" s="16"/>
      <c r="H16350" s="16"/>
    </row>
    <row r="16351" spans="5:8" x14ac:dyDescent="0.25">
      <c r="E16351" s="16"/>
      <c r="F16351" s="16"/>
      <c r="H16351" s="16"/>
    </row>
    <row r="16352" spans="5:8" x14ac:dyDescent="0.25">
      <c r="E16352" s="16"/>
      <c r="F16352" s="16"/>
      <c r="H16352" s="16"/>
    </row>
    <row r="16353" spans="5:8" x14ac:dyDescent="0.25">
      <c r="E16353" s="16"/>
      <c r="F16353" s="16"/>
      <c r="H16353" s="16"/>
    </row>
    <row r="16354" spans="5:8" x14ac:dyDescent="0.25">
      <c r="E16354" s="16"/>
      <c r="F16354" s="16"/>
      <c r="H16354" s="16"/>
    </row>
    <row r="16355" spans="5:8" x14ac:dyDescent="0.25">
      <c r="E16355" s="16"/>
      <c r="F16355" s="16"/>
      <c r="H16355" s="16"/>
    </row>
    <row r="16356" spans="5:8" x14ac:dyDescent="0.25">
      <c r="E16356" s="16"/>
      <c r="F16356" s="16"/>
      <c r="H16356" s="16"/>
    </row>
    <row r="16357" spans="5:8" x14ac:dyDescent="0.25">
      <c r="E16357" s="16"/>
      <c r="F16357" s="16"/>
      <c r="H16357" s="16"/>
    </row>
    <row r="16358" spans="5:8" x14ac:dyDescent="0.25">
      <c r="E16358" s="16"/>
      <c r="F16358" s="16"/>
      <c r="H16358" s="16"/>
    </row>
    <row r="16359" spans="5:8" x14ac:dyDescent="0.25">
      <c r="E16359" s="16"/>
      <c r="F16359" s="16"/>
      <c r="H16359" s="16"/>
    </row>
    <row r="16360" spans="5:8" x14ac:dyDescent="0.25">
      <c r="E16360" s="16"/>
      <c r="F16360" s="16"/>
      <c r="H16360" s="16"/>
    </row>
    <row r="16361" spans="5:8" x14ac:dyDescent="0.25">
      <c r="E16361" s="16"/>
      <c r="F16361" s="16"/>
      <c r="H16361" s="16"/>
    </row>
    <row r="16362" spans="5:8" x14ac:dyDescent="0.25">
      <c r="E16362" s="16"/>
      <c r="F16362" s="16"/>
      <c r="H16362" s="16"/>
    </row>
    <row r="16363" spans="5:8" x14ac:dyDescent="0.25">
      <c r="E16363" s="16"/>
      <c r="F16363" s="16"/>
      <c r="H16363" s="16"/>
    </row>
    <row r="16364" spans="5:8" x14ac:dyDescent="0.25">
      <c r="E16364" s="16"/>
      <c r="F16364" s="16"/>
      <c r="H16364" s="16"/>
    </row>
    <row r="16365" spans="5:8" x14ac:dyDescent="0.25">
      <c r="E16365" s="16"/>
      <c r="F16365" s="16"/>
      <c r="H16365" s="16"/>
    </row>
    <row r="16366" spans="5:8" x14ac:dyDescent="0.25">
      <c r="E16366" s="16"/>
      <c r="F16366" s="16"/>
      <c r="H16366" s="16"/>
    </row>
    <row r="16367" spans="5:8" x14ac:dyDescent="0.25">
      <c r="E16367" s="16"/>
      <c r="F16367" s="16"/>
      <c r="H16367" s="16"/>
    </row>
    <row r="16368" spans="5:8" x14ac:dyDescent="0.25">
      <c r="E16368" s="16"/>
      <c r="F16368" s="16"/>
      <c r="H16368" s="16"/>
    </row>
    <row r="16369" spans="5:8" x14ac:dyDescent="0.25">
      <c r="E16369" s="16"/>
      <c r="F16369" s="16"/>
      <c r="H16369" s="16"/>
    </row>
    <row r="16370" spans="5:8" x14ac:dyDescent="0.25">
      <c r="E16370" s="16"/>
      <c r="F16370" s="16"/>
      <c r="H16370" s="16"/>
    </row>
    <row r="16371" spans="5:8" x14ac:dyDescent="0.25">
      <c r="E16371" s="16"/>
      <c r="F16371" s="16"/>
      <c r="H16371" s="16"/>
    </row>
    <row r="16372" spans="5:8" x14ac:dyDescent="0.25">
      <c r="E16372" s="16"/>
      <c r="F16372" s="16"/>
      <c r="H16372" s="16"/>
    </row>
    <row r="16373" spans="5:8" x14ac:dyDescent="0.25">
      <c r="E16373" s="16"/>
      <c r="F16373" s="16"/>
      <c r="H16373" s="16"/>
    </row>
    <row r="16374" spans="5:8" x14ac:dyDescent="0.25">
      <c r="E16374" s="16"/>
      <c r="F16374" s="16"/>
      <c r="H16374" s="16"/>
    </row>
    <row r="16375" spans="5:8" x14ac:dyDescent="0.25">
      <c r="E16375" s="16"/>
      <c r="F16375" s="16"/>
      <c r="H16375" s="16"/>
    </row>
    <row r="16376" spans="5:8" x14ac:dyDescent="0.25">
      <c r="E16376" s="16"/>
      <c r="F16376" s="16"/>
      <c r="H16376" s="16"/>
    </row>
    <row r="16377" spans="5:8" x14ac:dyDescent="0.25">
      <c r="E16377" s="16"/>
      <c r="F16377" s="16"/>
      <c r="H16377" s="16"/>
    </row>
    <row r="16378" spans="5:8" x14ac:dyDescent="0.25">
      <c r="E16378" s="16"/>
      <c r="F16378" s="16"/>
      <c r="H16378" s="16"/>
    </row>
    <row r="16379" spans="5:8" x14ac:dyDescent="0.25">
      <c r="E16379" s="16"/>
      <c r="F16379" s="16"/>
      <c r="H16379" s="16"/>
    </row>
    <row r="16380" spans="5:8" x14ac:dyDescent="0.25">
      <c r="E16380" s="16"/>
      <c r="F16380" s="16"/>
      <c r="H16380" s="16"/>
    </row>
    <row r="16381" spans="5:8" x14ac:dyDescent="0.25">
      <c r="E16381" s="16"/>
      <c r="F16381" s="16"/>
      <c r="H16381" s="16"/>
    </row>
    <row r="16382" spans="5:8" x14ac:dyDescent="0.25">
      <c r="E16382" s="16"/>
      <c r="F16382" s="16"/>
      <c r="H16382" s="16"/>
    </row>
    <row r="16383" spans="5:8" x14ac:dyDescent="0.25">
      <c r="E16383" s="16"/>
      <c r="F16383" s="16"/>
      <c r="H16383" s="16"/>
    </row>
    <row r="16384" spans="5:8" x14ac:dyDescent="0.25">
      <c r="E16384" s="16"/>
      <c r="F16384" s="16"/>
      <c r="H16384" s="16"/>
    </row>
    <row r="16385" spans="5:8" x14ac:dyDescent="0.25">
      <c r="E16385" s="16"/>
      <c r="F16385" s="16"/>
      <c r="H16385" s="16"/>
    </row>
    <row r="16386" spans="5:8" x14ac:dyDescent="0.25">
      <c r="E16386" s="16"/>
      <c r="F16386" s="16"/>
      <c r="H16386" s="16"/>
    </row>
    <row r="16387" spans="5:8" x14ac:dyDescent="0.25">
      <c r="E16387" s="16"/>
      <c r="F16387" s="16"/>
      <c r="H16387" s="16"/>
    </row>
    <row r="16388" spans="5:8" x14ac:dyDescent="0.25">
      <c r="E16388" s="16"/>
      <c r="F16388" s="16"/>
      <c r="H16388" s="16"/>
    </row>
    <row r="16389" spans="5:8" x14ac:dyDescent="0.25">
      <c r="E16389" s="16"/>
      <c r="F16389" s="16"/>
      <c r="H16389" s="16"/>
    </row>
    <row r="16390" spans="5:8" x14ac:dyDescent="0.25">
      <c r="E16390" s="16"/>
      <c r="F16390" s="16"/>
      <c r="H16390" s="16"/>
    </row>
    <row r="16391" spans="5:8" x14ac:dyDescent="0.25">
      <c r="E16391" s="16"/>
      <c r="F16391" s="16"/>
      <c r="H16391" s="16"/>
    </row>
    <row r="16392" spans="5:8" x14ac:dyDescent="0.25">
      <c r="E16392" s="16"/>
      <c r="F16392" s="16"/>
      <c r="H16392" s="16"/>
    </row>
    <row r="16393" spans="5:8" x14ac:dyDescent="0.25">
      <c r="E16393" s="16"/>
      <c r="F16393" s="16"/>
      <c r="H16393" s="16"/>
    </row>
    <row r="16394" spans="5:8" x14ac:dyDescent="0.25">
      <c r="E16394" s="16"/>
      <c r="F16394" s="16"/>
      <c r="H16394" s="16"/>
    </row>
    <row r="16395" spans="5:8" x14ac:dyDescent="0.25">
      <c r="E16395" s="16"/>
      <c r="F16395" s="16"/>
      <c r="H16395" s="16"/>
    </row>
    <row r="16396" spans="5:8" x14ac:dyDescent="0.25">
      <c r="E16396" s="16"/>
      <c r="F16396" s="16"/>
      <c r="H16396" s="16"/>
    </row>
    <row r="16397" spans="5:8" x14ac:dyDescent="0.25">
      <c r="E16397" s="16"/>
      <c r="F16397" s="16"/>
      <c r="H16397" s="16"/>
    </row>
    <row r="16398" spans="5:8" x14ac:dyDescent="0.25">
      <c r="E16398" s="16"/>
      <c r="F16398" s="16"/>
      <c r="H16398" s="16"/>
    </row>
    <row r="16399" spans="5:8" x14ac:dyDescent="0.25">
      <c r="E16399" s="16"/>
      <c r="F16399" s="16"/>
      <c r="H16399" s="16"/>
    </row>
    <row r="16400" spans="5:8" x14ac:dyDescent="0.25">
      <c r="E16400" s="16"/>
      <c r="F16400" s="16"/>
      <c r="H16400" s="16"/>
    </row>
    <row r="16401" spans="5:8" x14ac:dyDescent="0.25">
      <c r="E16401" s="16"/>
      <c r="F16401" s="16"/>
      <c r="H16401" s="16"/>
    </row>
    <row r="16402" spans="5:8" x14ac:dyDescent="0.25">
      <c r="E16402" s="16"/>
      <c r="F16402" s="16"/>
      <c r="H16402" s="16"/>
    </row>
    <row r="16403" spans="5:8" x14ac:dyDescent="0.25">
      <c r="E16403" s="16"/>
      <c r="F16403" s="16"/>
      <c r="H16403" s="16"/>
    </row>
  </sheetData>
  <sheetProtection password="CDF6" sheet="1" objects="1" scenarios="1"/>
  <sortState ref="A3:AL15925">
    <sortCondition ref="B3:B15925"/>
    <sortCondition ref="D3:D15925"/>
    <sortCondition ref="I3:I15925"/>
  </sortState>
  <mergeCells count="19">
    <mergeCell ref="AJ1:AJ2"/>
    <mergeCell ref="AK1:AK2"/>
    <mergeCell ref="AL1:AL2"/>
    <mergeCell ref="AD1:AD2"/>
    <mergeCell ref="AE1:AE2"/>
    <mergeCell ref="AG1:AG2"/>
    <mergeCell ref="AH1:AH2"/>
    <mergeCell ref="AF1:AF2"/>
    <mergeCell ref="B1:B2"/>
    <mergeCell ref="C1:C2"/>
    <mergeCell ref="E1:E2"/>
    <mergeCell ref="A1:A2"/>
    <mergeCell ref="AC1:AC2"/>
    <mergeCell ref="D1:D2"/>
    <mergeCell ref="F1:F2"/>
    <mergeCell ref="G1:G2"/>
    <mergeCell ref="H1:H2"/>
    <mergeCell ref="J1:J2"/>
    <mergeCell ref="I1:I2"/>
  </mergeCells>
  <dataValidations count="2">
    <dataValidation type="whole" allowBlank="1" showInputMessage="1" showErrorMessage="1" errorTitle="Not a Valid Entry" error="You can only enter 0 for No or 1 for Yes" sqref="P3:P1048576 R3:Y1048576 AB3:AB1048576">
      <formula1>0</formula1>
      <formula2>1</formula2>
    </dataValidation>
    <dataValidation type="decimal" operator="greaterThanOrEqual" allowBlank="1" showInputMessage="1" showErrorMessage="1" sqref="AC3:AF1048576">
      <formula1>0</formula1>
    </dataValidation>
  </dataValidations>
  <pageMargins left="0.7" right="0.7" top="0.75" bottom="0.75" header="0.3" footer="0.3"/>
  <pageSetup orientation="portrait" r:id="rId1"/>
  <ignoredErrors>
    <ignoredError sqref="AI2 S2:AB2 K2" numberStoredAsText="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F29"/>
  <sheetViews>
    <sheetView zoomScale="80" zoomScaleNormal="80" workbookViewId="0">
      <selection activeCell="A30" sqref="A30"/>
    </sheetView>
  </sheetViews>
  <sheetFormatPr defaultRowHeight="15" x14ac:dyDescent="0.25"/>
  <cols>
    <col min="1" max="1" width="10" bestFit="1" customWidth="1"/>
    <col min="2" max="2" width="36" bestFit="1" customWidth="1"/>
    <col min="3" max="3" width="32.85546875" bestFit="1" customWidth="1"/>
    <col min="4" max="4" width="29.85546875" bestFit="1" customWidth="1"/>
    <col min="5" max="5" width="40.28515625" bestFit="1" customWidth="1"/>
    <col min="6" max="6" width="73.5703125" customWidth="1"/>
  </cols>
  <sheetData>
    <row r="1" spans="1:6" x14ac:dyDescent="0.25">
      <c r="A1" s="2" t="s">
        <v>182</v>
      </c>
      <c r="B1" s="2" t="s">
        <v>109</v>
      </c>
      <c r="C1" s="3" t="s">
        <v>143</v>
      </c>
      <c r="D1" s="3" t="s">
        <v>110</v>
      </c>
      <c r="E1" s="3" t="s">
        <v>157</v>
      </c>
      <c r="F1" s="21" t="s">
        <v>162</v>
      </c>
    </row>
    <row r="2" spans="1:6" x14ac:dyDescent="0.25">
      <c r="A2" s="20">
        <v>1</v>
      </c>
      <c r="B2" t="s">
        <v>2</v>
      </c>
      <c r="C2" t="s">
        <v>152</v>
      </c>
      <c r="D2" t="s">
        <v>156</v>
      </c>
      <c r="F2" s="33" t="s">
        <v>163</v>
      </c>
    </row>
    <row r="3" spans="1:6" ht="30" x14ac:dyDescent="0.25">
      <c r="A3" s="20" t="s">
        <v>22</v>
      </c>
      <c r="B3" t="s">
        <v>6</v>
      </c>
      <c r="C3" t="s">
        <v>153</v>
      </c>
      <c r="D3" t="s">
        <v>150</v>
      </c>
      <c r="E3" t="s">
        <v>146</v>
      </c>
      <c r="F3" s="33" t="s">
        <v>181</v>
      </c>
    </row>
    <row r="4" spans="1:6" ht="30" x14ac:dyDescent="0.25">
      <c r="A4" s="20" t="s">
        <v>23</v>
      </c>
      <c r="B4" t="s">
        <v>7</v>
      </c>
      <c r="C4" t="s">
        <v>153</v>
      </c>
      <c r="D4" t="s">
        <v>150</v>
      </c>
      <c r="E4" t="s">
        <v>149</v>
      </c>
      <c r="F4" s="34" t="s">
        <v>177</v>
      </c>
    </row>
    <row r="5" spans="1:6" x14ac:dyDescent="0.25">
      <c r="A5" s="20" t="s">
        <v>24</v>
      </c>
      <c r="B5" t="s">
        <v>8</v>
      </c>
      <c r="C5" t="s">
        <v>153</v>
      </c>
      <c r="D5" t="s">
        <v>150</v>
      </c>
      <c r="E5" t="s">
        <v>147</v>
      </c>
      <c r="F5" s="33" t="s">
        <v>180</v>
      </c>
    </row>
    <row r="6" spans="1:6" ht="30" x14ac:dyDescent="0.25">
      <c r="A6" s="20" t="s">
        <v>25</v>
      </c>
      <c r="B6" t="s">
        <v>141</v>
      </c>
      <c r="C6" t="s">
        <v>153</v>
      </c>
      <c r="D6" t="s">
        <v>151</v>
      </c>
      <c r="E6" t="s">
        <v>148</v>
      </c>
      <c r="F6" s="35" t="s">
        <v>174</v>
      </c>
    </row>
    <row r="7" spans="1:6" ht="75" x14ac:dyDescent="0.25">
      <c r="A7" s="20" t="s">
        <v>133</v>
      </c>
      <c r="B7" t="s">
        <v>140</v>
      </c>
      <c r="C7" t="s">
        <v>145</v>
      </c>
      <c r="D7" t="s">
        <v>151</v>
      </c>
      <c r="F7" s="35" t="s">
        <v>175</v>
      </c>
    </row>
    <row r="8" spans="1:6" x14ac:dyDescent="0.25">
      <c r="A8" s="20" t="s">
        <v>98</v>
      </c>
      <c r="B8" t="s">
        <v>9</v>
      </c>
      <c r="C8" t="s">
        <v>153</v>
      </c>
      <c r="D8" t="s">
        <v>150</v>
      </c>
      <c r="E8" t="s">
        <v>144</v>
      </c>
      <c r="F8" s="33" t="s">
        <v>179</v>
      </c>
    </row>
    <row r="9" spans="1:6" x14ac:dyDescent="0.25">
      <c r="A9" s="20" t="s">
        <v>99</v>
      </c>
      <c r="B9" t="s">
        <v>10</v>
      </c>
      <c r="C9" t="s">
        <v>145</v>
      </c>
      <c r="D9" t="s">
        <v>150</v>
      </c>
      <c r="F9" s="35" t="s">
        <v>176</v>
      </c>
    </row>
    <row r="10" spans="1:6" ht="30" x14ac:dyDescent="0.25">
      <c r="A10" s="20">
        <v>5</v>
      </c>
      <c r="B10" t="s">
        <v>11</v>
      </c>
      <c r="C10" t="s">
        <v>145</v>
      </c>
      <c r="D10" t="s">
        <v>150</v>
      </c>
      <c r="F10" s="33" t="s">
        <v>164</v>
      </c>
    </row>
    <row r="11" spans="1:6" ht="45" x14ac:dyDescent="0.25">
      <c r="A11" s="20">
        <v>6</v>
      </c>
      <c r="B11" t="s">
        <v>12</v>
      </c>
      <c r="C11" t="s">
        <v>145</v>
      </c>
      <c r="D11" t="s">
        <v>150</v>
      </c>
      <c r="F11" s="33" t="s">
        <v>165</v>
      </c>
    </row>
    <row r="12" spans="1:6" x14ac:dyDescent="0.25">
      <c r="A12" s="20">
        <v>7</v>
      </c>
      <c r="B12" t="s">
        <v>13</v>
      </c>
      <c r="C12" t="s">
        <v>145</v>
      </c>
      <c r="D12" t="s">
        <v>150</v>
      </c>
      <c r="F12" s="33" t="s">
        <v>166</v>
      </c>
    </row>
    <row r="13" spans="1:6" x14ac:dyDescent="0.25">
      <c r="A13" s="20">
        <v>8</v>
      </c>
      <c r="B13" t="s">
        <v>14</v>
      </c>
      <c r="C13" t="s">
        <v>145</v>
      </c>
      <c r="D13" t="s">
        <v>150</v>
      </c>
      <c r="F13" s="33" t="s">
        <v>167</v>
      </c>
    </row>
    <row r="14" spans="1:6" ht="14.45" x14ac:dyDescent="0.3">
      <c r="A14" s="20">
        <v>9</v>
      </c>
      <c r="B14" t="s">
        <v>15</v>
      </c>
      <c r="C14" t="s">
        <v>145</v>
      </c>
      <c r="D14" t="s">
        <v>150</v>
      </c>
      <c r="F14" s="33" t="s">
        <v>168</v>
      </c>
    </row>
    <row r="15" spans="1:6" ht="14.45" x14ac:dyDescent="0.3">
      <c r="A15" s="20">
        <v>10</v>
      </c>
      <c r="B15" t="s">
        <v>16</v>
      </c>
      <c r="C15" t="s">
        <v>145</v>
      </c>
      <c r="D15" t="s">
        <v>150</v>
      </c>
      <c r="F15" s="33" t="s">
        <v>169</v>
      </c>
    </row>
    <row r="16" spans="1:6" ht="14.45" x14ac:dyDescent="0.3">
      <c r="A16" s="20">
        <v>11</v>
      </c>
      <c r="B16" t="s">
        <v>17</v>
      </c>
      <c r="C16" t="s">
        <v>145</v>
      </c>
      <c r="D16" t="s">
        <v>150</v>
      </c>
      <c r="F16" s="33" t="s">
        <v>170</v>
      </c>
    </row>
    <row r="17" spans="1:6" ht="14.45" x14ac:dyDescent="0.3">
      <c r="A17" s="20">
        <v>12</v>
      </c>
      <c r="B17" t="s">
        <v>18</v>
      </c>
      <c r="C17" t="s">
        <v>152</v>
      </c>
      <c r="D17" t="s">
        <v>156</v>
      </c>
      <c r="E17" t="s">
        <v>158</v>
      </c>
      <c r="F17" s="33" t="s">
        <v>171</v>
      </c>
    </row>
    <row r="18" spans="1:6" ht="14.45" x14ac:dyDescent="0.3">
      <c r="A18" s="20">
        <v>13</v>
      </c>
      <c r="B18" t="s">
        <v>19</v>
      </c>
      <c r="C18" t="s">
        <v>152</v>
      </c>
      <c r="D18" t="s">
        <v>156</v>
      </c>
      <c r="E18" t="s">
        <v>159</v>
      </c>
      <c r="F18" s="33" t="s">
        <v>172</v>
      </c>
    </row>
    <row r="19" spans="1:6" ht="43.15" x14ac:dyDescent="0.3">
      <c r="A19" s="20">
        <v>14</v>
      </c>
      <c r="B19" t="s">
        <v>20</v>
      </c>
      <c r="C19" t="s">
        <v>145</v>
      </c>
      <c r="D19" t="s">
        <v>150</v>
      </c>
      <c r="F19" s="33" t="s">
        <v>173</v>
      </c>
    </row>
    <row r="20" spans="1:6" ht="28.9" x14ac:dyDescent="0.3">
      <c r="A20" s="20" t="s">
        <v>208</v>
      </c>
      <c r="B20" t="s">
        <v>139</v>
      </c>
      <c r="C20" t="s">
        <v>145</v>
      </c>
      <c r="D20" t="s">
        <v>154</v>
      </c>
      <c r="F20" s="34" t="s">
        <v>196</v>
      </c>
    </row>
    <row r="21" spans="1:6" ht="28.9" x14ac:dyDescent="0.3">
      <c r="A21" s="20" t="s">
        <v>209</v>
      </c>
      <c r="B21" t="s">
        <v>138</v>
      </c>
      <c r="C21" t="s">
        <v>145</v>
      </c>
      <c r="D21" t="s">
        <v>154</v>
      </c>
      <c r="F21" s="34" t="s">
        <v>195</v>
      </c>
    </row>
    <row r="22" spans="1:6" ht="28.9" x14ac:dyDescent="0.3">
      <c r="A22" s="20" t="s">
        <v>210</v>
      </c>
      <c r="B22" t="s">
        <v>137</v>
      </c>
      <c r="C22" t="s">
        <v>145</v>
      </c>
      <c r="D22" t="s">
        <v>154</v>
      </c>
      <c r="F22" s="34" t="s">
        <v>197</v>
      </c>
    </row>
    <row r="23" spans="1:6" ht="28.9" x14ac:dyDescent="0.3">
      <c r="A23" s="20" t="s">
        <v>211</v>
      </c>
      <c r="B23" t="s">
        <v>136</v>
      </c>
      <c r="C23" t="s">
        <v>145</v>
      </c>
      <c r="D23" t="s">
        <v>154</v>
      </c>
      <c r="F23" s="34" t="s">
        <v>198</v>
      </c>
    </row>
    <row r="24" spans="1:6" ht="14.45" x14ac:dyDescent="0.3">
      <c r="A24" s="20" t="s">
        <v>213</v>
      </c>
      <c r="B24" t="s">
        <v>135</v>
      </c>
      <c r="C24" t="s">
        <v>155</v>
      </c>
      <c r="F24" s="34" t="s">
        <v>199</v>
      </c>
    </row>
    <row r="25" spans="1:6" ht="14.45" x14ac:dyDescent="0.3">
      <c r="A25" s="20" t="s">
        <v>212</v>
      </c>
      <c r="B25" t="s">
        <v>134</v>
      </c>
      <c r="C25" t="s">
        <v>155</v>
      </c>
      <c r="F25" s="34" t="s">
        <v>199</v>
      </c>
    </row>
    <row r="26" spans="1:6" ht="28.9" x14ac:dyDescent="0.3">
      <c r="A26" s="20">
        <v>15</v>
      </c>
      <c r="B26" t="s">
        <v>21</v>
      </c>
      <c r="C26" t="s">
        <v>155</v>
      </c>
      <c r="F26" s="34" t="s">
        <v>178</v>
      </c>
    </row>
    <row r="27" spans="1:6" ht="14.45" x14ac:dyDescent="0.3">
      <c r="A27" s="20" t="s">
        <v>214</v>
      </c>
      <c r="B27" t="s">
        <v>32</v>
      </c>
      <c r="C27" t="s">
        <v>155</v>
      </c>
      <c r="F27" s="34" t="s">
        <v>199</v>
      </c>
    </row>
    <row r="28" spans="1:6" ht="14.45" x14ac:dyDescent="0.3">
      <c r="A28" s="20" t="s">
        <v>215</v>
      </c>
      <c r="B28" t="s">
        <v>33</v>
      </c>
      <c r="C28" t="s">
        <v>155</v>
      </c>
      <c r="F28" s="34" t="s">
        <v>199</v>
      </c>
    </row>
    <row r="29" spans="1:6" ht="14.45" x14ac:dyDescent="0.3">
      <c r="A29" s="20" t="s">
        <v>216</v>
      </c>
      <c r="B29" t="s">
        <v>34</v>
      </c>
      <c r="C29" t="s">
        <v>155</v>
      </c>
      <c r="F29" s="34" t="s">
        <v>199</v>
      </c>
    </row>
  </sheetData>
  <sheetProtection password="CDF6" sheet="1" objects="1" scenarios="1"/>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6"/>
  <sheetViews>
    <sheetView zoomScaleNormal="100" workbookViewId="0"/>
  </sheetViews>
  <sheetFormatPr defaultRowHeight="15" x14ac:dyDescent="0.25"/>
  <cols>
    <col min="1" max="1" width="94.28515625" style="4" customWidth="1"/>
  </cols>
  <sheetData>
    <row r="1" spans="1:1" x14ac:dyDescent="0.25">
      <c r="A1" s="87" t="s">
        <v>127</v>
      </c>
    </row>
    <row r="2" spans="1:1" ht="120" x14ac:dyDescent="0.25">
      <c r="A2" s="81" t="s">
        <v>132</v>
      </c>
    </row>
    <row r="3" spans="1:1" x14ac:dyDescent="0.25">
      <c r="A3" s="87" t="s">
        <v>128</v>
      </c>
    </row>
    <row r="4" spans="1:1" ht="30" x14ac:dyDescent="0.25">
      <c r="A4" s="81" t="s">
        <v>117</v>
      </c>
    </row>
    <row r="5" spans="1:1" ht="30" x14ac:dyDescent="0.25">
      <c r="A5" s="81" t="s">
        <v>118</v>
      </c>
    </row>
    <row r="6" spans="1:1" ht="30" x14ac:dyDescent="0.25">
      <c r="A6" s="81" t="s">
        <v>116</v>
      </c>
    </row>
  </sheetData>
  <sheetProtection password="CDF6" sheet="1" objects="1" scenarios="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29"/>
  <sheetViews>
    <sheetView topLeftCell="A19" workbookViewId="0">
      <selection activeCell="D25" sqref="D25"/>
    </sheetView>
  </sheetViews>
  <sheetFormatPr defaultRowHeight="15" x14ac:dyDescent="0.25"/>
  <cols>
    <col min="1" max="1" width="12.7109375" customWidth="1"/>
    <col min="2" max="3" width="40.7109375" customWidth="1"/>
  </cols>
  <sheetData>
    <row r="1" spans="1:3" x14ac:dyDescent="0.25">
      <c r="A1" s="172" t="s">
        <v>184</v>
      </c>
      <c r="B1" s="88"/>
      <c r="C1" s="88"/>
    </row>
    <row r="2" spans="1:3" x14ac:dyDescent="0.25">
      <c r="A2" s="92"/>
      <c r="B2" s="88"/>
      <c r="C2" s="88"/>
    </row>
    <row r="3" spans="1:3" ht="30.75" customHeight="1" x14ac:dyDescent="0.25">
      <c r="A3" s="167" t="s">
        <v>230</v>
      </c>
      <c r="B3" s="88"/>
      <c r="C3" s="88"/>
    </row>
    <row r="4" spans="1:3" x14ac:dyDescent="0.25">
      <c r="A4" s="167"/>
      <c r="B4" s="88"/>
      <c r="C4" s="88"/>
    </row>
    <row r="5" spans="1:3" x14ac:dyDescent="0.25">
      <c r="A5" s="167" t="s">
        <v>185</v>
      </c>
      <c r="B5" s="88"/>
      <c r="C5" s="88"/>
    </row>
    <row r="6" spans="1:3" x14ac:dyDescent="0.25">
      <c r="A6" s="168" t="s">
        <v>186</v>
      </c>
      <c r="B6" s="88"/>
      <c r="C6" s="88"/>
    </row>
    <row r="7" spans="1:3" x14ac:dyDescent="0.25">
      <c r="A7" s="173" t="s">
        <v>203</v>
      </c>
      <c r="B7" s="88"/>
      <c r="C7" s="88"/>
    </row>
    <row r="8" spans="1:3" x14ac:dyDescent="0.25">
      <c r="A8" s="173" t="s">
        <v>231</v>
      </c>
      <c r="B8" s="88"/>
      <c r="C8" s="88"/>
    </row>
    <row r="9" spans="1:3" ht="31.5" customHeight="1" x14ac:dyDescent="0.25">
      <c r="A9" s="168" t="s">
        <v>187</v>
      </c>
      <c r="B9" s="88"/>
      <c r="C9" s="88"/>
    </row>
    <row r="10" spans="1:3" ht="45.75" customHeight="1" x14ac:dyDescent="0.25">
      <c r="A10" s="168" t="s">
        <v>232</v>
      </c>
      <c r="B10" s="88"/>
      <c r="C10" s="88"/>
    </row>
    <row r="11" spans="1:3" x14ac:dyDescent="0.25">
      <c r="A11" s="170"/>
      <c r="B11" s="88"/>
      <c r="C11" s="88"/>
    </row>
    <row r="12" spans="1:3" x14ac:dyDescent="0.25">
      <c r="A12" s="167" t="s">
        <v>188</v>
      </c>
      <c r="B12" s="88"/>
      <c r="C12" s="88"/>
    </row>
    <row r="13" spans="1:3" ht="30" customHeight="1" x14ac:dyDescent="0.25">
      <c r="A13" s="168" t="s">
        <v>233</v>
      </c>
      <c r="B13" s="88"/>
      <c r="C13" s="88"/>
    </row>
    <row r="14" spans="1:3" x14ac:dyDescent="0.25">
      <c r="A14" s="168" t="s">
        <v>245</v>
      </c>
      <c r="B14" s="88"/>
      <c r="C14" s="88"/>
    </row>
    <row r="15" spans="1:3" ht="14.45" x14ac:dyDescent="0.3">
      <c r="A15" s="171"/>
      <c r="B15" s="88"/>
      <c r="C15" s="88"/>
    </row>
    <row r="16" spans="1:3" ht="14.45" x14ac:dyDescent="0.3">
      <c r="A16" s="167" t="s">
        <v>190</v>
      </c>
      <c r="B16" s="88"/>
      <c r="C16" s="88"/>
    </row>
    <row r="17" spans="1:3" x14ac:dyDescent="0.25">
      <c r="A17" s="168" t="s">
        <v>191</v>
      </c>
      <c r="B17" s="88"/>
      <c r="C17" s="88"/>
    </row>
    <row r="18" spans="1:3" x14ac:dyDescent="0.25">
      <c r="A18" s="168" t="s">
        <v>189</v>
      </c>
      <c r="B18" s="88"/>
      <c r="C18" s="88"/>
    </row>
    <row r="19" spans="1:3" ht="14.45" x14ac:dyDescent="0.3">
      <c r="A19" s="167"/>
      <c r="B19" s="88"/>
      <c r="C19" s="88"/>
    </row>
    <row r="20" spans="1:3" ht="14.45" x14ac:dyDescent="0.3">
      <c r="A20" s="169" t="s">
        <v>192</v>
      </c>
      <c r="B20" s="88"/>
      <c r="C20" s="88"/>
    </row>
    <row r="21" spans="1:3" ht="31.5" customHeight="1" thickBot="1" x14ac:dyDescent="0.35">
      <c r="A21" s="165" t="s">
        <v>244</v>
      </c>
      <c r="B21" s="166"/>
      <c r="C21" s="166"/>
    </row>
    <row r="22" spans="1:3" ht="43.9" thickBot="1" x14ac:dyDescent="0.35">
      <c r="A22" s="82" t="s">
        <v>193</v>
      </c>
      <c r="B22" s="83" t="s">
        <v>234</v>
      </c>
      <c r="C22" s="83" t="s">
        <v>235</v>
      </c>
    </row>
    <row r="23" spans="1:3" ht="29.45" thickBot="1" x14ac:dyDescent="0.35">
      <c r="A23" s="84">
        <v>2011</v>
      </c>
      <c r="B23" s="85" t="s">
        <v>236</v>
      </c>
      <c r="C23" s="86" t="s">
        <v>237</v>
      </c>
    </row>
    <row r="24" spans="1:3" ht="29.45" thickBot="1" x14ac:dyDescent="0.35">
      <c r="A24" s="84">
        <v>2012</v>
      </c>
      <c r="B24" s="85" t="s">
        <v>238</v>
      </c>
      <c r="C24" s="86" t="s">
        <v>237</v>
      </c>
    </row>
    <row r="25" spans="1:3" ht="29.45" thickBot="1" x14ac:dyDescent="0.35">
      <c r="A25" s="84">
        <v>2013</v>
      </c>
      <c r="B25" s="85" t="s">
        <v>238</v>
      </c>
      <c r="C25" s="86" t="s">
        <v>237</v>
      </c>
    </row>
    <row r="26" spans="1:3" ht="29.45" thickBot="1" x14ac:dyDescent="0.35">
      <c r="A26" s="84">
        <v>2014</v>
      </c>
      <c r="B26" s="85" t="s">
        <v>239</v>
      </c>
      <c r="C26" s="86" t="s">
        <v>249</v>
      </c>
    </row>
    <row r="27" spans="1:3" ht="29.45" thickBot="1" x14ac:dyDescent="0.35">
      <c r="A27" s="84">
        <v>2015</v>
      </c>
      <c r="B27" s="85" t="s">
        <v>240</v>
      </c>
      <c r="C27" s="86" t="s">
        <v>241</v>
      </c>
    </row>
    <row r="28" spans="1:3" ht="29.45" thickBot="1" x14ac:dyDescent="0.35">
      <c r="A28" s="84">
        <v>2016</v>
      </c>
      <c r="B28" s="86" t="s">
        <v>242</v>
      </c>
      <c r="C28" s="86" t="s">
        <v>243</v>
      </c>
    </row>
    <row r="29" spans="1:3" thickBot="1" x14ac:dyDescent="0.35">
      <c r="A29" s="84">
        <v>2017</v>
      </c>
      <c r="B29" s="86" t="s">
        <v>194</v>
      </c>
      <c r="C29" s="86" t="s">
        <v>194</v>
      </c>
    </row>
  </sheetData>
  <sheetProtection password="CDF6" sheet="1" objects="1" scenarios="1"/>
  <mergeCells count="21">
    <mergeCell ref="A1:C1"/>
    <mergeCell ref="A2:C2"/>
    <mergeCell ref="A10:C10"/>
    <mergeCell ref="A3:C3"/>
    <mergeCell ref="A4:C4"/>
    <mergeCell ref="A5:C5"/>
    <mergeCell ref="A6:C6"/>
    <mergeCell ref="A7:C7"/>
    <mergeCell ref="A8:C8"/>
    <mergeCell ref="A9:C9"/>
    <mergeCell ref="A11:C11"/>
    <mergeCell ref="A12:C12"/>
    <mergeCell ref="A13:C13"/>
    <mergeCell ref="A14:C14"/>
    <mergeCell ref="A15:C15"/>
    <mergeCell ref="A21:C21"/>
    <mergeCell ref="A16:C16"/>
    <mergeCell ref="A17:C17"/>
    <mergeCell ref="A18:C18"/>
    <mergeCell ref="A19:C19"/>
    <mergeCell ref="A20:C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SUMMARY_FILE</vt:lpstr>
      <vt:lpstr>STUDENT_FILE</vt:lpstr>
      <vt:lpstr>KEY</vt:lpstr>
      <vt:lpstr>DOCUMENTATION_ASSURANCE</vt:lpstr>
      <vt:lpstr>OVER-AGE_AND_UNDER-CREDITED</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Perdue, Josh</dc:creator>
  <cp:lastModifiedBy>Knevals, Jessica</cp:lastModifiedBy>
  <cp:lastPrinted>2014-02-06T21:09:50Z</cp:lastPrinted>
  <dcterms:created xsi:type="dcterms:W3CDTF">2014-01-28T19:02:51Z</dcterms:created>
  <dcterms:modified xsi:type="dcterms:W3CDTF">2014-03-04T18:47:07Z</dcterms:modified>
</cp:coreProperties>
</file>