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Elecare" sheetId="1" r:id="rId1"/>
    <sheet name="Neocate" sheetId="2" r:id="rId2"/>
    <sheet name="PurAmino" sheetId="3" r:id="rId3"/>
  </sheets>
  <calcPr calcId="145621"/>
</workbook>
</file>

<file path=xl/calcChain.xml><?xml version="1.0" encoding="utf-8"?>
<calcChain xmlns="http://schemas.openxmlformats.org/spreadsheetml/2006/main">
  <c r="B8" i="3" l="1"/>
  <c r="B5" i="3"/>
  <c r="B5" i="2"/>
  <c r="B8" i="2" s="1"/>
  <c r="B24" i="2"/>
  <c r="B27" i="2" s="1"/>
  <c r="B15" i="2"/>
  <c r="B18" i="2" s="1"/>
  <c r="B6" i="3" l="1"/>
  <c r="B7" i="3" s="1"/>
  <c r="D7" i="3" s="1"/>
  <c r="B16" i="2"/>
  <c r="B17" i="2" s="1"/>
  <c r="D17" i="2" s="1"/>
  <c r="B25" i="2"/>
  <c r="B26" i="2" s="1"/>
  <c r="B6" i="2"/>
  <c r="B7" i="2" s="1"/>
  <c r="D16" i="2"/>
  <c r="D6" i="3" l="1"/>
  <c r="D26" i="2"/>
  <c r="D25" i="2"/>
  <c r="D7" i="2"/>
  <c r="D6" i="2"/>
  <c r="B16" i="1"/>
  <c r="B5" i="1"/>
  <c r="B8" i="1" s="1"/>
  <c r="B19" i="1" l="1"/>
  <c r="B17" i="1"/>
  <c r="D17" i="1" s="1"/>
  <c r="B6" i="1"/>
  <c r="B18" i="1"/>
  <c r="D18" i="1" s="1"/>
  <c r="B7" i="1" l="1"/>
  <c r="D7" i="1" s="1"/>
  <c r="D6" i="1"/>
</calcChain>
</file>

<file path=xl/sharedStrings.xml><?xml version="1.0" encoding="utf-8"?>
<sst xmlns="http://schemas.openxmlformats.org/spreadsheetml/2006/main" count="81" uniqueCount="18">
  <si>
    <t xml:space="preserve">Elecare </t>
  </si>
  <si>
    <t>Desired kcal</t>
  </si>
  <si>
    <t>Scoops of Powder</t>
  </si>
  <si>
    <t>Water</t>
  </si>
  <si>
    <t>ounces</t>
  </si>
  <si>
    <t>scoops</t>
  </si>
  <si>
    <t>Protein</t>
  </si>
  <si>
    <t>Elecare Jr</t>
  </si>
  <si>
    <t>grams</t>
  </si>
  <si>
    <t>Yield</t>
  </si>
  <si>
    <t>mL</t>
  </si>
  <si>
    <t>Neocate</t>
  </si>
  <si>
    <t>Neocate Jr (Unflavored)</t>
  </si>
  <si>
    <t>Neocate Jr (flavored)</t>
  </si>
  <si>
    <t>PurAmino</t>
  </si>
  <si>
    <t>Presbyterian St. Lukes Medical Center/Rocky Mountain Hospital For Children</t>
  </si>
  <si>
    <t>Kendra Glassman Perkey MS RD CNSC</t>
  </si>
  <si>
    <t>kendra.perkey@healthonecares.com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</si>
</sst>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endra.perkey@healthonecare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endra.perkey@healthonecare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endra.perkey@healthoneca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2" workbookViewId="0">
      <selection activeCell="E19" sqref="E19"/>
    </sheetView>
  </sheetViews>
  <sheetFormatPr defaultRowHeight="15" x14ac:dyDescent="0.25"/>
  <cols>
    <col min="1" max="1" width="16.85546875" bestFit="1" customWidth="1"/>
  </cols>
  <sheetData>
    <row r="1" spans="1:5" ht="33.75" x14ac:dyDescent="0.5">
      <c r="A1" s="2" t="s">
        <v>0</v>
      </c>
    </row>
    <row r="3" spans="1:5" x14ac:dyDescent="0.25">
      <c r="A3" s="1" t="s">
        <v>1</v>
      </c>
      <c r="B3">
        <v>280</v>
      </c>
    </row>
    <row r="4" spans="1:5" x14ac:dyDescent="0.25">
      <c r="A4" s="1"/>
    </row>
    <row r="5" spans="1:5" x14ac:dyDescent="0.25">
      <c r="A5" s="1" t="s">
        <v>2</v>
      </c>
      <c r="B5">
        <f>B3/40</f>
        <v>7</v>
      </c>
      <c r="C5" t="s">
        <v>5</v>
      </c>
    </row>
    <row r="6" spans="1:5" x14ac:dyDescent="0.25">
      <c r="A6" s="1" t="s">
        <v>3</v>
      </c>
      <c r="B6">
        <f>B5*2</f>
        <v>14</v>
      </c>
      <c r="C6" t="s">
        <v>4</v>
      </c>
      <c r="D6">
        <f>B6*30</f>
        <v>420</v>
      </c>
      <c r="E6" t="s">
        <v>10</v>
      </c>
    </row>
    <row r="7" spans="1:5" x14ac:dyDescent="0.25">
      <c r="A7" s="1" t="s">
        <v>9</v>
      </c>
      <c r="B7">
        <f>B6</f>
        <v>14</v>
      </c>
      <c r="C7" t="s">
        <v>4</v>
      </c>
      <c r="D7">
        <f>B7*30</f>
        <v>420</v>
      </c>
      <c r="E7" t="s">
        <v>10</v>
      </c>
    </row>
    <row r="8" spans="1:5" x14ac:dyDescent="0.25">
      <c r="A8" s="1" t="s">
        <v>6</v>
      </c>
      <c r="B8">
        <f>B5*1.36</f>
        <v>9.5200000000000014</v>
      </c>
      <c r="C8" t="s">
        <v>8</v>
      </c>
    </row>
    <row r="12" spans="1:5" ht="33.75" x14ac:dyDescent="0.5">
      <c r="A12" s="2" t="s">
        <v>7</v>
      </c>
    </row>
    <row r="14" spans="1:5" x14ac:dyDescent="0.25">
      <c r="A14" s="1" t="s">
        <v>1</v>
      </c>
      <c r="B14">
        <v>1800</v>
      </c>
    </row>
    <row r="15" spans="1:5" x14ac:dyDescent="0.25">
      <c r="A15" s="1"/>
    </row>
    <row r="16" spans="1:5" x14ac:dyDescent="0.25">
      <c r="A16" s="1" t="s">
        <v>2</v>
      </c>
      <c r="B16">
        <f>B14/45</f>
        <v>40</v>
      </c>
      <c r="C16" t="s">
        <v>5</v>
      </c>
    </row>
    <row r="17" spans="1:5" x14ac:dyDescent="0.25">
      <c r="A17" s="1" t="s">
        <v>3</v>
      </c>
      <c r="B17">
        <f>B16/0.8</f>
        <v>50</v>
      </c>
      <c r="C17" t="s">
        <v>4</v>
      </c>
      <c r="D17">
        <f>B17*30</f>
        <v>1500</v>
      </c>
      <c r="E17" t="s">
        <v>10</v>
      </c>
    </row>
    <row r="18" spans="1:5" x14ac:dyDescent="0.25">
      <c r="A18" s="1" t="s">
        <v>9</v>
      </c>
      <c r="B18">
        <f>B17*1.2</f>
        <v>60</v>
      </c>
      <c r="C18" t="s">
        <v>4</v>
      </c>
      <c r="D18">
        <f>B18*30</f>
        <v>1800</v>
      </c>
      <c r="E18" t="s">
        <v>10</v>
      </c>
    </row>
    <row r="19" spans="1:5" x14ac:dyDescent="0.25">
      <c r="A19" s="1" t="s">
        <v>6</v>
      </c>
      <c r="B19">
        <f>B16*1.36</f>
        <v>54.400000000000006</v>
      </c>
      <c r="C19" t="s">
        <v>8</v>
      </c>
    </row>
    <row r="23" spans="1:5" x14ac:dyDescent="0.25">
      <c r="A23" t="s">
        <v>16</v>
      </c>
    </row>
    <row r="24" spans="1:5" x14ac:dyDescent="0.25">
      <c r="A24" t="s">
        <v>15</v>
      </c>
    </row>
    <row r="25" spans="1:5" x14ac:dyDescent="0.25">
      <c r="A25" s="3" t="s">
        <v>17</v>
      </c>
    </row>
  </sheetData>
  <hyperlinks>
    <hyperlink ref="A2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9" workbookViewId="0">
      <selection activeCell="A30" sqref="A30:C32"/>
    </sheetView>
  </sheetViews>
  <sheetFormatPr defaultRowHeight="15" x14ac:dyDescent="0.25"/>
  <cols>
    <col min="1" max="1" width="18.42578125" bestFit="1" customWidth="1"/>
    <col min="2" max="2" width="5" bestFit="1" customWidth="1"/>
  </cols>
  <sheetData>
    <row r="1" spans="1:5" ht="33.75" x14ac:dyDescent="0.5">
      <c r="A1" s="2" t="s">
        <v>11</v>
      </c>
    </row>
    <row r="3" spans="1:5" x14ac:dyDescent="0.25">
      <c r="A3" s="1" t="s">
        <v>1</v>
      </c>
      <c r="B3">
        <v>110</v>
      </c>
    </row>
    <row r="4" spans="1:5" x14ac:dyDescent="0.25">
      <c r="A4" s="1"/>
    </row>
    <row r="5" spans="1:5" x14ac:dyDescent="0.25">
      <c r="A5" s="1" t="s">
        <v>2</v>
      </c>
      <c r="B5">
        <f>B3/22</f>
        <v>5</v>
      </c>
      <c r="C5" t="s">
        <v>5</v>
      </c>
    </row>
    <row r="6" spans="1:5" x14ac:dyDescent="0.25">
      <c r="A6" s="1" t="s">
        <v>3</v>
      </c>
      <c r="B6">
        <f>B5/1</f>
        <v>5</v>
      </c>
      <c r="C6" t="s">
        <v>4</v>
      </c>
      <c r="D6">
        <f>B6*30</f>
        <v>150</v>
      </c>
      <c r="E6" t="s">
        <v>10</v>
      </c>
    </row>
    <row r="7" spans="1:5" x14ac:dyDescent="0.25">
      <c r="A7" s="1" t="s">
        <v>9</v>
      </c>
      <c r="B7">
        <f>B6*1.1</f>
        <v>5.5</v>
      </c>
      <c r="C7" t="s">
        <v>4</v>
      </c>
      <c r="D7">
        <f>B7*30</f>
        <v>165</v>
      </c>
      <c r="E7" t="s">
        <v>10</v>
      </c>
    </row>
    <row r="8" spans="1:5" x14ac:dyDescent="0.25">
      <c r="A8" s="1" t="s">
        <v>6</v>
      </c>
      <c r="B8">
        <f>B5*0.616</f>
        <v>3.08</v>
      </c>
      <c r="C8" t="s">
        <v>8</v>
      </c>
    </row>
    <row r="11" spans="1:5" ht="33.75" x14ac:dyDescent="0.5">
      <c r="A11" s="2" t="s">
        <v>12</v>
      </c>
    </row>
    <row r="13" spans="1:5" x14ac:dyDescent="0.25">
      <c r="A13" s="1" t="s">
        <v>1</v>
      </c>
      <c r="B13">
        <v>120</v>
      </c>
    </row>
    <row r="14" spans="1:5" x14ac:dyDescent="0.25">
      <c r="A14" s="1"/>
    </row>
    <row r="15" spans="1:5" x14ac:dyDescent="0.25">
      <c r="A15" s="1" t="s">
        <v>2</v>
      </c>
      <c r="B15">
        <f>B13/40</f>
        <v>3</v>
      </c>
      <c r="C15" t="s">
        <v>5</v>
      </c>
    </row>
    <row r="16" spans="1:5" x14ac:dyDescent="0.25">
      <c r="A16" s="1" t="s">
        <v>3</v>
      </c>
      <c r="B16">
        <f>B15/0.857</f>
        <v>3.500583430571762</v>
      </c>
      <c r="C16" t="s">
        <v>4</v>
      </c>
      <c r="D16">
        <f>B16*30</f>
        <v>105.01750291715285</v>
      </c>
      <c r="E16" t="s">
        <v>10</v>
      </c>
    </row>
    <row r="17" spans="1:5" x14ac:dyDescent="0.25">
      <c r="A17" s="1" t="s">
        <v>9</v>
      </c>
      <c r="B17">
        <f>B16*1.142</f>
        <v>3.9976662777129519</v>
      </c>
      <c r="C17" t="s">
        <v>4</v>
      </c>
      <c r="D17">
        <f>B17*30</f>
        <v>119.92998833138856</v>
      </c>
      <c r="E17" t="s">
        <v>10</v>
      </c>
    </row>
    <row r="18" spans="1:5" x14ac:dyDescent="0.25">
      <c r="A18" s="1" t="s">
        <v>6</v>
      </c>
      <c r="B18">
        <f>B15*1.32</f>
        <v>3.96</v>
      </c>
      <c r="C18" t="s">
        <v>8</v>
      </c>
    </row>
    <row r="20" spans="1:5" ht="33.75" x14ac:dyDescent="0.5">
      <c r="A20" s="2" t="s">
        <v>13</v>
      </c>
    </row>
    <row r="22" spans="1:5" x14ac:dyDescent="0.25">
      <c r="A22" s="1" t="s">
        <v>1</v>
      </c>
      <c r="B22">
        <v>150</v>
      </c>
    </row>
    <row r="23" spans="1:5" x14ac:dyDescent="0.25">
      <c r="A23" s="1"/>
    </row>
    <row r="24" spans="1:5" x14ac:dyDescent="0.25">
      <c r="A24" s="1" t="s">
        <v>2</v>
      </c>
      <c r="B24">
        <f>B22/37.5</f>
        <v>4</v>
      </c>
      <c r="C24" t="s">
        <v>5</v>
      </c>
    </row>
    <row r="25" spans="1:5" x14ac:dyDescent="0.25">
      <c r="A25" s="1" t="s">
        <v>3</v>
      </c>
      <c r="B25">
        <f>B24/1</f>
        <v>4</v>
      </c>
      <c r="C25" t="s">
        <v>4</v>
      </c>
      <c r="D25">
        <f>B25*30</f>
        <v>120</v>
      </c>
      <c r="E25" t="s">
        <v>10</v>
      </c>
    </row>
    <row r="26" spans="1:5" x14ac:dyDescent="0.25">
      <c r="A26" s="1" t="s">
        <v>9</v>
      </c>
      <c r="B26">
        <f>B25*1.25</f>
        <v>5</v>
      </c>
      <c r="C26" t="s">
        <v>4</v>
      </c>
      <c r="D26">
        <f>B26*30</f>
        <v>150</v>
      </c>
      <c r="E26" t="s">
        <v>10</v>
      </c>
    </row>
    <row r="27" spans="1:5" x14ac:dyDescent="0.25">
      <c r="A27" s="1" t="s">
        <v>6</v>
      </c>
      <c r="B27">
        <f>B24*1.29</f>
        <v>5.16</v>
      </c>
      <c r="C27" t="s">
        <v>8</v>
      </c>
    </row>
    <row r="30" spans="1:5" x14ac:dyDescent="0.25">
      <c r="A30" t="s">
        <v>16</v>
      </c>
    </row>
    <row r="31" spans="1:5" x14ac:dyDescent="0.25">
      <c r="A31" t="s">
        <v>15</v>
      </c>
    </row>
    <row r="32" spans="1:5" x14ac:dyDescent="0.25">
      <c r="A32" s="3" t="s">
        <v>17</v>
      </c>
    </row>
  </sheetData>
  <hyperlinks>
    <hyperlink ref="A3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A21" sqref="A21:C23"/>
    </sheetView>
  </sheetViews>
  <sheetFormatPr defaultRowHeight="15" x14ac:dyDescent="0.25"/>
  <cols>
    <col min="1" max="1" width="18.42578125" bestFit="1" customWidth="1"/>
  </cols>
  <sheetData>
    <row r="1" spans="1:5" ht="33.75" x14ac:dyDescent="0.5">
      <c r="A1" s="2" t="s">
        <v>14</v>
      </c>
    </row>
    <row r="3" spans="1:5" x14ac:dyDescent="0.25">
      <c r="A3" t="s">
        <v>1</v>
      </c>
      <c r="B3">
        <v>100</v>
      </c>
    </row>
    <row r="5" spans="1:5" x14ac:dyDescent="0.25">
      <c r="A5" t="s">
        <v>2</v>
      </c>
      <c r="B5">
        <f>B3/20</f>
        <v>5</v>
      </c>
      <c r="C5" t="s">
        <v>5</v>
      </c>
    </row>
    <row r="6" spans="1:5" x14ac:dyDescent="0.25">
      <c r="A6" t="s">
        <v>3</v>
      </c>
      <c r="B6">
        <f>B5</f>
        <v>5</v>
      </c>
      <c r="C6" t="s">
        <v>4</v>
      </c>
      <c r="D6">
        <f>B6*30</f>
        <v>150</v>
      </c>
      <c r="E6" t="s">
        <v>10</v>
      </c>
    </row>
    <row r="7" spans="1:5" x14ac:dyDescent="0.25">
      <c r="A7" t="s">
        <v>9</v>
      </c>
      <c r="B7">
        <f>B6*1.1</f>
        <v>5.5</v>
      </c>
      <c r="C7" t="s">
        <v>4</v>
      </c>
      <c r="D7">
        <f>B7*30</f>
        <v>165</v>
      </c>
      <c r="E7" t="s">
        <v>10</v>
      </c>
    </row>
    <row r="8" spans="1:5" x14ac:dyDescent="0.25">
      <c r="A8" t="s">
        <v>6</v>
      </c>
      <c r="B8">
        <f>B5*0.56</f>
        <v>2.8000000000000003</v>
      </c>
      <c r="C8" t="s">
        <v>8</v>
      </c>
    </row>
    <row r="21" spans="1:1" x14ac:dyDescent="0.25">
      <c r="A21" t="s">
        <v>16</v>
      </c>
    </row>
    <row r="22" spans="1:1" x14ac:dyDescent="0.25">
      <c r="A22" t="s">
        <v>15</v>
      </c>
    </row>
    <row r="23" spans="1:1" x14ac:dyDescent="0.25">
      <c r="A23" s="3" t="s">
        <v>17</v>
      </c>
    </row>
  </sheetData>
  <hyperlinks>
    <hyperlink ref="A2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Elecare</vt:lpstr>
      <vt:lpstr>Neocate</vt:lpstr>
      <vt:lpstr>PurAmino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</dc:creator>
  <cp:lastModifiedBy>Kendra</cp:lastModifiedBy>
  <dcterms:created xsi:type="dcterms:W3CDTF">2014-03-07T00:44:42Z</dcterms:created>
  <dcterms:modified xsi:type="dcterms:W3CDTF">2014-04-05T18:15:48Z</dcterms:modified>
</cp:coreProperties>
</file>