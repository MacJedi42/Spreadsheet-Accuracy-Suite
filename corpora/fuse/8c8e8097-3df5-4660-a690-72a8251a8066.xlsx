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C4" i="1"/>
  <c r="B4" i="1"/>
  <c r="A4" i="1"/>
  <c r="O630" i="1"/>
  <c r="N630" i="1"/>
  <c r="M630" i="1"/>
  <c r="L630" i="1"/>
  <c r="D4" i="1" s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<sst xmlns="http://schemas.openxmlformats.org/spreadsheetml/2006/main" count="77" uniqueCount="34">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</sst>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30"/>
  <sheetViews>
    <sheetView defaultGridColor="0" colorId="22" zoomScaleNormal="100" workbookViewId="0">
      <pane xSplit="1" ySplit="7" topLeftCell="B625" activePane="bottomRight" state="frozen"/>
      <selection pane="topRight" activeCell="B1" sqref="B1"/>
      <selection pane="bottomLeft" activeCell="A8" sqref="A8"/>
      <selection pane="bottomRight" activeCell="E636" sqref="E636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(A630)</f>
        <v>41843</v>
      </c>
      <c r="B4" s="53">
        <f t="shared" ref="B4:G4" si="0">J630</f>
        <v>259.66442953020135</v>
      </c>
      <c r="C4" s="53">
        <f t="shared" si="0"/>
        <v>282.81497932747482</v>
      </c>
      <c r="D4" s="53">
        <f t="shared" si="0"/>
        <v>290.2632902342113</v>
      </c>
      <c r="E4" s="53">
        <f t="shared" si="0"/>
        <v>303.88888888888886</v>
      </c>
      <c r="F4" s="53">
        <f t="shared" si="0"/>
        <v>190.07155635062611</v>
      </c>
      <c r="G4" s="53">
        <f t="shared" si="0"/>
        <v>166.66666666666669</v>
      </c>
    </row>
    <row r="5" spans="1:26" s="32" customFormat="1" ht="15.6" customHeight="1" x14ac:dyDescent="0.3">
      <c r="A5" s="28"/>
      <c r="B5" s="8">
        <f t="shared" ref="B5:G5" si="1">(B630-B629)/(B629)</f>
        <v>-6.4201335387775839E-3</v>
      </c>
      <c r="C5" s="8">
        <f t="shared" si="1"/>
        <v>-0.11764705882352941</v>
      </c>
      <c r="D5" s="8">
        <f t="shared" si="1"/>
        <v>-6.8947368421052632E-2</v>
      </c>
      <c r="E5" s="8">
        <f t="shared" si="1"/>
        <v>0.35061728395061731</v>
      </c>
      <c r="F5" s="8">
        <f t="shared" si="1"/>
        <v>-1.1627906976744186E-2</v>
      </c>
      <c r="G5" s="8">
        <f t="shared" si="1"/>
        <v>-2.0833333333333332E-2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83" t="s">
        <v>28</v>
      </c>
      <c r="Z5" s="184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84"/>
      <c r="Z6" s="184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82" t="s">
        <v>25</v>
      </c>
      <c r="G236" s="182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227.26811970558018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227.10290805546686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228.14924850618453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228.17678378120343</v>
      </c>
      <c r="L504" s="11">
        <f t="shared" si="117"/>
        <v>191.40098722005806</v>
      </c>
      <c r="M504" s="27">
        <f t="shared" si="128"/>
        <v>225</v>
      </c>
      <c r="N504" s="27">
        <f t="shared" ref="N504:N556" si="132">(1+(F504-U503)/U503)*100</f>
        <v>223.61359570661898</v>
      </c>
      <c r="O504" s="27">
        <f t="shared" ref="O504:O56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227.81882520595792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4">(1+(B506-Q506)/Q506)*100</f>
        <v>274.76510067114094</v>
      </c>
      <c r="K506" s="11">
        <f t="shared" ref="K506:K531" si="135">(C506+Y506)/R506*100</f>
        <v>226.99496687894288</v>
      </c>
      <c r="L506" s="11">
        <f t="shared" ref="L506:L556" si="136">(D506+Z506)/S506*100</f>
        <v>195.16442971259858</v>
      </c>
      <c r="M506" s="27">
        <f t="shared" ref="M506:N55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4"/>
        <v>276.71140939597319</v>
      </c>
      <c r="K507" s="11">
        <f t="shared" si="135"/>
        <v>227.1326432540373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4"/>
        <v>280.80536912751677</v>
      </c>
      <c r="K508" s="11">
        <f t="shared" si="135"/>
        <v>227.35292545418838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4"/>
        <v>281.20805369127515</v>
      </c>
      <c r="K509" s="11">
        <f t="shared" si="135"/>
        <v>228.31666007984941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4"/>
        <v>277.98657718120808</v>
      </c>
      <c r="K510" s="11">
        <f t="shared" si="135"/>
        <v>225.74573492808599</v>
      </c>
      <c r="L510" s="11">
        <f t="shared" si="136"/>
        <v>190.58093039989819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4"/>
        <v>278.3892617449664</v>
      </c>
      <c r="K511" s="11">
        <f t="shared" si="135"/>
        <v>225.82834075314264</v>
      </c>
      <c r="L511" s="11">
        <f t="shared" si="136"/>
        <v>192.16328690244362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4"/>
        <v>276.97986577181206</v>
      </c>
      <c r="K512" s="11">
        <f t="shared" si="135"/>
        <v>224.50664755223616</v>
      </c>
      <c r="L512" s="11">
        <f t="shared" si="136"/>
        <v>185.3848137766746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4"/>
        <v>273.3557046979866</v>
      </c>
      <c r="K514" s="11">
        <f t="shared" si="135"/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4"/>
        <v>272.28187919463085</v>
      </c>
      <c r="K515" s="11">
        <f t="shared" si="135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4"/>
        <v>268.72483221476506</v>
      </c>
      <c r="K516" s="11">
        <f t="shared" si="135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4"/>
        <v>265.50335570469798</v>
      </c>
      <c r="K517" s="11">
        <f t="shared" si="135"/>
        <v>228.02113701609667</v>
      </c>
      <c r="L517" s="11">
        <f t="shared" si="136"/>
        <v>193.95227260404121</v>
      </c>
      <c r="M517" s="27">
        <f t="shared" si="137"/>
        <v>0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4"/>
        <v>261.744966442953</v>
      </c>
      <c r="K518" s="11">
        <f t="shared" si="135"/>
        <v>228.04867229111557</v>
      </c>
      <c r="L518" s="11">
        <f t="shared" si="136"/>
        <v>193.3107767246309</v>
      </c>
      <c r="M518" s="27">
        <f t="shared" si="137"/>
        <v>183.33333333333334</v>
      </c>
      <c r="N518" s="27">
        <f t="shared" si="132"/>
        <v>223.61359570661898</v>
      </c>
      <c r="O518" s="27">
        <f t="shared" si="133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4"/>
        <v>258.38926174496646</v>
      </c>
      <c r="K519" s="11">
        <f t="shared" si="135"/>
        <v>229.89201117264932</v>
      </c>
      <c r="L519" s="11">
        <f t="shared" si="136"/>
        <v>192.87642775064987</v>
      </c>
      <c r="M519" s="27">
        <f t="shared" si="137"/>
        <v>158.33333333333334</v>
      </c>
      <c r="N519" s="27">
        <f t="shared" si="132"/>
        <v>216.90518783542041</v>
      </c>
      <c r="O519" s="27">
        <f t="shared" si="133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4"/>
        <v>253.75838926174498</v>
      </c>
      <c r="K520" s="11">
        <f t="shared" si="135"/>
        <v>229.23596436542991</v>
      </c>
      <c r="L520" s="11">
        <f t="shared" si="136"/>
        <v>184.95384108884764</v>
      </c>
      <c r="M520" s="27">
        <f t="shared" si="137"/>
        <v>157.77777777777777</v>
      </c>
      <c r="N520" s="27">
        <f t="shared" si="132"/>
        <v>219.14132379248659</v>
      </c>
      <c r="O520" s="27">
        <f t="shared" si="133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4"/>
        <v>252.75167785234896</v>
      </c>
      <c r="K521" s="11">
        <f t="shared" si="135"/>
        <v>229.6489934907132</v>
      </c>
      <c r="L521" s="11">
        <f t="shared" si="136"/>
        <v>182.00296004356019</v>
      </c>
      <c r="M521" s="27">
        <f t="shared" si="137"/>
        <v>153.88888888888889</v>
      </c>
      <c r="N521" s="27">
        <f t="shared" si="132"/>
        <v>225.84973166368516</v>
      </c>
      <c r="O521" s="27">
        <f t="shared" si="133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4"/>
        <v>246.8456375838926</v>
      </c>
      <c r="K522" s="11">
        <f t="shared" si="135"/>
        <v>229.40117601554323</v>
      </c>
      <c r="L522" s="11">
        <f t="shared" si="136"/>
        <v>183.35010139032184</v>
      </c>
      <c r="M522" s="27">
        <f t="shared" si="137"/>
        <v>150</v>
      </c>
      <c r="N522" s="27">
        <f t="shared" si="132"/>
        <v>216.90518783542041</v>
      </c>
      <c r="O522" s="27">
        <f t="shared" si="133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4"/>
        <v>244.8322147651007</v>
      </c>
      <c r="K523" s="11">
        <f t="shared" si="135"/>
        <v>225.16849411794001</v>
      </c>
      <c r="L523" s="11">
        <f t="shared" si="136"/>
        <v>187.72897477180396</v>
      </c>
      <c r="M523" s="27">
        <f t="shared" si="137"/>
        <v>177.77777777777777</v>
      </c>
      <c r="N523" s="27">
        <f t="shared" si="132"/>
        <v>214.6690518783542</v>
      </c>
      <c r="O523" s="27">
        <f t="shared" si="133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4"/>
        <v>247.18120805369125</v>
      </c>
      <c r="K524" s="11">
        <f t="shared" si="135"/>
        <v>224.68387331667157</v>
      </c>
      <c r="L524" s="11">
        <f t="shared" si="136"/>
        <v>188.99058334243222</v>
      </c>
      <c r="M524" s="27">
        <f t="shared" si="137"/>
        <v>196.11111111111111</v>
      </c>
      <c r="N524" s="27">
        <f t="shared" si="132"/>
        <v>219.14132379248659</v>
      </c>
      <c r="O524" s="27">
        <f t="shared" si="133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4"/>
        <v>247.98657718120808</v>
      </c>
      <c r="K525" s="11">
        <f t="shared" si="135"/>
        <v>225.71919961831776</v>
      </c>
      <c r="L525" s="11">
        <f t="shared" si="136"/>
        <v>193.07477376688993</v>
      </c>
      <c r="M525" s="27">
        <f t="shared" si="137"/>
        <v>227.22222222222223</v>
      </c>
      <c r="N525" s="27">
        <f t="shared" si="132"/>
        <v>225.84973166368516</v>
      </c>
      <c r="O525" s="27">
        <f t="shared" si="133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4"/>
        <v>253.89261744966447</v>
      </c>
      <c r="K526" s="11">
        <f t="shared" si="135"/>
        <v>226.13222878291683</v>
      </c>
      <c r="L526" s="11">
        <f t="shared" si="136"/>
        <v>187.10886209608441</v>
      </c>
      <c r="M526" s="27">
        <f t="shared" si="137"/>
        <v>194.44444444444443</v>
      </c>
      <c r="N526" s="27">
        <f t="shared" si="132"/>
        <v>228.08586762075134</v>
      </c>
      <c r="O526" s="27">
        <f t="shared" si="133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4"/>
        <v>254.76510067114094</v>
      </c>
      <c r="K527" s="11">
        <f t="shared" si="135"/>
        <v>219.1438947802578</v>
      </c>
      <c r="L527" s="11">
        <f t="shared" si="136"/>
        <v>189.93103880248719</v>
      </c>
      <c r="M527" s="27">
        <f t="shared" si="137"/>
        <v>197.22222222222223</v>
      </c>
      <c r="N527" s="27">
        <f t="shared" si="132"/>
        <v>225.84973166368516</v>
      </c>
      <c r="O527" s="27">
        <f t="shared" si="133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4"/>
        <v>258.38926174496646</v>
      </c>
      <c r="K528" s="11">
        <f t="shared" si="135"/>
        <v>219.1438947802578</v>
      </c>
      <c r="L528" s="11">
        <f t="shared" si="136"/>
        <v>194.48565954630047</v>
      </c>
      <c r="M528" s="27">
        <f t="shared" si="137"/>
        <v>169.44444444444443</v>
      </c>
      <c r="N528" s="27">
        <f t="shared" si="132"/>
        <v>223.61359570661898</v>
      </c>
      <c r="O528" s="27">
        <f t="shared" si="133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4"/>
        <v>265.23489932885906</v>
      </c>
      <c r="K529" s="11">
        <f t="shared" si="135"/>
        <v>224.21038538373287</v>
      </c>
      <c r="L529" s="11">
        <f t="shared" si="136"/>
        <v>187.00154095318013</v>
      </c>
      <c r="M529" s="27">
        <f t="shared" si="137"/>
        <v>202.77777777777777</v>
      </c>
      <c r="N529" s="27">
        <f t="shared" si="132"/>
        <v>223.61359570661898</v>
      </c>
      <c r="O529" s="27">
        <f t="shared" si="133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4"/>
        <v>270.20134228187914</v>
      </c>
      <c r="K530" s="11">
        <f t="shared" si="135"/>
        <v>226.66102486041368</v>
      </c>
      <c r="L530" s="11">
        <f t="shared" si="136"/>
        <v>186.18897950592702</v>
      </c>
      <c r="M530" s="27">
        <f t="shared" si="137"/>
        <v>183.33333333333334</v>
      </c>
      <c r="N530" s="27">
        <f t="shared" si="132"/>
        <v>223.61359570661898</v>
      </c>
      <c r="O530" s="27">
        <f t="shared" si="133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4"/>
        <v>274.42953020134229</v>
      </c>
      <c r="K531" s="11">
        <f t="shared" si="135"/>
        <v>226.71609541045146</v>
      </c>
      <c r="L531" s="11">
        <f t="shared" si="136"/>
        <v>186.27451228984842</v>
      </c>
      <c r="M531" s="27">
        <f t="shared" si="137"/>
        <v>243.33333333333337</v>
      </c>
      <c r="N531" s="27">
        <f t="shared" si="132"/>
        <v>223.61359570661898</v>
      </c>
      <c r="O531" s="27">
        <f t="shared" si="133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4"/>
        <v>276.97986577181206</v>
      </c>
      <c r="K532" s="11">
        <f>(C532+Y532)/R532*100</f>
        <v>226.89617321062502</v>
      </c>
      <c r="L532" s="11">
        <f t="shared" si="136"/>
        <v>182.90544345706743</v>
      </c>
      <c r="M532" s="27">
        <f t="shared" si="137"/>
        <v>277.77777777777777</v>
      </c>
      <c r="N532" s="27">
        <f t="shared" si="132"/>
        <v>219.14132379248659</v>
      </c>
      <c r="O532" s="27">
        <f t="shared" si="133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4"/>
        <v>277.31543624161066</v>
      </c>
      <c r="K533" s="11">
        <f t="shared" ref="K533:L557" si="138">(C533+Y533)/R533*100</f>
        <v>227.25413182538139</v>
      </c>
      <c r="L533" s="11">
        <f t="shared" si="136"/>
        <v>191.86500258073792</v>
      </c>
      <c r="M533" s="27">
        <f t="shared" si="137"/>
        <v>305.55555555555554</v>
      </c>
      <c r="N533" s="27">
        <f t="shared" si="132"/>
        <v>214.6690518783542</v>
      </c>
      <c r="O533" s="27">
        <f t="shared" si="133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4"/>
        <v>277.5167785234899</v>
      </c>
      <c r="K534" s="11">
        <f t="shared" si="138"/>
        <v>225.3817330845863</v>
      </c>
      <c r="L534" s="11">
        <f t="shared" si="136"/>
        <v>221.26689704580434</v>
      </c>
      <c r="M534" s="27">
        <f t="shared" si="137"/>
        <v>347.22222222222223</v>
      </c>
      <c r="N534" s="27">
        <f t="shared" si="132"/>
        <v>214.6690518783542</v>
      </c>
      <c r="O534" s="27">
        <f t="shared" si="133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4"/>
        <v>274.2281879194631</v>
      </c>
      <c r="K535" s="11">
        <f t="shared" si="138"/>
        <v>226.81356742500262</v>
      </c>
      <c r="L535" s="11">
        <f t="shared" si="136"/>
        <v>216.34876197924058</v>
      </c>
      <c r="M535" s="27">
        <f t="shared" si="137"/>
        <v>337.77777777777777</v>
      </c>
      <c r="N535" s="27">
        <f t="shared" si="132"/>
        <v>210.19677996422183</v>
      </c>
      <c r="O535" s="27">
        <f t="shared" si="133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4"/>
        <v>273.75838926174492</v>
      </c>
      <c r="K536" s="11">
        <f t="shared" si="138"/>
        <v>232.7243214040725</v>
      </c>
      <c r="L536" s="11">
        <f t="shared" si="136"/>
        <v>220.35950675153532</v>
      </c>
      <c r="M536" s="27">
        <f t="shared" si="137"/>
        <v>351.66666666666669</v>
      </c>
      <c r="N536" s="27">
        <f t="shared" si="132"/>
        <v>210.19677996422183</v>
      </c>
      <c r="O536" s="27">
        <f t="shared" si="133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4"/>
        <v>274.76510067114094</v>
      </c>
      <c r="K537" s="11">
        <f t="shared" si="138"/>
        <v>232.83446254462908</v>
      </c>
      <c r="L537" s="11">
        <f t="shared" si="136"/>
        <v>216.36084911212686</v>
      </c>
      <c r="M537" s="27">
        <f t="shared" si="137"/>
        <v>285</v>
      </c>
      <c r="N537" s="27">
        <f t="shared" si="132"/>
        <v>219.14132379248659</v>
      </c>
      <c r="O537" s="27">
        <f t="shared" si="133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4"/>
        <v>278.52348993288592</v>
      </c>
      <c r="K538" s="11">
        <f t="shared" si="138"/>
        <v>231.78812205343036</v>
      </c>
      <c r="L538" s="11">
        <f t="shared" si="136"/>
        <v>203.70199708284744</v>
      </c>
      <c r="M538" s="27">
        <f t="shared" si="137"/>
        <v>277.77777777777777</v>
      </c>
      <c r="N538" s="27">
        <f t="shared" si="132"/>
        <v>219.14132379248659</v>
      </c>
      <c r="O538" s="27">
        <f t="shared" si="133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4"/>
        <v>276.24161073825502</v>
      </c>
      <c r="K539" s="11">
        <f t="shared" si="138"/>
        <v>231.7881220937295</v>
      </c>
      <c r="L539" s="11">
        <f t="shared" si="136"/>
        <v>198.61279644771005</v>
      </c>
      <c r="M539" s="27">
        <f t="shared" si="137"/>
        <v>326.66666666666669</v>
      </c>
      <c r="N539" s="27">
        <f t="shared" si="132"/>
        <v>219.14132379248659</v>
      </c>
      <c r="O539" s="27">
        <f t="shared" si="133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4"/>
        <v>270.8724832214765</v>
      </c>
      <c r="K540" s="11">
        <f t="shared" si="138"/>
        <v>231.12727545297707</v>
      </c>
      <c r="L540" s="11">
        <f t="shared" si="136"/>
        <v>198.89077798727007</v>
      </c>
      <c r="M540" s="27">
        <f t="shared" si="137"/>
        <v>303.88888888888886</v>
      </c>
      <c r="N540" s="27">
        <f t="shared" si="132"/>
        <v>212.43291592128801</v>
      </c>
      <c r="O540" s="27">
        <f t="shared" si="133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4"/>
        <v>269.12751677852344</v>
      </c>
      <c r="K541" s="11">
        <f t="shared" si="138"/>
        <v>233.60789943554408</v>
      </c>
      <c r="L541" s="11">
        <f t="shared" si="136"/>
        <v>198.88278743275717</v>
      </c>
      <c r="M541" s="27">
        <f t="shared" si="137"/>
        <v>330.55555555555554</v>
      </c>
      <c r="N541" s="27">
        <f t="shared" si="132"/>
        <v>210.19677996422183</v>
      </c>
      <c r="O541" s="27">
        <f t="shared" si="133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4"/>
        <v>267.11409395973158</v>
      </c>
      <c r="K542" s="11">
        <f t="shared" si="138"/>
        <v>233.30501136972083</v>
      </c>
      <c r="L542" s="11">
        <f t="shared" si="136"/>
        <v>198.77587144465986</v>
      </c>
      <c r="M542" s="27">
        <f t="shared" si="137"/>
        <v>296.11111111111114</v>
      </c>
      <c r="N542" s="27">
        <f t="shared" si="132"/>
        <v>205.72450805008947</v>
      </c>
      <c r="O542" s="27">
        <f t="shared" si="133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4"/>
        <v>266.8456375838926</v>
      </c>
      <c r="K543" s="11">
        <f t="shared" si="138"/>
        <v>234.29628131113591</v>
      </c>
      <c r="L543" s="11">
        <f t="shared" si="136"/>
        <v>203.45879137273934</v>
      </c>
      <c r="M543" s="27">
        <f t="shared" si="137"/>
        <v>333.33333333333337</v>
      </c>
      <c r="N543" s="27">
        <f t="shared" si="132"/>
        <v>205.72450805008947</v>
      </c>
      <c r="O543" s="27">
        <f t="shared" si="133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4"/>
        <v>270.73825503355698</v>
      </c>
      <c r="K544" s="11">
        <f t="shared" si="138"/>
        <v>232.85940080845049</v>
      </c>
      <c r="L544" s="11">
        <f t="shared" si="136"/>
        <v>204.89583217718703</v>
      </c>
      <c r="M544" s="27">
        <f t="shared" si="137"/>
        <v>340.55555555555554</v>
      </c>
      <c r="N544" s="27">
        <f t="shared" si="132"/>
        <v>207.96064400715562</v>
      </c>
      <c r="O544" s="27">
        <f t="shared" si="133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4"/>
        <v>270.26845637583892</v>
      </c>
      <c r="K545" s="11">
        <f t="shared" si="138"/>
        <v>232.85940080845049</v>
      </c>
      <c r="L545" s="11">
        <f t="shared" si="136"/>
        <v>203.57007402635108</v>
      </c>
      <c r="M545" s="27">
        <f t="shared" si="137"/>
        <v>319.44444444444446</v>
      </c>
      <c r="N545" s="27">
        <f t="shared" si="132"/>
        <v>207.96064400715562</v>
      </c>
      <c r="O545" s="27">
        <f t="shared" si="133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4"/>
        <v>267.85234899328867</v>
      </c>
      <c r="K546" s="11">
        <f t="shared" si="138"/>
        <v>233.54778268404232</v>
      </c>
      <c r="L546" s="11">
        <f t="shared" si="136"/>
        <v>203.74113959420092</v>
      </c>
      <c r="M546" s="27">
        <f t="shared" si="137"/>
        <v>333.33333333333337</v>
      </c>
      <c r="N546" s="27">
        <f t="shared" si="132"/>
        <v>203.48837209302326</v>
      </c>
      <c r="O546" s="27">
        <f t="shared" si="133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4"/>
        <v>265.1006711409396</v>
      </c>
      <c r="K547" s="11">
        <f t="shared" si="138"/>
        <v>233.54778268404232</v>
      </c>
      <c r="L547" s="11">
        <f t="shared" si="136"/>
        <v>212.03781963491619</v>
      </c>
      <c r="M547" s="27">
        <f t="shared" si="137"/>
        <v>319.44444444444446</v>
      </c>
      <c r="N547" s="27">
        <f t="shared" si="132"/>
        <v>201.25223613595705</v>
      </c>
      <c r="O547" s="27">
        <f t="shared" si="133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4"/>
        <v>263.08724832214762</v>
      </c>
      <c r="K548" s="11">
        <f t="shared" si="138"/>
        <v>234.23616455963418</v>
      </c>
      <c r="L548" s="11">
        <f t="shared" si="136"/>
        <v>212.59378273042807</v>
      </c>
      <c r="M548" s="27">
        <f t="shared" si="137"/>
        <v>312.77777777777777</v>
      </c>
      <c r="N548" s="27">
        <f t="shared" si="132"/>
        <v>199.01610017889089</v>
      </c>
      <c r="O548" s="27">
        <f t="shared" si="133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4"/>
        <v>263.08724832214762</v>
      </c>
      <c r="K549" s="11">
        <f t="shared" si="138"/>
        <v>234.28916561637971</v>
      </c>
      <c r="L549" s="11">
        <f t="shared" si="136"/>
        <v>213.92915206514189</v>
      </c>
      <c r="M549" s="27">
        <f t="shared" si="137"/>
        <v>277.77777777777777</v>
      </c>
      <c r="N549" s="27">
        <f t="shared" si="132"/>
        <v>199.01610017889089</v>
      </c>
      <c r="O549" s="27">
        <f t="shared" si="133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4"/>
        <v>262.41610738255031</v>
      </c>
      <c r="K550" s="11">
        <f t="shared" si="138"/>
        <v>232.91240186519602</v>
      </c>
      <c r="L550" s="11">
        <f t="shared" si="136"/>
        <v>211.42731813533854</v>
      </c>
      <c r="M550" s="27">
        <f t="shared" si="137"/>
        <v>207.2222222222222</v>
      </c>
      <c r="N550" s="27">
        <f t="shared" si="132"/>
        <v>199.01610017889089</v>
      </c>
      <c r="O550" s="27">
        <f t="shared" si="133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4"/>
        <v>261.34228187919462</v>
      </c>
      <c r="K551" s="11">
        <f t="shared" si="138"/>
        <v>234.28916561637971</v>
      </c>
      <c r="L551" s="11">
        <f t="shared" si="136"/>
        <v>208.66888585376051</v>
      </c>
      <c r="M551" s="27">
        <f t="shared" si="137"/>
        <v>193.33333333333334</v>
      </c>
      <c r="N551" s="27">
        <f t="shared" si="132"/>
        <v>207.96064400715562</v>
      </c>
      <c r="O551" s="27">
        <f t="shared" si="133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4"/>
        <v>261.87919463087246</v>
      </c>
      <c r="K552" s="11">
        <f t="shared" si="138"/>
        <v>233.60078370017359</v>
      </c>
      <c r="L552" s="11">
        <f t="shared" si="136"/>
        <v>207.83494120192825</v>
      </c>
      <c r="M552" s="27">
        <f t="shared" si="137"/>
        <v>185</v>
      </c>
      <c r="N552" s="27">
        <f t="shared" si="132"/>
        <v>205.72450805008947</v>
      </c>
      <c r="O552" s="27">
        <f t="shared" si="133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4"/>
        <v>263.55704697986585</v>
      </c>
      <c r="K553" s="11">
        <f t="shared" si="138"/>
        <v>234.15148924126132</v>
      </c>
      <c r="L553" s="11">
        <f t="shared" si="136"/>
        <v>206.42365027573192</v>
      </c>
      <c r="M553" s="27">
        <f t="shared" si="137"/>
        <v>183.33333333333334</v>
      </c>
      <c r="N553" s="27">
        <f t="shared" si="132"/>
        <v>205.72450805008947</v>
      </c>
      <c r="O553" s="27">
        <f t="shared" si="133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4"/>
        <v>269.93288590604027</v>
      </c>
      <c r="K554" s="11">
        <f t="shared" si="138"/>
        <v>232.76098393861585</v>
      </c>
      <c r="L554" s="11">
        <f t="shared" si="136"/>
        <v>208.00137000110871</v>
      </c>
      <c r="M554" s="27">
        <f t="shared" si="137"/>
        <v>179.44444444444443</v>
      </c>
      <c r="N554" s="27">
        <f t="shared" si="132"/>
        <v>205.72450805008947</v>
      </c>
      <c r="O554" s="27">
        <f t="shared" si="133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4"/>
        <v>275.43624161073825</v>
      </c>
      <c r="K555" s="11">
        <f t="shared" si="138"/>
        <v>233.09140723889996</v>
      </c>
      <c r="L555" s="11">
        <f t="shared" si="136"/>
        <v>212.79120590090309</v>
      </c>
      <c r="M555" s="27">
        <f t="shared" si="137"/>
        <v>180.55555555555557</v>
      </c>
      <c r="N555" s="27">
        <f t="shared" si="132"/>
        <v>205.72450805008947</v>
      </c>
      <c r="O555" s="27">
        <f t="shared" si="133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4"/>
        <v>278.99328859060404</v>
      </c>
      <c r="K556" s="11">
        <f t="shared" si="138"/>
        <v>233.09140723889996</v>
      </c>
      <c r="L556" s="11">
        <f t="shared" si="136"/>
        <v>218.6074352077963</v>
      </c>
      <c r="M556" s="27">
        <f t="shared" si="137"/>
        <v>180.55555555555557</v>
      </c>
      <c r="N556" s="27">
        <f t="shared" si="132"/>
        <v>207.96064400715562</v>
      </c>
      <c r="O556" s="27">
        <f t="shared" si="133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4"/>
        <v>279.12751677852344</v>
      </c>
      <c r="K557" s="11">
        <f t="shared" si="138"/>
        <v>231.57696711259791</v>
      </c>
      <c r="L557" s="11">
        <f t="shared" si="138"/>
        <v>208.53252858928232</v>
      </c>
      <c r="M557" s="27">
        <f t="shared" si="137"/>
        <v>181.66666666666666</v>
      </c>
      <c r="N557" s="27">
        <f t="shared" si="137"/>
        <v>207.96064400715562</v>
      </c>
      <c r="O557" s="27">
        <f t="shared" si="133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4"/>
        <v>277.18120805369131</v>
      </c>
      <c r="K558" s="11">
        <f t="shared" ref="K558:L573" si="139">(C558+Y558)/R558*100</f>
        <v>231.43496480085091</v>
      </c>
      <c r="L558" s="11">
        <f t="shared" si="139"/>
        <v>208.31237170518517</v>
      </c>
      <c r="M558" s="27">
        <f t="shared" ref="M558:N565" si="140">(1+(E558-T557)/T557)*100</f>
        <v>180.55555555555557</v>
      </c>
      <c r="N558" s="27">
        <f t="shared" si="140"/>
        <v>210.19677996422183</v>
      </c>
      <c r="O558" s="27">
        <f t="shared" si="133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4"/>
        <v>274.36241610738256</v>
      </c>
      <c r="K559" s="11">
        <f t="shared" si="139"/>
        <v>231.90306443593425</v>
      </c>
      <c r="L559" s="11">
        <f t="shared" si="139"/>
        <v>206.95510146753281</v>
      </c>
      <c r="M559" s="27">
        <f t="shared" si="140"/>
        <v>180.55555555555557</v>
      </c>
      <c r="N559" s="27">
        <f t="shared" si="140"/>
        <v>214.6690518783542</v>
      </c>
      <c r="O559" s="27">
        <f t="shared" si="133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4"/>
        <v>273.95973154362412</v>
      </c>
      <c r="K560" s="11">
        <f t="shared" si="139"/>
        <v>231.57264117596927</v>
      </c>
      <c r="L560" s="11">
        <f t="shared" si="139"/>
        <v>208.43054199876562</v>
      </c>
      <c r="M560" s="27">
        <f t="shared" si="140"/>
        <v>170.55555555555557</v>
      </c>
      <c r="N560" s="27">
        <f t="shared" si="140"/>
        <v>214.6690518783542</v>
      </c>
      <c r="O560" s="27">
        <f t="shared" si="133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4"/>
        <v>268.85906040268458</v>
      </c>
      <c r="K561" s="11">
        <f t="shared" si="139"/>
        <v>232.2610230515611</v>
      </c>
      <c r="L561" s="11">
        <f t="shared" si="139"/>
        <v>203.12750939542181</v>
      </c>
      <c r="M561" s="27">
        <f t="shared" si="140"/>
        <v>162.77777777777777</v>
      </c>
      <c r="N561" s="27">
        <f t="shared" si="140"/>
        <v>219.14132379248659</v>
      </c>
      <c r="O561" s="27">
        <f t="shared" si="133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4"/>
        <v>267.98657718120802</v>
      </c>
      <c r="K562" s="11">
        <f t="shared" si="139"/>
        <v>233.80971850921762</v>
      </c>
      <c r="L562" s="11">
        <f t="shared" si="139"/>
        <v>204.62975769329853</v>
      </c>
      <c r="M562" s="27">
        <f t="shared" si="140"/>
        <v>146.11111111111111</v>
      </c>
      <c r="N562" s="27">
        <f t="shared" si="140"/>
        <v>219.14132379248659</v>
      </c>
      <c r="O562" s="27">
        <f t="shared" si="133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4"/>
        <v>266.91275167785238</v>
      </c>
      <c r="K563" s="11">
        <f t="shared" si="139"/>
        <v>233.91985960931231</v>
      </c>
      <c r="L563" s="11">
        <f t="shared" si="139"/>
        <v>202.02100778358911</v>
      </c>
      <c r="M563" s="27">
        <f t="shared" si="140"/>
        <v>158.33333333333334</v>
      </c>
      <c r="N563" s="27">
        <f t="shared" si="140"/>
        <v>212.43291592128801</v>
      </c>
      <c r="O563" s="27">
        <f t="shared" si="133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4"/>
        <v>264.56375838926175</v>
      </c>
      <c r="K564" s="11">
        <f t="shared" si="139"/>
        <v>233.91985960931231</v>
      </c>
      <c r="L564" s="11">
        <f t="shared" si="139"/>
        <v>201.61472705994581</v>
      </c>
      <c r="M564" s="27">
        <f t="shared" si="140"/>
        <v>151.66666666666666</v>
      </c>
      <c r="N564" s="27">
        <f t="shared" si="140"/>
        <v>212.43291592128801</v>
      </c>
      <c r="O564" s="27">
        <f t="shared" si="133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4"/>
        <v>260.8724832214765</v>
      </c>
      <c r="K565" s="11">
        <f t="shared" si="139"/>
        <v>234.08507125945434</v>
      </c>
      <c r="L565" s="11">
        <f t="shared" si="139"/>
        <v>201.95685819564542</v>
      </c>
      <c r="M565" s="37" t="s">
        <v>19</v>
      </c>
      <c r="N565" s="27">
        <f t="shared" si="140"/>
        <v>212.43291592128801</v>
      </c>
      <c r="O565" s="27">
        <f t="shared" si="133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4"/>
        <v>258.45637583892619</v>
      </c>
      <c r="K566" s="11">
        <f t="shared" si="139"/>
        <v>233.09054784847424</v>
      </c>
      <c r="L566" s="11">
        <f t="shared" si="139"/>
        <v>204.09729360473872</v>
      </c>
      <c r="M566" s="37" t="s">
        <v>19</v>
      </c>
      <c r="N566" s="27">
        <f t="shared" ref="N566" si="141">(1+(F566-U565)/U565)*100</f>
        <v>207.96064400715562</v>
      </c>
      <c r="O566" s="27">
        <f t="shared" si="133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4"/>
        <v>258.05369127516781</v>
      </c>
      <c r="K567" s="11">
        <f t="shared" si="139"/>
        <v>233.09054784847424</v>
      </c>
      <c r="L567" s="11">
        <f t="shared" si="139"/>
        <v>203.5413305092269</v>
      </c>
      <c r="M567" s="27">
        <f t="shared" ref="M567:O582" si="142">(1+(E567-T566)/T566)*100</f>
        <v>160</v>
      </c>
      <c r="N567" s="27">
        <f t="shared" si="142"/>
        <v>201.25223613595705</v>
      </c>
      <c r="O567" s="27">
        <f t="shared" si="133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4"/>
        <v>259.46308724832215</v>
      </c>
      <c r="K568" s="11">
        <f t="shared" si="139"/>
        <v>233.09054784847424</v>
      </c>
      <c r="L568" s="11">
        <f t="shared" si="139"/>
        <v>204.69602309221301</v>
      </c>
      <c r="M568" s="27">
        <f t="shared" si="142"/>
        <v>154.44444444444443</v>
      </c>
      <c r="N568" s="27">
        <f t="shared" si="142"/>
        <v>201.25223613595705</v>
      </c>
      <c r="O568" s="27">
        <f t="shared" si="142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4"/>
        <v>261.07382550335575</v>
      </c>
      <c r="K569" s="11">
        <f t="shared" si="139"/>
        <v>233.55864752387672</v>
      </c>
      <c r="L569" s="11">
        <f t="shared" si="139"/>
        <v>204.71740628819424</v>
      </c>
      <c r="M569" s="27">
        <f t="shared" si="142"/>
        <v>151.66666666666666</v>
      </c>
      <c r="N569" s="27">
        <f t="shared" si="142"/>
        <v>199.01610017889089</v>
      </c>
      <c r="O569" s="27">
        <f t="shared" si="142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30" si="143">(1+(B570-Q570)/Q570)*100</f>
        <v>260.40268456375838</v>
      </c>
      <c r="K570" s="11">
        <f t="shared" si="139"/>
        <v>233.55864752387672</v>
      </c>
      <c r="L570" s="11">
        <f t="shared" si="139"/>
        <v>205.35890216763102</v>
      </c>
      <c r="M570" s="27">
        <f t="shared" si="142"/>
        <v>172.22222222222223</v>
      </c>
      <c r="N570" s="27">
        <f t="shared" si="142"/>
        <v>201.25223613595705</v>
      </c>
      <c r="O570" s="27">
        <f t="shared" si="142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3"/>
        <v>259.66442953020135</v>
      </c>
      <c r="K571" s="11">
        <f t="shared" si="139"/>
        <v>236.34115952626894</v>
      </c>
      <c r="L571" s="11">
        <f t="shared" si="139"/>
        <v>209.60628014832275</v>
      </c>
      <c r="M571" s="27">
        <f t="shared" si="142"/>
        <v>175</v>
      </c>
      <c r="N571" s="27">
        <f t="shared" si="142"/>
        <v>196.77996422182468</v>
      </c>
      <c r="O571" s="27">
        <f t="shared" si="142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3"/>
        <v>258.32214765100667</v>
      </c>
      <c r="K572" s="11">
        <f t="shared" si="139"/>
        <v>235.98320095096116</v>
      </c>
      <c r="L572" s="11">
        <f t="shared" si="139"/>
        <v>209.07170024879213</v>
      </c>
      <c r="M572" s="27">
        <f t="shared" si="142"/>
        <v>162.77777777777777</v>
      </c>
      <c r="N572" s="27">
        <f t="shared" si="142"/>
        <v>196.77996422182468</v>
      </c>
      <c r="O572" s="27">
        <f t="shared" si="142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3"/>
        <v>257.78523489932883</v>
      </c>
      <c r="K573" s="11">
        <f t="shared" si="139"/>
        <v>235.98320095096116</v>
      </c>
      <c r="L573" s="11">
        <f t="shared" si="139"/>
        <v>214.95207914362902</v>
      </c>
      <c r="M573" s="27">
        <f t="shared" si="142"/>
        <v>163.88888888888889</v>
      </c>
      <c r="N573" s="27">
        <f t="shared" si="142"/>
        <v>203.48837209302326</v>
      </c>
      <c r="O573" s="27">
        <f t="shared" si="142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3"/>
        <v>257.58389261744964</v>
      </c>
      <c r="K574" s="11">
        <f t="shared" ref="K574:L589" si="144">(C574+Y574)/R574*100</f>
        <v>236.20348315115058</v>
      </c>
      <c r="L574" s="11">
        <f t="shared" si="144"/>
        <v>207.72455890197494</v>
      </c>
      <c r="M574" s="27">
        <f t="shared" si="142"/>
        <v>179.44444444444443</v>
      </c>
      <c r="N574" s="27">
        <f t="shared" si="142"/>
        <v>205.72450805008947</v>
      </c>
      <c r="O574" s="27">
        <f t="shared" si="142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3"/>
        <v>256.17449664429535</v>
      </c>
      <c r="K575" s="11">
        <f t="shared" si="144"/>
        <v>234.15483695101429</v>
      </c>
      <c r="L575" s="11">
        <f t="shared" si="144"/>
        <v>204.72548688541244</v>
      </c>
      <c r="M575" s="27">
        <f t="shared" si="142"/>
        <v>170.55555555555557</v>
      </c>
      <c r="N575" s="27">
        <f t="shared" si="142"/>
        <v>205.72450805008947</v>
      </c>
      <c r="O575" s="27">
        <f t="shared" si="142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3"/>
        <v>256.91275167785233</v>
      </c>
      <c r="K576" s="11">
        <f t="shared" si="144"/>
        <v>233.9620900258486</v>
      </c>
      <c r="L576" s="11">
        <f t="shared" si="144"/>
        <v>201.47524109626622</v>
      </c>
      <c r="M576" s="27">
        <f t="shared" si="142"/>
        <v>160</v>
      </c>
      <c r="N576" s="27">
        <f t="shared" si="142"/>
        <v>203.48837209302326</v>
      </c>
      <c r="O576" s="27">
        <f t="shared" si="142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3"/>
        <v>259.53020134228188</v>
      </c>
      <c r="K577" s="11">
        <f t="shared" si="144"/>
        <v>233.9620900258486</v>
      </c>
      <c r="L577" s="11">
        <f t="shared" si="144"/>
        <v>203.65632708635118</v>
      </c>
      <c r="M577" s="27">
        <f t="shared" si="142"/>
        <v>156.66666666666666</v>
      </c>
      <c r="N577" s="27">
        <f t="shared" si="142"/>
        <v>203.48837209302326</v>
      </c>
      <c r="O577" s="27">
        <f t="shared" si="142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3"/>
        <v>261.94630872483219</v>
      </c>
      <c r="K578" s="11">
        <f t="shared" si="144"/>
        <v>233.93455475082493</v>
      </c>
      <c r="L578" s="11">
        <f t="shared" si="144"/>
        <v>201.68907305607848</v>
      </c>
      <c r="M578" s="27">
        <f t="shared" si="142"/>
        <v>147.22222222222223</v>
      </c>
      <c r="N578" s="27">
        <f t="shared" si="142"/>
        <v>207.96064400715562</v>
      </c>
      <c r="O578" s="27">
        <f t="shared" si="142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3"/>
        <v>262.75167785234902</v>
      </c>
      <c r="K579" s="11">
        <f t="shared" si="144"/>
        <v>234.15483695101429</v>
      </c>
      <c r="L579" s="11">
        <f t="shared" si="144"/>
        <v>202.0312041917781</v>
      </c>
      <c r="M579" s="27">
        <f t="shared" si="142"/>
        <v>143.33333333333334</v>
      </c>
      <c r="N579" s="27">
        <f t="shared" si="142"/>
        <v>205.72450805008947</v>
      </c>
      <c r="O579" s="27">
        <f t="shared" si="142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3"/>
        <v>262.34899328859058</v>
      </c>
      <c r="K580" s="11">
        <f t="shared" si="144"/>
        <v>234.28709032617806</v>
      </c>
      <c r="L580" s="11">
        <f t="shared" si="144"/>
        <v>205.40121838704647</v>
      </c>
      <c r="M580" s="27">
        <f t="shared" si="142"/>
        <v>158.33333333333334</v>
      </c>
      <c r="N580" s="27">
        <f t="shared" si="142"/>
        <v>207.96064400715562</v>
      </c>
      <c r="O580" s="27">
        <f t="shared" si="142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3"/>
        <v>261.47651006711408</v>
      </c>
      <c r="K581" s="11">
        <f t="shared" si="144"/>
        <v>234.28709032617806</v>
      </c>
      <c r="L581" s="11">
        <f t="shared" si="144"/>
        <v>205.46536797499019</v>
      </c>
      <c r="M581" s="27">
        <f t="shared" si="142"/>
        <v>195.55555555555557</v>
      </c>
      <c r="N581" s="27">
        <f t="shared" si="142"/>
        <v>203.48837209302326</v>
      </c>
      <c r="O581" s="27">
        <f t="shared" si="142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3"/>
        <v>261.744966442953</v>
      </c>
      <c r="K582" s="11">
        <f t="shared" si="144"/>
        <v>234.28709032617806</v>
      </c>
      <c r="L582" s="11">
        <f t="shared" si="144"/>
        <v>205.87164869863344</v>
      </c>
      <c r="M582" s="27">
        <f t="shared" si="142"/>
        <v>197.22222222222223</v>
      </c>
      <c r="N582" s="27">
        <f t="shared" si="142"/>
        <v>201.25223613595705</v>
      </c>
      <c r="O582" s="27">
        <f t="shared" si="142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3"/>
        <v>262.6174496644295</v>
      </c>
      <c r="K583" s="11">
        <f t="shared" si="144"/>
        <v>237.37104112882946</v>
      </c>
      <c r="L583" s="11">
        <f t="shared" si="144"/>
        <v>209.93445593506621</v>
      </c>
      <c r="M583" s="27">
        <f t="shared" ref="M583:O598" si="145">(1+(E583-T582)/T582)*100</f>
        <v>217.7777777777778</v>
      </c>
      <c r="N583" s="27">
        <f t="shared" si="145"/>
        <v>201.25223613595705</v>
      </c>
      <c r="O583" s="27">
        <f t="shared" si="145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3"/>
        <v>267.18120805369125</v>
      </c>
      <c r="K584" s="11">
        <f t="shared" si="144"/>
        <v>244.17188015962643</v>
      </c>
      <c r="L584" s="11">
        <f t="shared" si="144"/>
        <v>216.56840116490881</v>
      </c>
      <c r="M584" s="27">
        <f t="shared" si="145"/>
        <v>236.11111111111111</v>
      </c>
      <c r="N584" s="27">
        <f t="shared" si="145"/>
        <v>203.48837209302326</v>
      </c>
      <c r="O584" s="27">
        <f t="shared" si="145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3"/>
        <v>267.18120805369125</v>
      </c>
      <c r="K585" s="11">
        <f t="shared" si="144"/>
        <v>236.81996172830563</v>
      </c>
      <c r="L585" s="11">
        <f t="shared" si="144"/>
        <v>216.93191549658962</v>
      </c>
      <c r="M585" s="27">
        <f t="shared" si="145"/>
        <v>251.66666666666666</v>
      </c>
      <c r="N585" s="27">
        <f t="shared" si="145"/>
        <v>212.43291592128801</v>
      </c>
      <c r="O585" s="27">
        <f t="shared" si="145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3"/>
        <v>266.71140939597313</v>
      </c>
      <c r="K586" s="11">
        <f t="shared" si="144"/>
        <v>251.63393969104192</v>
      </c>
      <c r="L586" s="11">
        <f t="shared" si="144"/>
        <v>214.79359589846717</v>
      </c>
      <c r="M586" s="27">
        <f t="shared" si="145"/>
        <v>305.55555555555554</v>
      </c>
      <c r="N586" s="27">
        <f t="shared" si="145"/>
        <v>225.84973166368516</v>
      </c>
      <c r="O586" s="27">
        <f t="shared" si="145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3"/>
        <v>265.50335570469798</v>
      </c>
      <c r="K587" s="11">
        <f t="shared" si="144"/>
        <v>240.26187110626483</v>
      </c>
      <c r="L587" s="11">
        <f t="shared" si="144"/>
        <v>234.57305218110031</v>
      </c>
      <c r="M587" s="27">
        <f t="shared" si="145"/>
        <v>310</v>
      </c>
      <c r="N587" s="27">
        <f t="shared" si="145"/>
        <v>232.55813953488374</v>
      </c>
      <c r="O587" s="27">
        <f t="shared" si="145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3"/>
        <v>263.02013422818794</v>
      </c>
      <c r="K588" s="11">
        <f t="shared" si="144"/>
        <v>239.1216542074595</v>
      </c>
      <c r="L588" s="11">
        <f t="shared" si="144"/>
        <v>257.7210595982242</v>
      </c>
      <c r="M588" s="27">
        <f t="shared" si="145"/>
        <v>330.55555555555554</v>
      </c>
      <c r="N588" s="27">
        <f t="shared" si="145"/>
        <v>259.391771019678</v>
      </c>
      <c r="O588" s="27">
        <f t="shared" si="145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3"/>
        <v>261.54362416107386</v>
      </c>
      <c r="K589" s="11">
        <f>(C589+Y589)/R589*100</f>
        <v>262.52663797758191</v>
      </c>
      <c r="L589" s="11">
        <f t="shared" si="144"/>
        <v>257.7210595982242</v>
      </c>
      <c r="M589" s="27">
        <f t="shared" si="145"/>
        <v>305.55555555555554</v>
      </c>
      <c r="N589" s="27">
        <f t="shared" si="145"/>
        <v>252.6833631484794</v>
      </c>
      <c r="O589" s="27">
        <f t="shared" si="145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3"/>
        <v>260.80536912751677</v>
      </c>
      <c r="K590" s="11">
        <f t="shared" ref="K590:L605" si="146">(C590+Y590)/R590*100</f>
        <v>256.11091889706603</v>
      </c>
      <c r="L590" s="11">
        <f t="shared" si="146"/>
        <v>258.61915382943567</v>
      </c>
      <c r="M590" s="27">
        <f t="shared" si="145"/>
        <v>347.22222222222223</v>
      </c>
      <c r="N590" s="27">
        <f t="shared" si="145"/>
        <v>257.15563506261179</v>
      </c>
      <c r="O590" s="27">
        <f t="shared" si="145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3"/>
        <v>260.80536912751677</v>
      </c>
      <c r="K591" s="11">
        <f t="shared" si="146"/>
        <v>252.88929171929624</v>
      </c>
      <c r="L591" s="11">
        <f t="shared" si="146"/>
        <v>251.84068070338731</v>
      </c>
      <c r="M591" s="27">
        <f t="shared" si="145"/>
        <v>356.11111111111109</v>
      </c>
      <c r="N591" s="27">
        <f t="shared" si="145"/>
        <v>248.21109123434707</v>
      </c>
      <c r="O591" s="27">
        <f t="shared" si="145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3"/>
        <v>259.73154362416108</v>
      </c>
      <c r="K592" s="11">
        <f t="shared" si="146"/>
        <v>262.0585383021795</v>
      </c>
      <c r="L592" s="11">
        <f t="shared" si="146"/>
        <v>261.46311889493859</v>
      </c>
      <c r="M592" s="27">
        <f t="shared" si="145"/>
        <v>343.33333333333331</v>
      </c>
      <c r="N592" s="27">
        <f t="shared" si="145"/>
        <v>245.97495527728083</v>
      </c>
      <c r="O592" s="27">
        <f t="shared" si="145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3"/>
        <v>258.85906040268452</v>
      </c>
      <c r="K593" s="11">
        <f t="shared" si="146"/>
        <v>289.53437336242678</v>
      </c>
      <c r="L593" s="11">
        <f t="shared" si="146"/>
        <v>287.56036422767505</v>
      </c>
      <c r="M593" s="27">
        <f t="shared" si="145"/>
        <v>323.88888888888891</v>
      </c>
      <c r="N593" s="27">
        <f t="shared" si="145"/>
        <v>243.7388193202147</v>
      </c>
      <c r="O593" s="27">
        <f t="shared" si="145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3"/>
        <v>257.18120805369125</v>
      </c>
      <c r="K594" s="11">
        <f t="shared" si="146"/>
        <v>268.4148174192693</v>
      </c>
      <c r="L594" s="11">
        <f t="shared" si="146"/>
        <v>263.14075441711606</v>
      </c>
      <c r="M594" s="27">
        <f t="shared" si="145"/>
        <v>384.44444444444446</v>
      </c>
      <c r="N594" s="27">
        <f t="shared" si="145"/>
        <v>243.7388193202147</v>
      </c>
      <c r="O594" s="27">
        <f t="shared" si="145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3"/>
        <v>256.51006711409394</v>
      </c>
      <c r="K595" s="11">
        <f t="shared" si="146"/>
        <v>262.9077624145346</v>
      </c>
      <c r="L595" s="11">
        <f t="shared" si="146"/>
        <v>236.41175944058475</v>
      </c>
      <c r="M595" s="27">
        <f t="shared" si="145"/>
        <v>361.11111111111114</v>
      </c>
      <c r="N595" s="27">
        <f t="shared" si="145"/>
        <v>237.03041144901613</v>
      </c>
      <c r="O595" s="27">
        <f t="shared" si="145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3"/>
        <v>257.98657718120808</v>
      </c>
      <c r="K596" s="11">
        <f t="shared" si="146"/>
        <v>249.14012490269789</v>
      </c>
      <c r="L596" s="11">
        <f t="shared" si="146"/>
        <v>237.92996635525171</v>
      </c>
      <c r="M596" s="27">
        <f t="shared" si="145"/>
        <v>294.44444444444446</v>
      </c>
      <c r="N596" s="27">
        <f t="shared" si="145"/>
        <v>237.03041144901613</v>
      </c>
      <c r="O596" s="27">
        <f t="shared" si="145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3"/>
        <v>260.60402684563758</v>
      </c>
      <c r="K597" s="11">
        <f t="shared" si="146"/>
        <v>248.59308883992753</v>
      </c>
      <c r="L597" s="11">
        <f t="shared" si="146"/>
        <v>242.20858631070351</v>
      </c>
      <c r="M597" s="27">
        <f t="shared" si="145"/>
        <v>301.11111111111109</v>
      </c>
      <c r="N597" s="27">
        <f t="shared" si="145"/>
        <v>243.7388193202147</v>
      </c>
      <c r="O597" s="27">
        <f t="shared" si="145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3"/>
        <v>260.33557046979865</v>
      </c>
      <c r="K598" s="11">
        <f t="shared" si="146"/>
        <v>265.80263572972342</v>
      </c>
      <c r="L598" s="11">
        <f t="shared" si="146"/>
        <v>280.69833907690855</v>
      </c>
      <c r="M598" s="27">
        <f t="shared" si="145"/>
        <v>298.88888888888891</v>
      </c>
      <c r="N598" s="27">
        <f t="shared" si="145"/>
        <v>254.91949910554564</v>
      </c>
      <c r="O598" s="27">
        <f t="shared" si="145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3"/>
        <v>259.73154362416108</v>
      </c>
      <c r="K599" s="11">
        <f t="shared" si="146"/>
        <v>271.66764930976586</v>
      </c>
      <c r="L599" s="11">
        <f t="shared" si="146"/>
        <v>297.27031596235798</v>
      </c>
      <c r="M599" s="27">
        <f t="shared" ref="M599:O614" si="147">(1+(E599-T598)/T598)*100</f>
        <v>320.55555555555554</v>
      </c>
      <c r="N599" s="27">
        <f t="shared" si="147"/>
        <v>266.10017889087658</v>
      </c>
      <c r="O599" s="27">
        <f t="shared" si="147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3"/>
        <v>259.73154362416108</v>
      </c>
      <c r="K600" s="11">
        <f t="shared" si="146"/>
        <v>274.75160011241729</v>
      </c>
      <c r="L600" s="11">
        <f t="shared" si="146"/>
        <v>286.5787179717455</v>
      </c>
      <c r="M600" s="27">
        <f t="shared" si="147"/>
        <v>327.77777777777777</v>
      </c>
      <c r="N600" s="27">
        <f t="shared" si="147"/>
        <v>259.391771019678</v>
      </c>
      <c r="O600" s="27">
        <f t="shared" si="147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3"/>
        <v>261.744966442953</v>
      </c>
      <c r="K601" s="11">
        <f t="shared" si="146"/>
        <v>274.24694808403342</v>
      </c>
      <c r="L601" s="11">
        <f t="shared" si="146"/>
        <v>287.29600039946507</v>
      </c>
      <c r="M601" s="27">
        <f t="shared" si="147"/>
        <v>326.11111111111109</v>
      </c>
      <c r="N601" s="27">
        <f t="shared" si="147"/>
        <v>259.391771019678</v>
      </c>
      <c r="O601" s="27">
        <f t="shared" si="147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3"/>
        <v>262.41610738255031</v>
      </c>
      <c r="K602" s="27">
        <f t="shared" si="146"/>
        <v>260.47931057219677</v>
      </c>
      <c r="L602" s="27">
        <f t="shared" si="146"/>
        <v>285.07214801741765</v>
      </c>
      <c r="M602" s="27">
        <f t="shared" si="147"/>
        <v>315.55555555555554</v>
      </c>
      <c r="N602" s="27">
        <f t="shared" si="147"/>
        <v>259.391771019678</v>
      </c>
      <c r="O602" s="27">
        <f t="shared" si="147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3"/>
        <v>260.80536912751677</v>
      </c>
      <c r="K603" s="27">
        <f t="shared" si="146"/>
        <v>238.45109055325801</v>
      </c>
      <c r="L603" s="27">
        <f t="shared" si="146"/>
        <v>298.80015983736416</v>
      </c>
      <c r="M603" s="27">
        <f t="shared" si="147"/>
        <v>311.11111111111114</v>
      </c>
      <c r="N603" s="27">
        <f t="shared" si="147"/>
        <v>254.91949910554564</v>
      </c>
      <c r="O603" s="27">
        <f t="shared" si="147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3"/>
        <v>259.93288590604027</v>
      </c>
      <c r="K604" s="27">
        <f t="shared" si="146"/>
        <v>292.14487684942117</v>
      </c>
      <c r="L604" s="27">
        <f t="shared" si="146"/>
        <v>287.573981947221</v>
      </c>
      <c r="M604" s="27">
        <f t="shared" si="147"/>
        <v>308.33333333333337</v>
      </c>
      <c r="N604" s="27">
        <f t="shared" si="147"/>
        <v>252.6833631484794</v>
      </c>
      <c r="O604" s="27">
        <f t="shared" si="147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3"/>
        <v>262.01342281879192</v>
      </c>
      <c r="K605" s="27">
        <f t="shared" si="146"/>
        <v>293.52164060060483</v>
      </c>
      <c r="L605" s="27">
        <f t="shared" si="146"/>
        <v>264.33044791562941</v>
      </c>
      <c r="M605" s="27">
        <f t="shared" si="147"/>
        <v>327.77777777777777</v>
      </c>
      <c r="N605" s="27">
        <f t="shared" si="147"/>
        <v>252.6833631484794</v>
      </c>
      <c r="O605" s="27">
        <f t="shared" si="147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3"/>
        <v>265.16778523489933</v>
      </c>
      <c r="K606" s="27">
        <f t="shared" ref="K606:L621" si="148">(C606+Y606)/R606*100</f>
        <v>283.08464386958161</v>
      </c>
      <c r="L606" s="27">
        <f t="shared" si="148"/>
        <v>262.88613682454815</v>
      </c>
      <c r="M606" s="37" t="s">
        <v>19</v>
      </c>
      <c r="N606" s="27">
        <f t="shared" si="147"/>
        <v>252.6833631484794</v>
      </c>
      <c r="O606" s="27">
        <f t="shared" si="147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3"/>
        <v>266.91275167785238</v>
      </c>
      <c r="K607" s="27">
        <f t="shared" si="148"/>
        <v>288.59169887431631</v>
      </c>
      <c r="L607" s="27">
        <f t="shared" si="148"/>
        <v>292.99367676611297</v>
      </c>
      <c r="M607" s="27">
        <f t="shared" ref="M607:O622" si="149">(1+(E607-T606)/T606)*100</f>
        <v>326.11111111111109</v>
      </c>
      <c r="N607" s="27">
        <f t="shared" si="147"/>
        <v>248.21109123434707</v>
      </c>
      <c r="O607" s="27">
        <f t="shared" si="147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3"/>
        <v>267.7181208053691</v>
      </c>
      <c r="K608" s="27">
        <f t="shared" si="148"/>
        <v>239.02820383170419</v>
      </c>
      <c r="L608" s="27">
        <f t="shared" si="148"/>
        <v>271.61048078488795</v>
      </c>
      <c r="M608" s="27">
        <f t="shared" si="149"/>
        <v>333.33333333333337</v>
      </c>
      <c r="N608" s="27">
        <f t="shared" si="147"/>
        <v>232.55813953488374</v>
      </c>
      <c r="O608" s="27">
        <f t="shared" si="147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3"/>
        <v>269.59731543624162</v>
      </c>
      <c r="K609" s="27">
        <f t="shared" si="148"/>
        <v>239.02820383170419</v>
      </c>
      <c r="L609" s="27">
        <f t="shared" si="148"/>
        <v>287.11329787127607</v>
      </c>
      <c r="M609" s="27">
        <f t="shared" si="149"/>
        <v>328.88888888888886</v>
      </c>
      <c r="N609" s="27">
        <f t="shared" si="147"/>
        <v>237.03041144901613</v>
      </c>
      <c r="O609" s="27">
        <f t="shared" si="147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3"/>
        <v>269.53020134228188</v>
      </c>
      <c r="K610" s="27">
        <f t="shared" si="148"/>
        <v>300.72861479342606</v>
      </c>
      <c r="L610" s="27">
        <f t="shared" si="148"/>
        <v>288.01139210248755</v>
      </c>
      <c r="M610" s="27">
        <f t="shared" si="149"/>
        <v>344.44444444444446</v>
      </c>
      <c r="N610" s="27">
        <f t="shared" si="147"/>
        <v>237.03041144901613</v>
      </c>
      <c r="O610" s="27">
        <f t="shared" si="147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3"/>
        <v>269.86577181208054</v>
      </c>
      <c r="K611" s="27">
        <f t="shared" si="148"/>
        <v>304.85890604697704</v>
      </c>
      <c r="L611" s="27">
        <f t="shared" si="148"/>
        <v>328.81053003466491</v>
      </c>
      <c r="M611" s="27">
        <f t="shared" si="149"/>
        <v>347.22222222222223</v>
      </c>
      <c r="N611" s="27">
        <f t="shared" si="147"/>
        <v>232.55813953488374</v>
      </c>
      <c r="O611" s="27">
        <f t="shared" si="147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3"/>
        <v>268.65771812080538</v>
      </c>
      <c r="K612" s="27">
        <f t="shared" si="148"/>
        <v>321.38007106118107</v>
      </c>
      <c r="L612" s="27">
        <f t="shared" si="148"/>
        <v>377.99188079148252</v>
      </c>
      <c r="M612" s="27">
        <f t="shared" si="149"/>
        <v>321.11111111111114</v>
      </c>
      <c r="N612" s="27">
        <f t="shared" si="147"/>
        <v>237.03041144901613</v>
      </c>
      <c r="O612" s="27">
        <f t="shared" si="147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3"/>
        <v>267.65100671140942</v>
      </c>
      <c r="K613" s="27">
        <f t="shared" si="148"/>
        <v>342.03152732893614</v>
      </c>
      <c r="L613" s="27">
        <f t="shared" si="148"/>
        <v>306.18710868652886</v>
      </c>
      <c r="M613" s="27">
        <f t="shared" si="149"/>
        <v>260.55555555555554</v>
      </c>
      <c r="N613" s="27">
        <f t="shared" si="147"/>
        <v>237.03041144901613</v>
      </c>
      <c r="O613" s="27">
        <f t="shared" si="147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3"/>
        <v>266.77852348993292</v>
      </c>
      <c r="K614" s="27">
        <f t="shared" si="148"/>
        <v>342.76977268914578</v>
      </c>
      <c r="L614" s="27">
        <f>(D614+Z614)/S614*100</f>
        <v>323.95321327007923</v>
      </c>
      <c r="M614" s="27">
        <f t="shared" si="149"/>
        <v>231.11111111111109</v>
      </c>
      <c r="N614" s="27">
        <f t="shared" si="147"/>
        <v>230.32200357781755</v>
      </c>
      <c r="O614" s="27">
        <f t="shared" si="147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3"/>
        <v>265.70469798657717</v>
      </c>
      <c r="K615" s="27">
        <f t="shared" si="148"/>
        <v>312.48097016310504</v>
      </c>
      <c r="L615" s="27">
        <f>(D615+Z615)/S615*100</f>
        <v>298.12231252475937</v>
      </c>
      <c r="M615" s="27">
        <f t="shared" si="149"/>
        <v>205.55555555555554</v>
      </c>
      <c r="N615" s="27">
        <f t="shared" si="149"/>
        <v>223.61359570661898</v>
      </c>
      <c r="O615" s="27">
        <f t="shared" si="149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3"/>
        <v>265.23489932885906</v>
      </c>
      <c r="K616" s="27">
        <f t="shared" si="148"/>
        <v>294.58304139771735</v>
      </c>
      <c r="L616" s="27">
        <f>(D616+Z616)/S616*100</f>
        <v>269.96064341748598</v>
      </c>
      <c r="M616" s="27">
        <f t="shared" si="149"/>
        <v>213.33333333333334</v>
      </c>
      <c r="N616" s="27">
        <f t="shared" si="149"/>
        <v>223.61359570661898</v>
      </c>
      <c r="O616" s="27">
        <f t="shared" si="149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3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3"/>
        <v>266.51006711409394</v>
      </c>
      <c r="K617" s="27">
        <f t="shared" si="148"/>
        <v>377.18886646873756</v>
      </c>
      <c r="L617" s="27">
        <f>(D617+Z617)/S617*100</f>
        <v>279.58308160903727</v>
      </c>
      <c r="M617" s="27">
        <f t="shared" si="149"/>
        <v>209.44444444444446</v>
      </c>
      <c r="N617" s="27">
        <f t="shared" si="149"/>
        <v>212.43291592128801</v>
      </c>
      <c r="O617" s="27">
        <f t="shared" si="149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3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3"/>
        <v>266.77852348993292</v>
      </c>
      <c r="K618" s="27">
        <f t="shared" si="148"/>
        <v>287.699222641799</v>
      </c>
      <c r="L618" s="27">
        <f>(D618+Z618)/S618*100</f>
        <v>251.7849268334447</v>
      </c>
      <c r="M618" s="27">
        <f t="shared" si="149"/>
        <v>200</v>
      </c>
      <c r="N618" s="27">
        <f t="shared" si="149"/>
        <v>212.43291592128801</v>
      </c>
      <c r="O618" s="27">
        <f t="shared" si="149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3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3"/>
        <v>266.04026845637583</v>
      </c>
      <c r="K619" s="27">
        <f t="shared" si="148"/>
        <v>278.38763317929335</v>
      </c>
      <c r="L619" s="27">
        <f t="shared" si="148"/>
        <v>238.5918550510664</v>
      </c>
      <c r="M619" s="27">
        <f t="shared" si="149"/>
        <v>202.77777777777777</v>
      </c>
      <c r="N619" s="27">
        <f t="shared" si="149"/>
        <v>210.19677996422183</v>
      </c>
      <c r="O619" s="27">
        <f t="shared" si="149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3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3"/>
        <v>264.96644295302013</v>
      </c>
      <c r="K620" s="27">
        <f t="shared" si="148"/>
        <v>250.8523581556199</v>
      </c>
      <c r="L620" s="27">
        <f t="shared" si="148"/>
        <v>215.60491937124948</v>
      </c>
      <c r="M620" s="27">
        <f t="shared" si="149"/>
        <v>197.22222222222223</v>
      </c>
      <c r="N620" s="27">
        <f t="shared" si="149"/>
        <v>207.96064400715562</v>
      </c>
      <c r="O620" s="27">
        <f t="shared" si="149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3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3"/>
        <v>264.0268456375839</v>
      </c>
      <c r="K621" s="27">
        <f t="shared" si="148"/>
        <v>264.61999566745664</v>
      </c>
      <c r="L621" s="27">
        <f t="shared" si="148"/>
        <v>207.56483768230885</v>
      </c>
      <c r="M621" s="27">
        <f t="shared" si="149"/>
        <v>207.2222222222222</v>
      </c>
      <c r="N621" s="27">
        <f t="shared" si="149"/>
        <v>212.43291592128801</v>
      </c>
      <c r="O621" s="27">
        <f t="shared" si="149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3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3"/>
        <v>263.42281879194627</v>
      </c>
      <c r="K622" s="27">
        <f t="shared" ref="K622:L630" si="150">(C622+Y622)/R622*100</f>
        <v>243.96853939970157</v>
      </c>
      <c r="L622" s="27">
        <f t="shared" si="150"/>
        <v>225.22735756280073</v>
      </c>
      <c r="M622" s="27">
        <f t="shared" si="149"/>
        <v>200</v>
      </c>
      <c r="N622" s="27">
        <f t="shared" si="149"/>
        <v>210.19677996422183</v>
      </c>
      <c r="O622" s="27">
        <f t="shared" si="149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3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3"/>
        <v>262.95302013422821</v>
      </c>
      <c r="K623" s="27">
        <f t="shared" si="150"/>
        <v>263.85845401535192</v>
      </c>
      <c r="L623" s="27">
        <f t="shared" si="150"/>
        <v>222.23470050503252</v>
      </c>
      <c r="M623" s="27">
        <f t="shared" ref="M623:O630" si="151">(1+(E623-T622)/T622)*100</f>
        <v>196.11111111111111</v>
      </c>
      <c r="N623" s="27">
        <f t="shared" si="151"/>
        <v>205.72450805008947</v>
      </c>
      <c r="O623" s="27">
        <f t="shared" si="151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3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3"/>
        <v>261.20805369127515</v>
      </c>
      <c r="K624" s="27">
        <f t="shared" si="150"/>
        <v>241.8302339964132</v>
      </c>
      <c r="L624" s="27">
        <f t="shared" si="150"/>
        <v>233.20428004340096</v>
      </c>
      <c r="M624" s="27">
        <f t="shared" si="151"/>
        <v>207.2222222222222</v>
      </c>
      <c r="N624" s="27">
        <f t="shared" si="151"/>
        <v>201.25223613595705</v>
      </c>
      <c r="O624" s="27">
        <f t="shared" si="151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3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3"/>
        <v>260.5369127516779</v>
      </c>
      <c r="K625" s="27">
        <f t="shared" si="150"/>
        <v>239.07670649404588</v>
      </c>
      <c r="L625" s="27">
        <f t="shared" si="150"/>
        <v>249.24167702931976</v>
      </c>
      <c r="M625" s="27">
        <f t="shared" si="151"/>
        <v>203.88888888888889</v>
      </c>
      <c r="N625" s="27">
        <f t="shared" si="151"/>
        <v>196.77996422182468</v>
      </c>
      <c r="O625" s="27">
        <f t="shared" si="151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3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3"/>
        <v>263.02013422818794</v>
      </c>
      <c r="K626" s="27">
        <f t="shared" si="150"/>
        <v>263.85845401535192</v>
      </c>
      <c r="L626" s="27">
        <f t="shared" si="150"/>
        <v>242.29213833542161</v>
      </c>
      <c r="M626" s="27">
        <f t="shared" si="151"/>
        <v>204.99999999999997</v>
      </c>
      <c r="N626" s="27">
        <f t="shared" si="151"/>
        <v>194.5438282647585</v>
      </c>
      <c r="O626" s="27">
        <f t="shared" si="151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3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3"/>
        <v>263.08724832214762</v>
      </c>
      <c r="K627" s="27">
        <f t="shared" si="150"/>
        <v>260.09837743294429</v>
      </c>
      <c r="L627" s="27">
        <f t="shared" si="150"/>
        <v>252.03013581978095</v>
      </c>
      <c r="M627" s="27">
        <f t="shared" si="151"/>
        <v>210</v>
      </c>
      <c r="N627" s="27">
        <f t="shared" si="151"/>
        <v>187.83542039355993</v>
      </c>
      <c r="O627" s="27">
        <f t="shared" si="151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3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3"/>
        <v>262.6174496644295</v>
      </c>
      <c r="K628" s="27">
        <f t="shared" si="150"/>
        <v>269.04734181563816</v>
      </c>
      <c r="L628" s="27">
        <f t="shared" si="150"/>
        <v>227.43946044137212</v>
      </c>
      <c r="M628" s="27">
        <f t="shared" si="151"/>
        <v>191.66666666666666</v>
      </c>
      <c r="N628" s="27">
        <f t="shared" si="151"/>
        <v>192.30769230769232</v>
      </c>
      <c r="O628" s="27">
        <f t="shared" si="151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3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3"/>
        <v>261.34228187919462</v>
      </c>
      <c r="K629" s="27">
        <f t="shared" si="150"/>
        <v>288.32203433220951</v>
      </c>
      <c r="L629" s="27">
        <f t="shared" si="150"/>
        <v>295.86568758129226</v>
      </c>
      <c r="M629" s="27">
        <f t="shared" si="151"/>
        <v>225</v>
      </c>
      <c r="N629" s="27">
        <f t="shared" si="151"/>
        <v>192.30769230769232</v>
      </c>
      <c r="O629" s="27">
        <f t="shared" si="151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3">
      <c r="A630" s="61">
        <v>41843</v>
      </c>
      <c r="B630" s="19">
        <v>3.8690000000000002</v>
      </c>
      <c r="C630" s="2">
        <v>750</v>
      </c>
      <c r="D630" s="2">
        <v>1769</v>
      </c>
      <c r="E630" s="2">
        <v>547</v>
      </c>
      <c r="F630" s="19">
        <v>42.5</v>
      </c>
      <c r="G630" s="19">
        <v>23.5</v>
      </c>
      <c r="I630" s="10">
        <v>41843</v>
      </c>
      <c r="J630" s="27">
        <f t="shared" si="143"/>
        <v>259.66442953020135</v>
      </c>
      <c r="K630" s="27">
        <f t="shared" si="150"/>
        <v>282.81497932747482</v>
      </c>
      <c r="L630" s="27">
        <f t="shared" si="150"/>
        <v>290.2632902342113</v>
      </c>
      <c r="M630" s="27">
        <f t="shared" si="151"/>
        <v>303.88888888888886</v>
      </c>
      <c r="N630" s="27">
        <f t="shared" si="151"/>
        <v>190.07155635062611</v>
      </c>
      <c r="O630" s="27">
        <f t="shared" si="151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84">
        <v>14.1</v>
      </c>
      <c r="X630" s="61">
        <v>41836</v>
      </c>
      <c r="Y630" s="68">
        <v>4385.5030789473694</v>
      </c>
      <c r="Z630" s="68">
        <v>5018.1821052631576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86" t="s">
        <v>11</v>
      </c>
      <c r="E3" s="186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41843</v>
      </c>
      <c r="C5" s="51">
        <f>Data!B4</f>
        <v>259.66442953020135</v>
      </c>
      <c r="D5" s="51">
        <f>Data!C4</f>
        <v>282.81497932747482</v>
      </c>
      <c r="E5" s="51">
        <f>Data!D4</f>
        <v>290.2632902342113</v>
      </c>
      <c r="F5" s="51">
        <f>Data!E4</f>
        <v>303.88888888888886</v>
      </c>
      <c r="G5" s="51">
        <f>Data!F4</f>
        <v>190.07155635062611</v>
      </c>
      <c r="H5" s="51">
        <f>Data!G4</f>
        <v>166.66666666666669</v>
      </c>
      <c r="I5" s="22"/>
      <c r="J5" s="47"/>
    </row>
    <row r="6" spans="1:10" ht="9" customHeight="1" x14ac:dyDescent="0.25">
      <c r="A6" s="47"/>
      <c r="B6" s="25"/>
      <c r="C6" s="26">
        <f>Data!B5</f>
        <v>-6.4201335387775839E-3</v>
      </c>
      <c r="D6" s="26">
        <f>Data!C5</f>
        <v>-0.11764705882352941</v>
      </c>
      <c r="E6" s="26"/>
      <c r="F6" s="26">
        <f>Data!E5</f>
        <v>0.35061728395061731</v>
      </c>
      <c r="G6" s="26">
        <f>Data!F5</f>
        <v>-1.1627906976744186E-2</v>
      </c>
      <c r="H6" s="26">
        <f>Data!G5</f>
        <v>-2.0833333333333332E-2</v>
      </c>
      <c r="I6" s="22"/>
      <c r="J6" s="47"/>
    </row>
    <row r="7" spans="1:10" ht="12" customHeight="1" x14ac:dyDescent="0.25">
      <c r="A7" s="47"/>
      <c r="B7" s="49">
        <f>Data!A629</f>
        <v>41836</v>
      </c>
      <c r="C7" s="50">
        <f>Data!J629</f>
        <v>261.34228187919462</v>
      </c>
      <c r="D7" s="50">
        <f>Data!K629</f>
        <v>288.32203433220951</v>
      </c>
      <c r="E7" s="50">
        <f>Data!L629</f>
        <v>295.86568758129226</v>
      </c>
      <c r="F7" s="50">
        <f>Data!M629</f>
        <v>225</v>
      </c>
      <c r="G7" s="50">
        <f>Data!N629</f>
        <v>192.30769230769232</v>
      </c>
      <c r="H7" s="50">
        <f>Data!O629</f>
        <v>170.21276595744681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85"/>
      <c r="C10" s="185"/>
      <c r="D10" s="185"/>
      <c r="E10" s="185"/>
      <c r="F10" s="185"/>
      <c r="G10" s="185"/>
      <c r="H10" s="185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2014-07-23T15:16:57Z</dcterms:modified>
</cp:coreProperties>
</file>