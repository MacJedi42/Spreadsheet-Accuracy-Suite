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480" yWindow="45" windowWidth="17400" windowHeight="10035"/>
  </bookViews>
  <sheets>
    <sheet name="Sheet1" sheetId="1" r:id="rId1"/>
    <sheet name="Sheet2" sheetId="2" r:id="rId2"/>
    <sheet name="Sheet3" sheetId="3" r:id="rId3"/>
  </sheets>
  <definedNames>
    <definedName name="_xlnm.Print_Area" localSheetId="0">Sheet1!$A$1:$H$47</definedName>
  </definedNames>
  <calcPr calcId="145621"/>
</workbook>
</file>

<file path=xl/calcChain.xml><?xml version="1.0" encoding="utf-8"?>
<calcChain xmlns="http://schemas.openxmlformats.org/spreadsheetml/2006/main">
  <c r="H16" i="1"/>
  <c r="H17"/>
  <c r="H18"/>
  <c r="H19"/>
  <c r="H20"/>
  <c r="H21"/>
  <c r="H22"/>
  <c r="H23"/>
  <c r="H24"/>
  <c r="H25"/>
  <c r="H26"/>
  <c r="H27"/>
  <c r="H28"/>
  <c r="H29"/>
  <c r="H15"/>
  <c r="H10"/>
  <c r="H11"/>
  <c r="H12"/>
  <c r="H13"/>
  <c r="H8"/>
  <c r="H9"/>
  <c r="H7"/>
  <c r="B30"/>
  <c r="B31" s="1"/>
  <c r="H14" l="1"/>
  <c r="C30"/>
  <c r="C31" s="1"/>
  <c r="G30"/>
  <c r="G31" s="1"/>
  <c r="F30"/>
  <c r="F31" s="1"/>
  <c r="E30"/>
  <c r="E31" s="1"/>
  <c r="D30"/>
  <c r="D31" s="1"/>
  <c r="H31" l="1"/>
</calcChain>
</file>

<file path=xl/sharedStrings.xml><?xml version="1.0" encoding="utf-8"?>
<sst xmlns="http://schemas.openxmlformats.org/spreadsheetml/2006/main" count="58" uniqueCount="43">
  <si>
    <t xml:space="preserve">Milestone A.  </t>
  </si>
  <si>
    <t xml:space="preserve">Milestone B.  </t>
  </si>
  <si>
    <t xml:space="preserve">Milestone C.  </t>
  </si>
  <si>
    <t xml:space="preserve">Milestone D.  </t>
  </si>
  <si>
    <t xml:space="preserve">Milestone E.  </t>
  </si>
  <si>
    <t xml:space="preserve">Milestone F.  </t>
  </si>
  <si>
    <t>Quarterly Groundwater Sampling and Reporting</t>
  </si>
  <si>
    <t>Sub-Milestones</t>
  </si>
  <si>
    <t>NA</t>
  </si>
  <si>
    <t>Anticipated # of Milestone Payments</t>
  </si>
  <si>
    <t>Analytical - Soil</t>
  </si>
  <si>
    <t>Analytical - Water</t>
  </si>
  <si>
    <t>Analytical - Vapor</t>
  </si>
  <si>
    <t>Other Analytical</t>
  </si>
  <si>
    <t>Geoprobe / Driller</t>
  </si>
  <si>
    <t>Professional Surveyor</t>
  </si>
  <si>
    <t>Other (specify)</t>
  </si>
  <si>
    <t>Direct Costs</t>
  </si>
  <si>
    <t>Schedule of Unit Rates</t>
  </si>
  <si>
    <t>Additional / Reduced Cost per Unit</t>
  </si>
  <si>
    <r>
      <t xml:space="preserve">ODC </t>
    </r>
    <r>
      <rPr>
        <sz val="11"/>
        <color theme="1"/>
        <rFont val="Calibri"/>
        <family val="2"/>
      </rPr>
      <t>≥ $5,000 (Specify)</t>
    </r>
  </si>
  <si>
    <t>Notes</t>
  </si>
  <si>
    <r>
      <t>Other Direct Costs</t>
    </r>
    <r>
      <rPr>
        <vertAlign val="superscript"/>
        <sz val="11"/>
        <color theme="1"/>
        <rFont val="Calibri"/>
        <family val="2"/>
        <scheme val="minor"/>
      </rPr>
      <t>1</t>
    </r>
    <r>
      <rPr>
        <sz val="11"/>
        <color theme="1"/>
        <rFont val="Calibri"/>
        <family val="2"/>
        <scheme val="minor"/>
      </rPr>
      <t xml:space="preserve"> (ODCs)</t>
    </r>
  </si>
  <si>
    <r>
      <t xml:space="preserve">ODC </t>
    </r>
    <r>
      <rPr>
        <sz val="11"/>
        <color theme="1"/>
        <rFont val="Calibri"/>
        <family val="2"/>
      </rPr>
      <t>≥ $5,000 (Specify)</t>
    </r>
    <r>
      <rPr>
        <vertAlign val="superscript"/>
        <sz val="11"/>
        <color theme="1"/>
        <rFont val="Calibri"/>
        <family val="2"/>
      </rPr>
      <t>2</t>
    </r>
  </si>
  <si>
    <r>
      <t>Subcontracted Costs</t>
    </r>
    <r>
      <rPr>
        <b/>
        <vertAlign val="superscript"/>
        <sz val="14"/>
        <color theme="1"/>
        <rFont val="Calibri"/>
        <family val="2"/>
        <scheme val="minor"/>
      </rPr>
      <t>3</t>
    </r>
  </si>
  <si>
    <t>2 - Direct costs that are ≥ $5,000 should be listed individually.</t>
  </si>
  <si>
    <t>Milestone Description</t>
  </si>
  <si>
    <t>Cost Subtotals</t>
  </si>
  <si>
    <t>Labor (total)</t>
  </si>
  <si>
    <t>Cost Per Sub-Milestone:</t>
  </si>
  <si>
    <t>Total Milestone Cost:</t>
  </si>
  <si>
    <t>Initial Groundwater Sampling and Reporting</t>
  </si>
  <si>
    <t>Installation of Four (4) Additional Onsite Groundwater Monitoring Wells</t>
  </si>
  <si>
    <t>Performance of Single-Well Aquifer Tests</t>
  </si>
  <si>
    <t>Installation and Sampling of 14 Additional Soil Borings</t>
  </si>
  <si>
    <t>Milestones E1 and E2</t>
  </si>
  <si>
    <t>Evaluation of Potential Vapor Intrusion</t>
  </si>
  <si>
    <t>1 - Sum of individual direct costs other than Labor.  Each individual direct cost included in the sum must be &lt;$5,000.  For example, vehicle charges, rental and/or disposable equipment, reproduction costs, and per diem.</t>
  </si>
  <si>
    <t>3 - Details related to subcontracted costs are required by the Solicitor.  Copies of Subcontractor quotations shall be provided separately in the bid to assist in the bid evaluation.</t>
  </si>
  <si>
    <t>Milestones A and E. - All inclusive fixed unit-rate for a reduction in the number of wells sampled ($/well)</t>
  </si>
  <si>
    <t xml:space="preserve">In accordance with the Requirements of the Request for Bid, bidders must include a rate schedule that will be used for any out-of-scope work.  Failure to submit unit rate schedule(s) (separate from this attachment) may cause the submitted bid to be deemed incomplete and/or non-responsive. </t>
  </si>
  <si>
    <t>Bidders shall enter costs for each Direct Cost/Subcontracted Cost.  The "Total Milestone Cost" is the "Cost per Sub-Milestone" multiplied by the "Anticipated # of Milestone Payments"</t>
  </si>
  <si>
    <t>Bidders can only enter information into the blue cells of the Bid Form.  Bidders shall not insert or delete columns or rows.  Bidders shall confirm the accuracy of all calculations in the spreadsheet and identify any and all problems with the spreadsheet calculations in their bid.</t>
  </si>
</sst>
</file>

<file path=xl/styles.xml><?xml version="1.0" encoding="utf-8"?>
<styleSheet xmlns="http://schemas.openxmlformats.org/spreadsheetml/2006/main">
  <numFmts count="1">
    <numFmt numFmtId="164" formatCode="&quot;$&quot;#,##0.00"/>
  </numFmts>
  <fonts count="10">
    <font>
      <sz val="11"/>
      <color theme="1"/>
      <name val="Calibri"/>
      <family val="2"/>
      <scheme val="minor"/>
    </font>
    <font>
      <b/>
      <sz val="11"/>
      <color theme="1"/>
      <name val="Calibri"/>
      <family val="2"/>
      <scheme val="minor"/>
    </font>
    <font>
      <sz val="11"/>
      <color theme="1"/>
      <name val="Calibri"/>
      <family val="2"/>
    </font>
    <font>
      <u/>
      <sz val="11"/>
      <color theme="1"/>
      <name val="Calibri"/>
      <family val="2"/>
      <scheme val="minor"/>
    </font>
    <font>
      <sz val="12"/>
      <color theme="1"/>
      <name val="Calibri"/>
      <family val="2"/>
      <scheme val="minor"/>
    </font>
    <font>
      <vertAlign val="superscript"/>
      <sz val="11"/>
      <color theme="1"/>
      <name val="Calibri"/>
      <family val="2"/>
      <scheme val="minor"/>
    </font>
    <font>
      <vertAlign val="superscript"/>
      <sz val="11"/>
      <color theme="1"/>
      <name val="Calibri"/>
      <family val="2"/>
    </font>
    <font>
      <b/>
      <sz val="14"/>
      <color theme="1"/>
      <name val="Calibri"/>
      <family val="2"/>
      <scheme val="minor"/>
    </font>
    <font>
      <b/>
      <vertAlign val="superscript"/>
      <sz val="14"/>
      <color theme="1"/>
      <name val="Calibri"/>
      <family val="2"/>
      <scheme val="minor"/>
    </font>
    <font>
      <sz val="10"/>
      <color theme="1"/>
      <name val="Calibri"/>
      <family val="2"/>
      <scheme val="minor"/>
    </font>
  </fonts>
  <fills count="6">
    <fill>
      <patternFill patternType="none"/>
    </fill>
    <fill>
      <patternFill patternType="gray125"/>
    </fill>
    <fill>
      <patternFill patternType="solid">
        <fgColor theme="1"/>
        <bgColor indexed="64"/>
      </patternFill>
    </fill>
    <fill>
      <patternFill patternType="solid">
        <fgColor theme="8" tint="0.59999389629810485"/>
        <bgColor indexed="64"/>
      </patternFill>
    </fill>
    <fill>
      <patternFill patternType="solid">
        <fgColor rgb="FFFFFF99"/>
        <bgColor indexed="64"/>
      </patternFill>
    </fill>
    <fill>
      <patternFill patternType="solid">
        <fgColor theme="0"/>
        <bgColor indexed="64"/>
      </patternFill>
    </fill>
  </fills>
  <borders count="2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60">
    <xf numFmtId="0" fontId="0" fillId="0" borderId="0" xfId="0"/>
    <xf numFmtId="0" fontId="0" fillId="0" borderId="0" xfId="0" applyAlignment="1">
      <alignment wrapText="1"/>
    </xf>
    <xf numFmtId="0" fontId="0" fillId="0" borderId="3" xfId="0" applyBorder="1" applyAlignment="1">
      <alignment horizontal="center" wrapText="1"/>
    </xf>
    <xf numFmtId="0" fontId="0" fillId="0" borderId="4" xfId="0" applyFill="1" applyBorder="1" applyAlignment="1">
      <alignment wrapText="1"/>
    </xf>
    <xf numFmtId="0" fontId="0" fillId="2" borderId="6" xfId="0" applyFill="1" applyBorder="1" applyAlignment="1">
      <alignment horizontal="center"/>
    </xf>
    <xf numFmtId="0" fontId="3" fillId="0" borderId="0" xfId="0" applyFont="1"/>
    <xf numFmtId="164" fontId="0" fillId="2" borderId="6" xfId="0" applyNumberFormat="1" applyFill="1" applyBorder="1" applyAlignment="1">
      <alignment horizontal="center"/>
    </xf>
    <xf numFmtId="164" fontId="0" fillId="3" borderId="11" xfId="0" applyNumberFormat="1" applyFill="1" applyBorder="1" applyAlignment="1">
      <alignment horizontal="center"/>
    </xf>
    <xf numFmtId="164" fontId="0" fillId="3" borderId="12" xfId="0" applyNumberFormat="1" applyFill="1" applyBorder="1" applyAlignment="1">
      <alignment horizontal="center"/>
    </xf>
    <xf numFmtId="164" fontId="0" fillId="3" borderId="16" xfId="0" applyNumberFormat="1" applyFill="1" applyBorder="1" applyAlignment="1">
      <alignment horizontal="center"/>
    </xf>
    <xf numFmtId="164" fontId="0" fillId="0" borderId="1" xfId="0" applyNumberFormat="1" applyFill="1" applyBorder="1" applyAlignment="1">
      <alignment horizontal="center"/>
    </xf>
    <xf numFmtId="0" fontId="0" fillId="2" borderId="1" xfId="0" applyFill="1" applyBorder="1" applyAlignment="1">
      <alignment horizontal="center"/>
    </xf>
    <xf numFmtId="164" fontId="0" fillId="0" borderId="7" xfId="0" applyNumberFormat="1" applyFill="1" applyBorder="1" applyAlignment="1">
      <alignment horizontal="center"/>
    </xf>
    <xf numFmtId="164" fontId="0" fillId="0" borderId="7" xfId="0" applyNumberFormat="1" applyBorder="1" applyAlignment="1">
      <alignment horizontal="center"/>
    </xf>
    <xf numFmtId="0" fontId="3" fillId="4" borderId="5" xfId="0" applyFont="1" applyFill="1" applyBorder="1" applyAlignment="1">
      <alignment horizont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3" fillId="4" borderId="2" xfId="0" applyFont="1" applyFill="1" applyBorder="1" applyAlignment="1">
      <alignment horizontal="center" wrapText="1"/>
    </xf>
    <xf numFmtId="0" fontId="0" fillId="4" borderId="4" xfId="0" applyFill="1" applyBorder="1" applyAlignment="1">
      <alignment horizontal="center" vertical="center" wrapText="1"/>
    </xf>
    <xf numFmtId="0" fontId="0" fillId="4" borderId="8" xfId="0" applyFill="1" applyBorder="1" applyAlignment="1">
      <alignment horizontal="center"/>
    </xf>
    <xf numFmtId="164" fontId="0" fillId="3" borderId="20" xfId="0" applyNumberFormat="1" applyFill="1" applyBorder="1" applyAlignment="1">
      <alignment horizontal="center"/>
    </xf>
    <xf numFmtId="0" fontId="0" fillId="0" borderId="0" xfId="0" applyFill="1" applyBorder="1" applyAlignment="1">
      <alignment horizontal="center"/>
    </xf>
    <xf numFmtId="0" fontId="0" fillId="0" borderId="13" xfId="0" applyFont="1" applyBorder="1" applyAlignment="1">
      <alignment horizontal="left" indent="2"/>
    </xf>
    <xf numFmtId="0" fontId="0" fillId="0" borderId="13" xfId="0" applyBorder="1" applyAlignment="1">
      <alignment horizontal="left" indent="2"/>
    </xf>
    <xf numFmtId="0" fontId="0" fillId="3" borderId="13" xfId="0" applyFill="1" applyBorder="1" applyAlignment="1">
      <alignment horizontal="left" indent="2"/>
    </xf>
    <xf numFmtId="0" fontId="0" fillId="3" borderId="17" xfId="0" applyFill="1" applyBorder="1" applyAlignment="1">
      <alignment horizontal="left" indent="2"/>
    </xf>
    <xf numFmtId="0" fontId="4" fillId="0" borderId="0" xfId="0" applyFont="1"/>
    <xf numFmtId="164" fontId="0" fillId="0" borderId="0" xfId="0" applyNumberFormat="1"/>
    <xf numFmtId="0" fontId="7" fillId="0" borderId="21" xfId="0" applyFont="1" applyBorder="1" applyAlignment="1">
      <alignment horizontal="left"/>
    </xf>
    <xf numFmtId="0" fontId="7" fillId="0" borderId="13" xfId="0" applyFont="1" applyBorder="1" applyAlignment="1">
      <alignment horizontal="left"/>
    </xf>
    <xf numFmtId="0" fontId="0" fillId="4" borderId="8" xfId="0" applyFill="1" applyBorder="1" applyAlignment="1">
      <alignment horizontal="center" vertical="center"/>
    </xf>
    <xf numFmtId="0" fontId="1" fillId="0" borderId="8" xfId="0" applyFont="1" applyBorder="1" applyAlignment="1">
      <alignment horizontal="center"/>
    </xf>
    <xf numFmtId="0" fontId="0" fillId="2" borderId="6" xfId="0" applyFill="1" applyBorder="1"/>
    <xf numFmtId="0" fontId="9" fillId="0" borderId="0" xfId="0" applyFont="1" applyAlignment="1"/>
    <xf numFmtId="0" fontId="0" fillId="0" borderId="1" xfId="0" applyBorder="1" applyAlignment="1" applyProtection="1">
      <alignment horizontal="center"/>
    </xf>
    <xf numFmtId="164" fontId="0" fillId="5" borderId="12" xfId="0" applyNumberFormat="1" applyFill="1" applyBorder="1" applyAlignment="1" applyProtection="1">
      <alignment horizontal="center"/>
    </xf>
    <xf numFmtId="0" fontId="0" fillId="0" borderId="13" xfId="0" applyBorder="1" applyAlignment="1">
      <alignment horizontal="left" vertical="center" wrapText="1"/>
    </xf>
    <xf numFmtId="0" fontId="0" fillId="0" borderId="15" xfId="0" applyBorder="1" applyAlignment="1">
      <alignment horizontal="left" vertical="center" wrapText="1"/>
    </xf>
    <xf numFmtId="0" fontId="0" fillId="0" borderId="14" xfId="0" applyBorder="1" applyAlignment="1">
      <alignment horizontal="left" vertical="center" wrapText="1"/>
    </xf>
    <xf numFmtId="0" fontId="0" fillId="0" borderId="17" xfId="0" applyBorder="1" applyAlignment="1">
      <alignment horizontal="left" vertical="center" wrapText="1"/>
    </xf>
    <xf numFmtId="0" fontId="0" fillId="0" borderId="19" xfId="0" applyBorder="1" applyAlignment="1">
      <alignment horizontal="left" vertical="center" wrapText="1"/>
    </xf>
    <xf numFmtId="0" fontId="0" fillId="0" borderId="18" xfId="0" applyBorder="1" applyAlignment="1">
      <alignment horizontal="left" vertical="center" wrapText="1"/>
    </xf>
    <xf numFmtId="0" fontId="9" fillId="0" borderId="0" xfId="0" applyFont="1" applyAlignment="1">
      <alignment horizontal="left" wrapText="1"/>
    </xf>
    <xf numFmtId="0" fontId="0" fillId="0" borderId="5" xfId="0" applyFill="1" applyBorder="1" applyAlignment="1">
      <alignment horizontal="center" wrapText="1"/>
    </xf>
    <xf numFmtId="0" fontId="0" fillId="0" borderId="6" xfId="0" applyFill="1" applyBorder="1" applyAlignment="1">
      <alignment horizontal="center" wrapText="1"/>
    </xf>
    <xf numFmtId="0" fontId="0" fillId="0" borderId="7" xfId="0" applyFill="1" applyBorder="1" applyAlignment="1">
      <alignment horizontal="center" wrapText="1"/>
    </xf>
    <xf numFmtId="0" fontId="3" fillId="0" borderId="5" xfId="0" applyFont="1" applyFill="1" applyBorder="1" applyAlignment="1">
      <alignment horizontal="center" vertical="center"/>
    </xf>
    <xf numFmtId="0" fontId="3" fillId="0" borderId="7" xfId="0" applyFont="1" applyFill="1" applyBorder="1" applyAlignment="1">
      <alignment horizontal="center" vertical="center"/>
    </xf>
    <xf numFmtId="0" fontId="0" fillId="0" borderId="5" xfId="0" applyFill="1" applyBorder="1" applyAlignment="1">
      <alignment horizontal="center" vertical="center"/>
    </xf>
    <xf numFmtId="0" fontId="0" fillId="0" borderId="7" xfId="0" applyFill="1" applyBorder="1" applyAlignment="1">
      <alignment horizontal="center" vertical="center"/>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0" fillId="4" borderId="8" xfId="0" applyFill="1" applyBorder="1" applyAlignment="1">
      <alignment horizontal="center" vertical="center"/>
    </xf>
    <xf numFmtId="0" fontId="0" fillId="4" borderId="10" xfId="0" applyFill="1" applyBorder="1" applyAlignment="1">
      <alignment horizontal="center" vertical="center"/>
    </xf>
    <xf numFmtId="0" fontId="0" fillId="4" borderId="9" xfId="0" applyFill="1" applyBorder="1" applyAlignment="1">
      <alignment horizontal="center" vertical="center"/>
    </xf>
    <xf numFmtId="0" fontId="0" fillId="0" borderId="5" xfId="0" applyFont="1" applyFill="1" applyBorder="1" applyAlignment="1">
      <alignment horizontal="center" vertical="center" wrapText="1"/>
    </xf>
    <xf numFmtId="0" fontId="0" fillId="0"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FF99"/>
      <color rgb="FF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K51"/>
  <sheetViews>
    <sheetView tabSelected="1" view="pageBreakPreview" topLeftCell="A10" zoomScale="85" zoomScaleNormal="100" zoomScaleSheetLayoutView="85" workbookViewId="0">
      <selection activeCell="A35" sqref="A35:F35"/>
    </sheetView>
  </sheetViews>
  <sheetFormatPr defaultRowHeight="15"/>
  <cols>
    <col min="1" max="1" width="37.85546875" customWidth="1"/>
    <col min="2" max="7" width="27.7109375" customWidth="1"/>
    <col min="8" max="8" width="14.42578125" bestFit="1" customWidth="1"/>
  </cols>
  <sheetData>
    <row r="1" spans="1:11" ht="15.75" thickBot="1">
      <c r="B1" s="14" t="s">
        <v>0</v>
      </c>
      <c r="C1" s="17" t="s">
        <v>1</v>
      </c>
      <c r="D1" s="14" t="s">
        <v>2</v>
      </c>
      <c r="E1" s="14" t="s">
        <v>3</v>
      </c>
      <c r="F1" s="14" t="s">
        <v>4</v>
      </c>
      <c r="G1" s="14" t="s">
        <v>5</v>
      </c>
      <c r="H1" s="2"/>
      <c r="I1" s="1"/>
      <c r="J1" s="1"/>
      <c r="K1" s="1"/>
    </row>
    <row r="2" spans="1:11" ht="60.75" customHeight="1" thickBot="1">
      <c r="A2" s="30" t="s">
        <v>26</v>
      </c>
      <c r="B2" s="15" t="s">
        <v>31</v>
      </c>
      <c r="C2" s="18" t="s">
        <v>32</v>
      </c>
      <c r="D2" s="15" t="s">
        <v>33</v>
      </c>
      <c r="E2" s="15" t="s">
        <v>34</v>
      </c>
      <c r="F2" s="15" t="s">
        <v>6</v>
      </c>
      <c r="G2" s="15" t="s">
        <v>36</v>
      </c>
      <c r="H2" s="3"/>
    </row>
    <row r="3" spans="1:11" ht="15" customHeight="1">
      <c r="A3" s="53" t="s">
        <v>7</v>
      </c>
      <c r="B3" s="48" t="s">
        <v>8</v>
      </c>
      <c r="C3" s="58" t="s">
        <v>8</v>
      </c>
      <c r="D3" s="48" t="s">
        <v>8</v>
      </c>
      <c r="E3" s="48" t="s">
        <v>8</v>
      </c>
      <c r="F3" s="46" t="s">
        <v>35</v>
      </c>
      <c r="G3" s="48" t="s">
        <v>8</v>
      </c>
      <c r="H3" s="43" t="s">
        <v>27</v>
      </c>
    </row>
    <row r="4" spans="1:11" ht="15.75" thickBot="1">
      <c r="A4" s="54"/>
      <c r="B4" s="49"/>
      <c r="C4" s="59"/>
      <c r="D4" s="49"/>
      <c r="E4" s="49"/>
      <c r="F4" s="47"/>
      <c r="G4" s="49"/>
      <c r="H4" s="44"/>
    </row>
    <row r="5" spans="1:11" ht="15.75" thickBot="1">
      <c r="A5" s="19" t="s">
        <v>9</v>
      </c>
      <c r="B5" s="34">
        <v>1</v>
      </c>
      <c r="C5" s="34">
        <v>1</v>
      </c>
      <c r="D5" s="34">
        <v>1</v>
      </c>
      <c r="E5" s="34">
        <v>1</v>
      </c>
      <c r="F5" s="34">
        <v>2</v>
      </c>
      <c r="G5" s="34">
        <v>1</v>
      </c>
      <c r="H5" s="45"/>
    </row>
    <row r="6" spans="1:11" ht="23.1" customHeight="1">
      <c r="A6" s="28" t="s">
        <v>17</v>
      </c>
      <c r="B6" s="32"/>
      <c r="C6" s="6"/>
      <c r="D6" s="6"/>
      <c r="E6" s="6"/>
      <c r="F6" s="6"/>
      <c r="G6" s="6"/>
      <c r="H6" s="6"/>
    </row>
    <row r="7" spans="1:11" ht="18" customHeight="1">
      <c r="A7" s="22" t="s">
        <v>28</v>
      </c>
      <c r="B7" s="8"/>
      <c r="C7" s="8"/>
      <c r="D7" s="8"/>
      <c r="E7" s="8"/>
      <c r="F7" s="8"/>
      <c r="G7" s="8"/>
      <c r="H7" s="35">
        <f>(B7*$B$5)+(C7*$C$5)+(D7*$D$5)+(E7*$E$5)+(F7*$F$5)+(G7*$G$5)</f>
        <v>0</v>
      </c>
    </row>
    <row r="8" spans="1:11" ht="18" customHeight="1">
      <c r="A8" s="22" t="s">
        <v>22</v>
      </c>
      <c r="B8" s="7"/>
      <c r="C8" s="7"/>
      <c r="D8" s="7"/>
      <c r="E8" s="7"/>
      <c r="F8" s="7"/>
      <c r="G8" s="7"/>
      <c r="H8" s="35">
        <f t="shared" ref="H8:H29" si="0">(B8*$B$5)+(C8*$C$5)+(D8*$D$5)+(E8*$E$5)+(F8*$F$5)+(G8*$G$5)</f>
        <v>0</v>
      </c>
    </row>
    <row r="9" spans="1:11" ht="18" customHeight="1">
      <c r="A9" s="24" t="s">
        <v>23</v>
      </c>
      <c r="B9" s="7"/>
      <c r="C9" s="7"/>
      <c r="D9" s="7"/>
      <c r="E9" s="7"/>
      <c r="F9" s="7"/>
      <c r="G9" s="7"/>
      <c r="H9" s="35">
        <f t="shared" si="0"/>
        <v>0</v>
      </c>
    </row>
    <row r="10" spans="1:11" ht="18" customHeight="1">
      <c r="A10" s="24" t="s">
        <v>20</v>
      </c>
      <c r="B10" s="7"/>
      <c r="C10" s="7"/>
      <c r="D10" s="7"/>
      <c r="E10" s="7"/>
      <c r="F10" s="7"/>
      <c r="G10" s="7"/>
      <c r="H10" s="35">
        <f t="shared" si="0"/>
        <v>0</v>
      </c>
    </row>
    <row r="11" spans="1:11" ht="18" customHeight="1">
      <c r="A11" s="24" t="s">
        <v>20</v>
      </c>
      <c r="B11" s="7"/>
      <c r="C11" s="7"/>
      <c r="D11" s="7"/>
      <c r="E11" s="7"/>
      <c r="F11" s="7"/>
      <c r="G11" s="7"/>
      <c r="H11" s="35">
        <f t="shared" si="0"/>
        <v>0</v>
      </c>
    </row>
    <row r="12" spans="1:11" ht="18" customHeight="1">
      <c r="A12" s="24" t="s">
        <v>20</v>
      </c>
      <c r="B12" s="8"/>
      <c r="C12" s="8"/>
      <c r="D12" s="8"/>
      <c r="E12" s="8"/>
      <c r="F12" s="8"/>
      <c r="G12" s="8"/>
      <c r="H12" s="35">
        <f t="shared" si="0"/>
        <v>0</v>
      </c>
    </row>
    <row r="13" spans="1:11" ht="18" customHeight="1">
      <c r="A13" s="24" t="s">
        <v>20</v>
      </c>
      <c r="B13" s="8"/>
      <c r="C13" s="8"/>
      <c r="D13" s="8"/>
      <c r="E13" s="8"/>
      <c r="F13" s="8"/>
      <c r="G13" s="8"/>
      <c r="H13" s="35">
        <f t="shared" si="0"/>
        <v>0</v>
      </c>
    </row>
    <row r="14" spans="1:11" ht="23.1" customHeight="1">
      <c r="A14" s="29" t="s">
        <v>24</v>
      </c>
      <c r="B14" s="32"/>
      <c r="C14" s="4"/>
      <c r="D14" s="4"/>
      <c r="E14" s="4"/>
      <c r="F14" s="4"/>
      <c r="G14" s="4"/>
      <c r="H14" s="4">
        <f>B14*$B$5</f>
        <v>0</v>
      </c>
    </row>
    <row r="15" spans="1:11" ht="18" customHeight="1">
      <c r="A15" s="23" t="s">
        <v>11</v>
      </c>
      <c r="B15" s="7"/>
      <c r="C15" s="7"/>
      <c r="D15" s="7"/>
      <c r="E15" s="7"/>
      <c r="F15" s="7"/>
      <c r="G15" s="7"/>
      <c r="H15" s="35">
        <f t="shared" si="0"/>
        <v>0</v>
      </c>
    </row>
    <row r="16" spans="1:11" ht="18" customHeight="1">
      <c r="A16" s="23" t="s">
        <v>10</v>
      </c>
      <c r="B16" s="8"/>
      <c r="C16" s="8"/>
      <c r="D16" s="8"/>
      <c r="E16" s="8"/>
      <c r="F16" s="8"/>
      <c r="G16" s="8"/>
      <c r="H16" s="35">
        <f t="shared" si="0"/>
        <v>0</v>
      </c>
    </row>
    <row r="17" spans="1:9" ht="18" customHeight="1">
      <c r="A17" s="23" t="s">
        <v>12</v>
      </c>
      <c r="B17" s="8"/>
      <c r="C17" s="8"/>
      <c r="D17" s="8"/>
      <c r="E17" s="8"/>
      <c r="F17" s="8"/>
      <c r="G17" s="8"/>
      <c r="H17" s="35">
        <f t="shared" si="0"/>
        <v>0</v>
      </c>
    </row>
    <row r="18" spans="1:9" ht="18" customHeight="1">
      <c r="A18" s="23" t="s">
        <v>13</v>
      </c>
      <c r="B18" s="8"/>
      <c r="C18" s="8"/>
      <c r="D18" s="8"/>
      <c r="E18" s="8"/>
      <c r="F18" s="8"/>
      <c r="G18" s="8"/>
      <c r="H18" s="35">
        <f t="shared" si="0"/>
        <v>0</v>
      </c>
    </row>
    <row r="19" spans="1:9" ht="18" customHeight="1">
      <c r="A19" s="23" t="s">
        <v>15</v>
      </c>
      <c r="B19" s="8"/>
      <c r="C19" s="8"/>
      <c r="D19" s="8"/>
      <c r="E19" s="8"/>
      <c r="F19" s="8"/>
      <c r="G19" s="8"/>
      <c r="H19" s="35">
        <f t="shared" si="0"/>
        <v>0</v>
      </c>
    </row>
    <row r="20" spans="1:9" ht="18" customHeight="1">
      <c r="A20" s="23" t="s">
        <v>14</v>
      </c>
      <c r="B20" s="8"/>
      <c r="C20" s="8"/>
      <c r="D20" s="8"/>
      <c r="E20" s="8"/>
      <c r="F20" s="8"/>
      <c r="G20" s="8"/>
      <c r="H20" s="35">
        <f t="shared" si="0"/>
        <v>0</v>
      </c>
    </row>
    <row r="21" spans="1:9" ht="18" customHeight="1">
      <c r="A21" s="24" t="s">
        <v>16</v>
      </c>
      <c r="B21" s="8"/>
      <c r="C21" s="8"/>
      <c r="D21" s="8"/>
      <c r="E21" s="8"/>
      <c r="F21" s="8"/>
      <c r="G21" s="8"/>
      <c r="H21" s="35">
        <f t="shared" si="0"/>
        <v>0</v>
      </c>
    </row>
    <row r="22" spans="1:9" ht="18" customHeight="1">
      <c r="A22" s="24" t="s">
        <v>16</v>
      </c>
      <c r="B22" s="8"/>
      <c r="C22" s="8"/>
      <c r="D22" s="8"/>
      <c r="E22" s="8"/>
      <c r="F22" s="8"/>
      <c r="G22" s="8"/>
      <c r="H22" s="35">
        <f t="shared" si="0"/>
        <v>0</v>
      </c>
    </row>
    <row r="23" spans="1:9" ht="18" customHeight="1">
      <c r="A23" s="24" t="s">
        <v>16</v>
      </c>
      <c r="B23" s="8"/>
      <c r="C23" s="8"/>
      <c r="D23" s="8"/>
      <c r="E23" s="8"/>
      <c r="F23" s="8"/>
      <c r="G23" s="8"/>
      <c r="H23" s="35">
        <f t="shared" si="0"/>
        <v>0</v>
      </c>
    </row>
    <row r="24" spans="1:9" ht="18" customHeight="1">
      <c r="A24" s="24" t="s">
        <v>16</v>
      </c>
      <c r="B24" s="8"/>
      <c r="C24" s="8"/>
      <c r="D24" s="8"/>
      <c r="E24" s="8"/>
      <c r="F24" s="8"/>
      <c r="G24" s="8"/>
      <c r="H24" s="35">
        <f t="shared" si="0"/>
        <v>0</v>
      </c>
    </row>
    <row r="25" spans="1:9" ht="18" customHeight="1">
      <c r="A25" s="24" t="s">
        <v>16</v>
      </c>
      <c r="B25" s="8"/>
      <c r="C25" s="8"/>
      <c r="D25" s="8"/>
      <c r="E25" s="8"/>
      <c r="F25" s="8"/>
      <c r="G25" s="8"/>
      <c r="H25" s="35">
        <f t="shared" si="0"/>
        <v>0</v>
      </c>
    </row>
    <row r="26" spans="1:9" ht="18" customHeight="1">
      <c r="A26" s="24" t="s">
        <v>16</v>
      </c>
      <c r="B26" s="8"/>
      <c r="C26" s="8"/>
      <c r="D26" s="8"/>
      <c r="E26" s="8"/>
      <c r="F26" s="8"/>
      <c r="G26" s="8"/>
      <c r="H26" s="35">
        <f t="shared" si="0"/>
        <v>0</v>
      </c>
    </row>
    <row r="27" spans="1:9" ht="18" customHeight="1">
      <c r="A27" s="24" t="s">
        <v>16</v>
      </c>
      <c r="B27" s="8"/>
      <c r="C27" s="8"/>
      <c r="D27" s="8"/>
      <c r="E27" s="8"/>
      <c r="F27" s="8"/>
      <c r="G27" s="8"/>
      <c r="H27" s="35">
        <f t="shared" si="0"/>
        <v>0</v>
      </c>
    </row>
    <row r="28" spans="1:9" ht="18" customHeight="1">
      <c r="A28" s="24" t="s">
        <v>16</v>
      </c>
      <c r="B28" s="8"/>
      <c r="C28" s="8"/>
      <c r="D28" s="8"/>
      <c r="E28" s="8"/>
      <c r="F28" s="8"/>
      <c r="G28" s="8"/>
      <c r="H28" s="35">
        <f t="shared" si="0"/>
        <v>0</v>
      </c>
    </row>
    <row r="29" spans="1:9" ht="18" customHeight="1" thickBot="1">
      <c r="A29" s="25" t="s">
        <v>16</v>
      </c>
      <c r="B29" s="9"/>
      <c r="C29" s="9"/>
      <c r="D29" s="9"/>
      <c r="E29" s="9"/>
      <c r="F29" s="9"/>
      <c r="G29" s="9"/>
      <c r="H29" s="35">
        <f t="shared" si="0"/>
        <v>0</v>
      </c>
    </row>
    <row r="30" spans="1:9" ht="18" customHeight="1" thickBot="1">
      <c r="A30" s="31" t="s">
        <v>29</v>
      </c>
      <c r="B30" s="10">
        <f>SUM(B7:B13,B15:B29)</f>
        <v>0</v>
      </c>
      <c r="C30" s="10">
        <f>SUM(C7:C13,C15:C29)</f>
        <v>0</v>
      </c>
      <c r="D30" s="10">
        <f t="shared" ref="D30:G30" si="1">SUM(D7:D13,D15:D29)</f>
        <v>0</v>
      </c>
      <c r="E30" s="10">
        <f t="shared" si="1"/>
        <v>0</v>
      </c>
      <c r="F30" s="10">
        <f t="shared" si="1"/>
        <v>0</v>
      </c>
      <c r="G30" s="10">
        <f t="shared" si="1"/>
        <v>0</v>
      </c>
      <c r="H30" s="11"/>
    </row>
    <row r="31" spans="1:9" ht="18" customHeight="1" thickBot="1">
      <c r="A31" s="31" t="s">
        <v>30</v>
      </c>
      <c r="B31" s="12">
        <f>B30*B5</f>
        <v>0</v>
      </c>
      <c r="C31" s="12">
        <f t="shared" ref="C31:G31" si="2">C5*C30</f>
        <v>0</v>
      </c>
      <c r="D31" s="12">
        <f t="shared" si="2"/>
        <v>0</v>
      </c>
      <c r="E31" s="12">
        <f t="shared" si="2"/>
        <v>0</v>
      </c>
      <c r="F31" s="12">
        <f t="shared" si="2"/>
        <v>0</v>
      </c>
      <c r="G31" s="12">
        <f t="shared" si="2"/>
        <v>0</v>
      </c>
      <c r="H31" s="13">
        <f>SUM(B31:G31)</f>
        <v>0</v>
      </c>
      <c r="I31" s="27"/>
    </row>
    <row r="32" spans="1:9" ht="15.75" thickBot="1"/>
    <row r="33" spans="1:8" ht="30" customHeight="1" thickBot="1">
      <c r="A33" s="55" t="s">
        <v>18</v>
      </c>
      <c r="B33" s="56"/>
      <c r="C33" s="56"/>
      <c r="D33" s="56"/>
      <c r="E33" s="56"/>
      <c r="F33" s="57"/>
      <c r="G33" s="16" t="s">
        <v>19</v>
      </c>
    </row>
    <row r="34" spans="1:8" ht="18" customHeight="1">
      <c r="A34" s="50" t="s">
        <v>39</v>
      </c>
      <c r="B34" s="51"/>
      <c r="C34" s="51"/>
      <c r="D34" s="51"/>
      <c r="E34" s="51"/>
      <c r="F34" s="52"/>
      <c r="G34" s="20"/>
    </row>
    <row r="35" spans="1:8" ht="18" customHeight="1">
      <c r="A35" s="36"/>
      <c r="B35" s="37"/>
      <c r="C35" s="37"/>
      <c r="D35" s="37"/>
      <c r="E35" s="37"/>
      <c r="F35" s="38"/>
      <c r="G35" s="8"/>
    </row>
    <row r="36" spans="1:8" ht="18" customHeight="1">
      <c r="A36" s="36"/>
      <c r="B36" s="37"/>
      <c r="C36" s="37"/>
      <c r="D36" s="37"/>
      <c r="E36" s="37"/>
      <c r="F36" s="38"/>
      <c r="G36" s="8"/>
    </row>
    <row r="37" spans="1:8" ht="18" customHeight="1">
      <c r="A37" s="36"/>
      <c r="B37" s="37"/>
      <c r="C37" s="37"/>
      <c r="D37" s="37"/>
      <c r="E37" s="37"/>
      <c r="F37" s="38"/>
      <c r="G37" s="8"/>
    </row>
    <row r="38" spans="1:8" ht="18" customHeight="1">
      <c r="A38" s="36"/>
      <c r="B38" s="37"/>
      <c r="C38" s="37"/>
      <c r="D38" s="37"/>
      <c r="E38" s="37"/>
      <c r="F38" s="38"/>
      <c r="G38" s="8"/>
    </row>
    <row r="39" spans="1:8" ht="18" customHeight="1" thickBot="1">
      <c r="A39" s="39"/>
      <c r="B39" s="40"/>
      <c r="C39" s="40"/>
      <c r="D39" s="40"/>
      <c r="E39" s="40"/>
      <c r="F39" s="41"/>
      <c r="G39" s="9"/>
    </row>
    <row r="40" spans="1:8" ht="20.100000000000001" customHeight="1">
      <c r="A40" s="21"/>
    </row>
    <row r="41" spans="1:8" ht="18" customHeight="1">
      <c r="A41" s="5" t="s">
        <v>21</v>
      </c>
    </row>
    <row r="42" spans="1:8" s="26" customFormat="1" ht="18" customHeight="1">
      <c r="A42" s="33" t="s">
        <v>42</v>
      </c>
      <c r="B42" s="33"/>
      <c r="C42" s="33"/>
      <c r="D42" s="33"/>
      <c r="E42" s="33"/>
      <c r="F42" s="33"/>
      <c r="G42" s="33"/>
      <c r="H42" s="33"/>
    </row>
    <row r="43" spans="1:8" s="26" customFormat="1" ht="15.75">
      <c r="A43" s="42" t="s">
        <v>41</v>
      </c>
      <c r="B43" s="42"/>
      <c r="C43" s="42"/>
      <c r="D43" s="42"/>
      <c r="E43" s="42"/>
      <c r="F43" s="42"/>
      <c r="G43" s="42"/>
      <c r="H43" s="42"/>
    </row>
    <row r="44" spans="1:8" s="26" customFormat="1" ht="24.95" customHeight="1">
      <c r="A44" s="42" t="s">
        <v>40</v>
      </c>
      <c r="B44" s="42"/>
      <c r="C44" s="42"/>
      <c r="D44" s="42"/>
      <c r="E44" s="42"/>
      <c r="F44" s="42"/>
      <c r="G44" s="42"/>
      <c r="H44" s="42"/>
    </row>
    <row r="45" spans="1:8" s="26" customFormat="1" ht="18" customHeight="1">
      <c r="A45" s="33" t="s">
        <v>37</v>
      </c>
      <c r="B45" s="33"/>
      <c r="C45" s="33"/>
      <c r="D45" s="33"/>
      <c r="E45" s="33"/>
      <c r="F45" s="33"/>
      <c r="G45" s="33"/>
      <c r="H45" s="33"/>
    </row>
    <row r="46" spans="1:8" s="26" customFormat="1" ht="18" customHeight="1">
      <c r="A46" s="33" t="s">
        <v>25</v>
      </c>
      <c r="B46" s="33"/>
      <c r="C46" s="33"/>
      <c r="D46" s="33"/>
      <c r="E46" s="33"/>
      <c r="F46" s="33"/>
      <c r="G46" s="33"/>
      <c r="H46" s="33"/>
    </row>
    <row r="47" spans="1:8" s="26" customFormat="1" ht="18" customHeight="1">
      <c r="A47" s="33" t="s">
        <v>38</v>
      </c>
      <c r="B47" s="33"/>
      <c r="C47" s="33"/>
      <c r="D47" s="33"/>
      <c r="E47" s="33"/>
      <c r="F47" s="33"/>
      <c r="G47" s="33"/>
      <c r="H47" s="33"/>
    </row>
    <row r="48" spans="1:8" ht="30" customHeight="1"/>
    <row r="49" spans="1:1" ht="30" customHeight="1">
      <c r="A49" s="21"/>
    </row>
    <row r="50" spans="1:1" ht="30" customHeight="1">
      <c r="A50" s="21"/>
    </row>
    <row r="51" spans="1:1" ht="30" customHeight="1">
      <c r="A51" s="21"/>
    </row>
  </sheetData>
  <sheetProtection password="E92B" sheet="1" objects="1" scenarios="1"/>
  <protectedRanges>
    <protectedRange sqref="G34:G39" name="Adders and Subtractors"/>
    <protectedRange sqref="A40 A49:A51" name="Schedule of Labor"/>
    <protectedRange sqref="B15:G29" name="Sub Costs"/>
    <protectedRange sqref="B8:G13" name="ODC costs"/>
    <protectedRange sqref="B7:G7" name="Labor"/>
    <protectedRange sqref="A21:A29" name="Subcontractor Other"/>
    <protectedRange sqref="A9:A13" name="ODC"/>
  </protectedRanges>
  <mergeCells count="17">
    <mergeCell ref="H3:H5"/>
    <mergeCell ref="F3:F4"/>
    <mergeCell ref="G3:G4"/>
    <mergeCell ref="A35:F35"/>
    <mergeCell ref="A36:F36"/>
    <mergeCell ref="D3:D4"/>
    <mergeCell ref="E3:E4"/>
    <mergeCell ref="A34:F34"/>
    <mergeCell ref="B3:B4"/>
    <mergeCell ref="A3:A4"/>
    <mergeCell ref="A33:F33"/>
    <mergeCell ref="C3:C4"/>
    <mergeCell ref="A37:F37"/>
    <mergeCell ref="A38:F38"/>
    <mergeCell ref="A39:F39"/>
    <mergeCell ref="A43:H43"/>
    <mergeCell ref="A44:H44"/>
  </mergeCells>
  <printOptions horizontalCentered="1" verticalCentered="1"/>
  <pageMargins left="0.75" right="0.75" top="1.2" bottom="0.75" header="0.5" footer="0.3"/>
  <pageSetup scale="53" orientation="landscape" horizontalDpi="1200" verticalDpi="1200" r:id="rId1"/>
  <headerFooter>
    <oddHeader xml:space="preserve">&amp;C&amp;"+,Bold"&amp;14ATTACHMENT 2
BID COST TABULATION WORKSHEET
DUQUESNE LIGHT COMPANY McKEESPORT SERVICE CENTER
CITY OF McKEESPORT, ALLEGHENY COUNTY
PADEP FACILITY ID #02-13363; USTIF CLAIM # 2009-0156(S)
</oddHead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R Morgan</dc:creator>
  <cp:lastModifiedBy>Amy Steiner</cp:lastModifiedBy>
  <cp:lastPrinted>2013-06-26T14:35:24Z</cp:lastPrinted>
  <dcterms:created xsi:type="dcterms:W3CDTF">2013-02-06T15:10:28Z</dcterms:created>
  <dcterms:modified xsi:type="dcterms:W3CDTF">2013-06-27T11:49:59Z</dcterms:modified>
</cp:coreProperties>
</file>