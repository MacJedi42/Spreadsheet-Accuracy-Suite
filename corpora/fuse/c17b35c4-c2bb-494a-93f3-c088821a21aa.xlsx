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<sst xmlns="http://schemas.openxmlformats.org/spreadsheetml/2006/main" count="16" uniqueCount="16">
  <si>
    <t>Primary Dmg Spell Cost</t>
  </si>
  <si>
    <t>AverageWeapon Dmg /cast</t>
  </si>
  <si>
    <t>Primary Dmg Spell Dmg</t>
  </si>
  <si>
    <t>Secondary Dmg Spell Cost (0 if your wont use 2nd spell)</t>
  </si>
  <si>
    <t>Secondary Dmg Spell Dmg</t>
  </si>
  <si>
    <t>Average Weapon Dmg/sec</t>
  </si>
  <si>
    <t>Secondary Dmg Spell Period (# seconds btn casts)</t>
  </si>
  <si>
    <t>Regen Spell-AP</t>
  </si>
  <si>
    <t>Regen spell-dmg</t>
  </si>
  <si>
    <t>AP Regen</t>
  </si>
  <si>
    <t>Cast Time</t>
  </si>
  <si>
    <t>Secondary Calculations</t>
  </si>
  <si>
    <t>Secondary Spell AP usage</t>
  </si>
  <si>
    <t>Average AP Cost</t>
  </si>
  <si>
    <t>Primary Spell AP usage</t>
  </si>
  <si>
    <t>No secondary Spell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</si>
</sst>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43.14"/>
    <col min="2" customWidth="1" max="2" width="11.0"/>
    <col min="3" customWidth="1" max="3" width="8.43"/>
    <col min="4" customWidth="1" max="4" width="23.0"/>
    <col min="6" customWidth="1" max="6" width="23.43"/>
  </cols>
  <sheetData>
    <row r="2">
      <c t="s" r="A2">
        <v>0</v>
      </c>
      <c r="B2">
        <v>28</v>
      </c>
      <c t="s" r="D2">
        <v>1</v>
      </c>
    </row>
    <row r="3">
      <c t="s" r="A3">
        <v>2</v>
      </c>
      <c r="B3">
        <v>1089</v>
      </c>
      <c r="D3">
        <f>(((B8*((((((B4/B10)/((((B6/B10)-B10)*((((B9+(B7/B10))/((B2/B10)+(B7/B10)))*B2)/B10))+(B4/B10)))*B4)+(((((B6/B10)-B10)*((((B9+(B7/B10))/((B2/B10)+(B7/B10)))*B2)/B10))/(((((B6/B10)-B10)*((((B9+(B7/B10))/((B2/B10)+(B7/B10)))*B2)/B10))+(B4/B10))))*B2))/B10)-B9))+(((B3*(((B6/B10)-B10)*((((B9+(B7/B10))/((B2/B10)+(B7/B10)))*B2)/B10)))/(((((B6/B10)-B10)*((((B9+(B7/B10))/((B2/B10)+(B7/B10)))*B2)/B10))+(B4/B10))))*(B9+(B7/B10))))+(((B5*(B4/B10))/((((B6/B10)-B10)*((((B9+(B7/B10))/((B2/B10)+(B7/B10)))*B2)/B10))+(B4/B10)))*(B9+(B7/B10))))/((((((B4/B10)/((((B6/B10)-B10)*((((B9+(B7/B10))/((B2/B10)+(B7/B10)))*B2)/B10))+(B4/B10)))*B4)+(((((B6/B10)-B10)*((((B9+(B7/B10))/((B2/B10)+(B7/B10)))*B2)/B10))/(((((B6/B10)-B10)*((((B9+(B7/B10))/((B2/B10)+(B7/B10)))*B2)/B10))+(B4/B10))))*B2))/B10)+(B7/B10))</f>
        <v>757.227516059957</v>
      </c>
    </row>
    <row r="4">
      <c t="s" r="A4">
        <v>3</v>
      </c>
      <c r="B4">
        <v>20</v>
      </c>
    </row>
    <row r="5">
      <c t="s" r="A5">
        <v>4</v>
      </c>
      <c r="B5">
        <v>440</v>
      </c>
      <c t="s" r="D5">
        <v>5</v>
      </c>
    </row>
    <row r="6">
      <c t="s" r="A6">
        <v>6</v>
      </c>
      <c r="B6">
        <v>6</v>
      </c>
      <c r="D6">
        <f>D3/B10</f>
        <v>757.227516059957</v>
      </c>
    </row>
    <row r="7">
      <c t="s" r="A7">
        <v>7</v>
      </c>
      <c r="B7">
        <v>14</v>
      </c>
    </row>
    <row r="8">
      <c t="s" r="A8">
        <v>8</v>
      </c>
      <c r="B8">
        <v>242</v>
      </c>
    </row>
    <row r="9">
      <c t="s" r="A9">
        <v>9</v>
      </c>
      <c r="B9">
        <v>14.5</v>
      </c>
    </row>
    <row r="10">
      <c t="s" r="A10">
        <v>10</v>
      </c>
      <c r="B10">
        <v>1</v>
      </c>
    </row>
    <row r="18">
      <c t="s" r="F18">
        <v>11</v>
      </c>
    </row>
    <row r="20">
      <c t="s" r="F20">
        <v>12</v>
      </c>
    </row>
    <row r="21">
      <c r="F21">
        <f>(B4/B10)/((((B6/B10)-B10)*((((B9+(B7/B10))/((B2/B10)+(B7/B10)))*B2)/B10))+(B4/B10))</f>
        <v>0.173913043478261</v>
      </c>
    </row>
    <row r="22">
      <c t="s" r="G22">
        <v>13</v>
      </c>
    </row>
    <row r="23">
      <c r="G23">
        <f>(((B4/B10)/((((B6/B10)-B10)*((((B9+(B7/B10))/((B2/B10)+(B7/B10)))*B2)/B10))+(B4/B10)))*B4)+(((((B6/B10)-B10)*((((B9+(B7/B10))/((B2/B10)+(B7/B10)))*B2)/B10))/(((((B6/B10)-B10)*((((B9+(B7/B10))/((B2/B10)+(B7/B10)))*B2)/B10))+(B4/B10))))*B2)</f>
        <v>26.6086956521739</v>
      </c>
    </row>
    <row r="24">
      <c t="s" r="F24">
        <v>14</v>
      </c>
    </row>
    <row r="25">
      <c r="F25">
        <f>(((B6/B10)-B10)*((((B9+(B7/B10))/((B2/B10)+(B7/B10)))*B2)/B10))/(((((B6/B10)-B10)*((((B9+(B7/B10))/((B2/B10)+(B7/B10)))*B2)/B10))+(B4/B10)))</f>
        <v>0.826086956521739</v>
      </c>
    </row>
    <row r="28">
      <c t="s" r="F28">
        <v>15</v>
      </c>
    </row>
    <row r="29">
      <c r="F29">
        <f>((B8*((B2/B10)-B9))+(B3*(B9+(B7/B10))))/((B2/B10)+(B7/B10))</f>
        <v>816.75</v>
      </c>
    </row>
  </sheetData>
</worksheet>
</file>