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360" yWindow="270" windowWidth="14880" windowHeight="7845"/>
  </bookViews>
  <sheets>
    <sheet name="SF-6 Form per Capita" sheetId="4" r:id="rId1"/>
    <sheet name="SF-6 Form Specific Student" sheetId="5" r:id="rId2"/>
    <sheet name="Student level data" sheetId="6" r:id="rId3"/>
    <sheet name="Data Notes" sheetId="7" r:id="rId4"/>
    <sheet name="data" sheetId="1" state="hidden" r:id="rId5"/>
    <sheet name="options" sheetId="2" state="hidden" r:id="rId6"/>
  </sheets>
  <definedNames>
    <definedName name="_xlnm._FilterDatabase" localSheetId="4" hidden="1">data!$A$1:$M$616</definedName>
    <definedName name="Disability_Type">options!$A$7:$A$20</definedName>
    <definedName name="dist">data!$A$2:$A$616</definedName>
    <definedName name="Inclusion">options!$A$32:$A$34</definedName>
    <definedName name="Options">options!$A$2:$A$4</definedName>
    <definedName name="Placement">options!$A$23:$A$29</definedName>
    <definedName name="_xlnm.Print_Area" localSheetId="3">'Data Notes'!$A$1:$O$28</definedName>
    <definedName name="_xlnm.Print_Area" localSheetId="0">'SF-6 Form per Capita'!$C$1:$P$46</definedName>
    <definedName name="_xlnm.Print_Area" localSheetId="1">'SF-6 Form Specific Student'!$B$1:$R$67</definedName>
    <definedName name="_xlnm.Print_Area" localSheetId="2">'Student level data'!$A$1:$J$597</definedName>
    <definedName name="_xlnm.Print_Titles" localSheetId="2">'Student level data'!$15:$16</definedName>
  </definedNames>
  <calcPr calcId="145621"/>
</workbook>
</file>

<file path=xl/calcChain.xml><?xml version="1.0" encoding="utf-8"?>
<calcChain xmlns="http://schemas.openxmlformats.org/spreadsheetml/2006/main">
  <c r="Q34" i="5" l="1"/>
  <c r="Q35" i="5"/>
  <c r="O46" i="5" l="1"/>
  <c r="O45" i="5"/>
  <c r="O44" i="5"/>
  <c r="O43" i="5"/>
  <c r="O42" i="5"/>
  <c r="O40" i="5"/>
  <c r="O37" i="5"/>
  <c r="O36" i="4"/>
  <c r="O35" i="4"/>
  <c r="O34" i="4"/>
  <c r="O33" i="4"/>
  <c r="O32" i="4"/>
  <c r="O30" i="4"/>
  <c r="O27" i="4"/>
  <c r="N37" i="5" l="1"/>
  <c r="P35" i="5" l="1"/>
  <c r="P34" i="5"/>
  <c r="P37" i="5"/>
  <c r="Q37" i="5" s="1"/>
  <c r="O35" i="5" l="1"/>
  <c r="N46" i="5" l="1"/>
  <c r="N45" i="5"/>
  <c r="N44" i="5"/>
  <c r="N43" i="5"/>
  <c r="N42" i="5"/>
  <c r="N40" i="5"/>
  <c r="Q52" i="5"/>
  <c r="Q50" i="5"/>
  <c r="P1" i="5"/>
  <c r="Q51" i="5"/>
  <c r="Q53" i="5"/>
  <c r="Q54" i="5"/>
  <c r="Q55" i="5"/>
  <c r="O25" i="4"/>
  <c r="H1" i="6"/>
  <c r="Q44" i="5" l="1"/>
  <c r="Q46" i="5"/>
  <c r="Q45" i="5"/>
  <c r="Q60" i="5"/>
  <c r="Q40" i="5"/>
  <c r="Q43" i="5"/>
  <c r="Q42" i="5"/>
  <c r="O4" i="4"/>
  <c r="N36" i="4"/>
  <c r="N35" i="4"/>
  <c r="N34" i="4"/>
  <c r="N33" i="4"/>
  <c r="Q58" i="5" l="1"/>
  <c r="Q59" i="5"/>
  <c r="N27" i="4"/>
  <c r="N25" i="4"/>
  <c r="P36" i="4"/>
  <c r="P35" i="4"/>
  <c r="P34" i="4"/>
  <c r="P33" i="4"/>
  <c r="N32" i="4"/>
  <c r="P32" i="4" s="1"/>
  <c r="N30" i="4"/>
  <c r="P30" i="4" s="1"/>
  <c r="Q61" i="5" l="1"/>
  <c r="P27" i="4"/>
  <c r="P25" i="4"/>
  <c r="P39" i="4" l="1"/>
</calcChain>
</file>

<file path=xl/comments1.xml><?xml version="1.0" encoding="utf-8"?>
<comments xmlns="http://schemas.openxmlformats.org/spreadsheetml/2006/main">
  <authors>
    <author>Windows User</author>
  </authors>
  <commentList>
    <comment ref="F1" authorId="0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Windows User:
Data comes from SAS SF-6 Program
</t>
        </r>
      </text>
    </comment>
    <comment ref="M1" authorId="0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Data comes from Expenditure ADM from MSTR
</t>
        </r>
      </text>
    </comment>
  </commentList>
</comments>
</file>

<file path=xl/sharedStrings.xml><?xml version="1.0" encoding="utf-8"?>
<sst xmlns="http://schemas.openxmlformats.org/spreadsheetml/2006/main" count="1489" uniqueCount="1402">
  <si>
    <t>Center for School Options and Finance</t>
  </si>
  <si>
    <t>Office of Finance Program Services</t>
  </si>
  <si>
    <t xml:space="preserve">SF-6 </t>
  </si>
  <si>
    <t>School Age Form</t>
  </si>
  <si>
    <t>Report To Certify the Excess Cost For School District School-Age Pupils</t>
  </si>
  <si>
    <t>Who Were Provided Special Education and Related Services</t>
  </si>
  <si>
    <t>A.</t>
  </si>
  <si>
    <t xml:space="preserve">Educating District - City, Exempted Village or Local </t>
  </si>
  <si>
    <t>B.</t>
  </si>
  <si>
    <t>Actual Costs</t>
  </si>
  <si>
    <t xml:space="preserve">     Instructional Supplies and Materials (Func 1XXX - Obj 5XX)</t>
  </si>
  <si>
    <t xml:space="preserve">     Instructional Equipment (Func 1XXX - Obj 6XX, Obj 7XX)</t>
  </si>
  <si>
    <t>City, Exempted Village or Local Superintendent Signature</t>
  </si>
  <si>
    <t>Treasurer Signature</t>
  </si>
  <si>
    <t>dist</t>
  </si>
  <si>
    <t>SCHOOL_YEAR</t>
  </si>
  <si>
    <t>DIST_IRN</t>
  </si>
  <si>
    <t>INSTR_SUP</t>
  </si>
  <si>
    <t>INSTR_EQ</t>
  </si>
  <si>
    <t>adm1</t>
  </si>
  <si>
    <t>Ada Ex Vill SD (045187, Hardin County)</t>
  </si>
  <si>
    <t>045187</t>
  </si>
  <si>
    <t>Adams County/Ohio Valley Local (061903, Adams County)</t>
  </si>
  <si>
    <t>061903</t>
  </si>
  <si>
    <t>Adena Local SD (049494, Ross County)</t>
  </si>
  <si>
    <t>049494</t>
  </si>
  <si>
    <t>Akron City SD (043489, Summit County)</t>
  </si>
  <si>
    <t>043489</t>
  </si>
  <si>
    <t>Alexander Local SD (045906, Athens County)</t>
  </si>
  <si>
    <t>045906</t>
  </si>
  <si>
    <t>Allen East Local SD (045757, Allen County)</t>
  </si>
  <si>
    <t>045757</t>
  </si>
  <si>
    <t>Alliance City SD (043497, Stark County)</t>
  </si>
  <si>
    <t>043497</t>
  </si>
  <si>
    <t>Amanda-Clearcreek Local SD (046847, Fairfield County)</t>
  </si>
  <si>
    <t>046847</t>
  </si>
  <si>
    <t>Amherst Ex Vill SD (045195, Lorain County)</t>
  </si>
  <si>
    <t>045195</t>
  </si>
  <si>
    <t>Anna Local SD (049759, Shelby County)</t>
  </si>
  <si>
    <t>049759</t>
  </si>
  <si>
    <t>Ansonia Local SD (046623, Darke County)</t>
  </si>
  <si>
    <t>046623</t>
  </si>
  <si>
    <t>Anthony Wayne Local SD (048207, Lucas County)</t>
  </si>
  <si>
    <t>048207</t>
  </si>
  <si>
    <t>Antwerp Local SD (048991, Paulding County)</t>
  </si>
  <si>
    <t>048991</t>
  </si>
  <si>
    <t>Arcadia Local SD (047415, Hancock County)</t>
  </si>
  <si>
    <t>047415</t>
  </si>
  <si>
    <t>Arcanum Butler Local SD (046631, Darke County)</t>
  </si>
  <si>
    <t>046631</t>
  </si>
  <si>
    <t>Archbold-Area Local SD (047043, Fulton County)</t>
  </si>
  <si>
    <t>047043</t>
  </si>
  <si>
    <t>Arlington Local SD (047423, Hancock County)</t>
  </si>
  <si>
    <t>047423</t>
  </si>
  <si>
    <t>Ashland City SD (043505, Ashland County)</t>
  </si>
  <si>
    <t>043505</t>
  </si>
  <si>
    <t>Ashtabula Area City SD (043513, Ashtabula County)</t>
  </si>
  <si>
    <t>043513</t>
  </si>
  <si>
    <t>Athens City SD (043521, Athens County)</t>
  </si>
  <si>
    <t>043521</t>
  </si>
  <si>
    <t>Aurora City SD (049171, Portage County)</t>
  </si>
  <si>
    <t>049171</t>
  </si>
  <si>
    <t>Austintown Local SD (048298, Mahoning County)</t>
  </si>
  <si>
    <t>048298</t>
  </si>
  <si>
    <t>Avon Lake City SD (048124, Lorain County)</t>
  </si>
  <si>
    <t>048124</t>
  </si>
  <si>
    <t>Avon Local SD (048116, Lorain County)</t>
  </si>
  <si>
    <t>048116</t>
  </si>
  <si>
    <t>Ayersville Local SD (046706, Defiance County)</t>
  </si>
  <si>
    <t>046706</t>
  </si>
  <si>
    <t>Barberton City SD (043539, Summit County)</t>
  </si>
  <si>
    <t>043539</t>
  </si>
  <si>
    <t>Barnesville Ex Vill SD (045203, Belmont County)</t>
  </si>
  <si>
    <t>045203</t>
  </si>
  <si>
    <t>Batavia Local SD (046300, Clermont County)</t>
  </si>
  <si>
    <t>046300</t>
  </si>
  <si>
    <t>Bath Local SD (045765, Allen County)</t>
  </si>
  <si>
    <t>045765</t>
  </si>
  <si>
    <t>Bay Village City SD (043547, Cuyahoga County)</t>
  </si>
  <si>
    <t>043547</t>
  </si>
  <si>
    <t>Beachwood City SD (043554, Cuyahoga County)</t>
  </si>
  <si>
    <t>043554</t>
  </si>
  <si>
    <t>Beaver Local SD (046425, Columbiana County)</t>
  </si>
  <si>
    <t>046425</t>
  </si>
  <si>
    <t>Beavercreek City SD (047241, Greene County)</t>
  </si>
  <si>
    <t>047241</t>
  </si>
  <si>
    <t>Bedford City SD (043562, Cuyahoga County)</t>
  </si>
  <si>
    <t>043562</t>
  </si>
  <si>
    <t>Bellaire Local SD (043570, Belmont County)</t>
  </si>
  <si>
    <t>043570</t>
  </si>
  <si>
    <t>Bellbrook-Sugarcreek Schools L (047274, Greene County)</t>
  </si>
  <si>
    <t>047274</t>
  </si>
  <si>
    <t>Bellefontaine City SD (043588, Logan County)</t>
  </si>
  <si>
    <t>043588</t>
  </si>
  <si>
    <t>Bellevue City SD (043596, Huron County)</t>
  </si>
  <si>
    <t>043596</t>
  </si>
  <si>
    <t>Belpre City SD (043604, Washington County)</t>
  </si>
  <si>
    <t>043604</t>
  </si>
  <si>
    <t>Benjamin Logan Local SD (048074, Logan County)</t>
  </si>
  <si>
    <t>048074</t>
  </si>
  <si>
    <t>Benton Carroll Salem Local SD (048926, Ottawa County)</t>
  </si>
  <si>
    <t>048926</t>
  </si>
  <si>
    <t>Berea City SD (043612, Cuyahoga County)</t>
  </si>
  <si>
    <t>043612</t>
  </si>
  <si>
    <t>Berkshire Local SD (047167, Geauga County)</t>
  </si>
  <si>
    <t>047167</t>
  </si>
  <si>
    <t>Berlin-Milan Local SD (046789, Erie County)</t>
  </si>
  <si>
    <t>046789</t>
  </si>
  <si>
    <t>Berne Union Local SD (046854, Fairfield County)</t>
  </si>
  <si>
    <t>046854</t>
  </si>
  <si>
    <t>Bethel Local SD (048611, Miami County)</t>
  </si>
  <si>
    <t>048611</t>
  </si>
  <si>
    <t>Bethel-Tate Local SD (046318, Clermont County)</t>
  </si>
  <si>
    <t>046318</t>
  </si>
  <si>
    <t>Bettsville Local SD (049692, Seneca County)</t>
  </si>
  <si>
    <t>049692</t>
  </si>
  <si>
    <t>Bexley City SD (043620, Franklin County)</t>
  </si>
  <si>
    <t>043620</t>
  </si>
  <si>
    <t>Big Walnut Local SD (046748, Delaware County)</t>
  </si>
  <si>
    <t>046748</t>
  </si>
  <si>
    <t>Black River Local SD (048462, Medina County)</t>
  </si>
  <si>
    <t>048462</t>
  </si>
  <si>
    <t>Blanchester Local SD (046383, Clinton County)</t>
  </si>
  <si>
    <t>046383</t>
  </si>
  <si>
    <t>Bloom-Carroll Local SD (046862, Fairfield County)</t>
  </si>
  <si>
    <t>046862</t>
  </si>
  <si>
    <t>Bloomfield-Mespo Local SD (050096, Trumbull County)</t>
  </si>
  <si>
    <t>050096</t>
  </si>
  <si>
    <t>Bloom-Vernon Local SD (049593, Scioto County)</t>
  </si>
  <si>
    <t>049593</t>
  </si>
  <si>
    <t>Bluffton Ex Vill SD (045211, Allen County)</t>
  </si>
  <si>
    <t>045211</t>
  </si>
  <si>
    <t>Boardman Local SD (048306, Mahoning County)</t>
  </si>
  <si>
    <t>048306</t>
  </si>
  <si>
    <t>Botkins Local SD (049767, Shelby County)</t>
  </si>
  <si>
    <t>049767</t>
  </si>
  <si>
    <t>Bowling Green City SD (043638, Wood County)</t>
  </si>
  <si>
    <t>043638</t>
  </si>
  <si>
    <t>Bradford Ex Vill SD (045229, Miami County)</t>
  </si>
  <si>
    <t>045229</t>
  </si>
  <si>
    <t>Brecksville-Broadview Heights (043646, Cuyahoga County)</t>
  </si>
  <si>
    <t>043646</t>
  </si>
  <si>
    <t>Bridgeport Ex Vill SD (045237, Belmont County)</t>
  </si>
  <si>
    <t>045237</t>
  </si>
  <si>
    <t>Bright Local SD (047613, Highland County)</t>
  </si>
  <si>
    <t>047613</t>
  </si>
  <si>
    <t>Bristol Local SD (050112, Trumbull County)</t>
  </si>
  <si>
    <t>050112</t>
  </si>
  <si>
    <t>Brookfield Local SD (050120, Trumbull County)</t>
  </si>
  <si>
    <t>050120</t>
  </si>
  <si>
    <t>Brooklyn City SD (043653, Cuyahoga County)</t>
  </si>
  <si>
    <t>043653</t>
  </si>
  <si>
    <t>Brookville Local SD (048678, Montgomery County)</t>
  </si>
  <si>
    <t>048678</t>
  </si>
  <si>
    <t>Brown Local SD (046177, Carroll County)</t>
  </si>
  <si>
    <t>046177</t>
  </si>
  <si>
    <t>Brunswick City SD (043661, Medina County)</t>
  </si>
  <si>
    <t>043661</t>
  </si>
  <si>
    <t>Bryan City SD (043679, Williams County)</t>
  </si>
  <si>
    <t>043679</t>
  </si>
  <si>
    <t>Buckeye Central Local SD (046508, Crawford County)</t>
  </si>
  <si>
    <t>046508</t>
  </si>
  <si>
    <t>Buckeye Local Local SD (047787, Jefferson County)</t>
  </si>
  <si>
    <t>047787</t>
  </si>
  <si>
    <t>Buckeye Local SD (045856, Ashtabula County)</t>
  </si>
  <si>
    <t>045856</t>
  </si>
  <si>
    <t>Buckeye Local SD (048470, Medina County)</t>
  </si>
  <si>
    <t>048470</t>
  </si>
  <si>
    <t>Buckeye Valley Local SD (046755, Delaware County)</t>
  </si>
  <si>
    <t>046755</t>
  </si>
  <si>
    <t>Bucyrus City SD (043687, Crawford County)</t>
  </si>
  <si>
    <t>043687</t>
  </si>
  <si>
    <t>Caldwell Ex Vill SD (045252, Noble County)</t>
  </si>
  <si>
    <t>045252</t>
  </si>
  <si>
    <t>Cambridge City SD (043695, Guernsey County)</t>
  </si>
  <si>
    <t>043695</t>
  </si>
  <si>
    <t>Campbell City SD (043703, Mahoning County)</t>
  </si>
  <si>
    <t>043703</t>
  </si>
  <si>
    <t>Canal Winchester Local SD (046946, Franklin County)</t>
  </si>
  <si>
    <t>046946</t>
  </si>
  <si>
    <t>Canfield Local SD (048314, Mahoning County)</t>
  </si>
  <si>
    <t>048314</t>
  </si>
  <si>
    <t>Canton City SD (043711, Stark County)</t>
  </si>
  <si>
    <t>043711</t>
  </si>
  <si>
    <t>Canton Local SD (049833, Stark County)</t>
  </si>
  <si>
    <t>049833</t>
  </si>
  <si>
    <t>Cardinal Local SD (047175, Geauga County)</t>
  </si>
  <si>
    <t>047175</t>
  </si>
  <si>
    <t>Cardington-Lincoln Local SD (048793, Morrow County)</t>
  </si>
  <si>
    <t>048793</t>
  </si>
  <si>
    <t>Carey Ex Vill SD (045260, Wyandot County)</t>
  </si>
  <si>
    <t>045260</t>
  </si>
  <si>
    <t>Carlisle Local SD (050419, Warren County)</t>
  </si>
  <si>
    <t>050419</t>
  </si>
  <si>
    <t>Carrollton Ex Vill SD (045278, Carroll County)</t>
  </si>
  <si>
    <t>045278</t>
  </si>
  <si>
    <t>Cedar Cliff Local SD (047258, Greene County)</t>
  </si>
  <si>
    <t>047258</t>
  </si>
  <si>
    <t>Celina City SD (043729, Mercer County)</t>
  </si>
  <si>
    <t>043729</t>
  </si>
  <si>
    <t>Centerburg Local SD (047829, Knox County)</t>
  </si>
  <si>
    <t>047829</t>
  </si>
  <si>
    <t>Centerville City SD (043737, Montgomery County)</t>
  </si>
  <si>
    <t>043737</t>
  </si>
  <si>
    <t>Central Local Local SD (046714, Defiance County)</t>
  </si>
  <si>
    <t>046714</t>
  </si>
  <si>
    <t>Chagrin Falls Ex Vill SD (045286, Cuyahoga County)</t>
  </si>
  <si>
    <t>045286</t>
  </si>
  <si>
    <t>Champion Local SD (050138, Trumbull County)</t>
  </si>
  <si>
    <t>050138</t>
  </si>
  <si>
    <t>Chardon Local SD (047183, Geauga County)</t>
  </si>
  <si>
    <t>047183</t>
  </si>
  <si>
    <t>Chesapeake Union Ex Vill SD (045294, Lawrence County)</t>
  </si>
  <si>
    <t>045294</t>
  </si>
  <si>
    <t>Chillicothe City SD (043745, Ross County)</t>
  </si>
  <si>
    <t>043745</t>
  </si>
  <si>
    <t>Chippewa Local SD (050534, Wayne County)</t>
  </si>
  <si>
    <t>050534</t>
  </si>
  <si>
    <t>Cincinnati Public Schools City (043752, Hamilton County)</t>
  </si>
  <si>
    <t>043752</t>
  </si>
  <si>
    <t>Circleville City SD (043760, Pickaway County)</t>
  </si>
  <si>
    <t>043760</t>
  </si>
  <si>
    <t>Clark-Shawnee Local SD (046284, Clark County)</t>
  </si>
  <si>
    <t>046284</t>
  </si>
  <si>
    <t>Clay Local SD (049601, Scioto County)</t>
  </si>
  <si>
    <t>049601</t>
  </si>
  <si>
    <t>Claymont City SD (043778, Tuscarawas County)</t>
  </si>
  <si>
    <t>043778</t>
  </si>
  <si>
    <t>Clear Fork Valley Local SD (049411, Richland County)</t>
  </si>
  <si>
    <t>049411</t>
  </si>
  <si>
    <t>Clearview Local SD (048132, Lorain County)</t>
  </si>
  <si>
    <t>048132</t>
  </si>
  <si>
    <t>Clermont Northeastern Local SD (046326, Clermont County)</t>
  </si>
  <si>
    <t>046326</t>
  </si>
  <si>
    <t>Cleve. Hts.-Univ. Hts. City SD (043794, Cuyahoga County)</t>
  </si>
  <si>
    <t>043794</t>
  </si>
  <si>
    <t>Cleveland Municipal Municipal (043786, Cuyahoga County)</t>
  </si>
  <si>
    <t>043786</t>
  </si>
  <si>
    <t>Clinton-Massie Local SD (046391, Clinton County)</t>
  </si>
  <si>
    <t>046391</t>
  </si>
  <si>
    <t>Cloverleaf Local SD (048488, Medina County)</t>
  </si>
  <si>
    <t>048488</t>
  </si>
  <si>
    <t>Clyde-Green Springs Ex Vill SD (045302, Sandusky County)</t>
  </si>
  <si>
    <t>045302</t>
  </si>
  <si>
    <t>Coldwater Ex Vill SD (045310, Mercer County)</t>
  </si>
  <si>
    <t>045310</t>
  </si>
  <si>
    <t>College Corner Local SD (064964, Preble County)</t>
  </si>
  <si>
    <t>064964</t>
  </si>
  <si>
    <t>Colonel Crawford Local SD (046516, Crawford County)</t>
  </si>
  <si>
    <t>046516</t>
  </si>
  <si>
    <t>Columbia Local SD (048140, Lorain County)</t>
  </si>
  <si>
    <t>048140</t>
  </si>
  <si>
    <t>Columbiana Ex Vill SD (045328, Columbiana County)</t>
  </si>
  <si>
    <t>045328</t>
  </si>
  <si>
    <t>Columbus City Schools City SD (043802, Franklin County)</t>
  </si>
  <si>
    <t>043802</t>
  </si>
  <si>
    <t>Columbus Grove Local SD (049312, Putnam County)</t>
  </si>
  <si>
    <t>049312</t>
  </si>
  <si>
    <t>Conneaut Area City SD (043810, Ashtabula County)</t>
  </si>
  <si>
    <t>043810</t>
  </si>
  <si>
    <t>Conotton Valley Union Local SD (047548, Harrison County)</t>
  </si>
  <si>
    <t>047548</t>
  </si>
  <si>
    <t>Continental Local SD (049320, Putnam County)</t>
  </si>
  <si>
    <t>049320</t>
  </si>
  <si>
    <t>Copley-Fairlawn City SD (049981, Summit County)</t>
  </si>
  <si>
    <t>049981</t>
  </si>
  <si>
    <t>Cory-Rawson Local SD (047431, Hancock County)</t>
  </si>
  <si>
    <t>047431</t>
  </si>
  <si>
    <t>Coshocton City SD (043828, Coshocton County)</t>
  </si>
  <si>
    <t>043828</t>
  </si>
  <si>
    <t>Coventry Local SD (049999, Summit County)</t>
  </si>
  <si>
    <t>049999</t>
  </si>
  <si>
    <t>Covington EVSD Ex Vill SD (045336, Miami County)</t>
  </si>
  <si>
    <t>045336</t>
  </si>
  <si>
    <t>Crestline Ex Vill SD (045344, Crawford County)</t>
  </si>
  <si>
    <t>045344</t>
  </si>
  <si>
    <t>Crestview Local SD (046433, Columbiana County)</t>
  </si>
  <si>
    <t>046433</t>
  </si>
  <si>
    <t>Crestview Local SD (049429, Richland County)</t>
  </si>
  <si>
    <t>049429</t>
  </si>
  <si>
    <t>Crestview Local SD (050351, Van Wert County)</t>
  </si>
  <si>
    <t>050351</t>
  </si>
  <si>
    <t>Crestwood Local SD (049189, Portage County)</t>
  </si>
  <si>
    <t>049189</t>
  </si>
  <si>
    <t>Crooksville Ex Vill SD (045351, Perry County)</t>
  </si>
  <si>
    <t>045351</t>
  </si>
  <si>
    <t>Cuyahoga Falls City SD (043836, Summit County)</t>
  </si>
  <si>
    <t>043836</t>
  </si>
  <si>
    <t>Cuyahoga Heights Local SD (046557, Cuyahoga County)</t>
  </si>
  <si>
    <t>046557</t>
  </si>
  <si>
    <t>Dalton Local SD (050542, Wayne County)</t>
  </si>
  <si>
    <t>050542</t>
  </si>
  <si>
    <t>Danbury Local SD (048934, Ottawa County)</t>
  </si>
  <si>
    <t>048934</t>
  </si>
  <si>
    <t>Danville Local SD (047837, Knox County)</t>
  </si>
  <si>
    <t>047837</t>
  </si>
  <si>
    <t>Dawson-Bryant Local SD (047928, Lawrence County)</t>
  </si>
  <si>
    <t>047928</t>
  </si>
  <si>
    <t>Dayton City SD (043844, Montgomery County)</t>
  </si>
  <si>
    <t>043844</t>
  </si>
  <si>
    <t>Deer Park Community City SD (043851, Hamilton County)</t>
  </si>
  <si>
    <t>043851</t>
  </si>
  <si>
    <t>Defiance City SD (043869, Defiance County)</t>
  </si>
  <si>
    <t>043869</t>
  </si>
  <si>
    <t>Delaware City SD (043877, Delaware County)</t>
  </si>
  <si>
    <t>043877</t>
  </si>
  <si>
    <t>Delphos City SD (043885, Allen County)</t>
  </si>
  <si>
    <t>043885</t>
  </si>
  <si>
    <t>Dover City SD (043893, Tuscarawas County)</t>
  </si>
  <si>
    <t>043893</t>
  </si>
  <si>
    <t>Dublin City SD (047027, Franklin County)</t>
  </si>
  <si>
    <t>047027</t>
  </si>
  <si>
    <t>East Cleveland City Schools Ci (043901, Cuyahoga County)</t>
  </si>
  <si>
    <t>043901</t>
  </si>
  <si>
    <t>East Clinton Local SD (046409, Clinton County)</t>
  </si>
  <si>
    <t>046409</t>
  </si>
  <si>
    <t>East Guernsey Local SD (069682, Guernsey County)</t>
  </si>
  <si>
    <t>069682</t>
  </si>
  <si>
    <t>East Holmes Local SD (047688, Holmes County)</t>
  </si>
  <si>
    <t>047688</t>
  </si>
  <si>
    <t>East Knox Local SD (047845, Knox County)</t>
  </si>
  <si>
    <t>047845</t>
  </si>
  <si>
    <t>East Liverpool City SD (043919, Columbiana County)</t>
  </si>
  <si>
    <t>043919</t>
  </si>
  <si>
    <t>East Muskingum Local SD (048835, Muskingum County)</t>
  </si>
  <si>
    <t>048835</t>
  </si>
  <si>
    <t>East Palestine City SD (043927, Columbiana County)</t>
  </si>
  <si>
    <t>043927</t>
  </si>
  <si>
    <t>Eastern Local SD (046037, Brown County)</t>
  </si>
  <si>
    <t>046037</t>
  </si>
  <si>
    <t>Eastern Local SD (048512, Meigs County)</t>
  </si>
  <si>
    <t>048512</t>
  </si>
  <si>
    <t>Eastern Local SD (049122, Pike County)</t>
  </si>
  <si>
    <t>049122</t>
  </si>
  <si>
    <t>Eastwood Local SD (050674, Wood County)</t>
  </si>
  <si>
    <t>050674</t>
  </si>
  <si>
    <t>Eaton Community Schools City S (043935, Preble County)</t>
  </si>
  <si>
    <t>043935</t>
  </si>
  <si>
    <t>Edgerton Local SD (050617, Williams County)</t>
  </si>
  <si>
    <t>050617</t>
  </si>
  <si>
    <t>Edgewood City SD (046094, Butler County)</t>
  </si>
  <si>
    <t>046094</t>
  </si>
  <si>
    <t>Edison Local SD (047795, Jefferson County)</t>
  </si>
  <si>
    <t>047795</t>
  </si>
  <si>
    <t>Edon-Northwest Local SD (050625, Williams County)</t>
  </si>
  <si>
    <t>050625</t>
  </si>
  <si>
    <t>Elgin Local SD (048413, Marion County)</t>
  </si>
  <si>
    <t>048413</t>
  </si>
  <si>
    <t>Elida Local SD (045773, Allen County)</t>
  </si>
  <si>
    <t>045773</t>
  </si>
  <si>
    <t>Elmwood Local SD (050682, Wood County)</t>
  </si>
  <si>
    <t>050682</t>
  </si>
  <si>
    <t>Elyria City SD (043943, Lorain County)</t>
  </si>
  <si>
    <t>043943</t>
  </si>
  <si>
    <t>Euclid City SD (043950, Cuyahoga County)</t>
  </si>
  <si>
    <t>043950</t>
  </si>
  <si>
    <t>Evergreen Local SD (047050, Fulton County)</t>
  </si>
  <si>
    <t>047050</t>
  </si>
  <si>
    <t>Fairbanks Local SD (050328, Union County)</t>
  </si>
  <si>
    <t>050328</t>
  </si>
  <si>
    <t>Fairborn Schools City SD (043968, Greene County)</t>
  </si>
  <si>
    <t>043968</t>
  </si>
  <si>
    <t>Fairfield City SD (046102, Butler County)</t>
  </si>
  <si>
    <t>046102</t>
  </si>
  <si>
    <t>Fairfield Local SD (047621, Highland County)</t>
  </si>
  <si>
    <t>047621</t>
  </si>
  <si>
    <t>Fairfield Union Local SD (046870, Fairfield County)</t>
  </si>
  <si>
    <t>046870</t>
  </si>
  <si>
    <t>Fairland Local SD (047936, Lawrence County)</t>
  </si>
  <si>
    <t>047936</t>
  </si>
  <si>
    <t>Fairlawn Local SD (049775, Shelby County)</t>
  </si>
  <si>
    <t>049775</t>
  </si>
  <si>
    <t>Fairless Local SD (049841, Stark County)</t>
  </si>
  <si>
    <t>049841</t>
  </si>
  <si>
    <t>Fairport Harbor Ex Vill SD (045369, Lake County)</t>
  </si>
  <si>
    <t>045369</t>
  </si>
  <si>
    <t>Fairview Park City SD (043976, Cuyahoga County)</t>
  </si>
  <si>
    <t>043976</t>
  </si>
  <si>
    <t>Fayette Local SD (047068, Fulton County)</t>
  </si>
  <si>
    <t>047068</t>
  </si>
  <si>
    <t>Fayetteville-Perry Local SD (046045, Brown County)</t>
  </si>
  <si>
    <t>046045</t>
  </si>
  <si>
    <t>Federal Hocking Local SD (045914, Athens County)</t>
  </si>
  <si>
    <t>045914</t>
  </si>
  <si>
    <t>Felicity-Franklin Schools Loca (046334, Clermont County)</t>
  </si>
  <si>
    <t>046334</t>
  </si>
  <si>
    <t>Field Local SD (049197, Portage County)</t>
  </si>
  <si>
    <t>049197</t>
  </si>
  <si>
    <t>Findlay City SD (043984, Hancock County)</t>
  </si>
  <si>
    <t>043984</t>
  </si>
  <si>
    <t>Finneytown Local SD (047332, Hamilton County)</t>
  </si>
  <si>
    <t>047332</t>
  </si>
  <si>
    <t>Firelands Local SD (048157, Lorain County)</t>
  </si>
  <si>
    <t>048157</t>
  </si>
  <si>
    <t>Forest Hills Local SD (047340, Hamilton County)</t>
  </si>
  <si>
    <t>047340</t>
  </si>
  <si>
    <t>Fort Frye Local SD (050484, Washington County)</t>
  </si>
  <si>
    <t>050484</t>
  </si>
  <si>
    <t>Fort Loramie Local SD (049783, Shelby County)</t>
  </si>
  <si>
    <t>049783</t>
  </si>
  <si>
    <t>Fort Recovery Local SD (048595, Mercer County)</t>
  </si>
  <si>
    <t>048595</t>
  </si>
  <si>
    <t>Fostoria City SD (043992, Seneca County)</t>
  </si>
  <si>
    <t>043992</t>
  </si>
  <si>
    <t>Franklin City SD (044008, Warren County)</t>
  </si>
  <si>
    <t>044008</t>
  </si>
  <si>
    <t>Franklin Local SD (048843, Muskingum County)</t>
  </si>
  <si>
    <t>048843</t>
  </si>
  <si>
    <t>Franklin Monroe Local SD (046649, Darke County)</t>
  </si>
  <si>
    <t>046649</t>
  </si>
  <si>
    <t>Fredericktown Local SD (047852, Knox County)</t>
  </si>
  <si>
    <t>047852</t>
  </si>
  <si>
    <t>Fremont City City SD (044016, Sandusky County)</t>
  </si>
  <si>
    <t>044016</t>
  </si>
  <si>
    <t>Frontier Local SD (050492, Washington County)</t>
  </si>
  <si>
    <t>050492</t>
  </si>
  <si>
    <t>Gahanna-Jefferson City SD (046961, Franklin County)</t>
  </si>
  <si>
    <t>046961</t>
  </si>
  <si>
    <t>Galion City SD (044024, Crawford County)</t>
  </si>
  <si>
    <t>044024</t>
  </si>
  <si>
    <t>Gallia County Local SD (065680, Gallia County)</t>
  </si>
  <si>
    <t>065680</t>
  </si>
  <si>
    <t>Gallipolis City SD (044032, Gallia County)</t>
  </si>
  <si>
    <t>044032</t>
  </si>
  <si>
    <t>Garaway Local SD (050278, Tuscarawas County)</t>
  </si>
  <si>
    <t>050278</t>
  </si>
  <si>
    <t>Garfield Heights City SD (044040, Cuyahoga County)</t>
  </si>
  <si>
    <t>044040</t>
  </si>
  <si>
    <t>Geneva Schools City SD (044057, Ashtabula County)</t>
  </si>
  <si>
    <t>044057</t>
  </si>
  <si>
    <t>Genoa Area Local SD (048942, Ottawa County)</t>
  </si>
  <si>
    <t>048942</t>
  </si>
  <si>
    <t>Georgetown Ex Vill SD (045377, Brown County)</t>
  </si>
  <si>
    <t>045377</t>
  </si>
  <si>
    <t>Gibsonburg Ex Vill SD (045385, Sandusky County)</t>
  </si>
  <si>
    <t>045385</t>
  </si>
  <si>
    <t>Girard City SD (044065, Trumbull County)</t>
  </si>
  <si>
    <t>044065</t>
  </si>
  <si>
    <t>Goshen Local SD (046342, Clermont County)</t>
  </si>
  <si>
    <t>046342</t>
  </si>
  <si>
    <t>Graham Local SD (046193, Champaign County)</t>
  </si>
  <si>
    <t>046193</t>
  </si>
  <si>
    <t>Grand Valley Local SD (045864, Ashtabula County)</t>
  </si>
  <si>
    <t>045864</t>
  </si>
  <si>
    <t>Grandview Heights City SD (044073, Franklin County)</t>
  </si>
  <si>
    <t>044073</t>
  </si>
  <si>
    <t>Granville Ex Vill SD (045393, Licking County)</t>
  </si>
  <si>
    <t>045393</t>
  </si>
  <si>
    <t>Green Local SD (049619, Scioto County)</t>
  </si>
  <si>
    <t>049619</t>
  </si>
  <si>
    <t>Green Local SD (050013, Summit County)</t>
  </si>
  <si>
    <t>050013</t>
  </si>
  <si>
    <t>Green Local SD (050559, Wayne County)</t>
  </si>
  <si>
    <t>050559</t>
  </si>
  <si>
    <t>Greeneview Local SD (047266, Greene County)</t>
  </si>
  <si>
    <t>047266</t>
  </si>
  <si>
    <t>Greenfield Ex Vill SD (045401, Highland County)</t>
  </si>
  <si>
    <t>045401</t>
  </si>
  <si>
    <t>Greenon Local SD (046235, Clark County)</t>
  </si>
  <si>
    <t>046235</t>
  </si>
  <si>
    <t>Greenville City SD (044099, Darke County)</t>
  </si>
  <si>
    <t>044099</t>
  </si>
  <si>
    <t>Groveport Madison Local SD (046979, Franklin County)</t>
  </si>
  <si>
    <t>046979</t>
  </si>
  <si>
    <t>Hamilton City SD (044107, Butler County)</t>
  </si>
  <si>
    <t>044107</t>
  </si>
  <si>
    <t>Hamilton Local Local SD (046953, Franklin County)</t>
  </si>
  <si>
    <t>046953</t>
  </si>
  <si>
    <t>Hardin Northern Local SD (047498, Hardin County)</t>
  </si>
  <si>
    <t>047498</t>
  </si>
  <si>
    <t>Hardin-Houston Local SD (049791, Shelby County)</t>
  </si>
  <si>
    <t>049791</t>
  </si>
  <si>
    <t>Harrison Hills City SD (045245, Harrison County)</t>
  </si>
  <si>
    <t>045245</t>
  </si>
  <si>
    <t>Heath City SD (044115, Licking County)</t>
  </si>
  <si>
    <t>044115</t>
  </si>
  <si>
    <t>Hicksville Ex Vill SD (045419, Defiance County)</t>
  </si>
  <si>
    <t>045419</t>
  </si>
  <si>
    <t>Highland Local SD (048496, Medina County)</t>
  </si>
  <si>
    <t>048496</t>
  </si>
  <si>
    <t>Highland Local SD (048801, Morrow County)</t>
  </si>
  <si>
    <t>048801</t>
  </si>
  <si>
    <t>Hilliard City SD (047019, Franklin County)</t>
  </si>
  <si>
    <t>047019</t>
  </si>
  <si>
    <t>Hillsboro City SD (044123, Highland County)</t>
  </si>
  <si>
    <t>044123</t>
  </si>
  <si>
    <t>Hillsdale Local SD (045823, Ashland County)</t>
  </si>
  <si>
    <t>045823</t>
  </si>
  <si>
    <t>Holgate Local SD (047571, Henry County)</t>
  </si>
  <si>
    <t>047571</t>
  </si>
  <si>
    <t>Hopewell-Loudon Local SD (049700, Seneca County)</t>
  </si>
  <si>
    <t>049700</t>
  </si>
  <si>
    <t>Howland Local SD (050161, Trumbull County)</t>
  </si>
  <si>
    <t>050161</t>
  </si>
  <si>
    <t>Hubbard Ex Vill SD (045427, Trumbull County)</t>
  </si>
  <si>
    <t>045427</t>
  </si>
  <si>
    <t>Huber Heights City SD (048751, Montgomery County)</t>
  </si>
  <si>
    <t>048751</t>
  </si>
  <si>
    <t>Hudson City SD (050021, Summit County)</t>
  </si>
  <si>
    <t>050021</t>
  </si>
  <si>
    <t>Huntington Local SD (049502, Ross County)</t>
  </si>
  <si>
    <t>049502</t>
  </si>
  <si>
    <t>Huron City City SD (044131, Erie County)</t>
  </si>
  <si>
    <t>044131</t>
  </si>
  <si>
    <t>Independence Local SD (046565, Cuyahoga County)</t>
  </si>
  <si>
    <t>046565</t>
  </si>
  <si>
    <t>Indian Creek Local Local SD (047803, Jefferson County)</t>
  </si>
  <si>
    <t>047803</t>
  </si>
  <si>
    <t>Indian Hill Ex Vill SD (045435, Hamilton County)</t>
  </si>
  <si>
    <t>045435</t>
  </si>
  <si>
    <t>Indian Lake Local SD (048082, Logan County)</t>
  </si>
  <si>
    <t>048082</t>
  </si>
  <si>
    <t>Indian Valley Schools Local SD (050286, Tuscarawas County)</t>
  </si>
  <si>
    <t>050286</t>
  </si>
  <si>
    <t>Ironton City SD (044149, Lawrence County)</t>
  </si>
  <si>
    <t>044149</t>
  </si>
  <si>
    <t>Jackson Center Local SD (049809, Shelby County)</t>
  </si>
  <si>
    <t>049809</t>
  </si>
  <si>
    <t>Jackson City SD (044156, Jackson County)</t>
  </si>
  <si>
    <t>044156</t>
  </si>
  <si>
    <t>Jackson Local SD (049858, Stark County)</t>
  </si>
  <si>
    <t>049858</t>
  </si>
  <si>
    <t>Jackson-Milton Local SD (048322, Mahoning County)</t>
  </si>
  <si>
    <t>048322</t>
  </si>
  <si>
    <t>James A Garfield Local SD (049205, Portage County)</t>
  </si>
  <si>
    <t>049205</t>
  </si>
  <si>
    <t>Jefferson Area Local SD (045872, Ashtabula County)</t>
  </si>
  <si>
    <t>045872</t>
  </si>
  <si>
    <t>Jefferson Local SD (048256, Madison County)</t>
  </si>
  <si>
    <t>048256</t>
  </si>
  <si>
    <t>Jefferson Township Local SD (048686, Montgomery County)</t>
  </si>
  <si>
    <t>048686</t>
  </si>
  <si>
    <t>Jennings Local SD (049338, Putnam County)</t>
  </si>
  <si>
    <t>049338</t>
  </si>
  <si>
    <t>Johnstown-Monroe Local SD (047985, Licking County)</t>
  </si>
  <si>
    <t>047985</t>
  </si>
  <si>
    <t>Jonathan Alder Local SD (048264, Madison County)</t>
  </si>
  <si>
    <t>048264</t>
  </si>
  <si>
    <t>Joseph Badger Local SD (050179, Trumbull County)</t>
  </si>
  <si>
    <t>050179</t>
  </si>
  <si>
    <t>Kalida Local SD (049346, Putnam County)</t>
  </si>
  <si>
    <t>049346</t>
  </si>
  <si>
    <t>Kelleys Island Local SD (046797, Erie County)</t>
  </si>
  <si>
    <t>046797</t>
  </si>
  <si>
    <t>Kenston Local SD (047191, Geauga County)</t>
  </si>
  <si>
    <t>047191</t>
  </si>
  <si>
    <t>Kent City SD (044164, Portage County)</t>
  </si>
  <si>
    <t>044164</t>
  </si>
  <si>
    <t>Kenton City SD (044172, Hardin County)</t>
  </si>
  <si>
    <t>044172</t>
  </si>
  <si>
    <t>Kettering City SD (044180, Montgomery County)</t>
  </si>
  <si>
    <t>044180</t>
  </si>
  <si>
    <t>Keystone Local SD (048165, Lorain County)</t>
  </si>
  <si>
    <t>048165</t>
  </si>
  <si>
    <t>Kings Local SD (050435, Warren County)</t>
  </si>
  <si>
    <t>050435</t>
  </si>
  <si>
    <t>Kirtland Local SD (047878, Lake County)</t>
  </si>
  <si>
    <t>047878</t>
  </si>
  <si>
    <t>LaBrae Local SD (050245, Trumbull County)</t>
  </si>
  <si>
    <t>050245</t>
  </si>
  <si>
    <t>Lake Local SD (049866, Stark County)</t>
  </si>
  <si>
    <t>049866</t>
  </si>
  <si>
    <t>Lake Local SD (050690, Wood County)</t>
  </si>
  <si>
    <t>050690</t>
  </si>
  <si>
    <t>Lakeview Local SD (050187, Trumbull County)</t>
  </si>
  <si>
    <t>050187</t>
  </si>
  <si>
    <t>Lakewood City SD (044198, Cuyahoga County)</t>
  </si>
  <si>
    <t>044198</t>
  </si>
  <si>
    <t>Lakewood Local Local SD (047993, Licking County)</t>
  </si>
  <si>
    <t>047993</t>
  </si>
  <si>
    <t>Lakota Local SD (046110, Butler County)</t>
  </si>
  <si>
    <t>046110</t>
  </si>
  <si>
    <t>Lakota Local SD (049569, Sandusky County)</t>
  </si>
  <si>
    <t>049569</t>
  </si>
  <si>
    <t>Lancaster City SD (044206, Fairfield County)</t>
  </si>
  <si>
    <t>044206</t>
  </si>
  <si>
    <t>Lebanon City SD (044214, Warren County)</t>
  </si>
  <si>
    <t>044214</t>
  </si>
  <si>
    <t>Ledgemont Local SD (047209, Geauga County)</t>
  </si>
  <si>
    <t>047209</t>
  </si>
  <si>
    <t>Leetonia Schools Ex Vill SD (045443, Columbiana County)</t>
  </si>
  <si>
    <t>045443</t>
  </si>
  <si>
    <t>Leipsic Local SD (049353, Putnam County)</t>
  </si>
  <si>
    <t>049353</t>
  </si>
  <si>
    <t>Lexington Local SD (049437, Richland County)</t>
  </si>
  <si>
    <t>049437</t>
  </si>
  <si>
    <t>Liberty Center Local SD (047589, Henry County)</t>
  </si>
  <si>
    <t>047589</t>
  </si>
  <si>
    <t>Liberty Local SD (050195, Trumbull County)</t>
  </si>
  <si>
    <t>050195</t>
  </si>
  <si>
    <t>Liberty Union-Thurston Local S (046888, Fairfield County)</t>
  </si>
  <si>
    <t>046888</t>
  </si>
  <si>
    <t>Liberty-Benton Local SD (047449, Hancock County)</t>
  </si>
  <si>
    <t>047449</t>
  </si>
  <si>
    <t>Licking Heights Local SD (048009, Licking County)</t>
  </si>
  <si>
    <t>048009</t>
  </si>
  <si>
    <t>Licking Valley Local SD (048017, Licking County)</t>
  </si>
  <si>
    <t>048017</t>
  </si>
  <si>
    <t>Lima City SD (044222, Allen County)</t>
  </si>
  <si>
    <t>044222</t>
  </si>
  <si>
    <t>Lincolnview Local SD (050369, Van Wert County)</t>
  </si>
  <si>
    <t>050369</t>
  </si>
  <si>
    <t>Lisbon Ex Vill SD (045450, Columbiana County)</t>
  </si>
  <si>
    <t>045450</t>
  </si>
  <si>
    <t>Little Miami Local SD (050443, Warren County)</t>
  </si>
  <si>
    <t>050443</t>
  </si>
  <si>
    <t>Lockland Local SD (044230, Hamilton County)</t>
  </si>
  <si>
    <t>044230</t>
  </si>
  <si>
    <t>Logan Elm Local SD (049080, Pickaway County)</t>
  </si>
  <si>
    <t>049080</t>
  </si>
  <si>
    <t>Logan-Hocking Local SD (044248, Hocking County)</t>
  </si>
  <si>
    <t>044248</t>
  </si>
  <si>
    <t>London City SD (044255, Madison County)</t>
  </si>
  <si>
    <t>044255</t>
  </si>
  <si>
    <t>Lorain City SD (044263, Lorain County)</t>
  </si>
  <si>
    <t>044263</t>
  </si>
  <si>
    <t>Lordstown Local SD (050203, Trumbull County)</t>
  </si>
  <si>
    <t>050203</t>
  </si>
  <si>
    <t>Loudonville-Perrysville Ex Vil (045468, Ashland County)</t>
  </si>
  <si>
    <t>045468</t>
  </si>
  <si>
    <t>Louisville City SD (049874, Stark County)</t>
  </si>
  <si>
    <t>049874</t>
  </si>
  <si>
    <t>Loveland City SD (044271, Hamilton County)</t>
  </si>
  <si>
    <t>044271</t>
  </si>
  <si>
    <t>Lowellville Local SD (048330, Mahoning County)</t>
  </si>
  <si>
    <t>048330</t>
  </si>
  <si>
    <t>Lucas Local Local SD (049445, Richland County)</t>
  </si>
  <si>
    <t>049445</t>
  </si>
  <si>
    <t>Lynchburg-Clay Local SD (047639, Highland County)</t>
  </si>
  <si>
    <t>047639</t>
  </si>
  <si>
    <t>Mad River Local SD (048702, Montgomery County)</t>
  </si>
  <si>
    <t>048702</t>
  </si>
  <si>
    <t>Madeira City SD (044289, Hamilton County)</t>
  </si>
  <si>
    <t>044289</t>
  </si>
  <si>
    <t>Madison Local SD (046128, Butler County)</t>
  </si>
  <si>
    <t>046128</t>
  </si>
  <si>
    <t>Madison Local SD (047886, Lake County)</t>
  </si>
  <si>
    <t>047886</t>
  </si>
  <si>
    <t>Madison Local SD (049452, Richland County)</t>
  </si>
  <si>
    <t>049452</t>
  </si>
  <si>
    <t>Madison-Plains Local SD (048272, Madison County)</t>
  </si>
  <si>
    <t>048272</t>
  </si>
  <si>
    <t>Manchester Local Local SD (000442, Adams County)</t>
  </si>
  <si>
    <t>000442</t>
  </si>
  <si>
    <t>Manchester Local SD (050005, Summit County)</t>
  </si>
  <si>
    <t>050005</t>
  </si>
  <si>
    <t>Mansfield City SD (044297, Richland County)</t>
  </si>
  <si>
    <t>044297</t>
  </si>
  <si>
    <t>Maple Heights City SD (044305, Cuyahoga County)</t>
  </si>
  <si>
    <t>044305</t>
  </si>
  <si>
    <t>Mapleton Local SD (045831, Ashland County)</t>
  </si>
  <si>
    <t>045831</t>
  </si>
  <si>
    <t>Maplewood Local SD (050211, Trumbull County)</t>
  </si>
  <si>
    <t>050211</t>
  </si>
  <si>
    <t>Margaretta Local SD (046805, Erie County)</t>
  </si>
  <si>
    <t>046805</t>
  </si>
  <si>
    <t>Mariemont City SD (044313, Hamilton County)</t>
  </si>
  <si>
    <t>044313</t>
  </si>
  <si>
    <t>Marietta City SD (044321, Washington County)</t>
  </si>
  <si>
    <t>044321</t>
  </si>
  <si>
    <t>Marion City SD (044339, Marion County)</t>
  </si>
  <si>
    <t>044339</t>
  </si>
  <si>
    <t>Marion Local SD (048553, Mercer County)</t>
  </si>
  <si>
    <t>048553</t>
  </si>
  <si>
    <t>Marlington Local SD (049882, Stark County)</t>
  </si>
  <si>
    <t>049882</t>
  </si>
  <si>
    <t>Martins Ferry City SD (044347, Belmont County)</t>
  </si>
  <si>
    <t>044347</t>
  </si>
  <si>
    <t>Marysville Ex Vill SD (045476, Union County)</t>
  </si>
  <si>
    <t>045476</t>
  </si>
  <si>
    <t>Mason City City SD (050450, Warren County)</t>
  </si>
  <si>
    <t>050450</t>
  </si>
  <si>
    <t>Massillon City SD (044354, Stark County)</t>
  </si>
  <si>
    <t>044354</t>
  </si>
  <si>
    <t>Mathews Local SD (050153, Trumbull County)</t>
  </si>
  <si>
    <t>050153</t>
  </si>
  <si>
    <t>Maumee City SD (044362, Lucas County)</t>
  </si>
  <si>
    <t>044362</t>
  </si>
  <si>
    <t>Mayfield City SD (044370, Cuyahoga County)</t>
  </si>
  <si>
    <t>044370</t>
  </si>
  <si>
    <t>Maysville Local SD (048850, Muskingum County)</t>
  </si>
  <si>
    <t>048850</t>
  </si>
  <si>
    <t>McComb Local Local SD (047456, Hancock County)</t>
  </si>
  <si>
    <t>047456</t>
  </si>
  <si>
    <t>McDonald Local SD (050229, Trumbull County)</t>
  </si>
  <si>
    <t>050229</t>
  </si>
  <si>
    <t>Mechanicsburg Ex Vill SD (045484, Champaign County)</t>
  </si>
  <si>
    <t>045484</t>
  </si>
  <si>
    <t>Medina City SD (044388, Medina County)</t>
  </si>
  <si>
    <t>044388</t>
  </si>
  <si>
    <t>Meigs Local SD (048520, Meigs County)</t>
  </si>
  <si>
    <t>048520</t>
  </si>
  <si>
    <t>Mentor Ex Vill SD (045492, Lake County)</t>
  </si>
  <si>
    <t>045492</t>
  </si>
  <si>
    <t>Miami East Local SD (048629, Miami County)</t>
  </si>
  <si>
    <t>048629</t>
  </si>
  <si>
    <t>Miami Trace Local SD (046920, Fayette County)</t>
  </si>
  <si>
    <t>046920</t>
  </si>
  <si>
    <t>Miamisburg City SD (044396, Montgomery County)</t>
  </si>
  <si>
    <t>044396</t>
  </si>
  <si>
    <t>Middle Bass Local SD (048959, Ottawa County)</t>
  </si>
  <si>
    <t>048959</t>
  </si>
  <si>
    <t>Middletown City SD (044404, Butler County)</t>
  </si>
  <si>
    <t>044404</t>
  </si>
  <si>
    <t>Midview Local SD (048173, Lorain County)</t>
  </si>
  <si>
    <t>048173</t>
  </si>
  <si>
    <t>Milford Ex Vill SD (045500, Clermont County)</t>
  </si>
  <si>
    <t>045500</t>
  </si>
  <si>
    <t>Millcreek-West Unity Local SD (050633, Williams County)</t>
  </si>
  <si>
    <t>050633</t>
  </si>
  <si>
    <t>Miller City-New Cleveland Loca (049361, Putnam County)</t>
  </si>
  <si>
    <t>049361</t>
  </si>
  <si>
    <t>Milton-Union Ex Vill SD (045518, Miami County)</t>
  </si>
  <si>
    <t>045518</t>
  </si>
  <si>
    <t>Minerva Local SD (049890, Stark County)</t>
  </si>
  <si>
    <t>049890</t>
  </si>
  <si>
    <t>Minford Local SD (049627, Scioto County)</t>
  </si>
  <si>
    <t>049627</t>
  </si>
  <si>
    <t>Minster Local SD (045948, Auglaize County)</t>
  </si>
  <si>
    <t>045948</t>
  </si>
  <si>
    <t>Mississinawa Valley Local SD (046672, Darke County)</t>
  </si>
  <si>
    <t>046672</t>
  </si>
  <si>
    <t>Mogadore Local SD (050039, Summit County)</t>
  </si>
  <si>
    <t>050039</t>
  </si>
  <si>
    <t>Mohawk Local SD (050740, Wyandot County)</t>
  </si>
  <si>
    <t>050740</t>
  </si>
  <si>
    <t>Monroe Local SD (139303, Butler County)</t>
  </si>
  <si>
    <t>139303</t>
  </si>
  <si>
    <t>Monroeville Local SD (047712, Huron County)</t>
  </si>
  <si>
    <t>047712</t>
  </si>
  <si>
    <t>Montpelier Ex Vill SD (045526, Williams County)</t>
  </si>
  <si>
    <t>045526</t>
  </si>
  <si>
    <t>Morgan Local SD (048777, Morgan County)</t>
  </si>
  <si>
    <t>048777</t>
  </si>
  <si>
    <t>Mount Gilead Schools Ex Vill S (045534, Morrow County)</t>
  </si>
  <si>
    <t>045534</t>
  </si>
  <si>
    <t>Mount Vernon City SD (044420, Knox County)</t>
  </si>
  <si>
    <t>044420</t>
  </si>
  <si>
    <t>Mt Healthy City SD (044412, Hamilton County)</t>
  </si>
  <si>
    <t>044412</t>
  </si>
  <si>
    <t>Napoleon Area City SD (044438, Henry County)</t>
  </si>
  <si>
    <t>044438</t>
  </si>
  <si>
    <t>National Trail Local SD (049270, Preble County)</t>
  </si>
  <si>
    <t>049270</t>
  </si>
  <si>
    <t>Nelsonville-York City SD (044446, Athens County)</t>
  </si>
  <si>
    <t>044446</t>
  </si>
  <si>
    <t>New Albany-Plain Local Local S (046995, Franklin County)</t>
  </si>
  <si>
    <t>046995</t>
  </si>
  <si>
    <t>New Boston Local SD (044461, Scioto County)</t>
  </si>
  <si>
    <t>044461</t>
  </si>
  <si>
    <t>New Bremen Local SD (045955, Auglaize County)</t>
  </si>
  <si>
    <t>045955</t>
  </si>
  <si>
    <t>New Knoxville Local SD (045963, Auglaize County)</t>
  </si>
  <si>
    <t>045963</t>
  </si>
  <si>
    <t>New Lebanon Local SD (048710, Montgomery County)</t>
  </si>
  <si>
    <t>048710</t>
  </si>
  <si>
    <t>New Lexington City SD (044479, Perry County)</t>
  </si>
  <si>
    <t>044479</t>
  </si>
  <si>
    <t>New London Local SD (047720, Huron County)</t>
  </si>
  <si>
    <t>047720</t>
  </si>
  <si>
    <t>New Miami Local SD (046136, Butler County)</t>
  </si>
  <si>
    <t>046136</t>
  </si>
  <si>
    <t>New Philadelphia City SD (044487, Tuscarawas County)</t>
  </si>
  <si>
    <t>044487</t>
  </si>
  <si>
    <t>New Richmond Ex Vill SD (045559, Clermont County)</t>
  </si>
  <si>
    <t>045559</t>
  </si>
  <si>
    <t>New Riegel Local SD (049718, Seneca County)</t>
  </si>
  <si>
    <t>049718</t>
  </si>
  <si>
    <t>Newark City SD (044453, Licking County)</t>
  </si>
  <si>
    <t>044453</t>
  </si>
  <si>
    <t>Newbury Local SD (047217, Geauga County)</t>
  </si>
  <si>
    <t>047217</t>
  </si>
  <si>
    <t>Newcomerstown Ex Vill SD (045542, Tuscarawas County)</t>
  </si>
  <si>
    <t>045542</t>
  </si>
  <si>
    <t>Newton Falls Ex Vill SD (045567, Trumbull County)</t>
  </si>
  <si>
    <t>045567</t>
  </si>
  <si>
    <t>Newton Local SD (048637, Miami County)</t>
  </si>
  <si>
    <t>048637</t>
  </si>
  <si>
    <t>Niles City SD (044495, Trumbull County)</t>
  </si>
  <si>
    <t>044495</t>
  </si>
  <si>
    <t>Noble Local SD (048900, Noble County)</t>
  </si>
  <si>
    <t>048900</t>
  </si>
  <si>
    <t>Nordonia Hills City SD (050047, Summit County)</t>
  </si>
  <si>
    <t>050047</t>
  </si>
  <si>
    <t>North Baltimore Local SD (050708, Wood County)</t>
  </si>
  <si>
    <t>050708</t>
  </si>
  <si>
    <t>North Bass Local SD (048967, Ottawa County)</t>
  </si>
  <si>
    <t>048967</t>
  </si>
  <si>
    <t>North Canton City SD (044503, Stark County)</t>
  </si>
  <si>
    <t>044503</t>
  </si>
  <si>
    <t>North Central Local SD (050641, Williams County)</t>
  </si>
  <si>
    <t>050641</t>
  </si>
  <si>
    <t>North College Hill City SD (044511, Hamilton County)</t>
  </si>
  <si>
    <t>044511</t>
  </si>
  <si>
    <t>North Fork Local SD (048025, Licking County)</t>
  </si>
  <si>
    <t>048025</t>
  </si>
  <si>
    <t>North Olmsted City SD (044529, Cuyahoga County)</t>
  </si>
  <si>
    <t>044529</t>
  </si>
  <si>
    <t>North Ridgeville City SD (044537, Lorain County)</t>
  </si>
  <si>
    <t>044537</t>
  </si>
  <si>
    <t>North Royalton City SD (044545, Cuyahoga County)</t>
  </si>
  <si>
    <t>044545</t>
  </si>
  <si>
    <t>North Union Local SD (050336, Union County)</t>
  </si>
  <si>
    <t>050336</t>
  </si>
  <si>
    <t>Northeastern Local SD (046250, Clark County)</t>
  </si>
  <si>
    <t>046250</t>
  </si>
  <si>
    <t>Northeastern Local SD (046722, Defiance County)</t>
  </si>
  <si>
    <t>046722</t>
  </si>
  <si>
    <t>Northern Local SD (049056, Perry County)</t>
  </si>
  <si>
    <t>049056</t>
  </si>
  <si>
    <t>Northmont City SD (048728, Montgomery County)</t>
  </si>
  <si>
    <t>048728</t>
  </si>
  <si>
    <t>Northmor Local SD (048819, Morrow County)</t>
  </si>
  <si>
    <t>048819</t>
  </si>
  <si>
    <t>Northridge Local SD (048033, Licking County)</t>
  </si>
  <si>
    <t>048033</t>
  </si>
  <si>
    <t>Northridge Local SD (048736, Montgomery County)</t>
  </si>
  <si>
    <t>048736</t>
  </si>
  <si>
    <t>Northwest Local SD (047365, Hamilton County)</t>
  </si>
  <si>
    <t>047365</t>
  </si>
  <si>
    <t>Northwest Local SD (049635, Scioto County)</t>
  </si>
  <si>
    <t>049635</t>
  </si>
  <si>
    <t>Northwest Local SD (049908, Stark County)</t>
  </si>
  <si>
    <t>049908</t>
  </si>
  <si>
    <t>Northwestern Local SD (046268, Clark County)</t>
  </si>
  <si>
    <t>046268</t>
  </si>
  <si>
    <t>Northwestern Local SD (050575, Wayne County)</t>
  </si>
  <si>
    <t>050575</t>
  </si>
  <si>
    <t>Northwood Local SD (050716, Wood County)</t>
  </si>
  <si>
    <t>050716</t>
  </si>
  <si>
    <t>Norton City SD (044552, Summit County)</t>
  </si>
  <si>
    <t>044552</t>
  </si>
  <si>
    <t>Norwalk City SD (044560, Huron County)</t>
  </si>
  <si>
    <t>044560</t>
  </si>
  <si>
    <t>Norwayne Local SD (050567, Wayne County)</t>
  </si>
  <si>
    <t>050567</t>
  </si>
  <si>
    <t>Norwood City Schools City SD (044578, Hamilton County)</t>
  </si>
  <si>
    <t>044578</t>
  </si>
  <si>
    <t>Oak Hill Union Local SD (047761, Jackson County)</t>
  </si>
  <si>
    <t>047761</t>
  </si>
  <si>
    <t>Oak Hills Local SD (047373, Hamilton County)</t>
  </si>
  <si>
    <t>047373</t>
  </si>
  <si>
    <t>Oakwood City SD (044586, Montgomery County)</t>
  </si>
  <si>
    <t>044586</t>
  </si>
  <si>
    <t>Oberlin City SD (044594, Lorain County)</t>
  </si>
  <si>
    <t>044594</t>
  </si>
  <si>
    <t>Old Fort Local SD (049726, Seneca County)</t>
  </si>
  <si>
    <t>049726</t>
  </si>
  <si>
    <t>Olentangy Local SD (046763, Delaware County)</t>
  </si>
  <si>
    <t>046763</t>
  </si>
  <si>
    <t>Olmsted Falls City SD (046573, Cuyahoga County)</t>
  </si>
  <si>
    <t>046573</t>
  </si>
  <si>
    <t>Ontario Local SD (049478, Richland County)</t>
  </si>
  <si>
    <t>049478</t>
  </si>
  <si>
    <t>Orange City SD (046581, Cuyahoga County)</t>
  </si>
  <si>
    <t>046581</t>
  </si>
  <si>
    <t>Oregon City SD (044602, Lucas County)</t>
  </si>
  <si>
    <t>044602</t>
  </si>
  <si>
    <t>Orrville City SD (044610, Wayne County)</t>
  </si>
  <si>
    <t>044610</t>
  </si>
  <si>
    <t>Osnaburg Local SD (049916, Stark County)</t>
  </si>
  <si>
    <t>049916</t>
  </si>
  <si>
    <t>Otsego Local SD (050724, Wood County)</t>
  </si>
  <si>
    <t>050724</t>
  </si>
  <si>
    <t>Ottawa Hills Local SD (048215, Lucas County)</t>
  </si>
  <si>
    <t>048215</t>
  </si>
  <si>
    <t>Ottawa-Glandorf Local SD (049379, Putnam County)</t>
  </si>
  <si>
    <t>049379</t>
  </si>
  <si>
    <t>Ottoville Local SD (049387, Putnam County)</t>
  </si>
  <si>
    <t>049387</t>
  </si>
  <si>
    <t>Painesville City Local SD (044628, Lake County)</t>
  </si>
  <si>
    <t>044628</t>
  </si>
  <si>
    <t>Paint Valley Local SD (049510, Ross County)</t>
  </si>
  <si>
    <t>049510</t>
  </si>
  <si>
    <t>Pandora-Gilboa Local SD (049395, Putnam County)</t>
  </si>
  <si>
    <t>049395</t>
  </si>
  <si>
    <t>Parkway Local SD (048579, Mercer County)</t>
  </si>
  <si>
    <t>048579</t>
  </si>
  <si>
    <t>Parma City SD (044636, Cuyahoga County)</t>
  </si>
  <si>
    <t>044636</t>
  </si>
  <si>
    <t>Patrick Henry Local SD (047597, Henry County)</t>
  </si>
  <si>
    <t>047597</t>
  </si>
  <si>
    <t>Paulding Ex Vill SD (045575, Paulding County)</t>
  </si>
  <si>
    <t>045575</t>
  </si>
  <si>
    <t>Perkins Local SD (046813, Erie County)</t>
  </si>
  <si>
    <t>046813</t>
  </si>
  <si>
    <t>Perry Local SD (045781, Allen County)</t>
  </si>
  <si>
    <t>045781</t>
  </si>
  <si>
    <t>Perry Local SD (047902, Lake County)</t>
  </si>
  <si>
    <t>047902</t>
  </si>
  <si>
    <t>Perry Local SD (049924, Stark County)</t>
  </si>
  <si>
    <t>049924</t>
  </si>
  <si>
    <t>Perrysburg Ex Vill SD (045583, Wood County)</t>
  </si>
  <si>
    <t>045583</t>
  </si>
  <si>
    <t>Pettisville School Local SD (047076, Fulton County)</t>
  </si>
  <si>
    <t>047076</t>
  </si>
  <si>
    <t>Pickerington Local SD (046896, Fairfield County)</t>
  </si>
  <si>
    <t>046896</t>
  </si>
  <si>
    <t>Pike-Delta-York Local SD (047084, Fulton County)</t>
  </si>
  <si>
    <t>047084</t>
  </si>
  <si>
    <t>Piqua City SD (044644, Miami County)</t>
  </si>
  <si>
    <t>044644</t>
  </si>
  <si>
    <t>Plain Local SD (049932, Stark County)</t>
  </si>
  <si>
    <t>049932</t>
  </si>
  <si>
    <t>Pleasant Local SD (048421, Marion County)</t>
  </si>
  <si>
    <t>048421</t>
  </si>
  <si>
    <t>Plymouth-Shiloh Local SD (049460, Richland County)</t>
  </si>
  <si>
    <t>049460</t>
  </si>
  <si>
    <t>Poland Local SD (048348, Mahoning County)</t>
  </si>
  <si>
    <t>048348</t>
  </si>
  <si>
    <t>Port Clinton City SD (044651, Ottawa County)</t>
  </si>
  <si>
    <t>044651</t>
  </si>
  <si>
    <t>Portsmouth City SD (044669, Scioto County)</t>
  </si>
  <si>
    <t>044669</t>
  </si>
  <si>
    <t>Preble Shawnee Local SD (049288, Preble County)</t>
  </si>
  <si>
    <t>049288</t>
  </si>
  <si>
    <t>Princeton City SD (044677, Hamilton County)</t>
  </si>
  <si>
    <t>044677</t>
  </si>
  <si>
    <t>Put-In-Bay Local SD (048975, Ottawa County)</t>
  </si>
  <si>
    <t>048975</t>
  </si>
  <si>
    <t>Pymatuning Valley Local SD (045880, Ashtabula County)</t>
  </si>
  <si>
    <t>045880</t>
  </si>
  <si>
    <t>Ravenna City SD (044685, Portage County)</t>
  </si>
  <si>
    <t>044685</t>
  </si>
  <si>
    <t>Reading Community City SD (044693, Hamilton County)</t>
  </si>
  <si>
    <t>044693</t>
  </si>
  <si>
    <t>Revere Local SD (050054, Summit County)</t>
  </si>
  <si>
    <t>050054</t>
  </si>
  <si>
    <t>Reynoldsburg City SD (047001, Franklin County)</t>
  </si>
  <si>
    <t>047001</t>
  </si>
  <si>
    <t>Richmond Heights Local SD (046599, Cuyahoga County)</t>
  </si>
  <si>
    <t>046599</t>
  </si>
  <si>
    <t>Ridgedale Local SD (048439, Marion County)</t>
  </si>
  <si>
    <t>048439</t>
  </si>
  <si>
    <t>Ridgemont Local SD (047506, Hardin County)</t>
  </si>
  <si>
    <t>047506</t>
  </si>
  <si>
    <t>Ridgewood Local SD (046474, Coshocton County)</t>
  </si>
  <si>
    <t>046474</t>
  </si>
  <si>
    <t>Ripley-Union-Lewis-Huntington (046078, Brown County)</t>
  </si>
  <si>
    <t>046078</t>
  </si>
  <si>
    <t>Rittman Ex Vill SD (045591, Wayne County)</t>
  </si>
  <si>
    <t>045591</t>
  </si>
  <si>
    <t>River Valley Local SD (048447, Marion County)</t>
  </si>
  <si>
    <t>048447</t>
  </si>
  <si>
    <t>River View Local SD (046482, Coshocton County)</t>
  </si>
  <si>
    <t>046482</t>
  </si>
  <si>
    <t>Riverdale Local SD (047514, Hardin County)</t>
  </si>
  <si>
    <t>047514</t>
  </si>
  <si>
    <t>Riverside  Local Local SD (047894, Lake County)</t>
  </si>
  <si>
    <t>047894</t>
  </si>
  <si>
    <t>Riverside Local SD (048090, Logan County)</t>
  </si>
  <si>
    <t>048090</t>
  </si>
  <si>
    <t>Rock Hill Local SD (047944, Lawrence County)</t>
  </si>
  <si>
    <t>047944</t>
  </si>
  <si>
    <t>Rocky River City SD (044701, Cuyahoga County)</t>
  </si>
  <si>
    <t>044701</t>
  </si>
  <si>
    <t>Rolling Hills Local SD (047308, Guernsey County)</t>
  </si>
  <si>
    <t>047308</t>
  </si>
  <si>
    <t>Rootstown Local SD (049213, Portage County)</t>
  </si>
  <si>
    <t>049213</t>
  </si>
  <si>
    <t>Ross Local SD (046144, Butler County)</t>
  </si>
  <si>
    <t>046144</t>
  </si>
  <si>
    <t>Rossford Ex Vill SD (045609, Wood County)</t>
  </si>
  <si>
    <t>045609</t>
  </si>
  <si>
    <t>Russia Local SD (049817, Shelby County)</t>
  </si>
  <si>
    <t>049817</t>
  </si>
  <si>
    <t>Salem City SD (044735, Columbiana County)</t>
  </si>
  <si>
    <t>044735</t>
  </si>
  <si>
    <t>Sandusky City SD (044743, Erie County)</t>
  </si>
  <si>
    <t>044743</t>
  </si>
  <si>
    <t>Sandy Valley Local SD (049940, Stark County)</t>
  </si>
  <si>
    <t>049940</t>
  </si>
  <si>
    <t>Scioto Valley Local SD (049130, Pike County)</t>
  </si>
  <si>
    <t>049130</t>
  </si>
  <si>
    <t>Sebring Local SD (048355, Mahoning County)</t>
  </si>
  <si>
    <t>048355</t>
  </si>
  <si>
    <t>Seneca East Local SD (049684, Seneca County)</t>
  </si>
  <si>
    <t>049684</t>
  </si>
  <si>
    <t>Shadyside Local SD (046003, Belmont County)</t>
  </si>
  <si>
    <t>046003</t>
  </si>
  <si>
    <t>Shaker Heights City SD (044750, Cuyahoga County)</t>
  </si>
  <si>
    <t>044750</t>
  </si>
  <si>
    <t>Shawnee Local SD (045799, Allen County)</t>
  </si>
  <si>
    <t>045799</t>
  </si>
  <si>
    <t>Sheffield-Sheffield Lake City (044768, Lorain County)</t>
  </si>
  <si>
    <t>044768</t>
  </si>
  <si>
    <t>Shelby City SD (044776, Richland County)</t>
  </si>
  <si>
    <t>044776</t>
  </si>
  <si>
    <t>Sidney City SD (044784, Shelby County)</t>
  </si>
  <si>
    <t>044784</t>
  </si>
  <si>
    <t>Solon City SD (046607, Cuyahoga County)</t>
  </si>
  <si>
    <t>046607</t>
  </si>
  <si>
    <t>South Central Local SD (047738, Huron County)</t>
  </si>
  <si>
    <t>047738</t>
  </si>
  <si>
    <t>South Euclid-Lyndhurst City SD (044792, Cuyahoga County)</t>
  </si>
  <si>
    <t>044792</t>
  </si>
  <si>
    <t>South Point Local SD (047951, Lawrence County)</t>
  </si>
  <si>
    <t>047951</t>
  </si>
  <si>
    <t>South Range Local SD (048363, Mahoning County)</t>
  </si>
  <si>
    <t>048363</t>
  </si>
  <si>
    <t>Southeast Local SD (049221, Portage County)</t>
  </si>
  <si>
    <t>049221</t>
  </si>
  <si>
    <t>Southeast Local SD (050583, Wayne County)</t>
  </si>
  <si>
    <t>050583</t>
  </si>
  <si>
    <t>Southeastern Local SD (046276, Clark County)</t>
  </si>
  <si>
    <t>046276</t>
  </si>
  <si>
    <t>Southeastern Local SD (049528, Ross County)</t>
  </si>
  <si>
    <t>049528</t>
  </si>
  <si>
    <t>Southern Local SD (046441, Columbiana County)</t>
  </si>
  <si>
    <t>046441</t>
  </si>
  <si>
    <t>Southern Local SD (048538, Meigs County)</t>
  </si>
  <si>
    <t>048538</t>
  </si>
  <si>
    <t>Southern Local SD (049064, Perry County)</t>
  </si>
  <si>
    <t>049064</t>
  </si>
  <si>
    <t>Southington Local SD (050237, Trumbull County)</t>
  </si>
  <si>
    <t>050237</t>
  </si>
  <si>
    <t>Southwest Licking Local SD (048041, Licking County)</t>
  </si>
  <si>
    <t>048041</t>
  </si>
  <si>
    <t>Southwest Local SD (047381, Hamilton County)</t>
  </si>
  <si>
    <t>047381</t>
  </si>
  <si>
    <t>South-Western City SD (044800, Franklin County)</t>
  </si>
  <si>
    <t>044800</t>
  </si>
  <si>
    <t>Spencerville Local SD (045807, Allen County)</t>
  </si>
  <si>
    <t>045807</t>
  </si>
  <si>
    <t>Springboro Community City SD (050427, Warren County)</t>
  </si>
  <si>
    <t>050427</t>
  </si>
  <si>
    <t>Springfield City SD (044818, Clark County)</t>
  </si>
  <si>
    <t>044818</t>
  </si>
  <si>
    <t>Springfield Local SD (048223, Lucas County)</t>
  </si>
  <si>
    <t>048223</t>
  </si>
  <si>
    <t>Springfield Local SD (048371, Mahoning County)</t>
  </si>
  <si>
    <t>048371</t>
  </si>
  <si>
    <t>Springfield Local SD (050062, Summit County)</t>
  </si>
  <si>
    <t>050062</t>
  </si>
  <si>
    <t>St Bernard-Elmwood Place City (044719, Hamilton County)</t>
  </si>
  <si>
    <t>044719</t>
  </si>
  <si>
    <t>St Clairsville-Richland City S (045997, Belmont County)</t>
  </si>
  <si>
    <t>045997</t>
  </si>
  <si>
    <t>St Henry Consolidated Local SD (048587, Mercer County)</t>
  </si>
  <si>
    <t>048587</t>
  </si>
  <si>
    <t>St Marys City SD (044727, Auglaize County)</t>
  </si>
  <si>
    <t>044727</t>
  </si>
  <si>
    <t>Steubenville City SD (044826, Jefferson County)</t>
  </si>
  <si>
    <t>044826</t>
  </si>
  <si>
    <t>Stow-Munroe Falls City SD (044834, Summit County)</t>
  </si>
  <si>
    <t>044834</t>
  </si>
  <si>
    <t>Strasburg-Franklin Local SD (050294, Tuscarawas County)</t>
  </si>
  <si>
    <t>050294</t>
  </si>
  <si>
    <t>Streetsboro City SD (049239, Portage County)</t>
  </si>
  <si>
    <t>049239</t>
  </si>
  <si>
    <t>Strongsville City SD (044842, Cuyahoga County)</t>
  </si>
  <si>
    <t>044842</t>
  </si>
  <si>
    <t>Struthers City SD (044859, Mahoning County)</t>
  </si>
  <si>
    <t>044859</t>
  </si>
  <si>
    <t>Stryker Local SD (050658, Williams County)</t>
  </si>
  <si>
    <t>050658</t>
  </si>
  <si>
    <t>Swanton Local SD (047092, Fulton County)</t>
  </si>
  <si>
    <t>047092</t>
  </si>
  <si>
    <t>Switzerland of Ohio Local SD (048652, Monroe County)</t>
  </si>
  <si>
    <t>048652</t>
  </si>
  <si>
    <t>Sycamore Community City SD (044867, Hamilton County)</t>
  </si>
  <si>
    <t>044867</t>
  </si>
  <si>
    <t>Sylvania City SD (044875, Lucas County)</t>
  </si>
  <si>
    <t>044875</t>
  </si>
  <si>
    <t>Symmes Valley Local SD (047969, Lawrence County)</t>
  </si>
  <si>
    <t>047969</t>
  </si>
  <si>
    <t>Talawanda City SD (046151, Butler County)</t>
  </si>
  <si>
    <t>046151</t>
  </si>
  <si>
    <t>Tallmadge City SD (044883, Summit County)</t>
  </si>
  <si>
    <t>044883</t>
  </si>
  <si>
    <t>Teays Valley Local SD (049098, Pickaway County)</t>
  </si>
  <si>
    <t>049098</t>
  </si>
  <si>
    <t>Tecumseh Local SD (046243, Clark County)</t>
  </si>
  <si>
    <t>046243</t>
  </si>
  <si>
    <t>Three Rivers Local SD (047399, Hamilton County)</t>
  </si>
  <si>
    <t>047399</t>
  </si>
  <si>
    <t>Tiffin City SD (044891, Seneca County)</t>
  </si>
  <si>
    <t>044891</t>
  </si>
  <si>
    <t>Tipp City Ex Vill SD (045617, Miami County)</t>
  </si>
  <si>
    <t>045617</t>
  </si>
  <si>
    <t>Toledo City SD (044909, Lucas County)</t>
  </si>
  <si>
    <t>044909</t>
  </si>
  <si>
    <t>Toronto City SD (044917, Jefferson County)</t>
  </si>
  <si>
    <t>044917</t>
  </si>
  <si>
    <t>Triad Local SD (046201, Champaign County)</t>
  </si>
  <si>
    <t>046201</t>
  </si>
  <si>
    <t>Tri-County North Local SD (091397, Preble County)</t>
  </si>
  <si>
    <t>091397</t>
  </si>
  <si>
    <t>Trimble Local SD (045922, Athens County)</t>
  </si>
  <si>
    <t>045922</t>
  </si>
  <si>
    <t>Tri-Valley Local SD (048876, Muskingum County)</t>
  </si>
  <si>
    <t>048876</t>
  </si>
  <si>
    <t>Tri-Village Local SD (046680, Darke County)</t>
  </si>
  <si>
    <t>046680</t>
  </si>
  <si>
    <t>Triway Local SD (050591, Wayne County)</t>
  </si>
  <si>
    <t>050591</t>
  </si>
  <si>
    <t>Trotwood-Madison City SD (048694, Montgomery County)</t>
  </si>
  <si>
    <t>048694</t>
  </si>
  <si>
    <t>Troy City SD (044925, Miami County)</t>
  </si>
  <si>
    <t>044925</t>
  </si>
  <si>
    <t>Tuscarawas Valley Local SD (050302, Tuscarawas County)</t>
  </si>
  <si>
    <t>050302</t>
  </si>
  <si>
    <t>Tuslaw Local SD (049957, Stark County)</t>
  </si>
  <si>
    <t>049957</t>
  </si>
  <si>
    <t>Twin Valley Community Local SD (049296, Preble County)</t>
  </si>
  <si>
    <t>049296</t>
  </si>
  <si>
    <t>Twinsburg City SD (050070, Summit County)</t>
  </si>
  <si>
    <t>050070</t>
  </si>
  <si>
    <t>Union Local SD (046011, Belmont County)</t>
  </si>
  <si>
    <t>046011</t>
  </si>
  <si>
    <t>Union-Scioto Local SD (049536, Ross County)</t>
  </si>
  <si>
    <t>049536</t>
  </si>
  <si>
    <t>United Local SD (046458, Columbiana County)</t>
  </si>
  <si>
    <t>046458</t>
  </si>
  <si>
    <t>Upper Arlington City SD (044933, Franklin County)</t>
  </si>
  <si>
    <t>044933</t>
  </si>
  <si>
    <t>Upper Scioto Valley Local SD (047522, Hardin County)</t>
  </si>
  <si>
    <t>047522</t>
  </si>
  <si>
    <t>Urbana City SD (044941, Champaign County)</t>
  </si>
  <si>
    <t>044941</t>
  </si>
  <si>
    <t>USEVS Ex Vill SD (045625, Wyandot County)</t>
  </si>
  <si>
    <t>045625</t>
  </si>
  <si>
    <t>Valley Local SD (049643, Scioto County)</t>
  </si>
  <si>
    <t>049643</t>
  </si>
  <si>
    <t>Valley View Local SD (048744, Montgomery County)</t>
  </si>
  <si>
    <t>048744</t>
  </si>
  <si>
    <t>Van Buren Local SD (047464, Hancock County)</t>
  </si>
  <si>
    <t>047464</t>
  </si>
  <si>
    <t>Van Wert City SD (044966, Van Wert County)</t>
  </si>
  <si>
    <t>044966</t>
  </si>
  <si>
    <t>Vandalia-Butler City SD (044958, Montgomery County)</t>
  </si>
  <si>
    <t>044958</t>
  </si>
  <si>
    <t>Vanlue Local SD (047472, Hancock County)</t>
  </si>
  <si>
    <t>047472</t>
  </si>
  <si>
    <t>Vermilion Local SD (046821, Erie County)</t>
  </si>
  <si>
    <t>046821</t>
  </si>
  <si>
    <t>Versailles Ex Vill SD (045633, Darke County)</t>
  </si>
  <si>
    <t>045633</t>
  </si>
  <si>
    <t>Vinton County Local SD (050393, Vinton County)</t>
  </si>
  <si>
    <t>050393</t>
  </si>
  <si>
    <t>Wadsworth City SD (044974, Medina County)</t>
  </si>
  <si>
    <t>044974</t>
  </si>
  <si>
    <t>Walnut Township Local SD (046904, Fairfield County)</t>
  </si>
  <si>
    <t>046904</t>
  </si>
  <si>
    <t>Wapakoneta City SD (044982, Auglaize County)</t>
  </si>
  <si>
    <t>044982</t>
  </si>
  <si>
    <t>Warren City SD (044990, Trumbull County)</t>
  </si>
  <si>
    <t>044990</t>
  </si>
  <si>
    <t>Warren Local SD (050500, Washington County)</t>
  </si>
  <si>
    <t>050500</t>
  </si>
  <si>
    <t>Warrensville Heights City SD (045005, Cuyahoga County)</t>
  </si>
  <si>
    <t>045005</t>
  </si>
  <si>
    <t>Washington Court House City SD (045013, Fayette County)</t>
  </si>
  <si>
    <t>045013</t>
  </si>
  <si>
    <t>Washington Local SD (048231, Lucas County)</t>
  </si>
  <si>
    <t>048231</t>
  </si>
  <si>
    <t>Washington-Nile Local SD (049650, Scioto County)</t>
  </si>
  <si>
    <t>049650</t>
  </si>
  <si>
    <t>Waterloo Local SD (049247, Portage County)</t>
  </si>
  <si>
    <t>049247</t>
  </si>
  <si>
    <t>Wauseon Ex Vill SD (045641, Fulton County)</t>
  </si>
  <si>
    <t>045641</t>
  </si>
  <si>
    <t>Waverly City SD (049148, Pike County)</t>
  </si>
  <si>
    <t>049148</t>
  </si>
  <si>
    <t>Wayne Local SD (050468, Warren County)</t>
  </si>
  <si>
    <t>050468</t>
  </si>
  <si>
    <t>Wayne Trace Local Local SD (049031, Paulding County)</t>
  </si>
  <si>
    <t>049031</t>
  </si>
  <si>
    <t>Waynesfield-Goshen Local SD (045971, Auglaize County)</t>
  </si>
  <si>
    <t>045971</t>
  </si>
  <si>
    <t>Weathersfield Local SD (050252, Trumbull County)</t>
  </si>
  <si>
    <t>050252</t>
  </si>
  <si>
    <t>Wellington Ex Vill SD (045658, Lorain County)</t>
  </si>
  <si>
    <t>045658</t>
  </si>
  <si>
    <t>Wellston City SD (045021, Jackson County)</t>
  </si>
  <si>
    <t>045021</t>
  </si>
  <si>
    <t>Wellsville Local SD (045039, Columbiana County)</t>
  </si>
  <si>
    <t>045039</t>
  </si>
  <si>
    <t>West Branch Local SD (048389, Mahoning County)</t>
  </si>
  <si>
    <t>048389</t>
  </si>
  <si>
    <t>West Carrollton City SD (045054, Montgomery County)</t>
  </si>
  <si>
    <t>045054</t>
  </si>
  <si>
    <t>West Clermont Local SD (046359, Clermont County)</t>
  </si>
  <si>
    <t>046359</t>
  </si>
  <si>
    <t>West Geauga Local SD (047225, Geauga County)</t>
  </si>
  <si>
    <t>047225</t>
  </si>
  <si>
    <t>West Holmes Local SD (047696, Holmes County)</t>
  </si>
  <si>
    <t>047696</t>
  </si>
  <si>
    <t>West Liberty-Salem Local SD (046219, Champaign County)</t>
  </si>
  <si>
    <t>046219</t>
  </si>
  <si>
    <t>West Muskingum Local SD (048884, Muskingum County)</t>
  </si>
  <si>
    <t>048884</t>
  </si>
  <si>
    <t>Western Brown Local SD (046060, Brown County)</t>
  </si>
  <si>
    <t>046060</t>
  </si>
  <si>
    <t>Western Local SD (049155, Pike County)</t>
  </si>
  <si>
    <t>049155</t>
  </si>
  <si>
    <t>Western Reserve Local SD (047746, Huron County)</t>
  </si>
  <si>
    <t>047746</t>
  </si>
  <si>
    <t>Western Reserve Local SD (048397, Mahoning County)</t>
  </si>
  <si>
    <t>048397</t>
  </si>
  <si>
    <t>Westerville City SD (045047, Franklin County)</t>
  </si>
  <si>
    <t>045047</t>
  </si>
  <si>
    <t>Westfall Local SD (049106, Pickaway County)</t>
  </si>
  <si>
    <t>049106</t>
  </si>
  <si>
    <t>Westlake City SD (045062, Cuyahoga County)</t>
  </si>
  <si>
    <t>045062</t>
  </si>
  <si>
    <t>Wheelersburg Local SD (049668, Scioto County)</t>
  </si>
  <si>
    <t>049668</t>
  </si>
  <si>
    <t>Whitehall City SD (045070, Franklin County)</t>
  </si>
  <si>
    <t>045070</t>
  </si>
  <si>
    <t>Wickliffe City SD (045088, Lake County)</t>
  </si>
  <si>
    <t>045088</t>
  </si>
  <si>
    <t>Willard City SD (045096, Huron County)</t>
  </si>
  <si>
    <t>045096</t>
  </si>
  <si>
    <t>Williamsburg Local SD (046367, Clermont County)</t>
  </si>
  <si>
    <t>046367</t>
  </si>
  <si>
    <t>Willoughby-Eastlake City SD (045104, Lake County)</t>
  </si>
  <si>
    <t>045104</t>
  </si>
  <si>
    <t>Wilmington City SD (045112, Clinton County)</t>
  </si>
  <si>
    <t>045112</t>
  </si>
  <si>
    <t>Windham Ex Vill SD (045666, Portage County)</t>
  </si>
  <si>
    <t>045666</t>
  </si>
  <si>
    <t>Winton Woods City SD (044081, Hamilton County)</t>
  </si>
  <si>
    <t>044081</t>
  </si>
  <si>
    <t>Wolf Creek Local SD (050518, Washington County)</t>
  </si>
  <si>
    <t>050518</t>
  </si>
  <si>
    <t>Woodmore Local Local SD (049577, Sandusky County)</t>
  </si>
  <si>
    <t>049577</t>
  </si>
  <si>
    <t>Woodridge Local SD (049973, Summit County)</t>
  </si>
  <si>
    <t>049973</t>
  </si>
  <si>
    <t>Wooster City SD (045120, Wayne County)</t>
  </si>
  <si>
    <t>045120</t>
  </si>
  <si>
    <t>Worthington City SD (045138, Franklin County)</t>
  </si>
  <si>
    <t>045138</t>
  </si>
  <si>
    <t>Wynford Local SD (046524, Crawford County)</t>
  </si>
  <si>
    <t>046524</t>
  </si>
  <si>
    <t>Wyoming City SD (045146, Hamilton County)</t>
  </si>
  <si>
    <t>045146</t>
  </si>
  <si>
    <t>Xenia Community City SD (045153, Greene County)</t>
  </si>
  <si>
    <t>045153</t>
  </si>
  <si>
    <t>Yellow Springs Ex Vill SD (045674, Greene County)</t>
  </si>
  <si>
    <t>045674</t>
  </si>
  <si>
    <t>Youngstown City SD (045161, Mahoning County)</t>
  </si>
  <si>
    <t>045161</t>
  </si>
  <si>
    <t>Zane Trace Local SD (049544, Ross County)</t>
  </si>
  <si>
    <t>049544</t>
  </si>
  <si>
    <t>Zanesville City SD (045179, Muskingum County)</t>
  </si>
  <si>
    <t>045179</t>
  </si>
  <si>
    <t>Options</t>
  </si>
  <si>
    <t>I would like Excess Cost  for my district to be calculated on a per capita basis.</t>
  </si>
  <si>
    <t xml:space="preserve">I would like Excess Cost for my district to be calculated on an individual student basis. </t>
  </si>
  <si>
    <t xml:space="preserve">Resident District - City, Exempted Village or Local </t>
  </si>
  <si>
    <t>Disability Type</t>
  </si>
  <si>
    <t>Category 1. Speech and Language Impairments  (Disability condition 05)</t>
  </si>
  <si>
    <t>Category 2. Specific Learning Disabilities  (Disability condition 10)</t>
  </si>
  <si>
    <t>Category 2. Cognitive Disabilities (formerly Developmentally Handicapped) (Disability condition 09)</t>
  </si>
  <si>
    <t>Category 2. Other health impairment, minor (Disability condition 15)</t>
  </si>
  <si>
    <t>Category 3. Deafness (Hearing Impairment) (Disability condition 03)</t>
  </si>
  <si>
    <t>Category 3. Visual Impairments (Disability condition 04)</t>
  </si>
  <si>
    <t>Category 3. Emotional Disturbance (SBH)  (Disability condition 08)</t>
  </si>
  <si>
    <t>Category 4. Orthopedic Impairments (Disability condition 06)</t>
  </si>
  <si>
    <t>Category 4. Other health impairment, major (Disability condition 14)</t>
  </si>
  <si>
    <t>Category 5. Multiple Disabilities (other than Deaf-Blind)  (Disability condition 01)</t>
  </si>
  <si>
    <t>Category 6. Deaf-Blindness (Disability condition 02)</t>
  </si>
  <si>
    <t>Category 6. Autism  (Disability condition 12)</t>
  </si>
  <si>
    <t>Category 6. Traumatic Brain Injury (TBI)  (Disability condition 13)</t>
  </si>
  <si>
    <t>Student disability condition</t>
  </si>
  <si>
    <t>Please select a disability condition.</t>
  </si>
  <si>
    <t>Please select a calculation option.</t>
  </si>
  <si>
    <t>Please select a district.</t>
  </si>
  <si>
    <t>Please select a placement explanation.</t>
  </si>
  <si>
    <t>ALL court ordered institutional placements other than foster care (How Received Code=P)</t>
  </si>
  <si>
    <t>Foster care or placed by court with a relative (How Received Code=C)</t>
  </si>
  <si>
    <t>Insitution, non-court ordered (How Received Code=T)</t>
  </si>
  <si>
    <t>Non-resident – Attending under Title I Public School Choice (How Received Code=W)</t>
  </si>
  <si>
    <t>Inter-District Open Enrollment (How Received Code=9)</t>
  </si>
  <si>
    <t>Non-resident student attending special ed program (including coop) (How Received Code=B)</t>
  </si>
  <si>
    <t>Placement</t>
  </si>
  <si>
    <t>E.</t>
  </si>
  <si>
    <t xml:space="preserve">Section I. </t>
  </si>
  <si>
    <t>C.</t>
  </si>
  <si>
    <t>D.</t>
  </si>
  <si>
    <t>F.</t>
  </si>
  <si>
    <t>Special Education Salaries and Benefits</t>
  </si>
  <si>
    <t>2.</t>
  </si>
  <si>
    <t>1.</t>
  </si>
  <si>
    <t xml:space="preserve">3. Instructional Supplies and Materials By District </t>
  </si>
  <si>
    <t>4. Instructional Equipment</t>
  </si>
  <si>
    <t>5. Administration Costs - By District from EFM Report</t>
  </si>
  <si>
    <t>Equipment for specific students</t>
  </si>
  <si>
    <t>Aide</t>
  </si>
  <si>
    <t>Section II. Salaries, Benefits, and General Student Costs (General Fund)</t>
  </si>
  <si>
    <t>FTE Percent</t>
  </si>
  <si>
    <t>Section V. Totals</t>
  </si>
  <si>
    <t>10.</t>
  </si>
  <si>
    <t>11.</t>
  </si>
  <si>
    <t>12.</t>
  </si>
  <si>
    <t>14.</t>
  </si>
  <si>
    <t>Total Costs</t>
  </si>
  <si>
    <t>Instructional Salaries and Benefits by districts</t>
  </si>
  <si>
    <t>Percent of time in regular classroom (0 to 100)</t>
  </si>
  <si>
    <t>%</t>
  </si>
  <si>
    <t>Section III.  General Student Costs (General Fund)</t>
  </si>
  <si>
    <t>Reported Costs</t>
  </si>
  <si>
    <t>EFM ADM</t>
  </si>
  <si>
    <t>for Per Capita Calculation</t>
  </si>
  <si>
    <t>Student SSID</t>
  </si>
  <si>
    <t>Resident District</t>
  </si>
  <si>
    <t>Disability Condition</t>
  </si>
  <si>
    <t>Dates of Enrollment</t>
  </si>
  <si>
    <t>From</t>
  </si>
  <si>
    <t>To</t>
  </si>
  <si>
    <t>Total Days Enrolled</t>
  </si>
  <si>
    <t>EMIS Method of Placement Reason</t>
  </si>
  <si>
    <t>9.</t>
  </si>
  <si>
    <t>Total Cost per FTE</t>
  </si>
  <si>
    <t>DISABILITY_SALBEN</t>
  </si>
  <si>
    <t>reg_salben</t>
  </si>
  <si>
    <t>Specific teacher(s) salary</t>
  </si>
  <si>
    <t>Specific teacher(s) benefits</t>
  </si>
  <si>
    <t>Served student FTE by Disability</t>
  </si>
  <si>
    <t>Total Salaries and Benefits (Section II)</t>
  </si>
  <si>
    <t>Total General Student Costs (Section III)</t>
  </si>
  <si>
    <t>Total Specific Students Costs (Section IV)</t>
  </si>
  <si>
    <t>disadm_nospch</t>
  </si>
  <si>
    <t>Students with disabilities (excluding speech 05) counted in EFM ADM</t>
  </si>
  <si>
    <t>Sheet Name</t>
  </si>
  <si>
    <t>Cell</t>
  </si>
  <si>
    <t>Description</t>
  </si>
  <si>
    <t>000222</t>
  </si>
  <si>
    <t>6. Operations Support Costs - By District from EFM Report</t>
  </si>
  <si>
    <t>7. Staff Support Costs - By District from EFM Report</t>
  </si>
  <si>
    <t>8. Pupil Support Costs - By District from EFM Report</t>
  </si>
  <si>
    <t>admin_gf_total</t>
  </si>
  <si>
    <t>ops_gf_total</t>
  </si>
  <si>
    <t>staff_gf_total</t>
  </si>
  <si>
    <t>pupil_gf_total</t>
  </si>
  <si>
    <t>Specific Student Calculation or Per Capita</t>
  </si>
  <si>
    <t>Per capita</t>
  </si>
  <si>
    <t>AA1111111</t>
  </si>
  <si>
    <t>000111</t>
  </si>
  <si>
    <t>Educating District</t>
  </si>
  <si>
    <t>for Specific Student Calculation</t>
  </si>
  <si>
    <t>9. Provide itemized costs directly tied to a specific student(s).</t>
  </si>
  <si>
    <r>
      <t xml:space="preserve">Section IV.  Specific Student Costs and Related Services (General Fund). </t>
    </r>
    <r>
      <rPr>
        <sz val="10"/>
        <rFont val="Arial"/>
        <family val="2"/>
      </rPr>
      <t>Completing these fields will replace some items automatically calculated above.</t>
    </r>
  </si>
  <si>
    <t>Special transportation cost required by IEP</t>
  </si>
  <si>
    <t>Related services (complete worksheet)</t>
  </si>
  <si>
    <t>12</t>
  </si>
  <si>
    <t>T</t>
  </si>
  <si>
    <t xml:space="preserve">Method of placement (EMIS status code). </t>
  </si>
  <si>
    <t>N25</t>
  </si>
  <si>
    <t>N27</t>
  </si>
  <si>
    <t>N30</t>
  </si>
  <si>
    <t>N32</t>
  </si>
  <si>
    <t>N33</t>
  </si>
  <si>
    <t>N34</t>
  </si>
  <si>
    <t>N35</t>
  </si>
  <si>
    <t>N36</t>
  </si>
  <si>
    <t>O25</t>
  </si>
  <si>
    <t>O27-O36</t>
  </si>
  <si>
    <t>Cost per FTE (Column N/ Column O)</t>
  </si>
  <si>
    <t>SF-6 Form Per Capita</t>
  </si>
  <si>
    <t>SF-6 Form Specific Student</t>
  </si>
  <si>
    <t>N37</t>
  </si>
  <si>
    <t xml:space="preserve">N40 </t>
  </si>
  <si>
    <t>N43</t>
  </si>
  <si>
    <t>N42</t>
  </si>
  <si>
    <t>N44</t>
  </si>
  <si>
    <t>N45</t>
  </si>
  <si>
    <t>N46</t>
  </si>
  <si>
    <t>N34-N35</t>
  </si>
  <si>
    <t>N50-N55</t>
  </si>
  <si>
    <t>N58</t>
  </si>
  <si>
    <t>Sum of per pupil expenditures in Section II</t>
  </si>
  <si>
    <t>Sum of per pupil expenditures in Section III</t>
  </si>
  <si>
    <t>Sum of per pupil expenditures in Section IV</t>
  </si>
  <si>
    <t>N59</t>
  </si>
  <si>
    <t>N60</t>
  </si>
  <si>
    <t>N61</t>
  </si>
  <si>
    <t>Total per pupil expenditure from Sections II, III and IV</t>
  </si>
  <si>
    <t>O37-O46</t>
  </si>
  <si>
    <t>O34-O35, O50-O55</t>
  </si>
  <si>
    <t>Contract services (include this item instead of Lines 3,4, 6, 7, and 8 above)</t>
  </si>
  <si>
    <t xml:space="preserve">Supplies for specific students </t>
  </si>
  <si>
    <t xml:space="preserve">Please make selections and type data only in those cells highlighted in blue. </t>
  </si>
  <si>
    <t xml:space="preserve"> Teacher salaries and benefits by district (functions 11xx, objects 11x, 12x, 131, 21x, 24x, 261))</t>
  </si>
  <si>
    <t xml:space="preserve"> Special Education teacher salaries and benefits by district (Functions 1220, 1230 and 1240 and objects 11x, 12x, 131, 21x, 24x, 261))</t>
  </si>
  <si>
    <t>FY2013 expenditure reported to funds 001, 494, 016, and 532 and functions 122X, 123X, 124X and object codes 11X, 12X, 21X, 24X, 131 and 261</t>
  </si>
  <si>
    <t>FY2013 expenditure reported to funds 001, 494, 016, and 532 and function 11XX and object codes 11X, 12X, 21X, 24X, 131 and 261</t>
  </si>
  <si>
    <t>FY2013 expenditure reported to funds 001, 494, 016, and 532 and function 1XXX and object codes 5XX</t>
  </si>
  <si>
    <t>FY2013 expenditure reported to funds 001, 494, 016, and 532 and function 1XXX and object codes 6XX and 7XX</t>
  </si>
  <si>
    <t>FY2013 EFM General Fund administrative expenditure total</t>
  </si>
  <si>
    <t>FY2013 EFM General Fund operations expenditure total</t>
  </si>
  <si>
    <t>FY2013 EFM General Fund staff support expenditure total</t>
  </si>
  <si>
    <t>FY2013 EFM General Fund pupil support expenditure total</t>
  </si>
  <si>
    <t>FY2013 EFM ADM of those student with a disability condition excluding Speech and lanaguage (05)</t>
  </si>
  <si>
    <t>FY2013 EFM ADM total</t>
  </si>
  <si>
    <t>District submitted FY2013 data</t>
  </si>
  <si>
    <t>District submitted FY2013 FTE data for students referenced on the form. Districts need only to enter the FTE in cell O34</t>
  </si>
  <si>
    <t>Office of School Finance</t>
  </si>
  <si>
    <t>To be filed by educating district (3323.14 O.R.C.) for school year 2012-2013</t>
  </si>
  <si>
    <t>Cost per FTE (Column N/ Column O)*Column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</si>
</sst>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7" formatCode="&quot;$&quot;#,##0.00_);\(&quot;$&quot;#,##0.00\)"/>
    <numFmt numFmtId="43" formatCode="_(* #,##0.00_);_(* \(#,##0.00\);_(* &quot;-&quot;??_);_(@_)"/>
    <numFmt numFmtId="164" formatCode="&quot;$&quot;#,##0"/>
    <numFmt numFmtId="165" formatCode="0.0%"/>
    <numFmt numFmtId="166" formatCode="0.0"/>
    <numFmt numFmtId="167" formatCode="#,##0.0"/>
    <numFmt numFmtId="168" formatCode="[$-409]mmmm\ d\,\ yyyy;@"/>
    <numFmt numFmtId="169" formatCode="m/d/yyyy\ h:mm\ AM/PM"/>
    <numFmt numFmtId="170" formatCode="#,##0.000000000000"/>
  </numFmts>
  <fonts count="2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4"/>
      <name val="Arial"/>
      <family val="2"/>
    </font>
    <font>
      <sz val="4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2"/>
      <name val="Arial"/>
      <family val="2"/>
    </font>
    <font>
      <b/>
      <sz val="5"/>
      <name val="Arial"/>
      <family val="2"/>
    </font>
    <font>
      <sz val="5"/>
      <name val="Arial"/>
      <family val="2"/>
    </font>
    <font>
      <sz val="9"/>
      <name val="Arial"/>
      <family val="2"/>
    </font>
    <font>
      <sz val="6"/>
      <name val="Arial"/>
      <family val="2"/>
    </font>
    <font>
      <sz val="8"/>
      <name val="Times New Roman"/>
      <family val="1"/>
    </font>
    <font>
      <sz val="1"/>
      <name val="Arial"/>
      <family val="2"/>
    </font>
    <font>
      <sz val="72"/>
      <name val="Arial"/>
      <family val="2"/>
    </font>
    <font>
      <sz val="10"/>
      <color theme="1"/>
      <name val="Arial"/>
      <family val="2"/>
    </font>
    <font>
      <sz val="10"/>
      <name val="MS Sans Serif"/>
      <family val="2"/>
    </font>
    <font>
      <u/>
      <sz val="10"/>
      <color indexed="12"/>
      <name val="MS Sans Serif"/>
      <family val="2"/>
    </font>
    <font>
      <u/>
      <sz val="10"/>
      <color indexed="12"/>
      <name val="Arial"/>
      <family val="2"/>
    </font>
    <font>
      <sz val="11"/>
      <name val="Arial"/>
      <family val="2"/>
    </font>
    <font>
      <b/>
      <sz val="10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17" fillId="0" borderId="0"/>
  </cellStyleXfs>
  <cellXfs count="208">
    <xf numFmtId="0" fontId="0" fillId="0" borderId="0" xfId="0"/>
    <xf numFmtId="0" fontId="1" fillId="0" borderId="0" xfId="1" applyFont="1"/>
    <xf numFmtId="0" fontId="16" fillId="0" borderId="0" xfId="0" applyFont="1"/>
    <xf numFmtId="0" fontId="1" fillId="3" borderId="0" xfId="1" applyFill="1" applyProtection="1">
      <protection locked="0"/>
    </xf>
    <xf numFmtId="0" fontId="3" fillId="3" borderId="0" xfId="1" applyFont="1" applyFill="1" applyAlignment="1" applyProtection="1">
      <alignment horizontal="center"/>
      <protection locked="0"/>
    </xf>
    <xf numFmtId="0" fontId="4" fillId="3" borderId="0" xfId="1" applyFont="1" applyFill="1" applyProtection="1">
      <protection locked="0"/>
    </xf>
    <xf numFmtId="0" fontId="5" fillId="3" borderId="0" xfId="1" applyFont="1" applyFill="1" applyAlignment="1" applyProtection="1">
      <alignment horizontal="center"/>
      <protection locked="0"/>
    </xf>
    <xf numFmtId="0" fontId="6" fillId="3" borderId="0" xfId="1" applyFont="1" applyFill="1" applyAlignment="1" applyProtection="1">
      <alignment horizontal="center"/>
      <protection locked="0"/>
    </xf>
    <xf numFmtId="0" fontId="16" fillId="0" borderId="0" xfId="0" applyFont="1" applyAlignment="1">
      <alignment horizontal="left" indent="10"/>
    </xf>
    <xf numFmtId="0" fontId="16" fillId="0" borderId="0" xfId="0" applyFont="1" applyAlignment="1">
      <alignment horizontal="justify"/>
    </xf>
    <xf numFmtId="0" fontId="16" fillId="0" borderId="0" xfId="0" applyFont="1" applyAlignment="1">
      <alignment horizontal="left" indent="5"/>
    </xf>
    <xf numFmtId="0" fontId="16" fillId="0" borderId="0" xfId="0" applyFont="1" applyAlignment="1"/>
    <xf numFmtId="0" fontId="1" fillId="0" borderId="0" xfId="0" quotePrefix="1" applyNumberFormat="1" applyFont="1"/>
    <xf numFmtId="0" fontId="1" fillId="0" borderId="0" xfId="0" applyFont="1"/>
    <xf numFmtId="22" fontId="1" fillId="3" borderId="0" xfId="1" applyNumberFormat="1" applyFill="1" applyProtection="1">
      <protection locked="0"/>
    </xf>
    <xf numFmtId="0" fontId="2" fillId="3" borderId="0" xfId="1" applyFont="1" applyFill="1" applyAlignment="1" applyProtection="1">
      <alignment horizontal="center"/>
      <protection locked="0"/>
    </xf>
    <xf numFmtId="0" fontId="1" fillId="3" borderId="0" xfId="1" applyFill="1" applyBorder="1" applyProtection="1">
      <protection locked="0"/>
    </xf>
    <xf numFmtId="0" fontId="16" fillId="3" borderId="0" xfId="0" applyFont="1" applyFill="1"/>
    <xf numFmtId="0" fontId="16" fillId="3" borderId="0" xfId="0" applyFont="1" applyFill="1" applyBorder="1"/>
    <xf numFmtId="0" fontId="21" fillId="3" borderId="4" xfId="0" applyFont="1" applyFill="1" applyBorder="1"/>
    <xf numFmtId="0" fontId="16" fillId="3" borderId="3" xfId="0" applyFont="1" applyFill="1" applyBorder="1"/>
    <xf numFmtId="0" fontId="2" fillId="3" borderId="0" xfId="1" applyFont="1" applyFill="1" applyBorder="1" applyAlignment="1" applyProtection="1">
      <alignment horizontal="center"/>
      <protection locked="0"/>
    </xf>
    <xf numFmtId="0" fontId="3" fillId="3" borderId="0" xfId="1" applyFont="1" applyFill="1" applyBorder="1" applyAlignment="1" applyProtection="1">
      <alignment horizontal="center"/>
      <protection locked="0"/>
    </xf>
    <xf numFmtId="0" fontId="21" fillId="3" borderId="9" xfId="0" applyFont="1" applyFill="1" applyBorder="1" applyAlignment="1">
      <alignment horizontal="center" vertical="center"/>
    </xf>
    <xf numFmtId="0" fontId="16" fillId="3" borderId="4" xfId="0" applyFont="1" applyFill="1" applyBorder="1"/>
    <xf numFmtId="0" fontId="21" fillId="3" borderId="7" xfId="0" applyFont="1" applyFill="1" applyBorder="1" applyAlignment="1">
      <alignment horizontal="center" vertical="center"/>
    </xf>
    <xf numFmtId="49" fontId="1" fillId="3" borderId="0" xfId="1" applyNumberFormat="1" applyFill="1" applyAlignment="1" applyProtection="1">
      <alignment horizontal="center"/>
      <protection locked="0"/>
    </xf>
    <xf numFmtId="49" fontId="2" fillId="3" borderId="0" xfId="1" applyNumberFormat="1" applyFont="1" applyFill="1" applyAlignment="1" applyProtection="1">
      <alignment horizontal="center"/>
      <protection locked="0"/>
    </xf>
    <xf numFmtId="49" fontId="16" fillId="3" borderId="0" xfId="0" applyNumberFormat="1" applyFont="1" applyFill="1"/>
    <xf numFmtId="49" fontId="3" fillId="3" borderId="0" xfId="1" applyNumberFormat="1" applyFont="1" applyFill="1" applyAlignment="1" applyProtection="1">
      <alignment horizontal="center"/>
      <protection locked="0"/>
    </xf>
    <xf numFmtId="49" fontId="16" fillId="3" borderId="4" xfId="0" applyNumberFormat="1" applyFont="1" applyFill="1" applyBorder="1"/>
    <xf numFmtId="49" fontId="1" fillId="3" borderId="0" xfId="1" applyNumberFormat="1" applyFill="1" applyProtection="1">
      <protection locked="0"/>
    </xf>
    <xf numFmtId="164" fontId="1" fillId="3" borderId="0" xfId="1" applyNumberFormat="1" applyFont="1" applyFill="1" applyBorder="1" applyAlignment="1" applyProtection="1">
      <alignment horizontal="right"/>
      <protection hidden="1"/>
    </xf>
    <xf numFmtId="164" fontId="1" fillId="4" borderId="0" xfId="1" applyNumberFormat="1" applyFont="1" applyFill="1" applyBorder="1" applyAlignment="1" applyProtection="1">
      <alignment horizontal="right"/>
      <protection hidden="1"/>
    </xf>
    <xf numFmtId="164" fontId="1" fillId="3" borderId="0" xfId="2" applyNumberFormat="1" applyFont="1" applyFill="1" applyBorder="1" applyAlignment="1" applyProtection="1">
      <alignment horizontal="right"/>
      <protection hidden="1"/>
    </xf>
    <xf numFmtId="164" fontId="1" fillId="4" borderId="0" xfId="2" applyNumberFormat="1" applyFont="1" applyFill="1" applyBorder="1" applyAlignment="1" applyProtection="1">
      <alignment horizontal="right"/>
      <protection hidden="1"/>
    </xf>
    <xf numFmtId="7" fontId="1" fillId="3" borderId="0" xfId="2" applyNumberFormat="1" applyFont="1" applyFill="1" applyBorder="1" applyAlignment="1" applyProtection="1">
      <alignment horizontal="right"/>
      <protection hidden="1"/>
    </xf>
    <xf numFmtId="0" fontId="5" fillId="4" borderId="0" xfId="1" applyFont="1" applyFill="1" applyBorder="1" applyAlignment="1" applyProtection="1">
      <alignment horizontal="center" wrapText="1"/>
      <protection hidden="1"/>
    </xf>
    <xf numFmtId="7" fontId="1" fillId="4" borderId="0" xfId="2" applyNumberFormat="1" applyFont="1" applyFill="1" applyBorder="1" applyAlignment="1" applyProtection="1">
      <alignment horizontal="right"/>
      <protection hidden="1"/>
    </xf>
    <xf numFmtId="164" fontId="1" fillId="3" borderId="0" xfId="1" applyNumberFormat="1" applyFont="1" applyFill="1" applyAlignment="1" applyProtection="1">
      <alignment horizontal="right"/>
      <protection hidden="1"/>
    </xf>
    <xf numFmtId="164" fontId="1" fillId="3" borderId="0" xfId="1" applyNumberFormat="1" applyFont="1" applyFill="1" applyProtection="1">
      <protection hidden="1"/>
    </xf>
    <xf numFmtId="164" fontId="5" fillId="3" borderId="11" xfId="1" applyNumberFormat="1" applyFont="1" applyFill="1" applyBorder="1" applyProtection="1">
      <protection hidden="1"/>
    </xf>
    <xf numFmtId="9" fontId="1" fillId="3" borderId="0" xfId="1" applyNumberFormat="1" applyFont="1" applyFill="1" applyBorder="1" applyAlignment="1" applyProtection="1">
      <alignment horizontal="center"/>
      <protection hidden="1"/>
    </xf>
    <xf numFmtId="4" fontId="1" fillId="3" borderId="0" xfId="1" applyNumberFormat="1" applyFont="1" applyFill="1" applyAlignment="1" applyProtection="1">
      <alignment horizontal="center"/>
      <protection hidden="1"/>
    </xf>
    <xf numFmtId="0" fontId="10" fillId="3" borderId="0" xfId="1" applyFont="1" applyFill="1" applyBorder="1" applyAlignment="1" applyProtection="1">
      <alignment horizontal="right"/>
      <protection hidden="1"/>
    </xf>
    <xf numFmtId="164" fontId="1" fillId="3" borderId="0" xfId="1" applyNumberFormat="1" applyFont="1" applyFill="1" applyBorder="1" applyAlignment="1" applyProtection="1">
      <alignment horizontal="center"/>
      <protection hidden="1"/>
    </xf>
    <xf numFmtId="166" fontId="1" fillId="3" borderId="0" xfId="1" applyNumberFormat="1" applyFont="1" applyFill="1" applyBorder="1" applyAlignment="1" applyProtection="1">
      <alignment horizontal="center"/>
      <protection hidden="1"/>
    </xf>
    <xf numFmtId="167" fontId="1" fillId="3" borderId="0" xfId="1" applyNumberFormat="1" applyFont="1" applyFill="1" applyAlignment="1" applyProtection="1">
      <alignment horizontal="center"/>
      <protection hidden="1"/>
    </xf>
    <xf numFmtId="168" fontId="16" fillId="3" borderId="4" xfId="0" applyNumberFormat="1" applyFont="1" applyFill="1" applyBorder="1"/>
    <xf numFmtId="169" fontId="1" fillId="3" borderId="0" xfId="1" applyNumberFormat="1" applyFill="1" applyProtection="1">
      <protection hidden="1"/>
    </xf>
    <xf numFmtId="0" fontId="16" fillId="0" borderId="0" xfId="0" quotePrefix="1" applyNumberFormat="1" applyFont="1"/>
    <xf numFmtId="7" fontId="5" fillId="3" borderId="12" xfId="1" applyNumberFormat="1" applyFont="1" applyFill="1" applyBorder="1" applyProtection="1">
      <protection hidden="1"/>
    </xf>
    <xf numFmtId="164" fontId="5" fillId="4" borderId="3" xfId="1" applyNumberFormat="1" applyFont="1" applyFill="1" applyBorder="1" applyAlignment="1" applyProtection="1">
      <alignment horizontal="center" wrapText="1"/>
      <protection hidden="1"/>
    </xf>
    <xf numFmtId="4" fontId="1" fillId="3" borderId="0" xfId="1" applyNumberFormat="1" applyFont="1" applyFill="1" applyBorder="1" applyAlignment="1" applyProtection="1">
      <alignment horizontal="center"/>
      <protection hidden="1"/>
    </xf>
    <xf numFmtId="0" fontId="5" fillId="4" borderId="3" xfId="1" applyFont="1" applyFill="1" applyBorder="1" applyAlignment="1" applyProtection="1">
      <alignment horizontal="center" wrapText="1"/>
      <protection hidden="1"/>
    </xf>
    <xf numFmtId="7" fontId="1" fillId="4" borderId="2" xfId="2" applyNumberFormat="1" applyFont="1" applyFill="1" applyBorder="1" applyAlignment="1" applyProtection="1">
      <alignment horizontal="right"/>
      <protection hidden="1"/>
    </xf>
    <xf numFmtId="0" fontId="5" fillId="4" borderId="8" xfId="1" applyFont="1" applyFill="1" applyBorder="1" applyAlignment="1" applyProtection="1">
      <alignment horizontal="center" wrapText="1"/>
      <protection hidden="1"/>
    </xf>
    <xf numFmtId="7" fontId="1" fillId="4" borderId="8" xfId="2" applyNumberFormat="1" applyFont="1" applyFill="1" applyBorder="1" applyAlignment="1" applyProtection="1">
      <alignment horizontal="right"/>
      <protection hidden="1"/>
    </xf>
    <xf numFmtId="167" fontId="1" fillId="3" borderId="0" xfId="1" applyNumberFormat="1" applyFont="1" applyFill="1" applyBorder="1" applyAlignment="1" applyProtection="1">
      <alignment horizontal="center"/>
      <protection hidden="1"/>
    </xf>
    <xf numFmtId="0" fontId="21" fillId="0" borderId="0" xfId="0" applyFont="1"/>
    <xf numFmtId="0" fontId="1" fillId="3" borderId="0" xfId="1" applyFont="1" applyFill="1" applyBorder="1" applyAlignment="1" applyProtection="1">
      <alignment horizontal="center"/>
      <protection hidden="1"/>
    </xf>
    <xf numFmtId="0" fontId="5" fillId="4" borderId="0" xfId="1" applyFont="1" applyFill="1" applyBorder="1" applyAlignment="1" applyProtection="1">
      <alignment horizontal="center"/>
      <protection hidden="1"/>
    </xf>
    <xf numFmtId="4" fontId="1" fillId="4" borderId="0" xfId="1" applyNumberFormat="1" applyFont="1" applyFill="1" applyBorder="1" applyAlignment="1" applyProtection="1">
      <alignment horizontal="center"/>
      <protection hidden="1"/>
    </xf>
    <xf numFmtId="0" fontId="10" fillId="4" borderId="2" xfId="1" applyFont="1" applyFill="1" applyBorder="1" applyAlignment="1" applyProtection="1">
      <alignment horizontal="right"/>
      <protection hidden="1"/>
    </xf>
    <xf numFmtId="0" fontId="1" fillId="3" borderId="0" xfId="1" applyFont="1" applyFill="1" applyBorder="1" applyAlignment="1" applyProtection="1">
      <alignment horizontal="right"/>
      <protection hidden="1"/>
    </xf>
    <xf numFmtId="0" fontId="1" fillId="3" borderId="0" xfId="1" applyFill="1" applyProtection="1">
      <protection hidden="1"/>
    </xf>
    <xf numFmtId="0" fontId="1" fillId="3" borderId="0" xfId="1" applyFill="1" applyAlignment="1" applyProtection="1">
      <alignment horizontal="center"/>
      <protection hidden="1"/>
    </xf>
    <xf numFmtId="0" fontId="1" fillId="0" borderId="0" xfId="1" applyFill="1" applyProtection="1">
      <protection hidden="1"/>
    </xf>
    <xf numFmtId="0" fontId="2" fillId="3" borderId="0" xfId="1" applyFont="1" applyFill="1" applyAlignment="1" applyProtection="1">
      <alignment horizontal="center"/>
      <protection hidden="1"/>
    </xf>
    <xf numFmtId="0" fontId="4" fillId="3" borderId="0" xfId="1" applyFont="1" applyFill="1" applyProtection="1">
      <protection hidden="1"/>
    </xf>
    <xf numFmtId="0" fontId="3" fillId="3" borderId="0" xfId="1" applyFont="1" applyFill="1" applyAlignment="1" applyProtection="1">
      <alignment horizontal="center"/>
      <protection hidden="1"/>
    </xf>
    <xf numFmtId="0" fontId="4" fillId="0" borderId="0" xfId="1" applyFont="1" applyFill="1" applyProtection="1">
      <protection hidden="1"/>
    </xf>
    <xf numFmtId="0" fontId="5" fillId="3" borderId="0" xfId="1" applyFont="1" applyFill="1" applyAlignment="1" applyProtection="1">
      <alignment horizontal="center"/>
      <protection hidden="1"/>
    </xf>
    <xf numFmtId="0" fontId="6" fillId="3" borderId="0" xfId="1" applyFont="1" applyFill="1" applyAlignment="1" applyProtection="1">
      <alignment horizontal="center"/>
      <protection hidden="1"/>
    </xf>
    <xf numFmtId="0" fontId="5" fillId="3" borderId="0" xfId="1" applyFont="1" applyFill="1" applyProtection="1">
      <protection hidden="1"/>
    </xf>
    <xf numFmtId="0" fontId="5" fillId="3" borderId="0" xfId="1" applyFont="1" applyFill="1" applyBorder="1" applyAlignment="1" applyProtection="1">
      <alignment horizontal="center"/>
      <protection hidden="1"/>
    </xf>
    <xf numFmtId="0" fontId="5" fillId="3" borderId="0" xfId="1" applyFont="1" applyFill="1" applyAlignment="1" applyProtection="1">
      <alignment horizontal="right"/>
      <protection hidden="1"/>
    </xf>
    <xf numFmtId="0" fontId="11" fillId="3" borderId="0" xfId="1" applyFont="1" applyFill="1" applyBorder="1" applyAlignment="1" applyProtection="1">
      <alignment vertical="top"/>
      <protection hidden="1"/>
    </xf>
    <xf numFmtId="0" fontId="1" fillId="3" borderId="0" xfId="1" applyFill="1" applyAlignment="1" applyProtection="1">
      <alignment horizontal="right"/>
      <protection hidden="1"/>
    </xf>
    <xf numFmtId="0" fontId="1" fillId="3" borderId="0" xfId="1" applyFill="1" applyBorder="1" applyProtection="1">
      <protection hidden="1"/>
    </xf>
    <xf numFmtId="0" fontId="11" fillId="3" borderId="2" xfId="1" applyFont="1" applyFill="1" applyBorder="1" applyProtection="1">
      <protection hidden="1"/>
    </xf>
    <xf numFmtId="0" fontId="7" fillId="3" borderId="2" xfId="1" applyFont="1" applyFill="1" applyBorder="1" applyProtection="1">
      <protection hidden="1"/>
    </xf>
    <xf numFmtId="0" fontId="7" fillId="3" borderId="0" xfId="1" applyFont="1" applyFill="1" applyBorder="1" applyAlignment="1" applyProtection="1">
      <alignment vertical="top"/>
      <protection hidden="1"/>
    </xf>
    <xf numFmtId="0" fontId="7" fillId="3" borderId="0" xfId="1" applyFont="1" applyFill="1" applyBorder="1" applyProtection="1">
      <protection hidden="1"/>
    </xf>
    <xf numFmtId="0" fontId="1" fillId="3" borderId="0" xfId="1" applyFont="1" applyFill="1" applyProtection="1">
      <protection hidden="1"/>
    </xf>
    <xf numFmtId="0" fontId="1" fillId="3" borderId="0" xfId="1" applyFont="1" applyFill="1" applyBorder="1" applyProtection="1">
      <protection hidden="1"/>
    </xf>
    <xf numFmtId="0" fontId="1" fillId="0" borderId="0" xfId="1" applyFont="1" applyFill="1" applyProtection="1">
      <protection hidden="1"/>
    </xf>
    <xf numFmtId="0" fontId="1" fillId="3" borderId="0" xfId="1" applyFont="1" applyFill="1" applyAlignment="1" applyProtection="1">
      <alignment horizontal="left"/>
      <protection hidden="1"/>
    </xf>
    <xf numFmtId="0" fontId="5" fillId="3" borderId="0" xfId="1" applyFont="1" applyFill="1" applyBorder="1" applyAlignment="1" applyProtection="1">
      <alignment horizontal="right"/>
      <protection hidden="1"/>
    </xf>
    <xf numFmtId="0" fontId="11" fillId="3" borderId="0" xfId="1" applyFont="1" applyFill="1" applyBorder="1" applyAlignment="1" applyProtection="1">
      <alignment horizontal="left" vertical="top"/>
      <protection hidden="1"/>
    </xf>
    <xf numFmtId="0" fontId="11" fillId="3" borderId="0" xfId="1" applyFont="1" applyFill="1" applyBorder="1" applyProtection="1">
      <protection hidden="1"/>
    </xf>
    <xf numFmtId="0" fontId="1" fillId="3" borderId="0" xfId="1" quotePrefix="1" applyFill="1" applyBorder="1" applyAlignment="1" applyProtection="1">
      <protection hidden="1"/>
    </xf>
    <xf numFmtId="0" fontId="1" fillId="3" borderId="0" xfId="1" applyFill="1" applyBorder="1" applyAlignment="1" applyProtection="1">
      <protection hidden="1"/>
    </xf>
    <xf numFmtId="0" fontId="5" fillId="4" borderId="6" xfId="1" applyFont="1" applyFill="1" applyBorder="1" applyAlignment="1" applyProtection="1">
      <protection hidden="1"/>
    </xf>
    <xf numFmtId="0" fontId="5" fillId="4" borderId="3" xfId="1" applyFont="1" applyFill="1" applyBorder="1" applyAlignment="1" applyProtection="1">
      <protection hidden="1"/>
    </xf>
    <xf numFmtId="0" fontId="5" fillId="4" borderId="3" xfId="1" applyFont="1" applyFill="1" applyBorder="1" applyAlignment="1" applyProtection="1">
      <alignment horizontal="center"/>
      <protection hidden="1"/>
    </xf>
    <xf numFmtId="0" fontId="1" fillId="4" borderId="3" xfId="1" applyFont="1" applyFill="1" applyBorder="1" applyProtection="1">
      <protection hidden="1"/>
    </xf>
    <xf numFmtId="0" fontId="1" fillId="4" borderId="0" xfId="1" quotePrefix="1" applyFont="1" applyFill="1" applyBorder="1" applyAlignment="1" applyProtection="1">
      <alignment horizontal="left"/>
      <protection hidden="1"/>
    </xf>
    <xf numFmtId="0" fontId="1" fillId="4" borderId="0" xfId="1" applyFont="1" applyFill="1" applyBorder="1" applyAlignment="1" applyProtection="1">
      <alignment horizontal="left"/>
      <protection hidden="1"/>
    </xf>
    <xf numFmtId="0" fontId="1" fillId="4" borderId="0" xfId="1" applyFont="1" applyFill="1" applyBorder="1" applyProtection="1">
      <protection hidden="1"/>
    </xf>
    <xf numFmtId="0" fontId="1" fillId="4" borderId="0" xfId="1" applyFont="1" applyFill="1" applyBorder="1" applyAlignment="1" applyProtection="1">
      <alignment horizontal="center"/>
      <protection hidden="1"/>
    </xf>
    <xf numFmtId="165" fontId="1" fillId="4" borderId="0" xfId="1" applyNumberFormat="1" applyFont="1" applyFill="1" applyBorder="1" applyAlignment="1" applyProtection="1">
      <alignment horizontal="center"/>
      <protection hidden="1"/>
    </xf>
    <xf numFmtId="0" fontId="1" fillId="3" borderId="0" xfId="1" quotePrefix="1" applyFont="1" applyFill="1" applyBorder="1" applyAlignment="1" applyProtection="1">
      <alignment horizontal="right"/>
      <protection hidden="1"/>
    </xf>
    <xf numFmtId="0" fontId="1" fillId="3" borderId="0" xfId="1" applyFont="1" applyFill="1" applyBorder="1" applyAlignment="1" applyProtection="1">
      <alignment horizontal="left"/>
      <protection hidden="1"/>
    </xf>
    <xf numFmtId="9" fontId="1" fillId="4" borderId="0" xfId="1" applyNumberFormat="1" applyFont="1" applyFill="1" applyBorder="1" applyAlignment="1" applyProtection="1">
      <alignment horizontal="center"/>
      <protection hidden="1"/>
    </xf>
    <xf numFmtId="0" fontId="5" fillId="4" borderId="6" xfId="1" applyFont="1" applyFill="1" applyBorder="1" applyProtection="1">
      <protection hidden="1"/>
    </xf>
    <xf numFmtId="0" fontId="5" fillId="4" borderId="3" xfId="1" applyFont="1" applyFill="1" applyBorder="1" applyAlignment="1" applyProtection="1">
      <alignment horizontal="left"/>
      <protection hidden="1"/>
    </xf>
    <xf numFmtId="0" fontId="9" fillId="4" borderId="3" xfId="1" applyFont="1" applyFill="1" applyBorder="1" applyAlignment="1" applyProtection="1">
      <alignment horizontal="center"/>
      <protection hidden="1"/>
    </xf>
    <xf numFmtId="0" fontId="10" fillId="4" borderId="3" xfId="1" applyFont="1" applyFill="1" applyBorder="1" applyProtection="1">
      <protection hidden="1"/>
    </xf>
    <xf numFmtId="165" fontId="1" fillId="5" borderId="0" xfId="1" applyNumberFormat="1" applyFont="1" applyFill="1" applyBorder="1" applyAlignment="1" applyProtection="1">
      <alignment horizontal="center"/>
      <protection hidden="1"/>
    </xf>
    <xf numFmtId="0" fontId="10" fillId="3" borderId="0" xfId="1" applyFont="1" applyFill="1" applyProtection="1">
      <protection hidden="1"/>
    </xf>
    <xf numFmtId="0" fontId="5" fillId="3" borderId="0" xfId="1" applyFont="1" applyFill="1" applyAlignment="1" applyProtection="1">
      <alignment horizontal="left"/>
      <protection hidden="1"/>
    </xf>
    <xf numFmtId="0" fontId="9" fillId="3" borderId="0" xfId="1" applyFont="1" applyFill="1" applyAlignment="1" applyProtection="1">
      <alignment horizontal="center"/>
      <protection hidden="1"/>
    </xf>
    <xf numFmtId="0" fontId="1" fillId="5" borderId="0" xfId="1" applyFont="1" applyFill="1" applyAlignment="1" applyProtection="1">
      <alignment horizontal="left"/>
      <protection hidden="1"/>
    </xf>
    <xf numFmtId="0" fontId="1" fillId="4" borderId="2" xfId="1" applyFont="1" applyFill="1" applyBorder="1" applyAlignment="1" applyProtection="1">
      <alignment horizontal="left"/>
      <protection hidden="1"/>
    </xf>
    <xf numFmtId="0" fontId="5" fillId="3" borderId="0" xfId="1" applyFont="1" applyFill="1" applyBorder="1" applyAlignment="1" applyProtection="1">
      <alignment horizontal="left"/>
      <protection hidden="1"/>
    </xf>
    <xf numFmtId="0" fontId="10" fillId="3" borderId="0" xfId="1" applyFont="1" applyFill="1" applyBorder="1" applyProtection="1">
      <protection hidden="1"/>
    </xf>
    <xf numFmtId="0" fontId="1" fillId="5" borderId="0" xfId="1" applyFont="1" applyFill="1" applyBorder="1" applyAlignment="1" applyProtection="1">
      <alignment horizontal="left"/>
      <protection hidden="1"/>
    </xf>
    <xf numFmtId="0" fontId="1" fillId="3" borderId="0" xfId="1" applyFont="1" applyFill="1" applyAlignment="1" applyProtection="1">
      <alignment horizontal="right"/>
      <protection hidden="1"/>
    </xf>
    <xf numFmtId="0" fontId="1" fillId="4" borderId="3" xfId="1" applyFont="1" applyFill="1" applyBorder="1" applyAlignment="1" applyProtection="1">
      <alignment horizontal="right"/>
      <protection hidden="1"/>
    </xf>
    <xf numFmtId="0" fontId="1" fillId="4" borderId="3" xfId="1" applyFont="1" applyFill="1" applyBorder="1" applyAlignment="1" applyProtection="1">
      <alignment horizontal="left"/>
      <protection hidden="1"/>
    </xf>
    <xf numFmtId="0" fontId="1" fillId="3" borderId="0" xfId="1" applyFont="1" applyFill="1" applyAlignment="1" applyProtection="1">
      <protection hidden="1"/>
    </xf>
    <xf numFmtId="0" fontId="1" fillId="3" borderId="0" xfId="1" quotePrefix="1" applyFont="1" applyFill="1" applyAlignment="1" applyProtection="1">
      <alignment horizontal="left"/>
      <protection hidden="1"/>
    </xf>
    <xf numFmtId="0" fontId="1" fillId="3" borderId="0" xfId="1" quotePrefix="1" applyFont="1" applyFill="1" applyProtection="1">
      <protection hidden="1"/>
    </xf>
    <xf numFmtId="0" fontId="10" fillId="3" borderId="0" xfId="1" applyFont="1" applyFill="1" applyAlignment="1" applyProtection="1">
      <alignment horizontal="left"/>
      <protection hidden="1"/>
    </xf>
    <xf numFmtId="0" fontId="12" fillId="3" borderId="0" xfId="1" applyFont="1" applyFill="1" applyProtection="1">
      <protection hidden="1"/>
    </xf>
    <xf numFmtId="0" fontId="12" fillId="3" borderId="0" xfId="1" applyFont="1" applyFill="1" applyAlignment="1" applyProtection="1">
      <alignment horizontal="center"/>
      <protection hidden="1"/>
    </xf>
    <xf numFmtId="0" fontId="12" fillId="2" borderId="0" xfId="1" applyFont="1" applyFill="1" applyAlignment="1" applyProtection="1">
      <alignment horizontal="center"/>
      <protection hidden="1"/>
    </xf>
    <xf numFmtId="0" fontId="1" fillId="2" borderId="1" xfId="1" applyFont="1" applyFill="1" applyBorder="1" applyProtection="1">
      <protection hidden="1"/>
    </xf>
    <xf numFmtId="0" fontId="12" fillId="2" borderId="0" xfId="1" applyFont="1" applyFill="1" applyProtection="1">
      <protection hidden="1"/>
    </xf>
    <xf numFmtId="0" fontId="12" fillId="2" borderId="1" xfId="1" applyFont="1" applyFill="1" applyBorder="1" applyProtection="1">
      <protection hidden="1"/>
    </xf>
    <xf numFmtId="0" fontId="12" fillId="3" borderId="0" xfId="1" applyFont="1" applyFill="1" applyBorder="1" applyProtection="1">
      <protection hidden="1"/>
    </xf>
    <xf numFmtId="0" fontId="11" fillId="3" borderId="2" xfId="1" applyFont="1" applyFill="1" applyBorder="1" applyAlignment="1" applyProtection="1">
      <alignment horizontal="left"/>
      <protection hidden="1"/>
    </xf>
    <xf numFmtId="0" fontId="1" fillId="3" borderId="2" xfId="1" applyFill="1" applyBorder="1" applyProtection="1">
      <protection hidden="1"/>
    </xf>
    <xf numFmtId="0" fontId="10" fillId="3" borderId="0" xfId="1" applyFont="1" applyFill="1" applyAlignment="1" applyProtection="1">
      <alignment horizontal="center"/>
      <protection hidden="1"/>
    </xf>
    <xf numFmtId="0" fontId="7" fillId="3" borderId="0" xfId="1" applyFont="1" applyFill="1" applyProtection="1">
      <protection hidden="1"/>
    </xf>
    <xf numFmtId="0" fontId="13" fillId="3" borderId="0" xfId="1" applyFont="1" applyFill="1" applyProtection="1">
      <protection hidden="1"/>
    </xf>
    <xf numFmtId="0" fontId="7" fillId="3" borderId="0" xfId="1" applyFont="1" applyFill="1" applyAlignment="1" applyProtection="1">
      <alignment horizontal="center"/>
      <protection hidden="1"/>
    </xf>
    <xf numFmtId="0" fontId="8" fillId="3" borderId="0" xfId="1" applyFont="1" applyFill="1" applyProtection="1">
      <protection hidden="1"/>
    </xf>
    <xf numFmtId="0" fontId="8" fillId="3" borderId="0" xfId="1" applyFont="1" applyFill="1" applyAlignment="1" applyProtection="1">
      <alignment horizontal="center"/>
      <protection hidden="1"/>
    </xf>
    <xf numFmtId="0" fontId="10" fillId="3" borderId="0" xfId="1" applyFont="1" applyFill="1" applyBorder="1" applyAlignment="1" applyProtection="1">
      <alignment horizontal="center"/>
      <protection hidden="1"/>
    </xf>
    <xf numFmtId="0" fontId="11" fillId="3" borderId="0" xfId="1" applyFont="1" applyFill="1" applyBorder="1" applyAlignment="1" applyProtection="1">
      <alignment horizontal="left"/>
      <protection hidden="1"/>
    </xf>
    <xf numFmtId="0" fontId="14" fillId="3" borderId="0" xfId="1" applyFont="1" applyFill="1" applyProtection="1">
      <protection hidden="1"/>
    </xf>
    <xf numFmtId="0" fontId="14" fillId="3" borderId="0" xfId="1" applyFont="1" applyFill="1" applyAlignment="1" applyProtection="1">
      <alignment horizontal="center"/>
      <protection hidden="1"/>
    </xf>
    <xf numFmtId="0" fontId="1" fillId="0" borderId="0" xfId="1" applyFill="1" applyAlignment="1" applyProtection="1">
      <alignment horizontal="center"/>
      <protection hidden="1"/>
    </xf>
    <xf numFmtId="0" fontId="16" fillId="0" borderId="0" xfId="0" applyFont="1" applyAlignment="1">
      <alignment wrapText="1"/>
    </xf>
    <xf numFmtId="0" fontId="20" fillId="3" borderId="0" xfId="1" applyFont="1" applyFill="1" applyBorder="1" applyAlignment="1" applyProtection="1">
      <alignment vertical="top"/>
      <protection hidden="1"/>
    </xf>
    <xf numFmtId="0" fontId="1" fillId="4" borderId="2" xfId="1" quotePrefix="1" applyFont="1" applyFill="1" applyBorder="1" applyAlignment="1" applyProtection="1">
      <alignment horizontal="left"/>
      <protection hidden="1"/>
    </xf>
    <xf numFmtId="0" fontId="1" fillId="4" borderId="2" xfId="1" applyFont="1" applyFill="1" applyBorder="1" applyProtection="1">
      <protection hidden="1"/>
    </xf>
    <xf numFmtId="0" fontId="1" fillId="4" borderId="2" xfId="1" applyFont="1" applyFill="1" applyBorder="1" applyAlignment="1" applyProtection="1">
      <alignment horizontal="center"/>
      <protection hidden="1"/>
    </xf>
    <xf numFmtId="0" fontId="1" fillId="3" borderId="0" xfId="1" quotePrefix="1" applyFont="1" applyFill="1" applyBorder="1" applyAlignment="1" applyProtection="1">
      <alignment horizontal="right" vertical="top"/>
      <protection hidden="1"/>
    </xf>
    <xf numFmtId="166" fontId="5" fillId="4" borderId="0" xfId="1" applyNumberFormat="1" applyFont="1" applyFill="1" applyBorder="1" applyAlignment="1" applyProtection="1">
      <alignment horizontal="center"/>
      <protection hidden="1"/>
    </xf>
    <xf numFmtId="7" fontId="1" fillId="3" borderId="0" xfId="1" applyNumberFormat="1" applyFont="1" applyFill="1" applyProtection="1">
      <protection hidden="1"/>
    </xf>
    <xf numFmtId="167" fontId="5" fillId="4" borderId="3" xfId="1" applyNumberFormat="1" applyFont="1" applyFill="1" applyBorder="1" applyAlignment="1" applyProtection="1">
      <alignment horizontal="center" wrapText="1"/>
      <protection hidden="1"/>
    </xf>
    <xf numFmtId="164" fontId="1" fillId="4" borderId="2" xfId="1" applyNumberFormat="1" applyFont="1" applyFill="1" applyBorder="1" applyAlignment="1" applyProtection="1">
      <alignment horizontal="center"/>
      <protection hidden="1"/>
    </xf>
    <xf numFmtId="167" fontId="1" fillId="4" borderId="2" xfId="1" applyNumberFormat="1" applyFont="1" applyFill="1" applyBorder="1" applyAlignment="1" applyProtection="1">
      <alignment horizontal="center"/>
      <protection hidden="1"/>
    </xf>
    <xf numFmtId="164" fontId="1" fillId="4" borderId="0" xfId="1" applyNumberFormat="1" applyFont="1" applyFill="1" applyBorder="1" applyAlignment="1" applyProtection="1">
      <alignment horizontal="center"/>
      <protection hidden="1"/>
    </xf>
    <xf numFmtId="167" fontId="1" fillId="4" borderId="0" xfId="1" applyNumberFormat="1" applyFont="1" applyFill="1" applyBorder="1" applyAlignment="1" applyProtection="1">
      <alignment horizontal="center"/>
      <protection hidden="1"/>
    </xf>
    <xf numFmtId="0" fontId="1" fillId="5" borderId="0" xfId="1" applyFont="1" applyFill="1" applyProtection="1">
      <protection hidden="1"/>
    </xf>
    <xf numFmtId="0" fontId="1" fillId="3" borderId="2" xfId="1" applyFont="1" applyFill="1" applyBorder="1" applyAlignment="1" applyProtection="1">
      <alignment horizontal="left"/>
      <protection hidden="1"/>
    </xf>
    <xf numFmtId="0" fontId="1" fillId="0" borderId="2" xfId="1" applyFont="1" applyFill="1" applyBorder="1" applyProtection="1">
      <protection hidden="1"/>
    </xf>
    <xf numFmtId="0" fontId="10" fillId="0" borderId="0" xfId="1" applyFont="1" applyFill="1" applyProtection="1">
      <protection hidden="1"/>
    </xf>
    <xf numFmtId="0" fontId="7" fillId="0" borderId="0" xfId="1" applyFont="1" applyFill="1" applyProtection="1">
      <protection hidden="1"/>
    </xf>
    <xf numFmtId="0" fontId="12" fillId="0" borderId="0" xfId="1" applyFont="1" applyFill="1" applyProtection="1">
      <protection hidden="1"/>
    </xf>
    <xf numFmtId="0" fontId="8" fillId="0" borderId="0" xfId="1" applyFont="1" applyFill="1" applyProtection="1">
      <protection hidden="1"/>
    </xf>
    <xf numFmtId="0" fontId="10" fillId="0" borderId="0" xfId="1" applyFont="1" applyFill="1" applyBorder="1" applyProtection="1">
      <protection hidden="1"/>
    </xf>
    <xf numFmtId="0" fontId="14" fillId="0" borderId="0" xfId="1" applyFont="1" applyFill="1" applyProtection="1">
      <protection hidden="1"/>
    </xf>
    <xf numFmtId="0" fontId="15" fillId="0" borderId="0" xfId="1" applyFont="1" applyFill="1" applyProtection="1">
      <protection hidden="1"/>
    </xf>
    <xf numFmtId="0" fontId="1" fillId="3" borderId="0" xfId="1" applyFill="1" applyBorder="1" applyProtection="1">
      <protection hidden="1"/>
    </xf>
    <xf numFmtId="0" fontId="2" fillId="3" borderId="0" xfId="1" applyFont="1" applyFill="1" applyAlignment="1" applyProtection="1">
      <alignment horizontal="center"/>
      <protection hidden="1"/>
    </xf>
    <xf numFmtId="0" fontId="1" fillId="5" borderId="0" xfId="1" applyFont="1" applyFill="1" applyAlignment="1" applyProtection="1">
      <alignment horizontal="right"/>
      <protection hidden="1"/>
    </xf>
    <xf numFmtId="164" fontId="1" fillId="5" borderId="0" xfId="1" applyNumberFormat="1" applyFont="1" applyFill="1" applyBorder="1" applyAlignment="1" applyProtection="1">
      <alignment horizontal="right"/>
      <protection hidden="1"/>
    </xf>
    <xf numFmtId="4" fontId="1" fillId="5" borderId="0" xfId="1" applyNumberFormat="1" applyFont="1" applyFill="1" applyAlignment="1" applyProtection="1">
      <alignment horizontal="right"/>
      <protection hidden="1"/>
    </xf>
    <xf numFmtId="164" fontId="1" fillId="2" borderId="0" xfId="1" applyNumberFormat="1" applyFont="1" applyFill="1" applyBorder="1" applyAlignment="1" applyProtection="1">
      <alignment horizontal="right"/>
      <protection locked="0" hidden="1"/>
    </xf>
    <xf numFmtId="0" fontId="1" fillId="2" borderId="0" xfId="1" applyFont="1" applyFill="1" applyBorder="1" applyAlignment="1" applyProtection="1">
      <alignment horizontal="center"/>
      <protection locked="0" hidden="1"/>
    </xf>
    <xf numFmtId="170" fontId="1" fillId="0" borderId="0" xfId="0" quotePrefix="1" applyNumberFormat="1" applyFont="1"/>
    <xf numFmtId="170" fontId="1" fillId="0" borderId="0" xfId="0" applyNumberFormat="1" applyFont="1"/>
    <xf numFmtId="4" fontId="16" fillId="0" borderId="0" xfId="0" applyNumberFormat="1" applyFont="1"/>
    <xf numFmtId="4" fontId="1" fillId="0" borderId="0" xfId="0" quotePrefix="1" applyNumberFormat="1" applyFont="1"/>
    <xf numFmtId="4" fontId="16" fillId="0" borderId="0" xfId="0" quotePrefix="1" applyNumberFormat="1" applyFont="1"/>
    <xf numFmtId="4" fontId="1" fillId="0" borderId="0" xfId="0" applyNumberFormat="1" applyFont="1"/>
    <xf numFmtId="170" fontId="16" fillId="0" borderId="0" xfId="0" quotePrefix="1" applyNumberFormat="1" applyFont="1"/>
    <xf numFmtId="170" fontId="1" fillId="6" borderId="0" xfId="0" quotePrefix="1" applyNumberFormat="1" applyFont="1" applyFill="1"/>
    <xf numFmtId="4" fontId="16" fillId="6" borderId="0" xfId="0" applyNumberFormat="1" applyFont="1" applyFill="1"/>
    <xf numFmtId="4" fontId="1" fillId="6" borderId="0" xfId="0" quotePrefix="1" applyNumberFormat="1" applyFont="1" applyFill="1"/>
    <xf numFmtId="4" fontId="16" fillId="6" borderId="0" xfId="0" quotePrefix="1" applyNumberFormat="1" applyFont="1" applyFill="1"/>
    <xf numFmtId="4" fontId="1" fillId="6" borderId="0" xfId="0" applyNumberFormat="1" applyFont="1" applyFill="1"/>
    <xf numFmtId="170" fontId="16" fillId="6" borderId="0" xfId="0" quotePrefix="1" applyNumberFormat="1" applyFont="1" applyFill="1"/>
    <xf numFmtId="0" fontId="1" fillId="3" borderId="0" xfId="1" applyFill="1" applyBorder="1" applyProtection="1">
      <protection hidden="1"/>
    </xf>
    <xf numFmtId="0" fontId="2" fillId="3" borderId="0" xfId="1" applyFont="1" applyFill="1" applyAlignment="1" applyProtection="1">
      <alignment horizontal="center"/>
      <protection hidden="1"/>
    </xf>
    <xf numFmtId="0" fontId="1" fillId="3" borderId="0" xfId="1" applyFont="1" applyFill="1" applyBorder="1" applyAlignment="1" applyProtection="1">
      <alignment horizontal="left" vertical="top" wrapText="1"/>
      <protection hidden="1"/>
    </xf>
    <xf numFmtId="0" fontId="20" fillId="2" borderId="1" xfId="1" applyFont="1" applyFill="1" applyBorder="1" applyProtection="1">
      <protection locked="0"/>
    </xf>
    <xf numFmtId="0" fontId="1" fillId="2" borderId="1" xfId="1" applyFill="1" applyBorder="1" applyProtection="1">
      <protection locked="0" hidden="1"/>
    </xf>
    <xf numFmtId="0" fontId="1" fillId="2" borderId="1" xfId="1" applyFont="1" applyFill="1" applyBorder="1" applyAlignment="1" applyProtection="1">
      <alignment horizontal="center"/>
      <protection locked="0" hidden="1"/>
    </xf>
    <xf numFmtId="0" fontId="1" fillId="3" borderId="0" xfId="1" applyFont="1" applyFill="1" applyAlignment="1" applyProtection="1">
      <alignment horizontal="left" vertical="top" wrapText="1"/>
      <protection hidden="1"/>
    </xf>
    <xf numFmtId="0" fontId="1" fillId="4" borderId="2" xfId="1" quotePrefix="1" applyFont="1" applyFill="1" applyBorder="1" applyAlignment="1" applyProtection="1">
      <alignment horizontal="left"/>
      <protection hidden="1"/>
    </xf>
    <xf numFmtId="0" fontId="5" fillId="4" borderId="6" xfId="1" applyFont="1" applyFill="1" applyBorder="1" applyAlignment="1" applyProtection="1">
      <alignment horizontal="left" vertical="top" wrapText="1"/>
      <protection hidden="1"/>
    </xf>
    <xf numFmtId="0" fontId="5" fillId="4" borderId="3" xfId="1" applyFont="1" applyFill="1" applyBorder="1" applyAlignment="1" applyProtection="1">
      <alignment horizontal="left" vertical="top" wrapText="1"/>
      <protection hidden="1"/>
    </xf>
    <xf numFmtId="0" fontId="21" fillId="3" borderId="5" xfId="0" applyFont="1" applyFill="1" applyBorder="1" applyAlignment="1">
      <alignment horizontal="center" vertical="center" wrapText="1"/>
    </xf>
    <xf numFmtId="0" fontId="21" fillId="3" borderId="10" xfId="0" applyFont="1" applyFill="1" applyBorder="1" applyAlignment="1">
      <alignment horizontal="center" vertical="center" wrapText="1"/>
    </xf>
    <xf numFmtId="0" fontId="21" fillId="3" borderId="5" xfId="0" applyFont="1" applyFill="1" applyBorder="1" applyAlignment="1">
      <alignment horizontal="center" wrapText="1"/>
    </xf>
    <xf numFmtId="0" fontId="21" fillId="3" borderId="10" xfId="0" applyFont="1" applyFill="1" applyBorder="1" applyAlignment="1">
      <alignment horizontal="center" wrapText="1"/>
    </xf>
    <xf numFmtId="49" fontId="21" fillId="3" borderId="5" xfId="0" applyNumberFormat="1" applyFont="1" applyFill="1" applyBorder="1" applyAlignment="1">
      <alignment horizontal="center" vertical="center"/>
    </xf>
    <xf numFmtId="49" fontId="21" fillId="3" borderId="10" xfId="0" applyNumberFormat="1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0" fontId="21" fillId="3" borderId="6" xfId="0" applyFont="1" applyFill="1" applyBorder="1" applyAlignment="1">
      <alignment horizontal="center" vertical="center"/>
    </xf>
    <xf numFmtId="0" fontId="21" fillId="3" borderId="4" xfId="0" applyFont="1" applyFill="1" applyBorder="1" applyAlignment="1">
      <alignment horizontal="center" vertical="center"/>
    </xf>
    <xf numFmtId="49" fontId="21" fillId="3" borderId="4" xfId="0" applyNumberFormat="1" applyFont="1" applyFill="1" applyBorder="1" applyAlignment="1">
      <alignment horizontal="center" vertical="center"/>
    </xf>
  </cellXfs>
  <cellStyles count="7">
    <cellStyle name="Comma 2" xfId="2"/>
    <cellStyle name="Hyperlink 2" xfId="5"/>
    <cellStyle name="Hyperlink 3" xfId="4"/>
    <cellStyle name="Normal" xfId="0" builtinId="0"/>
    <cellStyle name="Normal 2" xfId="1"/>
    <cellStyle name="Normal 3" xfId="6"/>
    <cellStyle name="Percent 2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66675</xdr:rowOff>
    </xdr:from>
    <xdr:to>
      <xdr:col>8</xdr:col>
      <xdr:colOff>88605</xdr:colOff>
      <xdr:row>6</xdr:row>
      <xdr:rowOff>188285</xdr:rowOff>
    </xdr:to>
    <xdr:pic>
      <xdr:nvPicPr>
        <xdr:cNvPr id="2" name="Picture 15" descr="Ohio ODE_19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66675"/>
          <a:ext cx="3289448" cy="6864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23813</xdr:colOff>
      <xdr:row>0</xdr:row>
      <xdr:rowOff>102394</xdr:rowOff>
    </xdr:from>
    <xdr:to>
      <xdr:col>7</xdr:col>
      <xdr:colOff>297657</xdr:colOff>
      <xdr:row>4</xdr:row>
      <xdr:rowOff>71438</xdr:rowOff>
    </xdr:to>
    <xdr:pic>
      <xdr:nvPicPr>
        <xdr:cNvPr id="2" name="Picture 15" descr="Ohio ODE_19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7719" y="102394"/>
          <a:ext cx="2786063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76202</xdr:colOff>
      <xdr:row>0</xdr:row>
      <xdr:rowOff>57149</xdr:rowOff>
    </xdr:from>
    <xdr:to>
      <xdr:col>3</xdr:col>
      <xdr:colOff>952500</xdr:colOff>
      <xdr:row>2</xdr:row>
      <xdr:rowOff>161924</xdr:rowOff>
    </xdr:to>
    <xdr:pic>
      <xdr:nvPicPr>
        <xdr:cNvPr id="2" name="Picture 15" descr="Ohio ODE_19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66727" y="57149"/>
          <a:ext cx="2924173" cy="466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AS77"/>
  <sheetViews>
    <sheetView tabSelected="1" zoomScale="77" zoomScaleNormal="77" workbookViewId="0">
      <selection activeCell="M14" sqref="M14"/>
    </sheetView>
  </sheetViews>
  <sheetFormatPr defaultRowHeight="12.75" x14ac:dyDescent="0.2"/>
  <cols>
    <col min="1" max="2" width="9.140625" style="65"/>
    <col min="3" max="3" width="8.5703125" style="67" customWidth="1"/>
    <col min="4" max="4" width="5.85546875" style="144" customWidth="1"/>
    <col min="5" max="5" width="3.85546875" style="67" customWidth="1"/>
    <col min="6" max="7" width="7.42578125" style="67" customWidth="1"/>
    <col min="8" max="8" width="14.85546875" style="67" customWidth="1"/>
    <col min="9" max="11" width="7.7109375" style="67" customWidth="1"/>
    <col min="12" max="13" width="12" style="67" customWidth="1"/>
    <col min="14" max="14" width="14.5703125" style="67" customWidth="1"/>
    <col min="15" max="15" width="19.42578125" style="67" customWidth="1"/>
    <col min="16" max="16" width="17.140625" style="67" customWidth="1"/>
    <col min="17" max="17" width="10.140625" style="67" customWidth="1"/>
    <col min="18" max="18" width="9.7109375" style="65" bestFit="1" customWidth="1"/>
    <col min="19" max="45" width="9.140625" style="65"/>
    <col min="46" max="252" width="9.140625" style="67"/>
    <col min="253" max="253" width="6.28515625" style="67" customWidth="1"/>
    <col min="254" max="254" width="3.140625" style="67" customWidth="1"/>
    <col min="255" max="255" width="7.7109375" style="67" customWidth="1"/>
    <col min="256" max="256" width="6.7109375" style="67" customWidth="1"/>
    <col min="257" max="257" width="7.7109375" style="67" customWidth="1"/>
    <col min="258" max="258" width="7.42578125" style="67" customWidth="1"/>
    <col min="259" max="259" width="7.7109375" style="67" customWidth="1"/>
    <col min="260" max="260" width="6.7109375" style="67" customWidth="1"/>
    <col min="261" max="261" width="2.28515625" style="67" customWidth="1"/>
    <col min="262" max="262" width="9" style="67" customWidth="1"/>
    <col min="263" max="263" width="1.7109375" style="67" customWidth="1"/>
    <col min="264" max="264" width="4.42578125" style="67" customWidth="1"/>
    <col min="265" max="265" width="17.140625" style="67" customWidth="1"/>
    <col min="266" max="266" width="1.5703125" style="67" customWidth="1"/>
    <col min="267" max="267" width="10.5703125" style="67" customWidth="1"/>
    <col min="268" max="268" width="1.7109375" style="67" customWidth="1"/>
    <col min="269" max="269" width="9.85546875" style="67" customWidth="1"/>
    <col min="270" max="270" width="0.85546875" style="67" customWidth="1"/>
    <col min="271" max="271" width="10.85546875" style="67" customWidth="1"/>
    <col min="272" max="272" width="1.85546875" style="67" customWidth="1"/>
    <col min="273" max="508" width="9.140625" style="67"/>
    <col min="509" max="509" width="6.28515625" style="67" customWidth="1"/>
    <col min="510" max="510" width="3.140625" style="67" customWidth="1"/>
    <col min="511" max="511" width="7.7109375" style="67" customWidth="1"/>
    <col min="512" max="512" width="6.7109375" style="67" customWidth="1"/>
    <col min="513" max="513" width="7.7109375" style="67" customWidth="1"/>
    <col min="514" max="514" width="7.42578125" style="67" customWidth="1"/>
    <col min="515" max="515" width="7.7109375" style="67" customWidth="1"/>
    <col min="516" max="516" width="6.7109375" style="67" customWidth="1"/>
    <col min="517" max="517" width="2.28515625" style="67" customWidth="1"/>
    <col min="518" max="518" width="9" style="67" customWidth="1"/>
    <col min="519" max="519" width="1.7109375" style="67" customWidth="1"/>
    <col min="520" max="520" width="4.42578125" style="67" customWidth="1"/>
    <col min="521" max="521" width="17.140625" style="67" customWidth="1"/>
    <col min="522" max="522" width="1.5703125" style="67" customWidth="1"/>
    <col min="523" max="523" width="10.5703125" style="67" customWidth="1"/>
    <col min="524" max="524" width="1.7109375" style="67" customWidth="1"/>
    <col min="525" max="525" width="9.85546875" style="67" customWidth="1"/>
    <col min="526" max="526" width="0.85546875" style="67" customWidth="1"/>
    <col min="527" max="527" width="10.85546875" style="67" customWidth="1"/>
    <col min="528" max="528" width="1.85546875" style="67" customWidth="1"/>
    <col min="529" max="764" width="9.140625" style="67"/>
    <col min="765" max="765" width="6.28515625" style="67" customWidth="1"/>
    <col min="766" max="766" width="3.140625" style="67" customWidth="1"/>
    <col min="767" max="767" width="7.7109375" style="67" customWidth="1"/>
    <col min="768" max="768" width="6.7109375" style="67" customWidth="1"/>
    <col min="769" max="769" width="7.7109375" style="67" customWidth="1"/>
    <col min="770" max="770" width="7.42578125" style="67" customWidth="1"/>
    <col min="771" max="771" width="7.7109375" style="67" customWidth="1"/>
    <col min="772" max="772" width="6.7109375" style="67" customWidth="1"/>
    <col min="773" max="773" width="2.28515625" style="67" customWidth="1"/>
    <col min="774" max="774" width="9" style="67" customWidth="1"/>
    <col min="775" max="775" width="1.7109375" style="67" customWidth="1"/>
    <col min="776" max="776" width="4.42578125" style="67" customWidth="1"/>
    <col min="777" max="777" width="17.140625" style="67" customWidth="1"/>
    <col min="778" max="778" width="1.5703125" style="67" customWidth="1"/>
    <col min="779" max="779" width="10.5703125" style="67" customWidth="1"/>
    <col min="780" max="780" width="1.7109375" style="67" customWidth="1"/>
    <col min="781" max="781" width="9.85546875" style="67" customWidth="1"/>
    <col min="782" max="782" width="0.85546875" style="67" customWidth="1"/>
    <col min="783" max="783" width="10.85546875" style="67" customWidth="1"/>
    <col min="784" max="784" width="1.85546875" style="67" customWidth="1"/>
    <col min="785" max="1020" width="9.140625" style="67"/>
    <col min="1021" max="1021" width="6.28515625" style="67" customWidth="1"/>
    <col min="1022" max="1022" width="3.140625" style="67" customWidth="1"/>
    <col min="1023" max="1023" width="7.7109375" style="67" customWidth="1"/>
    <col min="1024" max="1024" width="6.7109375" style="67" customWidth="1"/>
    <col min="1025" max="1025" width="7.7109375" style="67" customWidth="1"/>
    <col min="1026" max="1026" width="7.42578125" style="67" customWidth="1"/>
    <col min="1027" max="1027" width="7.7109375" style="67" customWidth="1"/>
    <col min="1028" max="1028" width="6.7109375" style="67" customWidth="1"/>
    <col min="1029" max="1029" width="2.28515625" style="67" customWidth="1"/>
    <col min="1030" max="1030" width="9" style="67" customWidth="1"/>
    <col min="1031" max="1031" width="1.7109375" style="67" customWidth="1"/>
    <col min="1032" max="1032" width="4.42578125" style="67" customWidth="1"/>
    <col min="1033" max="1033" width="17.140625" style="67" customWidth="1"/>
    <col min="1034" max="1034" width="1.5703125" style="67" customWidth="1"/>
    <col min="1035" max="1035" width="10.5703125" style="67" customWidth="1"/>
    <col min="1036" max="1036" width="1.7109375" style="67" customWidth="1"/>
    <col min="1037" max="1037" width="9.85546875" style="67" customWidth="1"/>
    <col min="1038" max="1038" width="0.85546875" style="67" customWidth="1"/>
    <col min="1039" max="1039" width="10.85546875" style="67" customWidth="1"/>
    <col min="1040" max="1040" width="1.85546875" style="67" customWidth="1"/>
    <col min="1041" max="1276" width="9.140625" style="67"/>
    <col min="1277" max="1277" width="6.28515625" style="67" customWidth="1"/>
    <col min="1278" max="1278" width="3.140625" style="67" customWidth="1"/>
    <col min="1279" max="1279" width="7.7109375" style="67" customWidth="1"/>
    <col min="1280" max="1280" width="6.7109375" style="67" customWidth="1"/>
    <col min="1281" max="1281" width="7.7109375" style="67" customWidth="1"/>
    <col min="1282" max="1282" width="7.42578125" style="67" customWidth="1"/>
    <col min="1283" max="1283" width="7.7109375" style="67" customWidth="1"/>
    <col min="1284" max="1284" width="6.7109375" style="67" customWidth="1"/>
    <col min="1285" max="1285" width="2.28515625" style="67" customWidth="1"/>
    <col min="1286" max="1286" width="9" style="67" customWidth="1"/>
    <col min="1287" max="1287" width="1.7109375" style="67" customWidth="1"/>
    <col min="1288" max="1288" width="4.42578125" style="67" customWidth="1"/>
    <col min="1289" max="1289" width="17.140625" style="67" customWidth="1"/>
    <col min="1290" max="1290" width="1.5703125" style="67" customWidth="1"/>
    <col min="1291" max="1291" width="10.5703125" style="67" customWidth="1"/>
    <col min="1292" max="1292" width="1.7109375" style="67" customWidth="1"/>
    <col min="1293" max="1293" width="9.85546875" style="67" customWidth="1"/>
    <col min="1294" max="1294" width="0.85546875" style="67" customWidth="1"/>
    <col min="1295" max="1295" width="10.85546875" style="67" customWidth="1"/>
    <col min="1296" max="1296" width="1.85546875" style="67" customWidth="1"/>
    <col min="1297" max="1532" width="9.140625" style="67"/>
    <col min="1533" max="1533" width="6.28515625" style="67" customWidth="1"/>
    <col min="1534" max="1534" width="3.140625" style="67" customWidth="1"/>
    <col min="1535" max="1535" width="7.7109375" style="67" customWidth="1"/>
    <col min="1536" max="1536" width="6.7109375" style="67" customWidth="1"/>
    <col min="1537" max="1537" width="7.7109375" style="67" customWidth="1"/>
    <col min="1538" max="1538" width="7.42578125" style="67" customWidth="1"/>
    <col min="1539" max="1539" width="7.7109375" style="67" customWidth="1"/>
    <col min="1540" max="1540" width="6.7109375" style="67" customWidth="1"/>
    <col min="1541" max="1541" width="2.28515625" style="67" customWidth="1"/>
    <col min="1542" max="1542" width="9" style="67" customWidth="1"/>
    <col min="1543" max="1543" width="1.7109375" style="67" customWidth="1"/>
    <col min="1544" max="1544" width="4.42578125" style="67" customWidth="1"/>
    <col min="1545" max="1545" width="17.140625" style="67" customWidth="1"/>
    <col min="1546" max="1546" width="1.5703125" style="67" customWidth="1"/>
    <col min="1547" max="1547" width="10.5703125" style="67" customWidth="1"/>
    <col min="1548" max="1548" width="1.7109375" style="67" customWidth="1"/>
    <col min="1549" max="1549" width="9.85546875" style="67" customWidth="1"/>
    <col min="1550" max="1550" width="0.85546875" style="67" customWidth="1"/>
    <col min="1551" max="1551" width="10.85546875" style="67" customWidth="1"/>
    <col min="1552" max="1552" width="1.85546875" style="67" customWidth="1"/>
    <col min="1553" max="1788" width="9.140625" style="67"/>
    <col min="1789" max="1789" width="6.28515625" style="67" customWidth="1"/>
    <col min="1790" max="1790" width="3.140625" style="67" customWidth="1"/>
    <col min="1791" max="1791" width="7.7109375" style="67" customWidth="1"/>
    <col min="1792" max="1792" width="6.7109375" style="67" customWidth="1"/>
    <col min="1793" max="1793" width="7.7109375" style="67" customWidth="1"/>
    <col min="1794" max="1794" width="7.42578125" style="67" customWidth="1"/>
    <col min="1795" max="1795" width="7.7109375" style="67" customWidth="1"/>
    <col min="1796" max="1796" width="6.7109375" style="67" customWidth="1"/>
    <col min="1797" max="1797" width="2.28515625" style="67" customWidth="1"/>
    <col min="1798" max="1798" width="9" style="67" customWidth="1"/>
    <col min="1799" max="1799" width="1.7109375" style="67" customWidth="1"/>
    <col min="1800" max="1800" width="4.42578125" style="67" customWidth="1"/>
    <col min="1801" max="1801" width="17.140625" style="67" customWidth="1"/>
    <col min="1802" max="1802" width="1.5703125" style="67" customWidth="1"/>
    <col min="1803" max="1803" width="10.5703125" style="67" customWidth="1"/>
    <col min="1804" max="1804" width="1.7109375" style="67" customWidth="1"/>
    <col min="1805" max="1805" width="9.85546875" style="67" customWidth="1"/>
    <col min="1806" max="1806" width="0.85546875" style="67" customWidth="1"/>
    <col min="1807" max="1807" width="10.85546875" style="67" customWidth="1"/>
    <col min="1808" max="1808" width="1.85546875" style="67" customWidth="1"/>
    <col min="1809" max="2044" width="9.140625" style="67"/>
    <col min="2045" max="2045" width="6.28515625" style="67" customWidth="1"/>
    <col min="2046" max="2046" width="3.140625" style="67" customWidth="1"/>
    <col min="2047" max="2047" width="7.7109375" style="67" customWidth="1"/>
    <col min="2048" max="2048" width="6.7109375" style="67" customWidth="1"/>
    <col min="2049" max="2049" width="7.7109375" style="67" customWidth="1"/>
    <col min="2050" max="2050" width="7.42578125" style="67" customWidth="1"/>
    <col min="2051" max="2051" width="7.7109375" style="67" customWidth="1"/>
    <col min="2052" max="2052" width="6.7109375" style="67" customWidth="1"/>
    <col min="2053" max="2053" width="2.28515625" style="67" customWidth="1"/>
    <col min="2054" max="2054" width="9" style="67" customWidth="1"/>
    <col min="2055" max="2055" width="1.7109375" style="67" customWidth="1"/>
    <col min="2056" max="2056" width="4.42578125" style="67" customWidth="1"/>
    <col min="2057" max="2057" width="17.140625" style="67" customWidth="1"/>
    <col min="2058" max="2058" width="1.5703125" style="67" customWidth="1"/>
    <col min="2059" max="2059" width="10.5703125" style="67" customWidth="1"/>
    <col min="2060" max="2060" width="1.7109375" style="67" customWidth="1"/>
    <col min="2061" max="2061" width="9.85546875" style="67" customWidth="1"/>
    <col min="2062" max="2062" width="0.85546875" style="67" customWidth="1"/>
    <col min="2063" max="2063" width="10.85546875" style="67" customWidth="1"/>
    <col min="2064" max="2064" width="1.85546875" style="67" customWidth="1"/>
    <col min="2065" max="2300" width="9.140625" style="67"/>
    <col min="2301" max="2301" width="6.28515625" style="67" customWidth="1"/>
    <col min="2302" max="2302" width="3.140625" style="67" customWidth="1"/>
    <col min="2303" max="2303" width="7.7109375" style="67" customWidth="1"/>
    <col min="2304" max="2304" width="6.7109375" style="67" customWidth="1"/>
    <col min="2305" max="2305" width="7.7109375" style="67" customWidth="1"/>
    <col min="2306" max="2306" width="7.42578125" style="67" customWidth="1"/>
    <col min="2307" max="2307" width="7.7109375" style="67" customWidth="1"/>
    <col min="2308" max="2308" width="6.7109375" style="67" customWidth="1"/>
    <col min="2309" max="2309" width="2.28515625" style="67" customWidth="1"/>
    <col min="2310" max="2310" width="9" style="67" customWidth="1"/>
    <col min="2311" max="2311" width="1.7109375" style="67" customWidth="1"/>
    <col min="2312" max="2312" width="4.42578125" style="67" customWidth="1"/>
    <col min="2313" max="2313" width="17.140625" style="67" customWidth="1"/>
    <col min="2314" max="2314" width="1.5703125" style="67" customWidth="1"/>
    <col min="2315" max="2315" width="10.5703125" style="67" customWidth="1"/>
    <col min="2316" max="2316" width="1.7109375" style="67" customWidth="1"/>
    <col min="2317" max="2317" width="9.85546875" style="67" customWidth="1"/>
    <col min="2318" max="2318" width="0.85546875" style="67" customWidth="1"/>
    <col min="2319" max="2319" width="10.85546875" style="67" customWidth="1"/>
    <col min="2320" max="2320" width="1.85546875" style="67" customWidth="1"/>
    <col min="2321" max="2556" width="9.140625" style="67"/>
    <col min="2557" max="2557" width="6.28515625" style="67" customWidth="1"/>
    <col min="2558" max="2558" width="3.140625" style="67" customWidth="1"/>
    <col min="2559" max="2559" width="7.7109375" style="67" customWidth="1"/>
    <col min="2560" max="2560" width="6.7109375" style="67" customWidth="1"/>
    <col min="2561" max="2561" width="7.7109375" style="67" customWidth="1"/>
    <col min="2562" max="2562" width="7.42578125" style="67" customWidth="1"/>
    <col min="2563" max="2563" width="7.7109375" style="67" customWidth="1"/>
    <col min="2564" max="2564" width="6.7109375" style="67" customWidth="1"/>
    <col min="2565" max="2565" width="2.28515625" style="67" customWidth="1"/>
    <col min="2566" max="2566" width="9" style="67" customWidth="1"/>
    <col min="2567" max="2567" width="1.7109375" style="67" customWidth="1"/>
    <col min="2568" max="2568" width="4.42578125" style="67" customWidth="1"/>
    <col min="2569" max="2569" width="17.140625" style="67" customWidth="1"/>
    <col min="2570" max="2570" width="1.5703125" style="67" customWidth="1"/>
    <col min="2571" max="2571" width="10.5703125" style="67" customWidth="1"/>
    <col min="2572" max="2572" width="1.7109375" style="67" customWidth="1"/>
    <col min="2573" max="2573" width="9.85546875" style="67" customWidth="1"/>
    <col min="2574" max="2574" width="0.85546875" style="67" customWidth="1"/>
    <col min="2575" max="2575" width="10.85546875" style="67" customWidth="1"/>
    <col min="2576" max="2576" width="1.85546875" style="67" customWidth="1"/>
    <col min="2577" max="2812" width="9.140625" style="67"/>
    <col min="2813" max="2813" width="6.28515625" style="67" customWidth="1"/>
    <col min="2814" max="2814" width="3.140625" style="67" customWidth="1"/>
    <col min="2815" max="2815" width="7.7109375" style="67" customWidth="1"/>
    <col min="2816" max="2816" width="6.7109375" style="67" customWidth="1"/>
    <col min="2817" max="2817" width="7.7109375" style="67" customWidth="1"/>
    <col min="2818" max="2818" width="7.42578125" style="67" customWidth="1"/>
    <col min="2819" max="2819" width="7.7109375" style="67" customWidth="1"/>
    <col min="2820" max="2820" width="6.7109375" style="67" customWidth="1"/>
    <col min="2821" max="2821" width="2.28515625" style="67" customWidth="1"/>
    <col min="2822" max="2822" width="9" style="67" customWidth="1"/>
    <col min="2823" max="2823" width="1.7109375" style="67" customWidth="1"/>
    <col min="2824" max="2824" width="4.42578125" style="67" customWidth="1"/>
    <col min="2825" max="2825" width="17.140625" style="67" customWidth="1"/>
    <col min="2826" max="2826" width="1.5703125" style="67" customWidth="1"/>
    <col min="2827" max="2827" width="10.5703125" style="67" customWidth="1"/>
    <col min="2828" max="2828" width="1.7109375" style="67" customWidth="1"/>
    <col min="2829" max="2829" width="9.85546875" style="67" customWidth="1"/>
    <col min="2830" max="2830" width="0.85546875" style="67" customWidth="1"/>
    <col min="2831" max="2831" width="10.85546875" style="67" customWidth="1"/>
    <col min="2832" max="2832" width="1.85546875" style="67" customWidth="1"/>
    <col min="2833" max="3068" width="9.140625" style="67"/>
    <col min="3069" max="3069" width="6.28515625" style="67" customWidth="1"/>
    <col min="3070" max="3070" width="3.140625" style="67" customWidth="1"/>
    <col min="3071" max="3071" width="7.7109375" style="67" customWidth="1"/>
    <col min="3072" max="3072" width="6.7109375" style="67" customWidth="1"/>
    <col min="3073" max="3073" width="7.7109375" style="67" customWidth="1"/>
    <col min="3074" max="3074" width="7.42578125" style="67" customWidth="1"/>
    <col min="3075" max="3075" width="7.7109375" style="67" customWidth="1"/>
    <col min="3076" max="3076" width="6.7109375" style="67" customWidth="1"/>
    <col min="3077" max="3077" width="2.28515625" style="67" customWidth="1"/>
    <col min="3078" max="3078" width="9" style="67" customWidth="1"/>
    <col min="3079" max="3079" width="1.7109375" style="67" customWidth="1"/>
    <col min="3080" max="3080" width="4.42578125" style="67" customWidth="1"/>
    <col min="3081" max="3081" width="17.140625" style="67" customWidth="1"/>
    <col min="3082" max="3082" width="1.5703125" style="67" customWidth="1"/>
    <col min="3083" max="3083" width="10.5703125" style="67" customWidth="1"/>
    <col min="3084" max="3084" width="1.7109375" style="67" customWidth="1"/>
    <col min="3085" max="3085" width="9.85546875" style="67" customWidth="1"/>
    <col min="3086" max="3086" width="0.85546875" style="67" customWidth="1"/>
    <col min="3087" max="3087" width="10.85546875" style="67" customWidth="1"/>
    <col min="3088" max="3088" width="1.85546875" style="67" customWidth="1"/>
    <col min="3089" max="3324" width="9.140625" style="67"/>
    <col min="3325" max="3325" width="6.28515625" style="67" customWidth="1"/>
    <col min="3326" max="3326" width="3.140625" style="67" customWidth="1"/>
    <col min="3327" max="3327" width="7.7109375" style="67" customWidth="1"/>
    <col min="3328" max="3328" width="6.7109375" style="67" customWidth="1"/>
    <col min="3329" max="3329" width="7.7109375" style="67" customWidth="1"/>
    <col min="3330" max="3330" width="7.42578125" style="67" customWidth="1"/>
    <col min="3331" max="3331" width="7.7109375" style="67" customWidth="1"/>
    <col min="3332" max="3332" width="6.7109375" style="67" customWidth="1"/>
    <col min="3333" max="3333" width="2.28515625" style="67" customWidth="1"/>
    <col min="3334" max="3334" width="9" style="67" customWidth="1"/>
    <col min="3335" max="3335" width="1.7109375" style="67" customWidth="1"/>
    <col min="3336" max="3336" width="4.42578125" style="67" customWidth="1"/>
    <col min="3337" max="3337" width="17.140625" style="67" customWidth="1"/>
    <col min="3338" max="3338" width="1.5703125" style="67" customWidth="1"/>
    <col min="3339" max="3339" width="10.5703125" style="67" customWidth="1"/>
    <col min="3340" max="3340" width="1.7109375" style="67" customWidth="1"/>
    <col min="3341" max="3341" width="9.85546875" style="67" customWidth="1"/>
    <col min="3342" max="3342" width="0.85546875" style="67" customWidth="1"/>
    <col min="3343" max="3343" width="10.85546875" style="67" customWidth="1"/>
    <col min="3344" max="3344" width="1.85546875" style="67" customWidth="1"/>
    <col min="3345" max="3580" width="9.140625" style="67"/>
    <col min="3581" max="3581" width="6.28515625" style="67" customWidth="1"/>
    <col min="3582" max="3582" width="3.140625" style="67" customWidth="1"/>
    <col min="3583" max="3583" width="7.7109375" style="67" customWidth="1"/>
    <col min="3584" max="3584" width="6.7109375" style="67" customWidth="1"/>
    <col min="3585" max="3585" width="7.7109375" style="67" customWidth="1"/>
    <col min="3586" max="3586" width="7.42578125" style="67" customWidth="1"/>
    <col min="3587" max="3587" width="7.7109375" style="67" customWidth="1"/>
    <col min="3588" max="3588" width="6.7109375" style="67" customWidth="1"/>
    <col min="3589" max="3589" width="2.28515625" style="67" customWidth="1"/>
    <col min="3590" max="3590" width="9" style="67" customWidth="1"/>
    <col min="3591" max="3591" width="1.7109375" style="67" customWidth="1"/>
    <col min="3592" max="3592" width="4.42578125" style="67" customWidth="1"/>
    <col min="3593" max="3593" width="17.140625" style="67" customWidth="1"/>
    <col min="3594" max="3594" width="1.5703125" style="67" customWidth="1"/>
    <col min="3595" max="3595" width="10.5703125" style="67" customWidth="1"/>
    <col min="3596" max="3596" width="1.7109375" style="67" customWidth="1"/>
    <col min="3597" max="3597" width="9.85546875" style="67" customWidth="1"/>
    <col min="3598" max="3598" width="0.85546875" style="67" customWidth="1"/>
    <col min="3599" max="3599" width="10.85546875" style="67" customWidth="1"/>
    <col min="3600" max="3600" width="1.85546875" style="67" customWidth="1"/>
    <col min="3601" max="3836" width="9.140625" style="67"/>
    <col min="3837" max="3837" width="6.28515625" style="67" customWidth="1"/>
    <col min="3838" max="3838" width="3.140625" style="67" customWidth="1"/>
    <col min="3839" max="3839" width="7.7109375" style="67" customWidth="1"/>
    <col min="3840" max="3840" width="6.7109375" style="67" customWidth="1"/>
    <col min="3841" max="3841" width="7.7109375" style="67" customWidth="1"/>
    <col min="3842" max="3842" width="7.42578125" style="67" customWidth="1"/>
    <col min="3843" max="3843" width="7.7109375" style="67" customWidth="1"/>
    <col min="3844" max="3844" width="6.7109375" style="67" customWidth="1"/>
    <col min="3845" max="3845" width="2.28515625" style="67" customWidth="1"/>
    <col min="3846" max="3846" width="9" style="67" customWidth="1"/>
    <col min="3847" max="3847" width="1.7109375" style="67" customWidth="1"/>
    <col min="3848" max="3848" width="4.42578125" style="67" customWidth="1"/>
    <col min="3849" max="3849" width="17.140625" style="67" customWidth="1"/>
    <col min="3850" max="3850" width="1.5703125" style="67" customWidth="1"/>
    <col min="3851" max="3851" width="10.5703125" style="67" customWidth="1"/>
    <col min="3852" max="3852" width="1.7109375" style="67" customWidth="1"/>
    <col min="3853" max="3853" width="9.85546875" style="67" customWidth="1"/>
    <col min="3854" max="3854" width="0.85546875" style="67" customWidth="1"/>
    <col min="3855" max="3855" width="10.85546875" style="67" customWidth="1"/>
    <col min="3856" max="3856" width="1.85546875" style="67" customWidth="1"/>
    <col min="3857" max="4092" width="9.140625" style="67"/>
    <col min="4093" max="4093" width="6.28515625" style="67" customWidth="1"/>
    <col min="4094" max="4094" width="3.140625" style="67" customWidth="1"/>
    <col min="4095" max="4095" width="7.7109375" style="67" customWidth="1"/>
    <col min="4096" max="4096" width="6.7109375" style="67" customWidth="1"/>
    <col min="4097" max="4097" width="7.7109375" style="67" customWidth="1"/>
    <col min="4098" max="4098" width="7.42578125" style="67" customWidth="1"/>
    <col min="4099" max="4099" width="7.7109375" style="67" customWidth="1"/>
    <col min="4100" max="4100" width="6.7109375" style="67" customWidth="1"/>
    <col min="4101" max="4101" width="2.28515625" style="67" customWidth="1"/>
    <col min="4102" max="4102" width="9" style="67" customWidth="1"/>
    <col min="4103" max="4103" width="1.7109375" style="67" customWidth="1"/>
    <col min="4104" max="4104" width="4.42578125" style="67" customWidth="1"/>
    <col min="4105" max="4105" width="17.140625" style="67" customWidth="1"/>
    <col min="4106" max="4106" width="1.5703125" style="67" customWidth="1"/>
    <col min="4107" max="4107" width="10.5703125" style="67" customWidth="1"/>
    <col min="4108" max="4108" width="1.7109375" style="67" customWidth="1"/>
    <col min="4109" max="4109" width="9.85546875" style="67" customWidth="1"/>
    <col min="4110" max="4110" width="0.85546875" style="67" customWidth="1"/>
    <col min="4111" max="4111" width="10.85546875" style="67" customWidth="1"/>
    <col min="4112" max="4112" width="1.85546875" style="67" customWidth="1"/>
    <col min="4113" max="4348" width="9.140625" style="67"/>
    <col min="4349" max="4349" width="6.28515625" style="67" customWidth="1"/>
    <col min="4350" max="4350" width="3.140625" style="67" customWidth="1"/>
    <col min="4351" max="4351" width="7.7109375" style="67" customWidth="1"/>
    <col min="4352" max="4352" width="6.7109375" style="67" customWidth="1"/>
    <col min="4353" max="4353" width="7.7109375" style="67" customWidth="1"/>
    <col min="4354" max="4354" width="7.42578125" style="67" customWidth="1"/>
    <col min="4355" max="4355" width="7.7109375" style="67" customWidth="1"/>
    <col min="4356" max="4356" width="6.7109375" style="67" customWidth="1"/>
    <col min="4357" max="4357" width="2.28515625" style="67" customWidth="1"/>
    <col min="4358" max="4358" width="9" style="67" customWidth="1"/>
    <col min="4359" max="4359" width="1.7109375" style="67" customWidth="1"/>
    <col min="4360" max="4360" width="4.42578125" style="67" customWidth="1"/>
    <col min="4361" max="4361" width="17.140625" style="67" customWidth="1"/>
    <col min="4362" max="4362" width="1.5703125" style="67" customWidth="1"/>
    <col min="4363" max="4363" width="10.5703125" style="67" customWidth="1"/>
    <col min="4364" max="4364" width="1.7109375" style="67" customWidth="1"/>
    <col min="4365" max="4365" width="9.85546875" style="67" customWidth="1"/>
    <col min="4366" max="4366" width="0.85546875" style="67" customWidth="1"/>
    <col min="4367" max="4367" width="10.85546875" style="67" customWidth="1"/>
    <col min="4368" max="4368" width="1.85546875" style="67" customWidth="1"/>
    <col min="4369" max="4604" width="9.140625" style="67"/>
    <col min="4605" max="4605" width="6.28515625" style="67" customWidth="1"/>
    <col min="4606" max="4606" width="3.140625" style="67" customWidth="1"/>
    <col min="4607" max="4607" width="7.7109375" style="67" customWidth="1"/>
    <col min="4608" max="4608" width="6.7109375" style="67" customWidth="1"/>
    <col min="4609" max="4609" width="7.7109375" style="67" customWidth="1"/>
    <col min="4610" max="4610" width="7.42578125" style="67" customWidth="1"/>
    <col min="4611" max="4611" width="7.7109375" style="67" customWidth="1"/>
    <col min="4612" max="4612" width="6.7109375" style="67" customWidth="1"/>
    <col min="4613" max="4613" width="2.28515625" style="67" customWidth="1"/>
    <col min="4614" max="4614" width="9" style="67" customWidth="1"/>
    <col min="4615" max="4615" width="1.7109375" style="67" customWidth="1"/>
    <col min="4616" max="4616" width="4.42578125" style="67" customWidth="1"/>
    <col min="4617" max="4617" width="17.140625" style="67" customWidth="1"/>
    <col min="4618" max="4618" width="1.5703125" style="67" customWidth="1"/>
    <col min="4619" max="4619" width="10.5703125" style="67" customWidth="1"/>
    <col min="4620" max="4620" width="1.7109375" style="67" customWidth="1"/>
    <col min="4621" max="4621" width="9.85546875" style="67" customWidth="1"/>
    <col min="4622" max="4622" width="0.85546875" style="67" customWidth="1"/>
    <col min="4623" max="4623" width="10.85546875" style="67" customWidth="1"/>
    <col min="4624" max="4624" width="1.85546875" style="67" customWidth="1"/>
    <col min="4625" max="4860" width="9.140625" style="67"/>
    <col min="4861" max="4861" width="6.28515625" style="67" customWidth="1"/>
    <col min="4862" max="4862" width="3.140625" style="67" customWidth="1"/>
    <col min="4863" max="4863" width="7.7109375" style="67" customWidth="1"/>
    <col min="4864" max="4864" width="6.7109375" style="67" customWidth="1"/>
    <col min="4865" max="4865" width="7.7109375" style="67" customWidth="1"/>
    <col min="4866" max="4866" width="7.42578125" style="67" customWidth="1"/>
    <col min="4867" max="4867" width="7.7109375" style="67" customWidth="1"/>
    <col min="4868" max="4868" width="6.7109375" style="67" customWidth="1"/>
    <col min="4869" max="4869" width="2.28515625" style="67" customWidth="1"/>
    <col min="4870" max="4870" width="9" style="67" customWidth="1"/>
    <col min="4871" max="4871" width="1.7109375" style="67" customWidth="1"/>
    <col min="4872" max="4872" width="4.42578125" style="67" customWidth="1"/>
    <col min="4873" max="4873" width="17.140625" style="67" customWidth="1"/>
    <col min="4874" max="4874" width="1.5703125" style="67" customWidth="1"/>
    <col min="4875" max="4875" width="10.5703125" style="67" customWidth="1"/>
    <col min="4876" max="4876" width="1.7109375" style="67" customWidth="1"/>
    <col min="4877" max="4877" width="9.85546875" style="67" customWidth="1"/>
    <col min="4878" max="4878" width="0.85546875" style="67" customWidth="1"/>
    <col min="4879" max="4879" width="10.85546875" style="67" customWidth="1"/>
    <col min="4880" max="4880" width="1.85546875" style="67" customWidth="1"/>
    <col min="4881" max="5116" width="9.140625" style="67"/>
    <col min="5117" max="5117" width="6.28515625" style="67" customWidth="1"/>
    <col min="5118" max="5118" width="3.140625" style="67" customWidth="1"/>
    <col min="5119" max="5119" width="7.7109375" style="67" customWidth="1"/>
    <col min="5120" max="5120" width="6.7109375" style="67" customWidth="1"/>
    <col min="5121" max="5121" width="7.7109375" style="67" customWidth="1"/>
    <col min="5122" max="5122" width="7.42578125" style="67" customWidth="1"/>
    <col min="5123" max="5123" width="7.7109375" style="67" customWidth="1"/>
    <col min="5124" max="5124" width="6.7109375" style="67" customWidth="1"/>
    <col min="5125" max="5125" width="2.28515625" style="67" customWidth="1"/>
    <col min="5126" max="5126" width="9" style="67" customWidth="1"/>
    <col min="5127" max="5127" width="1.7109375" style="67" customWidth="1"/>
    <col min="5128" max="5128" width="4.42578125" style="67" customWidth="1"/>
    <col min="5129" max="5129" width="17.140625" style="67" customWidth="1"/>
    <col min="5130" max="5130" width="1.5703125" style="67" customWidth="1"/>
    <col min="5131" max="5131" width="10.5703125" style="67" customWidth="1"/>
    <col min="5132" max="5132" width="1.7109375" style="67" customWidth="1"/>
    <col min="5133" max="5133" width="9.85546875" style="67" customWidth="1"/>
    <col min="5134" max="5134" width="0.85546875" style="67" customWidth="1"/>
    <col min="5135" max="5135" width="10.85546875" style="67" customWidth="1"/>
    <col min="5136" max="5136" width="1.85546875" style="67" customWidth="1"/>
    <col min="5137" max="5372" width="9.140625" style="67"/>
    <col min="5373" max="5373" width="6.28515625" style="67" customWidth="1"/>
    <col min="5374" max="5374" width="3.140625" style="67" customWidth="1"/>
    <col min="5375" max="5375" width="7.7109375" style="67" customWidth="1"/>
    <col min="5376" max="5376" width="6.7109375" style="67" customWidth="1"/>
    <col min="5377" max="5377" width="7.7109375" style="67" customWidth="1"/>
    <col min="5378" max="5378" width="7.42578125" style="67" customWidth="1"/>
    <col min="5379" max="5379" width="7.7109375" style="67" customWidth="1"/>
    <col min="5380" max="5380" width="6.7109375" style="67" customWidth="1"/>
    <col min="5381" max="5381" width="2.28515625" style="67" customWidth="1"/>
    <col min="5382" max="5382" width="9" style="67" customWidth="1"/>
    <col min="5383" max="5383" width="1.7109375" style="67" customWidth="1"/>
    <col min="5384" max="5384" width="4.42578125" style="67" customWidth="1"/>
    <col min="5385" max="5385" width="17.140625" style="67" customWidth="1"/>
    <col min="5386" max="5386" width="1.5703125" style="67" customWidth="1"/>
    <col min="5387" max="5387" width="10.5703125" style="67" customWidth="1"/>
    <col min="5388" max="5388" width="1.7109375" style="67" customWidth="1"/>
    <col min="5389" max="5389" width="9.85546875" style="67" customWidth="1"/>
    <col min="5390" max="5390" width="0.85546875" style="67" customWidth="1"/>
    <col min="5391" max="5391" width="10.85546875" style="67" customWidth="1"/>
    <col min="5392" max="5392" width="1.85546875" style="67" customWidth="1"/>
    <col min="5393" max="5628" width="9.140625" style="67"/>
    <col min="5629" max="5629" width="6.28515625" style="67" customWidth="1"/>
    <col min="5630" max="5630" width="3.140625" style="67" customWidth="1"/>
    <col min="5631" max="5631" width="7.7109375" style="67" customWidth="1"/>
    <col min="5632" max="5632" width="6.7109375" style="67" customWidth="1"/>
    <col min="5633" max="5633" width="7.7109375" style="67" customWidth="1"/>
    <col min="5634" max="5634" width="7.42578125" style="67" customWidth="1"/>
    <col min="5635" max="5635" width="7.7109375" style="67" customWidth="1"/>
    <col min="5636" max="5636" width="6.7109375" style="67" customWidth="1"/>
    <col min="5637" max="5637" width="2.28515625" style="67" customWidth="1"/>
    <col min="5638" max="5638" width="9" style="67" customWidth="1"/>
    <col min="5639" max="5639" width="1.7109375" style="67" customWidth="1"/>
    <col min="5640" max="5640" width="4.42578125" style="67" customWidth="1"/>
    <col min="5641" max="5641" width="17.140625" style="67" customWidth="1"/>
    <col min="5642" max="5642" width="1.5703125" style="67" customWidth="1"/>
    <col min="5643" max="5643" width="10.5703125" style="67" customWidth="1"/>
    <col min="5644" max="5644" width="1.7109375" style="67" customWidth="1"/>
    <col min="5645" max="5645" width="9.85546875" style="67" customWidth="1"/>
    <col min="5646" max="5646" width="0.85546875" style="67" customWidth="1"/>
    <col min="5647" max="5647" width="10.85546875" style="67" customWidth="1"/>
    <col min="5648" max="5648" width="1.85546875" style="67" customWidth="1"/>
    <col min="5649" max="5884" width="9.140625" style="67"/>
    <col min="5885" max="5885" width="6.28515625" style="67" customWidth="1"/>
    <col min="5886" max="5886" width="3.140625" style="67" customWidth="1"/>
    <col min="5887" max="5887" width="7.7109375" style="67" customWidth="1"/>
    <col min="5888" max="5888" width="6.7109375" style="67" customWidth="1"/>
    <col min="5889" max="5889" width="7.7109375" style="67" customWidth="1"/>
    <col min="5890" max="5890" width="7.42578125" style="67" customWidth="1"/>
    <col min="5891" max="5891" width="7.7109375" style="67" customWidth="1"/>
    <col min="5892" max="5892" width="6.7109375" style="67" customWidth="1"/>
    <col min="5893" max="5893" width="2.28515625" style="67" customWidth="1"/>
    <col min="5894" max="5894" width="9" style="67" customWidth="1"/>
    <col min="5895" max="5895" width="1.7109375" style="67" customWidth="1"/>
    <col min="5896" max="5896" width="4.42578125" style="67" customWidth="1"/>
    <col min="5897" max="5897" width="17.140625" style="67" customWidth="1"/>
    <col min="5898" max="5898" width="1.5703125" style="67" customWidth="1"/>
    <col min="5899" max="5899" width="10.5703125" style="67" customWidth="1"/>
    <col min="5900" max="5900" width="1.7109375" style="67" customWidth="1"/>
    <col min="5901" max="5901" width="9.85546875" style="67" customWidth="1"/>
    <col min="5902" max="5902" width="0.85546875" style="67" customWidth="1"/>
    <col min="5903" max="5903" width="10.85546875" style="67" customWidth="1"/>
    <col min="5904" max="5904" width="1.85546875" style="67" customWidth="1"/>
    <col min="5905" max="6140" width="9.140625" style="67"/>
    <col min="6141" max="6141" width="6.28515625" style="67" customWidth="1"/>
    <col min="6142" max="6142" width="3.140625" style="67" customWidth="1"/>
    <col min="6143" max="6143" width="7.7109375" style="67" customWidth="1"/>
    <col min="6144" max="6144" width="6.7109375" style="67" customWidth="1"/>
    <col min="6145" max="6145" width="7.7109375" style="67" customWidth="1"/>
    <col min="6146" max="6146" width="7.42578125" style="67" customWidth="1"/>
    <col min="6147" max="6147" width="7.7109375" style="67" customWidth="1"/>
    <col min="6148" max="6148" width="6.7109375" style="67" customWidth="1"/>
    <col min="6149" max="6149" width="2.28515625" style="67" customWidth="1"/>
    <col min="6150" max="6150" width="9" style="67" customWidth="1"/>
    <col min="6151" max="6151" width="1.7109375" style="67" customWidth="1"/>
    <col min="6152" max="6152" width="4.42578125" style="67" customWidth="1"/>
    <col min="6153" max="6153" width="17.140625" style="67" customWidth="1"/>
    <col min="6154" max="6154" width="1.5703125" style="67" customWidth="1"/>
    <col min="6155" max="6155" width="10.5703125" style="67" customWidth="1"/>
    <col min="6156" max="6156" width="1.7109375" style="67" customWidth="1"/>
    <col min="6157" max="6157" width="9.85546875" style="67" customWidth="1"/>
    <col min="6158" max="6158" width="0.85546875" style="67" customWidth="1"/>
    <col min="6159" max="6159" width="10.85546875" style="67" customWidth="1"/>
    <col min="6160" max="6160" width="1.85546875" style="67" customWidth="1"/>
    <col min="6161" max="6396" width="9.140625" style="67"/>
    <col min="6397" max="6397" width="6.28515625" style="67" customWidth="1"/>
    <col min="6398" max="6398" width="3.140625" style="67" customWidth="1"/>
    <col min="6399" max="6399" width="7.7109375" style="67" customWidth="1"/>
    <col min="6400" max="6400" width="6.7109375" style="67" customWidth="1"/>
    <col min="6401" max="6401" width="7.7109375" style="67" customWidth="1"/>
    <col min="6402" max="6402" width="7.42578125" style="67" customWidth="1"/>
    <col min="6403" max="6403" width="7.7109375" style="67" customWidth="1"/>
    <col min="6404" max="6404" width="6.7109375" style="67" customWidth="1"/>
    <col min="6405" max="6405" width="2.28515625" style="67" customWidth="1"/>
    <col min="6406" max="6406" width="9" style="67" customWidth="1"/>
    <col min="6407" max="6407" width="1.7109375" style="67" customWidth="1"/>
    <col min="6408" max="6408" width="4.42578125" style="67" customWidth="1"/>
    <col min="6409" max="6409" width="17.140625" style="67" customWidth="1"/>
    <col min="6410" max="6410" width="1.5703125" style="67" customWidth="1"/>
    <col min="6411" max="6411" width="10.5703125" style="67" customWidth="1"/>
    <col min="6412" max="6412" width="1.7109375" style="67" customWidth="1"/>
    <col min="6413" max="6413" width="9.85546875" style="67" customWidth="1"/>
    <col min="6414" max="6414" width="0.85546875" style="67" customWidth="1"/>
    <col min="6415" max="6415" width="10.85546875" style="67" customWidth="1"/>
    <col min="6416" max="6416" width="1.85546875" style="67" customWidth="1"/>
    <col min="6417" max="6652" width="9.140625" style="67"/>
    <col min="6653" max="6653" width="6.28515625" style="67" customWidth="1"/>
    <col min="6654" max="6654" width="3.140625" style="67" customWidth="1"/>
    <col min="6655" max="6655" width="7.7109375" style="67" customWidth="1"/>
    <col min="6656" max="6656" width="6.7109375" style="67" customWidth="1"/>
    <col min="6657" max="6657" width="7.7109375" style="67" customWidth="1"/>
    <col min="6658" max="6658" width="7.42578125" style="67" customWidth="1"/>
    <col min="6659" max="6659" width="7.7109375" style="67" customWidth="1"/>
    <col min="6660" max="6660" width="6.7109375" style="67" customWidth="1"/>
    <col min="6661" max="6661" width="2.28515625" style="67" customWidth="1"/>
    <col min="6662" max="6662" width="9" style="67" customWidth="1"/>
    <col min="6663" max="6663" width="1.7109375" style="67" customWidth="1"/>
    <col min="6664" max="6664" width="4.42578125" style="67" customWidth="1"/>
    <col min="6665" max="6665" width="17.140625" style="67" customWidth="1"/>
    <col min="6666" max="6666" width="1.5703125" style="67" customWidth="1"/>
    <col min="6667" max="6667" width="10.5703125" style="67" customWidth="1"/>
    <col min="6668" max="6668" width="1.7109375" style="67" customWidth="1"/>
    <col min="6669" max="6669" width="9.85546875" style="67" customWidth="1"/>
    <col min="6670" max="6670" width="0.85546875" style="67" customWidth="1"/>
    <col min="6671" max="6671" width="10.85546875" style="67" customWidth="1"/>
    <col min="6672" max="6672" width="1.85546875" style="67" customWidth="1"/>
    <col min="6673" max="6908" width="9.140625" style="67"/>
    <col min="6909" max="6909" width="6.28515625" style="67" customWidth="1"/>
    <col min="6910" max="6910" width="3.140625" style="67" customWidth="1"/>
    <col min="6911" max="6911" width="7.7109375" style="67" customWidth="1"/>
    <col min="6912" max="6912" width="6.7109375" style="67" customWidth="1"/>
    <col min="6913" max="6913" width="7.7109375" style="67" customWidth="1"/>
    <col min="6914" max="6914" width="7.42578125" style="67" customWidth="1"/>
    <col min="6915" max="6915" width="7.7109375" style="67" customWidth="1"/>
    <col min="6916" max="6916" width="6.7109375" style="67" customWidth="1"/>
    <col min="6917" max="6917" width="2.28515625" style="67" customWidth="1"/>
    <col min="6918" max="6918" width="9" style="67" customWidth="1"/>
    <col min="6919" max="6919" width="1.7109375" style="67" customWidth="1"/>
    <col min="6920" max="6920" width="4.42578125" style="67" customWidth="1"/>
    <col min="6921" max="6921" width="17.140625" style="67" customWidth="1"/>
    <col min="6922" max="6922" width="1.5703125" style="67" customWidth="1"/>
    <col min="6923" max="6923" width="10.5703125" style="67" customWidth="1"/>
    <col min="6924" max="6924" width="1.7109375" style="67" customWidth="1"/>
    <col min="6925" max="6925" width="9.85546875" style="67" customWidth="1"/>
    <col min="6926" max="6926" width="0.85546875" style="67" customWidth="1"/>
    <col min="6927" max="6927" width="10.85546875" style="67" customWidth="1"/>
    <col min="6928" max="6928" width="1.85546875" style="67" customWidth="1"/>
    <col min="6929" max="7164" width="9.140625" style="67"/>
    <col min="7165" max="7165" width="6.28515625" style="67" customWidth="1"/>
    <col min="7166" max="7166" width="3.140625" style="67" customWidth="1"/>
    <col min="7167" max="7167" width="7.7109375" style="67" customWidth="1"/>
    <col min="7168" max="7168" width="6.7109375" style="67" customWidth="1"/>
    <col min="7169" max="7169" width="7.7109375" style="67" customWidth="1"/>
    <col min="7170" max="7170" width="7.42578125" style="67" customWidth="1"/>
    <col min="7171" max="7171" width="7.7109375" style="67" customWidth="1"/>
    <col min="7172" max="7172" width="6.7109375" style="67" customWidth="1"/>
    <col min="7173" max="7173" width="2.28515625" style="67" customWidth="1"/>
    <col min="7174" max="7174" width="9" style="67" customWidth="1"/>
    <col min="7175" max="7175" width="1.7109375" style="67" customWidth="1"/>
    <col min="7176" max="7176" width="4.42578125" style="67" customWidth="1"/>
    <col min="7177" max="7177" width="17.140625" style="67" customWidth="1"/>
    <col min="7178" max="7178" width="1.5703125" style="67" customWidth="1"/>
    <col min="7179" max="7179" width="10.5703125" style="67" customWidth="1"/>
    <col min="7180" max="7180" width="1.7109375" style="67" customWidth="1"/>
    <col min="7181" max="7181" width="9.85546875" style="67" customWidth="1"/>
    <col min="7182" max="7182" width="0.85546875" style="67" customWidth="1"/>
    <col min="7183" max="7183" width="10.85546875" style="67" customWidth="1"/>
    <col min="7184" max="7184" width="1.85546875" style="67" customWidth="1"/>
    <col min="7185" max="7420" width="9.140625" style="67"/>
    <col min="7421" max="7421" width="6.28515625" style="67" customWidth="1"/>
    <col min="7422" max="7422" width="3.140625" style="67" customWidth="1"/>
    <col min="7423" max="7423" width="7.7109375" style="67" customWidth="1"/>
    <col min="7424" max="7424" width="6.7109375" style="67" customWidth="1"/>
    <col min="7425" max="7425" width="7.7109375" style="67" customWidth="1"/>
    <col min="7426" max="7426" width="7.42578125" style="67" customWidth="1"/>
    <col min="7427" max="7427" width="7.7109375" style="67" customWidth="1"/>
    <col min="7428" max="7428" width="6.7109375" style="67" customWidth="1"/>
    <col min="7429" max="7429" width="2.28515625" style="67" customWidth="1"/>
    <col min="7430" max="7430" width="9" style="67" customWidth="1"/>
    <col min="7431" max="7431" width="1.7109375" style="67" customWidth="1"/>
    <col min="7432" max="7432" width="4.42578125" style="67" customWidth="1"/>
    <col min="7433" max="7433" width="17.140625" style="67" customWidth="1"/>
    <col min="7434" max="7434" width="1.5703125" style="67" customWidth="1"/>
    <col min="7435" max="7435" width="10.5703125" style="67" customWidth="1"/>
    <col min="7436" max="7436" width="1.7109375" style="67" customWidth="1"/>
    <col min="7437" max="7437" width="9.85546875" style="67" customWidth="1"/>
    <col min="7438" max="7438" width="0.85546875" style="67" customWidth="1"/>
    <col min="7439" max="7439" width="10.85546875" style="67" customWidth="1"/>
    <col min="7440" max="7440" width="1.85546875" style="67" customWidth="1"/>
    <col min="7441" max="7676" width="9.140625" style="67"/>
    <col min="7677" max="7677" width="6.28515625" style="67" customWidth="1"/>
    <col min="7678" max="7678" width="3.140625" style="67" customWidth="1"/>
    <col min="7679" max="7679" width="7.7109375" style="67" customWidth="1"/>
    <col min="7680" max="7680" width="6.7109375" style="67" customWidth="1"/>
    <col min="7681" max="7681" width="7.7109375" style="67" customWidth="1"/>
    <col min="7682" max="7682" width="7.42578125" style="67" customWidth="1"/>
    <col min="7683" max="7683" width="7.7109375" style="67" customWidth="1"/>
    <col min="7684" max="7684" width="6.7109375" style="67" customWidth="1"/>
    <col min="7685" max="7685" width="2.28515625" style="67" customWidth="1"/>
    <col min="7686" max="7686" width="9" style="67" customWidth="1"/>
    <col min="7687" max="7687" width="1.7109375" style="67" customWidth="1"/>
    <col min="7688" max="7688" width="4.42578125" style="67" customWidth="1"/>
    <col min="7689" max="7689" width="17.140625" style="67" customWidth="1"/>
    <col min="7690" max="7690" width="1.5703125" style="67" customWidth="1"/>
    <col min="7691" max="7691" width="10.5703125" style="67" customWidth="1"/>
    <col min="7692" max="7692" width="1.7109375" style="67" customWidth="1"/>
    <col min="7693" max="7693" width="9.85546875" style="67" customWidth="1"/>
    <col min="7694" max="7694" width="0.85546875" style="67" customWidth="1"/>
    <col min="7695" max="7695" width="10.85546875" style="67" customWidth="1"/>
    <col min="7696" max="7696" width="1.85546875" style="67" customWidth="1"/>
    <col min="7697" max="7932" width="9.140625" style="67"/>
    <col min="7933" max="7933" width="6.28515625" style="67" customWidth="1"/>
    <col min="7934" max="7934" width="3.140625" style="67" customWidth="1"/>
    <col min="7935" max="7935" width="7.7109375" style="67" customWidth="1"/>
    <col min="7936" max="7936" width="6.7109375" style="67" customWidth="1"/>
    <col min="7937" max="7937" width="7.7109375" style="67" customWidth="1"/>
    <col min="7938" max="7938" width="7.42578125" style="67" customWidth="1"/>
    <col min="7939" max="7939" width="7.7109375" style="67" customWidth="1"/>
    <col min="7940" max="7940" width="6.7109375" style="67" customWidth="1"/>
    <col min="7941" max="7941" width="2.28515625" style="67" customWidth="1"/>
    <col min="7942" max="7942" width="9" style="67" customWidth="1"/>
    <col min="7943" max="7943" width="1.7109375" style="67" customWidth="1"/>
    <col min="7944" max="7944" width="4.42578125" style="67" customWidth="1"/>
    <col min="7945" max="7945" width="17.140625" style="67" customWidth="1"/>
    <col min="7946" max="7946" width="1.5703125" style="67" customWidth="1"/>
    <col min="7947" max="7947" width="10.5703125" style="67" customWidth="1"/>
    <col min="7948" max="7948" width="1.7109375" style="67" customWidth="1"/>
    <col min="7949" max="7949" width="9.85546875" style="67" customWidth="1"/>
    <col min="7950" max="7950" width="0.85546875" style="67" customWidth="1"/>
    <col min="7951" max="7951" width="10.85546875" style="67" customWidth="1"/>
    <col min="7952" max="7952" width="1.85546875" style="67" customWidth="1"/>
    <col min="7953" max="8188" width="9.140625" style="67"/>
    <col min="8189" max="8189" width="6.28515625" style="67" customWidth="1"/>
    <col min="8190" max="8190" width="3.140625" style="67" customWidth="1"/>
    <col min="8191" max="8191" width="7.7109375" style="67" customWidth="1"/>
    <col min="8192" max="8192" width="6.7109375" style="67" customWidth="1"/>
    <col min="8193" max="8193" width="7.7109375" style="67" customWidth="1"/>
    <col min="8194" max="8194" width="7.42578125" style="67" customWidth="1"/>
    <col min="8195" max="8195" width="7.7109375" style="67" customWidth="1"/>
    <col min="8196" max="8196" width="6.7109375" style="67" customWidth="1"/>
    <col min="8197" max="8197" width="2.28515625" style="67" customWidth="1"/>
    <col min="8198" max="8198" width="9" style="67" customWidth="1"/>
    <col min="8199" max="8199" width="1.7109375" style="67" customWidth="1"/>
    <col min="8200" max="8200" width="4.42578125" style="67" customWidth="1"/>
    <col min="8201" max="8201" width="17.140625" style="67" customWidth="1"/>
    <col min="8202" max="8202" width="1.5703125" style="67" customWidth="1"/>
    <col min="8203" max="8203" width="10.5703125" style="67" customWidth="1"/>
    <col min="8204" max="8204" width="1.7109375" style="67" customWidth="1"/>
    <col min="8205" max="8205" width="9.85546875" style="67" customWidth="1"/>
    <col min="8206" max="8206" width="0.85546875" style="67" customWidth="1"/>
    <col min="8207" max="8207" width="10.85546875" style="67" customWidth="1"/>
    <col min="8208" max="8208" width="1.85546875" style="67" customWidth="1"/>
    <col min="8209" max="8444" width="9.140625" style="67"/>
    <col min="8445" max="8445" width="6.28515625" style="67" customWidth="1"/>
    <col min="8446" max="8446" width="3.140625" style="67" customWidth="1"/>
    <col min="8447" max="8447" width="7.7109375" style="67" customWidth="1"/>
    <col min="8448" max="8448" width="6.7109375" style="67" customWidth="1"/>
    <col min="8449" max="8449" width="7.7109375" style="67" customWidth="1"/>
    <col min="8450" max="8450" width="7.42578125" style="67" customWidth="1"/>
    <col min="8451" max="8451" width="7.7109375" style="67" customWidth="1"/>
    <col min="8452" max="8452" width="6.7109375" style="67" customWidth="1"/>
    <col min="8453" max="8453" width="2.28515625" style="67" customWidth="1"/>
    <col min="8454" max="8454" width="9" style="67" customWidth="1"/>
    <col min="8455" max="8455" width="1.7109375" style="67" customWidth="1"/>
    <col min="8456" max="8456" width="4.42578125" style="67" customWidth="1"/>
    <col min="8457" max="8457" width="17.140625" style="67" customWidth="1"/>
    <col min="8458" max="8458" width="1.5703125" style="67" customWidth="1"/>
    <col min="8459" max="8459" width="10.5703125" style="67" customWidth="1"/>
    <col min="8460" max="8460" width="1.7109375" style="67" customWidth="1"/>
    <col min="8461" max="8461" width="9.85546875" style="67" customWidth="1"/>
    <col min="8462" max="8462" width="0.85546875" style="67" customWidth="1"/>
    <col min="8463" max="8463" width="10.85546875" style="67" customWidth="1"/>
    <col min="8464" max="8464" width="1.85546875" style="67" customWidth="1"/>
    <col min="8465" max="8700" width="9.140625" style="67"/>
    <col min="8701" max="8701" width="6.28515625" style="67" customWidth="1"/>
    <col min="8702" max="8702" width="3.140625" style="67" customWidth="1"/>
    <col min="8703" max="8703" width="7.7109375" style="67" customWidth="1"/>
    <col min="8704" max="8704" width="6.7109375" style="67" customWidth="1"/>
    <col min="8705" max="8705" width="7.7109375" style="67" customWidth="1"/>
    <col min="8706" max="8706" width="7.42578125" style="67" customWidth="1"/>
    <col min="8707" max="8707" width="7.7109375" style="67" customWidth="1"/>
    <col min="8708" max="8708" width="6.7109375" style="67" customWidth="1"/>
    <col min="8709" max="8709" width="2.28515625" style="67" customWidth="1"/>
    <col min="8710" max="8710" width="9" style="67" customWidth="1"/>
    <col min="8711" max="8711" width="1.7109375" style="67" customWidth="1"/>
    <col min="8712" max="8712" width="4.42578125" style="67" customWidth="1"/>
    <col min="8713" max="8713" width="17.140625" style="67" customWidth="1"/>
    <col min="8714" max="8714" width="1.5703125" style="67" customWidth="1"/>
    <col min="8715" max="8715" width="10.5703125" style="67" customWidth="1"/>
    <col min="8716" max="8716" width="1.7109375" style="67" customWidth="1"/>
    <col min="8717" max="8717" width="9.85546875" style="67" customWidth="1"/>
    <col min="8718" max="8718" width="0.85546875" style="67" customWidth="1"/>
    <col min="8719" max="8719" width="10.85546875" style="67" customWidth="1"/>
    <col min="8720" max="8720" width="1.85546875" style="67" customWidth="1"/>
    <col min="8721" max="8956" width="9.140625" style="67"/>
    <col min="8957" max="8957" width="6.28515625" style="67" customWidth="1"/>
    <col min="8958" max="8958" width="3.140625" style="67" customWidth="1"/>
    <col min="8959" max="8959" width="7.7109375" style="67" customWidth="1"/>
    <col min="8960" max="8960" width="6.7109375" style="67" customWidth="1"/>
    <col min="8961" max="8961" width="7.7109375" style="67" customWidth="1"/>
    <col min="8962" max="8962" width="7.42578125" style="67" customWidth="1"/>
    <col min="8963" max="8963" width="7.7109375" style="67" customWidth="1"/>
    <col min="8964" max="8964" width="6.7109375" style="67" customWidth="1"/>
    <col min="8965" max="8965" width="2.28515625" style="67" customWidth="1"/>
    <col min="8966" max="8966" width="9" style="67" customWidth="1"/>
    <col min="8967" max="8967" width="1.7109375" style="67" customWidth="1"/>
    <col min="8968" max="8968" width="4.42578125" style="67" customWidth="1"/>
    <col min="8969" max="8969" width="17.140625" style="67" customWidth="1"/>
    <col min="8970" max="8970" width="1.5703125" style="67" customWidth="1"/>
    <col min="8971" max="8971" width="10.5703125" style="67" customWidth="1"/>
    <col min="8972" max="8972" width="1.7109375" style="67" customWidth="1"/>
    <col min="8973" max="8973" width="9.85546875" style="67" customWidth="1"/>
    <col min="8974" max="8974" width="0.85546875" style="67" customWidth="1"/>
    <col min="8975" max="8975" width="10.85546875" style="67" customWidth="1"/>
    <col min="8976" max="8976" width="1.85546875" style="67" customWidth="1"/>
    <col min="8977" max="9212" width="9.140625" style="67"/>
    <col min="9213" max="9213" width="6.28515625" style="67" customWidth="1"/>
    <col min="9214" max="9214" width="3.140625" style="67" customWidth="1"/>
    <col min="9215" max="9215" width="7.7109375" style="67" customWidth="1"/>
    <col min="9216" max="9216" width="6.7109375" style="67" customWidth="1"/>
    <col min="9217" max="9217" width="7.7109375" style="67" customWidth="1"/>
    <col min="9218" max="9218" width="7.42578125" style="67" customWidth="1"/>
    <col min="9219" max="9219" width="7.7109375" style="67" customWidth="1"/>
    <col min="9220" max="9220" width="6.7109375" style="67" customWidth="1"/>
    <col min="9221" max="9221" width="2.28515625" style="67" customWidth="1"/>
    <col min="9222" max="9222" width="9" style="67" customWidth="1"/>
    <col min="9223" max="9223" width="1.7109375" style="67" customWidth="1"/>
    <col min="9224" max="9224" width="4.42578125" style="67" customWidth="1"/>
    <col min="9225" max="9225" width="17.140625" style="67" customWidth="1"/>
    <col min="9226" max="9226" width="1.5703125" style="67" customWidth="1"/>
    <col min="9227" max="9227" width="10.5703125" style="67" customWidth="1"/>
    <col min="9228" max="9228" width="1.7109375" style="67" customWidth="1"/>
    <col min="9229" max="9229" width="9.85546875" style="67" customWidth="1"/>
    <col min="9230" max="9230" width="0.85546875" style="67" customWidth="1"/>
    <col min="9231" max="9231" width="10.85546875" style="67" customWidth="1"/>
    <col min="9232" max="9232" width="1.85546875" style="67" customWidth="1"/>
    <col min="9233" max="9468" width="9.140625" style="67"/>
    <col min="9469" max="9469" width="6.28515625" style="67" customWidth="1"/>
    <col min="9470" max="9470" width="3.140625" style="67" customWidth="1"/>
    <col min="9471" max="9471" width="7.7109375" style="67" customWidth="1"/>
    <col min="9472" max="9472" width="6.7109375" style="67" customWidth="1"/>
    <col min="9473" max="9473" width="7.7109375" style="67" customWidth="1"/>
    <col min="9474" max="9474" width="7.42578125" style="67" customWidth="1"/>
    <col min="9475" max="9475" width="7.7109375" style="67" customWidth="1"/>
    <col min="9476" max="9476" width="6.7109375" style="67" customWidth="1"/>
    <col min="9477" max="9477" width="2.28515625" style="67" customWidth="1"/>
    <col min="9478" max="9478" width="9" style="67" customWidth="1"/>
    <col min="9479" max="9479" width="1.7109375" style="67" customWidth="1"/>
    <col min="9480" max="9480" width="4.42578125" style="67" customWidth="1"/>
    <col min="9481" max="9481" width="17.140625" style="67" customWidth="1"/>
    <col min="9482" max="9482" width="1.5703125" style="67" customWidth="1"/>
    <col min="9483" max="9483" width="10.5703125" style="67" customWidth="1"/>
    <col min="9484" max="9484" width="1.7109375" style="67" customWidth="1"/>
    <col min="9485" max="9485" width="9.85546875" style="67" customWidth="1"/>
    <col min="9486" max="9486" width="0.85546875" style="67" customWidth="1"/>
    <col min="9487" max="9487" width="10.85546875" style="67" customWidth="1"/>
    <col min="9488" max="9488" width="1.85546875" style="67" customWidth="1"/>
    <col min="9489" max="9724" width="9.140625" style="67"/>
    <col min="9725" max="9725" width="6.28515625" style="67" customWidth="1"/>
    <col min="9726" max="9726" width="3.140625" style="67" customWidth="1"/>
    <col min="9727" max="9727" width="7.7109375" style="67" customWidth="1"/>
    <col min="9728" max="9728" width="6.7109375" style="67" customWidth="1"/>
    <col min="9729" max="9729" width="7.7109375" style="67" customWidth="1"/>
    <col min="9730" max="9730" width="7.42578125" style="67" customWidth="1"/>
    <col min="9731" max="9731" width="7.7109375" style="67" customWidth="1"/>
    <col min="9732" max="9732" width="6.7109375" style="67" customWidth="1"/>
    <col min="9733" max="9733" width="2.28515625" style="67" customWidth="1"/>
    <col min="9734" max="9734" width="9" style="67" customWidth="1"/>
    <col min="9735" max="9735" width="1.7109375" style="67" customWidth="1"/>
    <col min="9736" max="9736" width="4.42578125" style="67" customWidth="1"/>
    <col min="9737" max="9737" width="17.140625" style="67" customWidth="1"/>
    <col min="9738" max="9738" width="1.5703125" style="67" customWidth="1"/>
    <col min="9739" max="9739" width="10.5703125" style="67" customWidth="1"/>
    <col min="9740" max="9740" width="1.7109375" style="67" customWidth="1"/>
    <col min="9741" max="9741" width="9.85546875" style="67" customWidth="1"/>
    <col min="9742" max="9742" width="0.85546875" style="67" customWidth="1"/>
    <col min="9743" max="9743" width="10.85546875" style="67" customWidth="1"/>
    <col min="9744" max="9744" width="1.85546875" style="67" customWidth="1"/>
    <col min="9745" max="9980" width="9.140625" style="67"/>
    <col min="9981" max="9981" width="6.28515625" style="67" customWidth="1"/>
    <col min="9982" max="9982" width="3.140625" style="67" customWidth="1"/>
    <col min="9983" max="9983" width="7.7109375" style="67" customWidth="1"/>
    <col min="9984" max="9984" width="6.7109375" style="67" customWidth="1"/>
    <col min="9985" max="9985" width="7.7109375" style="67" customWidth="1"/>
    <col min="9986" max="9986" width="7.42578125" style="67" customWidth="1"/>
    <col min="9987" max="9987" width="7.7109375" style="67" customWidth="1"/>
    <col min="9988" max="9988" width="6.7109375" style="67" customWidth="1"/>
    <col min="9989" max="9989" width="2.28515625" style="67" customWidth="1"/>
    <col min="9990" max="9990" width="9" style="67" customWidth="1"/>
    <col min="9991" max="9991" width="1.7109375" style="67" customWidth="1"/>
    <col min="9992" max="9992" width="4.42578125" style="67" customWidth="1"/>
    <col min="9993" max="9993" width="17.140625" style="67" customWidth="1"/>
    <col min="9994" max="9994" width="1.5703125" style="67" customWidth="1"/>
    <col min="9995" max="9995" width="10.5703125" style="67" customWidth="1"/>
    <col min="9996" max="9996" width="1.7109375" style="67" customWidth="1"/>
    <col min="9997" max="9997" width="9.85546875" style="67" customWidth="1"/>
    <col min="9998" max="9998" width="0.85546875" style="67" customWidth="1"/>
    <col min="9999" max="9999" width="10.85546875" style="67" customWidth="1"/>
    <col min="10000" max="10000" width="1.85546875" style="67" customWidth="1"/>
    <col min="10001" max="10236" width="9.140625" style="67"/>
    <col min="10237" max="10237" width="6.28515625" style="67" customWidth="1"/>
    <col min="10238" max="10238" width="3.140625" style="67" customWidth="1"/>
    <col min="10239" max="10239" width="7.7109375" style="67" customWidth="1"/>
    <col min="10240" max="10240" width="6.7109375" style="67" customWidth="1"/>
    <col min="10241" max="10241" width="7.7109375" style="67" customWidth="1"/>
    <col min="10242" max="10242" width="7.42578125" style="67" customWidth="1"/>
    <col min="10243" max="10243" width="7.7109375" style="67" customWidth="1"/>
    <col min="10244" max="10244" width="6.7109375" style="67" customWidth="1"/>
    <col min="10245" max="10245" width="2.28515625" style="67" customWidth="1"/>
    <col min="10246" max="10246" width="9" style="67" customWidth="1"/>
    <col min="10247" max="10247" width="1.7109375" style="67" customWidth="1"/>
    <col min="10248" max="10248" width="4.42578125" style="67" customWidth="1"/>
    <col min="10249" max="10249" width="17.140625" style="67" customWidth="1"/>
    <col min="10250" max="10250" width="1.5703125" style="67" customWidth="1"/>
    <col min="10251" max="10251" width="10.5703125" style="67" customWidth="1"/>
    <col min="10252" max="10252" width="1.7109375" style="67" customWidth="1"/>
    <col min="10253" max="10253" width="9.85546875" style="67" customWidth="1"/>
    <col min="10254" max="10254" width="0.85546875" style="67" customWidth="1"/>
    <col min="10255" max="10255" width="10.85546875" style="67" customWidth="1"/>
    <col min="10256" max="10256" width="1.85546875" style="67" customWidth="1"/>
    <col min="10257" max="10492" width="9.140625" style="67"/>
    <col min="10493" max="10493" width="6.28515625" style="67" customWidth="1"/>
    <col min="10494" max="10494" width="3.140625" style="67" customWidth="1"/>
    <col min="10495" max="10495" width="7.7109375" style="67" customWidth="1"/>
    <col min="10496" max="10496" width="6.7109375" style="67" customWidth="1"/>
    <col min="10497" max="10497" width="7.7109375" style="67" customWidth="1"/>
    <col min="10498" max="10498" width="7.42578125" style="67" customWidth="1"/>
    <col min="10499" max="10499" width="7.7109375" style="67" customWidth="1"/>
    <col min="10500" max="10500" width="6.7109375" style="67" customWidth="1"/>
    <col min="10501" max="10501" width="2.28515625" style="67" customWidth="1"/>
    <col min="10502" max="10502" width="9" style="67" customWidth="1"/>
    <col min="10503" max="10503" width="1.7109375" style="67" customWidth="1"/>
    <col min="10504" max="10504" width="4.42578125" style="67" customWidth="1"/>
    <col min="10505" max="10505" width="17.140625" style="67" customWidth="1"/>
    <col min="10506" max="10506" width="1.5703125" style="67" customWidth="1"/>
    <col min="10507" max="10507" width="10.5703125" style="67" customWidth="1"/>
    <col min="10508" max="10508" width="1.7109375" style="67" customWidth="1"/>
    <col min="10509" max="10509" width="9.85546875" style="67" customWidth="1"/>
    <col min="10510" max="10510" width="0.85546875" style="67" customWidth="1"/>
    <col min="10511" max="10511" width="10.85546875" style="67" customWidth="1"/>
    <col min="10512" max="10512" width="1.85546875" style="67" customWidth="1"/>
    <col min="10513" max="10748" width="9.140625" style="67"/>
    <col min="10749" max="10749" width="6.28515625" style="67" customWidth="1"/>
    <col min="10750" max="10750" width="3.140625" style="67" customWidth="1"/>
    <col min="10751" max="10751" width="7.7109375" style="67" customWidth="1"/>
    <col min="10752" max="10752" width="6.7109375" style="67" customWidth="1"/>
    <col min="10753" max="10753" width="7.7109375" style="67" customWidth="1"/>
    <col min="10754" max="10754" width="7.42578125" style="67" customWidth="1"/>
    <col min="10755" max="10755" width="7.7109375" style="67" customWidth="1"/>
    <col min="10756" max="10756" width="6.7109375" style="67" customWidth="1"/>
    <col min="10757" max="10757" width="2.28515625" style="67" customWidth="1"/>
    <col min="10758" max="10758" width="9" style="67" customWidth="1"/>
    <col min="10759" max="10759" width="1.7109375" style="67" customWidth="1"/>
    <col min="10760" max="10760" width="4.42578125" style="67" customWidth="1"/>
    <col min="10761" max="10761" width="17.140625" style="67" customWidth="1"/>
    <col min="10762" max="10762" width="1.5703125" style="67" customWidth="1"/>
    <col min="10763" max="10763" width="10.5703125" style="67" customWidth="1"/>
    <col min="10764" max="10764" width="1.7109375" style="67" customWidth="1"/>
    <col min="10765" max="10765" width="9.85546875" style="67" customWidth="1"/>
    <col min="10766" max="10766" width="0.85546875" style="67" customWidth="1"/>
    <col min="10767" max="10767" width="10.85546875" style="67" customWidth="1"/>
    <col min="10768" max="10768" width="1.85546875" style="67" customWidth="1"/>
    <col min="10769" max="11004" width="9.140625" style="67"/>
    <col min="11005" max="11005" width="6.28515625" style="67" customWidth="1"/>
    <col min="11006" max="11006" width="3.140625" style="67" customWidth="1"/>
    <col min="11007" max="11007" width="7.7109375" style="67" customWidth="1"/>
    <col min="11008" max="11008" width="6.7109375" style="67" customWidth="1"/>
    <col min="11009" max="11009" width="7.7109375" style="67" customWidth="1"/>
    <col min="11010" max="11010" width="7.42578125" style="67" customWidth="1"/>
    <col min="11011" max="11011" width="7.7109375" style="67" customWidth="1"/>
    <col min="11012" max="11012" width="6.7109375" style="67" customWidth="1"/>
    <col min="11013" max="11013" width="2.28515625" style="67" customWidth="1"/>
    <col min="11014" max="11014" width="9" style="67" customWidth="1"/>
    <col min="11015" max="11015" width="1.7109375" style="67" customWidth="1"/>
    <col min="11016" max="11016" width="4.42578125" style="67" customWidth="1"/>
    <col min="11017" max="11017" width="17.140625" style="67" customWidth="1"/>
    <col min="11018" max="11018" width="1.5703125" style="67" customWidth="1"/>
    <col min="11019" max="11019" width="10.5703125" style="67" customWidth="1"/>
    <col min="11020" max="11020" width="1.7109375" style="67" customWidth="1"/>
    <col min="11021" max="11021" width="9.85546875" style="67" customWidth="1"/>
    <col min="11022" max="11022" width="0.85546875" style="67" customWidth="1"/>
    <col min="11023" max="11023" width="10.85546875" style="67" customWidth="1"/>
    <col min="11024" max="11024" width="1.85546875" style="67" customWidth="1"/>
    <col min="11025" max="11260" width="9.140625" style="67"/>
    <col min="11261" max="11261" width="6.28515625" style="67" customWidth="1"/>
    <col min="11262" max="11262" width="3.140625" style="67" customWidth="1"/>
    <col min="11263" max="11263" width="7.7109375" style="67" customWidth="1"/>
    <col min="11264" max="11264" width="6.7109375" style="67" customWidth="1"/>
    <col min="11265" max="11265" width="7.7109375" style="67" customWidth="1"/>
    <col min="11266" max="11266" width="7.42578125" style="67" customWidth="1"/>
    <col min="11267" max="11267" width="7.7109375" style="67" customWidth="1"/>
    <col min="11268" max="11268" width="6.7109375" style="67" customWidth="1"/>
    <col min="11269" max="11269" width="2.28515625" style="67" customWidth="1"/>
    <col min="11270" max="11270" width="9" style="67" customWidth="1"/>
    <col min="11271" max="11271" width="1.7109375" style="67" customWidth="1"/>
    <col min="11272" max="11272" width="4.42578125" style="67" customWidth="1"/>
    <col min="11273" max="11273" width="17.140625" style="67" customWidth="1"/>
    <col min="11274" max="11274" width="1.5703125" style="67" customWidth="1"/>
    <col min="11275" max="11275" width="10.5703125" style="67" customWidth="1"/>
    <col min="11276" max="11276" width="1.7109375" style="67" customWidth="1"/>
    <col min="11277" max="11277" width="9.85546875" style="67" customWidth="1"/>
    <col min="11278" max="11278" width="0.85546875" style="67" customWidth="1"/>
    <col min="11279" max="11279" width="10.85546875" style="67" customWidth="1"/>
    <col min="11280" max="11280" width="1.85546875" style="67" customWidth="1"/>
    <col min="11281" max="11516" width="9.140625" style="67"/>
    <col min="11517" max="11517" width="6.28515625" style="67" customWidth="1"/>
    <col min="11518" max="11518" width="3.140625" style="67" customWidth="1"/>
    <col min="11519" max="11519" width="7.7109375" style="67" customWidth="1"/>
    <col min="11520" max="11520" width="6.7109375" style="67" customWidth="1"/>
    <col min="11521" max="11521" width="7.7109375" style="67" customWidth="1"/>
    <col min="11522" max="11522" width="7.42578125" style="67" customWidth="1"/>
    <col min="11523" max="11523" width="7.7109375" style="67" customWidth="1"/>
    <col min="11524" max="11524" width="6.7109375" style="67" customWidth="1"/>
    <col min="11525" max="11525" width="2.28515625" style="67" customWidth="1"/>
    <col min="11526" max="11526" width="9" style="67" customWidth="1"/>
    <col min="11527" max="11527" width="1.7109375" style="67" customWidth="1"/>
    <col min="11528" max="11528" width="4.42578125" style="67" customWidth="1"/>
    <col min="11529" max="11529" width="17.140625" style="67" customWidth="1"/>
    <col min="11530" max="11530" width="1.5703125" style="67" customWidth="1"/>
    <col min="11531" max="11531" width="10.5703125" style="67" customWidth="1"/>
    <col min="11532" max="11532" width="1.7109375" style="67" customWidth="1"/>
    <col min="11533" max="11533" width="9.85546875" style="67" customWidth="1"/>
    <col min="11534" max="11534" width="0.85546875" style="67" customWidth="1"/>
    <col min="11535" max="11535" width="10.85546875" style="67" customWidth="1"/>
    <col min="11536" max="11536" width="1.85546875" style="67" customWidth="1"/>
    <col min="11537" max="11772" width="9.140625" style="67"/>
    <col min="11773" max="11773" width="6.28515625" style="67" customWidth="1"/>
    <col min="11774" max="11774" width="3.140625" style="67" customWidth="1"/>
    <col min="11775" max="11775" width="7.7109375" style="67" customWidth="1"/>
    <col min="11776" max="11776" width="6.7109375" style="67" customWidth="1"/>
    <col min="11777" max="11777" width="7.7109375" style="67" customWidth="1"/>
    <col min="11778" max="11778" width="7.42578125" style="67" customWidth="1"/>
    <col min="11779" max="11779" width="7.7109375" style="67" customWidth="1"/>
    <col min="11780" max="11780" width="6.7109375" style="67" customWidth="1"/>
    <col min="11781" max="11781" width="2.28515625" style="67" customWidth="1"/>
    <col min="11782" max="11782" width="9" style="67" customWidth="1"/>
    <col min="11783" max="11783" width="1.7109375" style="67" customWidth="1"/>
    <col min="11784" max="11784" width="4.42578125" style="67" customWidth="1"/>
    <col min="11785" max="11785" width="17.140625" style="67" customWidth="1"/>
    <col min="11786" max="11786" width="1.5703125" style="67" customWidth="1"/>
    <col min="11787" max="11787" width="10.5703125" style="67" customWidth="1"/>
    <col min="11788" max="11788" width="1.7109375" style="67" customWidth="1"/>
    <col min="11789" max="11789" width="9.85546875" style="67" customWidth="1"/>
    <col min="11790" max="11790" width="0.85546875" style="67" customWidth="1"/>
    <col min="11791" max="11791" width="10.85546875" style="67" customWidth="1"/>
    <col min="11792" max="11792" width="1.85546875" style="67" customWidth="1"/>
    <col min="11793" max="12028" width="9.140625" style="67"/>
    <col min="12029" max="12029" width="6.28515625" style="67" customWidth="1"/>
    <col min="12030" max="12030" width="3.140625" style="67" customWidth="1"/>
    <col min="12031" max="12031" width="7.7109375" style="67" customWidth="1"/>
    <col min="12032" max="12032" width="6.7109375" style="67" customWidth="1"/>
    <col min="12033" max="12033" width="7.7109375" style="67" customWidth="1"/>
    <col min="12034" max="12034" width="7.42578125" style="67" customWidth="1"/>
    <col min="12035" max="12035" width="7.7109375" style="67" customWidth="1"/>
    <col min="12036" max="12036" width="6.7109375" style="67" customWidth="1"/>
    <col min="12037" max="12037" width="2.28515625" style="67" customWidth="1"/>
    <col min="12038" max="12038" width="9" style="67" customWidth="1"/>
    <col min="12039" max="12039" width="1.7109375" style="67" customWidth="1"/>
    <col min="12040" max="12040" width="4.42578125" style="67" customWidth="1"/>
    <col min="12041" max="12041" width="17.140625" style="67" customWidth="1"/>
    <col min="12042" max="12042" width="1.5703125" style="67" customWidth="1"/>
    <col min="12043" max="12043" width="10.5703125" style="67" customWidth="1"/>
    <col min="12044" max="12044" width="1.7109375" style="67" customWidth="1"/>
    <col min="12045" max="12045" width="9.85546875" style="67" customWidth="1"/>
    <col min="12046" max="12046" width="0.85546875" style="67" customWidth="1"/>
    <col min="12047" max="12047" width="10.85546875" style="67" customWidth="1"/>
    <col min="12048" max="12048" width="1.85546875" style="67" customWidth="1"/>
    <col min="12049" max="12284" width="9.140625" style="67"/>
    <col min="12285" max="12285" width="6.28515625" style="67" customWidth="1"/>
    <col min="12286" max="12286" width="3.140625" style="67" customWidth="1"/>
    <col min="12287" max="12287" width="7.7109375" style="67" customWidth="1"/>
    <col min="12288" max="12288" width="6.7109375" style="67" customWidth="1"/>
    <col min="12289" max="12289" width="7.7109375" style="67" customWidth="1"/>
    <col min="12290" max="12290" width="7.42578125" style="67" customWidth="1"/>
    <col min="12291" max="12291" width="7.7109375" style="67" customWidth="1"/>
    <col min="12292" max="12292" width="6.7109375" style="67" customWidth="1"/>
    <col min="12293" max="12293" width="2.28515625" style="67" customWidth="1"/>
    <col min="12294" max="12294" width="9" style="67" customWidth="1"/>
    <col min="12295" max="12295" width="1.7109375" style="67" customWidth="1"/>
    <col min="12296" max="12296" width="4.42578125" style="67" customWidth="1"/>
    <col min="12297" max="12297" width="17.140625" style="67" customWidth="1"/>
    <col min="12298" max="12298" width="1.5703125" style="67" customWidth="1"/>
    <col min="12299" max="12299" width="10.5703125" style="67" customWidth="1"/>
    <col min="12300" max="12300" width="1.7109375" style="67" customWidth="1"/>
    <col min="12301" max="12301" width="9.85546875" style="67" customWidth="1"/>
    <col min="12302" max="12302" width="0.85546875" style="67" customWidth="1"/>
    <col min="12303" max="12303" width="10.85546875" style="67" customWidth="1"/>
    <col min="12304" max="12304" width="1.85546875" style="67" customWidth="1"/>
    <col min="12305" max="12540" width="9.140625" style="67"/>
    <col min="12541" max="12541" width="6.28515625" style="67" customWidth="1"/>
    <col min="12542" max="12542" width="3.140625" style="67" customWidth="1"/>
    <col min="12543" max="12543" width="7.7109375" style="67" customWidth="1"/>
    <col min="12544" max="12544" width="6.7109375" style="67" customWidth="1"/>
    <col min="12545" max="12545" width="7.7109375" style="67" customWidth="1"/>
    <col min="12546" max="12546" width="7.42578125" style="67" customWidth="1"/>
    <col min="12547" max="12547" width="7.7109375" style="67" customWidth="1"/>
    <col min="12548" max="12548" width="6.7109375" style="67" customWidth="1"/>
    <col min="12549" max="12549" width="2.28515625" style="67" customWidth="1"/>
    <col min="12550" max="12550" width="9" style="67" customWidth="1"/>
    <col min="12551" max="12551" width="1.7109375" style="67" customWidth="1"/>
    <col min="12552" max="12552" width="4.42578125" style="67" customWidth="1"/>
    <col min="12553" max="12553" width="17.140625" style="67" customWidth="1"/>
    <col min="12554" max="12554" width="1.5703125" style="67" customWidth="1"/>
    <col min="12555" max="12555" width="10.5703125" style="67" customWidth="1"/>
    <col min="12556" max="12556" width="1.7109375" style="67" customWidth="1"/>
    <col min="12557" max="12557" width="9.85546875" style="67" customWidth="1"/>
    <col min="12558" max="12558" width="0.85546875" style="67" customWidth="1"/>
    <col min="12559" max="12559" width="10.85546875" style="67" customWidth="1"/>
    <col min="12560" max="12560" width="1.85546875" style="67" customWidth="1"/>
    <col min="12561" max="12796" width="9.140625" style="67"/>
    <col min="12797" max="12797" width="6.28515625" style="67" customWidth="1"/>
    <col min="12798" max="12798" width="3.140625" style="67" customWidth="1"/>
    <col min="12799" max="12799" width="7.7109375" style="67" customWidth="1"/>
    <col min="12800" max="12800" width="6.7109375" style="67" customWidth="1"/>
    <col min="12801" max="12801" width="7.7109375" style="67" customWidth="1"/>
    <col min="12802" max="12802" width="7.42578125" style="67" customWidth="1"/>
    <col min="12803" max="12803" width="7.7109375" style="67" customWidth="1"/>
    <col min="12804" max="12804" width="6.7109375" style="67" customWidth="1"/>
    <col min="12805" max="12805" width="2.28515625" style="67" customWidth="1"/>
    <col min="12806" max="12806" width="9" style="67" customWidth="1"/>
    <col min="12807" max="12807" width="1.7109375" style="67" customWidth="1"/>
    <col min="12808" max="12808" width="4.42578125" style="67" customWidth="1"/>
    <col min="12809" max="12809" width="17.140625" style="67" customWidth="1"/>
    <col min="12810" max="12810" width="1.5703125" style="67" customWidth="1"/>
    <col min="12811" max="12811" width="10.5703125" style="67" customWidth="1"/>
    <col min="12812" max="12812" width="1.7109375" style="67" customWidth="1"/>
    <col min="12813" max="12813" width="9.85546875" style="67" customWidth="1"/>
    <col min="12814" max="12814" width="0.85546875" style="67" customWidth="1"/>
    <col min="12815" max="12815" width="10.85546875" style="67" customWidth="1"/>
    <col min="12816" max="12816" width="1.85546875" style="67" customWidth="1"/>
    <col min="12817" max="13052" width="9.140625" style="67"/>
    <col min="13053" max="13053" width="6.28515625" style="67" customWidth="1"/>
    <col min="13054" max="13054" width="3.140625" style="67" customWidth="1"/>
    <col min="13055" max="13055" width="7.7109375" style="67" customWidth="1"/>
    <col min="13056" max="13056" width="6.7109375" style="67" customWidth="1"/>
    <col min="13057" max="13057" width="7.7109375" style="67" customWidth="1"/>
    <col min="13058" max="13058" width="7.42578125" style="67" customWidth="1"/>
    <col min="13059" max="13059" width="7.7109375" style="67" customWidth="1"/>
    <col min="13060" max="13060" width="6.7109375" style="67" customWidth="1"/>
    <col min="13061" max="13061" width="2.28515625" style="67" customWidth="1"/>
    <col min="13062" max="13062" width="9" style="67" customWidth="1"/>
    <col min="13063" max="13063" width="1.7109375" style="67" customWidth="1"/>
    <col min="13064" max="13064" width="4.42578125" style="67" customWidth="1"/>
    <col min="13065" max="13065" width="17.140625" style="67" customWidth="1"/>
    <col min="13066" max="13066" width="1.5703125" style="67" customWidth="1"/>
    <col min="13067" max="13067" width="10.5703125" style="67" customWidth="1"/>
    <col min="13068" max="13068" width="1.7109375" style="67" customWidth="1"/>
    <col min="13069" max="13069" width="9.85546875" style="67" customWidth="1"/>
    <col min="13070" max="13070" width="0.85546875" style="67" customWidth="1"/>
    <col min="13071" max="13071" width="10.85546875" style="67" customWidth="1"/>
    <col min="13072" max="13072" width="1.85546875" style="67" customWidth="1"/>
    <col min="13073" max="13308" width="9.140625" style="67"/>
    <col min="13309" max="13309" width="6.28515625" style="67" customWidth="1"/>
    <col min="13310" max="13310" width="3.140625" style="67" customWidth="1"/>
    <col min="13311" max="13311" width="7.7109375" style="67" customWidth="1"/>
    <col min="13312" max="13312" width="6.7109375" style="67" customWidth="1"/>
    <col min="13313" max="13313" width="7.7109375" style="67" customWidth="1"/>
    <col min="13314" max="13314" width="7.42578125" style="67" customWidth="1"/>
    <col min="13315" max="13315" width="7.7109375" style="67" customWidth="1"/>
    <col min="13316" max="13316" width="6.7109375" style="67" customWidth="1"/>
    <col min="13317" max="13317" width="2.28515625" style="67" customWidth="1"/>
    <col min="13318" max="13318" width="9" style="67" customWidth="1"/>
    <col min="13319" max="13319" width="1.7109375" style="67" customWidth="1"/>
    <col min="13320" max="13320" width="4.42578125" style="67" customWidth="1"/>
    <col min="13321" max="13321" width="17.140625" style="67" customWidth="1"/>
    <col min="13322" max="13322" width="1.5703125" style="67" customWidth="1"/>
    <col min="13323" max="13323" width="10.5703125" style="67" customWidth="1"/>
    <col min="13324" max="13324" width="1.7109375" style="67" customWidth="1"/>
    <col min="13325" max="13325" width="9.85546875" style="67" customWidth="1"/>
    <col min="13326" max="13326" width="0.85546875" style="67" customWidth="1"/>
    <col min="13327" max="13327" width="10.85546875" style="67" customWidth="1"/>
    <col min="13328" max="13328" width="1.85546875" style="67" customWidth="1"/>
    <col min="13329" max="13564" width="9.140625" style="67"/>
    <col min="13565" max="13565" width="6.28515625" style="67" customWidth="1"/>
    <col min="13566" max="13566" width="3.140625" style="67" customWidth="1"/>
    <col min="13567" max="13567" width="7.7109375" style="67" customWidth="1"/>
    <col min="13568" max="13568" width="6.7109375" style="67" customWidth="1"/>
    <col min="13569" max="13569" width="7.7109375" style="67" customWidth="1"/>
    <col min="13570" max="13570" width="7.42578125" style="67" customWidth="1"/>
    <col min="13571" max="13571" width="7.7109375" style="67" customWidth="1"/>
    <col min="13572" max="13572" width="6.7109375" style="67" customWidth="1"/>
    <col min="13573" max="13573" width="2.28515625" style="67" customWidth="1"/>
    <col min="13574" max="13574" width="9" style="67" customWidth="1"/>
    <col min="13575" max="13575" width="1.7109375" style="67" customWidth="1"/>
    <col min="13576" max="13576" width="4.42578125" style="67" customWidth="1"/>
    <col min="13577" max="13577" width="17.140625" style="67" customWidth="1"/>
    <col min="13578" max="13578" width="1.5703125" style="67" customWidth="1"/>
    <col min="13579" max="13579" width="10.5703125" style="67" customWidth="1"/>
    <col min="13580" max="13580" width="1.7109375" style="67" customWidth="1"/>
    <col min="13581" max="13581" width="9.85546875" style="67" customWidth="1"/>
    <col min="13582" max="13582" width="0.85546875" style="67" customWidth="1"/>
    <col min="13583" max="13583" width="10.85546875" style="67" customWidth="1"/>
    <col min="13584" max="13584" width="1.85546875" style="67" customWidth="1"/>
    <col min="13585" max="13820" width="9.140625" style="67"/>
    <col min="13821" max="13821" width="6.28515625" style="67" customWidth="1"/>
    <col min="13822" max="13822" width="3.140625" style="67" customWidth="1"/>
    <col min="13823" max="13823" width="7.7109375" style="67" customWidth="1"/>
    <col min="13824" max="13824" width="6.7109375" style="67" customWidth="1"/>
    <col min="13825" max="13825" width="7.7109375" style="67" customWidth="1"/>
    <col min="13826" max="13826" width="7.42578125" style="67" customWidth="1"/>
    <col min="13827" max="13827" width="7.7109375" style="67" customWidth="1"/>
    <col min="13828" max="13828" width="6.7109375" style="67" customWidth="1"/>
    <col min="13829" max="13829" width="2.28515625" style="67" customWidth="1"/>
    <col min="13830" max="13830" width="9" style="67" customWidth="1"/>
    <col min="13831" max="13831" width="1.7109375" style="67" customWidth="1"/>
    <col min="13832" max="13832" width="4.42578125" style="67" customWidth="1"/>
    <col min="13833" max="13833" width="17.140625" style="67" customWidth="1"/>
    <col min="13834" max="13834" width="1.5703125" style="67" customWidth="1"/>
    <col min="13835" max="13835" width="10.5703125" style="67" customWidth="1"/>
    <col min="13836" max="13836" width="1.7109375" style="67" customWidth="1"/>
    <col min="13837" max="13837" width="9.85546875" style="67" customWidth="1"/>
    <col min="13838" max="13838" width="0.85546875" style="67" customWidth="1"/>
    <col min="13839" max="13839" width="10.85546875" style="67" customWidth="1"/>
    <col min="13840" max="13840" width="1.85546875" style="67" customWidth="1"/>
    <col min="13841" max="14076" width="9.140625" style="67"/>
    <col min="14077" max="14077" width="6.28515625" style="67" customWidth="1"/>
    <col min="14078" max="14078" width="3.140625" style="67" customWidth="1"/>
    <col min="14079" max="14079" width="7.7109375" style="67" customWidth="1"/>
    <col min="14080" max="14080" width="6.7109375" style="67" customWidth="1"/>
    <col min="14081" max="14081" width="7.7109375" style="67" customWidth="1"/>
    <col min="14082" max="14082" width="7.42578125" style="67" customWidth="1"/>
    <col min="14083" max="14083" width="7.7109375" style="67" customWidth="1"/>
    <col min="14084" max="14084" width="6.7109375" style="67" customWidth="1"/>
    <col min="14085" max="14085" width="2.28515625" style="67" customWidth="1"/>
    <col min="14086" max="14086" width="9" style="67" customWidth="1"/>
    <col min="14087" max="14087" width="1.7109375" style="67" customWidth="1"/>
    <col min="14088" max="14088" width="4.42578125" style="67" customWidth="1"/>
    <col min="14089" max="14089" width="17.140625" style="67" customWidth="1"/>
    <col min="14090" max="14090" width="1.5703125" style="67" customWidth="1"/>
    <col min="14091" max="14091" width="10.5703125" style="67" customWidth="1"/>
    <col min="14092" max="14092" width="1.7109375" style="67" customWidth="1"/>
    <col min="14093" max="14093" width="9.85546875" style="67" customWidth="1"/>
    <col min="14094" max="14094" width="0.85546875" style="67" customWidth="1"/>
    <col min="14095" max="14095" width="10.85546875" style="67" customWidth="1"/>
    <col min="14096" max="14096" width="1.85546875" style="67" customWidth="1"/>
    <col min="14097" max="14332" width="9.140625" style="67"/>
    <col min="14333" max="14333" width="6.28515625" style="67" customWidth="1"/>
    <col min="14334" max="14334" width="3.140625" style="67" customWidth="1"/>
    <col min="14335" max="14335" width="7.7109375" style="67" customWidth="1"/>
    <col min="14336" max="14336" width="6.7109375" style="67" customWidth="1"/>
    <col min="14337" max="14337" width="7.7109375" style="67" customWidth="1"/>
    <col min="14338" max="14338" width="7.42578125" style="67" customWidth="1"/>
    <col min="14339" max="14339" width="7.7109375" style="67" customWidth="1"/>
    <col min="14340" max="14340" width="6.7109375" style="67" customWidth="1"/>
    <col min="14341" max="14341" width="2.28515625" style="67" customWidth="1"/>
    <col min="14342" max="14342" width="9" style="67" customWidth="1"/>
    <col min="14343" max="14343" width="1.7109375" style="67" customWidth="1"/>
    <col min="14344" max="14344" width="4.42578125" style="67" customWidth="1"/>
    <col min="14345" max="14345" width="17.140625" style="67" customWidth="1"/>
    <col min="14346" max="14346" width="1.5703125" style="67" customWidth="1"/>
    <col min="14347" max="14347" width="10.5703125" style="67" customWidth="1"/>
    <col min="14348" max="14348" width="1.7109375" style="67" customWidth="1"/>
    <col min="14349" max="14349" width="9.85546875" style="67" customWidth="1"/>
    <col min="14350" max="14350" width="0.85546875" style="67" customWidth="1"/>
    <col min="14351" max="14351" width="10.85546875" style="67" customWidth="1"/>
    <col min="14352" max="14352" width="1.85546875" style="67" customWidth="1"/>
    <col min="14353" max="14588" width="9.140625" style="67"/>
    <col min="14589" max="14589" width="6.28515625" style="67" customWidth="1"/>
    <col min="14590" max="14590" width="3.140625" style="67" customWidth="1"/>
    <col min="14591" max="14591" width="7.7109375" style="67" customWidth="1"/>
    <col min="14592" max="14592" width="6.7109375" style="67" customWidth="1"/>
    <col min="14593" max="14593" width="7.7109375" style="67" customWidth="1"/>
    <col min="14594" max="14594" width="7.42578125" style="67" customWidth="1"/>
    <col min="14595" max="14595" width="7.7109375" style="67" customWidth="1"/>
    <col min="14596" max="14596" width="6.7109375" style="67" customWidth="1"/>
    <col min="14597" max="14597" width="2.28515625" style="67" customWidth="1"/>
    <col min="14598" max="14598" width="9" style="67" customWidth="1"/>
    <col min="14599" max="14599" width="1.7109375" style="67" customWidth="1"/>
    <col min="14600" max="14600" width="4.42578125" style="67" customWidth="1"/>
    <col min="14601" max="14601" width="17.140625" style="67" customWidth="1"/>
    <col min="14602" max="14602" width="1.5703125" style="67" customWidth="1"/>
    <col min="14603" max="14603" width="10.5703125" style="67" customWidth="1"/>
    <col min="14604" max="14604" width="1.7109375" style="67" customWidth="1"/>
    <col min="14605" max="14605" width="9.85546875" style="67" customWidth="1"/>
    <col min="14606" max="14606" width="0.85546875" style="67" customWidth="1"/>
    <col min="14607" max="14607" width="10.85546875" style="67" customWidth="1"/>
    <col min="14608" max="14608" width="1.85546875" style="67" customWidth="1"/>
    <col min="14609" max="14844" width="9.140625" style="67"/>
    <col min="14845" max="14845" width="6.28515625" style="67" customWidth="1"/>
    <col min="14846" max="14846" width="3.140625" style="67" customWidth="1"/>
    <col min="14847" max="14847" width="7.7109375" style="67" customWidth="1"/>
    <col min="14848" max="14848" width="6.7109375" style="67" customWidth="1"/>
    <col min="14849" max="14849" width="7.7109375" style="67" customWidth="1"/>
    <col min="14850" max="14850" width="7.42578125" style="67" customWidth="1"/>
    <col min="14851" max="14851" width="7.7109375" style="67" customWidth="1"/>
    <col min="14852" max="14852" width="6.7109375" style="67" customWidth="1"/>
    <col min="14853" max="14853" width="2.28515625" style="67" customWidth="1"/>
    <col min="14854" max="14854" width="9" style="67" customWidth="1"/>
    <col min="14855" max="14855" width="1.7109375" style="67" customWidth="1"/>
    <col min="14856" max="14856" width="4.42578125" style="67" customWidth="1"/>
    <col min="14857" max="14857" width="17.140625" style="67" customWidth="1"/>
    <col min="14858" max="14858" width="1.5703125" style="67" customWidth="1"/>
    <col min="14859" max="14859" width="10.5703125" style="67" customWidth="1"/>
    <col min="14860" max="14860" width="1.7109375" style="67" customWidth="1"/>
    <col min="14861" max="14861" width="9.85546875" style="67" customWidth="1"/>
    <col min="14862" max="14862" width="0.85546875" style="67" customWidth="1"/>
    <col min="14863" max="14863" width="10.85546875" style="67" customWidth="1"/>
    <col min="14864" max="14864" width="1.85546875" style="67" customWidth="1"/>
    <col min="14865" max="15100" width="9.140625" style="67"/>
    <col min="15101" max="15101" width="6.28515625" style="67" customWidth="1"/>
    <col min="15102" max="15102" width="3.140625" style="67" customWidth="1"/>
    <col min="15103" max="15103" width="7.7109375" style="67" customWidth="1"/>
    <col min="15104" max="15104" width="6.7109375" style="67" customWidth="1"/>
    <col min="15105" max="15105" width="7.7109375" style="67" customWidth="1"/>
    <col min="15106" max="15106" width="7.42578125" style="67" customWidth="1"/>
    <col min="15107" max="15107" width="7.7109375" style="67" customWidth="1"/>
    <col min="15108" max="15108" width="6.7109375" style="67" customWidth="1"/>
    <col min="15109" max="15109" width="2.28515625" style="67" customWidth="1"/>
    <col min="15110" max="15110" width="9" style="67" customWidth="1"/>
    <col min="15111" max="15111" width="1.7109375" style="67" customWidth="1"/>
    <col min="15112" max="15112" width="4.42578125" style="67" customWidth="1"/>
    <col min="15113" max="15113" width="17.140625" style="67" customWidth="1"/>
    <col min="15114" max="15114" width="1.5703125" style="67" customWidth="1"/>
    <col min="15115" max="15115" width="10.5703125" style="67" customWidth="1"/>
    <col min="15116" max="15116" width="1.7109375" style="67" customWidth="1"/>
    <col min="15117" max="15117" width="9.85546875" style="67" customWidth="1"/>
    <col min="15118" max="15118" width="0.85546875" style="67" customWidth="1"/>
    <col min="15119" max="15119" width="10.85546875" style="67" customWidth="1"/>
    <col min="15120" max="15120" width="1.85546875" style="67" customWidth="1"/>
    <col min="15121" max="15356" width="9.140625" style="67"/>
    <col min="15357" max="15357" width="6.28515625" style="67" customWidth="1"/>
    <col min="15358" max="15358" width="3.140625" style="67" customWidth="1"/>
    <col min="15359" max="15359" width="7.7109375" style="67" customWidth="1"/>
    <col min="15360" max="15360" width="6.7109375" style="67" customWidth="1"/>
    <col min="15361" max="15361" width="7.7109375" style="67" customWidth="1"/>
    <col min="15362" max="15362" width="7.42578125" style="67" customWidth="1"/>
    <col min="15363" max="15363" width="7.7109375" style="67" customWidth="1"/>
    <col min="15364" max="15364" width="6.7109375" style="67" customWidth="1"/>
    <col min="15365" max="15365" width="2.28515625" style="67" customWidth="1"/>
    <col min="15366" max="15366" width="9" style="67" customWidth="1"/>
    <col min="15367" max="15367" width="1.7109375" style="67" customWidth="1"/>
    <col min="15368" max="15368" width="4.42578125" style="67" customWidth="1"/>
    <col min="15369" max="15369" width="17.140625" style="67" customWidth="1"/>
    <col min="15370" max="15370" width="1.5703125" style="67" customWidth="1"/>
    <col min="15371" max="15371" width="10.5703125" style="67" customWidth="1"/>
    <col min="15372" max="15372" width="1.7109375" style="67" customWidth="1"/>
    <col min="15373" max="15373" width="9.85546875" style="67" customWidth="1"/>
    <col min="15374" max="15374" width="0.85546875" style="67" customWidth="1"/>
    <col min="15375" max="15375" width="10.85546875" style="67" customWidth="1"/>
    <col min="15376" max="15376" width="1.85546875" style="67" customWidth="1"/>
    <col min="15377" max="15612" width="9.140625" style="67"/>
    <col min="15613" max="15613" width="6.28515625" style="67" customWidth="1"/>
    <col min="15614" max="15614" width="3.140625" style="67" customWidth="1"/>
    <col min="15615" max="15615" width="7.7109375" style="67" customWidth="1"/>
    <col min="15616" max="15616" width="6.7109375" style="67" customWidth="1"/>
    <col min="15617" max="15617" width="7.7109375" style="67" customWidth="1"/>
    <col min="15618" max="15618" width="7.42578125" style="67" customWidth="1"/>
    <col min="15619" max="15619" width="7.7109375" style="67" customWidth="1"/>
    <col min="15620" max="15620" width="6.7109375" style="67" customWidth="1"/>
    <col min="15621" max="15621" width="2.28515625" style="67" customWidth="1"/>
    <col min="15622" max="15622" width="9" style="67" customWidth="1"/>
    <col min="15623" max="15623" width="1.7109375" style="67" customWidth="1"/>
    <col min="15624" max="15624" width="4.42578125" style="67" customWidth="1"/>
    <col min="15625" max="15625" width="17.140625" style="67" customWidth="1"/>
    <col min="15626" max="15626" width="1.5703125" style="67" customWidth="1"/>
    <col min="15627" max="15627" width="10.5703125" style="67" customWidth="1"/>
    <col min="15628" max="15628" width="1.7109375" style="67" customWidth="1"/>
    <col min="15629" max="15629" width="9.85546875" style="67" customWidth="1"/>
    <col min="15630" max="15630" width="0.85546875" style="67" customWidth="1"/>
    <col min="15631" max="15631" width="10.85546875" style="67" customWidth="1"/>
    <col min="15632" max="15632" width="1.85546875" style="67" customWidth="1"/>
    <col min="15633" max="15868" width="9.140625" style="67"/>
    <col min="15869" max="15869" width="6.28515625" style="67" customWidth="1"/>
    <col min="15870" max="15870" width="3.140625" style="67" customWidth="1"/>
    <col min="15871" max="15871" width="7.7109375" style="67" customWidth="1"/>
    <col min="15872" max="15872" width="6.7109375" style="67" customWidth="1"/>
    <col min="15873" max="15873" width="7.7109375" style="67" customWidth="1"/>
    <col min="15874" max="15874" width="7.42578125" style="67" customWidth="1"/>
    <col min="15875" max="15875" width="7.7109375" style="67" customWidth="1"/>
    <col min="15876" max="15876" width="6.7109375" style="67" customWidth="1"/>
    <col min="15877" max="15877" width="2.28515625" style="67" customWidth="1"/>
    <col min="15878" max="15878" width="9" style="67" customWidth="1"/>
    <col min="15879" max="15879" width="1.7109375" style="67" customWidth="1"/>
    <col min="15880" max="15880" width="4.42578125" style="67" customWidth="1"/>
    <col min="15881" max="15881" width="17.140625" style="67" customWidth="1"/>
    <col min="15882" max="15882" width="1.5703125" style="67" customWidth="1"/>
    <col min="15883" max="15883" width="10.5703125" style="67" customWidth="1"/>
    <col min="15884" max="15884" width="1.7109375" style="67" customWidth="1"/>
    <col min="15885" max="15885" width="9.85546875" style="67" customWidth="1"/>
    <col min="15886" max="15886" width="0.85546875" style="67" customWidth="1"/>
    <col min="15887" max="15887" width="10.85546875" style="67" customWidth="1"/>
    <col min="15888" max="15888" width="1.85546875" style="67" customWidth="1"/>
    <col min="15889" max="16124" width="9.140625" style="67"/>
    <col min="16125" max="16125" width="6.28515625" style="67" customWidth="1"/>
    <col min="16126" max="16126" width="3.140625" style="67" customWidth="1"/>
    <col min="16127" max="16127" width="7.7109375" style="67" customWidth="1"/>
    <col min="16128" max="16128" width="6.7109375" style="67" customWidth="1"/>
    <col min="16129" max="16129" width="7.7109375" style="67" customWidth="1"/>
    <col min="16130" max="16130" width="7.42578125" style="67" customWidth="1"/>
    <col min="16131" max="16131" width="7.7109375" style="67" customWidth="1"/>
    <col min="16132" max="16132" width="6.7109375" style="67" customWidth="1"/>
    <col min="16133" max="16133" width="2.28515625" style="67" customWidth="1"/>
    <col min="16134" max="16134" width="9" style="67" customWidth="1"/>
    <col min="16135" max="16135" width="1.7109375" style="67" customWidth="1"/>
    <col min="16136" max="16136" width="4.42578125" style="67" customWidth="1"/>
    <col min="16137" max="16137" width="17.140625" style="67" customWidth="1"/>
    <col min="16138" max="16138" width="1.5703125" style="67" customWidth="1"/>
    <col min="16139" max="16139" width="10.5703125" style="67" customWidth="1"/>
    <col min="16140" max="16140" width="1.7109375" style="67" customWidth="1"/>
    <col min="16141" max="16141" width="9.85546875" style="67" customWidth="1"/>
    <col min="16142" max="16142" width="0.85546875" style="67" customWidth="1"/>
    <col min="16143" max="16143" width="10.85546875" style="67" customWidth="1"/>
    <col min="16144" max="16144" width="1.85546875" style="67" customWidth="1"/>
    <col min="16145" max="16384" width="9.140625" style="67"/>
  </cols>
  <sheetData>
    <row r="1" spans="1:45" s="65" customFormat="1" x14ac:dyDescent="0.2">
      <c r="D1" s="66"/>
    </row>
    <row r="2" spans="1:45" s="65" customFormat="1" x14ac:dyDescent="0.2">
      <c r="D2" s="66"/>
    </row>
    <row r="3" spans="1:45" s="65" customFormat="1" x14ac:dyDescent="0.2">
      <c r="D3" s="66"/>
    </row>
    <row r="4" spans="1:45" x14ac:dyDescent="0.2">
      <c r="C4" s="65"/>
      <c r="D4" s="66"/>
      <c r="E4" s="65"/>
      <c r="F4" s="65"/>
      <c r="G4" s="65"/>
      <c r="H4" s="65"/>
      <c r="I4" s="65"/>
      <c r="J4" s="65"/>
      <c r="K4" s="65"/>
      <c r="L4" s="65"/>
      <c r="M4" s="65"/>
      <c r="N4" s="65"/>
      <c r="O4" s="49">
        <f ca="1">NOW()</f>
        <v>41654.450239699072</v>
      </c>
      <c r="P4" s="65"/>
      <c r="Q4" s="65"/>
    </row>
    <row r="5" spans="1:45" ht="15.75" x14ac:dyDescent="0.25">
      <c r="C5" s="189"/>
      <c r="D5" s="189"/>
      <c r="E5" s="189"/>
      <c r="F5" s="189"/>
      <c r="G5" s="189"/>
      <c r="H5" s="189"/>
      <c r="I5" s="189"/>
      <c r="J5" s="189"/>
      <c r="K5" s="189"/>
      <c r="L5" s="189"/>
      <c r="M5" s="189"/>
      <c r="N5" s="189"/>
      <c r="O5" s="189"/>
      <c r="P5" s="189"/>
      <c r="Q5" s="65"/>
    </row>
    <row r="6" spans="1:45" ht="15.75" x14ac:dyDescent="0.25"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5"/>
    </row>
    <row r="7" spans="1:45" ht="15.75" x14ac:dyDescent="0.25"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5"/>
    </row>
    <row r="8" spans="1:45" ht="15.75" x14ac:dyDescent="0.25"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5"/>
    </row>
    <row r="9" spans="1:45" s="71" customFormat="1" ht="15.75" customHeight="1" x14ac:dyDescent="0.25">
      <c r="A9" s="69"/>
      <c r="B9" s="69"/>
      <c r="C9" s="70"/>
      <c r="D9" s="70"/>
      <c r="E9" s="70"/>
      <c r="F9" s="70"/>
      <c r="G9" s="70"/>
      <c r="H9" s="70"/>
      <c r="I9" s="70"/>
      <c r="J9" s="70"/>
      <c r="K9" s="70"/>
      <c r="L9" s="68" t="s">
        <v>0</v>
      </c>
      <c r="M9" s="69"/>
      <c r="N9" s="70"/>
      <c r="O9" s="70"/>
      <c r="P9" s="70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69"/>
      <c r="AN9" s="69"/>
      <c r="AO9" s="69"/>
      <c r="AP9" s="69"/>
      <c r="AQ9" s="69"/>
      <c r="AR9" s="69"/>
      <c r="AS9" s="69"/>
    </row>
    <row r="10" spans="1:45" s="71" customFormat="1" ht="15.75" customHeight="1" x14ac:dyDescent="0.25">
      <c r="A10" s="69"/>
      <c r="B10" s="69"/>
      <c r="C10" s="70"/>
      <c r="D10" s="70"/>
      <c r="E10" s="70"/>
      <c r="F10" s="70"/>
      <c r="G10" s="70"/>
      <c r="H10" s="70"/>
      <c r="I10" s="70"/>
      <c r="J10" s="70"/>
      <c r="K10" s="70"/>
      <c r="L10" s="68" t="s">
        <v>1</v>
      </c>
      <c r="M10" s="69"/>
      <c r="N10" s="70"/>
      <c r="O10" s="70"/>
      <c r="P10" s="70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69"/>
      <c r="AL10" s="69"/>
      <c r="AM10" s="69"/>
      <c r="AN10" s="69"/>
      <c r="AO10" s="69"/>
      <c r="AP10" s="69"/>
      <c r="AQ10" s="69"/>
      <c r="AR10" s="69"/>
      <c r="AS10" s="69"/>
    </row>
    <row r="11" spans="1:45" s="71" customFormat="1" ht="15.75" customHeight="1" x14ac:dyDescent="0.25">
      <c r="A11" s="69"/>
      <c r="B11" s="69"/>
      <c r="C11" s="70"/>
      <c r="D11" s="70"/>
      <c r="E11" s="70"/>
      <c r="F11" s="70"/>
      <c r="G11" s="70"/>
      <c r="H11" s="70"/>
      <c r="I11" s="70"/>
      <c r="J11" s="70"/>
      <c r="K11" s="70"/>
      <c r="L11" s="68" t="s">
        <v>2</v>
      </c>
      <c r="M11" s="69"/>
      <c r="N11" s="70"/>
      <c r="O11" s="70"/>
      <c r="P11" s="70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P11" s="69"/>
      <c r="AQ11" s="69"/>
      <c r="AR11" s="69"/>
      <c r="AS11" s="69"/>
    </row>
    <row r="12" spans="1:45" s="71" customFormat="1" ht="15.75" customHeight="1" x14ac:dyDescent="0.25">
      <c r="A12" s="69"/>
      <c r="B12" s="69"/>
      <c r="C12" s="70"/>
      <c r="D12" s="70"/>
      <c r="E12" s="70"/>
      <c r="F12" s="70"/>
      <c r="G12" s="70"/>
      <c r="H12" s="70"/>
      <c r="I12" s="70"/>
      <c r="J12" s="70"/>
      <c r="K12" s="70"/>
      <c r="L12" s="68" t="s">
        <v>3</v>
      </c>
      <c r="M12" s="69"/>
      <c r="N12" s="70"/>
      <c r="O12" s="70"/>
      <c r="P12" s="70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69"/>
      <c r="AO12" s="69"/>
      <c r="AP12" s="69"/>
      <c r="AQ12" s="69"/>
      <c r="AR12" s="69"/>
      <c r="AS12" s="69"/>
    </row>
    <row r="13" spans="1:45" s="71" customFormat="1" ht="15.75" customHeight="1" x14ac:dyDescent="0.25">
      <c r="A13" s="69"/>
      <c r="B13" s="69"/>
      <c r="C13" s="70"/>
      <c r="D13" s="70"/>
      <c r="E13" s="70"/>
      <c r="F13" s="70"/>
      <c r="G13" s="70"/>
      <c r="H13" s="70"/>
      <c r="I13" s="70"/>
      <c r="J13" s="70"/>
      <c r="K13" s="70"/>
      <c r="L13" s="68" t="s">
        <v>1305</v>
      </c>
      <c r="M13" s="69"/>
      <c r="N13" s="70"/>
      <c r="O13" s="70"/>
      <c r="P13" s="70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69"/>
      <c r="AM13" s="69"/>
      <c r="AN13" s="69"/>
      <c r="AO13" s="69"/>
      <c r="AP13" s="69"/>
      <c r="AQ13" s="69"/>
      <c r="AR13" s="69"/>
      <c r="AS13" s="69"/>
    </row>
    <row r="14" spans="1:45" s="71" customFormat="1" ht="15" customHeight="1" x14ac:dyDescent="0.2">
      <c r="A14" s="69"/>
      <c r="B14" s="69"/>
      <c r="C14" s="70"/>
      <c r="D14" s="70"/>
      <c r="E14" s="70"/>
      <c r="F14" s="70"/>
      <c r="G14" s="70"/>
      <c r="H14" s="70"/>
      <c r="I14" s="70"/>
      <c r="J14" s="70"/>
      <c r="K14" s="70"/>
      <c r="L14" s="72" t="s">
        <v>4</v>
      </c>
      <c r="M14" s="69"/>
      <c r="N14" s="70"/>
      <c r="O14" s="70"/>
      <c r="P14" s="70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/>
      <c r="AR14" s="69"/>
      <c r="AS14" s="69"/>
    </row>
    <row r="15" spans="1:45" s="71" customFormat="1" ht="15" customHeight="1" x14ac:dyDescent="0.2">
      <c r="A15" s="69"/>
      <c r="B15" s="69"/>
      <c r="C15" s="70"/>
      <c r="D15" s="70"/>
      <c r="E15" s="70"/>
      <c r="F15" s="70"/>
      <c r="G15" s="70"/>
      <c r="H15" s="70"/>
      <c r="I15" s="70"/>
      <c r="J15" s="70"/>
      <c r="K15" s="70"/>
      <c r="L15" s="72" t="s">
        <v>5</v>
      </c>
      <c r="M15" s="69"/>
      <c r="N15" s="70"/>
      <c r="O15" s="70"/>
      <c r="P15" s="70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69"/>
      <c r="AQ15" s="69"/>
      <c r="AR15" s="69"/>
      <c r="AS15" s="69"/>
    </row>
    <row r="16" spans="1:45" s="71" customFormat="1" ht="12" customHeight="1" x14ac:dyDescent="0.2">
      <c r="A16" s="69"/>
      <c r="B16" s="69"/>
      <c r="C16" s="70"/>
      <c r="D16" s="70"/>
      <c r="E16" s="70"/>
      <c r="F16" s="70"/>
      <c r="G16" s="70"/>
      <c r="H16" s="70"/>
      <c r="I16" s="70"/>
      <c r="J16" s="70"/>
      <c r="K16" s="70"/>
      <c r="L16" s="73" t="s">
        <v>1400</v>
      </c>
      <c r="M16" s="69"/>
      <c r="N16" s="70"/>
      <c r="O16" s="70"/>
      <c r="P16" s="70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69"/>
      <c r="AQ16" s="69"/>
      <c r="AR16" s="69"/>
      <c r="AS16" s="69"/>
    </row>
    <row r="17" spans="1:45" s="71" customFormat="1" ht="18.75" customHeight="1" x14ac:dyDescent="0.2">
      <c r="A17" s="69"/>
      <c r="B17" s="69"/>
      <c r="C17" s="70"/>
      <c r="D17" s="70"/>
      <c r="E17" s="70"/>
      <c r="F17" s="70"/>
      <c r="G17" s="70"/>
      <c r="H17" s="70"/>
      <c r="I17" s="70"/>
      <c r="J17" s="70"/>
      <c r="K17" s="70"/>
      <c r="L17" s="72"/>
      <c r="M17" s="70"/>
      <c r="N17" s="70"/>
      <c r="O17" s="70"/>
      <c r="P17" s="70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69"/>
      <c r="AJ17" s="69"/>
      <c r="AK17" s="69"/>
      <c r="AL17" s="69"/>
      <c r="AM17" s="69"/>
      <c r="AN17" s="69"/>
      <c r="AO17" s="69"/>
      <c r="AP17" s="69"/>
      <c r="AQ17" s="69"/>
      <c r="AR17" s="69"/>
      <c r="AS17" s="69"/>
    </row>
    <row r="18" spans="1:45" x14ac:dyDescent="0.2">
      <c r="C18" s="74" t="s">
        <v>1279</v>
      </c>
      <c r="D18" s="74"/>
      <c r="E18" s="7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</row>
    <row r="19" spans="1:45" ht="14.25" x14ac:dyDescent="0.2">
      <c r="C19" s="65"/>
      <c r="D19" s="76"/>
      <c r="E19" s="146" t="s">
        <v>7</v>
      </c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</row>
    <row r="20" spans="1:45" ht="14.25" x14ac:dyDescent="0.2">
      <c r="C20" s="65"/>
      <c r="D20" s="78"/>
      <c r="E20" s="65"/>
      <c r="F20" s="191" t="s">
        <v>20</v>
      </c>
      <c r="G20" s="191"/>
      <c r="H20" s="191"/>
      <c r="I20" s="191"/>
      <c r="J20" s="191"/>
      <c r="K20" s="191"/>
      <c r="L20" s="191"/>
      <c r="M20" s="191"/>
      <c r="N20" s="79"/>
      <c r="O20" s="188"/>
      <c r="P20" s="188"/>
      <c r="Q20" s="65"/>
    </row>
    <row r="21" spans="1:45" x14ac:dyDescent="0.2">
      <c r="C21" s="65"/>
      <c r="D21" s="78"/>
      <c r="E21" s="72"/>
      <c r="F21" s="65"/>
      <c r="G21" s="80"/>
      <c r="H21" s="80"/>
      <c r="I21" s="80"/>
      <c r="J21" s="80"/>
      <c r="K21" s="80"/>
      <c r="L21" s="81"/>
      <c r="M21" s="81"/>
      <c r="N21" s="82"/>
      <c r="O21" s="77"/>
      <c r="P21" s="82"/>
      <c r="Q21" s="83"/>
    </row>
    <row r="22" spans="1:45" s="86" customFormat="1" ht="12.75" customHeight="1" x14ac:dyDescent="0.2">
      <c r="A22" s="84"/>
      <c r="B22" s="84"/>
      <c r="C22" s="84"/>
      <c r="D22" s="72"/>
      <c r="E22" s="72"/>
      <c r="F22" s="84"/>
      <c r="G22" s="84"/>
      <c r="H22" s="84"/>
      <c r="I22" s="84"/>
      <c r="J22" s="84"/>
      <c r="K22" s="84"/>
      <c r="L22" s="84"/>
      <c r="M22" s="84"/>
      <c r="N22" s="85"/>
      <c r="O22" s="85"/>
      <c r="P22" s="85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4"/>
    </row>
    <row r="23" spans="1:45" s="86" customFormat="1" ht="63.75" customHeight="1" x14ac:dyDescent="0.2">
      <c r="A23" s="84"/>
      <c r="B23" s="84"/>
      <c r="C23" s="93" t="s">
        <v>1291</v>
      </c>
      <c r="D23" s="94"/>
      <c r="E23" s="95"/>
      <c r="F23" s="96"/>
      <c r="G23" s="96"/>
      <c r="H23" s="96"/>
      <c r="I23" s="96"/>
      <c r="J23" s="96"/>
      <c r="K23" s="96"/>
      <c r="L23" s="96"/>
      <c r="M23" s="96"/>
      <c r="N23" s="54" t="s">
        <v>9</v>
      </c>
      <c r="O23" s="54" t="s">
        <v>1325</v>
      </c>
      <c r="P23" s="56" t="s">
        <v>1360</v>
      </c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4"/>
      <c r="AQ23" s="84"/>
      <c r="AR23" s="84"/>
      <c r="AS23" s="84"/>
    </row>
    <row r="24" spans="1:45" s="86" customFormat="1" ht="12.75" customHeight="1" x14ac:dyDescent="0.2">
      <c r="A24" s="84"/>
      <c r="B24" s="84"/>
      <c r="C24" s="84"/>
      <c r="D24" s="147" t="s">
        <v>1285</v>
      </c>
      <c r="E24" s="114" t="s">
        <v>1283</v>
      </c>
      <c r="F24" s="148"/>
      <c r="G24" s="148"/>
      <c r="H24" s="148"/>
      <c r="I24" s="148"/>
      <c r="J24" s="148"/>
      <c r="K24" s="148"/>
      <c r="L24" s="148"/>
      <c r="M24" s="148"/>
      <c r="N24" s="149"/>
      <c r="O24" s="149"/>
      <c r="P24" s="149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4"/>
      <c r="AQ24" s="84"/>
      <c r="AR24" s="84"/>
      <c r="AS24" s="84"/>
    </row>
    <row r="25" spans="1:45" s="86" customFormat="1" ht="28.5" customHeight="1" x14ac:dyDescent="0.2">
      <c r="A25" s="84"/>
      <c r="B25" s="84"/>
      <c r="C25" s="84"/>
      <c r="D25" s="150" t="s">
        <v>6</v>
      </c>
      <c r="E25" s="190" t="s">
        <v>1386</v>
      </c>
      <c r="F25" s="190"/>
      <c r="G25" s="190"/>
      <c r="H25" s="190"/>
      <c r="I25" s="190"/>
      <c r="J25" s="190"/>
      <c r="K25" s="190"/>
      <c r="L25" s="190"/>
      <c r="M25" s="190"/>
      <c r="N25" s="45">
        <f>IF(F$20&lt;&gt;"Please select a district.",VLOOKUP(F$20,data!A$3:M$616,5,FALSE),"")</f>
        <v>258311.59</v>
      </c>
      <c r="O25" s="46">
        <f>IF(F$20&lt;&gt;"Please select a district.",VLOOKUP(F$20,data!A$3:M$616,4,FALSE),"")</f>
        <v>73.543578550197026</v>
      </c>
      <c r="P25" s="32">
        <f>IF(F$20&lt;&gt;"Please select a district.",N25/O25,"")</f>
        <v>3512.3609034565802</v>
      </c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84"/>
    </row>
    <row r="26" spans="1:45" s="86" customFormat="1" ht="38.25" customHeight="1" x14ac:dyDescent="0.2">
      <c r="A26" s="84"/>
      <c r="B26" s="84"/>
      <c r="C26" s="84"/>
      <c r="D26" s="97" t="s">
        <v>1284</v>
      </c>
      <c r="E26" s="98" t="s">
        <v>1299</v>
      </c>
      <c r="F26" s="99"/>
      <c r="G26" s="99"/>
      <c r="H26" s="99"/>
      <c r="I26" s="99"/>
      <c r="J26" s="99"/>
      <c r="K26" s="99"/>
      <c r="L26" s="99"/>
      <c r="M26" s="99"/>
      <c r="N26" s="37" t="s">
        <v>1303</v>
      </c>
      <c r="O26" s="151" t="s">
        <v>1304</v>
      </c>
      <c r="P26" s="37" t="s">
        <v>1360</v>
      </c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4"/>
      <c r="AQ26" s="84"/>
      <c r="AR26" s="84"/>
      <c r="AS26" s="84"/>
    </row>
    <row r="27" spans="1:45" s="86" customFormat="1" ht="28.5" customHeight="1" x14ac:dyDescent="0.2">
      <c r="A27" s="84"/>
      <c r="B27" s="84"/>
      <c r="C27" s="84"/>
      <c r="D27" s="85"/>
      <c r="E27" s="190" t="s">
        <v>1385</v>
      </c>
      <c r="F27" s="190"/>
      <c r="G27" s="190"/>
      <c r="H27" s="190"/>
      <c r="I27" s="190"/>
      <c r="J27" s="190"/>
      <c r="K27" s="190"/>
      <c r="L27" s="190"/>
      <c r="M27" s="190"/>
      <c r="N27" s="45">
        <f>IF(F$20&lt;&gt;"Please select a district.",VLOOKUP(F$20,data!A$3:M$616,6,FALSE),"")</f>
        <v>3403388.56</v>
      </c>
      <c r="O27" s="58">
        <f>IF(F$20&lt;&gt;"Please select a district.",VLOOKUP(F$20,data!A$3:M$616,13,FALSE),"")</f>
        <v>895.11318458720598</v>
      </c>
      <c r="P27" s="34">
        <f>IF(F$20&lt;&gt;"Please select a district.",N27/O27,"")</f>
        <v>3802.1879451697728</v>
      </c>
      <c r="Q27" s="40"/>
      <c r="R27" s="152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4"/>
      <c r="AQ27" s="84"/>
      <c r="AR27" s="84"/>
      <c r="AS27" s="84"/>
    </row>
    <row r="28" spans="1:45" s="86" customFormat="1" ht="40.5" customHeight="1" x14ac:dyDescent="0.2">
      <c r="A28" s="84"/>
      <c r="B28" s="84"/>
      <c r="C28" s="105" t="s">
        <v>1302</v>
      </c>
      <c r="D28" s="106"/>
      <c r="E28" s="107"/>
      <c r="F28" s="106"/>
      <c r="G28" s="108"/>
      <c r="H28" s="108"/>
      <c r="I28" s="96"/>
      <c r="J28" s="96"/>
      <c r="K28" s="96"/>
      <c r="L28" s="96"/>
      <c r="M28" s="96"/>
      <c r="N28" s="54" t="s">
        <v>1303</v>
      </c>
      <c r="O28" s="153" t="s">
        <v>1304</v>
      </c>
      <c r="P28" s="56" t="s">
        <v>1360</v>
      </c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4"/>
      <c r="AQ28" s="84"/>
      <c r="AR28" s="84"/>
      <c r="AS28" s="84"/>
    </row>
    <row r="29" spans="1:45" s="84" customFormat="1" ht="12.75" customHeight="1" x14ac:dyDescent="0.2">
      <c r="D29" s="114" t="s">
        <v>1286</v>
      </c>
      <c r="E29" s="114"/>
      <c r="F29" s="114"/>
      <c r="G29" s="148"/>
      <c r="H29" s="148"/>
      <c r="I29" s="148"/>
      <c r="J29" s="148"/>
      <c r="K29" s="148"/>
      <c r="L29" s="148"/>
      <c r="M29" s="148"/>
      <c r="N29" s="154"/>
      <c r="O29" s="155"/>
      <c r="P29" s="55"/>
    </row>
    <row r="30" spans="1:45" s="84" customFormat="1" ht="12.75" customHeight="1" x14ac:dyDescent="0.2">
      <c r="D30" s="103" t="s">
        <v>10</v>
      </c>
      <c r="E30" s="85"/>
      <c r="F30" s="103"/>
      <c r="G30" s="85"/>
      <c r="H30" s="85"/>
      <c r="I30" s="85"/>
      <c r="J30" s="85"/>
      <c r="K30" s="85"/>
      <c r="L30" s="85"/>
      <c r="M30" s="85"/>
      <c r="N30" s="45">
        <f>IF(F$20&lt;&gt;"Please select a district.",VLOOKUP(F$20,data!A$3:M$616,7,FALSE),"")</f>
        <v>39513.79</v>
      </c>
      <c r="O30" s="58">
        <f>IF(F$20&lt;&gt;"Please select a district.",VLOOKUP(F$20,data!A$3:M$616,13,FALSE),"")</f>
        <v>895.11318458720598</v>
      </c>
      <c r="P30" s="36">
        <f>IF(F$20&lt;&gt;"Please select a district.",N30/O30,"")</f>
        <v>44.143903453083801</v>
      </c>
    </row>
    <row r="31" spans="1:45" s="84" customFormat="1" ht="12.75" customHeight="1" x14ac:dyDescent="0.2">
      <c r="D31" s="98" t="s">
        <v>1287</v>
      </c>
      <c r="E31" s="98"/>
      <c r="F31" s="98"/>
      <c r="G31" s="99"/>
      <c r="H31" s="99"/>
      <c r="I31" s="99"/>
      <c r="J31" s="99"/>
      <c r="K31" s="99"/>
      <c r="L31" s="99"/>
      <c r="M31" s="99"/>
      <c r="N31" s="156"/>
      <c r="O31" s="157"/>
      <c r="P31" s="38"/>
    </row>
    <row r="32" spans="1:45" s="84" customFormat="1" ht="12.75" customHeight="1" x14ac:dyDescent="0.2">
      <c r="D32" s="103" t="s">
        <v>11</v>
      </c>
      <c r="E32" s="103"/>
      <c r="F32" s="103"/>
      <c r="G32" s="116"/>
      <c r="H32" s="116"/>
      <c r="I32" s="85"/>
      <c r="J32" s="85"/>
      <c r="K32" s="85"/>
      <c r="L32" s="85"/>
      <c r="M32" s="85"/>
      <c r="N32" s="45">
        <f>IF(F$20&lt;&gt;"Please select a district.",VLOOKUP(F$20,data!A$3:M$616,8,FALSE),"")</f>
        <v>1625.99</v>
      </c>
      <c r="O32" s="58">
        <f>IF(F$20&lt;&gt;"Please select a district.",VLOOKUP(F$20,data!A$3:M$616,13,FALSE),"")</f>
        <v>895.11318458720598</v>
      </c>
      <c r="P32" s="36">
        <f>IF(F$20&lt;&gt;"Please select a district.",N32/O32,"")</f>
        <v>1.8165188805143655</v>
      </c>
    </row>
    <row r="33" spans="1:45" s="84" customFormat="1" ht="12.75" customHeight="1" x14ac:dyDescent="0.2">
      <c r="D33" s="103" t="s">
        <v>1288</v>
      </c>
      <c r="E33" s="103"/>
      <c r="F33" s="103"/>
      <c r="G33" s="85"/>
      <c r="H33" s="85"/>
      <c r="I33" s="85"/>
      <c r="J33" s="85"/>
      <c r="K33" s="85"/>
      <c r="L33" s="85"/>
      <c r="M33" s="85"/>
      <c r="N33" s="45">
        <f>IF(F$20&lt;&gt;"Please select a district.",VLOOKUP(F$20,data!A$3:M$616,9,FALSE),"")</f>
        <v>1029606.69</v>
      </c>
      <c r="O33" s="58">
        <f>IF(F$20&lt;&gt;"Please select a district.",VLOOKUP(F$20,data!A$3:M$616,13,FALSE),"")</f>
        <v>895.11318458720598</v>
      </c>
      <c r="P33" s="36">
        <f>IF(F$20&lt;&gt;"Please select a district.",N33/O33,"")</f>
        <v>1150.2530715987805</v>
      </c>
    </row>
    <row r="34" spans="1:45" s="84" customFormat="1" ht="12.75" customHeight="1" x14ac:dyDescent="0.2">
      <c r="D34" s="103" t="s">
        <v>1330</v>
      </c>
      <c r="E34" s="103"/>
      <c r="F34" s="103"/>
      <c r="G34" s="85"/>
      <c r="H34" s="85"/>
      <c r="I34" s="85"/>
      <c r="J34" s="85"/>
      <c r="K34" s="85"/>
      <c r="L34" s="85"/>
      <c r="M34" s="85"/>
      <c r="N34" s="45">
        <f>IF(F$20&lt;&gt;"Please select a district.",VLOOKUP(F$20,data!A$3:M$616,10,FALSE),"")</f>
        <v>1051317.57</v>
      </c>
      <c r="O34" s="58">
        <f>IF(F$20&lt;&gt;"Please select a district.",VLOOKUP(F$20,data!A$3:M$616,13,FALSE),"")</f>
        <v>895.11318458720598</v>
      </c>
      <c r="P34" s="36">
        <f>IF(F$20&lt;&gt;"Please select a district.",N34/O34,"")</f>
        <v>1174.5079707264395</v>
      </c>
    </row>
    <row r="35" spans="1:45" s="84" customFormat="1" ht="12.75" customHeight="1" x14ac:dyDescent="0.2">
      <c r="D35" s="87" t="s">
        <v>1331</v>
      </c>
      <c r="E35" s="87"/>
      <c r="F35" s="87"/>
      <c r="G35" s="110"/>
      <c r="H35" s="110"/>
      <c r="N35" s="45">
        <f>IF(F$20&lt;&gt;"Please select a district.",VLOOKUP(F$20,data!A$3:M$616,11,FALSE),"")</f>
        <v>225441.78</v>
      </c>
      <c r="O35" s="47">
        <f>IF(F$20&lt;&gt;"Please select a district.",VLOOKUP(F$20,data!A$3:M$616,13,FALSE),"")</f>
        <v>895.11318458720598</v>
      </c>
      <c r="P35" s="36">
        <f>IF(F$20&lt;&gt;"Please select a district.",N35/O35,"")</f>
        <v>251.85840615672043</v>
      </c>
    </row>
    <row r="36" spans="1:45" s="84" customFormat="1" ht="12.75" customHeight="1" x14ac:dyDescent="0.2">
      <c r="D36" s="87" t="s">
        <v>1332</v>
      </c>
      <c r="F36" s="87"/>
      <c r="N36" s="45">
        <f>IF(F$20&lt;&gt;"Please select a district.",VLOOKUP(F$20,data!A$3:M$616,12,FALSE),"")</f>
        <v>317263.88000000006</v>
      </c>
      <c r="O36" s="47">
        <f>IF(F$20&lt;&gt;"Please select a district.",VLOOKUP(F$20,data!A$3:M$616,13,FALSE),"")</f>
        <v>895.11318458720598</v>
      </c>
      <c r="P36" s="36">
        <f>IF(F$20&lt;&gt;"Please select a district.",N36/O36,"")</f>
        <v>354.43995850235495</v>
      </c>
    </row>
    <row r="37" spans="1:45" s="84" customFormat="1" ht="15.75" customHeight="1" x14ac:dyDescent="0.2">
      <c r="D37" s="118"/>
      <c r="E37" s="87"/>
      <c r="F37" s="111"/>
      <c r="G37" s="110"/>
      <c r="H37" s="110"/>
      <c r="N37" s="44"/>
      <c r="O37" s="44"/>
      <c r="P37" s="36"/>
    </row>
    <row r="38" spans="1:45" s="86" customFormat="1" ht="15.75" customHeight="1" x14ac:dyDescent="0.2">
      <c r="A38" s="84"/>
      <c r="B38" s="84"/>
      <c r="C38" s="105" t="s">
        <v>1293</v>
      </c>
      <c r="D38" s="96"/>
      <c r="E38" s="95"/>
      <c r="F38" s="96"/>
      <c r="G38" s="96"/>
      <c r="H38" s="96"/>
      <c r="I38" s="96"/>
      <c r="J38" s="96"/>
      <c r="K38" s="96"/>
      <c r="L38" s="96"/>
      <c r="M38" s="96"/>
      <c r="N38" s="119"/>
      <c r="O38" s="119"/>
      <c r="P38" s="57"/>
      <c r="Q38" s="84"/>
      <c r="R38" s="84"/>
      <c r="S38" s="84"/>
      <c r="T38" s="121"/>
      <c r="U38" s="121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84"/>
      <c r="AN38" s="84"/>
      <c r="AO38" s="84"/>
      <c r="AP38" s="84"/>
      <c r="AQ38" s="84"/>
      <c r="AR38" s="84"/>
      <c r="AS38" s="84"/>
    </row>
    <row r="39" spans="1:45" s="86" customFormat="1" ht="15.75" customHeight="1" thickBot="1" x14ac:dyDescent="0.25">
      <c r="A39" s="84"/>
      <c r="B39" s="84"/>
      <c r="C39" s="84"/>
      <c r="D39" s="123" t="s">
        <v>1314</v>
      </c>
      <c r="E39" s="84" t="s">
        <v>1315</v>
      </c>
      <c r="F39" s="84"/>
      <c r="G39" s="84"/>
      <c r="H39" s="84"/>
      <c r="I39" s="87"/>
      <c r="J39" s="87"/>
      <c r="K39" s="84"/>
      <c r="L39" s="84"/>
      <c r="M39" s="84"/>
      <c r="N39" s="158"/>
      <c r="O39" s="158"/>
      <c r="P39" s="51">
        <f>IF(F$20&lt;&gt;"Please select a district.",SUM(P30:P36,P27,P25),"")</f>
        <v>10291.568677944246</v>
      </c>
      <c r="Q39" s="84"/>
      <c r="R39" s="84"/>
      <c r="S39" s="84"/>
      <c r="T39" s="121"/>
      <c r="U39" s="121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84"/>
      <c r="AS39" s="84"/>
    </row>
    <row r="40" spans="1:45" s="84" customFormat="1" ht="15.75" customHeight="1" x14ac:dyDescent="0.2">
      <c r="D40" s="123"/>
      <c r="I40" s="87"/>
      <c r="J40" s="87"/>
      <c r="P40" s="152"/>
      <c r="T40" s="121"/>
      <c r="U40" s="121"/>
    </row>
    <row r="41" spans="1:45" s="84" customFormat="1" ht="15.75" customHeight="1" x14ac:dyDescent="0.2">
      <c r="D41" s="123"/>
      <c r="I41" s="87"/>
      <c r="J41" s="87"/>
      <c r="P41" s="152"/>
      <c r="T41" s="121"/>
      <c r="U41" s="121"/>
    </row>
    <row r="42" spans="1:45" s="84" customFormat="1" ht="15.75" customHeight="1" x14ac:dyDescent="0.2">
      <c r="D42" s="123"/>
      <c r="I42" s="87"/>
      <c r="J42" s="87"/>
      <c r="P42" s="152"/>
      <c r="T42" s="121"/>
      <c r="U42" s="121"/>
    </row>
    <row r="43" spans="1:45" s="86" customFormat="1" ht="12.75" customHeight="1" x14ac:dyDescent="0.2">
      <c r="A43" s="84"/>
      <c r="B43" s="84"/>
      <c r="C43" s="84"/>
      <c r="D43" s="111"/>
      <c r="E43" s="125"/>
      <c r="F43" s="126"/>
      <c r="G43" s="125"/>
      <c r="H43" s="125"/>
      <c r="I43" s="125"/>
      <c r="J43" s="125"/>
      <c r="K43" s="125"/>
      <c r="L43" s="125"/>
      <c r="M43" s="125"/>
      <c r="N43" s="125"/>
      <c r="O43" s="125"/>
      <c r="P43" s="125"/>
      <c r="Q43" s="125"/>
      <c r="R43" s="125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4"/>
      <c r="AM43" s="84"/>
      <c r="AN43" s="84"/>
      <c r="AO43" s="84"/>
      <c r="AP43" s="84"/>
      <c r="AQ43" s="84"/>
      <c r="AR43" s="84"/>
      <c r="AS43" s="84"/>
    </row>
    <row r="44" spans="1:45" s="86" customFormat="1" ht="12.75" customHeight="1" x14ac:dyDescent="0.2">
      <c r="A44" s="84"/>
      <c r="B44" s="84"/>
      <c r="C44" s="84"/>
      <c r="D44" s="127"/>
      <c r="E44" s="128"/>
      <c r="F44" s="129"/>
      <c r="G44" s="129"/>
      <c r="H44" s="129"/>
      <c r="I44" s="129"/>
      <c r="J44" s="129"/>
      <c r="K44" s="130"/>
      <c r="L44" s="131"/>
      <c r="M44" s="129"/>
      <c r="N44" s="129"/>
      <c r="O44" s="129"/>
      <c r="P44" s="129"/>
      <c r="Q44" s="125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4"/>
      <c r="AQ44" s="84"/>
      <c r="AR44" s="84"/>
      <c r="AS44" s="84"/>
    </row>
    <row r="45" spans="1:45" s="86" customFormat="1" ht="12.75" customHeight="1" x14ac:dyDescent="0.2">
      <c r="A45" s="84"/>
      <c r="B45" s="84"/>
      <c r="C45" s="84"/>
      <c r="D45" s="159" t="s">
        <v>12</v>
      </c>
      <c r="E45" s="84"/>
      <c r="F45" s="80"/>
      <c r="G45" s="80"/>
      <c r="H45" s="80"/>
      <c r="I45" s="80"/>
      <c r="J45" s="80"/>
      <c r="K45" s="90"/>
      <c r="L45" s="79"/>
      <c r="M45" s="159" t="s">
        <v>13</v>
      </c>
      <c r="N45" s="160"/>
      <c r="O45" s="80"/>
      <c r="P45" s="80"/>
      <c r="Q45" s="65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4"/>
      <c r="AK45" s="84"/>
      <c r="AL45" s="84"/>
      <c r="AM45" s="84"/>
      <c r="AN45" s="84"/>
      <c r="AO45" s="84"/>
      <c r="AP45" s="84"/>
      <c r="AQ45" s="84"/>
      <c r="AR45" s="84"/>
      <c r="AS45" s="84"/>
    </row>
    <row r="46" spans="1:45" s="86" customFormat="1" ht="12.75" customHeight="1" x14ac:dyDescent="0.2">
      <c r="A46" s="84"/>
      <c r="B46" s="84"/>
      <c r="C46" s="84"/>
      <c r="D46" s="72"/>
      <c r="E46" s="72"/>
      <c r="F46" s="84"/>
      <c r="G46" s="84"/>
      <c r="H46" s="84"/>
      <c r="I46" s="84"/>
      <c r="J46" s="84"/>
      <c r="K46" s="84"/>
      <c r="L46" s="84"/>
      <c r="M46" s="84"/>
      <c r="N46" s="85"/>
      <c r="O46" s="85"/>
      <c r="P46" s="85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Q46" s="84"/>
      <c r="AR46" s="84"/>
      <c r="AS46" s="84"/>
    </row>
    <row r="47" spans="1:45" s="86" customFormat="1" ht="15" customHeight="1" x14ac:dyDescent="0.2">
      <c r="A47" s="84"/>
      <c r="B47" s="84"/>
      <c r="C47" s="72"/>
      <c r="D47" s="72"/>
      <c r="E47" s="84"/>
      <c r="F47" s="84"/>
      <c r="G47" s="84"/>
      <c r="H47" s="84"/>
      <c r="I47" s="84"/>
      <c r="J47" s="84"/>
      <c r="K47" s="84"/>
      <c r="L47" s="84"/>
      <c r="M47" s="85"/>
      <c r="N47" s="85"/>
      <c r="O47" s="85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  <c r="AA47" s="84"/>
      <c r="AB47" s="84"/>
      <c r="AC47" s="84"/>
      <c r="AD47" s="84"/>
      <c r="AE47" s="84"/>
      <c r="AF47" s="84"/>
      <c r="AG47" s="84"/>
      <c r="AH47" s="84"/>
      <c r="AI47" s="84"/>
      <c r="AJ47" s="84"/>
      <c r="AK47" s="84"/>
      <c r="AL47" s="84"/>
      <c r="AM47" s="84"/>
      <c r="AN47" s="84"/>
      <c r="AO47" s="84"/>
      <c r="AP47" s="84"/>
      <c r="AQ47" s="84"/>
      <c r="AR47" s="84"/>
      <c r="AS47" s="84"/>
    </row>
    <row r="48" spans="1:45" s="161" customFormat="1" ht="15" customHeight="1" x14ac:dyDescent="0.15">
      <c r="A48" s="110"/>
      <c r="B48" s="110"/>
      <c r="C48" s="110"/>
      <c r="D48" s="134"/>
      <c r="E48" s="110"/>
      <c r="F48" s="110"/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10"/>
      <c r="V48" s="110"/>
      <c r="W48" s="110"/>
      <c r="X48" s="110"/>
      <c r="Y48" s="110"/>
      <c r="Z48" s="110"/>
      <c r="AA48" s="110"/>
      <c r="AB48" s="110"/>
      <c r="AC48" s="110"/>
      <c r="AD48" s="110"/>
      <c r="AE48" s="110"/>
      <c r="AF48" s="110"/>
      <c r="AG48" s="110"/>
      <c r="AH48" s="110"/>
      <c r="AI48" s="110"/>
      <c r="AJ48" s="110"/>
      <c r="AK48" s="110"/>
      <c r="AL48" s="110"/>
      <c r="AM48" s="110"/>
      <c r="AN48" s="110"/>
      <c r="AO48" s="110"/>
      <c r="AP48" s="110"/>
      <c r="AQ48" s="110"/>
      <c r="AR48" s="110"/>
      <c r="AS48" s="110"/>
    </row>
    <row r="49" spans="1:45" s="162" customFormat="1" ht="15" customHeight="1" x14ac:dyDescent="0.2">
      <c r="A49" s="135"/>
      <c r="B49" s="135"/>
      <c r="C49" s="135"/>
      <c r="D49" s="135"/>
      <c r="E49" s="135"/>
      <c r="F49" s="135"/>
      <c r="G49" s="135"/>
      <c r="H49" s="135"/>
      <c r="I49" s="135"/>
      <c r="J49" s="135"/>
      <c r="K49" s="135"/>
      <c r="L49" s="135"/>
      <c r="M49" s="135"/>
      <c r="N49" s="135"/>
      <c r="O49" s="135"/>
      <c r="P49" s="135"/>
      <c r="Q49" s="135"/>
      <c r="R49" s="135"/>
      <c r="S49" s="135"/>
      <c r="T49" s="135"/>
      <c r="U49" s="135"/>
      <c r="V49" s="135"/>
      <c r="W49" s="135"/>
      <c r="X49" s="135"/>
      <c r="Y49" s="135"/>
      <c r="Z49" s="135"/>
      <c r="AA49" s="135"/>
      <c r="AB49" s="135"/>
      <c r="AC49" s="135"/>
      <c r="AD49" s="135"/>
      <c r="AE49" s="135"/>
      <c r="AF49" s="135"/>
      <c r="AG49" s="135"/>
      <c r="AH49" s="135"/>
      <c r="AI49" s="135"/>
      <c r="AJ49" s="135"/>
      <c r="AK49" s="135"/>
      <c r="AL49" s="135"/>
      <c r="AM49" s="135"/>
      <c r="AN49" s="135"/>
      <c r="AO49" s="135"/>
      <c r="AP49" s="135"/>
      <c r="AQ49" s="135"/>
      <c r="AR49" s="135"/>
      <c r="AS49" s="135"/>
    </row>
    <row r="50" spans="1:45" s="162" customFormat="1" ht="15" customHeight="1" x14ac:dyDescent="0.2">
      <c r="A50" s="135"/>
      <c r="B50" s="135"/>
      <c r="C50" s="135"/>
      <c r="D50" s="135"/>
      <c r="E50" s="135"/>
      <c r="F50" s="135"/>
      <c r="G50" s="135"/>
      <c r="H50" s="135"/>
      <c r="I50" s="135"/>
      <c r="J50" s="135"/>
      <c r="K50" s="135"/>
      <c r="L50" s="135"/>
      <c r="M50" s="135"/>
      <c r="N50" s="135"/>
      <c r="O50" s="135"/>
      <c r="P50" s="135"/>
      <c r="Q50" s="135"/>
      <c r="R50" s="135"/>
      <c r="S50" s="135"/>
      <c r="T50" s="135"/>
      <c r="U50" s="135"/>
      <c r="V50" s="135"/>
      <c r="W50" s="135"/>
      <c r="X50" s="135"/>
      <c r="Y50" s="135"/>
      <c r="Z50" s="135"/>
      <c r="AA50" s="135"/>
      <c r="AB50" s="135"/>
      <c r="AC50" s="135"/>
      <c r="AD50" s="135"/>
      <c r="AE50" s="135"/>
      <c r="AF50" s="135"/>
      <c r="AG50" s="135"/>
      <c r="AH50" s="135"/>
      <c r="AI50" s="135"/>
      <c r="AJ50" s="135"/>
      <c r="AK50" s="135"/>
      <c r="AL50" s="135"/>
      <c r="AM50" s="135"/>
      <c r="AN50" s="135"/>
      <c r="AO50" s="135"/>
      <c r="AP50" s="135"/>
      <c r="AQ50" s="135"/>
      <c r="AR50" s="135"/>
      <c r="AS50" s="135"/>
    </row>
    <row r="51" spans="1:45" s="163" customFormat="1" ht="15" customHeight="1" x14ac:dyDescent="0.15">
      <c r="A51" s="125"/>
      <c r="B51" s="125"/>
      <c r="C51" s="125"/>
      <c r="D51" s="125"/>
      <c r="E51" s="125"/>
      <c r="F51" s="125"/>
      <c r="G51" s="125"/>
      <c r="H51" s="125"/>
      <c r="I51" s="125"/>
      <c r="J51" s="125"/>
      <c r="K51" s="125"/>
      <c r="L51" s="125"/>
      <c r="M51" s="125"/>
      <c r="N51" s="125"/>
      <c r="O51" s="125"/>
      <c r="P51" s="125"/>
      <c r="Q51" s="125"/>
      <c r="R51" s="125"/>
      <c r="S51" s="125"/>
      <c r="T51" s="125"/>
      <c r="U51" s="125"/>
      <c r="V51" s="125"/>
      <c r="W51" s="125"/>
      <c r="X51" s="125"/>
      <c r="Y51" s="125"/>
      <c r="Z51" s="125"/>
      <c r="AA51" s="125"/>
      <c r="AB51" s="125"/>
      <c r="AC51" s="125"/>
      <c r="AD51" s="125"/>
      <c r="AE51" s="125"/>
      <c r="AF51" s="125"/>
      <c r="AG51" s="125"/>
      <c r="AH51" s="125"/>
      <c r="AI51" s="125"/>
      <c r="AJ51" s="125"/>
      <c r="AK51" s="125"/>
      <c r="AL51" s="125"/>
      <c r="AM51" s="125"/>
      <c r="AN51" s="125"/>
      <c r="AO51" s="125"/>
      <c r="AP51" s="125"/>
      <c r="AQ51" s="125"/>
      <c r="AR51" s="125"/>
      <c r="AS51" s="125"/>
    </row>
    <row r="52" spans="1:45" s="163" customFormat="1" ht="15" customHeight="1" x14ac:dyDescent="0.15">
      <c r="A52" s="125"/>
      <c r="B52" s="125"/>
      <c r="C52" s="125"/>
      <c r="D52" s="125"/>
      <c r="E52" s="125"/>
      <c r="F52" s="125"/>
      <c r="G52" s="125"/>
      <c r="H52" s="125"/>
      <c r="I52" s="125"/>
      <c r="J52" s="125"/>
      <c r="K52" s="125"/>
      <c r="L52" s="125"/>
      <c r="M52" s="125"/>
      <c r="N52" s="125"/>
      <c r="O52" s="125"/>
      <c r="P52" s="125"/>
      <c r="Q52" s="125"/>
      <c r="R52" s="125"/>
      <c r="S52" s="125"/>
      <c r="T52" s="125"/>
      <c r="U52" s="125"/>
      <c r="V52" s="125"/>
      <c r="W52" s="125"/>
      <c r="X52" s="125"/>
      <c r="Y52" s="125"/>
      <c r="Z52" s="125"/>
      <c r="AA52" s="125"/>
      <c r="AB52" s="125"/>
      <c r="AC52" s="125"/>
      <c r="AD52" s="125"/>
      <c r="AE52" s="125"/>
      <c r="AF52" s="125"/>
      <c r="AG52" s="125"/>
      <c r="AH52" s="125"/>
      <c r="AI52" s="125"/>
      <c r="AJ52" s="125"/>
      <c r="AK52" s="125"/>
      <c r="AL52" s="125"/>
      <c r="AM52" s="125"/>
      <c r="AN52" s="125"/>
      <c r="AO52" s="125"/>
      <c r="AP52" s="125"/>
      <c r="AQ52" s="125"/>
      <c r="AR52" s="125"/>
      <c r="AS52" s="125"/>
    </row>
    <row r="53" spans="1:45" s="163" customFormat="1" ht="15" customHeight="1" x14ac:dyDescent="0.15">
      <c r="A53" s="125"/>
      <c r="B53" s="125"/>
      <c r="C53" s="125"/>
      <c r="D53" s="125"/>
      <c r="E53" s="125"/>
      <c r="F53" s="125"/>
      <c r="G53" s="125"/>
      <c r="H53" s="125"/>
      <c r="I53" s="125"/>
      <c r="J53" s="125"/>
      <c r="K53" s="125"/>
      <c r="L53" s="125"/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5"/>
      <c r="AH53" s="125"/>
      <c r="AI53" s="125"/>
      <c r="AJ53" s="125"/>
      <c r="AK53" s="125"/>
      <c r="AL53" s="125"/>
      <c r="AM53" s="125"/>
      <c r="AN53" s="125"/>
      <c r="AO53" s="125"/>
      <c r="AP53" s="125"/>
      <c r="AQ53" s="125"/>
      <c r="AR53" s="125"/>
      <c r="AS53" s="125"/>
    </row>
    <row r="54" spans="1:45" s="163" customFormat="1" ht="15" customHeight="1" x14ac:dyDescent="0.15">
      <c r="A54" s="125"/>
      <c r="B54" s="125"/>
      <c r="C54" s="125"/>
      <c r="D54" s="125"/>
      <c r="E54" s="125"/>
      <c r="F54" s="125"/>
      <c r="G54" s="125"/>
      <c r="H54" s="125"/>
      <c r="I54" s="125"/>
      <c r="J54" s="125"/>
      <c r="K54" s="125"/>
      <c r="L54" s="125"/>
      <c r="M54" s="125"/>
      <c r="N54" s="125"/>
      <c r="O54" s="125"/>
      <c r="P54" s="125"/>
      <c r="Q54" s="125"/>
      <c r="R54" s="125"/>
      <c r="S54" s="125"/>
      <c r="T54" s="125"/>
      <c r="U54" s="125"/>
      <c r="V54" s="125"/>
      <c r="W54" s="125"/>
      <c r="X54" s="125"/>
      <c r="Y54" s="125"/>
      <c r="Z54" s="125"/>
      <c r="AA54" s="125"/>
      <c r="AB54" s="125"/>
      <c r="AC54" s="125"/>
      <c r="AD54" s="125"/>
      <c r="AE54" s="125"/>
      <c r="AF54" s="125"/>
      <c r="AG54" s="125"/>
      <c r="AH54" s="125"/>
      <c r="AI54" s="125"/>
      <c r="AJ54" s="125"/>
      <c r="AK54" s="125"/>
      <c r="AL54" s="125"/>
      <c r="AM54" s="125"/>
      <c r="AN54" s="125"/>
      <c r="AO54" s="125"/>
      <c r="AP54" s="125"/>
      <c r="AQ54" s="125"/>
      <c r="AR54" s="125"/>
      <c r="AS54" s="125"/>
    </row>
    <row r="55" spans="1:45" s="163" customFormat="1" ht="15" customHeight="1" x14ac:dyDescent="0.15">
      <c r="A55" s="125"/>
      <c r="B55" s="125"/>
      <c r="C55" s="125"/>
      <c r="D55" s="125"/>
      <c r="E55" s="125"/>
      <c r="F55" s="125"/>
      <c r="G55" s="125"/>
      <c r="H55" s="125"/>
      <c r="I55" s="125"/>
      <c r="J55" s="125"/>
      <c r="K55" s="125"/>
      <c r="L55" s="125"/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5"/>
      <c r="AH55" s="125"/>
      <c r="AI55" s="125"/>
      <c r="AJ55" s="125"/>
      <c r="AK55" s="125"/>
      <c r="AL55" s="125"/>
      <c r="AM55" s="125"/>
      <c r="AN55" s="125"/>
      <c r="AO55" s="125"/>
      <c r="AP55" s="125"/>
      <c r="AQ55" s="125"/>
      <c r="AR55" s="125"/>
      <c r="AS55" s="125"/>
    </row>
    <row r="56" spans="1:45" ht="15" customHeight="1" x14ac:dyDescent="0.2"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</row>
    <row r="57" spans="1:45" s="161" customFormat="1" ht="15" customHeight="1" x14ac:dyDescent="0.15">
      <c r="A57" s="110"/>
      <c r="B57" s="110"/>
      <c r="C57" s="110"/>
      <c r="D57" s="134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  <c r="AC57" s="110"/>
      <c r="AD57" s="110"/>
      <c r="AE57" s="110"/>
      <c r="AF57" s="110"/>
      <c r="AG57" s="110"/>
      <c r="AH57" s="110"/>
      <c r="AI57" s="110"/>
      <c r="AJ57" s="110"/>
      <c r="AK57" s="110"/>
      <c r="AL57" s="110"/>
      <c r="AM57" s="110"/>
      <c r="AN57" s="110"/>
      <c r="AO57" s="110"/>
      <c r="AP57" s="110"/>
      <c r="AQ57" s="110"/>
      <c r="AR57" s="110"/>
      <c r="AS57" s="110"/>
    </row>
    <row r="58" spans="1:45" s="161" customFormat="1" ht="15" customHeight="1" x14ac:dyDescent="0.15">
      <c r="A58" s="110"/>
      <c r="B58" s="110"/>
      <c r="C58" s="110"/>
      <c r="D58" s="134"/>
      <c r="E58" s="110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  <c r="AB58" s="110"/>
      <c r="AC58" s="110"/>
      <c r="AD58" s="110"/>
      <c r="AE58" s="110"/>
      <c r="AF58" s="110"/>
      <c r="AG58" s="110"/>
      <c r="AH58" s="110"/>
      <c r="AI58" s="110"/>
      <c r="AJ58" s="110"/>
      <c r="AK58" s="110"/>
      <c r="AL58" s="110"/>
      <c r="AM58" s="110"/>
      <c r="AN58" s="110"/>
      <c r="AO58" s="110"/>
      <c r="AP58" s="110"/>
      <c r="AQ58" s="110"/>
      <c r="AR58" s="110"/>
      <c r="AS58" s="110"/>
    </row>
    <row r="59" spans="1:45" s="161" customFormat="1" ht="15" customHeight="1" x14ac:dyDescent="0.15">
      <c r="A59" s="110"/>
      <c r="B59" s="110"/>
      <c r="C59" s="110"/>
      <c r="D59" s="134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  <c r="AF59" s="110"/>
      <c r="AG59" s="110"/>
      <c r="AH59" s="110"/>
      <c r="AI59" s="110"/>
      <c r="AJ59" s="110"/>
      <c r="AK59" s="110"/>
      <c r="AL59" s="110"/>
      <c r="AM59" s="110"/>
      <c r="AN59" s="110"/>
      <c r="AO59" s="110"/>
      <c r="AP59" s="110"/>
      <c r="AQ59" s="110"/>
      <c r="AR59" s="110"/>
      <c r="AS59" s="110"/>
    </row>
    <row r="60" spans="1:45" s="162" customFormat="1" ht="15" customHeight="1" x14ac:dyDescent="0.2">
      <c r="A60" s="135"/>
      <c r="B60" s="135"/>
      <c r="C60" s="136"/>
      <c r="D60" s="137"/>
      <c r="E60" s="135"/>
      <c r="F60" s="135"/>
      <c r="G60" s="135"/>
      <c r="H60" s="135"/>
      <c r="I60" s="135"/>
      <c r="J60" s="135"/>
      <c r="K60" s="135"/>
      <c r="L60" s="135"/>
      <c r="M60" s="135"/>
      <c r="N60" s="135"/>
      <c r="O60" s="135"/>
      <c r="P60" s="135"/>
      <c r="Q60" s="135"/>
      <c r="R60" s="135"/>
      <c r="S60" s="135"/>
      <c r="T60" s="135"/>
      <c r="U60" s="135"/>
      <c r="V60" s="135"/>
      <c r="W60" s="135"/>
      <c r="X60" s="135"/>
      <c r="Y60" s="135"/>
      <c r="Z60" s="135"/>
      <c r="AA60" s="135"/>
      <c r="AB60" s="135"/>
      <c r="AC60" s="135"/>
      <c r="AD60" s="135"/>
      <c r="AE60" s="135"/>
      <c r="AF60" s="135"/>
      <c r="AG60" s="135"/>
      <c r="AH60" s="135"/>
      <c r="AI60" s="135"/>
      <c r="AJ60" s="135"/>
      <c r="AK60" s="135"/>
      <c r="AL60" s="135"/>
      <c r="AM60" s="135"/>
      <c r="AN60" s="135"/>
      <c r="AO60" s="135"/>
      <c r="AP60" s="135"/>
      <c r="AQ60" s="135"/>
      <c r="AR60" s="135"/>
      <c r="AS60" s="135"/>
    </row>
    <row r="61" spans="1:45" s="162" customFormat="1" ht="15" customHeight="1" x14ac:dyDescent="0.2">
      <c r="A61" s="135"/>
      <c r="B61" s="135"/>
      <c r="C61" s="136"/>
      <c r="D61" s="137"/>
      <c r="E61" s="135"/>
      <c r="F61" s="135"/>
      <c r="G61" s="135"/>
      <c r="H61" s="135"/>
      <c r="I61" s="135"/>
      <c r="J61" s="135"/>
      <c r="K61" s="135"/>
      <c r="L61" s="135"/>
      <c r="M61" s="135"/>
      <c r="N61" s="135"/>
      <c r="O61" s="135"/>
      <c r="P61" s="135"/>
      <c r="Q61" s="135"/>
      <c r="R61" s="135"/>
      <c r="S61" s="135"/>
      <c r="T61" s="135"/>
      <c r="U61" s="135"/>
      <c r="V61" s="135"/>
      <c r="W61" s="135"/>
      <c r="X61" s="135"/>
      <c r="Y61" s="135"/>
      <c r="Z61" s="135"/>
      <c r="AA61" s="135"/>
      <c r="AB61" s="135"/>
      <c r="AC61" s="135"/>
      <c r="AD61" s="135"/>
      <c r="AE61" s="135"/>
      <c r="AF61" s="135"/>
      <c r="AG61" s="135"/>
      <c r="AH61" s="135"/>
      <c r="AI61" s="135"/>
      <c r="AJ61" s="135"/>
      <c r="AK61" s="135"/>
      <c r="AL61" s="135"/>
      <c r="AM61" s="135"/>
      <c r="AN61" s="135"/>
      <c r="AO61" s="135"/>
      <c r="AP61" s="135"/>
      <c r="AQ61" s="135"/>
      <c r="AR61" s="135"/>
      <c r="AS61" s="135"/>
    </row>
    <row r="62" spans="1:45" s="162" customFormat="1" ht="15" customHeight="1" x14ac:dyDescent="0.2">
      <c r="A62" s="135"/>
      <c r="B62" s="135"/>
      <c r="C62" s="136"/>
      <c r="D62" s="137"/>
      <c r="E62" s="135"/>
      <c r="F62" s="135"/>
      <c r="G62" s="135"/>
      <c r="H62" s="135"/>
      <c r="I62" s="135"/>
      <c r="J62" s="135"/>
      <c r="K62" s="135"/>
      <c r="L62" s="135"/>
      <c r="M62" s="135"/>
      <c r="N62" s="135"/>
      <c r="O62" s="135"/>
      <c r="P62" s="135"/>
      <c r="Q62" s="135"/>
      <c r="R62" s="135"/>
      <c r="S62" s="135"/>
      <c r="T62" s="135"/>
      <c r="U62" s="135"/>
      <c r="V62" s="135"/>
      <c r="W62" s="135"/>
      <c r="X62" s="135"/>
      <c r="Y62" s="135"/>
      <c r="Z62" s="135"/>
      <c r="AA62" s="135"/>
      <c r="AB62" s="135"/>
      <c r="AC62" s="135"/>
      <c r="AD62" s="135"/>
      <c r="AE62" s="135"/>
      <c r="AF62" s="135"/>
      <c r="AG62" s="135"/>
      <c r="AH62" s="135"/>
      <c r="AI62" s="135"/>
      <c r="AJ62" s="135"/>
      <c r="AK62" s="135"/>
      <c r="AL62" s="135"/>
      <c r="AM62" s="135"/>
      <c r="AN62" s="135"/>
      <c r="AO62" s="135"/>
      <c r="AP62" s="135"/>
      <c r="AQ62" s="135"/>
      <c r="AR62" s="135"/>
      <c r="AS62" s="135"/>
    </row>
    <row r="63" spans="1:45" s="162" customFormat="1" ht="15" customHeight="1" x14ac:dyDescent="0.2">
      <c r="A63" s="135"/>
      <c r="B63" s="135"/>
      <c r="C63" s="136"/>
      <c r="D63" s="137"/>
      <c r="E63" s="135"/>
      <c r="F63" s="135"/>
      <c r="G63" s="135"/>
      <c r="H63" s="135"/>
      <c r="I63" s="135"/>
      <c r="J63" s="135"/>
      <c r="K63" s="135"/>
      <c r="L63" s="135"/>
      <c r="M63" s="135"/>
      <c r="N63" s="135"/>
      <c r="O63" s="135"/>
      <c r="P63" s="135"/>
      <c r="Q63" s="135"/>
      <c r="R63" s="135"/>
      <c r="S63" s="135"/>
      <c r="T63" s="135"/>
      <c r="U63" s="135"/>
      <c r="V63" s="135"/>
      <c r="W63" s="135"/>
      <c r="X63" s="135"/>
      <c r="Y63" s="135"/>
      <c r="Z63" s="135"/>
      <c r="AA63" s="135"/>
      <c r="AB63" s="135"/>
      <c r="AC63" s="135"/>
      <c r="AD63" s="135"/>
      <c r="AE63" s="135"/>
      <c r="AF63" s="135"/>
      <c r="AG63" s="135"/>
      <c r="AH63" s="135"/>
      <c r="AI63" s="135"/>
      <c r="AJ63" s="135"/>
      <c r="AK63" s="135"/>
      <c r="AL63" s="135"/>
      <c r="AM63" s="135"/>
      <c r="AN63" s="135"/>
      <c r="AO63" s="135"/>
      <c r="AP63" s="135"/>
      <c r="AQ63" s="135"/>
      <c r="AR63" s="135"/>
      <c r="AS63" s="135"/>
    </row>
    <row r="64" spans="1:45" s="162" customFormat="1" ht="15" customHeight="1" x14ac:dyDescent="0.2">
      <c r="A64" s="135"/>
      <c r="B64" s="135"/>
      <c r="C64" s="136"/>
      <c r="D64" s="137"/>
      <c r="E64" s="135"/>
      <c r="F64" s="135"/>
      <c r="G64" s="135"/>
      <c r="H64" s="135"/>
      <c r="I64" s="135"/>
      <c r="J64" s="135"/>
      <c r="K64" s="135"/>
      <c r="L64" s="135"/>
      <c r="M64" s="135"/>
      <c r="N64" s="135"/>
      <c r="O64" s="135"/>
      <c r="P64" s="135"/>
      <c r="Q64" s="135"/>
      <c r="R64" s="135"/>
      <c r="S64" s="135"/>
      <c r="T64" s="135"/>
      <c r="U64" s="135"/>
      <c r="V64" s="135"/>
      <c r="W64" s="135"/>
      <c r="X64" s="135"/>
      <c r="Y64" s="135"/>
      <c r="Z64" s="135"/>
      <c r="AA64" s="135"/>
      <c r="AB64" s="135"/>
      <c r="AC64" s="135"/>
      <c r="AD64" s="135"/>
      <c r="AE64" s="135"/>
      <c r="AF64" s="135"/>
      <c r="AG64" s="135"/>
      <c r="AH64" s="135"/>
      <c r="AI64" s="135"/>
      <c r="AJ64" s="135"/>
      <c r="AK64" s="135"/>
      <c r="AL64" s="135"/>
      <c r="AM64" s="135"/>
      <c r="AN64" s="135"/>
      <c r="AO64" s="135"/>
      <c r="AP64" s="135"/>
      <c r="AQ64" s="135"/>
      <c r="AR64" s="135"/>
      <c r="AS64" s="135"/>
    </row>
    <row r="65" spans="1:45" s="162" customFormat="1" ht="15" customHeight="1" x14ac:dyDescent="0.2">
      <c r="A65" s="135"/>
      <c r="B65" s="135"/>
      <c r="C65" s="136"/>
      <c r="D65" s="137"/>
      <c r="E65" s="135"/>
      <c r="F65" s="135"/>
      <c r="G65" s="135"/>
      <c r="H65" s="135"/>
      <c r="I65" s="135"/>
      <c r="J65" s="135"/>
      <c r="K65" s="135"/>
      <c r="L65" s="135"/>
      <c r="M65" s="135"/>
      <c r="N65" s="135"/>
      <c r="O65" s="135"/>
      <c r="P65" s="135"/>
      <c r="Q65" s="135"/>
      <c r="R65" s="135"/>
      <c r="S65" s="135"/>
      <c r="T65" s="135"/>
      <c r="U65" s="135"/>
      <c r="V65" s="135"/>
      <c r="W65" s="135"/>
      <c r="X65" s="135"/>
      <c r="Y65" s="135"/>
      <c r="Z65" s="135"/>
      <c r="AA65" s="135"/>
      <c r="AB65" s="135"/>
      <c r="AC65" s="135"/>
      <c r="AD65" s="135"/>
      <c r="AE65" s="135"/>
      <c r="AF65" s="135"/>
      <c r="AG65" s="135"/>
      <c r="AH65" s="135"/>
      <c r="AI65" s="135"/>
      <c r="AJ65" s="135"/>
      <c r="AK65" s="135"/>
      <c r="AL65" s="135"/>
      <c r="AM65" s="135"/>
      <c r="AN65" s="135"/>
      <c r="AO65" s="135"/>
      <c r="AP65" s="135"/>
      <c r="AQ65" s="135"/>
      <c r="AR65" s="135"/>
      <c r="AS65" s="135"/>
    </row>
    <row r="66" spans="1:45" s="162" customFormat="1" ht="15" customHeight="1" x14ac:dyDescent="0.2">
      <c r="A66" s="135"/>
      <c r="B66" s="135"/>
      <c r="C66" s="136"/>
      <c r="D66" s="137"/>
      <c r="E66" s="135"/>
      <c r="F66" s="135"/>
      <c r="G66" s="135"/>
      <c r="H66" s="135"/>
      <c r="I66" s="135"/>
      <c r="J66" s="135"/>
      <c r="K66" s="135"/>
      <c r="L66" s="135"/>
      <c r="M66" s="135"/>
      <c r="N66" s="135"/>
      <c r="O66" s="135"/>
      <c r="P66" s="135"/>
      <c r="Q66" s="135"/>
      <c r="R66" s="135"/>
      <c r="S66" s="135"/>
      <c r="T66" s="135"/>
      <c r="U66" s="135"/>
      <c r="V66" s="135"/>
      <c r="W66" s="135"/>
      <c r="X66" s="135"/>
      <c r="Y66" s="135"/>
      <c r="Z66" s="135"/>
      <c r="AA66" s="135"/>
      <c r="AB66" s="135"/>
      <c r="AC66" s="135"/>
      <c r="AD66" s="135"/>
      <c r="AE66" s="135"/>
      <c r="AF66" s="135"/>
      <c r="AG66" s="135"/>
      <c r="AH66" s="135"/>
      <c r="AI66" s="135"/>
      <c r="AJ66" s="135"/>
      <c r="AK66" s="135"/>
      <c r="AL66" s="135"/>
      <c r="AM66" s="135"/>
      <c r="AN66" s="135"/>
      <c r="AO66" s="135"/>
      <c r="AP66" s="135"/>
      <c r="AQ66" s="135"/>
      <c r="AR66" s="135"/>
      <c r="AS66" s="135"/>
    </row>
    <row r="67" spans="1:45" s="162" customFormat="1" ht="15" customHeight="1" x14ac:dyDescent="0.2">
      <c r="A67" s="135"/>
      <c r="B67" s="135"/>
      <c r="C67" s="136"/>
      <c r="D67" s="137"/>
      <c r="E67" s="135"/>
      <c r="F67" s="135"/>
      <c r="G67" s="135"/>
      <c r="H67" s="135"/>
      <c r="I67" s="135"/>
      <c r="J67" s="135"/>
      <c r="K67" s="135"/>
      <c r="L67" s="135"/>
      <c r="M67" s="135"/>
      <c r="N67" s="135"/>
      <c r="O67" s="135"/>
      <c r="P67" s="135"/>
      <c r="Q67" s="135"/>
      <c r="R67" s="135"/>
      <c r="S67" s="135"/>
      <c r="T67" s="135"/>
      <c r="U67" s="135"/>
      <c r="V67" s="135"/>
      <c r="W67" s="135"/>
      <c r="X67" s="135"/>
      <c r="Y67" s="135"/>
      <c r="Z67" s="135"/>
      <c r="AA67" s="135"/>
      <c r="AB67" s="135"/>
      <c r="AC67" s="135"/>
      <c r="AD67" s="135"/>
      <c r="AE67" s="135"/>
      <c r="AF67" s="135"/>
      <c r="AG67" s="135"/>
      <c r="AH67" s="135"/>
      <c r="AI67" s="135"/>
      <c r="AJ67" s="135"/>
      <c r="AK67" s="135"/>
      <c r="AL67" s="135"/>
      <c r="AM67" s="135"/>
      <c r="AN67" s="135"/>
      <c r="AO67" s="135"/>
      <c r="AP67" s="135"/>
      <c r="AQ67" s="135"/>
      <c r="AR67" s="135"/>
      <c r="AS67" s="135"/>
    </row>
    <row r="68" spans="1:45" s="162" customFormat="1" ht="15" customHeight="1" x14ac:dyDescent="0.2">
      <c r="A68" s="135"/>
      <c r="B68" s="135"/>
      <c r="C68" s="136"/>
      <c r="D68" s="137"/>
      <c r="E68" s="135"/>
      <c r="F68" s="135"/>
      <c r="G68" s="135"/>
      <c r="H68" s="135"/>
      <c r="I68" s="135"/>
      <c r="J68" s="135"/>
      <c r="K68" s="135"/>
      <c r="L68" s="135"/>
      <c r="M68" s="135"/>
      <c r="N68" s="135"/>
      <c r="O68" s="135"/>
      <c r="P68" s="135"/>
      <c r="Q68" s="135"/>
      <c r="R68" s="135"/>
      <c r="S68" s="135"/>
      <c r="T68" s="135"/>
      <c r="U68" s="135"/>
      <c r="V68" s="135"/>
      <c r="W68" s="135"/>
      <c r="X68" s="135"/>
      <c r="Y68" s="135"/>
      <c r="Z68" s="135"/>
      <c r="AA68" s="135"/>
      <c r="AB68" s="135"/>
      <c r="AC68" s="135"/>
      <c r="AD68" s="135"/>
      <c r="AE68" s="135"/>
      <c r="AF68" s="135"/>
      <c r="AG68" s="135"/>
      <c r="AH68" s="135"/>
      <c r="AI68" s="135"/>
      <c r="AJ68" s="135"/>
      <c r="AK68" s="135"/>
      <c r="AL68" s="135"/>
      <c r="AM68" s="135"/>
      <c r="AN68" s="135"/>
      <c r="AO68" s="135"/>
      <c r="AP68" s="135"/>
      <c r="AQ68" s="135"/>
      <c r="AR68" s="135"/>
      <c r="AS68" s="135"/>
    </row>
    <row r="69" spans="1:45" s="164" customFormat="1" ht="15" customHeight="1" x14ac:dyDescent="0.15">
      <c r="A69" s="138"/>
      <c r="B69" s="138"/>
      <c r="C69" s="138"/>
      <c r="D69" s="139"/>
      <c r="E69" s="138"/>
      <c r="F69" s="138"/>
      <c r="G69" s="138"/>
      <c r="H69" s="138"/>
      <c r="I69" s="138"/>
      <c r="J69" s="138"/>
      <c r="K69" s="138"/>
      <c r="L69" s="138"/>
      <c r="M69" s="138"/>
      <c r="N69" s="138"/>
      <c r="O69" s="138"/>
      <c r="P69" s="138"/>
      <c r="Q69" s="138"/>
      <c r="R69" s="138"/>
      <c r="S69" s="138"/>
      <c r="T69" s="138"/>
      <c r="U69" s="138"/>
      <c r="V69" s="138"/>
      <c r="W69" s="138"/>
      <c r="X69" s="138"/>
      <c r="Y69" s="138"/>
      <c r="Z69" s="138"/>
      <c r="AA69" s="138"/>
      <c r="AB69" s="138"/>
      <c r="AC69" s="138"/>
      <c r="AD69" s="138"/>
      <c r="AE69" s="138"/>
      <c r="AF69" s="138"/>
      <c r="AG69" s="138"/>
      <c r="AH69" s="138"/>
      <c r="AI69" s="138"/>
      <c r="AJ69" s="138"/>
      <c r="AK69" s="138"/>
      <c r="AL69" s="138"/>
      <c r="AM69" s="138"/>
      <c r="AN69" s="138"/>
      <c r="AO69" s="138"/>
      <c r="AP69" s="138"/>
      <c r="AQ69" s="138"/>
      <c r="AR69" s="138"/>
      <c r="AS69" s="138"/>
    </row>
    <row r="70" spans="1:45" s="165" customFormat="1" ht="15" customHeight="1" x14ac:dyDescent="0.15">
      <c r="A70" s="116"/>
      <c r="B70" s="116"/>
      <c r="C70" s="116"/>
      <c r="D70" s="140"/>
      <c r="E70" s="116"/>
      <c r="F70" s="116"/>
      <c r="G70" s="116"/>
      <c r="H70" s="116"/>
      <c r="I70" s="116"/>
      <c r="J70" s="116"/>
      <c r="K70" s="116"/>
      <c r="L70" s="116"/>
      <c r="M70" s="116"/>
      <c r="N70" s="116"/>
      <c r="O70" s="116"/>
      <c r="P70" s="116"/>
      <c r="Q70" s="116"/>
      <c r="R70" s="116"/>
      <c r="S70" s="116"/>
      <c r="T70" s="116"/>
      <c r="U70" s="116"/>
      <c r="V70" s="116"/>
      <c r="W70" s="116"/>
      <c r="X70" s="116"/>
      <c r="Y70" s="116"/>
      <c r="Z70" s="116"/>
      <c r="AA70" s="116"/>
      <c r="AB70" s="116"/>
      <c r="AC70" s="116"/>
      <c r="AD70" s="116"/>
      <c r="AE70" s="116"/>
      <c r="AF70" s="116"/>
      <c r="AG70" s="116"/>
      <c r="AH70" s="116"/>
      <c r="AI70" s="116"/>
      <c r="AJ70" s="116"/>
      <c r="AK70" s="116"/>
      <c r="AL70" s="116"/>
      <c r="AM70" s="116"/>
      <c r="AN70" s="116"/>
      <c r="AO70" s="116"/>
      <c r="AP70" s="116"/>
      <c r="AQ70" s="116"/>
      <c r="AR70" s="116"/>
      <c r="AS70" s="116"/>
    </row>
    <row r="71" spans="1:45" ht="15" customHeight="1" x14ac:dyDescent="0.2">
      <c r="C71" s="65"/>
      <c r="D71" s="141"/>
      <c r="E71" s="79"/>
      <c r="F71" s="79"/>
      <c r="G71" s="79"/>
      <c r="H71" s="79"/>
      <c r="I71" s="79"/>
      <c r="J71" s="79"/>
      <c r="K71" s="79"/>
      <c r="L71" s="79"/>
      <c r="M71" s="65"/>
      <c r="N71" s="65"/>
      <c r="O71" s="65"/>
      <c r="P71" s="65"/>
      <c r="Q71" s="65"/>
    </row>
    <row r="72" spans="1:45" s="166" customFormat="1" ht="15" customHeight="1" x14ac:dyDescent="0.15">
      <c r="A72" s="142"/>
      <c r="B72" s="142"/>
      <c r="C72" s="142"/>
      <c r="D72" s="143"/>
      <c r="E72" s="142"/>
      <c r="F72" s="142"/>
      <c r="G72" s="142"/>
      <c r="H72" s="142"/>
      <c r="I72" s="142"/>
      <c r="J72" s="142"/>
      <c r="K72" s="142"/>
      <c r="L72" s="142"/>
      <c r="M72" s="142"/>
      <c r="N72" s="142"/>
      <c r="O72" s="142"/>
      <c r="P72" s="142"/>
      <c r="Q72" s="142"/>
      <c r="R72" s="142"/>
      <c r="S72" s="142"/>
      <c r="T72" s="142"/>
      <c r="U72" s="142"/>
      <c r="V72" s="142"/>
      <c r="W72" s="142"/>
      <c r="X72" s="142"/>
      <c r="Y72" s="142"/>
      <c r="Z72" s="142"/>
      <c r="AA72" s="142"/>
      <c r="AB72" s="142"/>
      <c r="AC72" s="142"/>
      <c r="AD72" s="142"/>
      <c r="AE72" s="142"/>
      <c r="AF72" s="142"/>
      <c r="AG72" s="142"/>
      <c r="AH72" s="142"/>
      <c r="AI72" s="142"/>
      <c r="AJ72" s="142"/>
      <c r="AK72" s="142"/>
      <c r="AL72" s="142"/>
      <c r="AM72" s="142"/>
      <c r="AN72" s="142"/>
      <c r="AO72" s="142"/>
      <c r="AP72" s="142"/>
      <c r="AQ72" s="142"/>
      <c r="AR72" s="142"/>
      <c r="AS72" s="142"/>
    </row>
    <row r="73" spans="1:45" s="162" customFormat="1" ht="15" customHeight="1" x14ac:dyDescent="0.2">
      <c r="A73" s="135"/>
      <c r="B73" s="135"/>
      <c r="C73" s="136"/>
      <c r="D73" s="137"/>
      <c r="E73" s="135"/>
      <c r="F73" s="135"/>
      <c r="G73" s="135"/>
      <c r="H73" s="135"/>
      <c r="I73" s="135"/>
      <c r="J73" s="135"/>
      <c r="K73" s="135"/>
      <c r="L73" s="135"/>
      <c r="M73" s="135"/>
      <c r="N73" s="135"/>
      <c r="O73" s="135"/>
      <c r="P73" s="135"/>
      <c r="Q73" s="135"/>
      <c r="R73" s="135"/>
      <c r="S73" s="135"/>
      <c r="T73" s="135"/>
      <c r="U73" s="135"/>
      <c r="V73" s="135"/>
      <c r="W73" s="135"/>
      <c r="X73" s="135"/>
      <c r="Y73" s="135"/>
      <c r="Z73" s="135"/>
      <c r="AA73" s="135"/>
      <c r="AB73" s="135"/>
      <c r="AC73" s="135"/>
      <c r="AD73" s="135"/>
      <c r="AE73" s="135"/>
      <c r="AF73" s="135"/>
      <c r="AG73" s="135"/>
      <c r="AH73" s="135"/>
      <c r="AI73" s="135"/>
      <c r="AJ73" s="135"/>
      <c r="AK73" s="135"/>
      <c r="AL73" s="135"/>
      <c r="AM73" s="135"/>
      <c r="AN73" s="135"/>
      <c r="AO73" s="135"/>
      <c r="AP73" s="135"/>
      <c r="AQ73" s="135"/>
      <c r="AR73" s="135"/>
      <c r="AS73" s="135"/>
    </row>
    <row r="74" spans="1:45" ht="15" customHeight="1" x14ac:dyDescent="0.2"/>
    <row r="75" spans="1:45" ht="15" customHeight="1" x14ac:dyDescent="0.2"/>
    <row r="76" spans="1:45" ht="15" customHeight="1" x14ac:dyDescent="0.2"/>
    <row r="77" spans="1:45" ht="90" x14ac:dyDescent="1.1499999999999999">
      <c r="I77" s="167"/>
    </row>
  </sheetData>
  <sheetProtection password="A607" sheet="1" objects="1" scenarios="1"/>
  <dataConsolidate/>
  <mergeCells count="5">
    <mergeCell ref="O20:P20"/>
    <mergeCell ref="C5:P5"/>
    <mergeCell ref="E27:M27"/>
    <mergeCell ref="E25:M25"/>
    <mergeCell ref="F20:M20"/>
  </mergeCells>
  <dataValidations count="2">
    <dataValidation type="list" allowBlank="1" showInputMessage="1" showErrorMessage="1" sqref="WVG983015:WVP983015 IU65511:JD65511 SQ65511:SZ65511 ACM65511:ACV65511 AMI65511:AMR65511 AWE65511:AWN65511 BGA65511:BGJ65511 BPW65511:BQF65511 BZS65511:CAB65511 CJO65511:CJX65511 CTK65511:CTT65511 DDG65511:DDP65511 DNC65511:DNL65511 DWY65511:DXH65511 EGU65511:EHD65511 EQQ65511:EQZ65511 FAM65511:FAV65511 FKI65511:FKR65511 FUE65511:FUN65511 GEA65511:GEJ65511 GNW65511:GOF65511 GXS65511:GYB65511 HHO65511:HHX65511 HRK65511:HRT65511 IBG65511:IBP65511 ILC65511:ILL65511 IUY65511:IVH65511 JEU65511:JFD65511 JOQ65511:JOZ65511 JYM65511:JYV65511 KII65511:KIR65511 KSE65511:KSN65511 LCA65511:LCJ65511 LLW65511:LMF65511 LVS65511:LWB65511 MFO65511:MFX65511 MPK65511:MPT65511 MZG65511:MZP65511 NJC65511:NJL65511 NSY65511:NTH65511 OCU65511:ODD65511 OMQ65511:OMZ65511 OWM65511:OWV65511 PGI65511:PGR65511 PQE65511:PQN65511 QAA65511:QAJ65511 QJW65511:QKF65511 QTS65511:QUB65511 RDO65511:RDX65511 RNK65511:RNT65511 RXG65511:RXP65511 SHC65511:SHL65511 SQY65511:SRH65511 TAU65511:TBD65511 TKQ65511:TKZ65511 TUM65511:TUV65511 UEI65511:UER65511 UOE65511:UON65511 UYA65511:UYJ65511 VHW65511:VIF65511 VRS65511:VSB65511 WBO65511:WBX65511 WLK65511:WLT65511 WVG65511:WVP65511 IU131047:JD131047 SQ131047:SZ131047 ACM131047:ACV131047 AMI131047:AMR131047 AWE131047:AWN131047 BGA131047:BGJ131047 BPW131047:BQF131047 BZS131047:CAB131047 CJO131047:CJX131047 CTK131047:CTT131047 DDG131047:DDP131047 DNC131047:DNL131047 DWY131047:DXH131047 EGU131047:EHD131047 EQQ131047:EQZ131047 FAM131047:FAV131047 FKI131047:FKR131047 FUE131047:FUN131047 GEA131047:GEJ131047 GNW131047:GOF131047 GXS131047:GYB131047 HHO131047:HHX131047 HRK131047:HRT131047 IBG131047:IBP131047 ILC131047:ILL131047 IUY131047:IVH131047 JEU131047:JFD131047 JOQ131047:JOZ131047 JYM131047:JYV131047 KII131047:KIR131047 KSE131047:KSN131047 LCA131047:LCJ131047 LLW131047:LMF131047 LVS131047:LWB131047 MFO131047:MFX131047 MPK131047:MPT131047 MZG131047:MZP131047 NJC131047:NJL131047 NSY131047:NTH131047 OCU131047:ODD131047 OMQ131047:OMZ131047 OWM131047:OWV131047 PGI131047:PGR131047 PQE131047:PQN131047 QAA131047:QAJ131047 QJW131047:QKF131047 QTS131047:QUB131047 RDO131047:RDX131047 RNK131047:RNT131047 RXG131047:RXP131047 SHC131047:SHL131047 SQY131047:SRH131047 TAU131047:TBD131047 TKQ131047:TKZ131047 TUM131047:TUV131047 UEI131047:UER131047 UOE131047:UON131047 UYA131047:UYJ131047 VHW131047:VIF131047 VRS131047:VSB131047 WBO131047:WBX131047 WLK131047:WLT131047 WVG131047:WVP131047 IU196583:JD196583 SQ196583:SZ196583 ACM196583:ACV196583 AMI196583:AMR196583 AWE196583:AWN196583 BGA196583:BGJ196583 BPW196583:BQF196583 BZS196583:CAB196583 CJO196583:CJX196583 CTK196583:CTT196583 DDG196583:DDP196583 DNC196583:DNL196583 DWY196583:DXH196583 EGU196583:EHD196583 EQQ196583:EQZ196583 FAM196583:FAV196583 FKI196583:FKR196583 FUE196583:FUN196583 GEA196583:GEJ196583 GNW196583:GOF196583 GXS196583:GYB196583 HHO196583:HHX196583 HRK196583:HRT196583 IBG196583:IBP196583 ILC196583:ILL196583 IUY196583:IVH196583 JEU196583:JFD196583 JOQ196583:JOZ196583 JYM196583:JYV196583 KII196583:KIR196583 KSE196583:KSN196583 LCA196583:LCJ196583 LLW196583:LMF196583 LVS196583:LWB196583 MFO196583:MFX196583 MPK196583:MPT196583 MZG196583:MZP196583 NJC196583:NJL196583 NSY196583:NTH196583 OCU196583:ODD196583 OMQ196583:OMZ196583 OWM196583:OWV196583 PGI196583:PGR196583 PQE196583:PQN196583 QAA196583:QAJ196583 QJW196583:QKF196583 QTS196583:QUB196583 RDO196583:RDX196583 RNK196583:RNT196583 RXG196583:RXP196583 SHC196583:SHL196583 SQY196583:SRH196583 TAU196583:TBD196583 TKQ196583:TKZ196583 TUM196583:TUV196583 UEI196583:UER196583 UOE196583:UON196583 UYA196583:UYJ196583 VHW196583:VIF196583 VRS196583:VSB196583 WBO196583:WBX196583 WLK196583:WLT196583 WVG196583:WVP196583 IU262119:JD262119 SQ262119:SZ262119 ACM262119:ACV262119 AMI262119:AMR262119 AWE262119:AWN262119 BGA262119:BGJ262119 BPW262119:BQF262119 BZS262119:CAB262119 CJO262119:CJX262119 CTK262119:CTT262119 DDG262119:DDP262119 DNC262119:DNL262119 DWY262119:DXH262119 EGU262119:EHD262119 EQQ262119:EQZ262119 FAM262119:FAV262119 FKI262119:FKR262119 FUE262119:FUN262119 GEA262119:GEJ262119 GNW262119:GOF262119 GXS262119:GYB262119 HHO262119:HHX262119 HRK262119:HRT262119 IBG262119:IBP262119 ILC262119:ILL262119 IUY262119:IVH262119 JEU262119:JFD262119 JOQ262119:JOZ262119 JYM262119:JYV262119 KII262119:KIR262119 KSE262119:KSN262119 LCA262119:LCJ262119 LLW262119:LMF262119 LVS262119:LWB262119 MFO262119:MFX262119 MPK262119:MPT262119 MZG262119:MZP262119 NJC262119:NJL262119 NSY262119:NTH262119 OCU262119:ODD262119 OMQ262119:OMZ262119 OWM262119:OWV262119 PGI262119:PGR262119 PQE262119:PQN262119 QAA262119:QAJ262119 QJW262119:QKF262119 QTS262119:QUB262119 RDO262119:RDX262119 RNK262119:RNT262119 RXG262119:RXP262119 SHC262119:SHL262119 SQY262119:SRH262119 TAU262119:TBD262119 TKQ262119:TKZ262119 TUM262119:TUV262119 UEI262119:UER262119 UOE262119:UON262119 UYA262119:UYJ262119 VHW262119:VIF262119 VRS262119:VSB262119 WBO262119:WBX262119 WLK262119:WLT262119 WVG262119:WVP262119 IU327655:JD327655 SQ327655:SZ327655 ACM327655:ACV327655 AMI327655:AMR327655 AWE327655:AWN327655 BGA327655:BGJ327655 BPW327655:BQF327655 BZS327655:CAB327655 CJO327655:CJX327655 CTK327655:CTT327655 DDG327655:DDP327655 DNC327655:DNL327655 DWY327655:DXH327655 EGU327655:EHD327655 EQQ327655:EQZ327655 FAM327655:FAV327655 FKI327655:FKR327655 FUE327655:FUN327655 GEA327655:GEJ327655 GNW327655:GOF327655 GXS327655:GYB327655 HHO327655:HHX327655 HRK327655:HRT327655 IBG327655:IBP327655 ILC327655:ILL327655 IUY327655:IVH327655 JEU327655:JFD327655 JOQ327655:JOZ327655 JYM327655:JYV327655 KII327655:KIR327655 KSE327655:KSN327655 LCA327655:LCJ327655 LLW327655:LMF327655 LVS327655:LWB327655 MFO327655:MFX327655 MPK327655:MPT327655 MZG327655:MZP327655 NJC327655:NJL327655 NSY327655:NTH327655 OCU327655:ODD327655 OMQ327655:OMZ327655 OWM327655:OWV327655 PGI327655:PGR327655 PQE327655:PQN327655 QAA327655:QAJ327655 QJW327655:QKF327655 QTS327655:QUB327655 RDO327655:RDX327655 RNK327655:RNT327655 RXG327655:RXP327655 SHC327655:SHL327655 SQY327655:SRH327655 TAU327655:TBD327655 TKQ327655:TKZ327655 TUM327655:TUV327655 UEI327655:UER327655 UOE327655:UON327655 UYA327655:UYJ327655 VHW327655:VIF327655 VRS327655:VSB327655 WBO327655:WBX327655 WLK327655:WLT327655 WVG327655:WVP327655 IU393191:JD393191 SQ393191:SZ393191 ACM393191:ACV393191 AMI393191:AMR393191 AWE393191:AWN393191 BGA393191:BGJ393191 BPW393191:BQF393191 BZS393191:CAB393191 CJO393191:CJX393191 CTK393191:CTT393191 DDG393191:DDP393191 DNC393191:DNL393191 DWY393191:DXH393191 EGU393191:EHD393191 EQQ393191:EQZ393191 FAM393191:FAV393191 FKI393191:FKR393191 FUE393191:FUN393191 GEA393191:GEJ393191 GNW393191:GOF393191 GXS393191:GYB393191 HHO393191:HHX393191 HRK393191:HRT393191 IBG393191:IBP393191 ILC393191:ILL393191 IUY393191:IVH393191 JEU393191:JFD393191 JOQ393191:JOZ393191 JYM393191:JYV393191 KII393191:KIR393191 KSE393191:KSN393191 LCA393191:LCJ393191 LLW393191:LMF393191 LVS393191:LWB393191 MFO393191:MFX393191 MPK393191:MPT393191 MZG393191:MZP393191 NJC393191:NJL393191 NSY393191:NTH393191 OCU393191:ODD393191 OMQ393191:OMZ393191 OWM393191:OWV393191 PGI393191:PGR393191 PQE393191:PQN393191 QAA393191:QAJ393191 QJW393191:QKF393191 QTS393191:QUB393191 RDO393191:RDX393191 RNK393191:RNT393191 RXG393191:RXP393191 SHC393191:SHL393191 SQY393191:SRH393191 TAU393191:TBD393191 TKQ393191:TKZ393191 TUM393191:TUV393191 UEI393191:UER393191 UOE393191:UON393191 UYA393191:UYJ393191 VHW393191:VIF393191 VRS393191:VSB393191 WBO393191:WBX393191 WLK393191:WLT393191 WVG393191:WVP393191 IU458727:JD458727 SQ458727:SZ458727 ACM458727:ACV458727 AMI458727:AMR458727 AWE458727:AWN458727 BGA458727:BGJ458727 BPW458727:BQF458727 BZS458727:CAB458727 CJO458727:CJX458727 CTK458727:CTT458727 DDG458727:DDP458727 DNC458727:DNL458727 DWY458727:DXH458727 EGU458727:EHD458727 EQQ458727:EQZ458727 FAM458727:FAV458727 FKI458727:FKR458727 FUE458727:FUN458727 GEA458727:GEJ458727 GNW458727:GOF458727 GXS458727:GYB458727 HHO458727:HHX458727 HRK458727:HRT458727 IBG458727:IBP458727 ILC458727:ILL458727 IUY458727:IVH458727 JEU458727:JFD458727 JOQ458727:JOZ458727 JYM458727:JYV458727 KII458727:KIR458727 KSE458727:KSN458727 LCA458727:LCJ458727 LLW458727:LMF458727 LVS458727:LWB458727 MFO458727:MFX458727 MPK458727:MPT458727 MZG458727:MZP458727 NJC458727:NJL458727 NSY458727:NTH458727 OCU458727:ODD458727 OMQ458727:OMZ458727 OWM458727:OWV458727 PGI458727:PGR458727 PQE458727:PQN458727 QAA458727:QAJ458727 QJW458727:QKF458727 QTS458727:QUB458727 RDO458727:RDX458727 RNK458727:RNT458727 RXG458727:RXP458727 SHC458727:SHL458727 SQY458727:SRH458727 TAU458727:TBD458727 TKQ458727:TKZ458727 TUM458727:TUV458727 UEI458727:UER458727 UOE458727:UON458727 UYA458727:UYJ458727 VHW458727:VIF458727 VRS458727:VSB458727 WBO458727:WBX458727 WLK458727:WLT458727 WVG458727:WVP458727 IU524263:JD524263 SQ524263:SZ524263 ACM524263:ACV524263 AMI524263:AMR524263 AWE524263:AWN524263 BGA524263:BGJ524263 BPW524263:BQF524263 BZS524263:CAB524263 CJO524263:CJX524263 CTK524263:CTT524263 DDG524263:DDP524263 DNC524263:DNL524263 DWY524263:DXH524263 EGU524263:EHD524263 EQQ524263:EQZ524263 FAM524263:FAV524263 FKI524263:FKR524263 FUE524263:FUN524263 GEA524263:GEJ524263 GNW524263:GOF524263 GXS524263:GYB524263 HHO524263:HHX524263 HRK524263:HRT524263 IBG524263:IBP524263 ILC524263:ILL524263 IUY524263:IVH524263 JEU524263:JFD524263 JOQ524263:JOZ524263 JYM524263:JYV524263 KII524263:KIR524263 KSE524263:KSN524263 LCA524263:LCJ524263 LLW524263:LMF524263 LVS524263:LWB524263 MFO524263:MFX524263 MPK524263:MPT524263 MZG524263:MZP524263 NJC524263:NJL524263 NSY524263:NTH524263 OCU524263:ODD524263 OMQ524263:OMZ524263 OWM524263:OWV524263 PGI524263:PGR524263 PQE524263:PQN524263 QAA524263:QAJ524263 QJW524263:QKF524263 QTS524263:QUB524263 RDO524263:RDX524263 RNK524263:RNT524263 RXG524263:RXP524263 SHC524263:SHL524263 SQY524263:SRH524263 TAU524263:TBD524263 TKQ524263:TKZ524263 TUM524263:TUV524263 UEI524263:UER524263 UOE524263:UON524263 UYA524263:UYJ524263 VHW524263:VIF524263 VRS524263:VSB524263 WBO524263:WBX524263 WLK524263:WLT524263 WVG524263:WVP524263 IU589799:JD589799 SQ589799:SZ589799 ACM589799:ACV589799 AMI589799:AMR589799 AWE589799:AWN589799 BGA589799:BGJ589799 BPW589799:BQF589799 BZS589799:CAB589799 CJO589799:CJX589799 CTK589799:CTT589799 DDG589799:DDP589799 DNC589799:DNL589799 DWY589799:DXH589799 EGU589799:EHD589799 EQQ589799:EQZ589799 FAM589799:FAV589799 FKI589799:FKR589799 FUE589799:FUN589799 GEA589799:GEJ589799 GNW589799:GOF589799 GXS589799:GYB589799 HHO589799:HHX589799 HRK589799:HRT589799 IBG589799:IBP589799 ILC589799:ILL589799 IUY589799:IVH589799 JEU589799:JFD589799 JOQ589799:JOZ589799 JYM589799:JYV589799 KII589799:KIR589799 KSE589799:KSN589799 LCA589799:LCJ589799 LLW589799:LMF589799 LVS589799:LWB589799 MFO589799:MFX589799 MPK589799:MPT589799 MZG589799:MZP589799 NJC589799:NJL589799 NSY589799:NTH589799 OCU589799:ODD589799 OMQ589799:OMZ589799 OWM589799:OWV589799 PGI589799:PGR589799 PQE589799:PQN589799 QAA589799:QAJ589799 QJW589799:QKF589799 QTS589799:QUB589799 RDO589799:RDX589799 RNK589799:RNT589799 RXG589799:RXP589799 SHC589799:SHL589799 SQY589799:SRH589799 TAU589799:TBD589799 TKQ589799:TKZ589799 TUM589799:TUV589799 UEI589799:UER589799 UOE589799:UON589799 UYA589799:UYJ589799 VHW589799:VIF589799 VRS589799:VSB589799 WBO589799:WBX589799 WLK589799:WLT589799 WVG589799:WVP589799 IU655335:JD655335 SQ655335:SZ655335 ACM655335:ACV655335 AMI655335:AMR655335 AWE655335:AWN655335 BGA655335:BGJ655335 BPW655335:BQF655335 BZS655335:CAB655335 CJO655335:CJX655335 CTK655335:CTT655335 DDG655335:DDP655335 DNC655335:DNL655335 DWY655335:DXH655335 EGU655335:EHD655335 EQQ655335:EQZ655335 FAM655335:FAV655335 FKI655335:FKR655335 FUE655335:FUN655335 GEA655335:GEJ655335 GNW655335:GOF655335 GXS655335:GYB655335 HHO655335:HHX655335 HRK655335:HRT655335 IBG655335:IBP655335 ILC655335:ILL655335 IUY655335:IVH655335 JEU655335:JFD655335 JOQ655335:JOZ655335 JYM655335:JYV655335 KII655335:KIR655335 KSE655335:KSN655335 LCA655335:LCJ655335 LLW655335:LMF655335 LVS655335:LWB655335 MFO655335:MFX655335 MPK655335:MPT655335 MZG655335:MZP655335 NJC655335:NJL655335 NSY655335:NTH655335 OCU655335:ODD655335 OMQ655335:OMZ655335 OWM655335:OWV655335 PGI655335:PGR655335 PQE655335:PQN655335 QAA655335:QAJ655335 QJW655335:QKF655335 QTS655335:QUB655335 RDO655335:RDX655335 RNK655335:RNT655335 RXG655335:RXP655335 SHC655335:SHL655335 SQY655335:SRH655335 TAU655335:TBD655335 TKQ655335:TKZ655335 TUM655335:TUV655335 UEI655335:UER655335 UOE655335:UON655335 UYA655335:UYJ655335 VHW655335:VIF655335 VRS655335:VSB655335 WBO655335:WBX655335 WLK655335:WLT655335 WVG655335:WVP655335 IU720871:JD720871 SQ720871:SZ720871 ACM720871:ACV720871 AMI720871:AMR720871 AWE720871:AWN720871 BGA720871:BGJ720871 BPW720871:BQF720871 BZS720871:CAB720871 CJO720871:CJX720871 CTK720871:CTT720871 DDG720871:DDP720871 DNC720871:DNL720871 DWY720871:DXH720871 EGU720871:EHD720871 EQQ720871:EQZ720871 FAM720871:FAV720871 FKI720871:FKR720871 FUE720871:FUN720871 GEA720871:GEJ720871 GNW720871:GOF720871 GXS720871:GYB720871 HHO720871:HHX720871 HRK720871:HRT720871 IBG720871:IBP720871 ILC720871:ILL720871 IUY720871:IVH720871 JEU720871:JFD720871 JOQ720871:JOZ720871 JYM720871:JYV720871 KII720871:KIR720871 KSE720871:KSN720871 LCA720871:LCJ720871 LLW720871:LMF720871 LVS720871:LWB720871 MFO720871:MFX720871 MPK720871:MPT720871 MZG720871:MZP720871 NJC720871:NJL720871 NSY720871:NTH720871 OCU720871:ODD720871 OMQ720871:OMZ720871 OWM720871:OWV720871 PGI720871:PGR720871 PQE720871:PQN720871 QAA720871:QAJ720871 QJW720871:QKF720871 QTS720871:QUB720871 RDO720871:RDX720871 RNK720871:RNT720871 RXG720871:RXP720871 SHC720871:SHL720871 SQY720871:SRH720871 TAU720871:TBD720871 TKQ720871:TKZ720871 TUM720871:TUV720871 UEI720871:UER720871 UOE720871:UON720871 UYA720871:UYJ720871 VHW720871:VIF720871 VRS720871:VSB720871 WBO720871:WBX720871 WLK720871:WLT720871 WVG720871:WVP720871 IU786407:JD786407 SQ786407:SZ786407 ACM786407:ACV786407 AMI786407:AMR786407 AWE786407:AWN786407 BGA786407:BGJ786407 BPW786407:BQF786407 BZS786407:CAB786407 CJO786407:CJX786407 CTK786407:CTT786407 DDG786407:DDP786407 DNC786407:DNL786407 DWY786407:DXH786407 EGU786407:EHD786407 EQQ786407:EQZ786407 FAM786407:FAV786407 FKI786407:FKR786407 FUE786407:FUN786407 GEA786407:GEJ786407 GNW786407:GOF786407 GXS786407:GYB786407 HHO786407:HHX786407 HRK786407:HRT786407 IBG786407:IBP786407 ILC786407:ILL786407 IUY786407:IVH786407 JEU786407:JFD786407 JOQ786407:JOZ786407 JYM786407:JYV786407 KII786407:KIR786407 KSE786407:KSN786407 LCA786407:LCJ786407 LLW786407:LMF786407 LVS786407:LWB786407 MFO786407:MFX786407 MPK786407:MPT786407 MZG786407:MZP786407 NJC786407:NJL786407 NSY786407:NTH786407 OCU786407:ODD786407 OMQ786407:OMZ786407 OWM786407:OWV786407 PGI786407:PGR786407 PQE786407:PQN786407 QAA786407:QAJ786407 QJW786407:QKF786407 QTS786407:QUB786407 RDO786407:RDX786407 RNK786407:RNT786407 RXG786407:RXP786407 SHC786407:SHL786407 SQY786407:SRH786407 TAU786407:TBD786407 TKQ786407:TKZ786407 TUM786407:TUV786407 UEI786407:UER786407 UOE786407:UON786407 UYA786407:UYJ786407 VHW786407:VIF786407 VRS786407:VSB786407 WBO786407:WBX786407 WLK786407:WLT786407 WVG786407:WVP786407 IU851943:JD851943 SQ851943:SZ851943 ACM851943:ACV851943 AMI851943:AMR851943 AWE851943:AWN851943 BGA851943:BGJ851943 BPW851943:BQF851943 BZS851943:CAB851943 CJO851943:CJX851943 CTK851943:CTT851943 DDG851943:DDP851943 DNC851943:DNL851943 DWY851943:DXH851943 EGU851943:EHD851943 EQQ851943:EQZ851943 FAM851943:FAV851943 FKI851943:FKR851943 FUE851943:FUN851943 GEA851943:GEJ851943 GNW851943:GOF851943 GXS851943:GYB851943 HHO851943:HHX851943 HRK851943:HRT851943 IBG851943:IBP851943 ILC851943:ILL851943 IUY851943:IVH851943 JEU851943:JFD851943 JOQ851943:JOZ851943 JYM851943:JYV851943 KII851943:KIR851943 KSE851943:KSN851943 LCA851943:LCJ851943 LLW851943:LMF851943 LVS851943:LWB851943 MFO851943:MFX851943 MPK851943:MPT851943 MZG851943:MZP851943 NJC851943:NJL851943 NSY851943:NTH851943 OCU851943:ODD851943 OMQ851943:OMZ851943 OWM851943:OWV851943 PGI851943:PGR851943 PQE851943:PQN851943 QAA851943:QAJ851943 QJW851943:QKF851943 QTS851943:QUB851943 RDO851943:RDX851943 RNK851943:RNT851943 RXG851943:RXP851943 SHC851943:SHL851943 SQY851943:SRH851943 TAU851943:TBD851943 TKQ851943:TKZ851943 TUM851943:TUV851943 UEI851943:UER851943 UOE851943:UON851943 UYA851943:UYJ851943 VHW851943:VIF851943 VRS851943:VSB851943 WBO851943:WBX851943 WLK851943:WLT851943 WVG851943:WVP851943 IU917479:JD917479 SQ917479:SZ917479 ACM917479:ACV917479 AMI917479:AMR917479 AWE917479:AWN917479 BGA917479:BGJ917479 BPW917479:BQF917479 BZS917479:CAB917479 CJO917479:CJX917479 CTK917479:CTT917479 DDG917479:DDP917479 DNC917479:DNL917479 DWY917479:DXH917479 EGU917479:EHD917479 EQQ917479:EQZ917479 FAM917479:FAV917479 FKI917479:FKR917479 FUE917479:FUN917479 GEA917479:GEJ917479 GNW917479:GOF917479 GXS917479:GYB917479 HHO917479:HHX917479 HRK917479:HRT917479 IBG917479:IBP917479 ILC917479:ILL917479 IUY917479:IVH917479 JEU917479:JFD917479 JOQ917479:JOZ917479 JYM917479:JYV917479 KII917479:KIR917479 KSE917479:KSN917479 LCA917479:LCJ917479 LLW917479:LMF917479 LVS917479:LWB917479 MFO917479:MFX917479 MPK917479:MPT917479 MZG917479:MZP917479 NJC917479:NJL917479 NSY917479:NTH917479 OCU917479:ODD917479 OMQ917479:OMZ917479 OWM917479:OWV917479 PGI917479:PGR917479 PQE917479:PQN917479 QAA917479:QAJ917479 QJW917479:QKF917479 QTS917479:QUB917479 RDO917479:RDX917479 RNK917479:RNT917479 RXG917479:RXP917479 SHC917479:SHL917479 SQY917479:SRH917479 TAU917479:TBD917479 TKQ917479:TKZ917479 TUM917479:TUV917479 UEI917479:UER917479 UOE917479:UON917479 UYA917479:UYJ917479 VHW917479:VIF917479 VRS917479:VSB917479 WBO917479:WBX917479 WLK917479:WLT917479 WVG917479:WVP917479 IU983015:JD983015 SQ983015:SZ983015 ACM983015:ACV983015 AMI983015:AMR983015 AWE983015:AWN983015 BGA983015:BGJ983015 BPW983015:BQF983015 BZS983015:CAB983015 CJO983015:CJX983015 CTK983015:CTT983015 DDG983015:DDP983015 DNC983015:DNL983015 DWY983015:DXH983015 EGU983015:EHD983015 EQQ983015:EQZ983015 FAM983015:FAV983015 FKI983015:FKR983015 FUE983015:FUN983015 GEA983015:GEJ983015 GNW983015:GOF983015 GXS983015:GYB983015 HHO983015:HHX983015 HRK983015:HRT983015 IBG983015:IBP983015 ILC983015:ILL983015 IUY983015:IVH983015 JEU983015:JFD983015 JOQ983015:JOZ983015 JYM983015:JYV983015 KII983015:KIR983015 KSE983015:KSN983015 LCA983015:LCJ983015 LLW983015:LMF983015 LVS983015:LWB983015 MFO983015:MFX983015 MPK983015:MPT983015 MZG983015:MZP983015 NJC983015:NJL983015 NSY983015:NTH983015 OCU983015:ODD983015 OMQ983015:OMZ983015 OWM983015:OWV983015 PGI983015:PGR983015 PQE983015:PQN983015 QAA983015:QAJ983015 QJW983015:QKF983015 QTS983015:QUB983015 RDO983015:RDX983015 RNK983015:RNT983015 RXG983015:RXP983015 SHC983015:SHL983015 SQY983015:SRH983015 TAU983015:TBD983015 TKQ983015:TKZ983015 TUM983015:TUV983015 UEI983015:UER983015 UOE983015:UON983015 UYA983015:UYJ983015 VHW983015:VIF983015 VRS983015:VSB983015 WBO983015:WBX983015 WLK983015:WLT983015 E983015:L983015 E917479:L917479 E851943:L851943 E786407:L786407 E720871:L720871 E655335:L655335 E589799:L589799 E524263:L524263 E458727:L458727 E393191:L393191 E327655:L327655 E262119:L262119 E196583:L196583 E131047:L131047 E65511:L65511 IV20:JE20 SR20:TA20 ACN20:ACW20 AMJ20:AMS20 AWF20:AWO20 BGB20:BGK20 BPX20:BQG20 BZT20:CAC20 CJP20:CJY20 CTL20:CTU20 DDH20:DDQ20 DND20:DNM20 DWZ20:DXI20 EGV20:EHE20 EQR20:ERA20 FAN20:FAW20 FKJ20:FKS20 FUF20:FUO20 GEB20:GEK20 GNX20:GOG20 GXT20:GYC20 HHP20:HHY20 HRL20:HRU20 IBH20:IBQ20 ILD20:ILM20 IUZ20:IVI20 JEV20:JFE20 JOR20:JPA20 JYN20:JYW20 KIJ20:KIS20 KSF20:KSO20 LCB20:LCK20 LLX20:LMG20 LVT20:LWC20 MFP20:MFY20 MPL20:MPU20 MZH20:MZQ20 NJD20:NJM20 NSZ20:NTI20 OCV20:ODE20 OMR20:ONA20 OWN20:OWW20 PGJ20:PGS20 PQF20:PQO20 QAB20:QAK20 QJX20:QKG20 QTT20:QUC20 RDP20:RDY20 RNL20:RNU20 RXH20:RXQ20 SHD20:SHM20 SQZ20:SRI20 TAV20:TBE20 TKR20:TLA20 TUN20:TUW20 UEJ20:UES20 UOF20:UOO20 UYB20:UYK20 VHX20:VIG20 VRT20:VSC20 WBP20:WBY20 WLL20:WLU20 WVH20:WVQ20">
      <formula1>dist_county</formula1>
    </dataValidation>
    <dataValidation type="list" allowBlank="1" showInputMessage="1" showErrorMessage="1" sqref="F20:M20">
      <formula1>dist</formula1>
    </dataValidation>
  </dataValidations>
  <pageMargins left="0.7" right="0.7" top="0.75" bottom="0.75" header="0.3" footer="0.3"/>
  <pageSetup scale="61" fitToHeight="0" orientation="portrait" verticalDpi="4" r:id="rId1"/>
  <headerFooter>
    <oddFooter>&amp;LFY2010 ODE SF-6 Excess Cost Per Capita Form</oddFooter>
  </headerFooter>
  <ignoredErrors>
    <ignoredError sqref="D24 D26 D39" numberStoredAsText="1"/>
    <ignoredError sqref="N27 N25:O25 N37:P39 O26 N29 N28 P27 N31 N30 P30 N32 P32 P33 P34 P35 P36 P29 P31 N33:N36 O4 P25 O28 O29 O31" unlocked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285"/>
  <sheetViews>
    <sheetView zoomScale="80" zoomScaleNormal="80" workbookViewId="0">
      <selection activeCell="O34" sqref="O34"/>
    </sheetView>
  </sheetViews>
  <sheetFormatPr defaultRowHeight="12.75" x14ac:dyDescent="0.2"/>
  <cols>
    <col min="1" max="1" width="9.140625" style="65"/>
    <col min="2" max="2" width="11.5703125" style="65" customWidth="1"/>
    <col min="3" max="3" width="12.85546875" style="67" customWidth="1"/>
    <col min="4" max="4" width="5.85546875" style="144" customWidth="1"/>
    <col min="5" max="5" width="3.85546875" style="67" customWidth="1"/>
    <col min="6" max="7" width="7.42578125" style="67" customWidth="1"/>
    <col min="8" max="8" width="14.85546875" style="67" customWidth="1"/>
    <col min="9" max="11" width="7.7109375" style="67" customWidth="1"/>
    <col min="12" max="12" width="12" style="67" customWidth="1"/>
    <col min="13" max="13" width="11.5703125" style="67" customWidth="1"/>
    <col min="14" max="15" width="15.7109375" style="67" customWidth="1"/>
    <col min="16" max="16" width="18.85546875" style="67" customWidth="1"/>
    <col min="17" max="17" width="15.7109375" style="67" customWidth="1"/>
    <col min="18" max="44" width="9.140625" style="65"/>
    <col min="45" max="253" width="9.140625" style="67"/>
    <col min="254" max="254" width="6.28515625" style="67" customWidth="1"/>
    <col min="255" max="255" width="3.140625" style="67" customWidth="1"/>
    <col min="256" max="256" width="7.7109375" style="67" customWidth="1"/>
    <col min="257" max="257" width="6.7109375" style="67" customWidth="1"/>
    <col min="258" max="258" width="7.7109375" style="67" customWidth="1"/>
    <col min="259" max="259" width="7.42578125" style="67" customWidth="1"/>
    <col min="260" max="260" width="7.7109375" style="67" customWidth="1"/>
    <col min="261" max="261" width="6.7109375" style="67" customWidth="1"/>
    <col min="262" max="262" width="2.28515625" style="67" customWidth="1"/>
    <col min="263" max="263" width="9" style="67" customWidth="1"/>
    <col min="264" max="264" width="1.7109375" style="67" customWidth="1"/>
    <col min="265" max="265" width="4.42578125" style="67" customWidth="1"/>
    <col min="266" max="266" width="17.140625" style="67" customWidth="1"/>
    <col min="267" max="267" width="1.5703125" style="67" customWidth="1"/>
    <col min="268" max="268" width="10.5703125" style="67" customWidth="1"/>
    <col min="269" max="269" width="1.7109375" style="67" customWidth="1"/>
    <col min="270" max="270" width="9.85546875" style="67" customWidth="1"/>
    <col min="271" max="271" width="0.85546875" style="67" customWidth="1"/>
    <col min="272" max="272" width="10.85546875" style="67" customWidth="1"/>
    <col min="273" max="273" width="1.85546875" style="67" customWidth="1"/>
    <col min="274" max="509" width="9.140625" style="67"/>
    <col min="510" max="510" width="6.28515625" style="67" customWidth="1"/>
    <col min="511" max="511" width="3.140625" style="67" customWidth="1"/>
    <col min="512" max="512" width="7.7109375" style="67" customWidth="1"/>
    <col min="513" max="513" width="6.7109375" style="67" customWidth="1"/>
    <col min="514" max="514" width="7.7109375" style="67" customWidth="1"/>
    <col min="515" max="515" width="7.42578125" style="67" customWidth="1"/>
    <col min="516" max="516" width="7.7109375" style="67" customWidth="1"/>
    <col min="517" max="517" width="6.7109375" style="67" customWidth="1"/>
    <col min="518" max="518" width="2.28515625" style="67" customWidth="1"/>
    <col min="519" max="519" width="9" style="67" customWidth="1"/>
    <col min="520" max="520" width="1.7109375" style="67" customWidth="1"/>
    <col min="521" max="521" width="4.42578125" style="67" customWidth="1"/>
    <col min="522" max="522" width="17.140625" style="67" customWidth="1"/>
    <col min="523" max="523" width="1.5703125" style="67" customWidth="1"/>
    <col min="524" max="524" width="10.5703125" style="67" customWidth="1"/>
    <col min="525" max="525" width="1.7109375" style="67" customWidth="1"/>
    <col min="526" max="526" width="9.85546875" style="67" customWidth="1"/>
    <col min="527" max="527" width="0.85546875" style="67" customWidth="1"/>
    <col min="528" max="528" width="10.85546875" style="67" customWidth="1"/>
    <col min="529" max="529" width="1.85546875" style="67" customWidth="1"/>
    <col min="530" max="765" width="9.140625" style="67"/>
    <col min="766" max="766" width="6.28515625" style="67" customWidth="1"/>
    <col min="767" max="767" width="3.140625" style="67" customWidth="1"/>
    <col min="768" max="768" width="7.7109375" style="67" customWidth="1"/>
    <col min="769" max="769" width="6.7109375" style="67" customWidth="1"/>
    <col min="770" max="770" width="7.7109375" style="67" customWidth="1"/>
    <col min="771" max="771" width="7.42578125" style="67" customWidth="1"/>
    <col min="772" max="772" width="7.7109375" style="67" customWidth="1"/>
    <col min="773" max="773" width="6.7109375" style="67" customWidth="1"/>
    <col min="774" max="774" width="2.28515625" style="67" customWidth="1"/>
    <col min="775" max="775" width="9" style="67" customWidth="1"/>
    <col min="776" max="776" width="1.7109375" style="67" customWidth="1"/>
    <col min="777" max="777" width="4.42578125" style="67" customWidth="1"/>
    <col min="778" max="778" width="17.140625" style="67" customWidth="1"/>
    <col min="779" max="779" width="1.5703125" style="67" customWidth="1"/>
    <col min="780" max="780" width="10.5703125" style="67" customWidth="1"/>
    <col min="781" max="781" width="1.7109375" style="67" customWidth="1"/>
    <col min="782" max="782" width="9.85546875" style="67" customWidth="1"/>
    <col min="783" max="783" width="0.85546875" style="67" customWidth="1"/>
    <col min="784" max="784" width="10.85546875" style="67" customWidth="1"/>
    <col min="785" max="785" width="1.85546875" style="67" customWidth="1"/>
    <col min="786" max="1021" width="9.140625" style="67"/>
    <col min="1022" max="1022" width="6.28515625" style="67" customWidth="1"/>
    <col min="1023" max="1023" width="3.140625" style="67" customWidth="1"/>
    <col min="1024" max="1024" width="7.7109375" style="67" customWidth="1"/>
    <col min="1025" max="1025" width="6.7109375" style="67" customWidth="1"/>
    <col min="1026" max="1026" width="7.7109375" style="67" customWidth="1"/>
    <col min="1027" max="1027" width="7.42578125" style="67" customWidth="1"/>
    <col min="1028" max="1028" width="7.7109375" style="67" customWidth="1"/>
    <col min="1029" max="1029" width="6.7109375" style="67" customWidth="1"/>
    <col min="1030" max="1030" width="2.28515625" style="67" customWidth="1"/>
    <col min="1031" max="1031" width="9" style="67" customWidth="1"/>
    <col min="1032" max="1032" width="1.7109375" style="67" customWidth="1"/>
    <col min="1033" max="1033" width="4.42578125" style="67" customWidth="1"/>
    <col min="1034" max="1034" width="17.140625" style="67" customWidth="1"/>
    <col min="1035" max="1035" width="1.5703125" style="67" customWidth="1"/>
    <col min="1036" max="1036" width="10.5703125" style="67" customWidth="1"/>
    <col min="1037" max="1037" width="1.7109375" style="67" customWidth="1"/>
    <col min="1038" max="1038" width="9.85546875" style="67" customWidth="1"/>
    <col min="1039" max="1039" width="0.85546875" style="67" customWidth="1"/>
    <col min="1040" max="1040" width="10.85546875" style="67" customWidth="1"/>
    <col min="1041" max="1041" width="1.85546875" style="67" customWidth="1"/>
    <col min="1042" max="1277" width="9.140625" style="67"/>
    <col min="1278" max="1278" width="6.28515625" style="67" customWidth="1"/>
    <col min="1279" max="1279" width="3.140625" style="67" customWidth="1"/>
    <col min="1280" max="1280" width="7.7109375" style="67" customWidth="1"/>
    <col min="1281" max="1281" width="6.7109375" style="67" customWidth="1"/>
    <col min="1282" max="1282" width="7.7109375" style="67" customWidth="1"/>
    <col min="1283" max="1283" width="7.42578125" style="67" customWidth="1"/>
    <col min="1284" max="1284" width="7.7109375" style="67" customWidth="1"/>
    <col min="1285" max="1285" width="6.7109375" style="67" customWidth="1"/>
    <col min="1286" max="1286" width="2.28515625" style="67" customWidth="1"/>
    <col min="1287" max="1287" width="9" style="67" customWidth="1"/>
    <col min="1288" max="1288" width="1.7109375" style="67" customWidth="1"/>
    <col min="1289" max="1289" width="4.42578125" style="67" customWidth="1"/>
    <col min="1290" max="1290" width="17.140625" style="67" customWidth="1"/>
    <col min="1291" max="1291" width="1.5703125" style="67" customWidth="1"/>
    <col min="1292" max="1292" width="10.5703125" style="67" customWidth="1"/>
    <col min="1293" max="1293" width="1.7109375" style="67" customWidth="1"/>
    <col min="1294" max="1294" width="9.85546875" style="67" customWidth="1"/>
    <col min="1295" max="1295" width="0.85546875" style="67" customWidth="1"/>
    <col min="1296" max="1296" width="10.85546875" style="67" customWidth="1"/>
    <col min="1297" max="1297" width="1.85546875" style="67" customWidth="1"/>
    <col min="1298" max="1533" width="9.140625" style="67"/>
    <col min="1534" max="1534" width="6.28515625" style="67" customWidth="1"/>
    <col min="1535" max="1535" width="3.140625" style="67" customWidth="1"/>
    <col min="1536" max="1536" width="7.7109375" style="67" customWidth="1"/>
    <col min="1537" max="1537" width="6.7109375" style="67" customWidth="1"/>
    <col min="1538" max="1538" width="7.7109375" style="67" customWidth="1"/>
    <col min="1539" max="1539" width="7.42578125" style="67" customWidth="1"/>
    <col min="1540" max="1540" width="7.7109375" style="67" customWidth="1"/>
    <col min="1541" max="1541" width="6.7109375" style="67" customWidth="1"/>
    <col min="1542" max="1542" width="2.28515625" style="67" customWidth="1"/>
    <col min="1543" max="1543" width="9" style="67" customWidth="1"/>
    <col min="1544" max="1544" width="1.7109375" style="67" customWidth="1"/>
    <col min="1545" max="1545" width="4.42578125" style="67" customWidth="1"/>
    <col min="1546" max="1546" width="17.140625" style="67" customWidth="1"/>
    <col min="1547" max="1547" width="1.5703125" style="67" customWidth="1"/>
    <col min="1548" max="1548" width="10.5703125" style="67" customWidth="1"/>
    <col min="1549" max="1549" width="1.7109375" style="67" customWidth="1"/>
    <col min="1550" max="1550" width="9.85546875" style="67" customWidth="1"/>
    <col min="1551" max="1551" width="0.85546875" style="67" customWidth="1"/>
    <col min="1552" max="1552" width="10.85546875" style="67" customWidth="1"/>
    <col min="1553" max="1553" width="1.85546875" style="67" customWidth="1"/>
    <col min="1554" max="1789" width="9.140625" style="67"/>
    <col min="1790" max="1790" width="6.28515625" style="67" customWidth="1"/>
    <col min="1791" max="1791" width="3.140625" style="67" customWidth="1"/>
    <col min="1792" max="1792" width="7.7109375" style="67" customWidth="1"/>
    <col min="1793" max="1793" width="6.7109375" style="67" customWidth="1"/>
    <col min="1794" max="1794" width="7.7109375" style="67" customWidth="1"/>
    <col min="1795" max="1795" width="7.42578125" style="67" customWidth="1"/>
    <col min="1796" max="1796" width="7.7109375" style="67" customWidth="1"/>
    <col min="1797" max="1797" width="6.7109375" style="67" customWidth="1"/>
    <col min="1798" max="1798" width="2.28515625" style="67" customWidth="1"/>
    <col min="1799" max="1799" width="9" style="67" customWidth="1"/>
    <col min="1800" max="1800" width="1.7109375" style="67" customWidth="1"/>
    <col min="1801" max="1801" width="4.42578125" style="67" customWidth="1"/>
    <col min="1802" max="1802" width="17.140625" style="67" customWidth="1"/>
    <col min="1803" max="1803" width="1.5703125" style="67" customWidth="1"/>
    <col min="1804" max="1804" width="10.5703125" style="67" customWidth="1"/>
    <col min="1805" max="1805" width="1.7109375" style="67" customWidth="1"/>
    <col min="1806" max="1806" width="9.85546875" style="67" customWidth="1"/>
    <col min="1807" max="1807" width="0.85546875" style="67" customWidth="1"/>
    <col min="1808" max="1808" width="10.85546875" style="67" customWidth="1"/>
    <col min="1809" max="1809" width="1.85546875" style="67" customWidth="1"/>
    <col min="1810" max="2045" width="9.140625" style="67"/>
    <col min="2046" max="2046" width="6.28515625" style="67" customWidth="1"/>
    <col min="2047" max="2047" width="3.140625" style="67" customWidth="1"/>
    <col min="2048" max="2048" width="7.7109375" style="67" customWidth="1"/>
    <col min="2049" max="2049" width="6.7109375" style="67" customWidth="1"/>
    <col min="2050" max="2050" width="7.7109375" style="67" customWidth="1"/>
    <col min="2051" max="2051" width="7.42578125" style="67" customWidth="1"/>
    <col min="2052" max="2052" width="7.7109375" style="67" customWidth="1"/>
    <col min="2053" max="2053" width="6.7109375" style="67" customWidth="1"/>
    <col min="2054" max="2054" width="2.28515625" style="67" customWidth="1"/>
    <col min="2055" max="2055" width="9" style="67" customWidth="1"/>
    <col min="2056" max="2056" width="1.7109375" style="67" customWidth="1"/>
    <col min="2057" max="2057" width="4.42578125" style="67" customWidth="1"/>
    <col min="2058" max="2058" width="17.140625" style="67" customWidth="1"/>
    <col min="2059" max="2059" width="1.5703125" style="67" customWidth="1"/>
    <col min="2060" max="2060" width="10.5703125" style="67" customWidth="1"/>
    <col min="2061" max="2061" width="1.7109375" style="67" customWidth="1"/>
    <col min="2062" max="2062" width="9.85546875" style="67" customWidth="1"/>
    <col min="2063" max="2063" width="0.85546875" style="67" customWidth="1"/>
    <col min="2064" max="2064" width="10.85546875" style="67" customWidth="1"/>
    <col min="2065" max="2065" width="1.85546875" style="67" customWidth="1"/>
    <col min="2066" max="2301" width="9.140625" style="67"/>
    <col min="2302" max="2302" width="6.28515625" style="67" customWidth="1"/>
    <col min="2303" max="2303" width="3.140625" style="67" customWidth="1"/>
    <col min="2304" max="2304" width="7.7109375" style="67" customWidth="1"/>
    <col min="2305" max="2305" width="6.7109375" style="67" customWidth="1"/>
    <col min="2306" max="2306" width="7.7109375" style="67" customWidth="1"/>
    <col min="2307" max="2307" width="7.42578125" style="67" customWidth="1"/>
    <col min="2308" max="2308" width="7.7109375" style="67" customWidth="1"/>
    <col min="2309" max="2309" width="6.7109375" style="67" customWidth="1"/>
    <col min="2310" max="2310" width="2.28515625" style="67" customWidth="1"/>
    <col min="2311" max="2311" width="9" style="67" customWidth="1"/>
    <col min="2312" max="2312" width="1.7109375" style="67" customWidth="1"/>
    <col min="2313" max="2313" width="4.42578125" style="67" customWidth="1"/>
    <col min="2314" max="2314" width="17.140625" style="67" customWidth="1"/>
    <col min="2315" max="2315" width="1.5703125" style="67" customWidth="1"/>
    <col min="2316" max="2316" width="10.5703125" style="67" customWidth="1"/>
    <col min="2317" max="2317" width="1.7109375" style="67" customWidth="1"/>
    <col min="2318" max="2318" width="9.85546875" style="67" customWidth="1"/>
    <col min="2319" max="2319" width="0.85546875" style="67" customWidth="1"/>
    <col min="2320" max="2320" width="10.85546875" style="67" customWidth="1"/>
    <col min="2321" max="2321" width="1.85546875" style="67" customWidth="1"/>
    <col min="2322" max="2557" width="9.140625" style="67"/>
    <col min="2558" max="2558" width="6.28515625" style="67" customWidth="1"/>
    <col min="2559" max="2559" width="3.140625" style="67" customWidth="1"/>
    <col min="2560" max="2560" width="7.7109375" style="67" customWidth="1"/>
    <col min="2561" max="2561" width="6.7109375" style="67" customWidth="1"/>
    <col min="2562" max="2562" width="7.7109375" style="67" customWidth="1"/>
    <col min="2563" max="2563" width="7.42578125" style="67" customWidth="1"/>
    <col min="2564" max="2564" width="7.7109375" style="67" customWidth="1"/>
    <col min="2565" max="2565" width="6.7109375" style="67" customWidth="1"/>
    <col min="2566" max="2566" width="2.28515625" style="67" customWidth="1"/>
    <col min="2567" max="2567" width="9" style="67" customWidth="1"/>
    <col min="2568" max="2568" width="1.7109375" style="67" customWidth="1"/>
    <col min="2569" max="2569" width="4.42578125" style="67" customWidth="1"/>
    <col min="2570" max="2570" width="17.140625" style="67" customWidth="1"/>
    <col min="2571" max="2571" width="1.5703125" style="67" customWidth="1"/>
    <col min="2572" max="2572" width="10.5703125" style="67" customWidth="1"/>
    <col min="2573" max="2573" width="1.7109375" style="67" customWidth="1"/>
    <col min="2574" max="2574" width="9.85546875" style="67" customWidth="1"/>
    <col min="2575" max="2575" width="0.85546875" style="67" customWidth="1"/>
    <col min="2576" max="2576" width="10.85546875" style="67" customWidth="1"/>
    <col min="2577" max="2577" width="1.85546875" style="67" customWidth="1"/>
    <col min="2578" max="2813" width="9.140625" style="67"/>
    <col min="2814" max="2814" width="6.28515625" style="67" customWidth="1"/>
    <col min="2815" max="2815" width="3.140625" style="67" customWidth="1"/>
    <col min="2816" max="2816" width="7.7109375" style="67" customWidth="1"/>
    <col min="2817" max="2817" width="6.7109375" style="67" customWidth="1"/>
    <col min="2818" max="2818" width="7.7109375" style="67" customWidth="1"/>
    <col min="2819" max="2819" width="7.42578125" style="67" customWidth="1"/>
    <col min="2820" max="2820" width="7.7109375" style="67" customWidth="1"/>
    <col min="2821" max="2821" width="6.7109375" style="67" customWidth="1"/>
    <col min="2822" max="2822" width="2.28515625" style="67" customWidth="1"/>
    <col min="2823" max="2823" width="9" style="67" customWidth="1"/>
    <col min="2824" max="2824" width="1.7109375" style="67" customWidth="1"/>
    <col min="2825" max="2825" width="4.42578125" style="67" customWidth="1"/>
    <col min="2826" max="2826" width="17.140625" style="67" customWidth="1"/>
    <col min="2827" max="2827" width="1.5703125" style="67" customWidth="1"/>
    <col min="2828" max="2828" width="10.5703125" style="67" customWidth="1"/>
    <col min="2829" max="2829" width="1.7109375" style="67" customWidth="1"/>
    <col min="2830" max="2830" width="9.85546875" style="67" customWidth="1"/>
    <col min="2831" max="2831" width="0.85546875" style="67" customWidth="1"/>
    <col min="2832" max="2832" width="10.85546875" style="67" customWidth="1"/>
    <col min="2833" max="2833" width="1.85546875" style="67" customWidth="1"/>
    <col min="2834" max="3069" width="9.140625" style="67"/>
    <col min="3070" max="3070" width="6.28515625" style="67" customWidth="1"/>
    <col min="3071" max="3071" width="3.140625" style="67" customWidth="1"/>
    <col min="3072" max="3072" width="7.7109375" style="67" customWidth="1"/>
    <col min="3073" max="3073" width="6.7109375" style="67" customWidth="1"/>
    <col min="3074" max="3074" width="7.7109375" style="67" customWidth="1"/>
    <col min="3075" max="3075" width="7.42578125" style="67" customWidth="1"/>
    <col min="3076" max="3076" width="7.7109375" style="67" customWidth="1"/>
    <col min="3077" max="3077" width="6.7109375" style="67" customWidth="1"/>
    <col min="3078" max="3078" width="2.28515625" style="67" customWidth="1"/>
    <col min="3079" max="3079" width="9" style="67" customWidth="1"/>
    <col min="3080" max="3080" width="1.7109375" style="67" customWidth="1"/>
    <col min="3081" max="3081" width="4.42578125" style="67" customWidth="1"/>
    <col min="3082" max="3082" width="17.140625" style="67" customWidth="1"/>
    <col min="3083" max="3083" width="1.5703125" style="67" customWidth="1"/>
    <col min="3084" max="3084" width="10.5703125" style="67" customWidth="1"/>
    <col min="3085" max="3085" width="1.7109375" style="67" customWidth="1"/>
    <col min="3086" max="3086" width="9.85546875" style="67" customWidth="1"/>
    <col min="3087" max="3087" width="0.85546875" style="67" customWidth="1"/>
    <col min="3088" max="3088" width="10.85546875" style="67" customWidth="1"/>
    <col min="3089" max="3089" width="1.85546875" style="67" customWidth="1"/>
    <col min="3090" max="3325" width="9.140625" style="67"/>
    <col min="3326" max="3326" width="6.28515625" style="67" customWidth="1"/>
    <col min="3327" max="3327" width="3.140625" style="67" customWidth="1"/>
    <col min="3328" max="3328" width="7.7109375" style="67" customWidth="1"/>
    <col min="3329" max="3329" width="6.7109375" style="67" customWidth="1"/>
    <col min="3330" max="3330" width="7.7109375" style="67" customWidth="1"/>
    <col min="3331" max="3331" width="7.42578125" style="67" customWidth="1"/>
    <col min="3332" max="3332" width="7.7109375" style="67" customWidth="1"/>
    <col min="3333" max="3333" width="6.7109375" style="67" customWidth="1"/>
    <col min="3334" max="3334" width="2.28515625" style="67" customWidth="1"/>
    <col min="3335" max="3335" width="9" style="67" customWidth="1"/>
    <col min="3336" max="3336" width="1.7109375" style="67" customWidth="1"/>
    <col min="3337" max="3337" width="4.42578125" style="67" customWidth="1"/>
    <col min="3338" max="3338" width="17.140625" style="67" customWidth="1"/>
    <col min="3339" max="3339" width="1.5703125" style="67" customWidth="1"/>
    <col min="3340" max="3340" width="10.5703125" style="67" customWidth="1"/>
    <col min="3341" max="3341" width="1.7109375" style="67" customWidth="1"/>
    <col min="3342" max="3342" width="9.85546875" style="67" customWidth="1"/>
    <col min="3343" max="3343" width="0.85546875" style="67" customWidth="1"/>
    <col min="3344" max="3344" width="10.85546875" style="67" customWidth="1"/>
    <col min="3345" max="3345" width="1.85546875" style="67" customWidth="1"/>
    <col min="3346" max="3581" width="9.140625" style="67"/>
    <col min="3582" max="3582" width="6.28515625" style="67" customWidth="1"/>
    <col min="3583" max="3583" width="3.140625" style="67" customWidth="1"/>
    <col min="3584" max="3584" width="7.7109375" style="67" customWidth="1"/>
    <col min="3585" max="3585" width="6.7109375" style="67" customWidth="1"/>
    <col min="3586" max="3586" width="7.7109375" style="67" customWidth="1"/>
    <col min="3587" max="3587" width="7.42578125" style="67" customWidth="1"/>
    <col min="3588" max="3588" width="7.7109375" style="67" customWidth="1"/>
    <col min="3589" max="3589" width="6.7109375" style="67" customWidth="1"/>
    <col min="3590" max="3590" width="2.28515625" style="67" customWidth="1"/>
    <col min="3591" max="3591" width="9" style="67" customWidth="1"/>
    <col min="3592" max="3592" width="1.7109375" style="67" customWidth="1"/>
    <col min="3593" max="3593" width="4.42578125" style="67" customWidth="1"/>
    <col min="3594" max="3594" width="17.140625" style="67" customWidth="1"/>
    <col min="3595" max="3595" width="1.5703125" style="67" customWidth="1"/>
    <col min="3596" max="3596" width="10.5703125" style="67" customWidth="1"/>
    <col min="3597" max="3597" width="1.7109375" style="67" customWidth="1"/>
    <col min="3598" max="3598" width="9.85546875" style="67" customWidth="1"/>
    <col min="3599" max="3599" width="0.85546875" style="67" customWidth="1"/>
    <col min="3600" max="3600" width="10.85546875" style="67" customWidth="1"/>
    <col min="3601" max="3601" width="1.85546875" style="67" customWidth="1"/>
    <col min="3602" max="3837" width="9.140625" style="67"/>
    <col min="3838" max="3838" width="6.28515625" style="67" customWidth="1"/>
    <col min="3839" max="3839" width="3.140625" style="67" customWidth="1"/>
    <col min="3840" max="3840" width="7.7109375" style="67" customWidth="1"/>
    <col min="3841" max="3841" width="6.7109375" style="67" customWidth="1"/>
    <col min="3842" max="3842" width="7.7109375" style="67" customWidth="1"/>
    <col min="3843" max="3843" width="7.42578125" style="67" customWidth="1"/>
    <col min="3844" max="3844" width="7.7109375" style="67" customWidth="1"/>
    <col min="3845" max="3845" width="6.7109375" style="67" customWidth="1"/>
    <col min="3846" max="3846" width="2.28515625" style="67" customWidth="1"/>
    <col min="3847" max="3847" width="9" style="67" customWidth="1"/>
    <col min="3848" max="3848" width="1.7109375" style="67" customWidth="1"/>
    <col min="3849" max="3849" width="4.42578125" style="67" customWidth="1"/>
    <col min="3850" max="3850" width="17.140625" style="67" customWidth="1"/>
    <col min="3851" max="3851" width="1.5703125" style="67" customWidth="1"/>
    <col min="3852" max="3852" width="10.5703125" style="67" customWidth="1"/>
    <col min="3853" max="3853" width="1.7109375" style="67" customWidth="1"/>
    <col min="3854" max="3854" width="9.85546875" style="67" customWidth="1"/>
    <col min="3855" max="3855" width="0.85546875" style="67" customWidth="1"/>
    <col min="3856" max="3856" width="10.85546875" style="67" customWidth="1"/>
    <col min="3857" max="3857" width="1.85546875" style="67" customWidth="1"/>
    <col min="3858" max="4093" width="9.140625" style="67"/>
    <col min="4094" max="4094" width="6.28515625" style="67" customWidth="1"/>
    <col min="4095" max="4095" width="3.140625" style="67" customWidth="1"/>
    <col min="4096" max="4096" width="7.7109375" style="67" customWidth="1"/>
    <col min="4097" max="4097" width="6.7109375" style="67" customWidth="1"/>
    <col min="4098" max="4098" width="7.7109375" style="67" customWidth="1"/>
    <col min="4099" max="4099" width="7.42578125" style="67" customWidth="1"/>
    <col min="4100" max="4100" width="7.7109375" style="67" customWidth="1"/>
    <col min="4101" max="4101" width="6.7109375" style="67" customWidth="1"/>
    <col min="4102" max="4102" width="2.28515625" style="67" customWidth="1"/>
    <col min="4103" max="4103" width="9" style="67" customWidth="1"/>
    <col min="4104" max="4104" width="1.7109375" style="67" customWidth="1"/>
    <col min="4105" max="4105" width="4.42578125" style="67" customWidth="1"/>
    <col min="4106" max="4106" width="17.140625" style="67" customWidth="1"/>
    <col min="4107" max="4107" width="1.5703125" style="67" customWidth="1"/>
    <col min="4108" max="4108" width="10.5703125" style="67" customWidth="1"/>
    <col min="4109" max="4109" width="1.7109375" style="67" customWidth="1"/>
    <col min="4110" max="4110" width="9.85546875" style="67" customWidth="1"/>
    <col min="4111" max="4111" width="0.85546875" style="67" customWidth="1"/>
    <col min="4112" max="4112" width="10.85546875" style="67" customWidth="1"/>
    <col min="4113" max="4113" width="1.85546875" style="67" customWidth="1"/>
    <col min="4114" max="4349" width="9.140625" style="67"/>
    <col min="4350" max="4350" width="6.28515625" style="67" customWidth="1"/>
    <col min="4351" max="4351" width="3.140625" style="67" customWidth="1"/>
    <col min="4352" max="4352" width="7.7109375" style="67" customWidth="1"/>
    <col min="4353" max="4353" width="6.7109375" style="67" customWidth="1"/>
    <col min="4354" max="4354" width="7.7109375" style="67" customWidth="1"/>
    <col min="4355" max="4355" width="7.42578125" style="67" customWidth="1"/>
    <col min="4356" max="4356" width="7.7109375" style="67" customWidth="1"/>
    <col min="4357" max="4357" width="6.7109375" style="67" customWidth="1"/>
    <col min="4358" max="4358" width="2.28515625" style="67" customWidth="1"/>
    <col min="4359" max="4359" width="9" style="67" customWidth="1"/>
    <col min="4360" max="4360" width="1.7109375" style="67" customWidth="1"/>
    <col min="4361" max="4361" width="4.42578125" style="67" customWidth="1"/>
    <col min="4362" max="4362" width="17.140625" style="67" customWidth="1"/>
    <col min="4363" max="4363" width="1.5703125" style="67" customWidth="1"/>
    <col min="4364" max="4364" width="10.5703125" style="67" customWidth="1"/>
    <col min="4365" max="4365" width="1.7109375" style="67" customWidth="1"/>
    <col min="4366" max="4366" width="9.85546875" style="67" customWidth="1"/>
    <col min="4367" max="4367" width="0.85546875" style="67" customWidth="1"/>
    <col min="4368" max="4368" width="10.85546875" style="67" customWidth="1"/>
    <col min="4369" max="4369" width="1.85546875" style="67" customWidth="1"/>
    <col min="4370" max="4605" width="9.140625" style="67"/>
    <col min="4606" max="4606" width="6.28515625" style="67" customWidth="1"/>
    <col min="4607" max="4607" width="3.140625" style="67" customWidth="1"/>
    <col min="4608" max="4608" width="7.7109375" style="67" customWidth="1"/>
    <col min="4609" max="4609" width="6.7109375" style="67" customWidth="1"/>
    <col min="4610" max="4610" width="7.7109375" style="67" customWidth="1"/>
    <col min="4611" max="4611" width="7.42578125" style="67" customWidth="1"/>
    <col min="4612" max="4612" width="7.7109375" style="67" customWidth="1"/>
    <col min="4613" max="4613" width="6.7109375" style="67" customWidth="1"/>
    <col min="4614" max="4614" width="2.28515625" style="67" customWidth="1"/>
    <col min="4615" max="4615" width="9" style="67" customWidth="1"/>
    <col min="4616" max="4616" width="1.7109375" style="67" customWidth="1"/>
    <col min="4617" max="4617" width="4.42578125" style="67" customWidth="1"/>
    <col min="4618" max="4618" width="17.140625" style="67" customWidth="1"/>
    <col min="4619" max="4619" width="1.5703125" style="67" customWidth="1"/>
    <col min="4620" max="4620" width="10.5703125" style="67" customWidth="1"/>
    <col min="4621" max="4621" width="1.7109375" style="67" customWidth="1"/>
    <col min="4622" max="4622" width="9.85546875" style="67" customWidth="1"/>
    <col min="4623" max="4623" width="0.85546875" style="67" customWidth="1"/>
    <col min="4624" max="4624" width="10.85546875" style="67" customWidth="1"/>
    <col min="4625" max="4625" width="1.85546875" style="67" customWidth="1"/>
    <col min="4626" max="4861" width="9.140625" style="67"/>
    <col min="4862" max="4862" width="6.28515625" style="67" customWidth="1"/>
    <col min="4863" max="4863" width="3.140625" style="67" customWidth="1"/>
    <col min="4864" max="4864" width="7.7109375" style="67" customWidth="1"/>
    <col min="4865" max="4865" width="6.7109375" style="67" customWidth="1"/>
    <col min="4866" max="4866" width="7.7109375" style="67" customWidth="1"/>
    <col min="4867" max="4867" width="7.42578125" style="67" customWidth="1"/>
    <col min="4868" max="4868" width="7.7109375" style="67" customWidth="1"/>
    <col min="4869" max="4869" width="6.7109375" style="67" customWidth="1"/>
    <col min="4870" max="4870" width="2.28515625" style="67" customWidth="1"/>
    <col min="4871" max="4871" width="9" style="67" customWidth="1"/>
    <col min="4872" max="4872" width="1.7109375" style="67" customWidth="1"/>
    <col min="4873" max="4873" width="4.42578125" style="67" customWidth="1"/>
    <col min="4874" max="4874" width="17.140625" style="67" customWidth="1"/>
    <col min="4875" max="4875" width="1.5703125" style="67" customWidth="1"/>
    <col min="4876" max="4876" width="10.5703125" style="67" customWidth="1"/>
    <col min="4877" max="4877" width="1.7109375" style="67" customWidth="1"/>
    <col min="4878" max="4878" width="9.85546875" style="67" customWidth="1"/>
    <col min="4879" max="4879" width="0.85546875" style="67" customWidth="1"/>
    <col min="4880" max="4880" width="10.85546875" style="67" customWidth="1"/>
    <col min="4881" max="4881" width="1.85546875" style="67" customWidth="1"/>
    <col min="4882" max="5117" width="9.140625" style="67"/>
    <col min="5118" max="5118" width="6.28515625" style="67" customWidth="1"/>
    <col min="5119" max="5119" width="3.140625" style="67" customWidth="1"/>
    <col min="5120" max="5120" width="7.7109375" style="67" customWidth="1"/>
    <col min="5121" max="5121" width="6.7109375" style="67" customWidth="1"/>
    <col min="5122" max="5122" width="7.7109375" style="67" customWidth="1"/>
    <col min="5123" max="5123" width="7.42578125" style="67" customWidth="1"/>
    <col min="5124" max="5124" width="7.7109375" style="67" customWidth="1"/>
    <col min="5125" max="5125" width="6.7109375" style="67" customWidth="1"/>
    <col min="5126" max="5126" width="2.28515625" style="67" customWidth="1"/>
    <col min="5127" max="5127" width="9" style="67" customWidth="1"/>
    <col min="5128" max="5128" width="1.7109375" style="67" customWidth="1"/>
    <col min="5129" max="5129" width="4.42578125" style="67" customWidth="1"/>
    <col min="5130" max="5130" width="17.140625" style="67" customWidth="1"/>
    <col min="5131" max="5131" width="1.5703125" style="67" customWidth="1"/>
    <col min="5132" max="5132" width="10.5703125" style="67" customWidth="1"/>
    <col min="5133" max="5133" width="1.7109375" style="67" customWidth="1"/>
    <col min="5134" max="5134" width="9.85546875" style="67" customWidth="1"/>
    <col min="5135" max="5135" width="0.85546875" style="67" customWidth="1"/>
    <col min="5136" max="5136" width="10.85546875" style="67" customWidth="1"/>
    <col min="5137" max="5137" width="1.85546875" style="67" customWidth="1"/>
    <col min="5138" max="5373" width="9.140625" style="67"/>
    <col min="5374" max="5374" width="6.28515625" style="67" customWidth="1"/>
    <col min="5375" max="5375" width="3.140625" style="67" customWidth="1"/>
    <col min="5376" max="5376" width="7.7109375" style="67" customWidth="1"/>
    <col min="5377" max="5377" width="6.7109375" style="67" customWidth="1"/>
    <col min="5378" max="5378" width="7.7109375" style="67" customWidth="1"/>
    <col min="5379" max="5379" width="7.42578125" style="67" customWidth="1"/>
    <col min="5380" max="5380" width="7.7109375" style="67" customWidth="1"/>
    <col min="5381" max="5381" width="6.7109375" style="67" customWidth="1"/>
    <col min="5382" max="5382" width="2.28515625" style="67" customWidth="1"/>
    <col min="5383" max="5383" width="9" style="67" customWidth="1"/>
    <col min="5384" max="5384" width="1.7109375" style="67" customWidth="1"/>
    <col min="5385" max="5385" width="4.42578125" style="67" customWidth="1"/>
    <col min="5386" max="5386" width="17.140625" style="67" customWidth="1"/>
    <col min="5387" max="5387" width="1.5703125" style="67" customWidth="1"/>
    <col min="5388" max="5388" width="10.5703125" style="67" customWidth="1"/>
    <col min="5389" max="5389" width="1.7109375" style="67" customWidth="1"/>
    <col min="5390" max="5390" width="9.85546875" style="67" customWidth="1"/>
    <col min="5391" max="5391" width="0.85546875" style="67" customWidth="1"/>
    <col min="5392" max="5392" width="10.85546875" style="67" customWidth="1"/>
    <col min="5393" max="5393" width="1.85546875" style="67" customWidth="1"/>
    <col min="5394" max="5629" width="9.140625" style="67"/>
    <col min="5630" max="5630" width="6.28515625" style="67" customWidth="1"/>
    <col min="5631" max="5631" width="3.140625" style="67" customWidth="1"/>
    <col min="5632" max="5632" width="7.7109375" style="67" customWidth="1"/>
    <col min="5633" max="5633" width="6.7109375" style="67" customWidth="1"/>
    <col min="5634" max="5634" width="7.7109375" style="67" customWidth="1"/>
    <col min="5635" max="5635" width="7.42578125" style="67" customWidth="1"/>
    <col min="5636" max="5636" width="7.7109375" style="67" customWidth="1"/>
    <col min="5637" max="5637" width="6.7109375" style="67" customWidth="1"/>
    <col min="5638" max="5638" width="2.28515625" style="67" customWidth="1"/>
    <col min="5639" max="5639" width="9" style="67" customWidth="1"/>
    <col min="5640" max="5640" width="1.7109375" style="67" customWidth="1"/>
    <col min="5641" max="5641" width="4.42578125" style="67" customWidth="1"/>
    <col min="5642" max="5642" width="17.140625" style="67" customWidth="1"/>
    <col min="5643" max="5643" width="1.5703125" style="67" customWidth="1"/>
    <col min="5644" max="5644" width="10.5703125" style="67" customWidth="1"/>
    <col min="5645" max="5645" width="1.7109375" style="67" customWidth="1"/>
    <col min="5646" max="5646" width="9.85546875" style="67" customWidth="1"/>
    <col min="5647" max="5647" width="0.85546875" style="67" customWidth="1"/>
    <col min="5648" max="5648" width="10.85546875" style="67" customWidth="1"/>
    <col min="5649" max="5649" width="1.85546875" style="67" customWidth="1"/>
    <col min="5650" max="5885" width="9.140625" style="67"/>
    <col min="5886" max="5886" width="6.28515625" style="67" customWidth="1"/>
    <col min="5887" max="5887" width="3.140625" style="67" customWidth="1"/>
    <col min="5888" max="5888" width="7.7109375" style="67" customWidth="1"/>
    <col min="5889" max="5889" width="6.7109375" style="67" customWidth="1"/>
    <col min="5890" max="5890" width="7.7109375" style="67" customWidth="1"/>
    <col min="5891" max="5891" width="7.42578125" style="67" customWidth="1"/>
    <col min="5892" max="5892" width="7.7109375" style="67" customWidth="1"/>
    <col min="5893" max="5893" width="6.7109375" style="67" customWidth="1"/>
    <col min="5894" max="5894" width="2.28515625" style="67" customWidth="1"/>
    <col min="5895" max="5895" width="9" style="67" customWidth="1"/>
    <col min="5896" max="5896" width="1.7109375" style="67" customWidth="1"/>
    <col min="5897" max="5897" width="4.42578125" style="67" customWidth="1"/>
    <col min="5898" max="5898" width="17.140625" style="67" customWidth="1"/>
    <col min="5899" max="5899" width="1.5703125" style="67" customWidth="1"/>
    <col min="5900" max="5900" width="10.5703125" style="67" customWidth="1"/>
    <col min="5901" max="5901" width="1.7109375" style="67" customWidth="1"/>
    <col min="5902" max="5902" width="9.85546875" style="67" customWidth="1"/>
    <col min="5903" max="5903" width="0.85546875" style="67" customWidth="1"/>
    <col min="5904" max="5904" width="10.85546875" style="67" customWidth="1"/>
    <col min="5905" max="5905" width="1.85546875" style="67" customWidth="1"/>
    <col min="5906" max="6141" width="9.140625" style="67"/>
    <col min="6142" max="6142" width="6.28515625" style="67" customWidth="1"/>
    <col min="6143" max="6143" width="3.140625" style="67" customWidth="1"/>
    <col min="6144" max="6144" width="7.7109375" style="67" customWidth="1"/>
    <col min="6145" max="6145" width="6.7109375" style="67" customWidth="1"/>
    <col min="6146" max="6146" width="7.7109375" style="67" customWidth="1"/>
    <col min="6147" max="6147" width="7.42578125" style="67" customWidth="1"/>
    <col min="6148" max="6148" width="7.7109375" style="67" customWidth="1"/>
    <col min="6149" max="6149" width="6.7109375" style="67" customWidth="1"/>
    <col min="6150" max="6150" width="2.28515625" style="67" customWidth="1"/>
    <col min="6151" max="6151" width="9" style="67" customWidth="1"/>
    <col min="6152" max="6152" width="1.7109375" style="67" customWidth="1"/>
    <col min="6153" max="6153" width="4.42578125" style="67" customWidth="1"/>
    <col min="6154" max="6154" width="17.140625" style="67" customWidth="1"/>
    <col min="6155" max="6155" width="1.5703125" style="67" customWidth="1"/>
    <col min="6156" max="6156" width="10.5703125" style="67" customWidth="1"/>
    <col min="6157" max="6157" width="1.7109375" style="67" customWidth="1"/>
    <col min="6158" max="6158" width="9.85546875" style="67" customWidth="1"/>
    <col min="6159" max="6159" width="0.85546875" style="67" customWidth="1"/>
    <col min="6160" max="6160" width="10.85546875" style="67" customWidth="1"/>
    <col min="6161" max="6161" width="1.85546875" style="67" customWidth="1"/>
    <col min="6162" max="6397" width="9.140625" style="67"/>
    <col min="6398" max="6398" width="6.28515625" style="67" customWidth="1"/>
    <col min="6399" max="6399" width="3.140625" style="67" customWidth="1"/>
    <col min="6400" max="6400" width="7.7109375" style="67" customWidth="1"/>
    <col min="6401" max="6401" width="6.7109375" style="67" customWidth="1"/>
    <col min="6402" max="6402" width="7.7109375" style="67" customWidth="1"/>
    <col min="6403" max="6403" width="7.42578125" style="67" customWidth="1"/>
    <col min="6404" max="6404" width="7.7109375" style="67" customWidth="1"/>
    <col min="6405" max="6405" width="6.7109375" style="67" customWidth="1"/>
    <col min="6406" max="6406" width="2.28515625" style="67" customWidth="1"/>
    <col min="6407" max="6407" width="9" style="67" customWidth="1"/>
    <col min="6408" max="6408" width="1.7109375" style="67" customWidth="1"/>
    <col min="6409" max="6409" width="4.42578125" style="67" customWidth="1"/>
    <col min="6410" max="6410" width="17.140625" style="67" customWidth="1"/>
    <col min="6411" max="6411" width="1.5703125" style="67" customWidth="1"/>
    <col min="6412" max="6412" width="10.5703125" style="67" customWidth="1"/>
    <col min="6413" max="6413" width="1.7109375" style="67" customWidth="1"/>
    <col min="6414" max="6414" width="9.85546875" style="67" customWidth="1"/>
    <col min="6415" max="6415" width="0.85546875" style="67" customWidth="1"/>
    <col min="6416" max="6416" width="10.85546875" style="67" customWidth="1"/>
    <col min="6417" max="6417" width="1.85546875" style="67" customWidth="1"/>
    <col min="6418" max="6653" width="9.140625" style="67"/>
    <col min="6654" max="6654" width="6.28515625" style="67" customWidth="1"/>
    <col min="6655" max="6655" width="3.140625" style="67" customWidth="1"/>
    <col min="6656" max="6656" width="7.7109375" style="67" customWidth="1"/>
    <col min="6657" max="6657" width="6.7109375" style="67" customWidth="1"/>
    <col min="6658" max="6658" width="7.7109375" style="67" customWidth="1"/>
    <col min="6659" max="6659" width="7.42578125" style="67" customWidth="1"/>
    <col min="6660" max="6660" width="7.7109375" style="67" customWidth="1"/>
    <col min="6661" max="6661" width="6.7109375" style="67" customWidth="1"/>
    <col min="6662" max="6662" width="2.28515625" style="67" customWidth="1"/>
    <col min="6663" max="6663" width="9" style="67" customWidth="1"/>
    <col min="6664" max="6664" width="1.7109375" style="67" customWidth="1"/>
    <col min="6665" max="6665" width="4.42578125" style="67" customWidth="1"/>
    <col min="6666" max="6666" width="17.140625" style="67" customWidth="1"/>
    <col min="6667" max="6667" width="1.5703125" style="67" customWidth="1"/>
    <col min="6668" max="6668" width="10.5703125" style="67" customWidth="1"/>
    <col min="6669" max="6669" width="1.7109375" style="67" customWidth="1"/>
    <col min="6670" max="6670" width="9.85546875" style="67" customWidth="1"/>
    <col min="6671" max="6671" width="0.85546875" style="67" customWidth="1"/>
    <col min="6672" max="6672" width="10.85546875" style="67" customWidth="1"/>
    <col min="6673" max="6673" width="1.85546875" style="67" customWidth="1"/>
    <col min="6674" max="6909" width="9.140625" style="67"/>
    <col min="6910" max="6910" width="6.28515625" style="67" customWidth="1"/>
    <col min="6911" max="6911" width="3.140625" style="67" customWidth="1"/>
    <col min="6912" max="6912" width="7.7109375" style="67" customWidth="1"/>
    <col min="6913" max="6913" width="6.7109375" style="67" customWidth="1"/>
    <col min="6914" max="6914" width="7.7109375" style="67" customWidth="1"/>
    <col min="6915" max="6915" width="7.42578125" style="67" customWidth="1"/>
    <col min="6916" max="6916" width="7.7109375" style="67" customWidth="1"/>
    <col min="6917" max="6917" width="6.7109375" style="67" customWidth="1"/>
    <col min="6918" max="6918" width="2.28515625" style="67" customWidth="1"/>
    <col min="6919" max="6919" width="9" style="67" customWidth="1"/>
    <col min="6920" max="6920" width="1.7109375" style="67" customWidth="1"/>
    <col min="6921" max="6921" width="4.42578125" style="67" customWidth="1"/>
    <col min="6922" max="6922" width="17.140625" style="67" customWidth="1"/>
    <col min="6923" max="6923" width="1.5703125" style="67" customWidth="1"/>
    <col min="6924" max="6924" width="10.5703125" style="67" customWidth="1"/>
    <col min="6925" max="6925" width="1.7109375" style="67" customWidth="1"/>
    <col min="6926" max="6926" width="9.85546875" style="67" customWidth="1"/>
    <col min="6927" max="6927" width="0.85546875" style="67" customWidth="1"/>
    <col min="6928" max="6928" width="10.85546875" style="67" customWidth="1"/>
    <col min="6929" max="6929" width="1.85546875" style="67" customWidth="1"/>
    <col min="6930" max="7165" width="9.140625" style="67"/>
    <col min="7166" max="7166" width="6.28515625" style="67" customWidth="1"/>
    <col min="7167" max="7167" width="3.140625" style="67" customWidth="1"/>
    <col min="7168" max="7168" width="7.7109375" style="67" customWidth="1"/>
    <col min="7169" max="7169" width="6.7109375" style="67" customWidth="1"/>
    <col min="7170" max="7170" width="7.7109375" style="67" customWidth="1"/>
    <col min="7171" max="7171" width="7.42578125" style="67" customWidth="1"/>
    <col min="7172" max="7172" width="7.7109375" style="67" customWidth="1"/>
    <col min="7173" max="7173" width="6.7109375" style="67" customWidth="1"/>
    <col min="7174" max="7174" width="2.28515625" style="67" customWidth="1"/>
    <col min="7175" max="7175" width="9" style="67" customWidth="1"/>
    <col min="7176" max="7176" width="1.7109375" style="67" customWidth="1"/>
    <col min="7177" max="7177" width="4.42578125" style="67" customWidth="1"/>
    <col min="7178" max="7178" width="17.140625" style="67" customWidth="1"/>
    <col min="7179" max="7179" width="1.5703125" style="67" customWidth="1"/>
    <col min="7180" max="7180" width="10.5703125" style="67" customWidth="1"/>
    <col min="7181" max="7181" width="1.7109375" style="67" customWidth="1"/>
    <col min="7182" max="7182" width="9.85546875" style="67" customWidth="1"/>
    <col min="7183" max="7183" width="0.85546875" style="67" customWidth="1"/>
    <col min="7184" max="7184" width="10.85546875" style="67" customWidth="1"/>
    <col min="7185" max="7185" width="1.85546875" style="67" customWidth="1"/>
    <col min="7186" max="7421" width="9.140625" style="67"/>
    <col min="7422" max="7422" width="6.28515625" style="67" customWidth="1"/>
    <col min="7423" max="7423" width="3.140625" style="67" customWidth="1"/>
    <col min="7424" max="7424" width="7.7109375" style="67" customWidth="1"/>
    <col min="7425" max="7425" width="6.7109375" style="67" customWidth="1"/>
    <col min="7426" max="7426" width="7.7109375" style="67" customWidth="1"/>
    <col min="7427" max="7427" width="7.42578125" style="67" customWidth="1"/>
    <col min="7428" max="7428" width="7.7109375" style="67" customWidth="1"/>
    <col min="7429" max="7429" width="6.7109375" style="67" customWidth="1"/>
    <col min="7430" max="7430" width="2.28515625" style="67" customWidth="1"/>
    <col min="7431" max="7431" width="9" style="67" customWidth="1"/>
    <col min="7432" max="7432" width="1.7109375" style="67" customWidth="1"/>
    <col min="7433" max="7433" width="4.42578125" style="67" customWidth="1"/>
    <col min="7434" max="7434" width="17.140625" style="67" customWidth="1"/>
    <col min="7435" max="7435" width="1.5703125" style="67" customWidth="1"/>
    <col min="7436" max="7436" width="10.5703125" style="67" customWidth="1"/>
    <col min="7437" max="7437" width="1.7109375" style="67" customWidth="1"/>
    <col min="7438" max="7438" width="9.85546875" style="67" customWidth="1"/>
    <col min="7439" max="7439" width="0.85546875" style="67" customWidth="1"/>
    <col min="7440" max="7440" width="10.85546875" style="67" customWidth="1"/>
    <col min="7441" max="7441" width="1.85546875" style="67" customWidth="1"/>
    <col min="7442" max="7677" width="9.140625" style="67"/>
    <col min="7678" max="7678" width="6.28515625" style="67" customWidth="1"/>
    <col min="7679" max="7679" width="3.140625" style="67" customWidth="1"/>
    <col min="7680" max="7680" width="7.7109375" style="67" customWidth="1"/>
    <col min="7681" max="7681" width="6.7109375" style="67" customWidth="1"/>
    <col min="7682" max="7682" width="7.7109375" style="67" customWidth="1"/>
    <col min="7683" max="7683" width="7.42578125" style="67" customWidth="1"/>
    <col min="7684" max="7684" width="7.7109375" style="67" customWidth="1"/>
    <col min="7685" max="7685" width="6.7109375" style="67" customWidth="1"/>
    <col min="7686" max="7686" width="2.28515625" style="67" customWidth="1"/>
    <col min="7687" max="7687" width="9" style="67" customWidth="1"/>
    <col min="7688" max="7688" width="1.7109375" style="67" customWidth="1"/>
    <col min="7689" max="7689" width="4.42578125" style="67" customWidth="1"/>
    <col min="7690" max="7690" width="17.140625" style="67" customWidth="1"/>
    <col min="7691" max="7691" width="1.5703125" style="67" customWidth="1"/>
    <col min="7692" max="7692" width="10.5703125" style="67" customWidth="1"/>
    <col min="7693" max="7693" width="1.7109375" style="67" customWidth="1"/>
    <col min="7694" max="7694" width="9.85546875" style="67" customWidth="1"/>
    <col min="7695" max="7695" width="0.85546875" style="67" customWidth="1"/>
    <col min="7696" max="7696" width="10.85546875" style="67" customWidth="1"/>
    <col min="7697" max="7697" width="1.85546875" style="67" customWidth="1"/>
    <col min="7698" max="7933" width="9.140625" style="67"/>
    <col min="7934" max="7934" width="6.28515625" style="67" customWidth="1"/>
    <col min="7935" max="7935" width="3.140625" style="67" customWidth="1"/>
    <col min="7936" max="7936" width="7.7109375" style="67" customWidth="1"/>
    <col min="7937" max="7937" width="6.7109375" style="67" customWidth="1"/>
    <col min="7938" max="7938" width="7.7109375" style="67" customWidth="1"/>
    <col min="7939" max="7939" width="7.42578125" style="67" customWidth="1"/>
    <col min="7940" max="7940" width="7.7109375" style="67" customWidth="1"/>
    <col min="7941" max="7941" width="6.7109375" style="67" customWidth="1"/>
    <col min="7942" max="7942" width="2.28515625" style="67" customWidth="1"/>
    <col min="7943" max="7943" width="9" style="67" customWidth="1"/>
    <col min="7944" max="7944" width="1.7109375" style="67" customWidth="1"/>
    <col min="7945" max="7945" width="4.42578125" style="67" customWidth="1"/>
    <col min="7946" max="7946" width="17.140625" style="67" customWidth="1"/>
    <col min="7947" max="7947" width="1.5703125" style="67" customWidth="1"/>
    <col min="7948" max="7948" width="10.5703125" style="67" customWidth="1"/>
    <col min="7949" max="7949" width="1.7109375" style="67" customWidth="1"/>
    <col min="7950" max="7950" width="9.85546875" style="67" customWidth="1"/>
    <col min="7951" max="7951" width="0.85546875" style="67" customWidth="1"/>
    <col min="7952" max="7952" width="10.85546875" style="67" customWidth="1"/>
    <col min="7953" max="7953" width="1.85546875" style="67" customWidth="1"/>
    <col min="7954" max="8189" width="9.140625" style="67"/>
    <col min="8190" max="8190" width="6.28515625" style="67" customWidth="1"/>
    <col min="8191" max="8191" width="3.140625" style="67" customWidth="1"/>
    <col min="8192" max="8192" width="7.7109375" style="67" customWidth="1"/>
    <col min="8193" max="8193" width="6.7109375" style="67" customWidth="1"/>
    <col min="8194" max="8194" width="7.7109375" style="67" customWidth="1"/>
    <col min="8195" max="8195" width="7.42578125" style="67" customWidth="1"/>
    <col min="8196" max="8196" width="7.7109375" style="67" customWidth="1"/>
    <col min="8197" max="8197" width="6.7109375" style="67" customWidth="1"/>
    <col min="8198" max="8198" width="2.28515625" style="67" customWidth="1"/>
    <col min="8199" max="8199" width="9" style="67" customWidth="1"/>
    <col min="8200" max="8200" width="1.7109375" style="67" customWidth="1"/>
    <col min="8201" max="8201" width="4.42578125" style="67" customWidth="1"/>
    <col min="8202" max="8202" width="17.140625" style="67" customWidth="1"/>
    <col min="8203" max="8203" width="1.5703125" style="67" customWidth="1"/>
    <col min="8204" max="8204" width="10.5703125" style="67" customWidth="1"/>
    <col min="8205" max="8205" width="1.7109375" style="67" customWidth="1"/>
    <col min="8206" max="8206" width="9.85546875" style="67" customWidth="1"/>
    <col min="8207" max="8207" width="0.85546875" style="67" customWidth="1"/>
    <col min="8208" max="8208" width="10.85546875" style="67" customWidth="1"/>
    <col min="8209" max="8209" width="1.85546875" style="67" customWidth="1"/>
    <col min="8210" max="8445" width="9.140625" style="67"/>
    <col min="8446" max="8446" width="6.28515625" style="67" customWidth="1"/>
    <col min="8447" max="8447" width="3.140625" style="67" customWidth="1"/>
    <col min="8448" max="8448" width="7.7109375" style="67" customWidth="1"/>
    <col min="8449" max="8449" width="6.7109375" style="67" customWidth="1"/>
    <col min="8450" max="8450" width="7.7109375" style="67" customWidth="1"/>
    <col min="8451" max="8451" width="7.42578125" style="67" customWidth="1"/>
    <col min="8452" max="8452" width="7.7109375" style="67" customWidth="1"/>
    <col min="8453" max="8453" width="6.7109375" style="67" customWidth="1"/>
    <col min="8454" max="8454" width="2.28515625" style="67" customWidth="1"/>
    <col min="8455" max="8455" width="9" style="67" customWidth="1"/>
    <col min="8456" max="8456" width="1.7109375" style="67" customWidth="1"/>
    <col min="8457" max="8457" width="4.42578125" style="67" customWidth="1"/>
    <col min="8458" max="8458" width="17.140625" style="67" customWidth="1"/>
    <col min="8459" max="8459" width="1.5703125" style="67" customWidth="1"/>
    <col min="8460" max="8460" width="10.5703125" style="67" customWidth="1"/>
    <col min="8461" max="8461" width="1.7109375" style="67" customWidth="1"/>
    <col min="8462" max="8462" width="9.85546875" style="67" customWidth="1"/>
    <col min="8463" max="8463" width="0.85546875" style="67" customWidth="1"/>
    <col min="8464" max="8464" width="10.85546875" style="67" customWidth="1"/>
    <col min="8465" max="8465" width="1.85546875" style="67" customWidth="1"/>
    <col min="8466" max="8701" width="9.140625" style="67"/>
    <col min="8702" max="8702" width="6.28515625" style="67" customWidth="1"/>
    <col min="8703" max="8703" width="3.140625" style="67" customWidth="1"/>
    <col min="8704" max="8704" width="7.7109375" style="67" customWidth="1"/>
    <col min="8705" max="8705" width="6.7109375" style="67" customWidth="1"/>
    <col min="8706" max="8706" width="7.7109375" style="67" customWidth="1"/>
    <col min="8707" max="8707" width="7.42578125" style="67" customWidth="1"/>
    <col min="8708" max="8708" width="7.7109375" style="67" customWidth="1"/>
    <col min="8709" max="8709" width="6.7109375" style="67" customWidth="1"/>
    <col min="8710" max="8710" width="2.28515625" style="67" customWidth="1"/>
    <col min="8711" max="8711" width="9" style="67" customWidth="1"/>
    <col min="8712" max="8712" width="1.7109375" style="67" customWidth="1"/>
    <col min="8713" max="8713" width="4.42578125" style="67" customWidth="1"/>
    <col min="8714" max="8714" width="17.140625" style="67" customWidth="1"/>
    <col min="8715" max="8715" width="1.5703125" style="67" customWidth="1"/>
    <col min="8716" max="8716" width="10.5703125" style="67" customWidth="1"/>
    <col min="8717" max="8717" width="1.7109375" style="67" customWidth="1"/>
    <col min="8718" max="8718" width="9.85546875" style="67" customWidth="1"/>
    <col min="8719" max="8719" width="0.85546875" style="67" customWidth="1"/>
    <col min="8720" max="8720" width="10.85546875" style="67" customWidth="1"/>
    <col min="8721" max="8721" width="1.85546875" style="67" customWidth="1"/>
    <col min="8722" max="8957" width="9.140625" style="67"/>
    <col min="8958" max="8958" width="6.28515625" style="67" customWidth="1"/>
    <col min="8959" max="8959" width="3.140625" style="67" customWidth="1"/>
    <col min="8960" max="8960" width="7.7109375" style="67" customWidth="1"/>
    <col min="8961" max="8961" width="6.7109375" style="67" customWidth="1"/>
    <col min="8962" max="8962" width="7.7109375" style="67" customWidth="1"/>
    <col min="8963" max="8963" width="7.42578125" style="67" customWidth="1"/>
    <col min="8964" max="8964" width="7.7109375" style="67" customWidth="1"/>
    <col min="8965" max="8965" width="6.7109375" style="67" customWidth="1"/>
    <col min="8966" max="8966" width="2.28515625" style="67" customWidth="1"/>
    <col min="8967" max="8967" width="9" style="67" customWidth="1"/>
    <col min="8968" max="8968" width="1.7109375" style="67" customWidth="1"/>
    <col min="8969" max="8969" width="4.42578125" style="67" customWidth="1"/>
    <col min="8970" max="8970" width="17.140625" style="67" customWidth="1"/>
    <col min="8971" max="8971" width="1.5703125" style="67" customWidth="1"/>
    <col min="8972" max="8972" width="10.5703125" style="67" customWidth="1"/>
    <col min="8973" max="8973" width="1.7109375" style="67" customWidth="1"/>
    <col min="8974" max="8974" width="9.85546875" style="67" customWidth="1"/>
    <col min="8975" max="8975" width="0.85546875" style="67" customWidth="1"/>
    <col min="8976" max="8976" width="10.85546875" style="67" customWidth="1"/>
    <col min="8977" max="8977" width="1.85546875" style="67" customWidth="1"/>
    <col min="8978" max="9213" width="9.140625" style="67"/>
    <col min="9214" max="9214" width="6.28515625" style="67" customWidth="1"/>
    <col min="9215" max="9215" width="3.140625" style="67" customWidth="1"/>
    <col min="9216" max="9216" width="7.7109375" style="67" customWidth="1"/>
    <col min="9217" max="9217" width="6.7109375" style="67" customWidth="1"/>
    <col min="9218" max="9218" width="7.7109375" style="67" customWidth="1"/>
    <col min="9219" max="9219" width="7.42578125" style="67" customWidth="1"/>
    <col min="9220" max="9220" width="7.7109375" style="67" customWidth="1"/>
    <col min="9221" max="9221" width="6.7109375" style="67" customWidth="1"/>
    <col min="9222" max="9222" width="2.28515625" style="67" customWidth="1"/>
    <col min="9223" max="9223" width="9" style="67" customWidth="1"/>
    <col min="9224" max="9224" width="1.7109375" style="67" customWidth="1"/>
    <col min="9225" max="9225" width="4.42578125" style="67" customWidth="1"/>
    <col min="9226" max="9226" width="17.140625" style="67" customWidth="1"/>
    <col min="9227" max="9227" width="1.5703125" style="67" customWidth="1"/>
    <col min="9228" max="9228" width="10.5703125" style="67" customWidth="1"/>
    <col min="9229" max="9229" width="1.7109375" style="67" customWidth="1"/>
    <col min="9230" max="9230" width="9.85546875" style="67" customWidth="1"/>
    <col min="9231" max="9231" width="0.85546875" style="67" customWidth="1"/>
    <col min="9232" max="9232" width="10.85546875" style="67" customWidth="1"/>
    <col min="9233" max="9233" width="1.85546875" style="67" customWidth="1"/>
    <col min="9234" max="9469" width="9.140625" style="67"/>
    <col min="9470" max="9470" width="6.28515625" style="67" customWidth="1"/>
    <col min="9471" max="9471" width="3.140625" style="67" customWidth="1"/>
    <col min="9472" max="9472" width="7.7109375" style="67" customWidth="1"/>
    <col min="9473" max="9473" width="6.7109375" style="67" customWidth="1"/>
    <col min="9474" max="9474" width="7.7109375" style="67" customWidth="1"/>
    <col min="9475" max="9475" width="7.42578125" style="67" customWidth="1"/>
    <col min="9476" max="9476" width="7.7109375" style="67" customWidth="1"/>
    <col min="9477" max="9477" width="6.7109375" style="67" customWidth="1"/>
    <col min="9478" max="9478" width="2.28515625" style="67" customWidth="1"/>
    <col min="9479" max="9479" width="9" style="67" customWidth="1"/>
    <col min="9480" max="9480" width="1.7109375" style="67" customWidth="1"/>
    <col min="9481" max="9481" width="4.42578125" style="67" customWidth="1"/>
    <col min="9482" max="9482" width="17.140625" style="67" customWidth="1"/>
    <col min="9483" max="9483" width="1.5703125" style="67" customWidth="1"/>
    <col min="9484" max="9484" width="10.5703125" style="67" customWidth="1"/>
    <col min="9485" max="9485" width="1.7109375" style="67" customWidth="1"/>
    <col min="9486" max="9486" width="9.85546875" style="67" customWidth="1"/>
    <col min="9487" max="9487" width="0.85546875" style="67" customWidth="1"/>
    <col min="9488" max="9488" width="10.85546875" style="67" customWidth="1"/>
    <col min="9489" max="9489" width="1.85546875" style="67" customWidth="1"/>
    <col min="9490" max="9725" width="9.140625" style="67"/>
    <col min="9726" max="9726" width="6.28515625" style="67" customWidth="1"/>
    <col min="9727" max="9727" width="3.140625" style="67" customWidth="1"/>
    <col min="9728" max="9728" width="7.7109375" style="67" customWidth="1"/>
    <col min="9729" max="9729" width="6.7109375" style="67" customWidth="1"/>
    <col min="9730" max="9730" width="7.7109375" style="67" customWidth="1"/>
    <col min="9731" max="9731" width="7.42578125" style="67" customWidth="1"/>
    <col min="9732" max="9732" width="7.7109375" style="67" customWidth="1"/>
    <col min="9733" max="9733" width="6.7109375" style="67" customWidth="1"/>
    <col min="9734" max="9734" width="2.28515625" style="67" customWidth="1"/>
    <col min="9735" max="9735" width="9" style="67" customWidth="1"/>
    <col min="9736" max="9736" width="1.7109375" style="67" customWidth="1"/>
    <col min="9737" max="9737" width="4.42578125" style="67" customWidth="1"/>
    <col min="9738" max="9738" width="17.140625" style="67" customWidth="1"/>
    <col min="9739" max="9739" width="1.5703125" style="67" customWidth="1"/>
    <col min="9740" max="9740" width="10.5703125" style="67" customWidth="1"/>
    <col min="9741" max="9741" width="1.7109375" style="67" customWidth="1"/>
    <col min="9742" max="9742" width="9.85546875" style="67" customWidth="1"/>
    <col min="9743" max="9743" width="0.85546875" style="67" customWidth="1"/>
    <col min="9744" max="9744" width="10.85546875" style="67" customWidth="1"/>
    <col min="9745" max="9745" width="1.85546875" style="67" customWidth="1"/>
    <col min="9746" max="9981" width="9.140625" style="67"/>
    <col min="9982" max="9982" width="6.28515625" style="67" customWidth="1"/>
    <col min="9983" max="9983" width="3.140625" style="67" customWidth="1"/>
    <col min="9984" max="9984" width="7.7109375" style="67" customWidth="1"/>
    <col min="9985" max="9985" width="6.7109375" style="67" customWidth="1"/>
    <col min="9986" max="9986" width="7.7109375" style="67" customWidth="1"/>
    <col min="9987" max="9987" width="7.42578125" style="67" customWidth="1"/>
    <col min="9988" max="9988" width="7.7109375" style="67" customWidth="1"/>
    <col min="9989" max="9989" width="6.7109375" style="67" customWidth="1"/>
    <col min="9990" max="9990" width="2.28515625" style="67" customWidth="1"/>
    <col min="9991" max="9991" width="9" style="67" customWidth="1"/>
    <col min="9992" max="9992" width="1.7109375" style="67" customWidth="1"/>
    <col min="9993" max="9993" width="4.42578125" style="67" customWidth="1"/>
    <col min="9994" max="9994" width="17.140625" style="67" customWidth="1"/>
    <col min="9995" max="9995" width="1.5703125" style="67" customWidth="1"/>
    <col min="9996" max="9996" width="10.5703125" style="67" customWidth="1"/>
    <col min="9997" max="9997" width="1.7109375" style="67" customWidth="1"/>
    <col min="9998" max="9998" width="9.85546875" style="67" customWidth="1"/>
    <col min="9999" max="9999" width="0.85546875" style="67" customWidth="1"/>
    <col min="10000" max="10000" width="10.85546875" style="67" customWidth="1"/>
    <col min="10001" max="10001" width="1.85546875" style="67" customWidth="1"/>
    <col min="10002" max="10237" width="9.140625" style="67"/>
    <col min="10238" max="10238" width="6.28515625" style="67" customWidth="1"/>
    <col min="10239" max="10239" width="3.140625" style="67" customWidth="1"/>
    <col min="10240" max="10240" width="7.7109375" style="67" customWidth="1"/>
    <col min="10241" max="10241" width="6.7109375" style="67" customWidth="1"/>
    <col min="10242" max="10242" width="7.7109375" style="67" customWidth="1"/>
    <col min="10243" max="10243" width="7.42578125" style="67" customWidth="1"/>
    <col min="10244" max="10244" width="7.7109375" style="67" customWidth="1"/>
    <col min="10245" max="10245" width="6.7109375" style="67" customWidth="1"/>
    <col min="10246" max="10246" width="2.28515625" style="67" customWidth="1"/>
    <col min="10247" max="10247" width="9" style="67" customWidth="1"/>
    <col min="10248" max="10248" width="1.7109375" style="67" customWidth="1"/>
    <col min="10249" max="10249" width="4.42578125" style="67" customWidth="1"/>
    <col min="10250" max="10250" width="17.140625" style="67" customWidth="1"/>
    <col min="10251" max="10251" width="1.5703125" style="67" customWidth="1"/>
    <col min="10252" max="10252" width="10.5703125" style="67" customWidth="1"/>
    <col min="10253" max="10253" width="1.7109375" style="67" customWidth="1"/>
    <col min="10254" max="10254" width="9.85546875" style="67" customWidth="1"/>
    <col min="10255" max="10255" width="0.85546875" style="67" customWidth="1"/>
    <col min="10256" max="10256" width="10.85546875" style="67" customWidth="1"/>
    <col min="10257" max="10257" width="1.85546875" style="67" customWidth="1"/>
    <col min="10258" max="10493" width="9.140625" style="67"/>
    <col min="10494" max="10494" width="6.28515625" style="67" customWidth="1"/>
    <col min="10495" max="10495" width="3.140625" style="67" customWidth="1"/>
    <col min="10496" max="10496" width="7.7109375" style="67" customWidth="1"/>
    <col min="10497" max="10497" width="6.7109375" style="67" customWidth="1"/>
    <col min="10498" max="10498" width="7.7109375" style="67" customWidth="1"/>
    <col min="10499" max="10499" width="7.42578125" style="67" customWidth="1"/>
    <col min="10500" max="10500" width="7.7109375" style="67" customWidth="1"/>
    <col min="10501" max="10501" width="6.7109375" style="67" customWidth="1"/>
    <col min="10502" max="10502" width="2.28515625" style="67" customWidth="1"/>
    <col min="10503" max="10503" width="9" style="67" customWidth="1"/>
    <col min="10504" max="10504" width="1.7109375" style="67" customWidth="1"/>
    <col min="10505" max="10505" width="4.42578125" style="67" customWidth="1"/>
    <col min="10506" max="10506" width="17.140625" style="67" customWidth="1"/>
    <col min="10507" max="10507" width="1.5703125" style="67" customWidth="1"/>
    <col min="10508" max="10508" width="10.5703125" style="67" customWidth="1"/>
    <col min="10509" max="10509" width="1.7109375" style="67" customWidth="1"/>
    <col min="10510" max="10510" width="9.85546875" style="67" customWidth="1"/>
    <col min="10511" max="10511" width="0.85546875" style="67" customWidth="1"/>
    <col min="10512" max="10512" width="10.85546875" style="67" customWidth="1"/>
    <col min="10513" max="10513" width="1.85546875" style="67" customWidth="1"/>
    <col min="10514" max="10749" width="9.140625" style="67"/>
    <col min="10750" max="10750" width="6.28515625" style="67" customWidth="1"/>
    <col min="10751" max="10751" width="3.140625" style="67" customWidth="1"/>
    <col min="10752" max="10752" width="7.7109375" style="67" customWidth="1"/>
    <col min="10753" max="10753" width="6.7109375" style="67" customWidth="1"/>
    <col min="10754" max="10754" width="7.7109375" style="67" customWidth="1"/>
    <col min="10755" max="10755" width="7.42578125" style="67" customWidth="1"/>
    <col min="10756" max="10756" width="7.7109375" style="67" customWidth="1"/>
    <col min="10757" max="10757" width="6.7109375" style="67" customWidth="1"/>
    <col min="10758" max="10758" width="2.28515625" style="67" customWidth="1"/>
    <col min="10759" max="10759" width="9" style="67" customWidth="1"/>
    <col min="10760" max="10760" width="1.7109375" style="67" customWidth="1"/>
    <col min="10761" max="10761" width="4.42578125" style="67" customWidth="1"/>
    <col min="10762" max="10762" width="17.140625" style="67" customWidth="1"/>
    <col min="10763" max="10763" width="1.5703125" style="67" customWidth="1"/>
    <col min="10764" max="10764" width="10.5703125" style="67" customWidth="1"/>
    <col min="10765" max="10765" width="1.7109375" style="67" customWidth="1"/>
    <col min="10766" max="10766" width="9.85546875" style="67" customWidth="1"/>
    <col min="10767" max="10767" width="0.85546875" style="67" customWidth="1"/>
    <col min="10768" max="10768" width="10.85546875" style="67" customWidth="1"/>
    <col min="10769" max="10769" width="1.85546875" style="67" customWidth="1"/>
    <col min="10770" max="11005" width="9.140625" style="67"/>
    <col min="11006" max="11006" width="6.28515625" style="67" customWidth="1"/>
    <col min="11007" max="11007" width="3.140625" style="67" customWidth="1"/>
    <col min="11008" max="11008" width="7.7109375" style="67" customWidth="1"/>
    <col min="11009" max="11009" width="6.7109375" style="67" customWidth="1"/>
    <col min="11010" max="11010" width="7.7109375" style="67" customWidth="1"/>
    <col min="11011" max="11011" width="7.42578125" style="67" customWidth="1"/>
    <col min="11012" max="11012" width="7.7109375" style="67" customWidth="1"/>
    <col min="11013" max="11013" width="6.7109375" style="67" customWidth="1"/>
    <col min="11014" max="11014" width="2.28515625" style="67" customWidth="1"/>
    <col min="11015" max="11015" width="9" style="67" customWidth="1"/>
    <col min="11016" max="11016" width="1.7109375" style="67" customWidth="1"/>
    <col min="11017" max="11017" width="4.42578125" style="67" customWidth="1"/>
    <col min="11018" max="11018" width="17.140625" style="67" customWidth="1"/>
    <col min="11019" max="11019" width="1.5703125" style="67" customWidth="1"/>
    <col min="11020" max="11020" width="10.5703125" style="67" customWidth="1"/>
    <col min="11021" max="11021" width="1.7109375" style="67" customWidth="1"/>
    <col min="11022" max="11022" width="9.85546875" style="67" customWidth="1"/>
    <col min="11023" max="11023" width="0.85546875" style="67" customWidth="1"/>
    <col min="11024" max="11024" width="10.85546875" style="67" customWidth="1"/>
    <col min="11025" max="11025" width="1.85546875" style="67" customWidth="1"/>
    <col min="11026" max="11261" width="9.140625" style="67"/>
    <col min="11262" max="11262" width="6.28515625" style="67" customWidth="1"/>
    <col min="11263" max="11263" width="3.140625" style="67" customWidth="1"/>
    <col min="11264" max="11264" width="7.7109375" style="67" customWidth="1"/>
    <col min="11265" max="11265" width="6.7109375" style="67" customWidth="1"/>
    <col min="11266" max="11266" width="7.7109375" style="67" customWidth="1"/>
    <col min="11267" max="11267" width="7.42578125" style="67" customWidth="1"/>
    <col min="11268" max="11268" width="7.7109375" style="67" customWidth="1"/>
    <col min="11269" max="11269" width="6.7109375" style="67" customWidth="1"/>
    <col min="11270" max="11270" width="2.28515625" style="67" customWidth="1"/>
    <col min="11271" max="11271" width="9" style="67" customWidth="1"/>
    <col min="11272" max="11272" width="1.7109375" style="67" customWidth="1"/>
    <col min="11273" max="11273" width="4.42578125" style="67" customWidth="1"/>
    <col min="11274" max="11274" width="17.140625" style="67" customWidth="1"/>
    <col min="11275" max="11275" width="1.5703125" style="67" customWidth="1"/>
    <col min="11276" max="11276" width="10.5703125" style="67" customWidth="1"/>
    <col min="11277" max="11277" width="1.7109375" style="67" customWidth="1"/>
    <col min="11278" max="11278" width="9.85546875" style="67" customWidth="1"/>
    <col min="11279" max="11279" width="0.85546875" style="67" customWidth="1"/>
    <col min="11280" max="11280" width="10.85546875" style="67" customWidth="1"/>
    <col min="11281" max="11281" width="1.85546875" style="67" customWidth="1"/>
    <col min="11282" max="11517" width="9.140625" style="67"/>
    <col min="11518" max="11518" width="6.28515625" style="67" customWidth="1"/>
    <col min="11519" max="11519" width="3.140625" style="67" customWidth="1"/>
    <col min="11520" max="11520" width="7.7109375" style="67" customWidth="1"/>
    <col min="11521" max="11521" width="6.7109375" style="67" customWidth="1"/>
    <col min="11522" max="11522" width="7.7109375" style="67" customWidth="1"/>
    <col min="11523" max="11523" width="7.42578125" style="67" customWidth="1"/>
    <col min="11524" max="11524" width="7.7109375" style="67" customWidth="1"/>
    <col min="11525" max="11525" width="6.7109375" style="67" customWidth="1"/>
    <col min="11526" max="11526" width="2.28515625" style="67" customWidth="1"/>
    <col min="11527" max="11527" width="9" style="67" customWidth="1"/>
    <col min="11528" max="11528" width="1.7109375" style="67" customWidth="1"/>
    <col min="11529" max="11529" width="4.42578125" style="67" customWidth="1"/>
    <col min="11530" max="11530" width="17.140625" style="67" customWidth="1"/>
    <col min="11531" max="11531" width="1.5703125" style="67" customWidth="1"/>
    <col min="11532" max="11532" width="10.5703125" style="67" customWidth="1"/>
    <col min="11533" max="11533" width="1.7109375" style="67" customWidth="1"/>
    <col min="11534" max="11534" width="9.85546875" style="67" customWidth="1"/>
    <col min="11535" max="11535" width="0.85546875" style="67" customWidth="1"/>
    <col min="11536" max="11536" width="10.85546875" style="67" customWidth="1"/>
    <col min="11537" max="11537" width="1.85546875" style="67" customWidth="1"/>
    <col min="11538" max="11773" width="9.140625" style="67"/>
    <col min="11774" max="11774" width="6.28515625" style="67" customWidth="1"/>
    <col min="11775" max="11775" width="3.140625" style="67" customWidth="1"/>
    <col min="11776" max="11776" width="7.7109375" style="67" customWidth="1"/>
    <col min="11777" max="11777" width="6.7109375" style="67" customWidth="1"/>
    <col min="11778" max="11778" width="7.7109375" style="67" customWidth="1"/>
    <col min="11779" max="11779" width="7.42578125" style="67" customWidth="1"/>
    <col min="11780" max="11780" width="7.7109375" style="67" customWidth="1"/>
    <col min="11781" max="11781" width="6.7109375" style="67" customWidth="1"/>
    <col min="11782" max="11782" width="2.28515625" style="67" customWidth="1"/>
    <col min="11783" max="11783" width="9" style="67" customWidth="1"/>
    <col min="11784" max="11784" width="1.7109375" style="67" customWidth="1"/>
    <col min="11785" max="11785" width="4.42578125" style="67" customWidth="1"/>
    <col min="11786" max="11786" width="17.140625" style="67" customWidth="1"/>
    <col min="11787" max="11787" width="1.5703125" style="67" customWidth="1"/>
    <col min="11788" max="11788" width="10.5703125" style="67" customWidth="1"/>
    <col min="11789" max="11789" width="1.7109375" style="67" customWidth="1"/>
    <col min="11790" max="11790" width="9.85546875" style="67" customWidth="1"/>
    <col min="11791" max="11791" width="0.85546875" style="67" customWidth="1"/>
    <col min="11792" max="11792" width="10.85546875" style="67" customWidth="1"/>
    <col min="11793" max="11793" width="1.85546875" style="67" customWidth="1"/>
    <col min="11794" max="12029" width="9.140625" style="67"/>
    <col min="12030" max="12030" width="6.28515625" style="67" customWidth="1"/>
    <col min="12031" max="12031" width="3.140625" style="67" customWidth="1"/>
    <col min="12032" max="12032" width="7.7109375" style="67" customWidth="1"/>
    <col min="12033" max="12033" width="6.7109375" style="67" customWidth="1"/>
    <col min="12034" max="12034" width="7.7109375" style="67" customWidth="1"/>
    <col min="12035" max="12035" width="7.42578125" style="67" customWidth="1"/>
    <col min="12036" max="12036" width="7.7109375" style="67" customWidth="1"/>
    <col min="12037" max="12037" width="6.7109375" style="67" customWidth="1"/>
    <col min="12038" max="12038" width="2.28515625" style="67" customWidth="1"/>
    <col min="12039" max="12039" width="9" style="67" customWidth="1"/>
    <col min="12040" max="12040" width="1.7109375" style="67" customWidth="1"/>
    <col min="12041" max="12041" width="4.42578125" style="67" customWidth="1"/>
    <col min="12042" max="12042" width="17.140625" style="67" customWidth="1"/>
    <col min="12043" max="12043" width="1.5703125" style="67" customWidth="1"/>
    <col min="12044" max="12044" width="10.5703125" style="67" customWidth="1"/>
    <col min="12045" max="12045" width="1.7109375" style="67" customWidth="1"/>
    <col min="12046" max="12046" width="9.85546875" style="67" customWidth="1"/>
    <col min="12047" max="12047" width="0.85546875" style="67" customWidth="1"/>
    <col min="12048" max="12048" width="10.85546875" style="67" customWidth="1"/>
    <col min="12049" max="12049" width="1.85546875" style="67" customWidth="1"/>
    <col min="12050" max="12285" width="9.140625" style="67"/>
    <col min="12286" max="12286" width="6.28515625" style="67" customWidth="1"/>
    <col min="12287" max="12287" width="3.140625" style="67" customWidth="1"/>
    <col min="12288" max="12288" width="7.7109375" style="67" customWidth="1"/>
    <col min="12289" max="12289" width="6.7109375" style="67" customWidth="1"/>
    <col min="12290" max="12290" width="7.7109375" style="67" customWidth="1"/>
    <col min="12291" max="12291" width="7.42578125" style="67" customWidth="1"/>
    <col min="12292" max="12292" width="7.7109375" style="67" customWidth="1"/>
    <col min="12293" max="12293" width="6.7109375" style="67" customWidth="1"/>
    <col min="12294" max="12294" width="2.28515625" style="67" customWidth="1"/>
    <col min="12295" max="12295" width="9" style="67" customWidth="1"/>
    <col min="12296" max="12296" width="1.7109375" style="67" customWidth="1"/>
    <col min="12297" max="12297" width="4.42578125" style="67" customWidth="1"/>
    <col min="12298" max="12298" width="17.140625" style="67" customWidth="1"/>
    <col min="12299" max="12299" width="1.5703125" style="67" customWidth="1"/>
    <col min="12300" max="12300" width="10.5703125" style="67" customWidth="1"/>
    <col min="12301" max="12301" width="1.7109375" style="67" customWidth="1"/>
    <col min="12302" max="12302" width="9.85546875" style="67" customWidth="1"/>
    <col min="12303" max="12303" width="0.85546875" style="67" customWidth="1"/>
    <col min="12304" max="12304" width="10.85546875" style="67" customWidth="1"/>
    <col min="12305" max="12305" width="1.85546875" style="67" customWidth="1"/>
    <col min="12306" max="12541" width="9.140625" style="67"/>
    <col min="12542" max="12542" width="6.28515625" style="67" customWidth="1"/>
    <col min="12543" max="12543" width="3.140625" style="67" customWidth="1"/>
    <col min="12544" max="12544" width="7.7109375" style="67" customWidth="1"/>
    <col min="12545" max="12545" width="6.7109375" style="67" customWidth="1"/>
    <col min="12546" max="12546" width="7.7109375" style="67" customWidth="1"/>
    <col min="12547" max="12547" width="7.42578125" style="67" customWidth="1"/>
    <col min="12548" max="12548" width="7.7109375" style="67" customWidth="1"/>
    <col min="12549" max="12549" width="6.7109375" style="67" customWidth="1"/>
    <col min="12550" max="12550" width="2.28515625" style="67" customWidth="1"/>
    <col min="12551" max="12551" width="9" style="67" customWidth="1"/>
    <col min="12552" max="12552" width="1.7109375" style="67" customWidth="1"/>
    <col min="12553" max="12553" width="4.42578125" style="67" customWidth="1"/>
    <col min="12554" max="12554" width="17.140625" style="67" customWidth="1"/>
    <col min="12555" max="12555" width="1.5703125" style="67" customWidth="1"/>
    <col min="12556" max="12556" width="10.5703125" style="67" customWidth="1"/>
    <col min="12557" max="12557" width="1.7109375" style="67" customWidth="1"/>
    <col min="12558" max="12558" width="9.85546875" style="67" customWidth="1"/>
    <col min="12559" max="12559" width="0.85546875" style="67" customWidth="1"/>
    <col min="12560" max="12560" width="10.85546875" style="67" customWidth="1"/>
    <col min="12561" max="12561" width="1.85546875" style="67" customWidth="1"/>
    <col min="12562" max="12797" width="9.140625" style="67"/>
    <col min="12798" max="12798" width="6.28515625" style="67" customWidth="1"/>
    <col min="12799" max="12799" width="3.140625" style="67" customWidth="1"/>
    <col min="12800" max="12800" width="7.7109375" style="67" customWidth="1"/>
    <col min="12801" max="12801" width="6.7109375" style="67" customWidth="1"/>
    <col min="12802" max="12802" width="7.7109375" style="67" customWidth="1"/>
    <col min="12803" max="12803" width="7.42578125" style="67" customWidth="1"/>
    <col min="12804" max="12804" width="7.7109375" style="67" customWidth="1"/>
    <col min="12805" max="12805" width="6.7109375" style="67" customWidth="1"/>
    <col min="12806" max="12806" width="2.28515625" style="67" customWidth="1"/>
    <col min="12807" max="12807" width="9" style="67" customWidth="1"/>
    <col min="12808" max="12808" width="1.7109375" style="67" customWidth="1"/>
    <col min="12809" max="12809" width="4.42578125" style="67" customWidth="1"/>
    <col min="12810" max="12810" width="17.140625" style="67" customWidth="1"/>
    <col min="12811" max="12811" width="1.5703125" style="67" customWidth="1"/>
    <col min="12812" max="12812" width="10.5703125" style="67" customWidth="1"/>
    <col min="12813" max="12813" width="1.7109375" style="67" customWidth="1"/>
    <col min="12814" max="12814" width="9.85546875" style="67" customWidth="1"/>
    <col min="12815" max="12815" width="0.85546875" style="67" customWidth="1"/>
    <col min="12816" max="12816" width="10.85546875" style="67" customWidth="1"/>
    <col min="12817" max="12817" width="1.85546875" style="67" customWidth="1"/>
    <col min="12818" max="13053" width="9.140625" style="67"/>
    <col min="13054" max="13054" width="6.28515625" style="67" customWidth="1"/>
    <col min="13055" max="13055" width="3.140625" style="67" customWidth="1"/>
    <col min="13056" max="13056" width="7.7109375" style="67" customWidth="1"/>
    <col min="13057" max="13057" width="6.7109375" style="67" customWidth="1"/>
    <col min="13058" max="13058" width="7.7109375" style="67" customWidth="1"/>
    <col min="13059" max="13059" width="7.42578125" style="67" customWidth="1"/>
    <col min="13060" max="13060" width="7.7109375" style="67" customWidth="1"/>
    <col min="13061" max="13061" width="6.7109375" style="67" customWidth="1"/>
    <col min="13062" max="13062" width="2.28515625" style="67" customWidth="1"/>
    <col min="13063" max="13063" width="9" style="67" customWidth="1"/>
    <col min="13064" max="13064" width="1.7109375" style="67" customWidth="1"/>
    <col min="13065" max="13065" width="4.42578125" style="67" customWidth="1"/>
    <col min="13066" max="13066" width="17.140625" style="67" customWidth="1"/>
    <col min="13067" max="13067" width="1.5703125" style="67" customWidth="1"/>
    <col min="13068" max="13068" width="10.5703125" style="67" customWidth="1"/>
    <col min="13069" max="13069" width="1.7109375" style="67" customWidth="1"/>
    <col min="13070" max="13070" width="9.85546875" style="67" customWidth="1"/>
    <col min="13071" max="13071" width="0.85546875" style="67" customWidth="1"/>
    <col min="13072" max="13072" width="10.85546875" style="67" customWidth="1"/>
    <col min="13073" max="13073" width="1.85546875" style="67" customWidth="1"/>
    <col min="13074" max="13309" width="9.140625" style="67"/>
    <col min="13310" max="13310" width="6.28515625" style="67" customWidth="1"/>
    <col min="13311" max="13311" width="3.140625" style="67" customWidth="1"/>
    <col min="13312" max="13312" width="7.7109375" style="67" customWidth="1"/>
    <col min="13313" max="13313" width="6.7109375" style="67" customWidth="1"/>
    <col min="13314" max="13314" width="7.7109375" style="67" customWidth="1"/>
    <col min="13315" max="13315" width="7.42578125" style="67" customWidth="1"/>
    <col min="13316" max="13316" width="7.7109375" style="67" customWidth="1"/>
    <col min="13317" max="13317" width="6.7109375" style="67" customWidth="1"/>
    <col min="13318" max="13318" width="2.28515625" style="67" customWidth="1"/>
    <col min="13319" max="13319" width="9" style="67" customWidth="1"/>
    <col min="13320" max="13320" width="1.7109375" style="67" customWidth="1"/>
    <col min="13321" max="13321" width="4.42578125" style="67" customWidth="1"/>
    <col min="13322" max="13322" width="17.140625" style="67" customWidth="1"/>
    <col min="13323" max="13323" width="1.5703125" style="67" customWidth="1"/>
    <col min="13324" max="13324" width="10.5703125" style="67" customWidth="1"/>
    <col min="13325" max="13325" width="1.7109375" style="67" customWidth="1"/>
    <col min="13326" max="13326" width="9.85546875" style="67" customWidth="1"/>
    <col min="13327" max="13327" width="0.85546875" style="67" customWidth="1"/>
    <col min="13328" max="13328" width="10.85546875" style="67" customWidth="1"/>
    <col min="13329" max="13329" width="1.85546875" style="67" customWidth="1"/>
    <col min="13330" max="13565" width="9.140625" style="67"/>
    <col min="13566" max="13566" width="6.28515625" style="67" customWidth="1"/>
    <col min="13567" max="13567" width="3.140625" style="67" customWidth="1"/>
    <col min="13568" max="13568" width="7.7109375" style="67" customWidth="1"/>
    <col min="13569" max="13569" width="6.7109375" style="67" customWidth="1"/>
    <col min="13570" max="13570" width="7.7109375" style="67" customWidth="1"/>
    <col min="13571" max="13571" width="7.42578125" style="67" customWidth="1"/>
    <col min="13572" max="13572" width="7.7109375" style="67" customWidth="1"/>
    <col min="13573" max="13573" width="6.7109375" style="67" customWidth="1"/>
    <col min="13574" max="13574" width="2.28515625" style="67" customWidth="1"/>
    <col min="13575" max="13575" width="9" style="67" customWidth="1"/>
    <col min="13576" max="13576" width="1.7109375" style="67" customWidth="1"/>
    <col min="13577" max="13577" width="4.42578125" style="67" customWidth="1"/>
    <col min="13578" max="13578" width="17.140625" style="67" customWidth="1"/>
    <col min="13579" max="13579" width="1.5703125" style="67" customWidth="1"/>
    <col min="13580" max="13580" width="10.5703125" style="67" customWidth="1"/>
    <col min="13581" max="13581" width="1.7109375" style="67" customWidth="1"/>
    <col min="13582" max="13582" width="9.85546875" style="67" customWidth="1"/>
    <col min="13583" max="13583" width="0.85546875" style="67" customWidth="1"/>
    <col min="13584" max="13584" width="10.85546875" style="67" customWidth="1"/>
    <col min="13585" max="13585" width="1.85546875" style="67" customWidth="1"/>
    <col min="13586" max="13821" width="9.140625" style="67"/>
    <col min="13822" max="13822" width="6.28515625" style="67" customWidth="1"/>
    <col min="13823" max="13823" width="3.140625" style="67" customWidth="1"/>
    <col min="13824" max="13824" width="7.7109375" style="67" customWidth="1"/>
    <col min="13825" max="13825" width="6.7109375" style="67" customWidth="1"/>
    <col min="13826" max="13826" width="7.7109375" style="67" customWidth="1"/>
    <col min="13827" max="13827" width="7.42578125" style="67" customWidth="1"/>
    <col min="13828" max="13828" width="7.7109375" style="67" customWidth="1"/>
    <col min="13829" max="13829" width="6.7109375" style="67" customWidth="1"/>
    <col min="13830" max="13830" width="2.28515625" style="67" customWidth="1"/>
    <col min="13831" max="13831" width="9" style="67" customWidth="1"/>
    <col min="13832" max="13832" width="1.7109375" style="67" customWidth="1"/>
    <col min="13833" max="13833" width="4.42578125" style="67" customWidth="1"/>
    <col min="13834" max="13834" width="17.140625" style="67" customWidth="1"/>
    <col min="13835" max="13835" width="1.5703125" style="67" customWidth="1"/>
    <col min="13836" max="13836" width="10.5703125" style="67" customWidth="1"/>
    <col min="13837" max="13837" width="1.7109375" style="67" customWidth="1"/>
    <col min="13838" max="13838" width="9.85546875" style="67" customWidth="1"/>
    <col min="13839" max="13839" width="0.85546875" style="67" customWidth="1"/>
    <col min="13840" max="13840" width="10.85546875" style="67" customWidth="1"/>
    <col min="13841" max="13841" width="1.85546875" style="67" customWidth="1"/>
    <col min="13842" max="14077" width="9.140625" style="67"/>
    <col min="14078" max="14078" width="6.28515625" style="67" customWidth="1"/>
    <col min="14079" max="14079" width="3.140625" style="67" customWidth="1"/>
    <col min="14080" max="14080" width="7.7109375" style="67" customWidth="1"/>
    <col min="14081" max="14081" width="6.7109375" style="67" customWidth="1"/>
    <col min="14082" max="14082" width="7.7109375" style="67" customWidth="1"/>
    <col min="14083" max="14083" width="7.42578125" style="67" customWidth="1"/>
    <col min="14084" max="14084" width="7.7109375" style="67" customWidth="1"/>
    <col min="14085" max="14085" width="6.7109375" style="67" customWidth="1"/>
    <col min="14086" max="14086" width="2.28515625" style="67" customWidth="1"/>
    <col min="14087" max="14087" width="9" style="67" customWidth="1"/>
    <col min="14088" max="14088" width="1.7109375" style="67" customWidth="1"/>
    <col min="14089" max="14089" width="4.42578125" style="67" customWidth="1"/>
    <col min="14090" max="14090" width="17.140625" style="67" customWidth="1"/>
    <col min="14091" max="14091" width="1.5703125" style="67" customWidth="1"/>
    <col min="14092" max="14092" width="10.5703125" style="67" customWidth="1"/>
    <col min="14093" max="14093" width="1.7109375" style="67" customWidth="1"/>
    <col min="14094" max="14094" width="9.85546875" style="67" customWidth="1"/>
    <col min="14095" max="14095" width="0.85546875" style="67" customWidth="1"/>
    <col min="14096" max="14096" width="10.85546875" style="67" customWidth="1"/>
    <col min="14097" max="14097" width="1.85546875" style="67" customWidth="1"/>
    <col min="14098" max="14333" width="9.140625" style="67"/>
    <col min="14334" max="14334" width="6.28515625" style="67" customWidth="1"/>
    <col min="14335" max="14335" width="3.140625" style="67" customWidth="1"/>
    <col min="14336" max="14336" width="7.7109375" style="67" customWidth="1"/>
    <col min="14337" max="14337" width="6.7109375" style="67" customWidth="1"/>
    <col min="14338" max="14338" width="7.7109375" style="67" customWidth="1"/>
    <col min="14339" max="14339" width="7.42578125" style="67" customWidth="1"/>
    <col min="14340" max="14340" width="7.7109375" style="67" customWidth="1"/>
    <col min="14341" max="14341" width="6.7109375" style="67" customWidth="1"/>
    <col min="14342" max="14342" width="2.28515625" style="67" customWidth="1"/>
    <col min="14343" max="14343" width="9" style="67" customWidth="1"/>
    <col min="14344" max="14344" width="1.7109375" style="67" customWidth="1"/>
    <col min="14345" max="14345" width="4.42578125" style="67" customWidth="1"/>
    <col min="14346" max="14346" width="17.140625" style="67" customWidth="1"/>
    <col min="14347" max="14347" width="1.5703125" style="67" customWidth="1"/>
    <col min="14348" max="14348" width="10.5703125" style="67" customWidth="1"/>
    <col min="14349" max="14349" width="1.7109375" style="67" customWidth="1"/>
    <col min="14350" max="14350" width="9.85546875" style="67" customWidth="1"/>
    <col min="14351" max="14351" width="0.85546875" style="67" customWidth="1"/>
    <col min="14352" max="14352" width="10.85546875" style="67" customWidth="1"/>
    <col min="14353" max="14353" width="1.85546875" style="67" customWidth="1"/>
    <col min="14354" max="14589" width="9.140625" style="67"/>
    <col min="14590" max="14590" width="6.28515625" style="67" customWidth="1"/>
    <col min="14591" max="14591" width="3.140625" style="67" customWidth="1"/>
    <col min="14592" max="14592" width="7.7109375" style="67" customWidth="1"/>
    <col min="14593" max="14593" width="6.7109375" style="67" customWidth="1"/>
    <col min="14594" max="14594" width="7.7109375" style="67" customWidth="1"/>
    <col min="14595" max="14595" width="7.42578125" style="67" customWidth="1"/>
    <col min="14596" max="14596" width="7.7109375" style="67" customWidth="1"/>
    <col min="14597" max="14597" width="6.7109375" style="67" customWidth="1"/>
    <col min="14598" max="14598" width="2.28515625" style="67" customWidth="1"/>
    <col min="14599" max="14599" width="9" style="67" customWidth="1"/>
    <col min="14600" max="14600" width="1.7109375" style="67" customWidth="1"/>
    <col min="14601" max="14601" width="4.42578125" style="67" customWidth="1"/>
    <col min="14602" max="14602" width="17.140625" style="67" customWidth="1"/>
    <col min="14603" max="14603" width="1.5703125" style="67" customWidth="1"/>
    <col min="14604" max="14604" width="10.5703125" style="67" customWidth="1"/>
    <col min="14605" max="14605" width="1.7109375" style="67" customWidth="1"/>
    <col min="14606" max="14606" width="9.85546875" style="67" customWidth="1"/>
    <col min="14607" max="14607" width="0.85546875" style="67" customWidth="1"/>
    <col min="14608" max="14608" width="10.85546875" style="67" customWidth="1"/>
    <col min="14609" max="14609" width="1.85546875" style="67" customWidth="1"/>
    <col min="14610" max="14845" width="9.140625" style="67"/>
    <col min="14846" max="14846" width="6.28515625" style="67" customWidth="1"/>
    <col min="14847" max="14847" width="3.140625" style="67" customWidth="1"/>
    <col min="14848" max="14848" width="7.7109375" style="67" customWidth="1"/>
    <col min="14849" max="14849" width="6.7109375" style="67" customWidth="1"/>
    <col min="14850" max="14850" width="7.7109375" style="67" customWidth="1"/>
    <col min="14851" max="14851" width="7.42578125" style="67" customWidth="1"/>
    <col min="14852" max="14852" width="7.7109375" style="67" customWidth="1"/>
    <col min="14853" max="14853" width="6.7109375" style="67" customWidth="1"/>
    <col min="14854" max="14854" width="2.28515625" style="67" customWidth="1"/>
    <col min="14855" max="14855" width="9" style="67" customWidth="1"/>
    <col min="14856" max="14856" width="1.7109375" style="67" customWidth="1"/>
    <col min="14857" max="14857" width="4.42578125" style="67" customWidth="1"/>
    <col min="14858" max="14858" width="17.140625" style="67" customWidth="1"/>
    <col min="14859" max="14859" width="1.5703125" style="67" customWidth="1"/>
    <col min="14860" max="14860" width="10.5703125" style="67" customWidth="1"/>
    <col min="14861" max="14861" width="1.7109375" style="67" customWidth="1"/>
    <col min="14862" max="14862" width="9.85546875" style="67" customWidth="1"/>
    <col min="14863" max="14863" width="0.85546875" style="67" customWidth="1"/>
    <col min="14864" max="14864" width="10.85546875" style="67" customWidth="1"/>
    <col min="14865" max="14865" width="1.85546875" style="67" customWidth="1"/>
    <col min="14866" max="15101" width="9.140625" style="67"/>
    <col min="15102" max="15102" width="6.28515625" style="67" customWidth="1"/>
    <col min="15103" max="15103" width="3.140625" style="67" customWidth="1"/>
    <col min="15104" max="15104" width="7.7109375" style="67" customWidth="1"/>
    <col min="15105" max="15105" width="6.7109375" style="67" customWidth="1"/>
    <col min="15106" max="15106" width="7.7109375" style="67" customWidth="1"/>
    <col min="15107" max="15107" width="7.42578125" style="67" customWidth="1"/>
    <col min="15108" max="15108" width="7.7109375" style="67" customWidth="1"/>
    <col min="15109" max="15109" width="6.7109375" style="67" customWidth="1"/>
    <col min="15110" max="15110" width="2.28515625" style="67" customWidth="1"/>
    <col min="15111" max="15111" width="9" style="67" customWidth="1"/>
    <col min="15112" max="15112" width="1.7109375" style="67" customWidth="1"/>
    <col min="15113" max="15113" width="4.42578125" style="67" customWidth="1"/>
    <col min="15114" max="15114" width="17.140625" style="67" customWidth="1"/>
    <col min="15115" max="15115" width="1.5703125" style="67" customWidth="1"/>
    <col min="15116" max="15116" width="10.5703125" style="67" customWidth="1"/>
    <col min="15117" max="15117" width="1.7109375" style="67" customWidth="1"/>
    <col min="15118" max="15118" width="9.85546875" style="67" customWidth="1"/>
    <col min="15119" max="15119" width="0.85546875" style="67" customWidth="1"/>
    <col min="15120" max="15120" width="10.85546875" style="67" customWidth="1"/>
    <col min="15121" max="15121" width="1.85546875" style="67" customWidth="1"/>
    <col min="15122" max="15357" width="9.140625" style="67"/>
    <col min="15358" max="15358" width="6.28515625" style="67" customWidth="1"/>
    <col min="15359" max="15359" width="3.140625" style="67" customWidth="1"/>
    <col min="15360" max="15360" width="7.7109375" style="67" customWidth="1"/>
    <col min="15361" max="15361" width="6.7109375" style="67" customWidth="1"/>
    <col min="15362" max="15362" width="7.7109375" style="67" customWidth="1"/>
    <col min="15363" max="15363" width="7.42578125" style="67" customWidth="1"/>
    <col min="15364" max="15364" width="7.7109375" style="67" customWidth="1"/>
    <col min="15365" max="15365" width="6.7109375" style="67" customWidth="1"/>
    <col min="15366" max="15366" width="2.28515625" style="67" customWidth="1"/>
    <col min="15367" max="15367" width="9" style="67" customWidth="1"/>
    <col min="15368" max="15368" width="1.7109375" style="67" customWidth="1"/>
    <col min="15369" max="15369" width="4.42578125" style="67" customWidth="1"/>
    <col min="15370" max="15370" width="17.140625" style="67" customWidth="1"/>
    <col min="15371" max="15371" width="1.5703125" style="67" customWidth="1"/>
    <col min="15372" max="15372" width="10.5703125" style="67" customWidth="1"/>
    <col min="15373" max="15373" width="1.7109375" style="67" customWidth="1"/>
    <col min="15374" max="15374" width="9.85546875" style="67" customWidth="1"/>
    <col min="15375" max="15375" width="0.85546875" style="67" customWidth="1"/>
    <col min="15376" max="15376" width="10.85546875" style="67" customWidth="1"/>
    <col min="15377" max="15377" width="1.85546875" style="67" customWidth="1"/>
    <col min="15378" max="15613" width="9.140625" style="67"/>
    <col min="15614" max="15614" width="6.28515625" style="67" customWidth="1"/>
    <col min="15615" max="15615" width="3.140625" style="67" customWidth="1"/>
    <col min="15616" max="15616" width="7.7109375" style="67" customWidth="1"/>
    <col min="15617" max="15617" width="6.7109375" style="67" customWidth="1"/>
    <col min="15618" max="15618" width="7.7109375" style="67" customWidth="1"/>
    <col min="15619" max="15619" width="7.42578125" style="67" customWidth="1"/>
    <col min="15620" max="15620" width="7.7109375" style="67" customWidth="1"/>
    <col min="15621" max="15621" width="6.7109375" style="67" customWidth="1"/>
    <col min="15622" max="15622" width="2.28515625" style="67" customWidth="1"/>
    <col min="15623" max="15623" width="9" style="67" customWidth="1"/>
    <col min="15624" max="15624" width="1.7109375" style="67" customWidth="1"/>
    <col min="15625" max="15625" width="4.42578125" style="67" customWidth="1"/>
    <col min="15626" max="15626" width="17.140625" style="67" customWidth="1"/>
    <col min="15627" max="15627" width="1.5703125" style="67" customWidth="1"/>
    <col min="15628" max="15628" width="10.5703125" style="67" customWidth="1"/>
    <col min="15629" max="15629" width="1.7109375" style="67" customWidth="1"/>
    <col min="15630" max="15630" width="9.85546875" style="67" customWidth="1"/>
    <col min="15631" max="15631" width="0.85546875" style="67" customWidth="1"/>
    <col min="15632" max="15632" width="10.85546875" style="67" customWidth="1"/>
    <col min="15633" max="15633" width="1.85546875" style="67" customWidth="1"/>
    <col min="15634" max="15869" width="9.140625" style="67"/>
    <col min="15870" max="15870" width="6.28515625" style="67" customWidth="1"/>
    <col min="15871" max="15871" width="3.140625" style="67" customWidth="1"/>
    <col min="15872" max="15872" width="7.7109375" style="67" customWidth="1"/>
    <col min="15873" max="15873" width="6.7109375" style="67" customWidth="1"/>
    <col min="15874" max="15874" width="7.7109375" style="67" customWidth="1"/>
    <col min="15875" max="15875" width="7.42578125" style="67" customWidth="1"/>
    <col min="15876" max="15876" width="7.7109375" style="67" customWidth="1"/>
    <col min="15877" max="15877" width="6.7109375" style="67" customWidth="1"/>
    <col min="15878" max="15878" width="2.28515625" style="67" customWidth="1"/>
    <col min="15879" max="15879" width="9" style="67" customWidth="1"/>
    <col min="15880" max="15880" width="1.7109375" style="67" customWidth="1"/>
    <col min="15881" max="15881" width="4.42578125" style="67" customWidth="1"/>
    <col min="15882" max="15882" width="17.140625" style="67" customWidth="1"/>
    <col min="15883" max="15883" width="1.5703125" style="67" customWidth="1"/>
    <col min="15884" max="15884" width="10.5703125" style="67" customWidth="1"/>
    <col min="15885" max="15885" width="1.7109375" style="67" customWidth="1"/>
    <col min="15886" max="15886" width="9.85546875" style="67" customWidth="1"/>
    <col min="15887" max="15887" width="0.85546875" style="67" customWidth="1"/>
    <col min="15888" max="15888" width="10.85546875" style="67" customWidth="1"/>
    <col min="15889" max="15889" width="1.85546875" style="67" customWidth="1"/>
    <col min="15890" max="16125" width="9.140625" style="67"/>
    <col min="16126" max="16126" width="6.28515625" style="67" customWidth="1"/>
    <col min="16127" max="16127" width="3.140625" style="67" customWidth="1"/>
    <col min="16128" max="16128" width="7.7109375" style="67" customWidth="1"/>
    <col min="16129" max="16129" width="6.7109375" style="67" customWidth="1"/>
    <col min="16130" max="16130" width="7.7109375" style="67" customWidth="1"/>
    <col min="16131" max="16131" width="7.42578125" style="67" customWidth="1"/>
    <col min="16132" max="16132" width="7.7109375" style="67" customWidth="1"/>
    <col min="16133" max="16133" width="6.7109375" style="67" customWidth="1"/>
    <col min="16134" max="16134" width="2.28515625" style="67" customWidth="1"/>
    <col min="16135" max="16135" width="9" style="67" customWidth="1"/>
    <col min="16136" max="16136" width="1.7109375" style="67" customWidth="1"/>
    <col min="16137" max="16137" width="4.42578125" style="67" customWidth="1"/>
    <col min="16138" max="16138" width="17.140625" style="67" customWidth="1"/>
    <col min="16139" max="16139" width="1.5703125" style="67" customWidth="1"/>
    <col min="16140" max="16140" width="10.5703125" style="67" customWidth="1"/>
    <col min="16141" max="16141" width="1.7109375" style="67" customWidth="1"/>
    <col min="16142" max="16142" width="9.85546875" style="67" customWidth="1"/>
    <col min="16143" max="16143" width="0.85546875" style="67" customWidth="1"/>
    <col min="16144" max="16144" width="10.85546875" style="67" customWidth="1"/>
    <col min="16145" max="16145" width="1.85546875" style="67" customWidth="1"/>
    <col min="16146" max="16384" width="9.140625" style="67"/>
  </cols>
  <sheetData>
    <row r="1" spans="1:44" x14ac:dyDescent="0.2">
      <c r="C1" s="65"/>
      <c r="D1" s="66"/>
      <c r="E1" s="65"/>
      <c r="F1" s="65"/>
      <c r="G1" s="65"/>
      <c r="H1" s="65"/>
      <c r="I1" s="65"/>
      <c r="J1" s="65"/>
      <c r="K1" s="65"/>
      <c r="L1" s="65"/>
      <c r="M1" s="65"/>
      <c r="O1" s="65"/>
      <c r="P1" s="49">
        <f ca="1">NOW()</f>
        <v>41654.450239699072</v>
      </c>
      <c r="Q1" s="65"/>
    </row>
    <row r="2" spans="1:44" ht="15.75" x14ac:dyDescent="0.25"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89"/>
      <c r="Q2" s="189"/>
    </row>
    <row r="3" spans="1:44" ht="15.75" x14ac:dyDescent="0.25"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</row>
    <row r="4" spans="1:44" ht="15.75" x14ac:dyDescent="0.25">
      <c r="C4" s="169"/>
      <c r="D4" s="169"/>
      <c r="E4" s="169"/>
      <c r="F4" s="169"/>
      <c r="G4" s="169"/>
      <c r="H4" s="169"/>
      <c r="I4" s="169"/>
      <c r="J4" s="169"/>
      <c r="K4" s="169"/>
      <c r="L4" s="169"/>
      <c r="M4" s="169"/>
      <c r="N4" s="169"/>
      <c r="O4" s="169"/>
      <c r="P4" s="169"/>
      <c r="Q4" s="169"/>
    </row>
    <row r="5" spans="1:44" ht="15.75" x14ac:dyDescent="0.25">
      <c r="C5" s="169"/>
      <c r="D5" s="169"/>
      <c r="E5" s="169"/>
      <c r="F5" s="169"/>
      <c r="G5" s="169"/>
      <c r="H5" s="169"/>
      <c r="I5" s="169"/>
      <c r="J5" s="169"/>
      <c r="K5" s="169"/>
      <c r="L5" s="169"/>
      <c r="M5" s="169"/>
      <c r="N5" s="169"/>
      <c r="O5" s="169"/>
      <c r="P5" s="169"/>
      <c r="Q5" s="169"/>
    </row>
    <row r="6" spans="1:44" s="71" customFormat="1" ht="15.75" x14ac:dyDescent="0.25">
      <c r="A6" s="69"/>
      <c r="B6" s="69"/>
      <c r="C6" s="70"/>
      <c r="D6" s="70"/>
      <c r="E6" s="70"/>
      <c r="F6" s="70"/>
      <c r="G6" s="70"/>
      <c r="H6" s="70"/>
      <c r="I6" s="70"/>
      <c r="J6" s="70"/>
      <c r="K6" s="69"/>
      <c r="L6" s="169"/>
      <c r="M6" s="69"/>
      <c r="N6" s="70"/>
      <c r="O6" s="70"/>
      <c r="P6" s="70"/>
      <c r="Q6" s="70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69"/>
      <c r="AQ6" s="69"/>
      <c r="AR6" s="69"/>
    </row>
    <row r="7" spans="1:44" s="71" customFormat="1" ht="15.75" x14ac:dyDescent="0.25">
      <c r="A7" s="69"/>
      <c r="B7" s="69"/>
      <c r="C7" s="70"/>
      <c r="D7" s="70"/>
      <c r="E7" s="70"/>
      <c r="F7" s="70"/>
      <c r="G7" s="70"/>
      <c r="H7" s="70"/>
      <c r="I7" s="70"/>
      <c r="J7" s="70"/>
      <c r="K7" s="69"/>
      <c r="L7" s="169" t="s">
        <v>1399</v>
      </c>
      <c r="M7" s="69"/>
      <c r="N7" s="70"/>
      <c r="O7" s="70"/>
      <c r="P7" s="70"/>
      <c r="Q7" s="70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69"/>
      <c r="AD7" s="69"/>
      <c r="AE7" s="69"/>
      <c r="AF7" s="69"/>
      <c r="AG7" s="69"/>
      <c r="AH7" s="69"/>
      <c r="AI7" s="69"/>
      <c r="AJ7" s="69"/>
      <c r="AK7" s="69"/>
      <c r="AL7" s="69"/>
      <c r="AM7" s="69"/>
      <c r="AN7" s="69"/>
      <c r="AO7" s="69"/>
      <c r="AP7" s="69"/>
      <c r="AQ7" s="69"/>
      <c r="AR7" s="69"/>
    </row>
    <row r="8" spans="1:44" s="71" customFormat="1" ht="15.75" x14ac:dyDescent="0.25">
      <c r="A8" s="69"/>
      <c r="B8" s="69"/>
      <c r="C8" s="70"/>
      <c r="D8" s="70"/>
      <c r="E8" s="70"/>
      <c r="F8" s="70"/>
      <c r="G8" s="70"/>
      <c r="H8" s="70"/>
      <c r="I8" s="70"/>
      <c r="J8" s="70"/>
      <c r="K8" s="69"/>
      <c r="L8" s="169" t="s">
        <v>2</v>
      </c>
      <c r="M8" s="69"/>
      <c r="N8" s="70"/>
      <c r="O8" s="70"/>
      <c r="P8" s="70"/>
      <c r="Q8" s="70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/>
      <c r="AK8" s="69"/>
      <c r="AL8" s="69"/>
      <c r="AM8" s="69"/>
      <c r="AN8" s="69"/>
      <c r="AO8" s="69"/>
      <c r="AP8" s="69"/>
      <c r="AQ8" s="69"/>
      <c r="AR8" s="69"/>
    </row>
    <row r="9" spans="1:44" s="71" customFormat="1" ht="15.75" x14ac:dyDescent="0.25">
      <c r="A9" s="69"/>
      <c r="B9" s="69"/>
      <c r="C9" s="70"/>
      <c r="D9" s="70"/>
      <c r="E9" s="70"/>
      <c r="F9" s="70"/>
      <c r="G9" s="70"/>
      <c r="H9" s="70"/>
      <c r="I9" s="70"/>
      <c r="J9" s="70"/>
      <c r="K9" s="69"/>
      <c r="L9" s="169" t="s">
        <v>3</v>
      </c>
      <c r="M9" s="69"/>
      <c r="N9" s="70"/>
      <c r="O9" s="70"/>
      <c r="P9" s="70"/>
      <c r="Q9" s="70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69"/>
      <c r="AN9" s="69"/>
      <c r="AO9" s="69"/>
      <c r="AP9" s="69"/>
      <c r="AQ9" s="69"/>
      <c r="AR9" s="69"/>
    </row>
    <row r="10" spans="1:44" s="71" customFormat="1" ht="15.75" x14ac:dyDescent="0.25">
      <c r="A10" s="69"/>
      <c r="B10" s="69"/>
      <c r="C10" s="70"/>
      <c r="D10" s="70"/>
      <c r="E10" s="70"/>
      <c r="F10" s="70"/>
      <c r="G10" s="70"/>
      <c r="H10" s="70"/>
      <c r="I10" s="70"/>
      <c r="J10" s="70"/>
      <c r="K10" s="69"/>
      <c r="L10" s="169" t="s">
        <v>1342</v>
      </c>
      <c r="M10" s="69"/>
      <c r="N10" s="70"/>
      <c r="O10" s="70"/>
      <c r="P10" s="70"/>
      <c r="Q10" s="70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69"/>
      <c r="AL10" s="69"/>
      <c r="AM10" s="69"/>
      <c r="AN10" s="69"/>
      <c r="AO10" s="69"/>
      <c r="AP10" s="69"/>
      <c r="AQ10" s="69"/>
      <c r="AR10" s="69"/>
    </row>
    <row r="11" spans="1:44" s="71" customFormat="1" x14ac:dyDescent="0.2">
      <c r="A11" s="69"/>
      <c r="B11" s="69"/>
      <c r="C11" s="70"/>
      <c r="D11" s="70"/>
      <c r="E11" s="70"/>
      <c r="F11" s="70"/>
      <c r="G11" s="70"/>
      <c r="H11" s="70"/>
      <c r="I11" s="70"/>
      <c r="J11" s="70"/>
      <c r="K11" s="69"/>
      <c r="L11" s="72" t="s">
        <v>4</v>
      </c>
      <c r="M11" s="69"/>
      <c r="N11" s="70"/>
      <c r="O11" s="70"/>
      <c r="P11" s="70"/>
      <c r="Q11" s="70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P11" s="69"/>
      <c r="AQ11" s="69"/>
      <c r="AR11" s="69"/>
    </row>
    <row r="12" spans="1:44" s="71" customFormat="1" x14ac:dyDescent="0.2">
      <c r="A12" s="69"/>
      <c r="B12" s="69"/>
      <c r="C12" s="70"/>
      <c r="D12" s="70"/>
      <c r="E12" s="70"/>
      <c r="F12" s="70"/>
      <c r="G12" s="70"/>
      <c r="H12" s="70"/>
      <c r="I12" s="70"/>
      <c r="J12" s="70"/>
      <c r="K12" s="69"/>
      <c r="L12" s="72" t="s">
        <v>5</v>
      </c>
      <c r="M12" s="69"/>
      <c r="N12" s="70"/>
      <c r="O12" s="70"/>
      <c r="P12" s="70"/>
      <c r="Q12" s="70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69"/>
      <c r="AO12" s="69"/>
      <c r="AP12" s="69"/>
      <c r="AQ12" s="69"/>
      <c r="AR12" s="69"/>
    </row>
    <row r="13" spans="1:44" s="71" customFormat="1" ht="11.25" x14ac:dyDescent="0.2">
      <c r="A13" s="69"/>
      <c r="B13" s="69"/>
      <c r="C13" s="70"/>
      <c r="D13" s="70"/>
      <c r="E13" s="70"/>
      <c r="F13" s="70"/>
      <c r="G13" s="70"/>
      <c r="H13" s="70"/>
      <c r="I13" s="70"/>
      <c r="J13" s="70"/>
      <c r="K13" s="69"/>
      <c r="L13" s="73" t="s">
        <v>1400</v>
      </c>
      <c r="M13" s="69"/>
      <c r="N13" s="70"/>
      <c r="O13" s="70"/>
      <c r="P13" s="70"/>
      <c r="Q13" s="70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69"/>
      <c r="AM13" s="69"/>
      <c r="AN13" s="69"/>
      <c r="AO13" s="69"/>
      <c r="AP13" s="69"/>
      <c r="AQ13" s="69"/>
      <c r="AR13" s="69"/>
    </row>
    <row r="14" spans="1:44" s="71" customFormat="1" ht="18.75" customHeight="1" x14ac:dyDescent="0.2">
      <c r="A14" s="69"/>
      <c r="B14" s="84"/>
      <c r="C14" s="70"/>
      <c r="D14" s="70"/>
      <c r="E14" s="70"/>
      <c r="F14" s="70"/>
      <c r="H14" s="70"/>
      <c r="I14" s="70"/>
      <c r="J14" s="70"/>
      <c r="K14" s="73"/>
      <c r="L14" s="69"/>
      <c r="M14" s="69"/>
      <c r="N14" s="70"/>
      <c r="O14" s="70"/>
      <c r="P14" s="70"/>
      <c r="Q14" s="70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/>
      <c r="AR14" s="69"/>
    </row>
    <row r="15" spans="1:44" s="71" customFormat="1" x14ac:dyDescent="0.2">
      <c r="B15" s="69"/>
      <c r="C15" s="111" t="s">
        <v>1384</v>
      </c>
      <c r="D15" s="70"/>
      <c r="E15" s="70"/>
      <c r="F15" s="70"/>
      <c r="G15" s="70"/>
      <c r="H15" s="70"/>
      <c r="I15" s="70"/>
      <c r="J15" s="70"/>
      <c r="K15" s="70"/>
      <c r="L15" s="72"/>
      <c r="M15" s="70"/>
      <c r="N15" s="70"/>
      <c r="O15" s="70"/>
      <c r="P15" s="70"/>
      <c r="Q15" s="70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69"/>
      <c r="AQ15" s="69"/>
      <c r="AR15" s="69"/>
    </row>
    <row r="16" spans="1:44" x14ac:dyDescent="0.2">
      <c r="C16" s="74" t="s">
        <v>1279</v>
      </c>
      <c r="D16" s="74"/>
      <c r="E16" s="7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</row>
    <row r="17" spans="1:44" x14ac:dyDescent="0.2">
      <c r="C17" s="65"/>
      <c r="D17" s="76" t="s">
        <v>6</v>
      </c>
      <c r="E17" s="77" t="s">
        <v>7</v>
      </c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</row>
    <row r="18" spans="1:44" x14ac:dyDescent="0.2">
      <c r="C18" s="65"/>
      <c r="D18" s="78"/>
      <c r="E18" s="65"/>
      <c r="F18" s="192" t="s">
        <v>1269</v>
      </c>
      <c r="G18" s="192"/>
      <c r="H18" s="192"/>
      <c r="I18" s="192"/>
      <c r="J18" s="192"/>
      <c r="K18" s="192"/>
      <c r="L18" s="192"/>
      <c r="M18" s="192"/>
      <c r="N18" s="168"/>
      <c r="O18" s="188"/>
      <c r="P18" s="188"/>
      <c r="Q18" s="188"/>
    </row>
    <row r="19" spans="1:44" x14ac:dyDescent="0.2">
      <c r="C19" s="65"/>
      <c r="D19" s="78"/>
      <c r="E19" s="72"/>
      <c r="F19" s="65"/>
      <c r="G19" s="80"/>
      <c r="H19" s="80"/>
      <c r="I19" s="80"/>
      <c r="J19" s="80"/>
      <c r="K19" s="80"/>
      <c r="L19" s="81"/>
      <c r="M19" s="81"/>
      <c r="N19" s="82"/>
      <c r="O19" s="77"/>
      <c r="P19" s="82"/>
      <c r="Q19" s="82"/>
      <c r="R19" s="83"/>
    </row>
    <row r="20" spans="1:44" s="86" customFormat="1" x14ac:dyDescent="0.2">
      <c r="A20" s="84"/>
      <c r="B20" s="84"/>
      <c r="C20" s="84"/>
      <c r="D20" s="76" t="s">
        <v>8</v>
      </c>
      <c r="E20" s="77" t="s">
        <v>1251</v>
      </c>
      <c r="F20" s="84"/>
      <c r="G20" s="84"/>
      <c r="H20" s="84"/>
      <c r="I20" s="84"/>
      <c r="J20" s="84"/>
      <c r="K20" s="84"/>
      <c r="L20" s="84"/>
      <c r="M20" s="84"/>
      <c r="N20" s="85"/>
      <c r="O20" s="85"/>
      <c r="P20" s="85"/>
      <c r="Q20" s="85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4"/>
      <c r="AQ20" s="84"/>
      <c r="AR20" s="84"/>
    </row>
    <row r="21" spans="1:44" s="86" customFormat="1" x14ac:dyDescent="0.2">
      <c r="A21" s="84"/>
      <c r="B21" s="84"/>
      <c r="C21" s="84"/>
      <c r="D21" s="76"/>
      <c r="E21" s="84"/>
      <c r="F21" s="192" t="s">
        <v>1269</v>
      </c>
      <c r="G21" s="192"/>
      <c r="H21" s="192"/>
      <c r="I21" s="192"/>
      <c r="J21" s="192"/>
      <c r="K21" s="192"/>
      <c r="L21" s="192"/>
      <c r="M21" s="192"/>
      <c r="N21" s="85"/>
      <c r="O21" s="85"/>
      <c r="P21" s="85"/>
      <c r="Q21" s="85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4"/>
      <c r="AQ21" s="84"/>
      <c r="AR21" s="84"/>
    </row>
    <row r="22" spans="1:44" s="86" customFormat="1" x14ac:dyDescent="0.2">
      <c r="A22" s="84"/>
      <c r="B22" s="84"/>
      <c r="C22" s="84"/>
      <c r="D22" s="76"/>
      <c r="E22" s="72"/>
      <c r="F22" s="84"/>
      <c r="G22" s="80"/>
      <c r="H22" s="80"/>
      <c r="I22" s="80"/>
      <c r="J22" s="80"/>
      <c r="K22" s="80"/>
      <c r="L22" s="81"/>
      <c r="M22" s="81"/>
      <c r="N22" s="85"/>
      <c r="O22" s="85"/>
      <c r="P22" s="85"/>
      <c r="Q22" s="85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</row>
    <row r="23" spans="1:44" s="86" customFormat="1" x14ac:dyDescent="0.2">
      <c r="A23" s="84"/>
      <c r="B23" s="84"/>
      <c r="C23" s="84"/>
      <c r="D23" s="76" t="s">
        <v>1280</v>
      </c>
      <c r="E23" s="87" t="s">
        <v>1266</v>
      </c>
      <c r="F23" s="84"/>
      <c r="G23" s="84"/>
      <c r="H23" s="84"/>
      <c r="I23" s="84"/>
      <c r="J23" s="84"/>
      <c r="K23" s="84"/>
      <c r="L23" s="84"/>
      <c r="M23" s="84"/>
      <c r="N23" s="85"/>
      <c r="O23" s="85"/>
      <c r="P23" s="85"/>
      <c r="Q23" s="85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4"/>
      <c r="AQ23" s="84"/>
      <c r="AR23" s="84"/>
    </row>
    <row r="24" spans="1:44" s="86" customFormat="1" x14ac:dyDescent="0.2">
      <c r="A24" s="84"/>
      <c r="B24" s="84"/>
      <c r="C24" s="84"/>
      <c r="D24" s="76"/>
      <c r="E24" s="84"/>
      <c r="F24" s="192" t="s">
        <v>1267</v>
      </c>
      <c r="G24" s="192"/>
      <c r="H24" s="192"/>
      <c r="I24" s="192"/>
      <c r="J24" s="192"/>
      <c r="K24" s="192"/>
      <c r="L24" s="192"/>
      <c r="M24" s="192"/>
      <c r="N24" s="85"/>
      <c r="O24" s="85"/>
      <c r="P24" s="85"/>
      <c r="Q24" s="85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4"/>
      <c r="AQ24" s="84"/>
      <c r="AR24" s="84"/>
    </row>
    <row r="25" spans="1:44" s="85" customFormat="1" x14ac:dyDescent="0.2">
      <c r="D25" s="88"/>
      <c r="F25" s="168"/>
      <c r="G25" s="168"/>
      <c r="H25" s="168"/>
      <c r="I25" s="168"/>
      <c r="J25" s="168"/>
      <c r="K25" s="168"/>
      <c r="L25" s="168"/>
      <c r="M25" s="168"/>
    </row>
    <row r="26" spans="1:44" s="86" customFormat="1" x14ac:dyDescent="0.2">
      <c r="A26" s="84"/>
      <c r="B26" s="84"/>
      <c r="C26" s="84"/>
      <c r="D26" s="76" t="s">
        <v>1281</v>
      </c>
      <c r="E26" s="87" t="s">
        <v>1349</v>
      </c>
      <c r="F26" s="89"/>
      <c r="G26" s="90"/>
      <c r="H26" s="90"/>
      <c r="I26" s="90"/>
      <c r="J26" s="90"/>
      <c r="K26" s="90"/>
      <c r="L26" s="83"/>
      <c r="M26" s="83"/>
      <c r="N26" s="85"/>
      <c r="O26" s="85"/>
      <c r="P26" s="85"/>
      <c r="Q26" s="85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4"/>
      <c r="AQ26" s="84"/>
      <c r="AR26" s="84"/>
    </row>
    <row r="27" spans="1:44" s="86" customFormat="1" x14ac:dyDescent="0.2">
      <c r="A27" s="84"/>
      <c r="B27" s="84"/>
      <c r="C27" s="84"/>
      <c r="D27" s="76"/>
      <c r="E27" s="72"/>
      <c r="F27" s="192" t="s">
        <v>1270</v>
      </c>
      <c r="G27" s="192"/>
      <c r="H27" s="192"/>
      <c r="I27" s="192"/>
      <c r="J27" s="192"/>
      <c r="K27" s="192"/>
      <c r="L27" s="192"/>
      <c r="M27" s="192"/>
      <c r="N27" s="85"/>
      <c r="O27" s="85"/>
      <c r="P27" s="85"/>
      <c r="Q27" s="85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4"/>
      <c r="AQ27" s="84"/>
      <c r="AR27" s="84"/>
    </row>
    <row r="28" spans="1:44" s="84" customFormat="1" x14ac:dyDescent="0.2">
      <c r="D28" s="76"/>
      <c r="E28" s="72"/>
      <c r="F28" s="168"/>
      <c r="G28" s="168"/>
      <c r="H28" s="168"/>
      <c r="I28" s="168"/>
      <c r="J28" s="168"/>
      <c r="K28" s="168"/>
      <c r="L28" s="168"/>
      <c r="M28" s="168"/>
      <c r="N28" s="85"/>
      <c r="O28" s="85"/>
      <c r="P28" s="85"/>
      <c r="Q28" s="85"/>
    </row>
    <row r="29" spans="1:44" s="86" customFormat="1" x14ac:dyDescent="0.2">
      <c r="A29" s="84"/>
      <c r="B29" s="84"/>
      <c r="C29" s="84"/>
      <c r="D29" s="76" t="s">
        <v>1278</v>
      </c>
      <c r="E29" s="87" t="s">
        <v>1300</v>
      </c>
      <c r="F29" s="84"/>
      <c r="G29" s="84"/>
      <c r="H29" s="84"/>
      <c r="I29" s="84"/>
      <c r="J29" s="84"/>
      <c r="K29" s="84"/>
      <c r="L29" s="84"/>
      <c r="M29" s="84"/>
      <c r="N29" s="85"/>
      <c r="O29" s="85"/>
      <c r="P29" s="85"/>
      <c r="Q29" s="85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  <c r="AQ29" s="84"/>
      <c r="AR29" s="84"/>
    </row>
    <row r="30" spans="1:44" s="86" customFormat="1" x14ac:dyDescent="0.2">
      <c r="A30" s="84"/>
      <c r="B30" s="84"/>
      <c r="C30" s="84"/>
      <c r="D30" s="72"/>
      <c r="E30" s="87"/>
      <c r="F30" s="193">
        <v>0</v>
      </c>
      <c r="G30" s="193"/>
      <c r="H30" s="91" t="s">
        <v>1301</v>
      </c>
      <c r="I30" s="92"/>
      <c r="J30" s="92"/>
      <c r="K30" s="92"/>
      <c r="L30" s="92"/>
      <c r="M30" s="92"/>
      <c r="N30" s="85"/>
      <c r="O30" s="85"/>
      <c r="P30" s="85"/>
      <c r="Q30" s="85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4"/>
      <c r="AQ30" s="84"/>
      <c r="AR30" s="84"/>
    </row>
    <row r="31" spans="1:44" s="86" customFormat="1" x14ac:dyDescent="0.2">
      <c r="A31" s="84"/>
      <c r="B31" s="84"/>
      <c r="C31" s="84"/>
      <c r="D31" s="72"/>
      <c r="E31" s="72"/>
      <c r="F31" s="84"/>
      <c r="G31" s="84"/>
      <c r="H31" s="84"/>
      <c r="I31" s="84"/>
      <c r="J31" s="84"/>
      <c r="K31" s="84"/>
      <c r="L31" s="84"/>
      <c r="M31" s="84"/>
      <c r="N31" s="85"/>
      <c r="O31" s="85"/>
      <c r="P31" s="85"/>
      <c r="Q31" s="85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4"/>
      <c r="AQ31" s="84"/>
      <c r="AR31" s="84"/>
    </row>
    <row r="32" spans="1:44" s="86" customFormat="1" ht="51" x14ac:dyDescent="0.2">
      <c r="A32" s="84"/>
      <c r="B32" s="84"/>
      <c r="C32" s="93" t="s">
        <v>1291</v>
      </c>
      <c r="D32" s="94"/>
      <c r="E32" s="95"/>
      <c r="F32" s="96"/>
      <c r="G32" s="96"/>
      <c r="H32" s="96"/>
      <c r="I32" s="96"/>
      <c r="J32" s="96"/>
      <c r="K32" s="96"/>
      <c r="L32" s="96"/>
      <c r="M32" s="96"/>
      <c r="N32" s="54" t="s">
        <v>9</v>
      </c>
      <c r="O32" s="54" t="s">
        <v>1320</v>
      </c>
      <c r="P32" s="54" t="s">
        <v>1292</v>
      </c>
      <c r="Q32" s="56" t="s">
        <v>1401</v>
      </c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4"/>
      <c r="AQ32" s="84"/>
      <c r="AR32" s="84"/>
    </row>
    <row r="33" spans="1:44" s="86" customFormat="1" x14ac:dyDescent="0.2">
      <c r="A33" s="84"/>
      <c r="B33" s="84"/>
      <c r="C33" s="84"/>
      <c r="D33" s="97" t="s">
        <v>1285</v>
      </c>
      <c r="E33" s="98" t="s">
        <v>1283</v>
      </c>
      <c r="F33" s="99"/>
      <c r="G33" s="99"/>
      <c r="H33" s="99"/>
      <c r="I33" s="99"/>
      <c r="J33" s="99"/>
      <c r="K33" s="99"/>
      <c r="L33" s="99"/>
      <c r="M33" s="99"/>
      <c r="N33" s="100"/>
      <c r="O33" s="100"/>
      <c r="P33" s="101"/>
      <c r="Q33" s="100"/>
      <c r="R33" s="85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  <c r="AN33" s="84"/>
      <c r="AO33" s="84"/>
      <c r="AP33" s="84"/>
      <c r="AQ33" s="84"/>
      <c r="AR33" s="84"/>
    </row>
    <row r="34" spans="1:44" s="84" customFormat="1" x14ac:dyDescent="0.2">
      <c r="D34" s="102" t="s">
        <v>6</v>
      </c>
      <c r="E34" s="103" t="s">
        <v>1318</v>
      </c>
      <c r="F34" s="85"/>
      <c r="G34" s="85"/>
      <c r="H34" s="85"/>
      <c r="I34" s="85"/>
      <c r="J34" s="85"/>
      <c r="K34" s="85"/>
      <c r="L34" s="85"/>
      <c r="M34" s="85"/>
      <c r="N34" s="173"/>
      <c r="O34" s="174"/>
      <c r="P34" s="42" t="str">
        <f>IF(AND(F$18&lt;&gt;"Please select a district.",F30=100),1,IF(AND(F$18&lt;&gt;"Please select a district.",F$30&lt;&gt;100),(100-F30)/100,""))</f>
        <v/>
      </c>
      <c r="Q34" s="32" t="str">
        <f>IF(IF(O34&lt;&gt;"",F$18&lt;&gt;"Please select a district."),(N34/O34)*P34,"")</f>
        <v/>
      </c>
      <c r="R34" s="85"/>
    </row>
    <row r="35" spans="1:44" s="86" customFormat="1" x14ac:dyDescent="0.2">
      <c r="A35" s="84"/>
      <c r="B35" s="84"/>
      <c r="C35" s="84"/>
      <c r="D35" s="88"/>
      <c r="E35" s="103" t="s">
        <v>1319</v>
      </c>
      <c r="F35" s="85"/>
      <c r="G35" s="85"/>
      <c r="H35" s="85"/>
      <c r="I35" s="85"/>
      <c r="J35" s="85"/>
      <c r="K35" s="85"/>
      <c r="L35" s="85"/>
      <c r="M35" s="85"/>
      <c r="N35" s="173"/>
      <c r="O35" s="60" t="str">
        <f>IF(AND(F18&lt;&gt;"Please select a district.",O34&lt;&gt;""),O34,"")</f>
        <v/>
      </c>
      <c r="P35" s="42" t="str">
        <f>IF(AND(F$18&lt;&gt;"Please select a district.",F30=100),1,IF(AND(F$18&lt;&gt;"Please select a district.",F$30&lt;&gt;100),(100-F30)/100,""))</f>
        <v/>
      </c>
      <c r="Q35" s="32" t="str">
        <f>IF(AND(O34&lt;&gt;"",F$18&lt;&gt;"Please select a district."),(N35/O35)*P35,"")</f>
        <v/>
      </c>
      <c r="R35" s="85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4"/>
      <c r="AQ35" s="84"/>
      <c r="AR35" s="84"/>
    </row>
    <row r="36" spans="1:44" s="86" customFormat="1" x14ac:dyDescent="0.2">
      <c r="A36" s="84"/>
      <c r="B36" s="84"/>
      <c r="C36" s="84"/>
      <c r="D36" s="97" t="s">
        <v>1284</v>
      </c>
      <c r="E36" s="98" t="s">
        <v>1299</v>
      </c>
      <c r="F36" s="99"/>
      <c r="G36" s="99"/>
      <c r="H36" s="99"/>
      <c r="I36" s="99"/>
      <c r="J36" s="99"/>
      <c r="K36" s="99"/>
      <c r="L36" s="99"/>
      <c r="M36" s="99"/>
      <c r="N36" s="33"/>
      <c r="O36" s="61" t="s">
        <v>1304</v>
      </c>
      <c r="P36" s="104"/>
      <c r="Q36" s="33"/>
      <c r="R36" s="85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/>
      <c r="AJ36" s="84"/>
      <c r="AK36" s="84"/>
      <c r="AL36" s="84"/>
      <c r="AM36" s="84"/>
      <c r="AN36" s="84"/>
      <c r="AO36" s="84"/>
      <c r="AP36" s="84"/>
      <c r="AQ36" s="84"/>
      <c r="AR36" s="84"/>
    </row>
    <row r="37" spans="1:44" s="86" customFormat="1" x14ac:dyDescent="0.2">
      <c r="A37" s="84"/>
      <c r="B37" s="84"/>
      <c r="C37" s="84"/>
      <c r="D37" s="84"/>
      <c r="E37" s="194" t="s">
        <v>1385</v>
      </c>
      <c r="F37" s="194"/>
      <c r="G37" s="194"/>
      <c r="H37" s="194"/>
      <c r="I37" s="194"/>
      <c r="J37" s="194"/>
      <c r="K37" s="194"/>
      <c r="L37" s="194"/>
      <c r="M37" s="194"/>
      <c r="N37" s="32" t="str">
        <f>IF(AND(N50="",F$18&lt;&gt;"Please select a district."),VLOOKUP(F$18,data!A$3:M$616,6,FALSE),"")</f>
        <v/>
      </c>
      <c r="O37" s="43" t="str">
        <f>IF(F$18&lt;&gt;"Please select a district.",VLOOKUP(F$18,data!A$3:M$616,13,FALSE),"")</f>
        <v/>
      </c>
      <c r="P37" s="42" t="str">
        <f>IF(F18&lt;&gt;"Please select a district.",F$30/100,"")</f>
        <v/>
      </c>
      <c r="Q37" s="34" t="str">
        <f>IF(AND(F$18&lt;&gt;"Please select a district.", P37&lt;&gt;0),(N37/O37)*P37,"")</f>
        <v/>
      </c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  <c r="AN37" s="84"/>
      <c r="AO37" s="84"/>
      <c r="AP37" s="84"/>
      <c r="AQ37" s="84"/>
      <c r="AR37" s="84"/>
    </row>
    <row r="38" spans="1:44" s="86" customFormat="1" ht="41.25" customHeight="1" x14ac:dyDescent="0.2">
      <c r="A38" s="84"/>
      <c r="B38" s="84"/>
      <c r="C38" s="105" t="s">
        <v>1302</v>
      </c>
      <c r="D38" s="106"/>
      <c r="E38" s="107"/>
      <c r="F38" s="106"/>
      <c r="G38" s="108"/>
      <c r="H38" s="108"/>
      <c r="I38" s="96"/>
      <c r="J38" s="96"/>
      <c r="K38" s="96"/>
      <c r="L38" s="96"/>
      <c r="M38" s="96"/>
      <c r="N38" s="52" t="s">
        <v>1303</v>
      </c>
      <c r="O38" s="54" t="s">
        <v>1304</v>
      </c>
      <c r="P38" s="54"/>
      <c r="Q38" s="56" t="s">
        <v>1360</v>
      </c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84"/>
      <c r="AN38" s="84"/>
      <c r="AO38" s="84"/>
      <c r="AP38" s="84"/>
      <c r="AQ38" s="84"/>
      <c r="AR38" s="84"/>
    </row>
    <row r="39" spans="1:44" s="84" customFormat="1" x14ac:dyDescent="0.2">
      <c r="D39" s="98" t="s">
        <v>1286</v>
      </c>
      <c r="E39" s="98"/>
      <c r="F39" s="98"/>
      <c r="G39" s="99"/>
      <c r="H39" s="99"/>
      <c r="I39" s="99"/>
      <c r="J39" s="99"/>
      <c r="K39" s="99"/>
      <c r="L39" s="99"/>
      <c r="M39" s="99"/>
      <c r="N39" s="33"/>
      <c r="O39" s="62"/>
      <c r="P39" s="101"/>
      <c r="Q39" s="35"/>
    </row>
    <row r="40" spans="1:44" s="84" customFormat="1" x14ac:dyDescent="0.2">
      <c r="D40" s="103" t="s">
        <v>10</v>
      </c>
      <c r="E40" s="85"/>
      <c r="F40" s="103"/>
      <c r="G40" s="85"/>
      <c r="H40" s="85"/>
      <c r="I40" s="85"/>
      <c r="J40" s="85"/>
      <c r="K40" s="85"/>
      <c r="L40" s="85"/>
      <c r="M40" s="85"/>
      <c r="N40" s="32" t="str">
        <f>IF(AND(N50="",F$18&lt;&gt;"Please select a district."),VLOOKUP(F$18,data!A$3:M$616,7,FALSE),"")</f>
        <v/>
      </c>
      <c r="O40" s="53" t="str">
        <f>IF(F$18&lt;&gt;"Please select a district.",VLOOKUP(F$18,data!A$3:M$616,13,FALSE),"")</f>
        <v/>
      </c>
      <c r="P40" s="109"/>
      <c r="Q40" s="34" t="str">
        <f>IF(AND(F$18&lt;&gt;"Please select a district.",N40&lt;&gt;""),N40/O40,"")</f>
        <v/>
      </c>
    </row>
    <row r="41" spans="1:44" s="84" customFormat="1" x14ac:dyDescent="0.2">
      <c r="D41" s="98" t="s">
        <v>1287</v>
      </c>
      <c r="E41" s="98"/>
      <c r="F41" s="98"/>
      <c r="G41" s="99"/>
      <c r="H41" s="99"/>
      <c r="I41" s="99"/>
      <c r="J41" s="99"/>
      <c r="K41" s="99"/>
      <c r="L41" s="99"/>
      <c r="M41" s="99"/>
      <c r="N41" s="33"/>
      <c r="O41" s="62"/>
      <c r="P41" s="101"/>
      <c r="Q41" s="35"/>
    </row>
    <row r="42" spans="1:44" s="84" customFormat="1" x14ac:dyDescent="0.2">
      <c r="D42" s="87" t="s">
        <v>11</v>
      </c>
      <c r="E42" s="87"/>
      <c r="F42" s="87"/>
      <c r="G42" s="110"/>
      <c r="H42" s="110"/>
      <c r="N42" s="39" t="str">
        <f>IF(AND(N50="",F$18&lt;&gt;"Please select a district."),VLOOKUP(F$18,data!A$3:M$616,8,FALSE),"")</f>
        <v/>
      </c>
      <c r="O42" s="43" t="str">
        <f>IF(F$18&lt;&gt;"Please select a district.",VLOOKUP(F$18,data!A$3:M$616,13,FALSE),"")</f>
        <v/>
      </c>
      <c r="P42" s="109"/>
      <c r="Q42" s="34" t="str">
        <f>IF(AND(F$18&lt;&gt;"Please select a district.",N42&lt;&gt;""),N42/O42,"")</f>
        <v/>
      </c>
    </row>
    <row r="43" spans="1:44" s="84" customFormat="1" x14ac:dyDescent="0.2">
      <c r="D43" s="87" t="s">
        <v>1288</v>
      </c>
      <c r="E43" s="87"/>
      <c r="F43" s="87"/>
      <c r="N43" s="39" t="str">
        <f>IF(F$18&lt;&gt;"Please select a district.",VLOOKUP(F$18,data!A$3:M$616,9,FALSE),"")</f>
        <v/>
      </c>
      <c r="O43" s="43" t="str">
        <f>IF(F$18&lt;&gt;"Please select a district.",VLOOKUP(F$18,data!A$3:M$616,13,FALSE),"")</f>
        <v/>
      </c>
      <c r="P43" s="109"/>
      <c r="Q43" s="34" t="str">
        <f>IF(AND(F$18&lt;&gt;"Please select a district.",N43&lt;&gt;""),N43/O43,"")</f>
        <v/>
      </c>
    </row>
    <row r="44" spans="1:44" s="84" customFormat="1" x14ac:dyDescent="0.2">
      <c r="D44" s="87" t="s">
        <v>1330</v>
      </c>
      <c r="E44" s="87"/>
      <c r="F44" s="87"/>
      <c r="N44" s="39" t="str">
        <f>IF(AND(N50="",F$18&lt;&gt;"Please select a district."),VLOOKUP(F$18,data!A$3:M$616,10,FALSE),"")</f>
        <v/>
      </c>
      <c r="O44" s="43" t="str">
        <f>IF(F$18&lt;&gt;"Please select a district.",VLOOKUP(F$18,data!A$3:M$616,13,FALSE),"")</f>
        <v/>
      </c>
      <c r="P44" s="109"/>
      <c r="Q44" s="34" t="str">
        <f>IF(AND(N44&lt;&gt;"",F$18&lt;&gt;"Please select a district."),N44/O44,"")</f>
        <v/>
      </c>
    </row>
    <row r="45" spans="1:44" s="84" customFormat="1" x14ac:dyDescent="0.2">
      <c r="D45" s="87" t="s">
        <v>1331</v>
      </c>
      <c r="E45" s="87"/>
      <c r="F45" s="87"/>
      <c r="G45" s="110"/>
      <c r="H45" s="110"/>
      <c r="N45" s="39" t="str">
        <f>IF(AND(N50="",F$18&lt;&gt;"Please select a district."),VLOOKUP(F$18,data!A$3:M$616,11,FALSE),"")</f>
        <v/>
      </c>
      <c r="O45" s="43" t="str">
        <f>IF(F$18&lt;&gt;"Please select a district.",VLOOKUP(F$18,data!A$3:M$616,13,FALSE),"")</f>
        <v/>
      </c>
      <c r="P45" s="109"/>
      <c r="Q45" s="34" t="str">
        <f>IF(AND(N45&lt;&gt;"",F$18&lt;&gt;"Please select a district."),N45/O45,"")</f>
        <v/>
      </c>
    </row>
    <row r="46" spans="1:44" s="84" customFormat="1" x14ac:dyDescent="0.2">
      <c r="D46" s="87" t="s">
        <v>1332</v>
      </c>
      <c r="F46" s="87"/>
      <c r="N46" s="39" t="str">
        <f>IF(AND(N50="",F$18&lt;&gt;"Please select a district."),VLOOKUP(F$18,data!A$3:M$616,12,FALSE),"")</f>
        <v/>
      </c>
      <c r="O46" s="43" t="str">
        <f>IF(F$18&lt;&gt;"Please select a district.",VLOOKUP(F$18,data!A$3:M$616,13,FALSE),"")</f>
        <v/>
      </c>
      <c r="P46" s="109"/>
      <c r="Q46" s="34" t="str">
        <f>IF(AND(N46&lt;&gt;"",F$18&lt;&gt;"Please select a district."),N46/O46,"")</f>
        <v/>
      </c>
    </row>
    <row r="47" spans="1:44" s="84" customFormat="1" x14ac:dyDescent="0.2">
      <c r="D47" s="111"/>
      <c r="E47" s="112"/>
      <c r="F47" s="111"/>
      <c r="G47" s="110"/>
      <c r="H47" s="110"/>
      <c r="N47" s="44"/>
      <c r="O47" s="44"/>
      <c r="P47" s="113"/>
      <c r="Q47" s="36"/>
    </row>
    <row r="48" spans="1:44" s="84" customFormat="1" ht="39.75" customHeight="1" x14ac:dyDescent="0.2">
      <c r="C48" s="196" t="s">
        <v>1344</v>
      </c>
      <c r="D48" s="197"/>
      <c r="E48" s="197"/>
      <c r="F48" s="197"/>
      <c r="G48" s="197"/>
      <c r="H48" s="197"/>
      <c r="I48" s="197"/>
      <c r="J48" s="197"/>
      <c r="K48" s="197"/>
      <c r="L48" s="197"/>
      <c r="M48" s="197"/>
      <c r="N48" s="54" t="s">
        <v>9</v>
      </c>
      <c r="O48" s="54" t="s">
        <v>1320</v>
      </c>
      <c r="P48" s="54"/>
      <c r="Q48" s="56" t="s">
        <v>1360</v>
      </c>
    </row>
    <row r="49" spans="1:44" s="84" customFormat="1" x14ac:dyDescent="0.2">
      <c r="D49" s="195" t="s">
        <v>1343</v>
      </c>
      <c r="E49" s="195"/>
      <c r="F49" s="195"/>
      <c r="G49" s="195"/>
      <c r="H49" s="195"/>
      <c r="I49" s="195"/>
      <c r="J49" s="195"/>
      <c r="K49" s="195"/>
      <c r="L49" s="195"/>
      <c r="M49" s="195"/>
      <c r="N49" s="63"/>
      <c r="O49" s="63"/>
      <c r="P49" s="114"/>
      <c r="Q49" s="55"/>
    </row>
    <row r="50" spans="1:44" s="84" customFormat="1" x14ac:dyDescent="0.2">
      <c r="D50" s="64" t="s">
        <v>6</v>
      </c>
      <c r="E50" s="103" t="s">
        <v>1382</v>
      </c>
      <c r="F50" s="115"/>
      <c r="G50" s="116"/>
      <c r="H50" s="116"/>
      <c r="I50" s="85"/>
      <c r="J50" s="85"/>
      <c r="K50" s="85"/>
      <c r="L50" s="85"/>
      <c r="M50" s="85"/>
      <c r="N50" s="173"/>
      <c r="O50" s="174"/>
      <c r="P50" s="117"/>
      <c r="Q50" s="36" t="str">
        <f>IF(AND(F$18&lt;&gt;"Please select a district.",O50&lt;&gt;""),N50/O50,"")</f>
        <v/>
      </c>
    </row>
    <row r="51" spans="1:44" s="84" customFormat="1" x14ac:dyDescent="0.2">
      <c r="D51" s="64" t="s">
        <v>8</v>
      </c>
      <c r="E51" s="103" t="s">
        <v>1383</v>
      </c>
      <c r="F51" s="115"/>
      <c r="G51" s="116"/>
      <c r="H51" s="116"/>
      <c r="I51" s="85"/>
      <c r="J51" s="85"/>
      <c r="K51" s="85"/>
      <c r="L51" s="85"/>
      <c r="M51" s="85"/>
      <c r="N51" s="173"/>
      <c r="O51" s="174"/>
      <c r="P51" s="117"/>
      <c r="Q51" s="36" t="str">
        <f t="shared" ref="Q51:Q55" si="0">IF(AND(F$18&lt;&gt;"Please select a district.",O51&lt;&gt;""),N51/O51,"")</f>
        <v/>
      </c>
    </row>
    <row r="52" spans="1:44" s="84" customFormat="1" x14ac:dyDescent="0.2">
      <c r="D52" s="118" t="s">
        <v>1280</v>
      </c>
      <c r="E52" s="87" t="s">
        <v>1289</v>
      </c>
      <c r="F52" s="111"/>
      <c r="G52" s="110"/>
      <c r="H52" s="110"/>
      <c r="N52" s="173"/>
      <c r="O52" s="174"/>
      <c r="P52" s="113"/>
      <c r="Q52" s="36" t="str">
        <f t="shared" si="0"/>
        <v/>
      </c>
    </row>
    <row r="53" spans="1:44" s="84" customFormat="1" x14ac:dyDescent="0.2">
      <c r="D53" s="118" t="s">
        <v>1281</v>
      </c>
      <c r="E53" s="87" t="s">
        <v>1345</v>
      </c>
      <c r="F53" s="111"/>
      <c r="G53" s="110"/>
      <c r="H53" s="110"/>
      <c r="N53" s="173"/>
      <c r="O53" s="174"/>
      <c r="P53" s="113"/>
      <c r="Q53" s="36" t="str">
        <f t="shared" si="0"/>
        <v/>
      </c>
    </row>
    <row r="54" spans="1:44" s="84" customFormat="1" x14ac:dyDescent="0.2">
      <c r="D54" s="118" t="s">
        <v>1278</v>
      </c>
      <c r="E54" s="87" t="s">
        <v>1290</v>
      </c>
      <c r="F54" s="111"/>
      <c r="G54" s="110"/>
      <c r="H54" s="110"/>
      <c r="N54" s="173"/>
      <c r="O54" s="174"/>
      <c r="P54" s="113"/>
      <c r="Q54" s="36" t="str">
        <f t="shared" si="0"/>
        <v/>
      </c>
    </row>
    <row r="55" spans="1:44" s="84" customFormat="1" x14ac:dyDescent="0.2">
      <c r="D55" s="118" t="s">
        <v>1282</v>
      </c>
      <c r="E55" s="87" t="s">
        <v>1346</v>
      </c>
      <c r="F55" s="111"/>
      <c r="G55" s="110"/>
      <c r="H55" s="110"/>
      <c r="N55" s="173"/>
      <c r="O55" s="174"/>
      <c r="P55" s="113"/>
      <c r="Q55" s="36" t="str">
        <f t="shared" si="0"/>
        <v/>
      </c>
    </row>
    <row r="56" spans="1:44" s="84" customFormat="1" x14ac:dyDescent="0.2">
      <c r="D56" s="118"/>
      <c r="E56" s="87"/>
      <c r="F56" s="111"/>
      <c r="G56" s="110"/>
      <c r="H56" s="110"/>
      <c r="N56" s="44"/>
      <c r="O56" s="64"/>
      <c r="P56" s="87"/>
      <c r="Q56" s="36"/>
    </row>
    <row r="57" spans="1:44" s="86" customFormat="1" x14ac:dyDescent="0.2">
      <c r="A57" s="84"/>
      <c r="B57" s="84"/>
      <c r="C57" s="105" t="s">
        <v>1293</v>
      </c>
      <c r="D57" s="96"/>
      <c r="E57" s="95"/>
      <c r="F57" s="96"/>
      <c r="G57" s="96"/>
      <c r="H57" s="96"/>
      <c r="I57" s="96"/>
      <c r="J57" s="96"/>
      <c r="K57" s="96"/>
      <c r="L57" s="96"/>
      <c r="M57" s="96"/>
      <c r="N57" s="119"/>
      <c r="O57" s="119"/>
      <c r="P57" s="120"/>
      <c r="Q57" s="57"/>
      <c r="R57" s="84"/>
      <c r="S57" s="84"/>
      <c r="T57" s="84"/>
      <c r="U57" s="121"/>
      <c r="V57" s="121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4"/>
      <c r="AH57" s="84"/>
      <c r="AI57" s="84"/>
      <c r="AJ57" s="84"/>
      <c r="AK57" s="84"/>
      <c r="AL57" s="84"/>
      <c r="AM57" s="84"/>
      <c r="AN57" s="84"/>
      <c r="AO57" s="84"/>
      <c r="AP57" s="84"/>
      <c r="AQ57" s="84"/>
      <c r="AR57" s="84"/>
    </row>
    <row r="58" spans="1:44" s="86" customFormat="1" x14ac:dyDescent="0.2">
      <c r="A58" s="84"/>
      <c r="B58" s="84"/>
      <c r="C58" s="84"/>
      <c r="D58" s="122" t="s">
        <v>1294</v>
      </c>
      <c r="E58" s="84" t="s">
        <v>1321</v>
      </c>
      <c r="F58" s="84"/>
      <c r="G58" s="84"/>
      <c r="H58" s="84"/>
      <c r="I58" s="84"/>
      <c r="J58" s="84"/>
      <c r="K58" s="84"/>
      <c r="L58" s="84"/>
      <c r="M58" s="84"/>
      <c r="N58" s="170"/>
      <c r="O58" s="170"/>
      <c r="P58" s="158"/>
      <c r="Q58" s="39" t="str">
        <f>IF(F18&lt;&gt;"Please select a district.",SUM(Q34:Q35,Q37),"")</f>
        <v/>
      </c>
      <c r="R58" s="84"/>
      <c r="S58" s="84"/>
      <c r="T58" s="84"/>
      <c r="U58" s="121"/>
      <c r="V58" s="121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  <c r="AL58" s="84"/>
      <c r="AM58" s="84"/>
      <c r="AN58" s="84"/>
      <c r="AO58" s="84"/>
      <c r="AP58" s="84"/>
      <c r="AQ58" s="84"/>
      <c r="AR58" s="84"/>
    </row>
    <row r="59" spans="1:44" s="86" customFormat="1" x14ac:dyDescent="0.2">
      <c r="A59" s="84"/>
      <c r="B59" s="84"/>
      <c r="C59" s="84"/>
      <c r="D59" s="122" t="s">
        <v>1295</v>
      </c>
      <c r="E59" s="84" t="s">
        <v>1322</v>
      </c>
      <c r="F59" s="84"/>
      <c r="G59" s="84"/>
      <c r="H59" s="84"/>
      <c r="I59" s="84"/>
      <c r="J59" s="84"/>
      <c r="K59" s="84"/>
      <c r="L59" s="84"/>
      <c r="M59" s="84"/>
      <c r="N59" s="171"/>
      <c r="O59" s="172"/>
      <c r="P59" s="113"/>
      <c r="Q59" s="34" t="str">
        <f>IF(F18&lt;&gt;"Please select a district.",SUM(Q40,Q42:Q46),"")</f>
        <v/>
      </c>
      <c r="R59" s="84"/>
      <c r="S59" s="84"/>
      <c r="T59" s="84"/>
      <c r="U59" s="121"/>
      <c r="V59" s="121"/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/>
      <c r="AJ59" s="84"/>
      <c r="AK59" s="84"/>
      <c r="AL59" s="84"/>
      <c r="AM59" s="84"/>
      <c r="AN59" s="84"/>
      <c r="AO59" s="84"/>
      <c r="AP59" s="84"/>
      <c r="AQ59" s="84"/>
      <c r="AR59" s="84"/>
    </row>
    <row r="60" spans="1:44" s="86" customFormat="1" ht="13.5" thickBot="1" x14ac:dyDescent="0.25">
      <c r="A60" s="84"/>
      <c r="B60" s="84"/>
      <c r="C60" s="84"/>
      <c r="D60" s="123" t="s">
        <v>1296</v>
      </c>
      <c r="E60" s="84" t="s">
        <v>1323</v>
      </c>
      <c r="F60" s="84"/>
      <c r="G60" s="84"/>
      <c r="H60" s="84"/>
      <c r="I60" s="84"/>
      <c r="J60" s="84"/>
      <c r="K60" s="84"/>
      <c r="L60" s="84"/>
      <c r="M60" s="84"/>
      <c r="N60" s="158"/>
      <c r="O60" s="158"/>
      <c r="P60" s="158"/>
      <c r="Q60" s="40" t="str">
        <f>IF(F18&lt;&gt;"Please select a district.",SUM(Q50:Q55),"")</f>
        <v/>
      </c>
      <c r="R60" s="84"/>
      <c r="S60" s="84"/>
      <c r="T60" s="84"/>
      <c r="U60" s="121"/>
      <c r="V60" s="121"/>
      <c r="W60" s="84"/>
      <c r="X60" s="84"/>
      <c r="Y60" s="84"/>
      <c r="Z60" s="84"/>
      <c r="AA60" s="84"/>
      <c r="AB60" s="84"/>
      <c r="AC60" s="84"/>
      <c r="AD60" s="84"/>
      <c r="AE60" s="84"/>
      <c r="AF60" s="84"/>
      <c r="AG60" s="84"/>
      <c r="AH60" s="84"/>
      <c r="AI60" s="84"/>
      <c r="AJ60" s="84"/>
      <c r="AK60" s="84"/>
      <c r="AL60" s="84"/>
      <c r="AM60" s="84"/>
      <c r="AN60" s="84"/>
      <c r="AO60" s="84"/>
      <c r="AP60" s="84"/>
      <c r="AQ60" s="84"/>
      <c r="AR60" s="84"/>
    </row>
    <row r="61" spans="1:44" s="86" customFormat="1" ht="13.5" thickBot="1" x14ac:dyDescent="0.25">
      <c r="A61" s="84"/>
      <c r="B61" s="84"/>
      <c r="C61" s="84"/>
      <c r="D61" s="123" t="s">
        <v>1297</v>
      </c>
      <c r="E61" s="84" t="s">
        <v>1298</v>
      </c>
      <c r="F61" s="84"/>
      <c r="G61" s="84"/>
      <c r="H61" s="84"/>
      <c r="I61" s="87"/>
      <c r="J61" s="87"/>
      <c r="K61" s="84"/>
      <c r="L61" s="84"/>
      <c r="M61" s="84"/>
      <c r="N61" s="158"/>
      <c r="O61" s="158"/>
      <c r="P61" s="158"/>
      <c r="Q61" s="41" t="str">
        <f>IF(F18&lt;&gt;"Please select a district.",SUM(Q58:Q60),"")</f>
        <v/>
      </c>
      <c r="R61" s="84"/>
      <c r="S61" s="84"/>
      <c r="T61" s="84"/>
      <c r="U61" s="121"/>
      <c r="V61" s="121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  <c r="AJ61" s="84"/>
      <c r="AK61" s="84"/>
      <c r="AL61" s="84"/>
      <c r="AM61" s="84"/>
      <c r="AN61" s="84"/>
      <c r="AO61" s="84"/>
      <c r="AP61" s="84"/>
      <c r="AQ61" s="84"/>
      <c r="AR61" s="84"/>
    </row>
    <row r="62" spans="1:44" s="86" customFormat="1" x14ac:dyDescent="0.2">
      <c r="A62" s="84"/>
      <c r="B62" s="84"/>
      <c r="C62" s="84"/>
      <c r="D62" s="123"/>
      <c r="E62" s="84"/>
      <c r="F62" s="84"/>
      <c r="G62" s="84"/>
      <c r="H62" s="84"/>
      <c r="I62" s="87"/>
      <c r="J62" s="87"/>
      <c r="K62" s="84"/>
      <c r="L62" s="84"/>
      <c r="M62" s="84"/>
      <c r="N62" s="84"/>
      <c r="O62" s="84"/>
      <c r="P62" s="84"/>
      <c r="Q62" s="40"/>
      <c r="R62" s="84"/>
      <c r="S62" s="84"/>
      <c r="T62" s="84"/>
      <c r="U62" s="121"/>
      <c r="V62" s="121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  <c r="AJ62" s="84"/>
      <c r="AK62" s="84"/>
      <c r="AL62" s="84"/>
      <c r="AM62" s="84"/>
      <c r="AN62" s="84"/>
      <c r="AO62" s="84"/>
      <c r="AP62" s="84"/>
      <c r="AQ62" s="84"/>
      <c r="AR62" s="84"/>
    </row>
    <row r="63" spans="1:44" s="86" customFormat="1" x14ac:dyDescent="0.2">
      <c r="A63" s="84"/>
      <c r="B63" s="84"/>
      <c r="C63" s="84"/>
      <c r="D63" s="123"/>
      <c r="E63" s="84"/>
      <c r="F63" s="84"/>
      <c r="G63" s="84"/>
      <c r="H63" s="84"/>
      <c r="I63" s="87"/>
      <c r="J63" s="87"/>
      <c r="K63" s="84"/>
      <c r="L63" s="84"/>
      <c r="M63" s="84"/>
      <c r="N63" s="84"/>
      <c r="O63" s="84"/>
      <c r="P63" s="84"/>
      <c r="Q63" s="40"/>
      <c r="R63" s="84"/>
      <c r="S63" s="84"/>
      <c r="T63" s="84"/>
      <c r="U63" s="121"/>
      <c r="V63" s="121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4"/>
      <c r="AK63" s="84"/>
      <c r="AL63" s="84"/>
      <c r="AM63" s="84"/>
      <c r="AN63" s="84"/>
      <c r="AO63" s="84"/>
      <c r="AP63" s="84"/>
      <c r="AQ63" s="84"/>
      <c r="AR63" s="84"/>
    </row>
    <row r="64" spans="1:44" s="86" customFormat="1" x14ac:dyDescent="0.2">
      <c r="A64" s="84"/>
      <c r="B64" s="84"/>
      <c r="C64" s="84"/>
      <c r="D64" s="84"/>
      <c r="E64" s="84"/>
      <c r="F64" s="84"/>
      <c r="G64" s="84"/>
      <c r="H64" s="84"/>
      <c r="I64" s="124"/>
      <c r="J64" s="124"/>
      <c r="K64" s="110"/>
      <c r="L64" s="110"/>
      <c r="M64" s="84"/>
      <c r="N64" s="84"/>
      <c r="O64" s="84"/>
      <c r="P64" s="84"/>
      <c r="Q64" s="84"/>
      <c r="R64" s="84"/>
      <c r="S64" s="84"/>
      <c r="T64" s="84"/>
      <c r="U64" s="121"/>
      <c r="V64" s="121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  <c r="AN64" s="84"/>
      <c r="AO64" s="84"/>
      <c r="AP64" s="84"/>
      <c r="AQ64" s="84"/>
      <c r="AR64" s="84"/>
    </row>
    <row r="65" spans="1:44" s="86" customFormat="1" x14ac:dyDescent="0.2">
      <c r="A65" s="84"/>
      <c r="B65" s="84"/>
      <c r="C65" s="84"/>
      <c r="D65" s="111"/>
      <c r="E65" s="125"/>
      <c r="F65" s="126"/>
      <c r="G65" s="125"/>
      <c r="H65" s="125"/>
      <c r="I65" s="125"/>
      <c r="J65" s="125"/>
      <c r="K65" s="125"/>
      <c r="L65" s="125"/>
      <c r="M65" s="125"/>
      <c r="N65" s="125"/>
      <c r="O65" s="125"/>
      <c r="P65" s="125"/>
      <c r="Q65" s="125"/>
      <c r="R65" s="125"/>
      <c r="S65" s="125"/>
      <c r="T65" s="84"/>
      <c r="U65" s="84"/>
      <c r="V65" s="84"/>
      <c r="W65" s="84"/>
      <c r="X65" s="84"/>
      <c r="Y65" s="84"/>
      <c r="Z65" s="84"/>
      <c r="AA65" s="84"/>
      <c r="AB65" s="84"/>
      <c r="AC65" s="84"/>
      <c r="AD65" s="84"/>
      <c r="AE65" s="84"/>
      <c r="AF65" s="84"/>
      <c r="AG65" s="84"/>
      <c r="AH65" s="84"/>
      <c r="AI65" s="84"/>
      <c r="AJ65" s="84"/>
      <c r="AK65" s="84"/>
      <c r="AL65" s="84"/>
      <c r="AM65" s="84"/>
      <c r="AN65" s="84"/>
      <c r="AO65" s="84"/>
      <c r="AP65" s="84"/>
      <c r="AQ65" s="84"/>
      <c r="AR65" s="84"/>
    </row>
    <row r="66" spans="1:44" s="86" customFormat="1" x14ac:dyDescent="0.2">
      <c r="A66" s="84"/>
      <c r="B66" s="84"/>
      <c r="C66" s="84"/>
      <c r="D66" s="127"/>
      <c r="E66" s="128"/>
      <c r="F66" s="129"/>
      <c r="G66" s="129"/>
      <c r="H66" s="129"/>
      <c r="I66" s="129"/>
      <c r="J66" s="129"/>
      <c r="K66" s="130"/>
      <c r="L66" s="131"/>
      <c r="M66" s="129"/>
      <c r="N66" s="129"/>
      <c r="O66" s="129"/>
      <c r="P66" s="129"/>
      <c r="Q66" s="129"/>
      <c r="R66" s="125"/>
      <c r="S66" s="84"/>
      <c r="T66" s="84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84"/>
      <c r="AI66" s="84"/>
      <c r="AJ66" s="84"/>
      <c r="AK66" s="84"/>
      <c r="AL66" s="84"/>
      <c r="AM66" s="84"/>
      <c r="AN66" s="84"/>
      <c r="AO66" s="84"/>
      <c r="AP66" s="84"/>
      <c r="AQ66" s="84"/>
      <c r="AR66" s="84"/>
    </row>
    <row r="67" spans="1:44" s="86" customFormat="1" x14ac:dyDescent="0.2">
      <c r="A67" s="84"/>
      <c r="B67" s="84"/>
      <c r="C67" s="84"/>
      <c r="D67" s="132" t="s">
        <v>12</v>
      </c>
      <c r="E67" s="84"/>
      <c r="F67" s="80"/>
      <c r="G67" s="80"/>
      <c r="H67" s="80"/>
      <c r="I67" s="80"/>
      <c r="J67" s="80"/>
      <c r="K67" s="90"/>
      <c r="L67" s="168"/>
      <c r="M67" s="133"/>
      <c r="N67" s="132" t="s">
        <v>13</v>
      </c>
      <c r="O67" s="80"/>
      <c r="P67" s="80"/>
      <c r="Q67" s="80"/>
      <c r="R67" s="65"/>
      <c r="S67" s="84"/>
      <c r="T67" s="84"/>
      <c r="U67" s="84"/>
      <c r="V67" s="84"/>
      <c r="W67" s="84"/>
      <c r="X67" s="84"/>
      <c r="Y67" s="84"/>
      <c r="Z67" s="84"/>
      <c r="AA67" s="84"/>
      <c r="AB67" s="84"/>
      <c r="AC67" s="84"/>
      <c r="AD67" s="84"/>
      <c r="AE67" s="84"/>
      <c r="AF67" s="84"/>
      <c r="AG67" s="84"/>
      <c r="AH67" s="84"/>
      <c r="AI67" s="84"/>
      <c r="AJ67" s="84"/>
      <c r="AK67" s="84"/>
      <c r="AL67" s="84"/>
      <c r="AM67" s="84"/>
      <c r="AN67" s="84"/>
      <c r="AO67" s="84"/>
      <c r="AP67" s="84"/>
      <c r="AQ67" s="84"/>
      <c r="AR67" s="84"/>
    </row>
    <row r="68" spans="1:44" s="86" customFormat="1" x14ac:dyDescent="0.2">
      <c r="A68" s="84"/>
      <c r="B68" s="84"/>
      <c r="C68" s="84"/>
      <c r="D68" s="72"/>
      <c r="E68" s="72"/>
      <c r="F68" s="84"/>
      <c r="G68" s="84"/>
      <c r="H68" s="84"/>
      <c r="I68" s="84"/>
      <c r="J68" s="84"/>
      <c r="K68" s="84"/>
      <c r="L68" s="84"/>
      <c r="M68" s="84"/>
      <c r="N68" s="85"/>
      <c r="O68" s="85"/>
      <c r="P68" s="85"/>
      <c r="Q68" s="85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4"/>
      <c r="AK68" s="84"/>
      <c r="AL68" s="84"/>
      <c r="AM68" s="84"/>
      <c r="AN68" s="84"/>
      <c r="AO68" s="84"/>
      <c r="AP68" s="84"/>
      <c r="AQ68" s="84"/>
      <c r="AR68" s="84"/>
    </row>
    <row r="69" spans="1:44" s="84" customFormat="1" ht="14.25" customHeight="1" x14ac:dyDescent="0.2">
      <c r="C69" s="72"/>
      <c r="D69" s="72"/>
      <c r="M69" s="85"/>
      <c r="N69" s="85"/>
      <c r="O69" s="85"/>
      <c r="P69" s="85"/>
    </row>
    <row r="70" spans="1:44" s="110" customFormat="1" ht="14.25" customHeight="1" x14ac:dyDescent="0.15">
      <c r="D70" s="134"/>
    </row>
    <row r="71" spans="1:44" s="135" customFormat="1" ht="14.25" customHeight="1" x14ac:dyDescent="0.2"/>
    <row r="72" spans="1:44" s="135" customFormat="1" ht="14.25" customHeight="1" x14ac:dyDescent="0.2"/>
    <row r="73" spans="1:44" s="125" customFormat="1" ht="14.25" customHeight="1" x14ac:dyDescent="0.15"/>
    <row r="74" spans="1:44" s="125" customFormat="1" ht="14.25" customHeight="1" x14ac:dyDescent="0.15"/>
    <row r="75" spans="1:44" s="125" customFormat="1" ht="14.25" customHeight="1" x14ac:dyDescent="0.15"/>
    <row r="76" spans="1:44" s="125" customFormat="1" ht="14.25" customHeight="1" x14ac:dyDescent="0.15"/>
    <row r="77" spans="1:44" s="125" customFormat="1" ht="14.25" customHeight="1" x14ac:dyDescent="0.15"/>
    <row r="78" spans="1:44" s="65" customFormat="1" ht="14.25" customHeight="1" x14ac:dyDescent="0.2"/>
    <row r="79" spans="1:44" s="110" customFormat="1" ht="14.25" customHeight="1" x14ac:dyDescent="0.15">
      <c r="D79" s="134"/>
    </row>
    <row r="80" spans="1:44" s="110" customFormat="1" ht="14.25" customHeight="1" x14ac:dyDescent="0.15">
      <c r="D80" s="134"/>
    </row>
    <row r="81" spans="3:12" s="110" customFormat="1" ht="14.25" customHeight="1" x14ac:dyDescent="0.15">
      <c r="D81" s="134"/>
    </row>
    <row r="82" spans="3:12" s="135" customFormat="1" ht="14.25" customHeight="1" x14ac:dyDescent="0.2">
      <c r="C82" s="136"/>
      <c r="D82" s="137"/>
    </row>
    <row r="83" spans="3:12" s="135" customFormat="1" ht="14.25" customHeight="1" x14ac:dyDescent="0.2">
      <c r="C83" s="136"/>
      <c r="D83" s="137"/>
    </row>
    <row r="84" spans="3:12" s="135" customFormat="1" ht="14.25" customHeight="1" x14ac:dyDescent="0.2">
      <c r="C84" s="136"/>
      <c r="D84" s="137"/>
    </row>
    <row r="85" spans="3:12" s="135" customFormat="1" ht="14.25" customHeight="1" x14ac:dyDescent="0.2">
      <c r="C85" s="136"/>
      <c r="D85" s="137"/>
    </row>
    <row r="86" spans="3:12" s="135" customFormat="1" ht="14.25" customHeight="1" x14ac:dyDescent="0.2">
      <c r="C86" s="136"/>
      <c r="D86" s="137"/>
    </row>
    <row r="87" spans="3:12" s="135" customFormat="1" ht="14.25" customHeight="1" x14ac:dyDescent="0.2">
      <c r="C87" s="136"/>
      <c r="D87" s="137"/>
    </row>
    <row r="88" spans="3:12" s="135" customFormat="1" ht="14.25" customHeight="1" x14ac:dyDescent="0.2">
      <c r="C88" s="136"/>
      <c r="D88" s="137"/>
    </row>
    <row r="89" spans="3:12" s="135" customFormat="1" ht="14.25" customHeight="1" x14ac:dyDescent="0.2">
      <c r="C89" s="136"/>
      <c r="D89" s="137"/>
    </row>
    <row r="90" spans="3:12" s="135" customFormat="1" ht="14.25" customHeight="1" x14ac:dyDescent="0.2">
      <c r="C90" s="136"/>
      <c r="D90" s="137"/>
    </row>
    <row r="91" spans="3:12" s="138" customFormat="1" ht="14.25" customHeight="1" x14ac:dyDescent="0.15">
      <c r="D91" s="139"/>
    </row>
    <row r="92" spans="3:12" s="116" customFormat="1" ht="14.25" customHeight="1" x14ac:dyDescent="0.15">
      <c r="D92" s="140"/>
    </row>
    <row r="93" spans="3:12" s="65" customFormat="1" ht="14.25" customHeight="1" x14ac:dyDescent="0.2">
      <c r="D93" s="141"/>
      <c r="E93" s="168"/>
      <c r="F93" s="168"/>
      <c r="G93" s="168"/>
      <c r="H93" s="168"/>
      <c r="I93" s="168"/>
      <c r="J93" s="168"/>
      <c r="K93" s="168"/>
      <c r="L93" s="168"/>
    </row>
    <row r="94" spans="3:12" s="142" customFormat="1" ht="14.25" customHeight="1" x14ac:dyDescent="0.15">
      <c r="D94" s="143"/>
    </row>
    <row r="95" spans="3:12" s="135" customFormat="1" ht="14.25" customHeight="1" x14ac:dyDescent="0.2">
      <c r="C95" s="136"/>
      <c r="D95" s="137"/>
    </row>
    <row r="96" spans="3:12" s="65" customFormat="1" ht="14.25" customHeight="1" x14ac:dyDescent="0.2">
      <c r="D96" s="66"/>
    </row>
    <row r="97" spans="4:4" s="65" customFormat="1" ht="14.25" customHeight="1" x14ac:dyDescent="0.2">
      <c r="D97" s="66"/>
    </row>
    <row r="98" spans="4:4" s="65" customFormat="1" ht="14.25" customHeight="1" x14ac:dyDescent="0.2">
      <c r="D98" s="66"/>
    </row>
    <row r="99" spans="4:4" s="65" customFormat="1" ht="14.25" customHeight="1" x14ac:dyDescent="0.2">
      <c r="D99" s="66"/>
    </row>
    <row r="100" spans="4:4" s="65" customFormat="1" ht="14.25" customHeight="1" x14ac:dyDescent="0.2">
      <c r="D100" s="66"/>
    </row>
    <row r="101" spans="4:4" s="65" customFormat="1" ht="14.25" customHeight="1" x14ac:dyDescent="0.2">
      <c r="D101" s="66"/>
    </row>
    <row r="102" spans="4:4" s="65" customFormat="1" ht="14.25" customHeight="1" x14ac:dyDescent="0.2">
      <c r="D102" s="66"/>
    </row>
    <row r="103" spans="4:4" s="65" customFormat="1" ht="14.25" customHeight="1" x14ac:dyDescent="0.2">
      <c r="D103" s="66"/>
    </row>
    <row r="104" spans="4:4" s="65" customFormat="1" ht="14.25" customHeight="1" x14ac:dyDescent="0.2">
      <c r="D104" s="66"/>
    </row>
    <row r="105" spans="4:4" s="65" customFormat="1" ht="14.25" customHeight="1" x14ac:dyDescent="0.2">
      <c r="D105" s="66"/>
    </row>
    <row r="106" spans="4:4" s="65" customFormat="1" ht="14.25" customHeight="1" x14ac:dyDescent="0.2">
      <c r="D106" s="66"/>
    </row>
    <row r="107" spans="4:4" s="65" customFormat="1" ht="14.25" customHeight="1" x14ac:dyDescent="0.2">
      <c r="D107" s="66"/>
    </row>
    <row r="108" spans="4:4" s="65" customFormat="1" ht="14.25" customHeight="1" x14ac:dyDescent="0.2">
      <c r="D108" s="66"/>
    </row>
    <row r="109" spans="4:4" s="65" customFormat="1" ht="14.25" customHeight="1" x14ac:dyDescent="0.2">
      <c r="D109" s="66"/>
    </row>
    <row r="110" spans="4:4" s="65" customFormat="1" ht="14.25" customHeight="1" x14ac:dyDescent="0.2">
      <c r="D110" s="66"/>
    </row>
    <row r="111" spans="4:4" s="65" customFormat="1" ht="14.25" customHeight="1" x14ac:dyDescent="0.2">
      <c r="D111" s="66"/>
    </row>
    <row r="112" spans="4:4" s="65" customFormat="1" ht="14.25" customHeight="1" x14ac:dyDescent="0.2">
      <c r="D112" s="66"/>
    </row>
    <row r="113" spans="4:4" s="65" customFormat="1" ht="14.25" customHeight="1" x14ac:dyDescent="0.2">
      <c r="D113" s="66"/>
    </row>
    <row r="114" spans="4:4" s="65" customFormat="1" ht="14.25" customHeight="1" x14ac:dyDescent="0.2">
      <c r="D114" s="66"/>
    </row>
    <row r="115" spans="4:4" s="65" customFormat="1" ht="14.25" customHeight="1" x14ac:dyDescent="0.2">
      <c r="D115" s="66"/>
    </row>
    <row r="116" spans="4:4" s="65" customFormat="1" ht="14.25" customHeight="1" x14ac:dyDescent="0.2">
      <c r="D116" s="66"/>
    </row>
    <row r="117" spans="4:4" s="65" customFormat="1" ht="14.25" customHeight="1" x14ac:dyDescent="0.2">
      <c r="D117" s="66"/>
    </row>
    <row r="118" spans="4:4" s="65" customFormat="1" ht="14.25" customHeight="1" x14ac:dyDescent="0.2">
      <c r="D118" s="66"/>
    </row>
    <row r="119" spans="4:4" s="65" customFormat="1" ht="14.25" customHeight="1" x14ac:dyDescent="0.2">
      <c r="D119" s="66"/>
    </row>
    <row r="120" spans="4:4" s="65" customFormat="1" ht="14.25" customHeight="1" x14ac:dyDescent="0.2">
      <c r="D120" s="66"/>
    </row>
    <row r="121" spans="4:4" s="65" customFormat="1" ht="14.25" customHeight="1" x14ac:dyDescent="0.2">
      <c r="D121" s="66"/>
    </row>
    <row r="122" spans="4:4" s="65" customFormat="1" ht="14.25" customHeight="1" x14ac:dyDescent="0.2">
      <c r="D122" s="66"/>
    </row>
    <row r="123" spans="4:4" s="65" customFormat="1" ht="14.25" customHeight="1" x14ac:dyDescent="0.2">
      <c r="D123" s="66"/>
    </row>
    <row r="124" spans="4:4" s="65" customFormat="1" ht="14.25" customHeight="1" x14ac:dyDescent="0.2">
      <c r="D124" s="66"/>
    </row>
    <row r="125" spans="4:4" s="65" customFormat="1" ht="14.25" customHeight="1" x14ac:dyDescent="0.2">
      <c r="D125" s="66"/>
    </row>
    <row r="126" spans="4:4" s="65" customFormat="1" ht="14.25" customHeight="1" x14ac:dyDescent="0.2">
      <c r="D126" s="66"/>
    </row>
    <row r="127" spans="4:4" s="65" customFormat="1" ht="14.25" customHeight="1" x14ac:dyDescent="0.2">
      <c r="D127" s="66"/>
    </row>
    <row r="128" spans="4:4" s="65" customFormat="1" ht="14.25" customHeight="1" x14ac:dyDescent="0.2">
      <c r="D128" s="66"/>
    </row>
    <row r="129" spans="4:4" s="65" customFormat="1" ht="14.25" customHeight="1" x14ac:dyDescent="0.2">
      <c r="D129" s="66"/>
    </row>
    <row r="130" spans="4:4" s="65" customFormat="1" ht="14.25" customHeight="1" x14ac:dyDescent="0.2">
      <c r="D130" s="66"/>
    </row>
    <row r="131" spans="4:4" s="65" customFormat="1" ht="14.25" customHeight="1" x14ac:dyDescent="0.2">
      <c r="D131" s="66"/>
    </row>
    <row r="132" spans="4:4" s="65" customFormat="1" ht="14.25" customHeight="1" x14ac:dyDescent="0.2">
      <c r="D132" s="66"/>
    </row>
    <row r="133" spans="4:4" s="65" customFormat="1" ht="14.25" customHeight="1" x14ac:dyDescent="0.2">
      <c r="D133" s="66"/>
    </row>
    <row r="134" spans="4:4" s="65" customFormat="1" ht="14.25" customHeight="1" x14ac:dyDescent="0.2">
      <c r="D134" s="66"/>
    </row>
    <row r="135" spans="4:4" s="65" customFormat="1" ht="14.25" customHeight="1" x14ac:dyDescent="0.2">
      <c r="D135" s="66"/>
    </row>
    <row r="136" spans="4:4" s="65" customFormat="1" ht="14.25" customHeight="1" x14ac:dyDescent="0.2">
      <c r="D136" s="66"/>
    </row>
    <row r="137" spans="4:4" s="65" customFormat="1" ht="14.25" customHeight="1" x14ac:dyDescent="0.2">
      <c r="D137" s="66"/>
    </row>
    <row r="138" spans="4:4" s="65" customFormat="1" ht="14.25" customHeight="1" x14ac:dyDescent="0.2">
      <c r="D138" s="66"/>
    </row>
    <row r="139" spans="4:4" s="65" customFormat="1" ht="14.25" customHeight="1" x14ac:dyDescent="0.2">
      <c r="D139" s="66"/>
    </row>
    <row r="140" spans="4:4" s="65" customFormat="1" ht="14.25" customHeight="1" x14ac:dyDescent="0.2">
      <c r="D140" s="66"/>
    </row>
    <row r="141" spans="4:4" s="65" customFormat="1" ht="14.25" customHeight="1" x14ac:dyDescent="0.2">
      <c r="D141" s="66"/>
    </row>
    <row r="142" spans="4:4" s="65" customFormat="1" ht="14.25" customHeight="1" x14ac:dyDescent="0.2">
      <c r="D142" s="66"/>
    </row>
    <row r="143" spans="4:4" s="65" customFormat="1" ht="14.25" customHeight="1" x14ac:dyDescent="0.2">
      <c r="D143" s="66"/>
    </row>
    <row r="144" spans="4:4" s="65" customFormat="1" ht="14.25" customHeight="1" x14ac:dyDescent="0.2">
      <c r="D144" s="66"/>
    </row>
    <row r="145" spans="4:4" s="65" customFormat="1" ht="14.25" customHeight="1" x14ac:dyDescent="0.2">
      <c r="D145" s="66"/>
    </row>
    <row r="146" spans="4:4" s="65" customFormat="1" ht="14.25" customHeight="1" x14ac:dyDescent="0.2">
      <c r="D146" s="66"/>
    </row>
    <row r="147" spans="4:4" s="65" customFormat="1" ht="14.25" customHeight="1" x14ac:dyDescent="0.2">
      <c r="D147" s="66"/>
    </row>
    <row r="148" spans="4:4" s="65" customFormat="1" ht="14.25" customHeight="1" x14ac:dyDescent="0.2">
      <c r="D148" s="66"/>
    </row>
    <row r="149" spans="4:4" s="65" customFormat="1" ht="14.25" customHeight="1" x14ac:dyDescent="0.2">
      <c r="D149" s="66"/>
    </row>
    <row r="150" spans="4:4" s="65" customFormat="1" ht="14.25" customHeight="1" x14ac:dyDescent="0.2">
      <c r="D150" s="66"/>
    </row>
    <row r="151" spans="4:4" s="65" customFormat="1" ht="14.25" customHeight="1" x14ac:dyDescent="0.2">
      <c r="D151" s="66"/>
    </row>
    <row r="152" spans="4:4" s="65" customFormat="1" ht="14.25" customHeight="1" x14ac:dyDescent="0.2">
      <c r="D152" s="66"/>
    </row>
    <row r="153" spans="4:4" s="65" customFormat="1" ht="14.25" customHeight="1" x14ac:dyDescent="0.2">
      <c r="D153" s="66"/>
    </row>
    <row r="154" spans="4:4" s="65" customFormat="1" ht="14.25" customHeight="1" x14ac:dyDescent="0.2">
      <c r="D154" s="66"/>
    </row>
    <row r="155" spans="4:4" s="65" customFormat="1" ht="14.25" customHeight="1" x14ac:dyDescent="0.2">
      <c r="D155" s="66"/>
    </row>
    <row r="156" spans="4:4" s="65" customFormat="1" ht="14.25" customHeight="1" x14ac:dyDescent="0.2">
      <c r="D156" s="66"/>
    </row>
    <row r="157" spans="4:4" s="65" customFormat="1" ht="14.25" customHeight="1" x14ac:dyDescent="0.2">
      <c r="D157" s="66"/>
    </row>
    <row r="158" spans="4:4" s="65" customFormat="1" ht="14.25" customHeight="1" x14ac:dyDescent="0.2">
      <c r="D158" s="66"/>
    </row>
    <row r="159" spans="4:4" s="65" customFormat="1" ht="14.25" customHeight="1" x14ac:dyDescent="0.2">
      <c r="D159" s="66"/>
    </row>
    <row r="160" spans="4:4" s="65" customFormat="1" ht="14.25" customHeight="1" x14ac:dyDescent="0.2">
      <c r="D160" s="66"/>
    </row>
    <row r="161" spans="4:4" s="65" customFormat="1" ht="14.25" customHeight="1" x14ac:dyDescent="0.2">
      <c r="D161" s="66"/>
    </row>
    <row r="162" spans="4:4" s="65" customFormat="1" ht="14.25" customHeight="1" x14ac:dyDescent="0.2">
      <c r="D162" s="66"/>
    </row>
    <row r="163" spans="4:4" s="65" customFormat="1" ht="14.25" customHeight="1" x14ac:dyDescent="0.2">
      <c r="D163" s="66"/>
    </row>
    <row r="164" spans="4:4" s="65" customFormat="1" ht="14.25" customHeight="1" x14ac:dyDescent="0.2">
      <c r="D164" s="66"/>
    </row>
    <row r="165" spans="4:4" s="65" customFormat="1" ht="14.25" customHeight="1" x14ac:dyDescent="0.2">
      <c r="D165" s="66"/>
    </row>
    <row r="166" spans="4:4" s="65" customFormat="1" ht="14.25" customHeight="1" x14ac:dyDescent="0.2">
      <c r="D166" s="66"/>
    </row>
    <row r="167" spans="4:4" s="65" customFormat="1" ht="14.25" customHeight="1" x14ac:dyDescent="0.2">
      <c r="D167" s="66"/>
    </row>
    <row r="168" spans="4:4" s="65" customFormat="1" ht="14.25" customHeight="1" x14ac:dyDescent="0.2">
      <c r="D168" s="66"/>
    </row>
    <row r="169" spans="4:4" s="65" customFormat="1" ht="14.25" customHeight="1" x14ac:dyDescent="0.2">
      <c r="D169" s="66"/>
    </row>
    <row r="170" spans="4:4" s="65" customFormat="1" ht="14.25" customHeight="1" x14ac:dyDescent="0.2">
      <c r="D170" s="66"/>
    </row>
    <row r="171" spans="4:4" s="65" customFormat="1" ht="14.25" customHeight="1" x14ac:dyDescent="0.2">
      <c r="D171" s="66"/>
    </row>
    <row r="172" spans="4:4" s="65" customFormat="1" ht="14.25" customHeight="1" x14ac:dyDescent="0.2">
      <c r="D172" s="66"/>
    </row>
    <row r="173" spans="4:4" s="65" customFormat="1" ht="14.25" customHeight="1" x14ac:dyDescent="0.2">
      <c r="D173" s="66"/>
    </row>
    <row r="174" spans="4:4" s="65" customFormat="1" ht="14.25" customHeight="1" x14ac:dyDescent="0.2">
      <c r="D174" s="66"/>
    </row>
    <row r="175" spans="4:4" s="65" customFormat="1" ht="14.25" customHeight="1" x14ac:dyDescent="0.2">
      <c r="D175" s="66"/>
    </row>
    <row r="176" spans="4:4" s="65" customFormat="1" ht="14.25" customHeight="1" x14ac:dyDescent="0.2">
      <c r="D176" s="66"/>
    </row>
    <row r="177" spans="4:4" s="65" customFormat="1" ht="14.25" customHeight="1" x14ac:dyDescent="0.2">
      <c r="D177" s="66"/>
    </row>
    <row r="178" spans="4:4" s="65" customFormat="1" ht="14.25" customHeight="1" x14ac:dyDescent="0.2">
      <c r="D178" s="66"/>
    </row>
    <row r="179" spans="4:4" s="65" customFormat="1" ht="14.25" customHeight="1" x14ac:dyDescent="0.2">
      <c r="D179" s="66"/>
    </row>
    <row r="180" spans="4:4" s="65" customFormat="1" ht="14.25" customHeight="1" x14ac:dyDescent="0.2">
      <c r="D180" s="66"/>
    </row>
    <row r="181" spans="4:4" s="65" customFormat="1" ht="14.25" customHeight="1" x14ac:dyDescent="0.2">
      <c r="D181" s="66"/>
    </row>
    <row r="182" spans="4:4" s="65" customFormat="1" ht="14.25" customHeight="1" x14ac:dyDescent="0.2">
      <c r="D182" s="66"/>
    </row>
    <row r="183" spans="4:4" s="65" customFormat="1" ht="14.25" customHeight="1" x14ac:dyDescent="0.2">
      <c r="D183" s="66"/>
    </row>
    <row r="184" spans="4:4" s="65" customFormat="1" ht="14.25" customHeight="1" x14ac:dyDescent="0.2">
      <c r="D184" s="66"/>
    </row>
    <row r="185" spans="4:4" s="65" customFormat="1" ht="14.25" customHeight="1" x14ac:dyDescent="0.2">
      <c r="D185" s="66"/>
    </row>
    <row r="186" spans="4:4" s="65" customFormat="1" ht="14.25" customHeight="1" x14ac:dyDescent="0.2">
      <c r="D186" s="66"/>
    </row>
    <row r="187" spans="4:4" s="65" customFormat="1" ht="14.25" customHeight="1" x14ac:dyDescent="0.2">
      <c r="D187" s="66"/>
    </row>
    <row r="188" spans="4:4" s="65" customFormat="1" ht="14.25" customHeight="1" x14ac:dyDescent="0.2">
      <c r="D188" s="66"/>
    </row>
    <row r="189" spans="4:4" s="65" customFormat="1" ht="14.25" customHeight="1" x14ac:dyDescent="0.2">
      <c r="D189" s="66"/>
    </row>
    <row r="190" spans="4:4" s="65" customFormat="1" ht="14.25" customHeight="1" x14ac:dyDescent="0.2">
      <c r="D190" s="66"/>
    </row>
    <row r="191" spans="4:4" s="65" customFormat="1" ht="14.25" customHeight="1" x14ac:dyDescent="0.2">
      <c r="D191" s="66"/>
    </row>
    <row r="192" spans="4:4" s="65" customFormat="1" ht="14.25" customHeight="1" x14ac:dyDescent="0.2">
      <c r="D192" s="66"/>
    </row>
    <row r="193" spans="4:4" s="65" customFormat="1" ht="14.25" customHeight="1" x14ac:dyDescent="0.2">
      <c r="D193" s="66"/>
    </row>
    <row r="194" spans="4:4" s="65" customFormat="1" ht="14.25" customHeight="1" x14ac:dyDescent="0.2">
      <c r="D194" s="66"/>
    </row>
    <row r="195" spans="4:4" s="65" customFormat="1" ht="14.25" customHeight="1" x14ac:dyDescent="0.2">
      <c r="D195" s="66"/>
    </row>
    <row r="196" spans="4:4" s="65" customFormat="1" ht="14.25" customHeight="1" x14ac:dyDescent="0.2">
      <c r="D196" s="66"/>
    </row>
    <row r="197" spans="4:4" s="65" customFormat="1" ht="14.25" customHeight="1" x14ac:dyDescent="0.2">
      <c r="D197" s="66"/>
    </row>
    <row r="198" spans="4:4" s="65" customFormat="1" ht="14.25" customHeight="1" x14ac:dyDescent="0.2">
      <c r="D198" s="66"/>
    </row>
    <row r="199" spans="4:4" s="65" customFormat="1" ht="14.25" customHeight="1" x14ac:dyDescent="0.2">
      <c r="D199" s="66"/>
    </row>
    <row r="200" spans="4:4" s="65" customFormat="1" ht="14.25" customHeight="1" x14ac:dyDescent="0.2">
      <c r="D200" s="66"/>
    </row>
    <row r="201" spans="4:4" s="65" customFormat="1" ht="14.25" customHeight="1" x14ac:dyDescent="0.2">
      <c r="D201" s="66"/>
    </row>
    <row r="202" spans="4:4" s="65" customFormat="1" ht="14.25" customHeight="1" x14ac:dyDescent="0.2">
      <c r="D202" s="66"/>
    </row>
    <row r="203" spans="4:4" s="65" customFormat="1" ht="14.25" customHeight="1" x14ac:dyDescent="0.2">
      <c r="D203" s="66"/>
    </row>
    <row r="204" spans="4:4" s="65" customFormat="1" ht="14.25" customHeight="1" x14ac:dyDescent="0.2">
      <c r="D204" s="66"/>
    </row>
    <row r="205" spans="4:4" s="65" customFormat="1" ht="14.25" customHeight="1" x14ac:dyDescent="0.2">
      <c r="D205" s="66"/>
    </row>
    <row r="206" spans="4:4" s="65" customFormat="1" ht="14.25" customHeight="1" x14ac:dyDescent="0.2">
      <c r="D206" s="66"/>
    </row>
    <row r="207" spans="4:4" s="65" customFormat="1" ht="14.25" customHeight="1" x14ac:dyDescent="0.2">
      <c r="D207" s="66"/>
    </row>
    <row r="208" spans="4:4" s="65" customFormat="1" ht="14.25" customHeight="1" x14ac:dyDescent="0.2">
      <c r="D208" s="66"/>
    </row>
    <row r="209" spans="4:4" s="65" customFormat="1" ht="14.25" customHeight="1" x14ac:dyDescent="0.2">
      <c r="D209" s="66"/>
    </row>
    <row r="210" spans="4:4" s="65" customFormat="1" ht="14.25" customHeight="1" x14ac:dyDescent="0.2">
      <c r="D210" s="66"/>
    </row>
    <row r="211" spans="4:4" s="65" customFormat="1" ht="14.25" customHeight="1" x14ac:dyDescent="0.2">
      <c r="D211" s="66"/>
    </row>
    <row r="212" spans="4:4" s="65" customFormat="1" ht="14.25" customHeight="1" x14ac:dyDescent="0.2">
      <c r="D212" s="66"/>
    </row>
    <row r="213" spans="4:4" s="65" customFormat="1" ht="14.25" customHeight="1" x14ac:dyDescent="0.2">
      <c r="D213" s="66"/>
    </row>
    <row r="214" spans="4:4" s="65" customFormat="1" ht="14.25" customHeight="1" x14ac:dyDescent="0.2">
      <c r="D214" s="66"/>
    </row>
    <row r="215" spans="4:4" s="65" customFormat="1" ht="14.25" customHeight="1" x14ac:dyDescent="0.2">
      <c r="D215" s="66"/>
    </row>
    <row r="216" spans="4:4" s="65" customFormat="1" ht="14.25" customHeight="1" x14ac:dyDescent="0.2">
      <c r="D216" s="66"/>
    </row>
    <row r="217" spans="4:4" s="65" customFormat="1" ht="14.25" customHeight="1" x14ac:dyDescent="0.2">
      <c r="D217" s="66"/>
    </row>
    <row r="218" spans="4:4" s="65" customFormat="1" ht="14.25" customHeight="1" x14ac:dyDescent="0.2">
      <c r="D218" s="66"/>
    </row>
    <row r="219" spans="4:4" s="65" customFormat="1" ht="14.25" customHeight="1" x14ac:dyDescent="0.2">
      <c r="D219" s="66"/>
    </row>
    <row r="220" spans="4:4" s="65" customFormat="1" ht="14.25" customHeight="1" x14ac:dyDescent="0.2">
      <c r="D220" s="66"/>
    </row>
    <row r="221" spans="4:4" s="65" customFormat="1" ht="14.25" customHeight="1" x14ac:dyDescent="0.2">
      <c r="D221" s="66"/>
    </row>
    <row r="222" spans="4:4" s="65" customFormat="1" ht="14.25" customHeight="1" x14ac:dyDescent="0.2">
      <c r="D222" s="66"/>
    </row>
    <row r="223" spans="4:4" s="65" customFormat="1" ht="14.25" customHeight="1" x14ac:dyDescent="0.2">
      <c r="D223" s="66"/>
    </row>
    <row r="224" spans="4:4" s="65" customFormat="1" ht="14.25" customHeight="1" x14ac:dyDescent="0.2">
      <c r="D224" s="66"/>
    </row>
    <row r="225" spans="4:4" s="65" customFormat="1" ht="14.25" customHeight="1" x14ac:dyDescent="0.2">
      <c r="D225" s="66"/>
    </row>
    <row r="226" spans="4:4" s="65" customFormat="1" x14ac:dyDescent="0.2">
      <c r="D226" s="66"/>
    </row>
    <row r="227" spans="4:4" s="65" customFormat="1" x14ac:dyDescent="0.2">
      <c r="D227" s="66"/>
    </row>
    <row r="228" spans="4:4" s="65" customFormat="1" x14ac:dyDescent="0.2">
      <c r="D228" s="66"/>
    </row>
    <row r="229" spans="4:4" s="65" customFormat="1" x14ac:dyDescent="0.2">
      <c r="D229" s="66"/>
    </row>
    <row r="230" spans="4:4" s="65" customFormat="1" x14ac:dyDescent="0.2">
      <c r="D230" s="66"/>
    </row>
    <row r="231" spans="4:4" s="65" customFormat="1" x14ac:dyDescent="0.2">
      <c r="D231" s="66"/>
    </row>
    <row r="232" spans="4:4" s="65" customFormat="1" x14ac:dyDescent="0.2">
      <c r="D232" s="66"/>
    </row>
    <row r="233" spans="4:4" s="65" customFormat="1" x14ac:dyDescent="0.2">
      <c r="D233" s="66"/>
    </row>
    <row r="234" spans="4:4" s="65" customFormat="1" x14ac:dyDescent="0.2">
      <c r="D234" s="66"/>
    </row>
    <row r="235" spans="4:4" s="65" customFormat="1" x14ac:dyDescent="0.2">
      <c r="D235" s="66"/>
    </row>
    <row r="236" spans="4:4" s="65" customFormat="1" x14ac:dyDescent="0.2">
      <c r="D236" s="66"/>
    </row>
    <row r="237" spans="4:4" s="65" customFormat="1" x14ac:dyDescent="0.2">
      <c r="D237" s="66"/>
    </row>
    <row r="238" spans="4:4" s="65" customFormat="1" x14ac:dyDescent="0.2">
      <c r="D238" s="66"/>
    </row>
    <row r="239" spans="4:4" s="65" customFormat="1" x14ac:dyDescent="0.2">
      <c r="D239" s="66"/>
    </row>
    <row r="240" spans="4:4" s="65" customFormat="1" x14ac:dyDescent="0.2">
      <c r="D240" s="66"/>
    </row>
    <row r="241" spans="4:4" s="65" customFormat="1" x14ac:dyDescent="0.2">
      <c r="D241" s="66"/>
    </row>
    <row r="242" spans="4:4" s="65" customFormat="1" x14ac:dyDescent="0.2">
      <c r="D242" s="66"/>
    </row>
    <row r="243" spans="4:4" s="65" customFormat="1" x14ac:dyDescent="0.2">
      <c r="D243" s="66"/>
    </row>
    <row r="244" spans="4:4" s="65" customFormat="1" x14ac:dyDescent="0.2">
      <c r="D244" s="66"/>
    </row>
    <row r="245" spans="4:4" s="65" customFormat="1" x14ac:dyDescent="0.2">
      <c r="D245" s="66"/>
    </row>
    <row r="246" spans="4:4" s="65" customFormat="1" x14ac:dyDescent="0.2">
      <c r="D246" s="66"/>
    </row>
    <row r="247" spans="4:4" s="65" customFormat="1" x14ac:dyDescent="0.2">
      <c r="D247" s="66"/>
    </row>
    <row r="248" spans="4:4" s="65" customFormat="1" x14ac:dyDescent="0.2">
      <c r="D248" s="66"/>
    </row>
    <row r="249" spans="4:4" s="65" customFormat="1" x14ac:dyDescent="0.2">
      <c r="D249" s="66"/>
    </row>
    <row r="250" spans="4:4" s="65" customFormat="1" x14ac:dyDescent="0.2">
      <c r="D250" s="66"/>
    </row>
    <row r="251" spans="4:4" s="65" customFormat="1" x14ac:dyDescent="0.2">
      <c r="D251" s="66"/>
    </row>
    <row r="252" spans="4:4" s="65" customFormat="1" x14ac:dyDescent="0.2">
      <c r="D252" s="66"/>
    </row>
    <row r="253" spans="4:4" s="65" customFormat="1" x14ac:dyDescent="0.2">
      <c r="D253" s="66"/>
    </row>
    <row r="254" spans="4:4" s="65" customFormat="1" x14ac:dyDescent="0.2">
      <c r="D254" s="66"/>
    </row>
    <row r="255" spans="4:4" s="65" customFormat="1" x14ac:dyDescent="0.2">
      <c r="D255" s="66"/>
    </row>
    <row r="256" spans="4:4" s="65" customFormat="1" x14ac:dyDescent="0.2">
      <c r="D256" s="66"/>
    </row>
    <row r="257" spans="4:4" s="65" customFormat="1" x14ac:dyDescent="0.2">
      <c r="D257" s="66"/>
    </row>
    <row r="258" spans="4:4" s="65" customFormat="1" x14ac:dyDescent="0.2">
      <c r="D258" s="66"/>
    </row>
    <row r="259" spans="4:4" s="65" customFormat="1" x14ac:dyDescent="0.2">
      <c r="D259" s="66"/>
    </row>
    <row r="260" spans="4:4" s="65" customFormat="1" x14ac:dyDescent="0.2">
      <c r="D260" s="66"/>
    </row>
    <row r="261" spans="4:4" s="65" customFormat="1" x14ac:dyDescent="0.2">
      <c r="D261" s="66"/>
    </row>
    <row r="262" spans="4:4" s="65" customFormat="1" x14ac:dyDescent="0.2">
      <c r="D262" s="66"/>
    </row>
    <row r="263" spans="4:4" s="65" customFormat="1" x14ac:dyDescent="0.2">
      <c r="D263" s="66"/>
    </row>
    <row r="264" spans="4:4" s="65" customFormat="1" x14ac:dyDescent="0.2">
      <c r="D264" s="66"/>
    </row>
    <row r="265" spans="4:4" s="65" customFormat="1" x14ac:dyDescent="0.2">
      <c r="D265" s="66"/>
    </row>
    <row r="266" spans="4:4" s="65" customFormat="1" x14ac:dyDescent="0.2">
      <c r="D266" s="66"/>
    </row>
    <row r="267" spans="4:4" s="65" customFormat="1" x14ac:dyDescent="0.2">
      <c r="D267" s="66"/>
    </row>
    <row r="268" spans="4:4" s="65" customFormat="1" x14ac:dyDescent="0.2">
      <c r="D268" s="66"/>
    </row>
    <row r="269" spans="4:4" s="65" customFormat="1" x14ac:dyDescent="0.2">
      <c r="D269" s="66"/>
    </row>
    <row r="270" spans="4:4" s="65" customFormat="1" x14ac:dyDescent="0.2">
      <c r="D270" s="66"/>
    </row>
    <row r="271" spans="4:4" s="65" customFormat="1" x14ac:dyDescent="0.2">
      <c r="D271" s="66"/>
    </row>
    <row r="272" spans="4:4" s="65" customFormat="1" x14ac:dyDescent="0.2">
      <c r="D272" s="66"/>
    </row>
    <row r="273" spans="4:4" s="65" customFormat="1" x14ac:dyDescent="0.2">
      <c r="D273" s="66"/>
    </row>
    <row r="274" spans="4:4" s="65" customFormat="1" x14ac:dyDescent="0.2">
      <c r="D274" s="66"/>
    </row>
    <row r="275" spans="4:4" s="65" customFormat="1" x14ac:dyDescent="0.2">
      <c r="D275" s="66"/>
    </row>
    <row r="276" spans="4:4" s="65" customFormat="1" x14ac:dyDescent="0.2">
      <c r="D276" s="66"/>
    </row>
    <row r="277" spans="4:4" s="65" customFormat="1" x14ac:dyDescent="0.2">
      <c r="D277" s="66"/>
    </row>
    <row r="278" spans="4:4" s="65" customFormat="1" x14ac:dyDescent="0.2">
      <c r="D278" s="66"/>
    </row>
    <row r="279" spans="4:4" s="65" customFormat="1" x14ac:dyDescent="0.2">
      <c r="D279" s="66"/>
    </row>
    <row r="280" spans="4:4" s="65" customFormat="1" x14ac:dyDescent="0.2">
      <c r="D280" s="66"/>
    </row>
    <row r="281" spans="4:4" s="65" customFormat="1" x14ac:dyDescent="0.2">
      <c r="D281" s="66"/>
    </row>
    <row r="282" spans="4:4" s="65" customFormat="1" x14ac:dyDescent="0.2">
      <c r="D282" s="66"/>
    </row>
    <row r="283" spans="4:4" s="65" customFormat="1" x14ac:dyDescent="0.2">
      <c r="D283" s="66"/>
    </row>
    <row r="284" spans="4:4" s="65" customFormat="1" x14ac:dyDescent="0.2">
      <c r="D284" s="66"/>
    </row>
    <row r="285" spans="4:4" s="65" customFormat="1" x14ac:dyDescent="0.2">
      <c r="D285" s="66"/>
    </row>
  </sheetData>
  <sheetProtection password="A607" sheet="1" objects="1" scenarios="1"/>
  <mergeCells count="10">
    <mergeCell ref="F27:M27"/>
    <mergeCell ref="F30:G30"/>
    <mergeCell ref="E37:M37"/>
    <mergeCell ref="D49:M49"/>
    <mergeCell ref="C2:Q2"/>
    <mergeCell ref="F18:M18"/>
    <mergeCell ref="O18:Q18"/>
    <mergeCell ref="F21:M21"/>
    <mergeCell ref="F24:M24"/>
    <mergeCell ref="C48:M48"/>
  </mergeCells>
  <dataValidations count="5">
    <dataValidation allowBlank="1" showInputMessage="1" showErrorMessage="1" promptTitle="Inclusion" prompt="Enter a number from 0 to 100." sqref="F30:G30"/>
    <dataValidation type="list" allowBlank="1" showInputMessage="1" showErrorMessage="1" sqref="F27:M28">
      <formula1>Placement</formula1>
    </dataValidation>
    <dataValidation type="list" allowBlank="1" showInputMessage="1" showErrorMessage="1" sqref="F21:M21 F18:M18">
      <formula1>dist</formula1>
    </dataValidation>
    <dataValidation type="list" allowBlank="1" showInputMessage="1" showErrorMessage="1" sqref="F24:M25">
      <formula1>Disability_Type</formula1>
    </dataValidation>
    <dataValidation type="list" allowBlank="1" showInputMessage="1" showErrorMessage="1" sqref="WVH983036:WVQ983036 IV65532:JE65532 SR65532:TA65532 ACN65532:ACW65532 AMJ65532:AMS65532 AWF65532:AWO65532 BGB65532:BGK65532 BPX65532:BQG65532 BZT65532:CAC65532 CJP65532:CJY65532 CTL65532:CTU65532 DDH65532:DDQ65532 DND65532:DNM65532 DWZ65532:DXI65532 EGV65532:EHE65532 EQR65532:ERA65532 FAN65532:FAW65532 FKJ65532:FKS65532 FUF65532:FUO65532 GEB65532:GEK65532 GNX65532:GOG65532 GXT65532:GYC65532 HHP65532:HHY65532 HRL65532:HRU65532 IBH65532:IBQ65532 ILD65532:ILM65532 IUZ65532:IVI65532 JEV65532:JFE65532 JOR65532:JPA65532 JYN65532:JYW65532 KIJ65532:KIS65532 KSF65532:KSO65532 LCB65532:LCK65532 LLX65532:LMG65532 LVT65532:LWC65532 MFP65532:MFY65532 MPL65532:MPU65532 MZH65532:MZQ65532 NJD65532:NJM65532 NSZ65532:NTI65532 OCV65532:ODE65532 OMR65532:ONA65532 OWN65532:OWW65532 PGJ65532:PGS65532 PQF65532:PQO65532 QAB65532:QAK65532 QJX65532:QKG65532 QTT65532:QUC65532 RDP65532:RDY65532 RNL65532:RNU65532 RXH65532:RXQ65532 SHD65532:SHM65532 SQZ65532:SRI65532 TAV65532:TBE65532 TKR65532:TLA65532 TUN65532:TUW65532 UEJ65532:UES65532 UOF65532:UOO65532 UYB65532:UYK65532 VHX65532:VIG65532 VRT65532:VSC65532 WBP65532:WBY65532 WLL65532:WLU65532 WVH65532:WVQ65532 IV131068:JE131068 SR131068:TA131068 ACN131068:ACW131068 AMJ131068:AMS131068 AWF131068:AWO131068 BGB131068:BGK131068 BPX131068:BQG131068 BZT131068:CAC131068 CJP131068:CJY131068 CTL131068:CTU131068 DDH131068:DDQ131068 DND131068:DNM131068 DWZ131068:DXI131068 EGV131068:EHE131068 EQR131068:ERA131068 FAN131068:FAW131068 FKJ131068:FKS131068 FUF131068:FUO131068 GEB131068:GEK131068 GNX131068:GOG131068 GXT131068:GYC131068 HHP131068:HHY131068 HRL131068:HRU131068 IBH131068:IBQ131068 ILD131068:ILM131068 IUZ131068:IVI131068 JEV131068:JFE131068 JOR131068:JPA131068 JYN131068:JYW131068 KIJ131068:KIS131068 KSF131068:KSO131068 LCB131068:LCK131068 LLX131068:LMG131068 LVT131068:LWC131068 MFP131068:MFY131068 MPL131068:MPU131068 MZH131068:MZQ131068 NJD131068:NJM131068 NSZ131068:NTI131068 OCV131068:ODE131068 OMR131068:ONA131068 OWN131068:OWW131068 PGJ131068:PGS131068 PQF131068:PQO131068 QAB131068:QAK131068 QJX131068:QKG131068 QTT131068:QUC131068 RDP131068:RDY131068 RNL131068:RNU131068 RXH131068:RXQ131068 SHD131068:SHM131068 SQZ131068:SRI131068 TAV131068:TBE131068 TKR131068:TLA131068 TUN131068:TUW131068 UEJ131068:UES131068 UOF131068:UOO131068 UYB131068:UYK131068 VHX131068:VIG131068 VRT131068:VSC131068 WBP131068:WBY131068 WLL131068:WLU131068 WVH131068:WVQ131068 IV196604:JE196604 SR196604:TA196604 ACN196604:ACW196604 AMJ196604:AMS196604 AWF196604:AWO196604 BGB196604:BGK196604 BPX196604:BQG196604 BZT196604:CAC196604 CJP196604:CJY196604 CTL196604:CTU196604 DDH196604:DDQ196604 DND196604:DNM196604 DWZ196604:DXI196604 EGV196604:EHE196604 EQR196604:ERA196604 FAN196604:FAW196604 FKJ196604:FKS196604 FUF196604:FUO196604 GEB196604:GEK196604 GNX196604:GOG196604 GXT196604:GYC196604 HHP196604:HHY196604 HRL196604:HRU196604 IBH196604:IBQ196604 ILD196604:ILM196604 IUZ196604:IVI196604 JEV196604:JFE196604 JOR196604:JPA196604 JYN196604:JYW196604 KIJ196604:KIS196604 KSF196604:KSO196604 LCB196604:LCK196604 LLX196604:LMG196604 LVT196604:LWC196604 MFP196604:MFY196604 MPL196604:MPU196604 MZH196604:MZQ196604 NJD196604:NJM196604 NSZ196604:NTI196604 OCV196604:ODE196604 OMR196604:ONA196604 OWN196604:OWW196604 PGJ196604:PGS196604 PQF196604:PQO196604 QAB196604:QAK196604 QJX196604:QKG196604 QTT196604:QUC196604 RDP196604:RDY196604 RNL196604:RNU196604 RXH196604:RXQ196604 SHD196604:SHM196604 SQZ196604:SRI196604 TAV196604:TBE196604 TKR196604:TLA196604 TUN196604:TUW196604 UEJ196604:UES196604 UOF196604:UOO196604 UYB196604:UYK196604 VHX196604:VIG196604 VRT196604:VSC196604 WBP196604:WBY196604 WLL196604:WLU196604 WVH196604:WVQ196604 IV262140:JE262140 SR262140:TA262140 ACN262140:ACW262140 AMJ262140:AMS262140 AWF262140:AWO262140 BGB262140:BGK262140 BPX262140:BQG262140 BZT262140:CAC262140 CJP262140:CJY262140 CTL262140:CTU262140 DDH262140:DDQ262140 DND262140:DNM262140 DWZ262140:DXI262140 EGV262140:EHE262140 EQR262140:ERA262140 FAN262140:FAW262140 FKJ262140:FKS262140 FUF262140:FUO262140 GEB262140:GEK262140 GNX262140:GOG262140 GXT262140:GYC262140 HHP262140:HHY262140 HRL262140:HRU262140 IBH262140:IBQ262140 ILD262140:ILM262140 IUZ262140:IVI262140 JEV262140:JFE262140 JOR262140:JPA262140 JYN262140:JYW262140 KIJ262140:KIS262140 KSF262140:KSO262140 LCB262140:LCK262140 LLX262140:LMG262140 LVT262140:LWC262140 MFP262140:MFY262140 MPL262140:MPU262140 MZH262140:MZQ262140 NJD262140:NJM262140 NSZ262140:NTI262140 OCV262140:ODE262140 OMR262140:ONA262140 OWN262140:OWW262140 PGJ262140:PGS262140 PQF262140:PQO262140 QAB262140:QAK262140 QJX262140:QKG262140 QTT262140:QUC262140 RDP262140:RDY262140 RNL262140:RNU262140 RXH262140:RXQ262140 SHD262140:SHM262140 SQZ262140:SRI262140 TAV262140:TBE262140 TKR262140:TLA262140 TUN262140:TUW262140 UEJ262140:UES262140 UOF262140:UOO262140 UYB262140:UYK262140 VHX262140:VIG262140 VRT262140:VSC262140 WBP262140:WBY262140 WLL262140:WLU262140 WVH262140:WVQ262140 IV327676:JE327676 SR327676:TA327676 ACN327676:ACW327676 AMJ327676:AMS327676 AWF327676:AWO327676 BGB327676:BGK327676 BPX327676:BQG327676 BZT327676:CAC327676 CJP327676:CJY327676 CTL327676:CTU327676 DDH327676:DDQ327676 DND327676:DNM327676 DWZ327676:DXI327676 EGV327676:EHE327676 EQR327676:ERA327676 FAN327676:FAW327676 FKJ327676:FKS327676 FUF327676:FUO327676 GEB327676:GEK327676 GNX327676:GOG327676 GXT327676:GYC327676 HHP327676:HHY327676 HRL327676:HRU327676 IBH327676:IBQ327676 ILD327676:ILM327676 IUZ327676:IVI327676 JEV327676:JFE327676 JOR327676:JPA327676 JYN327676:JYW327676 KIJ327676:KIS327676 KSF327676:KSO327676 LCB327676:LCK327676 LLX327676:LMG327676 LVT327676:LWC327676 MFP327676:MFY327676 MPL327676:MPU327676 MZH327676:MZQ327676 NJD327676:NJM327676 NSZ327676:NTI327676 OCV327676:ODE327676 OMR327676:ONA327676 OWN327676:OWW327676 PGJ327676:PGS327676 PQF327676:PQO327676 QAB327676:QAK327676 QJX327676:QKG327676 QTT327676:QUC327676 RDP327676:RDY327676 RNL327676:RNU327676 RXH327676:RXQ327676 SHD327676:SHM327676 SQZ327676:SRI327676 TAV327676:TBE327676 TKR327676:TLA327676 TUN327676:TUW327676 UEJ327676:UES327676 UOF327676:UOO327676 UYB327676:UYK327676 VHX327676:VIG327676 VRT327676:VSC327676 WBP327676:WBY327676 WLL327676:WLU327676 WVH327676:WVQ327676 IV393212:JE393212 SR393212:TA393212 ACN393212:ACW393212 AMJ393212:AMS393212 AWF393212:AWO393212 BGB393212:BGK393212 BPX393212:BQG393212 BZT393212:CAC393212 CJP393212:CJY393212 CTL393212:CTU393212 DDH393212:DDQ393212 DND393212:DNM393212 DWZ393212:DXI393212 EGV393212:EHE393212 EQR393212:ERA393212 FAN393212:FAW393212 FKJ393212:FKS393212 FUF393212:FUO393212 GEB393212:GEK393212 GNX393212:GOG393212 GXT393212:GYC393212 HHP393212:HHY393212 HRL393212:HRU393212 IBH393212:IBQ393212 ILD393212:ILM393212 IUZ393212:IVI393212 JEV393212:JFE393212 JOR393212:JPA393212 JYN393212:JYW393212 KIJ393212:KIS393212 KSF393212:KSO393212 LCB393212:LCK393212 LLX393212:LMG393212 LVT393212:LWC393212 MFP393212:MFY393212 MPL393212:MPU393212 MZH393212:MZQ393212 NJD393212:NJM393212 NSZ393212:NTI393212 OCV393212:ODE393212 OMR393212:ONA393212 OWN393212:OWW393212 PGJ393212:PGS393212 PQF393212:PQO393212 QAB393212:QAK393212 QJX393212:QKG393212 QTT393212:QUC393212 RDP393212:RDY393212 RNL393212:RNU393212 RXH393212:RXQ393212 SHD393212:SHM393212 SQZ393212:SRI393212 TAV393212:TBE393212 TKR393212:TLA393212 TUN393212:TUW393212 UEJ393212:UES393212 UOF393212:UOO393212 UYB393212:UYK393212 VHX393212:VIG393212 VRT393212:VSC393212 WBP393212:WBY393212 WLL393212:WLU393212 WVH393212:WVQ393212 IV458748:JE458748 SR458748:TA458748 ACN458748:ACW458748 AMJ458748:AMS458748 AWF458748:AWO458748 BGB458748:BGK458748 BPX458748:BQG458748 BZT458748:CAC458748 CJP458748:CJY458748 CTL458748:CTU458748 DDH458748:DDQ458748 DND458748:DNM458748 DWZ458748:DXI458748 EGV458748:EHE458748 EQR458748:ERA458748 FAN458748:FAW458748 FKJ458748:FKS458748 FUF458748:FUO458748 GEB458748:GEK458748 GNX458748:GOG458748 GXT458748:GYC458748 HHP458748:HHY458748 HRL458748:HRU458748 IBH458748:IBQ458748 ILD458748:ILM458748 IUZ458748:IVI458748 JEV458748:JFE458748 JOR458748:JPA458748 JYN458748:JYW458748 KIJ458748:KIS458748 KSF458748:KSO458748 LCB458748:LCK458748 LLX458748:LMG458748 LVT458748:LWC458748 MFP458748:MFY458748 MPL458748:MPU458748 MZH458748:MZQ458748 NJD458748:NJM458748 NSZ458748:NTI458748 OCV458748:ODE458748 OMR458748:ONA458748 OWN458748:OWW458748 PGJ458748:PGS458748 PQF458748:PQO458748 QAB458748:QAK458748 QJX458748:QKG458748 QTT458748:QUC458748 RDP458748:RDY458748 RNL458748:RNU458748 RXH458748:RXQ458748 SHD458748:SHM458748 SQZ458748:SRI458748 TAV458748:TBE458748 TKR458748:TLA458748 TUN458748:TUW458748 UEJ458748:UES458748 UOF458748:UOO458748 UYB458748:UYK458748 VHX458748:VIG458748 VRT458748:VSC458748 WBP458748:WBY458748 WLL458748:WLU458748 WVH458748:WVQ458748 IV524284:JE524284 SR524284:TA524284 ACN524284:ACW524284 AMJ524284:AMS524284 AWF524284:AWO524284 BGB524284:BGK524284 BPX524284:BQG524284 BZT524284:CAC524284 CJP524284:CJY524284 CTL524284:CTU524284 DDH524284:DDQ524284 DND524284:DNM524284 DWZ524284:DXI524284 EGV524284:EHE524284 EQR524284:ERA524284 FAN524284:FAW524284 FKJ524284:FKS524284 FUF524284:FUO524284 GEB524284:GEK524284 GNX524284:GOG524284 GXT524284:GYC524284 HHP524284:HHY524284 HRL524284:HRU524284 IBH524284:IBQ524284 ILD524284:ILM524284 IUZ524284:IVI524284 JEV524284:JFE524284 JOR524284:JPA524284 JYN524284:JYW524284 KIJ524284:KIS524284 KSF524284:KSO524284 LCB524284:LCK524284 LLX524284:LMG524284 LVT524284:LWC524284 MFP524284:MFY524284 MPL524284:MPU524284 MZH524284:MZQ524284 NJD524284:NJM524284 NSZ524284:NTI524284 OCV524284:ODE524284 OMR524284:ONA524284 OWN524284:OWW524284 PGJ524284:PGS524284 PQF524284:PQO524284 QAB524284:QAK524284 QJX524284:QKG524284 QTT524284:QUC524284 RDP524284:RDY524284 RNL524284:RNU524284 RXH524284:RXQ524284 SHD524284:SHM524284 SQZ524284:SRI524284 TAV524284:TBE524284 TKR524284:TLA524284 TUN524284:TUW524284 UEJ524284:UES524284 UOF524284:UOO524284 UYB524284:UYK524284 VHX524284:VIG524284 VRT524284:VSC524284 WBP524284:WBY524284 WLL524284:WLU524284 WVH524284:WVQ524284 IV589820:JE589820 SR589820:TA589820 ACN589820:ACW589820 AMJ589820:AMS589820 AWF589820:AWO589820 BGB589820:BGK589820 BPX589820:BQG589820 BZT589820:CAC589820 CJP589820:CJY589820 CTL589820:CTU589820 DDH589820:DDQ589820 DND589820:DNM589820 DWZ589820:DXI589820 EGV589820:EHE589820 EQR589820:ERA589820 FAN589820:FAW589820 FKJ589820:FKS589820 FUF589820:FUO589820 GEB589820:GEK589820 GNX589820:GOG589820 GXT589820:GYC589820 HHP589820:HHY589820 HRL589820:HRU589820 IBH589820:IBQ589820 ILD589820:ILM589820 IUZ589820:IVI589820 JEV589820:JFE589820 JOR589820:JPA589820 JYN589820:JYW589820 KIJ589820:KIS589820 KSF589820:KSO589820 LCB589820:LCK589820 LLX589820:LMG589820 LVT589820:LWC589820 MFP589820:MFY589820 MPL589820:MPU589820 MZH589820:MZQ589820 NJD589820:NJM589820 NSZ589820:NTI589820 OCV589820:ODE589820 OMR589820:ONA589820 OWN589820:OWW589820 PGJ589820:PGS589820 PQF589820:PQO589820 QAB589820:QAK589820 QJX589820:QKG589820 QTT589820:QUC589820 RDP589820:RDY589820 RNL589820:RNU589820 RXH589820:RXQ589820 SHD589820:SHM589820 SQZ589820:SRI589820 TAV589820:TBE589820 TKR589820:TLA589820 TUN589820:TUW589820 UEJ589820:UES589820 UOF589820:UOO589820 UYB589820:UYK589820 VHX589820:VIG589820 VRT589820:VSC589820 WBP589820:WBY589820 WLL589820:WLU589820 WVH589820:WVQ589820 IV655356:JE655356 SR655356:TA655356 ACN655356:ACW655356 AMJ655356:AMS655356 AWF655356:AWO655356 BGB655356:BGK655356 BPX655356:BQG655356 BZT655356:CAC655356 CJP655356:CJY655356 CTL655356:CTU655356 DDH655356:DDQ655356 DND655356:DNM655356 DWZ655356:DXI655356 EGV655356:EHE655356 EQR655356:ERA655356 FAN655356:FAW655356 FKJ655356:FKS655356 FUF655356:FUO655356 GEB655356:GEK655356 GNX655356:GOG655356 GXT655356:GYC655356 HHP655356:HHY655356 HRL655356:HRU655356 IBH655356:IBQ655356 ILD655356:ILM655356 IUZ655356:IVI655356 JEV655356:JFE655356 JOR655356:JPA655356 JYN655356:JYW655356 KIJ655356:KIS655356 KSF655356:KSO655356 LCB655356:LCK655356 LLX655356:LMG655356 LVT655356:LWC655356 MFP655356:MFY655356 MPL655356:MPU655356 MZH655356:MZQ655356 NJD655356:NJM655356 NSZ655356:NTI655356 OCV655356:ODE655356 OMR655356:ONA655356 OWN655356:OWW655356 PGJ655356:PGS655356 PQF655356:PQO655356 QAB655356:QAK655356 QJX655356:QKG655356 QTT655356:QUC655356 RDP655356:RDY655356 RNL655356:RNU655356 RXH655356:RXQ655356 SHD655356:SHM655356 SQZ655356:SRI655356 TAV655356:TBE655356 TKR655356:TLA655356 TUN655356:TUW655356 UEJ655356:UES655356 UOF655356:UOO655356 UYB655356:UYK655356 VHX655356:VIG655356 VRT655356:VSC655356 WBP655356:WBY655356 WLL655356:WLU655356 WVH655356:WVQ655356 IV720892:JE720892 SR720892:TA720892 ACN720892:ACW720892 AMJ720892:AMS720892 AWF720892:AWO720892 BGB720892:BGK720892 BPX720892:BQG720892 BZT720892:CAC720892 CJP720892:CJY720892 CTL720892:CTU720892 DDH720892:DDQ720892 DND720892:DNM720892 DWZ720892:DXI720892 EGV720892:EHE720892 EQR720892:ERA720892 FAN720892:FAW720892 FKJ720892:FKS720892 FUF720892:FUO720892 GEB720892:GEK720892 GNX720892:GOG720892 GXT720892:GYC720892 HHP720892:HHY720892 HRL720892:HRU720892 IBH720892:IBQ720892 ILD720892:ILM720892 IUZ720892:IVI720892 JEV720892:JFE720892 JOR720892:JPA720892 JYN720892:JYW720892 KIJ720892:KIS720892 KSF720892:KSO720892 LCB720892:LCK720892 LLX720892:LMG720892 LVT720892:LWC720892 MFP720892:MFY720892 MPL720892:MPU720892 MZH720892:MZQ720892 NJD720892:NJM720892 NSZ720892:NTI720892 OCV720892:ODE720892 OMR720892:ONA720892 OWN720892:OWW720892 PGJ720892:PGS720892 PQF720892:PQO720892 QAB720892:QAK720892 QJX720892:QKG720892 QTT720892:QUC720892 RDP720892:RDY720892 RNL720892:RNU720892 RXH720892:RXQ720892 SHD720892:SHM720892 SQZ720892:SRI720892 TAV720892:TBE720892 TKR720892:TLA720892 TUN720892:TUW720892 UEJ720892:UES720892 UOF720892:UOO720892 UYB720892:UYK720892 VHX720892:VIG720892 VRT720892:VSC720892 WBP720892:WBY720892 WLL720892:WLU720892 WVH720892:WVQ720892 IV786428:JE786428 SR786428:TA786428 ACN786428:ACW786428 AMJ786428:AMS786428 AWF786428:AWO786428 BGB786428:BGK786428 BPX786428:BQG786428 BZT786428:CAC786428 CJP786428:CJY786428 CTL786428:CTU786428 DDH786428:DDQ786428 DND786428:DNM786428 DWZ786428:DXI786428 EGV786428:EHE786428 EQR786428:ERA786428 FAN786428:FAW786428 FKJ786428:FKS786428 FUF786428:FUO786428 GEB786428:GEK786428 GNX786428:GOG786428 GXT786428:GYC786428 HHP786428:HHY786428 HRL786428:HRU786428 IBH786428:IBQ786428 ILD786428:ILM786428 IUZ786428:IVI786428 JEV786428:JFE786428 JOR786428:JPA786428 JYN786428:JYW786428 KIJ786428:KIS786428 KSF786428:KSO786428 LCB786428:LCK786428 LLX786428:LMG786428 LVT786428:LWC786428 MFP786428:MFY786428 MPL786428:MPU786428 MZH786428:MZQ786428 NJD786428:NJM786428 NSZ786428:NTI786428 OCV786428:ODE786428 OMR786428:ONA786428 OWN786428:OWW786428 PGJ786428:PGS786428 PQF786428:PQO786428 QAB786428:QAK786428 QJX786428:QKG786428 QTT786428:QUC786428 RDP786428:RDY786428 RNL786428:RNU786428 RXH786428:RXQ786428 SHD786428:SHM786428 SQZ786428:SRI786428 TAV786428:TBE786428 TKR786428:TLA786428 TUN786428:TUW786428 UEJ786428:UES786428 UOF786428:UOO786428 UYB786428:UYK786428 VHX786428:VIG786428 VRT786428:VSC786428 WBP786428:WBY786428 WLL786428:WLU786428 WVH786428:WVQ786428 IV851964:JE851964 SR851964:TA851964 ACN851964:ACW851964 AMJ851964:AMS851964 AWF851964:AWO851964 BGB851964:BGK851964 BPX851964:BQG851964 BZT851964:CAC851964 CJP851964:CJY851964 CTL851964:CTU851964 DDH851964:DDQ851964 DND851964:DNM851964 DWZ851964:DXI851964 EGV851964:EHE851964 EQR851964:ERA851964 FAN851964:FAW851964 FKJ851964:FKS851964 FUF851964:FUO851964 GEB851964:GEK851964 GNX851964:GOG851964 GXT851964:GYC851964 HHP851964:HHY851964 HRL851964:HRU851964 IBH851964:IBQ851964 ILD851964:ILM851964 IUZ851964:IVI851964 JEV851964:JFE851964 JOR851964:JPA851964 JYN851964:JYW851964 KIJ851964:KIS851964 KSF851964:KSO851964 LCB851964:LCK851964 LLX851964:LMG851964 LVT851964:LWC851964 MFP851964:MFY851964 MPL851964:MPU851964 MZH851964:MZQ851964 NJD851964:NJM851964 NSZ851964:NTI851964 OCV851964:ODE851964 OMR851964:ONA851964 OWN851964:OWW851964 PGJ851964:PGS851964 PQF851964:PQO851964 QAB851964:QAK851964 QJX851964:QKG851964 QTT851964:QUC851964 RDP851964:RDY851964 RNL851964:RNU851964 RXH851964:RXQ851964 SHD851964:SHM851964 SQZ851964:SRI851964 TAV851964:TBE851964 TKR851964:TLA851964 TUN851964:TUW851964 UEJ851964:UES851964 UOF851964:UOO851964 UYB851964:UYK851964 VHX851964:VIG851964 VRT851964:VSC851964 WBP851964:WBY851964 WLL851964:WLU851964 WVH851964:WVQ851964 IV917500:JE917500 SR917500:TA917500 ACN917500:ACW917500 AMJ917500:AMS917500 AWF917500:AWO917500 BGB917500:BGK917500 BPX917500:BQG917500 BZT917500:CAC917500 CJP917500:CJY917500 CTL917500:CTU917500 DDH917500:DDQ917500 DND917500:DNM917500 DWZ917500:DXI917500 EGV917500:EHE917500 EQR917500:ERA917500 FAN917500:FAW917500 FKJ917500:FKS917500 FUF917500:FUO917500 GEB917500:GEK917500 GNX917500:GOG917500 GXT917500:GYC917500 HHP917500:HHY917500 HRL917500:HRU917500 IBH917500:IBQ917500 ILD917500:ILM917500 IUZ917500:IVI917500 JEV917500:JFE917500 JOR917500:JPA917500 JYN917500:JYW917500 KIJ917500:KIS917500 KSF917500:KSO917500 LCB917500:LCK917500 LLX917500:LMG917500 LVT917500:LWC917500 MFP917500:MFY917500 MPL917500:MPU917500 MZH917500:MZQ917500 NJD917500:NJM917500 NSZ917500:NTI917500 OCV917500:ODE917500 OMR917500:ONA917500 OWN917500:OWW917500 PGJ917500:PGS917500 PQF917500:PQO917500 QAB917500:QAK917500 QJX917500:QKG917500 QTT917500:QUC917500 RDP917500:RDY917500 RNL917500:RNU917500 RXH917500:RXQ917500 SHD917500:SHM917500 SQZ917500:SRI917500 TAV917500:TBE917500 TKR917500:TLA917500 TUN917500:TUW917500 UEJ917500:UES917500 UOF917500:UOO917500 UYB917500:UYK917500 VHX917500:VIG917500 VRT917500:VSC917500 WBP917500:WBY917500 WLL917500:WLU917500 WVH917500:WVQ917500 IV983036:JE983036 SR983036:TA983036 ACN983036:ACW983036 AMJ983036:AMS983036 AWF983036:AWO983036 BGB983036:BGK983036 BPX983036:BQG983036 BZT983036:CAC983036 CJP983036:CJY983036 CTL983036:CTU983036 DDH983036:DDQ983036 DND983036:DNM983036 DWZ983036:DXI983036 EGV983036:EHE983036 EQR983036:ERA983036 FAN983036:FAW983036 FKJ983036:FKS983036 FUF983036:FUO983036 GEB983036:GEK983036 GNX983036:GOG983036 GXT983036:GYC983036 HHP983036:HHY983036 HRL983036:HRU983036 IBH983036:IBQ983036 ILD983036:ILM983036 IUZ983036:IVI983036 JEV983036:JFE983036 JOR983036:JPA983036 JYN983036:JYW983036 KIJ983036:KIS983036 KSF983036:KSO983036 LCB983036:LCK983036 LLX983036:LMG983036 LVT983036:LWC983036 MFP983036:MFY983036 MPL983036:MPU983036 MZH983036:MZQ983036 NJD983036:NJM983036 NSZ983036:NTI983036 OCV983036:ODE983036 OMR983036:ONA983036 OWN983036:OWW983036 PGJ983036:PGS983036 PQF983036:PQO983036 QAB983036:QAK983036 QJX983036:QKG983036 QTT983036:QUC983036 RDP983036:RDY983036 RNL983036:RNU983036 RXH983036:RXQ983036 SHD983036:SHM983036 SQZ983036:SRI983036 TAV983036:TBE983036 TKR983036:TLA983036 TUN983036:TUW983036 UEJ983036:UES983036 UOF983036:UOO983036 UYB983036:UYK983036 VHX983036:VIG983036 VRT983036:VSC983036 WBP983036:WBY983036 WLL983036:WLU983036 E983036:L983036 E917500:L917500 E851964:L851964 E786428:L786428 E720892:L720892 E655356:L655356 E589820:L589820 E524284:L524284 E458748:L458748 E393212:L393212 E327676:L327676 E262140:L262140 E196604:L196604 E131068:L131068 E65532:L65532 IW18:JF18 SS18:TB18 ACO18:ACX18 AMK18:AMT18 AWG18:AWP18 BGC18:BGL18 BPY18:BQH18 BZU18:CAD18 CJQ18:CJZ18 CTM18:CTV18 DDI18:DDR18 DNE18:DNN18 DXA18:DXJ18 EGW18:EHF18 EQS18:ERB18 FAO18:FAX18 FKK18:FKT18 FUG18:FUP18 GEC18:GEL18 GNY18:GOH18 GXU18:GYD18 HHQ18:HHZ18 HRM18:HRV18 IBI18:IBR18 ILE18:ILN18 IVA18:IVJ18 JEW18:JFF18 JOS18:JPB18 JYO18:JYX18 KIK18:KIT18 KSG18:KSP18 LCC18:LCL18 LLY18:LMH18 LVU18:LWD18 MFQ18:MFZ18 MPM18:MPV18 MZI18:MZR18 NJE18:NJN18 NTA18:NTJ18 OCW18:ODF18 OMS18:ONB18 OWO18:OWX18 PGK18:PGT18 PQG18:PQP18 QAC18:QAL18 QJY18:QKH18 QTU18:QUD18 RDQ18:RDZ18 RNM18:RNV18 RXI18:RXR18 SHE18:SHN18 SRA18:SRJ18 TAW18:TBF18 TKS18:TLB18 TUO18:TUX18 UEK18:UET18 UOG18:UOP18 UYC18:UYL18 VHY18:VIH18 VRU18:VSD18 WBQ18:WBZ18 WLM18:WLV18 WVI18:WVR18">
      <formula1>dist_county</formula1>
    </dataValidation>
  </dataValidations>
  <pageMargins left="0.25" right="0.25" top="0.75" bottom="0.75" header="0.3" footer="0.3"/>
  <pageSetup scale="54" orientation="portrait" verticalDpi="4" r:id="rId1"/>
  <headerFooter>
    <oddFooter>&amp;LFY2010 ODE SF-6 Excess Cost Specific Student form</oddFooter>
  </headerFooter>
  <ignoredErrors>
    <ignoredError sqref="P36 Q42:Q43 Q58:Q60 Q40 Q50 Q51:Q55 P1 Q44:Q46 N40 N42:N46 O35" unlockedFormula="1"/>
    <ignoredError sqref="N38:N39 Q39" evalError="1"/>
    <ignoredError sqref="N41:O41 Q41 O38:O39 Q61" evalError="1" unlockedFormula="1"/>
    <ignoredError sqref="D58:D61 D33 D35:D36" numberStoredAsText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97"/>
  <sheetViews>
    <sheetView workbookViewId="0">
      <selection activeCell="H18" sqref="H18"/>
    </sheetView>
  </sheetViews>
  <sheetFormatPr defaultColWidth="7.5703125" defaultRowHeight="12.75" x14ac:dyDescent="0.2"/>
  <cols>
    <col min="1" max="1" width="5.85546875" style="17" customWidth="1"/>
    <col min="2" max="2" width="17.5703125" style="17" customWidth="1"/>
    <col min="3" max="3" width="13.140625" style="17" bestFit="1" customWidth="1"/>
    <col min="4" max="4" width="17.85546875" style="28" customWidth="1"/>
    <col min="5" max="5" width="15.7109375" style="28" bestFit="1" customWidth="1"/>
    <col min="6" max="6" width="18.85546875" style="28" bestFit="1" customWidth="1"/>
    <col min="7" max="7" width="16.5703125" style="17" customWidth="1"/>
    <col min="8" max="8" width="18.7109375" style="17" customWidth="1"/>
    <col min="9" max="10" width="14.7109375" style="17" customWidth="1"/>
    <col min="11" max="11" width="18.85546875" style="17" bestFit="1" customWidth="1"/>
    <col min="12" max="12" width="7.5703125" style="18"/>
    <col min="13" max="16384" width="7.5703125" style="17"/>
  </cols>
  <sheetData>
    <row r="1" spans="2:17" x14ac:dyDescent="0.2">
      <c r="C1" s="3"/>
      <c r="D1" s="31"/>
      <c r="E1" s="26"/>
      <c r="F1" s="31"/>
      <c r="G1" s="3"/>
      <c r="H1" s="14">
        <f ca="1">NOW()</f>
        <v>41654.450239699072</v>
      </c>
      <c r="J1" s="3"/>
      <c r="K1" s="3"/>
      <c r="L1" s="16"/>
      <c r="M1" s="3"/>
      <c r="N1" s="3"/>
      <c r="O1" s="3"/>
      <c r="Q1" s="3"/>
    </row>
    <row r="2" spans="2:17" ht="15.75" x14ac:dyDescent="0.25">
      <c r="C2" s="15"/>
      <c r="D2" s="27"/>
      <c r="E2" s="27"/>
      <c r="F2" s="27"/>
      <c r="G2" s="15"/>
      <c r="H2" s="15"/>
      <c r="I2" s="15"/>
      <c r="J2" s="15"/>
      <c r="K2" s="15"/>
      <c r="L2" s="21"/>
      <c r="M2" s="15"/>
      <c r="N2" s="15"/>
      <c r="O2" s="15"/>
      <c r="P2" s="15"/>
      <c r="Q2" s="15"/>
    </row>
    <row r="3" spans="2:17" ht="15.75" x14ac:dyDescent="0.25">
      <c r="C3" s="15"/>
      <c r="D3" s="27"/>
      <c r="E3" s="27"/>
      <c r="F3" s="27"/>
      <c r="G3" s="15"/>
      <c r="H3" s="15"/>
      <c r="I3" s="15"/>
      <c r="J3" s="15"/>
      <c r="K3" s="15"/>
      <c r="L3" s="21"/>
      <c r="M3" s="15"/>
      <c r="N3" s="15"/>
      <c r="O3" s="15"/>
      <c r="P3" s="15"/>
      <c r="Q3" s="15"/>
    </row>
    <row r="4" spans="2:17" ht="15.75" x14ac:dyDescent="0.25">
      <c r="C4" s="15"/>
      <c r="D4" s="27"/>
      <c r="F4" s="15"/>
      <c r="H4" s="5"/>
      <c r="I4" s="4"/>
      <c r="L4" s="22"/>
      <c r="M4" s="4"/>
      <c r="N4" s="15"/>
      <c r="O4" s="15"/>
      <c r="P4" s="15"/>
      <c r="Q4" s="15"/>
    </row>
    <row r="5" spans="2:17" ht="15.75" x14ac:dyDescent="0.25">
      <c r="C5" s="4"/>
      <c r="D5" s="29"/>
      <c r="F5" s="15" t="s">
        <v>1399</v>
      </c>
      <c r="H5" s="5"/>
      <c r="I5" s="4"/>
      <c r="L5" s="22"/>
      <c r="M5" s="4"/>
    </row>
    <row r="6" spans="2:17" ht="15.75" x14ac:dyDescent="0.25">
      <c r="C6" s="4"/>
      <c r="D6" s="29"/>
      <c r="F6" s="15" t="s">
        <v>2</v>
      </c>
      <c r="H6" s="5"/>
      <c r="I6" s="4"/>
      <c r="L6" s="22"/>
      <c r="M6" s="4"/>
    </row>
    <row r="7" spans="2:17" ht="15.75" x14ac:dyDescent="0.25">
      <c r="C7" s="4"/>
      <c r="D7" s="29"/>
      <c r="F7" s="15" t="s">
        <v>3</v>
      </c>
      <c r="H7" s="5"/>
      <c r="I7" s="4"/>
      <c r="L7" s="22"/>
      <c r="M7" s="4"/>
    </row>
    <row r="8" spans="2:17" ht="15.75" x14ac:dyDescent="0.25">
      <c r="C8" s="4"/>
      <c r="D8" s="29"/>
      <c r="F8" s="15"/>
      <c r="H8" s="5"/>
      <c r="I8" s="4"/>
      <c r="L8" s="22"/>
      <c r="M8" s="4"/>
    </row>
    <row r="9" spans="2:17" x14ac:dyDescent="0.2">
      <c r="C9" s="4"/>
      <c r="D9" s="29"/>
      <c r="F9" s="6" t="s">
        <v>4</v>
      </c>
      <c r="H9" s="5"/>
      <c r="I9" s="4"/>
      <c r="L9" s="22"/>
      <c r="M9" s="4"/>
    </row>
    <row r="10" spans="2:17" x14ac:dyDescent="0.2">
      <c r="C10" s="4"/>
      <c r="D10" s="29"/>
      <c r="F10" s="6" t="s">
        <v>5</v>
      </c>
      <c r="H10" s="5"/>
      <c r="I10" s="4"/>
      <c r="L10" s="22"/>
      <c r="M10" s="4"/>
    </row>
    <row r="11" spans="2:17" x14ac:dyDescent="0.2">
      <c r="C11" s="4"/>
      <c r="D11" s="29"/>
      <c r="F11" s="7" t="s">
        <v>1400</v>
      </c>
      <c r="H11" s="5"/>
      <c r="I11" s="4"/>
      <c r="L11" s="22"/>
      <c r="M11" s="4"/>
    </row>
    <row r="12" spans="2:17" x14ac:dyDescent="0.2">
      <c r="C12" s="4"/>
      <c r="D12" s="29"/>
      <c r="E12" s="29"/>
      <c r="F12" s="29"/>
      <c r="G12" s="4"/>
      <c r="H12" s="4"/>
      <c r="I12" s="4"/>
    </row>
    <row r="15" spans="2:17" x14ac:dyDescent="0.2">
      <c r="B15" s="200" t="s">
        <v>1337</v>
      </c>
      <c r="C15" s="206" t="s">
        <v>1306</v>
      </c>
      <c r="D15" s="202" t="s">
        <v>1341</v>
      </c>
      <c r="E15" s="207" t="s">
        <v>1307</v>
      </c>
      <c r="F15" s="207" t="s">
        <v>1308</v>
      </c>
      <c r="G15" s="198" t="s">
        <v>1313</v>
      </c>
      <c r="H15" s="204" t="s">
        <v>1309</v>
      </c>
      <c r="I15" s="205"/>
      <c r="J15" s="198" t="s">
        <v>1312</v>
      </c>
      <c r="K15" s="18"/>
      <c r="L15" s="17"/>
    </row>
    <row r="16" spans="2:17" ht="27" customHeight="1" x14ac:dyDescent="0.2">
      <c r="B16" s="201"/>
      <c r="C16" s="206"/>
      <c r="D16" s="203"/>
      <c r="E16" s="207"/>
      <c r="F16" s="207"/>
      <c r="G16" s="199"/>
      <c r="H16" s="23" t="s">
        <v>1310</v>
      </c>
      <c r="I16" s="25" t="s">
        <v>1311</v>
      </c>
      <c r="J16" s="199"/>
      <c r="K16" s="18"/>
      <c r="L16" s="17"/>
    </row>
    <row r="17" spans="1:12" x14ac:dyDescent="0.2">
      <c r="A17" s="19">
        <v>1</v>
      </c>
      <c r="B17" s="20" t="s">
        <v>1338</v>
      </c>
      <c r="C17" s="24" t="s">
        <v>1339</v>
      </c>
      <c r="D17" s="30" t="s">
        <v>1340</v>
      </c>
      <c r="E17" s="30" t="s">
        <v>1329</v>
      </c>
      <c r="F17" s="30" t="s">
        <v>1347</v>
      </c>
      <c r="G17" s="24" t="s">
        <v>1348</v>
      </c>
      <c r="H17" s="48">
        <v>40411</v>
      </c>
      <c r="I17" s="48">
        <v>40713</v>
      </c>
      <c r="J17" s="24">
        <v>180</v>
      </c>
      <c r="K17" s="18"/>
      <c r="L17" s="17"/>
    </row>
    <row r="18" spans="1:12" x14ac:dyDescent="0.2">
      <c r="A18" s="19">
        <v>2</v>
      </c>
      <c r="B18" s="20"/>
      <c r="C18" s="24"/>
      <c r="D18" s="30"/>
      <c r="E18" s="30"/>
      <c r="F18" s="30"/>
      <c r="G18" s="24"/>
      <c r="H18" s="48"/>
      <c r="I18" s="48"/>
      <c r="J18" s="24"/>
      <c r="K18" s="18"/>
      <c r="L18" s="17"/>
    </row>
    <row r="19" spans="1:12" x14ac:dyDescent="0.2">
      <c r="A19" s="19">
        <v>3</v>
      </c>
      <c r="B19" s="20"/>
      <c r="C19" s="24"/>
      <c r="D19" s="30"/>
      <c r="E19" s="30"/>
      <c r="F19" s="30"/>
      <c r="G19" s="24"/>
      <c r="H19" s="48"/>
      <c r="I19" s="48"/>
      <c r="J19" s="24"/>
      <c r="K19" s="18"/>
      <c r="L19" s="17"/>
    </row>
    <row r="20" spans="1:12" x14ac:dyDescent="0.2">
      <c r="A20" s="19">
        <v>4</v>
      </c>
      <c r="B20" s="20"/>
      <c r="C20" s="24"/>
      <c r="D20" s="30"/>
      <c r="E20" s="30"/>
      <c r="F20" s="30"/>
      <c r="G20" s="24"/>
      <c r="H20" s="48"/>
      <c r="I20" s="48"/>
      <c r="J20" s="24"/>
      <c r="K20" s="18"/>
      <c r="L20" s="17"/>
    </row>
    <row r="21" spans="1:12" x14ac:dyDescent="0.2">
      <c r="A21" s="19">
        <v>5</v>
      </c>
      <c r="B21" s="20"/>
      <c r="C21" s="24"/>
      <c r="D21" s="30"/>
      <c r="E21" s="30"/>
      <c r="F21" s="30"/>
      <c r="G21" s="24"/>
      <c r="H21" s="48"/>
      <c r="I21" s="48"/>
      <c r="J21" s="24"/>
      <c r="K21" s="18"/>
      <c r="L21" s="17"/>
    </row>
    <row r="22" spans="1:12" x14ac:dyDescent="0.2">
      <c r="A22" s="19">
        <v>6</v>
      </c>
      <c r="B22" s="20"/>
      <c r="C22" s="24"/>
      <c r="D22" s="30"/>
      <c r="E22" s="30"/>
      <c r="F22" s="30"/>
      <c r="G22" s="24"/>
      <c r="H22" s="48"/>
      <c r="I22" s="48"/>
      <c r="J22" s="24"/>
      <c r="K22" s="18"/>
      <c r="L22" s="17"/>
    </row>
    <row r="23" spans="1:12" x14ac:dyDescent="0.2">
      <c r="A23" s="19">
        <v>7</v>
      </c>
      <c r="B23" s="20"/>
      <c r="C23" s="24"/>
      <c r="D23" s="30"/>
      <c r="E23" s="30"/>
      <c r="F23" s="30"/>
      <c r="G23" s="24"/>
      <c r="H23" s="48"/>
      <c r="I23" s="48"/>
      <c r="J23" s="24"/>
      <c r="K23" s="18"/>
      <c r="L23" s="17"/>
    </row>
    <row r="24" spans="1:12" x14ac:dyDescent="0.2">
      <c r="A24" s="19">
        <v>8</v>
      </c>
      <c r="B24" s="20"/>
      <c r="C24" s="24"/>
      <c r="D24" s="30"/>
      <c r="E24" s="30"/>
      <c r="F24" s="30"/>
      <c r="G24" s="24"/>
      <c r="H24" s="48"/>
      <c r="I24" s="48"/>
      <c r="J24" s="24"/>
      <c r="K24" s="18"/>
      <c r="L24" s="17"/>
    </row>
    <row r="25" spans="1:12" x14ac:dyDescent="0.2">
      <c r="A25" s="19">
        <v>9</v>
      </c>
      <c r="B25" s="20"/>
      <c r="C25" s="24"/>
      <c r="D25" s="30"/>
      <c r="E25" s="30"/>
      <c r="F25" s="30"/>
      <c r="G25" s="24"/>
      <c r="H25" s="48"/>
      <c r="I25" s="48"/>
      <c r="J25" s="24"/>
      <c r="K25" s="18"/>
      <c r="L25" s="17"/>
    </row>
    <row r="26" spans="1:12" x14ac:dyDescent="0.2">
      <c r="A26" s="19">
        <v>10</v>
      </c>
      <c r="B26" s="20"/>
      <c r="C26" s="24"/>
      <c r="D26" s="30"/>
      <c r="E26" s="30"/>
      <c r="F26" s="30"/>
      <c r="G26" s="24"/>
      <c r="H26" s="48"/>
      <c r="I26" s="48"/>
      <c r="J26" s="24"/>
      <c r="K26" s="18"/>
      <c r="L26" s="17"/>
    </row>
    <row r="27" spans="1:12" x14ac:dyDescent="0.2">
      <c r="A27" s="19">
        <v>11</v>
      </c>
      <c r="B27" s="20"/>
      <c r="C27" s="24"/>
      <c r="D27" s="30"/>
      <c r="E27" s="30"/>
      <c r="F27" s="30"/>
      <c r="G27" s="24"/>
      <c r="H27" s="48"/>
      <c r="I27" s="48"/>
      <c r="J27" s="24"/>
      <c r="K27" s="18"/>
      <c r="L27" s="17"/>
    </row>
    <row r="28" spans="1:12" x14ac:dyDescent="0.2">
      <c r="A28" s="19">
        <v>12</v>
      </c>
      <c r="B28" s="20"/>
      <c r="C28" s="24"/>
      <c r="D28" s="30"/>
      <c r="E28" s="30"/>
      <c r="F28" s="30"/>
      <c r="G28" s="24"/>
      <c r="H28" s="48"/>
      <c r="I28" s="48"/>
      <c r="J28" s="24"/>
      <c r="K28" s="18"/>
      <c r="L28" s="17"/>
    </row>
    <row r="29" spans="1:12" x14ac:dyDescent="0.2">
      <c r="A29" s="19">
        <v>13</v>
      </c>
      <c r="B29" s="20"/>
      <c r="C29" s="24"/>
      <c r="D29" s="30"/>
      <c r="E29" s="30"/>
      <c r="F29" s="30"/>
      <c r="G29" s="24"/>
      <c r="H29" s="48"/>
      <c r="I29" s="48"/>
      <c r="J29" s="24"/>
      <c r="K29" s="18"/>
      <c r="L29" s="17"/>
    </row>
    <row r="30" spans="1:12" x14ac:dyDescent="0.2">
      <c r="A30" s="19">
        <v>14</v>
      </c>
      <c r="B30" s="20"/>
      <c r="C30" s="24"/>
      <c r="D30" s="30"/>
      <c r="E30" s="30"/>
      <c r="F30" s="30"/>
      <c r="G30" s="24"/>
      <c r="H30" s="48"/>
      <c r="I30" s="48"/>
      <c r="J30" s="24"/>
      <c r="K30" s="18"/>
      <c r="L30" s="17"/>
    </row>
    <row r="31" spans="1:12" x14ac:dyDescent="0.2">
      <c r="A31" s="19">
        <v>15</v>
      </c>
      <c r="B31" s="20"/>
      <c r="C31" s="24"/>
      <c r="D31" s="30"/>
      <c r="E31" s="30"/>
      <c r="F31" s="30"/>
      <c r="G31" s="24"/>
      <c r="H31" s="48"/>
      <c r="I31" s="48"/>
      <c r="J31" s="24"/>
      <c r="K31" s="18"/>
      <c r="L31" s="17"/>
    </row>
    <row r="32" spans="1:12" x14ac:dyDescent="0.2">
      <c r="A32" s="19">
        <v>16</v>
      </c>
      <c r="B32" s="20"/>
      <c r="C32" s="24"/>
      <c r="D32" s="30"/>
      <c r="E32" s="30"/>
      <c r="F32" s="30"/>
      <c r="G32" s="24"/>
      <c r="H32" s="48"/>
      <c r="I32" s="48"/>
      <c r="J32" s="24"/>
      <c r="K32" s="18"/>
      <c r="L32" s="17"/>
    </row>
    <row r="33" spans="1:12" x14ac:dyDescent="0.2">
      <c r="A33" s="19">
        <v>17</v>
      </c>
      <c r="B33" s="20"/>
      <c r="C33" s="24"/>
      <c r="D33" s="30"/>
      <c r="E33" s="30"/>
      <c r="F33" s="30"/>
      <c r="G33" s="24"/>
      <c r="H33" s="48"/>
      <c r="I33" s="48"/>
      <c r="J33" s="24"/>
      <c r="K33" s="18"/>
      <c r="L33" s="17"/>
    </row>
    <row r="34" spans="1:12" x14ac:dyDescent="0.2">
      <c r="A34" s="19">
        <v>18</v>
      </c>
      <c r="B34" s="20"/>
      <c r="C34" s="24"/>
      <c r="D34" s="30"/>
      <c r="E34" s="30"/>
      <c r="F34" s="30"/>
      <c r="G34" s="24"/>
      <c r="H34" s="48"/>
      <c r="I34" s="48"/>
      <c r="J34" s="24"/>
      <c r="K34" s="18"/>
      <c r="L34" s="17"/>
    </row>
    <row r="35" spans="1:12" x14ac:dyDescent="0.2">
      <c r="A35" s="19">
        <v>19</v>
      </c>
      <c r="B35" s="20"/>
      <c r="C35" s="24"/>
      <c r="D35" s="30"/>
      <c r="E35" s="30"/>
      <c r="F35" s="30"/>
      <c r="G35" s="24"/>
      <c r="H35" s="48"/>
      <c r="I35" s="48"/>
      <c r="J35" s="24"/>
      <c r="K35" s="18"/>
      <c r="L35" s="17"/>
    </row>
    <row r="36" spans="1:12" x14ac:dyDescent="0.2">
      <c r="A36" s="19">
        <v>20</v>
      </c>
      <c r="B36" s="20"/>
      <c r="C36" s="24"/>
      <c r="D36" s="30"/>
      <c r="E36" s="30"/>
      <c r="F36" s="30"/>
      <c r="G36" s="24"/>
      <c r="H36" s="48"/>
      <c r="I36" s="48"/>
      <c r="J36" s="24"/>
      <c r="K36" s="18"/>
      <c r="L36" s="17"/>
    </row>
    <row r="37" spans="1:12" x14ac:dyDescent="0.2">
      <c r="A37" s="19">
        <v>21</v>
      </c>
      <c r="B37" s="20"/>
      <c r="C37" s="24"/>
      <c r="D37" s="30"/>
      <c r="E37" s="30"/>
      <c r="F37" s="30"/>
      <c r="G37" s="24"/>
      <c r="H37" s="48"/>
      <c r="I37" s="48"/>
      <c r="J37" s="24"/>
      <c r="K37" s="18"/>
      <c r="L37" s="17"/>
    </row>
    <row r="38" spans="1:12" x14ac:dyDescent="0.2">
      <c r="A38" s="19">
        <v>22</v>
      </c>
      <c r="B38" s="20"/>
      <c r="C38" s="24"/>
      <c r="D38" s="30"/>
      <c r="E38" s="30"/>
      <c r="F38" s="30"/>
      <c r="G38" s="24"/>
      <c r="H38" s="48"/>
      <c r="I38" s="48"/>
      <c r="J38" s="24"/>
      <c r="K38" s="18"/>
      <c r="L38" s="17"/>
    </row>
    <row r="39" spans="1:12" x14ac:dyDescent="0.2">
      <c r="A39" s="19">
        <v>23</v>
      </c>
      <c r="B39" s="20"/>
      <c r="C39" s="24"/>
      <c r="D39" s="30"/>
      <c r="E39" s="30"/>
      <c r="F39" s="30"/>
      <c r="G39" s="24"/>
      <c r="H39" s="48"/>
      <c r="I39" s="48"/>
      <c r="J39" s="24"/>
      <c r="K39" s="18"/>
      <c r="L39" s="17"/>
    </row>
    <row r="40" spans="1:12" x14ac:dyDescent="0.2">
      <c r="A40" s="19">
        <v>24</v>
      </c>
      <c r="B40" s="20"/>
      <c r="C40" s="24"/>
      <c r="D40" s="30"/>
      <c r="E40" s="30"/>
      <c r="F40" s="30"/>
      <c r="G40" s="24"/>
      <c r="H40" s="48"/>
      <c r="I40" s="48"/>
      <c r="J40" s="24"/>
      <c r="K40" s="18"/>
      <c r="L40" s="17"/>
    </row>
    <row r="41" spans="1:12" x14ac:dyDescent="0.2">
      <c r="A41" s="19">
        <v>25</v>
      </c>
      <c r="B41" s="20"/>
      <c r="C41" s="24"/>
      <c r="D41" s="30"/>
      <c r="E41" s="30"/>
      <c r="F41" s="30"/>
      <c r="G41" s="24"/>
      <c r="H41" s="48"/>
      <c r="I41" s="48"/>
      <c r="J41" s="24"/>
      <c r="K41" s="18"/>
      <c r="L41" s="17"/>
    </row>
    <row r="42" spans="1:12" x14ac:dyDescent="0.2">
      <c r="A42" s="19">
        <v>26</v>
      </c>
      <c r="B42" s="20"/>
      <c r="C42" s="24"/>
      <c r="D42" s="30"/>
      <c r="E42" s="30"/>
      <c r="F42" s="30"/>
      <c r="G42" s="24"/>
      <c r="H42" s="48"/>
      <c r="I42" s="48"/>
      <c r="J42" s="24"/>
      <c r="K42" s="18"/>
      <c r="L42" s="17"/>
    </row>
    <row r="43" spans="1:12" x14ac:dyDescent="0.2">
      <c r="A43" s="19">
        <v>27</v>
      </c>
      <c r="B43" s="20"/>
      <c r="C43" s="24"/>
      <c r="D43" s="30"/>
      <c r="E43" s="30"/>
      <c r="F43" s="30"/>
      <c r="G43" s="24"/>
      <c r="H43" s="48"/>
      <c r="I43" s="48"/>
      <c r="J43" s="24"/>
      <c r="K43" s="18"/>
      <c r="L43" s="17"/>
    </row>
    <row r="44" spans="1:12" x14ac:dyDescent="0.2">
      <c r="A44" s="19">
        <v>28</v>
      </c>
      <c r="B44" s="20"/>
      <c r="C44" s="24"/>
      <c r="D44" s="30"/>
      <c r="E44" s="30"/>
      <c r="F44" s="30"/>
      <c r="G44" s="24"/>
      <c r="H44" s="48"/>
      <c r="I44" s="48"/>
      <c r="J44" s="24"/>
      <c r="K44" s="18"/>
      <c r="L44" s="17"/>
    </row>
    <row r="45" spans="1:12" x14ac:dyDescent="0.2">
      <c r="A45" s="19">
        <v>29</v>
      </c>
      <c r="B45" s="20"/>
      <c r="C45" s="24"/>
      <c r="D45" s="30"/>
      <c r="E45" s="30"/>
      <c r="F45" s="30"/>
      <c r="G45" s="24"/>
      <c r="H45" s="48"/>
      <c r="I45" s="48"/>
      <c r="J45" s="24"/>
      <c r="K45" s="18"/>
      <c r="L45" s="17"/>
    </row>
    <row r="46" spans="1:12" x14ac:dyDescent="0.2">
      <c r="A46" s="19">
        <v>30</v>
      </c>
      <c r="B46" s="20"/>
      <c r="C46" s="24"/>
      <c r="D46" s="30"/>
      <c r="E46" s="30"/>
      <c r="F46" s="30"/>
      <c r="G46" s="24"/>
      <c r="H46" s="48"/>
      <c r="I46" s="48"/>
      <c r="J46" s="24"/>
      <c r="K46" s="18"/>
      <c r="L46" s="17"/>
    </row>
    <row r="47" spans="1:12" x14ac:dyDescent="0.2">
      <c r="A47" s="19">
        <v>31</v>
      </c>
      <c r="B47" s="20"/>
      <c r="C47" s="24"/>
      <c r="D47" s="30"/>
      <c r="E47" s="30"/>
      <c r="F47" s="30"/>
      <c r="G47" s="24"/>
      <c r="H47" s="48"/>
      <c r="I47" s="48"/>
      <c r="J47" s="24"/>
      <c r="K47" s="18"/>
      <c r="L47" s="17"/>
    </row>
    <row r="48" spans="1:12" x14ac:dyDescent="0.2">
      <c r="A48" s="19">
        <v>32</v>
      </c>
      <c r="B48" s="20"/>
      <c r="C48" s="24"/>
      <c r="D48" s="30"/>
      <c r="E48" s="30"/>
      <c r="F48" s="30"/>
      <c r="G48" s="24"/>
      <c r="H48" s="48"/>
      <c r="I48" s="48"/>
      <c r="J48" s="24"/>
      <c r="K48" s="18"/>
      <c r="L48" s="17"/>
    </row>
    <row r="49" spans="1:12" x14ac:dyDescent="0.2">
      <c r="A49" s="19">
        <v>33</v>
      </c>
      <c r="B49" s="20"/>
      <c r="C49" s="24"/>
      <c r="D49" s="30"/>
      <c r="E49" s="30"/>
      <c r="F49" s="30"/>
      <c r="G49" s="24"/>
      <c r="H49" s="48"/>
      <c r="I49" s="48"/>
      <c r="J49" s="24"/>
      <c r="K49" s="18"/>
      <c r="L49" s="17"/>
    </row>
    <row r="50" spans="1:12" x14ac:dyDescent="0.2">
      <c r="A50" s="19">
        <v>34</v>
      </c>
      <c r="B50" s="20"/>
      <c r="C50" s="24"/>
      <c r="D50" s="30"/>
      <c r="E50" s="30"/>
      <c r="F50" s="30"/>
      <c r="G50" s="24"/>
      <c r="H50" s="48"/>
      <c r="I50" s="48"/>
      <c r="J50" s="24"/>
      <c r="K50" s="18"/>
      <c r="L50" s="17"/>
    </row>
    <row r="51" spans="1:12" x14ac:dyDescent="0.2">
      <c r="A51" s="19">
        <v>35</v>
      </c>
      <c r="B51" s="20"/>
      <c r="C51" s="24"/>
      <c r="D51" s="30"/>
      <c r="E51" s="30"/>
      <c r="F51" s="30"/>
      <c r="G51" s="24"/>
      <c r="H51" s="48"/>
      <c r="I51" s="48"/>
      <c r="J51" s="24"/>
      <c r="K51" s="18"/>
      <c r="L51" s="17"/>
    </row>
    <row r="52" spans="1:12" x14ac:dyDescent="0.2">
      <c r="A52" s="19">
        <v>36</v>
      </c>
      <c r="B52" s="20"/>
      <c r="C52" s="24"/>
      <c r="D52" s="30"/>
      <c r="E52" s="30"/>
      <c r="F52" s="30"/>
      <c r="G52" s="24"/>
      <c r="H52" s="48"/>
      <c r="I52" s="48"/>
      <c r="J52" s="24"/>
      <c r="K52" s="18"/>
      <c r="L52" s="17"/>
    </row>
    <row r="53" spans="1:12" x14ac:dyDescent="0.2">
      <c r="A53" s="19">
        <v>37</v>
      </c>
      <c r="B53" s="20"/>
      <c r="C53" s="24"/>
      <c r="D53" s="30"/>
      <c r="E53" s="30"/>
      <c r="F53" s="30"/>
      <c r="G53" s="24"/>
      <c r="H53" s="48"/>
      <c r="I53" s="48"/>
      <c r="J53" s="24"/>
      <c r="K53" s="18"/>
      <c r="L53" s="17"/>
    </row>
    <row r="54" spans="1:12" x14ac:dyDescent="0.2">
      <c r="A54" s="19">
        <v>38</v>
      </c>
      <c r="B54" s="20"/>
      <c r="C54" s="24"/>
      <c r="D54" s="30"/>
      <c r="E54" s="30"/>
      <c r="F54" s="30"/>
      <c r="G54" s="24"/>
      <c r="H54" s="48"/>
      <c r="I54" s="48"/>
      <c r="J54" s="24"/>
      <c r="K54" s="18"/>
      <c r="L54" s="17"/>
    </row>
    <row r="55" spans="1:12" x14ac:dyDescent="0.2">
      <c r="A55" s="19">
        <v>39</v>
      </c>
      <c r="B55" s="20"/>
      <c r="C55" s="24"/>
      <c r="D55" s="30"/>
      <c r="E55" s="30"/>
      <c r="F55" s="30"/>
      <c r="G55" s="24"/>
      <c r="H55" s="48"/>
      <c r="I55" s="48"/>
      <c r="J55" s="24"/>
      <c r="K55" s="18"/>
      <c r="L55" s="17"/>
    </row>
    <row r="56" spans="1:12" x14ac:dyDescent="0.2">
      <c r="A56" s="19">
        <v>40</v>
      </c>
      <c r="B56" s="20"/>
      <c r="C56" s="24"/>
      <c r="D56" s="30"/>
      <c r="E56" s="30"/>
      <c r="F56" s="30"/>
      <c r="G56" s="24"/>
      <c r="H56" s="48"/>
      <c r="I56" s="48"/>
      <c r="J56" s="24"/>
      <c r="K56" s="18"/>
      <c r="L56" s="17"/>
    </row>
    <row r="57" spans="1:12" x14ac:dyDescent="0.2">
      <c r="A57" s="19">
        <v>41</v>
      </c>
      <c r="B57" s="20"/>
      <c r="C57" s="24"/>
      <c r="D57" s="30"/>
      <c r="E57" s="30"/>
      <c r="F57" s="30"/>
      <c r="G57" s="24"/>
      <c r="H57" s="48"/>
      <c r="I57" s="48"/>
      <c r="J57" s="24"/>
      <c r="K57" s="18"/>
      <c r="L57" s="17"/>
    </row>
    <row r="58" spans="1:12" x14ac:dyDescent="0.2">
      <c r="A58" s="19">
        <v>42</v>
      </c>
      <c r="B58" s="20"/>
      <c r="C58" s="24"/>
      <c r="D58" s="30"/>
      <c r="E58" s="30"/>
      <c r="F58" s="30"/>
      <c r="G58" s="24"/>
      <c r="H58" s="48"/>
      <c r="I58" s="48"/>
      <c r="J58" s="24"/>
      <c r="K58" s="18"/>
      <c r="L58" s="17"/>
    </row>
    <row r="59" spans="1:12" x14ac:dyDescent="0.2">
      <c r="A59" s="19">
        <v>43</v>
      </c>
      <c r="B59" s="20"/>
      <c r="C59" s="24"/>
      <c r="D59" s="30"/>
      <c r="E59" s="30"/>
      <c r="F59" s="30"/>
      <c r="G59" s="24"/>
      <c r="H59" s="48"/>
      <c r="I59" s="48"/>
      <c r="J59" s="24"/>
      <c r="K59" s="18"/>
      <c r="L59" s="17"/>
    </row>
    <row r="60" spans="1:12" x14ac:dyDescent="0.2">
      <c r="A60" s="19">
        <v>44</v>
      </c>
      <c r="B60" s="20"/>
      <c r="C60" s="24"/>
      <c r="D60" s="30"/>
      <c r="E60" s="30"/>
      <c r="F60" s="30"/>
      <c r="G60" s="24"/>
      <c r="H60" s="48"/>
      <c r="I60" s="48"/>
      <c r="J60" s="24"/>
      <c r="K60" s="18"/>
      <c r="L60" s="17"/>
    </row>
    <row r="61" spans="1:12" x14ac:dyDescent="0.2">
      <c r="A61" s="19">
        <v>45</v>
      </c>
      <c r="B61" s="20"/>
      <c r="C61" s="24"/>
      <c r="D61" s="30"/>
      <c r="E61" s="30"/>
      <c r="F61" s="30"/>
      <c r="G61" s="24"/>
      <c r="H61" s="48"/>
      <c r="I61" s="48"/>
      <c r="J61" s="24"/>
      <c r="K61" s="18"/>
      <c r="L61" s="17"/>
    </row>
    <row r="62" spans="1:12" x14ac:dyDescent="0.2">
      <c r="A62" s="19">
        <v>46</v>
      </c>
      <c r="B62" s="20"/>
      <c r="C62" s="24"/>
      <c r="D62" s="30"/>
      <c r="E62" s="30"/>
      <c r="F62" s="30"/>
      <c r="G62" s="24"/>
      <c r="H62" s="48"/>
      <c r="I62" s="48"/>
      <c r="J62" s="24"/>
      <c r="K62" s="18"/>
      <c r="L62" s="17"/>
    </row>
    <row r="63" spans="1:12" x14ac:dyDescent="0.2">
      <c r="A63" s="19">
        <v>47</v>
      </c>
      <c r="B63" s="20"/>
      <c r="C63" s="24"/>
      <c r="D63" s="30"/>
      <c r="E63" s="30"/>
      <c r="F63" s="30"/>
      <c r="G63" s="24"/>
      <c r="H63" s="48"/>
      <c r="I63" s="48"/>
      <c r="J63" s="24"/>
      <c r="K63" s="18"/>
      <c r="L63" s="17"/>
    </row>
    <row r="64" spans="1:12" x14ac:dyDescent="0.2">
      <c r="A64" s="19">
        <v>48</v>
      </c>
      <c r="B64" s="20"/>
      <c r="C64" s="24"/>
      <c r="D64" s="30"/>
      <c r="E64" s="30"/>
      <c r="F64" s="30"/>
      <c r="G64" s="24"/>
      <c r="H64" s="48"/>
      <c r="I64" s="48"/>
      <c r="J64" s="24"/>
      <c r="K64" s="18"/>
      <c r="L64" s="17"/>
    </row>
    <row r="65" spans="1:12" x14ac:dyDescent="0.2">
      <c r="A65" s="19">
        <v>49</v>
      </c>
      <c r="B65" s="20"/>
      <c r="C65" s="24"/>
      <c r="D65" s="30"/>
      <c r="E65" s="30"/>
      <c r="F65" s="30"/>
      <c r="G65" s="24"/>
      <c r="H65" s="48"/>
      <c r="I65" s="48"/>
      <c r="J65" s="24"/>
      <c r="K65" s="18"/>
      <c r="L65" s="17"/>
    </row>
    <row r="66" spans="1:12" x14ac:dyDescent="0.2">
      <c r="A66" s="19">
        <v>50</v>
      </c>
      <c r="B66" s="20"/>
      <c r="C66" s="24"/>
      <c r="D66" s="30"/>
      <c r="E66" s="30"/>
      <c r="F66" s="30"/>
      <c r="G66" s="24"/>
      <c r="H66" s="48"/>
      <c r="I66" s="48"/>
      <c r="J66" s="24"/>
      <c r="K66" s="18"/>
      <c r="L66" s="17"/>
    </row>
    <row r="67" spans="1:12" x14ac:dyDescent="0.2">
      <c r="A67" s="19">
        <v>51</v>
      </c>
      <c r="B67" s="20"/>
      <c r="C67" s="24"/>
      <c r="D67" s="30"/>
      <c r="E67" s="30"/>
      <c r="F67" s="30"/>
      <c r="G67" s="24"/>
      <c r="H67" s="48"/>
      <c r="I67" s="48"/>
      <c r="J67" s="24"/>
      <c r="K67" s="18"/>
      <c r="L67" s="17"/>
    </row>
    <row r="68" spans="1:12" x14ac:dyDescent="0.2">
      <c r="A68" s="19">
        <v>52</v>
      </c>
      <c r="B68" s="20"/>
      <c r="C68" s="24"/>
      <c r="D68" s="30"/>
      <c r="E68" s="30"/>
      <c r="F68" s="30"/>
      <c r="G68" s="24"/>
      <c r="H68" s="48"/>
      <c r="I68" s="48"/>
      <c r="J68" s="24"/>
      <c r="K68" s="18"/>
      <c r="L68" s="17"/>
    </row>
    <row r="69" spans="1:12" x14ac:dyDescent="0.2">
      <c r="A69" s="19">
        <v>53</v>
      </c>
      <c r="B69" s="20"/>
      <c r="C69" s="24"/>
      <c r="D69" s="30"/>
      <c r="E69" s="30"/>
      <c r="F69" s="30"/>
      <c r="G69" s="24"/>
      <c r="H69" s="48"/>
      <c r="I69" s="48"/>
      <c r="J69" s="24"/>
      <c r="K69" s="18"/>
      <c r="L69" s="17"/>
    </row>
    <row r="70" spans="1:12" x14ac:dyDescent="0.2">
      <c r="A70" s="19">
        <v>54</v>
      </c>
      <c r="B70" s="20"/>
      <c r="C70" s="24"/>
      <c r="D70" s="30"/>
      <c r="E70" s="30"/>
      <c r="F70" s="30"/>
      <c r="G70" s="24"/>
      <c r="H70" s="48"/>
      <c r="I70" s="48"/>
      <c r="J70" s="24"/>
      <c r="K70" s="18"/>
      <c r="L70" s="17"/>
    </row>
    <row r="71" spans="1:12" x14ac:dyDescent="0.2">
      <c r="A71" s="19">
        <v>55</v>
      </c>
      <c r="B71" s="20"/>
      <c r="C71" s="24"/>
      <c r="D71" s="30"/>
      <c r="E71" s="30"/>
      <c r="F71" s="30"/>
      <c r="G71" s="24"/>
      <c r="H71" s="48"/>
      <c r="I71" s="48"/>
      <c r="J71" s="24"/>
      <c r="K71" s="18"/>
      <c r="L71" s="17"/>
    </row>
    <row r="72" spans="1:12" x14ac:dyDescent="0.2">
      <c r="A72" s="19">
        <v>56</v>
      </c>
      <c r="B72" s="20"/>
      <c r="C72" s="24"/>
      <c r="D72" s="30"/>
      <c r="E72" s="30"/>
      <c r="F72" s="30"/>
      <c r="G72" s="24"/>
      <c r="H72" s="48"/>
      <c r="I72" s="48"/>
      <c r="J72" s="24"/>
      <c r="K72" s="18"/>
      <c r="L72" s="17"/>
    </row>
    <row r="73" spans="1:12" x14ac:dyDescent="0.2">
      <c r="A73" s="19">
        <v>57</v>
      </c>
      <c r="B73" s="20"/>
      <c r="C73" s="24"/>
      <c r="D73" s="30"/>
      <c r="E73" s="30"/>
      <c r="F73" s="30"/>
      <c r="G73" s="24"/>
      <c r="H73" s="48"/>
      <c r="I73" s="48"/>
      <c r="J73" s="24"/>
      <c r="K73" s="18"/>
      <c r="L73" s="17"/>
    </row>
    <row r="74" spans="1:12" x14ac:dyDescent="0.2">
      <c r="A74" s="19">
        <v>58</v>
      </c>
      <c r="B74" s="20"/>
      <c r="C74" s="24"/>
      <c r="D74" s="30"/>
      <c r="E74" s="30"/>
      <c r="F74" s="30"/>
      <c r="G74" s="24"/>
      <c r="H74" s="48"/>
      <c r="I74" s="48"/>
      <c r="J74" s="24"/>
      <c r="K74" s="18"/>
      <c r="L74" s="17"/>
    </row>
    <row r="75" spans="1:12" x14ac:dyDescent="0.2">
      <c r="A75" s="19">
        <v>59</v>
      </c>
      <c r="B75" s="20"/>
      <c r="C75" s="24"/>
      <c r="D75" s="30"/>
      <c r="E75" s="30"/>
      <c r="F75" s="30"/>
      <c r="G75" s="24"/>
      <c r="H75" s="48"/>
      <c r="I75" s="48"/>
      <c r="J75" s="24"/>
      <c r="K75" s="18"/>
      <c r="L75" s="17"/>
    </row>
    <row r="76" spans="1:12" x14ac:dyDescent="0.2">
      <c r="A76" s="19">
        <v>60</v>
      </c>
      <c r="B76" s="20"/>
      <c r="C76" s="24"/>
      <c r="D76" s="30"/>
      <c r="E76" s="30"/>
      <c r="F76" s="30"/>
      <c r="G76" s="24"/>
      <c r="H76" s="48"/>
      <c r="I76" s="48"/>
      <c r="J76" s="24"/>
      <c r="K76" s="18"/>
      <c r="L76" s="17"/>
    </row>
    <row r="77" spans="1:12" x14ac:dyDescent="0.2">
      <c r="A77" s="19">
        <v>61</v>
      </c>
      <c r="B77" s="20"/>
      <c r="C77" s="24"/>
      <c r="D77" s="30"/>
      <c r="E77" s="30"/>
      <c r="F77" s="30"/>
      <c r="G77" s="24"/>
      <c r="H77" s="48"/>
      <c r="I77" s="48"/>
      <c r="J77" s="24"/>
      <c r="K77" s="18"/>
      <c r="L77" s="17"/>
    </row>
    <row r="78" spans="1:12" x14ac:dyDescent="0.2">
      <c r="A78" s="19">
        <v>62</v>
      </c>
      <c r="B78" s="20"/>
      <c r="C78" s="24"/>
      <c r="D78" s="30"/>
      <c r="E78" s="30"/>
      <c r="F78" s="30"/>
      <c r="G78" s="24"/>
      <c r="H78" s="48"/>
      <c r="I78" s="48"/>
      <c r="J78" s="24"/>
      <c r="K78" s="18"/>
      <c r="L78" s="17"/>
    </row>
    <row r="79" spans="1:12" x14ac:dyDescent="0.2">
      <c r="A79" s="19">
        <v>63</v>
      </c>
      <c r="B79" s="20"/>
      <c r="C79" s="24"/>
      <c r="D79" s="30"/>
      <c r="E79" s="30"/>
      <c r="F79" s="30"/>
      <c r="G79" s="24"/>
      <c r="H79" s="48"/>
      <c r="I79" s="48"/>
      <c r="J79" s="24"/>
      <c r="K79" s="18"/>
      <c r="L79" s="17"/>
    </row>
    <row r="80" spans="1:12" x14ac:dyDescent="0.2">
      <c r="A80" s="19">
        <v>64</v>
      </c>
      <c r="B80" s="20"/>
      <c r="C80" s="24"/>
      <c r="D80" s="30"/>
      <c r="E80" s="30"/>
      <c r="F80" s="30"/>
      <c r="G80" s="24"/>
      <c r="H80" s="48"/>
      <c r="I80" s="48"/>
      <c r="J80" s="24"/>
      <c r="K80" s="18"/>
      <c r="L80" s="17"/>
    </row>
    <row r="81" spans="1:12" x14ac:dyDescent="0.2">
      <c r="A81" s="19">
        <v>65</v>
      </c>
      <c r="B81" s="20"/>
      <c r="C81" s="24"/>
      <c r="D81" s="30"/>
      <c r="E81" s="30"/>
      <c r="F81" s="30"/>
      <c r="G81" s="24"/>
      <c r="H81" s="48"/>
      <c r="I81" s="48"/>
      <c r="J81" s="24"/>
      <c r="K81" s="18"/>
      <c r="L81" s="17"/>
    </row>
    <row r="82" spans="1:12" x14ac:dyDescent="0.2">
      <c r="A82" s="19">
        <v>66</v>
      </c>
      <c r="B82" s="20"/>
      <c r="C82" s="24"/>
      <c r="D82" s="30"/>
      <c r="E82" s="30"/>
      <c r="F82" s="30"/>
      <c r="G82" s="24"/>
      <c r="H82" s="48"/>
      <c r="I82" s="48"/>
      <c r="J82" s="24"/>
      <c r="K82" s="18"/>
      <c r="L82" s="17"/>
    </row>
    <row r="83" spans="1:12" x14ac:dyDescent="0.2">
      <c r="A83" s="19">
        <v>67</v>
      </c>
      <c r="B83" s="20"/>
      <c r="C83" s="24"/>
      <c r="D83" s="30"/>
      <c r="E83" s="30"/>
      <c r="F83" s="30"/>
      <c r="G83" s="24"/>
      <c r="H83" s="48"/>
      <c r="I83" s="48"/>
      <c r="J83" s="24"/>
      <c r="K83" s="18"/>
      <c r="L83" s="17"/>
    </row>
    <row r="84" spans="1:12" x14ac:dyDescent="0.2">
      <c r="A84" s="19">
        <v>68</v>
      </c>
      <c r="B84" s="20"/>
      <c r="C84" s="24"/>
      <c r="D84" s="30"/>
      <c r="E84" s="30"/>
      <c r="F84" s="30"/>
      <c r="G84" s="24"/>
      <c r="H84" s="48"/>
      <c r="I84" s="48"/>
      <c r="J84" s="24"/>
      <c r="K84" s="18"/>
      <c r="L84" s="17"/>
    </row>
    <row r="85" spans="1:12" x14ac:dyDescent="0.2">
      <c r="A85" s="19">
        <v>69</v>
      </c>
      <c r="B85" s="20"/>
      <c r="C85" s="24"/>
      <c r="D85" s="30"/>
      <c r="E85" s="30"/>
      <c r="F85" s="30"/>
      <c r="G85" s="24"/>
      <c r="H85" s="48"/>
      <c r="I85" s="48"/>
      <c r="J85" s="24"/>
      <c r="K85" s="18"/>
      <c r="L85" s="17"/>
    </row>
    <row r="86" spans="1:12" x14ac:dyDescent="0.2">
      <c r="A86" s="19">
        <v>70</v>
      </c>
      <c r="B86" s="20"/>
      <c r="C86" s="24"/>
      <c r="D86" s="30"/>
      <c r="E86" s="30"/>
      <c r="F86" s="30"/>
      <c r="G86" s="24"/>
      <c r="H86" s="48"/>
      <c r="I86" s="48"/>
      <c r="J86" s="24"/>
      <c r="K86" s="18"/>
      <c r="L86" s="17"/>
    </row>
    <row r="87" spans="1:12" x14ac:dyDescent="0.2">
      <c r="A87" s="19">
        <v>71</v>
      </c>
      <c r="B87" s="20"/>
      <c r="C87" s="24"/>
      <c r="D87" s="30"/>
      <c r="E87" s="30"/>
      <c r="F87" s="30"/>
      <c r="G87" s="24"/>
      <c r="H87" s="48"/>
      <c r="I87" s="48"/>
      <c r="J87" s="24"/>
      <c r="K87" s="18"/>
      <c r="L87" s="17"/>
    </row>
    <row r="88" spans="1:12" x14ac:dyDescent="0.2">
      <c r="A88" s="19">
        <v>72</v>
      </c>
      <c r="B88" s="20"/>
      <c r="C88" s="24"/>
      <c r="D88" s="30"/>
      <c r="E88" s="30"/>
      <c r="F88" s="30"/>
      <c r="G88" s="24"/>
      <c r="H88" s="48"/>
      <c r="I88" s="48"/>
      <c r="J88" s="24"/>
      <c r="K88" s="18"/>
      <c r="L88" s="17"/>
    </row>
    <row r="89" spans="1:12" x14ac:dyDescent="0.2">
      <c r="A89" s="19">
        <v>73</v>
      </c>
      <c r="B89" s="20"/>
      <c r="C89" s="24"/>
      <c r="D89" s="30"/>
      <c r="E89" s="30"/>
      <c r="F89" s="30"/>
      <c r="G89" s="24"/>
      <c r="H89" s="48"/>
      <c r="I89" s="48"/>
      <c r="J89" s="24"/>
      <c r="K89" s="18"/>
      <c r="L89" s="17"/>
    </row>
    <row r="90" spans="1:12" x14ac:dyDescent="0.2">
      <c r="A90" s="19">
        <v>74</v>
      </c>
      <c r="B90" s="20"/>
      <c r="C90" s="24"/>
      <c r="D90" s="30"/>
      <c r="E90" s="30"/>
      <c r="F90" s="30"/>
      <c r="G90" s="24"/>
      <c r="H90" s="48"/>
      <c r="I90" s="48"/>
      <c r="J90" s="24"/>
      <c r="K90" s="18"/>
      <c r="L90" s="17"/>
    </row>
    <row r="91" spans="1:12" x14ac:dyDescent="0.2">
      <c r="A91" s="19">
        <v>75</v>
      </c>
      <c r="B91" s="20"/>
      <c r="C91" s="24"/>
      <c r="D91" s="30"/>
      <c r="E91" s="30"/>
      <c r="F91" s="30"/>
      <c r="G91" s="24"/>
      <c r="H91" s="48"/>
      <c r="I91" s="48"/>
      <c r="J91" s="24"/>
      <c r="K91" s="18"/>
      <c r="L91" s="17"/>
    </row>
    <row r="92" spans="1:12" x14ac:dyDescent="0.2">
      <c r="A92" s="19">
        <v>76</v>
      </c>
      <c r="B92" s="20"/>
      <c r="C92" s="24"/>
      <c r="D92" s="30"/>
      <c r="E92" s="30"/>
      <c r="F92" s="30"/>
      <c r="G92" s="24"/>
      <c r="H92" s="48"/>
      <c r="I92" s="48"/>
      <c r="J92" s="24"/>
      <c r="K92" s="18"/>
      <c r="L92" s="17"/>
    </row>
    <row r="93" spans="1:12" x14ac:dyDescent="0.2">
      <c r="A93" s="19">
        <v>77</v>
      </c>
      <c r="B93" s="20"/>
      <c r="C93" s="24"/>
      <c r="D93" s="30"/>
      <c r="E93" s="30"/>
      <c r="F93" s="30"/>
      <c r="G93" s="24"/>
      <c r="H93" s="48"/>
      <c r="I93" s="48"/>
      <c r="J93" s="24"/>
      <c r="K93" s="18"/>
      <c r="L93" s="17"/>
    </row>
    <row r="94" spans="1:12" x14ac:dyDescent="0.2">
      <c r="A94" s="19">
        <v>78</v>
      </c>
      <c r="B94" s="20"/>
      <c r="C94" s="24"/>
      <c r="D94" s="30"/>
      <c r="E94" s="30"/>
      <c r="F94" s="30"/>
      <c r="G94" s="24"/>
      <c r="H94" s="48"/>
      <c r="I94" s="48"/>
      <c r="J94" s="24"/>
      <c r="K94" s="18"/>
      <c r="L94" s="17"/>
    </row>
    <row r="95" spans="1:12" x14ac:dyDescent="0.2">
      <c r="A95" s="19">
        <v>79</v>
      </c>
      <c r="B95" s="20"/>
      <c r="C95" s="24"/>
      <c r="D95" s="30"/>
      <c r="E95" s="30"/>
      <c r="F95" s="30"/>
      <c r="G95" s="24"/>
      <c r="H95" s="48"/>
      <c r="I95" s="48"/>
      <c r="J95" s="24"/>
      <c r="K95" s="18"/>
      <c r="L95" s="17"/>
    </row>
    <row r="96" spans="1:12" x14ac:dyDescent="0.2">
      <c r="A96" s="19">
        <v>80</v>
      </c>
      <c r="B96" s="20"/>
      <c r="C96" s="24"/>
      <c r="D96" s="30"/>
      <c r="E96" s="30"/>
      <c r="F96" s="30"/>
      <c r="G96" s="24"/>
      <c r="H96" s="48"/>
      <c r="I96" s="48"/>
      <c r="J96" s="24"/>
      <c r="K96" s="18"/>
      <c r="L96" s="17"/>
    </row>
    <row r="97" spans="1:12" x14ac:dyDescent="0.2">
      <c r="A97" s="19">
        <v>81</v>
      </c>
      <c r="B97" s="20"/>
      <c r="C97" s="24"/>
      <c r="D97" s="30"/>
      <c r="E97" s="30"/>
      <c r="F97" s="30"/>
      <c r="G97" s="24"/>
      <c r="H97" s="48"/>
      <c r="I97" s="48"/>
      <c r="J97" s="24"/>
      <c r="K97" s="18"/>
      <c r="L97" s="17"/>
    </row>
    <row r="98" spans="1:12" x14ac:dyDescent="0.2">
      <c r="A98" s="19">
        <v>82</v>
      </c>
      <c r="B98" s="20"/>
      <c r="C98" s="24"/>
      <c r="D98" s="30"/>
      <c r="E98" s="30"/>
      <c r="F98" s="30"/>
      <c r="G98" s="24"/>
      <c r="H98" s="48"/>
      <c r="I98" s="48"/>
      <c r="J98" s="24"/>
      <c r="K98" s="18"/>
      <c r="L98" s="17"/>
    </row>
    <row r="99" spans="1:12" x14ac:dyDescent="0.2">
      <c r="A99" s="19">
        <v>83</v>
      </c>
      <c r="B99" s="20"/>
      <c r="C99" s="24"/>
      <c r="D99" s="30"/>
      <c r="E99" s="30"/>
      <c r="F99" s="30"/>
      <c r="G99" s="24"/>
      <c r="H99" s="48"/>
      <c r="I99" s="48"/>
      <c r="J99" s="24"/>
      <c r="K99" s="18"/>
      <c r="L99" s="17"/>
    </row>
    <row r="100" spans="1:12" x14ac:dyDescent="0.2">
      <c r="A100" s="19">
        <v>84</v>
      </c>
      <c r="B100" s="20"/>
      <c r="C100" s="24"/>
      <c r="D100" s="30"/>
      <c r="E100" s="30"/>
      <c r="F100" s="30"/>
      <c r="G100" s="24"/>
      <c r="H100" s="48"/>
      <c r="I100" s="48"/>
      <c r="J100" s="24"/>
      <c r="K100" s="18"/>
      <c r="L100" s="17"/>
    </row>
    <row r="101" spans="1:12" x14ac:dyDescent="0.2">
      <c r="A101" s="19">
        <v>85</v>
      </c>
      <c r="B101" s="20"/>
      <c r="C101" s="24"/>
      <c r="D101" s="30"/>
      <c r="E101" s="30"/>
      <c r="F101" s="30"/>
      <c r="G101" s="24"/>
      <c r="H101" s="48"/>
      <c r="I101" s="48"/>
      <c r="J101" s="24"/>
      <c r="K101" s="18"/>
      <c r="L101" s="17"/>
    </row>
    <row r="102" spans="1:12" x14ac:dyDescent="0.2">
      <c r="A102" s="19">
        <v>86</v>
      </c>
      <c r="B102" s="20"/>
      <c r="C102" s="24"/>
      <c r="D102" s="30"/>
      <c r="E102" s="30"/>
      <c r="F102" s="30"/>
      <c r="G102" s="24"/>
      <c r="H102" s="48"/>
      <c r="I102" s="48"/>
      <c r="J102" s="24"/>
      <c r="K102" s="18"/>
      <c r="L102" s="17"/>
    </row>
    <row r="103" spans="1:12" x14ac:dyDescent="0.2">
      <c r="A103" s="19">
        <v>87</v>
      </c>
      <c r="B103" s="20"/>
      <c r="C103" s="24"/>
      <c r="D103" s="30"/>
      <c r="E103" s="30"/>
      <c r="F103" s="30"/>
      <c r="G103" s="24"/>
      <c r="H103" s="48"/>
      <c r="I103" s="48"/>
      <c r="J103" s="24"/>
      <c r="K103" s="18"/>
      <c r="L103" s="17"/>
    </row>
    <row r="104" spans="1:12" x14ac:dyDescent="0.2">
      <c r="A104" s="19">
        <v>88</v>
      </c>
      <c r="B104" s="20"/>
      <c r="C104" s="24"/>
      <c r="D104" s="30"/>
      <c r="E104" s="30"/>
      <c r="F104" s="30"/>
      <c r="G104" s="24"/>
      <c r="H104" s="48"/>
      <c r="I104" s="48"/>
      <c r="J104" s="24"/>
      <c r="K104" s="18"/>
      <c r="L104" s="17"/>
    </row>
    <row r="105" spans="1:12" x14ac:dyDescent="0.2">
      <c r="A105" s="19">
        <v>89</v>
      </c>
      <c r="B105" s="20"/>
      <c r="C105" s="24"/>
      <c r="D105" s="30"/>
      <c r="E105" s="30"/>
      <c r="F105" s="30"/>
      <c r="G105" s="24"/>
      <c r="H105" s="48"/>
      <c r="I105" s="48"/>
      <c r="J105" s="24"/>
      <c r="K105" s="18"/>
      <c r="L105" s="17"/>
    </row>
    <row r="106" spans="1:12" x14ac:dyDescent="0.2">
      <c r="A106" s="19">
        <v>90</v>
      </c>
      <c r="B106" s="20"/>
      <c r="C106" s="24"/>
      <c r="D106" s="30"/>
      <c r="E106" s="30"/>
      <c r="F106" s="30"/>
      <c r="G106" s="24"/>
      <c r="H106" s="48"/>
      <c r="I106" s="48"/>
      <c r="J106" s="24"/>
      <c r="K106" s="18"/>
      <c r="L106" s="17"/>
    </row>
    <row r="107" spans="1:12" x14ac:dyDescent="0.2">
      <c r="A107" s="19">
        <v>91</v>
      </c>
      <c r="B107" s="20"/>
      <c r="C107" s="24"/>
      <c r="D107" s="30"/>
      <c r="E107" s="30"/>
      <c r="F107" s="30"/>
      <c r="G107" s="24"/>
      <c r="H107" s="48"/>
      <c r="I107" s="48"/>
      <c r="J107" s="24"/>
      <c r="K107" s="18"/>
      <c r="L107" s="17"/>
    </row>
    <row r="108" spans="1:12" x14ac:dyDescent="0.2">
      <c r="A108" s="19">
        <v>92</v>
      </c>
      <c r="B108" s="20"/>
      <c r="C108" s="24"/>
      <c r="D108" s="30"/>
      <c r="E108" s="30"/>
      <c r="F108" s="30"/>
      <c r="G108" s="24"/>
      <c r="H108" s="48"/>
      <c r="I108" s="48"/>
      <c r="J108" s="24"/>
      <c r="K108" s="18"/>
      <c r="L108" s="17"/>
    </row>
    <row r="109" spans="1:12" x14ac:dyDescent="0.2">
      <c r="A109" s="19">
        <v>93</v>
      </c>
      <c r="B109" s="20"/>
      <c r="C109" s="24"/>
      <c r="D109" s="30"/>
      <c r="E109" s="30"/>
      <c r="F109" s="30"/>
      <c r="G109" s="24"/>
      <c r="H109" s="48"/>
      <c r="I109" s="48"/>
      <c r="J109" s="24"/>
      <c r="K109" s="18"/>
      <c r="L109" s="17"/>
    </row>
    <row r="110" spans="1:12" x14ac:dyDescent="0.2">
      <c r="A110" s="19">
        <v>94</v>
      </c>
      <c r="B110" s="20"/>
      <c r="C110" s="24"/>
      <c r="D110" s="30"/>
      <c r="E110" s="30"/>
      <c r="F110" s="30"/>
      <c r="G110" s="24"/>
      <c r="H110" s="48"/>
      <c r="I110" s="48"/>
      <c r="J110" s="24"/>
      <c r="K110" s="18"/>
      <c r="L110" s="17"/>
    </row>
    <row r="111" spans="1:12" x14ac:dyDescent="0.2">
      <c r="A111" s="19">
        <v>95</v>
      </c>
      <c r="B111" s="20"/>
      <c r="C111" s="24"/>
      <c r="D111" s="30"/>
      <c r="E111" s="30"/>
      <c r="F111" s="30"/>
      <c r="G111" s="24"/>
      <c r="H111" s="48"/>
      <c r="I111" s="48"/>
      <c r="J111" s="24"/>
      <c r="K111" s="18"/>
      <c r="L111" s="17"/>
    </row>
    <row r="112" spans="1:12" x14ac:dyDescent="0.2">
      <c r="A112" s="19">
        <v>96</v>
      </c>
      <c r="B112" s="20"/>
      <c r="C112" s="24"/>
      <c r="D112" s="30"/>
      <c r="E112" s="30"/>
      <c r="F112" s="30"/>
      <c r="G112" s="24"/>
      <c r="H112" s="48"/>
      <c r="I112" s="48"/>
      <c r="J112" s="24"/>
      <c r="K112" s="18"/>
      <c r="L112" s="17"/>
    </row>
    <row r="113" spans="1:12" x14ac:dyDescent="0.2">
      <c r="A113" s="19">
        <v>97</v>
      </c>
      <c r="B113" s="20"/>
      <c r="C113" s="24"/>
      <c r="D113" s="30"/>
      <c r="E113" s="30"/>
      <c r="F113" s="30"/>
      <c r="G113" s="24"/>
      <c r="H113" s="48"/>
      <c r="I113" s="48"/>
      <c r="J113" s="24"/>
      <c r="K113" s="18"/>
      <c r="L113" s="17"/>
    </row>
    <row r="114" spans="1:12" x14ac:dyDescent="0.2">
      <c r="A114" s="19">
        <v>98</v>
      </c>
      <c r="B114" s="20"/>
      <c r="C114" s="24"/>
      <c r="D114" s="30"/>
      <c r="E114" s="30"/>
      <c r="F114" s="30"/>
      <c r="G114" s="24"/>
      <c r="H114" s="48"/>
      <c r="I114" s="48"/>
      <c r="J114" s="24"/>
      <c r="K114" s="18"/>
      <c r="L114" s="17"/>
    </row>
    <row r="115" spans="1:12" x14ac:dyDescent="0.2">
      <c r="A115" s="19">
        <v>99</v>
      </c>
      <c r="B115" s="20"/>
      <c r="C115" s="24"/>
      <c r="D115" s="30"/>
      <c r="E115" s="30"/>
      <c r="F115" s="30"/>
      <c r="G115" s="24"/>
      <c r="H115" s="48"/>
      <c r="I115" s="48"/>
      <c r="J115" s="24"/>
      <c r="K115" s="18"/>
      <c r="L115" s="17"/>
    </row>
    <row r="116" spans="1:12" x14ac:dyDescent="0.2">
      <c r="A116" s="19">
        <v>100</v>
      </c>
      <c r="B116" s="20"/>
      <c r="C116" s="24"/>
      <c r="D116" s="30"/>
      <c r="E116" s="30"/>
      <c r="F116" s="30"/>
      <c r="G116" s="24"/>
      <c r="H116" s="48"/>
      <c r="I116" s="48"/>
      <c r="J116" s="24"/>
      <c r="K116" s="18"/>
      <c r="L116" s="17"/>
    </row>
    <row r="117" spans="1:12" x14ac:dyDescent="0.2">
      <c r="A117" s="19">
        <v>101</v>
      </c>
      <c r="B117" s="20"/>
      <c r="C117" s="24"/>
      <c r="D117" s="30"/>
      <c r="E117" s="30"/>
      <c r="F117" s="30"/>
      <c r="G117" s="24"/>
      <c r="H117" s="48"/>
      <c r="I117" s="48"/>
      <c r="J117" s="24"/>
      <c r="K117" s="18"/>
      <c r="L117" s="17"/>
    </row>
    <row r="118" spans="1:12" x14ac:dyDescent="0.2">
      <c r="A118" s="19">
        <v>102</v>
      </c>
      <c r="B118" s="20"/>
      <c r="C118" s="24"/>
      <c r="D118" s="30"/>
      <c r="E118" s="30"/>
      <c r="F118" s="30"/>
      <c r="G118" s="24"/>
      <c r="H118" s="48"/>
      <c r="I118" s="48"/>
      <c r="J118" s="24"/>
      <c r="K118" s="18"/>
      <c r="L118" s="17"/>
    </row>
    <row r="119" spans="1:12" x14ac:dyDescent="0.2">
      <c r="A119" s="19">
        <v>103</v>
      </c>
      <c r="B119" s="20"/>
      <c r="C119" s="24"/>
      <c r="D119" s="30"/>
      <c r="E119" s="30"/>
      <c r="F119" s="30"/>
      <c r="G119" s="24"/>
      <c r="H119" s="48"/>
      <c r="I119" s="48"/>
      <c r="J119" s="24"/>
      <c r="K119" s="18"/>
      <c r="L119" s="17"/>
    </row>
    <row r="120" spans="1:12" x14ac:dyDescent="0.2">
      <c r="A120" s="19">
        <v>104</v>
      </c>
      <c r="B120" s="20"/>
      <c r="C120" s="24"/>
      <c r="D120" s="30"/>
      <c r="E120" s="30"/>
      <c r="F120" s="30"/>
      <c r="G120" s="24"/>
      <c r="H120" s="48"/>
      <c r="I120" s="48"/>
      <c r="J120" s="24"/>
      <c r="K120" s="18"/>
      <c r="L120" s="17"/>
    </row>
    <row r="121" spans="1:12" x14ac:dyDescent="0.2">
      <c r="A121" s="19">
        <v>105</v>
      </c>
      <c r="B121" s="20"/>
      <c r="C121" s="24"/>
      <c r="D121" s="30"/>
      <c r="E121" s="30"/>
      <c r="F121" s="30"/>
      <c r="G121" s="24"/>
      <c r="H121" s="48"/>
      <c r="I121" s="48"/>
      <c r="J121" s="24"/>
      <c r="K121" s="18"/>
      <c r="L121" s="17"/>
    </row>
    <row r="122" spans="1:12" x14ac:dyDescent="0.2">
      <c r="A122" s="19">
        <v>106</v>
      </c>
      <c r="B122" s="20"/>
      <c r="C122" s="24"/>
      <c r="D122" s="30"/>
      <c r="E122" s="30"/>
      <c r="F122" s="30"/>
      <c r="G122" s="24"/>
      <c r="H122" s="48"/>
      <c r="I122" s="48"/>
      <c r="J122" s="24"/>
      <c r="K122" s="18"/>
      <c r="L122" s="17"/>
    </row>
    <row r="123" spans="1:12" x14ac:dyDescent="0.2">
      <c r="A123" s="19">
        <v>107</v>
      </c>
      <c r="B123" s="20"/>
      <c r="C123" s="24"/>
      <c r="D123" s="30"/>
      <c r="E123" s="30"/>
      <c r="F123" s="30"/>
      <c r="G123" s="24"/>
      <c r="H123" s="48"/>
      <c r="I123" s="48"/>
      <c r="J123" s="24"/>
      <c r="K123" s="18"/>
      <c r="L123" s="17"/>
    </row>
    <row r="124" spans="1:12" x14ac:dyDescent="0.2">
      <c r="A124" s="19">
        <v>108</v>
      </c>
      <c r="B124" s="20"/>
      <c r="C124" s="24"/>
      <c r="D124" s="30"/>
      <c r="E124" s="30"/>
      <c r="F124" s="30"/>
      <c r="G124" s="24"/>
      <c r="H124" s="48"/>
      <c r="I124" s="48"/>
      <c r="J124" s="24"/>
      <c r="K124" s="18"/>
      <c r="L124" s="17"/>
    </row>
    <row r="125" spans="1:12" x14ac:dyDescent="0.2">
      <c r="A125" s="19">
        <v>109</v>
      </c>
      <c r="B125" s="20"/>
      <c r="C125" s="24"/>
      <c r="D125" s="30"/>
      <c r="E125" s="30"/>
      <c r="F125" s="30"/>
      <c r="G125" s="24"/>
      <c r="H125" s="48"/>
      <c r="I125" s="48"/>
      <c r="J125" s="24"/>
      <c r="K125" s="18"/>
      <c r="L125" s="17"/>
    </row>
    <row r="126" spans="1:12" x14ac:dyDescent="0.2">
      <c r="A126" s="19">
        <v>110</v>
      </c>
      <c r="B126" s="20"/>
      <c r="C126" s="24"/>
      <c r="D126" s="30"/>
      <c r="E126" s="30"/>
      <c r="F126" s="30"/>
      <c r="G126" s="24"/>
      <c r="H126" s="48"/>
      <c r="I126" s="48"/>
      <c r="J126" s="24"/>
      <c r="K126" s="18"/>
      <c r="L126" s="17"/>
    </row>
    <row r="127" spans="1:12" x14ac:dyDescent="0.2">
      <c r="A127" s="19">
        <v>111</v>
      </c>
      <c r="B127" s="20"/>
      <c r="C127" s="24"/>
      <c r="D127" s="30"/>
      <c r="E127" s="30"/>
      <c r="F127" s="30"/>
      <c r="G127" s="24"/>
      <c r="H127" s="48"/>
      <c r="I127" s="48"/>
      <c r="J127" s="24"/>
      <c r="K127" s="18"/>
      <c r="L127" s="17"/>
    </row>
    <row r="128" spans="1:12" x14ac:dyDescent="0.2">
      <c r="A128" s="19">
        <v>112</v>
      </c>
      <c r="B128" s="20"/>
      <c r="C128" s="24"/>
      <c r="D128" s="30"/>
      <c r="E128" s="30"/>
      <c r="F128" s="30"/>
      <c r="G128" s="24"/>
      <c r="H128" s="48"/>
      <c r="I128" s="48"/>
      <c r="J128" s="24"/>
      <c r="K128" s="18"/>
      <c r="L128" s="17"/>
    </row>
    <row r="129" spans="1:12" x14ac:dyDescent="0.2">
      <c r="A129" s="19">
        <v>113</v>
      </c>
      <c r="B129" s="20"/>
      <c r="C129" s="24"/>
      <c r="D129" s="30"/>
      <c r="E129" s="30"/>
      <c r="F129" s="30"/>
      <c r="G129" s="24"/>
      <c r="H129" s="48"/>
      <c r="I129" s="48"/>
      <c r="J129" s="24"/>
      <c r="K129" s="18"/>
      <c r="L129" s="17"/>
    </row>
    <row r="130" spans="1:12" x14ac:dyDescent="0.2">
      <c r="A130" s="19">
        <v>114</v>
      </c>
      <c r="B130" s="20"/>
      <c r="C130" s="24"/>
      <c r="D130" s="30"/>
      <c r="E130" s="30"/>
      <c r="F130" s="30"/>
      <c r="G130" s="24"/>
      <c r="H130" s="48"/>
      <c r="I130" s="48"/>
      <c r="J130" s="24"/>
      <c r="K130" s="18"/>
      <c r="L130" s="17"/>
    </row>
    <row r="131" spans="1:12" x14ac:dyDescent="0.2">
      <c r="A131" s="19">
        <v>115</v>
      </c>
      <c r="B131" s="20"/>
      <c r="C131" s="24"/>
      <c r="D131" s="30"/>
      <c r="E131" s="30"/>
      <c r="F131" s="30"/>
      <c r="G131" s="24"/>
      <c r="H131" s="48"/>
      <c r="I131" s="48"/>
      <c r="J131" s="24"/>
      <c r="K131" s="18"/>
      <c r="L131" s="17"/>
    </row>
    <row r="132" spans="1:12" x14ac:dyDescent="0.2">
      <c r="A132" s="19">
        <v>116</v>
      </c>
      <c r="B132" s="20"/>
      <c r="C132" s="24"/>
      <c r="D132" s="30"/>
      <c r="E132" s="30"/>
      <c r="F132" s="30"/>
      <c r="G132" s="24"/>
      <c r="H132" s="48"/>
      <c r="I132" s="48"/>
      <c r="J132" s="24"/>
      <c r="K132" s="18"/>
      <c r="L132" s="17"/>
    </row>
    <row r="133" spans="1:12" x14ac:dyDescent="0.2">
      <c r="A133" s="19">
        <v>117</v>
      </c>
      <c r="B133" s="20"/>
      <c r="C133" s="24"/>
      <c r="D133" s="30"/>
      <c r="E133" s="30"/>
      <c r="F133" s="30"/>
      <c r="G133" s="24"/>
      <c r="H133" s="48"/>
      <c r="I133" s="48"/>
      <c r="J133" s="24"/>
      <c r="K133" s="18"/>
      <c r="L133" s="17"/>
    </row>
    <row r="134" spans="1:12" x14ac:dyDescent="0.2">
      <c r="A134" s="19">
        <v>118</v>
      </c>
      <c r="B134" s="20"/>
      <c r="C134" s="24"/>
      <c r="D134" s="30"/>
      <c r="E134" s="30"/>
      <c r="F134" s="30"/>
      <c r="G134" s="24"/>
      <c r="H134" s="48"/>
      <c r="I134" s="48"/>
      <c r="J134" s="24"/>
      <c r="K134" s="18"/>
      <c r="L134" s="17"/>
    </row>
    <row r="135" spans="1:12" x14ac:dyDescent="0.2">
      <c r="A135" s="19">
        <v>119</v>
      </c>
      <c r="B135" s="20"/>
      <c r="C135" s="24"/>
      <c r="D135" s="30"/>
      <c r="E135" s="30"/>
      <c r="F135" s="30"/>
      <c r="G135" s="24"/>
      <c r="H135" s="48"/>
      <c r="I135" s="48"/>
      <c r="J135" s="24"/>
      <c r="K135" s="18"/>
      <c r="L135" s="17"/>
    </row>
    <row r="136" spans="1:12" x14ac:dyDescent="0.2">
      <c r="A136" s="19">
        <v>120</v>
      </c>
      <c r="B136" s="20"/>
      <c r="C136" s="24"/>
      <c r="D136" s="30"/>
      <c r="E136" s="30"/>
      <c r="F136" s="30"/>
      <c r="G136" s="24"/>
      <c r="H136" s="48"/>
      <c r="I136" s="48"/>
      <c r="J136" s="24"/>
      <c r="K136" s="18"/>
      <c r="L136" s="17"/>
    </row>
    <row r="137" spans="1:12" x14ac:dyDescent="0.2">
      <c r="A137" s="19">
        <v>121</v>
      </c>
      <c r="B137" s="20"/>
      <c r="C137" s="24"/>
      <c r="D137" s="30"/>
      <c r="E137" s="30"/>
      <c r="F137" s="30"/>
      <c r="G137" s="24"/>
      <c r="H137" s="48"/>
      <c r="I137" s="48"/>
      <c r="J137" s="24"/>
      <c r="K137" s="18"/>
      <c r="L137" s="17"/>
    </row>
    <row r="138" spans="1:12" x14ac:dyDescent="0.2">
      <c r="A138" s="19">
        <v>122</v>
      </c>
      <c r="B138" s="20"/>
      <c r="C138" s="24"/>
      <c r="D138" s="30"/>
      <c r="E138" s="30"/>
      <c r="F138" s="30"/>
      <c r="G138" s="24"/>
      <c r="H138" s="48"/>
      <c r="I138" s="48"/>
      <c r="J138" s="24"/>
      <c r="K138" s="18"/>
      <c r="L138" s="17"/>
    </row>
    <row r="139" spans="1:12" x14ac:dyDescent="0.2">
      <c r="A139" s="19">
        <v>123</v>
      </c>
      <c r="B139" s="20"/>
      <c r="C139" s="24"/>
      <c r="D139" s="30"/>
      <c r="E139" s="30"/>
      <c r="F139" s="30"/>
      <c r="G139" s="24"/>
      <c r="H139" s="48"/>
      <c r="I139" s="48"/>
      <c r="J139" s="24"/>
      <c r="K139" s="18"/>
      <c r="L139" s="17"/>
    </row>
    <row r="140" spans="1:12" x14ac:dyDescent="0.2">
      <c r="A140" s="19">
        <v>124</v>
      </c>
      <c r="B140" s="20"/>
      <c r="C140" s="24"/>
      <c r="D140" s="30"/>
      <c r="E140" s="30"/>
      <c r="F140" s="30"/>
      <c r="G140" s="24"/>
      <c r="H140" s="48"/>
      <c r="I140" s="48"/>
      <c r="J140" s="24"/>
      <c r="K140" s="18"/>
      <c r="L140" s="17"/>
    </row>
    <row r="141" spans="1:12" x14ac:dyDescent="0.2">
      <c r="A141" s="19">
        <v>125</v>
      </c>
      <c r="B141" s="20"/>
      <c r="C141" s="24"/>
      <c r="D141" s="30"/>
      <c r="E141" s="30"/>
      <c r="F141" s="30"/>
      <c r="G141" s="24"/>
      <c r="H141" s="48"/>
      <c r="I141" s="48"/>
      <c r="J141" s="24"/>
      <c r="K141" s="18"/>
      <c r="L141" s="17"/>
    </row>
    <row r="142" spans="1:12" x14ac:dyDescent="0.2">
      <c r="A142" s="19">
        <v>126</v>
      </c>
      <c r="B142" s="20"/>
      <c r="C142" s="24"/>
      <c r="D142" s="30"/>
      <c r="E142" s="30"/>
      <c r="F142" s="30"/>
      <c r="G142" s="24"/>
      <c r="H142" s="48"/>
      <c r="I142" s="48"/>
      <c r="J142" s="24"/>
      <c r="K142" s="18"/>
      <c r="L142" s="17"/>
    </row>
    <row r="143" spans="1:12" x14ac:dyDescent="0.2">
      <c r="A143" s="19">
        <v>127</v>
      </c>
      <c r="B143" s="20"/>
      <c r="C143" s="24"/>
      <c r="D143" s="30"/>
      <c r="E143" s="30"/>
      <c r="F143" s="30"/>
      <c r="G143" s="24"/>
      <c r="H143" s="48"/>
      <c r="I143" s="48"/>
      <c r="J143" s="24"/>
      <c r="K143" s="18"/>
      <c r="L143" s="17"/>
    </row>
    <row r="144" spans="1:12" x14ac:dyDescent="0.2">
      <c r="A144" s="19">
        <v>128</v>
      </c>
      <c r="B144" s="20"/>
      <c r="C144" s="24"/>
      <c r="D144" s="30"/>
      <c r="E144" s="30"/>
      <c r="F144" s="30"/>
      <c r="G144" s="24"/>
      <c r="H144" s="48"/>
      <c r="I144" s="48"/>
      <c r="J144" s="24"/>
      <c r="K144" s="18"/>
      <c r="L144" s="17"/>
    </row>
    <row r="145" spans="1:12" x14ac:dyDescent="0.2">
      <c r="A145" s="19">
        <v>129</v>
      </c>
      <c r="B145" s="20"/>
      <c r="C145" s="24"/>
      <c r="D145" s="30"/>
      <c r="E145" s="30"/>
      <c r="F145" s="30"/>
      <c r="G145" s="24"/>
      <c r="H145" s="48"/>
      <c r="I145" s="48"/>
      <c r="J145" s="24"/>
      <c r="K145" s="18"/>
      <c r="L145" s="17"/>
    </row>
    <row r="146" spans="1:12" x14ac:dyDescent="0.2">
      <c r="A146" s="19">
        <v>130</v>
      </c>
      <c r="B146" s="20"/>
      <c r="C146" s="24"/>
      <c r="D146" s="30"/>
      <c r="E146" s="30"/>
      <c r="F146" s="30"/>
      <c r="G146" s="24"/>
      <c r="H146" s="48"/>
      <c r="I146" s="48"/>
      <c r="J146" s="24"/>
      <c r="K146" s="18"/>
      <c r="L146" s="17"/>
    </row>
    <row r="147" spans="1:12" x14ac:dyDescent="0.2">
      <c r="A147" s="19">
        <v>131</v>
      </c>
      <c r="B147" s="20"/>
      <c r="C147" s="24"/>
      <c r="D147" s="30"/>
      <c r="E147" s="30"/>
      <c r="F147" s="30"/>
      <c r="G147" s="24"/>
      <c r="H147" s="48"/>
      <c r="I147" s="48"/>
      <c r="J147" s="24"/>
      <c r="K147" s="18"/>
      <c r="L147" s="17"/>
    </row>
    <row r="148" spans="1:12" x14ac:dyDescent="0.2">
      <c r="A148" s="19">
        <v>132</v>
      </c>
      <c r="B148" s="20"/>
      <c r="C148" s="24"/>
      <c r="D148" s="30"/>
      <c r="E148" s="30"/>
      <c r="F148" s="30"/>
      <c r="G148" s="24"/>
      <c r="H148" s="48"/>
      <c r="I148" s="48"/>
      <c r="J148" s="24"/>
      <c r="K148" s="18"/>
      <c r="L148" s="17"/>
    </row>
    <row r="149" spans="1:12" x14ac:dyDescent="0.2">
      <c r="A149" s="19">
        <v>133</v>
      </c>
      <c r="B149" s="20"/>
      <c r="C149" s="24"/>
      <c r="D149" s="30"/>
      <c r="E149" s="30"/>
      <c r="F149" s="30"/>
      <c r="G149" s="24"/>
      <c r="H149" s="48"/>
      <c r="I149" s="48"/>
      <c r="J149" s="24"/>
      <c r="K149" s="18"/>
      <c r="L149" s="17"/>
    </row>
    <row r="150" spans="1:12" x14ac:dyDescent="0.2">
      <c r="A150" s="19">
        <v>134</v>
      </c>
      <c r="B150" s="20"/>
      <c r="C150" s="24"/>
      <c r="D150" s="30"/>
      <c r="E150" s="30"/>
      <c r="F150" s="30"/>
      <c r="G150" s="24"/>
      <c r="H150" s="48"/>
      <c r="I150" s="48"/>
      <c r="J150" s="24"/>
      <c r="K150" s="18"/>
      <c r="L150" s="17"/>
    </row>
    <row r="151" spans="1:12" x14ac:dyDescent="0.2">
      <c r="A151" s="19">
        <v>135</v>
      </c>
      <c r="B151" s="20"/>
      <c r="C151" s="24"/>
      <c r="D151" s="30"/>
      <c r="E151" s="30"/>
      <c r="F151" s="30"/>
      <c r="G151" s="24"/>
      <c r="H151" s="48"/>
      <c r="I151" s="48"/>
      <c r="J151" s="24"/>
      <c r="K151" s="18"/>
      <c r="L151" s="17"/>
    </row>
    <row r="152" spans="1:12" x14ac:dyDescent="0.2">
      <c r="A152" s="19">
        <v>136</v>
      </c>
      <c r="B152" s="20"/>
      <c r="C152" s="24"/>
      <c r="D152" s="30"/>
      <c r="E152" s="30"/>
      <c r="F152" s="30"/>
      <c r="G152" s="24"/>
      <c r="H152" s="48"/>
      <c r="I152" s="48"/>
      <c r="J152" s="24"/>
      <c r="K152" s="18"/>
      <c r="L152" s="17"/>
    </row>
    <row r="153" spans="1:12" x14ac:dyDescent="0.2">
      <c r="A153" s="19">
        <v>137</v>
      </c>
      <c r="B153" s="20"/>
      <c r="C153" s="24"/>
      <c r="D153" s="30"/>
      <c r="E153" s="30"/>
      <c r="F153" s="30"/>
      <c r="G153" s="24"/>
      <c r="H153" s="48"/>
      <c r="I153" s="48"/>
      <c r="J153" s="24"/>
      <c r="K153" s="18"/>
      <c r="L153" s="17"/>
    </row>
    <row r="154" spans="1:12" x14ac:dyDescent="0.2">
      <c r="A154" s="19">
        <v>138</v>
      </c>
      <c r="B154" s="20"/>
      <c r="C154" s="24"/>
      <c r="D154" s="30"/>
      <c r="E154" s="30"/>
      <c r="F154" s="30"/>
      <c r="G154" s="24"/>
      <c r="H154" s="48"/>
      <c r="I154" s="48"/>
      <c r="J154" s="24"/>
      <c r="K154" s="18"/>
      <c r="L154" s="17"/>
    </row>
    <row r="155" spans="1:12" x14ac:dyDescent="0.2">
      <c r="A155" s="19">
        <v>139</v>
      </c>
      <c r="B155" s="20"/>
      <c r="C155" s="24"/>
      <c r="D155" s="30"/>
      <c r="E155" s="30"/>
      <c r="F155" s="30"/>
      <c r="G155" s="24"/>
      <c r="H155" s="48"/>
      <c r="I155" s="48"/>
      <c r="J155" s="24"/>
      <c r="K155" s="18"/>
      <c r="L155" s="17"/>
    </row>
    <row r="156" spans="1:12" x14ac:dyDescent="0.2">
      <c r="A156" s="19">
        <v>140</v>
      </c>
      <c r="B156" s="20"/>
      <c r="C156" s="24"/>
      <c r="D156" s="30"/>
      <c r="E156" s="30"/>
      <c r="F156" s="30"/>
      <c r="G156" s="24"/>
      <c r="H156" s="48"/>
      <c r="I156" s="48"/>
      <c r="J156" s="24"/>
      <c r="K156" s="18"/>
      <c r="L156" s="17"/>
    </row>
    <row r="157" spans="1:12" x14ac:dyDescent="0.2">
      <c r="A157" s="19">
        <v>141</v>
      </c>
      <c r="B157" s="20"/>
      <c r="C157" s="24"/>
      <c r="D157" s="30"/>
      <c r="E157" s="30"/>
      <c r="F157" s="30"/>
      <c r="G157" s="24"/>
      <c r="H157" s="48"/>
      <c r="I157" s="48"/>
      <c r="J157" s="24"/>
      <c r="K157" s="18"/>
      <c r="L157" s="17"/>
    </row>
    <row r="158" spans="1:12" x14ac:dyDescent="0.2">
      <c r="A158" s="19">
        <v>142</v>
      </c>
      <c r="B158" s="20"/>
      <c r="C158" s="24"/>
      <c r="D158" s="30"/>
      <c r="E158" s="30"/>
      <c r="F158" s="30"/>
      <c r="G158" s="24"/>
      <c r="H158" s="48"/>
      <c r="I158" s="48"/>
      <c r="J158" s="24"/>
      <c r="K158" s="18"/>
      <c r="L158" s="17"/>
    </row>
    <row r="159" spans="1:12" x14ac:dyDescent="0.2">
      <c r="A159" s="19">
        <v>143</v>
      </c>
      <c r="B159" s="20"/>
      <c r="C159" s="24"/>
      <c r="D159" s="30"/>
      <c r="E159" s="30"/>
      <c r="F159" s="30"/>
      <c r="G159" s="24"/>
      <c r="H159" s="48"/>
      <c r="I159" s="48"/>
      <c r="J159" s="24"/>
      <c r="K159" s="18"/>
      <c r="L159" s="17"/>
    </row>
    <row r="160" spans="1:12" x14ac:dyDescent="0.2">
      <c r="A160" s="19">
        <v>144</v>
      </c>
      <c r="B160" s="20"/>
      <c r="C160" s="24"/>
      <c r="D160" s="30"/>
      <c r="E160" s="30"/>
      <c r="F160" s="30"/>
      <c r="G160" s="24"/>
      <c r="H160" s="48"/>
      <c r="I160" s="48"/>
      <c r="J160" s="24"/>
      <c r="K160" s="18"/>
      <c r="L160" s="17"/>
    </row>
    <row r="161" spans="1:12" x14ac:dyDescent="0.2">
      <c r="A161" s="19">
        <v>145</v>
      </c>
      <c r="B161" s="20"/>
      <c r="C161" s="24"/>
      <c r="D161" s="30"/>
      <c r="E161" s="30"/>
      <c r="F161" s="30"/>
      <c r="G161" s="24"/>
      <c r="H161" s="48"/>
      <c r="I161" s="48"/>
      <c r="J161" s="24"/>
      <c r="K161" s="18"/>
      <c r="L161" s="17"/>
    </row>
    <row r="162" spans="1:12" x14ac:dyDescent="0.2">
      <c r="A162" s="19">
        <v>146</v>
      </c>
      <c r="B162" s="20"/>
      <c r="C162" s="24"/>
      <c r="D162" s="30"/>
      <c r="E162" s="30"/>
      <c r="F162" s="30"/>
      <c r="G162" s="24"/>
      <c r="H162" s="48"/>
      <c r="I162" s="48"/>
      <c r="J162" s="24"/>
      <c r="K162" s="18"/>
      <c r="L162" s="17"/>
    </row>
    <row r="163" spans="1:12" x14ac:dyDescent="0.2">
      <c r="A163" s="19">
        <v>147</v>
      </c>
      <c r="B163" s="20"/>
      <c r="C163" s="24"/>
      <c r="D163" s="30"/>
      <c r="E163" s="30"/>
      <c r="F163" s="30"/>
      <c r="G163" s="24"/>
      <c r="H163" s="48"/>
      <c r="I163" s="48"/>
      <c r="J163" s="24"/>
      <c r="K163" s="18"/>
      <c r="L163" s="17"/>
    </row>
    <row r="164" spans="1:12" x14ac:dyDescent="0.2">
      <c r="A164" s="19">
        <v>148</v>
      </c>
      <c r="B164" s="20"/>
      <c r="C164" s="24"/>
      <c r="D164" s="30"/>
      <c r="E164" s="30"/>
      <c r="F164" s="30"/>
      <c r="G164" s="24"/>
      <c r="H164" s="48"/>
      <c r="I164" s="48"/>
      <c r="J164" s="24"/>
      <c r="K164" s="18"/>
      <c r="L164" s="17"/>
    </row>
    <row r="165" spans="1:12" x14ac:dyDescent="0.2">
      <c r="A165" s="19">
        <v>149</v>
      </c>
      <c r="B165" s="20"/>
      <c r="C165" s="24"/>
      <c r="D165" s="30"/>
      <c r="E165" s="30"/>
      <c r="F165" s="30"/>
      <c r="G165" s="24"/>
      <c r="H165" s="48"/>
      <c r="I165" s="48"/>
      <c r="J165" s="24"/>
      <c r="K165" s="18"/>
      <c r="L165" s="17"/>
    </row>
    <row r="166" spans="1:12" x14ac:dyDescent="0.2">
      <c r="A166" s="19">
        <v>150</v>
      </c>
      <c r="B166" s="20"/>
      <c r="C166" s="24"/>
      <c r="D166" s="30"/>
      <c r="E166" s="30"/>
      <c r="F166" s="30"/>
      <c r="G166" s="24"/>
      <c r="H166" s="48"/>
      <c r="I166" s="48"/>
      <c r="J166" s="24"/>
      <c r="K166" s="18"/>
      <c r="L166" s="17"/>
    </row>
    <row r="167" spans="1:12" x14ac:dyDescent="0.2">
      <c r="A167" s="19">
        <v>151</v>
      </c>
      <c r="B167" s="20"/>
      <c r="C167" s="24"/>
      <c r="D167" s="30"/>
      <c r="E167" s="30"/>
      <c r="F167" s="30"/>
      <c r="G167" s="24"/>
      <c r="H167" s="48"/>
      <c r="I167" s="48"/>
      <c r="J167" s="24"/>
      <c r="K167" s="18"/>
      <c r="L167" s="17"/>
    </row>
    <row r="168" spans="1:12" x14ac:dyDescent="0.2">
      <c r="A168" s="19">
        <v>152</v>
      </c>
      <c r="B168" s="20"/>
      <c r="C168" s="24"/>
      <c r="D168" s="30"/>
      <c r="E168" s="30"/>
      <c r="F168" s="30"/>
      <c r="G168" s="24"/>
      <c r="H168" s="48"/>
      <c r="I168" s="48"/>
      <c r="J168" s="24"/>
      <c r="K168" s="18"/>
      <c r="L168" s="17"/>
    </row>
    <row r="169" spans="1:12" x14ac:dyDescent="0.2">
      <c r="A169" s="19">
        <v>153</v>
      </c>
      <c r="B169" s="20"/>
      <c r="C169" s="24"/>
      <c r="D169" s="30"/>
      <c r="E169" s="30"/>
      <c r="F169" s="30"/>
      <c r="G169" s="24"/>
      <c r="H169" s="48"/>
      <c r="I169" s="48"/>
      <c r="J169" s="24"/>
      <c r="K169" s="18"/>
      <c r="L169" s="17"/>
    </row>
    <row r="170" spans="1:12" x14ac:dyDescent="0.2">
      <c r="A170" s="19">
        <v>154</v>
      </c>
      <c r="B170" s="20"/>
      <c r="C170" s="24"/>
      <c r="D170" s="30"/>
      <c r="E170" s="30"/>
      <c r="F170" s="30"/>
      <c r="G170" s="24"/>
      <c r="H170" s="48"/>
      <c r="I170" s="48"/>
      <c r="J170" s="24"/>
      <c r="K170" s="18"/>
      <c r="L170" s="17"/>
    </row>
    <row r="171" spans="1:12" x14ac:dyDescent="0.2">
      <c r="A171" s="19">
        <v>155</v>
      </c>
      <c r="B171" s="20"/>
      <c r="C171" s="24"/>
      <c r="D171" s="30"/>
      <c r="E171" s="30"/>
      <c r="F171" s="30"/>
      <c r="G171" s="24"/>
      <c r="H171" s="48"/>
      <c r="I171" s="48"/>
      <c r="J171" s="24"/>
      <c r="K171" s="18"/>
      <c r="L171" s="17"/>
    </row>
    <row r="172" spans="1:12" x14ac:dyDescent="0.2">
      <c r="A172" s="19">
        <v>156</v>
      </c>
      <c r="B172" s="20"/>
      <c r="C172" s="24"/>
      <c r="D172" s="30"/>
      <c r="E172" s="30"/>
      <c r="F172" s="30"/>
      <c r="G172" s="24"/>
      <c r="H172" s="48"/>
      <c r="I172" s="48"/>
      <c r="J172" s="24"/>
      <c r="K172" s="18"/>
      <c r="L172" s="17"/>
    </row>
    <row r="173" spans="1:12" x14ac:dyDescent="0.2">
      <c r="A173" s="19">
        <v>157</v>
      </c>
      <c r="B173" s="20"/>
      <c r="C173" s="24"/>
      <c r="D173" s="30"/>
      <c r="E173" s="30"/>
      <c r="F173" s="30"/>
      <c r="G173" s="24"/>
      <c r="H173" s="48"/>
      <c r="I173" s="48"/>
      <c r="J173" s="24"/>
      <c r="K173" s="18"/>
      <c r="L173" s="17"/>
    </row>
    <row r="174" spans="1:12" x14ac:dyDescent="0.2">
      <c r="A174" s="19">
        <v>158</v>
      </c>
      <c r="B174" s="20"/>
      <c r="C174" s="24"/>
      <c r="D174" s="30"/>
      <c r="E174" s="30"/>
      <c r="F174" s="30"/>
      <c r="G174" s="24"/>
      <c r="H174" s="48"/>
      <c r="I174" s="48"/>
      <c r="J174" s="24"/>
      <c r="K174" s="18"/>
      <c r="L174" s="17"/>
    </row>
    <row r="175" spans="1:12" x14ac:dyDescent="0.2">
      <c r="A175" s="19">
        <v>159</v>
      </c>
      <c r="B175" s="20"/>
      <c r="C175" s="24"/>
      <c r="D175" s="30"/>
      <c r="E175" s="30"/>
      <c r="F175" s="30"/>
      <c r="G175" s="24"/>
      <c r="H175" s="48"/>
      <c r="I175" s="48"/>
      <c r="J175" s="24"/>
      <c r="K175" s="18"/>
      <c r="L175" s="17"/>
    </row>
    <row r="176" spans="1:12" x14ac:dyDescent="0.2">
      <c r="A176" s="19">
        <v>160</v>
      </c>
      <c r="B176" s="20"/>
      <c r="C176" s="24"/>
      <c r="D176" s="30"/>
      <c r="E176" s="30"/>
      <c r="F176" s="30"/>
      <c r="G176" s="24"/>
      <c r="H176" s="48"/>
      <c r="I176" s="48"/>
      <c r="J176" s="24"/>
      <c r="K176" s="18"/>
      <c r="L176" s="17"/>
    </row>
    <row r="177" spans="1:12" x14ac:dyDescent="0.2">
      <c r="A177" s="19">
        <v>161</v>
      </c>
      <c r="B177" s="20"/>
      <c r="C177" s="24"/>
      <c r="D177" s="30"/>
      <c r="E177" s="30"/>
      <c r="F177" s="30"/>
      <c r="G177" s="24"/>
      <c r="H177" s="48"/>
      <c r="I177" s="48"/>
      <c r="J177" s="24"/>
      <c r="K177" s="18"/>
      <c r="L177" s="17"/>
    </row>
    <row r="178" spans="1:12" x14ac:dyDescent="0.2">
      <c r="A178" s="19">
        <v>162</v>
      </c>
      <c r="B178" s="20"/>
      <c r="C178" s="24"/>
      <c r="D178" s="30"/>
      <c r="E178" s="30"/>
      <c r="F178" s="30"/>
      <c r="G178" s="24"/>
      <c r="H178" s="48"/>
      <c r="I178" s="48"/>
      <c r="J178" s="24"/>
      <c r="K178" s="18"/>
      <c r="L178" s="17"/>
    </row>
    <row r="179" spans="1:12" x14ac:dyDescent="0.2">
      <c r="A179" s="19">
        <v>163</v>
      </c>
      <c r="B179" s="20"/>
      <c r="C179" s="24"/>
      <c r="D179" s="30"/>
      <c r="E179" s="30"/>
      <c r="F179" s="30"/>
      <c r="G179" s="24"/>
      <c r="H179" s="48"/>
      <c r="I179" s="48"/>
      <c r="J179" s="24"/>
      <c r="K179" s="18"/>
      <c r="L179" s="17"/>
    </row>
    <row r="180" spans="1:12" x14ac:dyDescent="0.2">
      <c r="A180" s="19">
        <v>164</v>
      </c>
      <c r="B180" s="20"/>
      <c r="C180" s="24"/>
      <c r="D180" s="30"/>
      <c r="E180" s="30"/>
      <c r="F180" s="30"/>
      <c r="G180" s="24"/>
      <c r="H180" s="48"/>
      <c r="I180" s="48"/>
      <c r="J180" s="24"/>
      <c r="K180" s="18"/>
      <c r="L180" s="17"/>
    </row>
    <row r="181" spans="1:12" x14ac:dyDescent="0.2">
      <c r="A181" s="19">
        <v>165</v>
      </c>
      <c r="B181" s="20"/>
      <c r="C181" s="24"/>
      <c r="D181" s="30"/>
      <c r="E181" s="30"/>
      <c r="F181" s="30"/>
      <c r="G181" s="24"/>
      <c r="H181" s="48"/>
      <c r="I181" s="48"/>
      <c r="J181" s="24"/>
      <c r="K181" s="18"/>
      <c r="L181" s="17"/>
    </row>
    <row r="182" spans="1:12" x14ac:dyDescent="0.2">
      <c r="A182" s="19">
        <v>166</v>
      </c>
      <c r="B182" s="20"/>
      <c r="C182" s="24"/>
      <c r="D182" s="30"/>
      <c r="E182" s="30"/>
      <c r="F182" s="30"/>
      <c r="G182" s="24"/>
      <c r="H182" s="48"/>
      <c r="I182" s="48"/>
      <c r="J182" s="24"/>
      <c r="K182" s="18"/>
      <c r="L182" s="17"/>
    </row>
    <row r="183" spans="1:12" x14ac:dyDescent="0.2">
      <c r="A183" s="19">
        <v>167</v>
      </c>
      <c r="B183" s="20"/>
      <c r="C183" s="24"/>
      <c r="D183" s="30"/>
      <c r="E183" s="30"/>
      <c r="F183" s="30"/>
      <c r="G183" s="24"/>
      <c r="H183" s="48"/>
      <c r="I183" s="48"/>
      <c r="J183" s="24"/>
      <c r="K183" s="18"/>
      <c r="L183" s="17"/>
    </row>
    <row r="184" spans="1:12" x14ac:dyDescent="0.2">
      <c r="A184" s="19">
        <v>168</v>
      </c>
      <c r="B184" s="20"/>
      <c r="C184" s="24"/>
      <c r="D184" s="30"/>
      <c r="E184" s="30"/>
      <c r="F184" s="30"/>
      <c r="G184" s="24"/>
      <c r="H184" s="48"/>
      <c r="I184" s="48"/>
      <c r="J184" s="24"/>
      <c r="K184" s="18"/>
      <c r="L184" s="17"/>
    </row>
    <row r="185" spans="1:12" x14ac:dyDescent="0.2">
      <c r="A185" s="19">
        <v>169</v>
      </c>
      <c r="B185" s="20"/>
      <c r="C185" s="24"/>
      <c r="D185" s="30"/>
      <c r="E185" s="30"/>
      <c r="F185" s="30"/>
      <c r="G185" s="24"/>
      <c r="H185" s="48"/>
      <c r="I185" s="48"/>
      <c r="J185" s="24"/>
      <c r="K185" s="18"/>
      <c r="L185" s="17"/>
    </row>
    <row r="186" spans="1:12" x14ac:dyDescent="0.2">
      <c r="A186" s="19">
        <v>170</v>
      </c>
      <c r="B186" s="20"/>
      <c r="C186" s="24"/>
      <c r="D186" s="30"/>
      <c r="E186" s="30"/>
      <c r="F186" s="30"/>
      <c r="G186" s="24"/>
      <c r="H186" s="48"/>
      <c r="I186" s="48"/>
      <c r="J186" s="24"/>
      <c r="K186" s="18"/>
      <c r="L186" s="17"/>
    </row>
    <row r="187" spans="1:12" x14ac:dyDescent="0.2">
      <c r="A187" s="19">
        <v>171</v>
      </c>
      <c r="B187" s="20"/>
      <c r="C187" s="24"/>
      <c r="D187" s="30"/>
      <c r="E187" s="30"/>
      <c r="F187" s="30"/>
      <c r="G187" s="24"/>
      <c r="H187" s="48"/>
      <c r="I187" s="48"/>
      <c r="J187" s="24"/>
      <c r="K187" s="18"/>
      <c r="L187" s="17"/>
    </row>
    <row r="188" spans="1:12" x14ac:dyDescent="0.2">
      <c r="A188" s="19">
        <v>172</v>
      </c>
      <c r="B188" s="20"/>
      <c r="C188" s="24"/>
      <c r="D188" s="30"/>
      <c r="E188" s="30"/>
      <c r="F188" s="30"/>
      <c r="G188" s="24"/>
      <c r="H188" s="48"/>
      <c r="I188" s="48"/>
      <c r="J188" s="24"/>
      <c r="K188" s="18"/>
      <c r="L188" s="17"/>
    </row>
    <row r="189" spans="1:12" x14ac:dyDescent="0.2">
      <c r="A189" s="19">
        <v>173</v>
      </c>
      <c r="B189" s="20"/>
      <c r="C189" s="24"/>
      <c r="D189" s="30"/>
      <c r="E189" s="30"/>
      <c r="F189" s="30"/>
      <c r="G189" s="24"/>
      <c r="H189" s="48"/>
      <c r="I189" s="48"/>
      <c r="J189" s="24"/>
      <c r="K189" s="18"/>
      <c r="L189" s="17"/>
    </row>
    <row r="190" spans="1:12" x14ac:dyDescent="0.2">
      <c r="A190" s="19">
        <v>174</v>
      </c>
      <c r="B190" s="20"/>
      <c r="C190" s="24"/>
      <c r="D190" s="30"/>
      <c r="E190" s="30"/>
      <c r="F190" s="30"/>
      <c r="G190" s="24"/>
      <c r="H190" s="48"/>
      <c r="I190" s="48"/>
      <c r="J190" s="24"/>
      <c r="K190" s="18"/>
      <c r="L190" s="17"/>
    </row>
    <row r="191" spans="1:12" x14ac:dyDescent="0.2">
      <c r="A191" s="19">
        <v>175</v>
      </c>
      <c r="B191" s="20"/>
      <c r="C191" s="24"/>
      <c r="D191" s="30"/>
      <c r="E191" s="30"/>
      <c r="F191" s="30"/>
      <c r="G191" s="24"/>
      <c r="H191" s="48"/>
      <c r="I191" s="48"/>
      <c r="J191" s="24"/>
      <c r="K191" s="18"/>
      <c r="L191" s="17"/>
    </row>
    <row r="192" spans="1:12" x14ac:dyDescent="0.2">
      <c r="A192" s="19">
        <v>176</v>
      </c>
      <c r="B192" s="20"/>
      <c r="C192" s="24"/>
      <c r="D192" s="30"/>
      <c r="E192" s="30"/>
      <c r="F192" s="30"/>
      <c r="G192" s="24"/>
      <c r="H192" s="48"/>
      <c r="I192" s="48"/>
      <c r="J192" s="24"/>
      <c r="K192" s="18"/>
      <c r="L192" s="17"/>
    </row>
    <row r="193" spans="1:12" x14ac:dyDescent="0.2">
      <c r="A193" s="19">
        <v>177</v>
      </c>
      <c r="B193" s="20"/>
      <c r="C193" s="24"/>
      <c r="D193" s="30"/>
      <c r="E193" s="30"/>
      <c r="F193" s="30"/>
      <c r="G193" s="24"/>
      <c r="H193" s="48"/>
      <c r="I193" s="48"/>
      <c r="J193" s="24"/>
      <c r="K193" s="18"/>
      <c r="L193" s="17"/>
    </row>
    <row r="194" spans="1:12" x14ac:dyDescent="0.2">
      <c r="A194" s="19">
        <v>178</v>
      </c>
      <c r="B194" s="20"/>
      <c r="C194" s="24"/>
      <c r="D194" s="30"/>
      <c r="E194" s="30"/>
      <c r="F194" s="30"/>
      <c r="G194" s="24"/>
      <c r="H194" s="48"/>
      <c r="I194" s="48"/>
      <c r="J194" s="24"/>
      <c r="K194" s="18"/>
      <c r="L194" s="17"/>
    </row>
    <row r="195" spans="1:12" x14ac:dyDescent="0.2">
      <c r="A195" s="19">
        <v>179</v>
      </c>
      <c r="B195" s="20"/>
      <c r="C195" s="24"/>
      <c r="D195" s="30"/>
      <c r="E195" s="30"/>
      <c r="F195" s="30"/>
      <c r="G195" s="24"/>
      <c r="H195" s="48"/>
      <c r="I195" s="48"/>
      <c r="J195" s="24"/>
      <c r="K195" s="18"/>
      <c r="L195" s="17"/>
    </row>
    <row r="196" spans="1:12" x14ac:dyDescent="0.2">
      <c r="A196" s="19">
        <v>180</v>
      </c>
      <c r="B196" s="20"/>
      <c r="C196" s="24"/>
      <c r="D196" s="30"/>
      <c r="E196" s="30"/>
      <c r="F196" s="30"/>
      <c r="G196" s="24"/>
      <c r="H196" s="48"/>
      <c r="I196" s="48"/>
      <c r="J196" s="24"/>
      <c r="K196" s="18"/>
      <c r="L196" s="17"/>
    </row>
    <row r="197" spans="1:12" x14ac:dyDescent="0.2">
      <c r="A197" s="19">
        <v>181</v>
      </c>
      <c r="B197" s="20"/>
      <c r="C197" s="24"/>
      <c r="D197" s="30"/>
      <c r="E197" s="30"/>
      <c r="F197" s="30"/>
      <c r="G197" s="24"/>
      <c r="H197" s="48"/>
      <c r="I197" s="48"/>
      <c r="J197" s="24"/>
      <c r="K197" s="18"/>
      <c r="L197" s="17"/>
    </row>
    <row r="198" spans="1:12" x14ac:dyDescent="0.2">
      <c r="A198" s="19">
        <v>182</v>
      </c>
      <c r="B198" s="20"/>
      <c r="C198" s="24"/>
      <c r="D198" s="30"/>
      <c r="E198" s="30"/>
      <c r="F198" s="30"/>
      <c r="G198" s="24"/>
      <c r="H198" s="48"/>
      <c r="I198" s="48"/>
      <c r="J198" s="24"/>
      <c r="K198" s="18"/>
      <c r="L198" s="17"/>
    </row>
    <row r="199" spans="1:12" x14ac:dyDescent="0.2">
      <c r="A199" s="19">
        <v>183</v>
      </c>
      <c r="B199" s="20"/>
      <c r="C199" s="24"/>
      <c r="D199" s="30"/>
      <c r="E199" s="30"/>
      <c r="F199" s="30"/>
      <c r="G199" s="24"/>
      <c r="H199" s="48"/>
      <c r="I199" s="48"/>
      <c r="J199" s="24"/>
      <c r="K199" s="18"/>
      <c r="L199" s="17"/>
    </row>
    <row r="200" spans="1:12" x14ac:dyDescent="0.2">
      <c r="A200" s="19">
        <v>184</v>
      </c>
      <c r="B200" s="20"/>
      <c r="C200" s="24"/>
      <c r="D200" s="30"/>
      <c r="E200" s="30"/>
      <c r="F200" s="30"/>
      <c r="G200" s="24"/>
      <c r="H200" s="48"/>
      <c r="I200" s="48"/>
      <c r="J200" s="24"/>
      <c r="K200" s="18"/>
      <c r="L200" s="17"/>
    </row>
    <row r="201" spans="1:12" x14ac:dyDescent="0.2">
      <c r="A201" s="19">
        <v>185</v>
      </c>
      <c r="B201" s="20"/>
      <c r="C201" s="24"/>
      <c r="D201" s="30"/>
      <c r="E201" s="30"/>
      <c r="F201" s="30"/>
      <c r="G201" s="24"/>
      <c r="H201" s="48"/>
      <c r="I201" s="48"/>
      <c r="J201" s="24"/>
      <c r="K201" s="18"/>
      <c r="L201" s="17"/>
    </row>
    <row r="202" spans="1:12" x14ac:dyDescent="0.2">
      <c r="A202" s="19">
        <v>186</v>
      </c>
      <c r="B202" s="20"/>
      <c r="C202" s="24"/>
      <c r="D202" s="30"/>
      <c r="E202" s="30"/>
      <c r="F202" s="30"/>
      <c r="G202" s="24"/>
      <c r="H202" s="48"/>
      <c r="I202" s="48"/>
      <c r="J202" s="24"/>
      <c r="K202" s="18"/>
      <c r="L202" s="17"/>
    </row>
    <row r="203" spans="1:12" x14ac:dyDescent="0.2">
      <c r="A203" s="19">
        <v>187</v>
      </c>
      <c r="B203" s="20"/>
      <c r="C203" s="24"/>
      <c r="D203" s="30"/>
      <c r="E203" s="30"/>
      <c r="F203" s="30"/>
      <c r="G203" s="24"/>
      <c r="H203" s="48"/>
      <c r="I203" s="48"/>
      <c r="J203" s="24"/>
      <c r="K203" s="18"/>
      <c r="L203" s="17"/>
    </row>
    <row r="204" spans="1:12" x14ac:dyDescent="0.2">
      <c r="A204" s="19">
        <v>188</v>
      </c>
      <c r="B204" s="20"/>
      <c r="C204" s="24"/>
      <c r="D204" s="30"/>
      <c r="E204" s="30"/>
      <c r="F204" s="30"/>
      <c r="G204" s="24"/>
      <c r="H204" s="48"/>
      <c r="I204" s="48"/>
      <c r="J204" s="24"/>
      <c r="K204" s="18"/>
      <c r="L204" s="17"/>
    </row>
    <row r="205" spans="1:12" x14ac:dyDescent="0.2">
      <c r="A205" s="19">
        <v>189</v>
      </c>
      <c r="B205" s="20"/>
      <c r="C205" s="24"/>
      <c r="D205" s="30"/>
      <c r="E205" s="30"/>
      <c r="F205" s="30"/>
      <c r="G205" s="24"/>
      <c r="H205" s="48"/>
      <c r="I205" s="48"/>
      <c r="J205" s="24"/>
      <c r="K205" s="18"/>
      <c r="L205" s="17"/>
    </row>
    <row r="206" spans="1:12" x14ac:dyDescent="0.2">
      <c r="A206" s="19">
        <v>190</v>
      </c>
      <c r="B206" s="20"/>
      <c r="C206" s="24"/>
      <c r="D206" s="30"/>
      <c r="E206" s="30"/>
      <c r="F206" s="30"/>
      <c r="G206" s="24"/>
      <c r="H206" s="48"/>
      <c r="I206" s="48"/>
      <c r="J206" s="24"/>
      <c r="K206" s="18"/>
      <c r="L206" s="17"/>
    </row>
    <row r="207" spans="1:12" x14ac:dyDescent="0.2">
      <c r="A207" s="19">
        <v>191</v>
      </c>
      <c r="B207" s="20"/>
      <c r="C207" s="24"/>
      <c r="D207" s="30"/>
      <c r="E207" s="30"/>
      <c r="F207" s="30"/>
      <c r="G207" s="24"/>
      <c r="H207" s="48"/>
      <c r="I207" s="48"/>
      <c r="J207" s="24"/>
      <c r="K207" s="18"/>
      <c r="L207" s="17"/>
    </row>
    <row r="208" spans="1:12" x14ac:dyDescent="0.2">
      <c r="A208" s="19">
        <v>192</v>
      </c>
      <c r="B208" s="20"/>
      <c r="C208" s="24"/>
      <c r="D208" s="30"/>
      <c r="E208" s="30"/>
      <c r="F208" s="30"/>
      <c r="G208" s="24"/>
      <c r="H208" s="48"/>
      <c r="I208" s="48"/>
      <c r="J208" s="24"/>
      <c r="K208" s="18"/>
      <c r="L208" s="17"/>
    </row>
    <row r="209" spans="1:12" x14ac:dyDescent="0.2">
      <c r="A209" s="19">
        <v>193</v>
      </c>
      <c r="B209" s="20"/>
      <c r="C209" s="24"/>
      <c r="D209" s="30"/>
      <c r="E209" s="30"/>
      <c r="F209" s="30"/>
      <c r="G209" s="24"/>
      <c r="H209" s="48"/>
      <c r="I209" s="48"/>
      <c r="J209" s="24"/>
      <c r="K209" s="18"/>
      <c r="L209" s="17"/>
    </row>
    <row r="210" spans="1:12" x14ac:dyDescent="0.2">
      <c r="A210" s="19">
        <v>194</v>
      </c>
      <c r="B210" s="20"/>
      <c r="C210" s="24"/>
      <c r="D210" s="30"/>
      <c r="E210" s="30"/>
      <c r="F210" s="30"/>
      <c r="G210" s="24"/>
      <c r="H210" s="48"/>
      <c r="I210" s="48"/>
      <c r="J210" s="24"/>
      <c r="K210" s="18"/>
      <c r="L210" s="17"/>
    </row>
    <row r="211" spans="1:12" x14ac:dyDescent="0.2">
      <c r="A211" s="19">
        <v>195</v>
      </c>
      <c r="B211" s="20"/>
      <c r="C211" s="24"/>
      <c r="D211" s="30"/>
      <c r="E211" s="30"/>
      <c r="F211" s="30"/>
      <c r="G211" s="24"/>
      <c r="H211" s="48"/>
      <c r="I211" s="48"/>
      <c r="J211" s="24"/>
      <c r="K211" s="18"/>
      <c r="L211" s="17"/>
    </row>
    <row r="212" spans="1:12" x14ac:dyDescent="0.2">
      <c r="A212" s="19">
        <v>196</v>
      </c>
      <c r="B212" s="20"/>
      <c r="C212" s="24"/>
      <c r="D212" s="30"/>
      <c r="E212" s="30"/>
      <c r="F212" s="30"/>
      <c r="G212" s="24"/>
      <c r="H212" s="48"/>
      <c r="I212" s="48"/>
      <c r="J212" s="24"/>
      <c r="K212" s="18"/>
      <c r="L212" s="17"/>
    </row>
    <row r="213" spans="1:12" x14ac:dyDescent="0.2">
      <c r="A213" s="19">
        <v>197</v>
      </c>
      <c r="B213" s="20"/>
      <c r="C213" s="24"/>
      <c r="D213" s="30"/>
      <c r="E213" s="30"/>
      <c r="F213" s="30"/>
      <c r="G213" s="24"/>
      <c r="H213" s="48"/>
      <c r="I213" s="48"/>
      <c r="J213" s="24"/>
      <c r="K213" s="18"/>
      <c r="L213" s="17"/>
    </row>
    <row r="214" spans="1:12" x14ac:dyDescent="0.2">
      <c r="A214" s="19">
        <v>198</v>
      </c>
      <c r="B214" s="20"/>
      <c r="C214" s="24"/>
      <c r="D214" s="30"/>
      <c r="E214" s="30"/>
      <c r="F214" s="30"/>
      <c r="G214" s="24"/>
      <c r="H214" s="48"/>
      <c r="I214" s="48"/>
      <c r="J214" s="24"/>
      <c r="K214" s="18"/>
      <c r="L214" s="17"/>
    </row>
    <row r="215" spans="1:12" x14ac:dyDescent="0.2">
      <c r="A215" s="19">
        <v>199</v>
      </c>
      <c r="B215" s="20"/>
      <c r="C215" s="24"/>
      <c r="D215" s="30"/>
      <c r="E215" s="30"/>
      <c r="F215" s="30"/>
      <c r="G215" s="24"/>
      <c r="H215" s="48"/>
      <c r="I215" s="48"/>
      <c r="J215" s="24"/>
      <c r="K215" s="18"/>
      <c r="L215" s="17"/>
    </row>
    <row r="216" spans="1:12" x14ac:dyDescent="0.2">
      <c r="A216" s="19">
        <v>200</v>
      </c>
      <c r="B216" s="20"/>
      <c r="C216" s="24"/>
      <c r="D216" s="30"/>
      <c r="E216" s="30"/>
      <c r="F216" s="30"/>
      <c r="G216" s="24"/>
      <c r="H216" s="48"/>
      <c r="I216" s="48"/>
      <c r="J216" s="24"/>
      <c r="K216" s="18"/>
      <c r="L216" s="17"/>
    </row>
    <row r="217" spans="1:12" x14ac:dyDescent="0.2">
      <c r="A217" s="19">
        <v>201</v>
      </c>
      <c r="B217" s="20"/>
      <c r="C217" s="24"/>
      <c r="D217" s="30"/>
      <c r="E217" s="30"/>
      <c r="F217" s="30"/>
      <c r="G217" s="24"/>
      <c r="H217" s="48"/>
      <c r="I217" s="48"/>
      <c r="J217" s="24"/>
      <c r="K217" s="18"/>
      <c r="L217" s="17"/>
    </row>
    <row r="218" spans="1:12" x14ac:dyDescent="0.2">
      <c r="A218" s="19">
        <v>202</v>
      </c>
      <c r="B218" s="20"/>
      <c r="C218" s="24"/>
      <c r="D218" s="30"/>
      <c r="E218" s="30"/>
      <c r="F218" s="30"/>
      <c r="G218" s="24"/>
      <c r="H218" s="48"/>
      <c r="I218" s="48"/>
      <c r="J218" s="24"/>
      <c r="K218" s="18"/>
      <c r="L218" s="17"/>
    </row>
    <row r="219" spans="1:12" x14ac:dyDescent="0.2">
      <c r="A219" s="19">
        <v>203</v>
      </c>
      <c r="B219" s="20"/>
      <c r="C219" s="24"/>
      <c r="D219" s="30"/>
      <c r="E219" s="30"/>
      <c r="F219" s="30"/>
      <c r="G219" s="24"/>
      <c r="H219" s="48"/>
      <c r="I219" s="48"/>
      <c r="J219" s="24"/>
      <c r="K219" s="18"/>
      <c r="L219" s="17"/>
    </row>
    <row r="220" spans="1:12" x14ac:dyDescent="0.2">
      <c r="A220" s="19">
        <v>204</v>
      </c>
      <c r="B220" s="20"/>
      <c r="C220" s="24"/>
      <c r="D220" s="30"/>
      <c r="E220" s="30"/>
      <c r="F220" s="30"/>
      <c r="G220" s="24"/>
      <c r="H220" s="48"/>
      <c r="I220" s="48"/>
      <c r="J220" s="24"/>
      <c r="K220" s="18"/>
      <c r="L220" s="17"/>
    </row>
    <row r="221" spans="1:12" x14ac:dyDescent="0.2">
      <c r="A221" s="19">
        <v>205</v>
      </c>
      <c r="B221" s="20"/>
      <c r="C221" s="24"/>
      <c r="D221" s="30"/>
      <c r="E221" s="30"/>
      <c r="F221" s="30"/>
      <c r="G221" s="24"/>
      <c r="H221" s="48"/>
      <c r="I221" s="48"/>
      <c r="J221" s="24"/>
      <c r="K221" s="18"/>
      <c r="L221" s="17"/>
    </row>
    <row r="222" spans="1:12" x14ac:dyDescent="0.2">
      <c r="A222" s="19">
        <v>206</v>
      </c>
      <c r="B222" s="20"/>
      <c r="C222" s="24"/>
      <c r="D222" s="30"/>
      <c r="E222" s="30"/>
      <c r="F222" s="30"/>
      <c r="G222" s="24"/>
      <c r="H222" s="48"/>
      <c r="I222" s="48"/>
      <c r="J222" s="24"/>
      <c r="K222" s="18"/>
      <c r="L222" s="17"/>
    </row>
    <row r="223" spans="1:12" x14ac:dyDescent="0.2">
      <c r="A223" s="19">
        <v>207</v>
      </c>
      <c r="B223" s="20"/>
      <c r="C223" s="24"/>
      <c r="D223" s="30"/>
      <c r="E223" s="30"/>
      <c r="F223" s="30"/>
      <c r="G223" s="24"/>
      <c r="H223" s="48"/>
      <c r="I223" s="48"/>
      <c r="J223" s="24"/>
      <c r="K223" s="18"/>
      <c r="L223" s="17"/>
    </row>
    <row r="224" spans="1:12" x14ac:dyDescent="0.2">
      <c r="A224" s="19">
        <v>208</v>
      </c>
      <c r="B224" s="20"/>
      <c r="C224" s="24"/>
      <c r="D224" s="30"/>
      <c r="E224" s="30"/>
      <c r="F224" s="30"/>
      <c r="G224" s="24"/>
      <c r="H224" s="48"/>
      <c r="I224" s="48"/>
      <c r="J224" s="24"/>
      <c r="K224" s="18"/>
      <c r="L224" s="17"/>
    </row>
    <row r="225" spans="1:12" x14ac:dyDescent="0.2">
      <c r="A225" s="19">
        <v>209</v>
      </c>
      <c r="B225" s="20"/>
      <c r="C225" s="24"/>
      <c r="D225" s="30"/>
      <c r="E225" s="30"/>
      <c r="F225" s="30"/>
      <c r="G225" s="24"/>
      <c r="H225" s="48"/>
      <c r="I225" s="48"/>
      <c r="J225" s="24"/>
      <c r="K225" s="18"/>
      <c r="L225" s="17"/>
    </row>
    <row r="226" spans="1:12" x14ac:dyDescent="0.2">
      <c r="A226" s="19">
        <v>210</v>
      </c>
      <c r="B226" s="20"/>
      <c r="C226" s="24"/>
      <c r="D226" s="30"/>
      <c r="E226" s="30"/>
      <c r="F226" s="30"/>
      <c r="G226" s="24"/>
      <c r="H226" s="48"/>
      <c r="I226" s="48"/>
      <c r="J226" s="24"/>
      <c r="K226" s="18"/>
      <c r="L226" s="17"/>
    </row>
    <row r="227" spans="1:12" x14ac:dyDescent="0.2">
      <c r="A227" s="19">
        <v>211</v>
      </c>
      <c r="B227" s="20"/>
      <c r="C227" s="24"/>
      <c r="D227" s="30"/>
      <c r="E227" s="30"/>
      <c r="F227" s="30"/>
      <c r="G227" s="24"/>
      <c r="H227" s="48"/>
      <c r="I227" s="48"/>
      <c r="J227" s="24"/>
      <c r="K227" s="18"/>
      <c r="L227" s="17"/>
    </row>
    <row r="228" spans="1:12" x14ac:dyDescent="0.2">
      <c r="A228" s="19">
        <v>212</v>
      </c>
      <c r="B228" s="20"/>
      <c r="C228" s="24"/>
      <c r="D228" s="30"/>
      <c r="E228" s="30"/>
      <c r="F228" s="30"/>
      <c r="G228" s="24"/>
      <c r="H228" s="48"/>
      <c r="I228" s="48"/>
      <c r="J228" s="24"/>
      <c r="K228" s="18"/>
      <c r="L228" s="17"/>
    </row>
    <row r="229" spans="1:12" x14ac:dyDescent="0.2">
      <c r="A229" s="19">
        <v>213</v>
      </c>
      <c r="B229" s="20"/>
      <c r="C229" s="24"/>
      <c r="D229" s="30"/>
      <c r="E229" s="30"/>
      <c r="F229" s="30"/>
      <c r="G229" s="24"/>
      <c r="H229" s="48"/>
      <c r="I229" s="48"/>
      <c r="J229" s="24"/>
      <c r="K229" s="18"/>
      <c r="L229" s="17"/>
    </row>
    <row r="230" spans="1:12" x14ac:dyDescent="0.2">
      <c r="A230" s="19">
        <v>214</v>
      </c>
      <c r="B230" s="20"/>
      <c r="C230" s="24"/>
      <c r="D230" s="30"/>
      <c r="E230" s="30"/>
      <c r="F230" s="30"/>
      <c r="G230" s="24"/>
      <c r="H230" s="48"/>
      <c r="I230" s="48"/>
      <c r="J230" s="24"/>
      <c r="K230" s="18"/>
      <c r="L230" s="17"/>
    </row>
    <row r="231" spans="1:12" x14ac:dyDescent="0.2">
      <c r="A231" s="19">
        <v>215</v>
      </c>
      <c r="B231" s="20"/>
      <c r="C231" s="24"/>
      <c r="D231" s="30"/>
      <c r="E231" s="30"/>
      <c r="F231" s="30"/>
      <c r="G231" s="24"/>
      <c r="H231" s="48"/>
      <c r="I231" s="48"/>
      <c r="J231" s="24"/>
      <c r="K231" s="18"/>
      <c r="L231" s="17"/>
    </row>
    <row r="232" spans="1:12" x14ac:dyDescent="0.2">
      <c r="A232" s="19">
        <v>216</v>
      </c>
      <c r="B232" s="20"/>
      <c r="C232" s="24"/>
      <c r="D232" s="30"/>
      <c r="E232" s="30"/>
      <c r="F232" s="30"/>
      <c r="G232" s="24"/>
      <c r="H232" s="48"/>
      <c r="I232" s="48"/>
      <c r="J232" s="24"/>
      <c r="K232" s="18"/>
      <c r="L232" s="17"/>
    </row>
    <row r="233" spans="1:12" x14ac:dyDescent="0.2">
      <c r="A233" s="19">
        <v>217</v>
      </c>
      <c r="B233" s="20"/>
      <c r="C233" s="24"/>
      <c r="D233" s="30"/>
      <c r="E233" s="30"/>
      <c r="F233" s="30"/>
      <c r="G233" s="24"/>
      <c r="H233" s="48"/>
      <c r="I233" s="48"/>
      <c r="J233" s="24"/>
      <c r="K233" s="18"/>
      <c r="L233" s="17"/>
    </row>
    <row r="234" spans="1:12" x14ac:dyDescent="0.2">
      <c r="A234" s="19">
        <v>218</v>
      </c>
      <c r="B234" s="20"/>
      <c r="C234" s="24"/>
      <c r="D234" s="30"/>
      <c r="E234" s="30"/>
      <c r="F234" s="30"/>
      <c r="G234" s="24"/>
      <c r="H234" s="48"/>
      <c r="I234" s="48"/>
      <c r="J234" s="24"/>
      <c r="K234" s="18"/>
      <c r="L234" s="17"/>
    </row>
    <row r="235" spans="1:12" x14ac:dyDescent="0.2">
      <c r="A235" s="19">
        <v>219</v>
      </c>
      <c r="B235" s="20"/>
      <c r="C235" s="24"/>
      <c r="D235" s="30"/>
      <c r="E235" s="30"/>
      <c r="F235" s="30"/>
      <c r="G235" s="24"/>
      <c r="H235" s="48"/>
      <c r="I235" s="48"/>
      <c r="J235" s="24"/>
      <c r="K235" s="18"/>
      <c r="L235" s="17"/>
    </row>
    <row r="236" spans="1:12" x14ac:dyDescent="0.2">
      <c r="A236" s="19">
        <v>220</v>
      </c>
      <c r="B236" s="20"/>
      <c r="C236" s="24"/>
      <c r="D236" s="30"/>
      <c r="E236" s="30"/>
      <c r="F236" s="30"/>
      <c r="G236" s="24"/>
      <c r="H236" s="48"/>
      <c r="I236" s="48"/>
      <c r="J236" s="24"/>
      <c r="K236" s="18"/>
      <c r="L236" s="17"/>
    </row>
    <row r="237" spans="1:12" x14ac:dyDescent="0.2">
      <c r="A237" s="19">
        <v>221</v>
      </c>
      <c r="B237" s="20"/>
      <c r="C237" s="24"/>
      <c r="D237" s="30"/>
      <c r="E237" s="30"/>
      <c r="F237" s="30"/>
      <c r="G237" s="24"/>
      <c r="H237" s="48"/>
      <c r="I237" s="48"/>
      <c r="J237" s="24"/>
      <c r="K237" s="18"/>
      <c r="L237" s="17"/>
    </row>
    <row r="238" spans="1:12" x14ac:dyDescent="0.2">
      <c r="A238" s="19">
        <v>222</v>
      </c>
      <c r="B238" s="20"/>
      <c r="C238" s="24"/>
      <c r="D238" s="30"/>
      <c r="E238" s="30"/>
      <c r="F238" s="30"/>
      <c r="G238" s="24"/>
      <c r="H238" s="48"/>
      <c r="I238" s="48"/>
      <c r="J238" s="24"/>
      <c r="K238" s="18"/>
      <c r="L238" s="17"/>
    </row>
    <row r="239" spans="1:12" x14ac:dyDescent="0.2">
      <c r="A239" s="19">
        <v>223</v>
      </c>
      <c r="B239" s="20"/>
      <c r="C239" s="24"/>
      <c r="D239" s="30"/>
      <c r="E239" s="30"/>
      <c r="F239" s="30"/>
      <c r="G239" s="24"/>
      <c r="H239" s="48"/>
      <c r="I239" s="48"/>
      <c r="J239" s="24"/>
      <c r="K239" s="18"/>
      <c r="L239" s="17"/>
    </row>
    <row r="240" spans="1:12" x14ac:dyDescent="0.2">
      <c r="A240" s="19">
        <v>224</v>
      </c>
      <c r="B240" s="20"/>
      <c r="C240" s="24"/>
      <c r="D240" s="30"/>
      <c r="E240" s="30"/>
      <c r="F240" s="30"/>
      <c r="G240" s="24"/>
      <c r="H240" s="48"/>
      <c r="I240" s="48"/>
      <c r="J240" s="24"/>
      <c r="K240" s="18"/>
      <c r="L240" s="17"/>
    </row>
    <row r="241" spans="1:12" x14ac:dyDescent="0.2">
      <c r="A241" s="19">
        <v>225</v>
      </c>
      <c r="B241" s="20"/>
      <c r="C241" s="24"/>
      <c r="D241" s="30"/>
      <c r="E241" s="30"/>
      <c r="F241" s="30"/>
      <c r="G241" s="24"/>
      <c r="H241" s="48"/>
      <c r="I241" s="48"/>
      <c r="J241" s="24"/>
      <c r="K241" s="18"/>
      <c r="L241" s="17"/>
    </row>
    <row r="242" spans="1:12" x14ac:dyDescent="0.2">
      <c r="A242" s="19">
        <v>226</v>
      </c>
      <c r="B242" s="20"/>
      <c r="C242" s="24"/>
      <c r="D242" s="30"/>
      <c r="E242" s="30"/>
      <c r="F242" s="30"/>
      <c r="G242" s="24"/>
      <c r="H242" s="48"/>
      <c r="I242" s="48"/>
      <c r="J242" s="24"/>
      <c r="K242" s="18"/>
      <c r="L242" s="17"/>
    </row>
    <row r="243" spans="1:12" x14ac:dyDescent="0.2">
      <c r="A243" s="19">
        <v>227</v>
      </c>
      <c r="B243" s="20"/>
      <c r="C243" s="24"/>
      <c r="D243" s="30"/>
      <c r="E243" s="30"/>
      <c r="F243" s="30"/>
      <c r="G243" s="24"/>
      <c r="H243" s="48"/>
      <c r="I243" s="48"/>
      <c r="J243" s="24"/>
      <c r="K243" s="18"/>
      <c r="L243" s="17"/>
    </row>
    <row r="244" spans="1:12" x14ac:dyDescent="0.2">
      <c r="A244" s="19">
        <v>228</v>
      </c>
      <c r="B244" s="20"/>
      <c r="C244" s="24"/>
      <c r="D244" s="30"/>
      <c r="E244" s="30"/>
      <c r="F244" s="30"/>
      <c r="G244" s="24"/>
      <c r="H244" s="48"/>
      <c r="I244" s="48"/>
      <c r="J244" s="24"/>
      <c r="K244" s="18"/>
      <c r="L244" s="17"/>
    </row>
    <row r="245" spans="1:12" x14ac:dyDescent="0.2">
      <c r="A245" s="19">
        <v>229</v>
      </c>
      <c r="B245" s="20"/>
      <c r="C245" s="24"/>
      <c r="D245" s="30"/>
      <c r="E245" s="30"/>
      <c r="F245" s="30"/>
      <c r="G245" s="24"/>
      <c r="H245" s="48"/>
      <c r="I245" s="48"/>
      <c r="J245" s="24"/>
      <c r="K245" s="18"/>
      <c r="L245" s="17"/>
    </row>
    <row r="246" spans="1:12" x14ac:dyDescent="0.2">
      <c r="A246" s="19">
        <v>230</v>
      </c>
      <c r="B246" s="20"/>
      <c r="C246" s="24"/>
      <c r="D246" s="30"/>
      <c r="E246" s="30"/>
      <c r="F246" s="30"/>
      <c r="G246" s="24"/>
      <c r="H246" s="48"/>
      <c r="I246" s="48"/>
      <c r="J246" s="24"/>
      <c r="K246" s="18"/>
      <c r="L246" s="17"/>
    </row>
    <row r="247" spans="1:12" x14ac:dyDescent="0.2">
      <c r="A247" s="19">
        <v>231</v>
      </c>
      <c r="B247" s="20"/>
      <c r="C247" s="24"/>
      <c r="D247" s="30"/>
      <c r="E247" s="30"/>
      <c r="F247" s="30"/>
      <c r="G247" s="24"/>
      <c r="H247" s="48"/>
      <c r="I247" s="48"/>
      <c r="J247" s="24"/>
      <c r="K247" s="18"/>
      <c r="L247" s="17"/>
    </row>
    <row r="248" spans="1:12" x14ac:dyDescent="0.2">
      <c r="A248" s="19">
        <v>232</v>
      </c>
      <c r="B248" s="20"/>
      <c r="C248" s="24"/>
      <c r="D248" s="30"/>
      <c r="E248" s="30"/>
      <c r="F248" s="30"/>
      <c r="G248" s="24"/>
      <c r="H248" s="48"/>
      <c r="I248" s="48"/>
      <c r="J248" s="24"/>
      <c r="K248" s="18"/>
      <c r="L248" s="17"/>
    </row>
    <row r="249" spans="1:12" x14ac:dyDescent="0.2">
      <c r="A249" s="19">
        <v>233</v>
      </c>
      <c r="B249" s="20"/>
      <c r="C249" s="24"/>
      <c r="D249" s="30"/>
      <c r="E249" s="30"/>
      <c r="F249" s="30"/>
      <c r="G249" s="24"/>
      <c r="H249" s="48"/>
      <c r="I249" s="48"/>
      <c r="J249" s="24"/>
      <c r="K249" s="18"/>
      <c r="L249" s="17"/>
    </row>
    <row r="250" spans="1:12" x14ac:dyDescent="0.2">
      <c r="A250" s="19">
        <v>234</v>
      </c>
      <c r="B250" s="20"/>
      <c r="C250" s="24"/>
      <c r="D250" s="30"/>
      <c r="E250" s="30"/>
      <c r="F250" s="30"/>
      <c r="G250" s="24"/>
      <c r="H250" s="48"/>
      <c r="I250" s="48"/>
      <c r="J250" s="24"/>
      <c r="K250" s="18"/>
      <c r="L250" s="17"/>
    </row>
    <row r="251" spans="1:12" x14ac:dyDescent="0.2">
      <c r="A251" s="19">
        <v>235</v>
      </c>
      <c r="B251" s="20"/>
      <c r="C251" s="24"/>
      <c r="D251" s="30"/>
      <c r="E251" s="30"/>
      <c r="F251" s="30"/>
      <c r="G251" s="24"/>
      <c r="H251" s="48"/>
      <c r="I251" s="48"/>
      <c r="J251" s="24"/>
      <c r="K251" s="18"/>
      <c r="L251" s="17"/>
    </row>
    <row r="252" spans="1:12" x14ac:dyDescent="0.2">
      <c r="A252" s="19">
        <v>236</v>
      </c>
      <c r="B252" s="20"/>
      <c r="C252" s="24"/>
      <c r="D252" s="30"/>
      <c r="E252" s="30"/>
      <c r="F252" s="30"/>
      <c r="G252" s="24"/>
      <c r="H252" s="48"/>
      <c r="I252" s="48"/>
      <c r="J252" s="24"/>
      <c r="K252" s="18"/>
      <c r="L252" s="17"/>
    </row>
    <row r="253" spans="1:12" x14ac:dyDescent="0.2">
      <c r="A253" s="19">
        <v>237</v>
      </c>
      <c r="B253" s="20"/>
      <c r="C253" s="24"/>
      <c r="D253" s="30"/>
      <c r="E253" s="30"/>
      <c r="F253" s="30"/>
      <c r="G253" s="24"/>
      <c r="H253" s="48"/>
      <c r="I253" s="48"/>
      <c r="J253" s="24"/>
      <c r="K253" s="18"/>
      <c r="L253" s="17"/>
    </row>
    <row r="254" spans="1:12" x14ac:dyDescent="0.2">
      <c r="A254" s="19">
        <v>238</v>
      </c>
      <c r="B254" s="20"/>
      <c r="C254" s="24"/>
      <c r="D254" s="30"/>
      <c r="E254" s="30"/>
      <c r="F254" s="30"/>
      <c r="G254" s="24"/>
      <c r="H254" s="48"/>
      <c r="I254" s="48"/>
      <c r="J254" s="24"/>
      <c r="K254" s="18"/>
      <c r="L254" s="17"/>
    </row>
    <row r="255" spans="1:12" x14ac:dyDescent="0.2">
      <c r="A255" s="19">
        <v>239</v>
      </c>
      <c r="B255" s="20"/>
      <c r="C255" s="24"/>
      <c r="D255" s="30"/>
      <c r="E255" s="30"/>
      <c r="F255" s="30"/>
      <c r="G255" s="24"/>
      <c r="H255" s="48"/>
      <c r="I255" s="48"/>
      <c r="J255" s="24"/>
      <c r="K255" s="18"/>
      <c r="L255" s="17"/>
    </row>
    <row r="256" spans="1:12" x14ac:dyDescent="0.2">
      <c r="A256" s="19">
        <v>240</v>
      </c>
      <c r="B256" s="20"/>
      <c r="C256" s="24"/>
      <c r="D256" s="30"/>
      <c r="E256" s="30"/>
      <c r="F256" s="30"/>
      <c r="G256" s="24"/>
      <c r="H256" s="48"/>
      <c r="I256" s="48"/>
      <c r="J256" s="24"/>
      <c r="K256" s="18"/>
      <c r="L256" s="17"/>
    </row>
    <row r="257" spans="1:12" x14ac:dyDescent="0.2">
      <c r="A257" s="19">
        <v>241</v>
      </c>
      <c r="B257" s="20"/>
      <c r="C257" s="24"/>
      <c r="D257" s="30"/>
      <c r="E257" s="30"/>
      <c r="F257" s="30"/>
      <c r="G257" s="24"/>
      <c r="H257" s="48"/>
      <c r="I257" s="48"/>
      <c r="J257" s="24"/>
      <c r="K257" s="18"/>
      <c r="L257" s="17"/>
    </row>
    <row r="258" spans="1:12" x14ac:dyDescent="0.2">
      <c r="A258" s="19">
        <v>242</v>
      </c>
      <c r="B258" s="20"/>
      <c r="C258" s="24"/>
      <c r="D258" s="30"/>
      <c r="E258" s="30"/>
      <c r="F258" s="30"/>
      <c r="G258" s="24"/>
      <c r="H258" s="48"/>
      <c r="I258" s="48"/>
      <c r="J258" s="24"/>
      <c r="K258" s="18"/>
      <c r="L258" s="17"/>
    </row>
    <row r="259" spans="1:12" x14ac:dyDescent="0.2">
      <c r="A259" s="19">
        <v>243</v>
      </c>
      <c r="B259" s="20"/>
      <c r="C259" s="24"/>
      <c r="D259" s="30"/>
      <c r="E259" s="30"/>
      <c r="F259" s="30"/>
      <c r="G259" s="24"/>
      <c r="H259" s="48"/>
      <c r="I259" s="48"/>
      <c r="J259" s="24"/>
      <c r="K259" s="18"/>
      <c r="L259" s="17"/>
    </row>
    <row r="260" spans="1:12" x14ac:dyDescent="0.2">
      <c r="A260" s="19">
        <v>244</v>
      </c>
      <c r="B260" s="20"/>
      <c r="C260" s="24"/>
      <c r="D260" s="30"/>
      <c r="E260" s="30"/>
      <c r="F260" s="30"/>
      <c r="G260" s="24"/>
      <c r="H260" s="48"/>
      <c r="I260" s="48"/>
      <c r="J260" s="24"/>
      <c r="K260" s="18"/>
      <c r="L260" s="17"/>
    </row>
    <row r="261" spans="1:12" x14ac:dyDescent="0.2">
      <c r="A261" s="19">
        <v>245</v>
      </c>
      <c r="B261" s="20"/>
      <c r="C261" s="24"/>
      <c r="D261" s="30"/>
      <c r="E261" s="30"/>
      <c r="F261" s="30"/>
      <c r="G261" s="24"/>
      <c r="H261" s="48"/>
      <c r="I261" s="48"/>
      <c r="J261" s="24"/>
      <c r="K261" s="18"/>
      <c r="L261" s="17"/>
    </row>
    <row r="262" spans="1:12" x14ac:dyDescent="0.2">
      <c r="A262" s="19">
        <v>246</v>
      </c>
      <c r="B262" s="20"/>
      <c r="C262" s="24"/>
      <c r="D262" s="30"/>
      <c r="E262" s="30"/>
      <c r="F262" s="30"/>
      <c r="G262" s="24"/>
      <c r="H262" s="48"/>
      <c r="I262" s="48"/>
      <c r="J262" s="24"/>
      <c r="K262" s="18"/>
      <c r="L262" s="17"/>
    </row>
    <row r="263" spans="1:12" x14ac:dyDescent="0.2">
      <c r="A263" s="19">
        <v>247</v>
      </c>
      <c r="B263" s="20"/>
      <c r="C263" s="24"/>
      <c r="D263" s="30"/>
      <c r="E263" s="30"/>
      <c r="F263" s="30"/>
      <c r="G263" s="24"/>
      <c r="H263" s="48"/>
      <c r="I263" s="48"/>
      <c r="J263" s="24"/>
      <c r="K263" s="18"/>
      <c r="L263" s="17"/>
    </row>
    <row r="264" spans="1:12" x14ac:dyDescent="0.2">
      <c r="A264" s="19">
        <v>248</v>
      </c>
      <c r="B264" s="20"/>
      <c r="C264" s="24"/>
      <c r="D264" s="30"/>
      <c r="E264" s="30"/>
      <c r="F264" s="30"/>
      <c r="G264" s="24"/>
      <c r="H264" s="48"/>
      <c r="I264" s="48"/>
      <c r="J264" s="24"/>
      <c r="K264" s="18"/>
      <c r="L264" s="17"/>
    </row>
    <row r="265" spans="1:12" x14ac:dyDescent="0.2">
      <c r="A265" s="19">
        <v>249</v>
      </c>
      <c r="B265" s="20"/>
      <c r="C265" s="24"/>
      <c r="D265" s="30"/>
      <c r="E265" s="30"/>
      <c r="F265" s="30"/>
      <c r="G265" s="24"/>
      <c r="H265" s="48"/>
      <c r="I265" s="48"/>
      <c r="J265" s="24"/>
      <c r="K265" s="18"/>
      <c r="L265" s="17"/>
    </row>
    <row r="266" spans="1:12" x14ac:dyDescent="0.2">
      <c r="A266" s="19">
        <v>250</v>
      </c>
      <c r="B266" s="20"/>
      <c r="C266" s="24"/>
      <c r="D266" s="30"/>
      <c r="E266" s="30"/>
      <c r="F266" s="30"/>
      <c r="G266" s="24"/>
      <c r="H266" s="48"/>
      <c r="I266" s="48"/>
      <c r="J266" s="24"/>
      <c r="K266" s="18"/>
      <c r="L266" s="17"/>
    </row>
    <row r="267" spans="1:12" x14ac:dyDescent="0.2">
      <c r="A267" s="19">
        <v>251</v>
      </c>
      <c r="B267" s="20"/>
      <c r="C267" s="24"/>
      <c r="D267" s="30"/>
      <c r="E267" s="30"/>
      <c r="F267" s="30"/>
      <c r="G267" s="24"/>
      <c r="H267" s="48"/>
      <c r="I267" s="48"/>
      <c r="J267" s="24"/>
      <c r="K267" s="18"/>
      <c r="L267" s="17"/>
    </row>
    <row r="268" spans="1:12" x14ac:dyDescent="0.2">
      <c r="A268" s="19">
        <v>252</v>
      </c>
      <c r="B268" s="20"/>
      <c r="C268" s="24"/>
      <c r="D268" s="30"/>
      <c r="E268" s="30"/>
      <c r="F268" s="30"/>
      <c r="G268" s="24"/>
      <c r="H268" s="48"/>
      <c r="I268" s="48"/>
      <c r="J268" s="24"/>
      <c r="K268" s="18"/>
      <c r="L268" s="17"/>
    </row>
    <row r="269" spans="1:12" x14ac:dyDescent="0.2">
      <c r="A269" s="19">
        <v>253</v>
      </c>
      <c r="B269" s="20"/>
      <c r="C269" s="24"/>
      <c r="D269" s="30"/>
      <c r="E269" s="30"/>
      <c r="F269" s="30"/>
      <c r="G269" s="24"/>
      <c r="H269" s="48"/>
      <c r="I269" s="48"/>
      <c r="J269" s="24"/>
      <c r="K269" s="18"/>
      <c r="L269" s="17"/>
    </row>
    <row r="270" spans="1:12" x14ac:dyDescent="0.2">
      <c r="A270" s="19">
        <v>254</v>
      </c>
      <c r="B270" s="20"/>
      <c r="C270" s="24"/>
      <c r="D270" s="30"/>
      <c r="E270" s="30"/>
      <c r="F270" s="30"/>
      <c r="G270" s="24"/>
      <c r="H270" s="48"/>
      <c r="I270" s="48"/>
      <c r="J270" s="24"/>
      <c r="K270" s="18"/>
      <c r="L270" s="17"/>
    </row>
    <row r="271" spans="1:12" x14ac:dyDescent="0.2">
      <c r="A271" s="19">
        <v>255</v>
      </c>
      <c r="B271" s="20"/>
      <c r="C271" s="24"/>
      <c r="D271" s="30"/>
      <c r="E271" s="30"/>
      <c r="F271" s="30"/>
      <c r="G271" s="24"/>
      <c r="H271" s="48"/>
      <c r="I271" s="48"/>
      <c r="J271" s="24"/>
      <c r="K271" s="18"/>
      <c r="L271" s="17"/>
    </row>
    <row r="272" spans="1:12" x14ac:dyDescent="0.2">
      <c r="A272" s="19">
        <v>256</v>
      </c>
      <c r="B272" s="20"/>
      <c r="C272" s="24"/>
      <c r="D272" s="30"/>
      <c r="E272" s="30"/>
      <c r="F272" s="30"/>
      <c r="G272" s="24"/>
      <c r="H272" s="48"/>
      <c r="I272" s="48"/>
      <c r="J272" s="24"/>
      <c r="K272" s="18"/>
      <c r="L272" s="17"/>
    </row>
    <row r="273" spans="1:12" x14ac:dyDescent="0.2">
      <c r="A273" s="19">
        <v>257</v>
      </c>
      <c r="B273" s="20"/>
      <c r="C273" s="24"/>
      <c r="D273" s="30"/>
      <c r="E273" s="30"/>
      <c r="F273" s="30"/>
      <c r="G273" s="24"/>
      <c r="H273" s="48"/>
      <c r="I273" s="48"/>
      <c r="J273" s="24"/>
      <c r="K273" s="18"/>
      <c r="L273" s="17"/>
    </row>
    <row r="274" spans="1:12" x14ac:dyDescent="0.2">
      <c r="A274" s="19">
        <v>258</v>
      </c>
      <c r="B274" s="20"/>
      <c r="C274" s="24"/>
      <c r="D274" s="30"/>
      <c r="E274" s="30"/>
      <c r="F274" s="30"/>
      <c r="G274" s="24"/>
      <c r="H274" s="48"/>
      <c r="I274" s="48"/>
      <c r="J274" s="24"/>
      <c r="K274" s="18"/>
      <c r="L274" s="17"/>
    </row>
    <row r="275" spans="1:12" x14ac:dyDescent="0.2">
      <c r="A275" s="19">
        <v>259</v>
      </c>
      <c r="B275" s="20"/>
      <c r="C275" s="24"/>
      <c r="D275" s="30"/>
      <c r="E275" s="30"/>
      <c r="F275" s="30"/>
      <c r="G275" s="24"/>
      <c r="H275" s="48"/>
      <c r="I275" s="48"/>
      <c r="J275" s="24"/>
      <c r="K275" s="18"/>
      <c r="L275" s="17"/>
    </row>
    <row r="276" spans="1:12" x14ac:dyDescent="0.2">
      <c r="A276" s="19">
        <v>260</v>
      </c>
      <c r="B276" s="20"/>
      <c r="C276" s="24"/>
      <c r="D276" s="30"/>
      <c r="E276" s="30"/>
      <c r="F276" s="30"/>
      <c r="G276" s="24"/>
      <c r="H276" s="48"/>
      <c r="I276" s="48"/>
      <c r="J276" s="24"/>
      <c r="K276" s="18"/>
      <c r="L276" s="17"/>
    </row>
    <row r="277" spans="1:12" x14ac:dyDescent="0.2">
      <c r="A277" s="19">
        <v>261</v>
      </c>
      <c r="B277" s="20"/>
      <c r="C277" s="24"/>
      <c r="D277" s="30"/>
      <c r="E277" s="30"/>
      <c r="F277" s="30"/>
      <c r="G277" s="24"/>
      <c r="H277" s="48"/>
      <c r="I277" s="48"/>
      <c r="J277" s="24"/>
      <c r="K277" s="18"/>
      <c r="L277" s="17"/>
    </row>
    <row r="278" spans="1:12" x14ac:dyDescent="0.2">
      <c r="A278" s="19">
        <v>262</v>
      </c>
      <c r="B278" s="20"/>
      <c r="C278" s="24"/>
      <c r="D278" s="30"/>
      <c r="E278" s="30"/>
      <c r="F278" s="30"/>
      <c r="G278" s="24"/>
      <c r="H278" s="48"/>
      <c r="I278" s="48"/>
      <c r="J278" s="24"/>
      <c r="K278" s="18"/>
      <c r="L278" s="17"/>
    </row>
    <row r="279" spans="1:12" x14ac:dyDescent="0.2">
      <c r="A279" s="19">
        <v>263</v>
      </c>
      <c r="B279" s="20"/>
      <c r="C279" s="24"/>
      <c r="D279" s="30"/>
      <c r="E279" s="30"/>
      <c r="F279" s="30"/>
      <c r="G279" s="24"/>
      <c r="H279" s="48"/>
      <c r="I279" s="48"/>
      <c r="J279" s="24"/>
      <c r="K279" s="18"/>
      <c r="L279" s="17"/>
    </row>
    <row r="280" spans="1:12" x14ac:dyDescent="0.2">
      <c r="A280" s="19">
        <v>264</v>
      </c>
      <c r="B280" s="20"/>
      <c r="C280" s="24"/>
      <c r="D280" s="30"/>
      <c r="E280" s="30"/>
      <c r="F280" s="30"/>
      <c r="G280" s="24"/>
      <c r="H280" s="48"/>
      <c r="I280" s="48"/>
      <c r="J280" s="24"/>
      <c r="K280" s="18"/>
      <c r="L280" s="17"/>
    </row>
    <row r="281" spans="1:12" x14ac:dyDescent="0.2">
      <c r="A281" s="19">
        <v>265</v>
      </c>
      <c r="B281" s="20"/>
      <c r="C281" s="24"/>
      <c r="D281" s="30"/>
      <c r="E281" s="30"/>
      <c r="F281" s="30"/>
      <c r="G281" s="24"/>
      <c r="H281" s="48"/>
      <c r="I281" s="48"/>
      <c r="J281" s="24"/>
      <c r="K281" s="18"/>
      <c r="L281" s="17"/>
    </row>
    <row r="282" spans="1:12" x14ac:dyDescent="0.2">
      <c r="A282" s="19">
        <v>266</v>
      </c>
      <c r="B282" s="20"/>
      <c r="C282" s="24"/>
      <c r="D282" s="30"/>
      <c r="E282" s="30"/>
      <c r="F282" s="30"/>
      <c r="G282" s="24"/>
      <c r="H282" s="48"/>
      <c r="I282" s="48"/>
      <c r="J282" s="24"/>
      <c r="K282" s="18"/>
      <c r="L282" s="17"/>
    </row>
    <row r="283" spans="1:12" x14ac:dyDescent="0.2">
      <c r="A283" s="19">
        <v>267</v>
      </c>
      <c r="B283" s="20"/>
      <c r="C283" s="24"/>
      <c r="D283" s="30"/>
      <c r="E283" s="30"/>
      <c r="F283" s="30"/>
      <c r="G283" s="24"/>
      <c r="H283" s="48"/>
      <c r="I283" s="48"/>
      <c r="J283" s="24"/>
      <c r="K283" s="18"/>
      <c r="L283" s="17"/>
    </row>
    <row r="284" spans="1:12" x14ac:dyDescent="0.2">
      <c r="A284" s="19">
        <v>268</v>
      </c>
      <c r="B284" s="20"/>
      <c r="C284" s="24"/>
      <c r="D284" s="30"/>
      <c r="E284" s="30"/>
      <c r="F284" s="30"/>
      <c r="G284" s="24"/>
      <c r="H284" s="48"/>
      <c r="I284" s="48"/>
      <c r="J284" s="24"/>
      <c r="K284" s="18"/>
      <c r="L284" s="17"/>
    </row>
    <row r="285" spans="1:12" x14ac:dyDescent="0.2">
      <c r="A285" s="19">
        <v>269</v>
      </c>
      <c r="B285" s="20"/>
      <c r="C285" s="24"/>
      <c r="D285" s="30"/>
      <c r="E285" s="30"/>
      <c r="F285" s="30"/>
      <c r="G285" s="24"/>
      <c r="H285" s="48"/>
      <c r="I285" s="48"/>
      <c r="J285" s="24"/>
      <c r="K285" s="18"/>
      <c r="L285" s="17"/>
    </row>
    <row r="286" spans="1:12" x14ac:dyDescent="0.2">
      <c r="A286" s="19">
        <v>270</v>
      </c>
      <c r="B286" s="20"/>
      <c r="C286" s="24"/>
      <c r="D286" s="30"/>
      <c r="E286" s="30"/>
      <c r="F286" s="30"/>
      <c r="G286" s="24"/>
      <c r="H286" s="48"/>
      <c r="I286" s="48"/>
      <c r="J286" s="24"/>
      <c r="K286" s="18"/>
      <c r="L286" s="17"/>
    </row>
    <row r="287" spans="1:12" x14ac:dyDescent="0.2">
      <c r="A287" s="19">
        <v>271</v>
      </c>
      <c r="B287" s="20"/>
      <c r="C287" s="24"/>
      <c r="D287" s="30"/>
      <c r="E287" s="30"/>
      <c r="F287" s="30"/>
      <c r="G287" s="24"/>
      <c r="H287" s="48"/>
      <c r="I287" s="48"/>
      <c r="J287" s="24"/>
      <c r="K287" s="18"/>
      <c r="L287" s="17"/>
    </row>
    <row r="288" spans="1:12" x14ac:dyDescent="0.2">
      <c r="A288" s="19">
        <v>272</v>
      </c>
      <c r="B288" s="20"/>
      <c r="C288" s="24"/>
      <c r="D288" s="30"/>
      <c r="E288" s="30"/>
      <c r="F288" s="30"/>
      <c r="G288" s="24"/>
      <c r="H288" s="48"/>
      <c r="I288" s="48"/>
      <c r="J288" s="24"/>
      <c r="K288" s="18"/>
      <c r="L288" s="17"/>
    </row>
    <row r="289" spans="1:12" x14ac:dyDescent="0.2">
      <c r="A289" s="19">
        <v>273</v>
      </c>
      <c r="B289" s="20"/>
      <c r="C289" s="24"/>
      <c r="D289" s="30"/>
      <c r="E289" s="30"/>
      <c r="F289" s="30"/>
      <c r="G289" s="24"/>
      <c r="H289" s="48"/>
      <c r="I289" s="48"/>
      <c r="J289" s="24"/>
      <c r="K289" s="18"/>
      <c r="L289" s="17"/>
    </row>
    <row r="290" spans="1:12" x14ac:dyDescent="0.2">
      <c r="A290" s="19">
        <v>274</v>
      </c>
      <c r="B290" s="20"/>
      <c r="C290" s="24"/>
      <c r="D290" s="30"/>
      <c r="E290" s="30"/>
      <c r="F290" s="30"/>
      <c r="G290" s="24"/>
      <c r="H290" s="48"/>
      <c r="I290" s="48"/>
      <c r="J290" s="24"/>
      <c r="K290" s="18"/>
      <c r="L290" s="17"/>
    </row>
    <row r="291" spans="1:12" x14ac:dyDescent="0.2">
      <c r="A291" s="19">
        <v>275</v>
      </c>
      <c r="B291" s="20"/>
      <c r="C291" s="24"/>
      <c r="D291" s="30"/>
      <c r="E291" s="30"/>
      <c r="F291" s="30"/>
      <c r="G291" s="24"/>
      <c r="H291" s="48"/>
      <c r="I291" s="48"/>
      <c r="J291" s="24"/>
      <c r="K291" s="18"/>
      <c r="L291" s="17"/>
    </row>
    <row r="292" spans="1:12" x14ac:dyDescent="0.2">
      <c r="A292" s="19">
        <v>276</v>
      </c>
      <c r="B292" s="20"/>
      <c r="C292" s="24"/>
      <c r="D292" s="30"/>
      <c r="E292" s="30"/>
      <c r="F292" s="30"/>
      <c r="G292" s="24"/>
      <c r="H292" s="48"/>
      <c r="I292" s="48"/>
      <c r="J292" s="24"/>
      <c r="K292" s="18"/>
      <c r="L292" s="17"/>
    </row>
    <row r="293" spans="1:12" x14ac:dyDescent="0.2">
      <c r="A293" s="19">
        <v>277</v>
      </c>
      <c r="B293" s="20"/>
      <c r="C293" s="24"/>
      <c r="D293" s="30"/>
      <c r="E293" s="30"/>
      <c r="F293" s="30"/>
      <c r="G293" s="24"/>
      <c r="H293" s="48"/>
      <c r="I293" s="48"/>
      <c r="J293" s="24"/>
      <c r="K293" s="18"/>
      <c r="L293" s="17"/>
    </row>
    <row r="294" spans="1:12" x14ac:dyDescent="0.2">
      <c r="A294" s="19">
        <v>278</v>
      </c>
      <c r="B294" s="20"/>
      <c r="C294" s="24"/>
      <c r="D294" s="30"/>
      <c r="E294" s="30"/>
      <c r="F294" s="30"/>
      <c r="G294" s="24"/>
      <c r="H294" s="48"/>
      <c r="I294" s="48"/>
      <c r="J294" s="24"/>
      <c r="K294" s="18"/>
      <c r="L294" s="17"/>
    </row>
    <row r="295" spans="1:12" x14ac:dyDescent="0.2">
      <c r="A295" s="19">
        <v>279</v>
      </c>
      <c r="B295" s="20"/>
      <c r="C295" s="24"/>
      <c r="D295" s="30"/>
      <c r="E295" s="30"/>
      <c r="F295" s="30"/>
      <c r="G295" s="24"/>
      <c r="H295" s="48"/>
      <c r="I295" s="48"/>
      <c r="J295" s="24"/>
      <c r="K295" s="18"/>
      <c r="L295" s="17"/>
    </row>
    <row r="296" spans="1:12" x14ac:dyDescent="0.2">
      <c r="A296" s="19">
        <v>280</v>
      </c>
      <c r="B296" s="20"/>
      <c r="C296" s="24"/>
      <c r="D296" s="30"/>
      <c r="E296" s="30"/>
      <c r="F296" s="30"/>
      <c r="G296" s="24"/>
      <c r="H296" s="48"/>
      <c r="I296" s="48"/>
      <c r="J296" s="24"/>
      <c r="K296" s="18"/>
      <c r="L296" s="17"/>
    </row>
    <row r="297" spans="1:12" x14ac:dyDescent="0.2">
      <c r="A297" s="19">
        <v>281</v>
      </c>
      <c r="B297" s="20"/>
      <c r="C297" s="24"/>
      <c r="D297" s="30"/>
      <c r="E297" s="30"/>
      <c r="F297" s="30"/>
      <c r="G297" s="24"/>
      <c r="H297" s="48"/>
      <c r="I297" s="48"/>
      <c r="J297" s="24"/>
      <c r="K297" s="18"/>
      <c r="L297" s="17"/>
    </row>
    <row r="298" spans="1:12" x14ac:dyDescent="0.2">
      <c r="A298" s="19">
        <v>282</v>
      </c>
      <c r="B298" s="20"/>
      <c r="C298" s="24"/>
      <c r="D298" s="30"/>
      <c r="E298" s="30"/>
      <c r="F298" s="30"/>
      <c r="G298" s="24"/>
      <c r="H298" s="48"/>
      <c r="I298" s="48"/>
      <c r="J298" s="24"/>
      <c r="K298" s="18"/>
      <c r="L298" s="17"/>
    </row>
    <row r="299" spans="1:12" x14ac:dyDescent="0.2">
      <c r="A299" s="19">
        <v>283</v>
      </c>
      <c r="B299" s="20"/>
      <c r="C299" s="24"/>
      <c r="D299" s="30"/>
      <c r="E299" s="30"/>
      <c r="F299" s="30"/>
      <c r="G299" s="24"/>
      <c r="H299" s="48"/>
      <c r="I299" s="48"/>
      <c r="J299" s="24"/>
      <c r="K299" s="18"/>
      <c r="L299" s="17"/>
    </row>
    <row r="300" spans="1:12" x14ac:dyDescent="0.2">
      <c r="A300" s="19">
        <v>284</v>
      </c>
      <c r="B300" s="20"/>
      <c r="C300" s="24"/>
      <c r="D300" s="30"/>
      <c r="E300" s="30"/>
      <c r="F300" s="30"/>
      <c r="G300" s="24"/>
      <c r="H300" s="48"/>
      <c r="I300" s="48"/>
      <c r="J300" s="24"/>
      <c r="K300" s="18"/>
      <c r="L300" s="17"/>
    </row>
    <row r="301" spans="1:12" x14ac:dyDescent="0.2">
      <c r="A301" s="19">
        <v>285</v>
      </c>
      <c r="B301" s="20"/>
      <c r="C301" s="24"/>
      <c r="D301" s="30"/>
      <c r="E301" s="30"/>
      <c r="F301" s="30"/>
      <c r="G301" s="24"/>
      <c r="H301" s="48"/>
      <c r="I301" s="48"/>
      <c r="J301" s="24"/>
      <c r="K301" s="18"/>
      <c r="L301" s="17"/>
    </row>
    <row r="302" spans="1:12" x14ac:dyDescent="0.2">
      <c r="A302" s="19">
        <v>286</v>
      </c>
      <c r="B302" s="20"/>
      <c r="C302" s="24"/>
      <c r="D302" s="30"/>
      <c r="E302" s="30"/>
      <c r="F302" s="30"/>
      <c r="G302" s="24"/>
      <c r="H302" s="48"/>
      <c r="I302" s="48"/>
      <c r="J302" s="24"/>
      <c r="K302" s="18"/>
      <c r="L302" s="17"/>
    </row>
    <row r="303" spans="1:12" x14ac:dyDescent="0.2">
      <c r="A303" s="19">
        <v>287</v>
      </c>
      <c r="B303" s="20"/>
      <c r="C303" s="24"/>
      <c r="D303" s="30"/>
      <c r="E303" s="30"/>
      <c r="F303" s="30"/>
      <c r="G303" s="24"/>
      <c r="H303" s="48"/>
      <c r="I303" s="48"/>
      <c r="J303" s="24"/>
      <c r="K303" s="18"/>
      <c r="L303" s="17"/>
    </row>
    <row r="304" spans="1:12" x14ac:dyDescent="0.2">
      <c r="A304" s="19">
        <v>288</v>
      </c>
      <c r="B304" s="20"/>
      <c r="C304" s="24"/>
      <c r="D304" s="30"/>
      <c r="E304" s="30"/>
      <c r="F304" s="30"/>
      <c r="G304" s="24"/>
      <c r="H304" s="48"/>
      <c r="I304" s="48"/>
      <c r="J304" s="24"/>
      <c r="K304" s="18"/>
      <c r="L304" s="17"/>
    </row>
    <row r="305" spans="1:12" x14ac:dyDescent="0.2">
      <c r="A305" s="19">
        <v>289</v>
      </c>
      <c r="B305" s="20"/>
      <c r="C305" s="24"/>
      <c r="D305" s="30"/>
      <c r="E305" s="30"/>
      <c r="F305" s="30"/>
      <c r="G305" s="24"/>
      <c r="H305" s="48"/>
      <c r="I305" s="48"/>
      <c r="J305" s="24"/>
      <c r="K305" s="18"/>
      <c r="L305" s="17"/>
    </row>
    <row r="306" spans="1:12" x14ac:dyDescent="0.2">
      <c r="A306" s="19">
        <v>290</v>
      </c>
      <c r="B306" s="20"/>
      <c r="C306" s="24"/>
      <c r="D306" s="30"/>
      <c r="E306" s="30"/>
      <c r="F306" s="30"/>
      <c r="G306" s="24"/>
      <c r="H306" s="48"/>
      <c r="I306" s="48"/>
      <c r="J306" s="24"/>
      <c r="K306" s="18"/>
      <c r="L306" s="17"/>
    </row>
    <row r="307" spans="1:12" x14ac:dyDescent="0.2">
      <c r="A307" s="19">
        <v>291</v>
      </c>
      <c r="B307" s="20"/>
      <c r="C307" s="24"/>
      <c r="D307" s="30"/>
      <c r="E307" s="30"/>
      <c r="F307" s="30"/>
      <c r="G307" s="24"/>
      <c r="H307" s="48"/>
      <c r="I307" s="48"/>
      <c r="J307" s="24"/>
      <c r="K307" s="18"/>
      <c r="L307" s="17"/>
    </row>
    <row r="308" spans="1:12" x14ac:dyDescent="0.2">
      <c r="A308" s="19">
        <v>292</v>
      </c>
      <c r="B308" s="20"/>
      <c r="C308" s="24"/>
      <c r="D308" s="30"/>
      <c r="E308" s="30"/>
      <c r="F308" s="30"/>
      <c r="G308" s="24"/>
      <c r="H308" s="48"/>
      <c r="I308" s="48"/>
      <c r="J308" s="24"/>
      <c r="K308" s="18"/>
      <c r="L308" s="17"/>
    </row>
    <row r="309" spans="1:12" x14ac:dyDescent="0.2">
      <c r="A309" s="19">
        <v>293</v>
      </c>
      <c r="B309" s="20"/>
      <c r="C309" s="24"/>
      <c r="D309" s="30"/>
      <c r="E309" s="30"/>
      <c r="F309" s="30"/>
      <c r="G309" s="24"/>
      <c r="H309" s="48"/>
      <c r="I309" s="48"/>
      <c r="J309" s="24"/>
      <c r="K309" s="18"/>
      <c r="L309" s="17"/>
    </row>
    <row r="310" spans="1:12" x14ac:dyDescent="0.2">
      <c r="A310" s="19">
        <v>294</v>
      </c>
      <c r="B310" s="20"/>
      <c r="C310" s="24"/>
      <c r="D310" s="30"/>
      <c r="E310" s="30"/>
      <c r="F310" s="30"/>
      <c r="G310" s="24"/>
      <c r="H310" s="48"/>
      <c r="I310" s="48"/>
      <c r="J310" s="24"/>
      <c r="K310" s="18"/>
      <c r="L310" s="17"/>
    </row>
    <row r="311" spans="1:12" x14ac:dyDescent="0.2">
      <c r="A311" s="19">
        <v>295</v>
      </c>
      <c r="B311" s="20"/>
      <c r="C311" s="24"/>
      <c r="D311" s="30"/>
      <c r="E311" s="30"/>
      <c r="F311" s="30"/>
      <c r="G311" s="24"/>
      <c r="H311" s="48"/>
      <c r="I311" s="48"/>
      <c r="J311" s="24"/>
      <c r="K311" s="18"/>
      <c r="L311" s="17"/>
    </row>
    <row r="312" spans="1:12" x14ac:dyDescent="0.2">
      <c r="A312" s="19">
        <v>296</v>
      </c>
      <c r="B312" s="20"/>
      <c r="C312" s="24"/>
      <c r="D312" s="30"/>
      <c r="E312" s="30"/>
      <c r="F312" s="30"/>
      <c r="G312" s="24"/>
      <c r="H312" s="48"/>
      <c r="I312" s="48"/>
      <c r="J312" s="24"/>
      <c r="K312" s="18"/>
      <c r="L312" s="17"/>
    </row>
    <row r="313" spans="1:12" x14ac:dyDescent="0.2">
      <c r="A313" s="19">
        <v>297</v>
      </c>
      <c r="B313" s="20"/>
      <c r="C313" s="24"/>
      <c r="D313" s="30"/>
      <c r="E313" s="30"/>
      <c r="F313" s="30"/>
      <c r="G313" s="24"/>
      <c r="H313" s="48"/>
      <c r="I313" s="48"/>
      <c r="J313" s="24"/>
      <c r="K313" s="18"/>
      <c r="L313" s="17"/>
    </row>
    <row r="314" spans="1:12" x14ac:dyDescent="0.2">
      <c r="A314" s="19">
        <v>298</v>
      </c>
      <c r="B314" s="20"/>
      <c r="C314" s="24"/>
      <c r="D314" s="30"/>
      <c r="E314" s="30"/>
      <c r="F314" s="30"/>
      <c r="G314" s="24"/>
      <c r="H314" s="48"/>
      <c r="I314" s="48"/>
      <c r="J314" s="24"/>
      <c r="K314" s="18"/>
      <c r="L314" s="17"/>
    </row>
    <row r="315" spans="1:12" x14ac:dyDescent="0.2">
      <c r="A315" s="19">
        <v>299</v>
      </c>
      <c r="B315" s="20"/>
      <c r="C315" s="24"/>
      <c r="D315" s="30"/>
      <c r="E315" s="30"/>
      <c r="F315" s="30"/>
      <c r="G315" s="24"/>
      <c r="H315" s="48"/>
      <c r="I315" s="48"/>
      <c r="J315" s="24"/>
      <c r="K315" s="18"/>
      <c r="L315" s="17"/>
    </row>
    <row r="316" spans="1:12" x14ac:dyDescent="0.2">
      <c r="A316" s="19">
        <v>300</v>
      </c>
      <c r="B316" s="20"/>
      <c r="C316" s="24"/>
      <c r="D316" s="30"/>
      <c r="E316" s="30"/>
      <c r="F316" s="30"/>
      <c r="G316" s="24"/>
      <c r="H316" s="48"/>
      <c r="I316" s="48"/>
      <c r="J316" s="24"/>
      <c r="K316" s="18"/>
      <c r="L316" s="17"/>
    </row>
    <row r="317" spans="1:12" x14ac:dyDescent="0.2">
      <c r="A317" s="19">
        <v>301</v>
      </c>
      <c r="B317" s="20"/>
      <c r="C317" s="24"/>
      <c r="D317" s="30"/>
      <c r="E317" s="30"/>
      <c r="F317" s="30"/>
      <c r="G317" s="24"/>
      <c r="H317" s="48"/>
      <c r="I317" s="48"/>
      <c r="J317" s="24"/>
      <c r="K317" s="18"/>
      <c r="L317" s="17"/>
    </row>
    <row r="318" spans="1:12" x14ac:dyDescent="0.2">
      <c r="A318" s="19">
        <v>302</v>
      </c>
      <c r="B318" s="20"/>
      <c r="C318" s="24"/>
      <c r="D318" s="30"/>
      <c r="E318" s="30"/>
      <c r="F318" s="30"/>
      <c r="G318" s="24"/>
      <c r="H318" s="48"/>
      <c r="I318" s="48"/>
      <c r="J318" s="24"/>
      <c r="K318" s="18"/>
      <c r="L318" s="17"/>
    </row>
    <row r="319" spans="1:12" x14ac:dyDescent="0.2">
      <c r="A319" s="19">
        <v>303</v>
      </c>
      <c r="B319" s="20"/>
      <c r="C319" s="24"/>
      <c r="D319" s="30"/>
      <c r="E319" s="30"/>
      <c r="F319" s="30"/>
      <c r="G319" s="24"/>
      <c r="H319" s="48"/>
      <c r="I319" s="48"/>
      <c r="J319" s="24"/>
      <c r="K319" s="18"/>
      <c r="L319" s="17"/>
    </row>
    <row r="320" spans="1:12" x14ac:dyDescent="0.2">
      <c r="A320" s="19">
        <v>304</v>
      </c>
      <c r="B320" s="20"/>
      <c r="C320" s="24"/>
      <c r="D320" s="30"/>
      <c r="E320" s="30"/>
      <c r="F320" s="30"/>
      <c r="G320" s="24"/>
      <c r="H320" s="48"/>
      <c r="I320" s="48"/>
      <c r="J320" s="24"/>
      <c r="K320" s="18"/>
      <c r="L320" s="17"/>
    </row>
    <row r="321" spans="1:12" x14ac:dyDescent="0.2">
      <c r="A321" s="19">
        <v>305</v>
      </c>
      <c r="B321" s="20"/>
      <c r="C321" s="24"/>
      <c r="D321" s="30"/>
      <c r="E321" s="30"/>
      <c r="F321" s="30"/>
      <c r="G321" s="24"/>
      <c r="H321" s="48"/>
      <c r="I321" s="48"/>
      <c r="J321" s="24"/>
      <c r="K321" s="18"/>
      <c r="L321" s="17"/>
    </row>
    <row r="322" spans="1:12" x14ac:dyDescent="0.2">
      <c r="A322" s="19">
        <v>306</v>
      </c>
      <c r="B322" s="20"/>
      <c r="C322" s="24"/>
      <c r="D322" s="30"/>
      <c r="E322" s="30"/>
      <c r="F322" s="30"/>
      <c r="G322" s="24"/>
      <c r="H322" s="48"/>
      <c r="I322" s="48"/>
      <c r="J322" s="24"/>
      <c r="K322" s="18"/>
      <c r="L322" s="17"/>
    </row>
    <row r="323" spans="1:12" x14ac:dyDescent="0.2">
      <c r="A323" s="19">
        <v>307</v>
      </c>
      <c r="B323" s="20"/>
      <c r="C323" s="24"/>
      <c r="D323" s="30"/>
      <c r="E323" s="30"/>
      <c r="F323" s="30"/>
      <c r="G323" s="24"/>
      <c r="H323" s="48"/>
      <c r="I323" s="48"/>
      <c r="J323" s="24"/>
      <c r="K323" s="18"/>
      <c r="L323" s="17"/>
    </row>
    <row r="324" spans="1:12" x14ac:dyDescent="0.2">
      <c r="A324" s="19">
        <v>308</v>
      </c>
      <c r="B324" s="20"/>
      <c r="C324" s="24"/>
      <c r="D324" s="30"/>
      <c r="E324" s="30"/>
      <c r="F324" s="30"/>
      <c r="G324" s="24"/>
      <c r="H324" s="48"/>
      <c r="I324" s="48"/>
      <c r="J324" s="24"/>
      <c r="K324" s="18"/>
      <c r="L324" s="17"/>
    </row>
    <row r="325" spans="1:12" x14ac:dyDescent="0.2">
      <c r="A325" s="19">
        <v>309</v>
      </c>
      <c r="B325" s="20"/>
      <c r="C325" s="24"/>
      <c r="D325" s="30"/>
      <c r="E325" s="30"/>
      <c r="F325" s="30"/>
      <c r="G325" s="24"/>
      <c r="H325" s="48"/>
      <c r="I325" s="48"/>
      <c r="J325" s="24"/>
      <c r="K325" s="18"/>
      <c r="L325" s="17"/>
    </row>
    <row r="326" spans="1:12" x14ac:dyDescent="0.2">
      <c r="A326" s="19">
        <v>310</v>
      </c>
      <c r="B326" s="20"/>
      <c r="C326" s="24"/>
      <c r="D326" s="30"/>
      <c r="E326" s="30"/>
      <c r="F326" s="30"/>
      <c r="G326" s="24"/>
      <c r="H326" s="48"/>
      <c r="I326" s="48"/>
      <c r="J326" s="24"/>
      <c r="K326" s="18"/>
      <c r="L326" s="17"/>
    </row>
    <row r="327" spans="1:12" x14ac:dyDescent="0.2">
      <c r="A327" s="19">
        <v>311</v>
      </c>
      <c r="B327" s="20"/>
      <c r="C327" s="24"/>
      <c r="D327" s="30"/>
      <c r="E327" s="30"/>
      <c r="F327" s="30"/>
      <c r="G327" s="24"/>
      <c r="H327" s="48"/>
      <c r="I327" s="48"/>
      <c r="J327" s="24"/>
      <c r="K327" s="18"/>
      <c r="L327" s="17"/>
    </row>
    <row r="328" spans="1:12" x14ac:dyDescent="0.2">
      <c r="A328" s="19">
        <v>312</v>
      </c>
      <c r="B328" s="20"/>
      <c r="C328" s="24"/>
      <c r="D328" s="30"/>
      <c r="E328" s="30"/>
      <c r="F328" s="30"/>
      <c r="G328" s="24"/>
      <c r="H328" s="48"/>
      <c r="I328" s="48"/>
      <c r="J328" s="24"/>
      <c r="K328" s="18"/>
      <c r="L328" s="17"/>
    </row>
    <row r="329" spans="1:12" x14ac:dyDescent="0.2">
      <c r="A329" s="19">
        <v>313</v>
      </c>
      <c r="B329" s="20"/>
      <c r="C329" s="24"/>
      <c r="D329" s="30"/>
      <c r="E329" s="30"/>
      <c r="F329" s="30"/>
      <c r="G329" s="24"/>
      <c r="H329" s="48"/>
      <c r="I329" s="48"/>
      <c r="J329" s="24"/>
      <c r="K329" s="18"/>
      <c r="L329" s="17"/>
    </row>
    <row r="330" spans="1:12" x14ac:dyDescent="0.2">
      <c r="A330" s="19">
        <v>314</v>
      </c>
      <c r="B330" s="20"/>
      <c r="C330" s="24"/>
      <c r="D330" s="30"/>
      <c r="E330" s="30"/>
      <c r="F330" s="30"/>
      <c r="G330" s="24"/>
      <c r="H330" s="48"/>
      <c r="I330" s="48"/>
      <c r="J330" s="24"/>
      <c r="K330" s="18"/>
      <c r="L330" s="17"/>
    </row>
    <row r="331" spans="1:12" x14ac:dyDescent="0.2">
      <c r="A331" s="19">
        <v>315</v>
      </c>
      <c r="B331" s="20"/>
      <c r="C331" s="24"/>
      <c r="D331" s="30"/>
      <c r="E331" s="30"/>
      <c r="F331" s="30"/>
      <c r="G331" s="24"/>
      <c r="H331" s="48"/>
      <c r="I331" s="48"/>
      <c r="J331" s="24"/>
      <c r="K331" s="18"/>
      <c r="L331" s="17"/>
    </row>
    <row r="332" spans="1:12" x14ac:dyDescent="0.2">
      <c r="A332" s="19">
        <v>316</v>
      </c>
      <c r="B332" s="20"/>
      <c r="C332" s="24"/>
      <c r="D332" s="30"/>
      <c r="E332" s="30"/>
      <c r="F332" s="30"/>
      <c r="G332" s="24"/>
      <c r="H332" s="48"/>
      <c r="I332" s="48"/>
      <c r="J332" s="24"/>
      <c r="K332" s="18"/>
      <c r="L332" s="17"/>
    </row>
    <row r="333" spans="1:12" x14ac:dyDescent="0.2">
      <c r="A333" s="19">
        <v>317</v>
      </c>
      <c r="B333" s="20"/>
      <c r="C333" s="24"/>
      <c r="D333" s="30"/>
      <c r="E333" s="30"/>
      <c r="F333" s="30"/>
      <c r="G333" s="24"/>
      <c r="H333" s="48"/>
      <c r="I333" s="48"/>
      <c r="J333" s="24"/>
      <c r="K333" s="18"/>
      <c r="L333" s="17"/>
    </row>
    <row r="334" spans="1:12" x14ac:dyDescent="0.2">
      <c r="A334" s="19">
        <v>318</v>
      </c>
      <c r="B334" s="20"/>
      <c r="C334" s="24"/>
      <c r="D334" s="30"/>
      <c r="E334" s="30"/>
      <c r="F334" s="30"/>
      <c r="G334" s="24"/>
      <c r="H334" s="48"/>
      <c r="I334" s="48"/>
      <c r="J334" s="24"/>
      <c r="K334" s="18"/>
      <c r="L334" s="17"/>
    </row>
    <row r="335" spans="1:12" x14ac:dyDescent="0.2">
      <c r="A335" s="19">
        <v>319</v>
      </c>
      <c r="B335" s="20"/>
      <c r="C335" s="24"/>
      <c r="D335" s="30"/>
      <c r="E335" s="30"/>
      <c r="F335" s="30"/>
      <c r="G335" s="24"/>
      <c r="H335" s="48"/>
      <c r="I335" s="48"/>
      <c r="J335" s="24"/>
      <c r="K335" s="18"/>
      <c r="L335" s="17"/>
    </row>
    <row r="336" spans="1:12" x14ac:dyDescent="0.2">
      <c r="A336" s="19">
        <v>320</v>
      </c>
      <c r="B336" s="20"/>
      <c r="C336" s="24"/>
      <c r="D336" s="30"/>
      <c r="E336" s="30"/>
      <c r="F336" s="30"/>
      <c r="G336" s="24"/>
      <c r="H336" s="48"/>
      <c r="I336" s="48"/>
      <c r="J336" s="24"/>
      <c r="K336" s="18"/>
      <c r="L336" s="17"/>
    </row>
    <row r="337" spans="1:12" x14ac:dyDescent="0.2">
      <c r="A337" s="19">
        <v>321</v>
      </c>
      <c r="B337" s="20"/>
      <c r="C337" s="24"/>
      <c r="D337" s="30"/>
      <c r="E337" s="30"/>
      <c r="F337" s="30"/>
      <c r="G337" s="24"/>
      <c r="H337" s="48"/>
      <c r="I337" s="48"/>
      <c r="J337" s="24"/>
      <c r="K337" s="18"/>
      <c r="L337" s="17"/>
    </row>
    <row r="338" spans="1:12" x14ac:dyDescent="0.2">
      <c r="A338" s="19">
        <v>322</v>
      </c>
      <c r="B338" s="20"/>
      <c r="C338" s="24"/>
      <c r="D338" s="30"/>
      <c r="E338" s="30"/>
      <c r="F338" s="30"/>
      <c r="G338" s="24"/>
      <c r="H338" s="48"/>
      <c r="I338" s="48"/>
      <c r="J338" s="24"/>
      <c r="K338" s="18"/>
      <c r="L338" s="17"/>
    </row>
    <row r="339" spans="1:12" x14ac:dyDescent="0.2">
      <c r="A339" s="19">
        <v>323</v>
      </c>
      <c r="B339" s="20"/>
      <c r="C339" s="24"/>
      <c r="D339" s="30"/>
      <c r="E339" s="30"/>
      <c r="F339" s="30"/>
      <c r="G339" s="24"/>
      <c r="H339" s="48"/>
      <c r="I339" s="48"/>
      <c r="J339" s="24"/>
      <c r="K339" s="18"/>
      <c r="L339" s="17"/>
    </row>
    <row r="340" spans="1:12" x14ac:dyDescent="0.2">
      <c r="A340" s="19">
        <v>324</v>
      </c>
      <c r="B340" s="20"/>
      <c r="C340" s="24"/>
      <c r="D340" s="30"/>
      <c r="E340" s="30"/>
      <c r="F340" s="30"/>
      <c r="G340" s="24"/>
      <c r="H340" s="48"/>
      <c r="I340" s="48"/>
      <c r="J340" s="24"/>
      <c r="K340" s="18"/>
      <c r="L340" s="17"/>
    </row>
    <row r="341" spans="1:12" x14ac:dyDescent="0.2">
      <c r="A341" s="19">
        <v>325</v>
      </c>
      <c r="B341" s="20"/>
      <c r="C341" s="24"/>
      <c r="D341" s="30"/>
      <c r="E341" s="30"/>
      <c r="F341" s="30"/>
      <c r="G341" s="24"/>
      <c r="H341" s="48"/>
      <c r="I341" s="48"/>
      <c r="J341" s="24"/>
      <c r="K341" s="18"/>
      <c r="L341" s="17"/>
    </row>
    <row r="342" spans="1:12" x14ac:dyDescent="0.2">
      <c r="A342" s="19">
        <v>326</v>
      </c>
      <c r="B342" s="20"/>
      <c r="C342" s="24"/>
      <c r="D342" s="30"/>
      <c r="E342" s="30"/>
      <c r="F342" s="30"/>
      <c r="G342" s="24"/>
      <c r="H342" s="48"/>
      <c r="I342" s="48"/>
      <c r="J342" s="24"/>
      <c r="K342" s="18"/>
      <c r="L342" s="17"/>
    </row>
    <row r="343" spans="1:12" x14ac:dyDescent="0.2">
      <c r="A343" s="19">
        <v>327</v>
      </c>
      <c r="B343" s="20"/>
      <c r="C343" s="24"/>
      <c r="D343" s="30"/>
      <c r="E343" s="30"/>
      <c r="F343" s="30"/>
      <c r="G343" s="24"/>
      <c r="H343" s="48"/>
      <c r="I343" s="48"/>
      <c r="J343" s="24"/>
      <c r="K343" s="18"/>
      <c r="L343" s="17"/>
    </row>
    <row r="344" spans="1:12" x14ac:dyDescent="0.2">
      <c r="A344" s="19">
        <v>328</v>
      </c>
      <c r="B344" s="20"/>
      <c r="C344" s="24"/>
      <c r="D344" s="30"/>
      <c r="E344" s="30"/>
      <c r="F344" s="30"/>
      <c r="G344" s="24"/>
      <c r="H344" s="48"/>
      <c r="I344" s="48"/>
      <c r="J344" s="24"/>
      <c r="K344" s="18"/>
      <c r="L344" s="17"/>
    </row>
    <row r="345" spans="1:12" x14ac:dyDescent="0.2">
      <c r="A345" s="19">
        <v>329</v>
      </c>
      <c r="B345" s="20"/>
      <c r="C345" s="24"/>
      <c r="D345" s="30"/>
      <c r="E345" s="30"/>
      <c r="F345" s="30"/>
      <c r="G345" s="24"/>
      <c r="H345" s="48"/>
      <c r="I345" s="48"/>
      <c r="J345" s="24"/>
      <c r="K345" s="18"/>
      <c r="L345" s="17"/>
    </row>
    <row r="346" spans="1:12" x14ac:dyDescent="0.2">
      <c r="A346" s="19">
        <v>330</v>
      </c>
      <c r="B346" s="20"/>
      <c r="C346" s="24"/>
      <c r="D346" s="30"/>
      <c r="E346" s="30"/>
      <c r="F346" s="30"/>
      <c r="G346" s="24"/>
      <c r="H346" s="48"/>
      <c r="I346" s="48"/>
      <c r="J346" s="24"/>
      <c r="K346" s="18"/>
      <c r="L346" s="17"/>
    </row>
    <row r="347" spans="1:12" x14ac:dyDescent="0.2">
      <c r="A347" s="19">
        <v>331</v>
      </c>
      <c r="B347" s="20"/>
      <c r="C347" s="24"/>
      <c r="D347" s="30"/>
      <c r="E347" s="30"/>
      <c r="F347" s="30"/>
      <c r="G347" s="24"/>
      <c r="H347" s="48"/>
      <c r="I347" s="48"/>
      <c r="J347" s="24"/>
      <c r="K347" s="18"/>
      <c r="L347" s="17"/>
    </row>
    <row r="348" spans="1:12" x14ac:dyDescent="0.2">
      <c r="A348" s="19">
        <v>332</v>
      </c>
      <c r="B348" s="20"/>
      <c r="C348" s="24"/>
      <c r="D348" s="30"/>
      <c r="E348" s="30"/>
      <c r="F348" s="30"/>
      <c r="G348" s="24"/>
      <c r="H348" s="48"/>
      <c r="I348" s="48"/>
      <c r="J348" s="24"/>
      <c r="K348" s="18"/>
      <c r="L348" s="17"/>
    </row>
    <row r="349" spans="1:12" x14ac:dyDescent="0.2">
      <c r="A349" s="19">
        <v>333</v>
      </c>
      <c r="B349" s="20"/>
      <c r="C349" s="24"/>
      <c r="D349" s="30"/>
      <c r="E349" s="30"/>
      <c r="F349" s="30"/>
      <c r="G349" s="24"/>
      <c r="H349" s="48"/>
      <c r="I349" s="48"/>
      <c r="J349" s="24"/>
      <c r="K349" s="18"/>
      <c r="L349" s="17"/>
    </row>
    <row r="350" spans="1:12" x14ac:dyDescent="0.2">
      <c r="A350" s="19">
        <v>334</v>
      </c>
      <c r="B350" s="20"/>
      <c r="C350" s="24"/>
      <c r="D350" s="30"/>
      <c r="E350" s="30"/>
      <c r="F350" s="30"/>
      <c r="G350" s="24"/>
      <c r="H350" s="48"/>
      <c r="I350" s="48"/>
      <c r="J350" s="24"/>
      <c r="K350" s="18"/>
      <c r="L350" s="17"/>
    </row>
    <row r="351" spans="1:12" x14ac:dyDescent="0.2">
      <c r="A351" s="19">
        <v>335</v>
      </c>
      <c r="B351" s="20"/>
      <c r="C351" s="24"/>
      <c r="D351" s="30"/>
      <c r="E351" s="30"/>
      <c r="F351" s="30"/>
      <c r="G351" s="24"/>
      <c r="H351" s="48"/>
      <c r="I351" s="48"/>
      <c r="J351" s="24"/>
      <c r="K351" s="18"/>
      <c r="L351" s="17"/>
    </row>
    <row r="352" spans="1:12" x14ac:dyDescent="0.2">
      <c r="A352" s="19">
        <v>336</v>
      </c>
      <c r="B352" s="20"/>
      <c r="C352" s="24"/>
      <c r="D352" s="30"/>
      <c r="E352" s="30"/>
      <c r="F352" s="30"/>
      <c r="G352" s="24"/>
      <c r="H352" s="48"/>
      <c r="I352" s="48"/>
      <c r="J352" s="24"/>
      <c r="K352" s="18"/>
      <c r="L352" s="17"/>
    </row>
    <row r="353" spans="1:12" x14ac:dyDescent="0.2">
      <c r="A353" s="19">
        <v>337</v>
      </c>
      <c r="B353" s="20"/>
      <c r="C353" s="24"/>
      <c r="D353" s="30"/>
      <c r="E353" s="30"/>
      <c r="F353" s="30"/>
      <c r="G353" s="24"/>
      <c r="H353" s="48"/>
      <c r="I353" s="48"/>
      <c r="J353" s="24"/>
      <c r="K353" s="18"/>
      <c r="L353" s="17"/>
    </row>
    <row r="354" spans="1:12" x14ac:dyDescent="0.2">
      <c r="A354" s="19">
        <v>338</v>
      </c>
      <c r="B354" s="20"/>
      <c r="C354" s="24"/>
      <c r="D354" s="30"/>
      <c r="E354" s="30"/>
      <c r="F354" s="30"/>
      <c r="G354" s="24"/>
      <c r="H354" s="48"/>
      <c r="I354" s="48"/>
      <c r="J354" s="24"/>
      <c r="K354" s="18"/>
      <c r="L354" s="17"/>
    </row>
    <row r="355" spans="1:12" x14ac:dyDescent="0.2">
      <c r="A355" s="19">
        <v>339</v>
      </c>
      <c r="B355" s="20"/>
      <c r="C355" s="24"/>
      <c r="D355" s="30"/>
      <c r="E355" s="30"/>
      <c r="F355" s="30"/>
      <c r="G355" s="24"/>
      <c r="H355" s="48"/>
      <c r="I355" s="48"/>
      <c r="J355" s="24"/>
      <c r="K355" s="18"/>
      <c r="L355" s="17"/>
    </row>
    <row r="356" spans="1:12" x14ac:dyDescent="0.2">
      <c r="A356" s="19">
        <v>340</v>
      </c>
      <c r="B356" s="20"/>
      <c r="C356" s="24"/>
      <c r="D356" s="30"/>
      <c r="E356" s="30"/>
      <c r="F356" s="30"/>
      <c r="G356" s="24"/>
      <c r="H356" s="48"/>
      <c r="I356" s="48"/>
      <c r="J356" s="24"/>
      <c r="K356" s="18"/>
      <c r="L356" s="17"/>
    </row>
    <row r="357" spans="1:12" x14ac:dyDescent="0.2">
      <c r="A357" s="19">
        <v>341</v>
      </c>
      <c r="B357" s="20"/>
      <c r="C357" s="24"/>
      <c r="D357" s="30"/>
      <c r="E357" s="30"/>
      <c r="F357" s="30"/>
      <c r="G357" s="24"/>
      <c r="H357" s="48"/>
      <c r="I357" s="48"/>
      <c r="J357" s="24"/>
      <c r="K357" s="18"/>
      <c r="L357" s="17"/>
    </row>
    <row r="358" spans="1:12" x14ac:dyDescent="0.2">
      <c r="A358" s="19">
        <v>342</v>
      </c>
      <c r="B358" s="20"/>
      <c r="C358" s="24"/>
      <c r="D358" s="30"/>
      <c r="E358" s="30"/>
      <c r="F358" s="30"/>
      <c r="G358" s="24"/>
      <c r="H358" s="48"/>
      <c r="I358" s="48"/>
      <c r="J358" s="24"/>
      <c r="K358" s="18"/>
      <c r="L358" s="17"/>
    </row>
    <row r="359" spans="1:12" x14ac:dyDescent="0.2">
      <c r="A359" s="19">
        <v>343</v>
      </c>
      <c r="B359" s="20"/>
      <c r="C359" s="24"/>
      <c r="D359" s="30"/>
      <c r="E359" s="30"/>
      <c r="F359" s="30"/>
      <c r="G359" s="24"/>
      <c r="H359" s="48"/>
      <c r="I359" s="48"/>
      <c r="J359" s="24"/>
      <c r="K359" s="18"/>
      <c r="L359" s="17"/>
    </row>
    <row r="360" spans="1:12" x14ac:dyDescent="0.2">
      <c r="A360" s="19">
        <v>344</v>
      </c>
      <c r="B360" s="20"/>
      <c r="C360" s="24"/>
      <c r="D360" s="30"/>
      <c r="E360" s="30"/>
      <c r="F360" s="30"/>
      <c r="G360" s="24"/>
      <c r="H360" s="48"/>
      <c r="I360" s="48"/>
      <c r="J360" s="24"/>
      <c r="K360" s="18"/>
      <c r="L360" s="17"/>
    </row>
    <row r="361" spans="1:12" x14ac:dyDescent="0.2">
      <c r="A361" s="19">
        <v>345</v>
      </c>
      <c r="B361" s="20"/>
      <c r="C361" s="24"/>
      <c r="D361" s="30"/>
      <c r="E361" s="30"/>
      <c r="F361" s="30"/>
      <c r="G361" s="24"/>
      <c r="H361" s="48"/>
      <c r="I361" s="48"/>
      <c r="J361" s="24"/>
      <c r="K361" s="18"/>
      <c r="L361" s="17"/>
    </row>
    <row r="362" spans="1:12" x14ac:dyDescent="0.2">
      <c r="A362" s="19">
        <v>346</v>
      </c>
      <c r="B362" s="20"/>
      <c r="C362" s="24"/>
      <c r="D362" s="30"/>
      <c r="E362" s="30"/>
      <c r="F362" s="30"/>
      <c r="G362" s="24"/>
      <c r="H362" s="48"/>
      <c r="I362" s="48"/>
      <c r="J362" s="24"/>
      <c r="K362" s="18"/>
      <c r="L362" s="17"/>
    </row>
    <row r="363" spans="1:12" x14ac:dyDescent="0.2">
      <c r="A363" s="19">
        <v>347</v>
      </c>
      <c r="B363" s="20"/>
      <c r="C363" s="24"/>
      <c r="D363" s="30"/>
      <c r="E363" s="30"/>
      <c r="F363" s="30"/>
      <c r="G363" s="24"/>
      <c r="H363" s="48"/>
      <c r="I363" s="48"/>
      <c r="J363" s="24"/>
      <c r="K363" s="18"/>
      <c r="L363" s="17"/>
    </row>
    <row r="364" spans="1:12" x14ac:dyDescent="0.2">
      <c r="A364" s="19">
        <v>348</v>
      </c>
      <c r="B364" s="20"/>
      <c r="C364" s="24"/>
      <c r="D364" s="30"/>
      <c r="E364" s="30"/>
      <c r="F364" s="30"/>
      <c r="G364" s="24"/>
      <c r="H364" s="48"/>
      <c r="I364" s="48"/>
      <c r="J364" s="24"/>
      <c r="K364" s="18"/>
      <c r="L364" s="17"/>
    </row>
    <row r="365" spans="1:12" x14ac:dyDescent="0.2">
      <c r="A365" s="19">
        <v>349</v>
      </c>
      <c r="B365" s="20"/>
      <c r="C365" s="24"/>
      <c r="D365" s="30"/>
      <c r="E365" s="30"/>
      <c r="F365" s="30"/>
      <c r="G365" s="24"/>
      <c r="H365" s="48"/>
      <c r="I365" s="48"/>
      <c r="J365" s="24"/>
      <c r="K365" s="18"/>
      <c r="L365" s="17"/>
    </row>
    <row r="366" spans="1:12" x14ac:dyDescent="0.2">
      <c r="A366" s="19">
        <v>350</v>
      </c>
      <c r="B366" s="20"/>
      <c r="C366" s="24"/>
      <c r="D366" s="30"/>
      <c r="E366" s="30"/>
      <c r="F366" s="30"/>
      <c r="G366" s="24"/>
      <c r="H366" s="48"/>
      <c r="I366" s="48"/>
      <c r="J366" s="24"/>
      <c r="K366" s="18"/>
      <c r="L366" s="17"/>
    </row>
    <row r="367" spans="1:12" x14ac:dyDescent="0.2">
      <c r="A367" s="19">
        <v>351</v>
      </c>
      <c r="B367" s="20"/>
      <c r="C367" s="24"/>
      <c r="D367" s="30"/>
      <c r="E367" s="30"/>
      <c r="F367" s="30"/>
      <c r="G367" s="24"/>
      <c r="H367" s="48"/>
      <c r="I367" s="48"/>
      <c r="J367" s="24"/>
      <c r="K367" s="18"/>
      <c r="L367" s="17"/>
    </row>
    <row r="368" spans="1:12" x14ac:dyDescent="0.2">
      <c r="A368" s="19">
        <v>352</v>
      </c>
      <c r="B368" s="20"/>
      <c r="C368" s="24"/>
      <c r="D368" s="30"/>
      <c r="E368" s="30"/>
      <c r="F368" s="30"/>
      <c r="G368" s="24"/>
      <c r="H368" s="48"/>
      <c r="I368" s="48"/>
      <c r="J368" s="24"/>
      <c r="K368" s="18"/>
      <c r="L368" s="17"/>
    </row>
    <row r="369" spans="1:12" x14ac:dyDescent="0.2">
      <c r="A369" s="19">
        <v>353</v>
      </c>
      <c r="B369" s="20"/>
      <c r="C369" s="24"/>
      <c r="D369" s="30"/>
      <c r="E369" s="30"/>
      <c r="F369" s="30"/>
      <c r="G369" s="24"/>
      <c r="H369" s="48"/>
      <c r="I369" s="48"/>
      <c r="J369" s="24"/>
      <c r="K369" s="18"/>
      <c r="L369" s="17"/>
    </row>
    <row r="370" spans="1:12" x14ac:dyDescent="0.2">
      <c r="A370" s="19">
        <v>354</v>
      </c>
      <c r="B370" s="20"/>
      <c r="C370" s="24"/>
      <c r="D370" s="30"/>
      <c r="E370" s="30"/>
      <c r="F370" s="30"/>
      <c r="G370" s="24"/>
      <c r="H370" s="48"/>
      <c r="I370" s="48"/>
      <c r="J370" s="24"/>
      <c r="K370" s="18"/>
      <c r="L370" s="17"/>
    </row>
    <row r="371" spans="1:12" x14ac:dyDescent="0.2">
      <c r="A371" s="19">
        <v>355</v>
      </c>
      <c r="B371" s="20"/>
      <c r="C371" s="24"/>
      <c r="D371" s="30"/>
      <c r="E371" s="30"/>
      <c r="F371" s="30"/>
      <c r="G371" s="24"/>
      <c r="H371" s="48"/>
      <c r="I371" s="48"/>
      <c r="J371" s="24"/>
      <c r="K371" s="18"/>
      <c r="L371" s="17"/>
    </row>
    <row r="372" spans="1:12" x14ac:dyDescent="0.2">
      <c r="A372" s="19">
        <v>356</v>
      </c>
      <c r="B372" s="20"/>
      <c r="C372" s="24"/>
      <c r="D372" s="30"/>
      <c r="E372" s="30"/>
      <c r="F372" s="30"/>
      <c r="G372" s="24"/>
      <c r="H372" s="48"/>
      <c r="I372" s="48"/>
      <c r="J372" s="24"/>
      <c r="K372" s="18"/>
      <c r="L372" s="17"/>
    </row>
    <row r="373" spans="1:12" x14ac:dyDescent="0.2">
      <c r="A373" s="19">
        <v>357</v>
      </c>
      <c r="B373" s="20"/>
      <c r="C373" s="24"/>
      <c r="D373" s="30"/>
      <c r="E373" s="30"/>
      <c r="F373" s="30"/>
      <c r="G373" s="24"/>
      <c r="H373" s="48"/>
      <c r="I373" s="48"/>
      <c r="J373" s="24"/>
      <c r="K373" s="18"/>
      <c r="L373" s="17"/>
    </row>
    <row r="374" spans="1:12" x14ac:dyDescent="0.2">
      <c r="A374" s="19">
        <v>358</v>
      </c>
      <c r="B374" s="20"/>
      <c r="C374" s="24"/>
      <c r="D374" s="30"/>
      <c r="E374" s="30"/>
      <c r="F374" s="30"/>
      <c r="G374" s="24"/>
      <c r="H374" s="48"/>
      <c r="I374" s="48"/>
      <c r="J374" s="24"/>
      <c r="K374" s="18"/>
      <c r="L374" s="17"/>
    </row>
    <row r="375" spans="1:12" x14ac:dyDescent="0.2">
      <c r="A375" s="19">
        <v>359</v>
      </c>
      <c r="B375" s="20"/>
      <c r="C375" s="24"/>
      <c r="D375" s="30"/>
      <c r="E375" s="30"/>
      <c r="F375" s="30"/>
      <c r="G375" s="24"/>
      <c r="H375" s="48"/>
      <c r="I375" s="48"/>
      <c r="J375" s="24"/>
      <c r="K375" s="18"/>
      <c r="L375" s="17"/>
    </row>
    <row r="376" spans="1:12" x14ac:dyDescent="0.2">
      <c r="A376" s="19">
        <v>360</v>
      </c>
      <c r="B376" s="20"/>
      <c r="C376" s="24"/>
      <c r="D376" s="30"/>
      <c r="E376" s="30"/>
      <c r="F376" s="30"/>
      <c r="G376" s="24"/>
      <c r="H376" s="48"/>
      <c r="I376" s="48"/>
      <c r="J376" s="24"/>
      <c r="K376" s="18"/>
      <c r="L376" s="17"/>
    </row>
    <row r="377" spans="1:12" x14ac:dyDescent="0.2">
      <c r="A377" s="19">
        <v>361</v>
      </c>
      <c r="B377" s="20"/>
      <c r="C377" s="24"/>
      <c r="D377" s="30"/>
      <c r="E377" s="30"/>
      <c r="F377" s="30"/>
      <c r="G377" s="24"/>
      <c r="H377" s="48"/>
      <c r="I377" s="48"/>
      <c r="J377" s="24"/>
      <c r="K377" s="18"/>
      <c r="L377" s="17"/>
    </row>
    <row r="378" spans="1:12" x14ac:dyDescent="0.2">
      <c r="A378" s="19">
        <v>362</v>
      </c>
      <c r="B378" s="20"/>
      <c r="C378" s="24"/>
      <c r="D378" s="30"/>
      <c r="E378" s="30"/>
      <c r="F378" s="30"/>
      <c r="G378" s="24"/>
      <c r="H378" s="48"/>
      <c r="I378" s="48"/>
      <c r="J378" s="24"/>
      <c r="K378" s="18"/>
      <c r="L378" s="17"/>
    </row>
    <row r="379" spans="1:12" x14ac:dyDescent="0.2">
      <c r="A379" s="19">
        <v>363</v>
      </c>
      <c r="B379" s="20"/>
      <c r="C379" s="24"/>
      <c r="D379" s="30"/>
      <c r="E379" s="30"/>
      <c r="F379" s="30"/>
      <c r="G379" s="24"/>
      <c r="H379" s="48"/>
      <c r="I379" s="48"/>
      <c r="J379" s="24"/>
      <c r="K379" s="18"/>
      <c r="L379" s="17"/>
    </row>
    <row r="380" spans="1:12" x14ac:dyDescent="0.2">
      <c r="A380" s="19">
        <v>364</v>
      </c>
      <c r="B380" s="20"/>
      <c r="C380" s="24"/>
      <c r="D380" s="30"/>
      <c r="E380" s="30"/>
      <c r="F380" s="30"/>
      <c r="G380" s="24"/>
      <c r="H380" s="48"/>
      <c r="I380" s="48"/>
      <c r="J380" s="24"/>
      <c r="K380" s="18"/>
      <c r="L380" s="17"/>
    </row>
    <row r="381" spans="1:12" x14ac:dyDescent="0.2">
      <c r="A381" s="19">
        <v>365</v>
      </c>
      <c r="B381" s="20"/>
      <c r="C381" s="24"/>
      <c r="D381" s="30"/>
      <c r="E381" s="30"/>
      <c r="F381" s="30"/>
      <c r="G381" s="24"/>
      <c r="H381" s="48"/>
      <c r="I381" s="48"/>
      <c r="J381" s="24"/>
      <c r="K381" s="18"/>
      <c r="L381" s="17"/>
    </row>
    <row r="382" spans="1:12" x14ac:dyDescent="0.2">
      <c r="A382" s="19">
        <v>366</v>
      </c>
      <c r="B382" s="20"/>
      <c r="C382" s="24"/>
      <c r="D382" s="30"/>
      <c r="E382" s="30"/>
      <c r="F382" s="30"/>
      <c r="G382" s="24"/>
      <c r="H382" s="48"/>
      <c r="I382" s="48"/>
      <c r="J382" s="24"/>
      <c r="K382" s="18"/>
      <c r="L382" s="17"/>
    </row>
    <row r="383" spans="1:12" x14ac:dyDescent="0.2">
      <c r="A383" s="19">
        <v>367</v>
      </c>
      <c r="B383" s="20"/>
      <c r="C383" s="24"/>
      <c r="D383" s="30"/>
      <c r="E383" s="30"/>
      <c r="F383" s="30"/>
      <c r="G383" s="24"/>
      <c r="H383" s="48"/>
      <c r="I383" s="48"/>
      <c r="J383" s="24"/>
      <c r="K383" s="18"/>
      <c r="L383" s="17"/>
    </row>
    <row r="384" spans="1:12" x14ac:dyDescent="0.2">
      <c r="A384" s="19">
        <v>368</v>
      </c>
      <c r="B384" s="20"/>
      <c r="C384" s="24"/>
      <c r="D384" s="30"/>
      <c r="E384" s="30"/>
      <c r="F384" s="30"/>
      <c r="G384" s="24"/>
      <c r="H384" s="48"/>
      <c r="I384" s="48"/>
      <c r="J384" s="24"/>
      <c r="K384" s="18"/>
      <c r="L384" s="17"/>
    </row>
    <row r="385" spans="1:12" x14ac:dyDescent="0.2">
      <c r="A385" s="19">
        <v>369</v>
      </c>
      <c r="B385" s="20"/>
      <c r="C385" s="24"/>
      <c r="D385" s="30"/>
      <c r="E385" s="30"/>
      <c r="F385" s="30"/>
      <c r="G385" s="24"/>
      <c r="H385" s="48"/>
      <c r="I385" s="48"/>
      <c r="J385" s="24"/>
      <c r="K385" s="18"/>
      <c r="L385" s="17"/>
    </row>
    <row r="386" spans="1:12" x14ac:dyDescent="0.2">
      <c r="A386" s="19">
        <v>370</v>
      </c>
      <c r="B386" s="20"/>
      <c r="C386" s="24"/>
      <c r="D386" s="30"/>
      <c r="E386" s="30"/>
      <c r="F386" s="30"/>
      <c r="G386" s="24"/>
      <c r="H386" s="48"/>
      <c r="I386" s="48"/>
      <c r="J386" s="24"/>
      <c r="K386" s="18"/>
      <c r="L386" s="17"/>
    </row>
    <row r="387" spans="1:12" x14ac:dyDescent="0.2">
      <c r="A387" s="19">
        <v>371</v>
      </c>
      <c r="B387" s="20"/>
      <c r="C387" s="24"/>
      <c r="D387" s="30"/>
      <c r="E387" s="30"/>
      <c r="F387" s="30"/>
      <c r="G387" s="24"/>
      <c r="H387" s="48"/>
      <c r="I387" s="48"/>
      <c r="J387" s="24"/>
      <c r="K387" s="18"/>
      <c r="L387" s="17"/>
    </row>
    <row r="388" spans="1:12" x14ac:dyDescent="0.2">
      <c r="A388" s="19">
        <v>372</v>
      </c>
      <c r="B388" s="20"/>
      <c r="C388" s="24"/>
      <c r="D388" s="30"/>
      <c r="E388" s="30"/>
      <c r="F388" s="30"/>
      <c r="G388" s="24"/>
      <c r="H388" s="48"/>
      <c r="I388" s="48"/>
      <c r="J388" s="24"/>
      <c r="K388" s="18"/>
      <c r="L388" s="17"/>
    </row>
    <row r="389" spans="1:12" x14ac:dyDescent="0.2">
      <c r="A389" s="19">
        <v>373</v>
      </c>
      <c r="B389" s="20"/>
      <c r="C389" s="24"/>
      <c r="D389" s="30"/>
      <c r="E389" s="30"/>
      <c r="F389" s="30"/>
      <c r="G389" s="24"/>
      <c r="H389" s="48"/>
      <c r="I389" s="48"/>
      <c r="J389" s="24"/>
      <c r="K389" s="18"/>
      <c r="L389" s="17"/>
    </row>
    <row r="390" spans="1:12" x14ac:dyDescent="0.2">
      <c r="A390" s="19">
        <v>374</v>
      </c>
      <c r="B390" s="20"/>
      <c r="C390" s="24"/>
      <c r="D390" s="30"/>
      <c r="E390" s="30"/>
      <c r="F390" s="30"/>
      <c r="G390" s="24"/>
      <c r="H390" s="48"/>
      <c r="I390" s="48"/>
      <c r="J390" s="24"/>
      <c r="K390" s="18"/>
      <c r="L390" s="17"/>
    </row>
    <row r="391" spans="1:12" x14ac:dyDescent="0.2">
      <c r="A391" s="19">
        <v>375</v>
      </c>
      <c r="B391" s="20"/>
      <c r="C391" s="24"/>
      <c r="D391" s="30"/>
      <c r="E391" s="30"/>
      <c r="F391" s="30"/>
      <c r="G391" s="24"/>
      <c r="H391" s="48"/>
      <c r="I391" s="48"/>
      <c r="J391" s="24"/>
      <c r="K391" s="18"/>
      <c r="L391" s="17"/>
    </row>
    <row r="392" spans="1:12" x14ac:dyDescent="0.2">
      <c r="A392" s="19">
        <v>376</v>
      </c>
      <c r="B392" s="20"/>
      <c r="C392" s="24"/>
      <c r="D392" s="30"/>
      <c r="E392" s="30"/>
      <c r="F392" s="30"/>
      <c r="G392" s="24"/>
      <c r="H392" s="48"/>
      <c r="I392" s="48"/>
      <c r="J392" s="24"/>
      <c r="K392" s="18"/>
      <c r="L392" s="17"/>
    </row>
    <row r="393" spans="1:12" x14ac:dyDescent="0.2">
      <c r="A393" s="19">
        <v>377</v>
      </c>
      <c r="B393" s="20"/>
      <c r="C393" s="24"/>
      <c r="D393" s="30"/>
      <c r="E393" s="30"/>
      <c r="F393" s="30"/>
      <c r="G393" s="24"/>
      <c r="H393" s="48"/>
      <c r="I393" s="48"/>
      <c r="J393" s="24"/>
      <c r="K393" s="18"/>
      <c r="L393" s="17"/>
    </row>
    <row r="394" spans="1:12" x14ac:dyDescent="0.2">
      <c r="A394" s="19">
        <v>378</v>
      </c>
      <c r="B394" s="20"/>
      <c r="C394" s="24"/>
      <c r="D394" s="30"/>
      <c r="E394" s="30"/>
      <c r="F394" s="30"/>
      <c r="G394" s="24"/>
      <c r="H394" s="48"/>
      <c r="I394" s="48"/>
      <c r="J394" s="24"/>
      <c r="K394" s="18"/>
      <c r="L394" s="17"/>
    </row>
    <row r="395" spans="1:12" x14ac:dyDescent="0.2">
      <c r="A395" s="19">
        <v>379</v>
      </c>
      <c r="B395" s="20"/>
      <c r="C395" s="24"/>
      <c r="D395" s="30"/>
      <c r="E395" s="30"/>
      <c r="F395" s="30"/>
      <c r="G395" s="24"/>
      <c r="H395" s="48"/>
      <c r="I395" s="48"/>
      <c r="J395" s="24"/>
      <c r="K395" s="18"/>
      <c r="L395" s="17"/>
    </row>
    <row r="396" spans="1:12" x14ac:dyDescent="0.2">
      <c r="A396" s="19">
        <v>380</v>
      </c>
      <c r="B396" s="20"/>
      <c r="C396" s="24"/>
      <c r="D396" s="30"/>
      <c r="E396" s="30"/>
      <c r="F396" s="30"/>
      <c r="G396" s="24"/>
      <c r="H396" s="48"/>
      <c r="I396" s="48"/>
      <c r="J396" s="24"/>
      <c r="K396" s="18"/>
      <c r="L396" s="17"/>
    </row>
    <row r="397" spans="1:12" x14ac:dyDescent="0.2">
      <c r="A397" s="19">
        <v>381</v>
      </c>
      <c r="B397" s="20"/>
      <c r="C397" s="24"/>
      <c r="D397" s="30"/>
      <c r="E397" s="30"/>
      <c r="F397" s="30"/>
      <c r="G397" s="24"/>
      <c r="H397" s="48"/>
      <c r="I397" s="48"/>
      <c r="J397" s="24"/>
      <c r="K397" s="18"/>
      <c r="L397" s="17"/>
    </row>
    <row r="398" spans="1:12" x14ac:dyDescent="0.2">
      <c r="A398" s="19">
        <v>382</v>
      </c>
      <c r="B398" s="20"/>
      <c r="C398" s="24"/>
      <c r="D398" s="30"/>
      <c r="E398" s="30"/>
      <c r="F398" s="30"/>
      <c r="G398" s="24"/>
      <c r="H398" s="48"/>
      <c r="I398" s="48"/>
      <c r="J398" s="24"/>
      <c r="K398" s="18"/>
      <c r="L398" s="17"/>
    </row>
    <row r="399" spans="1:12" x14ac:dyDescent="0.2">
      <c r="A399" s="19">
        <v>383</v>
      </c>
      <c r="B399" s="20"/>
      <c r="C399" s="24"/>
      <c r="D399" s="30"/>
      <c r="E399" s="30"/>
      <c r="F399" s="30"/>
      <c r="G399" s="24"/>
      <c r="H399" s="48"/>
      <c r="I399" s="48"/>
      <c r="J399" s="24"/>
      <c r="K399" s="18"/>
      <c r="L399" s="17"/>
    </row>
    <row r="400" spans="1:12" x14ac:dyDescent="0.2">
      <c r="A400" s="19">
        <v>384</v>
      </c>
      <c r="B400" s="20"/>
      <c r="C400" s="24"/>
      <c r="D400" s="30"/>
      <c r="E400" s="30"/>
      <c r="F400" s="30"/>
      <c r="G400" s="24"/>
      <c r="H400" s="48"/>
      <c r="I400" s="48"/>
      <c r="J400" s="24"/>
      <c r="K400" s="18"/>
      <c r="L400" s="17"/>
    </row>
    <row r="401" spans="1:12" x14ac:dyDescent="0.2">
      <c r="A401" s="19">
        <v>385</v>
      </c>
      <c r="B401" s="20"/>
      <c r="C401" s="24"/>
      <c r="D401" s="30"/>
      <c r="E401" s="30"/>
      <c r="F401" s="30"/>
      <c r="G401" s="24"/>
      <c r="H401" s="48"/>
      <c r="I401" s="48"/>
      <c r="J401" s="24"/>
      <c r="K401" s="18"/>
      <c r="L401" s="17"/>
    </row>
    <row r="402" spans="1:12" x14ac:dyDescent="0.2">
      <c r="A402" s="19">
        <v>386</v>
      </c>
      <c r="B402" s="20"/>
      <c r="C402" s="24"/>
      <c r="D402" s="30"/>
      <c r="E402" s="30"/>
      <c r="F402" s="30"/>
      <c r="G402" s="24"/>
      <c r="H402" s="48"/>
      <c r="I402" s="48"/>
      <c r="J402" s="24"/>
      <c r="K402" s="18"/>
      <c r="L402" s="17"/>
    </row>
    <row r="403" spans="1:12" x14ac:dyDescent="0.2">
      <c r="A403" s="19">
        <v>387</v>
      </c>
      <c r="B403" s="20"/>
      <c r="C403" s="24"/>
      <c r="D403" s="30"/>
      <c r="E403" s="30"/>
      <c r="F403" s="30"/>
      <c r="G403" s="24"/>
      <c r="H403" s="48"/>
      <c r="I403" s="48"/>
      <c r="J403" s="24"/>
      <c r="K403" s="18"/>
      <c r="L403" s="17"/>
    </row>
    <row r="404" spans="1:12" x14ac:dyDescent="0.2">
      <c r="A404" s="19">
        <v>388</v>
      </c>
      <c r="B404" s="20"/>
      <c r="C404" s="24"/>
      <c r="D404" s="30"/>
      <c r="E404" s="30"/>
      <c r="F404" s="30"/>
      <c r="G404" s="24"/>
      <c r="H404" s="48"/>
      <c r="I404" s="48"/>
      <c r="J404" s="24"/>
      <c r="K404" s="18"/>
      <c r="L404" s="17"/>
    </row>
    <row r="405" spans="1:12" x14ac:dyDescent="0.2">
      <c r="A405" s="19">
        <v>389</v>
      </c>
      <c r="B405" s="20"/>
      <c r="C405" s="24"/>
      <c r="D405" s="30"/>
      <c r="E405" s="30"/>
      <c r="F405" s="30"/>
      <c r="G405" s="24"/>
      <c r="H405" s="48"/>
      <c r="I405" s="48"/>
      <c r="J405" s="24"/>
      <c r="K405" s="18"/>
      <c r="L405" s="17"/>
    </row>
    <row r="406" spans="1:12" x14ac:dyDescent="0.2">
      <c r="A406" s="19">
        <v>390</v>
      </c>
      <c r="B406" s="20"/>
      <c r="C406" s="24"/>
      <c r="D406" s="30"/>
      <c r="E406" s="30"/>
      <c r="F406" s="30"/>
      <c r="G406" s="24"/>
      <c r="H406" s="48"/>
      <c r="I406" s="48"/>
      <c r="J406" s="24"/>
      <c r="K406" s="18"/>
      <c r="L406" s="17"/>
    </row>
    <row r="407" spans="1:12" x14ac:dyDescent="0.2">
      <c r="A407" s="19">
        <v>391</v>
      </c>
      <c r="B407" s="20"/>
      <c r="C407" s="24"/>
      <c r="D407" s="30"/>
      <c r="E407" s="30"/>
      <c r="F407" s="30"/>
      <c r="G407" s="24"/>
      <c r="H407" s="48"/>
      <c r="I407" s="48"/>
      <c r="J407" s="24"/>
      <c r="K407" s="18"/>
      <c r="L407" s="17"/>
    </row>
    <row r="408" spans="1:12" x14ac:dyDescent="0.2">
      <c r="A408" s="19">
        <v>392</v>
      </c>
      <c r="B408" s="20"/>
      <c r="C408" s="24"/>
      <c r="D408" s="30"/>
      <c r="E408" s="30"/>
      <c r="F408" s="30"/>
      <c r="G408" s="24"/>
      <c r="H408" s="48"/>
      <c r="I408" s="48"/>
      <c r="J408" s="24"/>
      <c r="K408" s="18"/>
      <c r="L408" s="17"/>
    </row>
    <row r="409" spans="1:12" x14ac:dyDescent="0.2">
      <c r="A409" s="19">
        <v>393</v>
      </c>
      <c r="B409" s="20"/>
      <c r="C409" s="24"/>
      <c r="D409" s="30"/>
      <c r="E409" s="30"/>
      <c r="F409" s="30"/>
      <c r="G409" s="24"/>
      <c r="H409" s="48"/>
      <c r="I409" s="48"/>
      <c r="J409" s="24"/>
      <c r="K409" s="18"/>
      <c r="L409" s="17"/>
    </row>
    <row r="410" spans="1:12" x14ac:dyDescent="0.2">
      <c r="A410" s="19">
        <v>394</v>
      </c>
      <c r="B410" s="20"/>
      <c r="C410" s="24"/>
      <c r="D410" s="30"/>
      <c r="E410" s="30"/>
      <c r="F410" s="30"/>
      <c r="G410" s="24"/>
      <c r="H410" s="48"/>
      <c r="I410" s="48"/>
      <c r="J410" s="24"/>
      <c r="K410" s="18"/>
      <c r="L410" s="17"/>
    </row>
    <row r="411" spans="1:12" x14ac:dyDescent="0.2">
      <c r="A411" s="19">
        <v>395</v>
      </c>
      <c r="B411" s="20"/>
      <c r="C411" s="24"/>
      <c r="D411" s="30"/>
      <c r="E411" s="30"/>
      <c r="F411" s="30"/>
      <c r="G411" s="24"/>
      <c r="H411" s="48"/>
      <c r="I411" s="48"/>
      <c r="J411" s="24"/>
      <c r="K411" s="18"/>
      <c r="L411" s="17"/>
    </row>
    <row r="412" spans="1:12" x14ac:dyDescent="0.2">
      <c r="A412" s="19">
        <v>396</v>
      </c>
      <c r="B412" s="20"/>
      <c r="C412" s="24"/>
      <c r="D412" s="30"/>
      <c r="E412" s="30"/>
      <c r="F412" s="30"/>
      <c r="G412" s="24"/>
      <c r="H412" s="48"/>
      <c r="I412" s="48"/>
      <c r="J412" s="24"/>
      <c r="K412" s="18"/>
      <c r="L412" s="17"/>
    </row>
    <row r="413" spans="1:12" x14ac:dyDescent="0.2">
      <c r="A413" s="19">
        <v>397</v>
      </c>
      <c r="B413" s="20"/>
      <c r="C413" s="24"/>
      <c r="D413" s="30"/>
      <c r="E413" s="30"/>
      <c r="F413" s="30"/>
      <c r="G413" s="24"/>
      <c r="H413" s="48"/>
      <c r="I413" s="48"/>
      <c r="J413" s="24"/>
      <c r="K413" s="18"/>
      <c r="L413" s="17"/>
    </row>
    <row r="414" spans="1:12" x14ac:dyDescent="0.2">
      <c r="A414" s="19">
        <v>398</v>
      </c>
      <c r="B414" s="20"/>
      <c r="C414" s="24"/>
      <c r="D414" s="30"/>
      <c r="E414" s="30"/>
      <c r="F414" s="30"/>
      <c r="G414" s="24"/>
      <c r="H414" s="48"/>
      <c r="I414" s="48"/>
      <c r="J414" s="24"/>
      <c r="K414" s="18"/>
      <c r="L414" s="17"/>
    </row>
    <row r="415" spans="1:12" x14ac:dyDescent="0.2">
      <c r="A415" s="19">
        <v>399</v>
      </c>
      <c r="B415" s="20"/>
      <c r="C415" s="24"/>
      <c r="D415" s="30"/>
      <c r="E415" s="30"/>
      <c r="F415" s="30"/>
      <c r="G415" s="24"/>
      <c r="H415" s="48"/>
      <c r="I415" s="48"/>
      <c r="J415" s="24"/>
      <c r="K415" s="18"/>
      <c r="L415" s="17"/>
    </row>
    <row r="416" spans="1:12" x14ac:dyDescent="0.2">
      <c r="A416" s="19">
        <v>400</v>
      </c>
      <c r="B416" s="20"/>
      <c r="C416" s="24"/>
      <c r="D416" s="30"/>
      <c r="E416" s="30"/>
      <c r="F416" s="30"/>
      <c r="G416" s="24"/>
      <c r="H416" s="48"/>
      <c r="I416" s="48"/>
      <c r="J416" s="24"/>
      <c r="K416" s="18"/>
      <c r="L416" s="17"/>
    </row>
    <row r="417" spans="1:12" x14ac:dyDescent="0.2">
      <c r="A417" s="19">
        <v>401</v>
      </c>
      <c r="B417" s="20"/>
      <c r="C417" s="24"/>
      <c r="D417" s="30"/>
      <c r="E417" s="30"/>
      <c r="F417" s="30"/>
      <c r="G417" s="24"/>
      <c r="H417" s="48"/>
      <c r="I417" s="48"/>
      <c r="J417" s="24"/>
      <c r="K417" s="18"/>
      <c r="L417" s="17"/>
    </row>
    <row r="418" spans="1:12" x14ac:dyDescent="0.2">
      <c r="A418" s="19">
        <v>402</v>
      </c>
      <c r="B418" s="20"/>
      <c r="C418" s="24"/>
      <c r="D418" s="30"/>
      <c r="E418" s="30"/>
      <c r="F418" s="30"/>
      <c r="G418" s="24"/>
      <c r="H418" s="48"/>
      <c r="I418" s="48"/>
      <c r="J418" s="24"/>
      <c r="K418" s="18"/>
      <c r="L418" s="17"/>
    </row>
    <row r="419" spans="1:12" x14ac:dyDescent="0.2">
      <c r="A419" s="19">
        <v>403</v>
      </c>
      <c r="B419" s="20"/>
      <c r="C419" s="24"/>
      <c r="D419" s="30"/>
      <c r="E419" s="30"/>
      <c r="F419" s="30"/>
      <c r="G419" s="24"/>
      <c r="H419" s="48"/>
      <c r="I419" s="48"/>
      <c r="J419" s="24"/>
      <c r="K419" s="18"/>
      <c r="L419" s="17"/>
    </row>
    <row r="420" spans="1:12" x14ac:dyDescent="0.2">
      <c r="A420" s="19">
        <v>404</v>
      </c>
      <c r="B420" s="20"/>
      <c r="C420" s="24"/>
      <c r="D420" s="30"/>
      <c r="E420" s="30"/>
      <c r="F420" s="30"/>
      <c r="G420" s="24"/>
      <c r="H420" s="48"/>
      <c r="I420" s="48"/>
      <c r="J420" s="24"/>
      <c r="K420" s="18"/>
      <c r="L420" s="17"/>
    </row>
    <row r="421" spans="1:12" x14ac:dyDescent="0.2">
      <c r="A421" s="19">
        <v>405</v>
      </c>
      <c r="B421" s="20"/>
      <c r="C421" s="24"/>
      <c r="D421" s="30"/>
      <c r="E421" s="30"/>
      <c r="F421" s="30"/>
      <c r="G421" s="24"/>
      <c r="H421" s="48"/>
      <c r="I421" s="48"/>
      <c r="J421" s="24"/>
      <c r="K421" s="18"/>
      <c r="L421" s="17"/>
    </row>
    <row r="422" spans="1:12" x14ac:dyDescent="0.2">
      <c r="A422" s="19">
        <v>406</v>
      </c>
      <c r="B422" s="20"/>
      <c r="C422" s="24"/>
      <c r="D422" s="30"/>
      <c r="E422" s="30"/>
      <c r="F422" s="30"/>
      <c r="G422" s="24"/>
      <c r="H422" s="48"/>
      <c r="I422" s="48"/>
      <c r="J422" s="24"/>
      <c r="K422" s="18"/>
      <c r="L422" s="17"/>
    </row>
    <row r="423" spans="1:12" x14ac:dyDescent="0.2">
      <c r="A423" s="19">
        <v>407</v>
      </c>
      <c r="B423" s="20"/>
      <c r="C423" s="24"/>
      <c r="D423" s="30"/>
      <c r="E423" s="30"/>
      <c r="F423" s="30"/>
      <c r="G423" s="24"/>
      <c r="H423" s="48"/>
      <c r="I423" s="48"/>
      <c r="J423" s="24"/>
      <c r="K423" s="18"/>
      <c r="L423" s="17"/>
    </row>
    <row r="424" spans="1:12" x14ac:dyDescent="0.2">
      <c r="A424" s="19">
        <v>408</v>
      </c>
      <c r="B424" s="20"/>
      <c r="C424" s="24"/>
      <c r="D424" s="30"/>
      <c r="E424" s="30"/>
      <c r="F424" s="30"/>
      <c r="G424" s="24"/>
      <c r="H424" s="48"/>
      <c r="I424" s="48"/>
      <c r="J424" s="24"/>
      <c r="K424" s="18"/>
      <c r="L424" s="17"/>
    </row>
    <row r="425" spans="1:12" x14ac:dyDescent="0.2">
      <c r="A425" s="19">
        <v>409</v>
      </c>
      <c r="B425" s="20"/>
      <c r="C425" s="24"/>
      <c r="D425" s="30"/>
      <c r="E425" s="30"/>
      <c r="F425" s="30"/>
      <c r="G425" s="24"/>
      <c r="H425" s="48"/>
      <c r="I425" s="48"/>
      <c r="J425" s="24"/>
      <c r="K425" s="18"/>
      <c r="L425" s="17"/>
    </row>
    <row r="426" spans="1:12" x14ac:dyDescent="0.2">
      <c r="A426" s="19">
        <v>410</v>
      </c>
      <c r="B426" s="20"/>
      <c r="C426" s="24"/>
      <c r="D426" s="30"/>
      <c r="E426" s="30"/>
      <c r="F426" s="30"/>
      <c r="G426" s="24"/>
      <c r="H426" s="48"/>
      <c r="I426" s="48"/>
      <c r="J426" s="24"/>
      <c r="K426" s="18"/>
      <c r="L426" s="17"/>
    </row>
    <row r="427" spans="1:12" x14ac:dyDescent="0.2">
      <c r="A427" s="19">
        <v>411</v>
      </c>
      <c r="B427" s="20"/>
      <c r="C427" s="24"/>
      <c r="D427" s="30"/>
      <c r="E427" s="30"/>
      <c r="F427" s="30"/>
      <c r="G427" s="24"/>
      <c r="H427" s="48"/>
      <c r="I427" s="48"/>
      <c r="J427" s="24"/>
      <c r="K427" s="18"/>
      <c r="L427" s="17"/>
    </row>
    <row r="428" spans="1:12" x14ac:dyDescent="0.2">
      <c r="A428" s="19">
        <v>412</v>
      </c>
      <c r="B428" s="20"/>
      <c r="C428" s="24"/>
      <c r="D428" s="30"/>
      <c r="E428" s="30"/>
      <c r="F428" s="30"/>
      <c r="G428" s="24"/>
      <c r="H428" s="48"/>
      <c r="I428" s="48"/>
      <c r="J428" s="24"/>
      <c r="K428" s="18"/>
      <c r="L428" s="17"/>
    </row>
    <row r="429" spans="1:12" x14ac:dyDescent="0.2">
      <c r="A429" s="19">
        <v>413</v>
      </c>
      <c r="B429" s="20"/>
      <c r="C429" s="24"/>
      <c r="D429" s="30"/>
      <c r="E429" s="30"/>
      <c r="F429" s="30"/>
      <c r="G429" s="24"/>
      <c r="H429" s="48"/>
      <c r="I429" s="48"/>
      <c r="J429" s="24"/>
      <c r="K429" s="18"/>
      <c r="L429" s="17"/>
    </row>
    <row r="430" spans="1:12" x14ac:dyDescent="0.2">
      <c r="A430" s="19">
        <v>414</v>
      </c>
      <c r="B430" s="20"/>
      <c r="C430" s="24"/>
      <c r="D430" s="30"/>
      <c r="E430" s="30"/>
      <c r="F430" s="30"/>
      <c r="G430" s="24"/>
      <c r="H430" s="48"/>
      <c r="I430" s="48"/>
      <c r="J430" s="24"/>
      <c r="K430" s="18"/>
      <c r="L430" s="17"/>
    </row>
    <row r="431" spans="1:12" x14ac:dyDescent="0.2">
      <c r="A431" s="19">
        <v>415</v>
      </c>
      <c r="B431" s="20"/>
      <c r="C431" s="24"/>
      <c r="D431" s="30"/>
      <c r="E431" s="30"/>
      <c r="F431" s="30"/>
      <c r="G431" s="24"/>
      <c r="H431" s="48"/>
      <c r="I431" s="48"/>
      <c r="J431" s="24"/>
      <c r="K431" s="18"/>
      <c r="L431" s="17"/>
    </row>
    <row r="432" spans="1:12" x14ac:dyDescent="0.2">
      <c r="A432" s="19">
        <v>416</v>
      </c>
      <c r="B432" s="20"/>
      <c r="C432" s="24"/>
      <c r="D432" s="30"/>
      <c r="E432" s="30"/>
      <c r="F432" s="30"/>
      <c r="G432" s="24"/>
      <c r="H432" s="48"/>
      <c r="I432" s="48"/>
      <c r="J432" s="24"/>
      <c r="K432" s="18"/>
      <c r="L432" s="17"/>
    </row>
    <row r="433" spans="1:12" x14ac:dyDescent="0.2">
      <c r="A433" s="19">
        <v>417</v>
      </c>
      <c r="B433" s="20"/>
      <c r="C433" s="24"/>
      <c r="D433" s="30"/>
      <c r="E433" s="30"/>
      <c r="F433" s="30"/>
      <c r="G433" s="24"/>
      <c r="H433" s="48"/>
      <c r="I433" s="48"/>
      <c r="J433" s="24"/>
      <c r="K433" s="18"/>
      <c r="L433" s="17"/>
    </row>
    <row r="434" spans="1:12" x14ac:dyDescent="0.2">
      <c r="A434" s="19">
        <v>418</v>
      </c>
      <c r="B434" s="20"/>
      <c r="C434" s="24"/>
      <c r="D434" s="30"/>
      <c r="E434" s="30"/>
      <c r="F434" s="30"/>
      <c r="G434" s="24"/>
      <c r="H434" s="48"/>
      <c r="I434" s="48"/>
      <c r="J434" s="24"/>
      <c r="K434" s="18"/>
      <c r="L434" s="17"/>
    </row>
    <row r="435" spans="1:12" x14ac:dyDescent="0.2">
      <c r="A435" s="19">
        <v>419</v>
      </c>
      <c r="B435" s="20"/>
      <c r="C435" s="24"/>
      <c r="D435" s="30"/>
      <c r="E435" s="30"/>
      <c r="F435" s="30"/>
      <c r="G435" s="24"/>
      <c r="H435" s="48"/>
      <c r="I435" s="48"/>
      <c r="J435" s="24"/>
      <c r="K435" s="18"/>
      <c r="L435" s="17"/>
    </row>
    <row r="436" spans="1:12" x14ac:dyDescent="0.2">
      <c r="A436" s="19">
        <v>420</v>
      </c>
      <c r="B436" s="20"/>
      <c r="C436" s="24"/>
      <c r="D436" s="30"/>
      <c r="E436" s="30"/>
      <c r="F436" s="30"/>
      <c r="G436" s="24"/>
      <c r="H436" s="48"/>
      <c r="I436" s="48"/>
      <c r="J436" s="24"/>
      <c r="K436" s="18"/>
      <c r="L436" s="17"/>
    </row>
    <row r="437" spans="1:12" x14ac:dyDescent="0.2">
      <c r="A437" s="19">
        <v>421</v>
      </c>
      <c r="B437" s="20"/>
      <c r="C437" s="24"/>
      <c r="D437" s="30"/>
      <c r="E437" s="30"/>
      <c r="F437" s="30"/>
      <c r="G437" s="24"/>
      <c r="H437" s="48"/>
      <c r="I437" s="48"/>
      <c r="J437" s="24"/>
      <c r="K437" s="18"/>
      <c r="L437" s="17"/>
    </row>
    <row r="438" spans="1:12" x14ac:dyDescent="0.2">
      <c r="A438" s="19">
        <v>422</v>
      </c>
      <c r="B438" s="20"/>
      <c r="C438" s="24"/>
      <c r="D438" s="30"/>
      <c r="E438" s="30"/>
      <c r="F438" s="30"/>
      <c r="G438" s="24"/>
      <c r="H438" s="48"/>
      <c r="I438" s="48"/>
      <c r="J438" s="24"/>
      <c r="K438" s="18"/>
      <c r="L438" s="17"/>
    </row>
    <row r="439" spans="1:12" x14ac:dyDescent="0.2">
      <c r="A439" s="19">
        <v>423</v>
      </c>
      <c r="B439" s="20"/>
      <c r="C439" s="24"/>
      <c r="D439" s="30"/>
      <c r="E439" s="30"/>
      <c r="F439" s="30"/>
      <c r="G439" s="24"/>
      <c r="H439" s="48"/>
      <c r="I439" s="48"/>
      <c r="J439" s="24"/>
      <c r="K439" s="18"/>
      <c r="L439" s="17"/>
    </row>
    <row r="440" spans="1:12" x14ac:dyDescent="0.2">
      <c r="A440" s="19">
        <v>424</v>
      </c>
      <c r="B440" s="20"/>
      <c r="C440" s="24"/>
      <c r="D440" s="30"/>
      <c r="E440" s="30"/>
      <c r="F440" s="30"/>
      <c r="G440" s="24"/>
      <c r="H440" s="48"/>
      <c r="I440" s="48"/>
      <c r="J440" s="24"/>
      <c r="K440" s="18"/>
      <c r="L440" s="17"/>
    </row>
    <row r="441" spans="1:12" x14ac:dyDescent="0.2">
      <c r="A441" s="19">
        <v>425</v>
      </c>
      <c r="B441" s="20"/>
      <c r="C441" s="24"/>
      <c r="D441" s="30"/>
      <c r="E441" s="30"/>
      <c r="F441" s="30"/>
      <c r="G441" s="24"/>
      <c r="H441" s="48"/>
      <c r="I441" s="48"/>
      <c r="J441" s="24"/>
      <c r="K441" s="18"/>
      <c r="L441" s="17"/>
    </row>
    <row r="442" spans="1:12" x14ac:dyDescent="0.2">
      <c r="A442" s="19">
        <v>426</v>
      </c>
      <c r="B442" s="20"/>
      <c r="C442" s="24"/>
      <c r="D442" s="30"/>
      <c r="E442" s="30"/>
      <c r="F442" s="30"/>
      <c r="G442" s="24"/>
      <c r="H442" s="48"/>
      <c r="I442" s="48"/>
      <c r="J442" s="24"/>
      <c r="K442" s="18"/>
      <c r="L442" s="17"/>
    </row>
    <row r="443" spans="1:12" x14ac:dyDescent="0.2">
      <c r="A443" s="19">
        <v>427</v>
      </c>
      <c r="B443" s="20"/>
      <c r="C443" s="24"/>
      <c r="D443" s="30"/>
      <c r="E443" s="30"/>
      <c r="F443" s="30"/>
      <c r="G443" s="24"/>
      <c r="H443" s="48"/>
      <c r="I443" s="48"/>
      <c r="J443" s="24"/>
      <c r="K443" s="18"/>
      <c r="L443" s="17"/>
    </row>
    <row r="444" spans="1:12" x14ac:dyDescent="0.2">
      <c r="A444" s="19">
        <v>428</v>
      </c>
      <c r="B444" s="20"/>
      <c r="C444" s="24"/>
      <c r="D444" s="30"/>
      <c r="E444" s="30"/>
      <c r="F444" s="30"/>
      <c r="G444" s="24"/>
      <c r="H444" s="48"/>
      <c r="I444" s="48"/>
      <c r="J444" s="24"/>
      <c r="K444" s="18"/>
      <c r="L444" s="17"/>
    </row>
    <row r="445" spans="1:12" x14ac:dyDescent="0.2">
      <c r="A445" s="19">
        <v>429</v>
      </c>
      <c r="B445" s="20"/>
      <c r="C445" s="24"/>
      <c r="D445" s="30"/>
      <c r="E445" s="30"/>
      <c r="F445" s="30"/>
      <c r="G445" s="24"/>
      <c r="H445" s="48"/>
      <c r="I445" s="48"/>
      <c r="J445" s="24"/>
      <c r="K445" s="18"/>
      <c r="L445" s="17"/>
    </row>
    <row r="446" spans="1:12" x14ac:dyDescent="0.2">
      <c r="A446" s="19">
        <v>430</v>
      </c>
      <c r="B446" s="20"/>
      <c r="C446" s="24"/>
      <c r="D446" s="30"/>
      <c r="E446" s="30"/>
      <c r="F446" s="30"/>
      <c r="G446" s="24"/>
      <c r="H446" s="48"/>
      <c r="I446" s="48"/>
      <c r="J446" s="24"/>
      <c r="K446" s="18"/>
      <c r="L446" s="17"/>
    </row>
    <row r="447" spans="1:12" x14ac:dyDescent="0.2">
      <c r="A447" s="19">
        <v>431</v>
      </c>
      <c r="B447" s="20"/>
      <c r="C447" s="24"/>
      <c r="D447" s="30"/>
      <c r="E447" s="30"/>
      <c r="F447" s="30"/>
      <c r="G447" s="24"/>
      <c r="H447" s="48"/>
      <c r="I447" s="48"/>
      <c r="J447" s="24"/>
      <c r="K447" s="18"/>
      <c r="L447" s="17"/>
    </row>
    <row r="448" spans="1:12" x14ac:dyDescent="0.2">
      <c r="A448" s="19">
        <v>432</v>
      </c>
      <c r="B448" s="20"/>
      <c r="C448" s="24"/>
      <c r="D448" s="30"/>
      <c r="E448" s="30"/>
      <c r="F448" s="30"/>
      <c r="G448" s="24"/>
      <c r="H448" s="48"/>
      <c r="I448" s="48"/>
      <c r="J448" s="24"/>
      <c r="K448" s="18"/>
      <c r="L448" s="17"/>
    </row>
    <row r="449" spans="1:12" x14ac:dyDescent="0.2">
      <c r="A449" s="19">
        <v>433</v>
      </c>
      <c r="B449" s="20"/>
      <c r="C449" s="24"/>
      <c r="D449" s="30"/>
      <c r="E449" s="30"/>
      <c r="F449" s="30"/>
      <c r="G449" s="24"/>
      <c r="H449" s="48"/>
      <c r="I449" s="48"/>
      <c r="J449" s="24"/>
      <c r="K449" s="18"/>
      <c r="L449" s="17"/>
    </row>
    <row r="450" spans="1:12" x14ac:dyDescent="0.2">
      <c r="A450" s="19">
        <v>434</v>
      </c>
      <c r="B450" s="20"/>
      <c r="C450" s="24"/>
      <c r="D450" s="30"/>
      <c r="E450" s="30"/>
      <c r="F450" s="30"/>
      <c r="G450" s="24"/>
      <c r="H450" s="48"/>
      <c r="I450" s="48"/>
      <c r="J450" s="24"/>
      <c r="K450" s="18"/>
      <c r="L450" s="17"/>
    </row>
    <row r="451" spans="1:12" x14ac:dyDescent="0.2">
      <c r="A451" s="19">
        <v>435</v>
      </c>
      <c r="B451" s="20"/>
      <c r="C451" s="24"/>
      <c r="D451" s="30"/>
      <c r="E451" s="30"/>
      <c r="F451" s="30"/>
      <c r="G451" s="24"/>
      <c r="H451" s="48"/>
      <c r="I451" s="48"/>
      <c r="J451" s="24"/>
      <c r="K451" s="18"/>
      <c r="L451" s="17"/>
    </row>
    <row r="452" spans="1:12" x14ac:dyDescent="0.2">
      <c r="A452" s="19">
        <v>436</v>
      </c>
      <c r="B452" s="20"/>
      <c r="C452" s="24"/>
      <c r="D452" s="30"/>
      <c r="E452" s="30"/>
      <c r="F452" s="30"/>
      <c r="G452" s="24"/>
      <c r="H452" s="48"/>
      <c r="I452" s="48"/>
      <c r="J452" s="24"/>
      <c r="K452" s="18"/>
      <c r="L452" s="17"/>
    </row>
    <row r="453" spans="1:12" x14ac:dyDescent="0.2">
      <c r="A453" s="19">
        <v>437</v>
      </c>
      <c r="B453" s="20"/>
      <c r="C453" s="24"/>
      <c r="D453" s="30"/>
      <c r="E453" s="30"/>
      <c r="F453" s="30"/>
      <c r="G453" s="24"/>
      <c r="H453" s="48"/>
      <c r="I453" s="48"/>
      <c r="J453" s="24"/>
      <c r="K453" s="18"/>
      <c r="L453" s="17"/>
    </row>
    <row r="454" spans="1:12" x14ac:dyDescent="0.2">
      <c r="A454" s="19">
        <v>438</v>
      </c>
      <c r="B454" s="20"/>
      <c r="C454" s="24"/>
      <c r="D454" s="30"/>
      <c r="E454" s="30"/>
      <c r="F454" s="30"/>
      <c r="G454" s="24"/>
      <c r="H454" s="48"/>
      <c r="I454" s="48"/>
      <c r="J454" s="24"/>
      <c r="K454" s="18"/>
      <c r="L454" s="17"/>
    </row>
    <row r="455" spans="1:12" x14ac:dyDescent="0.2">
      <c r="A455" s="19">
        <v>439</v>
      </c>
      <c r="B455" s="20"/>
      <c r="C455" s="24"/>
      <c r="D455" s="30"/>
      <c r="E455" s="30"/>
      <c r="F455" s="30"/>
      <c r="G455" s="24"/>
      <c r="H455" s="48"/>
      <c r="I455" s="48"/>
      <c r="J455" s="24"/>
      <c r="K455" s="18"/>
      <c r="L455" s="17"/>
    </row>
    <row r="456" spans="1:12" x14ac:dyDescent="0.2">
      <c r="A456" s="19">
        <v>440</v>
      </c>
      <c r="B456" s="20"/>
      <c r="C456" s="24"/>
      <c r="D456" s="30"/>
      <c r="E456" s="30"/>
      <c r="F456" s="30"/>
      <c r="G456" s="24"/>
      <c r="H456" s="48"/>
      <c r="I456" s="48"/>
      <c r="J456" s="24"/>
      <c r="K456" s="18"/>
      <c r="L456" s="17"/>
    </row>
    <row r="457" spans="1:12" x14ac:dyDescent="0.2">
      <c r="A457" s="19">
        <v>441</v>
      </c>
      <c r="B457" s="20"/>
      <c r="C457" s="24"/>
      <c r="D457" s="30"/>
      <c r="E457" s="30"/>
      <c r="F457" s="30"/>
      <c r="G457" s="24"/>
      <c r="H457" s="48"/>
      <c r="I457" s="48"/>
      <c r="J457" s="24"/>
      <c r="K457" s="18"/>
      <c r="L457" s="17"/>
    </row>
    <row r="458" spans="1:12" x14ac:dyDescent="0.2">
      <c r="A458" s="19">
        <v>442</v>
      </c>
      <c r="B458" s="20"/>
      <c r="C458" s="24"/>
      <c r="D458" s="30"/>
      <c r="E458" s="30"/>
      <c r="F458" s="30"/>
      <c r="G458" s="24"/>
      <c r="H458" s="48"/>
      <c r="I458" s="48"/>
      <c r="J458" s="24"/>
      <c r="K458" s="18"/>
      <c r="L458" s="17"/>
    </row>
    <row r="459" spans="1:12" x14ac:dyDescent="0.2">
      <c r="A459" s="19">
        <v>443</v>
      </c>
      <c r="B459" s="20"/>
      <c r="C459" s="24"/>
      <c r="D459" s="30"/>
      <c r="E459" s="30"/>
      <c r="F459" s="30"/>
      <c r="G459" s="24"/>
      <c r="H459" s="48"/>
      <c r="I459" s="48"/>
      <c r="J459" s="24"/>
      <c r="K459" s="18"/>
      <c r="L459" s="17"/>
    </row>
    <row r="460" spans="1:12" x14ac:dyDescent="0.2">
      <c r="A460" s="19">
        <v>444</v>
      </c>
      <c r="B460" s="20"/>
      <c r="C460" s="24"/>
      <c r="D460" s="30"/>
      <c r="E460" s="30"/>
      <c r="F460" s="30"/>
      <c r="G460" s="24"/>
      <c r="H460" s="48"/>
      <c r="I460" s="48"/>
      <c r="J460" s="24"/>
      <c r="K460" s="18"/>
      <c r="L460" s="17"/>
    </row>
    <row r="461" spans="1:12" x14ac:dyDescent="0.2">
      <c r="A461" s="19">
        <v>445</v>
      </c>
      <c r="B461" s="20"/>
      <c r="C461" s="24"/>
      <c r="D461" s="30"/>
      <c r="E461" s="30"/>
      <c r="F461" s="30"/>
      <c r="G461" s="24"/>
      <c r="H461" s="48"/>
      <c r="I461" s="48"/>
      <c r="J461" s="24"/>
      <c r="K461" s="18"/>
      <c r="L461" s="17"/>
    </row>
    <row r="462" spans="1:12" x14ac:dyDescent="0.2">
      <c r="A462" s="19">
        <v>446</v>
      </c>
      <c r="B462" s="20"/>
      <c r="C462" s="24"/>
      <c r="D462" s="30"/>
      <c r="E462" s="30"/>
      <c r="F462" s="30"/>
      <c r="G462" s="24"/>
      <c r="H462" s="48"/>
      <c r="I462" s="48"/>
      <c r="J462" s="24"/>
      <c r="K462" s="18"/>
      <c r="L462" s="17"/>
    </row>
    <row r="463" spans="1:12" x14ac:dyDescent="0.2">
      <c r="A463" s="19">
        <v>447</v>
      </c>
      <c r="B463" s="20"/>
      <c r="C463" s="24"/>
      <c r="D463" s="30"/>
      <c r="E463" s="30"/>
      <c r="F463" s="30"/>
      <c r="G463" s="24"/>
      <c r="H463" s="48"/>
      <c r="I463" s="48"/>
      <c r="J463" s="24"/>
      <c r="K463" s="18"/>
      <c r="L463" s="17"/>
    </row>
    <row r="464" spans="1:12" x14ac:dyDescent="0.2">
      <c r="A464" s="19">
        <v>448</v>
      </c>
      <c r="B464" s="20"/>
      <c r="C464" s="24"/>
      <c r="D464" s="30"/>
      <c r="E464" s="30"/>
      <c r="F464" s="30"/>
      <c r="G464" s="24"/>
      <c r="H464" s="48"/>
      <c r="I464" s="48"/>
      <c r="J464" s="24"/>
      <c r="K464" s="18"/>
      <c r="L464" s="17"/>
    </row>
    <row r="465" spans="1:12" x14ac:dyDescent="0.2">
      <c r="A465" s="19">
        <v>449</v>
      </c>
      <c r="B465" s="20"/>
      <c r="C465" s="24"/>
      <c r="D465" s="30"/>
      <c r="E465" s="30"/>
      <c r="F465" s="30"/>
      <c r="G465" s="24"/>
      <c r="H465" s="48"/>
      <c r="I465" s="48"/>
      <c r="J465" s="24"/>
      <c r="K465" s="18"/>
      <c r="L465" s="17"/>
    </row>
    <row r="466" spans="1:12" x14ac:dyDescent="0.2">
      <c r="A466" s="19">
        <v>450</v>
      </c>
      <c r="B466" s="20"/>
      <c r="C466" s="24"/>
      <c r="D466" s="30"/>
      <c r="E466" s="30"/>
      <c r="F466" s="30"/>
      <c r="G466" s="24"/>
      <c r="H466" s="48"/>
      <c r="I466" s="48"/>
      <c r="J466" s="24"/>
      <c r="K466" s="18"/>
      <c r="L466" s="17"/>
    </row>
    <row r="467" spans="1:12" x14ac:dyDescent="0.2">
      <c r="A467" s="19">
        <v>451</v>
      </c>
      <c r="B467" s="20"/>
      <c r="C467" s="24"/>
      <c r="D467" s="30"/>
      <c r="E467" s="30"/>
      <c r="F467" s="30"/>
      <c r="G467" s="24"/>
      <c r="H467" s="48"/>
      <c r="I467" s="48"/>
      <c r="J467" s="24"/>
      <c r="K467" s="18"/>
      <c r="L467" s="17"/>
    </row>
    <row r="468" spans="1:12" x14ac:dyDescent="0.2">
      <c r="A468" s="19">
        <v>452</v>
      </c>
      <c r="B468" s="20"/>
      <c r="C468" s="24"/>
      <c r="D468" s="30"/>
      <c r="E468" s="30"/>
      <c r="F468" s="30"/>
      <c r="G468" s="24"/>
      <c r="H468" s="48"/>
      <c r="I468" s="48"/>
      <c r="J468" s="24"/>
      <c r="K468" s="18"/>
      <c r="L468" s="17"/>
    </row>
    <row r="469" spans="1:12" x14ac:dyDescent="0.2">
      <c r="A469" s="19">
        <v>453</v>
      </c>
      <c r="B469" s="20"/>
      <c r="C469" s="24"/>
      <c r="D469" s="30"/>
      <c r="E469" s="30"/>
      <c r="F469" s="30"/>
      <c r="G469" s="24"/>
      <c r="H469" s="48"/>
      <c r="I469" s="48"/>
      <c r="J469" s="24"/>
      <c r="K469" s="18"/>
      <c r="L469" s="17"/>
    </row>
    <row r="470" spans="1:12" x14ac:dyDescent="0.2">
      <c r="A470" s="19">
        <v>454</v>
      </c>
      <c r="B470" s="20"/>
      <c r="C470" s="24"/>
      <c r="D470" s="30"/>
      <c r="E470" s="30"/>
      <c r="F470" s="30"/>
      <c r="G470" s="24"/>
      <c r="H470" s="48"/>
      <c r="I470" s="48"/>
      <c r="J470" s="24"/>
      <c r="K470" s="18"/>
      <c r="L470" s="17"/>
    </row>
    <row r="471" spans="1:12" x14ac:dyDescent="0.2">
      <c r="A471" s="19">
        <v>455</v>
      </c>
      <c r="B471" s="20"/>
      <c r="C471" s="24"/>
      <c r="D471" s="30"/>
      <c r="E471" s="30"/>
      <c r="F471" s="30"/>
      <c r="G471" s="24"/>
      <c r="H471" s="48"/>
      <c r="I471" s="48"/>
      <c r="J471" s="24"/>
      <c r="K471" s="18"/>
      <c r="L471" s="17"/>
    </row>
    <row r="472" spans="1:12" x14ac:dyDescent="0.2">
      <c r="A472" s="19">
        <v>456</v>
      </c>
      <c r="B472" s="20"/>
      <c r="C472" s="24"/>
      <c r="D472" s="30"/>
      <c r="E472" s="30"/>
      <c r="F472" s="30"/>
      <c r="G472" s="24"/>
      <c r="H472" s="48"/>
      <c r="I472" s="48"/>
      <c r="J472" s="24"/>
      <c r="K472" s="18"/>
      <c r="L472" s="17"/>
    </row>
    <row r="473" spans="1:12" x14ac:dyDescent="0.2">
      <c r="A473" s="19">
        <v>457</v>
      </c>
      <c r="B473" s="20"/>
      <c r="C473" s="24"/>
      <c r="D473" s="30"/>
      <c r="E473" s="30"/>
      <c r="F473" s="30"/>
      <c r="G473" s="24"/>
      <c r="H473" s="48"/>
      <c r="I473" s="48"/>
      <c r="J473" s="24"/>
      <c r="K473" s="18"/>
      <c r="L473" s="17"/>
    </row>
    <row r="474" spans="1:12" x14ac:dyDescent="0.2">
      <c r="A474" s="19">
        <v>458</v>
      </c>
      <c r="B474" s="20"/>
      <c r="C474" s="24"/>
      <c r="D474" s="30"/>
      <c r="E474" s="30"/>
      <c r="F474" s="30"/>
      <c r="G474" s="24"/>
      <c r="H474" s="48"/>
      <c r="I474" s="48"/>
      <c r="J474" s="24"/>
      <c r="K474" s="18"/>
      <c r="L474" s="17"/>
    </row>
    <row r="475" spans="1:12" x14ac:dyDescent="0.2">
      <c r="A475" s="19">
        <v>459</v>
      </c>
      <c r="B475" s="20"/>
      <c r="C475" s="24"/>
      <c r="D475" s="30"/>
      <c r="E475" s="30"/>
      <c r="F475" s="30"/>
      <c r="G475" s="24"/>
      <c r="H475" s="48"/>
      <c r="I475" s="48"/>
      <c r="J475" s="24"/>
      <c r="K475" s="18"/>
      <c r="L475" s="17"/>
    </row>
    <row r="476" spans="1:12" x14ac:dyDescent="0.2">
      <c r="A476" s="19">
        <v>460</v>
      </c>
      <c r="B476" s="20"/>
      <c r="C476" s="24"/>
      <c r="D476" s="30"/>
      <c r="E476" s="30"/>
      <c r="F476" s="30"/>
      <c r="G476" s="24"/>
      <c r="H476" s="48"/>
      <c r="I476" s="48"/>
      <c r="J476" s="24"/>
      <c r="K476" s="18"/>
      <c r="L476" s="17"/>
    </row>
    <row r="477" spans="1:12" x14ac:dyDescent="0.2">
      <c r="A477" s="19">
        <v>461</v>
      </c>
      <c r="B477" s="20"/>
      <c r="C477" s="24"/>
      <c r="D477" s="30"/>
      <c r="E477" s="30"/>
      <c r="F477" s="30"/>
      <c r="G477" s="24"/>
      <c r="H477" s="48"/>
      <c r="I477" s="48"/>
      <c r="J477" s="24"/>
      <c r="K477" s="18"/>
      <c r="L477" s="17"/>
    </row>
    <row r="478" spans="1:12" x14ac:dyDescent="0.2">
      <c r="A478" s="19">
        <v>462</v>
      </c>
      <c r="B478" s="20"/>
      <c r="C478" s="24"/>
      <c r="D478" s="30"/>
      <c r="E478" s="30"/>
      <c r="F478" s="30"/>
      <c r="G478" s="24"/>
      <c r="H478" s="48"/>
      <c r="I478" s="48"/>
      <c r="J478" s="24"/>
      <c r="K478" s="18"/>
      <c r="L478" s="17"/>
    </row>
    <row r="479" spans="1:12" x14ac:dyDescent="0.2">
      <c r="A479" s="19">
        <v>463</v>
      </c>
      <c r="B479" s="20"/>
      <c r="C479" s="24"/>
      <c r="D479" s="30"/>
      <c r="E479" s="30"/>
      <c r="F479" s="30"/>
      <c r="G479" s="24"/>
      <c r="H479" s="48"/>
      <c r="I479" s="48"/>
      <c r="J479" s="24"/>
      <c r="K479" s="18"/>
      <c r="L479" s="17"/>
    </row>
    <row r="480" spans="1:12" x14ac:dyDescent="0.2">
      <c r="A480" s="19">
        <v>464</v>
      </c>
      <c r="B480" s="20"/>
      <c r="C480" s="24"/>
      <c r="D480" s="30"/>
      <c r="E480" s="30"/>
      <c r="F480" s="30"/>
      <c r="G480" s="24"/>
      <c r="H480" s="48"/>
      <c r="I480" s="48"/>
      <c r="J480" s="24"/>
      <c r="K480" s="18"/>
      <c r="L480" s="17"/>
    </row>
    <row r="481" spans="1:12" x14ac:dyDescent="0.2">
      <c r="A481" s="19">
        <v>465</v>
      </c>
      <c r="B481" s="20"/>
      <c r="C481" s="24"/>
      <c r="D481" s="30"/>
      <c r="E481" s="30"/>
      <c r="F481" s="30"/>
      <c r="G481" s="24"/>
      <c r="H481" s="48"/>
      <c r="I481" s="48"/>
      <c r="J481" s="24"/>
      <c r="K481" s="18"/>
      <c r="L481" s="17"/>
    </row>
    <row r="482" spans="1:12" x14ac:dyDescent="0.2">
      <c r="A482" s="19">
        <v>466</v>
      </c>
      <c r="B482" s="20"/>
      <c r="C482" s="24"/>
      <c r="D482" s="30"/>
      <c r="E482" s="30"/>
      <c r="F482" s="30"/>
      <c r="G482" s="24"/>
      <c r="H482" s="48"/>
      <c r="I482" s="48"/>
      <c r="J482" s="24"/>
      <c r="K482" s="18"/>
      <c r="L482" s="17"/>
    </row>
    <row r="483" spans="1:12" x14ac:dyDescent="0.2">
      <c r="A483" s="19">
        <v>467</v>
      </c>
      <c r="B483" s="20"/>
      <c r="C483" s="24"/>
      <c r="D483" s="30"/>
      <c r="E483" s="30"/>
      <c r="F483" s="30"/>
      <c r="G483" s="24"/>
      <c r="H483" s="48"/>
      <c r="I483" s="48"/>
      <c r="J483" s="24"/>
      <c r="K483" s="18"/>
      <c r="L483" s="17"/>
    </row>
    <row r="484" spans="1:12" x14ac:dyDescent="0.2">
      <c r="A484" s="19">
        <v>468</v>
      </c>
      <c r="B484" s="20"/>
      <c r="C484" s="24"/>
      <c r="D484" s="30"/>
      <c r="E484" s="30"/>
      <c r="F484" s="30"/>
      <c r="G484" s="24"/>
      <c r="H484" s="48"/>
      <c r="I484" s="48"/>
      <c r="J484" s="24"/>
      <c r="K484" s="18"/>
      <c r="L484" s="17"/>
    </row>
    <row r="485" spans="1:12" x14ac:dyDescent="0.2">
      <c r="A485" s="19">
        <v>469</v>
      </c>
      <c r="B485" s="20"/>
      <c r="C485" s="24"/>
      <c r="D485" s="30"/>
      <c r="E485" s="30"/>
      <c r="F485" s="30"/>
      <c r="G485" s="24"/>
      <c r="H485" s="48"/>
      <c r="I485" s="48"/>
      <c r="J485" s="24"/>
      <c r="K485" s="18"/>
      <c r="L485" s="17"/>
    </row>
    <row r="486" spans="1:12" x14ac:dyDescent="0.2">
      <c r="A486" s="19">
        <v>470</v>
      </c>
      <c r="B486" s="20"/>
      <c r="C486" s="24"/>
      <c r="D486" s="30"/>
      <c r="E486" s="30"/>
      <c r="F486" s="30"/>
      <c r="G486" s="24"/>
      <c r="H486" s="48"/>
      <c r="I486" s="48"/>
      <c r="J486" s="24"/>
      <c r="K486" s="18"/>
      <c r="L486" s="17"/>
    </row>
    <row r="487" spans="1:12" x14ac:dyDescent="0.2">
      <c r="A487" s="19">
        <v>471</v>
      </c>
      <c r="B487" s="20"/>
      <c r="C487" s="24"/>
      <c r="D487" s="30"/>
      <c r="E487" s="30"/>
      <c r="F487" s="30"/>
      <c r="G487" s="24"/>
      <c r="H487" s="48"/>
      <c r="I487" s="48"/>
      <c r="J487" s="24"/>
      <c r="K487" s="18"/>
      <c r="L487" s="17"/>
    </row>
    <row r="488" spans="1:12" x14ac:dyDescent="0.2">
      <c r="A488" s="19">
        <v>472</v>
      </c>
      <c r="B488" s="20"/>
      <c r="C488" s="24"/>
      <c r="D488" s="30"/>
      <c r="E488" s="30"/>
      <c r="F488" s="30"/>
      <c r="G488" s="24"/>
      <c r="H488" s="48"/>
      <c r="I488" s="48"/>
      <c r="J488" s="24"/>
      <c r="K488" s="18"/>
      <c r="L488" s="17"/>
    </row>
    <row r="489" spans="1:12" x14ac:dyDescent="0.2">
      <c r="A489" s="19">
        <v>473</v>
      </c>
      <c r="B489" s="20"/>
      <c r="C489" s="24"/>
      <c r="D489" s="30"/>
      <c r="E489" s="30"/>
      <c r="F489" s="30"/>
      <c r="G489" s="24"/>
      <c r="H489" s="48"/>
      <c r="I489" s="48"/>
      <c r="J489" s="24"/>
      <c r="K489" s="18"/>
      <c r="L489" s="17"/>
    </row>
    <row r="490" spans="1:12" x14ac:dyDescent="0.2">
      <c r="A490" s="19">
        <v>474</v>
      </c>
      <c r="B490" s="20"/>
      <c r="C490" s="24"/>
      <c r="D490" s="30"/>
      <c r="E490" s="30"/>
      <c r="F490" s="30"/>
      <c r="G490" s="24"/>
      <c r="H490" s="48"/>
      <c r="I490" s="48"/>
      <c r="J490" s="24"/>
      <c r="K490" s="18"/>
      <c r="L490" s="17"/>
    </row>
    <row r="491" spans="1:12" x14ac:dyDescent="0.2">
      <c r="A491" s="19">
        <v>475</v>
      </c>
      <c r="B491" s="20"/>
      <c r="C491" s="24"/>
      <c r="D491" s="30"/>
      <c r="E491" s="30"/>
      <c r="F491" s="30"/>
      <c r="G491" s="24"/>
      <c r="H491" s="48"/>
      <c r="I491" s="48"/>
      <c r="J491" s="24"/>
      <c r="K491" s="18"/>
      <c r="L491" s="17"/>
    </row>
    <row r="492" spans="1:12" x14ac:dyDescent="0.2">
      <c r="A492" s="19">
        <v>476</v>
      </c>
      <c r="B492" s="20"/>
      <c r="C492" s="24"/>
      <c r="D492" s="30"/>
      <c r="E492" s="30"/>
      <c r="F492" s="30"/>
      <c r="G492" s="24"/>
      <c r="H492" s="48"/>
      <c r="I492" s="48"/>
      <c r="J492" s="24"/>
      <c r="K492" s="18"/>
      <c r="L492" s="17"/>
    </row>
    <row r="493" spans="1:12" x14ac:dyDescent="0.2">
      <c r="A493" s="19">
        <v>477</v>
      </c>
      <c r="B493" s="20"/>
      <c r="C493" s="24"/>
      <c r="D493" s="30"/>
      <c r="E493" s="30"/>
      <c r="F493" s="30"/>
      <c r="G493" s="24"/>
      <c r="H493" s="48"/>
      <c r="I493" s="48"/>
      <c r="J493" s="24"/>
      <c r="K493" s="18"/>
      <c r="L493" s="17"/>
    </row>
    <row r="494" spans="1:12" x14ac:dyDescent="0.2">
      <c r="A494" s="19">
        <v>478</v>
      </c>
      <c r="B494" s="20"/>
      <c r="C494" s="24"/>
      <c r="D494" s="30"/>
      <c r="E494" s="30"/>
      <c r="F494" s="30"/>
      <c r="G494" s="24"/>
      <c r="H494" s="48"/>
      <c r="I494" s="48"/>
      <c r="J494" s="24"/>
      <c r="K494" s="18"/>
      <c r="L494" s="17"/>
    </row>
    <row r="495" spans="1:12" x14ac:dyDescent="0.2">
      <c r="A495" s="19">
        <v>479</v>
      </c>
      <c r="B495" s="20"/>
      <c r="C495" s="24"/>
      <c r="D495" s="30"/>
      <c r="E495" s="30"/>
      <c r="F495" s="30"/>
      <c r="G495" s="24"/>
      <c r="H495" s="48"/>
      <c r="I495" s="48"/>
      <c r="J495" s="24"/>
      <c r="K495" s="18"/>
      <c r="L495" s="17"/>
    </row>
    <row r="496" spans="1:12" x14ac:dyDescent="0.2">
      <c r="A496" s="19">
        <v>480</v>
      </c>
      <c r="B496" s="20"/>
      <c r="C496" s="24"/>
      <c r="D496" s="30"/>
      <c r="E496" s="30"/>
      <c r="F496" s="30"/>
      <c r="G496" s="24"/>
      <c r="H496" s="48"/>
      <c r="I496" s="48"/>
      <c r="J496" s="24"/>
      <c r="K496" s="18"/>
      <c r="L496" s="17"/>
    </row>
    <row r="497" spans="1:12" x14ac:dyDescent="0.2">
      <c r="A497" s="19">
        <v>481</v>
      </c>
      <c r="B497" s="20"/>
      <c r="C497" s="24"/>
      <c r="D497" s="30"/>
      <c r="E497" s="30"/>
      <c r="F497" s="30"/>
      <c r="G497" s="24"/>
      <c r="H497" s="48"/>
      <c r="I497" s="48"/>
      <c r="J497" s="24"/>
      <c r="K497" s="18"/>
      <c r="L497" s="17"/>
    </row>
    <row r="498" spans="1:12" x14ac:dyDescent="0.2">
      <c r="A498" s="19">
        <v>482</v>
      </c>
      <c r="B498" s="20"/>
      <c r="C498" s="24"/>
      <c r="D498" s="30"/>
      <c r="E498" s="30"/>
      <c r="F498" s="30"/>
      <c r="G498" s="24"/>
      <c r="H498" s="48"/>
      <c r="I498" s="48"/>
      <c r="J498" s="24"/>
      <c r="K498" s="18"/>
      <c r="L498" s="17"/>
    </row>
    <row r="499" spans="1:12" x14ac:dyDescent="0.2">
      <c r="A499" s="19">
        <v>483</v>
      </c>
      <c r="B499" s="20"/>
      <c r="C499" s="24"/>
      <c r="D499" s="30"/>
      <c r="E499" s="30"/>
      <c r="F499" s="30"/>
      <c r="G499" s="24"/>
      <c r="H499" s="48"/>
      <c r="I499" s="48"/>
      <c r="J499" s="24"/>
      <c r="K499" s="18"/>
      <c r="L499" s="17"/>
    </row>
    <row r="500" spans="1:12" x14ac:dyDescent="0.2">
      <c r="A500" s="19">
        <v>484</v>
      </c>
      <c r="B500" s="20"/>
      <c r="C500" s="24"/>
      <c r="D500" s="30"/>
      <c r="E500" s="30"/>
      <c r="F500" s="30"/>
      <c r="G500" s="24"/>
      <c r="H500" s="48"/>
      <c r="I500" s="48"/>
      <c r="J500" s="24"/>
      <c r="K500" s="18"/>
      <c r="L500" s="17"/>
    </row>
    <row r="501" spans="1:12" x14ac:dyDescent="0.2">
      <c r="A501" s="19">
        <v>485</v>
      </c>
      <c r="B501" s="20"/>
      <c r="C501" s="24"/>
      <c r="D501" s="30"/>
      <c r="E501" s="30"/>
      <c r="F501" s="30"/>
      <c r="G501" s="24"/>
      <c r="H501" s="48"/>
      <c r="I501" s="48"/>
      <c r="J501" s="24"/>
      <c r="K501" s="18"/>
      <c r="L501" s="17"/>
    </row>
    <row r="502" spans="1:12" x14ac:dyDescent="0.2">
      <c r="A502" s="19">
        <v>486</v>
      </c>
      <c r="B502" s="20"/>
      <c r="C502" s="24"/>
      <c r="D502" s="30"/>
      <c r="E502" s="30"/>
      <c r="F502" s="30"/>
      <c r="G502" s="24"/>
      <c r="H502" s="48"/>
      <c r="I502" s="48"/>
      <c r="J502" s="24"/>
      <c r="K502" s="18"/>
      <c r="L502" s="17"/>
    </row>
    <row r="503" spans="1:12" x14ac:dyDescent="0.2">
      <c r="A503" s="19">
        <v>487</v>
      </c>
      <c r="B503" s="20"/>
      <c r="C503" s="24"/>
      <c r="D503" s="30"/>
      <c r="E503" s="30"/>
      <c r="F503" s="30"/>
      <c r="G503" s="24"/>
      <c r="H503" s="48"/>
      <c r="I503" s="48"/>
      <c r="J503" s="24"/>
      <c r="K503" s="18"/>
      <c r="L503" s="17"/>
    </row>
    <row r="504" spans="1:12" x14ac:dyDescent="0.2">
      <c r="A504" s="19">
        <v>488</v>
      </c>
      <c r="B504" s="20"/>
      <c r="C504" s="24"/>
      <c r="D504" s="30"/>
      <c r="E504" s="30"/>
      <c r="F504" s="30"/>
      <c r="G504" s="24"/>
      <c r="H504" s="48"/>
      <c r="I504" s="48"/>
      <c r="J504" s="24"/>
      <c r="K504" s="18"/>
      <c r="L504" s="17"/>
    </row>
    <row r="505" spans="1:12" x14ac:dyDescent="0.2">
      <c r="A505" s="19">
        <v>489</v>
      </c>
      <c r="B505" s="20"/>
      <c r="C505" s="24"/>
      <c r="D505" s="30"/>
      <c r="E505" s="30"/>
      <c r="F505" s="30"/>
      <c r="G505" s="24"/>
      <c r="H505" s="48"/>
      <c r="I505" s="48"/>
      <c r="J505" s="24"/>
      <c r="K505" s="18"/>
      <c r="L505" s="17"/>
    </row>
    <row r="506" spans="1:12" x14ac:dyDescent="0.2">
      <c r="A506" s="19">
        <v>490</v>
      </c>
      <c r="B506" s="20"/>
      <c r="C506" s="24"/>
      <c r="D506" s="30"/>
      <c r="E506" s="30"/>
      <c r="F506" s="30"/>
      <c r="G506" s="24"/>
      <c r="H506" s="48"/>
      <c r="I506" s="48"/>
      <c r="J506" s="24"/>
      <c r="K506" s="18"/>
      <c r="L506" s="17"/>
    </row>
    <row r="507" spans="1:12" x14ac:dyDescent="0.2">
      <c r="A507" s="19">
        <v>491</v>
      </c>
      <c r="B507" s="20"/>
      <c r="C507" s="24"/>
      <c r="D507" s="30"/>
      <c r="E507" s="30"/>
      <c r="F507" s="30"/>
      <c r="G507" s="24"/>
      <c r="H507" s="48"/>
      <c r="I507" s="48"/>
      <c r="J507" s="24"/>
      <c r="K507" s="18"/>
      <c r="L507" s="17"/>
    </row>
    <row r="508" spans="1:12" x14ac:dyDescent="0.2">
      <c r="A508" s="19">
        <v>492</v>
      </c>
      <c r="B508" s="20"/>
      <c r="C508" s="24"/>
      <c r="D508" s="30"/>
      <c r="E508" s="30"/>
      <c r="F508" s="30"/>
      <c r="G508" s="24"/>
      <c r="H508" s="48"/>
      <c r="I508" s="48"/>
      <c r="J508" s="24"/>
      <c r="K508" s="18"/>
      <c r="L508" s="17"/>
    </row>
    <row r="509" spans="1:12" x14ac:dyDescent="0.2">
      <c r="A509" s="19">
        <v>493</v>
      </c>
      <c r="B509" s="20"/>
      <c r="C509" s="24"/>
      <c r="D509" s="30"/>
      <c r="E509" s="30"/>
      <c r="F509" s="30"/>
      <c r="G509" s="24"/>
      <c r="H509" s="48"/>
      <c r="I509" s="48"/>
      <c r="J509" s="24"/>
      <c r="K509" s="18"/>
      <c r="L509" s="17"/>
    </row>
    <row r="510" spans="1:12" x14ac:dyDescent="0.2">
      <c r="A510" s="19">
        <v>494</v>
      </c>
      <c r="B510" s="20"/>
      <c r="C510" s="24"/>
      <c r="D510" s="30"/>
      <c r="E510" s="30"/>
      <c r="F510" s="30"/>
      <c r="G510" s="24"/>
      <c r="H510" s="48"/>
      <c r="I510" s="48"/>
      <c r="J510" s="24"/>
      <c r="K510" s="18"/>
      <c r="L510" s="17"/>
    </row>
    <row r="511" spans="1:12" x14ac:dyDescent="0.2">
      <c r="A511" s="19">
        <v>495</v>
      </c>
      <c r="B511" s="20"/>
      <c r="C511" s="24"/>
      <c r="D511" s="30"/>
      <c r="E511" s="30"/>
      <c r="F511" s="30"/>
      <c r="G511" s="24"/>
      <c r="H511" s="48"/>
      <c r="I511" s="48"/>
      <c r="J511" s="24"/>
      <c r="K511" s="18"/>
      <c r="L511" s="17"/>
    </row>
    <row r="512" spans="1:12" x14ac:dyDescent="0.2">
      <c r="A512" s="19">
        <v>496</v>
      </c>
      <c r="B512" s="20"/>
      <c r="C512" s="24"/>
      <c r="D512" s="30"/>
      <c r="E512" s="30"/>
      <c r="F512" s="30"/>
      <c r="G512" s="24"/>
      <c r="H512" s="48"/>
      <c r="I512" s="48"/>
      <c r="J512" s="24"/>
      <c r="K512" s="18"/>
      <c r="L512" s="17"/>
    </row>
    <row r="513" spans="1:12" x14ac:dyDescent="0.2">
      <c r="A513" s="19">
        <v>497</v>
      </c>
      <c r="B513" s="20"/>
      <c r="C513" s="24"/>
      <c r="D513" s="30"/>
      <c r="E513" s="30"/>
      <c r="F513" s="30"/>
      <c r="G513" s="24"/>
      <c r="H513" s="48"/>
      <c r="I513" s="48"/>
      <c r="J513" s="24"/>
      <c r="K513" s="18"/>
      <c r="L513" s="17"/>
    </row>
    <row r="514" spans="1:12" x14ac:dyDescent="0.2">
      <c r="A514" s="19">
        <v>498</v>
      </c>
      <c r="B514" s="20"/>
      <c r="C514" s="24"/>
      <c r="D514" s="30"/>
      <c r="E514" s="30"/>
      <c r="F514" s="30"/>
      <c r="G514" s="24"/>
      <c r="H514" s="48"/>
      <c r="I514" s="48"/>
      <c r="J514" s="24"/>
      <c r="K514" s="18"/>
      <c r="L514" s="17"/>
    </row>
    <row r="515" spans="1:12" x14ac:dyDescent="0.2">
      <c r="A515" s="19">
        <v>499</v>
      </c>
      <c r="B515" s="20"/>
      <c r="C515" s="24"/>
      <c r="D515" s="30"/>
      <c r="E515" s="30"/>
      <c r="F515" s="30"/>
      <c r="G515" s="24"/>
      <c r="H515" s="48"/>
      <c r="I515" s="48"/>
      <c r="J515" s="24"/>
      <c r="K515" s="18"/>
      <c r="L515" s="17"/>
    </row>
    <row r="516" spans="1:12" x14ac:dyDescent="0.2">
      <c r="A516" s="19">
        <v>500</v>
      </c>
      <c r="B516" s="20"/>
      <c r="C516" s="24"/>
      <c r="D516" s="30"/>
      <c r="E516" s="30"/>
      <c r="F516" s="30"/>
      <c r="G516" s="24"/>
      <c r="H516" s="48"/>
      <c r="I516" s="48"/>
      <c r="J516" s="24"/>
      <c r="K516" s="18"/>
      <c r="L516" s="17"/>
    </row>
    <row r="517" spans="1:12" x14ac:dyDescent="0.2">
      <c r="A517" s="19">
        <v>501</v>
      </c>
      <c r="B517" s="20"/>
      <c r="C517" s="24"/>
      <c r="D517" s="30"/>
      <c r="E517" s="30"/>
      <c r="F517" s="30"/>
      <c r="G517" s="24"/>
      <c r="H517" s="48"/>
      <c r="I517" s="48"/>
      <c r="J517" s="24"/>
      <c r="K517" s="18"/>
      <c r="L517" s="17"/>
    </row>
    <row r="518" spans="1:12" x14ac:dyDescent="0.2">
      <c r="A518" s="19">
        <v>502</v>
      </c>
      <c r="B518" s="20"/>
      <c r="C518" s="24"/>
      <c r="D518" s="30"/>
      <c r="E518" s="30"/>
      <c r="F518" s="30"/>
      <c r="G518" s="24"/>
      <c r="H518" s="48"/>
      <c r="I518" s="48"/>
      <c r="J518" s="24"/>
      <c r="K518" s="18"/>
      <c r="L518" s="17"/>
    </row>
    <row r="519" spans="1:12" x14ac:dyDescent="0.2">
      <c r="A519" s="19">
        <v>503</v>
      </c>
      <c r="B519" s="20"/>
      <c r="C519" s="24"/>
      <c r="D519" s="30"/>
      <c r="E519" s="30"/>
      <c r="F519" s="30"/>
      <c r="G519" s="24"/>
      <c r="H519" s="48"/>
      <c r="I519" s="48"/>
      <c r="J519" s="24"/>
      <c r="K519" s="18"/>
      <c r="L519" s="17"/>
    </row>
    <row r="520" spans="1:12" x14ac:dyDescent="0.2">
      <c r="A520" s="19">
        <v>504</v>
      </c>
      <c r="B520" s="20"/>
      <c r="C520" s="24"/>
      <c r="D520" s="30"/>
      <c r="E520" s="30"/>
      <c r="F520" s="30"/>
      <c r="G520" s="24"/>
      <c r="H520" s="48"/>
      <c r="I520" s="48"/>
      <c r="J520" s="24"/>
      <c r="K520" s="18"/>
      <c r="L520" s="17"/>
    </row>
    <row r="521" spans="1:12" x14ac:dyDescent="0.2">
      <c r="A521" s="19">
        <v>505</v>
      </c>
      <c r="B521" s="20"/>
      <c r="C521" s="24"/>
      <c r="D521" s="30"/>
      <c r="E521" s="30"/>
      <c r="F521" s="30"/>
      <c r="G521" s="24"/>
      <c r="H521" s="48"/>
      <c r="I521" s="48"/>
      <c r="J521" s="24"/>
      <c r="K521" s="18"/>
      <c r="L521" s="17"/>
    </row>
    <row r="522" spans="1:12" x14ac:dyDescent="0.2">
      <c r="A522" s="19">
        <v>506</v>
      </c>
      <c r="B522" s="20"/>
      <c r="C522" s="24"/>
      <c r="D522" s="30"/>
      <c r="E522" s="30"/>
      <c r="F522" s="30"/>
      <c r="G522" s="24"/>
      <c r="H522" s="48"/>
      <c r="I522" s="48"/>
      <c r="J522" s="24"/>
      <c r="K522" s="18"/>
      <c r="L522" s="17"/>
    </row>
    <row r="523" spans="1:12" x14ac:dyDescent="0.2">
      <c r="A523" s="19">
        <v>507</v>
      </c>
      <c r="B523" s="20"/>
      <c r="C523" s="24"/>
      <c r="D523" s="30"/>
      <c r="E523" s="30"/>
      <c r="F523" s="30"/>
      <c r="G523" s="24"/>
      <c r="H523" s="48"/>
      <c r="I523" s="48"/>
      <c r="J523" s="24"/>
      <c r="K523" s="18"/>
      <c r="L523" s="17"/>
    </row>
    <row r="524" spans="1:12" x14ac:dyDescent="0.2">
      <c r="A524" s="19">
        <v>508</v>
      </c>
      <c r="B524" s="20"/>
      <c r="C524" s="24"/>
      <c r="D524" s="30"/>
      <c r="E524" s="30"/>
      <c r="F524" s="30"/>
      <c r="G524" s="24"/>
      <c r="H524" s="48"/>
      <c r="I524" s="48"/>
      <c r="J524" s="24"/>
      <c r="K524" s="18"/>
      <c r="L524" s="17"/>
    </row>
    <row r="525" spans="1:12" x14ac:dyDescent="0.2">
      <c r="A525" s="19">
        <v>509</v>
      </c>
      <c r="B525" s="20"/>
      <c r="C525" s="24"/>
      <c r="D525" s="30"/>
      <c r="E525" s="30"/>
      <c r="F525" s="30"/>
      <c r="G525" s="24"/>
      <c r="H525" s="48"/>
      <c r="I525" s="48"/>
      <c r="J525" s="24"/>
      <c r="K525" s="18"/>
      <c r="L525" s="17"/>
    </row>
    <row r="526" spans="1:12" x14ac:dyDescent="0.2">
      <c r="A526" s="19">
        <v>510</v>
      </c>
      <c r="B526" s="20"/>
      <c r="C526" s="24"/>
      <c r="D526" s="30"/>
      <c r="E526" s="30"/>
      <c r="F526" s="30"/>
      <c r="G526" s="24"/>
      <c r="H526" s="48"/>
      <c r="I526" s="48"/>
      <c r="J526" s="24"/>
      <c r="K526" s="18"/>
      <c r="L526" s="17"/>
    </row>
    <row r="527" spans="1:12" x14ac:dyDescent="0.2">
      <c r="A527" s="19">
        <v>511</v>
      </c>
      <c r="B527" s="20"/>
      <c r="C527" s="24"/>
      <c r="D527" s="30"/>
      <c r="E527" s="30"/>
      <c r="F527" s="30"/>
      <c r="G527" s="24"/>
      <c r="H527" s="48"/>
      <c r="I527" s="48"/>
      <c r="J527" s="24"/>
      <c r="K527" s="18"/>
      <c r="L527" s="17"/>
    </row>
    <row r="528" spans="1:12" x14ac:dyDescent="0.2">
      <c r="A528" s="19">
        <v>512</v>
      </c>
      <c r="B528" s="20"/>
      <c r="C528" s="24"/>
      <c r="D528" s="30"/>
      <c r="E528" s="30"/>
      <c r="F528" s="30"/>
      <c r="G528" s="24"/>
      <c r="H528" s="48"/>
      <c r="I528" s="48"/>
      <c r="J528" s="24"/>
      <c r="K528" s="18"/>
      <c r="L528" s="17"/>
    </row>
    <row r="529" spans="1:12" x14ac:dyDescent="0.2">
      <c r="A529" s="19">
        <v>513</v>
      </c>
      <c r="B529" s="20"/>
      <c r="C529" s="24"/>
      <c r="D529" s="30"/>
      <c r="E529" s="30"/>
      <c r="F529" s="30"/>
      <c r="G529" s="24"/>
      <c r="H529" s="48"/>
      <c r="I529" s="48"/>
      <c r="J529" s="24"/>
      <c r="K529" s="18"/>
      <c r="L529" s="17"/>
    </row>
    <row r="530" spans="1:12" x14ac:dyDescent="0.2">
      <c r="A530" s="19">
        <v>514</v>
      </c>
      <c r="B530" s="20"/>
      <c r="C530" s="24"/>
      <c r="D530" s="30"/>
      <c r="E530" s="30"/>
      <c r="F530" s="30"/>
      <c r="G530" s="24"/>
      <c r="H530" s="48"/>
      <c r="I530" s="48"/>
      <c r="J530" s="24"/>
      <c r="K530" s="18"/>
      <c r="L530" s="17"/>
    </row>
    <row r="531" spans="1:12" x14ac:dyDescent="0.2">
      <c r="A531" s="19">
        <v>515</v>
      </c>
      <c r="B531" s="20"/>
      <c r="C531" s="24"/>
      <c r="D531" s="30"/>
      <c r="E531" s="30"/>
      <c r="F531" s="30"/>
      <c r="G531" s="24"/>
      <c r="H531" s="48"/>
      <c r="I531" s="48"/>
      <c r="J531" s="24"/>
      <c r="K531" s="18"/>
      <c r="L531" s="17"/>
    </row>
    <row r="532" spans="1:12" x14ac:dyDescent="0.2">
      <c r="A532" s="19">
        <v>516</v>
      </c>
      <c r="B532" s="20"/>
      <c r="C532" s="24"/>
      <c r="D532" s="30"/>
      <c r="E532" s="30"/>
      <c r="F532" s="30"/>
      <c r="G532" s="24"/>
      <c r="H532" s="48"/>
      <c r="I532" s="48"/>
      <c r="J532" s="24"/>
      <c r="K532" s="18"/>
      <c r="L532" s="17"/>
    </row>
    <row r="533" spans="1:12" x14ac:dyDescent="0.2">
      <c r="A533" s="19">
        <v>517</v>
      </c>
      <c r="B533" s="20"/>
      <c r="C533" s="24"/>
      <c r="D533" s="30"/>
      <c r="E533" s="30"/>
      <c r="F533" s="30"/>
      <c r="G533" s="24"/>
      <c r="H533" s="48"/>
      <c r="I533" s="48"/>
      <c r="J533" s="24"/>
      <c r="K533" s="18"/>
      <c r="L533" s="17"/>
    </row>
    <row r="534" spans="1:12" x14ac:dyDescent="0.2">
      <c r="A534" s="19">
        <v>518</v>
      </c>
      <c r="B534" s="20"/>
      <c r="C534" s="24"/>
      <c r="D534" s="30"/>
      <c r="E534" s="30"/>
      <c r="F534" s="30"/>
      <c r="G534" s="24"/>
      <c r="H534" s="48"/>
      <c r="I534" s="48"/>
      <c r="J534" s="24"/>
      <c r="K534" s="18"/>
      <c r="L534" s="17"/>
    </row>
    <row r="535" spans="1:12" x14ac:dyDescent="0.2">
      <c r="A535" s="19">
        <v>519</v>
      </c>
      <c r="B535" s="20"/>
      <c r="C535" s="24"/>
      <c r="D535" s="30"/>
      <c r="E535" s="30"/>
      <c r="F535" s="30"/>
      <c r="G535" s="24"/>
      <c r="H535" s="48"/>
      <c r="I535" s="48"/>
      <c r="J535" s="24"/>
      <c r="K535" s="18"/>
      <c r="L535" s="17"/>
    </row>
    <row r="536" spans="1:12" x14ac:dyDescent="0.2">
      <c r="A536" s="19">
        <v>520</v>
      </c>
      <c r="B536" s="20"/>
      <c r="C536" s="24"/>
      <c r="D536" s="30"/>
      <c r="E536" s="30"/>
      <c r="F536" s="30"/>
      <c r="G536" s="24"/>
      <c r="H536" s="48"/>
      <c r="I536" s="48"/>
      <c r="J536" s="24"/>
      <c r="K536" s="18"/>
      <c r="L536" s="17"/>
    </row>
    <row r="537" spans="1:12" x14ac:dyDescent="0.2">
      <c r="A537" s="19">
        <v>521</v>
      </c>
      <c r="B537" s="20"/>
      <c r="C537" s="24"/>
      <c r="D537" s="30"/>
      <c r="E537" s="30"/>
      <c r="F537" s="30"/>
      <c r="G537" s="24"/>
      <c r="H537" s="48"/>
      <c r="I537" s="48"/>
      <c r="J537" s="24"/>
      <c r="K537" s="18"/>
      <c r="L537" s="17"/>
    </row>
    <row r="538" spans="1:12" x14ac:dyDescent="0.2">
      <c r="A538" s="19">
        <v>522</v>
      </c>
      <c r="B538" s="20"/>
      <c r="C538" s="24"/>
      <c r="D538" s="30"/>
      <c r="E538" s="30"/>
      <c r="F538" s="30"/>
      <c r="G538" s="24"/>
      <c r="H538" s="48"/>
      <c r="I538" s="48"/>
      <c r="J538" s="24"/>
      <c r="K538" s="18"/>
      <c r="L538" s="17"/>
    </row>
    <row r="539" spans="1:12" x14ac:dyDescent="0.2">
      <c r="A539" s="19">
        <v>523</v>
      </c>
      <c r="B539" s="20"/>
      <c r="C539" s="24"/>
      <c r="D539" s="30"/>
      <c r="E539" s="30"/>
      <c r="F539" s="30"/>
      <c r="G539" s="24"/>
      <c r="H539" s="48"/>
      <c r="I539" s="48"/>
      <c r="J539" s="24"/>
      <c r="K539" s="18"/>
      <c r="L539" s="17"/>
    </row>
    <row r="540" spans="1:12" x14ac:dyDescent="0.2">
      <c r="A540" s="19">
        <v>524</v>
      </c>
      <c r="B540" s="20"/>
      <c r="C540" s="24"/>
      <c r="D540" s="30"/>
      <c r="E540" s="30"/>
      <c r="F540" s="30"/>
      <c r="G540" s="24"/>
      <c r="H540" s="48"/>
      <c r="I540" s="48"/>
      <c r="J540" s="24"/>
      <c r="K540" s="18"/>
      <c r="L540" s="17"/>
    </row>
    <row r="541" spans="1:12" x14ac:dyDescent="0.2">
      <c r="A541" s="19">
        <v>525</v>
      </c>
      <c r="B541" s="20"/>
      <c r="C541" s="24"/>
      <c r="D541" s="30"/>
      <c r="E541" s="30"/>
      <c r="F541" s="30"/>
      <c r="G541" s="24"/>
      <c r="H541" s="48"/>
      <c r="I541" s="48"/>
      <c r="J541" s="24"/>
      <c r="K541" s="18"/>
      <c r="L541" s="17"/>
    </row>
    <row r="542" spans="1:12" x14ac:dyDescent="0.2">
      <c r="A542" s="19">
        <v>526</v>
      </c>
      <c r="B542" s="20"/>
      <c r="C542" s="24"/>
      <c r="D542" s="30"/>
      <c r="E542" s="30"/>
      <c r="F542" s="30"/>
      <c r="G542" s="24"/>
      <c r="H542" s="48"/>
      <c r="I542" s="48"/>
      <c r="J542" s="24"/>
      <c r="K542" s="18"/>
      <c r="L542" s="17"/>
    </row>
    <row r="543" spans="1:12" x14ac:dyDescent="0.2">
      <c r="A543" s="19">
        <v>527</v>
      </c>
      <c r="B543" s="20"/>
      <c r="C543" s="24"/>
      <c r="D543" s="30"/>
      <c r="E543" s="30"/>
      <c r="F543" s="30"/>
      <c r="G543" s="24"/>
      <c r="H543" s="48"/>
      <c r="I543" s="48"/>
      <c r="J543" s="24"/>
      <c r="K543" s="18"/>
      <c r="L543" s="17"/>
    </row>
    <row r="544" spans="1:12" x14ac:dyDescent="0.2">
      <c r="A544" s="19">
        <v>528</v>
      </c>
      <c r="B544" s="20"/>
      <c r="C544" s="24"/>
      <c r="D544" s="30"/>
      <c r="E544" s="30"/>
      <c r="F544" s="30"/>
      <c r="G544" s="24"/>
      <c r="H544" s="48"/>
      <c r="I544" s="48"/>
      <c r="J544" s="24"/>
      <c r="K544" s="18"/>
      <c r="L544" s="17"/>
    </row>
    <row r="545" spans="1:12" x14ac:dyDescent="0.2">
      <c r="A545" s="19">
        <v>529</v>
      </c>
      <c r="B545" s="20"/>
      <c r="C545" s="24"/>
      <c r="D545" s="30"/>
      <c r="E545" s="30"/>
      <c r="F545" s="30"/>
      <c r="G545" s="24"/>
      <c r="H545" s="48"/>
      <c r="I545" s="48"/>
      <c r="J545" s="24"/>
      <c r="K545" s="18"/>
      <c r="L545" s="17"/>
    </row>
    <row r="546" spans="1:12" x14ac:dyDescent="0.2">
      <c r="A546" s="19">
        <v>530</v>
      </c>
      <c r="B546" s="20"/>
      <c r="C546" s="24"/>
      <c r="D546" s="30"/>
      <c r="E546" s="30"/>
      <c r="F546" s="30"/>
      <c r="G546" s="24"/>
      <c r="H546" s="48"/>
      <c r="I546" s="48"/>
      <c r="J546" s="24"/>
      <c r="K546" s="18"/>
      <c r="L546" s="17"/>
    </row>
    <row r="547" spans="1:12" x14ac:dyDescent="0.2">
      <c r="A547" s="19">
        <v>531</v>
      </c>
      <c r="B547" s="20"/>
      <c r="C547" s="24"/>
      <c r="D547" s="30"/>
      <c r="E547" s="30"/>
      <c r="F547" s="30"/>
      <c r="G547" s="24"/>
      <c r="H547" s="48"/>
      <c r="I547" s="48"/>
      <c r="J547" s="24"/>
      <c r="K547" s="18"/>
      <c r="L547" s="17"/>
    </row>
    <row r="548" spans="1:12" x14ac:dyDescent="0.2">
      <c r="A548" s="19">
        <v>532</v>
      </c>
      <c r="B548" s="20"/>
      <c r="C548" s="24"/>
      <c r="D548" s="30"/>
      <c r="E548" s="30"/>
      <c r="F548" s="30"/>
      <c r="G548" s="24"/>
      <c r="H548" s="48"/>
      <c r="I548" s="48"/>
      <c r="J548" s="24"/>
      <c r="K548" s="18"/>
      <c r="L548" s="17"/>
    </row>
    <row r="549" spans="1:12" x14ac:dyDescent="0.2">
      <c r="A549" s="19">
        <v>533</v>
      </c>
      <c r="B549" s="20"/>
      <c r="C549" s="24"/>
      <c r="D549" s="30"/>
      <c r="E549" s="30"/>
      <c r="F549" s="30"/>
      <c r="G549" s="24"/>
      <c r="H549" s="48"/>
      <c r="I549" s="48"/>
      <c r="J549" s="24"/>
      <c r="K549" s="18"/>
      <c r="L549" s="17"/>
    </row>
    <row r="550" spans="1:12" x14ac:dyDescent="0.2">
      <c r="A550" s="19">
        <v>534</v>
      </c>
      <c r="B550" s="20"/>
      <c r="C550" s="24"/>
      <c r="D550" s="30"/>
      <c r="E550" s="30"/>
      <c r="F550" s="30"/>
      <c r="G550" s="24"/>
      <c r="H550" s="48"/>
      <c r="I550" s="48"/>
      <c r="J550" s="24"/>
      <c r="K550" s="18"/>
      <c r="L550" s="17"/>
    </row>
    <row r="551" spans="1:12" x14ac:dyDescent="0.2">
      <c r="A551" s="19">
        <v>535</v>
      </c>
      <c r="B551" s="20"/>
      <c r="C551" s="24"/>
      <c r="D551" s="30"/>
      <c r="E551" s="30"/>
      <c r="F551" s="30"/>
      <c r="G551" s="24"/>
      <c r="H551" s="48"/>
      <c r="I551" s="48"/>
      <c r="J551" s="24"/>
      <c r="K551" s="18"/>
      <c r="L551" s="17"/>
    </row>
    <row r="552" spans="1:12" x14ac:dyDescent="0.2">
      <c r="A552" s="19">
        <v>536</v>
      </c>
      <c r="B552" s="20"/>
      <c r="C552" s="24"/>
      <c r="D552" s="30"/>
      <c r="E552" s="30"/>
      <c r="F552" s="30"/>
      <c r="G552" s="24"/>
      <c r="H552" s="48"/>
      <c r="I552" s="48"/>
      <c r="J552" s="24"/>
      <c r="K552" s="18"/>
      <c r="L552" s="17"/>
    </row>
    <row r="553" spans="1:12" x14ac:dyDescent="0.2">
      <c r="A553" s="19">
        <v>537</v>
      </c>
      <c r="B553" s="20"/>
      <c r="C553" s="24"/>
      <c r="D553" s="30"/>
      <c r="E553" s="30"/>
      <c r="F553" s="30"/>
      <c r="G553" s="24"/>
      <c r="H553" s="48"/>
      <c r="I553" s="48"/>
      <c r="J553" s="24"/>
      <c r="K553" s="18"/>
      <c r="L553" s="17"/>
    </row>
    <row r="554" spans="1:12" x14ac:dyDescent="0.2">
      <c r="A554" s="19">
        <v>538</v>
      </c>
      <c r="B554" s="20"/>
      <c r="C554" s="24"/>
      <c r="D554" s="30"/>
      <c r="E554" s="30"/>
      <c r="F554" s="30"/>
      <c r="G554" s="24"/>
      <c r="H554" s="48"/>
      <c r="I554" s="48"/>
      <c r="J554" s="24"/>
      <c r="K554" s="18"/>
      <c r="L554" s="17"/>
    </row>
    <row r="555" spans="1:12" x14ac:dyDescent="0.2">
      <c r="A555" s="19">
        <v>539</v>
      </c>
      <c r="B555" s="20"/>
      <c r="C555" s="24"/>
      <c r="D555" s="30"/>
      <c r="E555" s="30"/>
      <c r="F555" s="30"/>
      <c r="G555" s="24"/>
      <c r="H555" s="48"/>
      <c r="I555" s="48"/>
      <c r="J555" s="24"/>
      <c r="K555" s="18"/>
      <c r="L555" s="17"/>
    </row>
    <row r="556" spans="1:12" x14ac:dyDescent="0.2">
      <c r="A556" s="19">
        <v>540</v>
      </c>
      <c r="B556" s="20"/>
      <c r="C556" s="24"/>
      <c r="D556" s="30"/>
      <c r="E556" s="30"/>
      <c r="F556" s="30"/>
      <c r="G556" s="24"/>
      <c r="H556" s="48"/>
      <c r="I556" s="48"/>
      <c r="J556" s="24"/>
      <c r="K556" s="18"/>
      <c r="L556" s="17"/>
    </row>
    <row r="557" spans="1:12" x14ac:dyDescent="0.2">
      <c r="A557" s="19">
        <v>541</v>
      </c>
      <c r="B557" s="20"/>
      <c r="C557" s="24"/>
      <c r="D557" s="30"/>
      <c r="E557" s="30"/>
      <c r="F557" s="30"/>
      <c r="G557" s="24"/>
      <c r="H557" s="48"/>
      <c r="I557" s="48"/>
      <c r="J557" s="24"/>
      <c r="K557" s="18"/>
      <c r="L557" s="17"/>
    </row>
    <row r="558" spans="1:12" x14ac:dyDescent="0.2">
      <c r="A558" s="19">
        <v>542</v>
      </c>
      <c r="B558" s="20"/>
      <c r="C558" s="24"/>
      <c r="D558" s="30"/>
      <c r="E558" s="30"/>
      <c r="F558" s="30"/>
      <c r="G558" s="24"/>
      <c r="H558" s="48"/>
      <c r="I558" s="48"/>
      <c r="J558" s="24"/>
      <c r="K558" s="18"/>
      <c r="L558" s="17"/>
    </row>
    <row r="559" spans="1:12" x14ac:dyDescent="0.2">
      <c r="A559" s="19">
        <v>543</v>
      </c>
      <c r="B559" s="20"/>
      <c r="C559" s="24"/>
      <c r="D559" s="30"/>
      <c r="E559" s="30"/>
      <c r="F559" s="30"/>
      <c r="G559" s="24"/>
      <c r="H559" s="48"/>
      <c r="I559" s="48"/>
      <c r="J559" s="24"/>
      <c r="K559" s="18"/>
      <c r="L559" s="17"/>
    </row>
    <row r="560" spans="1:12" x14ac:dyDescent="0.2">
      <c r="A560" s="19">
        <v>544</v>
      </c>
      <c r="B560" s="20"/>
      <c r="C560" s="24"/>
      <c r="D560" s="30"/>
      <c r="E560" s="30"/>
      <c r="F560" s="30"/>
      <c r="G560" s="24"/>
      <c r="H560" s="48"/>
      <c r="I560" s="48"/>
      <c r="J560" s="24"/>
      <c r="K560" s="18"/>
      <c r="L560" s="17"/>
    </row>
    <row r="561" spans="1:12" x14ac:dyDescent="0.2">
      <c r="A561" s="19">
        <v>545</v>
      </c>
      <c r="B561" s="20"/>
      <c r="C561" s="24"/>
      <c r="D561" s="30"/>
      <c r="E561" s="30"/>
      <c r="F561" s="30"/>
      <c r="G561" s="24"/>
      <c r="H561" s="48"/>
      <c r="I561" s="48"/>
      <c r="J561" s="24"/>
      <c r="K561" s="18"/>
      <c r="L561" s="17"/>
    </row>
    <row r="562" spans="1:12" x14ac:dyDescent="0.2">
      <c r="A562" s="19">
        <v>546</v>
      </c>
      <c r="B562" s="20"/>
      <c r="C562" s="24"/>
      <c r="D562" s="30"/>
      <c r="E562" s="30"/>
      <c r="F562" s="30"/>
      <c r="G562" s="24"/>
      <c r="H562" s="48"/>
      <c r="I562" s="48"/>
      <c r="J562" s="24"/>
      <c r="K562" s="18"/>
      <c r="L562" s="17"/>
    </row>
    <row r="563" spans="1:12" x14ac:dyDescent="0.2">
      <c r="A563" s="19">
        <v>547</v>
      </c>
      <c r="B563" s="20"/>
      <c r="C563" s="24"/>
      <c r="D563" s="30"/>
      <c r="E563" s="30"/>
      <c r="F563" s="30"/>
      <c r="G563" s="24"/>
      <c r="H563" s="48"/>
      <c r="I563" s="48"/>
      <c r="J563" s="24"/>
      <c r="K563" s="18"/>
      <c r="L563" s="17"/>
    </row>
    <row r="564" spans="1:12" x14ac:dyDescent="0.2">
      <c r="A564" s="19">
        <v>548</v>
      </c>
      <c r="B564" s="20"/>
      <c r="C564" s="24"/>
      <c r="D564" s="30"/>
      <c r="E564" s="30"/>
      <c r="F564" s="30"/>
      <c r="G564" s="24"/>
      <c r="H564" s="48"/>
      <c r="I564" s="48"/>
      <c r="J564" s="24"/>
      <c r="K564" s="18"/>
      <c r="L564" s="17"/>
    </row>
    <row r="565" spans="1:12" x14ac:dyDescent="0.2">
      <c r="A565" s="19">
        <v>549</v>
      </c>
      <c r="B565" s="20"/>
      <c r="C565" s="24"/>
      <c r="D565" s="30"/>
      <c r="E565" s="30"/>
      <c r="F565" s="30"/>
      <c r="G565" s="24"/>
      <c r="H565" s="48"/>
      <c r="I565" s="48"/>
      <c r="J565" s="24"/>
      <c r="K565" s="18"/>
      <c r="L565" s="17"/>
    </row>
    <row r="566" spans="1:12" x14ac:dyDescent="0.2">
      <c r="A566" s="19">
        <v>550</v>
      </c>
      <c r="B566" s="20"/>
      <c r="C566" s="24"/>
      <c r="D566" s="30"/>
      <c r="E566" s="30"/>
      <c r="F566" s="30"/>
      <c r="G566" s="24"/>
      <c r="H566" s="48"/>
      <c r="I566" s="48"/>
      <c r="J566" s="24"/>
      <c r="K566" s="18"/>
      <c r="L566" s="17"/>
    </row>
    <row r="567" spans="1:12" x14ac:dyDescent="0.2">
      <c r="A567" s="19">
        <v>551</v>
      </c>
      <c r="B567" s="20"/>
      <c r="C567" s="24"/>
      <c r="D567" s="30"/>
      <c r="E567" s="30"/>
      <c r="F567" s="30"/>
      <c r="G567" s="24"/>
      <c r="H567" s="48"/>
      <c r="I567" s="48"/>
      <c r="J567" s="24"/>
      <c r="K567" s="18"/>
      <c r="L567" s="17"/>
    </row>
    <row r="568" spans="1:12" x14ac:dyDescent="0.2">
      <c r="A568" s="19">
        <v>552</v>
      </c>
      <c r="B568" s="20"/>
      <c r="C568" s="24"/>
      <c r="D568" s="30"/>
      <c r="E568" s="30"/>
      <c r="F568" s="30"/>
      <c r="G568" s="24"/>
      <c r="H568" s="48"/>
      <c r="I568" s="48"/>
      <c r="J568" s="24"/>
      <c r="K568" s="18"/>
      <c r="L568" s="17"/>
    </row>
    <row r="569" spans="1:12" x14ac:dyDescent="0.2">
      <c r="A569" s="19">
        <v>553</v>
      </c>
      <c r="B569" s="20"/>
      <c r="C569" s="24"/>
      <c r="D569" s="30"/>
      <c r="E569" s="30"/>
      <c r="F569" s="30"/>
      <c r="G569" s="24"/>
      <c r="H569" s="48"/>
      <c r="I569" s="48"/>
      <c r="J569" s="24"/>
      <c r="K569" s="18"/>
      <c r="L569" s="17"/>
    </row>
    <row r="570" spans="1:12" x14ac:dyDescent="0.2">
      <c r="A570" s="19">
        <v>554</v>
      </c>
      <c r="B570" s="20"/>
      <c r="C570" s="24"/>
      <c r="D570" s="30"/>
      <c r="E570" s="30"/>
      <c r="F570" s="30"/>
      <c r="G570" s="24"/>
      <c r="H570" s="48"/>
      <c r="I570" s="48"/>
      <c r="J570" s="24"/>
      <c r="K570" s="18"/>
      <c r="L570" s="17"/>
    </row>
    <row r="571" spans="1:12" x14ac:dyDescent="0.2">
      <c r="A571" s="19">
        <v>555</v>
      </c>
      <c r="B571" s="20"/>
      <c r="C571" s="24"/>
      <c r="D571" s="30"/>
      <c r="E571" s="30"/>
      <c r="F571" s="30"/>
      <c r="G571" s="24"/>
      <c r="H571" s="48"/>
      <c r="I571" s="48"/>
      <c r="J571" s="24"/>
      <c r="K571" s="18"/>
      <c r="L571" s="17"/>
    </row>
    <row r="572" spans="1:12" x14ac:dyDescent="0.2">
      <c r="A572" s="19">
        <v>556</v>
      </c>
      <c r="B572" s="20"/>
      <c r="C572" s="24"/>
      <c r="D572" s="30"/>
      <c r="E572" s="30"/>
      <c r="F572" s="30"/>
      <c r="G572" s="24"/>
      <c r="H572" s="48"/>
      <c r="I572" s="48"/>
      <c r="J572" s="24"/>
      <c r="K572" s="18"/>
      <c r="L572" s="17"/>
    </row>
    <row r="573" spans="1:12" x14ac:dyDescent="0.2">
      <c r="A573" s="19">
        <v>557</v>
      </c>
      <c r="B573" s="20"/>
      <c r="C573" s="24"/>
      <c r="D573" s="30"/>
      <c r="E573" s="30"/>
      <c r="F573" s="30"/>
      <c r="G573" s="24"/>
      <c r="H573" s="48"/>
      <c r="I573" s="48"/>
      <c r="J573" s="24"/>
      <c r="K573" s="18"/>
      <c r="L573" s="17"/>
    </row>
    <row r="574" spans="1:12" x14ac:dyDescent="0.2">
      <c r="A574" s="19">
        <v>558</v>
      </c>
      <c r="B574" s="20"/>
      <c r="C574" s="24"/>
      <c r="D574" s="30"/>
      <c r="E574" s="30"/>
      <c r="F574" s="30"/>
      <c r="G574" s="24"/>
      <c r="H574" s="48"/>
      <c r="I574" s="48"/>
      <c r="J574" s="24"/>
      <c r="K574" s="18"/>
      <c r="L574" s="17"/>
    </row>
    <row r="575" spans="1:12" x14ac:dyDescent="0.2">
      <c r="A575" s="19">
        <v>559</v>
      </c>
      <c r="B575" s="20"/>
      <c r="C575" s="24"/>
      <c r="D575" s="30"/>
      <c r="E575" s="30"/>
      <c r="F575" s="30"/>
      <c r="G575" s="24"/>
      <c r="H575" s="48"/>
      <c r="I575" s="48"/>
      <c r="J575" s="24"/>
      <c r="K575" s="18"/>
      <c r="L575" s="17"/>
    </row>
    <row r="576" spans="1:12" x14ac:dyDescent="0.2">
      <c r="A576" s="19">
        <v>560</v>
      </c>
      <c r="B576" s="20"/>
      <c r="C576" s="24"/>
      <c r="D576" s="30"/>
      <c r="E576" s="30"/>
      <c r="F576" s="30"/>
      <c r="G576" s="24"/>
      <c r="H576" s="48"/>
      <c r="I576" s="48"/>
      <c r="J576" s="24"/>
      <c r="K576" s="18"/>
      <c r="L576" s="17"/>
    </row>
    <row r="577" spans="1:12" x14ac:dyDescent="0.2">
      <c r="A577" s="19">
        <v>561</v>
      </c>
      <c r="B577" s="20"/>
      <c r="C577" s="24"/>
      <c r="D577" s="30"/>
      <c r="E577" s="30"/>
      <c r="F577" s="30"/>
      <c r="G577" s="24"/>
      <c r="H577" s="48"/>
      <c r="I577" s="48"/>
      <c r="J577" s="24"/>
      <c r="K577" s="18"/>
      <c r="L577" s="17"/>
    </row>
    <row r="578" spans="1:12" x14ac:dyDescent="0.2">
      <c r="A578" s="19">
        <v>562</v>
      </c>
      <c r="B578" s="20"/>
      <c r="C578" s="24"/>
      <c r="D578" s="30"/>
      <c r="E578" s="30"/>
      <c r="F578" s="30"/>
      <c r="G578" s="24"/>
      <c r="H578" s="48"/>
      <c r="I578" s="48"/>
      <c r="J578" s="24"/>
      <c r="K578" s="18"/>
      <c r="L578" s="17"/>
    </row>
    <row r="579" spans="1:12" x14ac:dyDescent="0.2">
      <c r="A579" s="19">
        <v>563</v>
      </c>
      <c r="B579" s="20"/>
      <c r="C579" s="24"/>
      <c r="D579" s="30"/>
      <c r="E579" s="30"/>
      <c r="F579" s="30"/>
      <c r="G579" s="24"/>
      <c r="H579" s="48"/>
      <c r="I579" s="48"/>
      <c r="J579" s="24"/>
      <c r="K579" s="18"/>
      <c r="L579" s="17"/>
    </row>
    <row r="580" spans="1:12" x14ac:dyDescent="0.2">
      <c r="A580" s="19">
        <v>564</v>
      </c>
      <c r="B580" s="20"/>
      <c r="C580" s="24"/>
      <c r="D580" s="30"/>
      <c r="E580" s="30"/>
      <c r="F580" s="30"/>
      <c r="G580" s="24"/>
      <c r="H580" s="48"/>
      <c r="I580" s="48"/>
      <c r="J580" s="24"/>
      <c r="K580" s="18"/>
      <c r="L580" s="17"/>
    </row>
    <row r="581" spans="1:12" x14ac:dyDescent="0.2">
      <c r="A581" s="19">
        <v>565</v>
      </c>
      <c r="B581" s="20"/>
      <c r="C581" s="24"/>
      <c r="D581" s="30"/>
      <c r="E581" s="30"/>
      <c r="F581" s="30"/>
      <c r="G581" s="24"/>
      <c r="H581" s="48"/>
      <c r="I581" s="48"/>
      <c r="J581" s="24"/>
      <c r="K581" s="18"/>
      <c r="L581" s="17"/>
    </row>
    <row r="582" spans="1:12" x14ac:dyDescent="0.2">
      <c r="A582" s="19">
        <v>566</v>
      </c>
      <c r="B582" s="20"/>
      <c r="C582" s="24"/>
      <c r="D582" s="30"/>
      <c r="E582" s="30"/>
      <c r="F582" s="30"/>
      <c r="G582" s="24"/>
      <c r="H582" s="48"/>
      <c r="I582" s="48"/>
      <c r="J582" s="24"/>
      <c r="K582" s="18"/>
      <c r="L582" s="17"/>
    </row>
    <row r="583" spans="1:12" x14ac:dyDescent="0.2">
      <c r="A583" s="19">
        <v>567</v>
      </c>
      <c r="B583" s="20"/>
      <c r="C583" s="24"/>
      <c r="D583" s="30"/>
      <c r="E583" s="30"/>
      <c r="F583" s="30"/>
      <c r="G583" s="24"/>
      <c r="H583" s="48"/>
      <c r="I583" s="48"/>
      <c r="J583" s="24"/>
      <c r="K583" s="18"/>
      <c r="L583" s="17"/>
    </row>
    <row r="584" spans="1:12" x14ac:dyDescent="0.2">
      <c r="A584" s="19">
        <v>568</v>
      </c>
      <c r="B584" s="20"/>
      <c r="C584" s="24"/>
      <c r="D584" s="30"/>
      <c r="E584" s="30"/>
      <c r="F584" s="30"/>
      <c r="G584" s="24"/>
      <c r="H584" s="48"/>
      <c r="I584" s="48"/>
      <c r="J584" s="24"/>
      <c r="K584" s="18"/>
      <c r="L584" s="17"/>
    </row>
    <row r="585" spans="1:12" x14ac:dyDescent="0.2">
      <c r="A585" s="19">
        <v>569</v>
      </c>
      <c r="B585" s="20"/>
      <c r="C585" s="24"/>
      <c r="D585" s="30"/>
      <c r="E585" s="30"/>
      <c r="F585" s="30"/>
      <c r="G585" s="24"/>
      <c r="H585" s="48"/>
      <c r="I585" s="48"/>
      <c r="J585" s="24"/>
      <c r="K585" s="18"/>
      <c r="L585" s="17"/>
    </row>
    <row r="586" spans="1:12" x14ac:dyDescent="0.2">
      <c r="A586" s="19">
        <v>570</v>
      </c>
      <c r="B586" s="20"/>
      <c r="C586" s="24"/>
      <c r="D586" s="30"/>
      <c r="E586" s="30"/>
      <c r="F586" s="30"/>
      <c r="G586" s="24"/>
      <c r="H586" s="48"/>
      <c r="I586" s="48"/>
      <c r="J586" s="24"/>
      <c r="K586" s="18"/>
      <c r="L586" s="17"/>
    </row>
    <row r="587" spans="1:12" x14ac:dyDescent="0.2">
      <c r="A587" s="19">
        <v>571</v>
      </c>
      <c r="B587" s="20"/>
      <c r="C587" s="24"/>
      <c r="D587" s="30"/>
      <c r="E587" s="30"/>
      <c r="F587" s="30"/>
      <c r="G587" s="24"/>
      <c r="H587" s="48"/>
      <c r="I587" s="48"/>
      <c r="J587" s="24"/>
      <c r="K587" s="18"/>
      <c r="L587" s="17"/>
    </row>
    <row r="588" spans="1:12" x14ac:dyDescent="0.2">
      <c r="A588" s="19">
        <v>572</v>
      </c>
      <c r="B588" s="20"/>
      <c r="C588" s="24"/>
      <c r="D588" s="30"/>
      <c r="E588" s="30"/>
      <c r="F588" s="30"/>
      <c r="G588" s="24"/>
      <c r="H588" s="48"/>
      <c r="I588" s="48"/>
      <c r="J588" s="24"/>
      <c r="K588" s="18"/>
      <c r="L588" s="17"/>
    </row>
    <row r="589" spans="1:12" x14ac:dyDescent="0.2">
      <c r="A589" s="19">
        <v>573</v>
      </c>
      <c r="B589" s="20"/>
      <c r="C589" s="24"/>
      <c r="D589" s="30"/>
      <c r="E589" s="30"/>
      <c r="F589" s="30"/>
      <c r="G589" s="24"/>
      <c r="H589" s="48"/>
      <c r="I589" s="48"/>
      <c r="J589" s="24"/>
      <c r="K589" s="18"/>
      <c r="L589" s="17"/>
    </row>
    <row r="590" spans="1:12" x14ac:dyDescent="0.2">
      <c r="A590" s="19">
        <v>574</v>
      </c>
      <c r="B590" s="20"/>
      <c r="C590" s="24"/>
      <c r="D590" s="30"/>
      <c r="E590" s="30"/>
      <c r="F590" s="30"/>
      <c r="G590" s="24"/>
      <c r="H590" s="48"/>
      <c r="I590" s="48"/>
      <c r="J590" s="24"/>
      <c r="K590" s="18"/>
      <c r="L590" s="17"/>
    </row>
    <row r="591" spans="1:12" x14ac:dyDescent="0.2">
      <c r="A591" s="19">
        <v>575</v>
      </c>
      <c r="B591" s="20"/>
      <c r="C591" s="24"/>
      <c r="D591" s="30"/>
      <c r="E591" s="30"/>
      <c r="F591" s="30"/>
      <c r="G591" s="24"/>
      <c r="H591" s="48"/>
      <c r="I591" s="48"/>
      <c r="J591" s="24"/>
      <c r="K591" s="18"/>
      <c r="L591" s="17"/>
    </row>
    <row r="592" spans="1:12" x14ac:dyDescent="0.2">
      <c r="A592" s="19">
        <v>576</v>
      </c>
      <c r="B592" s="20"/>
      <c r="C592" s="24"/>
      <c r="D592" s="30"/>
      <c r="E592" s="30"/>
      <c r="F592" s="30"/>
      <c r="G592" s="24"/>
      <c r="H592" s="48"/>
      <c r="I592" s="48"/>
      <c r="J592" s="24"/>
      <c r="K592" s="18"/>
      <c r="L592" s="17"/>
    </row>
    <row r="593" spans="1:12" x14ac:dyDescent="0.2">
      <c r="A593" s="19">
        <v>577</v>
      </c>
      <c r="B593" s="20"/>
      <c r="C593" s="24"/>
      <c r="D593" s="30"/>
      <c r="E593" s="30"/>
      <c r="F593" s="30"/>
      <c r="G593" s="24"/>
      <c r="H593" s="48"/>
      <c r="I593" s="48"/>
      <c r="J593" s="24"/>
      <c r="K593" s="18"/>
      <c r="L593" s="17"/>
    </row>
    <row r="594" spans="1:12" x14ac:dyDescent="0.2">
      <c r="A594" s="19">
        <v>578</v>
      </c>
      <c r="B594" s="20"/>
      <c r="C594" s="24"/>
      <c r="D594" s="30"/>
      <c r="E594" s="30"/>
      <c r="F594" s="30"/>
      <c r="G594" s="24"/>
      <c r="H594" s="48"/>
      <c r="I594" s="48"/>
      <c r="J594" s="24"/>
      <c r="K594" s="18"/>
      <c r="L594" s="17"/>
    </row>
    <row r="595" spans="1:12" x14ac:dyDescent="0.2">
      <c r="A595" s="19">
        <v>579</v>
      </c>
      <c r="B595" s="20"/>
      <c r="C595" s="24"/>
      <c r="D595" s="30"/>
      <c r="E595" s="30"/>
      <c r="F595" s="30"/>
      <c r="G595" s="24"/>
      <c r="H595" s="48"/>
      <c r="I595" s="48"/>
      <c r="J595" s="24"/>
      <c r="K595" s="18"/>
      <c r="L595" s="17"/>
    </row>
    <row r="596" spans="1:12" x14ac:dyDescent="0.2">
      <c r="A596" s="19">
        <v>580</v>
      </c>
      <c r="B596" s="20"/>
      <c r="C596" s="24"/>
      <c r="D596" s="30"/>
      <c r="E596" s="30"/>
      <c r="F596" s="30"/>
      <c r="G596" s="24"/>
      <c r="H596" s="48"/>
      <c r="I596" s="48"/>
      <c r="J596" s="24"/>
      <c r="K596" s="18"/>
      <c r="L596" s="17"/>
    </row>
    <row r="597" spans="1:12" x14ac:dyDescent="0.2">
      <c r="A597" s="19">
        <v>581</v>
      </c>
      <c r="B597" s="20"/>
      <c r="C597" s="24"/>
      <c r="D597" s="30"/>
      <c r="E597" s="30"/>
      <c r="F597" s="30"/>
      <c r="G597" s="24"/>
      <c r="H597" s="48"/>
      <c r="I597" s="48"/>
      <c r="J597" s="24"/>
      <c r="K597" s="18"/>
      <c r="L597" s="17"/>
    </row>
  </sheetData>
  <mergeCells count="8">
    <mergeCell ref="J15:J16"/>
    <mergeCell ref="B15:B16"/>
    <mergeCell ref="D15:D16"/>
    <mergeCell ref="H15:I15"/>
    <mergeCell ref="C15:C16"/>
    <mergeCell ref="E15:E16"/>
    <mergeCell ref="F15:F16"/>
    <mergeCell ref="G15:G16"/>
  </mergeCells>
  <pageMargins left="0.25" right="0.25" top="0.75" bottom="0.75" header="0.3" footer="0.3"/>
  <pageSetup scale="87" fitToHeight="0" orientation="landscape" r:id="rId1"/>
  <ignoredErrors>
    <ignoredError sqref="H1" unlocked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C28"/>
  <sheetViews>
    <sheetView workbookViewId="0">
      <selection activeCell="C28" sqref="C28"/>
    </sheetView>
  </sheetViews>
  <sheetFormatPr defaultRowHeight="12.75" x14ac:dyDescent="0.2"/>
  <cols>
    <col min="1" max="1" width="24.42578125" style="2" customWidth="1"/>
    <col min="2" max="2" width="9.7109375" style="2" customWidth="1"/>
    <col min="3" max="3" width="11.42578125" style="2" customWidth="1"/>
    <col min="4" max="16384" width="9.140625" style="2"/>
  </cols>
  <sheetData>
    <row r="3" spans="1:3" x14ac:dyDescent="0.2">
      <c r="A3" s="59" t="s">
        <v>1326</v>
      </c>
      <c r="B3" s="59" t="s">
        <v>1327</v>
      </c>
      <c r="C3" s="59" t="s">
        <v>1328</v>
      </c>
    </row>
    <row r="4" spans="1:3" x14ac:dyDescent="0.2">
      <c r="A4" s="2" t="s">
        <v>1361</v>
      </c>
      <c r="B4" s="2" t="s">
        <v>1350</v>
      </c>
      <c r="C4" s="2" t="s">
        <v>1387</v>
      </c>
    </row>
    <row r="5" spans="1:3" x14ac:dyDescent="0.2">
      <c r="A5" s="2" t="s">
        <v>1361</v>
      </c>
      <c r="B5" s="2" t="s">
        <v>1351</v>
      </c>
      <c r="C5" s="2" t="s">
        <v>1388</v>
      </c>
    </row>
    <row r="6" spans="1:3" x14ac:dyDescent="0.2">
      <c r="A6" s="2" t="s">
        <v>1361</v>
      </c>
      <c r="B6" s="2" t="s">
        <v>1352</v>
      </c>
      <c r="C6" s="2" t="s">
        <v>1389</v>
      </c>
    </row>
    <row r="7" spans="1:3" x14ac:dyDescent="0.2">
      <c r="A7" s="2" t="s">
        <v>1361</v>
      </c>
      <c r="B7" s="2" t="s">
        <v>1353</v>
      </c>
      <c r="C7" s="2" t="s">
        <v>1390</v>
      </c>
    </row>
    <row r="8" spans="1:3" x14ac:dyDescent="0.2">
      <c r="A8" s="2" t="s">
        <v>1361</v>
      </c>
      <c r="B8" s="2" t="s">
        <v>1354</v>
      </c>
      <c r="C8" s="2" t="s">
        <v>1391</v>
      </c>
    </row>
    <row r="9" spans="1:3" x14ac:dyDescent="0.2">
      <c r="A9" s="2" t="s">
        <v>1361</v>
      </c>
      <c r="B9" s="2" t="s">
        <v>1355</v>
      </c>
      <c r="C9" s="2" t="s">
        <v>1392</v>
      </c>
    </row>
    <row r="10" spans="1:3" x14ac:dyDescent="0.2">
      <c r="A10" s="2" t="s">
        <v>1361</v>
      </c>
      <c r="B10" s="2" t="s">
        <v>1356</v>
      </c>
      <c r="C10" s="2" t="s">
        <v>1393</v>
      </c>
    </row>
    <row r="11" spans="1:3" x14ac:dyDescent="0.2">
      <c r="A11" s="2" t="s">
        <v>1361</v>
      </c>
      <c r="B11" s="2" t="s">
        <v>1357</v>
      </c>
      <c r="C11" s="2" t="s">
        <v>1394</v>
      </c>
    </row>
    <row r="12" spans="1:3" x14ac:dyDescent="0.2">
      <c r="A12" s="2" t="s">
        <v>1361</v>
      </c>
      <c r="B12" s="2" t="s">
        <v>1358</v>
      </c>
      <c r="C12" s="2" t="s">
        <v>1395</v>
      </c>
    </row>
    <row r="13" spans="1:3" x14ac:dyDescent="0.2">
      <c r="A13" s="2" t="s">
        <v>1361</v>
      </c>
      <c r="B13" s="2" t="s">
        <v>1359</v>
      </c>
      <c r="C13" s="2" t="s">
        <v>1396</v>
      </c>
    </row>
    <row r="14" spans="1:3" x14ac:dyDescent="0.2">
      <c r="A14" s="2" t="s">
        <v>1362</v>
      </c>
      <c r="B14" s="2" t="s">
        <v>1370</v>
      </c>
      <c r="C14" s="2" t="s">
        <v>1397</v>
      </c>
    </row>
    <row r="15" spans="1:3" x14ac:dyDescent="0.2">
      <c r="A15" s="2" t="s">
        <v>1362</v>
      </c>
      <c r="B15" s="2" t="s">
        <v>1363</v>
      </c>
      <c r="C15" s="2" t="s">
        <v>1388</v>
      </c>
    </row>
    <row r="16" spans="1:3" x14ac:dyDescent="0.2">
      <c r="A16" s="2" t="s">
        <v>1362</v>
      </c>
      <c r="B16" s="2" t="s">
        <v>1364</v>
      </c>
      <c r="C16" s="2" t="s">
        <v>1389</v>
      </c>
    </row>
    <row r="17" spans="1:3" x14ac:dyDescent="0.2">
      <c r="A17" s="2" t="s">
        <v>1362</v>
      </c>
      <c r="B17" s="2" t="s">
        <v>1366</v>
      </c>
      <c r="C17" s="2" t="s">
        <v>1390</v>
      </c>
    </row>
    <row r="18" spans="1:3" x14ac:dyDescent="0.2">
      <c r="A18" s="2" t="s">
        <v>1362</v>
      </c>
      <c r="B18" s="2" t="s">
        <v>1365</v>
      </c>
      <c r="C18" s="2" t="s">
        <v>1391</v>
      </c>
    </row>
    <row r="19" spans="1:3" x14ac:dyDescent="0.2">
      <c r="A19" s="2" t="s">
        <v>1362</v>
      </c>
      <c r="B19" s="2" t="s">
        <v>1367</v>
      </c>
      <c r="C19" s="2" t="s">
        <v>1392</v>
      </c>
    </row>
    <row r="20" spans="1:3" x14ac:dyDescent="0.2">
      <c r="A20" s="2" t="s">
        <v>1362</v>
      </c>
      <c r="B20" s="2" t="s">
        <v>1368</v>
      </c>
      <c r="C20" s="2" t="s">
        <v>1393</v>
      </c>
    </row>
    <row r="21" spans="1:3" x14ac:dyDescent="0.2">
      <c r="A21" s="2" t="s">
        <v>1362</v>
      </c>
      <c r="B21" s="2" t="s">
        <v>1369</v>
      </c>
      <c r="C21" s="2" t="s">
        <v>1394</v>
      </c>
    </row>
    <row r="22" spans="1:3" x14ac:dyDescent="0.2">
      <c r="A22" s="2" t="s">
        <v>1362</v>
      </c>
      <c r="B22" s="2" t="s">
        <v>1371</v>
      </c>
      <c r="C22" s="2" t="s">
        <v>1397</v>
      </c>
    </row>
    <row r="23" spans="1:3" x14ac:dyDescent="0.2">
      <c r="A23" s="2" t="s">
        <v>1362</v>
      </c>
      <c r="B23" s="2" t="s">
        <v>1372</v>
      </c>
      <c r="C23" s="2" t="s">
        <v>1373</v>
      </c>
    </row>
    <row r="24" spans="1:3" x14ac:dyDescent="0.2">
      <c r="A24" s="2" t="s">
        <v>1362</v>
      </c>
      <c r="B24" s="2" t="s">
        <v>1376</v>
      </c>
      <c r="C24" s="2" t="s">
        <v>1374</v>
      </c>
    </row>
    <row r="25" spans="1:3" x14ac:dyDescent="0.2">
      <c r="A25" s="2" t="s">
        <v>1362</v>
      </c>
      <c r="B25" s="2" t="s">
        <v>1377</v>
      </c>
      <c r="C25" s="2" t="s">
        <v>1375</v>
      </c>
    </row>
    <row r="26" spans="1:3" x14ac:dyDescent="0.2">
      <c r="A26" s="2" t="s">
        <v>1362</v>
      </c>
      <c r="B26" s="2" t="s">
        <v>1378</v>
      </c>
      <c r="C26" s="2" t="s">
        <v>1379</v>
      </c>
    </row>
    <row r="27" spans="1:3" ht="25.5" x14ac:dyDescent="0.2">
      <c r="A27" s="2" t="s">
        <v>1362</v>
      </c>
      <c r="B27" s="145" t="s">
        <v>1381</v>
      </c>
      <c r="C27" s="2" t="s">
        <v>1398</v>
      </c>
    </row>
    <row r="28" spans="1:3" x14ac:dyDescent="0.2">
      <c r="A28" s="2" t="s">
        <v>1362</v>
      </c>
      <c r="B28" s="2" t="s">
        <v>1380</v>
      </c>
      <c r="C28" s="2" t="s">
        <v>1396</v>
      </c>
    </row>
  </sheetData>
  <pageMargins left="0.7" right="0.7" top="0.75" bottom="0.75" header="0.3" footer="0.3"/>
  <pageSetup scale="78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M616"/>
  <sheetViews>
    <sheetView zoomScaleNormal="100" workbookViewId="0">
      <pane xSplit="1" ySplit="1" topLeftCell="F95" activePane="bottomRight" state="frozen"/>
      <selection pane="topRight" activeCell="B1" sqref="B1"/>
      <selection pane="bottomLeft" activeCell="A2" sqref="A2"/>
      <selection pane="bottomRight" activeCell="M343" sqref="M343:M386"/>
    </sheetView>
  </sheetViews>
  <sheetFormatPr defaultRowHeight="12.75" x14ac:dyDescent="0.2"/>
  <cols>
    <col min="1" max="1" width="38.5703125" style="13" customWidth="1"/>
    <col min="2" max="2" width="15" style="13" bestFit="1" customWidth="1"/>
    <col min="3" max="3" width="9" style="13" bestFit="1" customWidth="1"/>
    <col min="4" max="4" width="18.42578125" style="176" bestFit="1" customWidth="1"/>
    <col min="5" max="5" width="19.42578125" style="2" bestFit="1" customWidth="1"/>
    <col min="6" max="6" width="13.85546875" style="13" bestFit="1" customWidth="1"/>
    <col min="7" max="7" width="12" style="13" bestFit="1" customWidth="1"/>
    <col min="8" max="8" width="11.7109375" style="13" bestFit="1" customWidth="1"/>
    <col min="9" max="9" width="13.140625" style="13" bestFit="1" customWidth="1"/>
    <col min="10" max="10" width="13.85546875" style="13" bestFit="1" customWidth="1"/>
    <col min="11" max="12" width="12.7109375" style="13" bestFit="1" customWidth="1"/>
    <col min="13" max="13" width="19.42578125" style="13" bestFit="1" customWidth="1"/>
    <col min="14" max="244" width="9.140625" style="13"/>
    <col min="245" max="245" width="9.28515625" style="13" bestFit="1" customWidth="1"/>
    <col min="246" max="246" width="9.140625" style="13"/>
    <col min="247" max="247" width="10" style="13" bestFit="1" customWidth="1"/>
    <col min="248" max="261" width="9.28515625" style="13" bestFit="1" customWidth="1"/>
    <col min="262" max="500" width="9.140625" style="13"/>
    <col min="501" max="501" width="9.28515625" style="13" bestFit="1" customWidth="1"/>
    <col min="502" max="502" width="9.140625" style="13"/>
    <col min="503" max="503" width="10" style="13" bestFit="1" customWidth="1"/>
    <col min="504" max="517" width="9.28515625" style="13" bestFit="1" customWidth="1"/>
    <col min="518" max="756" width="9.140625" style="13"/>
    <col min="757" max="757" width="9.28515625" style="13" bestFit="1" customWidth="1"/>
    <col min="758" max="758" width="9.140625" style="13"/>
    <col min="759" max="759" width="10" style="13" bestFit="1" customWidth="1"/>
    <col min="760" max="773" width="9.28515625" style="13" bestFit="1" customWidth="1"/>
    <col min="774" max="1012" width="9.140625" style="13"/>
    <col min="1013" max="1013" width="9.28515625" style="13" bestFit="1" customWidth="1"/>
    <col min="1014" max="1014" width="9.140625" style="13"/>
    <col min="1015" max="1015" width="10" style="13" bestFit="1" customWidth="1"/>
    <col min="1016" max="1029" width="9.28515625" style="13" bestFit="1" customWidth="1"/>
    <col min="1030" max="1268" width="9.140625" style="13"/>
    <col min="1269" max="1269" width="9.28515625" style="13" bestFit="1" customWidth="1"/>
    <col min="1270" max="1270" width="9.140625" style="13"/>
    <col min="1271" max="1271" width="10" style="13" bestFit="1" customWidth="1"/>
    <col min="1272" max="1285" width="9.28515625" style="13" bestFit="1" customWidth="1"/>
    <col min="1286" max="1524" width="9.140625" style="13"/>
    <col min="1525" max="1525" width="9.28515625" style="13" bestFit="1" customWidth="1"/>
    <col min="1526" max="1526" width="9.140625" style="13"/>
    <col min="1527" max="1527" width="10" style="13" bestFit="1" customWidth="1"/>
    <col min="1528" max="1541" width="9.28515625" style="13" bestFit="1" customWidth="1"/>
    <col min="1542" max="1780" width="9.140625" style="13"/>
    <col min="1781" max="1781" width="9.28515625" style="13" bestFit="1" customWidth="1"/>
    <col min="1782" max="1782" width="9.140625" style="13"/>
    <col min="1783" max="1783" width="10" style="13" bestFit="1" customWidth="1"/>
    <col min="1784" max="1797" width="9.28515625" style="13" bestFit="1" customWidth="1"/>
    <col min="1798" max="2036" width="9.140625" style="13"/>
    <col min="2037" max="2037" width="9.28515625" style="13" bestFit="1" customWidth="1"/>
    <col min="2038" max="2038" width="9.140625" style="13"/>
    <col min="2039" max="2039" width="10" style="13" bestFit="1" customWidth="1"/>
    <col min="2040" max="2053" width="9.28515625" style="13" bestFit="1" customWidth="1"/>
    <col min="2054" max="2292" width="9.140625" style="13"/>
    <col min="2293" max="2293" width="9.28515625" style="13" bestFit="1" customWidth="1"/>
    <col min="2294" max="2294" width="9.140625" style="13"/>
    <col min="2295" max="2295" width="10" style="13" bestFit="1" customWidth="1"/>
    <col min="2296" max="2309" width="9.28515625" style="13" bestFit="1" customWidth="1"/>
    <col min="2310" max="2548" width="9.140625" style="13"/>
    <col min="2549" max="2549" width="9.28515625" style="13" bestFit="1" customWidth="1"/>
    <col min="2550" max="2550" width="9.140625" style="13"/>
    <col min="2551" max="2551" width="10" style="13" bestFit="1" customWidth="1"/>
    <col min="2552" max="2565" width="9.28515625" style="13" bestFit="1" customWidth="1"/>
    <col min="2566" max="2804" width="9.140625" style="13"/>
    <col min="2805" max="2805" width="9.28515625" style="13" bestFit="1" customWidth="1"/>
    <col min="2806" max="2806" width="9.140625" style="13"/>
    <col min="2807" max="2807" width="10" style="13" bestFit="1" customWidth="1"/>
    <col min="2808" max="2821" width="9.28515625" style="13" bestFit="1" customWidth="1"/>
    <col min="2822" max="3060" width="9.140625" style="13"/>
    <col min="3061" max="3061" width="9.28515625" style="13" bestFit="1" customWidth="1"/>
    <col min="3062" max="3062" width="9.140625" style="13"/>
    <col min="3063" max="3063" width="10" style="13" bestFit="1" customWidth="1"/>
    <col min="3064" max="3077" width="9.28515625" style="13" bestFit="1" customWidth="1"/>
    <col min="3078" max="3316" width="9.140625" style="13"/>
    <col min="3317" max="3317" width="9.28515625" style="13" bestFit="1" customWidth="1"/>
    <col min="3318" max="3318" width="9.140625" style="13"/>
    <col min="3319" max="3319" width="10" style="13" bestFit="1" customWidth="1"/>
    <col min="3320" max="3333" width="9.28515625" style="13" bestFit="1" customWidth="1"/>
    <col min="3334" max="3572" width="9.140625" style="13"/>
    <col min="3573" max="3573" width="9.28515625" style="13" bestFit="1" customWidth="1"/>
    <col min="3574" max="3574" width="9.140625" style="13"/>
    <col min="3575" max="3575" width="10" style="13" bestFit="1" customWidth="1"/>
    <col min="3576" max="3589" width="9.28515625" style="13" bestFit="1" customWidth="1"/>
    <col min="3590" max="3828" width="9.140625" style="13"/>
    <col min="3829" max="3829" width="9.28515625" style="13" bestFit="1" customWidth="1"/>
    <col min="3830" max="3830" width="9.140625" style="13"/>
    <col min="3831" max="3831" width="10" style="13" bestFit="1" customWidth="1"/>
    <col min="3832" max="3845" width="9.28515625" style="13" bestFit="1" customWidth="1"/>
    <col min="3846" max="4084" width="9.140625" style="13"/>
    <col min="4085" max="4085" width="9.28515625" style="13" bestFit="1" customWidth="1"/>
    <col min="4086" max="4086" width="9.140625" style="13"/>
    <col min="4087" max="4087" width="10" style="13" bestFit="1" customWidth="1"/>
    <col min="4088" max="4101" width="9.28515625" style="13" bestFit="1" customWidth="1"/>
    <col min="4102" max="4340" width="9.140625" style="13"/>
    <col min="4341" max="4341" width="9.28515625" style="13" bestFit="1" customWidth="1"/>
    <col min="4342" max="4342" width="9.140625" style="13"/>
    <col min="4343" max="4343" width="10" style="13" bestFit="1" customWidth="1"/>
    <col min="4344" max="4357" width="9.28515625" style="13" bestFit="1" customWidth="1"/>
    <col min="4358" max="4596" width="9.140625" style="13"/>
    <col min="4597" max="4597" width="9.28515625" style="13" bestFit="1" customWidth="1"/>
    <col min="4598" max="4598" width="9.140625" style="13"/>
    <col min="4599" max="4599" width="10" style="13" bestFit="1" customWidth="1"/>
    <col min="4600" max="4613" width="9.28515625" style="13" bestFit="1" customWidth="1"/>
    <col min="4614" max="4852" width="9.140625" style="13"/>
    <col min="4853" max="4853" width="9.28515625" style="13" bestFit="1" customWidth="1"/>
    <col min="4854" max="4854" width="9.140625" style="13"/>
    <col min="4855" max="4855" width="10" style="13" bestFit="1" customWidth="1"/>
    <col min="4856" max="4869" width="9.28515625" style="13" bestFit="1" customWidth="1"/>
    <col min="4870" max="5108" width="9.140625" style="13"/>
    <col min="5109" max="5109" width="9.28515625" style="13" bestFit="1" customWidth="1"/>
    <col min="5110" max="5110" width="9.140625" style="13"/>
    <col min="5111" max="5111" width="10" style="13" bestFit="1" customWidth="1"/>
    <col min="5112" max="5125" width="9.28515625" style="13" bestFit="1" customWidth="1"/>
    <col min="5126" max="5364" width="9.140625" style="13"/>
    <col min="5365" max="5365" width="9.28515625" style="13" bestFit="1" customWidth="1"/>
    <col min="5366" max="5366" width="9.140625" style="13"/>
    <col min="5367" max="5367" width="10" style="13" bestFit="1" customWidth="1"/>
    <col min="5368" max="5381" width="9.28515625" style="13" bestFit="1" customWidth="1"/>
    <col min="5382" max="5620" width="9.140625" style="13"/>
    <col min="5621" max="5621" width="9.28515625" style="13" bestFit="1" customWidth="1"/>
    <col min="5622" max="5622" width="9.140625" style="13"/>
    <col min="5623" max="5623" width="10" style="13" bestFit="1" customWidth="1"/>
    <col min="5624" max="5637" width="9.28515625" style="13" bestFit="1" customWidth="1"/>
    <col min="5638" max="5876" width="9.140625" style="13"/>
    <col min="5877" max="5877" width="9.28515625" style="13" bestFit="1" customWidth="1"/>
    <col min="5878" max="5878" width="9.140625" style="13"/>
    <col min="5879" max="5879" width="10" style="13" bestFit="1" customWidth="1"/>
    <col min="5880" max="5893" width="9.28515625" style="13" bestFit="1" customWidth="1"/>
    <col min="5894" max="6132" width="9.140625" style="13"/>
    <col min="6133" max="6133" width="9.28515625" style="13" bestFit="1" customWidth="1"/>
    <col min="6134" max="6134" width="9.140625" style="13"/>
    <col min="6135" max="6135" width="10" style="13" bestFit="1" customWidth="1"/>
    <col min="6136" max="6149" width="9.28515625" style="13" bestFit="1" customWidth="1"/>
    <col min="6150" max="6388" width="9.140625" style="13"/>
    <col min="6389" max="6389" width="9.28515625" style="13" bestFit="1" customWidth="1"/>
    <col min="6390" max="6390" width="9.140625" style="13"/>
    <col min="6391" max="6391" width="10" style="13" bestFit="1" customWidth="1"/>
    <col min="6392" max="6405" width="9.28515625" style="13" bestFit="1" customWidth="1"/>
    <col min="6406" max="6644" width="9.140625" style="13"/>
    <col min="6645" max="6645" width="9.28515625" style="13" bestFit="1" customWidth="1"/>
    <col min="6646" max="6646" width="9.140625" style="13"/>
    <col min="6647" max="6647" width="10" style="13" bestFit="1" customWidth="1"/>
    <col min="6648" max="6661" width="9.28515625" style="13" bestFit="1" customWidth="1"/>
    <col min="6662" max="6900" width="9.140625" style="13"/>
    <col min="6901" max="6901" width="9.28515625" style="13" bestFit="1" customWidth="1"/>
    <col min="6902" max="6902" width="9.140625" style="13"/>
    <col min="6903" max="6903" width="10" style="13" bestFit="1" customWidth="1"/>
    <col min="6904" max="6917" width="9.28515625" style="13" bestFit="1" customWidth="1"/>
    <col min="6918" max="7156" width="9.140625" style="13"/>
    <col min="7157" max="7157" width="9.28515625" style="13" bestFit="1" customWidth="1"/>
    <col min="7158" max="7158" width="9.140625" style="13"/>
    <col min="7159" max="7159" width="10" style="13" bestFit="1" customWidth="1"/>
    <col min="7160" max="7173" width="9.28515625" style="13" bestFit="1" customWidth="1"/>
    <col min="7174" max="7412" width="9.140625" style="13"/>
    <col min="7413" max="7413" width="9.28515625" style="13" bestFit="1" customWidth="1"/>
    <col min="7414" max="7414" width="9.140625" style="13"/>
    <col min="7415" max="7415" width="10" style="13" bestFit="1" customWidth="1"/>
    <col min="7416" max="7429" width="9.28515625" style="13" bestFit="1" customWidth="1"/>
    <col min="7430" max="7668" width="9.140625" style="13"/>
    <col min="7669" max="7669" width="9.28515625" style="13" bestFit="1" customWidth="1"/>
    <col min="7670" max="7670" width="9.140625" style="13"/>
    <col min="7671" max="7671" width="10" style="13" bestFit="1" customWidth="1"/>
    <col min="7672" max="7685" width="9.28515625" style="13" bestFit="1" customWidth="1"/>
    <col min="7686" max="7924" width="9.140625" style="13"/>
    <col min="7925" max="7925" width="9.28515625" style="13" bestFit="1" customWidth="1"/>
    <col min="7926" max="7926" width="9.140625" style="13"/>
    <col min="7927" max="7927" width="10" style="13" bestFit="1" customWidth="1"/>
    <col min="7928" max="7941" width="9.28515625" style="13" bestFit="1" customWidth="1"/>
    <col min="7942" max="8180" width="9.140625" style="13"/>
    <col min="8181" max="8181" width="9.28515625" style="13" bestFit="1" customWidth="1"/>
    <col min="8182" max="8182" width="9.140625" style="13"/>
    <col min="8183" max="8183" width="10" style="13" bestFit="1" customWidth="1"/>
    <col min="8184" max="8197" width="9.28515625" style="13" bestFit="1" customWidth="1"/>
    <col min="8198" max="8436" width="9.140625" style="13"/>
    <col min="8437" max="8437" width="9.28515625" style="13" bestFit="1" customWidth="1"/>
    <col min="8438" max="8438" width="9.140625" style="13"/>
    <col min="8439" max="8439" width="10" style="13" bestFit="1" customWidth="1"/>
    <col min="8440" max="8453" width="9.28515625" style="13" bestFit="1" customWidth="1"/>
    <col min="8454" max="8692" width="9.140625" style="13"/>
    <col min="8693" max="8693" width="9.28515625" style="13" bestFit="1" customWidth="1"/>
    <col min="8694" max="8694" width="9.140625" style="13"/>
    <col min="8695" max="8695" width="10" style="13" bestFit="1" customWidth="1"/>
    <col min="8696" max="8709" width="9.28515625" style="13" bestFit="1" customWidth="1"/>
    <col min="8710" max="8948" width="9.140625" style="13"/>
    <col min="8949" max="8949" width="9.28515625" style="13" bestFit="1" customWidth="1"/>
    <col min="8950" max="8950" width="9.140625" style="13"/>
    <col min="8951" max="8951" width="10" style="13" bestFit="1" customWidth="1"/>
    <col min="8952" max="8965" width="9.28515625" style="13" bestFit="1" customWidth="1"/>
    <col min="8966" max="9204" width="9.140625" style="13"/>
    <col min="9205" max="9205" width="9.28515625" style="13" bestFit="1" customWidth="1"/>
    <col min="9206" max="9206" width="9.140625" style="13"/>
    <col min="9207" max="9207" width="10" style="13" bestFit="1" customWidth="1"/>
    <col min="9208" max="9221" width="9.28515625" style="13" bestFit="1" customWidth="1"/>
    <col min="9222" max="9460" width="9.140625" style="13"/>
    <col min="9461" max="9461" width="9.28515625" style="13" bestFit="1" customWidth="1"/>
    <col min="9462" max="9462" width="9.140625" style="13"/>
    <col min="9463" max="9463" width="10" style="13" bestFit="1" customWidth="1"/>
    <col min="9464" max="9477" width="9.28515625" style="13" bestFit="1" customWidth="1"/>
    <col min="9478" max="9716" width="9.140625" style="13"/>
    <col min="9717" max="9717" width="9.28515625" style="13" bestFit="1" customWidth="1"/>
    <col min="9718" max="9718" width="9.140625" style="13"/>
    <col min="9719" max="9719" width="10" style="13" bestFit="1" customWidth="1"/>
    <col min="9720" max="9733" width="9.28515625" style="13" bestFit="1" customWidth="1"/>
    <col min="9734" max="9972" width="9.140625" style="13"/>
    <col min="9973" max="9973" width="9.28515625" style="13" bestFit="1" customWidth="1"/>
    <col min="9974" max="9974" width="9.140625" style="13"/>
    <col min="9975" max="9975" width="10" style="13" bestFit="1" customWidth="1"/>
    <col min="9976" max="9989" width="9.28515625" style="13" bestFit="1" customWidth="1"/>
    <col min="9990" max="10228" width="9.140625" style="13"/>
    <col min="10229" max="10229" width="9.28515625" style="13" bestFit="1" customWidth="1"/>
    <col min="10230" max="10230" width="9.140625" style="13"/>
    <col min="10231" max="10231" width="10" style="13" bestFit="1" customWidth="1"/>
    <col min="10232" max="10245" width="9.28515625" style="13" bestFit="1" customWidth="1"/>
    <col min="10246" max="10484" width="9.140625" style="13"/>
    <col min="10485" max="10485" width="9.28515625" style="13" bestFit="1" customWidth="1"/>
    <col min="10486" max="10486" width="9.140625" style="13"/>
    <col min="10487" max="10487" width="10" style="13" bestFit="1" customWidth="1"/>
    <col min="10488" max="10501" width="9.28515625" style="13" bestFit="1" customWidth="1"/>
    <col min="10502" max="10740" width="9.140625" style="13"/>
    <col min="10741" max="10741" width="9.28515625" style="13" bestFit="1" customWidth="1"/>
    <col min="10742" max="10742" width="9.140625" style="13"/>
    <col min="10743" max="10743" width="10" style="13" bestFit="1" customWidth="1"/>
    <col min="10744" max="10757" width="9.28515625" style="13" bestFit="1" customWidth="1"/>
    <col min="10758" max="10996" width="9.140625" style="13"/>
    <col min="10997" max="10997" width="9.28515625" style="13" bestFit="1" customWidth="1"/>
    <col min="10998" max="10998" width="9.140625" style="13"/>
    <col min="10999" max="10999" width="10" style="13" bestFit="1" customWidth="1"/>
    <col min="11000" max="11013" width="9.28515625" style="13" bestFit="1" customWidth="1"/>
    <col min="11014" max="11252" width="9.140625" style="13"/>
    <col min="11253" max="11253" width="9.28515625" style="13" bestFit="1" customWidth="1"/>
    <col min="11254" max="11254" width="9.140625" style="13"/>
    <col min="11255" max="11255" width="10" style="13" bestFit="1" customWidth="1"/>
    <col min="11256" max="11269" width="9.28515625" style="13" bestFit="1" customWidth="1"/>
    <col min="11270" max="11508" width="9.140625" style="13"/>
    <col min="11509" max="11509" width="9.28515625" style="13" bestFit="1" customWidth="1"/>
    <col min="11510" max="11510" width="9.140625" style="13"/>
    <col min="11511" max="11511" width="10" style="13" bestFit="1" customWidth="1"/>
    <col min="11512" max="11525" width="9.28515625" style="13" bestFit="1" customWidth="1"/>
    <col min="11526" max="11764" width="9.140625" style="13"/>
    <col min="11765" max="11765" width="9.28515625" style="13" bestFit="1" customWidth="1"/>
    <col min="11766" max="11766" width="9.140625" style="13"/>
    <col min="11767" max="11767" width="10" style="13" bestFit="1" customWidth="1"/>
    <col min="11768" max="11781" width="9.28515625" style="13" bestFit="1" customWidth="1"/>
    <col min="11782" max="12020" width="9.140625" style="13"/>
    <col min="12021" max="12021" width="9.28515625" style="13" bestFit="1" customWidth="1"/>
    <col min="12022" max="12022" width="9.140625" style="13"/>
    <col min="12023" max="12023" width="10" style="13" bestFit="1" customWidth="1"/>
    <col min="12024" max="12037" width="9.28515625" style="13" bestFit="1" customWidth="1"/>
    <col min="12038" max="12276" width="9.140625" style="13"/>
    <col min="12277" max="12277" width="9.28515625" style="13" bestFit="1" customWidth="1"/>
    <col min="12278" max="12278" width="9.140625" style="13"/>
    <col min="12279" max="12279" width="10" style="13" bestFit="1" customWidth="1"/>
    <col min="12280" max="12293" width="9.28515625" style="13" bestFit="1" customWidth="1"/>
    <col min="12294" max="12532" width="9.140625" style="13"/>
    <col min="12533" max="12533" width="9.28515625" style="13" bestFit="1" customWidth="1"/>
    <col min="12534" max="12534" width="9.140625" style="13"/>
    <col min="12535" max="12535" width="10" style="13" bestFit="1" customWidth="1"/>
    <col min="12536" max="12549" width="9.28515625" style="13" bestFit="1" customWidth="1"/>
    <col min="12550" max="12788" width="9.140625" style="13"/>
    <col min="12789" max="12789" width="9.28515625" style="13" bestFit="1" customWidth="1"/>
    <col min="12790" max="12790" width="9.140625" style="13"/>
    <col min="12791" max="12791" width="10" style="13" bestFit="1" customWidth="1"/>
    <col min="12792" max="12805" width="9.28515625" style="13" bestFit="1" customWidth="1"/>
    <col min="12806" max="13044" width="9.140625" style="13"/>
    <col min="13045" max="13045" width="9.28515625" style="13" bestFit="1" customWidth="1"/>
    <col min="13046" max="13046" width="9.140625" style="13"/>
    <col min="13047" max="13047" width="10" style="13" bestFit="1" customWidth="1"/>
    <col min="13048" max="13061" width="9.28515625" style="13" bestFit="1" customWidth="1"/>
    <col min="13062" max="13300" width="9.140625" style="13"/>
    <col min="13301" max="13301" width="9.28515625" style="13" bestFit="1" customWidth="1"/>
    <col min="13302" max="13302" width="9.140625" style="13"/>
    <col min="13303" max="13303" width="10" style="13" bestFit="1" customWidth="1"/>
    <col min="13304" max="13317" width="9.28515625" style="13" bestFit="1" customWidth="1"/>
    <col min="13318" max="13556" width="9.140625" style="13"/>
    <col min="13557" max="13557" width="9.28515625" style="13" bestFit="1" customWidth="1"/>
    <col min="13558" max="13558" width="9.140625" style="13"/>
    <col min="13559" max="13559" width="10" style="13" bestFit="1" customWidth="1"/>
    <col min="13560" max="13573" width="9.28515625" style="13" bestFit="1" customWidth="1"/>
    <col min="13574" max="13812" width="9.140625" style="13"/>
    <col min="13813" max="13813" width="9.28515625" style="13" bestFit="1" customWidth="1"/>
    <col min="13814" max="13814" width="9.140625" style="13"/>
    <col min="13815" max="13815" width="10" style="13" bestFit="1" customWidth="1"/>
    <col min="13816" max="13829" width="9.28515625" style="13" bestFit="1" customWidth="1"/>
    <col min="13830" max="14068" width="9.140625" style="13"/>
    <col min="14069" max="14069" width="9.28515625" style="13" bestFit="1" customWidth="1"/>
    <col min="14070" max="14070" width="9.140625" style="13"/>
    <col min="14071" max="14071" width="10" style="13" bestFit="1" customWidth="1"/>
    <col min="14072" max="14085" width="9.28515625" style="13" bestFit="1" customWidth="1"/>
    <col min="14086" max="14324" width="9.140625" style="13"/>
    <col min="14325" max="14325" width="9.28515625" style="13" bestFit="1" customWidth="1"/>
    <col min="14326" max="14326" width="9.140625" style="13"/>
    <col min="14327" max="14327" width="10" style="13" bestFit="1" customWidth="1"/>
    <col min="14328" max="14341" width="9.28515625" style="13" bestFit="1" customWidth="1"/>
    <col min="14342" max="14580" width="9.140625" style="13"/>
    <col min="14581" max="14581" width="9.28515625" style="13" bestFit="1" customWidth="1"/>
    <col min="14582" max="14582" width="9.140625" style="13"/>
    <col min="14583" max="14583" width="10" style="13" bestFit="1" customWidth="1"/>
    <col min="14584" max="14597" width="9.28515625" style="13" bestFit="1" customWidth="1"/>
    <col min="14598" max="14836" width="9.140625" style="13"/>
    <col min="14837" max="14837" width="9.28515625" style="13" bestFit="1" customWidth="1"/>
    <col min="14838" max="14838" width="9.140625" style="13"/>
    <col min="14839" max="14839" width="10" style="13" bestFit="1" customWidth="1"/>
    <col min="14840" max="14853" width="9.28515625" style="13" bestFit="1" customWidth="1"/>
    <col min="14854" max="15092" width="9.140625" style="13"/>
    <col min="15093" max="15093" width="9.28515625" style="13" bestFit="1" customWidth="1"/>
    <col min="15094" max="15094" width="9.140625" style="13"/>
    <col min="15095" max="15095" width="10" style="13" bestFit="1" customWidth="1"/>
    <col min="15096" max="15109" width="9.28515625" style="13" bestFit="1" customWidth="1"/>
    <col min="15110" max="15348" width="9.140625" style="13"/>
    <col min="15349" max="15349" width="9.28515625" style="13" bestFit="1" customWidth="1"/>
    <col min="15350" max="15350" width="9.140625" style="13"/>
    <col min="15351" max="15351" width="10" style="13" bestFit="1" customWidth="1"/>
    <col min="15352" max="15365" width="9.28515625" style="13" bestFit="1" customWidth="1"/>
    <col min="15366" max="15604" width="9.140625" style="13"/>
    <col min="15605" max="15605" width="9.28515625" style="13" bestFit="1" customWidth="1"/>
    <col min="15606" max="15606" width="9.140625" style="13"/>
    <col min="15607" max="15607" width="10" style="13" bestFit="1" customWidth="1"/>
    <col min="15608" max="15621" width="9.28515625" style="13" bestFit="1" customWidth="1"/>
    <col min="15622" max="15860" width="9.140625" style="13"/>
    <col min="15861" max="15861" width="9.28515625" style="13" bestFit="1" customWidth="1"/>
    <col min="15862" max="15862" width="9.140625" style="13"/>
    <col min="15863" max="15863" width="10" style="13" bestFit="1" customWidth="1"/>
    <col min="15864" max="15877" width="9.28515625" style="13" bestFit="1" customWidth="1"/>
    <col min="15878" max="16116" width="9.140625" style="13"/>
    <col min="16117" max="16117" width="9.28515625" style="13" bestFit="1" customWidth="1"/>
    <col min="16118" max="16118" width="9.140625" style="13"/>
    <col min="16119" max="16119" width="10" style="13" bestFit="1" customWidth="1"/>
    <col min="16120" max="16133" width="9.28515625" style="13" bestFit="1" customWidth="1"/>
    <col min="16134" max="16384" width="9.140625" style="13"/>
  </cols>
  <sheetData>
    <row r="1" spans="1:13" x14ac:dyDescent="0.2">
      <c r="A1" s="13" t="s">
        <v>14</v>
      </c>
      <c r="B1" s="12" t="s">
        <v>15</v>
      </c>
      <c r="C1" s="12" t="s">
        <v>16</v>
      </c>
      <c r="D1" s="175" t="s">
        <v>1324</v>
      </c>
      <c r="E1" s="50" t="s">
        <v>1316</v>
      </c>
      <c r="F1" s="12" t="s">
        <v>1317</v>
      </c>
      <c r="G1" s="12" t="s">
        <v>17</v>
      </c>
      <c r="H1" s="12" t="s">
        <v>18</v>
      </c>
      <c r="I1" s="12" t="s">
        <v>1333</v>
      </c>
      <c r="J1" s="12" t="s">
        <v>1334</v>
      </c>
      <c r="K1" s="12" t="s">
        <v>1335</v>
      </c>
      <c r="L1" s="12" t="s">
        <v>1336</v>
      </c>
      <c r="M1" s="50" t="s">
        <v>19</v>
      </c>
    </row>
    <row r="2" spans="1:13" x14ac:dyDescent="0.2">
      <c r="A2" s="13" t="s">
        <v>1269</v>
      </c>
      <c r="B2" s="12"/>
      <c r="C2" s="12"/>
      <c r="D2" s="175"/>
      <c r="F2" s="12"/>
      <c r="G2" s="12"/>
      <c r="H2" s="12"/>
      <c r="I2" s="12"/>
      <c r="J2" s="12"/>
      <c r="K2" s="12"/>
      <c r="L2" s="12"/>
      <c r="M2" s="50"/>
    </row>
    <row r="3" spans="1:13" x14ac:dyDescent="0.2">
      <c r="A3" s="13" t="s">
        <v>20</v>
      </c>
      <c r="B3" s="12">
        <v>2013</v>
      </c>
      <c r="C3" s="12" t="s">
        <v>21</v>
      </c>
      <c r="D3" s="175">
        <v>73.543578550197026</v>
      </c>
      <c r="E3" s="177">
        <v>258311.59</v>
      </c>
      <c r="F3" s="178">
        <v>3403388.56</v>
      </c>
      <c r="G3" s="178">
        <v>39513.79</v>
      </c>
      <c r="H3" s="178">
        <v>1625.99</v>
      </c>
      <c r="I3" s="178">
        <v>1029606.69</v>
      </c>
      <c r="J3" s="178">
        <v>1051317.57</v>
      </c>
      <c r="K3" s="178">
        <v>225441.78</v>
      </c>
      <c r="L3" s="178">
        <v>317263.88000000006</v>
      </c>
      <c r="M3" s="181">
        <v>895.11318458720598</v>
      </c>
    </row>
    <row r="4" spans="1:13" x14ac:dyDescent="0.2">
      <c r="A4" s="13" t="s">
        <v>22</v>
      </c>
      <c r="B4" s="12">
        <v>2013</v>
      </c>
      <c r="C4" s="12" t="s">
        <v>23</v>
      </c>
      <c r="D4" s="175">
        <v>619.31737248366721</v>
      </c>
      <c r="E4" s="177">
        <v>3056826.07</v>
      </c>
      <c r="F4" s="178">
        <v>12637877.460000001</v>
      </c>
      <c r="G4" s="179">
        <v>404585.18</v>
      </c>
      <c r="H4" s="179">
        <v>324961.91999999998</v>
      </c>
      <c r="I4" s="179">
        <v>4091594.29</v>
      </c>
      <c r="J4" s="179">
        <v>4406534.8099999996</v>
      </c>
      <c r="K4" s="179">
        <v>671700.4</v>
      </c>
      <c r="L4" s="179">
        <v>1427576.6800000006</v>
      </c>
      <c r="M4" s="181">
        <v>3870.3595743014598</v>
      </c>
    </row>
    <row r="5" spans="1:13" x14ac:dyDescent="0.2">
      <c r="A5" s="13" t="s">
        <v>24</v>
      </c>
      <c r="B5" s="12">
        <v>2013</v>
      </c>
      <c r="C5" s="12" t="s">
        <v>25</v>
      </c>
      <c r="D5" s="175">
        <v>127.13580508474573</v>
      </c>
      <c r="E5" s="177">
        <v>315332.02</v>
      </c>
      <c r="F5" s="178">
        <v>4157448.12</v>
      </c>
      <c r="G5" s="179">
        <v>68884.789999999994</v>
      </c>
      <c r="H5" s="179">
        <v>38608.699999999997</v>
      </c>
      <c r="I5" s="179">
        <v>1354155.0400000003</v>
      </c>
      <c r="J5" s="179">
        <v>1585922.51</v>
      </c>
      <c r="K5" s="179">
        <v>509147.5</v>
      </c>
      <c r="L5" s="179">
        <v>257592.51</v>
      </c>
      <c r="M5" s="181">
        <v>1216.1174614792001</v>
      </c>
    </row>
    <row r="6" spans="1:13" x14ac:dyDescent="0.2">
      <c r="A6" s="13" t="s">
        <v>26</v>
      </c>
      <c r="B6" s="12">
        <v>2013</v>
      </c>
      <c r="C6" s="12" t="s">
        <v>27</v>
      </c>
      <c r="D6" s="175">
        <v>3685.5459770114944</v>
      </c>
      <c r="E6" s="177">
        <v>26618724.699999999</v>
      </c>
      <c r="F6" s="178">
        <v>90373301.859999999</v>
      </c>
      <c r="G6" s="178">
        <v>3630531.8</v>
      </c>
      <c r="H6" s="178">
        <v>175671.07</v>
      </c>
      <c r="I6" s="178">
        <v>32105925.109999966</v>
      </c>
      <c r="J6" s="178">
        <v>41416050.599999994</v>
      </c>
      <c r="K6" s="178">
        <v>9500703.7299999986</v>
      </c>
      <c r="L6" s="178">
        <v>17270744.320000004</v>
      </c>
      <c r="M6" s="181">
        <v>21858.042676646201</v>
      </c>
    </row>
    <row r="7" spans="1:13" x14ac:dyDescent="0.2">
      <c r="A7" s="13" t="s">
        <v>28</v>
      </c>
      <c r="B7" s="12">
        <v>2013</v>
      </c>
      <c r="C7" s="12" t="s">
        <v>29</v>
      </c>
      <c r="D7" s="175">
        <v>251.69069336299589</v>
      </c>
      <c r="E7" s="177">
        <v>478605.28</v>
      </c>
      <c r="F7" s="178">
        <v>2500288.14</v>
      </c>
      <c r="G7" s="178">
        <v>96592.07</v>
      </c>
      <c r="H7" s="178">
        <v>103613.4</v>
      </c>
      <c r="I7" s="178">
        <v>1509541.2</v>
      </c>
      <c r="J7" s="178">
        <v>2605827.2300000004</v>
      </c>
      <c r="K7" s="178">
        <v>499470.27</v>
      </c>
      <c r="L7" s="178">
        <v>475253.00000000006</v>
      </c>
      <c r="M7" s="181">
        <v>1618.3286614757101</v>
      </c>
    </row>
    <row r="8" spans="1:13" x14ac:dyDescent="0.2">
      <c r="A8" s="13" t="s">
        <v>30</v>
      </c>
      <c r="B8" s="12">
        <v>2013</v>
      </c>
      <c r="C8" s="12" t="s">
        <v>31</v>
      </c>
      <c r="D8" s="175">
        <v>90.351565853891216</v>
      </c>
      <c r="E8" s="177">
        <v>294491.37</v>
      </c>
      <c r="F8" s="178">
        <v>3937086.14</v>
      </c>
      <c r="G8" s="178">
        <v>30902.75</v>
      </c>
      <c r="H8" s="178">
        <v>4126.4799999999996</v>
      </c>
      <c r="I8" s="178">
        <v>1212985.8900000001</v>
      </c>
      <c r="J8" s="178">
        <v>1336868.5499999998</v>
      </c>
      <c r="K8" s="178">
        <v>142278.1</v>
      </c>
      <c r="L8" s="178">
        <v>327969.27999999991</v>
      </c>
      <c r="M8" s="181">
        <v>1134.6609446725799</v>
      </c>
    </row>
    <row r="9" spans="1:13" x14ac:dyDescent="0.2">
      <c r="A9" s="13" t="s">
        <v>32</v>
      </c>
      <c r="B9" s="12">
        <v>2013</v>
      </c>
      <c r="C9" s="12" t="s">
        <v>33</v>
      </c>
      <c r="D9" s="175">
        <v>473.69491525423729</v>
      </c>
      <c r="E9" s="177">
        <v>2851236.68</v>
      </c>
      <c r="F9" s="178">
        <v>10092218.76</v>
      </c>
      <c r="G9" s="178">
        <v>383525.57</v>
      </c>
      <c r="H9" s="178">
        <v>32716.720000000001</v>
      </c>
      <c r="I9" s="178">
        <v>3144028.899999999</v>
      </c>
      <c r="J9" s="178">
        <v>3729061.3399999989</v>
      </c>
      <c r="K9" s="178">
        <v>377666.69999999972</v>
      </c>
      <c r="L9" s="178">
        <v>1142979.0499999996</v>
      </c>
      <c r="M9" s="181">
        <v>2826.4683615819199</v>
      </c>
    </row>
    <row r="10" spans="1:13" x14ac:dyDescent="0.2">
      <c r="A10" s="13" t="s">
        <v>34</v>
      </c>
      <c r="B10" s="12">
        <v>2013</v>
      </c>
      <c r="C10" s="12" t="s">
        <v>35</v>
      </c>
      <c r="D10" s="175">
        <v>178.43711778519341</v>
      </c>
      <c r="E10" s="177">
        <v>742921.28</v>
      </c>
      <c r="F10" s="178">
        <v>4452717.6399999997</v>
      </c>
      <c r="G10" s="178">
        <v>455880.81</v>
      </c>
      <c r="H10" s="178">
        <v>161539.67000000001</v>
      </c>
      <c r="I10" s="178">
        <v>1680111.5899999999</v>
      </c>
      <c r="J10" s="178">
        <v>2336376.7800000003</v>
      </c>
      <c r="K10" s="178">
        <v>149986.82</v>
      </c>
      <c r="L10" s="178">
        <v>649970.13000000012</v>
      </c>
      <c r="M10" s="181">
        <v>1699.60964671597</v>
      </c>
    </row>
    <row r="11" spans="1:13" x14ac:dyDescent="0.2">
      <c r="A11" s="13" t="s">
        <v>36</v>
      </c>
      <c r="B11" s="12">
        <v>2013</v>
      </c>
      <c r="C11" s="12" t="s">
        <v>37</v>
      </c>
      <c r="D11" s="175">
        <v>564.79917755792349</v>
      </c>
      <c r="E11" s="177">
        <v>1915106.52</v>
      </c>
      <c r="F11" s="178">
        <v>14709089.800000001</v>
      </c>
      <c r="G11" s="178">
        <v>333767.53000000003</v>
      </c>
      <c r="H11" s="178">
        <v>74854.899999999994</v>
      </c>
      <c r="I11" s="178">
        <v>3815741.4499999988</v>
      </c>
      <c r="J11" s="178">
        <v>4443189.0999999996</v>
      </c>
      <c r="K11" s="178">
        <v>1617544.5899999996</v>
      </c>
      <c r="L11" s="178">
        <v>1631269.25</v>
      </c>
      <c r="M11" s="181">
        <v>3907.2492550112202</v>
      </c>
    </row>
    <row r="12" spans="1:13" x14ac:dyDescent="0.2">
      <c r="A12" s="13" t="s">
        <v>38</v>
      </c>
      <c r="B12" s="12">
        <v>2013</v>
      </c>
      <c r="C12" s="12" t="s">
        <v>39</v>
      </c>
      <c r="D12" s="175">
        <v>104.52195622435022</v>
      </c>
      <c r="E12" s="177">
        <v>244554.48</v>
      </c>
      <c r="F12" s="178">
        <v>4246738.2300000004</v>
      </c>
      <c r="G12" s="179">
        <v>248996.6</v>
      </c>
      <c r="H12" s="179">
        <v>10901.69</v>
      </c>
      <c r="I12" s="179">
        <v>1235529.8600000001</v>
      </c>
      <c r="J12" s="179">
        <v>1435170.2799999998</v>
      </c>
      <c r="K12" s="179">
        <v>250080.55000000005</v>
      </c>
      <c r="L12" s="179">
        <v>417663.60000000021</v>
      </c>
      <c r="M12" s="181">
        <v>1223.22010551167</v>
      </c>
    </row>
    <row r="13" spans="1:13" x14ac:dyDescent="0.2">
      <c r="A13" s="13" t="s">
        <v>40</v>
      </c>
      <c r="B13" s="12">
        <v>2013</v>
      </c>
      <c r="C13" s="12" t="s">
        <v>41</v>
      </c>
      <c r="D13" s="175">
        <v>79.117009690860613</v>
      </c>
      <c r="E13" s="177">
        <v>468821.2</v>
      </c>
      <c r="F13" s="178">
        <v>2659319.56</v>
      </c>
      <c r="G13" s="178">
        <v>74047.570000000007</v>
      </c>
      <c r="H13" s="178">
        <v>15911.14</v>
      </c>
      <c r="I13" s="178">
        <v>736530.14999999991</v>
      </c>
      <c r="J13" s="178">
        <v>962498.37000000011</v>
      </c>
      <c r="K13" s="178">
        <v>335321.16000000009</v>
      </c>
      <c r="L13" s="178">
        <v>144733.44</v>
      </c>
      <c r="M13" s="181">
        <v>693.28239269168796</v>
      </c>
    </row>
    <row r="14" spans="1:13" x14ac:dyDescent="0.2">
      <c r="A14" s="13" t="s">
        <v>42</v>
      </c>
      <c r="B14" s="12">
        <v>2013</v>
      </c>
      <c r="C14" s="12" t="s">
        <v>43</v>
      </c>
      <c r="D14" s="175">
        <v>332.23085777126113</v>
      </c>
      <c r="E14" s="177">
        <v>1357138.78</v>
      </c>
      <c r="F14" s="178">
        <v>16613694.109999999</v>
      </c>
      <c r="G14" s="178">
        <v>277000.55</v>
      </c>
      <c r="H14" s="178">
        <v>0</v>
      </c>
      <c r="I14" s="178">
        <v>4292699.76</v>
      </c>
      <c r="J14" s="178">
        <v>5907296.7200000007</v>
      </c>
      <c r="K14" s="178">
        <v>895643.66999999993</v>
      </c>
      <c r="L14" s="178">
        <v>1784266.62</v>
      </c>
      <c r="M14" s="181">
        <v>4301.8673753665698</v>
      </c>
    </row>
    <row r="15" spans="1:13" x14ac:dyDescent="0.2">
      <c r="A15" s="13" t="s">
        <v>44</v>
      </c>
      <c r="B15" s="12">
        <v>2013</v>
      </c>
      <c r="C15" s="12" t="s">
        <v>45</v>
      </c>
      <c r="D15" s="175">
        <v>83.287265677366079</v>
      </c>
      <c r="E15" s="177">
        <v>13455.48</v>
      </c>
      <c r="F15" s="178">
        <v>2457667.9</v>
      </c>
      <c r="G15" s="179">
        <v>48584.2</v>
      </c>
      <c r="H15" s="179">
        <v>52506.82</v>
      </c>
      <c r="I15" s="179">
        <v>810792.6</v>
      </c>
      <c r="J15" s="179">
        <v>1015732.06</v>
      </c>
      <c r="K15" s="179">
        <v>197314.80000000002</v>
      </c>
      <c r="L15" s="179">
        <v>73402.209999999992</v>
      </c>
      <c r="M15" s="181">
        <v>666.90396689408999</v>
      </c>
    </row>
    <row r="16" spans="1:13" x14ac:dyDescent="0.2">
      <c r="A16" s="13" t="s">
        <v>46</v>
      </c>
      <c r="B16" s="12">
        <v>2013</v>
      </c>
      <c r="C16" s="12" t="s">
        <v>47</v>
      </c>
      <c r="D16" s="175">
        <v>44.950891840607206</v>
      </c>
      <c r="E16" s="177">
        <v>119031.78</v>
      </c>
      <c r="F16" s="178">
        <v>2160665.1800000002</v>
      </c>
      <c r="G16" s="178">
        <v>91002.26</v>
      </c>
      <c r="H16" s="178">
        <v>19777.11</v>
      </c>
      <c r="I16" s="178">
        <v>761927</v>
      </c>
      <c r="J16" s="178">
        <v>893859.15999999992</v>
      </c>
      <c r="K16" s="178">
        <v>199022.96999999994</v>
      </c>
      <c r="L16" s="178">
        <v>121861.33000000002</v>
      </c>
      <c r="M16" s="181">
        <v>558.918406072106</v>
      </c>
    </row>
    <row r="17" spans="1:13" x14ac:dyDescent="0.2">
      <c r="A17" s="13" t="s">
        <v>48</v>
      </c>
      <c r="B17" s="12">
        <v>2013</v>
      </c>
      <c r="C17" s="12" t="s">
        <v>49</v>
      </c>
      <c r="D17" s="175">
        <v>98.35404130699456</v>
      </c>
      <c r="E17" s="177">
        <v>472721.89</v>
      </c>
      <c r="F17" s="178">
        <v>3910036.07</v>
      </c>
      <c r="G17" s="178">
        <v>96985.22</v>
      </c>
      <c r="H17" s="178">
        <v>7372.62</v>
      </c>
      <c r="I17" s="178">
        <v>1040123.7000000002</v>
      </c>
      <c r="J17" s="178">
        <v>1363811.09</v>
      </c>
      <c r="K17" s="178">
        <v>468133.45</v>
      </c>
      <c r="L17" s="178">
        <v>254657.44</v>
      </c>
      <c r="M17" s="181">
        <v>1098.46571596231</v>
      </c>
    </row>
    <row r="18" spans="1:13" x14ac:dyDescent="0.2">
      <c r="A18" s="13" t="s">
        <v>50</v>
      </c>
      <c r="B18" s="12">
        <v>2013</v>
      </c>
      <c r="C18" s="12" t="s">
        <v>51</v>
      </c>
      <c r="D18" s="175">
        <v>106.33973552559738</v>
      </c>
      <c r="E18" s="177">
        <v>394345.89</v>
      </c>
      <c r="F18" s="178">
        <v>5569230.2199999997</v>
      </c>
      <c r="G18" s="178">
        <v>161923.46</v>
      </c>
      <c r="H18" s="178">
        <v>15268.54</v>
      </c>
      <c r="I18" s="178">
        <v>1265379.9699999997</v>
      </c>
      <c r="J18" s="178">
        <v>1469727.7400000002</v>
      </c>
      <c r="K18" s="178">
        <v>427183.58999999979</v>
      </c>
      <c r="L18" s="178">
        <v>642673.9099999998</v>
      </c>
      <c r="M18" s="181">
        <v>1255.30691674028</v>
      </c>
    </row>
    <row r="19" spans="1:13" x14ac:dyDescent="0.2">
      <c r="A19" s="13" t="s">
        <v>52</v>
      </c>
      <c r="B19" s="12">
        <v>2013</v>
      </c>
      <c r="C19" s="12" t="s">
        <v>53</v>
      </c>
      <c r="D19" s="175">
        <v>87.439228772710422</v>
      </c>
      <c r="E19" s="177">
        <v>339875.06</v>
      </c>
      <c r="F19" s="178">
        <v>2548558.69</v>
      </c>
      <c r="G19" s="178">
        <v>74725.56</v>
      </c>
      <c r="H19" s="178">
        <v>3683.14</v>
      </c>
      <c r="I19" s="178">
        <v>754383.26</v>
      </c>
      <c r="J19" s="178">
        <v>743782.3</v>
      </c>
      <c r="K19" s="178">
        <v>288626.24</v>
      </c>
      <c r="L19" s="178">
        <v>168573.85</v>
      </c>
      <c r="M19" s="181">
        <v>566.92265480163098</v>
      </c>
    </row>
    <row r="20" spans="1:13" x14ac:dyDescent="0.2">
      <c r="A20" s="13" t="s">
        <v>54</v>
      </c>
      <c r="B20" s="12">
        <v>2013</v>
      </c>
      <c r="C20" s="12" t="s">
        <v>55</v>
      </c>
      <c r="D20" s="175">
        <v>317.78300141242937</v>
      </c>
      <c r="E20" s="177">
        <v>2338040.2000000002</v>
      </c>
      <c r="F20" s="178">
        <v>13051686.23</v>
      </c>
      <c r="G20" s="178">
        <v>312258.06</v>
      </c>
      <c r="H20" s="178">
        <v>23214.57</v>
      </c>
      <c r="I20" s="178">
        <v>4094385.4299999983</v>
      </c>
      <c r="J20" s="178">
        <v>3488150.5399999996</v>
      </c>
      <c r="K20" s="178">
        <v>404223</v>
      </c>
      <c r="L20" s="178">
        <v>1491798</v>
      </c>
      <c r="M20" s="181">
        <v>3301.8007650659101</v>
      </c>
    </row>
    <row r="21" spans="1:13" x14ac:dyDescent="0.2">
      <c r="A21" s="13" t="s">
        <v>56</v>
      </c>
      <c r="B21" s="12">
        <v>2013</v>
      </c>
      <c r="C21" s="12" t="s">
        <v>57</v>
      </c>
      <c r="D21" s="175">
        <v>681.40519835841314</v>
      </c>
      <c r="E21" s="177">
        <v>2381208.73</v>
      </c>
      <c r="F21" s="178">
        <v>11485082.75</v>
      </c>
      <c r="G21" s="178">
        <v>72792.83</v>
      </c>
      <c r="H21" s="178">
        <v>579.27</v>
      </c>
      <c r="I21" s="178">
        <v>3882707.66</v>
      </c>
      <c r="J21" s="178">
        <v>5405673.6700000009</v>
      </c>
      <c r="K21" s="178">
        <v>1602464.6999999995</v>
      </c>
      <c r="L21" s="178">
        <v>1861067.8099999984</v>
      </c>
      <c r="M21" s="181">
        <v>3623.8682954856399</v>
      </c>
    </row>
    <row r="22" spans="1:13" x14ac:dyDescent="0.2">
      <c r="A22" s="13" t="s">
        <v>58</v>
      </c>
      <c r="B22" s="12">
        <v>2013</v>
      </c>
      <c r="C22" s="12" t="s">
        <v>59</v>
      </c>
      <c r="D22" s="175">
        <v>395.32694873595523</v>
      </c>
      <c r="E22" s="177">
        <v>2284251.58</v>
      </c>
      <c r="F22" s="178">
        <v>12549472.109999999</v>
      </c>
      <c r="G22" s="178">
        <v>89693.16</v>
      </c>
      <c r="H22" s="178">
        <v>2278.31</v>
      </c>
      <c r="I22" s="178">
        <v>3197592.7700000005</v>
      </c>
      <c r="J22" s="178">
        <v>4571886.78</v>
      </c>
      <c r="K22" s="178">
        <v>1722252.5100000005</v>
      </c>
      <c r="L22" s="178">
        <v>1242917.5500000003</v>
      </c>
      <c r="M22" s="181">
        <v>2636.8098104498899</v>
      </c>
    </row>
    <row r="23" spans="1:13" x14ac:dyDescent="0.2">
      <c r="A23" s="13" t="s">
        <v>60</v>
      </c>
      <c r="B23" s="12">
        <v>2013</v>
      </c>
      <c r="C23" s="12" t="s">
        <v>61</v>
      </c>
      <c r="D23" s="175">
        <v>220.48797266686802</v>
      </c>
      <c r="E23" s="177">
        <v>1769087.45</v>
      </c>
      <c r="F23" s="178">
        <v>13161889.59</v>
      </c>
      <c r="G23" s="179">
        <v>146760.5</v>
      </c>
      <c r="H23" s="179">
        <v>108127.19</v>
      </c>
      <c r="I23" s="179">
        <v>3713066.1300000004</v>
      </c>
      <c r="J23" s="179">
        <v>4272451.2200000016</v>
      </c>
      <c r="K23" s="179">
        <v>1109294.6099999999</v>
      </c>
      <c r="L23" s="179">
        <v>1734025.2400000002</v>
      </c>
      <c r="M23" s="181">
        <v>2818.8579649579601</v>
      </c>
    </row>
    <row r="24" spans="1:13" x14ac:dyDescent="0.2">
      <c r="A24" s="13" t="s">
        <v>62</v>
      </c>
      <c r="B24" s="12">
        <v>2013</v>
      </c>
      <c r="C24" s="12" t="s">
        <v>63</v>
      </c>
      <c r="D24" s="175">
        <v>582.2391938102221</v>
      </c>
      <c r="E24" s="177">
        <v>1730861.06</v>
      </c>
      <c r="F24" s="178">
        <v>17894655.629999999</v>
      </c>
      <c r="G24" s="178">
        <v>180226.31</v>
      </c>
      <c r="H24" s="179">
        <v>67285.94</v>
      </c>
      <c r="I24" s="179">
        <v>4198606.6399999997</v>
      </c>
      <c r="J24" s="179">
        <v>5368600.7000000011</v>
      </c>
      <c r="K24" s="179">
        <v>1078887.7300000004</v>
      </c>
      <c r="L24" s="179">
        <v>2825791.7600000012</v>
      </c>
      <c r="M24" s="181">
        <v>5285.1161502408904</v>
      </c>
    </row>
    <row r="25" spans="1:13" x14ac:dyDescent="0.2">
      <c r="A25" s="13" t="s">
        <v>64</v>
      </c>
      <c r="B25" s="12">
        <v>2013</v>
      </c>
      <c r="C25" s="12" t="s">
        <v>65</v>
      </c>
      <c r="D25" s="175">
        <v>348.99652068437177</v>
      </c>
      <c r="E25" s="177">
        <v>1736800.81</v>
      </c>
      <c r="F25" s="178">
        <v>17375526.98</v>
      </c>
      <c r="G25" s="178">
        <v>703210.5</v>
      </c>
      <c r="H25" s="178">
        <v>23328.97</v>
      </c>
      <c r="I25" s="178">
        <v>4498361.8600000003</v>
      </c>
      <c r="J25" s="178">
        <v>5903631.959999999</v>
      </c>
      <c r="K25" s="178">
        <v>841451.53999999969</v>
      </c>
      <c r="L25" s="178">
        <v>3529961.96</v>
      </c>
      <c r="M25" s="181">
        <v>3574.5254379468802</v>
      </c>
    </row>
    <row r="26" spans="1:13" x14ac:dyDescent="0.2">
      <c r="A26" s="13" t="s">
        <v>66</v>
      </c>
      <c r="B26" s="12">
        <v>2013</v>
      </c>
      <c r="C26" s="12" t="s">
        <v>67</v>
      </c>
      <c r="D26" s="175">
        <v>365.36525915186655</v>
      </c>
      <c r="E26" s="177">
        <v>1716600.23</v>
      </c>
      <c r="F26" s="178">
        <v>13419868.09</v>
      </c>
      <c r="G26" s="178">
        <v>998695.72</v>
      </c>
      <c r="H26" s="178">
        <v>19345.84</v>
      </c>
      <c r="I26" s="178">
        <v>3551393.92</v>
      </c>
      <c r="J26" s="178">
        <v>4019346.5500000003</v>
      </c>
      <c r="K26" s="178">
        <v>619250.85000000021</v>
      </c>
      <c r="L26" s="178">
        <v>990861.91000000027</v>
      </c>
      <c r="M26" s="181">
        <v>4056.2950036245002</v>
      </c>
    </row>
    <row r="27" spans="1:13" x14ac:dyDescent="0.2">
      <c r="A27" s="13" t="s">
        <v>68</v>
      </c>
      <c r="B27" s="12">
        <v>2013</v>
      </c>
      <c r="C27" s="12" t="s">
        <v>69</v>
      </c>
      <c r="D27" s="175">
        <v>44.981475439882679</v>
      </c>
      <c r="E27" s="177">
        <v>289575.02</v>
      </c>
      <c r="F27" s="178">
        <v>3636421.1</v>
      </c>
      <c r="G27" s="178">
        <v>74063.39</v>
      </c>
      <c r="H27" s="178">
        <v>115931.24</v>
      </c>
      <c r="I27" s="178">
        <v>961515.99000000011</v>
      </c>
      <c r="J27" s="178">
        <v>806491.42999999982</v>
      </c>
      <c r="K27" s="178">
        <v>256050.47000000003</v>
      </c>
      <c r="L27" s="178">
        <v>329988.56999999995</v>
      </c>
      <c r="M27" s="181">
        <v>776.31865835777103</v>
      </c>
    </row>
    <row r="28" spans="1:13" x14ac:dyDescent="0.2">
      <c r="A28" s="13" t="s">
        <v>70</v>
      </c>
      <c r="B28" s="12">
        <v>2013</v>
      </c>
      <c r="C28" s="12" t="s">
        <v>71</v>
      </c>
      <c r="D28" s="175">
        <v>589.46558496816942</v>
      </c>
      <c r="E28" s="177">
        <v>2799103.24</v>
      </c>
      <c r="F28" s="178">
        <v>14027448.529999999</v>
      </c>
      <c r="G28" s="178">
        <v>259882.03</v>
      </c>
      <c r="H28" s="178">
        <v>113465.48</v>
      </c>
      <c r="I28" s="178">
        <v>3967707.82</v>
      </c>
      <c r="J28" s="178">
        <v>4217992.3999999994</v>
      </c>
      <c r="K28" s="178">
        <v>682450.47000000009</v>
      </c>
      <c r="L28" s="178">
        <v>1969365.7799999998</v>
      </c>
      <c r="M28" s="181">
        <v>3738.8698988630699</v>
      </c>
    </row>
    <row r="29" spans="1:13" x14ac:dyDescent="0.2">
      <c r="A29" s="13" t="s">
        <v>72</v>
      </c>
      <c r="B29" s="12">
        <v>2013</v>
      </c>
      <c r="C29" s="12" t="s">
        <v>73</v>
      </c>
      <c r="D29" s="175">
        <v>138.35289546379551</v>
      </c>
      <c r="E29" s="177">
        <v>434536.09</v>
      </c>
      <c r="F29" s="178">
        <v>2495615.7200000002</v>
      </c>
      <c r="G29" s="178">
        <v>130273.73</v>
      </c>
      <c r="H29" s="178">
        <v>27647.93</v>
      </c>
      <c r="I29" s="178">
        <v>1009924.13</v>
      </c>
      <c r="J29" s="178">
        <v>1665315.6199999999</v>
      </c>
      <c r="K29" s="178">
        <v>304918.35000000003</v>
      </c>
      <c r="L29" s="178">
        <v>690703.6399999999</v>
      </c>
      <c r="M29" s="181">
        <v>1175.2528151610099</v>
      </c>
    </row>
    <row r="30" spans="1:13" x14ac:dyDescent="0.2">
      <c r="A30" s="13" t="s">
        <v>74</v>
      </c>
      <c r="B30" s="12">
        <v>2013</v>
      </c>
      <c r="C30" s="12" t="s">
        <v>75</v>
      </c>
      <c r="D30" s="175">
        <v>273.32592294851872</v>
      </c>
      <c r="E30" s="177">
        <v>795861.65</v>
      </c>
      <c r="F30" s="178">
        <v>7029572.9000000004</v>
      </c>
      <c r="G30" s="178">
        <v>37850.839999999997</v>
      </c>
      <c r="H30" s="178">
        <v>29848.53</v>
      </c>
      <c r="I30" s="178">
        <v>2210637.66</v>
      </c>
      <c r="J30" s="178">
        <v>2600508.5299999998</v>
      </c>
      <c r="K30" s="178">
        <v>49645.770000000011</v>
      </c>
      <c r="L30" s="178">
        <v>405151.49</v>
      </c>
      <c r="M30" s="181">
        <v>2131.4374315447799</v>
      </c>
    </row>
    <row r="31" spans="1:13" x14ac:dyDescent="0.2">
      <c r="A31" s="13" t="s">
        <v>76</v>
      </c>
      <c r="B31" s="12">
        <v>2013</v>
      </c>
      <c r="C31" s="12" t="s">
        <v>77</v>
      </c>
      <c r="D31" s="175">
        <v>139.20354764991814</v>
      </c>
      <c r="E31" s="177">
        <v>673779.04</v>
      </c>
      <c r="F31" s="178">
        <v>6597330.6699999999</v>
      </c>
      <c r="G31" s="178">
        <v>162015.67000000001</v>
      </c>
      <c r="H31" s="178">
        <v>1230.1500000000001</v>
      </c>
      <c r="I31" s="178">
        <v>2051982.3899999997</v>
      </c>
      <c r="J31" s="178">
        <v>2370516.1999999988</v>
      </c>
      <c r="K31" s="178">
        <v>203643.58</v>
      </c>
      <c r="L31" s="178">
        <v>779056.65</v>
      </c>
      <c r="M31" s="181">
        <v>1827.74018793716</v>
      </c>
    </row>
    <row r="32" spans="1:13" x14ac:dyDescent="0.2">
      <c r="A32" s="13" t="s">
        <v>78</v>
      </c>
      <c r="B32" s="12">
        <v>2013</v>
      </c>
      <c r="C32" s="12" t="s">
        <v>79</v>
      </c>
      <c r="D32" s="175">
        <v>239.53790859725072</v>
      </c>
      <c r="E32" s="177">
        <v>1564183.99</v>
      </c>
      <c r="F32" s="178">
        <v>12299724</v>
      </c>
      <c r="G32" s="178">
        <v>333071.24</v>
      </c>
      <c r="H32" s="178">
        <v>206040.95</v>
      </c>
      <c r="I32" s="178">
        <v>4277720.26</v>
      </c>
      <c r="J32" s="178">
        <v>3569812.4599999995</v>
      </c>
      <c r="K32" s="178">
        <v>545793.30999999994</v>
      </c>
      <c r="L32" s="178">
        <v>2180991.2200000007</v>
      </c>
      <c r="M32" s="181">
        <v>2461.4640747702601</v>
      </c>
    </row>
    <row r="33" spans="1:13" x14ac:dyDescent="0.2">
      <c r="A33" s="13" t="s">
        <v>80</v>
      </c>
      <c r="B33" s="12">
        <v>2013</v>
      </c>
      <c r="C33" s="12" t="s">
        <v>81</v>
      </c>
      <c r="D33" s="175">
        <v>190.80674896377727</v>
      </c>
      <c r="E33" s="177">
        <v>1796733.64</v>
      </c>
      <c r="F33" s="178">
        <v>10364230.810000001</v>
      </c>
      <c r="G33" s="178">
        <v>254728.83</v>
      </c>
      <c r="H33" s="178">
        <v>164163.74</v>
      </c>
      <c r="I33" s="178">
        <v>4877108.9300000006</v>
      </c>
      <c r="J33" s="178">
        <v>5028494.1900000004</v>
      </c>
      <c r="K33" s="178">
        <v>1137516.9800000002</v>
      </c>
      <c r="L33" s="178">
        <v>1669367.6500000006</v>
      </c>
      <c r="M33" s="181">
        <v>1481.0528221301099</v>
      </c>
    </row>
    <row r="34" spans="1:13" x14ac:dyDescent="0.2">
      <c r="A34" s="13" t="s">
        <v>82</v>
      </c>
      <c r="B34" s="12">
        <v>2013</v>
      </c>
      <c r="C34" s="12" t="s">
        <v>83</v>
      </c>
      <c r="D34" s="175">
        <v>272.35693733778265</v>
      </c>
      <c r="E34" s="177">
        <v>1060580.01</v>
      </c>
      <c r="F34" s="178">
        <v>7140529.2599999998</v>
      </c>
      <c r="G34" s="178">
        <v>157172.29</v>
      </c>
      <c r="H34" s="178">
        <v>88313.68</v>
      </c>
      <c r="I34" s="178">
        <v>1955015.1900000004</v>
      </c>
      <c r="J34" s="178">
        <v>2670142.0099999998</v>
      </c>
      <c r="K34" s="178">
        <v>606661.68999999994</v>
      </c>
      <c r="L34" s="178">
        <v>451079.87000000005</v>
      </c>
      <c r="M34" s="181">
        <v>1953.8286688913599</v>
      </c>
    </row>
    <row r="35" spans="1:13" x14ac:dyDescent="0.2">
      <c r="A35" s="13" t="s">
        <v>84</v>
      </c>
      <c r="B35" s="12">
        <v>2013</v>
      </c>
      <c r="C35" s="12" t="s">
        <v>85</v>
      </c>
      <c r="D35" s="175">
        <v>923.21476443708741</v>
      </c>
      <c r="E35" s="177">
        <v>5403487.4000000004</v>
      </c>
      <c r="F35" s="178">
        <v>27048088.739999998</v>
      </c>
      <c r="G35" s="178">
        <v>381949.81</v>
      </c>
      <c r="H35" s="178">
        <v>128447.39</v>
      </c>
      <c r="I35" s="178">
        <v>7872976.3999999948</v>
      </c>
      <c r="J35" s="178">
        <v>9920917.5099999979</v>
      </c>
      <c r="K35" s="178">
        <v>3954566.7299999991</v>
      </c>
      <c r="L35" s="178">
        <v>4234592.5200000023</v>
      </c>
      <c r="M35" s="181">
        <v>7244.45023821424</v>
      </c>
    </row>
    <row r="36" spans="1:13" x14ac:dyDescent="0.2">
      <c r="A36" s="13" t="s">
        <v>86</v>
      </c>
      <c r="B36" s="12">
        <v>2013</v>
      </c>
      <c r="C36" s="12" t="s">
        <v>87</v>
      </c>
      <c r="D36" s="175">
        <v>532.38773485499769</v>
      </c>
      <c r="E36" s="177">
        <v>4023665.98</v>
      </c>
      <c r="F36" s="178">
        <v>13677177.359999999</v>
      </c>
      <c r="G36" s="178">
        <v>536359.29</v>
      </c>
      <c r="H36" s="178">
        <v>70721.009999999995</v>
      </c>
      <c r="I36" s="178">
        <v>6850435.7499999991</v>
      </c>
      <c r="J36" s="178">
        <v>9300763.5599999987</v>
      </c>
      <c r="K36" s="178">
        <v>2016860.7500000009</v>
      </c>
      <c r="L36" s="178">
        <v>1679323.61</v>
      </c>
      <c r="M36" s="181">
        <v>3438.5364088148599</v>
      </c>
    </row>
    <row r="37" spans="1:13" x14ac:dyDescent="0.2">
      <c r="A37" s="13" t="s">
        <v>88</v>
      </c>
      <c r="B37" s="12">
        <v>2013</v>
      </c>
      <c r="C37" s="12" t="s">
        <v>89</v>
      </c>
      <c r="D37" s="175">
        <v>227.62921519484985</v>
      </c>
      <c r="E37" s="177">
        <v>736816.61</v>
      </c>
      <c r="F37" s="178">
        <v>3249095.71</v>
      </c>
      <c r="G37" s="178">
        <v>52026.59</v>
      </c>
      <c r="H37" s="178">
        <v>1477.08</v>
      </c>
      <c r="I37" s="178">
        <v>1268665.1499999999</v>
      </c>
      <c r="J37" s="178">
        <v>2218455.6300000004</v>
      </c>
      <c r="K37" s="178">
        <v>324534.40000000002</v>
      </c>
      <c r="L37" s="178">
        <v>405592.95000000007</v>
      </c>
      <c r="M37" s="181">
        <v>1260.1825524595799</v>
      </c>
    </row>
    <row r="38" spans="1:13" x14ac:dyDescent="0.2">
      <c r="A38" s="13" t="s">
        <v>90</v>
      </c>
      <c r="B38" s="12">
        <v>2013</v>
      </c>
      <c r="C38" s="12" t="s">
        <v>91</v>
      </c>
      <c r="D38" s="175">
        <v>198.55758883855611</v>
      </c>
      <c r="E38" s="177">
        <v>1026018.8</v>
      </c>
      <c r="F38" s="178">
        <v>9957457.9299999997</v>
      </c>
      <c r="G38" s="178">
        <v>408396.67</v>
      </c>
      <c r="H38" s="178">
        <v>83127.13</v>
      </c>
      <c r="I38" s="178">
        <v>2690799.83</v>
      </c>
      <c r="J38" s="178">
        <v>4377219.9800000004</v>
      </c>
      <c r="K38" s="178">
        <v>671912.05999999982</v>
      </c>
      <c r="L38" s="178">
        <v>1307351.0199999998</v>
      </c>
      <c r="M38" s="181">
        <v>2597.9356796678799</v>
      </c>
    </row>
    <row r="39" spans="1:13" x14ac:dyDescent="0.2">
      <c r="A39" s="13" t="s">
        <v>92</v>
      </c>
      <c r="B39" s="12">
        <v>2013</v>
      </c>
      <c r="C39" s="12" t="s">
        <v>93</v>
      </c>
      <c r="D39" s="175">
        <v>359.91338979632991</v>
      </c>
      <c r="E39" s="177">
        <v>1511308.36</v>
      </c>
      <c r="F39" s="178">
        <v>9271248.8399999999</v>
      </c>
      <c r="G39" s="178">
        <v>96438.48</v>
      </c>
      <c r="H39" s="178">
        <v>70204.61</v>
      </c>
      <c r="I39" s="178">
        <v>2822176.3300000005</v>
      </c>
      <c r="J39" s="178">
        <v>2685065.419999999</v>
      </c>
      <c r="K39" s="178">
        <v>615756.43000000005</v>
      </c>
      <c r="L39" s="178">
        <v>1213773.5600000005</v>
      </c>
      <c r="M39" s="181">
        <v>2643.6673085754801</v>
      </c>
    </row>
    <row r="40" spans="1:13" x14ac:dyDescent="0.2">
      <c r="A40" s="13" t="s">
        <v>94</v>
      </c>
      <c r="B40" s="12">
        <v>2013</v>
      </c>
      <c r="C40" s="12" t="s">
        <v>95</v>
      </c>
      <c r="D40" s="175">
        <v>250.86879203552812</v>
      </c>
      <c r="E40" s="177">
        <v>1250254.32</v>
      </c>
      <c r="F40" s="178">
        <v>6296272.6500000004</v>
      </c>
      <c r="G40" s="178">
        <v>419610.68</v>
      </c>
      <c r="H40" s="178">
        <v>15038.83</v>
      </c>
      <c r="I40" s="178">
        <v>2164180.9700000002</v>
      </c>
      <c r="J40" s="178">
        <v>2790526.1399999997</v>
      </c>
      <c r="K40" s="178">
        <v>692361.66999999993</v>
      </c>
      <c r="L40" s="178">
        <v>1049344.6099999996</v>
      </c>
      <c r="M40" s="181">
        <v>2077.76953602087</v>
      </c>
    </row>
    <row r="41" spans="1:13" x14ac:dyDescent="0.2">
      <c r="A41" s="13" t="s">
        <v>96</v>
      </c>
      <c r="B41" s="12">
        <v>2013</v>
      </c>
      <c r="C41" s="12" t="s">
        <v>97</v>
      </c>
      <c r="D41" s="175">
        <v>140.35607651912974</v>
      </c>
      <c r="E41" s="177">
        <v>560516.65</v>
      </c>
      <c r="F41" s="178">
        <v>2881465.58</v>
      </c>
      <c r="G41" s="178">
        <v>80385.23</v>
      </c>
      <c r="H41" s="178">
        <v>11795</v>
      </c>
      <c r="I41" s="178">
        <v>1305945.5800000003</v>
      </c>
      <c r="J41" s="178">
        <v>1351723.2300000002</v>
      </c>
      <c r="K41" s="178">
        <v>264401.25</v>
      </c>
      <c r="L41" s="178">
        <v>621353.68999999983</v>
      </c>
      <c r="M41" s="181">
        <v>1028.4974493623399</v>
      </c>
    </row>
    <row r="42" spans="1:13" x14ac:dyDescent="0.2">
      <c r="A42" s="13" t="s">
        <v>98</v>
      </c>
      <c r="B42" s="12">
        <v>2013</v>
      </c>
      <c r="C42" s="12" t="s">
        <v>99</v>
      </c>
      <c r="D42" s="175">
        <v>216.1221394453554</v>
      </c>
      <c r="E42" s="177">
        <v>838949.49</v>
      </c>
      <c r="F42" s="178">
        <v>6403208.5899999999</v>
      </c>
      <c r="G42" s="178">
        <v>131261.76000000001</v>
      </c>
      <c r="H42" s="178">
        <v>30270.27</v>
      </c>
      <c r="I42" s="178">
        <v>2031119.7000000002</v>
      </c>
      <c r="J42" s="178">
        <v>2746397.1100000003</v>
      </c>
      <c r="K42" s="178">
        <v>561415.89</v>
      </c>
      <c r="L42" s="178">
        <v>574688.94000000006</v>
      </c>
      <c r="M42" s="181">
        <v>1783.8744725034901</v>
      </c>
    </row>
    <row r="43" spans="1:13" x14ac:dyDescent="0.2">
      <c r="A43" s="13" t="s">
        <v>100</v>
      </c>
      <c r="B43" s="12">
        <v>2013</v>
      </c>
      <c r="C43" s="12" t="s">
        <v>101</v>
      </c>
      <c r="D43" s="175">
        <v>229.43547486033509</v>
      </c>
      <c r="E43" s="177">
        <v>1127079.75</v>
      </c>
      <c r="F43" s="178">
        <v>7390593.9100000001</v>
      </c>
      <c r="G43" s="179">
        <v>62525.86</v>
      </c>
      <c r="H43" s="179">
        <v>4953.2700000000004</v>
      </c>
      <c r="I43" s="179">
        <v>1897796.5300000003</v>
      </c>
      <c r="J43" s="179">
        <v>3032155.13</v>
      </c>
      <c r="K43" s="179">
        <v>886757.77999999991</v>
      </c>
      <c r="L43" s="179">
        <v>748200.32</v>
      </c>
      <c r="M43" s="181">
        <v>1655.01620111732</v>
      </c>
    </row>
    <row r="44" spans="1:13" x14ac:dyDescent="0.2">
      <c r="A44" s="13" t="s">
        <v>102</v>
      </c>
      <c r="B44" s="12">
        <v>2013</v>
      </c>
      <c r="C44" s="12" t="s">
        <v>103</v>
      </c>
      <c r="D44" s="175">
        <v>967.69534701948146</v>
      </c>
      <c r="E44" s="177">
        <v>8163662.2800000003</v>
      </c>
      <c r="F44" s="178">
        <v>35443897.710000001</v>
      </c>
      <c r="G44" s="178">
        <v>716425.85</v>
      </c>
      <c r="H44" s="178">
        <v>20757.89</v>
      </c>
      <c r="I44" s="178">
        <v>11092669.850000001</v>
      </c>
      <c r="J44" s="178">
        <v>11989005.199999999</v>
      </c>
      <c r="K44" s="178">
        <v>5932605.3899999987</v>
      </c>
      <c r="L44" s="178">
        <v>3677593.3000000012</v>
      </c>
      <c r="M44" s="181">
        <v>6680.9823666620096</v>
      </c>
    </row>
    <row r="45" spans="1:13" x14ac:dyDescent="0.2">
      <c r="A45" s="13" t="s">
        <v>104</v>
      </c>
      <c r="B45" s="12">
        <v>2013</v>
      </c>
      <c r="C45" s="12" t="s">
        <v>105</v>
      </c>
      <c r="D45" s="175">
        <v>101.96551724137929</v>
      </c>
      <c r="E45" s="177">
        <v>482728.41</v>
      </c>
      <c r="F45" s="178">
        <v>3724101.08</v>
      </c>
      <c r="G45" s="178">
        <v>60240.639999999999</v>
      </c>
      <c r="H45" s="178">
        <v>9536.51</v>
      </c>
      <c r="I45" s="178">
        <v>1667450.4800000002</v>
      </c>
      <c r="J45" s="178">
        <v>1537960.31</v>
      </c>
      <c r="K45" s="178">
        <v>304464.91000000003</v>
      </c>
      <c r="L45" s="178">
        <v>475211</v>
      </c>
      <c r="M45" s="181">
        <v>977.77856878012597</v>
      </c>
    </row>
    <row r="46" spans="1:13" x14ac:dyDescent="0.2">
      <c r="A46" s="13" t="s">
        <v>106</v>
      </c>
      <c r="B46" s="12">
        <v>2013</v>
      </c>
      <c r="C46" s="12" t="s">
        <v>107</v>
      </c>
      <c r="D46" s="175">
        <v>163.48227447037104</v>
      </c>
      <c r="E46" s="177">
        <v>638207.35</v>
      </c>
      <c r="F46" s="178">
        <v>6066110.9000000004</v>
      </c>
      <c r="G46" s="178">
        <v>198275.85</v>
      </c>
      <c r="H46" s="178">
        <v>26552.57</v>
      </c>
      <c r="I46" s="178">
        <v>1616711.33</v>
      </c>
      <c r="J46" s="178">
        <v>1914608.8699999999</v>
      </c>
      <c r="K46" s="178">
        <v>474065</v>
      </c>
      <c r="L46" s="178">
        <v>439626.11000000004</v>
      </c>
      <c r="M46" s="181">
        <v>1588.1607043218501</v>
      </c>
    </row>
    <row r="47" spans="1:13" x14ac:dyDescent="0.2">
      <c r="A47" s="13" t="s">
        <v>108</v>
      </c>
      <c r="B47" s="12">
        <v>2013</v>
      </c>
      <c r="C47" s="12" t="s">
        <v>109</v>
      </c>
      <c r="D47" s="175">
        <v>100.31843575418992</v>
      </c>
      <c r="E47" s="177">
        <v>483537.84</v>
      </c>
      <c r="F47" s="178">
        <v>3145287.48</v>
      </c>
      <c r="G47" s="178">
        <v>39977.61</v>
      </c>
      <c r="H47" s="178">
        <v>11322.86</v>
      </c>
      <c r="I47" s="178">
        <v>1057450.0200000003</v>
      </c>
      <c r="J47" s="178">
        <v>1259055.8199999998</v>
      </c>
      <c r="K47" s="178">
        <v>294251</v>
      </c>
      <c r="L47" s="178">
        <v>299094.43000000005</v>
      </c>
      <c r="M47" s="181">
        <v>877.25921787709501</v>
      </c>
    </row>
    <row r="48" spans="1:13" x14ac:dyDescent="0.2">
      <c r="A48" s="13" t="s">
        <v>110</v>
      </c>
      <c r="B48" s="12">
        <v>2013</v>
      </c>
      <c r="C48" s="12" t="s">
        <v>111</v>
      </c>
      <c r="D48" s="175">
        <v>59.665717268700099</v>
      </c>
      <c r="E48" s="183">
        <v>0</v>
      </c>
      <c r="F48" s="178">
        <v>3106055.78</v>
      </c>
      <c r="G48" s="178">
        <v>17752.310000000001</v>
      </c>
      <c r="H48" s="179">
        <v>0</v>
      </c>
      <c r="I48" s="179">
        <v>1016870.6599999999</v>
      </c>
      <c r="J48" s="179">
        <v>694436.4</v>
      </c>
      <c r="K48" s="179">
        <v>137692.09999999998</v>
      </c>
      <c r="L48" s="179">
        <v>108016.33</v>
      </c>
      <c r="M48" s="181">
        <v>919.51522630733302</v>
      </c>
    </row>
    <row r="49" spans="1:13" x14ac:dyDescent="0.2">
      <c r="A49" s="13" t="s">
        <v>112</v>
      </c>
      <c r="B49" s="12">
        <v>2013</v>
      </c>
      <c r="C49" s="12" t="s">
        <v>113</v>
      </c>
      <c r="D49" s="175">
        <v>196.07178986175123</v>
      </c>
      <c r="E49" s="177">
        <v>635525.87</v>
      </c>
      <c r="F49" s="178">
        <v>5982476.2400000002</v>
      </c>
      <c r="G49" s="178">
        <v>124928.38</v>
      </c>
      <c r="H49" s="178">
        <v>130520</v>
      </c>
      <c r="I49" s="178">
        <v>1661403.78</v>
      </c>
      <c r="J49" s="178">
        <v>1965446.2699999998</v>
      </c>
      <c r="K49" s="178">
        <v>291939.16000000009</v>
      </c>
      <c r="L49" s="178">
        <v>372760.18000000017</v>
      </c>
      <c r="M49" s="181">
        <v>1739.53831520737</v>
      </c>
    </row>
    <row r="50" spans="1:13" x14ac:dyDescent="0.2">
      <c r="A50" s="13" t="s">
        <v>114</v>
      </c>
      <c r="B50" s="12">
        <v>2013</v>
      </c>
      <c r="C50" s="12" t="s">
        <v>115</v>
      </c>
      <c r="D50" s="175">
        <v>33.465461624026752</v>
      </c>
      <c r="E50" s="177">
        <v>27488.12</v>
      </c>
      <c r="F50" s="178">
        <v>815663.24</v>
      </c>
      <c r="G50" s="179">
        <v>8998.75</v>
      </c>
      <c r="H50" s="179">
        <v>1350.99</v>
      </c>
      <c r="I50" s="179">
        <v>384203.34</v>
      </c>
      <c r="J50" s="179">
        <v>326249.52</v>
      </c>
      <c r="K50" s="179">
        <v>31621.82</v>
      </c>
      <c r="L50" s="179">
        <v>27799.760000000002</v>
      </c>
      <c r="M50" s="181">
        <v>166.57187245087201</v>
      </c>
    </row>
    <row r="51" spans="1:13" x14ac:dyDescent="0.2">
      <c r="A51" s="13" t="s">
        <v>116</v>
      </c>
      <c r="B51" s="12">
        <v>2013</v>
      </c>
      <c r="C51" s="12" t="s">
        <v>117</v>
      </c>
      <c r="D51" s="175">
        <v>163.53058640171437</v>
      </c>
      <c r="E51" s="177">
        <v>1774907.1</v>
      </c>
      <c r="F51" s="178">
        <v>13505996.52</v>
      </c>
      <c r="G51" s="178">
        <v>717344.71</v>
      </c>
      <c r="H51" s="178">
        <v>267944.83</v>
      </c>
      <c r="I51" s="178">
        <v>3644164.18</v>
      </c>
      <c r="J51" s="178">
        <v>4001913.8399999989</v>
      </c>
      <c r="K51" s="178">
        <v>1658834.7999999998</v>
      </c>
      <c r="L51" s="178">
        <v>1361541.4999999998</v>
      </c>
      <c r="M51" s="181">
        <v>2143.3408338203799</v>
      </c>
    </row>
    <row r="52" spans="1:13" x14ac:dyDescent="0.2">
      <c r="A52" s="13" t="s">
        <v>118</v>
      </c>
      <c r="B52" s="12">
        <v>2013</v>
      </c>
      <c r="C52" s="12" t="s">
        <v>119</v>
      </c>
      <c r="D52" s="175">
        <v>290.97626807563955</v>
      </c>
      <c r="E52" s="177">
        <v>11815.1</v>
      </c>
      <c r="F52" s="178">
        <v>11566984.880000001</v>
      </c>
      <c r="G52" s="178">
        <v>317454.53000000003</v>
      </c>
      <c r="H52" s="178">
        <v>28073.53</v>
      </c>
      <c r="I52" s="178">
        <v>3764462.5400000005</v>
      </c>
      <c r="J52" s="178">
        <v>4753407.9800000004</v>
      </c>
      <c r="K52" s="178">
        <v>1772643.6199999999</v>
      </c>
      <c r="L52" s="178">
        <v>1480630.6100000003</v>
      </c>
      <c r="M52" s="181">
        <v>2960.28852057842</v>
      </c>
    </row>
    <row r="53" spans="1:13" x14ac:dyDescent="0.2">
      <c r="A53" s="13" t="s">
        <v>120</v>
      </c>
      <c r="B53" s="12">
        <v>2013</v>
      </c>
      <c r="C53" s="12" t="s">
        <v>121</v>
      </c>
      <c r="D53" s="175">
        <v>130.50563356764638</v>
      </c>
      <c r="E53" s="177">
        <v>226692.03</v>
      </c>
      <c r="F53" s="178">
        <v>4631307.58</v>
      </c>
      <c r="G53" s="178">
        <v>115585.54</v>
      </c>
      <c r="H53" s="179">
        <v>0</v>
      </c>
      <c r="I53" s="179">
        <v>1293343.3500000001</v>
      </c>
      <c r="J53" s="179">
        <v>1549932.7700000003</v>
      </c>
      <c r="K53" s="179">
        <v>298481.36999999994</v>
      </c>
      <c r="L53" s="179">
        <v>509752.31999999995</v>
      </c>
      <c r="M53" s="181">
        <v>1294.5826581612901</v>
      </c>
    </row>
    <row r="54" spans="1:13" x14ac:dyDescent="0.2">
      <c r="A54" s="13" t="s">
        <v>122</v>
      </c>
      <c r="B54" s="12">
        <v>2013</v>
      </c>
      <c r="C54" s="12" t="s">
        <v>123</v>
      </c>
      <c r="D54" s="175">
        <v>217.30155120628899</v>
      </c>
      <c r="E54" s="177">
        <v>726043.39</v>
      </c>
      <c r="F54" s="178">
        <v>4876529.49</v>
      </c>
      <c r="G54" s="178">
        <v>57154.400000000001</v>
      </c>
      <c r="H54" s="178">
        <v>5892.91</v>
      </c>
      <c r="I54" s="178">
        <v>1977287.25</v>
      </c>
      <c r="J54" s="178">
        <v>2106012.46</v>
      </c>
      <c r="K54" s="178">
        <v>942522.78999999992</v>
      </c>
      <c r="L54" s="178">
        <v>323897.21999999991</v>
      </c>
      <c r="M54" s="181">
        <v>1704.13561322852</v>
      </c>
    </row>
    <row r="55" spans="1:13" x14ac:dyDescent="0.2">
      <c r="A55" s="13" t="s">
        <v>124</v>
      </c>
      <c r="B55" s="12">
        <v>2013</v>
      </c>
      <c r="C55" s="12" t="s">
        <v>125</v>
      </c>
      <c r="D55" s="175">
        <v>152.97287338062446</v>
      </c>
      <c r="E55" s="177">
        <v>661281.03</v>
      </c>
      <c r="F55" s="178">
        <v>5630214.0300000003</v>
      </c>
      <c r="G55" s="178">
        <v>221724.86</v>
      </c>
      <c r="H55" s="178">
        <v>11915</v>
      </c>
      <c r="I55" s="178">
        <v>2482391.21</v>
      </c>
      <c r="J55" s="178">
        <v>2824345.5599999996</v>
      </c>
      <c r="K55" s="178">
        <v>810927.27000000025</v>
      </c>
      <c r="L55" s="178">
        <v>584790.77</v>
      </c>
      <c r="M55" s="181">
        <v>1821.31860468078</v>
      </c>
    </row>
    <row r="56" spans="1:13" x14ac:dyDescent="0.2">
      <c r="A56" s="13" t="s">
        <v>126</v>
      </c>
      <c r="B56" s="12">
        <v>2013</v>
      </c>
      <c r="C56" s="12" t="s">
        <v>127</v>
      </c>
      <c r="D56" s="175">
        <v>36.482038604084998</v>
      </c>
      <c r="E56" s="177">
        <v>138619.59</v>
      </c>
      <c r="F56" s="178">
        <v>860120.04</v>
      </c>
      <c r="G56" s="179">
        <v>34158.15</v>
      </c>
      <c r="H56" s="179">
        <v>0</v>
      </c>
      <c r="I56" s="179">
        <v>638771.03</v>
      </c>
      <c r="J56" s="179">
        <v>589657.80999999994</v>
      </c>
      <c r="K56" s="179">
        <v>33394.17</v>
      </c>
      <c r="L56" s="179">
        <v>129608.62</v>
      </c>
      <c r="M56" s="181">
        <v>272.67053311600301</v>
      </c>
    </row>
    <row r="57" spans="1:13" x14ac:dyDescent="0.2">
      <c r="A57" s="13" t="s">
        <v>128</v>
      </c>
      <c r="B57" s="12">
        <v>2013</v>
      </c>
      <c r="C57" s="12" t="s">
        <v>129</v>
      </c>
      <c r="D57" s="175">
        <v>89.186003210272887</v>
      </c>
      <c r="E57" s="177">
        <v>123819.82</v>
      </c>
      <c r="F57" s="178">
        <v>3123656.22</v>
      </c>
      <c r="G57" s="179">
        <v>115428.35</v>
      </c>
      <c r="H57" s="179">
        <v>2008</v>
      </c>
      <c r="I57" s="179">
        <v>1016421.78</v>
      </c>
      <c r="J57" s="179">
        <v>1600866.71</v>
      </c>
      <c r="K57" s="179">
        <v>406071.52000000025</v>
      </c>
      <c r="L57" s="179">
        <v>256723.62999999998</v>
      </c>
      <c r="M57" s="181">
        <v>887.17351107544198</v>
      </c>
    </row>
    <row r="58" spans="1:13" x14ac:dyDescent="0.2">
      <c r="A58" s="13" t="s">
        <v>130</v>
      </c>
      <c r="B58" s="12">
        <v>2013</v>
      </c>
      <c r="C58" s="12" t="s">
        <v>131</v>
      </c>
      <c r="D58" s="175">
        <v>94.893383490700273</v>
      </c>
      <c r="E58" s="177">
        <v>300582.37</v>
      </c>
      <c r="F58" s="178">
        <v>3806835.88</v>
      </c>
      <c r="G58" s="178">
        <v>89535.02</v>
      </c>
      <c r="H58" s="178">
        <v>4139.71</v>
      </c>
      <c r="I58" s="178">
        <v>1035318.5499999999</v>
      </c>
      <c r="J58" s="178">
        <v>1296885.4200000002</v>
      </c>
      <c r="K58" s="178">
        <v>291883.44999999995</v>
      </c>
      <c r="L58" s="178">
        <v>242104.13000000003</v>
      </c>
      <c r="M58" s="181">
        <v>1080.89164651286</v>
      </c>
    </row>
    <row r="59" spans="1:13" x14ac:dyDescent="0.2">
      <c r="A59" s="13" t="s">
        <v>132</v>
      </c>
      <c r="B59" s="12">
        <v>2013</v>
      </c>
      <c r="C59" s="12" t="s">
        <v>133</v>
      </c>
      <c r="D59" s="175">
        <v>562.34355715473919</v>
      </c>
      <c r="E59" s="177">
        <v>2267083.56</v>
      </c>
      <c r="F59" s="178">
        <v>17551189.010000002</v>
      </c>
      <c r="G59" s="178">
        <v>391156.63</v>
      </c>
      <c r="H59" s="179">
        <v>72782.69</v>
      </c>
      <c r="I59" s="179">
        <v>3879490.0300000003</v>
      </c>
      <c r="J59" s="179">
        <v>6751698.540000001</v>
      </c>
      <c r="K59" s="179">
        <v>734958.64999999991</v>
      </c>
      <c r="L59" s="179">
        <v>1260963.1599999995</v>
      </c>
      <c r="M59" s="181">
        <v>4530.7934035173503</v>
      </c>
    </row>
    <row r="60" spans="1:13" x14ac:dyDescent="0.2">
      <c r="A60" s="13" t="s">
        <v>134</v>
      </c>
      <c r="B60" s="12">
        <v>2013</v>
      </c>
      <c r="C60" s="12" t="s">
        <v>135</v>
      </c>
      <c r="D60" s="175">
        <v>44.654570970328784</v>
      </c>
      <c r="E60" s="177">
        <v>196202.84</v>
      </c>
      <c r="F60" s="178">
        <v>2042778.4</v>
      </c>
      <c r="G60" s="179">
        <v>59153.07</v>
      </c>
      <c r="H60" s="179">
        <v>6027</v>
      </c>
      <c r="I60" s="179">
        <v>677619.52</v>
      </c>
      <c r="J60" s="179">
        <v>561851.32000000007</v>
      </c>
      <c r="K60" s="179">
        <v>208833.92000000001</v>
      </c>
      <c r="L60" s="179">
        <v>101185.45000000001</v>
      </c>
      <c r="M60" s="181">
        <v>583.68068034249904</v>
      </c>
    </row>
    <row r="61" spans="1:13" x14ac:dyDescent="0.2">
      <c r="A61" s="13" t="s">
        <v>136</v>
      </c>
      <c r="B61" s="12">
        <v>2013</v>
      </c>
      <c r="C61" s="12" t="s">
        <v>137</v>
      </c>
      <c r="D61" s="175">
        <v>320.24394607354594</v>
      </c>
      <c r="E61" s="177">
        <v>1779235.54</v>
      </c>
      <c r="F61" s="178">
        <v>12917630.609999999</v>
      </c>
      <c r="G61" s="178">
        <v>295310.96000000002</v>
      </c>
      <c r="H61" s="178">
        <v>0</v>
      </c>
      <c r="I61" s="178">
        <v>3679540.6300000008</v>
      </c>
      <c r="J61" s="178">
        <v>4293367.1899999995</v>
      </c>
      <c r="K61" s="178">
        <v>955651.53999999992</v>
      </c>
      <c r="L61" s="178">
        <v>1560674.4400000002</v>
      </c>
      <c r="M61" s="181">
        <v>2903.0825211535698</v>
      </c>
    </row>
    <row r="62" spans="1:13" x14ac:dyDescent="0.2">
      <c r="A62" s="13" t="s">
        <v>138</v>
      </c>
      <c r="B62" s="12">
        <v>2013</v>
      </c>
      <c r="C62" s="12" t="s">
        <v>139</v>
      </c>
      <c r="D62" s="175">
        <v>86.43463292547267</v>
      </c>
      <c r="E62" s="177">
        <v>281035.44</v>
      </c>
      <c r="F62" s="178">
        <v>1820679.88</v>
      </c>
      <c r="G62" s="178">
        <v>28182</v>
      </c>
      <c r="H62" s="178">
        <v>200.91</v>
      </c>
      <c r="I62" s="178">
        <v>964691.76</v>
      </c>
      <c r="J62" s="178">
        <v>716774.24000000034</v>
      </c>
      <c r="K62" s="178">
        <v>52046.000000000007</v>
      </c>
      <c r="L62" s="178">
        <v>273079.12000000005</v>
      </c>
      <c r="M62" s="181">
        <v>572.186753800519</v>
      </c>
    </row>
    <row r="63" spans="1:13" x14ac:dyDescent="0.2">
      <c r="A63" s="13" t="s">
        <v>140</v>
      </c>
      <c r="B63" s="12">
        <v>2013</v>
      </c>
      <c r="C63" s="12" t="s">
        <v>141</v>
      </c>
      <c r="D63" s="175">
        <v>352.010799945749</v>
      </c>
      <c r="E63" s="177">
        <v>3382469.15</v>
      </c>
      <c r="F63" s="178">
        <v>18800412.170000002</v>
      </c>
      <c r="G63" s="178">
        <v>199598.88</v>
      </c>
      <c r="H63" s="178">
        <v>119319.41</v>
      </c>
      <c r="I63" s="178">
        <v>4903863.49</v>
      </c>
      <c r="J63" s="178">
        <v>6768281.2400000002</v>
      </c>
      <c r="K63" s="178">
        <v>1282362.5899999996</v>
      </c>
      <c r="L63" s="178">
        <v>2598598.8999999994</v>
      </c>
      <c r="M63" s="181">
        <v>4085.6981858918102</v>
      </c>
    </row>
    <row r="64" spans="1:13" x14ac:dyDescent="0.2">
      <c r="A64" s="13" t="s">
        <v>142</v>
      </c>
      <c r="B64" s="12">
        <v>2013</v>
      </c>
      <c r="C64" s="12" t="s">
        <v>143</v>
      </c>
      <c r="D64" s="175">
        <v>133.28294472005669</v>
      </c>
      <c r="E64" s="177">
        <v>343395.84000000003</v>
      </c>
      <c r="F64" s="178">
        <v>2293886.14</v>
      </c>
      <c r="G64" s="178">
        <v>97585.51</v>
      </c>
      <c r="H64" s="178">
        <v>51735.23</v>
      </c>
      <c r="I64" s="178">
        <v>1019352.0900000001</v>
      </c>
      <c r="J64" s="178">
        <v>981397.17000000016</v>
      </c>
      <c r="K64" s="178">
        <v>304417.37000000005</v>
      </c>
      <c r="L64" s="178">
        <v>248231.23000000004</v>
      </c>
      <c r="M64" s="181">
        <v>779.405095676825</v>
      </c>
    </row>
    <row r="65" spans="1:13" x14ac:dyDescent="0.2">
      <c r="A65" s="13" t="s">
        <v>144</v>
      </c>
      <c r="B65" s="12">
        <v>2013</v>
      </c>
      <c r="C65" s="12" t="s">
        <v>145</v>
      </c>
      <c r="D65" s="175">
        <v>96.288005784902481</v>
      </c>
      <c r="E65" s="177">
        <v>388761.32</v>
      </c>
      <c r="F65" s="178">
        <v>2481714.88</v>
      </c>
      <c r="G65" s="178">
        <v>74314.710000000006</v>
      </c>
      <c r="H65" s="178">
        <v>13873.81</v>
      </c>
      <c r="I65" s="178">
        <v>660763.80999999982</v>
      </c>
      <c r="J65" s="178">
        <v>1260181.42</v>
      </c>
      <c r="K65" s="178">
        <v>249339.84000000003</v>
      </c>
      <c r="L65" s="178">
        <v>350554.42000000016</v>
      </c>
      <c r="M65" s="181">
        <v>717.45923913557499</v>
      </c>
    </row>
    <row r="66" spans="1:13" x14ac:dyDescent="0.2">
      <c r="A66" s="13" t="s">
        <v>146</v>
      </c>
      <c r="B66" s="12">
        <v>2013</v>
      </c>
      <c r="C66" s="12" t="s">
        <v>147</v>
      </c>
      <c r="D66" s="175">
        <v>103.88031281876917</v>
      </c>
      <c r="E66" s="177">
        <v>279918.56</v>
      </c>
      <c r="F66" s="178">
        <v>2688346.79</v>
      </c>
      <c r="G66" s="179">
        <v>59675.17</v>
      </c>
      <c r="H66" s="179">
        <v>10310.379999999999</v>
      </c>
      <c r="I66" s="179">
        <v>934716.30999999994</v>
      </c>
      <c r="J66" s="179">
        <v>626354.29</v>
      </c>
      <c r="K66" s="179">
        <v>20901.080000000002</v>
      </c>
      <c r="L66" s="179">
        <v>86028.610000000015</v>
      </c>
      <c r="M66" s="181">
        <v>718.09602516151006</v>
      </c>
    </row>
    <row r="67" spans="1:13" x14ac:dyDescent="0.2">
      <c r="A67" s="13" t="s">
        <v>148</v>
      </c>
      <c r="B67" s="12">
        <v>2013</v>
      </c>
      <c r="C67" s="12" t="s">
        <v>149</v>
      </c>
      <c r="D67" s="175">
        <v>129.54239920687382</v>
      </c>
      <c r="E67" s="177">
        <v>281259.19</v>
      </c>
      <c r="F67" s="178">
        <v>3735730.11</v>
      </c>
      <c r="G67" s="179">
        <v>109035.08</v>
      </c>
      <c r="H67" s="179">
        <v>0</v>
      </c>
      <c r="I67" s="179">
        <v>1287250.42</v>
      </c>
      <c r="J67" s="179">
        <v>1462302.4900000002</v>
      </c>
      <c r="K67" s="179">
        <v>374507.02999999985</v>
      </c>
      <c r="L67" s="179">
        <v>353684.44999999995</v>
      </c>
      <c r="M67" s="181">
        <v>1129.7187640449399</v>
      </c>
    </row>
    <row r="68" spans="1:13" x14ac:dyDescent="0.2">
      <c r="A68" s="13" t="s">
        <v>150</v>
      </c>
      <c r="B68" s="12">
        <v>2013</v>
      </c>
      <c r="C68" s="12" t="s">
        <v>151</v>
      </c>
      <c r="D68" s="175">
        <v>229.73885664719481</v>
      </c>
      <c r="E68" s="177">
        <v>1844000.53</v>
      </c>
      <c r="F68" s="178">
        <v>6129635.4500000002</v>
      </c>
      <c r="G68" s="178">
        <v>58845.19</v>
      </c>
      <c r="H68" s="178">
        <v>17101.21</v>
      </c>
      <c r="I68" s="178">
        <v>2903466.7499999995</v>
      </c>
      <c r="J68" s="178">
        <v>1344093.7599999998</v>
      </c>
      <c r="K68" s="178">
        <v>189556.61</v>
      </c>
      <c r="L68" s="178">
        <v>812698.48999999987</v>
      </c>
      <c r="M68" s="181">
        <v>1389.89048281845</v>
      </c>
    </row>
    <row r="69" spans="1:13" x14ac:dyDescent="0.2">
      <c r="A69" s="13" t="s">
        <v>152</v>
      </c>
      <c r="B69" s="12">
        <v>2013</v>
      </c>
      <c r="C69" s="12" t="s">
        <v>153</v>
      </c>
      <c r="D69" s="175">
        <v>149.57014177620121</v>
      </c>
      <c r="E69" s="177">
        <v>917620.44</v>
      </c>
      <c r="F69" s="178">
        <v>4954302.9000000004</v>
      </c>
      <c r="G69" s="178">
        <v>99968.03</v>
      </c>
      <c r="H69" s="179">
        <v>30039.74</v>
      </c>
      <c r="I69" s="179">
        <v>1724463.8599999994</v>
      </c>
      <c r="J69" s="179">
        <v>1945194.1800000002</v>
      </c>
      <c r="K69" s="179">
        <v>688142.5499999997</v>
      </c>
      <c r="L69" s="179">
        <v>699454.7999999997</v>
      </c>
      <c r="M69" s="181">
        <v>1454.5508260004799</v>
      </c>
    </row>
    <row r="70" spans="1:13" x14ac:dyDescent="0.2">
      <c r="A70" s="13" t="s">
        <v>154</v>
      </c>
      <c r="B70" s="12">
        <v>2013</v>
      </c>
      <c r="C70" s="12" t="s">
        <v>155</v>
      </c>
      <c r="D70" s="175">
        <v>111.13447616290038</v>
      </c>
      <c r="E70" s="177">
        <v>333809.56</v>
      </c>
      <c r="F70" s="178">
        <v>2552111.16</v>
      </c>
      <c r="G70" s="178">
        <v>56657.19</v>
      </c>
      <c r="H70" s="178">
        <v>677</v>
      </c>
      <c r="I70" s="178">
        <v>1012245.4600000001</v>
      </c>
      <c r="J70" s="178">
        <v>774250.10000000009</v>
      </c>
      <c r="K70" s="178">
        <v>272204.45999999996</v>
      </c>
      <c r="L70" s="178">
        <v>203786.43000000002</v>
      </c>
      <c r="M70" s="181">
        <v>686.47229220682402</v>
      </c>
    </row>
    <row r="71" spans="1:13" x14ac:dyDescent="0.2">
      <c r="A71" s="13" t="s">
        <v>156</v>
      </c>
      <c r="B71" s="12">
        <v>2013</v>
      </c>
      <c r="C71" s="12" t="s">
        <v>157</v>
      </c>
      <c r="D71" s="175">
        <v>654.31490337757225</v>
      </c>
      <c r="E71" s="177">
        <v>3529656.4</v>
      </c>
      <c r="F71" s="178">
        <v>28564784.629999999</v>
      </c>
      <c r="G71" s="178">
        <v>600989.88</v>
      </c>
      <c r="H71" s="178">
        <v>104911.53</v>
      </c>
      <c r="I71" s="178">
        <v>6341589.0899999999</v>
      </c>
      <c r="J71" s="178">
        <v>787896.30999999971</v>
      </c>
      <c r="K71" s="178">
        <v>1852386.6199999992</v>
      </c>
      <c r="L71" s="178">
        <v>4233064.4699999988</v>
      </c>
      <c r="M71" s="181">
        <v>7511.6821698889398</v>
      </c>
    </row>
    <row r="72" spans="1:13" x14ac:dyDescent="0.2">
      <c r="A72" s="13" t="s">
        <v>158</v>
      </c>
      <c r="B72" s="12">
        <v>2013</v>
      </c>
      <c r="C72" s="12" t="s">
        <v>159</v>
      </c>
      <c r="D72" s="175">
        <v>324.16583980908882</v>
      </c>
      <c r="E72" s="177">
        <v>1389451.34</v>
      </c>
      <c r="F72" s="178">
        <v>7694506.8499999996</v>
      </c>
      <c r="G72" s="178">
        <v>87525.32</v>
      </c>
      <c r="H72" s="178">
        <v>0</v>
      </c>
      <c r="I72" s="178">
        <v>2319162.1400000006</v>
      </c>
      <c r="J72" s="178">
        <v>2124746.8000000007</v>
      </c>
      <c r="K72" s="178">
        <v>1539254.05</v>
      </c>
      <c r="L72" s="178">
        <v>884605.86000000034</v>
      </c>
      <c r="M72" s="181">
        <v>1939.0359705476701</v>
      </c>
    </row>
    <row r="73" spans="1:13" x14ac:dyDescent="0.2">
      <c r="A73" s="13" t="s">
        <v>160</v>
      </c>
      <c r="B73" s="12">
        <v>2013</v>
      </c>
      <c r="C73" s="12" t="s">
        <v>161</v>
      </c>
      <c r="D73" s="175">
        <v>89.52478090620923</v>
      </c>
      <c r="E73" s="177">
        <v>385396.93</v>
      </c>
      <c r="F73" s="178">
        <v>2760654.26</v>
      </c>
      <c r="G73" s="178">
        <v>106193.9</v>
      </c>
      <c r="H73" s="178">
        <v>28221.77</v>
      </c>
      <c r="I73" s="178">
        <v>1171191.3700000001</v>
      </c>
      <c r="J73" s="178">
        <v>978989.73</v>
      </c>
      <c r="K73" s="178">
        <v>110987.47999999998</v>
      </c>
      <c r="L73" s="178">
        <v>334227.76</v>
      </c>
      <c r="M73" s="181">
        <v>697.70268506433001</v>
      </c>
    </row>
    <row r="74" spans="1:13" x14ac:dyDescent="0.2">
      <c r="A74" s="13" t="s">
        <v>162</v>
      </c>
      <c r="B74" s="12">
        <v>2013</v>
      </c>
      <c r="C74" s="12" t="s">
        <v>163</v>
      </c>
      <c r="D74" s="175">
        <v>257.36150969058144</v>
      </c>
      <c r="E74" s="177">
        <v>1064045.56</v>
      </c>
      <c r="F74" s="178">
        <v>7027006.6799999997</v>
      </c>
      <c r="G74" s="178">
        <v>696230.8</v>
      </c>
      <c r="H74" s="178">
        <v>0</v>
      </c>
      <c r="I74" s="178">
        <v>2266965.2000000002</v>
      </c>
      <c r="J74" s="178">
        <v>3697627.64</v>
      </c>
      <c r="K74" s="178">
        <v>381358.15000000008</v>
      </c>
      <c r="L74" s="178">
        <v>452639.18</v>
      </c>
      <c r="M74" s="181">
        <v>1913.6898993539601</v>
      </c>
    </row>
    <row r="75" spans="1:13" x14ac:dyDescent="0.2">
      <c r="A75" s="13" t="s">
        <v>164</v>
      </c>
      <c r="B75" s="12">
        <v>2013</v>
      </c>
      <c r="C75" s="12" t="s">
        <v>165</v>
      </c>
      <c r="D75" s="175">
        <v>208.77451274202119</v>
      </c>
      <c r="E75" s="177">
        <v>284327.09000000003</v>
      </c>
      <c r="F75" s="178">
        <v>7609205.4299999997</v>
      </c>
      <c r="G75" s="178">
        <v>262519.64</v>
      </c>
      <c r="H75" s="178">
        <v>86812.55</v>
      </c>
      <c r="I75" s="178">
        <v>1996444.1499999994</v>
      </c>
      <c r="J75" s="178">
        <v>2708662.1300000004</v>
      </c>
      <c r="K75" s="178">
        <v>161746.30000000005</v>
      </c>
      <c r="L75" s="178">
        <v>526985.4</v>
      </c>
      <c r="M75" s="181">
        <v>1778.0691559161201</v>
      </c>
    </row>
    <row r="76" spans="1:13" x14ac:dyDescent="0.2">
      <c r="A76" s="13" t="s">
        <v>166</v>
      </c>
      <c r="B76" s="12">
        <v>2013</v>
      </c>
      <c r="C76" s="12" t="s">
        <v>167</v>
      </c>
      <c r="D76" s="175">
        <v>192.24691766103754</v>
      </c>
      <c r="E76" s="177">
        <v>1283604.57</v>
      </c>
      <c r="F76" s="178">
        <v>8201986.8399999999</v>
      </c>
      <c r="G76" s="178">
        <v>75305.899999999994</v>
      </c>
      <c r="H76" s="179">
        <v>0</v>
      </c>
      <c r="I76" s="179">
        <v>2116720.58</v>
      </c>
      <c r="J76" s="179">
        <v>2105138.09</v>
      </c>
      <c r="K76" s="179">
        <v>963470.76000000024</v>
      </c>
      <c r="L76" s="179">
        <v>676088.50000000023</v>
      </c>
      <c r="M76" s="181">
        <v>2168.22991956551</v>
      </c>
    </row>
    <row r="77" spans="1:13" x14ac:dyDescent="0.2">
      <c r="A77" s="13" t="s">
        <v>168</v>
      </c>
      <c r="B77" s="12">
        <v>2013</v>
      </c>
      <c r="C77" s="12" t="s">
        <v>169</v>
      </c>
      <c r="D77" s="175">
        <v>205.91254854389507</v>
      </c>
      <c r="E77" s="177">
        <v>1029032.63</v>
      </c>
      <c r="F77" s="178">
        <v>8578627.3100000005</v>
      </c>
      <c r="G77" s="178">
        <v>232405.65</v>
      </c>
      <c r="H77" s="178">
        <v>0</v>
      </c>
      <c r="I77" s="178">
        <v>2693820.71</v>
      </c>
      <c r="J77" s="178">
        <v>3587117.26</v>
      </c>
      <c r="K77" s="178">
        <v>279292.67</v>
      </c>
      <c r="L77" s="178">
        <v>1800357.1600000008</v>
      </c>
      <c r="M77" s="181">
        <v>2217.26694830319</v>
      </c>
    </row>
    <row r="78" spans="1:13" x14ac:dyDescent="0.2">
      <c r="A78" s="13" t="s">
        <v>170</v>
      </c>
      <c r="B78" s="12">
        <v>2013</v>
      </c>
      <c r="C78" s="12" t="s">
        <v>171</v>
      </c>
      <c r="D78" s="175">
        <v>298.21441966373942</v>
      </c>
      <c r="E78" s="177">
        <v>1337555.19</v>
      </c>
      <c r="F78" s="178">
        <v>4831867.2</v>
      </c>
      <c r="G78" s="178">
        <v>81673.89</v>
      </c>
      <c r="H78" s="178">
        <v>7259.18</v>
      </c>
      <c r="I78" s="178">
        <v>2354503.1300000004</v>
      </c>
      <c r="J78" s="178">
        <v>1219771.3800000001</v>
      </c>
      <c r="K78" s="178">
        <v>861079.58999999973</v>
      </c>
      <c r="L78" s="178">
        <v>736023.07</v>
      </c>
      <c r="M78" s="181">
        <v>1480.81124950355</v>
      </c>
    </row>
    <row r="79" spans="1:13" x14ac:dyDescent="0.2">
      <c r="A79" s="13" t="s">
        <v>172</v>
      </c>
      <c r="B79" s="12">
        <v>2013</v>
      </c>
      <c r="C79" s="12" t="s">
        <v>173</v>
      </c>
      <c r="D79" s="175">
        <v>45.71086529707911</v>
      </c>
      <c r="E79" s="177">
        <v>368070.11</v>
      </c>
      <c r="F79" s="178">
        <v>2919034.14</v>
      </c>
      <c r="G79" s="178">
        <v>60241.13</v>
      </c>
      <c r="H79" s="178">
        <v>3748</v>
      </c>
      <c r="I79" s="178">
        <v>996821.73</v>
      </c>
      <c r="J79" s="178">
        <v>1052973.53</v>
      </c>
      <c r="K79" s="178">
        <v>547276.49000000022</v>
      </c>
      <c r="L79" s="178">
        <v>410894.15000000014</v>
      </c>
      <c r="M79" s="181">
        <v>836.19764069715097</v>
      </c>
    </row>
    <row r="80" spans="1:13" x14ac:dyDescent="0.2">
      <c r="A80" s="13" t="s">
        <v>174</v>
      </c>
      <c r="B80" s="12">
        <v>2013</v>
      </c>
      <c r="C80" s="12" t="s">
        <v>175</v>
      </c>
      <c r="D80" s="175">
        <v>329.74566833801003</v>
      </c>
      <c r="E80" s="177">
        <v>1336768.1599999999</v>
      </c>
      <c r="F80" s="178">
        <v>8573504.1600000001</v>
      </c>
      <c r="G80" s="178">
        <v>245096.4</v>
      </c>
      <c r="H80" s="178">
        <v>30114.28</v>
      </c>
      <c r="I80" s="178">
        <v>2202729.0600000005</v>
      </c>
      <c r="J80" s="178">
        <v>3079333.0100000002</v>
      </c>
      <c r="K80" s="178">
        <v>40209.800000000003</v>
      </c>
      <c r="L80" s="178">
        <v>1301693.7300000002</v>
      </c>
      <c r="M80" s="181">
        <v>2252.1978030421301</v>
      </c>
    </row>
    <row r="81" spans="1:13" x14ac:dyDescent="0.2">
      <c r="A81" s="13" t="s">
        <v>176</v>
      </c>
      <c r="B81" s="12">
        <v>2013</v>
      </c>
      <c r="C81" s="12" t="s">
        <v>177</v>
      </c>
      <c r="D81" s="175">
        <v>192.38764044943821</v>
      </c>
      <c r="E81" s="177">
        <v>1135552.05</v>
      </c>
      <c r="F81" s="178">
        <v>5085674.5599999996</v>
      </c>
      <c r="G81" s="178">
        <v>153016.54</v>
      </c>
      <c r="H81" s="178">
        <v>38178.33</v>
      </c>
      <c r="I81" s="178">
        <v>1229413.0700000003</v>
      </c>
      <c r="J81" s="178">
        <v>2130209.7399999998</v>
      </c>
      <c r="K81" s="178">
        <v>551257.98</v>
      </c>
      <c r="L81" s="178">
        <v>304144.19</v>
      </c>
      <c r="M81" s="181">
        <v>1211.66573033708</v>
      </c>
    </row>
    <row r="82" spans="1:13" x14ac:dyDescent="0.2">
      <c r="A82" s="13" t="s">
        <v>178</v>
      </c>
      <c r="B82" s="12">
        <v>2013</v>
      </c>
      <c r="C82" s="12" t="s">
        <v>179</v>
      </c>
      <c r="D82" s="175">
        <v>335.59987900786444</v>
      </c>
      <c r="E82" s="177">
        <v>2265809.75</v>
      </c>
      <c r="F82" s="178">
        <v>12572808.189999999</v>
      </c>
      <c r="G82" s="178">
        <v>599005.36</v>
      </c>
      <c r="H82" s="178">
        <v>444134.37</v>
      </c>
      <c r="I82" s="178">
        <v>4262785.7</v>
      </c>
      <c r="J82" s="178">
        <v>6290118.1099999994</v>
      </c>
      <c r="K82" s="178">
        <v>852652.73999999987</v>
      </c>
      <c r="L82" s="178">
        <v>1675774.4300000002</v>
      </c>
      <c r="M82" s="181">
        <v>3517.66908247631</v>
      </c>
    </row>
    <row r="83" spans="1:13" x14ac:dyDescent="0.2">
      <c r="A83" s="13" t="s">
        <v>180</v>
      </c>
      <c r="B83" s="12">
        <v>2013</v>
      </c>
      <c r="C83" s="12" t="s">
        <v>181</v>
      </c>
      <c r="D83" s="175">
        <v>248.95026170130421</v>
      </c>
      <c r="E83" s="177">
        <v>1172572.43</v>
      </c>
      <c r="F83" s="178">
        <v>11232619.23</v>
      </c>
      <c r="G83" s="178">
        <v>130241.5</v>
      </c>
      <c r="H83" s="179">
        <v>12320.76</v>
      </c>
      <c r="I83" s="179">
        <v>2370954.8000000003</v>
      </c>
      <c r="J83" s="179">
        <v>3317401.74</v>
      </c>
      <c r="K83" s="179">
        <v>1127848.95</v>
      </c>
      <c r="L83" s="179">
        <v>1287749.4299999997</v>
      </c>
      <c r="M83" s="181">
        <v>2804.2254186094601</v>
      </c>
    </row>
    <row r="84" spans="1:13" x14ac:dyDescent="0.2">
      <c r="A84" s="13" t="s">
        <v>182</v>
      </c>
      <c r="B84" s="12">
        <v>2013</v>
      </c>
      <c r="C84" s="12" t="s">
        <v>183</v>
      </c>
      <c r="D84" s="175">
        <v>1490.0956580958075</v>
      </c>
      <c r="E84" s="177">
        <v>7730016.5899999999</v>
      </c>
      <c r="F84" s="178">
        <v>36771168.140000001</v>
      </c>
      <c r="G84" s="178">
        <v>1695389.5</v>
      </c>
      <c r="H84" s="178">
        <v>385974.05</v>
      </c>
      <c r="I84" s="178">
        <v>12899466.099999994</v>
      </c>
      <c r="J84" s="178">
        <v>13189799.820000004</v>
      </c>
      <c r="K84" s="178">
        <v>1778395.4100000013</v>
      </c>
      <c r="L84" s="178">
        <v>5716485.8400000026</v>
      </c>
      <c r="M84" s="181">
        <v>9271.3802660952806</v>
      </c>
    </row>
    <row r="85" spans="1:13" x14ac:dyDescent="0.2">
      <c r="A85" s="13" t="s">
        <v>184</v>
      </c>
      <c r="B85" s="12">
        <v>2013</v>
      </c>
      <c r="C85" s="12" t="s">
        <v>185</v>
      </c>
      <c r="D85" s="175">
        <v>300.87208270292689</v>
      </c>
      <c r="E85" s="177">
        <v>1237652.33</v>
      </c>
      <c r="F85" s="178">
        <v>7732532.7599999998</v>
      </c>
      <c r="G85" s="179">
        <v>167614.88</v>
      </c>
      <c r="H85" s="179">
        <v>48919.99</v>
      </c>
      <c r="I85" s="179">
        <v>2380666.48</v>
      </c>
      <c r="J85" s="179">
        <v>2930679.65</v>
      </c>
      <c r="K85" s="179">
        <v>926131.61999999988</v>
      </c>
      <c r="L85" s="179">
        <v>952986.44000000006</v>
      </c>
      <c r="M85" s="181">
        <v>2126.43361834905</v>
      </c>
    </row>
    <row r="86" spans="1:13" x14ac:dyDescent="0.2">
      <c r="A86" s="13" t="s">
        <v>186</v>
      </c>
      <c r="B86" s="12">
        <v>2013</v>
      </c>
      <c r="C86" s="12" t="s">
        <v>187</v>
      </c>
      <c r="D86" s="175">
        <v>156.03950685947348</v>
      </c>
      <c r="E86" s="177">
        <v>678145.53</v>
      </c>
      <c r="F86" s="178">
        <v>3807923.52</v>
      </c>
      <c r="G86" s="178">
        <v>33210.31</v>
      </c>
      <c r="H86" s="178">
        <v>10147.780000000001</v>
      </c>
      <c r="I86" s="178">
        <v>1606310.8599999999</v>
      </c>
      <c r="J86" s="178">
        <v>2266706.89</v>
      </c>
      <c r="K86" s="178">
        <v>172085.57000000009</v>
      </c>
      <c r="L86" s="178">
        <v>367767.42</v>
      </c>
      <c r="M86" s="181">
        <v>1217.15025954765</v>
      </c>
    </row>
    <row r="87" spans="1:13" x14ac:dyDescent="0.2">
      <c r="A87" s="13" t="s">
        <v>188</v>
      </c>
      <c r="B87" s="12">
        <v>2013</v>
      </c>
      <c r="C87" s="12" t="s">
        <v>189</v>
      </c>
      <c r="D87" s="175">
        <v>177.08832295793249</v>
      </c>
      <c r="E87" s="177">
        <v>46368.74</v>
      </c>
      <c r="F87" s="178">
        <v>4322217.18</v>
      </c>
      <c r="G87" s="179">
        <v>92908.99</v>
      </c>
      <c r="H87" s="179">
        <v>-4544.71</v>
      </c>
      <c r="I87" s="179">
        <v>1400414.2400000002</v>
      </c>
      <c r="J87" s="179">
        <v>1719984.7900000003</v>
      </c>
      <c r="K87" s="179">
        <v>371412.98</v>
      </c>
      <c r="L87" s="179">
        <v>310391.13</v>
      </c>
      <c r="M87" s="181">
        <v>1104.7926259196399</v>
      </c>
    </row>
    <row r="88" spans="1:13" x14ac:dyDescent="0.2">
      <c r="A88" s="13" t="s">
        <v>190</v>
      </c>
      <c r="B88" s="12">
        <v>2013</v>
      </c>
      <c r="C88" s="12" t="s">
        <v>191</v>
      </c>
      <c r="D88" s="175">
        <v>100.98230414746544</v>
      </c>
      <c r="E88" s="177">
        <v>299147.42</v>
      </c>
      <c r="F88" s="178">
        <v>3331902.35</v>
      </c>
      <c r="G88" s="178">
        <v>95232.13</v>
      </c>
      <c r="H88" s="178">
        <v>2495.14</v>
      </c>
      <c r="I88" s="178">
        <v>1200494.9100000001</v>
      </c>
      <c r="J88" s="178">
        <v>845082.12999999989</v>
      </c>
      <c r="K88" s="178">
        <v>56477.42</v>
      </c>
      <c r="L88" s="178">
        <v>246846.93</v>
      </c>
      <c r="M88" s="181">
        <v>839.54547465437804</v>
      </c>
    </row>
    <row r="89" spans="1:13" x14ac:dyDescent="0.2">
      <c r="A89" s="13" t="s">
        <v>192</v>
      </c>
      <c r="B89" s="12">
        <v>2013</v>
      </c>
      <c r="C89" s="12" t="s">
        <v>193</v>
      </c>
      <c r="D89" s="175">
        <v>141.20249105514515</v>
      </c>
      <c r="E89" s="177">
        <v>565463.06999999995</v>
      </c>
      <c r="F89" s="178">
        <v>6273056.3600000003</v>
      </c>
      <c r="G89" s="179">
        <v>114162.86</v>
      </c>
      <c r="H89" s="179">
        <v>18134.240000000002</v>
      </c>
      <c r="I89" s="179">
        <v>1750967.3199999996</v>
      </c>
      <c r="J89" s="179">
        <v>1965755.9500000002</v>
      </c>
      <c r="K89" s="179">
        <v>644949.92000000004</v>
      </c>
      <c r="L89" s="179">
        <v>727945.98000000021</v>
      </c>
      <c r="M89" s="181">
        <v>1614.8988423271301</v>
      </c>
    </row>
    <row r="90" spans="1:13" x14ac:dyDescent="0.2">
      <c r="A90" s="13" t="s">
        <v>194</v>
      </c>
      <c r="B90" s="12">
        <v>2013</v>
      </c>
      <c r="C90" s="12" t="s">
        <v>195</v>
      </c>
      <c r="D90" s="175">
        <v>268.62688449991316</v>
      </c>
      <c r="E90" s="177">
        <v>1039557.93</v>
      </c>
      <c r="F90" s="178">
        <v>7208096.7699999996</v>
      </c>
      <c r="G90" s="178">
        <v>182761.86</v>
      </c>
      <c r="H90" s="178">
        <v>136201.45000000001</v>
      </c>
      <c r="I90" s="178">
        <v>2443349.0800000005</v>
      </c>
      <c r="J90" s="178">
        <v>3339165.1599999992</v>
      </c>
      <c r="K90" s="178">
        <v>630398.5299999998</v>
      </c>
      <c r="L90" s="178">
        <v>1265738.4700000004</v>
      </c>
      <c r="M90" s="181">
        <v>2221.0902631325298</v>
      </c>
    </row>
    <row r="91" spans="1:13" x14ac:dyDescent="0.2">
      <c r="A91" s="13" t="s">
        <v>196</v>
      </c>
      <c r="B91" s="12">
        <v>2013</v>
      </c>
      <c r="C91" s="12" t="s">
        <v>197</v>
      </c>
      <c r="D91" s="175">
        <v>45.432844435182247</v>
      </c>
      <c r="E91" s="177">
        <v>222363.55</v>
      </c>
      <c r="F91" s="178">
        <v>2285891.2799999998</v>
      </c>
      <c r="G91" s="178">
        <v>101922.19</v>
      </c>
      <c r="H91" s="178">
        <v>2310.6</v>
      </c>
      <c r="I91" s="178">
        <v>944226.52</v>
      </c>
      <c r="J91" s="178">
        <v>815373.42000000016</v>
      </c>
      <c r="K91" s="178">
        <v>248992.62999999998</v>
      </c>
      <c r="L91" s="178">
        <v>281562.69999999995</v>
      </c>
      <c r="M91" s="181">
        <v>541.44275262967403</v>
      </c>
    </row>
    <row r="92" spans="1:13" x14ac:dyDescent="0.2">
      <c r="A92" s="13" t="s">
        <v>198</v>
      </c>
      <c r="B92" s="12">
        <v>2013</v>
      </c>
      <c r="C92" s="12" t="s">
        <v>199</v>
      </c>
      <c r="D92" s="175">
        <v>386.18579682539695</v>
      </c>
      <c r="E92" s="177">
        <v>2359408.12</v>
      </c>
      <c r="F92" s="178">
        <v>10954051.65</v>
      </c>
      <c r="G92" s="178">
        <v>420323.55</v>
      </c>
      <c r="H92" s="178">
        <v>220991.16</v>
      </c>
      <c r="I92" s="178">
        <v>3221867.3699999992</v>
      </c>
      <c r="J92" s="178">
        <v>3774030.1000000015</v>
      </c>
      <c r="K92" s="178">
        <v>1429127.8399999999</v>
      </c>
      <c r="L92" s="178">
        <v>1577293.179999999</v>
      </c>
      <c r="M92" s="181">
        <v>2614.8323201336698</v>
      </c>
    </row>
    <row r="93" spans="1:13" x14ac:dyDescent="0.2">
      <c r="A93" s="13" t="s">
        <v>200</v>
      </c>
      <c r="B93" s="12">
        <v>2013</v>
      </c>
      <c r="C93" s="12" t="s">
        <v>201</v>
      </c>
      <c r="D93" s="175">
        <v>97.225638635092324</v>
      </c>
      <c r="E93" s="177">
        <v>395846.97</v>
      </c>
      <c r="F93" s="178">
        <v>3513650.99</v>
      </c>
      <c r="G93" s="178">
        <v>89041.08</v>
      </c>
      <c r="H93" s="178">
        <v>42</v>
      </c>
      <c r="I93" s="178">
        <v>1163345.49</v>
      </c>
      <c r="J93" s="178">
        <v>1398114.4899999998</v>
      </c>
      <c r="K93" s="178">
        <v>288211.93000000005</v>
      </c>
      <c r="L93" s="178">
        <v>349614.41000000003</v>
      </c>
      <c r="M93" s="181">
        <v>1088.7987432407199</v>
      </c>
    </row>
    <row r="94" spans="1:13" x14ac:dyDescent="0.2">
      <c r="A94" s="13" t="s">
        <v>202</v>
      </c>
      <c r="B94" s="12">
        <v>2013</v>
      </c>
      <c r="C94" s="12" t="s">
        <v>203</v>
      </c>
      <c r="D94" s="175">
        <v>821.70192307692321</v>
      </c>
      <c r="E94" s="177">
        <v>5391026.9100000001</v>
      </c>
      <c r="F94" s="178">
        <v>38925789.590000004</v>
      </c>
      <c r="G94" s="178">
        <v>553012.47</v>
      </c>
      <c r="H94" s="178">
        <v>29560.68</v>
      </c>
      <c r="I94" s="178">
        <v>7170659.6400000006</v>
      </c>
      <c r="J94" s="178">
        <v>12382127.300000004</v>
      </c>
      <c r="K94" s="178">
        <v>6823084.8999999976</v>
      </c>
      <c r="L94" s="178">
        <v>4819414.0000000009</v>
      </c>
      <c r="M94" s="181">
        <v>7839.8918681318701</v>
      </c>
    </row>
    <row r="95" spans="1:13" x14ac:dyDescent="0.2">
      <c r="A95" s="13" t="s">
        <v>204</v>
      </c>
      <c r="B95" s="12">
        <v>2013</v>
      </c>
      <c r="C95" s="12" t="s">
        <v>205</v>
      </c>
      <c r="D95" s="175">
        <v>154.31395348837202</v>
      </c>
      <c r="E95" s="177">
        <v>696668.06</v>
      </c>
      <c r="F95" s="178">
        <v>4062261.22</v>
      </c>
      <c r="G95" s="178">
        <v>73065.33</v>
      </c>
      <c r="H95" s="178">
        <v>85231.06</v>
      </c>
      <c r="I95" s="178">
        <v>1624124.51</v>
      </c>
      <c r="J95" s="178">
        <v>1646409.85</v>
      </c>
      <c r="K95" s="178">
        <v>140699.53</v>
      </c>
      <c r="L95" s="178">
        <v>283060.32000000007</v>
      </c>
      <c r="M95" s="181">
        <v>1084.7578488372101</v>
      </c>
    </row>
    <row r="96" spans="1:13" x14ac:dyDescent="0.2">
      <c r="A96" s="13" t="s">
        <v>206</v>
      </c>
      <c r="B96" s="12">
        <v>2013</v>
      </c>
      <c r="C96" s="12" t="s">
        <v>207</v>
      </c>
      <c r="D96" s="175">
        <v>193.58312802113142</v>
      </c>
      <c r="E96" s="177">
        <v>1365124.52</v>
      </c>
      <c r="F96" s="178">
        <v>10986138.300000001</v>
      </c>
      <c r="G96" s="178">
        <v>372806.17</v>
      </c>
      <c r="H96" s="178">
        <v>143126.57</v>
      </c>
      <c r="I96" s="178">
        <v>3099455.7499999995</v>
      </c>
      <c r="J96" s="178">
        <v>3567274.3100000005</v>
      </c>
      <c r="K96" s="178">
        <v>1124367.9099999999</v>
      </c>
      <c r="L96" s="178">
        <v>1176523.9899999998</v>
      </c>
      <c r="M96" s="181">
        <v>1940.07920064568</v>
      </c>
    </row>
    <row r="97" spans="1:13" x14ac:dyDescent="0.2">
      <c r="A97" s="13" t="s">
        <v>208</v>
      </c>
      <c r="B97" s="12">
        <v>2013</v>
      </c>
      <c r="C97" s="12" t="s">
        <v>209</v>
      </c>
      <c r="D97" s="175">
        <v>162.22623041474654</v>
      </c>
      <c r="E97" s="177">
        <v>779963.35</v>
      </c>
      <c r="F97" s="178">
        <v>5060960.63</v>
      </c>
      <c r="G97" s="179">
        <v>230706.44</v>
      </c>
      <c r="H97" s="179">
        <v>10924</v>
      </c>
      <c r="I97" s="179">
        <v>1474250.9</v>
      </c>
      <c r="J97" s="179">
        <v>1984957.4800000002</v>
      </c>
      <c r="K97" s="179">
        <v>815727.02000000025</v>
      </c>
      <c r="L97" s="179">
        <v>495963.48999999993</v>
      </c>
      <c r="M97" s="181">
        <v>1441.7023828302199</v>
      </c>
    </row>
    <row r="98" spans="1:13" x14ac:dyDescent="0.2">
      <c r="A98" s="13" t="s">
        <v>210</v>
      </c>
      <c r="B98" s="12">
        <v>2013</v>
      </c>
      <c r="C98" s="12" t="s">
        <v>211</v>
      </c>
      <c r="D98" s="175">
        <v>270.43562210123008</v>
      </c>
      <c r="E98" s="177">
        <v>1922265.23</v>
      </c>
      <c r="F98" s="178">
        <v>11579952.119999999</v>
      </c>
      <c r="G98" s="178">
        <v>210830.22</v>
      </c>
      <c r="H98" s="178">
        <v>1940</v>
      </c>
      <c r="I98" s="178">
        <v>3584699.8500000006</v>
      </c>
      <c r="J98" s="178">
        <v>4241203.0700000012</v>
      </c>
      <c r="K98" s="178">
        <v>665729.42000000016</v>
      </c>
      <c r="L98" s="178">
        <v>1121907.9900000002</v>
      </c>
      <c r="M98" s="181">
        <v>2936.51989367653</v>
      </c>
    </row>
    <row r="99" spans="1:13" x14ac:dyDescent="0.2">
      <c r="A99" s="13" t="s">
        <v>212</v>
      </c>
      <c r="B99" s="12">
        <v>2013</v>
      </c>
      <c r="C99" s="12" t="s">
        <v>213</v>
      </c>
      <c r="D99" s="175">
        <v>176.52841040462428</v>
      </c>
      <c r="E99" s="177">
        <v>568684.85</v>
      </c>
      <c r="F99" s="178">
        <v>4859871.2699999996</v>
      </c>
      <c r="G99" s="178">
        <v>173781.25</v>
      </c>
      <c r="H99" s="178">
        <v>2762.64</v>
      </c>
      <c r="I99" s="178">
        <v>1621847.4600000002</v>
      </c>
      <c r="J99" s="178">
        <v>1746669.0299999998</v>
      </c>
      <c r="K99" s="178">
        <v>319083.77</v>
      </c>
      <c r="L99" s="178">
        <v>280755.39999999991</v>
      </c>
      <c r="M99" s="181">
        <v>1413.0759590120899</v>
      </c>
    </row>
    <row r="100" spans="1:13" x14ac:dyDescent="0.2">
      <c r="A100" s="13" t="s">
        <v>214</v>
      </c>
      <c r="B100" s="12">
        <v>2013</v>
      </c>
      <c r="C100" s="12" t="s">
        <v>215</v>
      </c>
      <c r="D100" s="175">
        <v>282.44056859555099</v>
      </c>
      <c r="E100" s="177">
        <v>732266.25</v>
      </c>
      <c r="F100" s="178">
        <v>10399749.41</v>
      </c>
      <c r="G100" s="178">
        <v>98338.07</v>
      </c>
      <c r="H100" s="178">
        <v>0</v>
      </c>
      <c r="I100" s="178">
        <v>3039581.2500000005</v>
      </c>
      <c r="J100" s="178">
        <v>2709670.24</v>
      </c>
      <c r="K100" s="178">
        <v>771033.4</v>
      </c>
      <c r="L100" s="178">
        <v>1173342.5100000002</v>
      </c>
      <c r="M100" s="181">
        <v>2770.9492841563101</v>
      </c>
    </row>
    <row r="101" spans="1:13" x14ac:dyDescent="0.2">
      <c r="A101" s="13" t="s">
        <v>216</v>
      </c>
      <c r="B101" s="12">
        <v>2013</v>
      </c>
      <c r="C101" s="12" t="s">
        <v>217</v>
      </c>
      <c r="D101" s="175">
        <v>94.116865041236267</v>
      </c>
      <c r="E101" s="177">
        <v>187803.85</v>
      </c>
      <c r="F101" s="178">
        <v>5210644.17</v>
      </c>
      <c r="G101" s="179">
        <v>108010.6</v>
      </c>
      <c r="H101" s="179">
        <v>299</v>
      </c>
      <c r="I101" s="179">
        <v>1891967.3800000004</v>
      </c>
      <c r="J101" s="179">
        <v>1728625.6099999999</v>
      </c>
      <c r="K101" s="179">
        <v>412999.86000000004</v>
      </c>
      <c r="L101" s="179">
        <v>161033.09000000003</v>
      </c>
      <c r="M101" s="181">
        <v>1362.3989074385499</v>
      </c>
    </row>
    <row r="102" spans="1:13" x14ac:dyDescent="0.2">
      <c r="A102" s="13" t="s">
        <v>218</v>
      </c>
      <c r="B102" s="12">
        <v>2013</v>
      </c>
      <c r="C102" s="12" t="s">
        <v>219</v>
      </c>
      <c r="D102" s="175">
        <v>5160.8041575639609</v>
      </c>
      <c r="E102" s="177">
        <v>27752743.280000001</v>
      </c>
      <c r="F102" s="178">
        <v>114707396.39</v>
      </c>
      <c r="G102" s="178">
        <v>942077.48</v>
      </c>
      <c r="H102" s="178">
        <v>374675.54</v>
      </c>
      <c r="I102" s="178">
        <v>56893106.879999988</v>
      </c>
      <c r="J102" s="178">
        <v>58416459.349999979</v>
      </c>
      <c r="K102" s="178">
        <v>18600419.24000001</v>
      </c>
      <c r="L102" s="178">
        <v>16235629.760000004</v>
      </c>
      <c r="M102" s="181">
        <v>29958.958452559498</v>
      </c>
    </row>
    <row r="103" spans="1:13" x14ac:dyDescent="0.2">
      <c r="A103" s="13" t="s">
        <v>220</v>
      </c>
      <c r="B103" s="12">
        <v>2013</v>
      </c>
      <c r="C103" s="12" t="s">
        <v>221</v>
      </c>
      <c r="D103" s="175">
        <v>308.76071592752703</v>
      </c>
      <c r="E103" s="177">
        <v>1437577.27</v>
      </c>
      <c r="F103" s="178">
        <v>8897486.0099999998</v>
      </c>
      <c r="G103" s="178">
        <v>214281.12</v>
      </c>
      <c r="H103" s="178">
        <v>173</v>
      </c>
      <c r="I103" s="178">
        <v>2650414.3700000006</v>
      </c>
      <c r="J103" s="178">
        <v>2212824.6799999997</v>
      </c>
      <c r="K103" s="178">
        <v>1581744.6900000006</v>
      </c>
      <c r="L103" s="178">
        <v>839309.01000000013</v>
      </c>
      <c r="M103" s="181">
        <v>2123.1681400009702</v>
      </c>
    </row>
    <row r="104" spans="1:13" x14ac:dyDescent="0.2">
      <c r="A104" s="13" t="s">
        <v>222</v>
      </c>
      <c r="B104" s="12">
        <v>2013</v>
      </c>
      <c r="C104" s="12" t="s">
        <v>223</v>
      </c>
      <c r="D104" s="175">
        <v>209.2668694540499</v>
      </c>
      <c r="E104" s="177">
        <v>902536.74</v>
      </c>
      <c r="F104" s="178">
        <v>7941133.9100000001</v>
      </c>
      <c r="G104" s="178">
        <v>109837.34</v>
      </c>
      <c r="H104" s="178">
        <v>27563.64</v>
      </c>
      <c r="I104" s="178">
        <v>2197620.4500000002</v>
      </c>
      <c r="J104" s="178">
        <v>2216245.52</v>
      </c>
      <c r="K104" s="178">
        <v>557853.99000000011</v>
      </c>
      <c r="L104" s="178">
        <v>724170.95000000054</v>
      </c>
      <c r="M104" s="181">
        <v>2143.6282620729098</v>
      </c>
    </row>
    <row r="105" spans="1:13" x14ac:dyDescent="0.2">
      <c r="A105" s="13" t="s">
        <v>224</v>
      </c>
      <c r="B105" s="12">
        <v>2013</v>
      </c>
      <c r="C105" s="12" t="s">
        <v>225</v>
      </c>
      <c r="D105" s="175">
        <v>76.80628929096693</v>
      </c>
      <c r="E105" s="177">
        <v>93256.11</v>
      </c>
      <c r="F105" s="178">
        <v>2121580.86</v>
      </c>
      <c r="G105" s="179">
        <v>67634.759999999995</v>
      </c>
      <c r="H105" s="179">
        <v>7849.86</v>
      </c>
      <c r="I105" s="179">
        <v>763849.76</v>
      </c>
      <c r="J105" s="179">
        <v>703605.39999999991</v>
      </c>
      <c r="K105" s="179">
        <v>244566.8599999999</v>
      </c>
      <c r="L105" s="179">
        <v>233614.79000000004</v>
      </c>
      <c r="M105" s="181">
        <v>613.034265646471</v>
      </c>
    </row>
    <row r="106" spans="1:13" x14ac:dyDescent="0.2">
      <c r="A106" s="13" t="s">
        <v>226</v>
      </c>
      <c r="B106" s="12">
        <v>2013</v>
      </c>
      <c r="C106" s="12" t="s">
        <v>227</v>
      </c>
      <c r="D106" s="175">
        <v>352.14746159743032</v>
      </c>
      <c r="E106" s="177">
        <v>1435786.27</v>
      </c>
      <c r="F106" s="178">
        <v>7261536.6399999997</v>
      </c>
      <c r="G106" s="178">
        <v>290090.61</v>
      </c>
      <c r="H106" s="178">
        <v>70893.73</v>
      </c>
      <c r="I106" s="178">
        <v>1716626.8299999996</v>
      </c>
      <c r="J106" s="178">
        <v>2572467.560000001</v>
      </c>
      <c r="K106" s="178">
        <v>925232.34000000043</v>
      </c>
      <c r="L106" s="178">
        <v>909266.37000000011</v>
      </c>
      <c r="M106" s="181">
        <v>2119.6865406992401</v>
      </c>
    </row>
    <row r="107" spans="1:13" x14ac:dyDescent="0.2">
      <c r="A107" s="13" t="s">
        <v>228</v>
      </c>
      <c r="B107" s="12">
        <v>2013</v>
      </c>
      <c r="C107" s="12" t="s">
        <v>229</v>
      </c>
      <c r="D107" s="175">
        <v>231.47448275862064</v>
      </c>
      <c r="E107" s="177">
        <v>1015027.34</v>
      </c>
      <c r="F107" s="178">
        <v>6118243.8899999997</v>
      </c>
      <c r="G107" s="179">
        <v>93259.91</v>
      </c>
      <c r="H107" s="179">
        <v>31643.03</v>
      </c>
      <c r="I107" s="179">
        <v>1415687.73</v>
      </c>
      <c r="J107" s="179">
        <v>2589804.92</v>
      </c>
      <c r="K107" s="179">
        <v>411375.86999999994</v>
      </c>
      <c r="L107" s="179">
        <v>665111.8899999999</v>
      </c>
      <c r="M107" s="181">
        <v>1832.41333333333</v>
      </c>
    </row>
    <row r="108" spans="1:13" x14ac:dyDescent="0.2">
      <c r="A108" s="13" t="s">
        <v>230</v>
      </c>
      <c r="B108" s="12">
        <v>2013</v>
      </c>
      <c r="C108" s="12" t="s">
        <v>231</v>
      </c>
      <c r="D108" s="175">
        <v>175.15944444444446</v>
      </c>
      <c r="E108" s="177">
        <v>774000.66</v>
      </c>
      <c r="F108" s="178">
        <v>5801546.9800000004</v>
      </c>
      <c r="G108" s="178">
        <v>84001.2</v>
      </c>
      <c r="H108" s="178">
        <v>73894.66</v>
      </c>
      <c r="I108" s="178">
        <v>2038371.1600000001</v>
      </c>
      <c r="J108" s="178">
        <v>1821575.9399999995</v>
      </c>
      <c r="K108" s="178">
        <v>474876.57</v>
      </c>
      <c r="L108" s="178">
        <v>871460.91000000015</v>
      </c>
      <c r="M108" s="181">
        <v>1617.9572777777801</v>
      </c>
    </row>
    <row r="109" spans="1:13" x14ac:dyDescent="0.2">
      <c r="A109" s="13" t="s">
        <v>232</v>
      </c>
      <c r="B109" s="12">
        <v>2013</v>
      </c>
      <c r="C109" s="12" t="s">
        <v>233</v>
      </c>
      <c r="D109" s="175">
        <v>267.0632308719608</v>
      </c>
      <c r="E109" s="177">
        <v>775993.71</v>
      </c>
      <c r="F109" s="178">
        <v>4799921.67</v>
      </c>
      <c r="G109" s="178">
        <v>145509.74</v>
      </c>
      <c r="H109" s="178">
        <v>0</v>
      </c>
      <c r="I109" s="178">
        <v>1583665.43</v>
      </c>
      <c r="J109" s="178">
        <v>3048355.6399999997</v>
      </c>
      <c r="K109" s="178">
        <v>649300.74999999988</v>
      </c>
      <c r="L109" s="178">
        <v>678540.8000000004</v>
      </c>
      <c r="M109" s="181">
        <v>1612.5827582275899</v>
      </c>
    </row>
    <row r="110" spans="1:13" x14ac:dyDescent="0.2">
      <c r="A110" s="13" t="s">
        <v>234</v>
      </c>
      <c r="B110" s="12">
        <v>2013</v>
      </c>
      <c r="C110" s="12" t="s">
        <v>235</v>
      </c>
      <c r="D110" s="175">
        <v>902.58361684440001</v>
      </c>
      <c r="E110" s="177">
        <v>8481148.6500000004</v>
      </c>
      <c r="F110" s="178">
        <v>39558893.899999999</v>
      </c>
      <c r="G110" s="178">
        <v>943744.56</v>
      </c>
      <c r="H110" s="178">
        <v>56240.33</v>
      </c>
      <c r="I110" s="178">
        <v>16478966.659999989</v>
      </c>
      <c r="J110" s="178">
        <v>15427587.71000001</v>
      </c>
      <c r="K110" s="178">
        <v>2707691.7799999975</v>
      </c>
      <c r="L110" s="178">
        <v>8405876.3500000071</v>
      </c>
      <c r="M110" s="181">
        <v>5300.1260188330898</v>
      </c>
    </row>
    <row r="111" spans="1:13" x14ac:dyDescent="0.2">
      <c r="A111" s="13" t="s">
        <v>236</v>
      </c>
      <c r="B111" s="12">
        <v>2013</v>
      </c>
      <c r="C111" s="12" t="s">
        <v>237</v>
      </c>
      <c r="D111" s="175">
        <v>8484.9052832551151</v>
      </c>
      <c r="E111" s="177">
        <v>72604655.879999995</v>
      </c>
      <c r="F111" s="178">
        <v>148262341.43000001</v>
      </c>
      <c r="G111" s="178">
        <v>4069026.35</v>
      </c>
      <c r="H111" s="178">
        <v>577063.49</v>
      </c>
      <c r="I111" s="178">
        <v>59820626.829999931</v>
      </c>
      <c r="J111" s="178">
        <v>76547796.509999976</v>
      </c>
      <c r="K111" s="178">
        <v>18006623.400000013</v>
      </c>
      <c r="L111" s="178">
        <v>29079285.860000003</v>
      </c>
      <c r="M111" s="181">
        <v>38724.598263681699</v>
      </c>
    </row>
    <row r="112" spans="1:13" x14ac:dyDescent="0.2">
      <c r="A112" s="13" t="s">
        <v>238</v>
      </c>
      <c r="B112" s="12">
        <v>2013</v>
      </c>
      <c r="C112" s="12" t="s">
        <v>239</v>
      </c>
      <c r="D112" s="175">
        <v>188.48840492034682</v>
      </c>
      <c r="E112" s="177">
        <v>705540.99</v>
      </c>
      <c r="F112" s="178">
        <v>6566137.5099999998</v>
      </c>
      <c r="G112" s="178">
        <v>301032.82</v>
      </c>
      <c r="H112" s="178">
        <v>338516.36</v>
      </c>
      <c r="I112" s="178">
        <v>1549043.9700000002</v>
      </c>
      <c r="J112" s="178">
        <v>2394977.3899999992</v>
      </c>
      <c r="K112" s="178">
        <v>783837.84000000055</v>
      </c>
      <c r="L112" s="178">
        <v>876775.93999999983</v>
      </c>
      <c r="M112" s="181">
        <v>1856.2872887679</v>
      </c>
    </row>
    <row r="113" spans="1:13" x14ac:dyDescent="0.2">
      <c r="A113" s="13" t="s">
        <v>240</v>
      </c>
      <c r="B113" s="12">
        <v>2013</v>
      </c>
      <c r="C113" s="12" t="s">
        <v>241</v>
      </c>
      <c r="D113" s="175">
        <v>293.17355744005539</v>
      </c>
      <c r="E113" s="177">
        <v>1475160.25</v>
      </c>
      <c r="F113" s="178">
        <v>9985642.1199999992</v>
      </c>
      <c r="G113" s="178">
        <v>174627.87</v>
      </c>
      <c r="H113" s="179">
        <v>2658.52</v>
      </c>
      <c r="I113" s="179">
        <v>2998238.9699999997</v>
      </c>
      <c r="J113" s="179">
        <v>3800848.07</v>
      </c>
      <c r="K113" s="179">
        <v>1425849.68</v>
      </c>
      <c r="L113" s="179">
        <v>1156076.8300000003</v>
      </c>
      <c r="M113" s="181">
        <v>2621.5926787942299</v>
      </c>
    </row>
    <row r="114" spans="1:13" x14ac:dyDescent="0.2">
      <c r="A114" s="13" t="s">
        <v>242</v>
      </c>
      <c r="B114" s="12">
        <v>2013</v>
      </c>
      <c r="C114" s="12" t="s">
        <v>243</v>
      </c>
      <c r="D114" s="175">
        <v>258.69636620441696</v>
      </c>
      <c r="E114" s="177">
        <v>939314.13</v>
      </c>
      <c r="F114" s="178">
        <v>8241980.7400000002</v>
      </c>
      <c r="G114" s="178">
        <v>215522.03</v>
      </c>
      <c r="H114" s="178">
        <v>-163.19999999999999</v>
      </c>
      <c r="I114" s="178">
        <v>2039283.4200000004</v>
      </c>
      <c r="J114" s="178">
        <v>2582355.2300000004</v>
      </c>
      <c r="K114" s="178">
        <v>489744.14999999991</v>
      </c>
      <c r="L114" s="178">
        <v>1374784.8699999999</v>
      </c>
      <c r="M114" s="181">
        <v>2179.3369461638599</v>
      </c>
    </row>
    <row r="115" spans="1:13" x14ac:dyDescent="0.2">
      <c r="A115" s="13" t="s">
        <v>244</v>
      </c>
      <c r="B115" s="12">
        <v>2013</v>
      </c>
      <c r="C115" s="12" t="s">
        <v>245</v>
      </c>
      <c r="D115" s="175">
        <v>124.33356122048698</v>
      </c>
      <c r="E115" s="177">
        <v>788230.45</v>
      </c>
      <c r="F115" s="178">
        <v>5775068.5099999998</v>
      </c>
      <c r="G115" s="178">
        <v>196906.91</v>
      </c>
      <c r="H115" s="178">
        <v>49426.12</v>
      </c>
      <c r="I115" s="178">
        <v>1496250.99</v>
      </c>
      <c r="J115" s="178">
        <v>1268271.9099999999</v>
      </c>
      <c r="K115" s="178">
        <v>324237.06000000006</v>
      </c>
      <c r="L115" s="178">
        <v>483747.55999999994</v>
      </c>
      <c r="M115" s="181">
        <v>1399.9493368050701</v>
      </c>
    </row>
    <row r="116" spans="1:13" x14ac:dyDescent="0.2">
      <c r="A116" s="13" t="s">
        <v>246</v>
      </c>
      <c r="B116" s="12">
        <v>2013</v>
      </c>
      <c r="C116" s="12" t="s">
        <v>247</v>
      </c>
      <c r="D116" s="175">
        <v>19.173004694835658</v>
      </c>
      <c r="E116" s="183">
        <v>0</v>
      </c>
      <c r="F116" s="178">
        <v>63606.7</v>
      </c>
      <c r="G116" s="185">
        <v>0</v>
      </c>
      <c r="H116" s="186">
        <v>0</v>
      </c>
      <c r="I116" s="180">
        <v>149728.47</v>
      </c>
      <c r="J116" s="180">
        <v>45306.720000000001</v>
      </c>
      <c r="K116" s="180">
        <v>1575.9</v>
      </c>
      <c r="L116" s="180">
        <v>3020.2400000000002</v>
      </c>
      <c r="M116" s="181">
        <v>193.429070847248</v>
      </c>
    </row>
    <row r="117" spans="1:13" x14ac:dyDescent="0.2">
      <c r="A117" s="13" t="s">
        <v>248</v>
      </c>
      <c r="B117" s="12">
        <v>2013</v>
      </c>
      <c r="C117" s="12" t="s">
        <v>249</v>
      </c>
      <c r="D117" s="175">
        <v>138.83694301720314</v>
      </c>
      <c r="E117" s="177">
        <v>613157.27</v>
      </c>
      <c r="F117" s="178">
        <v>3272382.61</v>
      </c>
      <c r="G117" s="178">
        <v>90146.65</v>
      </c>
      <c r="H117" s="178">
        <v>47591.32</v>
      </c>
      <c r="I117" s="178">
        <v>1164239.0799999996</v>
      </c>
      <c r="J117" s="178">
        <v>1665841.4799999997</v>
      </c>
      <c r="K117" s="178">
        <v>250950.93999999997</v>
      </c>
      <c r="L117" s="178">
        <v>631375.88</v>
      </c>
      <c r="M117" s="181">
        <v>891.61583016385703</v>
      </c>
    </row>
    <row r="118" spans="1:13" x14ac:dyDescent="0.2">
      <c r="A118" s="13" t="s">
        <v>250</v>
      </c>
      <c r="B118" s="12">
        <v>2013</v>
      </c>
      <c r="C118" s="12" t="s">
        <v>251</v>
      </c>
      <c r="D118" s="175">
        <v>83.328654970760283</v>
      </c>
      <c r="E118" s="177">
        <v>567902.98</v>
      </c>
      <c r="F118" s="178">
        <v>4198451.29</v>
      </c>
      <c r="G118" s="178">
        <v>70067.69</v>
      </c>
      <c r="H118" s="178">
        <v>11894.02</v>
      </c>
      <c r="I118" s="178">
        <v>1515775.3900000001</v>
      </c>
      <c r="J118" s="178">
        <v>1560088.44</v>
      </c>
      <c r="K118" s="178">
        <v>389450.18000000005</v>
      </c>
      <c r="L118" s="178">
        <v>430134.59</v>
      </c>
      <c r="M118" s="181">
        <v>952.29597828378701</v>
      </c>
    </row>
    <row r="119" spans="1:13" x14ac:dyDescent="0.2">
      <c r="A119" s="13" t="s">
        <v>252</v>
      </c>
      <c r="B119" s="12">
        <v>2013</v>
      </c>
      <c r="C119" s="12" t="s">
        <v>253</v>
      </c>
      <c r="D119" s="175">
        <v>130.4518503340293</v>
      </c>
      <c r="E119" s="177">
        <v>330261.03000000003</v>
      </c>
      <c r="F119" s="178">
        <v>3065994.38</v>
      </c>
      <c r="G119" s="178">
        <v>67191.850000000006</v>
      </c>
      <c r="H119" s="178">
        <v>13554.27</v>
      </c>
      <c r="I119" s="178">
        <v>1215035.5599999998</v>
      </c>
      <c r="J119" s="178">
        <v>1022642.91</v>
      </c>
      <c r="K119" s="178">
        <v>324891.28999999998</v>
      </c>
      <c r="L119" s="178">
        <v>299104.81999999995</v>
      </c>
      <c r="M119" s="181">
        <v>1036.1153655133401</v>
      </c>
    </row>
    <row r="120" spans="1:13" x14ac:dyDescent="0.2">
      <c r="A120" s="13" t="s">
        <v>254</v>
      </c>
      <c r="B120" s="12">
        <v>2013</v>
      </c>
      <c r="C120" s="12" t="s">
        <v>255</v>
      </c>
      <c r="D120" s="175">
        <v>7282.1440187539347</v>
      </c>
      <c r="E120" s="177">
        <v>71135699.209999993</v>
      </c>
      <c r="F120" s="178">
        <v>216601955.63999999</v>
      </c>
      <c r="G120" s="178">
        <v>4712154.0599999996</v>
      </c>
      <c r="H120" s="178">
        <v>829232.12</v>
      </c>
      <c r="I120" s="178">
        <v>87899353.199999899</v>
      </c>
      <c r="J120" s="178">
        <v>108921281.93999995</v>
      </c>
      <c r="K120" s="178">
        <v>36924541.25000003</v>
      </c>
      <c r="L120" s="178">
        <v>48235413.340000011</v>
      </c>
      <c r="M120" s="181">
        <v>49509.408262417397</v>
      </c>
    </row>
    <row r="121" spans="1:13" x14ac:dyDescent="0.2">
      <c r="A121" s="13" t="s">
        <v>256</v>
      </c>
      <c r="B121" s="12">
        <v>2013</v>
      </c>
      <c r="C121" s="12" t="s">
        <v>257</v>
      </c>
      <c r="D121" s="175">
        <v>91.375403225806451</v>
      </c>
      <c r="E121" s="177">
        <v>379965.42</v>
      </c>
      <c r="F121" s="178">
        <v>3447012.86</v>
      </c>
      <c r="G121" s="179">
        <v>92013.39</v>
      </c>
      <c r="H121" s="179">
        <v>60379.12</v>
      </c>
      <c r="I121" s="179">
        <v>1045742.3500000001</v>
      </c>
      <c r="J121" s="179">
        <v>928426.5</v>
      </c>
      <c r="K121" s="179">
        <v>78398.19</v>
      </c>
      <c r="L121" s="179">
        <v>214196.46000000002</v>
      </c>
      <c r="M121" s="181">
        <v>897.94525659824001</v>
      </c>
    </row>
    <row r="122" spans="1:13" x14ac:dyDescent="0.2">
      <c r="A122" s="13" t="s">
        <v>258</v>
      </c>
      <c r="B122" s="12">
        <v>2013</v>
      </c>
      <c r="C122" s="12" t="s">
        <v>259</v>
      </c>
      <c r="D122" s="175">
        <v>266.69210935960592</v>
      </c>
      <c r="E122" s="177">
        <v>1230012.78</v>
      </c>
      <c r="F122" s="178">
        <v>6729686.0099999998</v>
      </c>
      <c r="G122" s="178">
        <v>29958.04</v>
      </c>
      <c r="H122" s="178">
        <v>173.74</v>
      </c>
      <c r="I122" s="178">
        <v>2101811.2000000007</v>
      </c>
      <c r="J122" s="178">
        <v>2342932.1300000004</v>
      </c>
      <c r="K122" s="178">
        <v>784966.84000000008</v>
      </c>
      <c r="L122" s="178">
        <v>933310.69999999984</v>
      </c>
      <c r="M122" s="181">
        <v>1798.5722847290599</v>
      </c>
    </row>
    <row r="123" spans="1:13" x14ac:dyDescent="0.2">
      <c r="A123" s="13" t="s">
        <v>260</v>
      </c>
      <c r="B123" s="12">
        <v>2013</v>
      </c>
      <c r="C123" s="12" t="s">
        <v>261</v>
      </c>
      <c r="D123" s="175">
        <v>88.186012904960336</v>
      </c>
      <c r="E123" s="177">
        <v>240543.1</v>
      </c>
      <c r="F123" s="178">
        <v>1679478.99</v>
      </c>
      <c r="G123" s="178">
        <v>30032.36</v>
      </c>
      <c r="H123" s="178">
        <v>0</v>
      </c>
      <c r="I123" s="178">
        <v>805187.57</v>
      </c>
      <c r="J123" s="178">
        <v>792479.7100000002</v>
      </c>
      <c r="K123" s="178">
        <v>139058.51999999999</v>
      </c>
      <c r="L123" s="178">
        <v>201647.94000000003</v>
      </c>
      <c r="M123" s="181">
        <v>460.39106062642799</v>
      </c>
    </row>
    <row r="124" spans="1:13" x14ac:dyDescent="0.2">
      <c r="A124" s="13" t="s">
        <v>262</v>
      </c>
      <c r="B124" s="12">
        <v>2013</v>
      </c>
      <c r="C124" s="12" t="s">
        <v>263</v>
      </c>
      <c r="D124" s="175">
        <v>82.839859102706711</v>
      </c>
      <c r="E124" s="177">
        <v>314013.14</v>
      </c>
      <c r="F124" s="178">
        <v>2011880.23</v>
      </c>
      <c r="G124" s="179">
        <v>59560.88</v>
      </c>
      <c r="H124" s="179">
        <v>1945.18</v>
      </c>
      <c r="I124" s="179">
        <v>655556.18000000005</v>
      </c>
      <c r="J124" s="179">
        <v>844706.30000000028</v>
      </c>
      <c r="K124" s="179">
        <v>132824.91</v>
      </c>
      <c r="L124" s="179">
        <v>137704.38</v>
      </c>
      <c r="M124" s="181">
        <v>482.45479606970702</v>
      </c>
    </row>
    <row r="125" spans="1:13" x14ac:dyDescent="0.2">
      <c r="A125" s="13" t="s">
        <v>264</v>
      </c>
      <c r="B125" s="12">
        <v>2013</v>
      </c>
      <c r="C125" s="12" t="s">
        <v>265</v>
      </c>
      <c r="D125" s="175">
        <v>313.66864943820224</v>
      </c>
      <c r="E125" s="177">
        <v>1323532.76</v>
      </c>
      <c r="F125" s="178">
        <v>13897036.42</v>
      </c>
      <c r="G125" s="179">
        <v>434661.51</v>
      </c>
      <c r="H125" s="179">
        <v>171389.36</v>
      </c>
      <c r="I125" s="179">
        <v>4004162.79</v>
      </c>
      <c r="J125" s="179">
        <v>4513777.3499999996</v>
      </c>
      <c r="K125" s="179">
        <v>587157.91999999993</v>
      </c>
      <c r="L125" s="179">
        <v>1655577.77</v>
      </c>
      <c r="M125" s="181">
        <v>3069.1057075441399</v>
      </c>
    </row>
    <row r="126" spans="1:13" x14ac:dyDescent="0.2">
      <c r="A126" s="13" t="s">
        <v>266</v>
      </c>
      <c r="B126" s="12">
        <v>2013</v>
      </c>
      <c r="C126" s="12" t="s">
        <v>267</v>
      </c>
      <c r="D126" s="175">
        <v>86.940777988614798</v>
      </c>
      <c r="E126" s="177">
        <v>416673.41</v>
      </c>
      <c r="F126" s="178">
        <v>2244163.4700000002</v>
      </c>
      <c r="G126" s="178">
        <v>69355.11</v>
      </c>
      <c r="H126" s="178">
        <v>9828.81</v>
      </c>
      <c r="I126" s="178">
        <v>1152454.47</v>
      </c>
      <c r="J126" s="178">
        <v>1017730.8400000002</v>
      </c>
      <c r="K126" s="178">
        <v>298221.7</v>
      </c>
      <c r="L126" s="178">
        <v>255333.94</v>
      </c>
      <c r="M126" s="181">
        <v>592.29053903577994</v>
      </c>
    </row>
    <row r="127" spans="1:13" x14ac:dyDescent="0.2">
      <c r="A127" s="13" t="s">
        <v>268</v>
      </c>
      <c r="B127" s="12">
        <v>2013</v>
      </c>
      <c r="C127" s="12" t="s">
        <v>269</v>
      </c>
      <c r="D127" s="175">
        <v>277.64428030303031</v>
      </c>
      <c r="E127" s="177">
        <v>1092647.18</v>
      </c>
      <c r="F127" s="178">
        <v>6076528.6299999999</v>
      </c>
      <c r="G127" s="178">
        <v>223296.86</v>
      </c>
      <c r="H127" s="178">
        <v>48598.73</v>
      </c>
      <c r="I127" s="178">
        <v>2091199.1800000002</v>
      </c>
      <c r="J127" s="178">
        <v>1741532.5</v>
      </c>
      <c r="K127" s="178">
        <v>449845.87</v>
      </c>
      <c r="L127" s="178">
        <v>712112.0199999999</v>
      </c>
      <c r="M127" s="181">
        <v>1638.2691666666699</v>
      </c>
    </row>
    <row r="128" spans="1:13" x14ac:dyDescent="0.2">
      <c r="A128" s="13" t="s">
        <v>270</v>
      </c>
      <c r="B128" s="12">
        <v>2013</v>
      </c>
      <c r="C128" s="12" t="s">
        <v>271</v>
      </c>
      <c r="D128" s="175">
        <v>297.59910112359546</v>
      </c>
      <c r="E128" s="177">
        <v>1139282.82</v>
      </c>
      <c r="F128" s="178">
        <v>8016155.6699999999</v>
      </c>
      <c r="G128" s="179">
        <v>124045.73</v>
      </c>
      <c r="H128" s="179">
        <v>1031.8499999999999</v>
      </c>
      <c r="I128" s="179">
        <v>2295507.98</v>
      </c>
      <c r="J128" s="179">
        <v>3212169.0300000003</v>
      </c>
      <c r="K128" s="179">
        <v>701587.7300000001</v>
      </c>
      <c r="L128" s="179">
        <v>941092.41000000015</v>
      </c>
      <c r="M128" s="181">
        <v>2273.8074719101101</v>
      </c>
    </row>
    <row r="129" spans="1:13" x14ac:dyDescent="0.2">
      <c r="A129" s="13" t="s">
        <v>272</v>
      </c>
      <c r="B129" s="12">
        <v>2013</v>
      </c>
      <c r="C129" s="12" t="s">
        <v>273</v>
      </c>
      <c r="D129" s="175">
        <v>92.15084792626736</v>
      </c>
      <c r="E129" s="177">
        <v>457354.66</v>
      </c>
      <c r="F129" s="178">
        <v>2833772.96</v>
      </c>
      <c r="G129" s="178">
        <v>87323.75</v>
      </c>
      <c r="H129" s="178">
        <v>17862.990000000002</v>
      </c>
      <c r="I129" s="178">
        <v>1146711.0300000003</v>
      </c>
      <c r="J129" s="178">
        <v>872459.46</v>
      </c>
      <c r="K129" s="178">
        <v>259861.50000000006</v>
      </c>
      <c r="L129" s="178">
        <v>331284.21000000002</v>
      </c>
      <c r="M129" s="181">
        <v>848.94643317972395</v>
      </c>
    </row>
    <row r="130" spans="1:13" x14ac:dyDescent="0.2">
      <c r="A130" s="13" t="s">
        <v>274</v>
      </c>
      <c r="B130" s="12">
        <v>2013</v>
      </c>
      <c r="C130" s="12" t="s">
        <v>275</v>
      </c>
      <c r="D130" s="175">
        <v>70.416903294111577</v>
      </c>
      <c r="E130" s="177">
        <v>339121.36</v>
      </c>
      <c r="F130" s="178">
        <v>2438345.37</v>
      </c>
      <c r="G130" s="178">
        <v>248852.34</v>
      </c>
      <c r="H130" s="178">
        <v>2863</v>
      </c>
      <c r="I130" s="178">
        <v>1141591.1400000001</v>
      </c>
      <c r="J130" s="178">
        <v>1013219.87</v>
      </c>
      <c r="K130" s="178">
        <v>280846.84000000003</v>
      </c>
      <c r="L130" s="178">
        <v>320309.53000000003</v>
      </c>
      <c r="M130" s="181">
        <v>672.99929032922705</v>
      </c>
    </row>
    <row r="131" spans="1:13" x14ac:dyDescent="0.2">
      <c r="A131" s="13" t="s">
        <v>276</v>
      </c>
      <c r="B131" s="12">
        <v>2013</v>
      </c>
      <c r="C131" s="12" t="s">
        <v>277</v>
      </c>
      <c r="D131" s="175">
        <v>99.828299120234604</v>
      </c>
      <c r="E131" s="177">
        <v>462440.37</v>
      </c>
      <c r="F131" s="178">
        <v>4211833.55</v>
      </c>
      <c r="G131" s="178">
        <v>117924.22</v>
      </c>
      <c r="H131" s="178">
        <v>1845.43</v>
      </c>
      <c r="I131" s="178">
        <v>1382475.5</v>
      </c>
      <c r="J131" s="178">
        <v>1741121.6300000004</v>
      </c>
      <c r="K131" s="178">
        <v>471982.50999999995</v>
      </c>
      <c r="L131" s="178">
        <v>482180.57000000007</v>
      </c>
      <c r="M131" s="181">
        <v>1248.7988819648101</v>
      </c>
    </row>
    <row r="132" spans="1:13" x14ac:dyDescent="0.2">
      <c r="A132" s="13" t="s">
        <v>278</v>
      </c>
      <c r="B132" s="12">
        <v>2013</v>
      </c>
      <c r="C132" s="12" t="s">
        <v>279</v>
      </c>
      <c r="D132" s="175">
        <v>143.07329735059162</v>
      </c>
      <c r="E132" s="177">
        <v>473207.13</v>
      </c>
      <c r="F132" s="178">
        <v>4407348.8600000003</v>
      </c>
      <c r="G132" s="179">
        <v>100637.83</v>
      </c>
      <c r="H132" s="179">
        <v>6043.22</v>
      </c>
      <c r="I132" s="179">
        <v>1280047.67</v>
      </c>
      <c r="J132" s="179">
        <v>1613523.3700000003</v>
      </c>
      <c r="K132" s="179">
        <v>312330.60999999987</v>
      </c>
      <c r="L132" s="179">
        <v>393571.49000000005</v>
      </c>
      <c r="M132" s="181">
        <v>1191.63329473826</v>
      </c>
    </row>
    <row r="133" spans="1:13" x14ac:dyDescent="0.2">
      <c r="A133" s="13" t="s">
        <v>280</v>
      </c>
      <c r="B133" s="12">
        <v>2013</v>
      </c>
      <c r="C133" s="12" t="s">
        <v>281</v>
      </c>
      <c r="D133" s="175">
        <v>119.47575383857119</v>
      </c>
      <c r="E133" s="177">
        <v>370978.01</v>
      </c>
      <c r="F133" s="178">
        <v>3336500.48</v>
      </c>
      <c r="G133" s="179">
        <v>236614.39999999999</v>
      </c>
      <c r="H133" s="179">
        <v>3260.21</v>
      </c>
      <c r="I133" s="179">
        <v>1417812.3099999998</v>
      </c>
      <c r="J133" s="179">
        <v>952075.6100000001</v>
      </c>
      <c r="K133" s="179">
        <v>207668</v>
      </c>
      <c r="L133" s="179">
        <v>295619.67</v>
      </c>
      <c r="M133" s="181">
        <v>904.98594746546905</v>
      </c>
    </row>
    <row r="134" spans="1:13" x14ac:dyDescent="0.2">
      <c r="A134" s="13" t="s">
        <v>282</v>
      </c>
      <c r="B134" s="12">
        <v>2013</v>
      </c>
      <c r="C134" s="12" t="s">
        <v>283</v>
      </c>
      <c r="D134" s="175">
        <v>226.49415204678363</v>
      </c>
      <c r="E134" s="177">
        <v>1081534.1599999999</v>
      </c>
      <c r="F134" s="178">
        <v>8053698.1699999999</v>
      </c>
      <c r="G134" s="179">
        <v>119510.54</v>
      </c>
      <c r="H134" s="179">
        <v>120631.33</v>
      </c>
      <c r="I134" s="179">
        <v>3073844.4099999988</v>
      </c>
      <c r="J134" s="179">
        <v>3277599.95</v>
      </c>
      <c r="K134" s="179">
        <v>550950.6100000001</v>
      </c>
      <c r="L134" s="179">
        <v>797879.15000000014</v>
      </c>
      <c r="M134" s="181">
        <v>1996.88777777778</v>
      </c>
    </row>
    <row r="135" spans="1:13" x14ac:dyDescent="0.2">
      <c r="A135" s="13" t="s">
        <v>284</v>
      </c>
      <c r="B135" s="12">
        <v>2013</v>
      </c>
      <c r="C135" s="12" t="s">
        <v>285</v>
      </c>
      <c r="D135" s="175">
        <v>163.65680718954252</v>
      </c>
      <c r="E135" s="177">
        <v>666150.07999999996</v>
      </c>
      <c r="F135" s="178">
        <v>3681257.99</v>
      </c>
      <c r="G135" s="178">
        <v>124522.13</v>
      </c>
      <c r="H135" s="178">
        <v>0</v>
      </c>
      <c r="I135" s="178">
        <v>1316732.32</v>
      </c>
      <c r="J135" s="178">
        <v>1656409.8900000001</v>
      </c>
      <c r="K135" s="178">
        <v>298682.34999999998</v>
      </c>
      <c r="L135" s="178">
        <v>371464.43</v>
      </c>
      <c r="M135" s="181">
        <v>1086.0085049019599</v>
      </c>
    </row>
    <row r="136" spans="1:13" x14ac:dyDescent="0.2">
      <c r="A136" s="13" t="s">
        <v>286</v>
      </c>
      <c r="B136" s="12">
        <v>2013</v>
      </c>
      <c r="C136" s="12" t="s">
        <v>287</v>
      </c>
      <c r="D136" s="175">
        <v>729.49449840226282</v>
      </c>
      <c r="E136" s="177">
        <v>2895999.44</v>
      </c>
      <c r="F136" s="178">
        <v>18641123.469999999</v>
      </c>
      <c r="G136" s="178">
        <v>226710.81</v>
      </c>
      <c r="H136" s="178">
        <v>225991.64</v>
      </c>
      <c r="I136" s="178">
        <v>5014659.8100000015</v>
      </c>
      <c r="J136" s="178">
        <v>5820256.3199999984</v>
      </c>
      <c r="K136" s="178">
        <v>793251.05000000063</v>
      </c>
      <c r="L136" s="178">
        <v>3581186.3100000015</v>
      </c>
      <c r="M136" s="181">
        <v>4840.3328979205799</v>
      </c>
    </row>
    <row r="137" spans="1:13" x14ac:dyDescent="0.2">
      <c r="A137" s="13" t="s">
        <v>288</v>
      </c>
      <c r="B137" s="12">
        <v>2013</v>
      </c>
      <c r="C137" s="12" t="s">
        <v>289</v>
      </c>
      <c r="D137" s="175">
        <v>75.413117806880962</v>
      </c>
      <c r="E137" s="177">
        <v>4331.53</v>
      </c>
      <c r="F137" s="178">
        <v>5432838.1500000004</v>
      </c>
      <c r="G137" s="178">
        <v>64485.87</v>
      </c>
      <c r="H137" s="178">
        <v>7450.49</v>
      </c>
      <c r="I137" s="178">
        <v>2008780.83</v>
      </c>
      <c r="J137" s="178">
        <v>2085427.3199999998</v>
      </c>
      <c r="K137" s="178">
        <v>504906.04000000004</v>
      </c>
      <c r="L137" s="178">
        <v>656348.40000000014</v>
      </c>
      <c r="M137" s="181">
        <v>844.71956100985994</v>
      </c>
    </row>
    <row r="138" spans="1:13" x14ac:dyDescent="0.2">
      <c r="A138" s="13" t="s">
        <v>290</v>
      </c>
      <c r="B138" s="12">
        <v>2013</v>
      </c>
      <c r="C138" s="12" t="s">
        <v>291</v>
      </c>
      <c r="D138" s="175">
        <v>80.649931008763829</v>
      </c>
      <c r="E138" s="177">
        <v>228114.04</v>
      </c>
      <c r="F138" s="178">
        <v>3153561.4</v>
      </c>
      <c r="G138" s="179">
        <v>99812.32</v>
      </c>
      <c r="H138" s="180">
        <v>6178.75</v>
      </c>
      <c r="I138" s="180">
        <v>1040285.01</v>
      </c>
      <c r="J138" s="180">
        <v>1154956.49</v>
      </c>
      <c r="K138" s="180">
        <v>557299.69000000006</v>
      </c>
      <c r="L138" s="180">
        <v>269755.45999999996</v>
      </c>
      <c r="M138" s="181">
        <v>930.59320977065101</v>
      </c>
    </row>
    <row r="139" spans="1:13" x14ac:dyDescent="0.2">
      <c r="A139" s="13" t="s">
        <v>292</v>
      </c>
      <c r="B139" s="12">
        <v>2013</v>
      </c>
      <c r="C139" s="12" t="s">
        <v>293</v>
      </c>
      <c r="D139" s="175">
        <v>78.998584378237396</v>
      </c>
      <c r="E139" s="177">
        <v>458255.1</v>
      </c>
      <c r="F139" s="178">
        <v>3761332.48</v>
      </c>
      <c r="G139" s="179">
        <v>150597.96</v>
      </c>
      <c r="H139" s="179">
        <v>22651.89</v>
      </c>
      <c r="I139" s="179">
        <v>1363391.19</v>
      </c>
      <c r="J139" s="179">
        <v>1325284.5500000003</v>
      </c>
      <c r="K139" s="179">
        <v>387806.70000000019</v>
      </c>
      <c r="L139" s="179">
        <v>484723.92</v>
      </c>
      <c r="M139" s="181">
        <v>580.04088932947502</v>
      </c>
    </row>
    <row r="140" spans="1:13" x14ac:dyDescent="0.2">
      <c r="A140" s="13" t="s">
        <v>294</v>
      </c>
      <c r="B140" s="12">
        <v>2013</v>
      </c>
      <c r="C140" s="12" t="s">
        <v>295</v>
      </c>
      <c r="D140" s="175">
        <v>106.78304597701145</v>
      </c>
      <c r="E140" s="177">
        <v>366261</v>
      </c>
      <c r="F140" s="178">
        <v>2284272.73</v>
      </c>
      <c r="G140" s="178">
        <v>49731</v>
      </c>
      <c r="H140" s="178">
        <v>15599.73</v>
      </c>
      <c r="I140" s="178">
        <v>814903.92</v>
      </c>
      <c r="J140" s="178">
        <v>966835.68000000017</v>
      </c>
      <c r="K140" s="178">
        <v>195187.28999999995</v>
      </c>
      <c r="L140" s="178">
        <v>337254.23999999993</v>
      </c>
      <c r="M140" s="181">
        <v>666.36952380952403</v>
      </c>
    </row>
    <row r="141" spans="1:13" x14ac:dyDescent="0.2">
      <c r="A141" s="13" t="s">
        <v>296</v>
      </c>
      <c r="B141" s="12">
        <v>2013</v>
      </c>
      <c r="C141" s="12" t="s">
        <v>297</v>
      </c>
      <c r="D141" s="175">
        <v>199.71717884454728</v>
      </c>
      <c r="E141" s="177">
        <v>160392.14000000001</v>
      </c>
      <c r="F141" s="178">
        <v>4116328.4</v>
      </c>
      <c r="G141" s="178">
        <v>180101.32</v>
      </c>
      <c r="H141" s="178">
        <v>34389.269999999997</v>
      </c>
      <c r="I141" s="178">
        <v>1359762.23</v>
      </c>
      <c r="J141" s="178">
        <v>1763468.0599999998</v>
      </c>
      <c r="K141" s="178">
        <v>304206.48</v>
      </c>
      <c r="L141" s="178">
        <v>416146.2300000001</v>
      </c>
      <c r="M141" s="181">
        <v>1208.4401969667799</v>
      </c>
    </row>
    <row r="142" spans="1:13" x14ac:dyDescent="0.2">
      <c r="A142" s="13" t="s">
        <v>298</v>
      </c>
      <c r="B142" s="12">
        <v>2013</v>
      </c>
      <c r="C142" s="12" t="s">
        <v>299</v>
      </c>
      <c r="D142" s="175">
        <v>2330.6152356200796</v>
      </c>
      <c r="E142" s="177">
        <v>16176985.18</v>
      </c>
      <c r="F142" s="178">
        <v>53321737.539999999</v>
      </c>
      <c r="G142" s="178">
        <v>843077.71</v>
      </c>
      <c r="H142" s="178">
        <v>226555.67</v>
      </c>
      <c r="I142" s="178">
        <v>24797506.200000003</v>
      </c>
      <c r="J142" s="178">
        <v>34135183.709999949</v>
      </c>
      <c r="K142" s="178">
        <v>7190391.96</v>
      </c>
      <c r="L142" s="178">
        <v>8532067.849999994</v>
      </c>
      <c r="M142" s="181">
        <v>13771.9256455791</v>
      </c>
    </row>
    <row r="143" spans="1:13" x14ac:dyDescent="0.2">
      <c r="A143" s="13" t="s">
        <v>300</v>
      </c>
      <c r="B143" s="12">
        <v>2013</v>
      </c>
      <c r="C143" s="12" t="s">
        <v>301</v>
      </c>
      <c r="D143" s="175">
        <v>124.80633118362411</v>
      </c>
      <c r="E143" s="177">
        <v>671106.3</v>
      </c>
      <c r="F143" s="178">
        <v>3908343.44</v>
      </c>
      <c r="G143" s="178">
        <v>162364.49</v>
      </c>
      <c r="H143" s="178">
        <v>1413.77</v>
      </c>
      <c r="I143" s="178">
        <v>2145872.27</v>
      </c>
      <c r="J143" s="178">
        <v>1781224.02</v>
      </c>
      <c r="K143" s="178">
        <v>452564.05</v>
      </c>
      <c r="L143" s="178">
        <v>771325.83000000019</v>
      </c>
      <c r="M143" s="181">
        <v>1264.0648938814099</v>
      </c>
    </row>
    <row r="144" spans="1:13" x14ac:dyDescent="0.2">
      <c r="A144" s="13" t="s">
        <v>302</v>
      </c>
      <c r="B144" s="12">
        <v>2013</v>
      </c>
      <c r="C144" s="12" t="s">
        <v>303</v>
      </c>
      <c r="D144" s="175">
        <v>364.97802259887004</v>
      </c>
      <c r="E144" s="177">
        <v>1553712.04</v>
      </c>
      <c r="F144" s="178">
        <v>7785645.25</v>
      </c>
      <c r="G144" s="178">
        <v>220023.81</v>
      </c>
      <c r="H144" s="178">
        <v>91191.02</v>
      </c>
      <c r="I144" s="178">
        <v>2445608.8600000003</v>
      </c>
      <c r="J144" s="178">
        <v>3035923.08</v>
      </c>
      <c r="K144" s="178">
        <v>1216290.44</v>
      </c>
      <c r="L144" s="178">
        <v>956662.91</v>
      </c>
      <c r="M144" s="181">
        <v>2565.2464971751401</v>
      </c>
    </row>
    <row r="145" spans="1:13" x14ac:dyDescent="0.2">
      <c r="A145" s="13" t="s">
        <v>304</v>
      </c>
      <c r="B145" s="12">
        <v>2013</v>
      </c>
      <c r="C145" s="12" t="s">
        <v>305</v>
      </c>
      <c r="D145" s="175">
        <v>631.12060494652405</v>
      </c>
      <c r="E145" s="177">
        <v>3036631.69</v>
      </c>
      <c r="F145" s="178">
        <v>19274739.940000001</v>
      </c>
      <c r="G145" s="178">
        <v>451822.56</v>
      </c>
      <c r="H145" s="178">
        <v>38323.760000000002</v>
      </c>
      <c r="I145" s="178">
        <v>5519043.3899999997</v>
      </c>
      <c r="J145" s="178">
        <v>6671963.0499999998</v>
      </c>
      <c r="K145" s="178">
        <v>1472857.9200000004</v>
      </c>
      <c r="L145" s="178">
        <v>2271128.0400000005</v>
      </c>
      <c r="M145" s="181">
        <v>5106.3919741892396</v>
      </c>
    </row>
    <row r="146" spans="1:13" x14ac:dyDescent="0.2">
      <c r="A146" s="13" t="s">
        <v>306</v>
      </c>
      <c r="B146" s="12">
        <v>2013</v>
      </c>
      <c r="C146" s="12" t="s">
        <v>307</v>
      </c>
      <c r="D146" s="175">
        <v>114.14687628006263</v>
      </c>
      <c r="E146" s="177">
        <v>512577.8</v>
      </c>
      <c r="F146" s="178">
        <v>3472887.3</v>
      </c>
      <c r="G146" s="178">
        <v>88528.89</v>
      </c>
      <c r="H146" s="178">
        <v>674.98</v>
      </c>
      <c r="I146" s="178">
        <v>1290891.81</v>
      </c>
      <c r="J146" s="178">
        <v>941489.51</v>
      </c>
      <c r="K146" s="178">
        <v>94202.98</v>
      </c>
      <c r="L146" s="178">
        <v>426434.58999999997</v>
      </c>
      <c r="M146" s="181">
        <v>1098.6629138522901</v>
      </c>
    </row>
    <row r="147" spans="1:13" x14ac:dyDescent="0.2">
      <c r="A147" s="13" t="s">
        <v>308</v>
      </c>
      <c r="B147" s="12">
        <v>2013</v>
      </c>
      <c r="C147" s="12" t="s">
        <v>309</v>
      </c>
      <c r="D147" s="175">
        <v>299.02001915219608</v>
      </c>
      <c r="E147" s="177">
        <v>1668364.13</v>
      </c>
      <c r="F147" s="178">
        <v>10046743.08</v>
      </c>
      <c r="G147" s="178">
        <v>109239.12</v>
      </c>
      <c r="H147" s="178">
        <v>28228.639999999999</v>
      </c>
      <c r="I147" s="178">
        <v>2745200.2399999998</v>
      </c>
      <c r="J147" s="178">
        <v>2619942.5300000003</v>
      </c>
      <c r="K147" s="178">
        <v>674861.23</v>
      </c>
      <c r="L147" s="178">
        <v>1015399.1300000001</v>
      </c>
      <c r="M147" s="181">
        <v>2640.1611695607799</v>
      </c>
    </row>
    <row r="148" spans="1:13" x14ac:dyDescent="0.2">
      <c r="A148" s="13" t="s">
        <v>310</v>
      </c>
      <c r="B148" s="12">
        <v>2013</v>
      </c>
      <c r="C148" s="12" t="s">
        <v>311</v>
      </c>
      <c r="D148" s="175">
        <v>1196.3825550514616</v>
      </c>
      <c r="E148" s="177">
        <v>14168113.51</v>
      </c>
      <c r="F148" s="178">
        <v>75096313.239999995</v>
      </c>
      <c r="G148" s="178">
        <v>1266742.6000000001</v>
      </c>
      <c r="H148" s="178">
        <v>115599.42</v>
      </c>
      <c r="I148" s="178">
        <v>16849849.670000006</v>
      </c>
      <c r="J148" s="178">
        <v>20051244.98</v>
      </c>
      <c r="K148" s="178">
        <v>14680500.819999998</v>
      </c>
      <c r="L148" s="178">
        <v>9913076.3099999949</v>
      </c>
      <c r="M148" s="181">
        <v>14055.5878504173</v>
      </c>
    </row>
    <row r="149" spans="1:13" x14ac:dyDescent="0.2">
      <c r="A149" s="13" t="s">
        <v>312</v>
      </c>
      <c r="B149" s="12">
        <v>2013</v>
      </c>
      <c r="C149" s="12" t="s">
        <v>313</v>
      </c>
      <c r="D149" s="175">
        <v>477.78928827303304</v>
      </c>
      <c r="E149" s="177">
        <v>4096457.63</v>
      </c>
      <c r="F149" s="178">
        <v>13561602.27</v>
      </c>
      <c r="G149" s="178">
        <v>1120186.17</v>
      </c>
      <c r="H149" s="178">
        <v>7707.14</v>
      </c>
      <c r="I149" s="178">
        <v>9591191.6900000032</v>
      </c>
      <c r="J149" s="178">
        <v>6320287.9099999974</v>
      </c>
      <c r="K149" s="178">
        <v>794229.77000000014</v>
      </c>
      <c r="L149" s="178">
        <v>2429502.4199999995</v>
      </c>
      <c r="M149" s="181">
        <v>2691.6620276912699</v>
      </c>
    </row>
    <row r="150" spans="1:13" x14ac:dyDescent="0.2">
      <c r="A150" s="13" t="s">
        <v>314</v>
      </c>
      <c r="B150" s="12">
        <v>2013</v>
      </c>
      <c r="C150" s="12" t="s">
        <v>315</v>
      </c>
      <c r="D150" s="175">
        <v>229.32389429345238</v>
      </c>
      <c r="E150" s="177">
        <v>659868.80000000005</v>
      </c>
      <c r="F150" s="178">
        <v>4365143.75</v>
      </c>
      <c r="G150" s="178">
        <v>172190.38</v>
      </c>
      <c r="H150" s="178">
        <v>5868.08</v>
      </c>
      <c r="I150" s="178">
        <v>1383464.0200000003</v>
      </c>
      <c r="J150" s="178">
        <v>1780027.58</v>
      </c>
      <c r="K150" s="178">
        <v>840799.78999999992</v>
      </c>
      <c r="L150" s="178">
        <v>461236.08</v>
      </c>
      <c r="M150" s="181">
        <v>1480.74521949922</v>
      </c>
    </row>
    <row r="151" spans="1:13" x14ac:dyDescent="0.2">
      <c r="A151" s="13" t="s">
        <v>316</v>
      </c>
      <c r="B151" s="12">
        <v>2013</v>
      </c>
      <c r="C151" s="12" t="s">
        <v>317</v>
      </c>
      <c r="D151" s="175">
        <v>173.75221704269998</v>
      </c>
      <c r="E151" s="177">
        <v>525874.46</v>
      </c>
      <c r="F151" s="178">
        <v>2961182.46</v>
      </c>
      <c r="G151" s="179">
        <v>73214.880000000005</v>
      </c>
      <c r="H151" s="179">
        <v>37462.65</v>
      </c>
      <c r="I151" s="179">
        <v>1331485.7999999998</v>
      </c>
      <c r="J151" s="179">
        <v>2101949.5499999998</v>
      </c>
      <c r="K151" s="179">
        <v>307403.81999999989</v>
      </c>
      <c r="L151" s="179">
        <v>627174.44000000006</v>
      </c>
      <c r="M151" s="181">
        <v>1038.38773930307</v>
      </c>
    </row>
    <row r="152" spans="1:13" x14ac:dyDescent="0.2">
      <c r="A152" s="13" t="s">
        <v>318</v>
      </c>
      <c r="B152" s="12">
        <v>2013</v>
      </c>
      <c r="C152" s="12" t="s">
        <v>319</v>
      </c>
      <c r="D152" s="175">
        <v>157.60978150631937</v>
      </c>
      <c r="E152" s="177">
        <v>661837.09</v>
      </c>
      <c r="F152" s="178">
        <v>6195491.75</v>
      </c>
      <c r="G152" s="178">
        <v>67193.84</v>
      </c>
      <c r="H152" s="178">
        <v>10147.25</v>
      </c>
      <c r="I152" s="178">
        <v>2274859.9499999997</v>
      </c>
      <c r="J152" s="178">
        <v>2690952.88</v>
      </c>
      <c r="K152" s="178">
        <v>407748.14000000007</v>
      </c>
      <c r="L152" s="178">
        <v>412560.09999999992</v>
      </c>
      <c r="M152" s="181">
        <v>1788.6876843677701</v>
      </c>
    </row>
    <row r="153" spans="1:13" x14ac:dyDescent="0.2">
      <c r="A153" s="13" t="s">
        <v>320</v>
      </c>
      <c r="B153" s="12">
        <v>2013</v>
      </c>
      <c r="C153" s="12" t="s">
        <v>321</v>
      </c>
      <c r="D153" s="175">
        <v>89.623119211822711</v>
      </c>
      <c r="E153" s="177">
        <v>409329.39</v>
      </c>
      <c r="F153" s="178">
        <v>3357136.52</v>
      </c>
      <c r="G153" s="178">
        <v>127692.92</v>
      </c>
      <c r="H153" s="178">
        <v>0</v>
      </c>
      <c r="I153" s="178">
        <v>1155289.6400000001</v>
      </c>
      <c r="J153" s="178">
        <v>1509640.6800000002</v>
      </c>
      <c r="K153" s="178">
        <v>6991.95</v>
      </c>
      <c r="L153" s="178">
        <v>559152.84000000008</v>
      </c>
      <c r="M153" s="181">
        <v>1104.37382354998</v>
      </c>
    </row>
    <row r="154" spans="1:13" x14ac:dyDescent="0.2">
      <c r="A154" s="13" t="s">
        <v>322</v>
      </c>
      <c r="B154" s="12">
        <v>2013</v>
      </c>
      <c r="C154" s="12" t="s">
        <v>323</v>
      </c>
      <c r="D154" s="175">
        <v>373.46719617719236</v>
      </c>
      <c r="E154" s="177">
        <v>2636635.17</v>
      </c>
      <c r="F154" s="178">
        <v>8196417.71</v>
      </c>
      <c r="G154" s="178">
        <v>188435.05</v>
      </c>
      <c r="H154" s="178">
        <v>150540.64000000001</v>
      </c>
      <c r="I154" s="178">
        <v>2056622.96</v>
      </c>
      <c r="J154" s="178">
        <v>3999373.71</v>
      </c>
      <c r="K154" s="178">
        <v>820070.19000000018</v>
      </c>
      <c r="L154" s="178">
        <v>1050788.5900000001</v>
      </c>
      <c r="M154" s="181">
        <v>2161.3622497739898</v>
      </c>
    </row>
    <row r="155" spans="1:13" x14ac:dyDescent="0.2">
      <c r="A155" s="13" t="s">
        <v>324</v>
      </c>
      <c r="B155" s="12">
        <v>2013</v>
      </c>
      <c r="C155" s="12" t="s">
        <v>325</v>
      </c>
      <c r="D155" s="175">
        <v>224.00476215024514</v>
      </c>
      <c r="E155" s="177">
        <v>964659.4</v>
      </c>
      <c r="F155" s="178">
        <v>7432557.96</v>
      </c>
      <c r="G155" s="179">
        <v>204242.3</v>
      </c>
      <c r="H155" s="179">
        <v>43552.52</v>
      </c>
      <c r="I155" s="179">
        <v>2456115.8799999994</v>
      </c>
      <c r="J155" s="179">
        <v>2790783.2300000004</v>
      </c>
      <c r="K155" s="179">
        <v>366889.79000000004</v>
      </c>
      <c r="L155" s="179">
        <v>415046.51</v>
      </c>
      <c r="M155" s="181">
        <v>2186.1737279836798</v>
      </c>
    </row>
    <row r="156" spans="1:13" x14ac:dyDescent="0.2">
      <c r="A156" s="13" t="s">
        <v>326</v>
      </c>
      <c r="B156" s="12">
        <v>2013</v>
      </c>
      <c r="C156" s="12" t="s">
        <v>327</v>
      </c>
      <c r="D156" s="175">
        <v>123.09883905717628</v>
      </c>
      <c r="E156" s="177">
        <v>503313</v>
      </c>
      <c r="F156" s="178">
        <v>3834938.12</v>
      </c>
      <c r="G156" s="178">
        <v>47066.46</v>
      </c>
      <c r="H156" s="178">
        <v>5926.46</v>
      </c>
      <c r="I156" s="178">
        <v>1041769.22</v>
      </c>
      <c r="J156" s="178">
        <v>1519143.1699999997</v>
      </c>
      <c r="K156" s="178">
        <v>207345.03999999998</v>
      </c>
      <c r="L156" s="178">
        <v>568094.52000000037</v>
      </c>
      <c r="M156" s="181">
        <v>1215.4033842998299</v>
      </c>
    </row>
    <row r="157" spans="1:13" x14ac:dyDescent="0.2">
      <c r="A157" s="13" t="s">
        <v>328</v>
      </c>
      <c r="B157" s="12">
        <v>2013</v>
      </c>
      <c r="C157" s="12" t="s">
        <v>329</v>
      </c>
      <c r="D157" s="175">
        <v>154.76668970814131</v>
      </c>
      <c r="E157" s="177">
        <v>598286.75</v>
      </c>
      <c r="F157" s="178">
        <v>3952417.98</v>
      </c>
      <c r="G157" s="178">
        <v>190308.31</v>
      </c>
      <c r="H157" s="178">
        <v>55784.51</v>
      </c>
      <c r="I157" s="178">
        <v>1580215.6899999997</v>
      </c>
      <c r="J157" s="178">
        <v>1905328.3600000003</v>
      </c>
      <c r="K157" s="178">
        <v>782232.32000000018</v>
      </c>
      <c r="L157" s="178">
        <v>361937.22000000003</v>
      </c>
      <c r="M157" s="181">
        <v>1316.34240015361</v>
      </c>
    </row>
    <row r="158" spans="1:13" x14ac:dyDescent="0.2">
      <c r="A158" s="13" t="s">
        <v>330</v>
      </c>
      <c r="B158" s="12">
        <v>2013</v>
      </c>
      <c r="C158" s="12" t="s">
        <v>331</v>
      </c>
      <c r="D158" s="175">
        <v>66.663742690058484</v>
      </c>
      <c r="E158" s="177">
        <v>479975.56</v>
      </c>
      <c r="F158" s="178">
        <v>3023039.55</v>
      </c>
      <c r="G158" s="178">
        <v>97873.99</v>
      </c>
      <c r="H158" s="179">
        <v>32815.879999999997</v>
      </c>
      <c r="I158" s="179">
        <v>953529.03</v>
      </c>
      <c r="J158" s="179">
        <v>1324863.9900000002</v>
      </c>
      <c r="K158" s="179">
        <v>127143.91</v>
      </c>
      <c r="L158" s="179">
        <v>308271.51</v>
      </c>
      <c r="M158" s="181">
        <v>832.26023391812896</v>
      </c>
    </row>
    <row r="159" spans="1:13" x14ac:dyDescent="0.2">
      <c r="A159" s="13" t="s">
        <v>332</v>
      </c>
      <c r="B159" s="12">
        <v>2013</v>
      </c>
      <c r="C159" s="12" t="s">
        <v>333</v>
      </c>
      <c r="D159" s="175">
        <v>122.47443181818178</v>
      </c>
      <c r="E159" s="177">
        <v>459011.96</v>
      </c>
      <c r="F159" s="178">
        <v>2820664.3</v>
      </c>
      <c r="G159" s="179">
        <v>90729.46</v>
      </c>
      <c r="H159" s="179">
        <v>18945.25</v>
      </c>
      <c r="I159" s="179">
        <v>920901.21999999986</v>
      </c>
      <c r="J159" s="179">
        <v>1266506.2700000003</v>
      </c>
      <c r="K159" s="179">
        <v>228541.56000000003</v>
      </c>
      <c r="L159" s="179">
        <v>346884.38999999996</v>
      </c>
      <c r="M159" s="181">
        <v>806.71062500000005</v>
      </c>
    </row>
    <row r="160" spans="1:13" x14ac:dyDescent="0.2">
      <c r="A160" s="13" t="s">
        <v>334</v>
      </c>
      <c r="B160" s="12">
        <v>2013</v>
      </c>
      <c r="C160" s="12" t="s">
        <v>335</v>
      </c>
      <c r="D160" s="175">
        <v>117.26970689417917</v>
      </c>
      <c r="E160" s="177">
        <v>172716.16</v>
      </c>
      <c r="F160" s="178">
        <v>6784661.0499999998</v>
      </c>
      <c r="G160" s="179">
        <v>237426.31</v>
      </c>
      <c r="H160" s="179">
        <v>257107.86</v>
      </c>
      <c r="I160" s="179">
        <v>1712183.54</v>
      </c>
      <c r="J160" s="179">
        <v>2030225.0300000003</v>
      </c>
      <c r="K160" s="179">
        <v>533770.48</v>
      </c>
      <c r="L160" s="179">
        <v>452049.28</v>
      </c>
      <c r="M160" s="181">
        <v>1566.46889913307</v>
      </c>
    </row>
    <row r="161" spans="1:13" x14ac:dyDescent="0.2">
      <c r="A161" s="13" t="s">
        <v>336</v>
      </c>
      <c r="B161" s="12">
        <v>2013</v>
      </c>
      <c r="C161" s="12" t="s">
        <v>337</v>
      </c>
      <c r="D161" s="175">
        <v>220.02100189991103</v>
      </c>
      <c r="E161" s="177">
        <v>894383.07</v>
      </c>
      <c r="F161" s="178">
        <v>7192788.4900000002</v>
      </c>
      <c r="G161" s="178">
        <v>212604.37</v>
      </c>
      <c r="H161" s="178">
        <v>40075.019999999997</v>
      </c>
      <c r="I161" s="178">
        <v>2430308.2499999995</v>
      </c>
      <c r="J161" s="178">
        <v>2950685.1500000013</v>
      </c>
      <c r="K161" s="178">
        <v>649833.27999999991</v>
      </c>
      <c r="L161" s="178">
        <v>1103965.7400000002</v>
      </c>
      <c r="M161" s="181">
        <v>2112.3564743512002</v>
      </c>
    </row>
    <row r="162" spans="1:13" x14ac:dyDescent="0.2">
      <c r="A162" s="13" t="s">
        <v>338</v>
      </c>
      <c r="B162" s="12">
        <v>2013</v>
      </c>
      <c r="C162" s="12" t="s">
        <v>339</v>
      </c>
      <c r="D162" s="175">
        <v>61.987732612343869</v>
      </c>
      <c r="E162" s="177">
        <v>267666.51</v>
      </c>
      <c r="F162" s="178">
        <v>2395992.88</v>
      </c>
      <c r="G162" s="179">
        <v>75124.11</v>
      </c>
      <c r="H162" s="179">
        <v>0</v>
      </c>
      <c r="I162" s="179">
        <v>974085.89</v>
      </c>
      <c r="J162" s="179">
        <v>810869.59000000008</v>
      </c>
      <c r="K162" s="179">
        <v>90996.45</v>
      </c>
      <c r="L162" s="179">
        <v>122458.06</v>
      </c>
      <c r="M162" s="181">
        <v>624.88948722729799</v>
      </c>
    </row>
    <row r="163" spans="1:13" x14ac:dyDescent="0.2">
      <c r="A163" s="13" t="s">
        <v>340</v>
      </c>
      <c r="B163" s="12">
        <v>2013</v>
      </c>
      <c r="C163" s="12" t="s">
        <v>341</v>
      </c>
      <c r="D163" s="175">
        <v>467.74080459770113</v>
      </c>
      <c r="E163" s="177">
        <v>2434824.64</v>
      </c>
      <c r="F163" s="178">
        <v>11671106.59</v>
      </c>
      <c r="G163" s="178">
        <v>419030.21</v>
      </c>
      <c r="H163" s="178">
        <v>13185.66</v>
      </c>
      <c r="I163" s="178">
        <v>2563546.29</v>
      </c>
      <c r="J163" s="178">
        <v>4028011.4700000011</v>
      </c>
      <c r="K163" s="178">
        <v>2991468.8099999996</v>
      </c>
      <c r="L163" s="178">
        <v>1693872.4300000006</v>
      </c>
      <c r="M163" s="181">
        <v>3524.54304597701</v>
      </c>
    </row>
    <row r="164" spans="1:13" x14ac:dyDescent="0.2">
      <c r="A164" s="13" t="s">
        <v>342</v>
      </c>
      <c r="B164" s="12">
        <v>2013</v>
      </c>
      <c r="C164" s="12" t="s">
        <v>343</v>
      </c>
      <c r="D164" s="175">
        <v>222.08774939399581</v>
      </c>
      <c r="E164" s="177">
        <v>1103820.79</v>
      </c>
      <c r="F164" s="178">
        <v>6234275.4400000004</v>
      </c>
      <c r="G164" s="178">
        <v>218211.67</v>
      </c>
      <c r="H164" s="178">
        <v>17343.16</v>
      </c>
      <c r="I164" s="178">
        <v>2205453.3500000006</v>
      </c>
      <c r="J164" s="178">
        <v>2691282.7800000003</v>
      </c>
      <c r="K164" s="178">
        <v>432281.39</v>
      </c>
      <c r="L164" s="178">
        <v>665885.44000000018</v>
      </c>
      <c r="M164" s="181">
        <v>1797.45818385232</v>
      </c>
    </row>
    <row r="165" spans="1:13" x14ac:dyDescent="0.2">
      <c r="A165" s="13" t="s">
        <v>344</v>
      </c>
      <c r="B165" s="12">
        <v>2013</v>
      </c>
      <c r="C165" s="12" t="s">
        <v>345</v>
      </c>
      <c r="D165" s="175">
        <v>88.674124557150847</v>
      </c>
      <c r="E165" s="177">
        <v>208765.35</v>
      </c>
      <c r="F165" s="178">
        <v>2070779.71</v>
      </c>
      <c r="G165" s="179">
        <v>39120.14</v>
      </c>
      <c r="H165" s="179">
        <v>805.32</v>
      </c>
      <c r="I165" s="179">
        <v>847781.92999999993</v>
      </c>
      <c r="J165" s="179">
        <v>907735.75</v>
      </c>
      <c r="K165" s="179">
        <v>29814.95</v>
      </c>
      <c r="L165" s="179">
        <v>151196.81000000003</v>
      </c>
      <c r="M165" s="181">
        <v>583.092882714898</v>
      </c>
    </row>
    <row r="166" spans="1:13" x14ac:dyDescent="0.2">
      <c r="A166" s="13" t="s">
        <v>346</v>
      </c>
      <c r="B166" s="12">
        <v>2013</v>
      </c>
      <c r="C166" s="12" t="s">
        <v>347</v>
      </c>
      <c r="D166" s="175">
        <v>193.12411111111106</v>
      </c>
      <c r="E166" s="177">
        <v>975622.6</v>
      </c>
      <c r="F166" s="178">
        <v>4148483.36</v>
      </c>
      <c r="G166" s="178">
        <v>207468.72</v>
      </c>
      <c r="H166" s="179">
        <v>147206.64000000001</v>
      </c>
      <c r="I166" s="179">
        <v>1571814.1600000001</v>
      </c>
      <c r="J166" s="179">
        <v>1585820.04</v>
      </c>
      <c r="K166" s="179">
        <v>224631.13999999996</v>
      </c>
      <c r="L166" s="179">
        <v>400100.55000000005</v>
      </c>
      <c r="M166" s="181">
        <v>1107.6265555555599</v>
      </c>
    </row>
    <row r="167" spans="1:13" x14ac:dyDescent="0.2">
      <c r="A167" s="13" t="s">
        <v>348</v>
      </c>
      <c r="B167" s="12">
        <v>2013</v>
      </c>
      <c r="C167" s="12" t="s">
        <v>349</v>
      </c>
      <c r="D167" s="175">
        <v>164.88150932757961</v>
      </c>
      <c r="E167" s="177">
        <v>506377.68</v>
      </c>
      <c r="F167" s="178">
        <v>8869762.9800000004</v>
      </c>
      <c r="G167" s="178">
        <v>214626.01</v>
      </c>
      <c r="H167" s="178">
        <v>31665.040000000001</v>
      </c>
      <c r="I167" s="178">
        <v>2097537.65</v>
      </c>
      <c r="J167" s="178">
        <v>2753451.08</v>
      </c>
      <c r="K167" s="178">
        <v>442636.52999999997</v>
      </c>
      <c r="L167" s="178">
        <v>879514.77</v>
      </c>
      <c r="M167" s="181">
        <v>2535.67665570088</v>
      </c>
    </row>
    <row r="168" spans="1:13" x14ac:dyDescent="0.2">
      <c r="A168" s="13" t="s">
        <v>350</v>
      </c>
      <c r="B168" s="12">
        <v>2013</v>
      </c>
      <c r="C168" s="12" t="s">
        <v>351</v>
      </c>
      <c r="D168" s="175">
        <v>151.83488420990861</v>
      </c>
      <c r="E168" s="177">
        <v>693487.99</v>
      </c>
      <c r="F168" s="178">
        <v>4524092.1500000004</v>
      </c>
      <c r="G168" s="179">
        <v>198310.29</v>
      </c>
      <c r="H168" s="179">
        <v>27531.85</v>
      </c>
      <c r="I168" s="179">
        <v>1171727.1199999999</v>
      </c>
      <c r="J168" s="179">
        <v>1958867.3199999998</v>
      </c>
      <c r="K168" s="179">
        <v>481976.01000000013</v>
      </c>
      <c r="L168" s="179">
        <v>518588.62000000005</v>
      </c>
      <c r="M168" s="181">
        <v>1219.21730033381</v>
      </c>
    </row>
    <row r="169" spans="1:13" x14ac:dyDescent="0.2">
      <c r="A169" s="13" t="s">
        <v>352</v>
      </c>
      <c r="B169" s="12">
        <v>2013</v>
      </c>
      <c r="C169" s="12" t="s">
        <v>353</v>
      </c>
      <c r="D169" s="175">
        <v>909.54426136363656</v>
      </c>
      <c r="E169" s="177">
        <v>5749126.1600000001</v>
      </c>
      <c r="F169" s="178">
        <v>26597139.09</v>
      </c>
      <c r="G169" s="178">
        <v>454509.52</v>
      </c>
      <c r="H169" s="178">
        <v>9887</v>
      </c>
      <c r="I169" s="178">
        <v>8345894.3300000019</v>
      </c>
      <c r="J169" s="178">
        <v>9356174.3800000027</v>
      </c>
      <c r="K169" s="178">
        <v>1967957.4199999981</v>
      </c>
      <c r="L169" s="178">
        <v>3381505.7800000003</v>
      </c>
      <c r="M169" s="181">
        <v>6443.8838636363598</v>
      </c>
    </row>
    <row r="170" spans="1:13" x14ac:dyDescent="0.2">
      <c r="A170" s="13" t="s">
        <v>354</v>
      </c>
      <c r="B170" s="12">
        <v>2013</v>
      </c>
      <c r="C170" s="12" t="s">
        <v>355</v>
      </c>
      <c r="D170" s="175">
        <v>1051.624098778932</v>
      </c>
      <c r="E170" s="177">
        <v>5559088.4100000001</v>
      </c>
      <c r="F170" s="178">
        <v>22005989.039999999</v>
      </c>
      <c r="G170" s="178">
        <v>459555.49</v>
      </c>
      <c r="H170" s="178">
        <v>54030.8</v>
      </c>
      <c r="I170" s="178">
        <v>9384434.4100000001</v>
      </c>
      <c r="J170" s="178">
        <v>10866112.899999995</v>
      </c>
      <c r="K170" s="178">
        <v>3597946.8300000029</v>
      </c>
      <c r="L170" s="178">
        <v>3887417.2499999972</v>
      </c>
      <c r="M170" s="181">
        <v>5380.5461326772402</v>
      </c>
    </row>
    <row r="171" spans="1:13" x14ac:dyDescent="0.2">
      <c r="A171" s="13" t="s">
        <v>356</v>
      </c>
      <c r="B171" s="12">
        <v>2013</v>
      </c>
      <c r="C171" s="12" t="s">
        <v>357</v>
      </c>
      <c r="D171" s="175">
        <v>201.19232558139529</v>
      </c>
      <c r="E171" s="177">
        <v>563850.82999999996</v>
      </c>
      <c r="F171" s="178">
        <v>4776838.1500000004</v>
      </c>
      <c r="G171" s="178">
        <v>124668.34</v>
      </c>
      <c r="H171" s="178">
        <v>134800.31</v>
      </c>
      <c r="I171" s="178">
        <v>1713489.7</v>
      </c>
      <c r="J171" s="178">
        <v>2121620.4700000002</v>
      </c>
      <c r="K171" s="178">
        <v>336105.83</v>
      </c>
      <c r="L171" s="178">
        <v>613451.96</v>
      </c>
      <c r="M171" s="181">
        <v>1227.09222222222</v>
      </c>
    </row>
    <row r="172" spans="1:13" x14ac:dyDescent="0.2">
      <c r="A172" s="13" t="s">
        <v>358</v>
      </c>
      <c r="B172" s="12">
        <v>2013</v>
      </c>
      <c r="C172" s="12" t="s">
        <v>359</v>
      </c>
      <c r="D172" s="175">
        <v>105.65573699421964</v>
      </c>
      <c r="E172" s="177">
        <v>660569.84</v>
      </c>
      <c r="F172" s="178">
        <v>3845636.27</v>
      </c>
      <c r="G172" s="179">
        <v>107463.08</v>
      </c>
      <c r="H172" s="179">
        <v>12865.04</v>
      </c>
      <c r="I172" s="179">
        <v>1373274.26</v>
      </c>
      <c r="J172" s="179">
        <v>1662135.3400000003</v>
      </c>
      <c r="K172" s="179">
        <v>277628.57000000012</v>
      </c>
      <c r="L172" s="179">
        <v>489654.5799999999</v>
      </c>
      <c r="M172" s="181">
        <v>1070.7387588675799</v>
      </c>
    </row>
    <row r="173" spans="1:13" x14ac:dyDescent="0.2">
      <c r="A173" s="13" t="s">
        <v>360</v>
      </c>
      <c r="B173" s="12">
        <v>2013</v>
      </c>
      <c r="C173" s="12" t="s">
        <v>361</v>
      </c>
      <c r="D173" s="175">
        <v>437.74576635151618</v>
      </c>
      <c r="E173" s="177">
        <v>2702487.5</v>
      </c>
      <c r="F173" s="178">
        <v>15901116.59</v>
      </c>
      <c r="G173" s="178">
        <v>129368.53</v>
      </c>
      <c r="H173" s="178">
        <v>31189.73</v>
      </c>
      <c r="I173" s="178">
        <v>5034356.0399999991</v>
      </c>
      <c r="J173" s="178">
        <v>6060358.7600000007</v>
      </c>
      <c r="K173" s="178">
        <v>928657.89000000013</v>
      </c>
      <c r="L173" s="178">
        <v>2142913.5200000019</v>
      </c>
      <c r="M173" s="181">
        <v>4143.2967139533503</v>
      </c>
    </row>
    <row r="174" spans="1:13" x14ac:dyDescent="0.2">
      <c r="A174" s="13" t="s">
        <v>362</v>
      </c>
      <c r="B174" s="12">
        <v>2013</v>
      </c>
      <c r="C174" s="12" t="s">
        <v>363</v>
      </c>
      <c r="D174" s="175">
        <v>1131.4742941081518</v>
      </c>
      <c r="E174" s="177">
        <v>4564566.21</v>
      </c>
      <c r="F174" s="178">
        <v>29386335.5</v>
      </c>
      <c r="G174" s="178">
        <v>714825.16</v>
      </c>
      <c r="H174" s="178">
        <v>70478.87</v>
      </c>
      <c r="I174" s="178">
        <v>8467292.7599999979</v>
      </c>
      <c r="J174" s="178">
        <v>10721543.169999994</v>
      </c>
      <c r="K174" s="178">
        <v>4080964.65</v>
      </c>
      <c r="L174" s="178">
        <v>3344975.8600000013</v>
      </c>
      <c r="M174" s="181">
        <v>9496.4547667473798</v>
      </c>
    </row>
    <row r="175" spans="1:13" x14ac:dyDescent="0.2">
      <c r="A175" s="13" t="s">
        <v>364</v>
      </c>
      <c r="B175" s="12">
        <v>2013</v>
      </c>
      <c r="C175" s="12" t="s">
        <v>365</v>
      </c>
      <c r="D175" s="175">
        <v>67.194026733500408</v>
      </c>
      <c r="E175" s="177">
        <v>268769.40999999997</v>
      </c>
      <c r="F175" s="178">
        <v>3051478.03</v>
      </c>
      <c r="G175" s="178">
        <v>65970.100000000006</v>
      </c>
      <c r="H175" s="178">
        <v>18214.8</v>
      </c>
      <c r="I175" s="178">
        <v>1079579.8</v>
      </c>
      <c r="J175" s="178">
        <v>991358.00000000023</v>
      </c>
      <c r="K175" s="178">
        <v>369801.85</v>
      </c>
      <c r="L175" s="178">
        <v>274147.17</v>
      </c>
      <c r="M175" s="181">
        <v>960.32395572263999</v>
      </c>
    </row>
    <row r="176" spans="1:13" x14ac:dyDescent="0.2">
      <c r="A176" s="13" t="s">
        <v>366</v>
      </c>
      <c r="B176" s="12">
        <v>2013</v>
      </c>
      <c r="C176" s="12" t="s">
        <v>367</v>
      </c>
      <c r="D176" s="175">
        <v>182.98260413119962</v>
      </c>
      <c r="E176" s="177">
        <v>881148.77</v>
      </c>
      <c r="F176" s="178">
        <v>6433644.8700000001</v>
      </c>
      <c r="G176" s="178">
        <v>242496.84</v>
      </c>
      <c r="H176" s="178">
        <v>15072.03</v>
      </c>
      <c r="I176" s="178">
        <v>2227188.7500000005</v>
      </c>
      <c r="J176" s="178">
        <v>3018911.88</v>
      </c>
      <c r="K176" s="178">
        <v>772794.39000000013</v>
      </c>
      <c r="L176" s="178">
        <v>906789.9800000001</v>
      </c>
      <c r="M176" s="181">
        <v>1968.5437431903299</v>
      </c>
    </row>
    <row r="177" spans="1:13" x14ac:dyDescent="0.2">
      <c r="A177" s="13" t="s">
        <v>368</v>
      </c>
      <c r="B177" s="12">
        <v>2013</v>
      </c>
      <c r="C177" s="12" t="s">
        <v>369</v>
      </c>
      <c r="D177" s="175">
        <v>289.60059196617334</v>
      </c>
      <c r="E177" s="177">
        <v>1110261.04</v>
      </c>
      <c r="F177" s="178">
        <v>4877714.5599999996</v>
      </c>
      <c r="G177" s="178">
        <v>162856.01999999999</v>
      </c>
      <c r="H177" s="178">
        <v>55458.27</v>
      </c>
      <c r="I177" s="178">
        <v>1712837.6299999994</v>
      </c>
      <c r="J177" s="178">
        <v>2982036.6000000006</v>
      </c>
      <c r="K177" s="178">
        <v>548111.07000000018</v>
      </c>
      <c r="L177" s="178">
        <v>385522.4499999999</v>
      </c>
      <c r="M177" s="181">
        <v>1737.06959698732</v>
      </c>
    </row>
    <row r="178" spans="1:13" x14ac:dyDescent="0.2">
      <c r="A178" s="13" t="s">
        <v>370</v>
      </c>
      <c r="B178" s="12">
        <v>2013</v>
      </c>
      <c r="C178" s="12" t="s">
        <v>371</v>
      </c>
      <c r="D178" s="175">
        <v>64.386949598129959</v>
      </c>
      <c r="E178" s="177">
        <v>200643.73</v>
      </c>
      <c r="F178" s="178">
        <v>1662658.69</v>
      </c>
      <c r="G178" s="179">
        <v>120688.89</v>
      </c>
      <c r="H178" s="179">
        <v>95394.29</v>
      </c>
      <c r="I178" s="179">
        <v>938752.56</v>
      </c>
      <c r="J178" s="179">
        <v>994518.7699999999</v>
      </c>
      <c r="K178" s="179">
        <v>142697.53999999998</v>
      </c>
      <c r="L178" s="179">
        <v>217054.29000000004</v>
      </c>
      <c r="M178" s="181">
        <v>640.34235858763805</v>
      </c>
    </row>
    <row r="179" spans="1:13" x14ac:dyDescent="0.2">
      <c r="A179" s="13" t="s">
        <v>372</v>
      </c>
      <c r="B179" s="12">
        <v>2013</v>
      </c>
      <c r="C179" s="12" t="s">
        <v>373</v>
      </c>
      <c r="D179" s="175">
        <v>247.8841816393103</v>
      </c>
      <c r="E179" s="177">
        <v>1094029.1299999999</v>
      </c>
      <c r="F179" s="178">
        <v>5672484.6699999999</v>
      </c>
      <c r="G179" s="179">
        <v>203312.24</v>
      </c>
      <c r="H179" s="179">
        <v>126321.74</v>
      </c>
      <c r="I179" s="179">
        <v>2220508.48</v>
      </c>
      <c r="J179" s="179">
        <v>2311653.2800000003</v>
      </c>
      <c r="K179" s="179">
        <v>186380.65000000005</v>
      </c>
      <c r="L179" s="179">
        <v>1028486.6700000003</v>
      </c>
      <c r="M179" s="181">
        <v>1629.71909309791</v>
      </c>
    </row>
    <row r="180" spans="1:13" x14ac:dyDescent="0.2">
      <c r="A180" s="13" t="s">
        <v>374</v>
      </c>
      <c r="B180" s="12">
        <v>2013</v>
      </c>
      <c r="C180" s="12" t="s">
        <v>375</v>
      </c>
      <c r="D180" s="175">
        <v>52.968571428571423</v>
      </c>
      <c r="E180" s="177">
        <v>222736.82</v>
      </c>
      <c r="F180" s="178">
        <v>2374871.46</v>
      </c>
      <c r="G180" s="178">
        <v>27372.38</v>
      </c>
      <c r="H180" s="178">
        <v>0</v>
      </c>
      <c r="I180" s="178">
        <v>693637.19</v>
      </c>
      <c r="J180" s="178">
        <v>572196.11999999988</v>
      </c>
      <c r="K180" s="178">
        <v>74125.75999999998</v>
      </c>
      <c r="L180" s="178">
        <v>192706.09000000003</v>
      </c>
      <c r="M180" s="181">
        <v>548.51085714285705</v>
      </c>
    </row>
    <row r="181" spans="1:13" x14ac:dyDescent="0.2">
      <c r="A181" s="13" t="s">
        <v>376</v>
      </c>
      <c r="B181" s="12">
        <v>2013</v>
      </c>
      <c r="C181" s="12" t="s">
        <v>377</v>
      </c>
      <c r="D181" s="175">
        <v>179.58084269662919</v>
      </c>
      <c r="E181" s="177">
        <v>1334567.17</v>
      </c>
      <c r="F181" s="178">
        <v>7796738.7699999996</v>
      </c>
      <c r="G181" s="178">
        <v>169360.26</v>
      </c>
      <c r="H181" s="178">
        <v>13293.49</v>
      </c>
      <c r="I181" s="178">
        <v>2540609.7499999995</v>
      </c>
      <c r="J181" s="178">
        <v>2194848.87</v>
      </c>
      <c r="K181" s="178">
        <v>496038.38000000006</v>
      </c>
      <c r="L181" s="178">
        <v>1084708.3</v>
      </c>
      <c r="M181" s="181">
        <v>1768.6749875156099</v>
      </c>
    </row>
    <row r="182" spans="1:13" x14ac:dyDescent="0.2">
      <c r="A182" s="13" t="s">
        <v>378</v>
      </c>
      <c r="B182" s="12">
        <v>2013</v>
      </c>
      <c r="C182" s="12" t="s">
        <v>379</v>
      </c>
      <c r="D182" s="175">
        <v>56.7836280445851</v>
      </c>
      <c r="E182" s="177">
        <v>234281.58</v>
      </c>
      <c r="F182" s="178">
        <v>1787666.07</v>
      </c>
      <c r="G182" s="178">
        <v>31496.63</v>
      </c>
      <c r="H182" s="178">
        <v>6275.37</v>
      </c>
      <c r="I182" s="178">
        <v>569906.99</v>
      </c>
      <c r="J182" s="178">
        <v>527188.29000000015</v>
      </c>
      <c r="K182" s="178">
        <v>154492.28</v>
      </c>
      <c r="L182" s="178">
        <v>285418.92000000004</v>
      </c>
      <c r="M182" s="181">
        <v>432.81548747763901</v>
      </c>
    </row>
    <row r="183" spans="1:13" x14ac:dyDescent="0.2">
      <c r="A183" s="13" t="s">
        <v>380</v>
      </c>
      <c r="B183" s="12">
        <v>2013</v>
      </c>
      <c r="C183" s="12" t="s">
        <v>381</v>
      </c>
      <c r="D183" s="175">
        <v>97.523228097124502</v>
      </c>
      <c r="E183" s="177">
        <v>278460.81</v>
      </c>
      <c r="F183" s="178">
        <v>2905672.53</v>
      </c>
      <c r="G183" s="178">
        <v>34270.14</v>
      </c>
      <c r="H183" s="178">
        <v>4630.8</v>
      </c>
      <c r="I183" s="178">
        <v>950959.49</v>
      </c>
      <c r="J183" s="178">
        <v>1285974.08</v>
      </c>
      <c r="K183" s="178">
        <v>564558.86</v>
      </c>
      <c r="L183" s="178">
        <v>375283.04</v>
      </c>
      <c r="M183" s="181">
        <v>890.67062905920704</v>
      </c>
    </row>
    <row r="184" spans="1:13" x14ac:dyDescent="0.2">
      <c r="A184" s="13" t="s">
        <v>382</v>
      </c>
      <c r="B184" s="12">
        <v>2013</v>
      </c>
      <c r="C184" s="12" t="s">
        <v>383</v>
      </c>
      <c r="D184" s="175">
        <v>146.11083348871898</v>
      </c>
      <c r="E184" s="177">
        <v>674103.31</v>
      </c>
      <c r="F184" s="178">
        <v>3762572.11</v>
      </c>
      <c r="G184" s="178">
        <v>64233.02</v>
      </c>
      <c r="H184" s="178">
        <v>29222.48</v>
      </c>
      <c r="I184" s="178">
        <v>1170116.0200000003</v>
      </c>
      <c r="J184" s="178">
        <v>1826912.23</v>
      </c>
      <c r="K184" s="178">
        <v>278323.08</v>
      </c>
      <c r="L184" s="178">
        <v>198584.19</v>
      </c>
      <c r="M184" s="181">
        <v>1019.76852507925</v>
      </c>
    </row>
    <row r="185" spans="1:13" x14ac:dyDescent="0.2">
      <c r="A185" s="13" t="s">
        <v>384</v>
      </c>
      <c r="B185" s="12">
        <v>2013</v>
      </c>
      <c r="C185" s="12" t="s">
        <v>385</v>
      </c>
      <c r="D185" s="175">
        <v>149.99142857142857</v>
      </c>
      <c r="E185" s="177">
        <v>531654.36</v>
      </c>
      <c r="F185" s="178">
        <v>3484743.7</v>
      </c>
      <c r="G185" s="178">
        <v>34209.269999999997</v>
      </c>
      <c r="H185" s="178">
        <v>35430.44</v>
      </c>
      <c r="I185" s="178">
        <v>1024243.5599999999</v>
      </c>
      <c r="J185" s="178">
        <v>1357023.26</v>
      </c>
      <c r="K185" s="178">
        <v>233133.84000000005</v>
      </c>
      <c r="L185" s="178">
        <v>201442.78999999998</v>
      </c>
      <c r="M185" s="181">
        <v>977.007552073733</v>
      </c>
    </row>
    <row r="186" spans="1:13" x14ac:dyDescent="0.2">
      <c r="A186" s="13" t="s">
        <v>386</v>
      </c>
      <c r="B186" s="12">
        <v>2013</v>
      </c>
      <c r="C186" s="12" t="s">
        <v>387</v>
      </c>
      <c r="D186" s="175">
        <v>274.18778536256042</v>
      </c>
      <c r="E186" s="177">
        <v>898113.13</v>
      </c>
      <c r="F186" s="178">
        <v>7070170.5300000003</v>
      </c>
      <c r="G186" s="179">
        <v>40752.53</v>
      </c>
      <c r="H186" s="179">
        <v>10405.780000000001</v>
      </c>
      <c r="I186" s="179">
        <v>3008438.93</v>
      </c>
      <c r="J186" s="179">
        <v>2205920.0200000005</v>
      </c>
      <c r="K186" s="179">
        <v>355795.14999999997</v>
      </c>
      <c r="L186" s="179">
        <v>775035.70999999985</v>
      </c>
      <c r="M186" s="181">
        <v>2352.3980347041502</v>
      </c>
    </row>
    <row r="187" spans="1:13" x14ac:dyDescent="0.2">
      <c r="A187" s="13" t="s">
        <v>388</v>
      </c>
      <c r="B187" s="12">
        <v>2013</v>
      </c>
      <c r="C187" s="12" t="s">
        <v>389</v>
      </c>
      <c r="D187" s="175">
        <v>797.01727181269439</v>
      </c>
      <c r="E187" s="177">
        <v>4274957.28</v>
      </c>
      <c r="F187" s="178">
        <v>19182076.899999999</v>
      </c>
      <c r="G187" s="178">
        <v>963198.17</v>
      </c>
      <c r="H187" s="178">
        <v>163211.74</v>
      </c>
      <c r="I187" s="178">
        <v>5464133.3600000022</v>
      </c>
      <c r="J187" s="178">
        <v>7674487.080000001</v>
      </c>
      <c r="K187" s="178">
        <v>2975069.7999999989</v>
      </c>
      <c r="L187" s="178">
        <v>1995299.3900000008</v>
      </c>
      <c r="M187" s="181">
        <v>5446.3875014861896</v>
      </c>
    </row>
    <row r="188" spans="1:13" x14ac:dyDescent="0.2">
      <c r="A188" s="13" t="s">
        <v>390</v>
      </c>
      <c r="B188" s="12">
        <v>2013</v>
      </c>
      <c r="C188" s="12" t="s">
        <v>391</v>
      </c>
      <c r="D188" s="175">
        <v>206.08079460543101</v>
      </c>
      <c r="E188" s="177">
        <v>1056254.21</v>
      </c>
      <c r="F188" s="178">
        <v>5830913.8700000001</v>
      </c>
      <c r="G188" s="178">
        <v>161922.51999999999</v>
      </c>
      <c r="H188" s="178">
        <v>77403.03</v>
      </c>
      <c r="I188" s="178">
        <v>2298498.7999999998</v>
      </c>
      <c r="J188" s="178">
        <v>2337438.1799999997</v>
      </c>
      <c r="K188" s="178">
        <v>243216.88000000009</v>
      </c>
      <c r="L188" s="178">
        <v>928010.90000000026</v>
      </c>
      <c r="M188" s="181">
        <v>1426.3117186076199</v>
      </c>
    </row>
    <row r="189" spans="1:13" x14ac:dyDescent="0.2">
      <c r="A189" s="13" t="s">
        <v>392</v>
      </c>
      <c r="B189" s="12">
        <v>2013</v>
      </c>
      <c r="C189" s="12" t="s">
        <v>393</v>
      </c>
      <c r="D189" s="175">
        <v>158.37995143782132</v>
      </c>
      <c r="E189" s="177">
        <v>968457.17</v>
      </c>
      <c r="F189" s="178">
        <v>6512960.79</v>
      </c>
      <c r="G189" s="178">
        <v>187918.95</v>
      </c>
      <c r="H189" s="178">
        <v>27083.43</v>
      </c>
      <c r="I189" s="178">
        <v>2273292.56</v>
      </c>
      <c r="J189" s="178">
        <v>2216537.66</v>
      </c>
      <c r="K189" s="178">
        <v>509536.48000000004</v>
      </c>
      <c r="L189" s="178">
        <v>956468.11000000022</v>
      </c>
      <c r="M189" s="181">
        <v>1772.2689089908799</v>
      </c>
    </row>
    <row r="190" spans="1:13" x14ac:dyDescent="0.2">
      <c r="A190" s="13" t="s">
        <v>394</v>
      </c>
      <c r="B190" s="12">
        <v>2013</v>
      </c>
      <c r="C190" s="12" t="s">
        <v>395</v>
      </c>
      <c r="D190" s="175">
        <v>655.23776726384096</v>
      </c>
      <c r="E190" s="177">
        <v>5078919.97</v>
      </c>
      <c r="F190" s="178">
        <v>30869784.050000001</v>
      </c>
      <c r="G190" s="178">
        <v>883499.36</v>
      </c>
      <c r="H190" s="178">
        <v>347434.18</v>
      </c>
      <c r="I190" s="178">
        <v>7871643.169999999</v>
      </c>
      <c r="J190" s="178">
        <v>9226776.8200000003</v>
      </c>
      <c r="K190" s="178">
        <v>3204654.879999998</v>
      </c>
      <c r="L190" s="178">
        <v>4635137.9100000029</v>
      </c>
      <c r="M190" s="181">
        <v>7260.8576102741799</v>
      </c>
    </row>
    <row r="191" spans="1:13" x14ac:dyDescent="0.2">
      <c r="A191" s="13" t="s">
        <v>396</v>
      </c>
      <c r="B191" s="12">
        <v>2013</v>
      </c>
      <c r="C191" s="12" t="s">
        <v>397</v>
      </c>
      <c r="D191" s="175">
        <v>136.7183762232693</v>
      </c>
      <c r="E191" s="177">
        <v>508175.4</v>
      </c>
      <c r="F191" s="178">
        <v>3272775.16</v>
      </c>
      <c r="G191" s="179">
        <v>60225.3</v>
      </c>
      <c r="H191" s="179">
        <v>7912.1</v>
      </c>
      <c r="I191" s="179">
        <v>1447097.74</v>
      </c>
      <c r="J191" s="179">
        <v>1559362.29</v>
      </c>
      <c r="K191" s="179">
        <v>325082.74999999994</v>
      </c>
      <c r="L191" s="179">
        <v>295318.74</v>
      </c>
      <c r="M191" s="181">
        <v>970.68956143530295</v>
      </c>
    </row>
    <row r="192" spans="1:13" x14ac:dyDescent="0.2">
      <c r="A192" s="13" t="s">
        <v>398</v>
      </c>
      <c r="B192" s="12">
        <v>2013</v>
      </c>
      <c r="C192" s="12" t="s">
        <v>399</v>
      </c>
      <c r="D192" s="175">
        <v>73.384493849566383</v>
      </c>
      <c r="E192" s="177">
        <v>311436.62</v>
      </c>
      <c r="F192" s="178">
        <v>3094155.15</v>
      </c>
      <c r="G192" s="179">
        <v>134922.60999999999</v>
      </c>
      <c r="H192" s="179">
        <v>47297.49</v>
      </c>
      <c r="I192" s="179">
        <v>852229.07</v>
      </c>
      <c r="J192" s="179">
        <v>1189558.9599999997</v>
      </c>
      <c r="K192" s="179">
        <v>233684.46999999991</v>
      </c>
      <c r="L192" s="179">
        <v>290555.32999999996</v>
      </c>
      <c r="M192" s="181">
        <v>823.999757397758</v>
      </c>
    </row>
    <row r="193" spans="1:13" x14ac:dyDescent="0.2">
      <c r="A193" s="13" t="s">
        <v>400</v>
      </c>
      <c r="B193" s="12">
        <v>2013</v>
      </c>
      <c r="C193" s="12" t="s">
        <v>401</v>
      </c>
      <c r="D193" s="175">
        <v>86.585004973590344</v>
      </c>
      <c r="E193" s="177">
        <v>492870.19</v>
      </c>
      <c r="F193" s="178">
        <v>3752197.81</v>
      </c>
      <c r="G193" s="178">
        <v>142211.63</v>
      </c>
      <c r="H193" s="179">
        <v>71315.47</v>
      </c>
      <c r="I193" s="179">
        <v>1018983.3700000001</v>
      </c>
      <c r="J193" s="179">
        <v>1043504.1399999997</v>
      </c>
      <c r="K193" s="179">
        <v>276009.60000000009</v>
      </c>
      <c r="L193" s="179">
        <v>178135.31</v>
      </c>
      <c r="M193" s="181">
        <v>962.63637209636295</v>
      </c>
    </row>
    <row r="194" spans="1:13" x14ac:dyDescent="0.2">
      <c r="A194" s="13" t="s">
        <v>402</v>
      </c>
      <c r="B194" s="12">
        <v>2013</v>
      </c>
      <c r="C194" s="12" t="s">
        <v>403</v>
      </c>
      <c r="D194" s="175">
        <v>214.88672876143468</v>
      </c>
      <c r="E194" s="177">
        <v>1010032.34</v>
      </c>
      <c r="F194" s="178">
        <v>6652995.6100000003</v>
      </c>
      <c r="G194" s="178">
        <v>547155.31999999995</v>
      </c>
      <c r="H194" s="178">
        <v>161544.63</v>
      </c>
      <c r="I194" s="178">
        <v>2720236.61</v>
      </c>
      <c r="J194" s="178">
        <v>2961304.22</v>
      </c>
      <c r="K194" s="178">
        <v>1023359.0300000001</v>
      </c>
      <c r="L194" s="178">
        <v>866741.44999999984</v>
      </c>
      <c r="M194" s="181">
        <v>1828.11316189693</v>
      </c>
    </row>
    <row r="195" spans="1:13" x14ac:dyDescent="0.2">
      <c r="A195" s="13" t="s">
        <v>404</v>
      </c>
      <c r="B195" s="12">
        <v>2013</v>
      </c>
      <c r="C195" s="12" t="s">
        <v>405</v>
      </c>
      <c r="D195" s="175">
        <v>454.74753105651473</v>
      </c>
      <c r="E195" s="177">
        <v>1805476.4</v>
      </c>
      <c r="F195" s="178">
        <v>11843465.220000001</v>
      </c>
      <c r="G195" s="178">
        <v>305401.15000000002</v>
      </c>
      <c r="H195" s="178">
        <v>86262.14</v>
      </c>
      <c r="I195" s="178">
        <v>3371638.8600000003</v>
      </c>
      <c r="J195" s="178">
        <v>3501413.3400000008</v>
      </c>
      <c r="K195" s="178">
        <v>1230133.9600000004</v>
      </c>
      <c r="L195" s="178">
        <v>1289437.92</v>
      </c>
      <c r="M195" s="181">
        <v>2943.67456147648</v>
      </c>
    </row>
    <row r="196" spans="1:13" x14ac:dyDescent="0.2">
      <c r="A196" s="13" t="s">
        <v>406</v>
      </c>
      <c r="B196" s="12">
        <v>2013</v>
      </c>
      <c r="C196" s="12" t="s">
        <v>407</v>
      </c>
      <c r="D196" s="175">
        <v>243.32940887164145</v>
      </c>
      <c r="E196" s="177">
        <v>690876.15</v>
      </c>
      <c r="F196" s="178">
        <v>7860978.3300000001</v>
      </c>
      <c r="G196" s="179">
        <v>200160</v>
      </c>
      <c r="H196" s="179">
        <v>9027.0400000000009</v>
      </c>
      <c r="I196" s="179">
        <v>2285630.7600000002</v>
      </c>
      <c r="J196" s="179">
        <v>3466459.6400000006</v>
      </c>
      <c r="K196" s="179">
        <v>61230.210000000006</v>
      </c>
      <c r="L196" s="179">
        <v>752161.57000000007</v>
      </c>
      <c r="M196" s="181">
        <v>2107.61501269976</v>
      </c>
    </row>
    <row r="197" spans="1:13" x14ac:dyDescent="0.2">
      <c r="A197" s="13" t="s">
        <v>408</v>
      </c>
      <c r="B197" s="12">
        <v>2013</v>
      </c>
      <c r="C197" s="12" t="s">
        <v>409</v>
      </c>
      <c r="D197" s="175">
        <v>69.770820729985886</v>
      </c>
      <c r="E197" s="177">
        <v>402007.47</v>
      </c>
      <c r="F197" s="178">
        <v>2387068.9700000002</v>
      </c>
      <c r="G197" s="178">
        <v>65411.49</v>
      </c>
      <c r="H197" s="178">
        <v>387</v>
      </c>
      <c r="I197" s="178">
        <v>938898.70000000007</v>
      </c>
      <c r="J197" s="178">
        <v>913392.0399999998</v>
      </c>
      <c r="K197" s="178">
        <v>306907.67</v>
      </c>
      <c r="L197" s="178">
        <v>257673.96000000002</v>
      </c>
      <c r="M197" s="181">
        <v>760.09274200053301</v>
      </c>
    </row>
    <row r="198" spans="1:13" x14ac:dyDescent="0.2">
      <c r="A198" s="13" t="s">
        <v>410</v>
      </c>
      <c r="B198" s="12">
        <v>2013</v>
      </c>
      <c r="C198" s="12" t="s">
        <v>411</v>
      </c>
      <c r="D198" s="175">
        <v>168.8918468056321</v>
      </c>
      <c r="E198" s="177">
        <v>436341.92</v>
      </c>
      <c r="F198" s="178">
        <v>3644855.47</v>
      </c>
      <c r="G198" s="178">
        <v>61097.94</v>
      </c>
      <c r="H198" s="178">
        <v>11250.95</v>
      </c>
      <c r="I198" s="178">
        <v>1101346.26</v>
      </c>
      <c r="J198" s="178">
        <v>1054162.1000000001</v>
      </c>
      <c r="K198" s="178">
        <v>417858.58</v>
      </c>
      <c r="L198" s="178">
        <v>451654.34999999986</v>
      </c>
      <c r="M198" s="181">
        <v>1224.3900511254999</v>
      </c>
    </row>
    <row r="199" spans="1:13" x14ac:dyDescent="0.2">
      <c r="A199" s="13" t="s">
        <v>412</v>
      </c>
      <c r="B199" s="12">
        <v>2013</v>
      </c>
      <c r="C199" s="12" t="s">
        <v>413</v>
      </c>
      <c r="D199" s="175">
        <v>527.65977418487557</v>
      </c>
      <c r="E199" s="177">
        <v>2454444.0499999998</v>
      </c>
      <c r="F199" s="178">
        <v>14835089.52</v>
      </c>
      <c r="G199" s="178">
        <v>700274.48</v>
      </c>
      <c r="H199" s="178">
        <v>179.97</v>
      </c>
      <c r="I199" s="178">
        <v>5118813.8900000015</v>
      </c>
      <c r="J199" s="178">
        <v>4775735.6499999985</v>
      </c>
      <c r="K199" s="178">
        <v>830309.30999999959</v>
      </c>
      <c r="L199" s="178">
        <v>1700802.8599999996</v>
      </c>
      <c r="M199" s="181">
        <v>4227.7859134509099</v>
      </c>
    </row>
    <row r="200" spans="1:13" x14ac:dyDescent="0.2">
      <c r="A200" s="13" t="s">
        <v>414</v>
      </c>
      <c r="B200" s="12">
        <v>2013</v>
      </c>
      <c r="C200" s="12" t="s">
        <v>415</v>
      </c>
      <c r="D200" s="175">
        <v>128.5674157303371</v>
      </c>
      <c r="E200" s="177">
        <v>450552.89</v>
      </c>
      <c r="F200" s="178">
        <v>2336649.5499999998</v>
      </c>
      <c r="G200" s="179">
        <v>93515.54</v>
      </c>
      <c r="H200" s="179">
        <v>24074.84</v>
      </c>
      <c r="I200" s="179">
        <v>1204188.69</v>
      </c>
      <c r="J200" s="179">
        <v>1671102.4499999993</v>
      </c>
      <c r="K200" s="179">
        <v>73813.7</v>
      </c>
      <c r="L200" s="179">
        <v>249539.06000000006</v>
      </c>
      <c r="M200" s="181">
        <v>696.55898876404501</v>
      </c>
    </row>
    <row r="201" spans="1:13" x14ac:dyDescent="0.2">
      <c r="A201" s="13" t="s">
        <v>416</v>
      </c>
      <c r="B201" s="12">
        <v>2013</v>
      </c>
      <c r="C201" s="12" t="s">
        <v>417</v>
      </c>
      <c r="D201" s="175">
        <v>1037.1814891649049</v>
      </c>
      <c r="E201" s="177">
        <v>6601547.8499999996</v>
      </c>
      <c r="F201" s="178">
        <v>34997291.920000002</v>
      </c>
      <c r="G201" s="178">
        <v>637522.47</v>
      </c>
      <c r="H201" s="178">
        <v>629827.28</v>
      </c>
      <c r="I201" s="178">
        <v>9790590.7599999998</v>
      </c>
      <c r="J201" s="178">
        <v>8826961.7600000016</v>
      </c>
      <c r="K201" s="178">
        <v>2312740.8600000008</v>
      </c>
      <c r="L201" s="178">
        <v>3614318.0400000019</v>
      </c>
      <c r="M201" s="181">
        <v>6992.2496564481999</v>
      </c>
    </row>
    <row r="202" spans="1:13" x14ac:dyDescent="0.2">
      <c r="A202" s="13" t="s">
        <v>418</v>
      </c>
      <c r="B202" s="12">
        <v>2013</v>
      </c>
      <c r="C202" s="12" t="s">
        <v>419</v>
      </c>
      <c r="D202" s="175">
        <v>317.35861400407214</v>
      </c>
      <c r="E202" s="177">
        <v>1394008.42</v>
      </c>
      <c r="F202" s="178">
        <v>5675382.9500000002</v>
      </c>
      <c r="G202" s="178">
        <v>127451.14</v>
      </c>
      <c r="H202" s="178">
        <v>649.55999999999995</v>
      </c>
      <c r="I202" s="178">
        <v>1918299.84</v>
      </c>
      <c r="J202" s="178">
        <v>1993601.5300000007</v>
      </c>
      <c r="K202" s="178">
        <v>561520.87999999989</v>
      </c>
      <c r="L202" s="178">
        <v>831073.99</v>
      </c>
      <c r="M202" s="181">
        <v>1914.0756783935899</v>
      </c>
    </row>
    <row r="203" spans="1:13" x14ac:dyDescent="0.2">
      <c r="A203" s="13" t="s">
        <v>420</v>
      </c>
      <c r="B203" s="12">
        <v>2013</v>
      </c>
      <c r="C203" s="12" t="s">
        <v>421</v>
      </c>
      <c r="D203" s="175">
        <v>327.08645106202675</v>
      </c>
      <c r="E203" s="177">
        <v>1593226.66</v>
      </c>
      <c r="F203" s="178">
        <v>7596338.1799999997</v>
      </c>
      <c r="G203" s="179">
        <v>182593.57</v>
      </c>
      <c r="H203" s="179">
        <v>109655.97</v>
      </c>
      <c r="I203" s="179">
        <v>2810016.41</v>
      </c>
      <c r="J203" s="179">
        <v>4325037.97</v>
      </c>
      <c r="K203" s="179">
        <v>381746.1</v>
      </c>
      <c r="L203" s="179">
        <v>566853.55999999994</v>
      </c>
      <c r="M203" s="181">
        <v>2304.9257322315798</v>
      </c>
    </row>
    <row r="204" spans="1:13" x14ac:dyDescent="0.2">
      <c r="A204" s="13" t="s">
        <v>422</v>
      </c>
      <c r="B204" s="12">
        <v>2013</v>
      </c>
      <c r="C204" s="12" t="s">
        <v>423</v>
      </c>
      <c r="D204" s="175">
        <v>379.13488224465181</v>
      </c>
      <c r="E204" s="177">
        <v>1720397.82</v>
      </c>
      <c r="F204" s="178">
        <v>6789678.7699999996</v>
      </c>
      <c r="G204" s="178">
        <v>282587.08</v>
      </c>
      <c r="H204" s="178">
        <v>3190</v>
      </c>
      <c r="I204" s="178">
        <v>2408242.73</v>
      </c>
      <c r="J204" s="178">
        <v>3501589.2299999995</v>
      </c>
      <c r="K204" s="178">
        <v>538232.62999999977</v>
      </c>
      <c r="L204" s="178">
        <v>905231.03</v>
      </c>
      <c r="M204" s="181">
        <v>2127.0991428390098</v>
      </c>
    </row>
    <row r="205" spans="1:13" x14ac:dyDescent="0.2">
      <c r="A205" s="13" t="s">
        <v>424</v>
      </c>
      <c r="B205" s="12">
        <v>2013</v>
      </c>
      <c r="C205" s="12" t="s">
        <v>425</v>
      </c>
      <c r="D205" s="175">
        <v>114.37479421649749</v>
      </c>
      <c r="E205" s="177">
        <v>641482.38</v>
      </c>
      <c r="F205" s="178">
        <v>4497206.3499999996</v>
      </c>
      <c r="G205" s="179">
        <v>120046.96</v>
      </c>
      <c r="H205" s="179">
        <v>10857.64</v>
      </c>
      <c r="I205" s="179">
        <v>1442572.44</v>
      </c>
      <c r="J205" s="179">
        <v>1680738.9799999995</v>
      </c>
      <c r="K205" s="179">
        <v>545614.31000000006</v>
      </c>
      <c r="L205" s="179">
        <v>290272.37</v>
      </c>
      <c r="M205" s="181">
        <v>1182.93666006796</v>
      </c>
    </row>
    <row r="206" spans="1:13" x14ac:dyDescent="0.2">
      <c r="A206" s="13" t="s">
        <v>426</v>
      </c>
      <c r="B206" s="12">
        <v>2013</v>
      </c>
      <c r="C206" s="12" t="s">
        <v>427</v>
      </c>
      <c r="D206" s="175">
        <v>527.51189981514733</v>
      </c>
      <c r="E206" s="177">
        <v>1795148.75</v>
      </c>
      <c r="F206" s="178">
        <v>13895836.4</v>
      </c>
      <c r="G206" s="178">
        <v>334799.77</v>
      </c>
      <c r="H206" s="178">
        <v>4108.54</v>
      </c>
      <c r="I206" s="178">
        <v>5991470.9800000004</v>
      </c>
      <c r="J206" s="178">
        <v>3718232.8200000012</v>
      </c>
      <c r="K206" s="178">
        <v>1126268.0200000003</v>
      </c>
      <c r="L206" s="178">
        <v>1956101.6100000015</v>
      </c>
      <c r="M206" s="181">
        <v>3437.1259142388499</v>
      </c>
    </row>
    <row r="207" spans="1:13" x14ac:dyDescent="0.2">
      <c r="A207" s="13" t="s">
        <v>428</v>
      </c>
      <c r="B207" s="12">
        <v>2013</v>
      </c>
      <c r="C207" s="12" t="s">
        <v>429</v>
      </c>
      <c r="D207" s="175">
        <v>305.78782307351253</v>
      </c>
      <c r="E207" s="177">
        <v>914207.86</v>
      </c>
      <c r="F207" s="178">
        <v>8643073.6899999995</v>
      </c>
      <c r="G207" s="178">
        <v>238393.21</v>
      </c>
      <c r="H207" s="178">
        <v>81896.929999999993</v>
      </c>
      <c r="I207" s="178">
        <v>2409147.1400000006</v>
      </c>
      <c r="J207" s="178">
        <v>3212256.95</v>
      </c>
      <c r="K207" s="178">
        <v>300337.56999999995</v>
      </c>
      <c r="L207" s="178">
        <v>1068420.78</v>
      </c>
      <c r="M207" s="181">
        <v>2609.38450550472</v>
      </c>
    </row>
    <row r="208" spans="1:13" x14ac:dyDescent="0.2">
      <c r="A208" s="13" t="s">
        <v>430</v>
      </c>
      <c r="B208" s="12">
        <v>2013</v>
      </c>
      <c r="C208" s="12" t="s">
        <v>431</v>
      </c>
      <c r="D208" s="175">
        <v>111.84624615384617</v>
      </c>
      <c r="E208" s="177">
        <v>238224.5</v>
      </c>
      <c r="F208" s="178">
        <v>5866248.3899999997</v>
      </c>
      <c r="G208" s="179">
        <v>122985.16</v>
      </c>
      <c r="H208" s="179">
        <v>604.17999999999995</v>
      </c>
      <c r="I208" s="179">
        <v>1499903.0800000005</v>
      </c>
      <c r="J208" s="179">
        <v>1135062.28</v>
      </c>
      <c r="K208" s="179">
        <v>94998.14</v>
      </c>
      <c r="L208" s="179">
        <v>310228.22000000003</v>
      </c>
      <c r="M208" s="181">
        <v>1398.4928263736299</v>
      </c>
    </row>
    <row r="209" spans="1:13" x14ac:dyDescent="0.2">
      <c r="A209" s="13" t="s">
        <v>432</v>
      </c>
      <c r="B209" s="12">
        <v>2013</v>
      </c>
      <c r="C209" s="12" t="s">
        <v>433</v>
      </c>
      <c r="D209" s="175">
        <v>115.75529891600692</v>
      </c>
      <c r="E209" s="177">
        <v>381981.19</v>
      </c>
      <c r="F209" s="178">
        <v>2776051.63</v>
      </c>
      <c r="G209" s="178">
        <v>65862.36</v>
      </c>
      <c r="H209" s="178">
        <v>46196.99</v>
      </c>
      <c r="I209" s="178">
        <v>1135012.95</v>
      </c>
      <c r="J209" s="178">
        <v>1056201.6599999997</v>
      </c>
      <c r="K209" s="178">
        <v>224531.70000000007</v>
      </c>
      <c r="L209" s="178">
        <v>373046.18</v>
      </c>
      <c r="M209" s="181">
        <v>999.90117873890404</v>
      </c>
    </row>
    <row r="210" spans="1:13" x14ac:dyDescent="0.2">
      <c r="A210" s="13" t="s">
        <v>434</v>
      </c>
      <c r="B210" s="12">
        <v>2013</v>
      </c>
      <c r="C210" s="12" t="s">
        <v>435</v>
      </c>
      <c r="D210" s="175">
        <v>97.369942196531795</v>
      </c>
      <c r="E210" s="177">
        <v>201457.47</v>
      </c>
      <c r="F210" s="178">
        <v>4295830.7</v>
      </c>
      <c r="G210" s="178">
        <v>125256.52</v>
      </c>
      <c r="H210" s="178">
        <v>18021.32</v>
      </c>
      <c r="I210" s="178">
        <v>1217930.8800000001</v>
      </c>
      <c r="J210" s="178">
        <v>1488149.66</v>
      </c>
      <c r="K210" s="178">
        <v>18936.919999999998</v>
      </c>
      <c r="L210" s="178">
        <v>415442.51</v>
      </c>
      <c r="M210" s="181">
        <v>1018.9824285834</v>
      </c>
    </row>
    <row r="211" spans="1:13" x14ac:dyDescent="0.2">
      <c r="A211" s="13" t="s">
        <v>436</v>
      </c>
      <c r="B211" s="12">
        <v>2013</v>
      </c>
      <c r="C211" s="12" t="s">
        <v>437</v>
      </c>
      <c r="D211" s="175">
        <v>208.45514950166117</v>
      </c>
      <c r="E211" s="177">
        <v>923680.46</v>
      </c>
      <c r="F211" s="178">
        <v>6110670.8600000003</v>
      </c>
      <c r="G211" s="178">
        <v>371469.19</v>
      </c>
      <c r="H211" s="178">
        <v>8979.16</v>
      </c>
      <c r="I211" s="178">
        <v>2206988.2300000004</v>
      </c>
      <c r="J211" s="178">
        <v>1897877.38</v>
      </c>
      <c r="K211" s="178">
        <v>166650.59999999998</v>
      </c>
      <c r="L211" s="178">
        <v>707714.77</v>
      </c>
      <c r="M211" s="181">
        <v>1734.9858055038101</v>
      </c>
    </row>
    <row r="212" spans="1:13" x14ac:dyDescent="0.2">
      <c r="A212" s="13" t="s">
        <v>438</v>
      </c>
      <c r="B212" s="12">
        <v>2013</v>
      </c>
      <c r="C212" s="12" t="s">
        <v>439</v>
      </c>
      <c r="D212" s="175">
        <v>434.5268297380585</v>
      </c>
      <c r="E212" s="177">
        <v>1265357.7</v>
      </c>
      <c r="F212" s="178">
        <v>8519520.6500000004</v>
      </c>
      <c r="G212" s="178">
        <v>232004.01</v>
      </c>
      <c r="H212" s="178">
        <v>0</v>
      </c>
      <c r="I212" s="178">
        <v>2453797.5300000003</v>
      </c>
      <c r="J212" s="178">
        <v>4136964.52</v>
      </c>
      <c r="K212" s="178">
        <v>1098055.8400000001</v>
      </c>
      <c r="L212" s="178">
        <v>1199482.4100000001</v>
      </c>
      <c r="M212" s="181">
        <v>2705.2197808042101</v>
      </c>
    </row>
    <row r="213" spans="1:13" x14ac:dyDescent="0.2">
      <c r="A213" s="13" t="s">
        <v>440</v>
      </c>
      <c r="B213" s="12">
        <v>2013</v>
      </c>
      <c r="C213" s="12" t="s">
        <v>441</v>
      </c>
      <c r="D213" s="175">
        <v>262.64837149230948</v>
      </c>
      <c r="E213" s="177">
        <v>1288345.6299999999</v>
      </c>
      <c r="F213" s="178">
        <v>5289547.59</v>
      </c>
      <c r="G213" s="178">
        <v>114418.05</v>
      </c>
      <c r="H213" s="178">
        <v>1321.34</v>
      </c>
      <c r="I213" s="178">
        <v>1702189.5699999998</v>
      </c>
      <c r="J213" s="178">
        <v>2663145.7599999998</v>
      </c>
      <c r="K213" s="178">
        <v>980187.77000000014</v>
      </c>
      <c r="L213" s="178">
        <v>526020.10000000009</v>
      </c>
      <c r="M213" s="181">
        <v>2229.9241947574801</v>
      </c>
    </row>
    <row r="214" spans="1:13" x14ac:dyDescent="0.2">
      <c r="A214" s="13" t="s">
        <v>442</v>
      </c>
      <c r="B214" s="12">
        <v>2013</v>
      </c>
      <c r="C214" s="12" t="s">
        <v>443</v>
      </c>
      <c r="D214" s="175">
        <v>162.18748316543426</v>
      </c>
      <c r="E214" s="177">
        <v>425665.86</v>
      </c>
      <c r="F214" s="178">
        <v>4317981.28</v>
      </c>
      <c r="G214" s="178">
        <v>52374.79</v>
      </c>
      <c r="H214" s="178">
        <v>14488.77</v>
      </c>
      <c r="I214" s="178">
        <v>1502136.9700000002</v>
      </c>
      <c r="J214" s="178">
        <v>2025470.0899999999</v>
      </c>
      <c r="K214" s="178">
        <v>91591.16</v>
      </c>
      <c r="L214" s="178">
        <v>479084.46000000008</v>
      </c>
      <c r="M214" s="181">
        <v>1410.10130086093</v>
      </c>
    </row>
    <row r="215" spans="1:13" x14ac:dyDescent="0.2">
      <c r="A215" s="13" t="s">
        <v>444</v>
      </c>
      <c r="B215" s="12">
        <v>2013</v>
      </c>
      <c r="C215" s="12" t="s">
        <v>445</v>
      </c>
      <c r="D215" s="175">
        <v>77.815553268110619</v>
      </c>
      <c r="E215" s="177">
        <v>952776.68</v>
      </c>
      <c r="F215" s="178">
        <v>6547144.1900000004</v>
      </c>
      <c r="G215" s="178">
        <v>119357.71</v>
      </c>
      <c r="H215" s="178">
        <v>18614.89</v>
      </c>
      <c r="I215" s="178">
        <v>1933156.5000000005</v>
      </c>
      <c r="J215" s="178">
        <v>1245494.1499999999</v>
      </c>
      <c r="K215" s="178">
        <v>895531.21</v>
      </c>
      <c r="L215" s="178">
        <v>1610271.67</v>
      </c>
      <c r="M215" s="181">
        <v>1055.3505251722499</v>
      </c>
    </row>
    <row r="216" spans="1:13" x14ac:dyDescent="0.2">
      <c r="A216" s="13" t="s">
        <v>446</v>
      </c>
      <c r="B216" s="12">
        <v>2013</v>
      </c>
      <c r="C216" s="12" t="s">
        <v>447</v>
      </c>
      <c r="D216" s="175">
        <v>254.34014627794824</v>
      </c>
      <c r="E216" s="177">
        <v>969182.83</v>
      </c>
      <c r="F216" s="178">
        <v>10411660.02</v>
      </c>
      <c r="G216" s="178">
        <v>302242.43</v>
      </c>
      <c r="H216" s="178">
        <v>23788.59</v>
      </c>
      <c r="I216" s="178">
        <v>3071034.9999999995</v>
      </c>
      <c r="J216" s="178">
        <v>3111203.0100000002</v>
      </c>
      <c r="K216" s="178">
        <v>1176385.0800000003</v>
      </c>
      <c r="L216" s="178">
        <v>1131045.5699999996</v>
      </c>
      <c r="M216" s="181">
        <v>2509.2354192446601</v>
      </c>
    </row>
    <row r="217" spans="1:13" x14ac:dyDescent="0.2">
      <c r="A217" s="13" t="s">
        <v>448</v>
      </c>
      <c r="B217" s="12">
        <v>2013</v>
      </c>
      <c r="C217" s="12" t="s">
        <v>449</v>
      </c>
      <c r="D217" s="175">
        <v>58.121702725020654</v>
      </c>
      <c r="E217" s="177">
        <v>69818.5</v>
      </c>
      <c r="F217" s="178">
        <v>1956799.1</v>
      </c>
      <c r="G217" s="179">
        <v>68373.509999999995</v>
      </c>
      <c r="H217" s="179">
        <v>7331.43</v>
      </c>
      <c r="I217" s="179">
        <v>852621.54</v>
      </c>
      <c r="J217" s="179">
        <v>986427.93000000017</v>
      </c>
      <c r="K217" s="179">
        <v>304888.94</v>
      </c>
      <c r="L217" s="179">
        <v>197338.77</v>
      </c>
      <c r="M217" s="181">
        <v>556.10831643270001</v>
      </c>
    </row>
    <row r="218" spans="1:13" x14ac:dyDescent="0.2">
      <c r="A218" s="13" t="s">
        <v>450</v>
      </c>
      <c r="B218" s="12">
        <v>2013</v>
      </c>
      <c r="C218" s="12" t="s">
        <v>451</v>
      </c>
      <c r="D218" s="175">
        <v>465.94957593330912</v>
      </c>
      <c r="E218" s="177">
        <v>3080706.76</v>
      </c>
      <c r="F218" s="178">
        <v>14357814.85</v>
      </c>
      <c r="G218" s="179">
        <v>353855.93</v>
      </c>
      <c r="H218" s="179">
        <v>0</v>
      </c>
      <c r="I218" s="179">
        <v>3956918.3200000003</v>
      </c>
      <c r="J218" s="179">
        <v>4395615.92</v>
      </c>
      <c r="K218" s="179">
        <v>1315076.7800000003</v>
      </c>
      <c r="L218" s="179">
        <v>1685900.78</v>
      </c>
      <c r="M218" s="181">
        <v>4026.29829829648</v>
      </c>
    </row>
    <row r="219" spans="1:13" x14ac:dyDescent="0.2">
      <c r="A219" s="13" t="s">
        <v>452</v>
      </c>
      <c r="B219" s="12">
        <v>2013</v>
      </c>
      <c r="C219" s="12" t="s">
        <v>453</v>
      </c>
      <c r="D219" s="175">
        <v>111.62021116074483</v>
      </c>
      <c r="E219" s="177">
        <v>389650.45</v>
      </c>
      <c r="F219" s="178">
        <v>4433121.4800000004</v>
      </c>
      <c r="G219" s="179">
        <v>137163.23000000001</v>
      </c>
      <c r="H219" s="179">
        <v>65988.929999999993</v>
      </c>
      <c r="I219" s="179">
        <v>1385649.4</v>
      </c>
      <c r="J219" s="179">
        <v>21068.92</v>
      </c>
      <c r="K219" s="179">
        <v>275915.2</v>
      </c>
      <c r="L219" s="179">
        <v>444799.03</v>
      </c>
      <c r="M219" s="181">
        <v>1170.22327380141</v>
      </c>
    </row>
    <row r="220" spans="1:13" x14ac:dyDescent="0.2">
      <c r="A220" s="13" t="s">
        <v>454</v>
      </c>
      <c r="B220" s="12">
        <v>2013</v>
      </c>
      <c r="C220" s="12" t="s">
        <v>455</v>
      </c>
      <c r="D220" s="175">
        <v>162.88990117471567</v>
      </c>
      <c r="E220" s="177">
        <v>689468.3</v>
      </c>
      <c r="F220" s="178">
        <v>4686523.5599999996</v>
      </c>
      <c r="G220" s="178">
        <v>166641.74</v>
      </c>
      <c r="H220" s="178">
        <v>117841.15</v>
      </c>
      <c r="I220" s="178">
        <v>1630892.43</v>
      </c>
      <c r="J220" s="178">
        <v>2036114.6600000004</v>
      </c>
      <c r="K220" s="178">
        <v>282695.59000000003</v>
      </c>
      <c r="L220" s="178">
        <v>305160.37</v>
      </c>
      <c r="M220" s="181">
        <v>1392.09803841134</v>
      </c>
    </row>
    <row r="221" spans="1:13" x14ac:dyDescent="0.2">
      <c r="A221" s="13" t="s">
        <v>456</v>
      </c>
      <c r="B221" s="12">
        <v>2013</v>
      </c>
      <c r="C221" s="12" t="s">
        <v>457</v>
      </c>
      <c r="D221" s="175">
        <v>190.73817791362248</v>
      </c>
      <c r="E221" s="177">
        <v>798854.9</v>
      </c>
      <c r="F221" s="178">
        <v>7194954.3300000001</v>
      </c>
      <c r="G221" s="178">
        <v>387238.8</v>
      </c>
      <c r="H221" s="178">
        <v>1841</v>
      </c>
      <c r="I221" s="178">
        <v>2592591.5900000003</v>
      </c>
      <c r="J221" s="178">
        <v>2745438.3899999997</v>
      </c>
      <c r="K221" s="178">
        <v>36780.740000000005</v>
      </c>
      <c r="L221" s="178">
        <v>592033.89999999991</v>
      </c>
      <c r="M221" s="181">
        <v>2030.33492597348</v>
      </c>
    </row>
    <row r="222" spans="1:13" x14ac:dyDescent="0.2">
      <c r="A222" s="13" t="s">
        <v>458</v>
      </c>
      <c r="B222" s="12">
        <v>2013</v>
      </c>
      <c r="C222" s="12" t="s">
        <v>459</v>
      </c>
      <c r="D222" s="175">
        <v>164.39361022390747</v>
      </c>
      <c r="E222" s="177">
        <v>449544.35</v>
      </c>
      <c r="F222" s="178">
        <v>6378294.5300000003</v>
      </c>
      <c r="G222" s="178">
        <v>196527.61</v>
      </c>
      <c r="H222" s="178">
        <v>28611.61</v>
      </c>
      <c r="I222" s="178">
        <v>2183771.8099999996</v>
      </c>
      <c r="J222" s="178">
        <v>2197739.2400000002</v>
      </c>
      <c r="K222" s="178">
        <v>447618.48999999993</v>
      </c>
      <c r="L222" s="178">
        <v>563691.28</v>
      </c>
      <c r="M222" s="181">
        <v>1724.66109755911</v>
      </c>
    </row>
    <row r="223" spans="1:13" x14ac:dyDescent="0.2">
      <c r="A223" s="13" t="s">
        <v>460</v>
      </c>
      <c r="B223" s="12">
        <v>2013</v>
      </c>
      <c r="C223" s="12" t="s">
        <v>461</v>
      </c>
      <c r="D223" s="175">
        <v>355.35141059917123</v>
      </c>
      <c r="E223" s="177">
        <v>2607323.52</v>
      </c>
      <c r="F223" s="178">
        <v>8722358.0700000003</v>
      </c>
      <c r="G223" s="178">
        <v>215882.1</v>
      </c>
      <c r="H223" s="178">
        <v>44668.46</v>
      </c>
      <c r="I223" s="178">
        <v>3524364.75</v>
      </c>
      <c r="J223" s="178">
        <v>2464826.7399999998</v>
      </c>
      <c r="K223" s="178">
        <v>777989.05000000028</v>
      </c>
      <c r="L223" s="178">
        <v>714763.94000000018</v>
      </c>
      <c r="M223" s="181">
        <v>2714.8789737134798</v>
      </c>
    </row>
    <row r="224" spans="1:13" x14ac:dyDescent="0.2">
      <c r="A224" s="13" t="s">
        <v>462</v>
      </c>
      <c r="B224" s="12">
        <v>2013</v>
      </c>
      <c r="C224" s="12" t="s">
        <v>463</v>
      </c>
      <c r="D224" s="175">
        <v>735.2733587439277</v>
      </c>
      <c r="E224" s="177">
        <v>5718330.5999999996</v>
      </c>
      <c r="F224" s="178">
        <v>19899205.190000001</v>
      </c>
      <c r="G224" s="178">
        <v>163139.15</v>
      </c>
      <c r="H224" s="178">
        <v>907.95</v>
      </c>
      <c r="I224" s="178">
        <v>7719323.1100000013</v>
      </c>
      <c r="J224" s="178">
        <v>8867818.4299999997</v>
      </c>
      <c r="K224" s="178">
        <v>3421388.57</v>
      </c>
      <c r="L224" s="178">
        <v>3062027.09</v>
      </c>
      <c r="M224" s="181">
        <v>5587.1504458274803</v>
      </c>
    </row>
    <row r="225" spans="1:13" x14ac:dyDescent="0.2">
      <c r="A225" s="13" t="s">
        <v>464</v>
      </c>
      <c r="B225" s="12">
        <v>2013</v>
      </c>
      <c r="C225" s="12" t="s">
        <v>465</v>
      </c>
      <c r="D225" s="175">
        <v>1230.6727675412958</v>
      </c>
      <c r="E225" s="177">
        <v>6714064.5800000001</v>
      </c>
      <c r="F225" s="178">
        <v>33396742.579999998</v>
      </c>
      <c r="G225" s="178">
        <v>493370.21</v>
      </c>
      <c r="H225" s="178">
        <v>93021.33</v>
      </c>
      <c r="I225" s="178">
        <v>7356879.46</v>
      </c>
      <c r="J225" s="178">
        <v>10402488.109999998</v>
      </c>
      <c r="K225" s="178">
        <v>2129543.4700000002</v>
      </c>
      <c r="L225" s="178">
        <v>5292188.4800000004</v>
      </c>
      <c r="M225" s="181">
        <v>9693.8960275957706</v>
      </c>
    </row>
    <row r="226" spans="1:13" x14ac:dyDescent="0.2">
      <c r="A226" s="13" t="s">
        <v>466</v>
      </c>
      <c r="B226" s="12">
        <v>2013</v>
      </c>
      <c r="C226" s="12" t="s">
        <v>467</v>
      </c>
      <c r="D226" s="175">
        <v>262.89928968100213</v>
      </c>
      <c r="E226" s="183">
        <v>0</v>
      </c>
      <c r="F226" s="178">
        <v>10545965.199999999</v>
      </c>
      <c r="G226" s="178">
        <v>140735.04000000001</v>
      </c>
      <c r="H226" s="178">
        <v>16643.25</v>
      </c>
      <c r="I226" s="178">
        <v>3437408.1899999995</v>
      </c>
      <c r="J226" s="178">
        <v>3539241.6100000008</v>
      </c>
      <c r="K226" s="178">
        <v>333410.54000000004</v>
      </c>
      <c r="L226" s="178">
        <v>622237.96000000008</v>
      </c>
      <c r="M226" s="181">
        <v>2929.1673763399199</v>
      </c>
    </row>
    <row r="227" spans="1:13" x14ac:dyDescent="0.2">
      <c r="A227" s="13" t="s">
        <v>468</v>
      </c>
      <c r="B227" s="12">
        <v>2013</v>
      </c>
      <c r="C227" s="12" t="s">
        <v>469</v>
      </c>
      <c r="D227" s="175">
        <v>38.844516129032257</v>
      </c>
      <c r="E227" s="183">
        <v>0</v>
      </c>
      <c r="F227" s="178">
        <v>1891798.75</v>
      </c>
      <c r="G227" s="178">
        <v>50418.239999999998</v>
      </c>
      <c r="H227" s="178">
        <v>75458.45</v>
      </c>
      <c r="I227" s="178">
        <v>738440.20000000019</v>
      </c>
      <c r="J227" s="178">
        <v>628733.17999999993</v>
      </c>
      <c r="K227" s="178">
        <v>108329.11000000002</v>
      </c>
      <c r="L227" s="178">
        <v>164438.91999999998</v>
      </c>
      <c r="M227" s="181">
        <v>478.83814060658</v>
      </c>
    </row>
    <row r="228" spans="1:13" x14ac:dyDescent="0.2">
      <c r="A228" s="13" t="s">
        <v>470</v>
      </c>
      <c r="B228" s="12">
        <v>2013</v>
      </c>
      <c r="C228" s="12" t="s">
        <v>471</v>
      </c>
      <c r="D228" s="175">
        <v>97.123386870604833</v>
      </c>
      <c r="E228" s="177">
        <v>284896.15000000002</v>
      </c>
      <c r="F228" s="178">
        <v>2924618.71</v>
      </c>
      <c r="G228" s="179">
        <v>99831.76</v>
      </c>
      <c r="H228" s="179">
        <v>3193</v>
      </c>
      <c r="I228" s="179">
        <v>959103.01</v>
      </c>
      <c r="J228" s="179">
        <v>1071339.0799999998</v>
      </c>
      <c r="K228" s="179">
        <v>197229.31</v>
      </c>
      <c r="L228" s="179">
        <v>417281.06000000006</v>
      </c>
      <c r="M228" s="181">
        <v>915.00370693349498</v>
      </c>
    </row>
    <row r="229" spans="1:13" x14ac:dyDescent="0.2">
      <c r="A229" s="13" t="s">
        <v>472</v>
      </c>
      <c r="B229" s="12">
        <v>2013</v>
      </c>
      <c r="C229" s="12" t="s">
        <v>473</v>
      </c>
      <c r="D229" s="175">
        <v>225.92253412258432</v>
      </c>
      <c r="E229" s="177">
        <v>831956.15</v>
      </c>
      <c r="F229" s="178">
        <v>4443210.34</v>
      </c>
      <c r="G229" s="178">
        <v>207496.2</v>
      </c>
      <c r="H229" s="178">
        <v>62450.67</v>
      </c>
      <c r="I229" s="178">
        <v>2369027.9700000002</v>
      </c>
      <c r="J229" s="178">
        <v>2445898.0900000003</v>
      </c>
      <c r="K229" s="178">
        <v>240641.13999999996</v>
      </c>
      <c r="L229" s="178">
        <v>540620.97999999986</v>
      </c>
      <c r="M229" s="181">
        <v>1588.03613229951</v>
      </c>
    </row>
    <row r="230" spans="1:13" x14ac:dyDescent="0.2">
      <c r="A230" s="13" t="s">
        <v>474</v>
      </c>
      <c r="B230" s="12">
        <v>2013</v>
      </c>
      <c r="C230" s="12" t="s">
        <v>475</v>
      </c>
      <c r="D230" s="175">
        <v>118.76757426644797</v>
      </c>
      <c r="E230" s="177">
        <v>404337.63</v>
      </c>
      <c r="F230" s="178">
        <v>5781024.5599999996</v>
      </c>
      <c r="G230" s="178">
        <v>121946.63</v>
      </c>
      <c r="H230" s="178">
        <v>4527.67</v>
      </c>
      <c r="I230" s="178">
        <v>2226157.17</v>
      </c>
      <c r="J230" s="178">
        <v>1900788.27</v>
      </c>
      <c r="K230" s="178">
        <v>224221.96999999997</v>
      </c>
      <c r="L230" s="178">
        <v>542938.78</v>
      </c>
      <c r="M230" s="181">
        <v>1572.5442664479699</v>
      </c>
    </row>
    <row r="231" spans="1:13" x14ac:dyDescent="0.2">
      <c r="A231" s="13" t="s">
        <v>476</v>
      </c>
      <c r="B231" s="12">
        <v>2013</v>
      </c>
      <c r="C231" s="12" t="s">
        <v>477</v>
      </c>
      <c r="D231" s="175">
        <v>133.58404624277458</v>
      </c>
      <c r="E231" s="177">
        <v>520483.95</v>
      </c>
      <c r="F231" s="178">
        <v>3437860.29</v>
      </c>
      <c r="G231" s="178">
        <v>70078.16</v>
      </c>
      <c r="H231" s="178">
        <v>0</v>
      </c>
      <c r="I231" s="178">
        <v>1124263.1400000001</v>
      </c>
      <c r="J231" s="178">
        <v>921206.23999999976</v>
      </c>
      <c r="K231" s="178">
        <v>298505.86</v>
      </c>
      <c r="L231" s="178">
        <v>399339.22999999986</v>
      </c>
      <c r="M231" s="181">
        <v>924.96271676300603</v>
      </c>
    </row>
    <row r="232" spans="1:13" x14ac:dyDescent="0.2">
      <c r="A232" s="13" t="s">
        <v>478</v>
      </c>
      <c r="B232" s="12">
        <v>2013</v>
      </c>
      <c r="C232" s="12" t="s">
        <v>479</v>
      </c>
      <c r="D232" s="175">
        <v>379.91193181818193</v>
      </c>
      <c r="E232" s="177">
        <v>1466231.59</v>
      </c>
      <c r="F232" s="178">
        <v>10898602.439999999</v>
      </c>
      <c r="G232" s="178">
        <v>236228.73</v>
      </c>
      <c r="H232" s="179">
        <v>52521.11</v>
      </c>
      <c r="I232" s="179">
        <v>3016957.3900000006</v>
      </c>
      <c r="J232" s="179">
        <v>4109181.7899999991</v>
      </c>
      <c r="K232" s="179">
        <v>583864.28000000026</v>
      </c>
      <c r="L232" s="179">
        <v>1448988.9500000002</v>
      </c>
      <c r="M232" s="181">
        <v>3216.2989267676799</v>
      </c>
    </row>
    <row r="233" spans="1:13" x14ac:dyDescent="0.2">
      <c r="A233" s="13" t="s">
        <v>480</v>
      </c>
      <c r="B233" s="12">
        <v>2013</v>
      </c>
      <c r="C233" s="12" t="s">
        <v>481</v>
      </c>
      <c r="D233" s="175">
        <v>173.5499746031746</v>
      </c>
      <c r="E233" s="177">
        <v>757018.11</v>
      </c>
      <c r="F233" s="178">
        <v>6058672.0499999998</v>
      </c>
      <c r="G233" s="179">
        <v>152567.25</v>
      </c>
      <c r="H233" s="179">
        <v>176309.6</v>
      </c>
      <c r="I233" s="179">
        <v>1653462.24</v>
      </c>
      <c r="J233" s="179">
        <v>2796162.77</v>
      </c>
      <c r="K233" s="179">
        <v>163808.84</v>
      </c>
      <c r="L233" s="179">
        <v>961166.6</v>
      </c>
      <c r="M233" s="181">
        <v>1814.14631746032</v>
      </c>
    </row>
    <row r="234" spans="1:13" x14ac:dyDescent="0.2">
      <c r="A234" s="13" t="s">
        <v>482</v>
      </c>
      <c r="B234" s="12">
        <v>2013</v>
      </c>
      <c r="C234" s="12" t="s">
        <v>483</v>
      </c>
      <c r="D234" s="175">
        <v>1376.3324713404591</v>
      </c>
      <c r="E234" s="177">
        <v>6074958.9699999997</v>
      </c>
      <c r="F234" s="178">
        <v>70603485.069999993</v>
      </c>
      <c r="G234" s="178">
        <v>1478251.51</v>
      </c>
      <c r="H234" s="178">
        <v>0</v>
      </c>
      <c r="I234" s="178">
        <v>16826787.520000003</v>
      </c>
      <c r="J234" s="178">
        <v>20657139.989999998</v>
      </c>
      <c r="K234" s="178">
        <v>8160327.1999999937</v>
      </c>
      <c r="L234" s="178">
        <v>12062025.310000001</v>
      </c>
      <c r="M234" s="181">
        <v>14839.8198256208</v>
      </c>
    </row>
    <row r="235" spans="1:13" x14ac:dyDescent="0.2">
      <c r="A235" s="13" t="s">
        <v>484</v>
      </c>
      <c r="B235" s="12">
        <v>2013</v>
      </c>
      <c r="C235" s="12" t="s">
        <v>485</v>
      </c>
      <c r="D235" s="175">
        <v>299.64416691446127</v>
      </c>
      <c r="E235" s="177">
        <v>1505414.59</v>
      </c>
      <c r="F235" s="178">
        <v>8191030.9100000001</v>
      </c>
      <c r="G235" s="178">
        <v>212430.38</v>
      </c>
      <c r="H235" s="178">
        <v>1250.3</v>
      </c>
      <c r="I235" s="178">
        <v>2424312.87</v>
      </c>
      <c r="J235" s="178">
        <v>3155697.13</v>
      </c>
      <c r="K235" s="178">
        <v>1493296.3199999998</v>
      </c>
      <c r="L235" s="178">
        <v>992275.61000000034</v>
      </c>
      <c r="M235" s="181">
        <v>2583.4865695311701</v>
      </c>
    </row>
    <row r="236" spans="1:13" x14ac:dyDescent="0.2">
      <c r="A236" s="13" t="s">
        <v>486</v>
      </c>
      <c r="B236" s="12">
        <v>2013</v>
      </c>
      <c r="C236" s="12" t="s">
        <v>487</v>
      </c>
      <c r="D236" s="175">
        <v>86.030989488945238</v>
      </c>
      <c r="E236" s="177">
        <v>457487.28</v>
      </c>
      <c r="F236" s="178">
        <v>4089532.84</v>
      </c>
      <c r="G236" s="178">
        <v>39248.14</v>
      </c>
      <c r="H236" s="178">
        <v>1968.99</v>
      </c>
      <c r="I236" s="178">
        <v>1253211.1600000001</v>
      </c>
      <c r="J236" s="178">
        <v>1318606.9499999997</v>
      </c>
      <c r="K236" s="178">
        <v>269658.94</v>
      </c>
      <c r="L236" s="178">
        <v>466686.60000000021</v>
      </c>
      <c r="M236" s="181">
        <v>985.39090431315697</v>
      </c>
    </row>
    <row r="237" spans="1:13" x14ac:dyDescent="0.2">
      <c r="A237" s="13" t="s">
        <v>488</v>
      </c>
      <c r="B237" s="12">
        <v>2013</v>
      </c>
      <c r="C237" s="12" t="s">
        <v>489</v>
      </c>
      <c r="D237" s="175">
        <v>44.125</v>
      </c>
      <c r="E237" s="177">
        <v>148110.76</v>
      </c>
      <c r="F237" s="178">
        <v>2139869.46</v>
      </c>
      <c r="G237" s="178">
        <v>43710.04</v>
      </c>
      <c r="H237" s="178">
        <v>2783.76</v>
      </c>
      <c r="I237" s="178">
        <v>751390.02</v>
      </c>
      <c r="J237" s="178">
        <v>566795.47000000009</v>
      </c>
      <c r="K237" s="178">
        <v>168729.23</v>
      </c>
      <c r="L237" s="178">
        <v>263731.69</v>
      </c>
      <c r="M237" s="181">
        <v>473.01005681818202</v>
      </c>
    </row>
    <row r="238" spans="1:13" x14ac:dyDescent="0.2">
      <c r="A238" s="13" t="s">
        <v>490</v>
      </c>
      <c r="B238" s="12">
        <v>2013</v>
      </c>
      <c r="C238" s="12" t="s">
        <v>491</v>
      </c>
      <c r="D238" s="175">
        <v>93.59197699625409</v>
      </c>
      <c r="E238" s="177">
        <v>310572.86</v>
      </c>
      <c r="F238" s="178">
        <v>2944523.25</v>
      </c>
      <c r="G238" s="179">
        <v>78582.179999999993</v>
      </c>
      <c r="H238" s="179">
        <v>3720.61</v>
      </c>
      <c r="I238" s="179">
        <v>872805.10999999987</v>
      </c>
      <c r="J238" s="179">
        <v>777072.09</v>
      </c>
      <c r="K238" s="179">
        <v>244804.46999999994</v>
      </c>
      <c r="L238" s="179">
        <v>205386.93000000002</v>
      </c>
      <c r="M238" s="181">
        <v>905.07663813147997</v>
      </c>
    </row>
    <row r="239" spans="1:13" x14ac:dyDescent="0.2">
      <c r="A239" s="13" t="s">
        <v>492</v>
      </c>
      <c r="B239" s="12">
        <v>2013</v>
      </c>
      <c r="C239" s="12" t="s">
        <v>493</v>
      </c>
      <c r="D239" s="175">
        <v>271.60753585301228</v>
      </c>
      <c r="E239" s="177">
        <v>1410239.66</v>
      </c>
      <c r="F239" s="178">
        <v>12243639.92</v>
      </c>
      <c r="G239" s="179">
        <v>380808.73</v>
      </c>
      <c r="H239" s="179">
        <v>1305.9100000000001</v>
      </c>
      <c r="I239" s="179">
        <v>3377342.7300000004</v>
      </c>
      <c r="J239" s="179">
        <v>4126783.8600000003</v>
      </c>
      <c r="K239" s="179">
        <v>507402.2699999999</v>
      </c>
      <c r="L239" s="179">
        <v>1599885.2399999998</v>
      </c>
      <c r="M239" s="181">
        <v>2862.2101089524299</v>
      </c>
    </row>
    <row r="240" spans="1:13" x14ac:dyDescent="0.2">
      <c r="A240" s="13" t="s">
        <v>494</v>
      </c>
      <c r="B240" s="12">
        <v>2013</v>
      </c>
      <c r="C240" s="12" t="s">
        <v>495</v>
      </c>
      <c r="D240" s="175">
        <v>187.75081408898595</v>
      </c>
      <c r="E240" s="177">
        <v>681355.18</v>
      </c>
      <c r="F240" s="178">
        <v>7885700.25</v>
      </c>
      <c r="G240" s="178">
        <v>179486.19</v>
      </c>
      <c r="H240" s="178">
        <v>248170.57</v>
      </c>
      <c r="I240" s="178">
        <v>2243701.11</v>
      </c>
      <c r="J240" s="178">
        <v>2913213.9800000009</v>
      </c>
      <c r="K240" s="178">
        <v>864965.92000000016</v>
      </c>
      <c r="L240" s="178">
        <v>854854.02000000037</v>
      </c>
      <c r="M240" s="181">
        <v>2054.3004502223298</v>
      </c>
    </row>
    <row r="241" spans="1:13" x14ac:dyDescent="0.2">
      <c r="A241" s="13" t="s">
        <v>496</v>
      </c>
      <c r="B241" s="12">
        <v>2013</v>
      </c>
      <c r="C241" s="12" t="s">
        <v>497</v>
      </c>
      <c r="D241" s="175">
        <v>829.57442206705514</v>
      </c>
      <c r="E241" s="177">
        <v>5899656.9400000004</v>
      </c>
      <c r="F241" s="178">
        <v>26517352.260000002</v>
      </c>
      <c r="G241" s="179">
        <v>360004.05</v>
      </c>
      <c r="H241" s="179">
        <v>6944.77</v>
      </c>
      <c r="I241" s="179">
        <v>5635748.4299999997</v>
      </c>
      <c r="J241" s="179">
        <v>7267250.25</v>
      </c>
      <c r="K241" s="179">
        <v>3459804.8</v>
      </c>
      <c r="L241" s="179">
        <v>2681452.3599999994</v>
      </c>
      <c r="M241" s="181">
        <v>5987.3872550681999</v>
      </c>
    </row>
    <row r="242" spans="1:13" x14ac:dyDescent="0.2">
      <c r="A242" s="13" t="s">
        <v>498</v>
      </c>
      <c r="B242" s="12">
        <v>2013</v>
      </c>
      <c r="C242" s="12" t="s">
        <v>499</v>
      </c>
      <c r="D242" s="175">
        <v>684.71865230067374</v>
      </c>
      <c r="E242" s="177">
        <v>5004294.2</v>
      </c>
      <c r="F242" s="178">
        <v>22962228.02</v>
      </c>
      <c r="G242" s="179">
        <v>698290.15</v>
      </c>
      <c r="H242" s="179">
        <v>125374.76</v>
      </c>
      <c r="I242" s="179">
        <v>7373536.2899999991</v>
      </c>
      <c r="J242" s="179">
        <v>8658124.9300000034</v>
      </c>
      <c r="K242" s="179">
        <v>3998290.4999999986</v>
      </c>
      <c r="L242" s="179">
        <v>3696573.8099999996</v>
      </c>
      <c r="M242" s="181">
        <v>4490.1616589649402</v>
      </c>
    </row>
    <row r="243" spans="1:13" x14ac:dyDescent="0.2">
      <c r="A243" s="13" t="s">
        <v>500</v>
      </c>
      <c r="B243" s="12">
        <v>2013</v>
      </c>
      <c r="C243" s="12" t="s">
        <v>501</v>
      </c>
      <c r="D243" s="175">
        <v>178.66751254480289</v>
      </c>
      <c r="E243" s="177">
        <v>597185</v>
      </c>
      <c r="F243" s="178">
        <v>5499192.5099999998</v>
      </c>
      <c r="G243" s="179">
        <v>99107.4</v>
      </c>
      <c r="H243" s="179">
        <v>68766.7</v>
      </c>
      <c r="I243" s="179">
        <v>1242816.92</v>
      </c>
      <c r="J243" s="179">
        <v>1933842.21</v>
      </c>
      <c r="K243" s="179">
        <v>191299.91999999998</v>
      </c>
      <c r="L243" s="179">
        <v>533952.32999999996</v>
      </c>
      <c r="M243" s="181">
        <v>1255.4069480286701</v>
      </c>
    </row>
    <row r="244" spans="1:13" x14ac:dyDescent="0.2">
      <c r="A244" s="13" t="s">
        <v>502</v>
      </c>
      <c r="B244" s="12">
        <v>2013</v>
      </c>
      <c r="C244" s="12" t="s">
        <v>503</v>
      </c>
      <c r="D244" s="175">
        <v>129.46940412881918</v>
      </c>
      <c r="E244" s="177">
        <v>658719.46</v>
      </c>
      <c r="F244" s="178">
        <v>6260537.6799999997</v>
      </c>
      <c r="G244" s="178">
        <v>380793.92</v>
      </c>
      <c r="H244" s="178">
        <v>132111.79999999999</v>
      </c>
      <c r="I244" s="178">
        <v>2381556.8200000003</v>
      </c>
      <c r="J244" s="178">
        <v>2137981.8800000008</v>
      </c>
      <c r="K244" s="178">
        <v>662740.46000000089</v>
      </c>
      <c r="L244" s="178">
        <v>556213.23999999976</v>
      </c>
      <c r="M244" s="181">
        <v>1470.1989674649101</v>
      </c>
    </row>
    <row r="245" spans="1:13" x14ac:dyDescent="0.2">
      <c r="A245" s="13" t="s">
        <v>504</v>
      </c>
      <c r="B245" s="12">
        <v>2013</v>
      </c>
      <c r="C245" s="12" t="s">
        <v>505</v>
      </c>
      <c r="D245" s="175">
        <v>66.871633358630575</v>
      </c>
      <c r="E245" s="183">
        <v>0</v>
      </c>
      <c r="F245" s="178">
        <v>6596138.5800000001</v>
      </c>
      <c r="G245" s="178">
        <v>148170.17000000001</v>
      </c>
      <c r="H245" s="178">
        <v>6369.77</v>
      </c>
      <c r="I245" s="178">
        <v>2009564.08</v>
      </c>
      <c r="J245" s="178">
        <v>2305567.5000000005</v>
      </c>
      <c r="K245" s="178">
        <v>1115616.2500000002</v>
      </c>
      <c r="L245" s="178">
        <v>914475.74000000011</v>
      </c>
      <c r="M245" s="181">
        <v>1041.32157011552</v>
      </c>
    </row>
    <row r="246" spans="1:13" x14ac:dyDescent="0.2">
      <c r="A246" s="13" t="s">
        <v>506</v>
      </c>
      <c r="B246" s="12">
        <v>2013</v>
      </c>
      <c r="C246" s="12" t="s">
        <v>507</v>
      </c>
      <c r="D246" s="175">
        <v>282.9826589595375</v>
      </c>
      <c r="E246" s="177">
        <v>869714.25</v>
      </c>
      <c r="F246" s="178">
        <v>6637232</v>
      </c>
      <c r="G246" s="178">
        <v>156621.22</v>
      </c>
      <c r="H246" s="178">
        <v>9829.7999999999993</v>
      </c>
      <c r="I246" s="178">
        <v>2373464.4299999997</v>
      </c>
      <c r="J246" s="178">
        <v>2936110.0300000003</v>
      </c>
      <c r="K246" s="178">
        <v>549198.37000000023</v>
      </c>
      <c r="L246" s="178">
        <v>727822.35999999987</v>
      </c>
      <c r="M246" s="181">
        <v>2189.45809248555</v>
      </c>
    </row>
    <row r="247" spans="1:13" x14ac:dyDescent="0.2">
      <c r="A247" s="13" t="s">
        <v>508</v>
      </c>
      <c r="B247" s="12">
        <v>2013</v>
      </c>
      <c r="C247" s="12" t="s">
        <v>509</v>
      </c>
      <c r="D247" s="175">
        <v>123.31648242116708</v>
      </c>
      <c r="E247" s="177">
        <v>1484570.6</v>
      </c>
      <c r="F247" s="178">
        <v>12726626.51</v>
      </c>
      <c r="G247" s="178">
        <v>160422.25</v>
      </c>
      <c r="H247" s="178">
        <v>26182.92</v>
      </c>
      <c r="I247" s="178">
        <v>3336223.4899999998</v>
      </c>
      <c r="J247" s="178">
        <v>5897865.3300000038</v>
      </c>
      <c r="K247" s="178">
        <v>2041182.0800000003</v>
      </c>
      <c r="L247" s="178">
        <v>2144532.8599999985</v>
      </c>
      <c r="M247" s="181">
        <v>1951.59659840522</v>
      </c>
    </row>
    <row r="248" spans="1:13" x14ac:dyDescent="0.2">
      <c r="A248" s="13" t="s">
        <v>510</v>
      </c>
      <c r="B248" s="12">
        <v>2013</v>
      </c>
      <c r="C248" s="12" t="s">
        <v>511</v>
      </c>
      <c r="D248" s="175">
        <v>181.49126003631835</v>
      </c>
      <c r="E248" s="177">
        <v>777242.19</v>
      </c>
      <c r="F248" s="178">
        <v>6538160.25</v>
      </c>
      <c r="G248" s="178">
        <v>54909.34</v>
      </c>
      <c r="H248" s="178">
        <v>2838.72</v>
      </c>
      <c r="I248" s="178">
        <v>1651612.24</v>
      </c>
      <c r="J248" s="178">
        <v>2411971.0899999994</v>
      </c>
      <c r="K248" s="178">
        <v>420840.39000000007</v>
      </c>
      <c r="L248" s="178">
        <v>718047.4700000002</v>
      </c>
      <c r="M248" s="181">
        <v>1722.0929642961601</v>
      </c>
    </row>
    <row r="249" spans="1:13" x14ac:dyDescent="0.2">
      <c r="A249" s="13" t="s">
        <v>512</v>
      </c>
      <c r="B249" s="12">
        <v>2013</v>
      </c>
      <c r="C249" s="12" t="s">
        <v>513</v>
      </c>
      <c r="D249" s="175">
        <v>175.5209336302114</v>
      </c>
      <c r="E249" s="177">
        <v>653579.32999999996</v>
      </c>
      <c r="F249" s="178">
        <v>6010513.6799999997</v>
      </c>
      <c r="G249" s="179">
        <v>271319.65999999997</v>
      </c>
      <c r="H249" s="179">
        <v>63056.99</v>
      </c>
      <c r="I249" s="179">
        <v>1725166.1500000004</v>
      </c>
      <c r="J249" s="179">
        <v>2700293.5599999987</v>
      </c>
      <c r="K249" s="179">
        <v>370679.5500000001</v>
      </c>
      <c r="L249" s="179">
        <v>486978.44000000012</v>
      </c>
      <c r="M249" s="181">
        <v>1861.6981789604199</v>
      </c>
    </row>
    <row r="250" spans="1:13" x14ac:dyDescent="0.2">
      <c r="A250" s="13" t="s">
        <v>514</v>
      </c>
      <c r="B250" s="12">
        <v>2013</v>
      </c>
      <c r="C250" s="12" t="s">
        <v>515</v>
      </c>
      <c r="D250" s="175">
        <v>183.79186432421901</v>
      </c>
      <c r="E250" s="177">
        <v>735955.92</v>
      </c>
      <c r="F250" s="178">
        <v>4385975.4400000004</v>
      </c>
      <c r="G250" s="178">
        <v>344119.94</v>
      </c>
      <c r="H250" s="178">
        <v>48.85</v>
      </c>
      <c r="I250" s="178">
        <v>1857154.88</v>
      </c>
      <c r="J250" s="178">
        <v>2286232.7799999993</v>
      </c>
      <c r="K250" s="178">
        <v>294911.59000000003</v>
      </c>
      <c r="L250" s="178">
        <v>554255.5499999997</v>
      </c>
      <c r="M250" s="181">
        <v>1494.5633514056899</v>
      </c>
    </row>
    <row r="251" spans="1:13" x14ac:dyDescent="0.2">
      <c r="A251" s="13" t="s">
        <v>516</v>
      </c>
      <c r="B251" s="12">
        <v>2013</v>
      </c>
      <c r="C251" s="12" t="s">
        <v>517</v>
      </c>
      <c r="D251" s="175">
        <v>67.017638898333928</v>
      </c>
      <c r="E251" s="177">
        <v>257747.02</v>
      </c>
      <c r="F251" s="178">
        <v>1936183.87</v>
      </c>
      <c r="G251" s="179">
        <v>54207.11</v>
      </c>
      <c r="H251" s="179">
        <v>25</v>
      </c>
      <c r="I251" s="179">
        <v>626068.09000000008</v>
      </c>
      <c r="J251" s="179">
        <v>619321.35000000009</v>
      </c>
      <c r="K251" s="179">
        <v>237740.20999999996</v>
      </c>
      <c r="L251" s="179">
        <v>152453.67000000001</v>
      </c>
      <c r="M251" s="181">
        <v>540.86684733083996</v>
      </c>
    </row>
    <row r="252" spans="1:13" x14ac:dyDescent="0.2">
      <c r="A252" s="13" t="s">
        <v>518</v>
      </c>
      <c r="B252" s="12">
        <v>2013</v>
      </c>
      <c r="C252" s="12" t="s">
        <v>519</v>
      </c>
      <c r="D252" s="175">
        <v>334.8886196549139</v>
      </c>
      <c r="E252" s="177">
        <v>1040314.96</v>
      </c>
      <c r="F252" s="178">
        <v>8142815.5700000003</v>
      </c>
      <c r="G252" s="178">
        <v>238249.2</v>
      </c>
      <c r="H252" s="178">
        <v>3806.19</v>
      </c>
      <c r="I252" s="178">
        <v>2285937.9099999992</v>
      </c>
      <c r="J252" s="178">
        <v>3371968.7600000007</v>
      </c>
      <c r="K252" s="178">
        <v>449827.13000000006</v>
      </c>
      <c r="L252" s="178">
        <v>787650.87000000023</v>
      </c>
      <c r="M252" s="181">
        <v>2488.9340585146301</v>
      </c>
    </row>
    <row r="253" spans="1:13" x14ac:dyDescent="0.2">
      <c r="A253" s="13" t="s">
        <v>520</v>
      </c>
      <c r="B253" s="12">
        <v>2013</v>
      </c>
      <c r="C253" s="12" t="s">
        <v>521</v>
      </c>
      <c r="D253" s="175">
        <v>500.13470717951719</v>
      </c>
      <c r="E253" s="177">
        <v>2014841.98</v>
      </c>
      <c r="F253" s="178">
        <v>19726314.050000001</v>
      </c>
      <c r="G253" s="179">
        <v>765508.73</v>
      </c>
      <c r="H253" s="179">
        <v>13839</v>
      </c>
      <c r="I253" s="179">
        <v>5371890.9899999993</v>
      </c>
      <c r="J253" s="179">
        <v>7483872.540000001</v>
      </c>
      <c r="K253" s="179">
        <v>2014953.090000001</v>
      </c>
      <c r="L253" s="179">
        <v>2164044.1800000016</v>
      </c>
      <c r="M253" s="181">
        <v>5817.4218481548696</v>
      </c>
    </row>
    <row r="254" spans="1:13" x14ac:dyDescent="0.2">
      <c r="A254" s="13" t="s">
        <v>522</v>
      </c>
      <c r="B254" s="12">
        <v>2013</v>
      </c>
      <c r="C254" s="12" t="s">
        <v>523</v>
      </c>
      <c r="D254" s="175">
        <v>113.06554252199413</v>
      </c>
      <c r="E254" s="177">
        <v>484138.83</v>
      </c>
      <c r="F254" s="178">
        <v>3332018.96</v>
      </c>
      <c r="G254" s="178">
        <v>83908.9</v>
      </c>
      <c r="H254" s="179">
        <v>5265.9</v>
      </c>
      <c r="I254" s="179">
        <v>1026945.16</v>
      </c>
      <c r="J254" s="179">
        <v>1235733.0499999998</v>
      </c>
      <c r="K254" s="179">
        <v>53342.97</v>
      </c>
      <c r="L254" s="179">
        <v>268967.96999999997</v>
      </c>
      <c r="M254" s="181">
        <v>850.42426686217004</v>
      </c>
    </row>
    <row r="255" spans="1:13" x14ac:dyDescent="0.2">
      <c r="A255" s="13" t="s">
        <v>524</v>
      </c>
      <c r="B255" s="12">
        <v>2013</v>
      </c>
      <c r="C255" s="12" t="s">
        <v>525</v>
      </c>
      <c r="D255" s="175">
        <v>166.71984531220525</v>
      </c>
      <c r="E255" s="177">
        <v>450466.28</v>
      </c>
      <c r="F255" s="178">
        <v>5707127.6100000003</v>
      </c>
      <c r="G255" s="179">
        <v>129478.34</v>
      </c>
      <c r="H255" s="179">
        <v>72377.14</v>
      </c>
      <c r="I255" s="179">
        <v>1272789.2</v>
      </c>
      <c r="J255" s="179">
        <v>1997579.3300000003</v>
      </c>
      <c r="K255" s="179">
        <v>584601.91</v>
      </c>
      <c r="L255" s="179">
        <v>600601.38</v>
      </c>
      <c r="M255" s="181">
        <v>1536.3642011289301</v>
      </c>
    </row>
    <row r="256" spans="1:13" x14ac:dyDescent="0.2">
      <c r="A256" s="13" t="s">
        <v>526</v>
      </c>
      <c r="B256" s="12">
        <v>2013</v>
      </c>
      <c r="C256" s="12" t="s">
        <v>527</v>
      </c>
      <c r="D256" s="175">
        <v>217.65204261723159</v>
      </c>
      <c r="E256" s="177">
        <v>1008250.98</v>
      </c>
      <c r="F256" s="178">
        <v>5750917.2699999996</v>
      </c>
      <c r="G256" s="178">
        <v>60059.25</v>
      </c>
      <c r="H256" s="178">
        <v>3855.74</v>
      </c>
      <c r="I256" s="178">
        <v>1816452</v>
      </c>
      <c r="J256" s="178">
        <v>2532946.6199999996</v>
      </c>
      <c r="K256" s="178">
        <v>265554.36</v>
      </c>
      <c r="L256" s="178">
        <v>1271488.56</v>
      </c>
      <c r="M256" s="181">
        <v>1821.6162037828799</v>
      </c>
    </row>
    <row r="257" spans="1:13" x14ac:dyDescent="0.2">
      <c r="A257" s="13" t="s">
        <v>528</v>
      </c>
      <c r="B257" s="12">
        <v>2013</v>
      </c>
      <c r="C257" s="12" t="s">
        <v>529</v>
      </c>
      <c r="D257" s="175">
        <v>158.02629394708225</v>
      </c>
      <c r="E257" s="177">
        <v>1056064.21</v>
      </c>
      <c r="F257" s="178">
        <v>4755824.68</v>
      </c>
      <c r="G257" s="178">
        <v>80652.86</v>
      </c>
      <c r="H257" s="178">
        <v>304.72000000000003</v>
      </c>
      <c r="I257" s="178">
        <v>1792981.4100000001</v>
      </c>
      <c r="J257" s="178">
        <v>1813395.32</v>
      </c>
      <c r="K257" s="178">
        <v>455071.85999999981</v>
      </c>
      <c r="L257" s="178">
        <v>332597.60000000003</v>
      </c>
      <c r="M257" s="181">
        <v>1269.4204041319299</v>
      </c>
    </row>
    <row r="258" spans="1:13" x14ac:dyDescent="0.2">
      <c r="A258" s="13" t="s">
        <v>530</v>
      </c>
      <c r="B258" s="12">
        <v>2013</v>
      </c>
      <c r="C258" s="12" t="s">
        <v>531</v>
      </c>
      <c r="D258" s="175">
        <v>63.108619582664517</v>
      </c>
      <c r="E258" s="177">
        <v>190438.21</v>
      </c>
      <c r="F258" s="178">
        <v>1142059.27</v>
      </c>
      <c r="G258" s="178">
        <v>54124.84</v>
      </c>
      <c r="H258" s="179">
        <v>0</v>
      </c>
      <c r="I258" s="179">
        <v>1104200.1200000001</v>
      </c>
      <c r="J258" s="179">
        <v>966772.0399999998</v>
      </c>
      <c r="K258" s="179">
        <v>174783.31999999998</v>
      </c>
      <c r="L258" s="179">
        <v>173045.93</v>
      </c>
      <c r="M258" s="181">
        <v>383.79285714285697</v>
      </c>
    </row>
    <row r="259" spans="1:13" x14ac:dyDescent="0.2">
      <c r="A259" s="13" t="s">
        <v>532</v>
      </c>
      <c r="B259" s="12">
        <v>2013</v>
      </c>
      <c r="C259" s="12" t="s">
        <v>533</v>
      </c>
      <c r="D259" s="175">
        <v>37.754660473950914</v>
      </c>
      <c r="E259" s="177">
        <v>154953.76</v>
      </c>
      <c r="F259" s="178">
        <v>1468153.46</v>
      </c>
      <c r="G259" s="179">
        <v>45573.05</v>
      </c>
      <c r="H259" s="179">
        <v>0</v>
      </c>
      <c r="I259" s="179">
        <v>567546.5</v>
      </c>
      <c r="J259" s="179">
        <v>546681.81999999995</v>
      </c>
      <c r="K259" s="179">
        <v>96841.560000000027</v>
      </c>
      <c r="L259" s="179">
        <v>74311.44</v>
      </c>
      <c r="M259" s="181">
        <v>388.56534635625002</v>
      </c>
    </row>
    <row r="260" spans="1:13" x14ac:dyDescent="0.2">
      <c r="A260" s="13" t="s">
        <v>534</v>
      </c>
      <c r="B260" s="12">
        <v>2013</v>
      </c>
      <c r="C260" s="12" t="s">
        <v>535</v>
      </c>
      <c r="D260" s="175">
        <v>119.03510938997881</v>
      </c>
      <c r="E260" s="177">
        <v>732052.26</v>
      </c>
      <c r="F260" s="178">
        <v>5152743.5999999996</v>
      </c>
      <c r="G260" s="178">
        <v>138101.6</v>
      </c>
      <c r="H260" s="178">
        <v>49772.85</v>
      </c>
      <c r="I260" s="178">
        <v>1607382.4200000006</v>
      </c>
      <c r="J260" s="178">
        <v>1975701.1600000001</v>
      </c>
      <c r="K260" s="178">
        <v>306434.58</v>
      </c>
      <c r="L260" s="178">
        <v>332291.91000000003</v>
      </c>
      <c r="M260" s="181">
        <v>1606.28507804892</v>
      </c>
    </row>
    <row r="261" spans="1:13" x14ac:dyDescent="0.2">
      <c r="A261" s="13" t="s">
        <v>536</v>
      </c>
      <c r="B261" s="12">
        <v>2013</v>
      </c>
      <c r="C261" s="12" t="s">
        <v>537</v>
      </c>
      <c r="D261" s="175">
        <v>190.28112938165393</v>
      </c>
      <c r="E261" s="177">
        <v>712616.57</v>
      </c>
      <c r="F261" s="178">
        <v>7701681.2999999998</v>
      </c>
      <c r="G261" s="178">
        <v>232005.61</v>
      </c>
      <c r="H261" s="179">
        <v>25196.13</v>
      </c>
      <c r="I261" s="179">
        <v>2552298.4699999997</v>
      </c>
      <c r="J261" s="179">
        <v>2691675.9200000004</v>
      </c>
      <c r="K261" s="179">
        <v>403082.52</v>
      </c>
      <c r="L261" s="179">
        <v>1225202.0300000003</v>
      </c>
      <c r="M261" s="181">
        <v>2163.0684345151399</v>
      </c>
    </row>
    <row r="262" spans="1:13" x14ac:dyDescent="0.2">
      <c r="A262" s="13" t="s">
        <v>538</v>
      </c>
      <c r="B262" s="12">
        <v>2013</v>
      </c>
      <c r="C262" s="12" t="s">
        <v>539</v>
      </c>
      <c r="D262" s="175">
        <v>103.4405318527177</v>
      </c>
      <c r="E262" s="177">
        <v>295508.47999999998</v>
      </c>
      <c r="F262" s="178">
        <v>2987889.93</v>
      </c>
      <c r="G262" s="179">
        <v>77295.12</v>
      </c>
      <c r="H262" s="179">
        <v>21418.49</v>
      </c>
      <c r="I262" s="179">
        <v>1136845.75</v>
      </c>
      <c r="J262" s="179">
        <v>1323577.79</v>
      </c>
      <c r="K262" s="179">
        <v>84889.179999999978</v>
      </c>
      <c r="L262" s="179">
        <v>157319</v>
      </c>
      <c r="M262" s="181">
        <v>884.73902980713001</v>
      </c>
    </row>
    <row r="263" spans="1:13" x14ac:dyDescent="0.2">
      <c r="A263" s="13" t="s">
        <v>540</v>
      </c>
      <c r="B263" s="12">
        <v>2013</v>
      </c>
      <c r="C263" s="12" t="s">
        <v>541</v>
      </c>
      <c r="D263" s="175">
        <v>57.696043036772501</v>
      </c>
      <c r="E263" s="177">
        <v>198549.61</v>
      </c>
      <c r="F263" s="178">
        <v>2441555.0499999998</v>
      </c>
      <c r="G263" s="179">
        <v>72886.36</v>
      </c>
      <c r="H263" s="179">
        <v>96665.78</v>
      </c>
      <c r="I263" s="179">
        <v>840968.10999999987</v>
      </c>
      <c r="J263" s="179">
        <v>597330.62999999989</v>
      </c>
      <c r="K263" s="179">
        <v>213232.7</v>
      </c>
      <c r="L263" s="179">
        <v>191277.17</v>
      </c>
      <c r="M263" s="181">
        <v>616.28244117895804</v>
      </c>
    </row>
    <row r="264" spans="1:13" x14ac:dyDescent="0.2">
      <c r="A264" s="13" t="s">
        <v>542</v>
      </c>
      <c r="B264" s="12">
        <v>2013</v>
      </c>
      <c r="C264" s="12" t="s">
        <v>543</v>
      </c>
      <c r="D264" s="182" t="e">
        <v>#N/A</v>
      </c>
      <c r="E264" s="183">
        <v>0</v>
      </c>
      <c r="F264" s="178">
        <v>44699.59</v>
      </c>
      <c r="G264" s="178">
        <v>1573.86</v>
      </c>
      <c r="H264" s="178">
        <v>0</v>
      </c>
      <c r="I264" s="178">
        <v>124152.34000000001</v>
      </c>
      <c r="J264" s="178">
        <v>139123.68000000002</v>
      </c>
      <c r="K264" s="178">
        <v>20924.759999999998</v>
      </c>
      <c r="L264" s="178">
        <v>4392.4500000000007</v>
      </c>
      <c r="M264" s="181">
        <v>1.9111111111111101</v>
      </c>
    </row>
    <row r="265" spans="1:13" x14ac:dyDescent="0.2">
      <c r="A265" s="13" t="s">
        <v>544</v>
      </c>
      <c r="B265" s="12">
        <v>2013</v>
      </c>
      <c r="C265" s="12" t="s">
        <v>545</v>
      </c>
      <c r="D265" s="175">
        <v>189.2968253968254</v>
      </c>
      <c r="E265" s="177">
        <v>2087890.18</v>
      </c>
      <c r="F265" s="178">
        <v>14167603.18</v>
      </c>
      <c r="G265" s="178">
        <v>165311.73000000001</v>
      </c>
      <c r="H265" s="178">
        <v>36291.39</v>
      </c>
      <c r="I265" s="178">
        <v>4790072.8600000003</v>
      </c>
      <c r="J265" s="178">
        <v>6022726.0899999999</v>
      </c>
      <c r="K265" s="178">
        <v>545376.01</v>
      </c>
      <c r="L265" s="178">
        <v>2131785.6499999994</v>
      </c>
      <c r="M265" s="181">
        <v>2980.23083051715</v>
      </c>
    </row>
    <row r="266" spans="1:13" x14ac:dyDescent="0.2">
      <c r="A266" s="13" t="s">
        <v>546</v>
      </c>
      <c r="B266" s="12">
        <v>2013</v>
      </c>
      <c r="C266" s="12" t="s">
        <v>547</v>
      </c>
      <c r="D266" s="175">
        <v>422.30651854355</v>
      </c>
      <c r="E266" s="177">
        <v>3348340.53</v>
      </c>
      <c r="F266" s="178">
        <v>18467483.690000001</v>
      </c>
      <c r="G266" s="178">
        <v>89635.03</v>
      </c>
      <c r="H266" s="178">
        <v>88.96</v>
      </c>
      <c r="I266" s="178">
        <v>5184907.83</v>
      </c>
      <c r="J266" s="178">
        <v>4945666.08</v>
      </c>
      <c r="K266" s="178">
        <v>955296.52000000037</v>
      </c>
      <c r="L266" s="178">
        <v>2597801.6399999992</v>
      </c>
      <c r="M266" s="181">
        <v>3247.18999793491</v>
      </c>
    </row>
    <row r="267" spans="1:13" x14ac:dyDescent="0.2">
      <c r="A267" s="13" t="s">
        <v>548</v>
      </c>
      <c r="B267" s="12">
        <v>2013</v>
      </c>
      <c r="C267" s="12" t="s">
        <v>549</v>
      </c>
      <c r="D267" s="175">
        <v>223.83190024772915</v>
      </c>
      <c r="E267" s="177">
        <v>1055826.45</v>
      </c>
      <c r="F267" s="178">
        <v>7139657.3899999997</v>
      </c>
      <c r="G267" s="178">
        <v>110912.22</v>
      </c>
      <c r="H267" s="178">
        <v>95862.07</v>
      </c>
      <c r="I267" s="178">
        <v>2201210.2600000002</v>
      </c>
      <c r="J267" s="178">
        <v>2240522.66</v>
      </c>
      <c r="K267" s="178">
        <v>534896.43999999994</v>
      </c>
      <c r="L267" s="178">
        <v>435564.18000000005</v>
      </c>
      <c r="M267" s="181">
        <v>1912.3663134599501</v>
      </c>
    </row>
    <row r="268" spans="1:13" x14ac:dyDescent="0.2">
      <c r="A268" s="13" t="s">
        <v>550</v>
      </c>
      <c r="B268" s="12">
        <v>2013</v>
      </c>
      <c r="C268" s="12" t="s">
        <v>551</v>
      </c>
      <c r="D268" s="175">
        <v>833.05769243085297</v>
      </c>
      <c r="E268" s="177">
        <v>5893555.7999999998</v>
      </c>
      <c r="F268" s="178">
        <v>31217009.920000002</v>
      </c>
      <c r="G268" s="178">
        <v>1599157.93</v>
      </c>
      <c r="H268" s="178">
        <v>133415.47</v>
      </c>
      <c r="I268" s="178">
        <v>9376149.0300000012</v>
      </c>
      <c r="J268" s="178">
        <v>11286750.25</v>
      </c>
      <c r="K268" s="178">
        <v>5118959.7300000023</v>
      </c>
      <c r="L268" s="178">
        <v>6558531.5100000026</v>
      </c>
      <c r="M268" s="181">
        <v>7123.7482684705601</v>
      </c>
    </row>
    <row r="269" spans="1:13" x14ac:dyDescent="0.2">
      <c r="A269" s="13" t="s">
        <v>552</v>
      </c>
      <c r="B269" s="12">
        <v>2013</v>
      </c>
      <c r="C269" s="12" t="s">
        <v>553</v>
      </c>
      <c r="D269" s="175">
        <v>141.20355913978494</v>
      </c>
      <c r="E269" s="177">
        <v>832448.63</v>
      </c>
      <c r="F269" s="178">
        <v>5716641.8399999999</v>
      </c>
      <c r="G269" s="178">
        <v>221227.56</v>
      </c>
      <c r="H269" s="178">
        <v>16289.59</v>
      </c>
      <c r="I269" s="178">
        <v>2094908.09</v>
      </c>
      <c r="J269" s="178">
        <v>2078706.1099999994</v>
      </c>
      <c r="K269" s="178">
        <v>396784.06000000006</v>
      </c>
      <c r="L269" s="178">
        <v>814041.12000000011</v>
      </c>
      <c r="M269" s="181">
        <v>1582.2351451612899</v>
      </c>
    </row>
    <row r="270" spans="1:13" x14ac:dyDescent="0.2">
      <c r="A270" s="13" t="s">
        <v>554</v>
      </c>
      <c r="B270" s="12">
        <v>2013</v>
      </c>
      <c r="C270" s="12" t="s">
        <v>555</v>
      </c>
      <c r="D270" s="175">
        <v>465.06247780019226</v>
      </c>
      <c r="E270" s="177">
        <v>2686844.83</v>
      </c>
      <c r="F270" s="178">
        <v>16616532.050000001</v>
      </c>
      <c r="G270" s="179">
        <v>627328.34</v>
      </c>
      <c r="H270" s="179">
        <v>82937.75</v>
      </c>
      <c r="I270" s="179">
        <v>4468911.5199999996</v>
      </c>
      <c r="J270" s="179">
        <v>6921333.3600000013</v>
      </c>
      <c r="K270" s="179">
        <v>1076020.6399999997</v>
      </c>
      <c r="L270" s="179">
        <v>2281302.4399999995</v>
      </c>
      <c r="M270" s="181">
        <v>3981.3408288870901</v>
      </c>
    </row>
    <row r="271" spans="1:13" x14ac:dyDescent="0.2">
      <c r="A271" s="13" t="s">
        <v>556</v>
      </c>
      <c r="B271" s="12">
        <v>2013</v>
      </c>
      <c r="C271" s="12" t="s">
        <v>557</v>
      </c>
      <c r="D271" s="175">
        <v>95.717490210702934</v>
      </c>
      <c r="E271" s="177">
        <v>657049.76</v>
      </c>
      <c r="F271" s="178">
        <v>5522518.0099999998</v>
      </c>
      <c r="G271" s="178">
        <v>175139.6</v>
      </c>
      <c r="H271" s="178">
        <v>27504.68</v>
      </c>
      <c r="I271" s="178">
        <v>2009844.45</v>
      </c>
      <c r="J271" s="178">
        <v>2295352.5900000003</v>
      </c>
      <c r="K271" s="178">
        <v>279703.86</v>
      </c>
      <c r="L271" s="178">
        <v>786743.7799999998</v>
      </c>
      <c r="M271" s="181">
        <v>1156.9767928398301</v>
      </c>
    </row>
    <row r="272" spans="1:13" x14ac:dyDescent="0.2">
      <c r="A272" s="13" t="s">
        <v>558</v>
      </c>
      <c r="B272" s="12">
        <v>2013</v>
      </c>
      <c r="C272" s="12" t="s">
        <v>559</v>
      </c>
      <c r="D272" s="175">
        <v>207.63735270379334</v>
      </c>
      <c r="E272" s="177">
        <v>584586.06000000006</v>
      </c>
      <c r="F272" s="178">
        <v>5594617.6799999997</v>
      </c>
      <c r="G272" s="179">
        <v>103301.52</v>
      </c>
      <c r="H272" s="179">
        <v>22492.32</v>
      </c>
      <c r="I272" s="179">
        <v>1502963.31</v>
      </c>
      <c r="J272" s="179">
        <v>1715259.8100000005</v>
      </c>
      <c r="K272" s="179">
        <v>147875.40000000002</v>
      </c>
      <c r="L272" s="179">
        <v>679551.15999999992</v>
      </c>
      <c r="M272" s="181">
        <v>1436.11782082324</v>
      </c>
    </row>
    <row r="273" spans="1:13" x14ac:dyDescent="0.2">
      <c r="A273" s="13" t="s">
        <v>560</v>
      </c>
      <c r="B273" s="12">
        <v>2013</v>
      </c>
      <c r="C273" s="12" t="s">
        <v>561</v>
      </c>
      <c r="D273" s="175">
        <v>354.91439935322165</v>
      </c>
      <c r="E273" s="177">
        <v>1652966.21</v>
      </c>
      <c r="F273" s="178">
        <v>12473014.720000001</v>
      </c>
      <c r="G273" s="179">
        <v>240187.57</v>
      </c>
      <c r="H273" s="179">
        <v>277164.79999999999</v>
      </c>
      <c r="I273" s="179">
        <v>3871307.0400000005</v>
      </c>
      <c r="J273" s="179">
        <v>4759887.6700000009</v>
      </c>
      <c r="K273" s="179">
        <v>1413908.2999999996</v>
      </c>
      <c r="L273" s="179">
        <v>836653.14</v>
      </c>
      <c r="M273" s="181">
        <v>3459.5980985689998</v>
      </c>
    </row>
    <row r="274" spans="1:13" x14ac:dyDescent="0.2">
      <c r="A274" s="13" t="s">
        <v>562</v>
      </c>
      <c r="B274" s="12">
        <v>2013</v>
      </c>
      <c r="C274" s="12" t="s">
        <v>563</v>
      </c>
      <c r="D274" s="175">
        <v>172.13399204020874</v>
      </c>
      <c r="E274" s="183">
        <v>0</v>
      </c>
      <c r="F274" s="178">
        <v>5713292.7000000002</v>
      </c>
      <c r="G274" s="179">
        <v>64492.89</v>
      </c>
      <c r="H274" s="179">
        <v>8506.41</v>
      </c>
      <c r="I274" s="179">
        <v>1970250.5800000003</v>
      </c>
      <c r="J274" s="179">
        <v>2071386.0500000003</v>
      </c>
      <c r="K274" s="179">
        <v>240822.74000000005</v>
      </c>
      <c r="L274" s="179">
        <v>400587.36</v>
      </c>
      <c r="M274" s="181">
        <v>1618.18748742653</v>
      </c>
    </row>
    <row r="275" spans="1:13" x14ac:dyDescent="0.2">
      <c r="A275" s="13" t="s">
        <v>564</v>
      </c>
      <c r="B275" s="12">
        <v>2013</v>
      </c>
      <c r="C275" s="12" t="s">
        <v>565</v>
      </c>
      <c r="D275" s="175">
        <v>168.38246388443014</v>
      </c>
      <c r="E275" s="177">
        <v>823690.73</v>
      </c>
      <c r="F275" s="178">
        <v>6561583.2300000004</v>
      </c>
      <c r="G275" s="179">
        <v>357854.23</v>
      </c>
      <c r="H275" s="179">
        <v>0</v>
      </c>
      <c r="I275" s="179">
        <v>1540561.5499999998</v>
      </c>
      <c r="J275" s="179">
        <v>1482062.8200000003</v>
      </c>
      <c r="K275" s="179">
        <v>677886.97000000009</v>
      </c>
      <c r="L275" s="179">
        <v>816301.65000000014</v>
      </c>
      <c r="M275" s="181">
        <v>1815.37903499197</v>
      </c>
    </row>
    <row r="276" spans="1:13" x14ac:dyDescent="0.2">
      <c r="A276" s="13" t="s">
        <v>566</v>
      </c>
      <c r="B276" s="12">
        <v>2013</v>
      </c>
      <c r="C276" s="12" t="s">
        <v>567</v>
      </c>
      <c r="D276" s="175">
        <v>651.86033195544371</v>
      </c>
      <c r="E276" s="177">
        <v>6815065.0700000003</v>
      </c>
      <c r="F276" s="178">
        <v>23607254.010000002</v>
      </c>
      <c r="G276" s="178">
        <v>537533.75</v>
      </c>
      <c r="H276" s="178">
        <v>379568.15</v>
      </c>
      <c r="I276" s="178">
        <v>6789587.1900000013</v>
      </c>
      <c r="J276" s="178">
        <v>7445434.8499999996</v>
      </c>
      <c r="K276" s="178">
        <v>2905763.8700000006</v>
      </c>
      <c r="L276" s="178">
        <v>3239523.4200000018</v>
      </c>
      <c r="M276" s="181">
        <v>5426.2563832102096</v>
      </c>
    </row>
    <row r="277" spans="1:13" x14ac:dyDescent="0.2">
      <c r="A277" s="13" t="s">
        <v>568</v>
      </c>
      <c r="B277" s="12">
        <v>2013</v>
      </c>
      <c r="C277" s="12" t="s">
        <v>569</v>
      </c>
      <c r="D277" s="175">
        <v>253.15501088605001</v>
      </c>
      <c r="E277" s="177">
        <v>832018.97</v>
      </c>
      <c r="F277" s="178">
        <v>8188195.29</v>
      </c>
      <c r="G277" s="178">
        <v>147713.60999999999</v>
      </c>
      <c r="H277" s="178">
        <v>168218.19</v>
      </c>
      <c r="I277" s="178">
        <v>2823638.1500000004</v>
      </c>
      <c r="J277" s="178">
        <v>3254755.6399999987</v>
      </c>
      <c r="K277" s="178">
        <v>261939.66000000006</v>
      </c>
      <c r="L277" s="178">
        <v>1337218.6899999997</v>
      </c>
      <c r="M277" s="181">
        <v>1999.5318209603699</v>
      </c>
    </row>
    <row r="278" spans="1:13" x14ac:dyDescent="0.2">
      <c r="A278" s="13" t="s">
        <v>570</v>
      </c>
      <c r="B278" s="12">
        <v>2013</v>
      </c>
      <c r="C278" s="12" t="s">
        <v>571</v>
      </c>
      <c r="D278" s="175">
        <v>1395.2655342192693</v>
      </c>
      <c r="E278" s="177">
        <v>8074417.0199999996</v>
      </c>
      <c r="F278" s="178">
        <v>56032864.030000001</v>
      </c>
      <c r="G278" s="178">
        <v>1420025.5</v>
      </c>
      <c r="H278" s="178">
        <v>1402728.66</v>
      </c>
      <c r="I278" s="178">
        <v>16595128.899999999</v>
      </c>
      <c r="J278" s="178">
        <v>25287649.940000005</v>
      </c>
      <c r="K278" s="178">
        <v>7798229.0699999938</v>
      </c>
      <c r="L278" s="178">
        <v>8821667.9000000022</v>
      </c>
      <c r="M278" s="181">
        <v>16180.9981129997</v>
      </c>
    </row>
    <row r="279" spans="1:13" x14ac:dyDescent="0.2">
      <c r="A279" s="13" t="s">
        <v>572</v>
      </c>
      <c r="B279" s="12">
        <v>2013</v>
      </c>
      <c r="C279" s="12" t="s">
        <v>573</v>
      </c>
      <c r="D279" s="175">
        <v>125.51241258493624</v>
      </c>
      <c r="E279" s="177">
        <v>533007.57999999996</v>
      </c>
      <c r="F279" s="178">
        <v>3368538.23</v>
      </c>
      <c r="G279" s="179">
        <v>102824.22</v>
      </c>
      <c r="H279" s="179">
        <v>505.72</v>
      </c>
      <c r="I279" s="179">
        <v>1454703.81</v>
      </c>
      <c r="J279" s="179">
        <v>1695818.0300000003</v>
      </c>
      <c r="K279" s="179">
        <v>611690.92999999993</v>
      </c>
      <c r="L279" s="179">
        <v>355707.25999999995</v>
      </c>
      <c r="M279" s="181">
        <v>976.80475463790401</v>
      </c>
    </row>
    <row r="280" spans="1:13" x14ac:dyDescent="0.2">
      <c r="A280" s="13" t="s">
        <v>574</v>
      </c>
      <c r="B280" s="12">
        <v>2013</v>
      </c>
      <c r="C280" s="12" t="s">
        <v>575</v>
      </c>
      <c r="D280" s="175">
        <v>632.67654972852006</v>
      </c>
      <c r="E280" s="177">
        <v>4061834.23</v>
      </c>
      <c r="F280" s="178">
        <v>19866392.399999999</v>
      </c>
      <c r="G280" s="178">
        <v>862698.11</v>
      </c>
      <c r="H280" s="178">
        <v>5795</v>
      </c>
      <c r="I280" s="178">
        <v>7138453.8099999949</v>
      </c>
      <c r="J280" s="178">
        <v>6515515.0400000019</v>
      </c>
      <c r="K280" s="178">
        <v>2931562.7499999995</v>
      </c>
      <c r="L280" s="178">
        <v>3180348.919999999</v>
      </c>
      <c r="M280" s="181">
        <v>5899.5984714579199</v>
      </c>
    </row>
    <row r="281" spans="1:13" x14ac:dyDescent="0.2">
      <c r="A281" s="13" t="s">
        <v>576</v>
      </c>
      <c r="B281" s="12">
        <v>2013</v>
      </c>
      <c r="C281" s="12" t="s">
        <v>577</v>
      </c>
      <c r="D281" s="175">
        <v>538.26375552092645</v>
      </c>
      <c r="E281" s="177">
        <v>2402808.5099999998</v>
      </c>
      <c r="F281" s="178">
        <v>17052850.18</v>
      </c>
      <c r="G281" s="178">
        <v>487637.97</v>
      </c>
      <c r="H281" s="178">
        <v>68522.38</v>
      </c>
      <c r="I281" s="178">
        <v>4660487.3499999996</v>
      </c>
      <c r="J281" s="178">
        <v>8008858.959999999</v>
      </c>
      <c r="K281" s="178">
        <v>2284265.6799999988</v>
      </c>
      <c r="L281" s="178">
        <v>2220269.6099999994</v>
      </c>
      <c r="M281" s="181">
        <v>5446.7463709121002</v>
      </c>
    </row>
    <row r="282" spans="1:13" x14ac:dyDescent="0.2">
      <c r="A282" s="13" t="s">
        <v>578</v>
      </c>
      <c r="B282" s="12">
        <v>2013</v>
      </c>
      <c r="C282" s="12" t="s">
        <v>579</v>
      </c>
      <c r="D282" s="175">
        <v>51.006589343965196</v>
      </c>
      <c r="E282" s="177">
        <v>155653.71</v>
      </c>
      <c r="F282" s="178">
        <v>1783907.33</v>
      </c>
      <c r="G282" s="178">
        <v>15077.88</v>
      </c>
      <c r="H282" s="178">
        <v>0</v>
      </c>
      <c r="I282" s="178">
        <v>970341.14999999991</v>
      </c>
      <c r="J282" s="178">
        <v>945417.91000000015</v>
      </c>
      <c r="K282" s="178">
        <v>59439.610000000008</v>
      </c>
      <c r="L282" s="178">
        <v>231785.48000000004</v>
      </c>
      <c r="M282" s="181">
        <v>524.47262595143195</v>
      </c>
    </row>
    <row r="283" spans="1:13" x14ac:dyDescent="0.2">
      <c r="A283" s="13" t="s">
        <v>580</v>
      </c>
      <c r="B283" s="12">
        <v>2013</v>
      </c>
      <c r="C283" s="12" t="s">
        <v>581</v>
      </c>
      <c r="D283" s="175">
        <v>138.90625549244456</v>
      </c>
      <c r="E283" s="177">
        <v>359367.87</v>
      </c>
      <c r="F283" s="178">
        <v>2345410.67</v>
      </c>
      <c r="G283" s="179">
        <v>59219.08</v>
      </c>
      <c r="H283" s="179">
        <v>21021.200000000001</v>
      </c>
      <c r="I283" s="179">
        <v>815878.40000000014</v>
      </c>
      <c r="J283" s="179">
        <v>896461.96000000008</v>
      </c>
      <c r="K283" s="179">
        <v>238138.96</v>
      </c>
      <c r="L283" s="179">
        <v>426441.02999999991</v>
      </c>
      <c r="M283" s="181">
        <v>768.59564248204902</v>
      </c>
    </row>
    <row r="284" spans="1:13" x14ac:dyDescent="0.2">
      <c r="A284" s="13" t="s">
        <v>582</v>
      </c>
      <c r="B284" s="12">
        <v>2013</v>
      </c>
      <c r="C284" s="12" t="s">
        <v>583</v>
      </c>
      <c r="D284" s="175">
        <v>100.3956177429112</v>
      </c>
      <c r="E284" s="177">
        <v>405275.88</v>
      </c>
      <c r="F284" s="178">
        <v>2438655.2200000002</v>
      </c>
      <c r="G284" s="179">
        <v>57104.480000000003</v>
      </c>
      <c r="H284" s="179">
        <v>14031.06</v>
      </c>
      <c r="I284" s="179">
        <v>759703.28000000014</v>
      </c>
      <c r="J284" s="179">
        <v>816591.32</v>
      </c>
      <c r="K284" s="179">
        <v>126883.79999999999</v>
      </c>
      <c r="L284" s="179">
        <v>75228.350000000006</v>
      </c>
      <c r="M284" s="181">
        <v>622.57244560232596</v>
      </c>
    </row>
    <row r="285" spans="1:13" x14ac:dyDescent="0.2">
      <c r="A285" s="13" t="s">
        <v>584</v>
      </c>
      <c r="B285" s="12">
        <v>2013</v>
      </c>
      <c r="C285" s="12" t="s">
        <v>585</v>
      </c>
      <c r="D285" s="175">
        <v>317.8371855744835</v>
      </c>
      <c r="E285" s="177">
        <v>1500315.81</v>
      </c>
      <c r="F285" s="178">
        <v>8531847.8800000008</v>
      </c>
      <c r="G285" s="179">
        <v>247713.38</v>
      </c>
      <c r="H285" s="179">
        <v>6890.01</v>
      </c>
      <c r="I285" s="179">
        <v>2160105.0099999998</v>
      </c>
      <c r="J285" s="179">
        <v>2953797.9899999998</v>
      </c>
      <c r="K285" s="179">
        <v>529728.80999999994</v>
      </c>
      <c r="L285" s="179">
        <v>1035228.7699999998</v>
      </c>
      <c r="M285" s="181">
        <v>2441.78763863719</v>
      </c>
    </row>
    <row r="286" spans="1:13" x14ac:dyDescent="0.2">
      <c r="A286" s="13" t="s">
        <v>586</v>
      </c>
      <c r="B286" s="12">
        <v>2013</v>
      </c>
      <c r="C286" s="12" t="s">
        <v>587</v>
      </c>
      <c r="D286" s="175">
        <v>163.07022617723399</v>
      </c>
      <c r="E286" s="177">
        <v>145967.19</v>
      </c>
      <c r="F286" s="178">
        <v>4723584.8600000003</v>
      </c>
      <c r="G286" s="178">
        <v>119203.21</v>
      </c>
      <c r="H286" s="178">
        <v>22551.96</v>
      </c>
      <c r="I286" s="178">
        <v>1524435.23</v>
      </c>
      <c r="J286" s="178">
        <v>1368850.28</v>
      </c>
      <c r="K286" s="178">
        <v>372090.28</v>
      </c>
      <c r="L286" s="178">
        <v>714133.59000000008</v>
      </c>
      <c r="M286" s="181">
        <v>1106.92667161043</v>
      </c>
    </row>
    <row r="287" spans="1:13" x14ac:dyDescent="0.2">
      <c r="A287" s="13" t="s">
        <v>588</v>
      </c>
      <c r="B287" s="12">
        <v>2013</v>
      </c>
      <c r="C287" s="12" t="s">
        <v>589</v>
      </c>
      <c r="D287" s="175">
        <v>146.07186596945098</v>
      </c>
      <c r="E287" s="177">
        <v>322458.59000000003</v>
      </c>
      <c r="F287" s="178">
        <v>4783195.93</v>
      </c>
      <c r="G287" s="179">
        <v>40527.120000000003</v>
      </c>
      <c r="H287" s="179">
        <v>3932.01</v>
      </c>
      <c r="I287" s="179">
        <v>1762819.5500000003</v>
      </c>
      <c r="J287" s="179">
        <v>1817282.73</v>
      </c>
      <c r="K287" s="179">
        <v>371514.98000000004</v>
      </c>
      <c r="L287" s="179">
        <v>590280.13</v>
      </c>
      <c r="M287" s="181">
        <v>1285.11473235173</v>
      </c>
    </row>
    <row r="288" spans="1:13" x14ac:dyDescent="0.2">
      <c r="A288" s="13" t="s">
        <v>590</v>
      </c>
      <c r="B288" s="12">
        <v>2013</v>
      </c>
      <c r="C288" s="12" t="s">
        <v>591</v>
      </c>
      <c r="D288" s="175">
        <v>191.53696737743758</v>
      </c>
      <c r="E288" s="177">
        <v>761047.11</v>
      </c>
      <c r="F288" s="178">
        <v>4404733.93</v>
      </c>
      <c r="G288" s="178">
        <v>133535.23000000001</v>
      </c>
      <c r="H288" s="178">
        <v>17645.189999999999</v>
      </c>
      <c r="I288" s="178">
        <v>1643789.4300000002</v>
      </c>
      <c r="J288" s="178">
        <v>2258059.6900000004</v>
      </c>
      <c r="K288" s="178">
        <v>294484.03000000003</v>
      </c>
      <c r="L288" s="178">
        <v>706645.04999999993</v>
      </c>
      <c r="M288" s="181">
        <v>1412.03002733734</v>
      </c>
    </row>
    <row r="289" spans="1:13" x14ac:dyDescent="0.2">
      <c r="A289" s="13" t="s">
        <v>592</v>
      </c>
      <c r="B289" s="12">
        <v>2013</v>
      </c>
      <c r="C289" s="12" t="s">
        <v>593</v>
      </c>
      <c r="D289" s="175">
        <v>113.44143821669704</v>
      </c>
      <c r="E289" s="177">
        <v>784047.94</v>
      </c>
      <c r="F289" s="178">
        <v>4748699.0199999996</v>
      </c>
      <c r="G289" s="178">
        <v>201946.35</v>
      </c>
      <c r="H289" s="178">
        <v>23750.14</v>
      </c>
      <c r="I289" s="178">
        <v>1697861.0899999999</v>
      </c>
      <c r="J289" s="178">
        <v>1240811.4299999997</v>
      </c>
      <c r="K289" s="178">
        <v>290862.53999999998</v>
      </c>
      <c r="L289" s="178">
        <v>420318.24</v>
      </c>
      <c r="M289" s="181">
        <v>1296.5107467795499</v>
      </c>
    </row>
    <row r="290" spans="1:13" x14ac:dyDescent="0.2">
      <c r="A290" s="13" t="s">
        <v>594</v>
      </c>
      <c r="B290" s="12">
        <v>2013</v>
      </c>
      <c r="C290" s="12" t="s">
        <v>595</v>
      </c>
      <c r="D290" s="175">
        <v>328.34743023791316</v>
      </c>
      <c r="E290" s="177">
        <v>1894743.97</v>
      </c>
      <c r="F290" s="178">
        <v>11410871.09</v>
      </c>
      <c r="G290" s="178">
        <v>179871.02</v>
      </c>
      <c r="H290" s="178">
        <v>0</v>
      </c>
      <c r="I290" s="178">
        <v>3063560.69</v>
      </c>
      <c r="J290" s="178">
        <v>5037894.7200000007</v>
      </c>
      <c r="K290" s="178">
        <v>1411772.6500000004</v>
      </c>
      <c r="L290" s="178">
        <v>1476018.4299999997</v>
      </c>
      <c r="M290" s="181">
        <v>3615.4560876952901</v>
      </c>
    </row>
    <row r="291" spans="1:13" x14ac:dyDescent="0.2">
      <c r="A291" s="13" t="s">
        <v>596</v>
      </c>
      <c r="B291" s="12">
        <v>2013</v>
      </c>
      <c r="C291" s="12" t="s">
        <v>597</v>
      </c>
      <c r="D291" s="175">
        <v>150.38374044378148</v>
      </c>
      <c r="E291" s="177">
        <v>560907.18000000005</v>
      </c>
      <c r="F291" s="178">
        <v>6460625.0099999998</v>
      </c>
      <c r="G291" s="178">
        <v>308605.06</v>
      </c>
      <c r="H291" s="178">
        <v>519435.37</v>
      </c>
      <c r="I291" s="178">
        <v>2857298.8200000003</v>
      </c>
      <c r="J291" s="178">
        <v>3141740.8700000006</v>
      </c>
      <c r="K291" s="178">
        <v>774786.6399999999</v>
      </c>
      <c r="L291" s="178">
        <v>414793.53</v>
      </c>
      <c r="M291" s="181">
        <v>2065.0002051090801</v>
      </c>
    </row>
    <row r="292" spans="1:13" x14ac:dyDescent="0.2">
      <c r="A292" s="13" t="s">
        <v>598</v>
      </c>
      <c r="B292" s="12">
        <v>2013</v>
      </c>
      <c r="C292" s="12" t="s">
        <v>599</v>
      </c>
      <c r="D292" s="175">
        <v>584.89870509607397</v>
      </c>
      <c r="E292" s="177">
        <v>2989158.49</v>
      </c>
      <c r="F292" s="178">
        <v>13614119.48</v>
      </c>
      <c r="G292" s="178">
        <v>252824.61</v>
      </c>
      <c r="H292" s="178">
        <v>133538.32999999999</v>
      </c>
      <c r="I292" s="178">
        <v>4305314.4300000016</v>
      </c>
      <c r="J292" s="178">
        <v>4982989.6399999969</v>
      </c>
      <c r="K292" s="178">
        <v>1363911.7600000005</v>
      </c>
      <c r="L292" s="178">
        <v>2701196.580000001</v>
      </c>
      <c r="M292" s="181">
        <v>3809.1817418546402</v>
      </c>
    </row>
    <row r="293" spans="1:13" x14ac:dyDescent="0.2">
      <c r="A293" s="13" t="s">
        <v>600</v>
      </c>
      <c r="B293" s="12">
        <v>2013</v>
      </c>
      <c r="C293" s="12" t="s">
        <v>601</v>
      </c>
      <c r="D293" s="175">
        <v>121.00984061804925</v>
      </c>
      <c r="E293" s="177">
        <v>571155.52</v>
      </c>
      <c r="F293" s="178">
        <v>3096673.55</v>
      </c>
      <c r="G293" s="179">
        <v>205936.13</v>
      </c>
      <c r="H293" s="179">
        <v>4912.1400000000003</v>
      </c>
      <c r="I293" s="179">
        <v>1020054.7700000001</v>
      </c>
      <c r="J293" s="179">
        <v>967181.08000000007</v>
      </c>
      <c r="K293" s="179">
        <v>200502.22</v>
      </c>
      <c r="L293" s="179">
        <v>169944.03000000003</v>
      </c>
      <c r="M293" s="181">
        <v>921.61633996503599</v>
      </c>
    </row>
    <row r="294" spans="1:13" x14ac:dyDescent="0.2">
      <c r="A294" s="13" t="s">
        <v>602</v>
      </c>
      <c r="B294" s="12">
        <v>2013</v>
      </c>
      <c r="C294" s="12" t="s">
        <v>603</v>
      </c>
      <c r="D294" s="175">
        <v>125.73714285714284</v>
      </c>
      <c r="E294" s="177">
        <v>447122.4</v>
      </c>
      <c r="F294" s="178">
        <v>3359288.94</v>
      </c>
      <c r="G294" s="178">
        <v>114460</v>
      </c>
      <c r="H294" s="178">
        <v>0</v>
      </c>
      <c r="I294" s="178">
        <v>1163990.02</v>
      </c>
      <c r="J294" s="178">
        <v>1001484.08</v>
      </c>
      <c r="K294" s="178">
        <v>178868.12000000002</v>
      </c>
      <c r="L294" s="178">
        <v>555023.93999999994</v>
      </c>
      <c r="M294" s="181">
        <v>927.76857142857102</v>
      </c>
    </row>
    <row r="295" spans="1:13" x14ac:dyDescent="0.2">
      <c r="A295" s="13" t="s">
        <v>604</v>
      </c>
      <c r="B295" s="12">
        <v>2013</v>
      </c>
      <c r="C295" s="12" t="s">
        <v>605</v>
      </c>
      <c r="D295" s="175">
        <v>370.90002153196968</v>
      </c>
      <c r="E295" s="177">
        <v>1522168.05</v>
      </c>
      <c r="F295" s="178">
        <v>12453064.289999999</v>
      </c>
      <c r="G295" s="179">
        <v>136571.35999999999</v>
      </c>
      <c r="H295" s="179">
        <v>30944.799999999999</v>
      </c>
      <c r="I295" s="179">
        <v>3893673.2199999997</v>
      </c>
      <c r="J295" s="179">
        <v>5419376.4799999986</v>
      </c>
      <c r="K295" s="179">
        <v>210279.1</v>
      </c>
      <c r="L295" s="179">
        <v>1026959.67</v>
      </c>
      <c r="M295" s="181">
        <v>3726.5222211210398</v>
      </c>
    </row>
    <row r="296" spans="1:13" x14ac:dyDescent="0.2">
      <c r="A296" s="13" t="s">
        <v>606</v>
      </c>
      <c r="B296" s="12">
        <v>2013</v>
      </c>
      <c r="C296" s="12" t="s">
        <v>607</v>
      </c>
      <c r="D296" s="175">
        <v>75.881384065372856</v>
      </c>
      <c r="E296" s="177">
        <v>213758.35</v>
      </c>
      <c r="F296" s="178">
        <v>2484148.36</v>
      </c>
      <c r="G296" s="178">
        <v>35810.01</v>
      </c>
      <c r="H296" s="178">
        <v>430.76</v>
      </c>
      <c r="I296" s="178">
        <v>1521137.27</v>
      </c>
      <c r="J296" s="178">
        <v>1036174.92</v>
      </c>
      <c r="K296" s="178">
        <v>200307.71000000002</v>
      </c>
      <c r="L296" s="178">
        <v>356924.95</v>
      </c>
      <c r="M296" s="181">
        <v>607.67990296220603</v>
      </c>
    </row>
    <row r="297" spans="1:13" x14ac:dyDescent="0.2">
      <c r="A297" s="13" t="s">
        <v>608</v>
      </c>
      <c r="B297" s="12">
        <v>2013</v>
      </c>
      <c r="C297" s="12" t="s">
        <v>609</v>
      </c>
      <c r="D297" s="175">
        <v>313.70606217726748</v>
      </c>
      <c r="E297" s="177">
        <v>1288199.3799999999</v>
      </c>
      <c r="F297" s="178">
        <v>7587676.8899999997</v>
      </c>
      <c r="G297" s="179">
        <v>169555.82</v>
      </c>
      <c r="H297" s="179">
        <v>243.74</v>
      </c>
      <c r="I297" s="179">
        <v>2107143.2000000002</v>
      </c>
      <c r="J297" s="179">
        <v>3367724.4700000007</v>
      </c>
      <c r="K297" s="179">
        <v>507105.07999999996</v>
      </c>
      <c r="L297" s="179">
        <v>867348.21000000008</v>
      </c>
      <c r="M297" s="181">
        <v>1940.0603603669299</v>
      </c>
    </row>
    <row r="298" spans="1:13" x14ac:dyDescent="0.2">
      <c r="A298" s="13" t="s">
        <v>610</v>
      </c>
      <c r="B298" s="12">
        <v>2013</v>
      </c>
      <c r="C298" s="12" t="s">
        <v>611</v>
      </c>
      <c r="D298" s="175">
        <v>663.0627863239738</v>
      </c>
      <c r="E298" s="177">
        <v>2735959.01</v>
      </c>
      <c r="F298" s="178">
        <v>13261329.449999999</v>
      </c>
      <c r="G298" s="178">
        <v>123215.08</v>
      </c>
      <c r="H298" s="178">
        <v>5522.13</v>
      </c>
      <c r="I298" s="178">
        <v>3981311.46</v>
      </c>
      <c r="J298" s="178">
        <v>6152708.6100000003</v>
      </c>
      <c r="K298" s="178">
        <v>1677536.5200000003</v>
      </c>
      <c r="L298" s="178">
        <v>2310924.6099999985</v>
      </c>
      <c r="M298" s="181">
        <v>3996.74810930282</v>
      </c>
    </row>
    <row r="299" spans="1:13" x14ac:dyDescent="0.2">
      <c r="A299" s="13" t="s">
        <v>612</v>
      </c>
      <c r="B299" s="12">
        <v>2013</v>
      </c>
      <c r="C299" s="12" t="s">
        <v>613</v>
      </c>
      <c r="D299" s="175">
        <v>192.35699413107855</v>
      </c>
      <c r="E299" s="177">
        <v>1249227.94</v>
      </c>
      <c r="F299" s="178">
        <v>6504015.8799999999</v>
      </c>
      <c r="G299" s="178">
        <v>142628.57</v>
      </c>
      <c r="H299" s="178">
        <v>216864.36</v>
      </c>
      <c r="I299" s="178">
        <v>2490305.7699999996</v>
      </c>
      <c r="J299" s="178">
        <v>2424459.290000001</v>
      </c>
      <c r="K299" s="178">
        <v>605923.67999999993</v>
      </c>
      <c r="L299" s="178">
        <v>874504.21999999962</v>
      </c>
      <c r="M299" s="181">
        <v>1927.48318073836</v>
      </c>
    </row>
    <row r="300" spans="1:13" x14ac:dyDescent="0.2">
      <c r="A300" s="13" t="s">
        <v>614</v>
      </c>
      <c r="B300" s="12">
        <v>2013</v>
      </c>
      <c r="C300" s="12" t="s">
        <v>615</v>
      </c>
      <c r="D300" s="175">
        <v>1226.7861907114625</v>
      </c>
      <c r="E300" s="177">
        <v>7062295.0599999996</v>
      </c>
      <c r="F300" s="178">
        <v>25069617.920000002</v>
      </c>
      <c r="G300" s="178">
        <v>657615.05000000005</v>
      </c>
      <c r="H300" s="178">
        <v>83694.649999999994</v>
      </c>
      <c r="I300" s="178">
        <v>9434043.9500000011</v>
      </c>
      <c r="J300" s="178">
        <v>9997330.0399999972</v>
      </c>
      <c r="K300" s="178">
        <v>1465263.3099999996</v>
      </c>
      <c r="L300" s="178">
        <v>2761080.9999999995</v>
      </c>
      <c r="M300" s="181">
        <v>6744.6476926877504</v>
      </c>
    </row>
    <row r="301" spans="1:13" x14ac:dyDescent="0.2">
      <c r="A301" s="13" t="s">
        <v>616</v>
      </c>
      <c r="B301" s="12">
        <v>2013</v>
      </c>
      <c r="C301" s="12" t="s">
        <v>617</v>
      </c>
      <c r="D301" s="175">
        <v>50.318278305737898</v>
      </c>
      <c r="E301" s="183">
        <v>0</v>
      </c>
      <c r="F301" s="178">
        <v>2325947.6</v>
      </c>
      <c r="G301" s="179">
        <v>82339.19</v>
      </c>
      <c r="H301" s="179">
        <v>14062.79</v>
      </c>
      <c r="I301" s="179">
        <v>1017805.55</v>
      </c>
      <c r="J301" s="179">
        <v>815015.22000000009</v>
      </c>
      <c r="K301" s="179">
        <v>11895</v>
      </c>
      <c r="L301" s="179">
        <v>124835.72999999998</v>
      </c>
      <c r="M301" s="181">
        <v>511.29967146269399</v>
      </c>
    </row>
    <row r="302" spans="1:13" x14ac:dyDescent="0.2">
      <c r="A302" s="13" t="s">
        <v>618</v>
      </c>
      <c r="B302" s="12">
        <v>2013</v>
      </c>
      <c r="C302" s="12" t="s">
        <v>619</v>
      </c>
      <c r="D302" s="175">
        <v>169.45369288999314</v>
      </c>
      <c r="E302" s="177">
        <v>667396.21</v>
      </c>
      <c r="F302" s="178">
        <v>4241132.8499999996</v>
      </c>
      <c r="G302" s="178">
        <v>243835.51</v>
      </c>
      <c r="H302" s="178">
        <v>244547.43</v>
      </c>
      <c r="I302" s="178">
        <v>1576816.2599999998</v>
      </c>
      <c r="J302" s="178">
        <v>1602289.9000000001</v>
      </c>
      <c r="K302" s="178">
        <v>862996.34999999986</v>
      </c>
      <c r="L302" s="178">
        <v>510732.11000000004</v>
      </c>
      <c r="M302" s="181">
        <v>1173.8963663868601</v>
      </c>
    </row>
    <row r="303" spans="1:13" x14ac:dyDescent="0.2">
      <c r="A303" s="13" t="s">
        <v>620</v>
      </c>
      <c r="B303" s="12">
        <v>2013</v>
      </c>
      <c r="C303" s="12" t="s">
        <v>621</v>
      </c>
      <c r="D303" s="175">
        <v>343.29250000000008</v>
      </c>
      <c r="E303" s="177">
        <v>1186542.25</v>
      </c>
      <c r="F303" s="178">
        <v>10986971.18</v>
      </c>
      <c r="G303" s="179">
        <v>128740.35</v>
      </c>
      <c r="H303" s="179">
        <v>330</v>
      </c>
      <c r="I303" s="179">
        <v>2736134.21</v>
      </c>
      <c r="J303" s="179">
        <v>3447446.5599999996</v>
      </c>
      <c r="K303" s="179">
        <v>660622.9800000001</v>
      </c>
      <c r="L303" s="179">
        <v>1321920.0999999999</v>
      </c>
      <c r="M303" s="181">
        <v>3111.7033522727302</v>
      </c>
    </row>
    <row r="304" spans="1:13" x14ac:dyDescent="0.2">
      <c r="A304" s="13" t="s">
        <v>622</v>
      </c>
      <c r="B304" s="12">
        <v>2013</v>
      </c>
      <c r="C304" s="12" t="s">
        <v>623</v>
      </c>
      <c r="D304" s="175">
        <v>458.92178571428576</v>
      </c>
      <c r="E304" s="177">
        <v>2345098.77</v>
      </c>
      <c r="F304" s="178">
        <v>18841141.829999998</v>
      </c>
      <c r="G304" s="178">
        <v>383983.74</v>
      </c>
      <c r="H304" s="178">
        <v>0</v>
      </c>
      <c r="I304" s="178">
        <v>4906306.0600000005</v>
      </c>
      <c r="J304" s="178">
        <v>5556809.1799999997</v>
      </c>
      <c r="K304" s="178">
        <v>1000774.7899999998</v>
      </c>
      <c r="L304" s="178">
        <v>2535875.2399999988</v>
      </c>
      <c r="M304" s="181">
        <v>4504.8325392857096</v>
      </c>
    </row>
    <row r="305" spans="1:13" x14ac:dyDescent="0.2">
      <c r="A305" s="13" t="s">
        <v>624</v>
      </c>
      <c r="B305" s="12">
        <v>2013</v>
      </c>
      <c r="C305" s="12" t="s">
        <v>625</v>
      </c>
      <c r="D305" s="175">
        <v>70.63811625838791</v>
      </c>
      <c r="E305" s="177">
        <v>129103.63</v>
      </c>
      <c r="F305" s="178">
        <v>1979710.95</v>
      </c>
      <c r="G305" s="178">
        <v>69724.479999999996</v>
      </c>
      <c r="H305" s="179">
        <v>10393.76</v>
      </c>
      <c r="I305" s="179">
        <v>935923.4</v>
      </c>
      <c r="J305" s="179">
        <v>484009.01</v>
      </c>
      <c r="K305" s="179">
        <v>266457.95</v>
      </c>
      <c r="L305" s="179">
        <v>79029.960000000006</v>
      </c>
      <c r="M305" s="181">
        <v>607.26352979222304</v>
      </c>
    </row>
    <row r="306" spans="1:13" x14ac:dyDescent="0.2">
      <c r="A306" s="13" t="s">
        <v>626</v>
      </c>
      <c r="B306" s="12">
        <v>2013</v>
      </c>
      <c r="C306" s="12" t="s">
        <v>627</v>
      </c>
      <c r="D306" s="175">
        <v>48.835475671271247</v>
      </c>
      <c r="E306" s="177">
        <v>274204.96000000002</v>
      </c>
      <c r="F306" s="178">
        <v>2098805.5299999998</v>
      </c>
      <c r="G306" s="179">
        <v>72536.31</v>
      </c>
      <c r="H306" s="179">
        <v>833.64</v>
      </c>
      <c r="I306" s="179">
        <v>762134.17</v>
      </c>
      <c r="J306" s="179">
        <v>777584.19</v>
      </c>
      <c r="K306" s="179">
        <v>271740.62999999989</v>
      </c>
      <c r="L306" s="179">
        <v>131776.51</v>
      </c>
      <c r="M306" s="181">
        <v>583.59605753067899</v>
      </c>
    </row>
    <row r="307" spans="1:13" x14ac:dyDescent="0.2">
      <c r="A307" s="13" t="s">
        <v>628</v>
      </c>
      <c r="B307" s="12">
        <v>2013</v>
      </c>
      <c r="C307" s="12" t="s">
        <v>629</v>
      </c>
      <c r="D307" s="175">
        <v>166.14292316698808</v>
      </c>
      <c r="E307" s="177">
        <v>766035.02</v>
      </c>
      <c r="F307" s="178">
        <v>4326208.2300000004</v>
      </c>
      <c r="G307" s="178">
        <v>102225.75</v>
      </c>
      <c r="H307" s="178">
        <v>81476.83</v>
      </c>
      <c r="I307" s="178">
        <v>1376121.27</v>
      </c>
      <c r="J307" s="178">
        <v>1885622.43</v>
      </c>
      <c r="K307" s="178">
        <v>706460.45999999973</v>
      </c>
      <c r="L307" s="178">
        <v>323688.59999999992</v>
      </c>
      <c r="M307" s="181">
        <v>1212.07997264955</v>
      </c>
    </row>
    <row r="308" spans="1:13" x14ac:dyDescent="0.2">
      <c r="A308" s="13" t="s">
        <v>630</v>
      </c>
      <c r="B308" s="12">
        <v>2013</v>
      </c>
      <c r="C308" s="12" t="s">
        <v>631</v>
      </c>
      <c r="D308" s="175">
        <v>410.15360263476271</v>
      </c>
      <c r="E308" s="177">
        <v>2212718.44</v>
      </c>
      <c r="F308" s="178">
        <v>13079816.98</v>
      </c>
      <c r="G308" s="178">
        <v>444227.34</v>
      </c>
      <c r="H308" s="179">
        <v>306521.11</v>
      </c>
      <c r="I308" s="179">
        <v>4082081.8400000008</v>
      </c>
      <c r="J308" s="179">
        <v>5104746.5699999984</v>
      </c>
      <c r="K308" s="179">
        <v>1805381.9700000004</v>
      </c>
      <c r="L308" s="179">
        <v>2208648.25</v>
      </c>
      <c r="M308" s="181">
        <v>3686.6884455940599</v>
      </c>
    </row>
    <row r="309" spans="1:13" x14ac:dyDescent="0.2">
      <c r="A309" s="13" t="s">
        <v>632</v>
      </c>
      <c r="B309" s="12">
        <v>2013</v>
      </c>
      <c r="C309" s="12" t="s">
        <v>633</v>
      </c>
      <c r="D309" s="175">
        <v>135.94808104422364</v>
      </c>
      <c r="E309" s="177">
        <v>896841.33</v>
      </c>
      <c r="F309" s="178">
        <v>7398038.4299999997</v>
      </c>
      <c r="G309" s="178">
        <v>77575.649999999994</v>
      </c>
      <c r="H309" s="178">
        <v>15047</v>
      </c>
      <c r="I309" s="178">
        <v>2592683.0900000003</v>
      </c>
      <c r="J309" s="178">
        <v>2301127.98</v>
      </c>
      <c r="K309" s="178">
        <v>199300.93000000002</v>
      </c>
      <c r="L309" s="178">
        <v>889623.69000000006</v>
      </c>
      <c r="M309" s="181">
        <v>1371.64211961816</v>
      </c>
    </row>
    <row r="310" spans="1:13" x14ac:dyDescent="0.2">
      <c r="A310" s="13" t="s">
        <v>634</v>
      </c>
      <c r="B310" s="12">
        <v>2013</v>
      </c>
      <c r="C310" s="12" t="s">
        <v>635</v>
      </c>
      <c r="D310" s="175">
        <v>149.66831460674152</v>
      </c>
      <c r="E310" s="177">
        <v>635513.44999999995</v>
      </c>
      <c r="F310" s="178">
        <v>5105773.87</v>
      </c>
      <c r="G310" s="178">
        <v>103913.29</v>
      </c>
      <c r="H310" s="178">
        <v>4264.99</v>
      </c>
      <c r="I310" s="178">
        <v>1643878.0399999998</v>
      </c>
      <c r="J310" s="178">
        <v>2579959.7399999998</v>
      </c>
      <c r="K310" s="178">
        <v>455313.00000000006</v>
      </c>
      <c r="L310" s="178">
        <v>688956.17999999982</v>
      </c>
      <c r="M310" s="181">
        <v>1496.3241573033699</v>
      </c>
    </row>
    <row r="311" spans="1:13" x14ac:dyDescent="0.2">
      <c r="A311" s="13" t="s">
        <v>636</v>
      </c>
      <c r="B311" s="12">
        <v>2013</v>
      </c>
      <c r="C311" s="12" t="s">
        <v>637</v>
      </c>
      <c r="D311" s="175">
        <v>239.55659090909091</v>
      </c>
      <c r="E311" s="177">
        <v>1818459.05</v>
      </c>
      <c r="F311" s="178">
        <v>11330620.25</v>
      </c>
      <c r="G311" s="178">
        <v>226777.76</v>
      </c>
      <c r="H311" s="178">
        <v>0</v>
      </c>
      <c r="I311" s="178">
        <v>3384451.91</v>
      </c>
      <c r="J311" s="178">
        <v>2614287.8199999998</v>
      </c>
      <c r="K311" s="178">
        <v>167402.66</v>
      </c>
      <c r="L311" s="178">
        <v>1467616.7099999995</v>
      </c>
      <c r="M311" s="181">
        <v>3044.1735795454501</v>
      </c>
    </row>
    <row r="312" spans="1:13" x14ac:dyDescent="0.2">
      <c r="A312" s="13" t="s">
        <v>638</v>
      </c>
      <c r="B312" s="12">
        <v>2013</v>
      </c>
      <c r="C312" s="12" t="s">
        <v>639</v>
      </c>
      <c r="D312" s="175">
        <v>361.04100915643869</v>
      </c>
      <c r="E312" s="177">
        <v>2301429.2599999998</v>
      </c>
      <c r="F312" s="178">
        <v>11205049.48</v>
      </c>
      <c r="G312" s="179">
        <v>347545.94</v>
      </c>
      <c r="H312" s="179">
        <v>252523.35</v>
      </c>
      <c r="I312" s="179">
        <v>3458197.3099999996</v>
      </c>
      <c r="J312" s="179">
        <v>4231687.4399999995</v>
      </c>
      <c r="K312" s="179">
        <v>1015058.2599999995</v>
      </c>
      <c r="L312" s="179">
        <v>1049079.6500000001</v>
      </c>
      <c r="M312" s="181">
        <v>3008.52863501518</v>
      </c>
    </row>
    <row r="313" spans="1:13" x14ac:dyDescent="0.2">
      <c r="A313" s="13" t="s">
        <v>640</v>
      </c>
      <c r="B313" s="12">
        <v>2013</v>
      </c>
      <c r="C313" s="12" t="s">
        <v>641</v>
      </c>
      <c r="D313" s="175">
        <v>149.32557536572622</v>
      </c>
      <c r="E313" s="177">
        <v>572031.25</v>
      </c>
      <c r="F313" s="178">
        <v>4840161.74</v>
      </c>
      <c r="G313" s="178">
        <v>96434.3</v>
      </c>
      <c r="H313" s="179">
        <v>90753.95</v>
      </c>
      <c r="I313" s="179">
        <v>2175755.9899999998</v>
      </c>
      <c r="J313" s="179">
        <v>1856029.3999999997</v>
      </c>
      <c r="K313" s="179">
        <v>787177.90999999992</v>
      </c>
      <c r="L313" s="179">
        <v>509549.22000000015</v>
      </c>
      <c r="M313" s="181">
        <v>1275.89548132184</v>
      </c>
    </row>
    <row r="314" spans="1:13" x14ac:dyDescent="0.2">
      <c r="A314" s="13" t="s">
        <v>642</v>
      </c>
      <c r="B314" s="12">
        <v>2013</v>
      </c>
      <c r="C314" s="12" t="s">
        <v>643</v>
      </c>
      <c r="D314" s="175">
        <v>132.72122894445417</v>
      </c>
      <c r="E314" s="177">
        <v>628730.92000000004</v>
      </c>
      <c r="F314" s="178">
        <v>3030554.25</v>
      </c>
      <c r="G314" s="178">
        <v>102855.72</v>
      </c>
      <c r="H314" s="178">
        <v>42511.91</v>
      </c>
      <c r="I314" s="178">
        <v>1283157.67</v>
      </c>
      <c r="J314" s="178">
        <v>1479487.1800000002</v>
      </c>
      <c r="K314" s="178">
        <v>323157.15000000002</v>
      </c>
      <c r="L314" s="178">
        <v>258954.65000000002</v>
      </c>
      <c r="M314" s="181">
        <v>805.40901672786595</v>
      </c>
    </row>
    <row r="315" spans="1:13" x14ac:dyDescent="0.2">
      <c r="A315" s="13" t="s">
        <v>644</v>
      </c>
      <c r="B315" s="12">
        <v>2013</v>
      </c>
      <c r="C315" s="12" t="s">
        <v>645</v>
      </c>
      <c r="D315" s="175">
        <v>161.62494749804765</v>
      </c>
      <c r="E315" s="177">
        <v>618306.62</v>
      </c>
      <c r="F315" s="178">
        <v>5607131.0999999996</v>
      </c>
      <c r="G315" s="179">
        <v>72343.27</v>
      </c>
      <c r="H315" s="179">
        <v>30134.82</v>
      </c>
      <c r="I315" s="179">
        <v>1484398.0000000002</v>
      </c>
      <c r="J315" s="179">
        <v>1839256.59</v>
      </c>
      <c r="K315" s="179">
        <v>423769.64999999991</v>
      </c>
      <c r="L315" s="179">
        <v>1060543.6700000002</v>
      </c>
      <c r="M315" s="181">
        <v>1392.6835745179301</v>
      </c>
    </row>
    <row r="316" spans="1:13" x14ac:dyDescent="0.2">
      <c r="A316" s="13" t="s">
        <v>646</v>
      </c>
      <c r="B316" s="12">
        <v>2013</v>
      </c>
      <c r="C316" s="12" t="s">
        <v>647</v>
      </c>
      <c r="D316" s="175">
        <v>734.39866359729911</v>
      </c>
      <c r="E316" s="177">
        <v>5160982.96</v>
      </c>
      <c r="F316" s="178">
        <v>15612136.48</v>
      </c>
      <c r="G316" s="178">
        <v>183993.78</v>
      </c>
      <c r="H316" s="178">
        <v>59582.75</v>
      </c>
      <c r="I316" s="178">
        <v>5764946.5999999996</v>
      </c>
      <c r="J316" s="178">
        <v>5835628.9100000001</v>
      </c>
      <c r="K316" s="178">
        <v>1871822.3799999997</v>
      </c>
      <c r="L316" s="178">
        <v>2908324.9399999985</v>
      </c>
      <c r="M316" s="181">
        <v>3502.78806368294</v>
      </c>
    </row>
    <row r="317" spans="1:13" x14ac:dyDescent="0.2">
      <c r="A317" s="13" t="s">
        <v>648</v>
      </c>
      <c r="B317" s="12">
        <v>2013</v>
      </c>
      <c r="C317" s="12" t="s">
        <v>649</v>
      </c>
      <c r="D317" s="175">
        <v>486.40989388264677</v>
      </c>
      <c r="E317" s="177">
        <v>2534307.0499999998</v>
      </c>
      <c r="F317" s="178">
        <v>13747471.380000001</v>
      </c>
      <c r="G317" s="178">
        <v>220611.25</v>
      </c>
      <c r="H317" s="178">
        <v>1714.2</v>
      </c>
      <c r="I317" s="178">
        <v>5068790.6399999969</v>
      </c>
      <c r="J317" s="178">
        <v>5204767.2999999989</v>
      </c>
      <c r="K317" s="178">
        <v>1647993.3799999997</v>
      </c>
      <c r="L317" s="178">
        <v>1707536.8299999994</v>
      </c>
      <c r="M317" s="181">
        <v>3614.6350312109898</v>
      </c>
    </row>
    <row r="318" spans="1:13" x14ac:dyDescent="0.2">
      <c r="A318" s="13" t="s">
        <v>650</v>
      </c>
      <c r="B318" s="12">
        <v>2013</v>
      </c>
      <c r="C318" s="12" t="s">
        <v>651</v>
      </c>
      <c r="D318" s="175">
        <v>80.055865921787685</v>
      </c>
      <c r="E318" s="177">
        <v>330092.63</v>
      </c>
      <c r="F318" s="178">
        <v>2967237.31</v>
      </c>
      <c r="G318" s="178">
        <v>64092.07</v>
      </c>
      <c r="H318" s="178">
        <v>0</v>
      </c>
      <c r="I318" s="178">
        <v>1296683.17</v>
      </c>
      <c r="J318" s="178">
        <v>1087153.2500000002</v>
      </c>
      <c r="K318" s="178">
        <v>245663.52000000005</v>
      </c>
      <c r="L318" s="178">
        <v>262466.34000000003</v>
      </c>
      <c r="M318" s="181">
        <v>889.76569832402197</v>
      </c>
    </row>
    <row r="319" spans="1:13" x14ac:dyDescent="0.2">
      <c r="A319" s="13" t="s">
        <v>652</v>
      </c>
      <c r="B319" s="12">
        <v>2013</v>
      </c>
      <c r="C319" s="12" t="s">
        <v>653</v>
      </c>
      <c r="D319" s="175">
        <v>95.811492776886013</v>
      </c>
      <c r="E319" s="177">
        <v>98322.99</v>
      </c>
      <c r="F319" s="178">
        <v>3747519.49</v>
      </c>
      <c r="G319" s="179">
        <v>98125.52</v>
      </c>
      <c r="H319" s="179">
        <v>16603.689999999999</v>
      </c>
      <c r="I319" s="179">
        <v>1251176.82</v>
      </c>
      <c r="J319" s="179">
        <v>980188.99</v>
      </c>
      <c r="K319" s="179">
        <v>66784.72</v>
      </c>
      <c r="L319" s="179">
        <v>220392.29000000004</v>
      </c>
      <c r="M319" s="181">
        <v>842.45797752809005</v>
      </c>
    </row>
    <row r="320" spans="1:13" x14ac:dyDescent="0.2">
      <c r="A320" s="13" t="s">
        <v>654</v>
      </c>
      <c r="B320" s="12">
        <v>2013</v>
      </c>
      <c r="C320" s="12" t="s">
        <v>655</v>
      </c>
      <c r="D320" s="175">
        <v>115.00175874809253</v>
      </c>
      <c r="E320" s="177">
        <v>372633.1</v>
      </c>
      <c r="F320" s="178">
        <v>4245101.25</v>
      </c>
      <c r="G320" s="178">
        <v>298552.34999999998</v>
      </c>
      <c r="H320" s="178">
        <v>5250</v>
      </c>
      <c r="I320" s="178">
        <v>1612502.73</v>
      </c>
      <c r="J320" s="178">
        <v>2143758.7600000002</v>
      </c>
      <c r="K320" s="178">
        <v>881204.16000000015</v>
      </c>
      <c r="L320" s="178">
        <v>536684.93000000005</v>
      </c>
      <c r="M320" s="181">
        <v>1181.49902185016</v>
      </c>
    </row>
    <row r="321" spans="1:13" x14ac:dyDescent="0.2">
      <c r="A321" s="13" t="s">
        <v>656</v>
      </c>
      <c r="B321" s="12">
        <v>2013</v>
      </c>
      <c r="C321" s="12" t="s">
        <v>657</v>
      </c>
      <c r="D321" s="175">
        <v>152.45166696702108</v>
      </c>
      <c r="E321" s="177">
        <v>847333.73</v>
      </c>
      <c r="F321" s="178">
        <v>8829109.5399999991</v>
      </c>
      <c r="G321" s="178">
        <v>305629.61</v>
      </c>
      <c r="H321" s="178">
        <v>213822.66</v>
      </c>
      <c r="I321" s="178">
        <v>2851064.1999999997</v>
      </c>
      <c r="J321" s="178">
        <v>3158188.3299999991</v>
      </c>
      <c r="K321" s="178">
        <v>1338849.0099999998</v>
      </c>
      <c r="L321" s="178">
        <v>823837.3600000001</v>
      </c>
      <c r="M321" s="181">
        <v>1678.68706433592</v>
      </c>
    </row>
    <row r="322" spans="1:13" x14ac:dyDescent="0.2">
      <c r="A322" s="13" t="s">
        <v>658</v>
      </c>
      <c r="B322" s="12">
        <v>2013</v>
      </c>
      <c r="C322" s="12" t="s">
        <v>659</v>
      </c>
      <c r="D322" s="175">
        <v>327.23982054546576</v>
      </c>
      <c r="E322" s="177">
        <v>1721775.5</v>
      </c>
      <c r="F322" s="178">
        <v>9237267.3699999992</v>
      </c>
      <c r="G322" s="178">
        <v>157224.35999999999</v>
      </c>
      <c r="H322" s="178">
        <v>56243.31</v>
      </c>
      <c r="I322" s="178">
        <v>2728277.9</v>
      </c>
      <c r="J322" s="178">
        <v>3364337.5799999991</v>
      </c>
      <c r="K322" s="178">
        <v>1082927.4200000002</v>
      </c>
      <c r="L322" s="178">
        <v>1123116.6399999999</v>
      </c>
      <c r="M322" s="181">
        <v>2699.8699072344202</v>
      </c>
    </row>
    <row r="323" spans="1:13" x14ac:dyDescent="0.2">
      <c r="A323" s="13" t="s">
        <v>660</v>
      </c>
      <c r="B323" s="12">
        <v>2013</v>
      </c>
      <c r="C323" s="12" t="s">
        <v>661</v>
      </c>
      <c r="D323" s="175">
        <v>634.55916061339792</v>
      </c>
      <c r="E323" s="177">
        <v>3643422.05</v>
      </c>
      <c r="F323" s="178">
        <v>17473656.280000001</v>
      </c>
      <c r="G323" s="178">
        <v>555453.81000000006</v>
      </c>
      <c r="H323" s="178">
        <v>16891.009999999998</v>
      </c>
      <c r="I323" s="178">
        <v>5286588.4100000011</v>
      </c>
      <c r="J323" s="178">
        <v>4949146.41</v>
      </c>
      <c r="K323" s="178">
        <v>1270213.4900000002</v>
      </c>
      <c r="L323" s="178">
        <v>2450145.5499999984</v>
      </c>
      <c r="M323" s="181">
        <v>4168.2888193704603</v>
      </c>
    </row>
    <row r="324" spans="1:13" x14ac:dyDescent="0.2">
      <c r="A324" s="13" t="s">
        <v>662</v>
      </c>
      <c r="B324" s="12">
        <v>2013</v>
      </c>
      <c r="C324" s="12" t="s">
        <v>663</v>
      </c>
      <c r="D324" s="175">
        <v>69.974254226443136</v>
      </c>
      <c r="E324" s="177">
        <v>396690.36</v>
      </c>
      <c r="F324" s="178">
        <v>3696091.54</v>
      </c>
      <c r="G324" s="178">
        <v>114878.11</v>
      </c>
      <c r="H324" s="179">
        <v>73797.179999999993</v>
      </c>
      <c r="I324" s="179">
        <v>816581.7</v>
      </c>
      <c r="J324" s="179">
        <v>856068.67</v>
      </c>
      <c r="K324" s="179">
        <v>254248.07000000004</v>
      </c>
      <c r="L324" s="179">
        <v>197289.75999999998</v>
      </c>
      <c r="M324" s="181">
        <v>823.94192022449101</v>
      </c>
    </row>
    <row r="325" spans="1:13" x14ac:dyDescent="0.2">
      <c r="A325" s="13" t="s">
        <v>664</v>
      </c>
      <c r="B325" s="12">
        <v>2013</v>
      </c>
      <c r="C325" s="12" t="s">
        <v>665</v>
      </c>
      <c r="D325" s="175">
        <v>281.6199523039067</v>
      </c>
      <c r="E325" s="177">
        <v>1369314.02</v>
      </c>
      <c r="F325" s="178">
        <v>7842677.3799999999</v>
      </c>
      <c r="G325" s="179">
        <v>251762.84</v>
      </c>
      <c r="H325" s="179">
        <v>56040.82</v>
      </c>
      <c r="I325" s="179">
        <v>2775464.51</v>
      </c>
      <c r="J325" s="179">
        <v>3105973.65</v>
      </c>
      <c r="K325" s="179">
        <v>1166510.0200000003</v>
      </c>
      <c r="L325" s="179">
        <v>809509.05000000016</v>
      </c>
      <c r="M325" s="181">
        <v>2320.6956253581402</v>
      </c>
    </row>
    <row r="326" spans="1:13" x14ac:dyDescent="0.2">
      <c r="A326" s="13" t="s">
        <v>666</v>
      </c>
      <c r="B326" s="12">
        <v>2013</v>
      </c>
      <c r="C326" s="12" t="s">
        <v>667</v>
      </c>
      <c r="D326" s="175">
        <v>302.07933832709114</v>
      </c>
      <c r="E326" s="177">
        <v>507554.93</v>
      </c>
      <c r="F326" s="178">
        <v>3704616.45</v>
      </c>
      <c r="G326" s="178">
        <v>210292.91</v>
      </c>
      <c r="H326" s="178">
        <v>101351.93</v>
      </c>
      <c r="I326" s="178">
        <v>1538832.2800000003</v>
      </c>
      <c r="J326" s="178">
        <v>1746746.76</v>
      </c>
      <c r="K326" s="178">
        <v>467737.93000000005</v>
      </c>
      <c r="L326" s="178">
        <v>582247.90999999992</v>
      </c>
      <c r="M326" s="181">
        <v>1461.87709113608</v>
      </c>
    </row>
    <row r="327" spans="1:13" x14ac:dyDescent="0.2">
      <c r="A327" s="13" t="s">
        <v>668</v>
      </c>
      <c r="B327" s="12">
        <v>2013</v>
      </c>
      <c r="C327" s="12" t="s">
        <v>669</v>
      </c>
      <c r="D327" s="175">
        <v>744.7664606741572</v>
      </c>
      <c r="E327" s="177">
        <v>3729092.7</v>
      </c>
      <c r="F327" s="178">
        <v>18838903.309999999</v>
      </c>
      <c r="G327" s="178">
        <v>449036.28</v>
      </c>
      <c r="H327" s="178">
        <v>18587</v>
      </c>
      <c r="I327" s="178">
        <v>5530170.4800000014</v>
      </c>
      <c r="J327" s="178">
        <v>6158178.0100000026</v>
      </c>
      <c r="K327" s="178">
        <v>1553262.1000000022</v>
      </c>
      <c r="L327" s="178">
        <v>3215512.4100000015</v>
      </c>
      <c r="M327" s="181">
        <v>5082.0947191011201</v>
      </c>
    </row>
    <row r="328" spans="1:13" x14ac:dyDescent="0.2">
      <c r="A328" s="13" t="s">
        <v>670</v>
      </c>
      <c r="B328" s="12">
        <v>2013</v>
      </c>
      <c r="C328" s="12" t="s">
        <v>671</v>
      </c>
      <c r="D328" s="175">
        <v>819.30478060931546</v>
      </c>
      <c r="E328" s="177">
        <v>6801918.2300000004</v>
      </c>
      <c r="F328" s="178">
        <v>44380593.18</v>
      </c>
      <c r="G328" s="179">
        <v>1102383.3600000001</v>
      </c>
      <c r="H328" s="179">
        <v>13175.05</v>
      </c>
      <c r="I328" s="179">
        <v>10661586.249999998</v>
      </c>
      <c r="J328" s="179">
        <v>14717727.569999995</v>
      </c>
      <c r="K328" s="179">
        <v>2191025.7699999996</v>
      </c>
      <c r="L328" s="179">
        <v>5761879.5899999999</v>
      </c>
      <c r="M328" s="181">
        <v>10428.285108452699</v>
      </c>
    </row>
    <row r="329" spans="1:13" x14ac:dyDescent="0.2">
      <c r="A329" s="13" t="s">
        <v>672</v>
      </c>
      <c r="B329" s="12">
        <v>2013</v>
      </c>
      <c r="C329" s="12" t="s">
        <v>673</v>
      </c>
      <c r="D329" s="175">
        <v>645.3896608607148</v>
      </c>
      <c r="E329" s="177">
        <v>2657604.71</v>
      </c>
      <c r="F329" s="178">
        <v>14418380.08</v>
      </c>
      <c r="G329" s="178">
        <v>242983.79</v>
      </c>
      <c r="H329" s="178">
        <v>195119.4</v>
      </c>
      <c r="I329" s="178">
        <v>4304649.6100000013</v>
      </c>
      <c r="J329" s="178">
        <v>5322239.16</v>
      </c>
      <c r="K329" s="178">
        <v>694596.95000000019</v>
      </c>
      <c r="L329" s="178">
        <v>2143139.3400000003</v>
      </c>
      <c r="M329" s="181">
        <v>3857.2535911816099</v>
      </c>
    </row>
    <row r="330" spans="1:13" x14ac:dyDescent="0.2">
      <c r="A330" s="13" t="s">
        <v>674</v>
      </c>
      <c r="B330" s="12">
        <v>2013</v>
      </c>
      <c r="C330" s="12" t="s">
        <v>675</v>
      </c>
      <c r="D330" s="175">
        <v>84.731638418079072</v>
      </c>
      <c r="E330" s="177">
        <v>417024.15</v>
      </c>
      <c r="F330" s="178">
        <v>3285267.95</v>
      </c>
      <c r="G330" s="179">
        <v>40847.129999999997</v>
      </c>
      <c r="H330" s="179">
        <v>8600</v>
      </c>
      <c r="I330" s="179">
        <v>1288206.8599999999</v>
      </c>
      <c r="J330" s="179">
        <v>1290097.8499999999</v>
      </c>
      <c r="K330" s="179">
        <v>148504.30000000002</v>
      </c>
      <c r="L330" s="179">
        <v>428857.85000000003</v>
      </c>
      <c r="M330" s="181">
        <v>804.30084745762701</v>
      </c>
    </row>
    <row r="331" spans="1:13" x14ac:dyDescent="0.2">
      <c r="A331" s="13" t="s">
        <v>676</v>
      </c>
      <c r="B331" s="12">
        <v>2013</v>
      </c>
      <c r="C331" s="12" t="s">
        <v>677</v>
      </c>
      <c r="D331" s="175">
        <v>355.76941360856557</v>
      </c>
      <c r="E331" s="177">
        <v>2219168.04</v>
      </c>
      <c r="F331" s="178">
        <v>13302433.720000001</v>
      </c>
      <c r="G331" s="178">
        <v>323657.81</v>
      </c>
      <c r="H331" s="178">
        <v>12392.12</v>
      </c>
      <c r="I331" s="178">
        <v>3798041</v>
      </c>
      <c r="J331" s="178">
        <v>4017237.6900000004</v>
      </c>
      <c r="K331" s="178">
        <v>646567.35000000009</v>
      </c>
      <c r="L331" s="178">
        <v>1004012.54</v>
      </c>
      <c r="M331" s="181">
        <v>2597.74834600745</v>
      </c>
    </row>
    <row r="332" spans="1:13" x14ac:dyDescent="0.2">
      <c r="A332" s="13" t="s">
        <v>678</v>
      </c>
      <c r="B332" s="12">
        <v>2013</v>
      </c>
      <c r="C332" s="12" t="s">
        <v>679</v>
      </c>
      <c r="D332" s="175">
        <v>743.49920749595037</v>
      </c>
      <c r="E332" s="177">
        <v>4774422.1900000004</v>
      </c>
      <c r="F332" s="178">
        <v>22685137.300000001</v>
      </c>
      <c r="G332" s="178">
        <v>436934.51</v>
      </c>
      <c r="H332" s="178">
        <v>92930.82</v>
      </c>
      <c r="I332" s="178">
        <v>6883659.4600000009</v>
      </c>
      <c r="J332" s="178">
        <v>9540622.0799999982</v>
      </c>
      <c r="K332" s="178">
        <v>2996273.7599999993</v>
      </c>
      <c r="L332" s="178">
        <v>3709063.1099999994</v>
      </c>
      <c r="M332" s="181">
        <v>4110.6938830548397</v>
      </c>
    </row>
    <row r="333" spans="1:13" x14ac:dyDescent="0.2">
      <c r="A333" s="13" t="s">
        <v>680</v>
      </c>
      <c r="B333" s="12">
        <v>2013</v>
      </c>
      <c r="C333" s="12" t="s">
        <v>681</v>
      </c>
      <c r="D333" s="175">
        <v>350.91436433923161</v>
      </c>
      <c r="E333" s="177">
        <v>958241.15</v>
      </c>
      <c r="F333" s="178">
        <v>7569053.4500000002</v>
      </c>
      <c r="G333" s="179">
        <v>197889.87</v>
      </c>
      <c r="H333" s="179">
        <v>63768.05</v>
      </c>
      <c r="I333" s="179">
        <v>2114567.2599999998</v>
      </c>
      <c r="J333" s="179">
        <v>2854661.0700000003</v>
      </c>
      <c r="K333" s="179">
        <v>1223410.04</v>
      </c>
      <c r="L333" s="179">
        <v>721954.92999999993</v>
      </c>
      <c r="M333" s="181">
        <v>2351.92024437289</v>
      </c>
    </row>
    <row r="334" spans="1:13" x14ac:dyDescent="0.2">
      <c r="A334" s="13" t="s">
        <v>682</v>
      </c>
      <c r="B334" s="12">
        <v>2013</v>
      </c>
      <c r="C334" s="12" t="s">
        <v>683</v>
      </c>
      <c r="D334" s="175">
        <v>67.995003543586108</v>
      </c>
      <c r="E334" s="177">
        <v>371562.34</v>
      </c>
      <c r="F334" s="178">
        <v>2896631.23</v>
      </c>
      <c r="G334" s="178">
        <v>53077.440000000002</v>
      </c>
      <c r="H334" s="178">
        <v>0</v>
      </c>
      <c r="I334" s="178">
        <v>805740.86</v>
      </c>
      <c r="J334" s="178">
        <v>845882.29</v>
      </c>
      <c r="K334" s="178">
        <v>95612.180000000037</v>
      </c>
      <c r="L334" s="178">
        <v>169365.75</v>
      </c>
      <c r="M334" s="181">
        <v>707.26850460666196</v>
      </c>
    </row>
    <row r="335" spans="1:13" x14ac:dyDescent="0.2">
      <c r="A335" s="13" t="s">
        <v>684</v>
      </c>
      <c r="B335" s="12">
        <v>2013</v>
      </c>
      <c r="C335" s="12" t="s">
        <v>685</v>
      </c>
      <c r="D335" s="175">
        <v>86.26435215946843</v>
      </c>
      <c r="E335" s="177">
        <v>280737.90999999997</v>
      </c>
      <c r="F335" s="178">
        <v>2939783.36</v>
      </c>
      <c r="G335" s="179">
        <v>80135.7</v>
      </c>
      <c r="H335" s="179">
        <v>3316.84</v>
      </c>
      <c r="I335" s="179">
        <v>630544.59000000008</v>
      </c>
      <c r="J335" s="179">
        <v>322929.29000000004</v>
      </c>
      <c r="K335" s="179">
        <v>8628.9900000000016</v>
      </c>
      <c r="L335" s="179">
        <v>131203.40000000002</v>
      </c>
      <c r="M335" s="181">
        <v>894.22694352159499</v>
      </c>
    </row>
    <row r="336" spans="1:13" x14ac:dyDescent="0.2">
      <c r="A336" s="13" t="s">
        <v>686</v>
      </c>
      <c r="B336" s="12">
        <v>2013</v>
      </c>
      <c r="C336" s="12" t="s">
        <v>687</v>
      </c>
      <c r="D336" s="175">
        <v>116.74086290996307</v>
      </c>
      <c r="E336" s="177">
        <v>484593.37</v>
      </c>
      <c r="F336" s="178">
        <v>2989161.88</v>
      </c>
      <c r="G336" s="178">
        <v>86001.279999999999</v>
      </c>
      <c r="H336" s="178">
        <v>3635.69</v>
      </c>
      <c r="I336" s="178">
        <v>1272769.05</v>
      </c>
      <c r="J336" s="178">
        <v>1325827.1800000006</v>
      </c>
      <c r="K336" s="178">
        <v>145624.68</v>
      </c>
      <c r="L336" s="178">
        <v>142716.39999999997</v>
      </c>
      <c r="M336" s="181">
        <v>902.52650898078502</v>
      </c>
    </row>
    <row r="337" spans="1:13" x14ac:dyDescent="0.2">
      <c r="A337" s="13" t="s">
        <v>688</v>
      </c>
      <c r="B337" s="12">
        <v>2013</v>
      </c>
      <c r="C337" s="12" t="s">
        <v>689</v>
      </c>
      <c r="D337" s="175">
        <v>738.59785040858173</v>
      </c>
      <c r="E337" s="177">
        <v>5413844.5199999996</v>
      </c>
      <c r="F337" s="178">
        <v>28671496.550000001</v>
      </c>
      <c r="G337" s="178">
        <v>551662.04</v>
      </c>
      <c r="H337" s="178">
        <v>494002.86</v>
      </c>
      <c r="I337" s="178">
        <v>7503766.9800000004</v>
      </c>
      <c r="J337" s="178">
        <v>8430584.6599999964</v>
      </c>
      <c r="K337" s="178">
        <v>2659632.5499999993</v>
      </c>
      <c r="L337" s="178">
        <v>2497312.1500000004</v>
      </c>
      <c r="M337" s="181">
        <v>7031.0881697548903</v>
      </c>
    </row>
    <row r="338" spans="1:13" x14ac:dyDescent="0.2">
      <c r="A338" s="13" t="s">
        <v>690</v>
      </c>
      <c r="B338" s="12">
        <v>2013</v>
      </c>
      <c r="C338" s="12" t="s">
        <v>691</v>
      </c>
      <c r="D338" s="175">
        <v>190.0520864934102</v>
      </c>
      <c r="E338" s="177">
        <v>1576041.27</v>
      </c>
      <c r="F338" s="178">
        <v>6001856.6600000001</v>
      </c>
      <c r="G338" s="178">
        <v>301780.34999999998</v>
      </c>
      <c r="H338" s="179">
        <v>55570.080000000002</v>
      </c>
      <c r="I338" s="179">
        <v>2081070.04</v>
      </c>
      <c r="J338" s="179">
        <v>3274899.2600000007</v>
      </c>
      <c r="K338" s="179">
        <v>329048.85000000003</v>
      </c>
      <c r="L338" s="179">
        <v>560578.68999999983</v>
      </c>
      <c r="M338" s="181">
        <v>1732.6050936225399</v>
      </c>
    </row>
    <row r="339" spans="1:13" x14ac:dyDescent="0.2">
      <c r="A339" s="13" t="s">
        <v>692</v>
      </c>
      <c r="B339" s="12">
        <v>2013</v>
      </c>
      <c r="C339" s="12" t="s">
        <v>693</v>
      </c>
      <c r="D339" s="175">
        <v>908.85300327424761</v>
      </c>
      <c r="E339" s="177">
        <v>6644843.2699999996</v>
      </c>
      <c r="F339" s="178">
        <v>39200145.280000001</v>
      </c>
      <c r="G339" s="178">
        <v>910876.42</v>
      </c>
      <c r="H339" s="178">
        <v>404996.79</v>
      </c>
      <c r="I339" s="178">
        <v>11666986.430000002</v>
      </c>
      <c r="J339" s="178">
        <v>13831487.199999999</v>
      </c>
      <c r="K339" s="178">
        <v>5687352.6499999966</v>
      </c>
      <c r="L339" s="178">
        <v>5630699.2600000072</v>
      </c>
      <c r="M339" s="181">
        <v>7903.5570832211397</v>
      </c>
    </row>
    <row r="340" spans="1:13" x14ac:dyDescent="0.2">
      <c r="A340" s="13" t="s">
        <v>694</v>
      </c>
      <c r="B340" s="12">
        <v>2013</v>
      </c>
      <c r="C340" s="12" t="s">
        <v>695</v>
      </c>
      <c r="D340" s="175">
        <v>95.149476351241475</v>
      </c>
      <c r="E340" s="177">
        <v>433674.52</v>
      </c>
      <c r="F340" s="178">
        <v>4862116.1399999997</v>
      </c>
      <c r="G340" s="178">
        <v>63724.32</v>
      </c>
      <c r="H340" s="179">
        <v>21656.94</v>
      </c>
      <c r="I340" s="179">
        <v>1402432.4300000002</v>
      </c>
      <c r="J340" s="179">
        <v>1699932.4000000004</v>
      </c>
      <c r="K340" s="179">
        <v>344934.84</v>
      </c>
      <c r="L340" s="179">
        <v>586966.38</v>
      </c>
      <c r="M340" s="181">
        <v>1244.58325943706</v>
      </c>
    </row>
    <row r="341" spans="1:13" x14ac:dyDescent="0.2">
      <c r="A341" s="13" t="s">
        <v>696</v>
      </c>
      <c r="B341" s="12">
        <v>2013</v>
      </c>
      <c r="C341" s="12" t="s">
        <v>697</v>
      </c>
      <c r="D341" s="175">
        <v>298.55304217696442</v>
      </c>
      <c r="E341" s="177">
        <v>1606270.56</v>
      </c>
      <c r="F341" s="178">
        <v>7950004.5899999999</v>
      </c>
      <c r="G341" s="178">
        <v>601431.43000000005</v>
      </c>
      <c r="H341" s="178">
        <v>168161.75</v>
      </c>
      <c r="I341" s="178">
        <v>3057229.2500000005</v>
      </c>
      <c r="J341" s="178">
        <v>4015693.5600000005</v>
      </c>
      <c r="K341" s="178">
        <v>1379080.0199999993</v>
      </c>
      <c r="L341" s="178">
        <v>813247.05000000016</v>
      </c>
      <c r="M341" s="181">
        <v>2459.0540542460299</v>
      </c>
    </row>
    <row r="342" spans="1:13" x14ac:dyDescent="0.2">
      <c r="A342" s="13" t="s">
        <v>698</v>
      </c>
      <c r="B342" s="12">
        <v>2013</v>
      </c>
      <c r="C342" s="12" t="s">
        <v>699</v>
      </c>
      <c r="D342" s="175">
        <v>756.53297293646915</v>
      </c>
      <c r="E342" s="177">
        <v>3168424.79</v>
      </c>
      <c r="F342" s="178">
        <v>18564191.16</v>
      </c>
      <c r="G342" s="178">
        <v>260723.61</v>
      </c>
      <c r="H342" s="178">
        <v>0</v>
      </c>
      <c r="I342" s="178">
        <v>4953857.8600000003</v>
      </c>
      <c r="J342" s="178">
        <v>6579069.6300000018</v>
      </c>
      <c r="K342" s="178">
        <v>1081859.5000000009</v>
      </c>
      <c r="L342" s="178">
        <v>3114400.6799999997</v>
      </c>
      <c r="M342" s="181">
        <v>5314.2888846365504</v>
      </c>
    </row>
    <row r="343" spans="1:13" x14ac:dyDescent="0.2">
      <c r="A343" s="13" t="s">
        <v>700</v>
      </c>
      <c r="B343" s="12">
        <v>2013</v>
      </c>
      <c r="C343" s="12" t="s">
        <v>701</v>
      </c>
      <c r="D343" s="182" t="e">
        <v>#N/A</v>
      </c>
      <c r="E343" s="183" t="e">
        <v>#N/A</v>
      </c>
      <c r="F343" s="184" t="e">
        <v>#N/A</v>
      </c>
      <c r="G343" s="185" t="e">
        <v>#N/A</v>
      </c>
      <c r="H343" s="185" t="e">
        <v>#N/A</v>
      </c>
      <c r="I343" s="179">
        <v>34563.149999999994</v>
      </c>
      <c r="J343" s="179">
        <v>120601.46</v>
      </c>
      <c r="K343" s="185">
        <v>0</v>
      </c>
      <c r="L343" s="185">
        <v>0</v>
      </c>
      <c r="M343" s="187" t="e">
        <v>#N/A</v>
      </c>
    </row>
    <row r="344" spans="1:13" x14ac:dyDescent="0.2">
      <c r="A344" s="13" t="s">
        <v>702</v>
      </c>
      <c r="B344" s="12">
        <v>2013</v>
      </c>
      <c r="C344" s="12" t="s">
        <v>703</v>
      </c>
      <c r="D344" s="175">
        <v>907.74975540933758</v>
      </c>
      <c r="E344" s="177">
        <v>5181895.72</v>
      </c>
      <c r="F344" s="178">
        <v>25107217.190000001</v>
      </c>
      <c r="G344" s="178">
        <v>417225.95</v>
      </c>
      <c r="H344" s="179">
        <v>0</v>
      </c>
      <c r="I344" s="179">
        <v>7131053.7699999996</v>
      </c>
      <c r="J344" s="179">
        <v>8446021.049999997</v>
      </c>
      <c r="K344" s="179">
        <v>1227634.2399999998</v>
      </c>
      <c r="L344" s="179">
        <v>4043775.7199999983</v>
      </c>
      <c r="M344" s="181">
        <v>6275.2782497816197</v>
      </c>
    </row>
    <row r="345" spans="1:13" x14ac:dyDescent="0.2">
      <c r="A345" s="13" t="s">
        <v>704</v>
      </c>
      <c r="B345" s="12">
        <v>2013</v>
      </c>
      <c r="C345" s="12" t="s">
        <v>705</v>
      </c>
      <c r="D345" s="175">
        <v>319.37143678160896</v>
      </c>
      <c r="E345" s="177">
        <v>1052757.6000000001</v>
      </c>
      <c r="F345" s="178">
        <v>11990741.300000001</v>
      </c>
      <c r="G345" s="178">
        <v>195874.81</v>
      </c>
      <c r="H345" s="178">
        <v>52361.3</v>
      </c>
      <c r="I345" s="178">
        <v>3229871.02</v>
      </c>
      <c r="J345" s="178">
        <v>4054475.7600000002</v>
      </c>
      <c r="K345" s="178">
        <v>744584.8400000002</v>
      </c>
      <c r="L345" s="178">
        <v>901275.3</v>
      </c>
      <c r="M345" s="181">
        <v>3149.0171839080399</v>
      </c>
    </row>
    <row r="346" spans="1:13" x14ac:dyDescent="0.2">
      <c r="A346" s="13" t="s">
        <v>706</v>
      </c>
      <c r="B346" s="12">
        <v>2013</v>
      </c>
      <c r="C346" s="12" t="s">
        <v>707</v>
      </c>
      <c r="D346" s="175">
        <v>657.78056497175146</v>
      </c>
      <c r="E346" s="177">
        <v>3704126.44</v>
      </c>
      <c r="F346" s="178">
        <v>23412148.899999999</v>
      </c>
      <c r="G346" s="178">
        <v>564270.35</v>
      </c>
      <c r="H346" s="178">
        <v>153792.23000000001</v>
      </c>
      <c r="I346" s="178">
        <v>5844238.379999999</v>
      </c>
      <c r="J346" s="178">
        <v>9864356.9500000011</v>
      </c>
      <c r="K346" s="178">
        <v>1081072.23</v>
      </c>
      <c r="L346" s="178">
        <v>1834266.1000000003</v>
      </c>
      <c r="M346" s="181">
        <v>6135.8598870056503</v>
      </c>
    </row>
    <row r="347" spans="1:13" x14ac:dyDescent="0.2">
      <c r="A347" s="13" t="s">
        <v>708</v>
      </c>
      <c r="B347" s="12">
        <v>2013</v>
      </c>
      <c r="C347" s="12" t="s">
        <v>709</v>
      </c>
      <c r="D347" s="175">
        <v>78.877864293659627</v>
      </c>
      <c r="E347" s="177">
        <v>275180.06</v>
      </c>
      <c r="F347" s="178">
        <v>2382118.96</v>
      </c>
      <c r="G347" s="179">
        <v>48894.6</v>
      </c>
      <c r="H347" s="179">
        <v>2793</v>
      </c>
      <c r="I347" s="179">
        <v>994451.49</v>
      </c>
      <c r="J347" s="179">
        <v>884506.64999999991</v>
      </c>
      <c r="K347" s="179">
        <v>89811.830000000016</v>
      </c>
      <c r="L347" s="179">
        <v>232828.02000000005</v>
      </c>
      <c r="M347" s="181">
        <v>636.41017241379302</v>
      </c>
    </row>
    <row r="348" spans="1:13" x14ac:dyDescent="0.2">
      <c r="A348" s="13" t="s">
        <v>710</v>
      </c>
      <c r="B348" s="12">
        <v>2013</v>
      </c>
      <c r="C348" s="12" t="s">
        <v>711</v>
      </c>
      <c r="D348" s="175">
        <v>35.168112717834632</v>
      </c>
      <c r="E348" s="177">
        <v>139697.20000000001</v>
      </c>
      <c r="F348" s="178">
        <v>1961098.79</v>
      </c>
      <c r="G348" s="179">
        <v>27387.14</v>
      </c>
      <c r="H348" s="179">
        <v>0</v>
      </c>
      <c r="I348" s="179">
        <v>496753.13</v>
      </c>
      <c r="J348" s="179">
        <v>444238.94</v>
      </c>
      <c r="K348" s="179">
        <v>131781.91999999998</v>
      </c>
      <c r="L348" s="179">
        <v>109299.36</v>
      </c>
      <c r="M348" s="181">
        <v>458.937597330367</v>
      </c>
    </row>
    <row r="349" spans="1:13" x14ac:dyDescent="0.2">
      <c r="A349" s="13" t="s">
        <v>712</v>
      </c>
      <c r="B349" s="12">
        <v>2013</v>
      </c>
      <c r="C349" s="12" t="s">
        <v>713</v>
      </c>
      <c r="D349" s="175">
        <v>177.25802255917881</v>
      </c>
      <c r="E349" s="177">
        <v>676006.31</v>
      </c>
      <c r="F349" s="178">
        <v>5383606.6200000001</v>
      </c>
      <c r="G349" s="178">
        <v>96636.98</v>
      </c>
      <c r="H349" s="178">
        <v>113065.3</v>
      </c>
      <c r="I349" s="178">
        <v>2036974.58</v>
      </c>
      <c r="J349" s="178">
        <v>1554892.3699999999</v>
      </c>
      <c r="K349" s="178">
        <v>186101.06</v>
      </c>
      <c r="L349" s="178">
        <v>782756.08000000019</v>
      </c>
      <c r="M349" s="181">
        <v>1508.0058769002601</v>
      </c>
    </row>
    <row r="350" spans="1:13" x14ac:dyDescent="0.2">
      <c r="A350" s="13" t="s">
        <v>714</v>
      </c>
      <c r="B350" s="12">
        <v>2013</v>
      </c>
      <c r="C350" s="12" t="s">
        <v>715</v>
      </c>
      <c r="D350" s="175">
        <v>246.65766743430996</v>
      </c>
      <c r="E350" s="177">
        <v>532705.78</v>
      </c>
      <c r="F350" s="178">
        <v>6208874.6799999997</v>
      </c>
      <c r="G350" s="179">
        <v>153459.94</v>
      </c>
      <c r="H350" s="179">
        <v>3387.55</v>
      </c>
      <c r="I350" s="179">
        <v>2166746.52</v>
      </c>
      <c r="J350" s="179">
        <v>2141592.5900000003</v>
      </c>
      <c r="K350" s="179">
        <v>235513.44999999995</v>
      </c>
      <c r="L350" s="179">
        <v>745867.13</v>
      </c>
      <c r="M350" s="181">
        <v>1946.83066143159</v>
      </c>
    </row>
    <row r="351" spans="1:13" x14ac:dyDescent="0.2">
      <c r="A351" s="13" t="s">
        <v>716</v>
      </c>
      <c r="B351" s="12">
        <v>2013</v>
      </c>
      <c r="C351" s="12" t="s">
        <v>717</v>
      </c>
      <c r="D351" s="175">
        <v>176.79167593642308</v>
      </c>
      <c r="E351" s="177">
        <v>559516.57999999996</v>
      </c>
      <c r="F351" s="178">
        <v>5291962.29</v>
      </c>
      <c r="G351" s="179">
        <v>94951.22</v>
      </c>
      <c r="H351" s="179">
        <v>15900.02</v>
      </c>
      <c r="I351" s="179">
        <v>1534025.27</v>
      </c>
      <c r="J351" s="179">
        <v>2322112.1999999997</v>
      </c>
      <c r="K351" s="179">
        <v>329897.24</v>
      </c>
      <c r="L351" s="179">
        <v>460518.93999999994</v>
      </c>
      <c r="M351" s="181">
        <v>1503.3097028954201</v>
      </c>
    </row>
    <row r="352" spans="1:13" x14ac:dyDescent="0.2">
      <c r="A352" s="13" t="s">
        <v>718</v>
      </c>
      <c r="B352" s="12">
        <v>2013</v>
      </c>
      <c r="C352" s="12" t="s">
        <v>719</v>
      </c>
      <c r="D352" s="175">
        <v>75.066591209205811</v>
      </c>
      <c r="E352" s="177">
        <v>336231.48</v>
      </c>
      <c r="F352" s="178">
        <v>3585126.11</v>
      </c>
      <c r="G352" s="178">
        <v>62452.77</v>
      </c>
      <c r="H352" s="178">
        <v>68068.66</v>
      </c>
      <c r="I352" s="178">
        <v>780993.64000000013</v>
      </c>
      <c r="J352" s="178">
        <v>1009439.2700000001</v>
      </c>
      <c r="K352" s="178">
        <v>254946.70999999996</v>
      </c>
      <c r="L352" s="178">
        <v>202342.14999999997</v>
      </c>
      <c r="M352" s="181">
        <v>815.94693831352595</v>
      </c>
    </row>
    <row r="353" spans="1:13" x14ac:dyDescent="0.2">
      <c r="A353" s="13" t="s">
        <v>720</v>
      </c>
      <c r="B353" s="12">
        <v>2013</v>
      </c>
      <c r="C353" s="12" t="s">
        <v>721</v>
      </c>
      <c r="D353" s="175">
        <v>110.13645348837211</v>
      </c>
      <c r="E353" s="177">
        <v>544262.62</v>
      </c>
      <c r="F353" s="178">
        <v>2735440.69</v>
      </c>
      <c r="G353" s="178">
        <v>100501.58</v>
      </c>
      <c r="H353" s="178">
        <v>11233.22</v>
      </c>
      <c r="I353" s="178">
        <v>744383.53</v>
      </c>
      <c r="J353" s="178">
        <v>966472.24000000011</v>
      </c>
      <c r="K353" s="178">
        <v>464148.10000000009</v>
      </c>
      <c r="L353" s="178">
        <v>186315.95</v>
      </c>
      <c r="M353" s="181">
        <v>695.60258703729198</v>
      </c>
    </row>
    <row r="354" spans="1:13" x14ac:dyDescent="0.2">
      <c r="A354" s="13" t="s">
        <v>722</v>
      </c>
      <c r="B354" s="12">
        <v>2013</v>
      </c>
      <c r="C354" s="12" t="s">
        <v>723</v>
      </c>
      <c r="D354" s="175">
        <v>97.754023065683185</v>
      </c>
      <c r="E354" s="177">
        <v>519873</v>
      </c>
      <c r="F354" s="178">
        <v>4158961.9</v>
      </c>
      <c r="G354" s="179">
        <v>56065.22</v>
      </c>
      <c r="H354" s="179">
        <v>6980.76</v>
      </c>
      <c r="I354" s="179">
        <v>1194112.6200000001</v>
      </c>
      <c r="J354" s="179">
        <v>1097336.6600000001</v>
      </c>
      <c r="K354" s="179">
        <v>293963.93000000017</v>
      </c>
      <c r="L354" s="179">
        <v>318027.03000000003</v>
      </c>
      <c r="M354" s="181">
        <v>911.64282038246699</v>
      </c>
    </row>
    <row r="355" spans="1:13" x14ac:dyDescent="0.2">
      <c r="A355" s="13" t="s">
        <v>724</v>
      </c>
      <c r="B355" s="12">
        <v>2013</v>
      </c>
      <c r="C355" s="12" t="s">
        <v>725</v>
      </c>
      <c r="D355" s="175">
        <v>90.397575757575751</v>
      </c>
      <c r="E355" s="177">
        <v>345754.49</v>
      </c>
      <c r="F355" s="178">
        <v>2959751.21</v>
      </c>
      <c r="G355" s="179">
        <v>164839.5</v>
      </c>
      <c r="H355" s="179">
        <v>18972.53</v>
      </c>
      <c r="I355" s="179">
        <v>897921.7300000001</v>
      </c>
      <c r="J355" s="179">
        <v>1543549.8599999999</v>
      </c>
      <c r="K355" s="179">
        <v>469445.28000000014</v>
      </c>
      <c r="L355" s="179">
        <v>438377.77</v>
      </c>
      <c r="M355" s="181">
        <v>952.24683982683996</v>
      </c>
    </row>
    <row r="356" spans="1:13" x14ac:dyDescent="0.2">
      <c r="A356" s="13" t="s">
        <v>726</v>
      </c>
      <c r="B356" s="12">
        <v>2013</v>
      </c>
      <c r="C356" s="12" t="s">
        <v>727</v>
      </c>
      <c r="D356" s="175">
        <v>234.66323567960953</v>
      </c>
      <c r="E356" s="177">
        <v>1114069.56</v>
      </c>
      <c r="F356" s="178">
        <v>7424956.3899999997</v>
      </c>
      <c r="G356" s="179">
        <v>19695.490000000002</v>
      </c>
      <c r="H356" s="179">
        <v>536.09</v>
      </c>
      <c r="I356" s="179">
        <v>2397981.4999999995</v>
      </c>
      <c r="J356" s="179">
        <v>2973513.9799999995</v>
      </c>
      <c r="K356" s="179">
        <v>602072.4700000002</v>
      </c>
      <c r="L356" s="179">
        <v>829378.61000000022</v>
      </c>
      <c r="M356" s="181">
        <v>2369.8633876572599</v>
      </c>
    </row>
    <row r="357" spans="1:13" x14ac:dyDescent="0.2">
      <c r="A357" s="13" t="s">
        <v>728</v>
      </c>
      <c r="B357" s="12">
        <v>2013</v>
      </c>
      <c r="C357" s="12" t="s">
        <v>729</v>
      </c>
      <c r="D357" s="175">
        <v>64.076853932584271</v>
      </c>
      <c r="E357" s="177">
        <v>304655.17</v>
      </c>
      <c r="F357" s="178">
        <v>2567556.7599999998</v>
      </c>
      <c r="G357" s="178">
        <v>180704.9</v>
      </c>
      <c r="H357" s="178">
        <v>1332.33</v>
      </c>
      <c r="I357" s="178">
        <v>847628.08000000007</v>
      </c>
      <c r="J357" s="178">
        <v>837045.31</v>
      </c>
      <c r="K357" s="178">
        <v>304417.14999999985</v>
      </c>
      <c r="L357" s="178">
        <v>233484.99999999997</v>
      </c>
      <c r="M357" s="181">
        <v>649.61241573033703</v>
      </c>
    </row>
    <row r="358" spans="1:13" x14ac:dyDescent="0.2">
      <c r="A358" s="13" t="s">
        <v>730</v>
      </c>
      <c r="B358" s="12">
        <v>2013</v>
      </c>
      <c r="C358" s="12" t="s">
        <v>731</v>
      </c>
      <c r="D358" s="175">
        <v>137.58105263157893</v>
      </c>
      <c r="E358" s="177">
        <v>397456.5</v>
      </c>
      <c r="F358" s="178">
        <v>3160292.06</v>
      </c>
      <c r="G358" s="178">
        <v>123275.98</v>
      </c>
      <c r="H358" s="178">
        <v>0</v>
      </c>
      <c r="I358" s="178">
        <v>1184478.4500000002</v>
      </c>
      <c r="J358" s="178">
        <v>1142768.07</v>
      </c>
      <c r="K358" s="178">
        <v>133345.59000000003</v>
      </c>
      <c r="L358" s="178">
        <v>472478.66999999993</v>
      </c>
      <c r="M358" s="181">
        <v>1027.33426900585</v>
      </c>
    </row>
    <row r="359" spans="1:13" x14ac:dyDescent="0.2">
      <c r="A359" s="13" t="s">
        <v>732</v>
      </c>
      <c r="B359" s="12">
        <v>2013</v>
      </c>
      <c r="C359" s="12" t="s">
        <v>733</v>
      </c>
      <c r="D359" s="175">
        <v>224.84714285714287</v>
      </c>
      <c r="E359" s="177">
        <v>1049314.94</v>
      </c>
      <c r="F359" s="178">
        <v>6665443.1799999997</v>
      </c>
      <c r="G359" s="179">
        <v>361239.76</v>
      </c>
      <c r="H359" s="179">
        <v>142257.46</v>
      </c>
      <c r="I359" s="179">
        <v>2476863.7899999996</v>
      </c>
      <c r="J359" s="179">
        <v>3679556.4099999992</v>
      </c>
      <c r="K359" s="179">
        <v>306314.5199999999</v>
      </c>
      <c r="L359" s="179">
        <v>572394.42999999982</v>
      </c>
      <c r="M359" s="181">
        <v>1976.5957142857101</v>
      </c>
    </row>
    <row r="360" spans="1:13" x14ac:dyDescent="0.2">
      <c r="A360" s="13" t="s">
        <v>734</v>
      </c>
      <c r="B360" s="12">
        <v>2013</v>
      </c>
      <c r="C360" s="12" t="s">
        <v>735</v>
      </c>
      <c r="D360" s="175">
        <v>160.68711241428684</v>
      </c>
      <c r="E360" s="177">
        <v>649086.71</v>
      </c>
      <c r="F360" s="178">
        <v>3741685.17</v>
      </c>
      <c r="G360" s="178">
        <v>167157.57999999999</v>
      </c>
      <c r="H360" s="178">
        <v>22020.799999999999</v>
      </c>
      <c r="I360" s="178">
        <v>1708213.29</v>
      </c>
      <c r="J360" s="178">
        <v>1629456.81</v>
      </c>
      <c r="K360" s="178">
        <v>598669.56000000017</v>
      </c>
      <c r="L360" s="178">
        <v>481340.26999999996</v>
      </c>
      <c r="M360" s="181">
        <v>1297.5166613240499</v>
      </c>
    </row>
    <row r="361" spans="1:13" x14ac:dyDescent="0.2">
      <c r="A361" s="13" t="s">
        <v>736</v>
      </c>
      <c r="B361" s="12">
        <v>2013</v>
      </c>
      <c r="C361" s="12" t="s">
        <v>737</v>
      </c>
      <c r="D361" s="175">
        <v>603.1084825474552</v>
      </c>
      <c r="E361" s="177">
        <v>1555945.98</v>
      </c>
      <c r="F361" s="178">
        <v>13849462.48</v>
      </c>
      <c r="G361" s="178">
        <v>256178.26</v>
      </c>
      <c r="H361" s="178">
        <v>24265.360000000001</v>
      </c>
      <c r="I361" s="178">
        <v>5306185.7499999991</v>
      </c>
      <c r="J361" s="178">
        <v>3667617.1500000004</v>
      </c>
      <c r="K361" s="178">
        <v>713788.59</v>
      </c>
      <c r="L361" s="178">
        <v>1858394.2700000005</v>
      </c>
      <c r="M361" s="181">
        <v>3823.10787326845</v>
      </c>
    </row>
    <row r="362" spans="1:13" x14ac:dyDescent="0.2">
      <c r="A362" s="13" t="s">
        <v>738</v>
      </c>
      <c r="B362" s="12">
        <v>2013</v>
      </c>
      <c r="C362" s="12" t="s">
        <v>739</v>
      </c>
      <c r="D362" s="175">
        <v>613.47161678694806</v>
      </c>
      <c r="E362" s="177">
        <v>2787412.68</v>
      </c>
      <c r="F362" s="178">
        <v>9654949.0800000001</v>
      </c>
      <c r="G362" s="178">
        <v>196253.02</v>
      </c>
      <c r="H362" s="178">
        <v>1013.7</v>
      </c>
      <c r="I362" s="178">
        <v>3529340.75</v>
      </c>
      <c r="J362" s="178">
        <v>5590335.370000001</v>
      </c>
      <c r="K362" s="178">
        <v>385293.24999999994</v>
      </c>
      <c r="L362" s="178">
        <v>1969069.7299999991</v>
      </c>
      <c r="M362" s="181">
        <v>3185.5798228272402</v>
      </c>
    </row>
    <row r="363" spans="1:13" x14ac:dyDescent="0.2">
      <c r="A363" s="13" t="s">
        <v>740</v>
      </c>
      <c r="B363" s="12">
        <v>2013</v>
      </c>
      <c r="C363" s="12" t="s">
        <v>741</v>
      </c>
      <c r="D363" s="175">
        <v>288.42329545454544</v>
      </c>
      <c r="E363" s="177">
        <v>1707786.61</v>
      </c>
      <c r="F363" s="178">
        <v>7459665.0300000003</v>
      </c>
      <c r="G363" s="178">
        <v>139994.49</v>
      </c>
      <c r="H363" s="178">
        <v>10362.629999999999</v>
      </c>
      <c r="I363" s="178">
        <v>2286449.16</v>
      </c>
      <c r="J363" s="178">
        <v>2578984.8500000006</v>
      </c>
      <c r="K363" s="178">
        <v>879856.41999999993</v>
      </c>
      <c r="L363" s="178">
        <v>1007373.1900000001</v>
      </c>
      <c r="M363" s="181">
        <v>2066.6552840909098</v>
      </c>
    </row>
    <row r="364" spans="1:13" x14ac:dyDescent="0.2">
      <c r="A364" s="13" t="s">
        <v>742</v>
      </c>
      <c r="B364" s="12">
        <v>2013</v>
      </c>
      <c r="C364" s="12" t="s">
        <v>743</v>
      </c>
      <c r="D364" s="175">
        <v>105.0599634696452</v>
      </c>
      <c r="E364" s="177">
        <v>357085.53</v>
      </c>
      <c r="F364" s="178">
        <v>3715860.34</v>
      </c>
      <c r="G364" s="179">
        <v>95955.77</v>
      </c>
      <c r="H364" s="179">
        <v>2391.6799999999998</v>
      </c>
      <c r="I364" s="179">
        <v>1361763.62</v>
      </c>
      <c r="J364" s="179">
        <v>1694598.17</v>
      </c>
      <c r="K364" s="179">
        <v>356641.65999999992</v>
      </c>
      <c r="L364" s="179">
        <v>299228.15000000002</v>
      </c>
      <c r="M364" s="181">
        <v>1101.13748906362</v>
      </c>
    </row>
    <row r="365" spans="1:13" x14ac:dyDescent="0.2">
      <c r="A365" s="13" t="s">
        <v>744</v>
      </c>
      <c r="B365" s="12">
        <v>2013</v>
      </c>
      <c r="C365" s="12" t="s">
        <v>745</v>
      </c>
      <c r="D365" s="175">
        <v>216.12269252284167</v>
      </c>
      <c r="E365" s="177">
        <v>716784.66</v>
      </c>
      <c r="F365" s="178">
        <v>4321286.22</v>
      </c>
      <c r="G365" s="178">
        <v>181856.64000000001</v>
      </c>
      <c r="H365" s="178">
        <v>4007.89</v>
      </c>
      <c r="I365" s="178">
        <v>1534936.1499999997</v>
      </c>
      <c r="J365" s="178">
        <v>2065115.2499999998</v>
      </c>
      <c r="K365" s="178">
        <v>298002.19000000012</v>
      </c>
      <c r="L365" s="178">
        <v>337726.05000000016</v>
      </c>
      <c r="M365" s="181">
        <v>1249.2916800298301</v>
      </c>
    </row>
    <row r="366" spans="1:13" x14ac:dyDescent="0.2">
      <c r="A366" s="13" t="s">
        <v>746</v>
      </c>
      <c r="B366" s="12">
        <v>2013</v>
      </c>
      <c r="C366" s="12" t="s">
        <v>747</v>
      </c>
      <c r="D366" s="175">
        <v>392.06442815249267</v>
      </c>
      <c r="E366" s="177">
        <v>2732274.43</v>
      </c>
      <c r="F366" s="178">
        <v>21734019.18</v>
      </c>
      <c r="G366" s="178">
        <v>282521.82</v>
      </c>
      <c r="H366" s="178">
        <v>6974.02</v>
      </c>
      <c r="I366" s="178">
        <v>6272706.3399999999</v>
      </c>
      <c r="J366" s="178">
        <v>7561440.7699999986</v>
      </c>
      <c r="K366" s="178">
        <v>2795575.5699999994</v>
      </c>
      <c r="L366" s="178">
        <v>4209674.7700000014</v>
      </c>
      <c r="M366" s="181">
        <v>4481.3249725073301</v>
      </c>
    </row>
    <row r="367" spans="1:13" x14ac:dyDescent="0.2">
      <c r="A367" s="13" t="s">
        <v>748</v>
      </c>
      <c r="B367" s="12">
        <v>2013</v>
      </c>
      <c r="C367" s="12" t="s">
        <v>749</v>
      </c>
      <c r="D367" s="175">
        <v>90.721185319312028</v>
      </c>
      <c r="E367" s="177">
        <v>151837.26</v>
      </c>
      <c r="F367" s="178">
        <v>1400404.18</v>
      </c>
      <c r="G367" s="178">
        <v>55621.43</v>
      </c>
      <c r="H367" s="178">
        <v>2198</v>
      </c>
      <c r="I367" s="178">
        <v>833401.41999999993</v>
      </c>
      <c r="J367" s="178">
        <v>529403.51</v>
      </c>
      <c r="K367" s="178">
        <v>67087.290000000008</v>
      </c>
      <c r="L367" s="178">
        <v>195534.36000000002</v>
      </c>
      <c r="M367" s="181">
        <v>484.11487568772299</v>
      </c>
    </row>
    <row r="368" spans="1:13" x14ac:dyDescent="0.2">
      <c r="A368" s="13" t="s">
        <v>750</v>
      </c>
      <c r="B368" s="12">
        <v>2013</v>
      </c>
      <c r="C368" s="12" t="s">
        <v>751</v>
      </c>
      <c r="D368" s="175">
        <v>71.702745805931215</v>
      </c>
      <c r="E368" s="177">
        <v>225505.26</v>
      </c>
      <c r="F368" s="178">
        <v>3901340.38</v>
      </c>
      <c r="G368" s="178">
        <v>139631.07999999999</v>
      </c>
      <c r="H368" s="178">
        <v>47204.81</v>
      </c>
      <c r="I368" s="178">
        <v>1064623.92</v>
      </c>
      <c r="J368" s="178">
        <v>1165464.95</v>
      </c>
      <c r="K368" s="178">
        <v>303897.31000000006</v>
      </c>
      <c r="L368" s="178">
        <v>240867.77999999997</v>
      </c>
      <c r="M368" s="181">
        <v>842.18356725146202</v>
      </c>
    </row>
    <row r="369" spans="1:13" x14ac:dyDescent="0.2">
      <c r="A369" s="13" t="s">
        <v>752</v>
      </c>
      <c r="B369" s="12">
        <v>2013</v>
      </c>
      <c r="C369" s="12" t="s">
        <v>753</v>
      </c>
      <c r="D369" s="175">
        <v>28.526129032258066</v>
      </c>
      <c r="E369" s="177">
        <v>83113.02</v>
      </c>
      <c r="F369" s="178">
        <v>2069095.26</v>
      </c>
      <c r="G369" s="178">
        <v>51201.67</v>
      </c>
      <c r="H369" s="178">
        <v>1369</v>
      </c>
      <c r="I369" s="178">
        <v>627975.03</v>
      </c>
      <c r="J369" s="178">
        <v>475176.78999999992</v>
      </c>
      <c r="K369" s="178">
        <v>95012.789999999979</v>
      </c>
      <c r="L369" s="178">
        <v>61718.39</v>
      </c>
      <c r="M369" s="181">
        <v>424.97315287401699</v>
      </c>
    </row>
    <row r="370" spans="1:13" x14ac:dyDescent="0.2">
      <c r="A370" s="13" t="s">
        <v>754</v>
      </c>
      <c r="B370" s="12">
        <v>2013</v>
      </c>
      <c r="C370" s="12" t="s">
        <v>755</v>
      </c>
      <c r="D370" s="175">
        <v>167.6442560705099</v>
      </c>
      <c r="E370" s="177">
        <v>248131.76</v>
      </c>
      <c r="F370" s="178">
        <v>2709296.8</v>
      </c>
      <c r="G370" s="179">
        <v>184507</v>
      </c>
      <c r="H370" s="179">
        <v>21328.57</v>
      </c>
      <c r="I370" s="179">
        <v>1238689.69</v>
      </c>
      <c r="J370" s="179">
        <v>1594951.65</v>
      </c>
      <c r="K370" s="179">
        <v>643083.21</v>
      </c>
      <c r="L370" s="179">
        <v>313868.08000000007</v>
      </c>
      <c r="M370" s="181">
        <v>1153.0449946881499</v>
      </c>
    </row>
    <row r="371" spans="1:13" x14ac:dyDescent="0.2">
      <c r="A371" s="13" t="s">
        <v>756</v>
      </c>
      <c r="B371" s="12">
        <v>2013</v>
      </c>
      <c r="C371" s="12" t="s">
        <v>757</v>
      </c>
      <c r="D371" s="175">
        <v>244.14385159491258</v>
      </c>
      <c r="E371" s="177">
        <v>1428095.43</v>
      </c>
      <c r="F371" s="178">
        <v>6565617.9500000002</v>
      </c>
      <c r="G371" s="178">
        <v>198102.35</v>
      </c>
      <c r="H371" s="178">
        <v>191873.93</v>
      </c>
      <c r="I371" s="178">
        <v>2180986.69</v>
      </c>
      <c r="J371" s="178">
        <v>2753312.88</v>
      </c>
      <c r="K371" s="178">
        <v>266815.64</v>
      </c>
      <c r="L371" s="178">
        <v>770322.06</v>
      </c>
      <c r="M371" s="181">
        <v>1896.74252533497</v>
      </c>
    </row>
    <row r="372" spans="1:13" x14ac:dyDescent="0.2">
      <c r="A372" s="13" t="s">
        <v>758</v>
      </c>
      <c r="B372" s="12">
        <v>2013</v>
      </c>
      <c r="C372" s="12" t="s">
        <v>759</v>
      </c>
      <c r="D372" s="175">
        <v>144.57384641326226</v>
      </c>
      <c r="E372" s="177">
        <v>449406.61</v>
      </c>
      <c r="F372" s="178">
        <v>3859103.74</v>
      </c>
      <c r="G372" s="178">
        <v>93947.16</v>
      </c>
      <c r="H372" s="178">
        <v>20442.79</v>
      </c>
      <c r="I372" s="178">
        <v>1245196.78</v>
      </c>
      <c r="J372" s="178">
        <v>1411477.7899999996</v>
      </c>
      <c r="K372" s="178">
        <v>292084.52</v>
      </c>
      <c r="L372" s="178">
        <v>449887.58000000019</v>
      </c>
      <c r="M372" s="181">
        <v>1172.35108196291</v>
      </c>
    </row>
    <row r="373" spans="1:13" x14ac:dyDescent="0.2">
      <c r="A373" s="13" t="s">
        <v>760</v>
      </c>
      <c r="B373" s="12">
        <v>2013</v>
      </c>
      <c r="C373" s="12" t="s">
        <v>761</v>
      </c>
      <c r="D373" s="175">
        <v>119.41982598149345</v>
      </c>
      <c r="E373" s="177">
        <v>247780.32</v>
      </c>
      <c r="F373" s="178">
        <v>2253218.9700000002</v>
      </c>
      <c r="G373" s="178">
        <v>87604.76</v>
      </c>
      <c r="H373" s="178">
        <v>73292.070000000007</v>
      </c>
      <c r="I373" s="178">
        <v>971265.57000000007</v>
      </c>
      <c r="J373" s="178">
        <v>1318284.75</v>
      </c>
      <c r="K373" s="178">
        <v>143673.66</v>
      </c>
      <c r="L373" s="178">
        <v>357572.91</v>
      </c>
      <c r="M373" s="181">
        <v>732.106879220819</v>
      </c>
    </row>
    <row r="374" spans="1:13" x14ac:dyDescent="0.2">
      <c r="A374" s="13" t="s">
        <v>762</v>
      </c>
      <c r="B374" s="12">
        <v>2013</v>
      </c>
      <c r="C374" s="12" t="s">
        <v>763</v>
      </c>
      <c r="D374" s="175">
        <v>410.96363764044935</v>
      </c>
      <c r="E374" s="177">
        <v>2444467.0499999998</v>
      </c>
      <c r="F374" s="178">
        <v>10933799.65</v>
      </c>
      <c r="G374" s="178">
        <v>165122.07</v>
      </c>
      <c r="H374" s="178">
        <v>15000</v>
      </c>
      <c r="I374" s="178">
        <v>3502302.2800000007</v>
      </c>
      <c r="J374" s="178">
        <v>3136696.3799999985</v>
      </c>
      <c r="K374" s="178">
        <v>519942.36999999982</v>
      </c>
      <c r="L374" s="178">
        <v>1275734.4199999997</v>
      </c>
      <c r="M374" s="181">
        <v>2901.23595505618</v>
      </c>
    </row>
    <row r="375" spans="1:13" x14ac:dyDescent="0.2">
      <c r="A375" s="13" t="s">
        <v>764</v>
      </c>
      <c r="B375" s="12">
        <v>2013</v>
      </c>
      <c r="C375" s="12" t="s">
        <v>765</v>
      </c>
      <c r="D375" s="175">
        <v>336.91079976477442</v>
      </c>
      <c r="E375" s="177">
        <v>1483022.57</v>
      </c>
      <c r="F375" s="178">
        <v>9704195.3599999994</v>
      </c>
      <c r="G375" s="178">
        <v>398988.08</v>
      </c>
      <c r="H375" s="178">
        <v>491808.53</v>
      </c>
      <c r="I375" s="178">
        <v>2905140.43</v>
      </c>
      <c r="J375" s="178">
        <v>4588724.7300000004</v>
      </c>
      <c r="K375" s="178">
        <v>1150514.3600000001</v>
      </c>
      <c r="L375" s="178">
        <v>805901.54000000015</v>
      </c>
      <c r="M375" s="181">
        <v>2367.3934046632899</v>
      </c>
    </row>
    <row r="376" spans="1:13" x14ac:dyDescent="0.2">
      <c r="A376" s="13" t="s">
        <v>766</v>
      </c>
      <c r="B376" s="12">
        <v>2013</v>
      </c>
      <c r="C376" s="12" t="s">
        <v>767</v>
      </c>
      <c r="D376" s="175">
        <v>34.082785660700907</v>
      </c>
      <c r="E376" s="177">
        <v>171180.01</v>
      </c>
      <c r="F376" s="178">
        <v>1518127.99</v>
      </c>
      <c r="G376" s="179">
        <v>47837.79</v>
      </c>
      <c r="H376" s="179">
        <v>0</v>
      </c>
      <c r="I376" s="179">
        <v>602359.17000000004</v>
      </c>
      <c r="J376" s="179">
        <v>552153.56999999995</v>
      </c>
      <c r="K376" s="179">
        <v>124384.23</v>
      </c>
      <c r="L376" s="179">
        <v>100318.53</v>
      </c>
      <c r="M376" s="181">
        <v>368.68147508305702</v>
      </c>
    </row>
    <row r="377" spans="1:13" x14ac:dyDescent="0.2">
      <c r="A377" s="13" t="s">
        <v>768</v>
      </c>
      <c r="B377" s="12">
        <v>2013</v>
      </c>
      <c r="C377" s="12" t="s">
        <v>769</v>
      </c>
      <c r="D377" s="175">
        <v>889.03362472780248</v>
      </c>
      <c r="E377" s="177">
        <v>4644178.3</v>
      </c>
      <c r="F377" s="178">
        <v>22840133.449999999</v>
      </c>
      <c r="G377" s="178">
        <v>956810.61</v>
      </c>
      <c r="H377" s="178">
        <v>0</v>
      </c>
      <c r="I377" s="178">
        <v>5997957.4400000004</v>
      </c>
      <c r="J377" s="178">
        <v>8114153.929999996</v>
      </c>
      <c r="K377" s="178">
        <v>1385775.2499999993</v>
      </c>
      <c r="L377" s="178">
        <v>3342223.2500000019</v>
      </c>
      <c r="M377" s="181">
        <v>6270.5872165247501</v>
      </c>
    </row>
    <row r="378" spans="1:13" x14ac:dyDescent="0.2">
      <c r="A378" s="13" t="s">
        <v>770</v>
      </c>
      <c r="B378" s="12">
        <v>2013</v>
      </c>
      <c r="C378" s="12" t="s">
        <v>771</v>
      </c>
      <c r="D378" s="175">
        <v>68.579492040217872</v>
      </c>
      <c r="E378" s="177">
        <v>349074.15</v>
      </c>
      <c r="F378" s="178">
        <v>3118749.71</v>
      </c>
      <c r="G378" s="178">
        <v>37749.68</v>
      </c>
      <c r="H378" s="178">
        <v>1982.94</v>
      </c>
      <c r="I378" s="178">
        <v>1084734.04</v>
      </c>
      <c r="J378" s="178">
        <v>1244337.73</v>
      </c>
      <c r="K378" s="178">
        <v>172233.41000000003</v>
      </c>
      <c r="L378" s="178">
        <v>444845.12</v>
      </c>
      <c r="M378" s="181">
        <v>519.22140325219698</v>
      </c>
    </row>
    <row r="379" spans="1:13" x14ac:dyDescent="0.2">
      <c r="A379" s="13" t="s">
        <v>772</v>
      </c>
      <c r="B379" s="12">
        <v>2013</v>
      </c>
      <c r="C379" s="12" t="s">
        <v>773</v>
      </c>
      <c r="D379" s="175">
        <v>177.19023041474654</v>
      </c>
      <c r="E379" s="177">
        <v>666455.54</v>
      </c>
      <c r="F379" s="178">
        <v>3701128.61</v>
      </c>
      <c r="G379" s="178">
        <v>65649.600000000006</v>
      </c>
      <c r="H379" s="178">
        <v>2197.8000000000002</v>
      </c>
      <c r="I379" s="178">
        <v>1316053.2100000002</v>
      </c>
      <c r="J379" s="178">
        <v>1812521.9700000004</v>
      </c>
      <c r="K379" s="178">
        <v>489538.55999999976</v>
      </c>
      <c r="L379" s="178">
        <v>369892.28</v>
      </c>
      <c r="M379" s="181">
        <v>1098.6120552995401</v>
      </c>
    </row>
    <row r="380" spans="1:13" x14ac:dyDescent="0.2">
      <c r="A380" s="13" t="s">
        <v>774</v>
      </c>
      <c r="B380" s="12">
        <v>2013</v>
      </c>
      <c r="C380" s="12" t="s">
        <v>775</v>
      </c>
      <c r="D380" s="175">
        <v>161.87504105090318</v>
      </c>
      <c r="E380" s="177">
        <v>669111.61</v>
      </c>
      <c r="F380" s="178">
        <v>4624531.6100000003</v>
      </c>
      <c r="G380" s="178">
        <v>84573.04</v>
      </c>
      <c r="H380" s="178">
        <v>0</v>
      </c>
      <c r="I380" s="178">
        <v>1256903.5</v>
      </c>
      <c r="J380" s="178">
        <v>1429716.23</v>
      </c>
      <c r="K380" s="178">
        <v>283975.33999999997</v>
      </c>
      <c r="L380" s="178">
        <v>317663.12999999995</v>
      </c>
      <c r="M380" s="181">
        <v>1286.3263678160899</v>
      </c>
    </row>
    <row r="381" spans="1:13" x14ac:dyDescent="0.2">
      <c r="A381" s="13" t="s">
        <v>776</v>
      </c>
      <c r="B381" s="12">
        <v>2013</v>
      </c>
      <c r="C381" s="12" t="s">
        <v>777</v>
      </c>
      <c r="D381" s="175">
        <v>43.071230274693171</v>
      </c>
      <c r="E381" s="177">
        <v>246582.08</v>
      </c>
      <c r="F381" s="178">
        <v>1910469.68</v>
      </c>
      <c r="G381" s="178">
        <v>60821.26</v>
      </c>
      <c r="H381" s="179">
        <v>221.97</v>
      </c>
      <c r="I381" s="179">
        <v>814296.65</v>
      </c>
      <c r="J381" s="179">
        <v>721453.20000000007</v>
      </c>
      <c r="K381" s="179">
        <v>276793.59000000003</v>
      </c>
      <c r="L381" s="179">
        <v>151605.64000000001</v>
      </c>
      <c r="M381" s="181">
        <v>557.32016072472197</v>
      </c>
    </row>
    <row r="382" spans="1:13" x14ac:dyDescent="0.2">
      <c r="A382" s="13" t="s">
        <v>778</v>
      </c>
      <c r="B382" s="12">
        <v>2013</v>
      </c>
      <c r="C382" s="12" t="s">
        <v>779</v>
      </c>
      <c r="D382" s="175">
        <v>302.57632976061029</v>
      </c>
      <c r="E382" s="177">
        <v>1374156.29</v>
      </c>
      <c r="F382" s="178">
        <v>8777479.8200000003</v>
      </c>
      <c r="G382" s="178">
        <v>72243.37</v>
      </c>
      <c r="H382" s="178">
        <v>209735.86</v>
      </c>
      <c r="I382" s="178">
        <v>2642410.48</v>
      </c>
      <c r="J382" s="178">
        <v>2241899.0200000005</v>
      </c>
      <c r="K382" s="178">
        <v>590686.69999999995</v>
      </c>
      <c r="L382" s="178">
        <v>660552.52</v>
      </c>
      <c r="M382" s="181">
        <v>2495.7425671021801</v>
      </c>
    </row>
    <row r="383" spans="1:13" x14ac:dyDescent="0.2">
      <c r="A383" s="13" t="s">
        <v>780</v>
      </c>
      <c r="B383" s="12">
        <v>2013</v>
      </c>
      <c r="C383" s="12" t="s">
        <v>781</v>
      </c>
      <c r="D383" s="175">
        <v>84.343091599967636</v>
      </c>
      <c r="E383" s="177">
        <v>635457.38</v>
      </c>
      <c r="F383" s="178">
        <v>3449647.41</v>
      </c>
      <c r="G383" s="179">
        <v>126375.87</v>
      </c>
      <c r="H383" s="179">
        <v>21411.99</v>
      </c>
      <c r="I383" s="179">
        <v>1635217.7400000002</v>
      </c>
      <c r="J383" s="179">
        <v>1785027.2400000002</v>
      </c>
      <c r="K383" s="179">
        <v>167050.97000000003</v>
      </c>
      <c r="L383" s="179">
        <v>445561.96</v>
      </c>
      <c r="M383" s="181">
        <v>943.21314199477195</v>
      </c>
    </row>
    <row r="384" spans="1:13" x14ac:dyDescent="0.2">
      <c r="A384" s="13" t="s">
        <v>782</v>
      </c>
      <c r="B384" s="12">
        <v>2013</v>
      </c>
      <c r="C384" s="12" t="s">
        <v>783</v>
      </c>
      <c r="D384" s="175">
        <v>343.09186574901537</v>
      </c>
      <c r="E384" s="177">
        <v>2503276.5099999998</v>
      </c>
      <c r="F384" s="178">
        <v>15247477.57</v>
      </c>
      <c r="G384" s="179">
        <v>463798.61</v>
      </c>
      <c r="H384" s="179">
        <v>52099.48</v>
      </c>
      <c r="I384" s="179">
        <v>5096577.6600000011</v>
      </c>
      <c r="J384" s="179">
        <v>5525027.6899999995</v>
      </c>
      <c r="K384" s="179">
        <v>594447.12000000023</v>
      </c>
      <c r="L384" s="179">
        <v>2140944.14</v>
      </c>
      <c r="M384" s="181">
        <v>3719.69604091473</v>
      </c>
    </row>
    <row r="385" spans="1:13" x14ac:dyDescent="0.2">
      <c r="A385" s="13" t="s">
        <v>784</v>
      </c>
      <c r="B385" s="12">
        <v>2013</v>
      </c>
      <c r="C385" s="12" t="s">
        <v>785</v>
      </c>
      <c r="D385" s="175">
        <v>107.39921038321711</v>
      </c>
      <c r="E385" s="177">
        <v>427035.53</v>
      </c>
      <c r="F385" s="178">
        <v>2778562.03</v>
      </c>
      <c r="G385" s="179">
        <v>53273.87</v>
      </c>
      <c r="H385" s="179">
        <v>1099</v>
      </c>
      <c r="I385" s="179">
        <v>1012121.1000000001</v>
      </c>
      <c r="J385" s="179">
        <v>1073294.25</v>
      </c>
      <c r="K385" s="179">
        <v>362476.29999999993</v>
      </c>
      <c r="L385" s="179">
        <v>251843.11000000002</v>
      </c>
      <c r="M385" s="181">
        <v>692.67878844711197</v>
      </c>
    </row>
    <row r="386" spans="1:13" x14ac:dyDescent="0.2">
      <c r="A386" s="13" t="s">
        <v>786</v>
      </c>
      <c r="B386" s="12">
        <v>2013</v>
      </c>
      <c r="C386" s="12" t="s">
        <v>787</v>
      </c>
      <c r="D386" s="182" t="e">
        <v>#N/A</v>
      </c>
      <c r="E386" s="183">
        <v>0</v>
      </c>
      <c r="F386" s="184">
        <v>0.95</v>
      </c>
      <c r="G386" s="185">
        <v>0</v>
      </c>
      <c r="H386" s="185">
        <v>0</v>
      </c>
      <c r="I386" s="179">
        <v>16771.37</v>
      </c>
      <c r="J386" s="179">
        <v>10107.58</v>
      </c>
      <c r="K386" s="185">
        <v>0</v>
      </c>
      <c r="L386" s="185">
        <v>0</v>
      </c>
      <c r="M386" s="187" t="e">
        <v>#N/A</v>
      </c>
    </row>
    <row r="387" spans="1:13" x14ac:dyDescent="0.2">
      <c r="A387" s="13" t="s">
        <v>788</v>
      </c>
      <c r="B387" s="12">
        <v>2013</v>
      </c>
      <c r="C387" s="12" t="s">
        <v>789</v>
      </c>
      <c r="D387" s="175">
        <v>435.50261006525699</v>
      </c>
      <c r="E387" s="177">
        <v>2535475.7200000002</v>
      </c>
      <c r="F387" s="178">
        <v>17280685.539999999</v>
      </c>
      <c r="G387" s="178">
        <v>195032.6</v>
      </c>
      <c r="H387" s="178">
        <v>169047.76</v>
      </c>
      <c r="I387" s="178">
        <v>4252569.870000001</v>
      </c>
      <c r="J387" s="178">
        <v>6950809.7000000002</v>
      </c>
      <c r="K387" s="178">
        <v>2198494.4000000004</v>
      </c>
      <c r="L387" s="178">
        <v>1934067.6400000004</v>
      </c>
      <c r="M387" s="181">
        <v>4542.2216593224202</v>
      </c>
    </row>
    <row r="388" spans="1:13" x14ac:dyDescent="0.2">
      <c r="A388" s="13" t="s">
        <v>790</v>
      </c>
      <c r="B388" s="12">
        <v>2013</v>
      </c>
      <c r="C388" s="12" t="s">
        <v>791</v>
      </c>
      <c r="D388" s="175">
        <v>77.188603801169577</v>
      </c>
      <c r="E388" s="177">
        <v>296586.59999999998</v>
      </c>
      <c r="F388" s="178">
        <v>2295987.0299999998</v>
      </c>
      <c r="G388" s="179">
        <v>94363.11</v>
      </c>
      <c r="H388" s="179">
        <v>3267.48</v>
      </c>
      <c r="I388" s="179">
        <v>920283.17000000016</v>
      </c>
      <c r="J388" s="179">
        <v>858628.55</v>
      </c>
      <c r="K388" s="179">
        <v>308113.76999999996</v>
      </c>
      <c r="L388" s="179">
        <v>337050.9</v>
      </c>
      <c r="M388" s="181">
        <v>622.06351817042605</v>
      </c>
    </row>
    <row r="389" spans="1:13" x14ac:dyDescent="0.2">
      <c r="A389" s="13" t="s">
        <v>792</v>
      </c>
      <c r="B389" s="12">
        <v>2013</v>
      </c>
      <c r="C389" s="12" t="s">
        <v>793</v>
      </c>
      <c r="D389" s="175">
        <v>312.89929748873817</v>
      </c>
      <c r="E389" s="177">
        <v>1175620.8400000001</v>
      </c>
      <c r="F389" s="178">
        <v>4496783.91</v>
      </c>
      <c r="G389" s="178">
        <v>114291.68</v>
      </c>
      <c r="H389" s="178">
        <v>300</v>
      </c>
      <c r="I389" s="178">
        <v>1362806.56</v>
      </c>
      <c r="J389" s="178">
        <v>1159446.2499999998</v>
      </c>
      <c r="K389" s="178">
        <v>374636.02999999997</v>
      </c>
      <c r="L389" s="178">
        <v>941703.16</v>
      </c>
      <c r="M389" s="181">
        <v>1675.56942310361</v>
      </c>
    </row>
    <row r="390" spans="1:13" x14ac:dyDescent="0.2">
      <c r="A390" s="13" t="s">
        <v>794</v>
      </c>
      <c r="B390" s="12">
        <v>2013</v>
      </c>
      <c r="C390" s="12" t="s">
        <v>795</v>
      </c>
      <c r="D390" s="175">
        <v>250.85865273136466</v>
      </c>
      <c r="E390" s="177">
        <v>855594.21</v>
      </c>
      <c r="F390" s="178">
        <v>5307828.54</v>
      </c>
      <c r="G390" s="178">
        <v>143701.57</v>
      </c>
      <c r="H390" s="178">
        <v>45586.61</v>
      </c>
      <c r="I390" s="178">
        <v>1912278.6099999999</v>
      </c>
      <c r="J390" s="178">
        <v>2651166.3900000006</v>
      </c>
      <c r="K390" s="178">
        <v>102742.08000000002</v>
      </c>
      <c r="L390" s="178">
        <v>523347.72999999992</v>
      </c>
      <c r="M390" s="181">
        <v>1712.79660318489</v>
      </c>
    </row>
    <row r="391" spans="1:13" x14ac:dyDescent="0.2">
      <c r="A391" s="13" t="s">
        <v>796</v>
      </c>
      <c r="B391" s="12">
        <v>2013</v>
      </c>
      <c r="C391" s="12" t="s">
        <v>797</v>
      </c>
      <c r="D391" s="175">
        <v>525.42309991742354</v>
      </c>
      <c r="E391" s="177">
        <v>5226196.8099999996</v>
      </c>
      <c r="F391" s="178">
        <v>20408278.289999999</v>
      </c>
      <c r="G391" s="178">
        <v>318206.78999999998</v>
      </c>
      <c r="H391" s="179">
        <v>15222.44</v>
      </c>
      <c r="I391" s="179">
        <v>7025940.3499999996</v>
      </c>
      <c r="J391" s="179">
        <v>7392550.2799999993</v>
      </c>
      <c r="K391" s="179">
        <v>879292.03</v>
      </c>
      <c r="L391" s="179">
        <v>3182323.5600000015</v>
      </c>
      <c r="M391" s="181">
        <v>3887.2418333792102</v>
      </c>
    </row>
    <row r="392" spans="1:13" x14ac:dyDescent="0.2">
      <c r="A392" s="13" t="s">
        <v>798</v>
      </c>
      <c r="B392" s="12">
        <v>2013</v>
      </c>
      <c r="C392" s="12" t="s">
        <v>799</v>
      </c>
      <c r="D392" s="175">
        <v>478.58696629213472</v>
      </c>
      <c r="E392" s="177">
        <v>1907687.95</v>
      </c>
      <c r="F392" s="178">
        <v>12365706.02</v>
      </c>
      <c r="G392" s="178">
        <v>223494.68</v>
      </c>
      <c r="H392" s="178">
        <v>19652.38</v>
      </c>
      <c r="I392" s="178">
        <v>3289220.3700000006</v>
      </c>
      <c r="J392" s="178">
        <v>4291689.9700000007</v>
      </c>
      <c r="K392" s="178">
        <v>1682234.8199999996</v>
      </c>
      <c r="L392" s="178">
        <v>1536068.9600000007</v>
      </c>
      <c r="M392" s="181">
        <v>3825.5992134831499</v>
      </c>
    </row>
    <row r="393" spans="1:13" x14ac:dyDescent="0.2">
      <c r="A393" s="13" t="s">
        <v>800</v>
      </c>
      <c r="B393" s="12">
        <v>2013</v>
      </c>
      <c r="C393" s="12" t="s">
        <v>801</v>
      </c>
      <c r="D393" s="175">
        <v>396.60221908390264</v>
      </c>
      <c r="E393" s="177">
        <v>2473819.9</v>
      </c>
      <c r="F393" s="178">
        <v>20771822.280000001</v>
      </c>
      <c r="G393" s="178">
        <v>532372.46</v>
      </c>
      <c r="H393" s="178">
        <v>64243.55</v>
      </c>
      <c r="I393" s="178">
        <v>5833550.0300000003</v>
      </c>
      <c r="J393" s="178">
        <v>6954794.0999999996</v>
      </c>
      <c r="K393" s="178">
        <v>855884.52</v>
      </c>
      <c r="L393" s="178">
        <v>2784972.74</v>
      </c>
      <c r="M393" s="181">
        <v>4421.5124976280104</v>
      </c>
    </row>
    <row r="394" spans="1:13" x14ac:dyDescent="0.2">
      <c r="A394" s="13" t="s">
        <v>802</v>
      </c>
      <c r="B394" s="12">
        <v>2013</v>
      </c>
      <c r="C394" s="12" t="s">
        <v>803</v>
      </c>
      <c r="D394" s="175">
        <v>190.47597576761774</v>
      </c>
      <c r="E394" s="177">
        <v>878858.25</v>
      </c>
      <c r="F394" s="178">
        <v>5165154.33</v>
      </c>
      <c r="G394" s="179">
        <v>326454.53999999998</v>
      </c>
      <c r="H394" s="179">
        <v>480056.41</v>
      </c>
      <c r="I394" s="179">
        <v>1546051.6400000001</v>
      </c>
      <c r="J394" s="179">
        <v>2631441.2399999998</v>
      </c>
      <c r="K394" s="179">
        <v>693033.17999999982</v>
      </c>
      <c r="L394" s="179">
        <v>726089.98</v>
      </c>
      <c r="M394" s="181">
        <v>1457.31328017398</v>
      </c>
    </row>
    <row r="395" spans="1:13" x14ac:dyDescent="0.2">
      <c r="A395" s="13" t="s">
        <v>804</v>
      </c>
      <c r="B395" s="12">
        <v>2013</v>
      </c>
      <c r="C395" s="12" t="s">
        <v>805</v>
      </c>
      <c r="D395" s="175">
        <v>275.82285586189448</v>
      </c>
      <c r="E395" s="177">
        <v>1346174.03</v>
      </c>
      <c r="F395" s="178">
        <v>11834041.210000001</v>
      </c>
      <c r="G395" s="178">
        <v>343954.97</v>
      </c>
      <c r="H395" s="178">
        <v>85989.41</v>
      </c>
      <c r="I395" s="178">
        <v>3379477.8099999996</v>
      </c>
      <c r="J395" s="178">
        <v>4354139.7200000007</v>
      </c>
      <c r="K395" s="178">
        <v>1319047.2800000005</v>
      </c>
      <c r="L395" s="178">
        <v>1625485.2699999998</v>
      </c>
      <c r="M395" s="181">
        <v>3570.7739411923999</v>
      </c>
    </row>
    <row r="396" spans="1:13" x14ac:dyDescent="0.2">
      <c r="A396" s="13" t="s">
        <v>806</v>
      </c>
      <c r="B396" s="12">
        <v>2013</v>
      </c>
      <c r="C396" s="12" t="s">
        <v>807</v>
      </c>
      <c r="D396" s="175">
        <v>108.83010057337312</v>
      </c>
      <c r="E396" s="177">
        <v>395695.81</v>
      </c>
      <c r="F396" s="178">
        <v>4081187.06</v>
      </c>
      <c r="G396" s="178">
        <v>120215.93</v>
      </c>
      <c r="H396" s="178">
        <v>68003.17</v>
      </c>
      <c r="I396" s="178">
        <v>1246555.44</v>
      </c>
      <c r="J396" s="178">
        <v>1461655.27</v>
      </c>
      <c r="K396" s="178">
        <v>373283.06999999983</v>
      </c>
      <c r="L396" s="178">
        <v>537047.02</v>
      </c>
      <c r="M396" s="181">
        <v>1149.6685236384001</v>
      </c>
    </row>
    <row r="397" spans="1:13" x14ac:dyDescent="0.2">
      <c r="A397" s="13" t="s">
        <v>808</v>
      </c>
      <c r="B397" s="12">
        <v>2013</v>
      </c>
      <c r="C397" s="12" t="s">
        <v>809</v>
      </c>
      <c r="D397" s="175">
        <v>240.42710809281266</v>
      </c>
      <c r="E397" s="177">
        <v>984973.27</v>
      </c>
      <c r="F397" s="178">
        <v>7192583.5999999996</v>
      </c>
      <c r="G397" s="179">
        <v>141329.43</v>
      </c>
      <c r="H397" s="179">
        <v>0</v>
      </c>
      <c r="I397" s="179">
        <v>2361511.62</v>
      </c>
      <c r="J397" s="179">
        <v>3319619.2700000005</v>
      </c>
      <c r="K397" s="179">
        <v>695772.14</v>
      </c>
      <c r="L397" s="179">
        <v>565397.59000000008</v>
      </c>
      <c r="M397" s="181">
        <v>2169.54169213356</v>
      </c>
    </row>
    <row r="398" spans="1:13" x14ac:dyDescent="0.2">
      <c r="A398" s="13" t="s">
        <v>810</v>
      </c>
      <c r="B398" s="12">
        <v>2013</v>
      </c>
      <c r="C398" s="12" t="s">
        <v>811</v>
      </c>
      <c r="D398" s="175">
        <v>647.92497379642316</v>
      </c>
      <c r="E398" s="177">
        <v>3785695.83</v>
      </c>
      <c r="F398" s="178">
        <v>20329071</v>
      </c>
      <c r="G398" s="179">
        <v>2624475.12</v>
      </c>
      <c r="H398" s="179">
        <v>62344.71</v>
      </c>
      <c r="I398" s="179">
        <v>5636910.5999999996</v>
      </c>
      <c r="J398" s="179">
        <v>6234440.0199999986</v>
      </c>
      <c r="K398" s="179">
        <v>488402.31</v>
      </c>
      <c r="L398" s="179">
        <v>3670951.3100000019</v>
      </c>
      <c r="M398" s="181">
        <v>5155.3097911532795</v>
      </c>
    </row>
    <row r="399" spans="1:13" x14ac:dyDescent="0.2">
      <c r="A399" s="13" t="s">
        <v>812</v>
      </c>
      <c r="B399" s="12">
        <v>2013</v>
      </c>
      <c r="C399" s="12" t="s">
        <v>813</v>
      </c>
      <c r="D399" s="175">
        <v>98.778333022562009</v>
      </c>
      <c r="E399" s="177">
        <v>431458.31</v>
      </c>
      <c r="F399" s="178">
        <v>4296846.5199999996</v>
      </c>
      <c r="G399" s="179">
        <v>96613.89</v>
      </c>
      <c r="H399" s="179">
        <v>7479.68</v>
      </c>
      <c r="I399" s="179">
        <v>1501474.07</v>
      </c>
      <c r="J399" s="179">
        <v>1721020.9900000002</v>
      </c>
      <c r="K399" s="179">
        <v>623527.13</v>
      </c>
      <c r="L399" s="179">
        <v>235807.56000000003</v>
      </c>
      <c r="M399" s="181">
        <v>1131.3880290882</v>
      </c>
    </row>
    <row r="400" spans="1:13" x14ac:dyDescent="0.2">
      <c r="A400" s="13" t="s">
        <v>814</v>
      </c>
      <c r="B400" s="12">
        <v>2013</v>
      </c>
      <c r="C400" s="12" t="s">
        <v>815</v>
      </c>
      <c r="D400" s="175">
        <v>103.66965512857477</v>
      </c>
      <c r="E400" s="177">
        <v>365540.55</v>
      </c>
      <c r="F400" s="178">
        <v>3808429.14</v>
      </c>
      <c r="G400" s="178">
        <v>86091.98</v>
      </c>
      <c r="H400" s="178">
        <v>5477</v>
      </c>
      <c r="I400" s="178">
        <v>1437122.62</v>
      </c>
      <c r="J400" s="178">
        <v>2320272.81</v>
      </c>
      <c r="K400" s="178">
        <v>455445.6599999998</v>
      </c>
      <c r="L400" s="178">
        <v>378536.45999999996</v>
      </c>
      <c r="M400" s="181">
        <v>1290.1724409569799</v>
      </c>
    </row>
    <row r="401" spans="1:13" x14ac:dyDescent="0.2">
      <c r="A401" s="13" t="s">
        <v>816</v>
      </c>
      <c r="B401" s="12">
        <v>2013</v>
      </c>
      <c r="C401" s="12" t="s">
        <v>817</v>
      </c>
      <c r="D401" s="175">
        <v>190.55510480054102</v>
      </c>
      <c r="E401" s="177">
        <v>940330.59</v>
      </c>
      <c r="F401" s="178">
        <v>6545320.79</v>
      </c>
      <c r="G401" s="179">
        <v>235586.03</v>
      </c>
      <c r="H401" s="179">
        <v>11729.94</v>
      </c>
      <c r="I401" s="179">
        <v>2960631.73</v>
      </c>
      <c r="J401" s="179">
        <v>2883801.29</v>
      </c>
      <c r="K401" s="179">
        <v>363935.81000000006</v>
      </c>
      <c r="L401" s="179">
        <v>1367471.25</v>
      </c>
      <c r="M401" s="181">
        <v>1639.1616835699799</v>
      </c>
    </row>
    <row r="402" spans="1:13" x14ac:dyDescent="0.2">
      <c r="A402" s="13" t="s">
        <v>818</v>
      </c>
      <c r="B402" s="12">
        <v>2013</v>
      </c>
      <c r="C402" s="12" t="s">
        <v>819</v>
      </c>
      <c r="D402" s="175">
        <v>1161.852979479437</v>
      </c>
      <c r="E402" s="177">
        <v>5059206.38</v>
      </c>
      <c r="F402" s="178">
        <v>31214043.77</v>
      </c>
      <c r="G402" s="178">
        <v>680392.59</v>
      </c>
      <c r="H402" s="178">
        <v>68684.28</v>
      </c>
      <c r="I402" s="178">
        <v>9748720.5399999954</v>
      </c>
      <c r="J402" s="178">
        <v>11169439.109999999</v>
      </c>
      <c r="K402" s="178">
        <v>5124896.060000007</v>
      </c>
      <c r="L402" s="178">
        <v>4463428.88</v>
      </c>
      <c r="M402" s="181">
        <v>8865.9909932563096</v>
      </c>
    </row>
    <row r="403" spans="1:13" x14ac:dyDescent="0.2">
      <c r="A403" s="13" t="s">
        <v>820</v>
      </c>
      <c r="B403" s="12">
        <v>2013</v>
      </c>
      <c r="C403" s="12" t="s">
        <v>821</v>
      </c>
      <c r="D403" s="175">
        <v>232.78884822822695</v>
      </c>
      <c r="E403" s="177">
        <v>508695.64</v>
      </c>
      <c r="F403" s="178">
        <v>6175671.04</v>
      </c>
      <c r="G403" s="179">
        <v>120398.93</v>
      </c>
      <c r="H403" s="179">
        <v>32002.080000000002</v>
      </c>
      <c r="I403" s="179">
        <v>1573010.9600000002</v>
      </c>
      <c r="J403" s="179">
        <v>3075407.2300000004</v>
      </c>
      <c r="K403" s="179">
        <v>671962.44000000006</v>
      </c>
      <c r="L403" s="179">
        <v>601474.39999999991</v>
      </c>
      <c r="M403" s="181">
        <v>1631.66931499626</v>
      </c>
    </row>
    <row r="404" spans="1:13" x14ac:dyDescent="0.2">
      <c r="A404" s="13" t="s">
        <v>822</v>
      </c>
      <c r="B404" s="12">
        <v>2013</v>
      </c>
      <c r="C404" s="12" t="s">
        <v>823</v>
      </c>
      <c r="D404" s="175">
        <v>299.92455555555546</v>
      </c>
      <c r="E404" s="177">
        <v>710273.02</v>
      </c>
      <c r="F404" s="178">
        <v>7601742.2800000003</v>
      </c>
      <c r="G404" s="179">
        <v>192205.53</v>
      </c>
      <c r="H404" s="179">
        <v>43741.2</v>
      </c>
      <c r="I404" s="179">
        <v>2281310.3699999996</v>
      </c>
      <c r="J404" s="179">
        <v>2980919.15</v>
      </c>
      <c r="K404" s="179">
        <v>113052.26</v>
      </c>
      <c r="L404" s="179">
        <v>528197.75</v>
      </c>
      <c r="M404" s="181">
        <v>1996.11988888889</v>
      </c>
    </row>
    <row r="405" spans="1:13" x14ac:dyDescent="0.2">
      <c r="A405" s="13" t="s">
        <v>824</v>
      </c>
      <c r="B405" s="12">
        <v>2013</v>
      </c>
      <c r="C405" s="12" t="s">
        <v>825</v>
      </c>
      <c r="D405" s="175">
        <v>171.49798060786873</v>
      </c>
      <c r="E405" s="177">
        <v>813459.21</v>
      </c>
      <c r="F405" s="178">
        <v>6059024.6500000004</v>
      </c>
      <c r="G405" s="178">
        <v>187502.19</v>
      </c>
      <c r="H405" s="178">
        <v>188154.39</v>
      </c>
      <c r="I405" s="178">
        <v>1647071.67</v>
      </c>
      <c r="J405" s="178">
        <v>2181407.8000000007</v>
      </c>
      <c r="K405" s="178">
        <v>277678.27999999997</v>
      </c>
      <c r="L405" s="178">
        <v>941894.24000000034</v>
      </c>
      <c r="M405" s="181">
        <v>1743.3228360992</v>
      </c>
    </row>
    <row r="406" spans="1:13" x14ac:dyDescent="0.2">
      <c r="A406" s="13" t="s">
        <v>826</v>
      </c>
      <c r="B406" s="12">
        <v>2013</v>
      </c>
      <c r="C406" s="12" t="s">
        <v>827</v>
      </c>
      <c r="D406" s="175">
        <v>159.84920096403388</v>
      </c>
      <c r="E406" s="177">
        <v>771203.23</v>
      </c>
      <c r="F406" s="178">
        <v>5122667.05</v>
      </c>
      <c r="G406" s="179">
        <v>117496.71</v>
      </c>
      <c r="H406" s="179">
        <v>212037.55</v>
      </c>
      <c r="I406" s="179">
        <v>1323104.5899999999</v>
      </c>
      <c r="J406" s="179">
        <v>2183860.9300000006</v>
      </c>
      <c r="K406" s="179">
        <v>324524.72000000003</v>
      </c>
      <c r="L406" s="179">
        <v>425847.15</v>
      </c>
      <c r="M406" s="181">
        <v>1417.6175676677799</v>
      </c>
    </row>
    <row r="407" spans="1:13" x14ac:dyDescent="0.2">
      <c r="A407" s="13" t="s">
        <v>828</v>
      </c>
      <c r="B407" s="12">
        <v>2013</v>
      </c>
      <c r="C407" s="12" t="s">
        <v>829</v>
      </c>
      <c r="D407" s="175">
        <v>126.85175788329107</v>
      </c>
      <c r="E407" s="183">
        <v>0</v>
      </c>
      <c r="F407" s="178">
        <v>3735868.67</v>
      </c>
      <c r="G407" s="179">
        <v>553751.56000000006</v>
      </c>
      <c r="H407" s="179">
        <v>0</v>
      </c>
      <c r="I407" s="179">
        <v>1157897.3800000001</v>
      </c>
      <c r="J407" s="179">
        <v>1275002.4699999997</v>
      </c>
      <c r="K407" s="179">
        <v>599047.39</v>
      </c>
      <c r="L407" s="179">
        <v>312439.87</v>
      </c>
      <c r="M407" s="181">
        <v>1018.50334360275</v>
      </c>
    </row>
    <row r="408" spans="1:13" x14ac:dyDescent="0.2">
      <c r="A408" s="13" t="s">
        <v>830</v>
      </c>
      <c r="B408" s="12">
        <v>2013</v>
      </c>
      <c r="C408" s="12" t="s">
        <v>831</v>
      </c>
      <c r="D408" s="175">
        <v>324.40265812399883</v>
      </c>
      <c r="E408" s="177">
        <v>1335112.6599999999</v>
      </c>
      <c r="F408" s="178">
        <v>9257724.2100000009</v>
      </c>
      <c r="G408" s="178">
        <v>130050.09</v>
      </c>
      <c r="H408" s="178">
        <v>18395.39</v>
      </c>
      <c r="I408" s="178">
        <v>2509279.0599999996</v>
      </c>
      <c r="J408" s="178">
        <v>3349796.6300000013</v>
      </c>
      <c r="K408" s="178">
        <v>1005616.2699999998</v>
      </c>
      <c r="L408" s="178">
        <v>645846.05999999982</v>
      </c>
      <c r="M408" s="181">
        <v>2466.64376270393</v>
      </c>
    </row>
    <row r="409" spans="1:13" x14ac:dyDescent="0.2">
      <c r="A409" s="13" t="s">
        <v>832</v>
      </c>
      <c r="B409" s="12">
        <v>2013</v>
      </c>
      <c r="C409" s="12" t="s">
        <v>833</v>
      </c>
      <c r="D409" s="175">
        <v>291.23276668683201</v>
      </c>
      <c r="E409" s="177">
        <v>1348411.64</v>
      </c>
      <c r="F409" s="178">
        <v>9656085.2899999991</v>
      </c>
      <c r="G409" s="178">
        <v>305461.48</v>
      </c>
      <c r="H409" s="178">
        <v>14494.58</v>
      </c>
      <c r="I409" s="178">
        <v>2758664.4699999997</v>
      </c>
      <c r="J409" s="178">
        <v>3041172.5200000009</v>
      </c>
      <c r="K409" s="178">
        <v>1941864.0199999996</v>
      </c>
      <c r="L409" s="178">
        <v>1046947.2000000004</v>
      </c>
      <c r="M409" s="181">
        <v>2915.8786630369</v>
      </c>
    </row>
    <row r="410" spans="1:13" x14ac:dyDescent="0.2">
      <c r="A410" s="13" t="s">
        <v>834</v>
      </c>
      <c r="B410" s="12">
        <v>2013</v>
      </c>
      <c r="C410" s="12" t="s">
        <v>835</v>
      </c>
      <c r="D410" s="175">
        <v>175.3552840698419</v>
      </c>
      <c r="E410" s="177">
        <v>657941.21</v>
      </c>
      <c r="F410" s="178">
        <v>4609218.2</v>
      </c>
      <c r="G410" s="179">
        <v>101982.75</v>
      </c>
      <c r="H410" s="179">
        <v>43084.98</v>
      </c>
      <c r="I410" s="179">
        <v>1275007.0899999999</v>
      </c>
      <c r="J410" s="179">
        <v>1471315.1000000003</v>
      </c>
      <c r="K410" s="179">
        <v>246337.89</v>
      </c>
      <c r="L410" s="179">
        <v>445537.01000000018</v>
      </c>
      <c r="M410" s="181">
        <v>1367.91186438214</v>
      </c>
    </row>
    <row r="411" spans="1:13" x14ac:dyDescent="0.2">
      <c r="A411" s="13" t="s">
        <v>836</v>
      </c>
      <c r="B411" s="12">
        <v>2013</v>
      </c>
      <c r="C411" s="12" t="s">
        <v>837</v>
      </c>
      <c r="D411" s="175">
        <v>292.72872847600712</v>
      </c>
      <c r="E411" s="177">
        <v>1808383.87</v>
      </c>
      <c r="F411" s="178">
        <v>9855245.9000000004</v>
      </c>
      <c r="G411" s="178">
        <v>429827.17</v>
      </c>
      <c r="H411" s="178">
        <v>86025.49</v>
      </c>
      <c r="I411" s="178">
        <v>2438400.8199999994</v>
      </c>
      <c r="J411" s="178">
        <v>2700024.8900000006</v>
      </c>
      <c r="K411" s="178">
        <v>430421.25999999995</v>
      </c>
      <c r="L411" s="178">
        <v>1399040.77</v>
      </c>
      <c r="M411" s="181">
        <v>2100.0853195974801</v>
      </c>
    </row>
    <row r="412" spans="1:13" x14ac:dyDescent="0.2">
      <c r="A412" s="13" t="s">
        <v>838</v>
      </c>
      <c r="B412" s="12">
        <v>2013</v>
      </c>
      <c r="C412" s="12" t="s">
        <v>839</v>
      </c>
      <c r="D412" s="175">
        <v>170.03047337278122</v>
      </c>
      <c r="E412" s="177">
        <v>486757.03</v>
      </c>
      <c r="F412" s="178">
        <v>3997611.71</v>
      </c>
      <c r="G412" s="178">
        <v>160675.95000000001</v>
      </c>
      <c r="H412" s="178">
        <v>19256.509999999998</v>
      </c>
      <c r="I412" s="178">
        <v>1428328.09</v>
      </c>
      <c r="J412" s="178">
        <v>2073996.2800000003</v>
      </c>
      <c r="K412" s="178">
        <v>435771.49000000017</v>
      </c>
      <c r="L412" s="178">
        <v>430717.95</v>
      </c>
      <c r="M412" s="181">
        <v>1307.93479289941</v>
      </c>
    </row>
    <row r="413" spans="1:13" x14ac:dyDescent="0.2">
      <c r="A413" s="13" t="s">
        <v>840</v>
      </c>
      <c r="B413" s="12">
        <v>2013</v>
      </c>
      <c r="C413" s="12" t="s">
        <v>841</v>
      </c>
      <c r="D413" s="175">
        <v>960.37379310426354</v>
      </c>
      <c r="E413" s="177">
        <v>6039556.2699999996</v>
      </c>
      <c r="F413" s="178">
        <v>30067954.120000001</v>
      </c>
      <c r="G413" s="178">
        <v>474303.36</v>
      </c>
      <c r="H413" s="178">
        <v>0</v>
      </c>
      <c r="I413" s="178">
        <v>7344674.5999999987</v>
      </c>
      <c r="J413" s="178">
        <v>7836528.1900000032</v>
      </c>
      <c r="K413" s="178">
        <v>3241538.8699999996</v>
      </c>
      <c r="L413" s="178">
        <v>3219809.8000000003</v>
      </c>
      <c r="M413" s="181">
        <v>7691.7102771630198</v>
      </c>
    </row>
    <row r="414" spans="1:13" x14ac:dyDescent="0.2">
      <c r="A414" s="13" t="s">
        <v>842</v>
      </c>
      <c r="B414" s="12">
        <v>2013</v>
      </c>
      <c r="C414" s="12" t="s">
        <v>843</v>
      </c>
      <c r="D414" s="175">
        <v>186.88886908240795</v>
      </c>
      <c r="E414" s="177">
        <v>1157069.98</v>
      </c>
      <c r="F414" s="178">
        <v>11315534.449999999</v>
      </c>
      <c r="G414" s="178">
        <v>401421.83</v>
      </c>
      <c r="H414" s="178">
        <v>115684.04</v>
      </c>
      <c r="I414" s="178">
        <v>3227809.8899999997</v>
      </c>
      <c r="J414" s="178">
        <v>2375974.9399999995</v>
      </c>
      <c r="K414" s="178">
        <v>251693.61000000002</v>
      </c>
      <c r="L414" s="178">
        <v>1543527.72</v>
      </c>
      <c r="M414" s="181">
        <v>2076.9527956360798</v>
      </c>
    </row>
    <row r="415" spans="1:13" x14ac:dyDescent="0.2">
      <c r="A415" s="13" t="s">
        <v>844</v>
      </c>
      <c r="B415" s="12">
        <v>2013</v>
      </c>
      <c r="C415" s="12" t="s">
        <v>845</v>
      </c>
      <c r="D415" s="175">
        <v>135.88617977528091</v>
      </c>
      <c r="E415" s="177">
        <v>357747.29</v>
      </c>
      <c r="F415" s="178">
        <v>4256156.59</v>
      </c>
      <c r="G415" s="178">
        <v>150735.23000000001</v>
      </c>
      <c r="H415" s="178">
        <v>-4169.33</v>
      </c>
      <c r="I415" s="178">
        <v>1948874.83</v>
      </c>
      <c r="J415" s="178">
        <v>1649444.0300000003</v>
      </c>
      <c r="K415" s="178">
        <v>396821.54000000004</v>
      </c>
      <c r="L415" s="178">
        <v>982713.60000000033</v>
      </c>
      <c r="M415" s="181">
        <v>1010.8915168539301</v>
      </c>
    </row>
    <row r="416" spans="1:13" x14ac:dyDescent="0.2">
      <c r="A416" s="13" t="s">
        <v>846</v>
      </c>
      <c r="B416" s="12">
        <v>2013</v>
      </c>
      <c r="C416" s="12" t="s">
        <v>847</v>
      </c>
      <c r="D416" s="175">
        <v>61.211786175115208</v>
      </c>
      <c r="E416" s="177">
        <v>228794.77</v>
      </c>
      <c r="F416" s="178">
        <v>1787357.59</v>
      </c>
      <c r="G416" s="179">
        <v>26791.58</v>
      </c>
      <c r="H416" s="179">
        <v>4017.82</v>
      </c>
      <c r="I416" s="179">
        <v>824246.49</v>
      </c>
      <c r="J416" s="179">
        <v>692722.3899999999</v>
      </c>
      <c r="K416" s="179">
        <v>141600.82999999999</v>
      </c>
      <c r="L416" s="179">
        <v>72145.710000000006</v>
      </c>
      <c r="M416" s="181">
        <v>451.09235760368699</v>
      </c>
    </row>
    <row r="417" spans="1:13" x14ac:dyDescent="0.2">
      <c r="A417" s="13" t="s">
        <v>848</v>
      </c>
      <c r="B417" s="12">
        <v>2013</v>
      </c>
      <c r="C417" s="12" t="s">
        <v>849</v>
      </c>
      <c r="D417" s="175">
        <v>1563.7881905821282</v>
      </c>
      <c r="E417" s="177">
        <v>9103419.3499999996</v>
      </c>
      <c r="F417" s="178">
        <v>72376033.519999996</v>
      </c>
      <c r="G417" s="178">
        <v>1150322.19</v>
      </c>
      <c r="H417" s="178">
        <v>35030.83</v>
      </c>
      <c r="I417" s="178">
        <v>15372113.680000002</v>
      </c>
      <c r="J417" s="178">
        <v>21617979.059999995</v>
      </c>
      <c r="K417" s="178">
        <v>9320312.570000004</v>
      </c>
      <c r="L417" s="178">
        <v>5962762.9999999981</v>
      </c>
      <c r="M417" s="181">
        <v>17250.8969447534</v>
      </c>
    </row>
    <row r="418" spans="1:13" x14ac:dyDescent="0.2">
      <c r="A418" s="13" t="s">
        <v>850</v>
      </c>
      <c r="B418" s="12">
        <v>2013</v>
      </c>
      <c r="C418" s="12" t="s">
        <v>851</v>
      </c>
      <c r="D418" s="175">
        <v>382.80971654749749</v>
      </c>
      <c r="E418" s="177">
        <v>2339795.6</v>
      </c>
      <c r="F418" s="178">
        <v>14356444.529999999</v>
      </c>
      <c r="G418" s="178">
        <v>525715.56999999995</v>
      </c>
      <c r="H418" s="178">
        <v>15673.76</v>
      </c>
      <c r="I418" s="178">
        <v>4588526.9800000023</v>
      </c>
      <c r="J418" s="178">
        <v>5300452.080000001</v>
      </c>
      <c r="K418" s="178">
        <v>1153309.9600000002</v>
      </c>
      <c r="L418" s="178">
        <v>1250737.19</v>
      </c>
      <c r="M418" s="181">
        <v>3635.80648237998</v>
      </c>
    </row>
    <row r="419" spans="1:13" x14ac:dyDescent="0.2">
      <c r="A419" s="13" t="s">
        <v>852</v>
      </c>
      <c r="B419" s="12">
        <v>2013</v>
      </c>
      <c r="C419" s="12" t="s">
        <v>853</v>
      </c>
      <c r="D419" s="175">
        <v>174.09546937296119</v>
      </c>
      <c r="E419" s="177">
        <v>825649.66</v>
      </c>
      <c r="F419" s="178">
        <v>6499392.6200000001</v>
      </c>
      <c r="G419" s="179">
        <v>195063.18</v>
      </c>
      <c r="H419" s="179">
        <v>100103.2</v>
      </c>
      <c r="I419" s="179">
        <v>1943564.4500000002</v>
      </c>
      <c r="J419" s="179">
        <v>2290494.5200000005</v>
      </c>
      <c r="K419" s="179">
        <v>804565.66999999993</v>
      </c>
      <c r="L419" s="179">
        <v>833311.21999999986</v>
      </c>
      <c r="M419" s="181">
        <v>1858.24018847408</v>
      </c>
    </row>
    <row r="420" spans="1:13" x14ac:dyDescent="0.2">
      <c r="A420" s="13" t="s">
        <v>854</v>
      </c>
      <c r="B420" s="12">
        <v>2013</v>
      </c>
      <c r="C420" s="12" t="s">
        <v>855</v>
      </c>
      <c r="D420" s="175">
        <v>233.19719012500357</v>
      </c>
      <c r="E420" s="177">
        <v>2730692.01</v>
      </c>
      <c r="F420" s="178">
        <v>16598486.92</v>
      </c>
      <c r="G420" s="178">
        <v>223980.4</v>
      </c>
      <c r="H420" s="178">
        <v>239921.01</v>
      </c>
      <c r="I420" s="178">
        <v>6128977.1500000013</v>
      </c>
      <c r="J420" s="178">
        <v>7928906.7600000007</v>
      </c>
      <c r="K420" s="178">
        <v>2942213.2100000014</v>
      </c>
      <c r="L420" s="178">
        <v>3213054.6800000011</v>
      </c>
      <c r="M420" s="181">
        <v>2134.9959979768801</v>
      </c>
    </row>
    <row r="421" spans="1:13" x14ac:dyDescent="0.2">
      <c r="A421" s="13" t="s">
        <v>856</v>
      </c>
      <c r="B421" s="12">
        <v>2013</v>
      </c>
      <c r="C421" s="12" t="s">
        <v>857</v>
      </c>
      <c r="D421" s="175">
        <v>447.99200772956181</v>
      </c>
      <c r="E421" s="177">
        <v>3114008.69</v>
      </c>
      <c r="F421" s="178">
        <v>13819751.119999999</v>
      </c>
      <c r="G421" s="178">
        <v>573913.21</v>
      </c>
      <c r="H421" s="178">
        <v>57303.51</v>
      </c>
      <c r="I421" s="178">
        <v>3722238.7399999998</v>
      </c>
      <c r="J421" s="178">
        <v>5657691.46</v>
      </c>
      <c r="K421" s="178">
        <v>2328071.6800000002</v>
      </c>
      <c r="L421" s="178">
        <v>1419143.01</v>
      </c>
      <c r="M421" s="181">
        <v>3870.6139788289402</v>
      </c>
    </row>
    <row r="422" spans="1:13" x14ac:dyDescent="0.2">
      <c r="A422" s="13" t="s">
        <v>858</v>
      </c>
      <c r="B422" s="12">
        <v>2013</v>
      </c>
      <c r="C422" s="12" t="s">
        <v>859</v>
      </c>
      <c r="D422" s="175">
        <v>230.62845567482583</v>
      </c>
      <c r="E422" s="177">
        <v>1007494.61</v>
      </c>
      <c r="F422" s="178">
        <v>6374540.9900000002</v>
      </c>
      <c r="G422" s="178">
        <v>196768.17</v>
      </c>
      <c r="H422" s="178">
        <v>6766.62</v>
      </c>
      <c r="I422" s="178">
        <v>1725809.32</v>
      </c>
      <c r="J422" s="178">
        <v>1666065.7900000003</v>
      </c>
      <c r="K422" s="178">
        <v>455242.80000000016</v>
      </c>
      <c r="L422" s="178">
        <v>564599.67999999993</v>
      </c>
      <c r="M422" s="181">
        <v>1609.44972576195</v>
      </c>
    </row>
    <row r="423" spans="1:13" x14ac:dyDescent="0.2">
      <c r="A423" s="13" t="s">
        <v>860</v>
      </c>
      <c r="B423" s="12">
        <v>2013</v>
      </c>
      <c r="C423" s="12" t="s">
        <v>861</v>
      </c>
      <c r="D423" s="175">
        <v>75.56452749714731</v>
      </c>
      <c r="E423" s="177">
        <v>375657.77</v>
      </c>
      <c r="F423" s="178">
        <v>2875355.12</v>
      </c>
      <c r="G423" s="179">
        <v>53297.09</v>
      </c>
      <c r="H423" s="179">
        <v>36017.64</v>
      </c>
      <c r="I423" s="179">
        <v>957839.62</v>
      </c>
      <c r="J423" s="179">
        <v>1051894.04</v>
      </c>
      <c r="K423" s="179">
        <v>114333.48</v>
      </c>
      <c r="L423" s="179">
        <v>229775.33000000002</v>
      </c>
      <c r="M423" s="181">
        <v>817.08231833235902</v>
      </c>
    </row>
    <row r="424" spans="1:13" x14ac:dyDescent="0.2">
      <c r="A424" s="13" t="s">
        <v>862</v>
      </c>
      <c r="B424" s="12">
        <v>2013</v>
      </c>
      <c r="C424" s="12" t="s">
        <v>863</v>
      </c>
      <c r="D424" s="175">
        <v>191.47288804554088</v>
      </c>
      <c r="E424" s="177">
        <v>809301.27</v>
      </c>
      <c r="F424" s="178">
        <v>5059226.49</v>
      </c>
      <c r="G424" s="179">
        <v>197250.19</v>
      </c>
      <c r="H424" s="179">
        <v>134695.04999999999</v>
      </c>
      <c r="I424" s="179">
        <v>1335575.1399999999</v>
      </c>
      <c r="J424" s="179">
        <v>2045489.27</v>
      </c>
      <c r="K424" s="179">
        <v>216860.97999999998</v>
      </c>
      <c r="L424" s="179">
        <v>683058.76</v>
      </c>
      <c r="M424" s="181">
        <v>1544.26713092979</v>
      </c>
    </row>
    <row r="425" spans="1:13" x14ac:dyDescent="0.2">
      <c r="A425" s="13" t="s">
        <v>864</v>
      </c>
      <c r="B425" s="12">
        <v>2013</v>
      </c>
      <c r="C425" s="12" t="s">
        <v>865</v>
      </c>
      <c r="D425" s="175">
        <v>44.600531154239029</v>
      </c>
      <c r="E425" s="177">
        <v>19090.05</v>
      </c>
      <c r="F425" s="178">
        <v>6373980.6299999999</v>
      </c>
      <c r="G425" s="178">
        <v>203515.76</v>
      </c>
      <c r="H425" s="178">
        <v>5625.19</v>
      </c>
      <c r="I425" s="178">
        <v>1609609.26</v>
      </c>
      <c r="J425" s="178">
        <v>1145184.3499999999</v>
      </c>
      <c r="K425" s="178">
        <v>411180.1</v>
      </c>
      <c r="L425" s="178">
        <v>629373.99</v>
      </c>
      <c r="M425" s="181">
        <v>936.79003246753302</v>
      </c>
    </row>
    <row r="426" spans="1:13" x14ac:dyDescent="0.2">
      <c r="A426" s="13" t="s">
        <v>866</v>
      </c>
      <c r="B426" s="12">
        <v>2013</v>
      </c>
      <c r="C426" s="12" t="s">
        <v>867</v>
      </c>
      <c r="D426" s="175">
        <v>138.43982202447162</v>
      </c>
      <c r="E426" s="177">
        <v>393548.4</v>
      </c>
      <c r="F426" s="178">
        <v>5091082.38</v>
      </c>
      <c r="G426" s="179">
        <v>215263.87</v>
      </c>
      <c r="H426" s="179">
        <v>86100.160000000003</v>
      </c>
      <c r="I426" s="179">
        <v>1236383.3200000003</v>
      </c>
      <c r="J426" s="179">
        <v>1797232.02</v>
      </c>
      <c r="K426" s="179">
        <v>183793.51000000004</v>
      </c>
      <c r="L426" s="179">
        <v>400323.9</v>
      </c>
      <c r="M426" s="181">
        <v>1400.28196885428</v>
      </c>
    </row>
    <row r="427" spans="1:13" x14ac:dyDescent="0.2">
      <c r="A427" s="13" t="s">
        <v>868</v>
      </c>
      <c r="B427" s="12">
        <v>2013</v>
      </c>
      <c r="C427" s="12" t="s">
        <v>869</v>
      </c>
      <c r="D427" s="175">
        <v>49.65253985910266</v>
      </c>
      <c r="E427" s="177">
        <v>153645.42000000001</v>
      </c>
      <c r="F427" s="178">
        <v>2103125.5099999998</v>
      </c>
      <c r="G427" s="179">
        <v>67560.3</v>
      </c>
      <c r="H427" s="179">
        <v>33245.760000000002</v>
      </c>
      <c r="I427" s="179">
        <v>569792.96</v>
      </c>
      <c r="J427" s="179">
        <v>620149.35</v>
      </c>
      <c r="K427" s="179">
        <v>192975.90999999995</v>
      </c>
      <c r="L427" s="179">
        <v>115979.17000000001</v>
      </c>
      <c r="M427" s="181">
        <v>463.29419540229799</v>
      </c>
    </row>
    <row r="428" spans="1:13" x14ac:dyDescent="0.2">
      <c r="A428" s="13" t="s">
        <v>870</v>
      </c>
      <c r="B428" s="12">
        <v>2013</v>
      </c>
      <c r="C428" s="12" t="s">
        <v>871</v>
      </c>
      <c r="D428" s="175">
        <v>380.94764252696456</v>
      </c>
      <c r="E428" s="177">
        <v>2368454.09</v>
      </c>
      <c r="F428" s="178">
        <v>10203823.470000001</v>
      </c>
      <c r="G428" s="178">
        <v>208831.42</v>
      </c>
      <c r="H428" s="178">
        <v>3300.54</v>
      </c>
      <c r="I428" s="178">
        <v>3991069.6400000015</v>
      </c>
      <c r="J428" s="178">
        <v>3880058.709999999</v>
      </c>
      <c r="K428" s="178">
        <v>1796876.8900000001</v>
      </c>
      <c r="L428" s="178">
        <v>1291463.58</v>
      </c>
      <c r="M428" s="181">
        <v>3047.3790087313801</v>
      </c>
    </row>
    <row r="429" spans="1:13" x14ac:dyDescent="0.2">
      <c r="A429" s="13" t="s">
        <v>872</v>
      </c>
      <c r="B429" s="12">
        <v>2013</v>
      </c>
      <c r="C429" s="12" t="s">
        <v>873</v>
      </c>
      <c r="D429" s="175">
        <v>127.72692139439505</v>
      </c>
      <c r="E429" s="177">
        <v>513357.21</v>
      </c>
      <c r="F429" s="178">
        <v>3819293.78</v>
      </c>
      <c r="G429" s="179">
        <v>69883.850000000006</v>
      </c>
      <c r="H429" s="179">
        <v>89615.17</v>
      </c>
      <c r="I429" s="179">
        <v>1083583.08</v>
      </c>
      <c r="J429" s="179">
        <v>1430438.07</v>
      </c>
      <c r="K429" s="179">
        <v>161643.29999999999</v>
      </c>
      <c r="L429" s="179">
        <v>273154</v>
      </c>
      <c r="M429" s="181">
        <v>982.30507778537196</v>
      </c>
    </row>
    <row r="430" spans="1:13" x14ac:dyDescent="0.2">
      <c r="A430" s="13" t="s">
        <v>874</v>
      </c>
      <c r="B430" s="12">
        <v>2013</v>
      </c>
      <c r="C430" s="12" t="s">
        <v>875</v>
      </c>
      <c r="D430" s="175">
        <v>48.394993812825255</v>
      </c>
      <c r="E430" s="177">
        <v>195450.22</v>
      </c>
      <c r="F430" s="178">
        <v>2359590.79</v>
      </c>
      <c r="G430" s="179">
        <v>127341.98</v>
      </c>
      <c r="H430" s="179">
        <v>42438.36</v>
      </c>
      <c r="I430" s="179">
        <v>766232.90999999992</v>
      </c>
      <c r="J430" s="179">
        <v>829619.6100000001</v>
      </c>
      <c r="K430" s="179">
        <v>254512.97999999989</v>
      </c>
      <c r="L430" s="179">
        <v>89121.33</v>
      </c>
      <c r="M430" s="181">
        <v>532.06379684877902</v>
      </c>
    </row>
    <row r="431" spans="1:13" x14ac:dyDescent="0.2">
      <c r="A431" s="13" t="s">
        <v>876</v>
      </c>
      <c r="B431" s="12">
        <v>2013</v>
      </c>
      <c r="C431" s="12" t="s">
        <v>877</v>
      </c>
      <c r="D431" s="175">
        <v>136.21853549091733</v>
      </c>
      <c r="E431" s="177">
        <v>740096.01</v>
      </c>
      <c r="F431" s="178">
        <v>4112865.26</v>
      </c>
      <c r="G431" s="178">
        <v>365006.67</v>
      </c>
      <c r="H431" s="179">
        <v>5762.87</v>
      </c>
      <c r="I431" s="179">
        <v>1094512.9000000001</v>
      </c>
      <c r="J431" s="179">
        <v>1339357.48</v>
      </c>
      <c r="K431" s="179">
        <v>450081.65</v>
      </c>
      <c r="L431" s="179">
        <v>301142.53999999998</v>
      </c>
      <c r="M431" s="181">
        <v>1037.87430893429</v>
      </c>
    </row>
    <row r="432" spans="1:13" x14ac:dyDescent="0.2">
      <c r="A432" s="13" t="s">
        <v>878</v>
      </c>
      <c r="B432" s="12">
        <v>2013</v>
      </c>
      <c r="C432" s="12" t="s">
        <v>879</v>
      </c>
      <c r="D432" s="175">
        <v>1639.4050294275019</v>
      </c>
      <c r="E432" s="177">
        <v>13308300.4</v>
      </c>
      <c r="F432" s="178">
        <v>47488915.25</v>
      </c>
      <c r="G432" s="178">
        <v>2107759.41</v>
      </c>
      <c r="H432" s="178">
        <v>161121.01999999999</v>
      </c>
      <c r="I432" s="178">
        <v>16384354.499999996</v>
      </c>
      <c r="J432" s="178">
        <v>15094958.630000008</v>
      </c>
      <c r="K432" s="178">
        <v>6004110.7299999949</v>
      </c>
      <c r="L432" s="178">
        <v>10260034.279999983</v>
      </c>
      <c r="M432" s="181">
        <v>10812.963282504001</v>
      </c>
    </row>
    <row r="433" spans="1:13" x14ac:dyDescent="0.2">
      <c r="A433" s="13" t="s">
        <v>880</v>
      </c>
      <c r="B433" s="12">
        <v>2013</v>
      </c>
      <c r="C433" s="12" t="s">
        <v>881</v>
      </c>
      <c r="D433" s="175">
        <v>147.09247191011235</v>
      </c>
      <c r="E433" s="177">
        <v>399727.68</v>
      </c>
      <c r="F433" s="178">
        <v>3874867.55</v>
      </c>
      <c r="G433" s="178">
        <v>103365.42</v>
      </c>
      <c r="H433" s="178">
        <v>2040.73</v>
      </c>
      <c r="I433" s="178">
        <v>1453127.6099999999</v>
      </c>
      <c r="J433" s="178">
        <v>1215758.56</v>
      </c>
      <c r="K433" s="178">
        <v>400163.48999999982</v>
      </c>
      <c r="L433" s="178">
        <v>488976.49000000005</v>
      </c>
      <c r="M433" s="181">
        <v>956.60500000000002</v>
      </c>
    </row>
    <row r="434" spans="1:13" x14ac:dyDescent="0.2">
      <c r="A434" s="13" t="s">
        <v>882</v>
      </c>
      <c r="B434" s="12">
        <v>2013</v>
      </c>
      <c r="C434" s="12" t="s">
        <v>883</v>
      </c>
      <c r="D434" s="175">
        <v>250.95904267741597</v>
      </c>
      <c r="E434" s="177">
        <v>1032177.38</v>
      </c>
      <c r="F434" s="178">
        <v>5616685.2199999997</v>
      </c>
      <c r="G434" s="178">
        <v>210819.57</v>
      </c>
      <c r="H434" s="178">
        <v>70756.98</v>
      </c>
      <c r="I434" s="178">
        <v>1416430.1199999999</v>
      </c>
      <c r="J434" s="178">
        <v>2062113.0700000003</v>
      </c>
      <c r="K434" s="178">
        <v>417575.11999999994</v>
      </c>
      <c r="L434" s="178">
        <v>762845.12</v>
      </c>
      <c r="M434" s="181">
        <v>1516.5543960872201</v>
      </c>
    </row>
    <row r="435" spans="1:13" x14ac:dyDescent="0.2">
      <c r="A435" s="13" t="s">
        <v>884</v>
      </c>
      <c r="B435" s="12">
        <v>2013</v>
      </c>
      <c r="C435" s="12" t="s">
        <v>885</v>
      </c>
      <c r="D435" s="175">
        <v>270.08617118768348</v>
      </c>
      <c r="E435" s="177">
        <v>1524395.09</v>
      </c>
      <c r="F435" s="178">
        <v>10264523.73</v>
      </c>
      <c r="G435" s="178">
        <v>275427.56</v>
      </c>
      <c r="H435" s="178">
        <v>0</v>
      </c>
      <c r="I435" s="178">
        <v>2667880.21</v>
      </c>
      <c r="J435" s="178">
        <v>2763208.7699999996</v>
      </c>
      <c r="K435" s="178">
        <v>794001.3899999999</v>
      </c>
      <c r="L435" s="178">
        <v>1500574.8100000003</v>
      </c>
      <c r="M435" s="181">
        <v>2378.62203314831</v>
      </c>
    </row>
    <row r="436" spans="1:13" x14ac:dyDescent="0.2">
      <c r="A436" s="13" t="s">
        <v>886</v>
      </c>
      <c r="B436" s="12">
        <v>2013</v>
      </c>
      <c r="C436" s="12" t="s">
        <v>887</v>
      </c>
      <c r="D436" s="175">
        <v>79.837541218638009</v>
      </c>
      <c r="E436" s="177">
        <v>548172.48</v>
      </c>
      <c r="F436" s="178">
        <v>2740845.06</v>
      </c>
      <c r="G436" s="178">
        <v>158709.79</v>
      </c>
      <c r="H436" s="178">
        <v>7249.95</v>
      </c>
      <c r="I436" s="178">
        <v>900037.59000000008</v>
      </c>
      <c r="J436" s="178">
        <v>1177386.9200000002</v>
      </c>
      <c r="K436" s="178">
        <v>238209.85</v>
      </c>
      <c r="L436" s="178">
        <v>309456.00000000006</v>
      </c>
      <c r="M436" s="181">
        <v>806.73750537634396</v>
      </c>
    </row>
    <row r="437" spans="1:13" x14ac:dyDescent="0.2">
      <c r="A437" s="13" t="s">
        <v>888</v>
      </c>
      <c r="B437" s="12">
        <v>2013</v>
      </c>
      <c r="C437" s="12" t="s">
        <v>889</v>
      </c>
      <c r="D437" s="175">
        <v>145.04909786768727</v>
      </c>
      <c r="E437" s="183">
        <v>0</v>
      </c>
      <c r="F437" s="178">
        <v>8304679.4299999997</v>
      </c>
      <c r="G437" s="178">
        <v>291387.15999999997</v>
      </c>
      <c r="H437" s="178">
        <v>43112.33</v>
      </c>
      <c r="I437" s="178">
        <v>2462155.79</v>
      </c>
      <c r="J437" s="178">
        <v>4359834.75</v>
      </c>
      <c r="K437" s="178">
        <v>1380734.6699999992</v>
      </c>
      <c r="L437" s="178">
        <v>1135358.98</v>
      </c>
      <c r="M437" s="181">
        <v>1785.6904319300199</v>
      </c>
    </row>
    <row r="438" spans="1:13" x14ac:dyDescent="0.2">
      <c r="A438" s="13" t="s">
        <v>890</v>
      </c>
      <c r="B438" s="12">
        <v>2013</v>
      </c>
      <c r="C438" s="12" t="s">
        <v>891</v>
      </c>
      <c r="D438" s="175">
        <v>452.02491525423727</v>
      </c>
      <c r="E438" s="177">
        <v>2406138.7400000002</v>
      </c>
      <c r="F438" s="178">
        <v>17066970.52</v>
      </c>
      <c r="G438" s="179">
        <v>881061.08</v>
      </c>
      <c r="H438" s="179">
        <v>239186.61</v>
      </c>
      <c r="I438" s="179">
        <v>5098777.5999999996</v>
      </c>
      <c r="J438" s="179">
        <v>5692480.5199999996</v>
      </c>
      <c r="K438" s="179">
        <v>676755.9600000002</v>
      </c>
      <c r="L438" s="179">
        <v>2634215.3299999996</v>
      </c>
      <c r="M438" s="181">
        <v>4730.9175706214701</v>
      </c>
    </row>
    <row r="439" spans="1:13" x14ac:dyDescent="0.2">
      <c r="A439" s="13" t="s">
        <v>892</v>
      </c>
      <c r="B439" s="12">
        <v>2013</v>
      </c>
      <c r="C439" s="12" t="s">
        <v>893</v>
      </c>
      <c r="D439" s="175">
        <v>390.35985953494054</v>
      </c>
      <c r="E439" s="177">
        <v>1383426.33</v>
      </c>
      <c r="F439" s="178">
        <v>19742336.609999999</v>
      </c>
      <c r="G439" s="178">
        <v>623647.77</v>
      </c>
      <c r="H439" s="178">
        <v>11353.97</v>
      </c>
      <c r="I439" s="178">
        <v>4318713.7000000011</v>
      </c>
      <c r="J439" s="178">
        <v>5409210.8200000012</v>
      </c>
      <c r="K439" s="178">
        <v>616639.09000000032</v>
      </c>
      <c r="L439" s="178">
        <v>2404944.1600000006</v>
      </c>
      <c r="M439" s="181">
        <v>4668.8195641954799</v>
      </c>
    </row>
    <row r="440" spans="1:13" x14ac:dyDescent="0.2">
      <c r="A440" s="13" t="s">
        <v>894</v>
      </c>
      <c r="B440" s="12">
        <v>2013</v>
      </c>
      <c r="C440" s="12" t="s">
        <v>895</v>
      </c>
      <c r="D440" s="175">
        <v>39.200076120696281</v>
      </c>
      <c r="E440" s="177">
        <v>73146.44</v>
      </c>
      <c r="F440" s="178">
        <v>1763509.27</v>
      </c>
      <c r="G440" s="178">
        <v>60241.68</v>
      </c>
      <c r="H440" s="178">
        <v>0</v>
      </c>
      <c r="I440" s="178">
        <v>794395.2</v>
      </c>
      <c r="J440" s="178">
        <v>622466.09</v>
      </c>
      <c r="K440" s="178">
        <v>55413.719999999994</v>
      </c>
      <c r="L440" s="178">
        <v>95842.94</v>
      </c>
      <c r="M440" s="181">
        <v>512.34809577606904</v>
      </c>
    </row>
    <row r="441" spans="1:13" x14ac:dyDescent="0.2">
      <c r="A441" s="13" t="s">
        <v>896</v>
      </c>
      <c r="B441" s="12">
        <v>2013</v>
      </c>
      <c r="C441" s="12" t="s">
        <v>897</v>
      </c>
      <c r="D441" s="175">
        <v>1191.7297177125179</v>
      </c>
      <c r="E441" s="177">
        <v>6903744.04</v>
      </c>
      <c r="F441" s="178">
        <v>39482212.670000002</v>
      </c>
      <c r="G441" s="178">
        <v>488071.19</v>
      </c>
      <c r="H441" s="178">
        <v>145837.07999999999</v>
      </c>
      <c r="I441" s="178">
        <v>12011925.029999994</v>
      </c>
      <c r="J441" s="178">
        <v>14735129.380000003</v>
      </c>
      <c r="K441" s="178">
        <v>3871016.0499999975</v>
      </c>
      <c r="L441" s="178">
        <v>4810051.0699999947</v>
      </c>
      <c r="M441" s="181">
        <v>9811.5159199047703</v>
      </c>
    </row>
    <row r="442" spans="1:13" x14ac:dyDescent="0.2">
      <c r="A442" s="13" t="s">
        <v>898</v>
      </c>
      <c r="B442" s="12">
        <v>2013</v>
      </c>
      <c r="C442" s="12" t="s">
        <v>899</v>
      </c>
      <c r="D442" s="175">
        <v>199.10992766048653</v>
      </c>
      <c r="E442" s="177">
        <v>604181.49</v>
      </c>
      <c r="F442" s="178">
        <v>4644925.8600000003</v>
      </c>
      <c r="G442" s="178">
        <v>134376.38</v>
      </c>
      <c r="H442" s="178">
        <v>1144.98</v>
      </c>
      <c r="I442" s="178">
        <v>1605152.27</v>
      </c>
      <c r="J442" s="178">
        <v>1847326.94</v>
      </c>
      <c r="K442" s="178">
        <v>48198.7</v>
      </c>
      <c r="L442" s="178">
        <v>532246.82999999996</v>
      </c>
      <c r="M442" s="181">
        <v>1285.3072483870999</v>
      </c>
    </row>
    <row r="443" spans="1:13" x14ac:dyDescent="0.2">
      <c r="A443" s="13" t="s">
        <v>900</v>
      </c>
      <c r="B443" s="12">
        <v>2013</v>
      </c>
      <c r="C443" s="12" t="s">
        <v>901</v>
      </c>
      <c r="D443" s="175">
        <v>456.61239784946241</v>
      </c>
      <c r="E443" s="177">
        <v>1367448.06</v>
      </c>
      <c r="F443" s="178">
        <v>11362632.6</v>
      </c>
      <c r="G443" s="178">
        <v>274820.40999999997</v>
      </c>
      <c r="H443" s="178">
        <v>10812.84</v>
      </c>
      <c r="I443" s="178">
        <v>4483517.0500000007</v>
      </c>
      <c r="J443" s="178">
        <v>3970258.2100000009</v>
      </c>
      <c r="K443" s="178">
        <v>487580.30999999982</v>
      </c>
      <c r="L443" s="178">
        <v>1018037.4400000003</v>
      </c>
      <c r="M443" s="181">
        <v>3440.6488853046599</v>
      </c>
    </row>
    <row r="444" spans="1:13" x14ac:dyDescent="0.2">
      <c r="A444" s="13" t="s">
        <v>902</v>
      </c>
      <c r="B444" s="12">
        <v>2013</v>
      </c>
      <c r="C444" s="12" t="s">
        <v>903</v>
      </c>
      <c r="D444" s="175">
        <v>795.42500000000007</v>
      </c>
      <c r="E444" s="177">
        <v>2321729.98</v>
      </c>
      <c r="F444" s="178">
        <v>19035231.789999999</v>
      </c>
      <c r="G444" s="179">
        <v>677948.52</v>
      </c>
      <c r="H444" s="179">
        <v>545328.05000000005</v>
      </c>
      <c r="I444" s="179">
        <v>5302917.7699999996</v>
      </c>
      <c r="J444" s="179">
        <v>8064303.2699999977</v>
      </c>
      <c r="K444" s="179">
        <v>1454989.3599999999</v>
      </c>
      <c r="L444" s="179">
        <v>1866327.77</v>
      </c>
      <c r="M444" s="181">
        <v>5942.3515204558198</v>
      </c>
    </row>
    <row r="445" spans="1:13" x14ac:dyDescent="0.2">
      <c r="A445" s="13" t="s">
        <v>904</v>
      </c>
      <c r="B445" s="12">
        <v>2013</v>
      </c>
      <c r="C445" s="12" t="s">
        <v>905</v>
      </c>
      <c r="D445" s="175">
        <v>72.172442396313357</v>
      </c>
      <c r="E445" s="177">
        <v>332965.62</v>
      </c>
      <c r="F445" s="178">
        <v>4671187.88</v>
      </c>
      <c r="G445" s="178">
        <v>31484.86</v>
      </c>
      <c r="H445" s="179">
        <v>2795.48</v>
      </c>
      <c r="I445" s="179">
        <v>1228238.98</v>
      </c>
      <c r="J445" s="179">
        <v>1222228.1900000004</v>
      </c>
      <c r="K445" s="179">
        <v>308657.41000000003</v>
      </c>
      <c r="L445" s="179">
        <v>139275.39000000001</v>
      </c>
      <c r="M445" s="181">
        <v>1286.5198377880199</v>
      </c>
    </row>
    <row r="446" spans="1:13" x14ac:dyDescent="0.2">
      <c r="A446" s="13" t="s">
        <v>906</v>
      </c>
      <c r="B446" s="12">
        <v>2013</v>
      </c>
      <c r="C446" s="12" t="s">
        <v>907</v>
      </c>
      <c r="D446" s="175">
        <v>99.779438872323098</v>
      </c>
      <c r="E446" s="177">
        <v>627893.76000000001</v>
      </c>
      <c r="F446" s="178">
        <v>2983047.63</v>
      </c>
      <c r="G446" s="179">
        <v>24044.49</v>
      </c>
      <c r="H446" s="179">
        <v>11142.55</v>
      </c>
      <c r="I446" s="179">
        <v>1071674.46</v>
      </c>
      <c r="J446" s="179">
        <v>1260836.26</v>
      </c>
      <c r="K446" s="179">
        <v>234133.63</v>
      </c>
      <c r="L446" s="179">
        <v>443044.45</v>
      </c>
      <c r="M446" s="181">
        <v>828.12535687022296</v>
      </c>
    </row>
    <row r="447" spans="1:13" x14ac:dyDescent="0.2">
      <c r="A447" s="13" t="s">
        <v>908</v>
      </c>
      <c r="B447" s="12">
        <v>2013</v>
      </c>
      <c r="C447" s="12" t="s">
        <v>909</v>
      </c>
      <c r="D447" s="175">
        <v>143.40104436933578</v>
      </c>
      <c r="E447" s="177">
        <v>750944.18</v>
      </c>
      <c r="F447" s="178">
        <v>8993191.2899999991</v>
      </c>
      <c r="G447" s="178">
        <v>230713.92</v>
      </c>
      <c r="H447" s="179">
        <v>23390.3</v>
      </c>
      <c r="I447" s="179">
        <v>2384765.8200000003</v>
      </c>
      <c r="J447" s="179">
        <v>2566673.79</v>
      </c>
      <c r="K447" s="179">
        <v>478243.75</v>
      </c>
      <c r="L447" s="179">
        <v>768088.15000000014</v>
      </c>
      <c r="M447" s="181">
        <v>2163.6425055917298</v>
      </c>
    </row>
    <row r="448" spans="1:13" x14ac:dyDescent="0.2">
      <c r="A448" s="13" t="s">
        <v>910</v>
      </c>
      <c r="B448" s="12">
        <v>2013</v>
      </c>
      <c r="C448" s="12" t="s">
        <v>911</v>
      </c>
      <c r="D448" s="175">
        <v>264.01499999999993</v>
      </c>
      <c r="E448" s="177">
        <v>1181146.79</v>
      </c>
      <c r="F448" s="178">
        <v>7046269.75</v>
      </c>
      <c r="G448" s="178">
        <v>203446.72</v>
      </c>
      <c r="H448" s="178">
        <v>27190.71</v>
      </c>
      <c r="I448" s="178">
        <v>2068018.8299999998</v>
      </c>
      <c r="J448" s="178">
        <v>2915933.4600000009</v>
      </c>
      <c r="K448" s="178">
        <v>324758.46000000002</v>
      </c>
      <c r="L448" s="178">
        <v>1674689.3800000004</v>
      </c>
      <c r="M448" s="181">
        <v>1778.5039887640401</v>
      </c>
    </row>
    <row r="449" spans="1:13" x14ac:dyDescent="0.2">
      <c r="A449" s="13" t="s">
        <v>912</v>
      </c>
      <c r="B449" s="12">
        <v>2013</v>
      </c>
      <c r="C449" s="12" t="s">
        <v>913</v>
      </c>
      <c r="D449" s="175">
        <v>376.19007979936157</v>
      </c>
      <c r="E449" s="177">
        <v>2196980.39</v>
      </c>
      <c r="F449" s="178">
        <v>5779869.9000000004</v>
      </c>
      <c r="G449" s="178">
        <v>77439.039999999994</v>
      </c>
      <c r="H449" s="178">
        <v>4867.62</v>
      </c>
      <c r="I449" s="178">
        <v>2277561.89</v>
      </c>
      <c r="J449" s="178">
        <v>2794731.5199999996</v>
      </c>
      <c r="K449" s="178">
        <v>1059338.4500000009</v>
      </c>
      <c r="L449" s="178">
        <v>1735215.2200000004</v>
      </c>
      <c r="M449" s="181">
        <v>1879.6502887434001</v>
      </c>
    </row>
    <row r="450" spans="1:13" x14ac:dyDescent="0.2">
      <c r="A450" s="13" t="s">
        <v>914</v>
      </c>
      <c r="B450" s="12">
        <v>2013</v>
      </c>
      <c r="C450" s="12" t="s">
        <v>915</v>
      </c>
      <c r="D450" s="175">
        <v>160.36825078822909</v>
      </c>
      <c r="E450" s="177">
        <v>587347.98</v>
      </c>
      <c r="F450" s="178">
        <v>4043387.06</v>
      </c>
      <c r="G450" s="179">
        <v>175511.59</v>
      </c>
      <c r="H450" s="179">
        <v>22638.799999999999</v>
      </c>
      <c r="I450" s="179">
        <v>1817834.51</v>
      </c>
      <c r="J450" s="179">
        <v>2767634.04</v>
      </c>
      <c r="K450" s="179">
        <v>312478.76000000007</v>
      </c>
      <c r="L450" s="179">
        <v>672777.81999999983</v>
      </c>
      <c r="M450" s="181">
        <v>1335.5885220704199</v>
      </c>
    </row>
    <row r="451" spans="1:13" x14ac:dyDescent="0.2">
      <c r="A451" s="13" t="s">
        <v>916</v>
      </c>
      <c r="B451" s="12">
        <v>2013</v>
      </c>
      <c r="C451" s="12" t="s">
        <v>917</v>
      </c>
      <c r="D451" s="175">
        <v>782.15445752564437</v>
      </c>
      <c r="E451" s="177">
        <v>4753793.1399999997</v>
      </c>
      <c r="F451" s="178">
        <v>25299924.100000001</v>
      </c>
      <c r="G451" s="178">
        <v>682354.25</v>
      </c>
      <c r="H451" s="178">
        <v>293743.84000000003</v>
      </c>
      <c r="I451" s="178">
        <v>9313591.5400000028</v>
      </c>
      <c r="J451" s="178">
        <v>11957599.629999999</v>
      </c>
      <c r="K451" s="178">
        <v>1130543.6800000004</v>
      </c>
      <c r="L451" s="178">
        <v>3476337.330000001</v>
      </c>
      <c r="M451" s="181">
        <v>5244.8647092974998</v>
      </c>
    </row>
    <row r="452" spans="1:13" x14ac:dyDescent="0.2">
      <c r="A452" s="13" t="s">
        <v>918</v>
      </c>
      <c r="B452" s="12">
        <v>2013</v>
      </c>
      <c r="C452" s="12" t="s">
        <v>919</v>
      </c>
      <c r="D452" s="175">
        <v>4.9717514124293789</v>
      </c>
      <c r="E452" s="177">
        <v>83784.66</v>
      </c>
      <c r="F452" s="178">
        <v>1290746.0900000001</v>
      </c>
      <c r="G452" s="179">
        <v>34108.33</v>
      </c>
      <c r="H452" s="179">
        <v>23888.74</v>
      </c>
      <c r="I452" s="179">
        <v>366599.89</v>
      </c>
      <c r="J452" s="179">
        <v>229059.31</v>
      </c>
      <c r="K452" s="179">
        <v>23226.42</v>
      </c>
      <c r="L452" s="179">
        <v>118617.31</v>
      </c>
      <c r="M452" s="181">
        <v>74.192090395480193</v>
      </c>
    </row>
    <row r="453" spans="1:13" x14ac:dyDescent="0.2">
      <c r="A453" s="13" t="s">
        <v>920</v>
      </c>
      <c r="B453" s="12">
        <v>2013</v>
      </c>
      <c r="C453" s="12" t="s">
        <v>921</v>
      </c>
      <c r="D453" s="175">
        <v>190.35263069012677</v>
      </c>
      <c r="E453" s="177">
        <v>837310.81</v>
      </c>
      <c r="F453" s="178">
        <v>4294339.67</v>
      </c>
      <c r="G453" s="178">
        <v>64105.54</v>
      </c>
      <c r="H453" s="178">
        <v>1370.99</v>
      </c>
      <c r="I453" s="178">
        <v>1616358.8699999999</v>
      </c>
      <c r="J453" s="178">
        <v>2296525.46</v>
      </c>
      <c r="K453" s="178">
        <v>30888.100000000002</v>
      </c>
      <c r="L453" s="178">
        <v>675990.45999999985</v>
      </c>
      <c r="M453" s="181">
        <v>1301.0590281145301</v>
      </c>
    </row>
    <row r="454" spans="1:13" x14ac:dyDescent="0.2">
      <c r="A454" s="13" t="s">
        <v>922</v>
      </c>
      <c r="B454" s="12">
        <v>2013</v>
      </c>
      <c r="C454" s="12" t="s">
        <v>923</v>
      </c>
      <c r="D454" s="175">
        <v>413.79570334972084</v>
      </c>
      <c r="E454" s="177">
        <v>1548488.39</v>
      </c>
      <c r="F454" s="178">
        <v>9610488.3800000008</v>
      </c>
      <c r="G454" s="178">
        <v>236800.42</v>
      </c>
      <c r="H454" s="178">
        <v>29672.85</v>
      </c>
      <c r="I454" s="178">
        <v>4104529.3099999996</v>
      </c>
      <c r="J454" s="178">
        <v>3771759.5</v>
      </c>
      <c r="K454" s="178">
        <v>461964.43999999994</v>
      </c>
      <c r="L454" s="178">
        <v>1430033.1099999999</v>
      </c>
      <c r="M454" s="181">
        <v>2703.7507141792998</v>
      </c>
    </row>
    <row r="455" spans="1:13" x14ac:dyDescent="0.2">
      <c r="A455" s="13" t="s">
        <v>924</v>
      </c>
      <c r="B455" s="12">
        <v>2013</v>
      </c>
      <c r="C455" s="12" t="s">
        <v>925</v>
      </c>
      <c r="D455" s="175">
        <v>243.05797752808988</v>
      </c>
      <c r="E455" s="177">
        <v>1045256.03</v>
      </c>
      <c r="F455" s="178">
        <v>6454533.8200000003</v>
      </c>
      <c r="G455" s="178">
        <v>196110.78</v>
      </c>
      <c r="H455" s="178">
        <v>171092.4</v>
      </c>
      <c r="I455" s="178">
        <v>1862198.9700000002</v>
      </c>
      <c r="J455" s="178">
        <v>1312020.1000000001</v>
      </c>
      <c r="K455" s="178">
        <v>444666.43999999977</v>
      </c>
      <c r="L455" s="178">
        <v>914553.40000000049</v>
      </c>
      <c r="M455" s="181">
        <v>1600.09775280899</v>
      </c>
    </row>
    <row r="456" spans="1:13" x14ac:dyDescent="0.2">
      <c r="A456" s="13" t="s">
        <v>926</v>
      </c>
      <c r="B456" s="12">
        <v>2013</v>
      </c>
      <c r="C456" s="12" t="s">
        <v>927</v>
      </c>
      <c r="D456" s="175">
        <v>191.43624501631024</v>
      </c>
      <c r="E456" s="177">
        <v>1241228.3</v>
      </c>
      <c r="F456" s="178">
        <v>14060479.9</v>
      </c>
      <c r="G456" s="179">
        <v>729015.81</v>
      </c>
      <c r="H456" s="179">
        <v>25072.62</v>
      </c>
      <c r="I456" s="179">
        <v>4063511.55</v>
      </c>
      <c r="J456" s="179">
        <v>5253211.1499999985</v>
      </c>
      <c r="K456" s="179">
        <v>1404727.0399999996</v>
      </c>
      <c r="L456" s="179">
        <v>1391088.5799999998</v>
      </c>
      <c r="M456" s="181">
        <v>2573.0469372961202</v>
      </c>
    </row>
    <row r="457" spans="1:13" x14ac:dyDescent="0.2">
      <c r="A457" s="13" t="s">
        <v>928</v>
      </c>
      <c r="B457" s="12">
        <v>2013</v>
      </c>
      <c r="C457" s="12" t="s">
        <v>929</v>
      </c>
      <c r="D457" s="175">
        <v>525.47921960072597</v>
      </c>
      <c r="E457" s="177">
        <v>3279212.91</v>
      </c>
      <c r="F457" s="178">
        <v>22246262.789999999</v>
      </c>
      <c r="G457" s="178">
        <v>462796.87</v>
      </c>
      <c r="H457" s="178">
        <v>137953.29</v>
      </c>
      <c r="I457" s="178">
        <v>7328749.8700000001</v>
      </c>
      <c r="J457" s="178">
        <v>8578514.8100000005</v>
      </c>
      <c r="K457" s="178">
        <v>2488199.3299999987</v>
      </c>
      <c r="L457" s="178">
        <v>3020020.2499999981</v>
      </c>
      <c r="M457" s="181">
        <v>5974.03392821133</v>
      </c>
    </row>
    <row r="458" spans="1:13" x14ac:dyDescent="0.2">
      <c r="A458" s="13" t="s">
        <v>930</v>
      </c>
      <c r="B458" s="12">
        <v>2013</v>
      </c>
      <c r="C458" s="12" t="s">
        <v>931</v>
      </c>
      <c r="D458" s="175">
        <v>136.32552418493901</v>
      </c>
      <c r="E458" s="183">
        <v>0</v>
      </c>
      <c r="F458" s="178">
        <v>4163171.98</v>
      </c>
      <c r="G458" s="178">
        <v>83377.09</v>
      </c>
      <c r="H458" s="178">
        <v>11897.89</v>
      </c>
      <c r="I458" s="178">
        <v>2104359.17</v>
      </c>
      <c r="J458" s="178">
        <v>1968924.3599999999</v>
      </c>
      <c r="K458" s="178">
        <v>85752.919999999969</v>
      </c>
      <c r="L458" s="178">
        <v>619825.35000000009</v>
      </c>
      <c r="M458" s="181">
        <v>819.22415887029797</v>
      </c>
    </row>
    <row r="459" spans="1:13" x14ac:dyDescent="0.2">
      <c r="A459" s="13" t="s">
        <v>932</v>
      </c>
      <c r="B459" s="12">
        <v>2013</v>
      </c>
      <c r="C459" s="12" t="s">
        <v>933</v>
      </c>
      <c r="D459" s="175">
        <v>89.168352820473928</v>
      </c>
      <c r="E459" s="177">
        <v>289344.99</v>
      </c>
      <c r="F459" s="178">
        <v>2901868.61</v>
      </c>
      <c r="G459" s="178">
        <v>61670.17</v>
      </c>
      <c r="H459" s="179">
        <v>17461.439999999999</v>
      </c>
      <c r="I459" s="179">
        <v>1041212.1299999999</v>
      </c>
      <c r="J459" s="179">
        <v>1119815.8399999999</v>
      </c>
      <c r="K459" s="179">
        <v>262881.08999999997</v>
      </c>
      <c r="L459" s="179">
        <v>196800.43</v>
      </c>
      <c r="M459" s="181">
        <v>784.27736628661501</v>
      </c>
    </row>
    <row r="460" spans="1:13" x14ac:dyDescent="0.2">
      <c r="A460" s="13" t="s">
        <v>934</v>
      </c>
      <c r="B460" s="12">
        <v>2013</v>
      </c>
      <c r="C460" s="12" t="s">
        <v>935</v>
      </c>
      <c r="D460" s="175">
        <v>44.996707322626179</v>
      </c>
      <c r="E460" s="177">
        <v>82910.929999999993</v>
      </c>
      <c r="F460" s="178">
        <v>1847391.59</v>
      </c>
      <c r="G460" s="178">
        <v>37006.769999999997</v>
      </c>
      <c r="H460" s="178">
        <v>41210.949999999997</v>
      </c>
      <c r="I460" s="178">
        <v>975869.39</v>
      </c>
      <c r="J460" s="178">
        <v>884426.17999999993</v>
      </c>
      <c r="K460" s="178">
        <v>71411.149999999994</v>
      </c>
      <c r="L460" s="178">
        <v>173530.61</v>
      </c>
      <c r="M460" s="181">
        <v>499.044970685892</v>
      </c>
    </row>
    <row r="461" spans="1:13" x14ac:dyDescent="0.2">
      <c r="A461" s="13" t="s">
        <v>936</v>
      </c>
      <c r="B461" s="12">
        <v>2013</v>
      </c>
      <c r="C461" s="12" t="s">
        <v>937</v>
      </c>
      <c r="D461" s="175">
        <v>126.04952380952381</v>
      </c>
      <c r="E461" s="177">
        <v>312759.64</v>
      </c>
      <c r="F461" s="178">
        <v>3911029.97</v>
      </c>
      <c r="G461" s="178">
        <v>87967.02</v>
      </c>
      <c r="H461" s="178">
        <v>9724.5</v>
      </c>
      <c r="I461" s="178">
        <v>1094939.45</v>
      </c>
      <c r="J461" s="178">
        <v>2031449.3900000001</v>
      </c>
      <c r="K461" s="178">
        <v>509273.5</v>
      </c>
      <c r="L461" s="178">
        <v>483192.28</v>
      </c>
      <c r="M461" s="181">
        <v>1299.71116190476</v>
      </c>
    </row>
    <row r="462" spans="1:13" x14ac:dyDescent="0.2">
      <c r="A462" s="13" t="s">
        <v>938</v>
      </c>
      <c r="B462" s="12">
        <v>2013</v>
      </c>
      <c r="C462" s="12" t="s">
        <v>939</v>
      </c>
      <c r="D462" s="175">
        <v>147.49961692716076</v>
      </c>
      <c r="E462" s="177">
        <v>631554.31000000006</v>
      </c>
      <c r="F462" s="178">
        <v>3344015.42</v>
      </c>
      <c r="G462" s="178">
        <v>108468.08</v>
      </c>
      <c r="H462" s="178">
        <v>28595.8</v>
      </c>
      <c r="I462" s="178">
        <v>1182963.7100000002</v>
      </c>
      <c r="J462" s="178">
        <v>1626316.3800000001</v>
      </c>
      <c r="K462" s="178">
        <v>387345.48</v>
      </c>
      <c r="L462" s="178">
        <v>189337.97000000003</v>
      </c>
      <c r="M462" s="181">
        <v>1046.99103255104</v>
      </c>
    </row>
    <row r="463" spans="1:13" x14ac:dyDescent="0.2">
      <c r="A463" s="13" t="s">
        <v>940</v>
      </c>
      <c r="B463" s="12">
        <v>2013</v>
      </c>
      <c r="C463" s="12" t="s">
        <v>941</v>
      </c>
      <c r="D463" s="175">
        <v>98.574688416422291</v>
      </c>
      <c r="E463" s="177">
        <v>567818.19999999995</v>
      </c>
      <c r="F463" s="178">
        <v>3855438.95</v>
      </c>
      <c r="G463" s="178">
        <v>167166.78</v>
      </c>
      <c r="H463" s="178">
        <v>52930.23</v>
      </c>
      <c r="I463" s="178">
        <v>1115416.6800000002</v>
      </c>
      <c r="J463" s="178">
        <v>1295821.5900000003</v>
      </c>
      <c r="K463" s="178">
        <v>362847.67999999993</v>
      </c>
      <c r="L463" s="178">
        <v>463542.18</v>
      </c>
      <c r="M463" s="181">
        <v>1070.4268216144301</v>
      </c>
    </row>
    <row r="464" spans="1:13" x14ac:dyDescent="0.2">
      <c r="A464" s="13" t="s">
        <v>942</v>
      </c>
      <c r="B464" s="12">
        <v>2013</v>
      </c>
      <c r="C464" s="12" t="s">
        <v>943</v>
      </c>
      <c r="D464" s="175">
        <v>204.9048558197583</v>
      </c>
      <c r="E464" s="177">
        <v>740590.41</v>
      </c>
      <c r="F464" s="178">
        <v>5767032.1900000004</v>
      </c>
      <c r="G464" s="178">
        <v>212693.7</v>
      </c>
      <c r="H464" s="179">
        <v>55317.41</v>
      </c>
      <c r="I464" s="179">
        <v>2004069.0500000003</v>
      </c>
      <c r="J464" s="179">
        <v>2387428.0900000008</v>
      </c>
      <c r="K464" s="179">
        <v>739979.82000000018</v>
      </c>
      <c r="L464" s="179">
        <v>394512.88000000006</v>
      </c>
      <c r="M464" s="181">
        <v>2022.8812125591201</v>
      </c>
    </row>
    <row r="465" spans="1:13" x14ac:dyDescent="0.2">
      <c r="A465" s="13" t="s">
        <v>944</v>
      </c>
      <c r="B465" s="12">
        <v>2013</v>
      </c>
      <c r="C465" s="12" t="s">
        <v>945</v>
      </c>
      <c r="D465" s="175">
        <v>358.35829731399014</v>
      </c>
      <c r="E465" s="177">
        <v>1336077.6399999999</v>
      </c>
      <c r="F465" s="178">
        <v>7383558.3399999999</v>
      </c>
      <c r="G465" s="178">
        <v>121687.07</v>
      </c>
      <c r="H465" s="178">
        <v>81038.7</v>
      </c>
      <c r="I465" s="178">
        <v>2590635.71</v>
      </c>
      <c r="J465" s="178">
        <v>3295007.23</v>
      </c>
      <c r="K465" s="178">
        <v>659789.30999999971</v>
      </c>
      <c r="L465" s="178">
        <v>620463.42000000016</v>
      </c>
      <c r="M465" s="181">
        <v>2136.24210804618</v>
      </c>
    </row>
    <row r="466" spans="1:13" x14ac:dyDescent="0.2">
      <c r="A466" s="13" t="s">
        <v>946</v>
      </c>
      <c r="B466" s="12">
        <v>2013</v>
      </c>
      <c r="C466" s="12" t="s">
        <v>947</v>
      </c>
      <c r="D466" s="175">
        <v>124.12292144464686</v>
      </c>
      <c r="E466" s="177">
        <v>373030.7</v>
      </c>
      <c r="F466" s="178">
        <v>3652937.99</v>
      </c>
      <c r="G466" s="178">
        <v>47088.86</v>
      </c>
      <c r="H466" s="178">
        <v>4099.99</v>
      </c>
      <c r="I466" s="178">
        <v>1164214.99</v>
      </c>
      <c r="J466" s="178">
        <v>1673510.9800000004</v>
      </c>
      <c r="K466" s="178">
        <v>262946.73</v>
      </c>
      <c r="L466" s="178">
        <v>209620.36</v>
      </c>
      <c r="M466" s="181">
        <v>976.31554752974</v>
      </c>
    </row>
    <row r="467" spans="1:13" x14ac:dyDescent="0.2">
      <c r="A467" s="13" t="s">
        <v>948</v>
      </c>
      <c r="B467" s="12">
        <v>2013</v>
      </c>
      <c r="C467" s="12" t="s">
        <v>949</v>
      </c>
      <c r="D467" s="175">
        <v>428.28140971688066</v>
      </c>
      <c r="E467" s="177">
        <v>2071222.45</v>
      </c>
      <c r="F467" s="178">
        <v>13709803.02</v>
      </c>
      <c r="G467" s="178">
        <v>320623.51</v>
      </c>
      <c r="H467" s="178">
        <v>14929.77</v>
      </c>
      <c r="I467" s="178">
        <v>4996697.82</v>
      </c>
      <c r="J467" s="178">
        <v>6273870.8200000022</v>
      </c>
      <c r="K467" s="178">
        <v>898885.48000000021</v>
      </c>
      <c r="L467" s="178">
        <v>1903510.75</v>
      </c>
      <c r="M467" s="181">
        <v>4488.8438279956799</v>
      </c>
    </row>
    <row r="468" spans="1:13" x14ac:dyDescent="0.2">
      <c r="A468" s="13" t="s">
        <v>950</v>
      </c>
      <c r="B468" s="12">
        <v>2013</v>
      </c>
      <c r="C468" s="12" t="s">
        <v>951</v>
      </c>
      <c r="D468" s="175">
        <v>87.361965317919072</v>
      </c>
      <c r="E468" s="177">
        <v>421890.88</v>
      </c>
      <c r="F468" s="178">
        <v>2544365.42</v>
      </c>
      <c r="G468" s="178">
        <v>27095.57</v>
      </c>
      <c r="H468" s="178">
        <v>6050.1</v>
      </c>
      <c r="I468" s="178">
        <v>720906.79</v>
      </c>
      <c r="J468" s="178">
        <v>1018563.2100000002</v>
      </c>
      <c r="K468" s="178">
        <v>205112.26999999996</v>
      </c>
      <c r="L468" s="178">
        <v>186035.65999999995</v>
      </c>
      <c r="M468" s="181">
        <v>712.09795450307695</v>
      </c>
    </row>
    <row r="469" spans="1:13" x14ac:dyDescent="0.2">
      <c r="A469" s="13" t="s">
        <v>952</v>
      </c>
      <c r="B469" s="12">
        <v>2013</v>
      </c>
      <c r="C469" s="12" t="s">
        <v>953</v>
      </c>
      <c r="D469" s="175">
        <v>220.06770114942537</v>
      </c>
      <c r="E469" s="177">
        <v>1074395.1100000001</v>
      </c>
      <c r="F469" s="178">
        <v>5260477.17</v>
      </c>
      <c r="G469" s="178">
        <v>164354.72</v>
      </c>
      <c r="H469" s="178">
        <v>0</v>
      </c>
      <c r="I469" s="178">
        <v>1922561.1400000001</v>
      </c>
      <c r="J469" s="178">
        <v>3247971.9999999991</v>
      </c>
      <c r="K469" s="178">
        <v>359241.68</v>
      </c>
      <c r="L469" s="178">
        <v>549357.21000000008</v>
      </c>
      <c r="M469" s="181">
        <v>1456.9964367816101</v>
      </c>
    </row>
    <row r="470" spans="1:13" x14ac:dyDescent="0.2">
      <c r="A470" s="13" t="s">
        <v>954</v>
      </c>
      <c r="B470" s="12">
        <v>2013</v>
      </c>
      <c r="C470" s="12" t="s">
        <v>955</v>
      </c>
      <c r="D470" s="175">
        <v>191.36198566308246</v>
      </c>
      <c r="E470" s="177">
        <v>2300049.2000000002</v>
      </c>
      <c r="F470" s="178">
        <v>13235935.73</v>
      </c>
      <c r="G470" s="178">
        <v>372042.08</v>
      </c>
      <c r="H470" s="178">
        <v>272793.26</v>
      </c>
      <c r="I470" s="178">
        <v>4488424.6700000018</v>
      </c>
      <c r="J470" s="178">
        <v>5241150.6899999995</v>
      </c>
      <c r="K470" s="178">
        <v>1030910.3800000004</v>
      </c>
      <c r="L470" s="178">
        <v>1542908.2600000007</v>
      </c>
      <c r="M470" s="181">
        <v>2460.5629874552001</v>
      </c>
    </row>
    <row r="471" spans="1:13" x14ac:dyDescent="0.2">
      <c r="A471" s="13" t="s">
        <v>956</v>
      </c>
      <c r="B471" s="12">
        <v>2013</v>
      </c>
      <c r="C471" s="12" t="s">
        <v>957</v>
      </c>
      <c r="D471" s="175">
        <v>258.72460317460315</v>
      </c>
      <c r="E471" s="177">
        <v>863056.14</v>
      </c>
      <c r="F471" s="178">
        <v>6086450.6100000003</v>
      </c>
      <c r="G471" s="178">
        <v>130110.71</v>
      </c>
      <c r="H471" s="178">
        <v>130156.18</v>
      </c>
      <c r="I471" s="178">
        <v>2171599.36</v>
      </c>
      <c r="J471" s="178">
        <v>2236776.3300000005</v>
      </c>
      <c r="K471" s="178">
        <v>448548.57000000007</v>
      </c>
      <c r="L471" s="178">
        <v>418625.33</v>
      </c>
      <c r="M471" s="181">
        <v>1802.92427385668</v>
      </c>
    </row>
    <row r="472" spans="1:13" x14ac:dyDescent="0.2">
      <c r="A472" s="13" t="s">
        <v>958</v>
      </c>
      <c r="B472" s="12">
        <v>2013</v>
      </c>
      <c r="C472" s="12" t="s">
        <v>959</v>
      </c>
      <c r="D472" s="175">
        <v>154.8592613889883</v>
      </c>
      <c r="E472" s="177">
        <v>371700.63</v>
      </c>
      <c r="F472" s="178">
        <v>4443481.3</v>
      </c>
      <c r="G472" s="179">
        <v>123745.46</v>
      </c>
      <c r="H472" s="179">
        <v>4585.4399999999996</v>
      </c>
      <c r="I472" s="179">
        <v>1245074.7799999998</v>
      </c>
      <c r="J472" s="179">
        <v>1434873.92</v>
      </c>
      <c r="K472" s="179">
        <v>407566.80999999994</v>
      </c>
      <c r="L472" s="179">
        <v>573695.55000000005</v>
      </c>
      <c r="M472" s="181">
        <v>1252.1533163653301</v>
      </c>
    </row>
    <row r="473" spans="1:13" x14ac:dyDescent="0.2">
      <c r="A473" s="13" t="s">
        <v>960</v>
      </c>
      <c r="B473" s="12">
        <v>2013</v>
      </c>
      <c r="C473" s="12" t="s">
        <v>961</v>
      </c>
      <c r="D473" s="175">
        <v>243.71262154900498</v>
      </c>
      <c r="E473" s="177">
        <v>1148007.17</v>
      </c>
      <c r="F473" s="178">
        <v>10259760.6</v>
      </c>
      <c r="G473" s="178">
        <v>176604.02</v>
      </c>
      <c r="H473" s="178">
        <v>126291.56</v>
      </c>
      <c r="I473" s="178">
        <v>2582428.4500000002</v>
      </c>
      <c r="J473" s="178">
        <v>3479015.5999999992</v>
      </c>
      <c r="K473" s="178">
        <v>861105.14000000013</v>
      </c>
      <c r="L473" s="178">
        <v>840555.46000000008</v>
      </c>
      <c r="M473" s="181">
        <v>2690.5601448165899</v>
      </c>
    </row>
    <row r="474" spans="1:13" x14ac:dyDescent="0.2">
      <c r="A474" s="13" t="s">
        <v>962</v>
      </c>
      <c r="B474" s="12">
        <v>2013</v>
      </c>
      <c r="C474" s="12" t="s">
        <v>963</v>
      </c>
      <c r="D474" s="175">
        <v>201.42314785090062</v>
      </c>
      <c r="E474" s="177">
        <v>1268993.6100000001</v>
      </c>
      <c r="F474" s="178">
        <v>9849055.8399999999</v>
      </c>
      <c r="G474" s="178">
        <v>315773.90000000002</v>
      </c>
      <c r="H474" s="178">
        <v>0</v>
      </c>
      <c r="I474" s="178">
        <v>3566084.5900000008</v>
      </c>
      <c r="J474" s="178">
        <v>2961210.66</v>
      </c>
      <c r="K474" s="178">
        <v>1063254.0199999998</v>
      </c>
      <c r="L474" s="178">
        <v>1448297.21</v>
      </c>
      <c r="M474" s="181">
        <v>1800.5292438023901</v>
      </c>
    </row>
    <row r="475" spans="1:13" x14ac:dyDescent="0.2">
      <c r="A475" s="13" t="s">
        <v>964</v>
      </c>
      <c r="B475" s="12">
        <v>2013</v>
      </c>
      <c r="C475" s="12" t="s">
        <v>965</v>
      </c>
      <c r="D475" s="175">
        <v>29.892188624137276</v>
      </c>
      <c r="E475" s="177">
        <v>124036.88</v>
      </c>
      <c r="F475" s="178">
        <v>1785152.26</v>
      </c>
      <c r="G475" s="179">
        <v>74514.720000000001</v>
      </c>
      <c r="H475" s="179">
        <v>6113.12</v>
      </c>
      <c r="I475" s="179">
        <v>612936.74</v>
      </c>
      <c r="J475" s="179">
        <v>461435.80000000005</v>
      </c>
      <c r="K475" s="179">
        <v>54746.860000000008</v>
      </c>
      <c r="L475" s="179">
        <v>74854.740000000005</v>
      </c>
      <c r="M475" s="181">
        <v>456.41678723598</v>
      </c>
    </row>
    <row r="476" spans="1:13" x14ac:dyDescent="0.2">
      <c r="A476" s="13" t="s">
        <v>966</v>
      </c>
      <c r="B476" s="12">
        <v>2013</v>
      </c>
      <c r="C476" s="12" t="s">
        <v>967</v>
      </c>
      <c r="D476" s="175">
        <v>229.16724944790784</v>
      </c>
      <c r="E476" s="177">
        <v>892777.01</v>
      </c>
      <c r="F476" s="178">
        <v>7531732.0499999998</v>
      </c>
      <c r="G476" s="178">
        <v>244911.39</v>
      </c>
      <c r="H476" s="178">
        <v>0</v>
      </c>
      <c r="I476" s="178">
        <v>2951094.1999999997</v>
      </c>
      <c r="J476" s="178">
        <v>2289897.79</v>
      </c>
      <c r="K476" s="178">
        <v>172139.6</v>
      </c>
      <c r="L476" s="178">
        <v>612873.85999999987</v>
      </c>
      <c r="M476" s="181">
        <v>2079.7752538591299</v>
      </c>
    </row>
    <row r="477" spans="1:13" x14ac:dyDescent="0.2">
      <c r="A477" s="13" t="s">
        <v>968</v>
      </c>
      <c r="B477" s="12">
        <v>2013</v>
      </c>
      <c r="C477" s="12" t="s">
        <v>969</v>
      </c>
      <c r="D477" s="175">
        <v>413.75142857142856</v>
      </c>
      <c r="E477" s="177">
        <v>3117909.69</v>
      </c>
      <c r="F477" s="178">
        <v>13338508.390000001</v>
      </c>
      <c r="G477" s="178">
        <v>270960.37</v>
      </c>
      <c r="H477" s="178">
        <v>26406.34</v>
      </c>
      <c r="I477" s="178">
        <v>4633277.5599999996</v>
      </c>
      <c r="J477" s="178">
        <v>4333039.0200000005</v>
      </c>
      <c r="K477" s="178">
        <v>709677.22</v>
      </c>
      <c r="L477" s="178">
        <v>1699967.1499999997</v>
      </c>
      <c r="M477" s="181">
        <v>3080.74</v>
      </c>
    </row>
    <row r="478" spans="1:13" x14ac:dyDescent="0.2">
      <c r="A478" s="13" t="s">
        <v>970</v>
      </c>
      <c r="B478" s="12">
        <v>2013</v>
      </c>
      <c r="C478" s="12" t="s">
        <v>971</v>
      </c>
      <c r="D478" s="175">
        <v>235.1856859047333</v>
      </c>
      <c r="E478" s="177">
        <v>812139.61</v>
      </c>
      <c r="F478" s="178">
        <v>4677018.54</v>
      </c>
      <c r="G478" s="179">
        <v>174858.62</v>
      </c>
      <c r="H478" s="179">
        <v>0</v>
      </c>
      <c r="I478" s="179">
        <v>1633178.4200000002</v>
      </c>
      <c r="J478" s="179">
        <v>1834793.4900000002</v>
      </c>
      <c r="K478" s="179">
        <v>119189.37000000001</v>
      </c>
      <c r="L478" s="179">
        <v>986752.51</v>
      </c>
      <c r="M478" s="181">
        <v>1424.0539814583201</v>
      </c>
    </row>
    <row r="479" spans="1:13" x14ac:dyDescent="0.2">
      <c r="A479" s="13" t="s">
        <v>972</v>
      </c>
      <c r="B479" s="12">
        <v>2013</v>
      </c>
      <c r="C479" s="12" t="s">
        <v>973</v>
      </c>
      <c r="D479" s="175">
        <v>198.41846743295019</v>
      </c>
      <c r="E479" s="177">
        <v>653553.88</v>
      </c>
      <c r="F479" s="178">
        <v>5351629.7300000004</v>
      </c>
      <c r="G479" s="179">
        <v>157750.64000000001</v>
      </c>
      <c r="H479" s="179">
        <v>79358.990000000005</v>
      </c>
      <c r="I479" s="179">
        <v>1533593.7100000002</v>
      </c>
      <c r="J479" s="179">
        <v>2444557.4800000004</v>
      </c>
      <c r="K479" s="179">
        <v>567238.22</v>
      </c>
      <c r="L479" s="179">
        <v>688218.42000000016</v>
      </c>
      <c r="M479" s="181">
        <v>1436.52458429119</v>
      </c>
    </row>
    <row r="480" spans="1:13" x14ac:dyDescent="0.2">
      <c r="A480" s="13" t="s">
        <v>974</v>
      </c>
      <c r="B480" s="12">
        <v>2013</v>
      </c>
      <c r="C480" s="12" t="s">
        <v>975</v>
      </c>
      <c r="D480" s="175">
        <v>116.34542766816929</v>
      </c>
      <c r="E480" s="177">
        <v>395181.11</v>
      </c>
      <c r="F480" s="178">
        <v>2200229.37</v>
      </c>
      <c r="G480" s="178">
        <v>80230.52</v>
      </c>
      <c r="H480" s="179">
        <v>0</v>
      </c>
      <c r="I480" s="179">
        <v>1029249.03</v>
      </c>
      <c r="J480" s="179">
        <v>859022.83000000007</v>
      </c>
      <c r="K480" s="179">
        <v>168859.97</v>
      </c>
      <c r="L480" s="179">
        <v>169813.09000000003</v>
      </c>
      <c r="M480" s="181">
        <v>584.14745135920998</v>
      </c>
    </row>
    <row r="481" spans="1:13" x14ac:dyDescent="0.2">
      <c r="A481" s="13" t="s">
        <v>976</v>
      </c>
      <c r="B481" s="12">
        <v>2013</v>
      </c>
      <c r="C481" s="12" t="s">
        <v>977</v>
      </c>
      <c r="D481" s="175">
        <v>162.98917443737849</v>
      </c>
      <c r="E481" s="177">
        <v>375992.87</v>
      </c>
      <c r="F481" s="178">
        <v>3642391.43</v>
      </c>
      <c r="G481" s="179">
        <v>149721.69</v>
      </c>
      <c r="H481" s="179">
        <v>3892.48</v>
      </c>
      <c r="I481" s="179">
        <v>938098.09000000008</v>
      </c>
      <c r="J481" s="179">
        <v>1464210.1999999997</v>
      </c>
      <c r="K481" s="179">
        <v>362666.23999999993</v>
      </c>
      <c r="L481" s="179">
        <v>157155.03</v>
      </c>
      <c r="M481" s="181">
        <v>1100.3092331707801</v>
      </c>
    </row>
    <row r="482" spans="1:13" x14ac:dyDescent="0.2">
      <c r="A482" s="13" t="s">
        <v>978</v>
      </c>
      <c r="B482" s="12">
        <v>2013</v>
      </c>
      <c r="C482" s="12" t="s">
        <v>979</v>
      </c>
      <c r="D482" s="175">
        <v>110.76059867734077</v>
      </c>
      <c r="E482" s="177">
        <v>142091.57999999999</v>
      </c>
      <c r="F482" s="178">
        <v>2468292.62</v>
      </c>
      <c r="G482" s="178">
        <v>22082.62</v>
      </c>
      <c r="H482" s="178">
        <v>19866.8</v>
      </c>
      <c r="I482" s="178">
        <v>950510.69999999984</v>
      </c>
      <c r="J482" s="178">
        <v>806046.74</v>
      </c>
      <c r="K482" s="178">
        <v>142724.32999999999</v>
      </c>
      <c r="L482" s="178">
        <v>167536.27000000002</v>
      </c>
      <c r="M482" s="181">
        <v>807.33793943613</v>
      </c>
    </row>
    <row r="483" spans="1:13" x14ac:dyDescent="0.2">
      <c r="A483" s="13" t="s">
        <v>980</v>
      </c>
      <c r="B483" s="12">
        <v>2013</v>
      </c>
      <c r="C483" s="12" t="s">
        <v>981</v>
      </c>
      <c r="D483" s="175">
        <v>748.41588983050849</v>
      </c>
      <c r="E483" s="177">
        <v>4484141.3600000003</v>
      </c>
      <c r="F483" s="178">
        <v>32157112.260000002</v>
      </c>
      <c r="G483" s="178">
        <v>1172474.8500000001</v>
      </c>
      <c r="H483" s="178">
        <v>181907.67</v>
      </c>
      <c r="I483" s="178">
        <v>11509199.659999996</v>
      </c>
      <c r="J483" s="178">
        <v>16652416.960000008</v>
      </c>
      <c r="K483" s="178">
        <v>6379455.8399999989</v>
      </c>
      <c r="L483" s="178">
        <v>5826145.9699999951</v>
      </c>
      <c r="M483" s="181">
        <v>5285.9675406332299</v>
      </c>
    </row>
    <row r="484" spans="1:13" x14ac:dyDescent="0.2">
      <c r="A484" s="13" t="s">
        <v>982</v>
      </c>
      <c r="B484" s="12">
        <v>2013</v>
      </c>
      <c r="C484" s="12" t="s">
        <v>983</v>
      </c>
      <c r="D484" s="175">
        <v>141.42708654864421</v>
      </c>
      <c r="E484" s="177">
        <v>631024.6</v>
      </c>
      <c r="F484" s="178">
        <v>9011678.5999999996</v>
      </c>
      <c r="G484" s="178">
        <v>119226.14</v>
      </c>
      <c r="H484" s="178">
        <v>0</v>
      </c>
      <c r="I484" s="178">
        <v>2337986.3499999996</v>
      </c>
      <c r="J484" s="178">
        <v>4073019.5599999996</v>
      </c>
      <c r="K484" s="178">
        <v>755894.19</v>
      </c>
      <c r="L484" s="178">
        <v>1318933.1399999999</v>
      </c>
      <c r="M484" s="181">
        <v>2475.69508920526</v>
      </c>
    </row>
    <row r="485" spans="1:13" x14ac:dyDescent="0.2">
      <c r="A485" s="13" t="s">
        <v>984</v>
      </c>
      <c r="B485" s="12">
        <v>2013</v>
      </c>
      <c r="C485" s="12" t="s">
        <v>985</v>
      </c>
      <c r="D485" s="175">
        <v>213.86082515498299</v>
      </c>
      <c r="E485" s="177">
        <v>1562315.81</v>
      </c>
      <c r="F485" s="178">
        <v>7832220.8600000003</v>
      </c>
      <c r="G485" s="178">
        <v>132210.68</v>
      </c>
      <c r="H485" s="178">
        <v>148.4</v>
      </c>
      <c r="I485" s="178">
        <v>2781148.06</v>
      </c>
      <c r="J485" s="178">
        <v>2631928.0500000003</v>
      </c>
      <c r="K485" s="178">
        <v>747192.35000000021</v>
      </c>
      <c r="L485" s="178">
        <v>911677.77000000025</v>
      </c>
      <c r="M485" s="181">
        <v>1737.7782464162201</v>
      </c>
    </row>
    <row r="486" spans="1:13" x14ac:dyDescent="0.2">
      <c r="A486" s="13" t="s">
        <v>986</v>
      </c>
      <c r="B486" s="12">
        <v>2013</v>
      </c>
      <c r="C486" s="12" t="s">
        <v>987</v>
      </c>
      <c r="D486" s="175">
        <v>237.50072947214076</v>
      </c>
      <c r="E486" s="177">
        <v>1246781.1499999999</v>
      </c>
      <c r="F486" s="178">
        <v>7515230.29</v>
      </c>
      <c r="G486" s="178">
        <v>202859.74</v>
      </c>
      <c r="H486" s="178">
        <v>61375.1</v>
      </c>
      <c r="I486" s="178">
        <v>2272313.69</v>
      </c>
      <c r="J486" s="178">
        <v>2649111.7199999993</v>
      </c>
      <c r="K486" s="178">
        <v>800298.39999999979</v>
      </c>
      <c r="L486" s="178">
        <v>740092.48999999976</v>
      </c>
      <c r="M486" s="181">
        <v>2008.1357129765399</v>
      </c>
    </row>
    <row r="487" spans="1:13" x14ac:dyDescent="0.2">
      <c r="A487" s="13" t="s">
        <v>988</v>
      </c>
      <c r="B487" s="12">
        <v>2013</v>
      </c>
      <c r="C487" s="12" t="s">
        <v>989</v>
      </c>
      <c r="D487" s="175">
        <v>567.00142097440141</v>
      </c>
      <c r="E487" s="177">
        <v>2128697.77</v>
      </c>
      <c r="F487" s="178">
        <v>10711879.310000001</v>
      </c>
      <c r="G487" s="178">
        <v>256378.88</v>
      </c>
      <c r="H487" s="178">
        <v>205257.05</v>
      </c>
      <c r="I487" s="178">
        <v>4142116.4000000004</v>
      </c>
      <c r="J487" s="178">
        <v>3490617.7500000009</v>
      </c>
      <c r="K487" s="178">
        <v>1207868.6399999997</v>
      </c>
      <c r="L487" s="178">
        <v>1388765.9600000009</v>
      </c>
      <c r="M487" s="181">
        <v>3548.8759224516002</v>
      </c>
    </row>
    <row r="488" spans="1:13" x14ac:dyDescent="0.2">
      <c r="A488" s="13" t="s">
        <v>990</v>
      </c>
      <c r="B488" s="12">
        <v>2013</v>
      </c>
      <c r="C488" s="12" t="s">
        <v>991</v>
      </c>
      <c r="D488" s="175">
        <v>415.75543942143577</v>
      </c>
      <c r="E488" s="177">
        <v>3762900.98</v>
      </c>
      <c r="F488" s="178">
        <v>25754946.129999999</v>
      </c>
      <c r="G488" s="178">
        <v>418350.8</v>
      </c>
      <c r="H488" s="178">
        <v>117031.75</v>
      </c>
      <c r="I488" s="178">
        <v>7766937.2600000007</v>
      </c>
      <c r="J488" s="178">
        <v>9585321.5500000007</v>
      </c>
      <c r="K488" s="178">
        <v>1448242.1700000002</v>
      </c>
      <c r="L488" s="178">
        <v>2787440.6400000006</v>
      </c>
      <c r="M488" s="181">
        <v>4871.2918667500999</v>
      </c>
    </row>
    <row r="489" spans="1:13" x14ac:dyDescent="0.2">
      <c r="A489" s="13" t="s">
        <v>992</v>
      </c>
      <c r="B489" s="12">
        <v>2013</v>
      </c>
      <c r="C489" s="12" t="s">
        <v>993</v>
      </c>
      <c r="D489" s="175">
        <v>94.048422060899355</v>
      </c>
      <c r="E489" s="177">
        <v>214313.29</v>
      </c>
      <c r="F489" s="178">
        <v>3373694.4</v>
      </c>
      <c r="G489" s="178">
        <v>87454.26</v>
      </c>
      <c r="H489" s="178">
        <v>44905.89</v>
      </c>
      <c r="I489" s="178">
        <v>972535.21</v>
      </c>
      <c r="J489" s="178">
        <v>1360163.1</v>
      </c>
      <c r="K489" s="178">
        <v>324599.77</v>
      </c>
      <c r="L489" s="178">
        <v>345501.55</v>
      </c>
      <c r="M489" s="181">
        <v>808.08278685218795</v>
      </c>
    </row>
    <row r="490" spans="1:13" x14ac:dyDescent="0.2">
      <c r="A490" s="13" t="s">
        <v>994</v>
      </c>
      <c r="B490" s="12">
        <v>2013</v>
      </c>
      <c r="C490" s="12" t="s">
        <v>995</v>
      </c>
      <c r="D490" s="175">
        <v>567.45645282010173</v>
      </c>
      <c r="E490" s="177">
        <v>3168983.99</v>
      </c>
      <c r="F490" s="178">
        <v>19759390.789999999</v>
      </c>
      <c r="G490" s="178">
        <v>453730.85</v>
      </c>
      <c r="H490" s="178">
        <v>7853</v>
      </c>
      <c r="I490" s="178">
        <v>7937829.0200000005</v>
      </c>
      <c r="J490" s="178">
        <v>9172199.8900000062</v>
      </c>
      <c r="K490" s="178">
        <v>707030.31999999972</v>
      </c>
      <c r="L490" s="178">
        <v>3265830.0999999992</v>
      </c>
      <c r="M490" s="181">
        <v>3896.8481542368399</v>
      </c>
    </row>
    <row r="491" spans="1:13" x14ac:dyDescent="0.2">
      <c r="A491" s="13" t="s">
        <v>996</v>
      </c>
      <c r="B491" s="12">
        <v>2013</v>
      </c>
      <c r="C491" s="12" t="s">
        <v>997</v>
      </c>
      <c r="D491" s="175">
        <v>235.43281288562702</v>
      </c>
      <c r="E491" s="177">
        <v>731787.08</v>
      </c>
      <c r="F491" s="178">
        <v>5331990.43</v>
      </c>
      <c r="G491" s="178">
        <v>384085.76000000001</v>
      </c>
      <c r="H491" s="178">
        <v>118835.81</v>
      </c>
      <c r="I491" s="178">
        <v>1560516.44</v>
      </c>
      <c r="J491" s="178">
        <v>2675710.23</v>
      </c>
      <c r="K491" s="178">
        <v>693030.44</v>
      </c>
      <c r="L491" s="178">
        <v>509635.33999999985</v>
      </c>
      <c r="M491" s="181">
        <v>1773.5076599337499</v>
      </c>
    </row>
    <row r="492" spans="1:13" x14ac:dyDescent="0.2">
      <c r="A492" s="13" t="s">
        <v>998</v>
      </c>
      <c r="B492" s="12">
        <v>2013</v>
      </c>
      <c r="C492" s="12" t="s">
        <v>999</v>
      </c>
      <c r="D492" s="175">
        <v>142.22497142857142</v>
      </c>
      <c r="E492" s="177">
        <v>542610.64</v>
      </c>
      <c r="F492" s="178">
        <v>4913638.5</v>
      </c>
      <c r="G492" s="178">
        <v>112835.33</v>
      </c>
      <c r="H492" s="179">
        <v>12829.52</v>
      </c>
      <c r="I492" s="179">
        <v>1418171.56</v>
      </c>
      <c r="J492" s="179">
        <v>2108842.2599999998</v>
      </c>
      <c r="K492" s="179">
        <v>485904.77</v>
      </c>
      <c r="L492" s="179">
        <v>303578.89</v>
      </c>
      <c r="M492" s="181">
        <v>1214.44320921659</v>
      </c>
    </row>
    <row r="493" spans="1:13" x14ac:dyDescent="0.2">
      <c r="A493" s="13" t="s">
        <v>1000</v>
      </c>
      <c r="B493" s="12">
        <v>2013</v>
      </c>
      <c r="C493" s="12" t="s">
        <v>1001</v>
      </c>
      <c r="D493" s="175">
        <v>297.73250156299707</v>
      </c>
      <c r="E493" s="177">
        <v>894120.16</v>
      </c>
      <c r="F493" s="178">
        <v>6503245.5</v>
      </c>
      <c r="G493" s="179">
        <v>135762.82</v>
      </c>
      <c r="H493" s="179">
        <v>106514.06</v>
      </c>
      <c r="I493" s="179">
        <v>2022474.3499999999</v>
      </c>
      <c r="J493" s="179">
        <v>2699191.89</v>
      </c>
      <c r="K493" s="179">
        <v>301072.67999999993</v>
      </c>
      <c r="L493" s="179">
        <v>720714.40999999992</v>
      </c>
      <c r="M493" s="181">
        <v>1791.1152101216401</v>
      </c>
    </row>
    <row r="494" spans="1:13" x14ac:dyDescent="0.2">
      <c r="A494" s="13" t="s">
        <v>1002</v>
      </c>
      <c r="B494" s="12">
        <v>2013</v>
      </c>
      <c r="C494" s="12" t="s">
        <v>1003</v>
      </c>
      <c r="D494" s="175">
        <v>189.2703225806452</v>
      </c>
      <c r="E494" s="177">
        <v>593450.28</v>
      </c>
      <c r="F494" s="178">
        <v>3137702.12</v>
      </c>
      <c r="G494" s="179">
        <v>41156.699999999997</v>
      </c>
      <c r="H494" s="179">
        <v>23263.07</v>
      </c>
      <c r="I494" s="179">
        <v>1469462.98</v>
      </c>
      <c r="J494" s="179">
        <v>2107680.59</v>
      </c>
      <c r="K494" s="179">
        <v>196100.12000000002</v>
      </c>
      <c r="L494" s="179">
        <v>295718.30000000005</v>
      </c>
      <c r="M494" s="181">
        <v>1563.6011981566801</v>
      </c>
    </row>
    <row r="495" spans="1:13" x14ac:dyDescent="0.2">
      <c r="A495" s="13" t="s">
        <v>1004</v>
      </c>
      <c r="B495" s="12">
        <v>2013</v>
      </c>
      <c r="C495" s="12" t="s">
        <v>1005</v>
      </c>
      <c r="D495" s="175">
        <v>95.539230333899269</v>
      </c>
      <c r="E495" s="177">
        <v>353255.82</v>
      </c>
      <c r="F495" s="178">
        <v>3125168.02</v>
      </c>
      <c r="G495" s="178">
        <v>92443.69</v>
      </c>
      <c r="H495" s="178">
        <v>24514.75</v>
      </c>
      <c r="I495" s="178">
        <v>826315.97000000009</v>
      </c>
      <c r="J495" s="178">
        <v>937908.01999999979</v>
      </c>
      <c r="K495" s="178">
        <v>257044.39999999997</v>
      </c>
      <c r="L495" s="178">
        <v>452955.75999999995</v>
      </c>
      <c r="M495" s="181">
        <v>727.337724957555</v>
      </c>
    </row>
    <row r="496" spans="1:13" x14ac:dyDescent="0.2">
      <c r="A496" s="13" t="s">
        <v>1006</v>
      </c>
      <c r="B496" s="12">
        <v>2013</v>
      </c>
      <c r="C496" s="12" t="s">
        <v>1007</v>
      </c>
      <c r="D496" s="175">
        <v>152.33718611296567</v>
      </c>
      <c r="E496" s="177">
        <v>403556.78</v>
      </c>
      <c r="F496" s="178">
        <v>3901166.26</v>
      </c>
      <c r="G496" s="179">
        <v>211919.54</v>
      </c>
      <c r="H496" s="179">
        <v>48563.25</v>
      </c>
      <c r="I496" s="179">
        <v>1079207.3599999999</v>
      </c>
      <c r="J496" s="179">
        <v>1964295.55</v>
      </c>
      <c r="K496" s="179">
        <v>206224.17</v>
      </c>
      <c r="L496" s="179">
        <v>528826.67000000004</v>
      </c>
      <c r="M496" s="181">
        <v>1247.0716329992099</v>
      </c>
    </row>
    <row r="497" spans="1:13" x14ac:dyDescent="0.2">
      <c r="A497" s="13" t="s">
        <v>1008</v>
      </c>
      <c r="B497" s="12">
        <v>2013</v>
      </c>
      <c r="C497" s="12" t="s">
        <v>1009</v>
      </c>
      <c r="D497" s="175">
        <v>135.04279321275402</v>
      </c>
      <c r="E497" s="177">
        <v>556818.96</v>
      </c>
      <c r="F497" s="178">
        <v>2862823.7</v>
      </c>
      <c r="G497" s="178">
        <v>204302.15</v>
      </c>
      <c r="H497" s="178">
        <v>15345.11</v>
      </c>
      <c r="I497" s="178">
        <v>1103167.6500000001</v>
      </c>
      <c r="J497" s="178">
        <v>1597535.2200000002</v>
      </c>
      <c r="K497" s="178">
        <v>170496.93</v>
      </c>
      <c r="L497" s="178">
        <v>373981.04</v>
      </c>
      <c r="M497" s="181">
        <v>851.45208838336703</v>
      </c>
    </row>
    <row r="498" spans="1:13" x14ac:dyDescent="0.2">
      <c r="A498" s="13" t="s">
        <v>1010</v>
      </c>
      <c r="B498" s="12">
        <v>2013</v>
      </c>
      <c r="C498" s="12" t="s">
        <v>1011</v>
      </c>
      <c r="D498" s="175">
        <v>77.858380414312862</v>
      </c>
      <c r="E498" s="177">
        <v>450509.49</v>
      </c>
      <c r="F498" s="178">
        <v>2248551.7799999998</v>
      </c>
      <c r="G498" s="178">
        <v>149250.74</v>
      </c>
      <c r="H498" s="179">
        <v>4245.6000000000004</v>
      </c>
      <c r="I498" s="179">
        <v>1180940.5699999998</v>
      </c>
      <c r="J498" s="179">
        <v>1168800.74</v>
      </c>
      <c r="K498" s="179">
        <v>90825.400000000009</v>
      </c>
      <c r="L498" s="179">
        <v>260770.35000000003</v>
      </c>
      <c r="M498" s="181">
        <v>721.62123075218994</v>
      </c>
    </row>
    <row r="499" spans="1:13" x14ac:dyDescent="0.2">
      <c r="A499" s="13" t="s">
        <v>1012</v>
      </c>
      <c r="B499" s="12">
        <v>2013</v>
      </c>
      <c r="C499" s="12" t="s">
        <v>1013</v>
      </c>
      <c r="D499" s="175">
        <v>146.93333333333374</v>
      </c>
      <c r="E499" s="177">
        <v>381546.27</v>
      </c>
      <c r="F499" s="178">
        <v>2745083.99</v>
      </c>
      <c r="G499" s="179">
        <v>53200.76</v>
      </c>
      <c r="H499" s="179">
        <v>12440.31</v>
      </c>
      <c r="I499" s="179">
        <v>1017092.8500000001</v>
      </c>
      <c r="J499" s="179">
        <v>1174903.04</v>
      </c>
      <c r="K499" s="179">
        <v>102111.70999999999</v>
      </c>
      <c r="L499" s="179">
        <v>309666.23</v>
      </c>
      <c r="M499" s="181">
        <v>663.470424836603</v>
      </c>
    </row>
    <row r="500" spans="1:13" x14ac:dyDescent="0.2">
      <c r="A500" s="13" t="s">
        <v>1014</v>
      </c>
      <c r="B500" s="12">
        <v>2013</v>
      </c>
      <c r="C500" s="12" t="s">
        <v>1015</v>
      </c>
      <c r="D500" s="175">
        <v>91.115240319456703</v>
      </c>
      <c r="E500" s="177">
        <v>103606.45</v>
      </c>
      <c r="F500" s="178">
        <v>2181936.7400000002</v>
      </c>
      <c r="G500" s="179">
        <v>56487.26</v>
      </c>
      <c r="H500" s="179">
        <v>9891.39</v>
      </c>
      <c r="I500" s="179">
        <v>673740.06</v>
      </c>
      <c r="J500" s="179">
        <v>546502.17000000004</v>
      </c>
      <c r="K500" s="179">
        <v>56764.340000000011</v>
      </c>
      <c r="L500" s="179">
        <v>104984.41</v>
      </c>
      <c r="M500" s="181">
        <v>593.55724889328803</v>
      </c>
    </row>
    <row r="501" spans="1:13" x14ac:dyDescent="0.2">
      <c r="A501" s="13" t="s">
        <v>1016</v>
      </c>
      <c r="B501" s="12">
        <v>2013</v>
      </c>
      <c r="C501" s="12" t="s">
        <v>1017</v>
      </c>
      <c r="D501" s="175">
        <v>475.10080573476711</v>
      </c>
      <c r="E501" s="177">
        <v>2454391.94</v>
      </c>
      <c r="F501" s="178">
        <v>13865269.789999999</v>
      </c>
      <c r="G501" s="178">
        <v>304649.23</v>
      </c>
      <c r="H501" s="178">
        <v>7193.89</v>
      </c>
      <c r="I501" s="178">
        <v>3870051.2700000009</v>
      </c>
      <c r="J501" s="178">
        <v>4758513.7100000009</v>
      </c>
      <c r="K501" s="178">
        <v>726250.19</v>
      </c>
      <c r="L501" s="178">
        <v>1711383.59</v>
      </c>
      <c r="M501" s="181">
        <v>3822.79740476191</v>
      </c>
    </row>
    <row r="502" spans="1:13" x14ac:dyDescent="0.2">
      <c r="A502" s="13" t="s">
        <v>1018</v>
      </c>
      <c r="B502" s="12">
        <v>2013</v>
      </c>
      <c r="C502" s="12" t="s">
        <v>1019</v>
      </c>
      <c r="D502" s="175">
        <v>413.27704209950787</v>
      </c>
      <c r="E502" s="177">
        <v>1726585.66</v>
      </c>
      <c r="F502" s="178">
        <v>12839269.5</v>
      </c>
      <c r="G502" s="178">
        <v>493917.73</v>
      </c>
      <c r="H502" s="178">
        <v>139532.57999999999</v>
      </c>
      <c r="I502" s="178">
        <v>3489126.3600000013</v>
      </c>
      <c r="J502" s="178">
        <v>4168999.2299999986</v>
      </c>
      <c r="K502" s="178">
        <v>307307.65999999997</v>
      </c>
      <c r="L502" s="178">
        <v>1369444.2599999998</v>
      </c>
      <c r="M502" s="181">
        <v>3359.3913395298</v>
      </c>
    </row>
    <row r="503" spans="1:13" x14ac:dyDescent="0.2">
      <c r="A503" s="13" t="s">
        <v>1020</v>
      </c>
      <c r="B503" s="12">
        <v>2013</v>
      </c>
      <c r="C503" s="12" t="s">
        <v>1021</v>
      </c>
      <c r="D503" s="175">
        <v>2530.1204932914752</v>
      </c>
      <c r="E503" s="177">
        <v>19000946.859999999</v>
      </c>
      <c r="F503" s="178">
        <v>77661286.569999993</v>
      </c>
      <c r="G503" s="178">
        <v>1319256.58</v>
      </c>
      <c r="H503" s="178">
        <v>473898.42</v>
      </c>
      <c r="I503" s="178">
        <v>24999173.289999995</v>
      </c>
      <c r="J503" s="178">
        <v>26453978.729999993</v>
      </c>
      <c r="K503" s="178">
        <v>8717608.9699999969</v>
      </c>
      <c r="L503" s="178">
        <v>8734072.1900000069</v>
      </c>
      <c r="M503" s="181">
        <v>19563.187510855401</v>
      </c>
    </row>
    <row r="504" spans="1:13" x14ac:dyDescent="0.2">
      <c r="A504" s="13" t="s">
        <v>1022</v>
      </c>
      <c r="B504" s="12">
        <v>2013</v>
      </c>
      <c r="C504" s="12" t="s">
        <v>1023</v>
      </c>
      <c r="D504" s="175">
        <v>99.57379487729078</v>
      </c>
      <c r="E504" s="177">
        <v>145735.92000000001</v>
      </c>
      <c r="F504" s="178">
        <v>3481695.93</v>
      </c>
      <c r="G504" s="178">
        <v>77492.11</v>
      </c>
      <c r="H504" s="178">
        <v>19428.59</v>
      </c>
      <c r="I504" s="178">
        <v>1056018.2600000002</v>
      </c>
      <c r="J504" s="178">
        <v>1413018.8</v>
      </c>
      <c r="K504" s="178">
        <v>142704.37999999995</v>
      </c>
      <c r="L504" s="178">
        <v>460679.31999999966</v>
      </c>
      <c r="M504" s="181">
        <v>961.00355267388295</v>
      </c>
    </row>
    <row r="505" spans="1:13" x14ac:dyDescent="0.2">
      <c r="A505" s="13" t="s">
        <v>1024</v>
      </c>
      <c r="B505" s="12">
        <v>2013</v>
      </c>
      <c r="C505" s="12" t="s">
        <v>1025</v>
      </c>
      <c r="D505" s="175">
        <v>556.56024500788237</v>
      </c>
      <c r="E505" s="177">
        <v>2395075.59</v>
      </c>
      <c r="F505" s="178">
        <v>18929447.57</v>
      </c>
      <c r="G505" s="179">
        <v>699888.07</v>
      </c>
      <c r="H505" s="179">
        <v>111884.84</v>
      </c>
      <c r="I505" s="179">
        <v>4837396.4400000004</v>
      </c>
      <c r="J505" s="179">
        <v>7005779.7400000012</v>
      </c>
      <c r="K505" s="179">
        <v>2868480.02</v>
      </c>
      <c r="L505" s="179">
        <v>2067236.28</v>
      </c>
      <c r="M505" s="181">
        <v>5598.2507672096699</v>
      </c>
    </row>
    <row r="506" spans="1:13" x14ac:dyDescent="0.2">
      <c r="A506" s="13" t="s">
        <v>1026</v>
      </c>
      <c r="B506" s="12">
        <v>2013</v>
      </c>
      <c r="C506" s="12" t="s">
        <v>1027</v>
      </c>
      <c r="D506" s="175">
        <v>1098.7183908045977</v>
      </c>
      <c r="E506" s="177">
        <v>6091346.3799999999</v>
      </c>
      <c r="F506" s="178">
        <v>26893933.02</v>
      </c>
      <c r="G506" s="178">
        <v>1472863.37</v>
      </c>
      <c r="H506" s="178">
        <v>54894.3</v>
      </c>
      <c r="I506" s="178">
        <v>11326748.460000003</v>
      </c>
      <c r="J506" s="178">
        <v>8731573.0600000005</v>
      </c>
      <c r="K506" s="178">
        <v>2948375.4599999995</v>
      </c>
      <c r="L506" s="178">
        <v>4560886.3499999987</v>
      </c>
      <c r="M506" s="181">
        <v>7245.39632183908</v>
      </c>
    </row>
    <row r="507" spans="1:13" x14ac:dyDescent="0.2">
      <c r="A507" s="13" t="s">
        <v>1028</v>
      </c>
      <c r="B507" s="12">
        <v>2013</v>
      </c>
      <c r="C507" s="12" t="s">
        <v>1029</v>
      </c>
      <c r="D507" s="175">
        <v>572.48260372148673</v>
      </c>
      <c r="E507" s="177">
        <v>2873771.6</v>
      </c>
      <c r="F507" s="178">
        <v>15170963.720000001</v>
      </c>
      <c r="G507" s="178">
        <v>349419.22</v>
      </c>
      <c r="H507" s="178">
        <v>556.22</v>
      </c>
      <c r="I507" s="178">
        <v>3546625.4300000006</v>
      </c>
      <c r="J507" s="178">
        <v>4935692.3699999992</v>
      </c>
      <c r="K507" s="178">
        <v>439814.33999999991</v>
      </c>
      <c r="L507" s="178">
        <v>1165685.0299999998</v>
      </c>
      <c r="M507" s="181">
        <v>4069.3121989001302</v>
      </c>
    </row>
    <row r="508" spans="1:13" x14ac:dyDescent="0.2">
      <c r="A508" s="13" t="s">
        <v>1030</v>
      </c>
      <c r="B508" s="12">
        <v>2013</v>
      </c>
      <c r="C508" s="12" t="s">
        <v>1031</v>
      </c>
      <c r="D508" s="175">
        <v>93.516092375366568</v>
      </c>
      <c r="E508" s="177">
        <v>360134.89</v>
      </c>
      <c r="F508" s="178">
        <v>4059414.39</v>
      </c>
      <c r="G508" s="178">
        <v>212193.16</v>
      </c>
      <c r="H508" s="179">
        <v>17416.259999999998</v>
      </c>
      <c r="I508" s="179">
        <v>1677327.0399999998</v>
      </c>
      <c r="J508" s="179">
        <v>1383689.67</v>
      </c>
      <c r="K508" s="179">
        <v>370223.21</v>
      </c>
      <c r="L508" s="179">
        <v>276732.82</v>
      </c>
      <c r="M508" s="181">
        <v>1093.0464076246301</v>
      </c>
    </row>
    <row r="509" spans="1:13" x14ac:dyDescent="0.2">
      <c r="A509" s="13" t="s">
        <v>1032</v>
      </c>
      <c r="B509" s="12">
        <v>2013</v>
      </c>
      <c r="C509" s="12" t="s">
        <v>1033</v>
      </c>
      <c r="D509" s="175">
        <v>397.88338888888876</v>
      </c>
      <c r="E509" s="177">
        <v>1146249.1299999999</v>
      </c>
      <c r="F509" s="178">
        <v>7778293.3899999997</v>
      </c>
      <c r="G509" s="179">
        <v>169496.1</v>
      </c>
      <c r="H509" s="179">
        <v>3049.95</v>
      </c>
      <c r="I509" s="179">
        <v>2698732.1100000003</v>
      </c>
      <c r="J509" s="179">
        <v>3378902.0599999996</v>
      </c>
      <c r="K509" s="179">
        <v>1156549.01</v>
      </c>
      <c r="L509" s="179">
        <v>1233362.6599999999</v>
      </c>
      <c r="M509" s="181">
        <v>2333.7468888888902</v>
      </c>
    </row>
    <row r="510" spans="1:13" x14ac:dyDescent="0.2">
      <c r="A510" s="13" t="s">
        <v>1034</v>
      </c>
      <c r="B510" s="12">
        <v>2013</v>
      </c>
      <c r="C510" s="12" t="s">
        <v>1035</v>
      </c>
      <c r="D510" s="175">
        <v>150.91119729914391</v>
      </c>
      <c r="E510" s="177">
        <v>932034.46</v>
      </c>
      <c r="F510" s="178">
        <v>4415319.01</v>
      </c>
      <c r="G510" s="178">
        <v>169571.51</v>
      </c>
      <c r="H510" s="178">
        <v>94984.68</v>
      </c>
      <c r="I510" s="178">
        <v>1605822.1</v>
      </c>
      <c r="J510" s="178">
        <v>1496672.2599999995</v>
      </c>
      <c r="K510" s="178">
        <v>296795.08999999997</v>
      </c>
      <c r="L510" s="178">
        <v>690572.00999999989</v>
      </c>
      <c r="M510" s="181">
        <v>1053.85078774969</v>
      </c>
    </row>
    <row r="511" spans="1:13" x14ac:dyDescent="0.2">
      <c r="A511" s="13" t="s">
        <v>1036</v>
      </c>
      <c r="B511" s="12">
        <v>2013</v>
      </c>
      <c r="C511" s="12" t="s">
        <v>1037</v>
      </c>
      <c r="D511" s="175">
        <v>172.27685129498497</v>
      </c>
      <c r="E511" s="177">
        <v>791097.88</v>
      </c>
      <c r="F511" s="178">
        <v>4088103.9</v>
      </c>
      <c r="G511" s="178">
        <v>177897.47</v>
      </c>
      <c r="H511" s="178">
        <v>59931.69</v>
      </c>
      <c r="I511" s="178">
        <v>1498413.77</v>
      </c>
      <c r="J511" s="178">
        <v>1810477.6399999997</v>
      </c>
      <c r="K511" s="178">
        <v>79767.319999999992</v>
      </c>
      <c r="L511" s="178">
        <v>758071.44</v>
      </c>
      <c r="M511" s="181">
        <v>1689.55460133107</v>
      </c>
    </row>
    <row r="512" spans="1:13" x14ac:dyDescent="0.2">
      <c r="A512" s="13" t="s">
        <v>1038</v>
      </c>
      <c r="B512" s="12">
        <v>2013</v>
      </c>
      <c r="C512" s="12" t="s">
        <v>1039</v>
      </c>
      <c r="D512" s="175">
        <v>90.78455350985881</v>
      </c>
      <c r="E512" s="177">
        <v>582529.89</v>
      </c>
      <c r="F512" s="178">
        <v>4269848.2300000004</v>
      </c>
      <c r="G512" s="178">
        <v>157837.13</v>
      </c>
      <c r="H512" s="179">
        <v>13607.74</v>
      </c>
      <c r="I512" s="179">
        <v>1047695.17</v>
      </c>
      <c r="J512" s="179">
        <v>778675.13</v>
      </c>
      <c r="K512" s="179">
        <v>141018.02000000002</v>
      </c>
      <c r="L512" s="179">
        <v>190359.24</v>
      </c>
      <c r="M512" s="181">
        <v>932.69683319964599</v>
      </c>
    </row>
    <row r="513" spans="1:13" x14ac:dyDescent="0.2">
      <c r="A513" s="13" t="s">
        <v>1040</v>
      </c>
      <c r="B513" s="12">
        <v>2013</v>
      </c>
      <c r="C513" s="12" t="s">
        <v>1041</v>
      </c>
      <c r="D513" s="175">
        <v>297.59393724138067</v>
      </c>
      <c r="E513" s="177">
        <v>1211033.6000000001</v>
      </c>
      <c r="F513" s="178">
        <v>8156962.0800000001</v>
      </c>
      <c r="G513" s="178">
        <v>134137.60999999999</v>
      </c>
      <c r="H513" s="178">
        <v>36152.43</v>
      </c>
      <c r="I513" s="178">
        <v>2201970.5400000005</v>
      </c>
      <c r="J513" s="178">
        <v>2259735.4100000006</v>
      </c>
      <c r="K513" s="178">
        <v>677962.90999999957</v>
      </c>
      <c r="L513" s="178">
        <v>1188319.44</v>
      </c>
      <c r="M513" s="181">
        <v>2110.95130315612</v>
      </c>
    </row>
    <row r="514" spans="1:13" x14ac:dyDescent="0.2">
      <c r="A514" s="13" t="s">
        <v>1042</v>
      </c>
      <c r="B514" s="12">
        <v>2013</v>
      </c>
      <c r="C514" s="12" t="s">
        <v>1043</v>
      </c>
      <c r="D514" s="175">
        <v>320.41573033707863</v>
      </c>
      <c r="E514" s="177">
        <v>1607324.97</v>
      </c>
      <c r="F514" s="178">
        <v>7188176.7999999998</v>
      </c>
      <c r="G514" s="178">
        <v>782922.89</v>
      </c>
      <c r="H514" s="178">
        <v>46028.07</v>
      </c>
      <c r="I514" s="178">
        <v>2405577.9500000002</v>
      </c>
      <c r="J514" s="178">
        <v>3167742.1300000004</v>
      </c>
      <c r="K514" s="178">
        <v>250733.02000000005</v>
      </c>
      <c r="L514" s="178">
        <v>511357.93999999994</v>
      </c>
      <c r="M514" s="181">
        <v>2254.7966292134802</v>
      </c>
    </row>
    <row r="515" spans="1:13" x14ac:dyDescent="0.2">
      <c r="A515" s="13" t="s">
        <v>1044</v>
      </c>
      <c r="B515" s="12">
        <v>2013</v>
      </c>
      <c r="C515" s="12" t="s">
        <v>1045</v>
      </c>
      <c r="D515" s="175">
        <v>542.59024372759859</v>
      </c>
      <c r="E515" s="177">
        <v>3252747.15</v>
      </c>
      <c r="F515" s="178">
        <v>20170725.829999998</v>
      </c>
      <c r="G515" s="178">
        <v>426524.77</v>
      </c>
      <c r="H515" s="178">
        <v>215697.39</v>
      </c>
      <c r="I515" s="178">
        <v>5702389.2300000004</v>
      </c>
      <c r="J515" s="178">
        <v>8230065.2499999981</v>
      </c>
      <c r="K515" s="178">
        <v>2507162.7799999989</v>
      </c>
      <c r="L515" s="178">
        <v>2505852.5700000003</v>
      </c>
      <c r="M515" s="181">
        <v>5079.6627508960601</v>
      </c>
    </row>
    <row r="516" spans="1:13" x14ac:dyDescent="0.2">
      <c r="A516" s="13" t="s">
        <v>1046</v>
      </c>
      <c r="B516" s="12">
        <v>2013</v>
      </c>
      <c r="C516" s="12" t="s">
        <v>1047</v>
      </c>
      <c r="D516" s="175">
        <v>53.383098223615463</v>
      </c>
      <c r="E516" s="177">
        <v>289529.34999999998</v>
      </c>
      <c r="F516" s="178">
        <v>2184369.67</v>
      </c>
      <c r="G516" s="179">
        <v>66837.240000000005</v>
      </c>
      <c r="H516" s="179">
        <v>1257</v>
      </c>
      <c r="I516" s="179">
        <v>899835.20000000007</v>
      </c>
      <c r="J516" s="179">
        <v>745072.28000000014</v>
      </c>
      <c r="K516" s="179">
        <v>247249.29</v>
      </c>
      <c r="L516" s="179">
        <v>183985.01</v>
      </c>
      <c r="M516" s="181">
        <v>644.31651923854804</v>
      </c>
    </row>
    <row r="517" spans="1:13" x14ac:dyDescent="0.2">
      <c r="A517" s="13" t="s">
        <v>1048</v>
      </c>
      <c r="B517" s="12">
        <v>2013</v>
      </c>
      <c r="C517" s="12" t="s">
        <v>1049</v>
      </c>
      <c r="D517" s="175">
        <v>271.13615777338612</v>
      </c>
      <c r="E517" s="177">
        <v>1168966.4099999999</v>
      </c>
      <c r="F517" s="178">
        <v>8819721.3499999996</v>
      </c>
      <c r="G517" s="179">
        <v>172806.45</v>
      </c>
      <c r="H517" s="179">
        <v>27029.33</v>
      </c>
      <c r="I517" s="179">
        <v>2907686.08</v>
      </c>
      <c r="J517" s="179">
        <v>2955846.9</v>
      </c>
      <c r="K517" s="179">
        <v>677891.91</v>
      </c>
      <c r="L517" s="179">
        <v>1155908.2299999997</v>
      </c>
      <c r="M517" s="181">
        <v>2084.9630887681201</v>
      </c>
    </row>
    <row r="518" spans="1:13" x14ac:dyDescent="0.2">
      <c r="A518" s="13" t="s">
        <v>1050</v>
      </c>
      <c r="B518" s="12">
        <v>2013</v>
      </c>
      <c r="C518" s="12" t="s">
        <v>1051</v>
      </c>
      <c r="D518" s="175">
        <v>444.90317808047217</v>
      </c>
      <c r="E518" s="183">
        <v>0</v>
      </c>
      <c r="F518" s="178">
        <v>29782803.210000001</v>
      </c>
      <c r="G518" s="178">
        <v>102684.91</v>
      </c>
      <c r="H518" s="178">
        <v>7745.78</v>
      </c>
      <c r="I518" s="178">
        <v>11324269.679999998</v>
      </c>
      <c r="J518" s="178">
        <v>11811115.469999999</v>
      </c>
      <c r="K518" s="178">
        <v>2541920.3700000006</v>
      </c>
      <c r="L518" s="178">
        <v>1894597.6199999996</v>
      </c>
      <c r="M518" s="181">
        <v>5963.0203138534898</v>
      </c>
    </row>
    <row r="519" spans="1:13" x14ac:dyDescent="0.2">
      <c r="A519" s="13" t="s">
        <v>1052</v>
      </c>
      <c r="B519" s="12">
        <v>2013</v>
      </c>
      <c r="C519" s="12" t="s">
        <v>1053</v>
      </c>
      <c r="D519" s="175">
        <v>242.75146198830404</v>
      </c>
      <c r="E519" s="177">
        <v>830032.61</v>
      </c>
      <c r="F519" s="178">
        <v>7245833.3399999999</v>
      </c>
      <c r="G519" s="178">
        <v>189775.76</v>
      </c>
      <c r="H519" s="178">
        <v>48183.03</v>
      </c>
      <c r="I519" s="178">
        <v>2064780.9300000002</v>
      </c>
      <c r="J519" s="178">
        <v>1931034.05</v>
      </c>
      <c r="K519" s="178">
        <v>273551.60999999993</v>
      </c>
      <c r="L519" s="178">
        <v>673975.19</v>
      </c>
      <c r="M519" s="181">
        <v>1973.28362573099</v>
      </c>
    </row>
    <row r="520" spans="1:13" x14ac:dyDescent="0.2">
      <c r="A520" s="13" t="s">
        <v>1054</v>
      </c>
      <c r="B520" s="12">
        <v>2013</v>
      </c>
      <c r="C520" s="12" t="s">
        <v>1055</v>
      </c>
      <c r="D520" s="175">
        <v>41.269005847953181</v>
      </c>
      <c r="E520" s="177">
        <v>73976.05</v>
      </c>
      <c r="F520" s="178">
        <v>1619247.39</v>
      </c>
      <c r="G520" s="179">
        <v>31750.59</v>
      </c>
      <c r="H520" s="179">
        <v>0</v>
      </c>
      <c r="I520" s="179">
        <v>672023.22000000009</v>
      </c>
      <c r="J520" s="179">
        <v>459773.49</v>
      </c>
      <c r="K520" s="179">
        <v>167369.38999999998</v>
      </c>
      <c r="L520" s="179">
        <v>103133.28</v>
      </c>
      <c r="M520" s="181">
        <v>421.55847953216301</v>
      </c>
    </row>
    <row r="521" spans="1:13" x14ac:dyDescent="0.2">
      <c r="A521" s="13" t="s">
        <v>1056</v>
      </c>
      <c r="B521" s="12">
        <v>2013</v>
      </c>
      <c r="C521" s="12" t="s">
        <v>1057</v>
      </c>
      <c r="D521" s="175">
        <v>147.28704023698549</v>
      </c>
      <c r="E521" s="177">
        <v>635379.16</v>
      </c>
      <c r="F521" s="178">
        <v>4363574.87</v>
      </c>
      <c r="G521" s="178">
        <v>113710.19</v>
      </c>
      <c r="H521" s="178">
        <v>7325.75</v>
      </c>
      <c r="I521" s="178">
        <v>1887190.7099999997</v>
      </c>
      <c r="J521" s="178">
        <v>2005984.1900000009</v>
      </c>
      <c r="K521" s="178">
        <v>559300.74</v>
      </c>
      <c r="L521" s="178">
        <v>724745.62000000011</v>
      </c>
      <c r="M521" s="181">
        <v>1311.25125784958</v>
      </c>
    </row>
    <row r="522" spans="1:13" x14ac:dyDescent="0.2">
      <c r="A522" s="13" t="s">
        <v>1058</v>
      </c>
      <c r="B522" s="12">
        <v>2013</v>
      </c>
      <c r="C522" s="12" t="s">
        <v>1059</v>
      </c>
      <c r="D522" s="175">
        <v>384.45546208429073</v>
      </c>
      <c r="E522" s="177">
        <v>1286953.79</v>
      </c>
      <c r="F522" s="178">
        <v>8995473.8000000007</v>
      </c>
      <c r="G522" s="178">
        <v>331560.09999999998</v>
      </c>
      <c r="H522" s="179">
        <v>98162.79</v>
      </c>
      <c r="I522" s="179">
        <v>3139515.87</v>
      </c>
      <c r="J522" s="179">
        <v>5229904.3299999973</v>
      </c>
      <c r="K522" s="179">
        <v>383660.09</v>
      </c>
      <c r="L522" s="179">
        <v>754078.18</v>
      </c>
      <c r="M522" s="181">
        <v>2475.99650541457</v>
      </c>
    </row>
    <row r="523" spans="1:13" x14ac:dyDescent="0.2">
      <c r="A523" s="13" t="s">
        <v>1060</v>
      </c>
      <c r="B523" s="12">
        <v>2013</v>
      </c>
      <c r="C523" s="12" t="s">
        <v>1061</v>
      </c>
      <c r="D523" s="175">
        <v>484.00186052350767</v>
      </c>
      <c r="E523" s="177">
        <v>5212921.3099999996</v>
      </c>
      <c r="F523" s="178">
        <v>29870608.489999998</v>
      </c>
      <c r="G523" s="178">
        <v>784746.83</v>
      </c>
      <c r="H523" s="178">
        <v>263590.38</v>
      </c>
      <c r="I523" s="178">
        <v>8008170.4900000002</v>
      </c>
      <c r="J523" s="178">
        <v>11304061.120000001</v>
      </c>
      <c r="K523" s="178">
        <v>2288644.6199999996</v>
      </c>
      <c r="L523" s="178">
        <v>4864435.6100000003</v>
      </c>
      <c r="M523" s="181">
        <v>5149.0401680676496</v>
      </c>
    </row>
    <row r="524" spans="1:13" x14ac:dyDescent="0.2">
      <c r="A524" s="13" t="s">
        <v>1062</v>
      </c>
      <c r="B524" s="12">
        <v>2013</v>
      </c>
      <c r="C524" s="12" t="s">
        <v>1063</v>
      </c>
      <c r="D524" s="175">
        <v>917.98178444460552</v>
      </c>
      <c r="E524" s="177">
        <v>6276690.1699999999</v>
      </c>
      <c r="F524" s="178">
        <v>30586827.32</v>
      </c>
      <c r="G524" s="178">
        <v>1058334.06</v>
      </c>
      <c r="H524" s="178">
        <v>6787.84</v>
      </c>
      <c r="I524" s="178">
        <v>11183285.170000002</v>
      </c>
      <c r="J524" s="178">
        <v>13162188.719999997</v>
      </c>
      <c r="K524" s="178">
        <v>2937795.94</v>
      </c>
      <c r="L524" s="178">
        <v>4022362.1599999992</v>
      </c>
      <c r="M524" s="181">
        <v>7351.8954932001598</v>
      </c>
    </row>
    <row r="525" spans="1:13" x14ac:dyDescent="0.2">
      <c r="A525" s="13" t="s">
        <v>1064</v>
      </c>
      <c r="B525" s="12">
        <v>2013</v>
      </c>
      <c r="C525" s="12" t="s">
        <v>1065</v>
      </c>
      <c r="D525" s="175">
        <v>110.88095180479932</v>
      </c>
      <c r="E525" s="177">
        <v>461998.75</v>
      </c>
      <c r="F525" s="178">
        <v>2998883.97</v>
      </c>
      <c r="G525" s="178">
        <v>103729.88</v>
      </c>
      <c r="H525" s="178">
        <v>528</v>
      </c>
      <c r="I525" s="178">
        <v>1005768.84</v>
      </c>
      <c r="J525" s="178">
        <v>1776997.2200000002</v>
      </c>
      <c r="K525" s="178">
        <v>220155.24000000002</v>
      </c>
      <c r="L525" s="178">
        <v>277410.65999999997</v>
      </c>
      <c r="M525" s="181">
        <v>793.524904214559</v>
      </c>
    </row>
    <row r="526" spans="1:13" x14ac:dyDescent="0.2">
      <c r="A526" s="13" t="s">
        <v>1066</v>
      </c>
      <c r="B526" s="12">
        <v>2013</v>
      </c>
      <c r="C526" s="12" t="s">
        <v>1067</v>
      </c>
      <c r="D526" s="175">
        <v>259.84669420758064</v>
      </c>
      <c r="E526" s="177">
        <v>1443744.73</v>
      </c>
      <c r="F526" s="178">
        <v>12725859.960000001</v>
      </c>
      <c r="G526" s="178">
        <v>161794.17000000001</v>
      </c>
      <c r="H526" s="178">
        <v>93987.26</v>
      </c>
      <c r="I526" s="178">
        <v>3732347.8099999991</v>
      </c>
      <c r="J526" s="178">
        <v>5631757.2300000004</v>
      </c>
      <c r="K526" s="178">
        <v>2186493.9599999995</v>
      </c>
      <c r="L526" s="178">
        <v>1341982.83</v>
      </c>
      <c r="M526" s="181">
        <v>3039.4273433970302</v>
      </c>
    </row>
    <row r="527" spans="1:13" x14ac:dyDescent="0.2">
      <c r="A527" s="13" t="s">
        <v>1068</v>
      </c>
      <c r="B527" s="12">
        <v>2013</v>
      </c>
      <c r="C527" s="12" t="s">
        <v>1069</v>
      </c>
      <c r="D527" s="175">
        <v>263.9440625881598</v>
      </c>
      <c r="E527" s="177">
        <v>1534688.58</v>
      </c>
      <c r="F527" s="178">
        <v>9702459.8900000006</v>
      </c>
      <c r="G527" s="178">
        <v>158237.10999999999</v>
      </c>
      <c r="H527" s="178">
        <v>48640.2</v>
      </c>
      <c r="I527" s="178">
        <v>3166486.0699999994</v>
      </c>
      <c r="J527" s="178">
        <v>3757099.9299999992</v>
      </c>
      <c r="K527" s="178">
        <v>456604.54000000004</v>
      </c>
      <c r="L527" s="178">
        <v>871194.18</v>
      </c>
      <c r="M527" s="181">
        <v>2450.3196658402899</v>
      </c>
    </row>
    <row r="528" spans="1:13" x14ac:dyDescent="0.2">
      <c r="A528" s="13" t="s">
        <v>1070</v>
      </c>
      <c r="B528" s="12">
        <v>2013</v>
      </c>
      <c r="C528" s="12" t="s">
        <v>1071</v>
      </c>
      <c r="D528" s="175">
        <v>387.95656270179518</v>
      </c>
      <c r="E528" s="177">
        <v>2349281.9</v>
      </c>
      <c r="F528" s="178">
        <v>12902496.74</v>
      </c>
      <c r="G528" s="179">
        <v>295070.24</v>
      </c>
      <c r="H528" s="179">
        <v>0</v>
      </c>
      <c r="I528" s="179">
        <v>4231127.37</v>
      </c>
      <c r="J528" s="179">
        <v>4623843.4899999993</v>
      </c>
      <c r="K528" s="179">
        <v>284880.43</v>
      </c>
      <c r="L528" s="179">
        <v>1230241.7799999998</v>
      </c>
      <c r="M528" s="181">
        <v>3631.02736923673</v>
      </c>
    </row>
    <row r="529" spans="1:13" x14ac:dyDescent="0.2">
      <c r="A529" s="13" t="s">
        <v>1072</v>
      </c>
      <c r="B529" s="12">
        <v>2013</v>
      </c>
      <c r="C529" s="12" t="s">
        <v>1073</v>
      </c>
      <c r="D529" s="175">
        <v>392.92107194778521</v>
      </c>
      <c r="E529" s="177">
        <v>2034156.74</v>
      </c>
      <c r="F529" s="178">
        <v>10787388.779999999</v>
      </c>
      <c r="G529" s="178">
        <v>292968.96000000002</v>
      </c>
      <c r="H529" s="178">
        <v>102292.07</v>
      </c>
      <c r="I529" s="178">
        <v>3170833.3600000008</v>
      </c>
      <c r="J529" s="178">
        <v>4317003.2299999995</v>
      </c>
      <c r="K529" s="178">
        <v>1018989.5000000001</v>
      </c>
      <c r="L529" s="178">
        <v>1362107.9799999997</v>
      </c>
      <c r="M529" s="181">
        <v>3101.94979371195</v>
      </c>
    </row>
    <row r="530" spans="1:13" x14ac:dyDescent="0.2">
      <c r="A530" s="13" t="s">
        <v>1074</v>
      </c>
      <c r="B530" s="12">
        <v>2013</v>
      </c>
      <c r="C530" s="12" t="s">
        <v>1075</v>
      </c>
      <c r="D530" s="175">
        <v>247.62957967777805</v>
      </c>
      <c r="E530" s="177">
        <v>817498.17</v>
      </c>
      <c r="F530" s="178">
        <v>7589328.7300000004</v>
      </c>
      <c r="G530" s="178">
        <v>83950.52</v>
      </c>
      <c r="H530" s="178">
        <v>69060.77</v>
      </c>
      <c r="I530" s="178">
        <v>2354410.66</v>
      </c>
      <c r="J530" s="178">
        <v>2756055.3699999996</v>
      </c>
      <c r="K530" s="178">
        <v>690972.44000000029</v>
      </c>
      <c r="L530" s="178">
        <v>1233425.1700000004</v>
      </c>
      <c r="M530" s="181">
        <v>1856.7803881361999</v>
      </c>
    </row>
    <row r="531" spans="1:13" x14ac:dyDescent="0.2">
      <c r="A531" s="13" t="s">
        <v>1076</v>
      </c>
      <c r="B531" s="12">
        <v>2013</v>
      </c>
      <c r="C531" s="12" t="s">
        <v>1077</v>
      </c>
      <c r="D531" s="175">
        <v>385.63520688398285</v>
      </c>
      <c r="E531" s="177">
        <v>1343094.46</v>
      </c>
      <c r="F531" s="178">
        <v>7626313.4699999997</v>
      </c>
      <c r="G531" s="178">
        <v>101783.13</v>
      </c>
      <c r="H531" s="178">
        <v>6708.96</v>
      </c>
      <c r="I531" s="178">
        <v>2447128.2000000002</v>
      </c>
      <c r="J531" s="178">
        <v>2894226.6900000004</v>
      </c>
      <c r="K531" s="178">
        <v>841248.87000000011</v>
      </c>
      <c r="L531" s="178">
        <v>1061756.2</v>
      </c>
      <c r="M531" s="181">
        <v>2719.6254412938401</v>
      </c>
    </row>
    <row r="532" spans="1:13" x14ac:dyDescent="0.2">
      <c r="A532" s="13" t="s">
        <v>1078</v>
      </c>
      <c r="B532" s="12">
        <v>2013</v>
      </c>
      <c r="C532" s="12" t="s">
        <v>1079</v>
      </c>
      <c r="D532" s="175">
        <v>275.72845359485615</v>
      </c>
      <c r="E532" s="177">
        <v>606888.04</v>
      </c>
      <c r="F532" s="178">
        <v>9157316.9600000009</v>
      </c>
      <c r="G532" s="178">
        <v>124572.75</v>
      </c>
      <c r="H532" s="178">
        <v>29023.49</v>
      </c>
      <c r="I532" s="178">
        <v>2440915.63</v>
      </c>
      <c r="J532" s="178">
        <v>2874314.22</v>
      </c>
      <c r="K532" s="178">
        <v>1055965.8400000001</v>
      </c>
      <c r="L532" s="178">
        <v>733321.63000000012</v>
      </c>
      <c r="M532" s="181">
        <v>2441.8606462297898</v>
      </c>
    </row>
    <row r="533" spans="1:13" x14ac:dyDescent="0.2">
      <c r="A533" s="13" t="s">
        <v>1080</v>
      </c>
      <c r="B533" s="12">
        <v>2013</v>
      </c>
      <c r="C533" s="12" t="s">
        <v>1081</v>
      </c>
      <c r="D533" s="175">
        <v>4058.2178763440857</v>
      </c>
      <c r="E533" s="177">
        <v>23629239.16</v>
      </c>
      <c r="F533" s="178">
        <v>75621538.060000002</v>
      </c>
      <c r="G533" s="178">
        <v>4266658.34</v>
      </c>
      <c r="H533" s="178">
        <v>823961.68</v>
      </c>
      <c r="I533" s="178">
        <v>30536411.73999998</v>
      </c>
      <c r="J533" s="178">
        <v>37565486.420000009</v>
      </c>
      <c r="K533" s="178">
        <v>13892435.540000003</v>
      </c>
      <c r="L533" s="178">
        <v>13621659.920000015</v>
      </c>
      <c r="M533" s="181">
        <v>21333.190709677401</v>
      </c>
    </row>
    <row r="534" spans="1:13" x14ac:dyDescent="0.2">
      <c r="A534" s="13" t="s">
        <v>1082</v>
      </c>
      <c r="B534" s="12">
        <v>2013</v>
      </c>
      <c r="C534" s="12" t="s">
        <v>1083</v>
      </c>
      <c r="D534" s="175">
        <v>107.70451162583572</v>
      </c>
      <c r="E534" s="177">
        <v>513727.28</v>
      </c>
      <c r="F534" s="178">
        <v>2589573.6800000002</v>
      </c>
      <c r="G534" s="178">
        <v>38935.839999999997</v>
      </c>
      <c r="H534" s="178">
        <v>25673.03</v>
      </c>
      <c r="I534" s="178">
        <v>1131234.3</v>
      </c>
      <c r="J534" s="178">
        <v>907202.78000000014</v>
      </c>
      <c r="K534" s="178">
        <v>177985.34999999998</v>
      </c>
      <c r="L534" s="178">
        <v>231717.16</v>
      </c>
      <c r="M534" s="181">
        <v>791.67907202702895</v>
      </c>
    </row>
    <row r="535" spans="1:13" x14ac:dyDescent="0.2">
      <c r="A535" s="13" t="s">
        <v>1084</v>
      </c>
      <c r="B535" s="12">
        <v>2013</v>
      </c>
      <c r="C535" s="12" t="s">
        <v>1085</v>
      </c>
      <c r="D535" s="175">
        <v>108.85006087462021</v>
      </c>
      <c r="E535" s="177">
        <v>488991.52</v>
      </c>
      <c r="F535" s="178">
        <v>3729135.14</v>
      </c>
      <c r="G535" s="178">
        <v>73848.179999999993</v>
      </c>
      <c r="H535" s="178">
        <v>52641.01</v>
      </c>
      <c r="I535" s="178">
        <v>1286240.6399999999</v>
      </c>
      <c r="J535" s="178">
        <v>1585091.0399999996</v>
      </c>
      <c r="K535" s="178">
        <v>121248.55000000002</v>
      </c>
      <c r="L535" s="178">
        <v>230578.95000000007</v>
      </c>
      <c r="M535" s="181">
        <v>978.13676168957204</v>
      </c>
    </row>
    <row r="536" spans="1:13" x14ac:dyDescent="0.2">
      <c r="A536" s="13" t="s">
        <v>1086</v>
      </c>
      <c r="B536" s="12">
        <v>2013</v>
      </c>
      <c r="C536" s="12" t="s">
        <v>1087</v>
      </c>
      <c r="D536" s="175">
        <v>80.933329156223877</v>
      </c>
      <c r="E536" s="177">
        <v>411249.47</v>
      </c>
      <c r="F536" s="178">
        <v>4115877.21</v>
      </c>
      <c r="G536" s="179">
        <v>98641.8</v>
      </c>
      <c r="H536" s="179">
        <v>5519.63</v>
      </c>
      <c r="I536" s="179">
        <v>1218365.01</v>
      </c>
      <c r="J536" s="179">
        <v>1178116.76</v>
      </c>
      <c r="K536" s="179">
        <v>526015.92000000004</v>
      </c>
      <c r="L536" s="179">
        <v>374728.28</v>
      </c>
      <c r="M536" s="181">
        <v>1028.9517665804301</v>
      </c>
    </row>
    <row r="537" spans="1:13" x14ac:dyDescent="0.2">
      <c r="A537" s="13" t="s">
        <v>1088</v>
      </c>
      <c r="B537" s="12">
        <v>2013</v>
      </c>
      <c r="C537" s="12" t="s">
        <v>1089</v>
      </c>
      <c r="D537" s="175">
        <v>171.46183106470255</v>
      </c>
      <c r="E537" s="177">
        <v>625344.84</v>
      </c>
      <c r="F537" s="178">
        <v>2707951.81</v>
      </c>
      <c r="G537" s="178">
        <v>165451.4</v>
      </c>
      <c r="H537" s="178">
        <v>57195.64</v>
      </c>
      <c r="I537" s="178">
        <v>951367.95</v>
      </c>
      <c r="J537" s="178">
        <v>1439408.0200000003</v>
      </c>
      <c r="K537" s="178">
        <v>246339.24000000002</v>
      </c>
      <c r="L537" s="178">
        <v>308683.84000000008</v>
      </c>
      <c r="M537" s="181">
        <v>859.72211448815995</v>
      </c>
    </row>
    <row r="538" spans="1:13" x14ac:dyDescent="0.2">
      <c r="A538" s="13" t="s">
        <v>1090</v>
      </c>
      <c r="B538" s="12">
        <v>2013</v>
      </c>
      <c r="C538" s="12" t="s">
        <v>1091</v>
      </c>
      <c r="D538" s="175">
        <v>385.00404074702874</v>
      </c>
      <c r="E538" s="177">
        <v>1356369.06</v>
      </c>
      <c r="F538" s="178">
        <v>9814783.8399999999</v>
      </c>
      <c r="G538" s="179">
        <v>245238.28</v>
      </c>
      <c r="H538" s="179">
        <v>128959.2</v>
      </c>
      <c r="I538" s="179">
        <v>3577003.0100000002</v>
      </c>
      <c r="J538" s="179">
        <v>3871916.46</v>
      </c>
      <c r="K538" s="179">
        <v>1010959.2900000002</v>
      </c>
      <c r="L538" s="179">
        <v>582385.5</v>
      </c>
      <c r="M538" s="181">
        <v>3023.6933182418402</v>
      </c>
    </row>
    <row r="539" spans="1:13" x14ac:dyDescent="0.2">
      <c r="A539" s="13" t="s">
        <v>1092</v>
      </c>
      <c r="B539" s="12">
        <v>2013</v>
      </c>
      <c r="C539" s="12" t="s">
        <v>1093</v>
      </c>
      <c r="D539" s="175">
        <v>73.179784031489305</v>
      </c>
      <c r="E539" s="177">
        <v>379672.45</v>
      </c>
      <c r="F539" s="178">
        <v>2633365.1</v>
      </c>
      <c r="G539" s="178">
        <v>43723.4</v>
      </c>
      <c r="H539" s="178">
        <v>21332.5</v>
      </c>
      <c r="I539" s="178">
        <v>800383.53999999992</v>
      </c>
      <c r="J539" s="178">
        <v>1022565.3599999999</v>
      </c>
      <c r="K539" s="178">
        <v>229326.42</v>
      </c>
      <c r="L539" s="178">
        <v>284157.09999999998</v>
      </c>
      <c r="M539" s="181">
        <v>764.92834731094797</v>
      </c>
    </row>
    <row r="540" spans="1:13" x14ac:dyDescent="0.2">
      <c r="A540" s="13" t="s">
        <v>1094</v>
      </c>
      <c r="B540" s="12">
        <v>2013</v>
      </c>
      <c r="C540" s="12" t="s">
        <v>1095</v>
      </c>
      <c r="D540" s="175">
        <v>166.79963198225445</v>
      </c>
      <c r="E540" s="177">
        <v>1114836.02</v>
      </c>
      <c r="F540" s="178">
        <v>6925524.8700000001</v>
      </c>
      <c r="G540" s="179">
        <v>155468.26</v>
      </c>
      <c r="H540" s="179">
        <v>1888.67</v>
      </c>
      <c r="I540" s="179">
        <v>1788856.35</v>
      </c>
      <c r="J540" s="179">
        <v>2313817.3899999997</v>
      </c>
      <c r="K540" s="179">
        <v>179524.41000000003</v>
      </c>
      <c r="L540" s="179">
        <v>577762.24</v>
      </c>
      <c r="M540" s="181">
        <v>1785.6263966342201</v>
      </c>
    </row>
    <row r="541" spans="1:13" x14ac:dyDescent="0.2">
      <c r="A541" s="13" t="s">
        <v>1096</v>
      </c>
      <c r="B541" s="12">
        <v>2013</v>
      </c>
      <c r="C541" s="12" t="s">
        <v>1097</v>
      </c>
      <c r="D541" s="175">
        <v>330.65606741573021</v>
      </c>
      <c r="E541" s="177">
        <v>1275991.53</v>
      </c>
      <c r="F541" s="178">
        <v>6705192.4299999997</v>
      </c>
      <c r="G541" s="178">
        <v>93196.91</v>
      </c>
      <c r="H541" s="179">
        <v>25917.45</v>
      </c>
      <c r="I541" s="179">
        <v>4140004.5700000003</v>
      </c>
      <c r="J541" s="179">
        <v>3787865.96</v>
      </c>
      <c r="K541" s="179">
        <v>819402.64999999967</v>
      </c>
      <c r="L541" s="179">
        <v>1494463.3199999994</v>
      </c>
      <c r="M541" s="181">
        <v>2482.3120333868401</v>
      </c>
    </row>
    <row r="542" spans="1:13" x14ac:dyDescent="0.2">
      <c r="A542" s="13" t="s">
        <v>1098</v>
      </c>
      <c r="B542" s="12">
        <v>2013</v>
      </c>
      <c r="C542" s="12" t="s">
        <v>1099</v>
      </c>
      <c r="D542" s="175">
        <v>418.7236852299614</v>
      </c>
      <c r="E542" s="177">
        <v>2400661.61</v>
      </c>
      <c r="F542" s="178">
        <v>17881130.449999999</v>
      </c>
      <c r="G542" s="178">
        <v>364135.14</v>
      </c>
      <c r="H542" s="178">
        <v>54754.78</v>
      </c>
      <c r="I542" s="178">
        <v>5258043.58</v>
      </c>
      <c r="J542" s="178">
        <v>5130478.7100000009</v>
      </c>
      <c r="K542" s="178">
        <v>1105130.8400000003</v>
      </c>
      <c r="L542" s="178">
        <v>1887424.83</v>
      </c>
      <c r="M542" s="181">
        <v>4362.0585159062302</v>
      </c>
    </row>
    <row r="543" spans="1:13" x14ac:dyDescent="0.2">
      <c r="A543" s="13" t="s">
        <v>1100</v>
      </c>
      <c r="B543" s="12">
        <v>2013</v>
      </c>
      <c r="C543" s="12" t="s">
        <v>1101</v>
      </c>
      <c r="D543" s="175">
        <v>140.57291026870882</v>
      </c>
      <c r="E543" s="177">
        <v>542387.80000000005</v>
      </c>
      <c r="F543" s="178">
        <v>5229544.28</v>
      </c>
      <c r="G543" s="179">
        <v>225387.55</v>
      </c>
      <c r="H543" s="179">
        <v>15546.57</v>
      </c>
      <c r="I543" s="179">
        <v>1649908.6600000004</v>
      </c>
      <c r="J543" s="179">
        <v>1957578.0400000003</v>
      </c>
      <c r="K543" s="179">
        <v>457644.82000000007</v>
      </c>
      <c r="L543" s="179">
        <v>328459.18000000023</v>
      </c>
      <c r="M543" s="181">
        <v>1512.2142844658499</v>
      </c>
    </row>
    <row r="544" spans="1:13" x14ac:dyDescent="0.2">
      <c r="A544" s="13" t="s">
        <v>1102</v>
      </c>
      <c r="B544" s="12">
        <v>2013</v>
      </c>
      <c r="C544" s="12" t="s">
        <v>1103</v>
      </c>
      <c r="D544" s="175">
        <v>174.9402635696913</v>
      </c>
      <c r="E544" s="177">
        <v>672809.78</v>
      </c>
      <c r="F544" s="178">
        <v>4309545.5</v>
      </c>
      <c r="G544" s="179">
        <v>95969.4</v>
      </c>
      <c r="H544" s="179">
        <v>59548.24</v>
      </c>
      <c r="I544" s="179">
        <v>1341803.4000000001</v>
      </c>
      <c r="J544" s="179">
        <v>1994914.2700000005</v>
      </c>
      <c r="K544" s="179">
        <v>434579.39</v>
      </c>
      <c r="L544" s="179">
        <v>499989.53000000009</v>
      </c>
      <c r="M544" s="181">
        <v>1424.5591891807001</v>
      </c>
    </row>
    <row r="545" spans="1:13" x14ac:dyDescent="0.2">
      <c r="A545" s="13" t="s">
        <v>1104</v>
      </c>
      <c r="B545" s="12">
        <v>2013</v>
      </c>
      <c r="C545" s="12" t="s">
        <v>1105</v>
      </c>
      <c r="D545" s="175">
        <v>95.478563794611901</v>
      </c>
      <c r="E545" s="177">
        <v>406202.58</v>
      </c>
      <c r="F545" s="178">
        <v>3587640.15</v>
      </c>
      <c r="G545" s="179">
        <v>86187.8</v>
      </c>
      <c r="H545" s="179">
        <v>7642.77</v>
      </c>
      <c r="I545" s="179">
        <v>1224958.5900000001</v>
      </c>
      <c r="J545" s="179">
        <v>1377238.5300000003</v>
      </c>
      <c r="K545" s="179">
        <v>221195.69000000006</v>
      </c>
      <c r="L545" s="179">
        <v>186971.27000000002</v>
      </c>
      <c r="M545" s="181">
        <v>882.33925322410198</v>
      </c>
    </row>
    <row r="546" spans="1:13" x14ac:dyDescent="0.2">
      <c r="A546" s="13" t="s">
        <v>1106</v>
      </c>
      <c r="B546" s="12">
        <v>2013</v>
      </c>
      <c r="C546" s="12" t="s">
        <v>1107</v>
      </c>
      <c r="D546" s="175">
        <v>382.55450689366666</v>
      </c>
      <c r="E546" s="177">
        <v>2119669.5</v>
      </c>
      <c r="F546" s="178">
        <v>18102773.16</v>
      </c>
      <c r="G546" s="179">
        <v>133613.49</v>
      </c>
      <c r="H546" s="179">
        <v>962.61</v>
      </c>
      <c r="I546" s="179">
        <v>5185264.34</v>
      </c>
      <c r="J546" s="179">
        <v>5787565.8799999999</v>
      </c>
      <c r="K546" s="179">
        <v>1567488.2699999993</v>
      </c>
      <c r="L546" s="179">
        <v>1919073.9799999997</v>
      </c>
      <c r="M546" s="181">
        <v>4231.9000926825302</v>
      </c>
    </row>
    <row r="547" spans="1:13" x14ac:dyDescent="0.2">
      <c r="A547" s="13" t="s">
        <v>1108</v>
      </c>
      <c r="B547" s="12">
        <v>2013</v>
      </c>
      <c r="C547" s="12" t="s">
        <v>1109</v>
      </c>
      <c r="D547" s="175">
        <v>166.73825187969919</v>
      </c>
      <c r="E547" s="177">
        <v>954319.95</v>
      </c>
      <c r="F547" s="178">
        <v>5106535.8899999997</v>
      </c>
      <c r="G547" s="178">
        <v>83273.460000000006</v>
      </c>
      <c r="H547" s="178">
        <v>62716.9</v>
      </c>
      <c r="I547" s="178">
        <v>1213144.05</v>
      </c>
      <c r="J547" s="178">
        <v>1821826.71</v>
      </c>
      <c r="K547" s="178">
        <v>165647.1</v>
      </c>
      <c r="L547" s="178">
        <v>420177.23000000021</v>
      </c>
      <c r="M547" s="181">
        <v>1524.6262071846299</v>
      </c>
    </row>
    <row r="548" spans="1:13" x14ac:dyDescent="0.2">
      <c r="A548" s="13" t="s">
        <v>1110</v>
      </c>
      <c r="B548" s="12">
        <v>2013</v>
      </c>
      <c r="C548" s="12" t="s">
        <v>1111</v>
      </c>
      <c r="D548" s="175">
        <v>234.77327142542887</v>
      </c>
      <c r="E548" s="177">
        <v>507417.29</v>
      </c>
      <c r="F548" s="178">
        <v>6338599.8300000001</v>
      </c>
      <c r="G548" s="179">
        <v>148853.68</v>
      </c>
      <c r="H548" s="179">
        <v>7495</v>
      </c>
      <c r="I548" s="179">
        <v>2436656.96</v>
      </c>
      <c r="J548" s="179">
        <v>2283515.8199999998</v>
      </c>
      <c r="K548" s="179">
        <v>539241.43999999994</v>
      </c>
      <c r="L548" s="179">
        <v>456612.61000000004</v>
      </c>
      <c r="M548" s="181">
        <v>2207.2829009642701</v>
      </c>
    </row>
    <row r="549" spans="1:13" x14ac:dyDescent="0.2">
      <c r="A549" s="13" t="s">
        <v>1112</v>
      </c>
      <c r="B549" s="12">
        <v>2013</v>
      </c>
      <c r="C549" s="12" t="s">
        <v>1113</v>
      </c>
      <c r="D549" s="175">
        <v>167.16136490770086</v>
      </c>
      <c r="E549" s="177">
        <v>814193.4</v>
      </c>
      <c r="F549" s="178">
        <v>4428357.6900000004</v>
      </c>
      <c r="G549" s="178">
        <v>104687.48</v>
      </c>
      <c r="H549" s="178">
        <v>27081.06</v>
      </c>
      <c r="I549" s="178">
        <v>1331977.8</v>
      </c>
      <c r="J549" s="178">
        <v>1746107.0300000003</v>
      </c>
      <c r="K549" s="178">
        <v>481892.57000000012</v>
      </c>
      <c r="L549" s="178">
        <v>410677.96</v>
      </c>
      <c r="M549" s="181">
        <v>1315.6696625023301</v>
      </c>
    </row>
    <row r="550" spans="1:13" x14ac:dyDescent="0.2">
      <c r="A550" s="13" t="s">
        <v>1114</v>
      </c>
      <c r="B550" s="12">
        <v>2013</v>
      </c>
      <c r="C550" s="12" t="s">
        <v>1115</v>
      </c>
      <c r="D550" s="175">
        <v>564.94186217008792</v>
      </c>
      <c r="E550" s="177">
        <v>4735740.24</v>
      </c>
      <c r="F550" s="178">
        <v>37711994.119999997</v>
      </c>
      <c r="G550" s="178">
        <v>784445.23</v>
      </c>
      <c r="H550" s="178">
        <v>647689.87</v>
      </c>
      <c r="I550" s="178">
        <v>8100724.9600000009</v>
      </c>
      <c r="J550" s="178">
        <v>8713326.9700000025</v>
      </c>
      <c r="K550" s="178">
        <v>5146778.5200000023</v>
      </c>
      <c r="L550" s="178">
        <v>5321146.2599999988</v>
      </c>
      <c r="M550" s="181">
        <v>5625.4393365102596</v>
      </c>
    </row>
    <row r="551" spans="1:13" x14ac:dyDescent="0.2">
      <c r="A551" s="13" t="s">
        <v>1116</v>
      </c>
      <c r="B551" s="12">
        <v>2013</v>
      </c>
      <c r="C551" s="12" t="s">
        <v>1117</v>
      </c>
      <c r="D551" s="175">
        <v>90.059969611891006</v>
      </c>
      <c r="E551" s="177">
        <v>272607.08</v>
      </c>
      <c r="F551" s="178">
        <v>1803240.03</v>
      </c>
      <c r="G551" s="178">
        <v>18751.310000000001</v>
      </c>
      <c r="H551" s="178">
        <v>0</v>
      </c>
      <c r="I551" s="178">
        <v>781167.34000000008</v>
      </c>
      <c r="J551" s="178">
        <v>974665.95999999973</v>
      </c>
      <c r="K551" s="178">
        <v>169371.90000000002</v>
      </c>
      <c r="L551" s="178">
        <v>264065.33</v>
      </c>
      <c r="M551" s="181">
        <v>588.81131767400996</v>
      </c>
    </row>
    <row r="552" spans="1:13" x14ac:dyDescent="0.2">
      <c r="A552" s="13" t="s">
        <v>1118</v>
      </c>
      <c r="B552" s="12">
        <v>2013</v>
      </c>
      <c r="C552" s="12" t="s">
        <v>1119</v>
      </c>
      <c r="D552" s="175">
        <v>354.57512881666531</v>
      </c>
      <c r="E552" s="177">
        <v>1461948.07</v>
      </c>
      <c r="F552" s="178">
        <v>7810049.7599999998</v>
      </c>
      <c r="G552" s="178">
        <v>131913.73000000001</v>
      </c>
      <c r="H552" s="178">
        <v>83450.11</v>
      </c>
      <c r="I552" s="178">
        <v>2434245.8899999997</v>
      </c>
      <c r="J552" s="178">
        <v>2078728.49</v>
      </c>
      <c r="K552" s="178">
        <v>321261.85000000003</v>
      </c>
      <c r="L552" s="178">
        <v>1155513.7499999998</v>
      </c>
      <c r="M552" s="181">
        <v>2137.3417129854201</v>
      </c>
    </row>
    <row r="553" spans="1:13" x14ac:dyDescent="0.2">
      <c r="A553" s="13" t="s">
        <v>1120</v>
      </c>
      <c r="B553" s="12">
        <v>2013</v>
      </c>
      <c r="C553" s="12" t="s">
        <v>1121</v>
      </c>
      <c r="D553" s="175">
        <v>195.2242285714286</v>
      </c>
      <c r="E553" s="177">
        <v>936964.2</v>
      </c>
      <c r="F553" s="178">
        <v>6190010.0599999996</v>
      </c>
      <c r="G553" s="178">
        <v>132922.85999999999</v>
      </c>
      <c r="H553" s="178">
        <v>23170.75</v>
      </c>
      <c r="I553" s="178">
        <v>2267249.71</v>
      </c>
      <c r="J553" s="178">
        <v>1916344.3599999996</v>
      </c>
      <c r="K553" s="178">
        <v>728487.14</v>
      </c>
      <c r="L553" s="178">
        <v>603446.86</v>
      </c>
      <c r="M553" s="181">
        <v>1656.20851428571</v>
      </c>
    </row>
    <row r="554" spans="1:13" x14ac:dyDescent="0.2">
      <c r="A554" s="13" t="s">
        <v>1122</v>
      </c>
      <c r="B554" s="12">
        <v>2013</v>
      </c>
      <c r="C554" s="12" t="s">
        <v>1123</v>
      </c>
      <c r="D554" s="175">
        <v>135.96387059279351</v>
      </c>
      <c r="E554" s="177">
        <v>345215.95</v>
      </c>
      <c r="F554" s="178">
        <v>3934770.87</v>
      </c>
      <c r="G554" s="179">
        <v>50211.64</v>
      </c>
      <c r="H554" s="179">
        <v>18228.990000000002</v>
      </c>
      <c r="I554" s="179">
        <v>1151664.8599999999</v>
      </c>
      <c r="J554" s="179">
        <v>1844366.2100000002</v>
      </c>
      <c r="K554" s="179">
        <v>411893.67000000004</v>
      </c>
      <c r="L554" s="179">
        <v>425000.1</v>
      </c>
      <c r="M554" s="181">
        <v>1005.1011306987</v>
      </c>
    </row>
    <row r="555" spans="1:13" x14ac:dyDescent="0.2">
      <c r="A555" s="13" t="s">
        <v>1124</v>
      </c>
      <c r="B555" s="12">
        <v>2013</v>
      </c>
      <c r="C555" s="12" t="s">
        <v>1125</v>
      </c>
      <c r="D555" s="175">
        <v>176.39855555555553</v>
      </c>
      <c r="E555" s="177">
        <v>778954.79</v>
      </c>
      <c r="F555" s="178">
        <v>8115172.5499999998</v>
      </c>
      <c r="G555" s="179">
        <v>139592.78</v>
      </c>
      <c r="H555" s="179">
        <v>821</v>
      </c>
      <c r="I555" s="179">
        <v>1590583.5599999998</v>
      </c>
      <c r="J555" s="179">
        <v>2118244.3099999996</v>
      </c>
      <c r="K555" s="179">
        <v>1007318.0700000004</v>
      </c>
      <c r="L555" s="179">
        <v>1242229.6199999999</v>
      </c>
      <c r="M555" s="181">
        <v>1762.8640555555601</v>
      </c>
    </row>
    <row r="556" spans="1:13" x14ac:dyDescent="0.2">
      <c r="A556" s="13" t="s">
        <v>1126</v>
      </c>
      <c r="B556" s="12">
        <v>2013</v>
      </c>
      <c r="C556" s="12" t="s">
        <v>1127</v>
      </c>
      <c r="D556" s="175">
        <v>65.622273122521264</v>
      </c>
      <c r="E556" s="177">
        <v>272002.09000000003</v>
      </c>
      <c r="F556" s="178">
        <v>3291168.17</v>
      </c>
      <c r="G556" s="178">
        <v>126965.96</v>
      </c>
      <c r="H556" s="178">
        <v>97749.03</v>
      </c>
      <c r="I556" s="178">
        <v>1320991.75</v>
      </c>
      <c r="J556" s="178">
        <v>1714470.0399999998</v>
      </c>
      <c r="K556" s="178">
        <v>188275.61999999994</v>
      </c>
      <c r="L556" s="178">
        <v>300037.22999999992</v>
      </c>
      <c r="M556" s="181">
        <v>1036.9248755677399</v>
      </c>
    </row>
    <row r="557" spans="1:13" x14ac:dyDescent="0.2">
      <c r="A557" s="13" t="s">
        <v>1128</v>
      </c>
      <c r="B557" s="12">
        <v>2013</v>
      </c>
      <c r="C557" s="12" t="s">
        <v>1129</v>
      </c>
      <c r="D557" s="175">
        <v>232.28429334648231</v>
      </c>
      <c r="E557" s="177">
        <v>1325189.1200000001</v>
      </c>
      <c r="F557" s="178">
        <v>7767620.5599999996</v>
      </c>
      <c r="G557" s="178">
        <v>246588.21</v>
      </c>
      <c r="H557" s="178">
        <v>89546.32</v>
      </c>
      <c r="I557" s="178">
        <v>2664394.2499999991</v>
      </c>
      <c r="J557" s="178">
        <v>2244725.1899999995</v>
      </c>
      <c r="K557" s="178">
        <v>1108521.8400000003</v>
      </c>
      <c r="L557" s="178">
        <v>1347701.0500000007</v>
      </c>
      <c r="M557" s="181">
        <v>1930.0968218688499</v>
      </c>
    </row>
    <row r="558" spans="1:13" x14ac:dyDescent="0.2">
      <c r="A558" s="13" t="s">
        <v>1130</v>
      </c>
      <c r="B558" s="12">
        <v>2013</v>
      </c>
      <c r="C558" s="12" t="s">
        <v>1131</v>
      </c>
      <c r="D558" s="175">
        <v>458.61254284678699</v>
      </c>
      <c r="E558" s="177">
        <v>3297737.41</v>
      </c>
      <c r="F558" s="178">
        <v>12395167.83</v>
      </c>
      <c r="G558" s="178">
        <v>56521.17</v>
      </c>
      <c r="H558" s="178">
        <v>0</v>
      </c>
      <c r="I558" s="178">
        <v>3626433.6499999994</v>
      </c>
      <c r="J558" s="178">
        <v>3511412.41</v>
      </c>
      <c r="K558" s="178">
        <v>1993043.0899999999</v>
      </c>
      <c r="L558" s="178">
        <v>2532760.6599999992</v>
      </c>
      <c r="M558" s="181">
        <v>3183.71561857816</v>
      </c>
    </row>
    <row r="559" spans="1:13" x14ac:dyDescent="0.2">
      <c r="A559" s="13" t="s">
        <v>1132</v>
      </c>
      <c r="B559" s="12">
        <v>2013</v>
      </c>
      <c r="C559" s="12" t="s">
        <v>1133</v>
      </c>
      <c r="D559" s="175">
        <v>27.888318660946027</v>
      </c>
      <c r="E559" s="177">
        <v>123741.12</v>
      </c>
      <c r="F559" s="178">
        <v>944157.86</v>
      </c>
      <c r="G559" s="178">
        <v>22232.58</v>
      </c>
      <c r="H559" s="178">
        <v>921.35</v>
      </c>
      <c r="I559" s="178">
        <v>413758.46000000008</v>
      </c>
      <c r="J559" s="178">
        <v>411458.93000000005</v>
      </c>
      <c r="K559" s="178">
        <v>90401.39999999998</v>
      </c>
      <c r="L559" s="178">
        <v>57223.19</v>
      </c>
      <c r="M559" s="181">
        <v>241.84240569945399</v>
      </c>
    </row>
    <row r="560" spans="1:13" x14ac:dyDescent="0.2">
      <c r="A560" s="13" t="s">
        <v>1134</v>
      </c>
      <c r="B560" s="12">
        <v>2013</v>
      </c>
      <c r="C560" s="12" t="s">
        <v>1135</v>
      </c>
      <c r="D560" s="175">
        <v>271.79837099811687</v>
      </c>
      <c r="E560" s="177">
        <v>1298106.18</v>
      </c>
      <c r="F560" s="178">
        <v>7357736.2199999997</v>
      </c>
      <c r="G560" s="178">
        <v>250934.57</v>
      </c>
      <c r="H560" s="178">
        <v>66473</v>
      </c>
      <c r="I560" s="178">
        <v>2289721.96</v>
      </c>
      <c r="J560" s="178">
        <v>3182373.7199999997</v>
      </c>
      <c r="K560" s="178">
        <v>1175585.2499999998</v>
      </c>
      <c r="L560" s="178">
        <v>460061.70000000007</v>
      </c>
      <c r="M560" s="181">
        <v>2002.9183834518001</v>
      </c>
    </row>
    <row r="561" spans="1:13" x14ac:dyDescent="0.2">
      <c r="A561" s="13" t="s">
        <v>1136</v>
      </c>
      <c r="B561" s="12">
        <v>2013</v>
      </c>
      <c r="C561" s="12" t="s">
        <v>1137</v>
      </c>
      <c r="D561" s="175">
        <v>77.727574881765619</v>
      </c>
      <c r="E561" s="177">
        <v>495965.17</v>
      </c>
      <c r="F561" s="178">
        <v>4644035.4000000004</v>
      </c>
      <c r="G561" s="178">
        <v>111610.76</v>
      </c>
      <c r="H561" s="178">
        <v>5986.07</v>
      </c>
      <c r="I561" s="178">
        <v>1548819.7999999998</v>
      </c>
      <c r="J561" s="178">
        <v>1116360.7</v>
      </c>
      <c r="K561" s="178">
        <v>346391.62000000005</v>
      </c>
      <c r="L561" s="178">
        <v>273870.38999999996</v>
      </c>
      <c r="M561" s="181">
        <v>1328.2321859373101</v>
      </c>
    </row>
    <row r="562" spans="1:13" x14ac:dyDescent="0.2">
      <c r="A562" s="13" t="s">
        <v>1138</v>
      </c>
      <c r="B562" s="12">
        <v>2013</v>
      </c>
      <c r="C562" s="12" t="s">
        <v>1139</v>
      </c>
      <c r="D562" s="175">
        <v>346.26076346724039</v>
      </c>
      <c r="E562" s="177">
        <v>1618250.47</v>
      </c>
      <c r="F562" s="178">
        <v>8736966.0299999993</v>
      </c>
      <c r="G562" s="179">
        <v>154412.9</v>
      </c>
      <c r="H562" s="179">
        <v>10619.02</v>
      </c>
      <c r="I562" s="179">
        <v>2621460.69</v>
      </c>
      <c r="J562" s="179">
        <v>4183600.689999999</v>
      </c>
      <c r="K562" s="179">
        <v>895149.52000000037</v>
      </c>
      <c r="L562" s="179">
        <v>844135.16000000027</v>
      </c>
      <c r="M562" s="181">
        <v>2185.6742071065</v>
      </c>
    </row>
    <row r="563" spans="1:13" x14ac:dyDescent="0.2">
      <c r="A563" s="13" t="s">
        <v>1140</v>
      </c>
      <c r="B563" s="12">
        <v>2013</v>
      </c>
      <c r="C563" s="12" t="s">
        <v>1141</v>
      </c>
      <c r="D563" s="175">
        <v>379.73112091664564</v>
      </c>
      <c r="E563" s="177">
        <v>1695511.91</v>
      </c>
      <c r="F563" s="178">
        <v>16704454.539999999</v>
      </c>
      <c r="G563" s="178">
        <v>278608.33</v>
      </c>
      <c r="H563" s="178">
        <v>88796.39</v>
      </c>
      <c r="I563" s="178">
        <v>5179597.12</v>
      </c>
      <c r="J563" s="178">
        <v>5371777.2199999997</v>
      </c>
      <c r="K563" s="178">
        <v>1033729.2199999999</v>
      </c>
      <c r="L563" s="178">
        <v>2900843.3400000008</v>
      </c>
      <c r="M563" s="181">
        <v>4726.5163050805004</v>
      </c>
    </row>
    <row r="564" spans="1:13" x14ac:dyDescent="0.2">
      <c r="A564" s="13" t="s">
        <v>1142</v>
      </c>
      <c r="B564" s="12">
        <v>2013</v>
      </c>
      <c r="C564" s="12" t="s">
        <v>1143</v>
      </c>
      <c r="D564" s="175">
        <v>72.190997749437372</v>
      </c>
      <c r="E564" s="177">
        <v>344019.88</v>
      </c>
      <c r="F564" s="178">
        <v>2857732.95</v>
      </c>
      <c r="G564" s="178">
        <v>61736.43</v>
      </c>
      <c r="H564" s="178">
        <v>9523.98</v>
      </c>
      <c r="I564" s="178">
        <v>1072689.21</v>
      </c>
      <c r="J564" s="178">
        <v>1093967.4000000001</v>
      </c>
      <c r="K564" s="178">
        <v>161067.90000000002</v>
      </c>
      <c r="L564" s="178">
        <v>217350.14000000004</v>
      </c>
      <c r="M564" s="181">
        <v>584.30885489229502</v>
      </c>
    </row>
    <row r="565" spans="1:13" x14ac:dyDescent="0.2">
      <c r="A565" s="13" t="s">
        <v>1144</v>
      </c>
      <c r="B565" s="12">
        <v>2013</v>
      </c>
      <c r="C565" s="12" t="s">
        <v>1145</v>
      </c>
      <c r="D565" s="175">
        <v>410.92667415510834</v>
      </c>
      <c r="E565" s="177">
        <v>594602.36</v>
      </c>
      <c r="F565" s="178">
        <v>9816236.4800000004</v>
      </c>
      <c r="G565" s="178">
        <v>238803.75</v>
      </c>
      <c r="H565" s="178">
        <v>11739</v>
      </c>
      <c r="I565" s="178">
        <v>2834469</v>
      </c>
      <c r="J565" s="178">
        <v>3098057.8099999996</v>
      </c>
      <c r="K565" s="178">
        <v>765791.52000000014</v>
      </c>
      <c r="L565" s="178">
        <v>997969.44999999984</v>
      </c>
      <c r="M565" s="181">
        <v>3078.4903204933498</v>
      </c>
    </row>
    <row r="566" spans="1:13" x14ac:dyDescent="0.2">
      <c r="A566" s="13" t="s">
        <v>1146</v>
      </c>
      <c r="B566" s="12">
        <v>2013</v>
      </c>
      <c r="C566" s="12" t="s">
        <v>1147</v>
      </c>
      <c r="D566" s="175">
        <v>756.31681363652535</v>
      </c>
      <c r="E566" s="177">
        <v>5895404.54</v>
      </c>
      <c r="F566" s="178">
        <v>19604603.670000002</v>
      </c>
      <c r="G566" s="178">
        <v>639891.98</v>
      </c>
      <c r="H566" s="178">
        <v>174386.05</v>
      </c>
      <c r="I566" s="178">
        <v>10341681.98</v>
      </c>
      <c r="J566" s="178">
        <v>9634763.7900000028</v>
      </c>
      <c r="K566" s="178">
        <v>1087341.9799999993</v>
      </c>
      <c r="L566" s="178">
        <v>2236697.2300000004</v>
      </c>
      <c r="M566" s="181">
        <v>5187.5302326133096</v>
      </c>
    </row>
    <row r="567" spans="1:13" x14ac:dyDescent="0.2">
      <c r="A567" s="13" t="s">
        <v>1148</v>
      </c>
      <c r="B567" s="12">
        <v>2013</v>
      </c>
      <c r="C567" s="12" t="s">
        <v>1149</v>
      </c>
      <c r="D567" s="175">
        <v>199.45268180950555</v>
      </c>
      <c r="E567" s="177">
        <v>732750.74</v>
      </c>
      <c r="F567" s="178">
        <v>8049792.2400000002</v>
      </c>
      <c r="G567" s="179">
        <v>207356.4</v>
      </c>
      <c r="H567" s="179">
        <v>24369.81</v>
      </c>
      <c r="I567" s="179">
        <v>1797474.5600000003</v>
      </c>
      <c r="J567" s="179">
        <v>2145234.6800000002</v>
      </c>
      <c r="K567" s="179">
        <v>555020.80000000005</v>
      </c>
      <c r="L567" s="179">
        <v>476533.80999999988</v>
      </c>
      <c r="M567" s="181">
        <v>2287.7922504294702</v>
      </c>
    </row>
    <row r="568" spans="1:13" x14ac:dyDescent="0.2">
      <c r="A568" s="13" t="s">
        <v>1150</v>
      </c>
      <c r="B568" s="12">
        <v>2013</v>
      </c>
      <c r="C568" s="12" t="s">
        <v>1151</v>
      </c>
      <c r="D568" s="175">
        <v>342.09090909090912</v>
      </c>
      <c r="E568" s="177">
        <v>1754127.06</v>
      </c>
      <c r="F568" s="178">
        <v>9288988.4800000004</v>
      </c>
      <c r="G568" s="178">
        <v>314265.73</v>
      </c>
      <c r="H568" s="178">
        <v>61609.98</v>
      </c>
      <c r="I568" s="178">
        <v>5577312.5000000019</v>
      </c>
      <c r="J568" s="178">
        <v>4425654.8499999996</v>
      </c>
      <c r="K568" s="178">
        <v>1558615.1899999995</v>
      </c>
      <c r="L568" s="178">
        <v>844153.9600000002</v>
      </c>
      <c r="M568" s="181">
        <v>1657.2555681818201</v>
      </c>
    </row>
    <row r="569" spans="1:13" x14ac:dyDescent="0.2">
      <c r="A569" s="13" t="s">
        <v>1152</v>
      </c>
      <c r="B569" s="12">
        <v>2013</v>
      </c>
      <c r="C569" s="12" t="s">
        <v>1153</v>
      </c>
      <c r="D569" s="175">
        <v>356.05548180504474</v>
      </c>
      <c r="E569" s="177">
        <v>1330233.68</v>
      </c>
      <c r="F569" s="178">
        <v>6999509.54</v>
      </c>
      <c r="G569" s="179">
        <v>284254.57</v>
      </c>
      <c r="H569" s="179">
        <v>4047.69</v>
      </c>
      <c r="I569" s="179">
        <v>2322985.4900000002</v>
      </c>
      <c r="J569" s="179">
        <v>2285106.36</v>
      </c>
      <c r="K569" s="179">
        <v>307456.25</v>
      </c>
      <c r="L569" s="179">
        <v>551189.04</v>
      </c>
      <c r="M569" s="181">
        <v>2209.2702328560199</v>
      </c>
    </row>
    <row r="570" spans="1:13" x14ac:dyDescent="0.2">
      <c r="A570" s="13" t="s">
        <v>1154</v>
      </c>
      <c r="B570" s="12">
        <v>2013</v>
      </c>
      <c r="C570" s="12" t="s">
        <v>1155</v>
      </c>
      <c r="D570" s="175">
        <v>744.45920623414281</v>
      </c>
      <c r="E570" s="177">
        <v>3944506.82</v>
      </c>
      <c r="F570" s="178">
        <v>28892855.059999999</v>
      </c>
      <c r="G570" s="178">
        <v>1123090.28</v>
      </c>
      <c r="H570" s="178">
        <v>445129.21</v>
      </c>
      <c r="I570" s="178">
        <v>9622147.3199999984</v>
      </c>
      <c r="J570" s="178">
        <v>11275238.389999997</v>
      </c>
      <c r="K570" s="178">
        <v>1294133.1100000003</v>
      </c>
      <c r="L570" s="178">
        <v>2986385.83</v>
      </c>
      <c r="M570" s="181">
        <v>6696.2512685755701</v>
      </c>
    </row>
    <row r="571" spans="1:13" x14ac:dyDescent="0.2">
      <c r="A571" s="13" t="s">
        <v>1156</v>
      </c>
      <c r="B571" s="12">
        <v>2013</v>
      </c>
      <c r="C571" s="12" t="s">
        <v>1157</v>
      </c>
      <c r="D571" s="175">
        <v>217.11060161111448</v>
      </c>
      <c r="E571" s="177">
        <v>767353.96</v>
      </c>
      <c r="F571" s="178">
        <v>4916948.2300000004</v>
      </c>
      <c r="G571" s="179">
        <v>237816.28</v>
      </c>
      <c r="H571" s="179">
        <v>46550</v>
      </c>
      <c r="I571" s="179">
        <v>1613881.4400000002</v>
      </c>
      <c r="J571" s="179">
        <v>2421493.8200000003</v>
      </c>
      <c r="K571" s="179">
        <v>569963.54</v>
      </c>
      <c r="L571" s="179">
        <v>750862.20999999973</v>
      </c>
      <c r="M571" s="181">
        <v>1546.80003216916</v>
      </c>
    </row>
    <row r="572" spans="1:13" x14ac:dyDescent="0.2">
      <c r="A572" s="13" t="s">
        <v>1158</v>
      </c>
      <c r="B572" s="12">
        <v>2013</v>
      </c>
      <c r="C572" s="12" t="s">
        <v>1159</v>
      </c>
      <c r="D572" s="175">
        <v>178.63318565230281</v>
      </c>
      <c r="E572" s="177">
        <v>522417.89</v>
      </c>
      <c r="F572" s="178">
        <v>3905970.77</v>
      </c>
      <c r="G572" s="179">
        <v>49815.24</v>
      </c>
      <c r="H572" s="179">
        <v>16658.53</v>
      </c>
      <c r="I572" s="179">
        <v>1137461.6599999999</v>
      </c>
      <c r="J572" s="179">
        <v>1565998.7200000002</v>
      </c>
      <c r="K572" s="179">
        <v>275847.00000000006</v>
      </c>
      <c r="L572" s="179">
        <v>353040.54</v>
      </c>
      <c r="M572" s="181">
        <v>1199.52789349718</v>
      </c>
    </row>
    <row r="573" spans="1:13" x14ac:dyDescent="0.2">
      <c r="A573" s="13" t="s">
        <v>1160</v>
      </c>
      <c r="B573" s="12">
        <v>2013</v>
      </c>
      <c r="C573" s="12" t="s">
        <v>1161</v>
      </c>
      <c r="D573" s="175">
        <v>134.59140536330011</v>
      </c>
      <c r="E573" s="177">
        <v>1101056.22</v>
      </c>
      <c r="F573" s="178">
        <v>6891716.29</v>
      </c>
      <c r="G573" s="178">
        <v>87645.23</v>
      </c>
      <c r="H573" s="178">
        <v>8739.92</v>
      </c>
      <c r="I573" s="178">
        <v>1827223.06</v>
      </c>
      <c r="J573" s="178">
        <v>1939889.9900000007</v>
      </c>
      <c r="K573" s="178">
        <v>489450.31000000017</v>
      </c>
      <c r="L573" s="178">
        <v>472725.8600000001</v>
      </c>
      <c r="M573" s="181">
        <v>1912.6382196684101</v>
      </c>
    </row>
    <row r="574" spans="1:13" x14ac:dyDescent="0.2">
      <c r="A574" s="13" t="s">
        <v>1162</v>
      </c>
      <c r="B574" s="12">
        <v>2013</v>
      </c>
      <c r="C574" s="12" t="s">
        <v>1163</v>
      </c>
      <c r="D574" s="175">
        <v>256.2789385476205</v>
      </c>
      <c r="E574" s="177">
        <v>702317.18</v>
      </c>
      <c r="F574" s="178">
        <v>5313525.21</v>
      </c>
      <c r="G574" s="179">
        <v>185209.42</v>
      </c>
      <c r="H574" s="179">
        <v>79392.679999999993</v>
      </c>
      <c r="I574" s="179">
        <v>1547366.92</v>
      </c>
      <c r="J574" s="179">
        <v>2748259.78</v>
      </c>
      <c r="K574" s="179">
        <v>721942.32000000018</v>
      </c>
      <c r="L574" s="179">
        <v>539456.58999999985</v>
      </c>
      <c r="M574" s="181">
        <v>1897.17931192424</v>
      </c>
    </row>
    <row r="575" spans="1:13" x14ac:dyDescent="0.2">
      <c r="A575" s="13" t="s">
        <v>1164</v>
      </c>
      <c r="B575" s="12">
        <v>2013</v>
      </c>
      <c r="C575" s="12" t="s">
        <v>1165</v>
      </c>
      <c r="D575" s="175">
        <v>126.62654021037021</v>
      </c>
      <c r="E575" s="177">
        <v>502803.62</v>
      </c>
      <c r="F575" s="178">
        <v>5428295.0599999996</v>
      </c>
      <c r="G575" s="179">
        <v>318783.02</v>
      </c>
      <c r="H575" s="179">
        <v>999.98</v>
      </c>
      <c r="I575" s="179">
        <v>1525577.79</v>
      </c>
      <c r="J575" s="179">
        <v>1435293.48</v>
      </c>
      <c r="K575" s="179">
        <v>866845.17</v>
      </c>
      <c r="L575" s="179">
        <v>632586.63</v>
      </c>
      <c r="M575" s="181">
        <v>1497.2258240149899</v>
      </c>
    </row>
    <row r="576" spans="1:13" x14ac:dyDescent="0.2">
      <c r="A576" s="13" t="s">
        <v>1166</v>
      </c>
      <c r="B576" s="12">
        <v>2013</v>
      </c>
      <c r="C576" s="12" t="s">
        <v>1167</v>
      </c>
      <c r="D576" s="175">
        <v>135.18766270514993</v>
      </c>
      <c r="E576" s="177">
        <v>124591.83</v>
      </c>
      <c r="F576" s="178">
        <v>3222831.93</v>
      </c>
      <c r="G576" s="179">
        <v>92634.34</v>
      </c>
      <c r="H576" s="179">
        <v>58537.64</v>
      </c>
      <c r="I576" s="179">
        <v>1059803.07</v>
      </c>
      <c r="J576" s="179">
        <v>1306781.9100000001</v>
      </c>
      <c r="K576" s="179">
        <v>296365.32</v>
      </c>
      <c r="L576" s="179">
        <v>364264.04999999993</v>
      </c>
      <c r="M576" s="181">
        <v>942.65890209394399</v>
      </c>
    </row>
    <row r="577" spans="1:13" x14ac:dyDescent="0.2">
      <c r="A577" s="13" t="s">
        <v>1168</v>
      </c>
      <c r="B577" s="12">
        <v>2013</v>
      </c>
      <c r="C577" s="12" t="s">
        <v>1169</v>
      </c>
      <c r="D577" s="175">
        <v>62.600068429728957</v>
      </c>
      <c r="E577" s="177">
        <v>183760.32</v>
      </c>
      <c r="F577" s="178">
        <v>2085746.7</v>
      </c>
      <c r="G577" s="178">
        <v>33228.15</v>
      </c>
      <c r="H577" s="178">
        <v>780.87</v>
      </c>
      <c r="I577" s="178">
        <v>741546.77</v>
      </c>
      <c r="J577" s="178">
        <v>757509.74</v>
      </c>
      <c r="K577" s="178">
        <v>253663.95000000004</v>
      </c>
      <c r="L577" s="178">
        <v>279818.62</v>
      </c>
      <c r="M577" s="181">
        <v>540.98684542021897</v>
      </c>
    </row>
    <row r="578" spans="1:13" x14ac:dyDescent="0.2">
      <c r="A578" s="13" t="s">
        <v>1170</v>
      </c>
      <c r="B578" s="12">
        <v>2013</v>
      </c>
      <c r="C578" s="12" t="s">
        <v>1171</v>
      </c>
      <c r="D578" s="175">
        <v>100.37416644076987</v>
      </c>
      <c r="E578" s="177">
        <v>423745.28000000003</v>
      </c>
      <c r="F578" s="178">
        <v>3747162.27</v>
      </c>
      <c r="G578" s="179">
        <v>67741.490000000005</v>
      </c>
      <c r="H578" s="179">
        <v>339</v>
      </c>
      <c r="I578" s="179">
        <v>1134825.3500000001</v>
      </c>
      <c r="J578" s="179">
        <v>1354837.8599999999</v>
      </c>
      <c r="K578" s="179">
        <v>64236.609999999993</v>
      </c>
      <c r="L578" s="179">
        <v>291486.71000000002</v>
      </c>
      <c r="M578" s="181">
        <v>945.35678373542999</v>
      </c>
    </row>
    <row r="579" spans="1:13" x14ac:dyDescent="0.2">
      <c r="A579" s="13" t="s">
        <v>1172</v>
      </c>
      <c r="B579" s="12">
        <v>2013</v>
      </c>
      <c r="C579" s="12" t="s">
        <v>1173</v>
      </c>
      <c r="D579" s="175">
        <v>124.48272128060268</v>
      </c>
      <c r="E579" s="177">
        <v>727415.33</v>
      </c>
      <c r="F579" s="178">
        <v>5113593.2699999996</v>
      </c>
      <c r="G579" s="178">
        <v>262206.92</v>
      </c>
      <c r="H579" s="178">
        <v>12749.27</v>
      </c>
      <c r="I579" s="178">
        <v>1909595.4300000002</v>
      </c>
      <c r="J579" s="178">
        <v>1648817.1300000004</v>
      </c>
      <c r="K579" s="178">
        <v>585257.69000000018</v>
      </c>
      <c r="L579" s="178">
        <v>706342.6399999999</v>
      </c>
      <c r="M579" s="181">
        <v>1243.67210640301</v>
      </c>
    </row>
    <row r="580" spans="1:13" x14ac:dyDescent="0.2">
      <c r="A580" s="13" t="s">
        <v>1174</v>
      </c>
      <c r="B580" s="12">
        <v>2013</v>
      </c>
      <c r="C580" s="12" t="s">
        <v>1175</v>
      </c>
      <c r="D580" s="175">
        <v>247.46326331333674</v>
      </c>
      <c r="E580" s="177">
        <v>953935.77</v>
      </c>
      <c r="F580" s="178">
        <v>4986155</v>
      </c>
      <c r="G580" s="178">
        <v>129092.07</v>
      </c>
      <c r="H580" s="178">
        <v>43582.8</v>
      </c>
      <c r="I580" s="178">
        <v>1770929.0500000003</v>
      </c>
      <c r="J580" s="178">
        <v>2754272.370000001</v>
      </c>
      <c r="K580" s="178">
        <v>584354.60000000021</v>
      </c>
      <c r="L580" s="178">
        <v>462221.08999999985</v>
      </c>
      <c r="M580" s="181">
        <v>1493.0582953442199</v>
      </c>
    </row>
    <row r="581" spans="1:13" x14ac:dyDescent="0.2">
      <c r="A581" s="13" t="s">
        <v>1176</v>
      </c>
      <c r="B581" s="12">
        <v>2013</v>
      </c>
      <c r="C581" s="12" t="s">
        <v>1177</v>
      </c>
      <c r="D581" s="175">
        <v>117.78089887640448</v>
      </c>
      <c r="E581" s="177">
        <v>593896.36</v>
      </c>
      <c r="F581" s="178">
        <v>3178501.79</v>
      </c>
      <c r="G581" s="178">
        <v>60484.959999999999</v>
      </c>
      <c r="H581" s="178">
        <v>0</v>
      </c>
      <c r="I581" s="178">
        <v>1211954.6800000002</v>
      </c>
      <c r="J581" s="178">
        <v>1026142.2200000001</v>
      </c>
      <c r="K581" s="178">
        <v>246192.74</v>
      </c>
      <c r="L581" s="178">
        <v>246609.96000000002</v>
      </c>
      <c r="M581" s="181">
        <v>818.98876404494399</v>
      </c>
    </row>
    <row r="582" spans="1:13" x14ac:dyDescent="0.2">
      <c r="A582" s="13" t="s">
        <v>1178</v>
      </c>
      <c r="B582" s="12">
        <v>2013</v>
      </c>
      <c r="C582" s="12" t="s">
        <v>1179</v>
      </c>
      <c r="D582" s="175">
        <v>224.09602168452685</v>
      </c>
      <c r="E582" s="177">
        <v>1165450.04</v>
      </c>
      <c r="F582" s="178">
        <v>7600658.2999999998</v>
      </c>
      <c r="G582" s="178">
        <v>209508.23</v>
      </c>
      <c r="H582" s="179">
        <v>185155.65</v>
      </c>
      <c r="I582" s="179">
        <v>2257464.33</v>
      </c>
      <c r="J582" s="179">
        <v>3081999.4499999997</v>
      </c>
      <c r="K582" s="179">
        <v>1093227.2700000003</v>
      </c>
      <c r="L582" s="179">
        <v>879156.54999999981</v>
      </c>
      <c r="M582" s="181">
        <v>2206.59606840991</v>
      </c>
    </row>
    <row r="583" spans="1:13" x14ac:dyDescent="0.2">
      <c r="A583" s="13" t="s">
        <v>1180</v>
      </c>
      <c r="B583" s="12">
        <v>2013</v>
      </c>
      <c r="C583" s="12" t="s">
        <v>1181</v>
      </c>
      <c r="D583" s="175">
        <v>507.64953262145167</v>
      </c>
      <c r="E583" s="177">
        <v>2077392.66</v>
      </c>
      <c r="F583" s="178">
        <v>13812098.460000001</v>
      </c>
      <c r="G583" s="178">
        <v>508820.1</v>
      </c>
      <c r="H583" s="178">
        <v>149374.67000000001</v>
      </c>
      <c r="I583" s="178">
        <v>4143671.7899999991</v>
      </c>
      <c r="J583" s="178">
        <v>5408601.0600000005</v>
      </c>
      <c r="K583" s="178">
        <v>2224745.8600000008</v>
      </c>
      <c r="L583" s="178">
        <v>2638860.8200000003</v>
      </c>
      <c r="M583" s="181">
        <v>3636.4179272616798</v>
      </c>
    </row>
    <row r="584" spans="1:13" x14ac:dyDescent="0.2">
      <c r="A584" s="13" t="s">
        <v>1182</v>
      </c>
      <c r="B584" s="12">
        <v>2013</v>
      </c>
      <c r="C584" s="12" t="s">
        <v>1183</v>
      </c>
      <c r="D584" s="175">
        <v>922.4099706576967</v>
      </c>
      <c r="E584" s="177">
        <v>3623088.65</v>
      </c>
      <c r="F584" s="178">
        <v>29017292.010000002</v>
      </c>
      <c r="G584" s="178">
        <v>26338.86</v>
      </c>
      <c r="H584" s="178">
        <v>0</v>
      </c>
      <c r="I584" s="178">
        <v>6718783.5800000001</v>
      </c>
      <c r="J584" s="178">
        <v>9250553.3300000001</v>
      </c>
      <c r="K584" s="178">
        <v>953742.50999999989</v>
      </c>
      <c r="L584" s="178">
        <v>4672625.799999998</v>
      </c>
      <c r="M584" s="181">
        <v>7993.8607858011901</v>
      </c>
    </row>
    <row r="585" spans="1:13" x14ac:dyDescent="0.2">
      <c r="A585" s="13" t="s">
        <v>1184</v>
      </c>
      <c r="B585" s="12">
        <v>2013</v>
      </c>
      <c r="C585" s="12" t="s">
        <v>1185</v>
      </c>
      <c r="D585" s="175">
        <v>189.92709497206704</v>
      </c>
      <c r="E585" s="177">
        <v>1350888.36</v>
      </c>
      <c r="F585" s="178">
        <v>9610912.6799999997</v>
      </c>
      <c r="G585" s="178">
        <v>123235.72</v>
      </c>
      <c r="H585" s="178">
        <v>75858.759999999995</v>
      </c>
      <c r="I585" s="178">
        <v>2740322.6</v>
      </c>
      <c r="J585" s="178">
        <v>3910921.0599999996</v>
      </c>
      <c r="K585" s="178">
        <v>729872.15</v>
      </c>
      <c r="L585" s="178">
        <v>1290356.08</v>
      </c>
      <c r="M585" s="181">
        <v>2113.5094413407801</v>
      </c>
    </row>
    <row r="586" spans="1:13" x14ac:dyDescent="0.2">
      <c r="A586" s="13" t="s">
        <v>1186</v>
      </c>
      <c r="B586" s="12">
        <v>2013</v>
      </c>
      <c r="C586" s="12" t="s">
        <v>1187</v>
      </c>
      <c r="D586" s="175">
        <v>373.91909457415318</v>
      </c>
      <c r="E586" s="177">
        <v>1819239.38</v>
      </c>
      <c r="F586" s="178">
        <v>8617431.5999999996</v>
      </c>
      <c r="G586" s="178">
        <v>241919.66</v>
      </c>
      <c r="H586" s="178">
        <v>142099.28</v>
      </c>
      <c r="I586" s="178">
        <v>2441698.66</v>
      </c>
      <c r="J586" s="178">
        <v>3889370.1400000011</v>
      </c>
      <c r="K586" s="178">
        <v>682664.31999999983</v>
      </c>
      <c r="L586" s="178">
        <v>804713.80000000028</v>
      </c>
      <c r="M586" s="181">
        <v>2477.2955158454802</v>
      </c>
    </row>
    <row r="587" spans="1:13" x14ac:dyDescent="0.2">
      <c r="A587" s="13" t="s">
        <v>1188</v>
      </c>
      <c r="B587" s="12">
        <v>2013</v>
      </c>
      <c r="C587" s="12" t="s">
        <v>1189</v>
      </c>
      <c r="D587" s="175">
        <v>158.71450647092911</v>
      </c>
      <c r="E587" s="177">
        <v>467479.17</v>
      </c>
      <c r="F587" s="178">
        <v>4428235.96</v>
      </c>
      <c r="G587" s="178">
        <v>8363.2999999999993</v>
      </c>
      <c r="H587" s="178">
        <v>10288.040000000001</v>
      </c>
      <c r="I587" s="178">
        <v>1373046.13</v>
      </c>
      <c r="J587" s="178">
        <v>1573840.46</v>
      </c>
      <c r="K587" s="178">
        <v>364108.05</v>
      </c>
      <c r="L587" s="178">
        <v>319528.40999999997</v>
      </c>
      <c r="M587" s="181">
        <v>1251.94145825995</v>
      </c>
    </row>
    <row r="588" spans="1:13" x14ac:dyDescent="0.2">
      <c r="A588" s="13" t="s">
        <v>1190</v>
      </c>
      <c r="B588" s="12">
        <v>2013</v>
      </c>
      <c r="C588" s="12" t="s">
        <v>1191</v>
      </c>
      <c r="D588" s="175">
        <v>178.63147428103946</v>
      </c>
      <c r="E588" s="177">
        <v>471347.97</v>
      </c>
      <c r="F588" s="178">
        <v>5014754.8</v>
      </c>
      <c r="G588" s="179">
        <v>75039.63</v>
      </c>
      <c r="H588" s="179">
        <v>10351.23</v>
      </c>
      <c r="I588" s="179">
        <v>1641440.4</v>
      </c>
      <c r="J588" s="179">
        <v>2451234.9900000007</v>
      </c>
      <c r="K588" s="179">
        <v>348292.7</v>
      </c>
      <c r="L588" s="179">
        <v>234790.88</v>
      </c>
      <c r="M588" s="181">
        <v>1510.0152188601901</v>
      </c>
    </row>
    <row r="589" spans="1:13" x14ac:dyDescent="0.2">
      <c r="A589" s="13" t="s">
        <v>1192</v>
      </c>
      <c r="B589" s="12">
        <v>2013</v>
      </c>
      <c r="C589" s="12" t="s">
        <v>1193</v>
      </c>
      <c r="D589" s="175">
        <v>352.70032338911784</v>
      </c>
      <c r="E589" s="177">
        <v>912449.59</v>
      </c>
      <c r="F589" s="178">
        <v>10727872.01</v>
      </c>
      <c r="G589" s="178">
        <v>286393.38</v>
      </c>
      <c r="H589" s="178">
        <v>7222.17</v>
      </c>
      <c r="I589" s="178">
        <v>2697778.32</v>
      </c>
      <c r="J589" s="178">
        <v>4675594.6199999992</v>
      </c>
      <c r="K589" s="178">
        <v>530537.89000000013</v>
      </c>
      <c r="L589" s="178">
        <v>604744.53999999992</v>
      </c>
      <c r="M589" s="181">
        <v>3253.2709735359899</v>
      </c>
    </row>
    <row r="590" spans="1:13" x14ac:dyDescent="0.2">
      <c r="A590" s="13" t="s">
        <v>1194</v>
      </c>
      <c r="B590" s="12">
        <v>2013</v>
      </c>
      <c r="C590" s="12" t="s">
        <v>1195</v>
      </c>
      <c r="D590" s="175">
        <v>129.31022109459954</v>
      </c>
      <c r="E590" s="177">
        <v>530833.66</v>
      </c>
      <c r="F590" s="178">
        <v>2784133.57</v>
      </c>
      <c r="G590" s="179">
        <v>62605.52</v>
      </c>
      <c r="H590" s="179">
        <v>499</v>
      </c>
      <c r="I590" s="179">
        <v>1105211.96</v>
      </c>
      <c r="J590" s="179">
        <v>1557383.7200000002</v>
      </c>
      <c r="K590" s="179">
        <v>148504.88999999998</v>
      </c>
      <c r="L590" s="179">
        <v>284898.78999999992</v>
      </c>
      <c r="M590" s="181">
        <v>766.47482602392199</v>
      </c>
    </row>
    <row r="591" spans="1:13" x14ac:dyDescent="0.2">
      <c r="A591" s="13" t="s">
        <v>1196</v>
      </c>
      <c r="B591" s="12">
        <v>2013</v>
      </c>
      <c r="C591" s="12" t="s">
        <v>1197</v>
      </c>
      <c r="D591" s="175">
        <v>131.87338983050847</v>
      </c>
      <c r="E591" s="177">
        <v>729707.45</v>
      </c>
      <c r="F591" s="178">
        <v>4481192.41</v>
      </c>
      <c r="G591" s="178">
        <v>45246.19</v>
      </c>
      <c r="H591" s="178">
        <v>19229.09</v>
      </c>
      <c r="I591" s="178">
        <v>1581195.3999999997</v>
      </c>
      <c r="J591" s="178">
        <v>1582779.4499999997</v>
      </c>
      <c r="K591" s="178">
        <v>643504.86</v>
      </c>
      <c r="L591" s="178">
        <v>190520.11999999997</v>
      </c>
      <c r="M591" s="181">
        <v>1217.7414689265499</v>
      </c>
    </row>
    <row r="592" spans="1:13" x14ac:dyDescent="0.2">
      <c r="A592" s="13" t="s">
        <v>1198</v>
      </c>
      <c r="B592" s="12">
        <v>2013</v>
      </c>
      <c r="C592" s="12" t="s">
        <v>1199</v>
      </c>
      <c r="D592" s="175">
        <v>94.252272727272782</v>
      </c>
      <c r="E592" s="177">
        <v>310446.8</v>
      </c>
      <c r="F592" s="178">
        <v>2608840.9</v>
      </c>
      <c r="G592" s="178">
        <v>35012.11</v>
      </c>
      <c r="H592" s="179">
        <v>355.08</v>
      </c>
      <c r="I592" s="179">
        <v>764266.70000000007</v>
      </c>
      <c r="J592" s="179">
        <v>910541.27000000025</v>
      </c>
      <c r="K592" s="179">
        <v>164970.66</v>
      </c>
      <c r="L592" s="179">
        <v>190849.01999999993</v>
      </c>
      <c r="M592" s="181">
        <v>718.93409090909097</v>
      </c>
    </row>
    <row r="593" spans="1:13" x14ac:dyDescent="0.2">
      <c r="A593" s="13" t="s">
        <v>1200</v>
      </c>
      <c r="B593" s="12">
        <v>2013</v>
      </c>
      <c r="C593" s="12" t="s">
        <v>1201</v>
      </c>
      <c r="D593" s="175">
        <v>1608.3315935214212</v>
      </c>
      <c r="E593" s="177">
        <v>12088720.48</v>
      </c>
      <c r="F593" s="178">
        <v>57805205.409999996</v>
      </c>
      <c r="G593" s="178">
        <v>787765.86</v>
      </c>
      <c r="H593" s="178">
        <v>80047.850000000006</v>
      </c>
      <c r="I593" s="178">
        <v>19468632.639999997</v>
      </c>
      <c r="J593" s="178">
        <v>19498910.059999995</v>
      </c>
      <c r="K593" s="178">
        <v>6343555.4699999932</v>
      </c>
      <c r="L593" s="178">
        <v>11360195.649999999</v>
      </c>
      <c r="M593" s="181">
        <v>13902.3430329601</v>
      </c>
    </row>
    <row r="594" spans="1:13" x14ac:dyDescent="0.2">
      <c r="A594" s="13" t="s">
        <v>1202</v>
      </c>
      <c r="B594" s="12">
        <v>2013</v>
      </c>
      <c r="C594" s="12" t="s">
        <v>1203</v>
      </c>
      <c r="D594" s="175">
        <v>149.99915730337082</v>
      </c>
      <c r="E594" s="177">
        <v>577944.89</v>
      </c>
      <c r="F594" s="178">
        <v>5606075.7999999998</v>
      </c>
      <c r="G594" s="179">
        <v>76743.39</v>
      </c>
      <c r="H594" s="179">
        <v>31389.32</v>
      </c>
      <c r="I594" s="179">
        <v>1998537.28</v>
      </c>
      <c r="J594" s="179">
        <v>2177808.96</v>
      </c>
      <c r="K594" s="179">
        <v>495280.97</v>
      </c>
      <c r="L594" s="179">
        <v>245482.23</v>
      </c>
      <c r="M594" s="181">
        <v>1514.90421348315</v>
      </c>
    </row>
    <row r="595" spans="1:13" x14ac:dyDescent="0.2">
      <c r="A595" s="13" t="s">
        <v>1204</v>
      </c>
      <c r="B595" s="12">
        <v>2013</v>
      </c>
      <c r="C595" s="12" t="s">
        <v>1205</v>
      </c>
      <c r="D595" s="175">
        <v>474.6613516195473</v>
      </c>
      <c r="E595" s="177">
        <v>3880206.91</v>
      </c>
      <c r="F595" s="178">
        <v>21565939.140000001</v>
      </c>
      <c r="G595" s="178">
        <v>647030.61</v>
      </c>
      <c r="H595" s="178">
        <v>49782.080000000002</v>
      </c>
      <c r="I595" s="178">
        <v>5282305.5600000005</v>
      </c>
      <c r="J595" s="178">
        <v>8459193.6400000006</v>
      </c>
      <c r="K595" s="178">
        <v>1539074.7099999997</v>
      </c>
      <c r="L595" s="178">
        <v>3463081.0100000012</v>
      </c>
      <c r="M595" s="181">
        <v>3866.24536843549</v>
      </c>
    </row>
    <row r="596" spans="1:13" x14ac:dyDescent="0.2">
      <c r="A596" s="13" t="s">
        <v>1206</v>
      </c>
      <c r="B596" s="12">
        <v>2013</v>
      </c>
      <c r="C596" s="12" t="s">
        <v>1207</v>
      </c>
      <c r="D596" s="175">
        <v>136.74684137880968</v>
      </c>
      <c r="E596" s="177">
        <v>412028.61</v>
      </c>
      <c r="F596" s="178">
        <v>5287975.97</v>
      </c>
      <c r="G596" s="179">
        <v>242640.5</v>
      </c>
      <c r="H596" s="179">
        <v>0</v>
      </c>
      <c r="I596" s="179">
        <v>1271915.52</v>
      </c>
      <c r="J596" s="179">
        <v>1467752.5799999998</v>
      </c>
      <c r="K596" s="179">
        <v>598880.66</v>
      </c>
      <c r="L596" s="179">
        <v>331311.96000000002</v>
      </c>
      <c r="M596" s="181">
        <v>1547.26563328612</v>
      </c>
    </row>
    <row r="597" spans="1:13" x14ac:dyDescent="0.2">
      <c r="A597" s="13" t="s">
        <v>1208</v>
      </c>
      <c r="B597" s="12">
        <v>2013</v>
      </c>
      <c r="C597" s="12" t="s">
        <v>1209</v>
      </c>
      <c r="D597" s="175">
        <v>349.19983050368779</v>
      </c>
      <c r="E597" s="177">
        <v>2239370.71</v>
      </c>
      <c r="F597" s="178">
        <v>11612961.41</v>
      </c>
      <c r="G597" s="178">
        <v>356603.18</v>
      </c>
      <c r="H597" s="178">
        <v>141011.17000000001</v>
      </c>
      <c r="I597" s="178">
        <v>4324107.370000001</v>
      </c>
      <c r="J597" s="178">
        <v>3887634.2599999984</v>
      </c>
      <c r="K597" s="178">
        <v>582768.33000000007</v>
      </c>
      <c r="L597" s="178">
        <v>1333793.1200000003</v>
      </c>
      <c r="M597" s="181">
        <v>2953.7284164671401</v>
      </c>
    </row>
    <row r="598" spans="1:13" x14ac:dyDescent="0.2">
      <c r="A598" s="13" t="s">
        <v>1210</v>
      </c>
      <c r="B598" s="12">
        <v>2013</v>
      </c>
      <c r="C598" s="12" t="s">
        <v>1211</v>
      </c>
      <c r="D598" s="175">
        <v>172.52941935483872</v>
      </c>
      <c r="E598" s="177">
        <v>1009058.9</v>
      </c>
      <c r="F598" s="178">
        <v>7104772.9299999997</v>
      </c>
      <c r="G598" s="178">
        <v>144625.97</v>
      </c>
      <c r="H598" s="178">
        <v>29569.48</v>
      </c>
      <c r="I598" s="178">
        <v>2760632.6799999997</v>
      </c>
      <c r="J598" s="178">
        <v>2782060.44</v>
      </c>
      <c r="K598" s="178">
        <v>804710.48</v>
      </c>
      <c r="L598" s="178">
        <v>815744.21</v>
      </c>
      <c r="M598" s="181">
        <v>1463.5804247311801</v>
      </c>
    </row>
    <row r="599" spans="1:13" x14ac:dyDescent="0.2">
      <c r="A599" s="13" t="s">
        <v>1212</v>
      </c>
      <c r="B599" s="12">
        <v>2013</v>
      </c>
      <c r="C599" s="12" t="s">
        <v>1213</v>
      </c>
      <c r="D599" s="175">
        <v>168.39181286549706</v>
      </c>
      <c r="E599" s="177">
        <v>729911.29</v>
      </c>
      <c r="F599" s="178">
        <v>6695485.4100000001</v>
      </c>
      <c r="G599" s="178">
        <v>47288.01</v>
      </c>
      <c r="H599" s="178">
        <v>0</v>
      </c>
      <c r="I599" s="178">
        <v>2701849.45</v>
      </c>
      <c r="J599" s="178">
        <v>1974625.0900000003</v>
      </c>
      <c r="K599" s="178">
        <v>447262.6</v>
      </c>
      <c r="L599" s="178">
        <v>577696.71000000008</v>
      </c>
      <c r="M599" s="181">
        <v>1665.34374269006</v>
      </c>
    </row>
    <row r="600" spans="1:13" x14ac:dyDescent="0.2">
      <c r="A600" s="13" t="s">
        <v>1214</v>
      </c>
      <c r="B600" s="12">
        <v>2013</v>
      </c>
      <c r="C600" s="12" t="s">
        <v>1215</v>
      </c>
      <c r="D600" s="175">
        <v>135.20045821114374</v>
      </c>
      <c r="E600" s="177">
        <v>416968.68</v>
      </c>
      <c r="F600" s="178">
        <v>3132142.01</v>
      </c>
      <c r="G600" s="178">
        <v>54695.39</v>
      </c>
      <c r="H600" s="178">
        <v>52184.18</v>
      </c>
      <c r="I600" s="178">
        <v>997252.56</v>
      </c>
      <c r="J600" s="178">
        <v>1106222.6399999997</v>
      </c>
      <c r="K600" s="178">
        <v>132587.38</v>
      </c>
      <c r="L600" s="178">
        <v>153126.68000000005</v>
      </c>
      <c r="M600" s="181">
        <v>1013.29966092375</v>
      </c>
    </row>
    <row r="601" spans="1:13" x14ac:dyDescent="0.2">
      <c r="A601" s="13" t="s">
        <v>1216</v>
      </c>
      <c r="B601" s="12">
        <v>2013</v>
      </c>
      <c r="C601" s="12" t="s">
        <v>1217</v>
      </c>
      <c r="D601" s="175">
        <v>1063.20362460815</v>
      </c>
      <c r="E601" s="183">
        <v>0</v>
      </c>
      <c r="F601" s="178">
        <v>43172486.159999996</v>
      </c>
      <c r="G601" s="178">
        <v>145418.46</v>
      </c>
      <c r="H601" s="178">
        <v>42741.18</v>
      </c>
      <c r="I601" s="178">
        <v>19558665.000000004</v>
      </c>
      <c r="J601" s="178">
        <v>14003530.300000001</v>
      </c>
      <c r="K601" s="178">
        <v>290022.27999999997</v>
      </c>
      <c r="L601" s="178">
        <v>463900.36999999994</v>
      </c>
      <c r="M601" s="181">
        <v>8047.4349392633203</v>
      </c>
    </row>
    <row r="602" spans="1:13" x14ac:dyDescent="0.2">
      <c r="A602" s="13" t="s">
        <v>1218</v>
      </c>
      <c r="B602" s="12">
        <v>2013</v>
      </c>
      <c r="C602" s="12" t="s">
        <v>1219</v>
      </c>
      <c r="D602" s="175">
        <v>287.80215970961888</v>
      </c>
      <c r="E602" s="177">
        <v>1445472.53</v>
      </c>
      <c r="F602" s="178">
        <v>9559325.2200000007</v>
      </c>
      <c r="G602" s="178">
        <v>121892.71</v>
      </c>
      <c r="H602" s="178">
        <v>89355.520000000004</v>
      </c>
      <c r="I602" s="178">
        <v>2745412.04</v>
      </c>
      <c r="J602" s="178">
        <v>3651133.4000000013</v>
      </c>
      <c r="K602" s="178">
        <v>933417.65000000049</v>
      </c>
      <c r="L602" s="178">
        <v>1356010.87</v>
      </c>
      <c r="M602" s="181">
        <v>3122.09888485582</v>
      </c>
    </row>
    <row r="603" spans="1:13" x14ac:dyDescent="0.2">
      <c r="A603" s="13" t="s">
        <v>1220</v>
      </c>
      <c r="B603" s="12">
        <v>2013</v>
      </c>
      <c r="C603" s="12" t="s">
        <v>1221</v>
      </c>
      <c r="D603" s="175">
        <v>141.58032495232854</v>
      </c>
      <c r="E603" s="177">
        <v>793018.34</v>
      </c>
      <c r="F603" s="178">
        <v>2043026.05</v>
      </c>
      <c r="G603" s="178">
        <v>49644.19</v>
      </c>
      <c r="H603" s="178">
        <v>2393.7600000000002</v>
      </c>
      <c r="I603" s="178">
        <v>877206.31999999983</v>
      </c>
      <c r="J603" s="178">
        <v>586988.28</v>
      </c>
      <c r="K603" s="178">
        <v>365059.68</v>
      </c>
      <c r="L603" s="178">
        <v>452086.15</v>
      </c>
      <c r="M603" s="181">
        <v>615.660892174016</v>
      </c>
    </row>
    <row r="604" spans="1:13" x14ac:dyDescent="0.2">
      <c r="A604" s="13" t="s">
        <v>1222</v>
      </c>
      <c r="B604" s="12">
        <v>2013</v>
      </c>
      <c r="C604" s="12" t="s">
        <v>1223</v>
      </c>
      <c r="D604" s="175">
        <v>478.08196360680176</v>
      </c>
      <c r="E604" s="177">
        <v>3461389.91</v>
      </c>
      <c r="F604" s="178">
        <v>14061742.17</v>
      </c>
      <c r="G604" s="178">
        <v>575007.04</v>
      </c>
      <c r="H604" s="178">
        <v>224849.76</v>
      </c>
      <c r="I604" s="178">
        <v>5452798.4500000002</v>
      </c>
      <c r="J604" s="178">
        <v>4999621.6300000008</v>
      </c>
      <c r="K604" s="178">
        <v>1311944.7200000004</v>
      </c>
      <c r="L604" s="178">
        <v>1916944.8599999996</v>
      </c>
      <c r="M604" s="181">
        <v>3380.7333254209102</v>
      </c>
    </row>
    <row r="605" spans="1:13" x14ac:dyDescent="0.2">
      <c r="A605" s="13" t="s">
        <v>1224</v>
      </c>
      <c r="B605" s="12">
        <v>2013</v>
      </c>
      <c r="C605" s="12" t="s">
        <v>1225</v>
      </c>
      <c r="D605" s="175">
        <v>77.669215542521997</v>
      </c>
      <c r="E605" s="177">
        <v>180681.7</v>
      </c>
      <c r="F605" s="178">
        <v>2590763.9300000002</v>
      </c>
      <c r="G605" s="179">
        <v>50380.43</v>
      </c>
      <c r="H605" s="179">
        <v>10341.26</v>
      </c>
      <c r="I605" s="179">
        <v>993053.80999999994</v>
      </c>
      <c r="J605" s="179">
        <v>1031017.6099999999</v>
      </c>
      <c r="K605" s="179">
        <v>274557.05000000005</v>
      </c>
      <c r="L605" s="179">
        <v>344507.19000000006</v>
      </c>
      <c r="M605" s="181">
        <v>639.40266495601202</v>
      </c>
    </row>
    <row r="606" spans="1:13" x14ac:dyDescent="0.2">
      <c r="A606" s="13" t="s">
        <v>1226</v>
      </c>
      <c r="B606" s="12">
        <v>2013</v>
      </c>
      <c r="C606" s="12" t="s">
        <v>1227</v>
      </c>
      <c r="D606" s="175">
        <v>121.19641618497113</v>
      </c>
      <c r="E606" s="177">
        <v>216499.62</v>
      </c>
      <c r="F606" s="178">
        <v>4259779.63</v>
      </c>
      <c r="G606" s="179">
        <v>66722.42</v>
      </c>
      <c r="H606" s="179">
        <v>0</v>
      </c>
      <c r="I606" s="179">
        <v>1620891.62</v>
      </c>
      <c r="J606" s="179">
        <v>1247478.8099999998</v>
      </c>
      <c r="K606" s="179">
        <v>178425.39</v>
      </c>
      <c r="L606" s="179">
        <v>552098.88</v>
      </c>
      <c r="M606" s="181">
        <v>1047.00693641619</v>
      </c>
    </row>
    <row r="607" spans="1:13" x14ac:dyDescent="0.2">
      <c r="A607" s="13" t="s">
        <v>1228</v>
      </c>
      <c r="B607" s="12">
        <v>2013</v>
      </c>
      <c r="C607" s="12" t="s">
        <v>1229</v>
      </c>
      <c r="D607" s="175">
        <v>228.1113172474499</v>
      </c>
      <c r="E607" s="177">
        <v>1793864.64</v>
      </c>
      <c r="F607" s="178">
        <v>8705476.9199999999</v>
      </c>
      <c r="G607" s="179">
        <v>108945.04</v>
      </c>
      <c r="H607" s="179">
        <v>41885.269999999997</v>
      </c>
      <c r="I607" s="179">
        <v>2808345.1300000004</v>
      </c>
      <c r="J607" s="179">
        <v>3340867.0299999993</v>
      </c>
      <c r="K607" s="179">
        <v>293773.43999999994</v>
      </c>
      <c r="L607" s="179">
        <v>1262364.4099999997</v>
      </c>
      <c r="M607" s="181">
        <v>1975.33223838865</v>
      </c>
    </row>
    <row r="608" spans="1:13" x14ac:dyDescent="0.2">
      <c r="A608" s="13" t="s">
        <v>1230</v>
      </c>
      <c r="B608" s="12">
        <v>2013</v>
      </c>
      <c r="C608" s="12" t="s">
        <v>1231</v>
      </c>
      <c r="D608" s="175">
        <v>540.50280578291859</v>
      </c>
      <c r="E608" s="177">
        <v>2828268.93</v>
      </c>
      <c r="F608" s="178">
        <v>15796627.09</v>
      </c>
      <c r="G608" s="178">
        <v>459754.63</v>
      </c>
      <c r="H608" s="178">
        <v>343894.03</v>
      </c>
      <c r="I608" s="178">
        <v>4887567.29</v>
      </c>
      <c r="J608" s="178">
        <v>5695751.3399999989</v>
      </c>
      <c r="K608" s="178">
        <v>1835322.3000000003</v>
      </c>
      <c r="L608" s="178">
        <v>1905315.5500000005</v>
      </c>
      <c r="M608" s="181">
        <v>3689.2824268347799</v>
      </c>
    </row>
    <row r="609" spans="1:13" x14ac:dyDescent="0.2">
      <c r="A609" s="13" t="s">
        <v>1232</v>
      </c>
      <c r="B609" s="12">
        <v>2013</v>
      </c>
      <c r="C609" s="12" t="s">
        <v>1233</v>
      </c>
      <c r="D609" s="175">
        <v>972.86107954545457</v>
      </c>
      <c r="E609" s="177">
        <v>8448236.0700000003</v>
      </c>
      <c r="F609" s="178">
        <v>49543047.409999996</v>
      </c>
      <c r="G609" s="178">
        <v>1094680.67</v>
      </c>
      <c r="H609" s="179">
        <v>132904.82</v>
      </c>
      <c r="I609" s="179">
        <v>13343680.399999999</v>
      </c>
      <c r="J609" s="179">
        <v>14949139.820000004</v>
      </c>
      <c r="K609" s="179">
        <v>9354678.9299999941</v>
      </c>
      <c r="L609" s="179">
        <v>5352986.76</v>
      </c>
      <c r="M609" s="181">
        <v>9125.4517613636399</v>
      </c>
    </row>
    <row r="610" spans="1:13" x14ac:dyDescent="0.2">
      <c r="A610" s="13" t="s">
        <v>1234</v>
      </c>
      <c r="B610" s="12">
        <v>2013</v>
      </c>
      <c r="C610" s="12" t="s">
        <v>1235</v>
      </c>
      <c r="D610" s="175">
        <v>152.81769317653311</v>
      </c>
      <c r="E610" s="177">
        <v>444284.38</v>
      </c>
      <c r="F610" s="178">
        <v>3908142.91</v>
      </c>
      <c r="G610" s="178">
        <v>116326.71</v>
      </c>
      <c r="H610" s="178">
        <v>0</v>
      </c>
      <c r="I610" s="178">
        <v>1429523.46</v>
      </c>
      <c r="J610" s="178">
        <v>1386678.52</v>
      </c>
      <c r="K610" s="178">
        <v>381838.69</v>
      </c>
      <c r="L610" s="178">
        <v>534492.38999999978</v>
      </c>
      <c r="M610" s="181">
        <v>1162.44239120324</v>
      </c>
    </row>
    <row r="611" spans="1:13" x14ac:dyDescent="0.2">
      <c r="A611" s="13" t="s">
        <v>1236</v>
      </c>
      <c r="B611" s="12">
        <v>2013</v>
      </c>
      <c r="C611" s="12" t="s">
        <v>1237</v>
      </c>
      <c r="D611" s="175">
        <v>133.22128711001923</v>
      </c>
      <c r="E611" s="177">
        <v>1559900.41</v>
      </c>
      <c r="F611" s="178">
        <v>10610079.77</v>
      </c>
      <c r="G611" s="178">
        <v>545253.93999999994</v>
      </c>
      <c r="H611" s="178">
        <v>156034.16</v>
      </c>
      <c r="I611" s="178">
        <v>3057265.58</v>
      </c>
      <c r="J611" s="178">
        <v>2181704.1800000006</v>
      </c>
      <c r="K611" s="178">
        <v>961355.87000000011</v>
      </c>
      <c r="L611" s="178">
        <v>1249672.05</v>
      </c>
      <c r="M611" s="181">
        <v>1889.8987669186199</v>
      </c>
    </row>
    <row r="612" spans="1:13" x14ac:dyDescent="0.2">
      <c r="A612" s="13" t="s">
        <v>1238</v>
      </c>
      <c r="B612" s="12">
        <v>2013</v>
      </c>
      <c r="C612" s="12" t="s">
        <v>1239</v>
      </c>
      <c r="D612" s="175">
        <v>571.0624698852065</v>
      </c>
      <c r="E612" s="177">
        <v>2782268.14</v>
      </c>
      <c r="F612" s="178">
        <v>14724796.449999999</v>
      </c>
      <c r="G612" s="178">
        <v>240746.06</v>
      </c>
      <c r="H612" s="178">
        <v>79393.55</v>
      </c>
      <c r="I612" s="178">
        <v>4942796.8000000007</v>
      </c>
      <c r="J612" s="178">
        <v>5520028.6699999999</v>
      </c>
      <c r="K612" s="178">
        <v>1619578.1100000003</v>
      </c>
      <c r="L612" s="178">
        <v>2497223.3899999987</v>
      </c>
      <c r="M612" s="181">
        <v>4443.8663550020401</v>
      </c>
    </row>
    <row r="613" spans="1:13" x14ac:dyDescent="0.2">
      <c r="A613" s="13" t="s">
        <v>1240</v>
      </c>
      <c r="B613" s="12">
        <v>2013</v>
      </c>
      <c r="C613" s="12" t="s">
        <v>1241</v>
      </c>
      <c r="D613" s="175">
        <v>91.752749667614424</v>
      </c>
      <c r="E613" s="177">
        <v>457480.96000000002</v>
      </c>
      <c r="F613" s="178">
        <v>3094056.34</v>
      </c>
      <c r="G613" s="178">
        <v>67274.899999999994</v>
      </c>
      <c r="H613" s="178">
        <v>6895.1</v>
      </c>
      <c r="I613" s="178">
        <v>1139764.2100000002</v>
      </c>
      <c r="J613" s="178">
        <v>801045.96000000008</v>
      </c>
      <c r="K613" s="178">
        <v>185581.49999999997</v>
      </c>
      <c r="L613" s="178">
        <v>263473.75000000006</v>
      </c>
      <c r="M613" s="181">
        <v>710.42768580452298</v>
      </c>
    </row>
    <row r="614" spans="1:13" x14ac:dyDescent="0.2">
      <c r="A614" s="13" t="s">
        <v>1242</v>
      </c>
      <c r="B614" s="12">
        <v>2013</v>
      </c>
      <c r="C614" s="12" t="s">
        <v>1243</v>
      </c>
      <c r="D614" s="175">
        <v>932.01219175183553</v>
      </c>
      <c r="E614" s="177">
        <v>8143202.4400000004</v>
      </c>
      <c r="F614" s="178">
        <v>20567426.649999999</v>
      </c>
      <c r="G614" s="178">
        <v>1098547.0900000001</v>
      </c>
      <c r="H614" s="178">
        <v>92267.28</v>
      </c>
      <c r="I614" s="178">
        <v>9727620.4000000022</v>
      </c>
      <c r="J614" s="178">
        <v>14842545.079999994</v>
      </c>
      <c r="K614" s="178">
        <v>4639725.980000007</v>
      </c>
      <c r="L614" s="178">
        <v>3768682.4300000039</v>
      </c>
      <c r="M614" s="181">
        <v>5239.3113921157901</v>
      </c>
    </row>
    <row r="615" spans="1:13" x14ac:dyDescent="0.2">
      <c r="A615" s="13" t="s">
        <v>1244</v>
      </c>
      <c r="B615" s="12">
        <v>2013</v>
      </c>
      <c r="C615" s="12" t="s">
        <v>1245</v>
      </c>
      <c r="D615" s="175">
        <v>190.94696992429917</v>
      </c>
      <c r="E615" s="177">
        <v>627571.07999999996</v>
      </c>
      <c r="F615" s="178">
        <v>5586858.2599999998</v>
      </c>
      <c r="G615" s="179">
        <v>103553.23</v>
      </c>
      <c r="H615" s="179">
        <v>0</v>
      </c>
      <c r="I615" s="179">
        <v>1701976.0300000003</v>
      </c>
      <c r="J615" s="179">
        <v>2065050.71</v>
      </c>
      <c r="K615" s="179">
        <v>338904.81000000006</v>
      </c>
      <c r="L615" s="179">
        <v>629649.72999999986</v>
      </c>
      <c r="M615" s="181">
        <v>1571.3377685330399</v>
      </c>
    </row>
    <row r="616" spans="1:13" x14ac:dyDescent="0.2">
      <c r="A616" s="13" t="s">
        <v>1246</v>
      </c>
      <c r="B616" s="12">
        <v>2013</v>
      </c>
      <c r="C616" s="12" t="s">
        <v>1247</v>
      </c>
      <c r="D616" s="175">
        <v>641.06460829493074</v>
      </c>
      <c r="E616" s="177">
        <v>3242908.74</v>
      </c>
      <c r="F616" s="178">
        <v>10214020.02</v>
      </c>
      <c r="G616" s="178">
        <v>165831.63</v>
      </c>
      <c r="H616" s="178">
        <v>39815.89</v>
      </c>
      <c r="I616" s="178">
        <v>3304081.4400000004</v>
      </c>
      <c r="J616" s="178">
        <v>4414090.74</v>
      </c>
      <c r="K616" s="178">
        <v>981841.20000000019</v>
      </c>
      <c r="L616" s="178">
        <v>2245304.7199999997</v>
      </c>
      <c r="M616" s="181">
        <v>3516.0699465437801</v>
      </c>
    </row>
  </sheetData>
  <sheetProtection password="A607" sheet="1" objects="1" scenarios="1"/>
  <autoFilter ref="A1:M616"/>
  <pageMargins left="0.7" right="0.7" top="0.75" bottom="0.75" header="0.3" footer="0.3"/>
  <pageSetup orientation="portrait" horizontalDpi="4294967295" verticalDpi="4294967295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J29"/>
  <sheetViews>
    <sheetView workbookViewId="0">
      <selection activeCell="B48" sqref="B48"/>
    </sheetView>
  </sheetViews>
  <sheetFormatPr defaultRowHeight="12.75" x14ac:dyDescent="0.2"/>
  <cols>
    <col min="1" max="8" width="9.140625" style="2"/>
    <col min="9" max="9" width="15.85546875" style="2" customWidth="1"/>
    <col min="10" max="16384" width="9.140625" style="2"/>
  </cols>
  <sheetData>
    <row r="1" spans="1:10" x14ac:dyDescent="0.2">
      <c r="A1" s="2" t="s">
        <v>1248</v>
      </c>
    </row>
    <row r="2" spans="1:10" x14ac:dyDescent="0.2">
      <c r="A2" s="2" t="s">
        <v>1268</v>
      </c>
    </row>
    <row r="3" spans="1:10" x14ac:dyDescent="0.2">
      <c r="A3" s="1" t="s">
        <v>1249</v>
      </c>
    </row>
    <row r="4" spans="1:10" x14ac:dyDescent="0.2">
      <c r="A4" s="2" t="s">
        <v>1250</v>
      </c>
    </row>
    <row r="6" spans="1:10" x14ac:dyDescent="0.2">
      <c r="A6" s="2" t="s">
        <v>1252</v>
      </c>
    </row>
    <row r="7" spans="1:10" x14ac:dyDescent="0.2">
      <c r="A7" s="2" t="s">
        <v>1267</v>
      </c>
    </row>
    <row r="8" spans="1:10" x14ac:dyDescent="0.2">
      <c r="A8" s="2" t="s">
        <v>1253</v>
      </c>
    </row>
    <row r="9" spans="1:10" x14ac:dyDescent="0.2">
      <c r="A9" s="2" t="s">
        <v>1254</v>
      </c>
    </row>
    <row r="10" spans="1:10" x14ac:dyDescent="0.2">
      <c r="A10" s="2" t="s">
        <v>1255</v>
      </c>
    </row>
    <row r="11" spans="1:10" x14ac:dyDescent="0.2">
      <c r="A11" s="2" t="s">
        <v>1256</v>
      </c>
    </row>
    <row r="12" spans="1:10" x14ac:dyDescent="0.2">
      <c r="A12" s="2" t="s">
        <v>1257</v>
      </c>
    </row>
    <row r="13" spans="1:10" x14ac:dyDescent="0.2">
      <c r="A13" s="2" t="s">
        <v>1258</v>
      </c>
      <c r="I13" s="8"/>
      <c r="J13" s="8"/>
    </row>
    <row r="14" spans="1:10" x14ac:dyDescent="0.2">
      <c r="A14" s="2" t="s">
        <v>1259</v>
      </c>
      <c r="I14" s="8"/>
      <c r="J14" s="8"/>
    </row>
    <row r="15" spans="1:10" x14ac:dyDescent="0.2">
      <c r="A15" s="2" t="s">
        <v>1260</v>
      </c>
      <c r="I15" s="8"/>
      <c r="J15" s="8"/>
    </row>
    <row r="16" spans="1:10" x14ac:dyDescent="0.2">
      <c r="A16" s="2" t="s">
        <v>1261</v>
      </c>
      <c r="I16" s="8"/>
      <c r="J16" s="8"/>
    </row>
    <row r="17" spans="1:10" x14ac:dyDescent="0.2">
      <c r="A17" s="2" t="s">
        <v>1262</v>
      </c>
      <c r="I17" s="8"/>
      <c r="J17" s="8"/>
    </row>
    <row r="18" spans="1:10" x14ac:dyDescent="0.2">
      <c r="A18" s="2" t="s">
        <v>1263</v>
      </c>
      <c r="I18" s="8"/>
      <c r="J18" s="8"/>
    </row>
    <row r="19" spans="1:10" x14ac:dyDescent="0.2">
      <c r="A19" s="2" t="s">
        <v>1264</v>
      </c>
      <c r="I19" s="8"/>
      <c r="J19" s="8"/>
    </row>
    <row r="20" spans="1:10" x14ac:dyDescent="0.2">
      <c r="A20" s="2" t="s">
        <v>1265</v>
      </c>
      <c r="I20" s="9"/>
      <c r="J20" s="9"/>
    </row>
    <row r="21" spans="1:10" x14ac:dyDescent="0.2">
      <c r="I21" s="8"/>
      <c r="J21" s="8"/>
    </row>
    <row r="22" spans="1:10" x14ac:dyDescent="0.2">
      <c r="A22" s="2" t="s">
        <v>1277</v>
      </c>
      <c r="I22" s="8"/>
      <c r="J22" s="8"/>
    </row>
    <row r="23" spans="1:10" x14ac:dyDescent="0.2">
      <c r="A23" s="2" t="s">
        <v>1270</v>
      </c>
      <c r="I23" s="10"/>
      <c r="J23" s="10"/>
    </row>
    <row r="24" spans="1:10" x14ac:dyDescent="0.2">
      <c r="A24" s="2" t="s">
        <v>1273</v>
      </c>
      <c r="I24" s="10"/>
      <c r="J24" s="10"/>
    </row>
    <row r="25" spans="1:10" x14ac:dyDescent="0.2">
      <c r="A25" s="2" t="s">
        <v>1272</v>
      </c>
      <c r="I25" s="10"/>
      <c r="J25" s="10"/>
    </row>
    <row r="26" spans="1:10" x14ac:dyDescent="0.2">
      <c r="A26" s="2" t="s">
        <v>1271</v>
      </c>
      <c r="I26" s="10"/>
      <c r="J26" s="10"/>
    </row>
    <row r="27" spans="1:10" x14ac:dyDescent="0.2">
      <c r="A27" s="2" t="s">
        <v>1274</v>
      </c>
    </row>
    <row r="28" spans="1:10" s="11" customFormat="1" x14ac:dyDescent="0.2">
      <c r="A28" s="11" t="s">
        <v>1275</v>
      </c>
    </row>
    <row r="29" spans="1:10" x14ac:dyDescent="0.2">
      <c r="A29" s="2" t="s">
        <v>1276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10</vt:i4>
      </vt:variant>
    </vt:vector>
  </HeadingPairs>
  <TitlesOfParts>
    <vt:vector size="16" baseType="lpstr">
      <vt:lpstr>SF-6 Form per Capita</vt:lpstr>
      <vt:lpstr>SF-6 Form Specific Student</vt:lpstr>
      <vt:lpstr>Student level data</vt:lpstr>
      <vt:lpstr>Data Notes</vt:lpstr>
      <vt:lpstr>data</vt:lpstr>
      <vt:lpstr>options</vt:lpstr>
      <vt:lpstr>Disability_Type</vt:lpstr>
      <vt:lpstr>dist</vt:lpstr>
      <vt:lpstr>Inclusion</vt:lpstr>
      <vt:lpstr>Options</vt:lpstr>
      <vt:lpstr>Placement</vt:lpstr>
      <vt:lpstr>'Data Notes'!Print_Area</vt:lpstr>
      <vt:lpstr>'SF-6 Form per Capita'!Print_Area</vt:lpstr>
      <vt:lpstr>'SF-6 Form Specific Student'!Print_Area</vt:lpstr>
      <vt:lpstr>'Student level data'!Print_Area</vt:lpstr>
      <vt:lpstr>'Student level data'!Print_Titles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erika.farfan</dc:creator>
  <dc:description>Password is "excess"</dc:description>
  <cp:lastModifiedBy>erin.whitt</cp:lastModifiedBy>
  <cp:lastPrinted>2013-11-15T14:29:30Z</cp:lastPrinted>
  <dcterms:created xsi:type="dcterms:W3CDTF">2011-03-04T18:05:41Z</dcterms:created>
  <dcterms:modified xsi:type="dcterms:W3CDTF">2014-01-15T15:48:48Z</dcterms:modified>
</cp:coreProperties>
</file>