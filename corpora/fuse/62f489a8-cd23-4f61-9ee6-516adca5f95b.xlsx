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meetings_data" state="visible" r:id="rId3"/>
    <sheet sheetId="2" name="attendance" state="visible" r:id="rId4"/>
    <sheet sheetId="3" name="meetings_map" state="visible" r:id="rId5"/>
  </sheets>
  <definedNames/>
  <calcPr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 xml:space="preserve">These columns are automatically filled based on columns of the same name in the meetings_data sheet. DO NOT edit the data in this sheet.
	-C. Susannah Tysor</t>
      </text>
    </comment>
  </commentList>
</comments>
</file>

<file path=xl/sharedStrings.xml><?xml version="1.0" encoding="utf-8"?>
<sst xmlns="http://schemas.openxmlformats.org/spreadsheetml/2006/main" count="256" uniqueCount="198">
  <si>
    <t>Year </t>
  </si>
  <si>
    <t>Location</t>
  </si>
  <si>
    <t>No.*</t>
  </si>
  <si>
    <t>Dates</t>
  </si>
  <si>
    <t>Attend.</t>
  </si>
  <si>
    <t>Theme</t>
  </si>
  <si>
    <t>Baltimore, MD</t>
  </si>
  <si>
    <t>Aug 9-14, 2015</t>
  </si>
  <si>
    <t>Sacramento, CA</t>
  </si>
  <si>
    <t>Aug 10-15, 2014</t>
  </si>
  <si>
    <t>From Oceans to Mountains: It's All Ecology</t>
  </si>
  <si>
    <t>Minneapolis, MN</t>
  </si>
  <si>
    <t>Aug 4-9, 2013</t>
  </si>
  <si>
    <t>Sustainable Pathways: Learning from the past and shaping the future</t>
  </si>
  <si>
    <t>Aug 5-10, 2012</t>
  </si>
  <si>
    <t>Life on Earth: Preserving, Utilizing, and Sustaining our Ecosystems</t>
  </si>
  <si>
    <t>Aug 7-12, 2011</t>
  </si>
  <si>
    <t>Earth Stewardship: Preserving and enhancing the earth's life-support systems </t>
  </si>
  <si>
    <t>Aug 1-6, 2010</t>
  </si>
  <si>
    <t>Global Warming: The legacy of our past, the challenge for our future</t>
  </si>
  <si>
    <t>Aug 2-7, 2009</t>
  </si>
  <si>
    <t>Ecological Knowledge and a Global Sustainable Society</t>
  </si>
  <si>
    <t>Aug 3-8, 2008</t>
  </si>
  <si>
    <t>Enhancing Ecological Thought by Linking Research and Education</t>
  </si>
  <si>
    <t>Plenary</t>
  </si>
  <si>
    <t>Program</t>
  </si>
  <si>
    <t>Reports</t>
  </si>
  <si>
    <t>Aug 5-10, 2007</t>
  </si>
  <si>
    <t>Ecology-based restoration in a changing world</t>
  </si>
  <si>
    <t>Awards</t>
  </si>
  <si>
    <t>Aug 6-11, 2006</t>
  </si>
  <si>
    <t>Icons and Upstarts in Ecology</t>
  </si>
  <si>
    <t>Aug 7-12, 2005</t>
  </si>
  <si>
    <t>Ecology at multiple scales</t>
  </si>
  <si>
    <t>Aug 1-6, 2004</t>
  </si>
  <si>
    <t>Lessons of Lewis &amp; Clark: Ecological Exploration of Inhabited Landscapes</t>
  </si>
  <si>
    <t>Aug 3-8, 2003</t>
  </si>
  <si>
    <t>Uplands to Lowlands: Coastal processes in a time of global change</t>
  </si>
  <si>
    <t>Tucson, AZ</t>
  </si>
  <si>
    <t>Aug 23-25, 2002</t>
  </si>
  <si>
    <t>A Convocation: Understanding and Restoring Ecosystems</t>
  </si>
  <si>
    <t>Madison, WI</t>
  </si>
  <si>
    <t>Aug 6-10, 2001</t>
  </si>
  <si>
    <t>Keeping All the Parts: Preserving, Restoring, and Sustaining Complex Ecosystems</t>
  </si>
  <si>
    <t>Snowbird, UT</t>
  </si>
  <si>
    <t>Aug 6-10, 2000</t>
  </si>
  <si>
    <t>Communicating and Advancing Ecology</t>
  </si>
  <si>
    <t>Spokane, WA</t>
  </si>
  <si>
    <t>Aug 8-12, 1999</t>
  </si>
  <si>
    <t>Legacies, Landscapes, and Limits: Bridging Borders</t>
  </si>
  <si>
    <t>Aug 2-6, 1998</t>
  </si>
  <si>
    <t>Ecological Exchanges between Major Ecosystems</t>
  </si>
  <si>
    <t>Albuquerque, NM</t>
  </si>
  <si>
    <t>Aug 10-14, 1997</t>
  </si>
  <si>
    <t>Changing Ecosystems: Natural and Human Influences</t>
  </si>
  <si>
    <t>Providence, RI</t>
  </si>
  <si>
    <t>Aug 10-14, 1996</t>
  </si>
  <si>
    <t>Ecologists/Biologists as Problem-solvers</t>
  </si>
  <si>
    <t>July 30-Aug 3, 1995</t>
  </si>
  <si>
    <t>The Transdisciplinary Nature of Ecology</t>
  </si>
  <si>
    <t>Knoxville, TN</t>
  </si>
  <si>
    <t>Aug 7-11, 1994</t>
  </si>
  <si>
    <t>Science and Public Policy</t>
  </si>
  <si>
    <t>July 31-Aug 4, 1993</t>
  </si>
  <si>
    <t>Ecology and Global Sustainability</t>
  </si>
  <si>
    <t>Honolulu, HI</t>
  </si>
  <si>
    <t>Aug 8-13, 1992</t>
  </si>
  <si>
    <t>Voyagers</t>
  </si>
  <si>
    <t>San Antonio, TX</t>
  </si>
  <si>
    <t>Aug 3-8, 1991</t>
  </si>
  <si>
    <t>Education: The Future of Biology</t>
  </si>
  <si>
    <t>July 29-Aug 1990</t>
  </si>
  <si>
    <t>Perspectives in Ecology: Past, Present, and Future</t>
  </si>
  <si>
    <t>Toronto, Canada</t>
  </si>
  <si>
    <t>Aug 6-10, 1989</t>
  </si>
  <si>
    <t>Global Change</t>
  </si>
  <si>
    <t>Davis, CA</t>
  </si>
  <si>
    <t>Aug 14-19, 1988</t>
  </si>
  <si>
    <t>Biological Diversity</t>
  </si>
  <si>
    <t>Columbus, OH</t>
  </si>
  <si>
    <t>Aug 9-13, 1987</t>
  </si>
  <si>
    <t>Syracuse, NY</t>
  </si>
  <si>
    <t>Aug 10-16, 1986</t>
  </si>
  <si>
    <t>June 17-21, 1985</t>
  </si>
  <si>
    <t>Conceptual Developments in Ecology</t>
  </si>
  <si>
    <t>Fort Collins, CO</t>
  </si>
  <si>
    <t>Aug 5-9, 1984</t>
  </si>
  <si>
    <t>Fargo, ND</t>
  </si>
  <si>
    <t>Aug 7-11, 1983</t>
  </si>
  <si>
    <t>University Park, PA</t>
  </si>
  <si>
    <t>Aug 8-12, 1982</t>
  </si>
  <si>
    <t>Bloomington, IN </t>
  </si>
  <si>
    <t>Aug 16-20, 1981</t>
  </si>
  <si>
    <t>Aug 3-7 1980</t>
  </si>
  <si>
    <t>Stillwater, OK </t>
  </si>
  <si>
    <t>Aug 12-17, 1979</t>
  </si>
  <si>
    <t>Mid-American Grasslands--Prairie to Dustbowl to Present</t>
  </si>
  <si>
    <t>Athens, GA</t>
  </si>
  <si>
    <t>Aug 20-24,1978</t>
  </si>
  <si>
    <t>Nature of the Southeast in Transition</t>
  </si>
  <si>
    <t>East Lansing, MI</t>
  </si>
  <si>
    <t>Aug 21-25, 1977</t>
  </si>
  <si>
    <t>New Orleans, LA</t>
  </si>
  <si>
    <t>May 30-June 3, 1976</t>
  </si>
  <si>
    <t>Corvallis, OR</t>
  </si>
  <si>
    <t>Aug 17-22, 1975</t>
  </si>
  <si>
    <t>Tempe, AZ</t>
  </si>
  <si>
    <t>June 16-21, 1974</t>
  </si>
  <si>
    <t>University of Massachusetts        </t>
  </si>
  <si>
    <t>June 17-22, 1973</t>
  </si>
  <si>
    <t>University of Minnesota</t>
  </si>
  <si>
    <t>Aug 26- Sept. 1, 1972</t>
  </si>
  <si>
    <t>Colorado State University
</t>
  </si>
  <si>
    <t>Aug 28-Sept. 3, 1971</t>
  </si>
  <si>
    <t>University of Vermont             </t>
  </si>
  <si>
    <t>Aug 23-25, 1970</t>
  </si>
  <si>
    <t>University of Wisconsin           </t>
  </si>
  <si>
    <t>Aug 17-19, 1969</t>
  </si>
  <si>
    <t>June 16-18, 1968</t>
  </si>
  <si>
    <t>College Station, TX</t>
  </si>
  <si>
    <t>Aug 27-29, 1967</t>
  </si>
  <si>
    <t>University of Maryland            </t>
  </si>
  <si>
    <t>Aug 14-17, 1966</t>
  </si>
  <si>
    <t>University of Illinois            </t>
  </si>
  <si>
    <t>Aug 15-17, 1965</t>
  </si>
  <si>
    <t>University of Colorado            </t>
  </si>
  <si>
    <t>Aug 23-28, 1964</t>
  </si>
  <si>
    <t>University of Massachusetts           </t>
  </si>
  <si>
    <t>Aug 27-31, 1963</t>
  </si>
  <si>
    <t>Aug 27-31, 1962</t>
  </si>
  <si>
    <t>Purdue University</t>
  </si>
  <si>
    <t>Aug 28 – Sept 1, 1961</t>
  </si>
  <si>
    <t>Stillwater, OK</t>
  </si>
  <si>
    <t>Aug 28 – Sept 1, 1960</t>
  </si>
  <si>
    <t>Aug 31 – Sept 4, 1959</t>
  </si>
  <si>
    <t>University of Indiana             </t>
  </si>
  <si>
    <t>Aug 25-28, 1958</t>
  </si>
  <si>
    <t>Stanford University       
</t>
  </si>
  <si>
    <t>Aug 25-29, 1957</t>
  </si>
  <si>
    <t>University of Connecticut         </t>
  </si>
  <si>
    <t>Aug 27-29, 1956</t>
  </si>
  <si>
    <t>Michigan State University
</t>
  </si>
  <si>
    <t>Sept 5-8, 1955</t>
  </si>
  <si>
    <t>University of Florida             </t>
  </si>
  <si>
    <t>Sept 5-9, 1954</t>
  </si>
  <si>
    <t>Sept 6-9, 1953</t>
  </si>
  <si>
    <t>Ithaca, NY</t>
  </si>
  <si>
    <t>Sept 9-12, 1952</t>
  </si>
  <si>
    <t>University of Minnesota           </t>
  </si>
  <si>
    <t>Sept 10-13, 1951</t>
  </si>
  <si>
    <t>Ohio State University          
</t>
  </si>
  <si>
    <t>Sept 11-13, 1950</t>
  </si>
  <si>
    <t>New York, NY</t>
  </si>
  <si>
    <t>Dec 27-30, 1949</t>
  </si>
  <si>
    <t>University of Maryland</t>
  </si>
  <si>
    <t>Sept 10-12, 1948</t>
  </si>
  <si>
    <t>Chicago, IL</t>
  </si>
  <si>
    <t>Dec 29-31, 1947</t>
  </si>
  <si>
    <t>Boston, MA</t>
  </si>
  <si>
    <t>Dec 27-30, 1946</t>
  </si>
  <si>
    <t>St. Louis, MO</t>
  </si>
  <si>
    <t>March 27-30, 1946</t>
  </si>
  <si>
    <t>Cleveland, OH</t>
  </si>
  <si>
    <t>Sept 11-14, 1944</t>
  </si>
  <si>
    <t>Canceled</t>
  </si>
  <si>
    <t>Business done by mail</t>
  </si>
  <si>
    <t>Dallas, TX</t>
  </si>
  <si>
    <t>Dec 29-31, 1941</t>
  </si>
  <si>
    <t>Philadelphia, PA</t>
  </si>
  <si>
    <t>Dec 27-30, 1940</t>
  </si>
  <si>
    <t>Dec 27-29, 1939</t>
  </si>
  <si>
    <t>Richmond, VA</t>
  </si>
  <si>
    <t>Dec 27-29, 1938</t>
  </si>
  <si>
    <t>Indianapolis, IN</t>
  </si>
  <si>
    <t>Dec 28-30, 1937</t>
  </si>
  <si>
    <t>Atlantic City, NJ</t>
  </si>
  <si>
    <t>Dec 29, 1936-Jan 1, 1937</t>
  </si>
  <si>
    <t>Dec 31, 1935-Jan 2, 1936</t>
  </si>
  <si>
    <t>Pittsburgh, PA</t>
  </si>
  <si>
    <t>Dec 27-28, 1934</t>
  </si>
  <si>
    <t>Dec 28-29, 1932</t>
  </si>
  <si>
    <t>Dec 31, 1930 – Jan 1, 1931</t>
  </si>
  <si>
    <t>Des Moines, IA</t>
  </si>
  <si>
    <t>Dec 31, 1929 – Jan 1, 1930</t>
  </si>
  <si>
    <t>Dec 28-29, 1928</t>
  </si>
  <si>
    <t>Nashville, TN</t>
  </si>
  <si>
    <t>Kansas City, MO</t>
  </si>
  <si>
    <t>Washington, DC</t>
  </si>
  <si>
    <t>Cincinnati, OH</t>
  </si>
  <si>
    <t>Dec 30, 1919 – Jan 1, 1920</t>
  </si>
  <si>
    <t>Baltimore, OH</t>
  </si>
  <si>
    <t>Dec 26-28, 1918</t>
  </si>
  <si>
    <t>Dec 28, 1916- Jan 1, 1917</t>
  </si>
  <si>
    <t>Dec 27-29, 1916</t>
  </si>
  <si>
    <t>Organizational meeting</t>
  </si>
  <si>
    <t>
</t>
  </si>
  <si>
    <t>Locations</t>
  </si>
  <si>
    <t>Placeholder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</si>
</sst>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;@"/>
    <numFmt numFmtId="165" formatCode="d-mmm-yy;@"/>
  </numFmts>
  <fonts count="18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3D3D3D"/>
      <name val="Arial"/>
    </font>
    <font>
      <b val="0"/>
      <i val="0"/>
      <strike val="0"/>
      <u val="none"/>
      <sz val="11.0"/>
      <color rgb="FFB7B7B7"/>
      <name val="Calibri"/>
    </font>
    <font>
      <b val="0"/>
      <i val="0"/>
      <strike val="0"/>
      <u val="none"/>
      <sz val="11.0"/>
      <color rgb="FF3D3D3D"/>
      <name val="Arial"/>
    </font>
    <font>
      <b val="0"/>
      <i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B7B7B7"/>
      <name val="Arial"/>
    </font>
    <font>
      <b/>
      <i val="0"/>
      <strike val="0"/>
      <u val="none"/>
      <sz val="11.0"/>
      <color rgb="FF000000"/>
      <name val="Calibri"/>
    </font>
    <font>
      <b val="0"/>
      <i/>
      <strike val="0"/>
      <u val="none"/>
      <sz val="11.0"/>
      <color rgb="FF000000"/>
      <name val="Calibri"/>
    </font>
    <font>
      <b val="0"/>
      <i/>
      <strike val="0"/>
      <u val="none"/>
      <sz val="11.0"/>
      <color rgb="FF000000"/>
      <name val="Calibri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B7B7B7"/>
      <name val="Calibri"/>
    </font>
    <font>
      <b val="0"/>
      <i val="0"/>
      <strike val="0"/>
      <u/>
      <sz val="11.0"/>
      <color rgb="FF0000FF"/>
      <name val="Calibri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3D3D3D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8">
    <xf applyAlignment="1" fillId="0" xfId="0" numFmtId="0" borderId="0" fontId="0">
      <alignment vertical="bottom" horizontal="general" wrapText="1"/>
    </xf>
    <xf applyAlignment="1" fillId="0" xfId="0" numFmtId="164" borderId="0" applyFont="1" fontId="1" applyNumberFormat="1">
      <alignment vertical="center" horizontal="center"/>
    </xf>
    <xf applyAlignment="1" fillId="0" xfId="0" numFmtId="0" borderId="0" applyFont="1" fontId="2">
      <alignment vertical="center" horizontal="general"/>
    </xf>
    <xf applyAlignment="1" fillId="0" xfId="0" numFmtId="0" borderId="0" applyFont="1" fontId="3">
      <alignment vertical="center" horizontal="center"/>
    </xf>
    <xf applyAlignment="1" fillId="0" xfId="0" numFmtId="0" borderId="0" applyFont="1" fontId="4">
      <alignment vertical="center" horizontal="general"/>
    </xf>
    <xf applyAlignment="1" fillId="0" xfId="0" numFmtId="0" borderId="0" applyFont="1" fontId="5">
      <alignment vertical="center" horizontal="center"/>
    </xf>
    <xf applyAlignment="1" fillId="0" xfId="0" numFmtId="0" borderId="0" applyFont="1" fontId="6">
      <alignment vertical="center" horizontal="center"/>
    </xf>
    <xf applyAlignment="1" fillId="0" xfId="0" numFmtId="0" borderId="0" applyFont="1" fontId="7">
      <alignment vertical="center" horizontal="general" wrapText="1"/>
    </xf>
    <xf applyAlignment="1" fillId="0" xfId="0" numFmtId="0" borderId="0" applyFont="1" fontId="8">
      <alignment vertical="center" horizontal="left"/>
    </xf>
    <xf applyAlignment="1" fillId="0" xfId="0" numFmtId="0" borderId="0" applyFont="1" fontId="9">
      <alignment vertical="bottom" horizontal="general" wrapText="1"/>
    </xf>
    <xf applyAlignment="1" fillId="0" xfId="0" numFmtId="0" borderId="0" applyFont="1" fontId="10">
      <alignment vertical="bottom" horizontal="center"/>
    </xf>
    <xf applyAlignment="1" fillId="0" xfId="0" numFmtId="0" borderId="0" applyFont="1" fontId="11">
      <alignment vertical="center" horizontal="center"/>
    </xf>
    <xf applyAlignment="1" fillId="0" xfId="0" numFmtId="0" borderId="0" applyFont="1" fontId="12">
      <alignment vertical="center" horizontal="center"/>
    </xf>
    <xf applyAlignment="1" fillId="0" xfId="0" numFmtId="0" borderId="0" applyFont="1" fontId="13">
      <alignment vertical="center" horizontal="center"/>
    </xf>
    <xf applyAlignment="1" fillId="0" xfId="0" numFmtId="0" borderId="0" applyFont="1" fontId="14">
      <alignment vertical="center" horizontal="general" wrapText="1"/>
    </xf>
    <xf applyAlignment="1" fillId="0" xfId="0" numFmtId="0" borderId="0" applyFont="1" fontId="15">
      <alignment vertical="center" horizontal="general"/>
    </xf>
    <xf fillId="0" xfId="0" numFmtId="0" borderId="0" applyFont="1" fontId="16"/>
    <xf applyAlignment="1" fillId="0" xfId="0" numFmtId="165" borderId="0" applyFont="1" fontId="17" applyNumberFormat="1">
      <alignment vertical="center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>
              <a:defRPr b="1" sz="1600">
                <a:solidFill>
                  <a:srgbClr val="000000"/>
                </a:solidFill>
                <a:latin typeface="Sans Serif"/>
              </a:defRPr>
            </a:pPr>
            <a:r>
              <a:t>ESA Annual Meeting Attendance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34343"/>
            </a:solidFill>
          </c:spPr>
          <c:cat>
            <c:strRef>
              <c:f>attendance!$A$5:$A$22</c:f>
            </c:strRef>
          </c:cat>
          <c:val>
            <c:numRef>
              <c:f>attendance!$B$5:$B$22</c:f>
            </c:numRef>
          </c:val>
        </c:ser>
        <c:axId val="392724684"/>
        <c:axId val="725515251"/>
      </c:barChart>
      <c:catAx>
        <c:axId val="392724684"/>
        <c:scaling>
          <c:orientation val="minMax"/>
        </c:scaling>
        <c:axPos val="b"/>
        <c:txPr>
          <a:bodyPr/>
          <a:lstStyle/>
          <a:p>
            <a:pPr>
              <a:defRPr>
                <a:latin typeface="Sans Serif"/>
              </a:defRPr>
            </a:pPr>
          </a:p>
        </c:txPr>
        <c:crossAx val="725515251"/>
      </c:catAx>
      <c:valAx>
        <c:axId val="7255152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Sans Serif"/>
                  </a:defRPr>
                </a:pPr>
                <a:r>
                  <a:t>Number of registered attendees</a:t>
                </a:r>
              </a:p>
            </c:rich>
          </c:tx>
          <c:overlay val="0"/>
        </c:title>
        <c:numFmt sourceLinked="1" formatCode="General"/>
        <c:tickLblPos val="nextTo"/>
        <c:spPr>
          <a:ln w="47625">
            <a:noFill/>
          </a:ln>
        </c:spPr>
        <c:txPr>
          <a:bodyPr/>
          <a:lstStyle/>
          <a:p>
            <a:pPr>
              <a:defRPr>
                <a:latin typeface="Sans Serif"/>
              </a:defRPr>
            </a:pPr>
          </a:p>
        </c:txPr>
        <c:crossAx val="392724684"/>
      </c:valAx>
    </c:plotArea>
  </c:chart>
</c:chartSpace>
</file>

<file path=xl/drawings/_rels/drawing1.xml.rels><?xml version="1.0" encoding="UTF-8" standalone="yes"?><Relationships xmlns="http://schemas.openxmlformats.org/package/2006/relationships"><Relationship Target="../charts/chart1.xml" Type="http://schemas.openxmlformats.org/officeDocument/2006/relationships/chart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oneCellAnchor>
    <xdr:from>
      <xdr:col>2</xdr:col>
      <xdr:colOff>704850</xdr:colOff>
      <xdr:row>0</xdr:row>
      <xdr:rowOff>495300</xdr:rowOff>
    </xdr:from>
    <xdr:ext cy="3048000" cx="4286250"/>
    <xdr:graphicFrame>
      <xdr:nvGraphicFramePr>
        <xdr:cNvPr id="1" name="Chart 1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2.xml.rels><?xml version="1.0" encoding="UTF-8" standalone="yes"?><Relationships xmlns="http://schemas.openxmlformats.org/package/2006/relationships"><Relationship Target="../drawings/drawing1.xml" Type="http://schemas.openxmlformats.org/officeDocument/2006/relationships/drawing" Id="rId2"/><Relationship Target="../comments1.xml" Type="http://schemas.openxmlformats.org/officeDocument/2006/relationships/comments" Id="rId1"/><Relationship Target="../drawings/vmlDrawing1.vml" Type="http://schemas.openxmlformats.org/officeDocument/2006/relationships/vmlDrawing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cols>
    <col min="1" customWidth="1" max="1" style="11" width="8.86"/>
    <col min="2" customWidth="1" max="2" style="11" width="21.0"/>
    <col min="3" customWidth="1" max="3" width="8.0"/>
    <col min="4" customWidth="1" max="4" style="11" width="25.57"/>
    <col min="5" customWidth="1" max="5" style="11" width="8.71"/>
    <col min="6" customWidth="1" max="6" style="15" width="44.29"/>
    <col min="7" customWidth="1" max="9" style="15" width="12.71"/>
    <col min="10" customWidth="1" max="10" style="11" width="12.71"/>
    <col min="11" max="11" style="15" width="9.14"/>
  </cols>
  <sheetData>
    <row customHeight="1" s="10" customFormat="1" r="1" ht="20.25">
      <c t="s" s="6" r="A1">
        <v>0</v>
      </c>
      <c t="s" s="6" r="B1">
        <v>1</v>
      </c>
      <c t="s" s="6" r="C1">
        <v>2</v>
      </c>
      <c t="s" s="6" r="D1">
        <v>3</v>
      </c>
      <c t="s" s="6" r="E1">
        <v>4</v>
      </c>
      <c t="s" s="6" r="F1">
        <v>5</v>
      </c>
      <c s="6" r="G1"/>
      <c s="6" r="H1"/>
      <c s="6" r="I1"/>
      <c s="6" r="J1"/>
      <c s="6" r="K1"/>
    </row>
    <row customHeight="1" s="10" customFormat="1" r="2" ht="20.25">
      <c s="6" r="A2">
        <v>2015</v>
      </c>
      <c t="s" s="6" r="B2">
        <v>6</v>
      </c>
      <c s="6" r="C2">
        <v>100</v>
      </c>
      <c t="s" s="6" r="D2">
        <v>7</v>
      </c>
      <c s="6" r="F2"/>
      <c s="6" r="G2"/>
      <c s="6" r="H2"/>
      <c s="6" r="I2"/>
      <c s="6" r="J2"/>
      <c s="6" r="K2"/>
    </row>
    <row customHeight="1" s="10" customFormat="1" r="3" ht="20.25">
      <c s="6" r="A3">
        <v>2014</v>
      </c>
      <c t="s" s="6" r="B3">
        <v>8</v>
      </c>
      <c s="6" r="C3">
        <v>99</v>
      </c>
      <c t="s" s="6" r="D3">
        <v>9</v>
      </c>
      <c t="s" s="8" r="F3">
        <v>10</v>
      </c>
      <c s="6" r="G3"/>
      <c s="6" r="H3"/>
      <c s="6" r="I3"/>
      <c s="6" r="J3"/>
      <c s="6" r="K3"/>
    </row>
    <row customHeight="1" s="10" customFormat="1" r="4" ht="20.25">
      <c s="6" r="A4">
        <v>2013</v>
      </c>
      <c t="s" s="6" r="B4">
        <v>11</v>
      </c>
      <c s="6" r="C4">
        <v>98</v>
      </c>
      <c t="s" s="6" r="D4">
        <v>12</v>
      </c>
      <c r="E4">
        <v>3363</v>
      </c>
      <c t="s" s="14" r="F4">
        <v>13</v>
      </c>
      <c s="6" r="G4"/>
      <c s="6" r="H4"/>
      <c s="6" r="I4"/>
      <c s="6" r="J4"/>
      <c s="6" r="K4"/>
    </row>
    <row customHeight="1" r="5" ht="30.0">
      <c s="3" r="A5">
        <v>2012</v>
      </c>
      <c t="str" s="13" r="B5">
        <f>HYPERLINK("http://www.esa.org/portland/","Portland, OR")</f>
        <v>Portland, OR</v>
      </c>
      <c s="11" r="C5">
        <v>97</v>
      </c>
      <c t="s" s="3" r="D5">
        <v>14</v>
      </c>
      <c r="E5">
        <v>4992</v>
      </c>
      <c t="s" s="14" r="F5">
        <v>15</v>
      </c>
      <c t="str" s="13" r="G5">
        <f>HYPERLINK("http://www.esa.org/portland/plenary.php","Plenary")</f>
        <v>Plenary</v>
      </c>
      <c t="str" s="13" r="H5">
        <f>HYPERLINK("http://eco.confex.com/eco/2012/webprogrampreliminary/meeting.html","Program")</f>
        <v>Program</v>
      </c>
      <c t="str" s="13" r="I5">
        <f>HYPERLINK("http://dx.doi.org/10.1890/0012-9623-93.4.282","Awards")</f>
        <v>Awards</v>
      </c>
      <c t="str" s="13" r="J5">
        <f>HYPERLINK("http://www.esajournals.org/doi/pdf/10.1890/2012.councilreport","Reports")</f>
        <v>Reports</v>
      </c>
      <c s="15" r="K5"/>
    </row>
    <row customHeight="1" r="6" ht="30.0">
      <c s="3" r="A6">
        <v>2011</v>
      </c>
      <c t="str" s="13" r="B6">
        <f>HYPERLINK("http://www.esa.org/austin/","Austin, TX")</f>
        <v>Austin, TX</v>
      </c>
      <c s="11" r="C6">
        <v>96</v>
      </c>
      <c t="s" s="3" r="D6">
        <v>16</v>
      </c>
      <c r="E6">
        <v>3721</v>
      </c>
      <c t="s" s="9" r="F6">
        <v>17</v>
      </c>
      <c t="str" s="13" r="G6">
        <f>HYPERLINK("http://www.esa.org/austin/plenary_session.php","Plenary")</f>
        <v>Plenary</v>
      </c>
      <c t="str" s="13" r="H6">
        <f>HYPERLINK("http://eco.confex.com/eco/2011/webprogram/meeting.html","Program")</f>
        <v>Program</v>
      </c>
      <c t="str" s="13" r="I6">
        <f>HYPERLINK("http://dx.doi.org/10.1890/0012-9623-92.4.330","Awards")</f>
        <v>Awards</v>
      </c>
      <c t="str" s="13" r="J6">
        <f>HYPERLINK("http://dx.doi.org/10.1890/2011.councilreport","Reports")</f>
        <v>Reports</v>
      </c>
      <c s="15" r="K6"/>
    </row>
    <row customHeight="1" r="7" ht="30.0">
      <c s="3" r="A7">
        <v>2010</v>
      </c>
      <c t="str" s="13" r="B7">
        <f>HYPERLINK("http://www.esa.org/pittsburgh/","Pittsburgh, PA")</f>
        <v>Pittsburgh, PA</v>
      </c>
      <c s="11" r="C7">
        <v>95</v>
      </c>
      <c t="s" s="3" r="D7">
        <v>18</v>
      </c>
      <c r="E7">
        <v>3525</v>
      </c>
      <c t="s" s="14" r="F7">
        <v>19</v>
      </c>
      <c t="str" s="13" r="G7">
        <f>HYPERLINK("http://www.esa.org/pittsburgh/plenary.php","Plenary")</f>
        <v>Plenary</v>
      </c>
      <c t="str" s="13" r="H7">
        <f>HYPERLINK("http://eco.confex.com/eco/2010/techprogram/index.htm","Program")</f>
        <v>Program</v>
      </c>
      <c t="str" s="13" r="I7">
        <f>HYPERLINK("http://dx.doi.org/10.1890/0012-9623-91.4.394","Awards")</f>
        <v>Awards</v>
      </c>
      <c t="str" s="13" r="J7">
        <f>HYPERLINK("http://dx.doi.org/10.1890/2010.councilreport","Reports")</f>
        <v>Reports</v>
      </c>
      <c s="15" r="K7"/>
    </row>
    <row customHeight="1" r="8" ht="30.0">
      <c s="3" r="A8">
        <v>2009</v>
      </c>
      <c t="str" s="13" r="B8">
        <f>HYPERLINK("http://www.esa.org/albuquerque/","Albuquerque, NM")</f>
        <v>Albuquerque, NM</v>
      </c>
      <c s="11" r="C8">
        <v>94</v>
      </c>
      <c t="s" s="3" r="D8">
        <v>20</v>
      </c>
      <c r="E8">
        <v>3648</v>
      </c>
      <c t="s" s="9" r="F8">
        <v>21</v>
      </c>
      <c t="str" s="13" r="G8">
        <f>HYPERLINK("http://www.esa.org/albuquerque/plenary.php","Plenary")</f>
        <v>Plenary</v>
      </c>
      <c t="str" s="13" r="H8">
        <f>HYPERLINK("http://eco.confex.com/eco/2009/techprogram/","Program")</f>
        <v>Program</v>
      </c>
      <c t="str" s="13" r="I8">
        <f>HYPERLINK("http://dx.doi.org/10.1890/0012-9623-90.4.327","Awards")</f>
        <v>Awards</v>
      </c>
      <c t="str" s="13" r="J8">
        <f>HYPERLINK("http://dx.doi.org/10.1890/0012-9623-90.4.360","Reports")</f>
        <v>Reports</v>
      </c>
      <c s="15" r="K8"/>
    </row>
    <row customHeight="1" r="9" ht="30.0">
      <c s="3" r="A9">
        <v>2008</v>
      </c>
      <c t="str" s="13" r="B9">
        <f>HYPERLINK("http://www.esa.org/milwaukee/","Milwaukee, WI")</f>
        <v>Milwaukee, WI</v>
      </c>
      <c s="11" r="C9">
        <v>93</v>
      </c>
      <c t="s" s="3" r="D9">
        <v>22</v>
      </c>
      <c r="E9">
        <v>3354</v>
      </c>
      <c t="s" s="9" r="F9">
        <v>23</v>
      </c>
      <c t="s" s="11" r="G9">
        <v>24</v>
      </c>
      <c t="s" s="11" r="H9">
        <v>25</v>
      </c>
      <c t="str" s="13" r="I9">
        <f>HYPERLINK("http://dx.doi.org/10.1890/0012-9623(2008)89%5b344:AC%5d2.0.CO;2","Awards")</f>
        <v>Awards</v>
      </c>
      <c t="s" s="11" r="J9">
        <v>26</v>
      </c>
      <c s="15" r="K9"/>
    </row>
    <row customHeight="1" r="10" ht="30.0">
      <c s="3" r="A10">
        <v>2007</v>
      </c>
      <c t="str" s="13" r="B10">
        <f>HYPERLINK("http://www.esa.org/sanjose/","San Jose, CA")</f>
        <v>San Jose, CA</v>
      </c>
      <c s="11" r="C10">
        <v>92</v>
      </c>
      <c t="s" s="3" r="D10">
        <v>27</v>
      </c>
      <c r="E10">
        <v>4185</v>
      </c>
      <c t="s" s="9" r="F10">
        <v>28</v>
      </c>
      <c t="s" s="11" r="G10">
        <v>24</v>
      </c>
      <c t="s" s="11" r="H10">
        <v>25</v>
      </c>
      <c t="s" s="11" r="I10">
        <v>29</v>
      </c>
      <c t="str" s="13" r="J10">
        <f>HYPERLINK("http://dx.doi.org/10.1890/0012-9623(2007)88%5b309:ARTCES%5d2.0.CO;2","Reports")</f>
        <v>Reports</v>
      </c>
      <c s="15" r="K10"/>
    </row>
    <row customHeight="1" r="11" ht="30.0">
      <c s="3" r="A11">
        <v>2006</v>
      </c>
      <c t="str" s="13" r="B11">
        <f>HYPERLINK("http://www.esa.org/memphis/","Memphis, TN")</f>
        <v>Memphis, TN</v>
      </c>
      <c s="11" r="C11">
        <v>91</v>
      </c>
      <c t="s" s="3" r="D11">
        <v>30</v>
      </c>
      <c r="E11">
        <v>2838</v>
      </c>
      <c t="s" s="14" r="F11">
        <v>31</v>
      </c>
      <c t="s" s="11" r="G11">
        <v>24</v>
      </c>
      <c t="s" s="11" r="H11">
        <v>25</v>
      </c>
      <c t="s" s="11" r="I11">
        <v>29</v>
      </c>
      <c t="s" s="11" r="J11">
        <v>26</v>
      </c>
      <c s="15" r="K11"/>
    </row>
    <row customHeight="1" r="12" ht="30.0">
      <c s="3" r="A12">
        <v>2005</v>
      </c>
      <c t="str" s="13" r="B12">
        <f>HYPERLINK("http://www.esa.org/montreal/","Montreal, Canada")</f>
        <v>Montreal, Canada</v>
      </c>
      <c s="11" r="C12">
        <v>90</v>
      </c>
      <c t="s" s="3" r="D12">
        <v>32</v>
      </c>
      <c r="E12">
        <v>4359</v>
      </c>
      <c t="s" s="14" r="F12">
        <v>33</v>
      </c>
      <c t="s" s="11" r="G12">
        <v>24</v>
      </c>
      <c t="s" s="11" r="H12">
        <v>25</v>
      </c>
      <c t="s" s="11" r="I12">
        <v>29</v>
      </c>
      <c t="s" s="11" r="J12">
        <v>26</v>
      </c>
      <c s="15" r="K12"/>
    </row>
    <row customHeight="1" r="13" ht="30.0">
      <c s="3" r="A13">
        <v>2004</v>
      </c>
      <c t="str" s="13" r="B13">
        <f>HYPERLINK("http://www.esa.org/portland2004/","Portland, OR")</f>
        <v>Portland, OR</v>
      </c>
      <c s="11" r="C13">
        <v>89</v>
      </c>
      <c t="s" s="3" r="D13">
        <v>34</v>
      </c>
      <c t="s" s="14" r="F13">
        <v>35</v>
      </c>
      <c t="s" s="11" r="G13">
        <v>24</v>
      </c>
      <c t="s" s="11" r="H13">
        <v>25</v>
      </c>
      <c t="s" s="11" r="I13">
        <v>29</v>
      </c>
      <c t="s" s="11" r="J13">
        <v>26</v>
      </c>
      <c s="15" r="K13"/>
    </row>
    <row customHeight="1" r="14" ht="30.0">
      <c s="3" r="A14">
        <v>2003</v>
      </c>
      <c t="str" s="13" r="B14">
        <f>HYPERLINK("http://www.esa.org/savannah/","Savannah, GA")</f>
        <v>Savannah, GA</v>
      </c>
      <c s="11" r="C14">
        <v>88</v>
      </c>
      <c t="s" s="3" r="D14">
        <v>36</v>
      </c>
      <c r="E14">
        <v>2718</v>
      </c>
      <c t="s" s="14" r="F14">
        <v>37</v>
      </c>
      <c t="s" s="11" r="G14">
        <v>24</v>
      </c>
      <c t="s" s="11" r="H14">
        <v>25</v>
      </c>
      <c t="s" s="11" r="I14">
        <v>29</v>
      </c>
      <c t="s" s="11" r="J14">
        <v>26</v>
      </c>
      <c s="15" r="K14"/>
    </row>
    <row customHeight="1" r="15" ht="24.75">
      <c s="3" r="A15">
        <v>2002</v>
      </c>
      <c t="s" s="3" r="B15">
        <v>38</v>
      </c>
      <c s="11" r="C15">
        <v>87</v>
      </c>
      <c t="s" s="3" r="D15">
        <v>39</v>
      </c>
      <c r="E15">
        <v>3756</v>
      </c>
      <c t="s" s="7" r="F15">
        <v>40</v>
      </c>
      <c t="s" s="11" r="G15">
        <v>24</v>
      </c>
      <c t="s" s="11" r="H15">
        <v>25</v>
      </c>
      <c t="s" s="11" r="I15">
        <v>29</v>
      </c>
      <c t="s" s="11" r="J15">
        <v>26</v>
      </c>
      <c s="15" r="K15"/>
    </row>
    <row customHeight="1" r="16" ht="24.75">
      <c s="3" r="A16">
        <v>2001</v>
      </c>
      <c t="s" s="3" r="B16">
        <v>41</v>
      </c>
      <c s="11" r="C16">
        <v>86</v>
      </c>
      <c t="s" s="3" r="D16">
        <v>42</v>
      </c>
      <c r="E16">
        <v>3010</v>
      </c>
      <c t="s" s="7" r="F16">
        <v>43</v>
      </c>
      <c t="s" s="11" r="G16">
        <v>24</v>
      </c>
      <c t="s" s="11" r="H16">
        <v>25</v>
      </c>
      <c t="s" s="11" r="I16">
        <v>29</v>
      </c>
      <c t="s" s="11" r="J16">
        <v>26</v>
      </c>
      <c s="15" r="K16"/>
    </row>
    <row customHeight="1" r="17" ht="24.75">
      <c s="3" r="A17">
        <v>2000</v>
      </c>
      <c t="s" s="3" r="B17">
        <v>44</v>
      </c>
      <c s="11" r="C17">
        <v>85</v>
      </c>
      <c t="s" s="3" r="D17">
        <v>45</v>
      </c>
      <c r="E17">
        <v>2664</v>
      </c>
      <c t="s" s="4" r="F17">
        <v>46</v>
      </c>
      <c t="s" s="11" r="G17">
        <v>24</v>
      </c>
      <c t="s" s="11" r="H17">
        <v>25</v>
      </c>
      <c t="s" s="11" r="I17">
        <v>29</v>
      </c>
      <c t="s" s="11" r="J17">
        <v>26</v>
      </c>
      <c s="15" r="K17"/>
    </row>
    <row customHeight="1" r="18" ht="24.75">
      <c s="3" r="A18">
        <v>1999</v>
      </c>
      <c t="s" s="3" r="B18">
        <v>47</v>
      </c>
      <c s="11" r="C18">
        <v>84</v>
      </c>
      <c t="s" s="3" r="D18">
        <v>48</v>
      </c>
      <c r="E18">
        <v>2985</v>
      </c>
      <c t="s" s="4" r="F18">
        <v>49</v>
      </c>
      <c s="15" r="G18"/>
      <c s="15" r="H18"/>
      <c s="15" r="I18"/>
      <c s="11" r="J18"/>
      <c s="15" r="K18"/>
    </row>
    <row customHeight="1" r="19" ht="24.75">
      <c s="3" r="A19">
        <v>1998</v>
      </c>
      <c t="s" s="3" r="B19">
        <v>6</v>
      </c>
      <c s="11" r="C19">
        <v>83</v>
      </c>
      <c t="s" s="3" r="D19">
        <v>50</v>
      </c>
      <c r="E19">
        <v>3060</v>
      </c>
      <c t="s" s="4" r="F19">
        <v>51</v>
      </c>
      <c s="15" r="G19"/>
      <c s="15" r="H19"/>
      <c s="15" r="I19"/>
      <c s="11" r="J19"/>
      <c s="15" r="K19"/>
    </row>
    <row customHeight="1" r="20" ht="24.75">
      <c s="3" r="A20">
        <v>1997</v>
      </c>
      <c t="s" s="3" r="B20">
        <v>52</v>
      </c>
      <c s="11" r="C20">
        <v>82</v>
      </c>
      <c t="s" s="3" r="D20">
        <v>53</v>
      </c>
      <c r="E20">
        <v>3106</v>
      </c>
      <c t="s" s="4" r="F20">
        <v>54</v>
      </c>
      <c s="15" r="G20"/>
      <c s="15" r="H20"/>
      <c s="15" r="I20"/>
      <c s="11" r="J20"/>
      <c s="15" r="K20"/>
    </row>
    <row customHeight="1" r="21" ht="24.75">
      <c s="3" r="A21">
        <v>1996</v>
      </c>
      <c t="s" s="3" r="B21">
        <v>55</v>
      </c>
      <c s="11" r="C21">
        <v>81</v>
      </c>
      <c t="s" s="3" r="D21">
        <v>56</v>
      </c>
      <c r="E21">
        <v>2900</v>
      </c>
      <c t="s" s="4" r="F21">
        <v>57</v>
      </c>
      <c s="15" r="G21"/>
      <c s="15" r="H21"/>
      <c s="15" r="I21"/>
      <c s="11" r="J21"/>
      <c s="15" r="K21"/>
    </row>
    <row customHeight="1" r="22" ht="24.75">
      <c s="3" r="A22">
        <v>1995</v>
      </c>
      <c t="s" s="3" r="B22">
        <v>44</v>
      </c>
      <c s="11" r="C22">
        <v>80</v>
      </c>
      <c t="s" s="3" r="D22">
        <v>58</v>
      </c>
      <c r="E22">
        <v>2500</v>
      </c>
      <c t="s" s="4" r="F22">
        <v>59</v>
      </c>
      <c s="15" r="G22"/>
      <c s="15" r="H22"/>
      <c s="15" r="I22"/>
      <c s="11" r="J22"/>
      <c s="15" r="K22"/>
    </row>
    <row customHeight="1" r="23" ht="24.75">
      <c s="3" r="A23">
        <v>1994</v>
      </c>
      <c t="s" s="3" r="B23">
        <v>60</v>
      </c>
      <c s="11" r="C23">
        <v>79</v>
      </c>
      <c t="s" s="3" r="D23">
        <v>61</v>
      </c>
      <c t="s" s="4" r="F23">
        <v>62</v>
      </c>
      <c s="15" r="G23"/>
      <c s="15" r="H23"/>
      <c s="15" r="I23"/>
      <c s="11" r="J23"/>
      <c s="15" r="K23"/>
    </row>
    <row customHeight="1" r="24" ht="24.75">
      <c s="3" r="A24">
        <v>1993</v>
      </c>
      <c t="s" s="3" r="B24">
        <v>41</v>
      </c>
      <c s="11" r="C24">
        <v>78</v>
      </c>
      <c t="s" s="3" r="D24">
        <v>63</v>
      </c>
      <c t="s" s="4" r="F24">
        <v>64</v>
      </c>
      <c s="15" r="G24"/>
      <c s="15" r="H24"/>
      <c s="15" r="I24"/>
      <c s="11" r="J24"/>
      <c s="15" r="K24"/>
    </row>
    <row customHeight="1" r="25" ht="24.75">
      <c s="3" r="A25">
        <v>1992</v>
      </c>
      <c t="s" s="3" r="B25">
        <v>65</v>
      </c>
      <c s="11" r="C25">
        <v>77</v>
      </c>
      <c t="s" s="3" r="D25">
        <v>66</v>
      </c>
      <c t="s" s="4" r="F25">
        <v>67</v>
      </c>
      <c s="15" r="G25"/>
      <c s="15" r="H25"/>
      <c s="15" r="I25"/>
      <c s="11" r="J25"/>
      <c s="15" r="K25"/>
    </row>
    <row customHeight="1" r="26" ht="24.75">
      <c s="3" r="A26">
        <v>1991</v>
      </c>
      <c t="s" s="3" r="B26">
        <v>68</v>
      </c>
      <c s="11" r="C26">
        <v>76</v>
      </c>
      <c t="s" s="3" r="D26">
        <v>69</v>
      </c>
      <c t="s" s="4" r="F26">
        <v>70</v>
      </c>
      <c s="15" r="G26"/>
      <c s="15" r="H26"/>
      <c s="15" r="I26"/>
      <c s="11" r="J26"/>
      <c s="15" r="K26"/>
    </row>
    <row customHeight="1" r="27" ht="24.75">
      <c s="3" r="A27">
        <v>1990</v>
      </c>
      <c t="s" s="3" r="B27">
        <v>44</v>
      </c>
      <c s="11" r="C27">
        <v>75</v>
      </c>
      <c t="s" s="3" r="D27">
        <v>71</v>
      </c>
      <c t="s" s="4" r="F27">
        <v>72</v>
      </c>
      <c s="15" r="G27"/>
      <c s="15" r="H27"/>
      <c s="15" r="I27"/>
      <c s="11" r="J27"/>
      <c s="15" r="K27"/>
    </row>
    <row customHeight="1" r="28" ht="24.75">
      <c s="3" r="A28">
        <v>1989</v>
      </c>
      <c t="s" s="3" r="B28">
        <v>73</v>
      </c>
      <c s="11" r="C28">
        <v>74</v>
      </c>
      <c t="s" s="3" r="D28">
        <v>74</v>
      </c>
      <c t="s" s="4" r="F28">
        <v>75</v>
      </c>
      <c s="15" r="G28"/>
      <c s="15" r="H28"/>
      <c s="15" r="I28"/>
      <c s="11" r="J28"/>
      <c s="15" r="K28"/>
    </row>
    <row customHeight="1" r="29" ht="24.75">
      <c s="3" r="A29">
        <v>1988</v>
      </c>
      <c t="s" s="3" r="B29">
        <v>76</v>
      </c>
      <c s="11" r="C29">
        <v>73</v>
      </c>
      <c t="s" s="3" r="D29">
        <v>77</v>
      </c>
      <c t="s" s="4" r="F29">
        <v>78</v>
      </c>
      <c s="15" r="G29"/>
      <c s="15" r="H29"/>
      <c s="15" r="I29"/>
      <c s="11" r="J29"/>
      <c s="15" r="K29"/>
    </row>
    <row customHeight="1" r="30" ht="24.75">
      <c s="3" r="A30">
        <v>1987</v>
      </c>
      <c t="s" s="3" r="B30">
        <v>79</v>
      </c>
      <c s="11" r="C30">
        <v>72</v>
      </c>
      <c t="s" s="3" r="D30">
        <v>80</v>
      </c>
      <c s="4" r="F30"/>
      <c s="15" r="G30"/>
      <c s="15" r="H30"/>
      <c s="15" r="I30"/>
      <c s="11" r="J30"/>
      <c s="15" r="K30"/>
    </row>
    <row customHeight="1" r="31" ht="24.75">
      <c s="3" r="A31">
        <v>1986</v>
      </c>
      <c t="s" s="3" r="B31">
        <v>81</v>
      </c>
      <c s="11" r="C31">
        <v>71</v>
      </c>
      <c t="s" s="3" r="D31">
        <v>82</v>
      </c>
      <c s="4" r="F31"/>
      <c s="15" r="G31"/>
      <c s="15" r="H31"/>
      <c s="15" r="I31"/>
      <c s="11" r="J31"/>
      <c s="15" r="K31"/>
    </row>
    <row customHeight="1" r="32" ht="24.75">
      <c s="3" r="A32">
        <v>1985</v>
      </c>
      <c t="s" s="3" r="B32">
        <v>11</v>
      </c>
      <c s="11" r="C32">
        <v>70</v>
      </c>
      <c t="s" s="3" r="D32">
        <v>83</v>
      </c>
      <c t="s" s="4" r="F32">
        <v>84</v>
      </c>
      <c s="15" r="G32"/>
      <c s="15" r="H32"/>
      <c s="15" r="I32"/>
      <c s="11" r="J32"/>
      <c s="15" r="K32"/>
    </row>
    <row customHeight="1" r="33" ht="24.75">
      <c s="3" r="A33">
        <v>1984</v>
      </c>
      <c t="s" s="3" r="B33">
        <v>85</v>
      </c>
      <c s="11" r="C33">
        <v>69</v>
      </c>
      <c t="s" s="3" r="D33">
        <v>86</v>
      </c>
      <c s="4" r="F33"/>
      <c s="15" r="G33"/>
      <c s="15" r="H33"/>
      <c s="15" r="I33"/>
      <c s="11" r="J33"/>
      <c s="15" r="K33"/>
    </row>
    <row customHeight="1" r="34" ht="24.75">
      <c s="3" r="A34">
        <v>1983</v>
      </c>
      <c t="s" s="3" r="B34">
        <v>87</v>
      </c>
      <c s="11" r="C34">
        <v>68</v>
      </c>
      <c t="s" s="3" r="D34">
        <v>88</v>
      </c>
      <c s="4" r="F34"/>
      <c s="15" r="G34"/>
      <c s="15" r="H34"/>
      <c s="15" r="I34"/>
      <c s="11" r="J34"/>
      <c s="15" r="K34"/>
    </row>
    <row customHeight="1" r="35" ht="24.75">
      <c s="3" r="A35">
        <v>1982</v>
      </c>
      <c t="s" s="3" r="B35">
        <v>89</v>
      </c>
      <c s="11" r="C35">
        <v>67</v>
      </c>
      <c t="s" s="3" r="D35">
        <v>90</v>
      </c>
      <c s="4" r="F35"/>
      <c s="15" r="G35"/>
      <c s="15" r="H35"/>
      <c s="15" r="I35"/>
      <c s="11" r="J35"/>
      <c s="15" r="K35"/>
    </row>
    <row customHeight="1" r="36" ht="24.75">
      <c s="3" r="A36">
        <v>1981</v>
      </c>
      <c t="s" s="3" r="B36">
        <v>91</v>
      </c>
      <c s="11" r="C36">
        <v>66</v>
      </c>
      <c t="s" s="3" r="D36">
        <v>92</v>
      </c>
      <c s="4" r="F36"/>
      <c s="15" r="G36"/>
      <c s="15" r="H36"/>
      <c s="15" r="I36"/>
      <c s="11" r="J36"/>
      <c s="15" r="K36"/>
    </row>
    <row customHeight="1" r="37" ht="24.75">
      <c s="3" r="A37">
        <v>1980</v>
      </c>
      <c t="s" s="3" r="B37">
        <v>38</v>
      </c>
      <c s="11" r="C37">
        <v>65</v>
      </c>
      <c t="s" s="3" r="D37">
        <v>93</v>
      </c>
      <c s="4" r="F37"/>
      <c s="15" r="G37"/>
      <c s="15" r="H37"/>
      <c s="15" r="I37"/>
      <c s="11" r="J37"/>
      <c s="15" r="K37"/>
    </row>
    <row customHeight="1" r="38" ht="24.75">
      <c s="3" r="A38">
        <v>1979</v>
      </c>
      <c t="s" s="3" r="B38">
        <v>94</v>
      </c>
      <c s="11" r="C38">
        <v>64</v>
      </c>
      <c t="s" s="3" r="D38">
        <v>95</v>
      </c>
      <c t="s" s="4" r="F38">
        <v>96</v>
      </c>
      <c s="15" r="G38"/>
      <c s="15" r="H38"/>
      <c s="15" r="I38"/>
      <c s="11" r="J38"/>
      <c s="15" r="K38"/>
    </row>
    <row customHeight="1" r="39" ht="24.75">
      <c s="3" r="A39">
        <v>1978</v>
      </c>
      <c t="s" s="3" r="B39">
        <v>97</v>
      </c>
      <c s="11" r="C39">
        <v>63</v>
      </c>
      <c t="s" s="3" r="D39">
        <v>98</v>
      </c>
      <c t="s" s="4" r="F39">
        <v>99</v>
      </c>
      <c s="15" r="G39"/>
      <c s="15" r="H39"/>
      <c s="15" r="I39"/>
      <c s="11" r="J39"/>
      <c s="15" r="K39"/>
    </row>
    <row customHeight="1" r="40" ht="24.75">
      <c s="3" r="A40">
        <v>1977</v>
      </c>
      <c t="s" s="3" r="B40">
        <v>100</v>
      </c>
      <c s="11" r="C40">
        <v>62</v>
      </c>
      <c t="s" s="3" r="D40">
        <v>101</v>
      </c>
      <c s="4" r="F40"/>
      <c s="15" r="G40"/>
      <c s="15" r="H40"/>
      <c s="15" r="I40"/>
      <c s="11" r="J40"/>
      <c s="15" r="K40"/>
    </row>
    <row customHeight="1" r="41" ht="24.75">
      <c s="3" r="A41">
        <v>1976</v>
      </c>
      <c t="s" s="3" r="B41">
        <v>102</v>
      </c>
      <c s="11" r="C41">
        <v>61</v>
      </c>
      <c t="s" s="3" r="D41">
        <v>103</v>
      </c>
      <c s="15" r="F41"/>
      <c s="15" r="G41"/>
      <c s="15" r="H41"/>
      <c s="15" r="I41"/>
      <c s="11" r="J41"/>
      <c s="15" r="K41"/>
    </row>
    <row customHeight="1" r="42" ht="24.75">
      <c s="3" r="A42">
        <v>1975</v>
      </c>
      <c t="s" s="3" r="B42">
        <v>104</v>
      </c>
      <c s="11" r="C42">
        <v>60</v>
      </c>
      <c t="s" s="3" r="D42">
        <v>105</v>
      </c>
      <c s="15" r="F42"/>
      <c s="15" r="G42"/>
      <c s="15" r="H42"/>
      <c s="15" r="I42"/>
      <c s="11" r="J42"/>
      <c s="15" r="K42"/>
    </row>
    <row customHeight="1" r="43" ht="24.75">
      <c s="3" r="A43">
        <v>1974</v>
      </c>
      <c t="s" s="3" r="B43">
        <v>106</v>
      </c>
      <c s="11" r="C43">
        <v>59</v>
      </c>
      <c t="s" s="3" r="D43">
        <v>107</v>
      </c>
      <c s="15" r="F43"/>
      <c s="15" r="G43"/>
      <c s="15" r="H43"/>
      <c s="15" r="I43"/>
      <c s="11" r="J43"/>
      <c s="15" r="K43"/>
    </row>
    <row customHeight="1" r="44" ht="24.75">
      <c s="3" r="A44">
        <v>1973</v>
      </c>
      <c t="s" s="3" r="B44">
        <v>108</v>
      </c>
      <c s="11" r="C44">
        <v>58</v>
      </c>
      <c t="s" s="3" r="D44">
        <v>109</v>
      </c>
      <c s="15" r="F44"/>
      <c s="15" r="G44"/>
      <c s="15" r="H44"/>
      <c s="15" r="I44"/>
      <c s="11" r="J44"/>
      <c s="15" r="K44"/>
    </row>
    <row customHeight="1" r="45" ht="24.75">
      <c s="3" r="A45">
        <v>1972</v>
      </c>
      <c t="s" s="3" r="B45">
        <v>110</v>
      </c>
      <c s="11" r="C45">
        <v>57</v>
      </c>
      <c t="s" s="3" r="D45">
        <v>111</v>
      </c>
      <c s="15" r="F45"/>
      <c s="15" r="G45"/>
      <c s="15" r="H45"/>
      <c s="15" r="I45"/>
      <c s="11" r="J45"/>
      <c s="15" r="K45"/>
    </row>
    <row customHeight="1" r="46" ht="24.75">
      <c s="3" r="A46">
        <v>1971</v>
      </c>
      <c t="s" s="3" r="B46">
        <v>112</v>
      </c>
      <c s="11" r="C46">
        <v>56</v>
      </c>
      <c t="s" s="3" r="D46">
        <v>113</v>
      </c>
      <c s="15" r="F46"/>
      <c s="15" r="G46"/>
      <c s="15" r="H46"/>
      <c s="15" r="I46"/>
      <c s="11" r="J46"/>
      <c s="15" r="K46"/>
    </row>
    <row customHeight="1" r="47" ht="24.75">
      <c s="3" r="A47">
        <v>1970</v>
      </c>
      <c t="s" s="3" r="B47">
        <v>114</v>
      </c>
      <c s="11" r="C47">
        <v>55</v>
      </c>
      <c t="s" s="3" r="D47">
        <v>115</v>
      </c>
      <c s="15" r="F47"/>
      <c s="15" r="G47"/>
      <c s="15" r="H47"/>
      <c s="15" r="I47"/>
      <c s="11" r="J47"/>
      <c s="15" r="K47"/>
    </row>
    <row customHeight="1" r="48" ht="24.75">
      <c s="3" r="A48">
        <v>1969</v>
      </c>
      <c t="s" s="3" r="B48">
        <v>116</v>
      </c>
      <c s="11" r="C48">
        <v>54</v>
      </c>
      <c t="s" s="3" r="D48">
        <v>117</v>
      </c>
      <c s="15" r="F48"/>
      <c s="15" r="G48"/>
      <c s="15" r="H48"/>
      <c s="15" r="I48"/>
      <c s="11" r="J48"/>
      <c s="15" r="K48"/>
    </row>
    <row customHeight="1" r="49" ht="24.75">
      <c s="3" r="A49">
        <v>1968</v>
      </c>
      <c t="s" s="3" r="B49">
        <v>79</v>
      </c>
      <c s="11" r="C49">
        <v>53</v>
      </c>
      <c t="s" s="3" r="D49">
        <v>118</v>
      </c>
      <c s="15" r="F49"/>
      <c s="15" r="G49"/>
      <c s="15" r="H49"/>
      <c s="15" r="I49"/>
      <c s="11" r="J49"/>
      <c s="15" r="K49"/>
    </row>
    <row customHeight="1" r="50" ht="24.75">
      <c s="3" r="A50">
        <v>1967</v>
      </c>
      <c t="s" s="3" r="B50">
        <v>119</v>
      </c>
      <c s="11" r="C50">
        <v>52</v>
      </c>
      <c t="s" s="3" r="D50">
        <v>120</v>
      </c>
      <c s="15" r="F50"/>
      <c s="15" r="G50"/>
      <c s="15" r="H50"/>
      <c s="15" r="I50"/>
      <c s="11" r="J50"/>
      <c s="15" r="K50"/>
    </row>
    <row customHeight="1" r="51" ht="24.75">
      <c s="3" r="A51">
        <v>1966</v>
      </c>
      <c t="s" s="3" r="B51">
        <v>121</v>
      </c>
      <c s="11" r="C51">
        <v>51</v>
      </c>
      <c t="s" s="3" r="D51">
        <v>122</v>
      </c>
      <c s="15" r="F51"/>
      <c s="15" r="G51"/>
      <c s="15" r="H51"/>
      <c s="15" r="I51"/>
      <c s="11" r="J51"/>
      <c s="15" r="K51"/>
    </row>
    <row customHeight="1" r="52" ht="24.75">
      <c s="3" r="A52">
        <v>1965</v>
      </c>
      <c t="s" s="3" r="B52">
        <v>123</v>
      </c>
      <c s="11" r="C52">
        <v>50</v>
      </c>
      <c t="s" s="3" r="D52">
        <v>124</v>
      </c>
      <c s="15" r="F52"/>
      <c s="15" r="G52"/>
      <c s="15" r="H52"/>
      <c s="15" r="I52"/>
      <c s="11" r="J52"/>
      <c s="15" r="K52"/>
    </row>
    <row customHeight="1" r="53" ht="24.75">
      <c s="3" r="A53">
        <v>1964</v>
      </c>
      <c t="s" s="3" r="B53">
        <v>125</v>
      </c>
      <c s="11" r="C53">
        <v>49</v>
      </c>
      <c t="s" s="3" r="D53">
        <v>126</v>
      </c>
      <c s="15" r="F53"/>
      <c s="15" r="G53"/>
      <c s="15" r="H53"/>
      <c s="15" r="I53"/>
      <c s="11" r="J53"/>
      <c s="15" r="K53"/>
    </row>
    <row customHeight="1" r="54" ht="24.75">
      <c s="3" r="A54">
        <v>1963</v>
      </c>
      <c t="s" s="3" r="B54">
        <v>127</v>
      </c>
      <c s="11" r="C54">
        <v>48</v>
      </c>
      <c t="s" s="3" r="D54">
        <v>128</v>
      </c>
      <c s="15" r="F54"/>
      <c s="15" r="G54"/>
      <c s="15" r="H54"/>
      <c s="15" r="I54"/>
      <c s="11" r="J54"/>
      <c s="15" r="K54"/>
    </row>
    <row customHeight="1" r="55" ht="24.75">
      <c s="3" r="A55">
        <v>1962</v>
      </c>
      <c t="s" s="3" r="B55">
        <v>104</v>
      </c>
      <c s="11" r="C55">
        <v>47</v>
      </c>
      <c t="s" s="3" r="D55">
        <v>129</v>
      </c>
      <c s="15" r="F55"/>
      <c s="15" r="G55"/>
      <c s="15" r="H55"/>
      <c s="15" r="I55"/>
      <c s="11" r="J55"/>
      <c s="15" r="K55"/>
    </row>
    <row customHeight="1" r="56" ht="24.75">
      <c s="3" r="A56">
        <v>1961</v>
      </c>
      <c t="s" s="3" r="B56">
        <v>130</v>
      </c>
      <c s="11" r="C56">
        <v>46</v>
      </c>
      <c t="s" s="3" r="D56">
        <v>131</v>
      </c>
      <c s="15" r="F56"/>
      <c s="15" r="G56"/>
      <c s="15" r="H56"/>
      <c s="15" r="I56"/>
      <c s="11" r="J56"/>
      <c s="15" r="K56"/>
    </row>
    <row customHeight="1" r="57" ht="24.75">
      <c s="3" r="A57">
        <v>1960</v>
      </c>
      <c t="s" s="3" r="B57">
        <v>132</v>
      </c>
      <c s="11" r="C57">
        <v>45</v>
      </c>
      <c t="s" s="3" r="D57">
        <v>133</v>
      </c>
      <c s="15" r="F57"/>
      <c s="15" r="G57"/>
      <c s="15" r="H57"/>
      <c s="15" r="I57"/>
      <c s="11" r="J57"/>
      <c s="15" r="K57"/>
    </row>
    <row customHeight="1" r="58" ht="24.75">
      <c s="3" r="A58">
        <v>1959</v>
      </c>
      <c t="s" s="3" r="B58">
        <v>89</v>
      </c>
      <c s="11" r="C58">
        <v>44</v>
      </c>
      <c t="s" s="3" r="D58">
        <v>134</v>
      </c>
      <c s="15" r="F58"/>
      <c s="15" r="G58"/>
      <c s="15" r="H58"/>
      <c s="15" r="I58"/>
      <c s="11" r="J58"/>
      <c s="15" r="K58"/>
    </row>
    <row customHeight="1" r="59" ht="24.75">
      <c s="3" r="A59">
        <v>1958</v>
      </c>
      <c t="s" s="3" r="B59">
        <v>135</v>
      </c>
      <c s="11" r="C59">
        <v>43</v>
      </c>
      <c t="s" s="3" r="D59">
        <v>136</v>
      </c>
      <c s="15" r="F59"/>
      <c s="15" r="G59"/>
      <c s="15" r="H59"/>
      <c s="15" r="I59"/>
      <c s="11" r="J59"/>
      <c s="15" r="K59"/>
    </row>
    <row customHeight="1" r="60" ht="24.75">
      <c s="3" r="A60">
        <v>1957</v>
      </c>
      <c t="s" s="3" r="B60">
        <v>137</v>
      </c>
      <c s="11" r="C60">
        <v>42</v>
      </c>
      <c t="s" s="3" r="D60">
        <v>138</v>
      </c>
      <c s="15" r="F60"/>
      <c s="15" r="G60"/>
      <c s="15" r="H60"/>
      <c s="15" r="I60"/>
      <c s="11" r="J60"/>
      <c s="15" r="K60"/>
    </row>
    <row customHeight="1" r="61" ht="24.75">
      <c s="3" r="A61">
        <v>1956</v>
      </c>
      <c t="s" s="3" r="B61">
        <v>139</v>
      </c>
      <c s="11" r="C61">
        <v>41</v>
      </c>
      <c t="s" s="3" r="D61">
        <v>140</v>
      </c>
      <c s="15" r="F61"/>
      <c s="15" r="G61"/>
      <c s="15" r="H61"/>
      <c s="15" r="I61"/>
      <c s="11" r="J61"/>
      <c s="15" r="K61"/>
    </row>
    <row customHeight="1" r="62" ht="24.75">
      <c s="3" r="A62">
        <v>1955</v>
      </c>
      <c t="s" s="3" r="B62">
        <v>141</v>
      </c>
      <c s="11" r="C62">
        <v>40</v>
      </c>
      <c t="s" s="3" r="D62">
        <v>142</v>
      </c>
      <c s="15" r="F62"/>
      <c s="15" r="G62"/>
      <c s="15" r="H62"/>
      <c s="15" r="I62"/>
      <c s="11" r="J62"/>
      <c s="15" r="K62"/>
    </row>
    <row customHeight="1" r="63" ht="24.75">
      <c s="3" r="A63">
        <v>1954</v>
      </c>
      <c t="s" s="3" r="B63">
        <v>143</v>
      </c>
      <c s="11" r="C63">
        <v>39</v>
      </c>
      <c t="s" s="3" r="D63">
        <v>144</v>
      </c>
      <c s="15" r="F63"/>
      <c s="15" r="G63"/>
      <c s="15" r="H63"/>
      <c s="15" r="I63"/>
      <c s="11" r="J63"/>
      <c s="15" r="K63"/>
    </row>
    <row customHeight="1" r="64" ht="24.75">
      <c s="3" r="A64">
        <v>1953</v>
      </c>
      <c t="s" s="3" r="B64">
        <v>116</v>
      </c>
      <c s="11" r="C64">
        <v>38</v>
      </c>
      <c t="s" s="3" r="D64">
        <v>145</v>
      </c>
      <c s="15" r="F64"/>
      <c s="15" r="G64"/>
      <c s="15" r="H64"/>
      <c s="15" r="I64"/>
      <c s="11" r="J64"/>
      <c s="15" r="K64"/>
    </row>
    <row customHeight="1" r="65" ht="24.75">
      <c s="3" r="A65">
        <v>1952</v>
      </c>
      <c t="s" s="3" r="B65">
        <v>146</v>
      </c>
      <c s="11" r="C65">
        <v>37</v>
      </c>
      <c t="s" s="3" r="D65">
        <v>147</v>
      </c>
      <c s="15" r="F65"/>
      <c s="15" r="G65"/>
      <c s="15" r="H65"/>
      <c s="15" r="I65"/>
      <c s="11" r="J65"/>
      <c s="15" r="K65"/>
    </row>
    <row customHeight="1" r="66" ht="24.75">
      <c s="3" r="A66">
        <v>1951</v>
      </c>
      <c t="s" s="3" r="B66">
        <v>148</v>
      </c>
      <c s="11" r="C66">
        <v>36</v>
      </c>
      <c t="s" s="3" r="D66">
        <v>149</v>
      </c>
      <c s="15" r="F66"/>
      <c s="15" r="G66"/>
      <c s="15" r="H66"/>
      <c s="15" r="I66"/>
      <c s="11" r="J66"/>
      <c s="15" r="K66"/>
    </row>
    <row customHeight="1" r="67" ht="24.75">
      <c s="3" r="A67">
        <v>1950</v>
      </c>
      <c t="s" s="3" r="B67">
        <v>150</v>
      </c>
      <c s="11" r="C67">
        <v>35</v>
      </c>
      <c t="s" s="3" r="D67">
        <v>151</v>
      </c>
      <c s="15" r="F67"/>
      <c s="15" r="G67"/>
      <c s="15" r="H67"/>
      <c s="15" r="I67"/>
      <c s="11" r="J67"/>
      <c s="15" r="K67"/>
    </row>
    <row customHeight="1" r="68" ht="24.75">
      <c s="3" r="A68">
        <v>1949</v>
      </c>
      <c t="s" s="3" r="B68">
        <v>152</v>
      </c>
      <c s="11" r="C68">
        <v>34</v>
      </c>
      <c t="s" s="3" r="D68">
        <v>153</v>
      </c>
      <c s="15" r="F68"/>
      <c s="15" r="G68"/>
      <c s="15" r="H68"/>
      <c s="15" r="I68"/>
      <c s="11" r="J68"/>
      <c s="15" r="K68"/>
    </row>
    <row customHeight="1" r="69" ht="24.75">
      <c s="3" r="A69">
        <v>1948</v>
      </c>
      <c t="s" s="3" r="B69">
        <v>154</v>
      </c>
      <c s="11" r="C69">
        <v>33</v>
      </c>
      <c t="s" s="3" r="D69">
        <v>155</v>
      </c>
      <c s="15" r="F69"/>
      <c s="15" r="G69"/>
      <c s="15" r="H69"/>
      <c s="15" r="I69"/>
      <c s="11" r="J69"/>
      <c s="15" r="K69"/>
    </row>
    <row customHeight="1" r="70" ht="24.75">
      <c s="3" r="A70">
        <v>1947</v>
      </c>
      <c t="s" s="3" r="B70">
        <v>156</v>
      </c>
      <c s="11" r="C70">
        <v>32</v>
      </c>
      <c t="s" s="3" r="D70">
        <v>157</v>
      </c>
      <c s="15" r="F70"/>
      <c s="15" r="G70"/>
      <c s="15" r="H70"/>
      <c s="15" r="I70"/>
      <c s="11" r="J70"/>
      <c s="15" r="K70"/>
    </row>
    <row customHeight="1" r="71" ht="24.75">
      <c s="3" r="A71">
        <v>1946</v>
      </c>
      <c t="s" s="3" r="B71">
        <v>158</v>
      </c>
      <c s="11" r="C71">
        <v>31</v>
      </c>
      <c t="s" s="3" r="D71">
        <v>159</v>
      </c>
      <c s="15" r="F71"/>
      <c s="15" r="G71"/>
      <c s="15" r="H71"/>
      <c s="15" r="I71"/>
      <c s="11" r="J71"/>
      <c s="15" r="K71"/>
    </row>
    <row customHeight="1" r="72" ht="24.75">
      <c s="3" r="A72">
        <v>1945</v>
      </c>
      <c t="s" s="3" r="B72">
        <v>160</v>
      </c>
      <c s="11" r="C72">
        <v>30</v>
      </c>
      <c t="s" s="3" r="D72">
        <v>161</v>
      </c>
      <c s="15" r="F72"/>
      <c s="15" r="G72"/>
      <c s="15" r="H72"/>
      <c s="15" r="I72"/>
      <c s="11" r="J72"/>
      <c s="15" r="K72"/>
    </row>
    <row customHeight="1" r="73" ht="24.75">
      <c s="3" r="A73">
        <v>1944</v>
      </c>
      <c t="s" s="3" r="B73">
        <v>162</v>
      </c>
      <c s="11" r="C73">
        <v>29</v>
      </c>
      <c t="s" s="3" r="D73">
        <v>163</v>
      </c>
      <c s="15" r="F73"/>
      <c s="15" r="G73"/>
      <c s="15" r="H73"/>
      <c s="15" r="I73"/>
      <c s="11" r="J73"/>
      <c s="15" r="K73"/>
    </row>
    <row customHeight="1" r="74" ht="24.75">
      <c s="5" r="A74">
        <v>1943</v>
      </c>
      <c s="5" r="B74"/>
      <c s="12" r="C74">
        <v>28</v>
      </c>
      <c t="s" s="5" r="D74">
        <v>164</v>
      </c>
      <c t="s" s="2" r="F74">
        <v>165</v>
      </c>
      <c s="15" r="G74"/>
      <c s="15" r="H74"/>
      <c s="15" r="I74"/>
      <c s="11" r="J74"/>
      <c s="15" r="K74"/>
    </row>
    <row customHeight="1" r="75" ht="24.75">
      <c s="5" r="A75">
        <v>1942</v>
      </c>
      <c t="s" s="5" r="B75">
        <v>152</v>
      </c>
      <c s="12" r="C75">
        <v>27</v>
      </c>
      <c t="s" s="5" r="D75">
        <v>164</v>
      </c>
      <c t="s" s="2" r="F75">
        <v>165</v>
      </c>
      <c s="15" r="G75"/>
      <c s="15" r="H75"/>
      <c s="15" r="I75"/>
      <c s="11" r="J75"/>
      <c s="15" r="K75"/>
    </row>
    <row customHeight="1" r="76" ht="24.75">
      <c s="3" r="A76">
        <v>1941</v>
      </c>
      <c t="s" s="3" r="B76">
        <v>166</v>
      </c>
      <c s="11" r="C76">
        <v>26</v>
      </c>
      <c t="s" s="3" r="D76">
        <v>167</v>
      </c>
      <c s="15" r="F76"/>
      <c s="15" r="G76"/>
      <c s="15" r="H76"/>
      <c s="15" r="I76"/>
      <c s="11" r="J76"/>
      <c s="15" r="K76"/>
    </row>
    <row customHeight="1" r="77" ht="24.75">
      <c s="3" r="A77">
        <v>1940</v>
      </c>
      <c t="s" s="3" r="B77">
        <v>168</v>
      </c>
      <c s="11" r="C77">
        <v>25</v>
      </c>
      <c t="s" s="3" r="D77">
        <v>169</v>
      </c>
      <c s="15" r="F77"/>
      <c s="15" r="G77"/>
      <c s="15" r="H77"/>
      <c s="15" r="I77"/>
      <c s="11" r="J77"/>
      <c s="15" r="K77"/>
    </row>
    <row customHeight="1" r="78" ht="24.75">
      <c s="3" r="A78">
        <v>1939</v>
      </c>
      <c t="s" s="3" r="B78">
        <v>79</v>
      </c>
      <c s="11" r="C78">
        <v>24</v>
      </c>
      <c t="s" s="3" r="D78">
        <v>170</v>
      </c>
      <c s="15" r="F78"/>
      <c s="15" r="G78"/>
      <c s="15" r="H78"/>
      <c s="15" r="I78"/>
      <c s="11" r="J78"/>
      <c s="15" r="K78"/>
    </row>
    <row customHeight="1" r="79" ht="24.75">
      <c s="3" r="A79">
        <v>1938</v>
      </c>
      <c t="s" s="3" r="B79">
        <v>171</v>
      </c>
      <c s="11" r="C79">
        <v>23</v>
      </c>
      <c t="s" s="3" r="D79">
        <v>172</v>
      </c>
      <c s="15" r="F79"/>
      <c s="15" r="G79"/>
      <c s="15" r="H79"/>
      <c s="15" r="I79"/>
      <c s="11" r="J79"/>
      <c s="15" r="K79"/>
    </row>
    <row customHeight="1" r="80" ht="24.75">
      <c s="3" r="A80">
        <v>1937</v>
      </c>
      <c t="s" s="3" r="B80">
        <v>173</v>
      </c>
      <c s="11" r="C80">
        <v>22</v>
      </c>
      <c t="s" s="3" r="D80">
        <v>174</v>
      </c>
      <c s="15" r="F80"/>
      <c s="15" r="G80"/>
      <c s="15" r="H80"/>
      <c s="15" r="I80"/>
      <c s="11" r="J80"/>
      <c s="15" r="K80"/>
    </row>
    <row customHeight="1" r="81" ht="24.75">
      <c s="3" r="A81">
        <v>1936</v>
      </c>
      <c t="s" s="3" r="B81">
        <v>175</v>
      </c>
      <c s="11" r="C81">
        <v>21</v>
      </c>
      <c t="s" s="3" r="D81">
        <v>176</v>
      </c>
      <c s="15" r="F81"/>
      <c s="15" r="G81"/>
      <c s="15" r="H81"/>
      <c s="15" r="I81"/>
      <c s="11" r="J81"/>
      <c s="15" r="K81"/>
    </row>
    <row customHeight="1" r="82" ht="24.75">
      <c s="3" r="A82">
        <v>1935</v>
      </c>
      <c t="s" s="3" r="B82">
        <v>160</v>
      </c>
      <c s="11" r="C82">
        <v>20</v>
      </c>
      <c t="s" s="3" r="D82">
        <v>177</v>
      </c>
      <c s="15" r="F82"/>
      <c s="15" r="G82"/>
      <c s="15" r="H82"/>
      <c s="15" r="I82"/>
      <c s="11" r="J82"/>
      <c s="15" r="K82"/>
    </row>
    <row customHeight="1" r="83" ht="24.75">
      <c s="3" r="A83">
        <v>1934</v>
      </c>
      <c t="s" s="3" r="B83">
        <v>178</v>
      </c>
      <c s="11" r="C83">
        <v>19</v>
      </c>
      <c t="s" s="3" r="D83">
        <v>179</v>
      </c>
      <c s="15" r="F83"/>
      <c s="15" r="G83"/>
      <c s="15" r="H83"/>
      <c s="15" r="I83"/>
      <c s="11" r="J83"/>
      <c s="15" r="K83"/>
    </row>
    <row customHeight="1" r="84" ht="24.75">
      <c s="3" r="A84">
        <v>1933</v>
      </c>
      <c t="s" s="3" r="B84">
        <v>158</v>
      </c>
      <c s="11" r="C84">
        <v>18</v>
      </c>
      <c s="17" r="D84">
        <v>12417</v>
      </c>
      <c s="15" r="F84"/>
      <c s="15" r="G84"/>
      <c s="15" r="H84"/>
      <c s="15" r="I84"/>
      <c s="11" r="J84"/>
      <c s="15" r="K84"/>
    </row>
    <row customHeight="1" r="85" ht="24.75">
      <c s="3" r="A85">
        <v>1932</v>
      </c>
      <c t="s" s="3" r="B85">
        <v>175</v>
      </c>
      <c s="11" r="C85">
        <v>17</v>
      </c>
      <c t="s" s="3" r="D85">
        <v>180</v>
      </c>
      <c s="15" r="F85"/>
      <c s="15" r="G85"/>
      <c s="15" r="H85"/>
      <c s="15" r="I85"/>
      <c s="11" r="J85"/>
      <c s="15" r="K85"/>
    </row>
    <row customHeight="1" r="86" ht="24.75">
      <c s="3" r="A86">
        <v>1931</v>
      </c>
      <c t="s" s="3" r="B86">
        <v>102</v>
      </c>
      <c s="11" r="C86">
        <v>16</v>
      </c>
      <c s="17" r="D86">
        <v>11686</v>
      </c>
      <c s="15" r="F86"/>
      <c s="15" r="G86"/>
      <c s="15" r="H86"/>
      <c s="15" r="I86"/>
      <c s="11" r="J86"/>
      <c s="15" r="K86"/>
    </row>
    <row customHeight="1" r="87" ht="24.75">
      <c s="3" r="A87">
        <v>1930</v>
      </c>
      <c t="s" s="3" r="B87">
        <v>162</v>
      </c>
      <c s="11" r="C87">
        <v>15</v>
      </c>
      <c t="s" s="3" r="D87">
        <v>181</v>
      </c>
      <c s="15" r="F87"/>
      <c s="15" r="G87"/>
      <c s="15" r="H87"/>
      <c s="15" r="I87"/>
      <c s="11" r="J87"/>
      <c s="15" r="K87"/>
    </row>
    <row customHeight="1" r="88" ht="24.75">
      <c s="3" r="A88">
        <v>1929</v>
      </c>
      <c t="s" s="3" r="B88">
        <v>182</v>
      </c>
      <c s="11" r="C88">
        <v>14</v>
      </c>
      <c t="s" s="3" r="D88">
        <v>183</v>
      </c>
      <c s="15" r="F88"/>
      <c s="15" r="G88"/>
      <c s="15" r="H88"/>
      <c s="15" r="I88"/>
      <c s="11" r="J88"/>
      <c s="15" r="K88"/>
    </row>
    <row customHeight="1" r="89" ht="24.75">
      <c s="3" r="A89">
        <v>1928</v>
      </c>
      <c t="s" s="3" r="B89">
        <v>152</v>
      </c>
      <c s="11" r="C89">
        <v>13</v>
      </c>
      <c t="s" s="3" r="D89">
        <v>184</v>
      </c>
      <c s="15" r="F89"/>
      <c s="15" r="G89"/>
      <c s="15" r="H89"/>
      <c s="15" r="I89"/>
      <c s="11" r="J89"/>
      <c s="15" r="K89"/>
    </row>
    <row customHeight="1" r="90" ht="24.75">
      <c s="3" r="A90">
        <v>1927</v>
      </c>
      <c t="s" s="3" r="B90">
        <v>185</v>
      </c>
      <c s="11" r="C90">
        <v>12</v>
      </c>
      <c s="17" r="D90">
        <v>10224</v>
      </c>
      <c s="15" r="F90"/>
      <c s="15" r="G90"/>
      <c s="15" r="H90"/>
      <c s="15" r="I90"/>
      <c s="11" r="J90"/>
      <c s="15" r="K90"/>
    </row>
    <row customHeight="1" r="91" ht="24.75">
      <c s="3" r="A91">
        <v>1926</v>
      </c>
      <c t="s" s="3" r="B91">
        <v>168</v>
      </c>
      <c s="11" r="C91">
        <v>11</v>
      </c>
      <c s="17" r="D91">
        <v>9859</v>
      </c>
      <c s="15" r="F91"/>
      <c s="15" r="G91"/>
      <c s="15" r="H91"/>
      <c s="15" r="I91"/>
      <c s="11" r="J91"/>
      <c s="15" r="K91"/>
    </row>
    <row customHeight="1" r="92" ht="24.75">
      <c s="3" r="A92">
        <v>1925</v>
      </c>
      <c t="s" s="3" r="B92">
        <v>186</v>
      </c>
      <c s="11" r="C92">
        <v>10</v>
      </c>
      <c s="17" r="D92">
        <v>9495</v>
      </c>
      <c s="15" r="F92"/>
      <c s="15" r="G92"/>
      <c s="15" r="H92"/>
      <c s="15" r="I92"/>
      <c s="11" r="J92"/>
      <c s="15" r="K92"/>
    </row>
    <row customHeight="1" r="93" ht="24.75">
      <c s="3" r="A93">
        <v>1924</v>
      </c>
      <c t="s" s="3" r="B93">
        <v>187</v>
      </c>
      <c s="11" r="C93">
        <v>9</v>
      </c>
      <c s="17" r="D93">
        <v>9130</v>
      </c>
      <c s="15" r="F93"/>
      <c t="str" s="15" r="G93">
        <f>hyperlink("http://www.jstor.org/stable/pdfplus/20164992.pdf","Program at Jstor")</f>
        <v>Program at Jstor</v>
      </c>
      <c s="15" r="H93"/>
      <c s="15" r="I93"/>
      <c s="11" r="J93"/>
      <c s="15" r="K93"/>
    </row>
    <row customHeight="1" r="94" ht="24.75">
      <c s="3" r="A94">
        <v>1923</v>
      </c>
      <c t="s" s="3" r="B94">
        <v>188</v>
      </c>
      <c s="11" r="C94">
        <v>8</v>
      </c>
      <c s="17" r="D94">
        <v>8764</v>
      </c>
      <c s="15" r="F94"/>
      <c t="str" s="15" r="G94">
        <f>hyperlink("http://www.jstor.org/stable/pdfplus/20164988.pdf","Program at Jstor")</f>
        <v>Program at Jstor</v>
      </c>
      <c s="15" r="H94"/>
      <c s="15" r="I94"/>
      <c s="11" r="J94"/>
      <c s="15" r="K94"/>
    </row>
    <row customHeight="1" r="95" ht="24.75">
      <c s="3" r="A95">
        <v>1922</v>
      </c>
      <c t="s" s="3" r="B95">
        <v>158</v>
      </c>
      <c s="11" r="C95">
        <v>7</v>
      </c>
      <c s="17" r="D95">
        <v>8398</v>
      </c>
      <c s="15" r="F95"/>
      <c t="str" s="15" r="G95">
        <f>hyperlink("http://www.jstor.org/stable/pdfplus/20164978.pdf","Program at Jstor")</f>
        <v>Program at Jstor</v>
      </c>
      <c s="15" r="H95"/>
      <c s="15" r="I95"/>
      <c s="11" r="J95"/>
      <c s="15" r="K95"/>
    </row>
    <row customHeight="1" r="96" ht="24.75">
      <c s="3" r="A96">
        <v>1921</v>
      </c>
      <c t="s" s="3" r="B96">
        <v>73</v>
      </c>
      <c s="11" r="C96">
        <v>6</v>
      </c>
      <c s="17" r="D96">
        <v>8033</v>
      </c>
      <c s="15" r="F96"/>
      <c s="15" r="G96"/>
      <c s="15" r="H96"/>
      <c s="15" r="I96"/>
      <c s="11" r="J96"/>
      <c s="15" r="K96"/>
    </row>
    <row customHeight="1" r="97" ht="24.75">
      <c s="3" r="A97">
        <v>1920</v>
      </c>
      <c t="s" s="3" r="B97">
        <v>156</v>
      </c>
      <c s="11" r="C97">
        <v>5</v>
      </c>
      <c s="17" r="D97">
        <v>7668</v>
      </c>
      <c s="15" r="F97"/>
      <c s="15" r="G97"/>
      <c s="15" r="H97"/>
      <c s="15" r="I97"/>
      <c s="11" r="J97"/>
      <c s="15" r="K97"/>
    </row>
    <row customHeight="1" r="98" ht="24.75">
      <c s="3" r="A98">
        <v>1919</v>
      </c>
      <c t="s" s="3" r="B98">
        <v>160</v>
      </c>
      <c s="11" r="C98">
        <v>4</v>
      </c>
      <c t="s" s="3" r="D98">
        <v>189</v>
      </c>
      <c s="15" r="F98"/>
      <c s="15" r="G98"/>
      <c s="15" r="H98"/>
      <c s="15" r="I98"/>
      <c s="11" r="J98"/>
      <c s="15" r="K98"/>
    </row>
    <row customHeight="1" r="99" ht="24.75">
      <c s="3" r="A99">
        <v>1918</v>
      </c>
      <c t="s" s="3" r="B99">
        <v>190</v>
      </c>
      <c s="11" r="C99">
        <v>3</v>
      </c>
      <c t="s" s="3" r="D99">
        <v>191</v>
      </c>
      <c s="15" r="F99"/>
      <c t="str" s="15" r="G99">
        <f>hyperlink("http://www.jstor.org/stable/pdfplus/20164964.pdf ","Program at Jstor")</f>
        <v>Program at Jstor</v>
      </c>
      <c t="str" s="15" r="H99">
        <f>hyperlink("http://www.jstor.org/stable/pdfplus/20164966.pdf","Minutes at Jstor")</f>
        <v>Minutes at Jstor</v>
      </c>
      <c s="15" r="I99"/>
      <c s="11" r="J99"/>
      <c s="15" r="K99"/>
    </row>
    <row customHeight="1" r="100" ht="24.75">
      <c s="3" r="A100">
        <v>1917</v>
      </c>
      <c t="s" s="3" r="B100">
        <v>178</v>
      </c>
      <c s="11" r="C100">
        <v>2</v>
      </c>
      <c t="s" s="3" r="D100">
        <v>192</v>
      </c>
      <c s="15" r="F100"/>
      <c t="str" s="15" r="H100">
        <f>hyperlink("http://www.jstor.org/stable/pdfplus/20164932.pdf ","Minutes at Jstor")</f>
        <v>Minutes at Jstor</v>
      </c>
      <c s="15" r="I100"/>
      <c s="11" r="J100"/>
      <c s="15" r="K100"/>
    </row>
    <row customHeight="1" r="101" ht="24.75">
      <c s="3" r="A101">
        <v>1916</v>
      </c>
      <c t="s" s="3" r="B101">
        <v>152</v>
      </c>
      <c s="11" r="C101">
        <v>1</v>
      </c>
      <c t="s" s="3" r="D101">
        <v>193</v>
      </c>
      <c s="15" r="F101"/>
      <c s="15" r="G101"/>
      <c s="15" r="H101"/>
      <c s="15" r="I101"/>
      <c s="11" r="J101"/>
      <c s="15" r="K101"/>
    </row>
    <row customHeight="1" r="102" ht="24.75">
      <c s="3" r="A102">
        <v>1915</v>
      </c>
      <c t="s" s="3" r="B102">
        <v>79</v>
      </c>
      <c s="11" r="C102"/>
      <c s="1" r="D102">
        <v>5841</v>
      </c>
      <c t="s" s="15" r="F102">
        <v>194</v>
      </c>
      <c s="15" r="G102"/>
      <c s="15" r="H102"/>
      <c s="15" r="I102"/>
      <c s="11" r="J102"/>
      <c s="15" r="K102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cols>
    <col min="6" customWidth="1" max="6" width="55.43"/>
  </cols>
  <sheetData>
    <row r="1">
      <c t="str" r="A1">
        <f>meetings_data!A1</f>
        <v>Year </v>
      </c>
      <c t="str" s="16" r="B1">
        <f>meetings_data!E1</f>
        <v>Attend.</v>
      </c>
      <c s="16" r="C1"/>
      <c s="16" r="D1"/>
      <c s="16" r="E1"/>
      <c s="16" r="F1"/>
    </row>
    <row r="2">
      <c s="15" r="A2">
        <f>meetings_data!A2</f>
        <v>2015</v>
      </c>
      <c t="str" s="16" r="B2">
        <f>meetings_data!E2</f>
        <v/>
      </c>
      <c s="16" r="C2"/>
      <c s="16" r="D2"/>
      <c s="16" r="E2"/>
      <c s="16" r="F2"/>
    </row>
    <row r="3">
      <c r="A3">
        <f>meetings_data!A3</f>
        <v>2014</v>
      </c>
      <c t="str" s="16" r="B3">
        <f>meetings_data!E3</f>
        <v/>
      </c>
      <c s="16" r="C3"/>
      <c s="16" r="D3"/>
      <c s="16" r="E3"/>
      <c s="16" r="F3"/>
    </row>
    <row r="4">
      <c s="15" r="A4">
        <f>meetings_data!A4</f>
        <v>2013</v>
      </c>
      <c s="16" r="B4">
        <f>meetings_data!E4</f>
        <v>3363</v>
      </c>
      <c s="16" r="C4"/>
      <c s="16" r="D4"/>
      <c s="16" r="E4"/>
      <c s="16" r="F4"/>
    </row>
    <row r="5">
      <c r="A5">
        <f>meetings_data!A5</f>
        <v>2012</v>
      </c>
      <c s="16" r="B5">
        <f>meetings_data!E5</f>
        <v>4992</v>
      </c>
      <c s="16" r="C5"/>
      <c s="16" r="D5"/>
      <c s="16" r="E5"/>
      <c s="16" r="F5"/>
    </row>
    <row r="6">
      <c s="15" r="A6">
        <f>meetings_data!A6</f>
        <v>2011</v>
      </c>
      <c s="16" r="B6">
        <f>meetings_data!E6</f>
        <v>3721</v>
      </c>
      <c s="16" r="C6"/>
      <c s="16" r="D6"/>
      <c s="16" r="E6"/>
      <c s="16" r="F6"/>
    </row>
    <row r="7">
      <c r="A7">
        <f>meetings_data!A7</f>
        <v>2010</v>
      </c>
      <c s="16" r="B7">
        <f>meetings_data!E7</f>
        <v>3525</v>
      </c>
      <c s="16" r="C7"/>
      <c s="16" r="D7"/>
      <c s="16" r="E7"/>
      <c s="16" r="F7"/>
    </row>
    <row r="8">
      <c s="15" r="A8">
        <f>meetings_data!A8</f>
        <v>2009</v>
      </c>
      <c s="16" r="B8">
        <f>meetings_data!E8</f>
        <v>3648</v>
      </c>
      <c s="16" r="C8"/>
      <c s="16" r="D8"/>
      <c s="16" r="E8"/>
      <c s="16" r="F8"/>
    </row>
    <row r="9">
      <c r="A9">
        <f>meetings_data!A9</f>
        <v>2008</v>
      </c>
      <c s="16" r="B9">
        <f>meetings_data!E9</f>
        <v>3354</v>
      </c>
      <c s="16" r="C9"/>
      <c s="16" r="D9"/>
      <c s="16" r="E9"/>
      <c s="16" r="F9"/>
    </row>
    <row r="10">
      <c s="15" r="A10">
        <f>meetings_data!A10</f>
        <v>2007</v>
      </c>
      <c s="16" r="B10">
        <f>meetings_data!E10</f>
        <v>4185</v>
      </c>
      <c s="16" r="C10"/>
      <c s="16" r="D10"/>
      <c s="16" r="E10"/>
      <c s="16" r="F10"/>
    </row>
    <row r="11">
      <c r="A11">
        <f>meetings_data!A11</f>
        <v>2006</v>
      </c>
      <c s="16" r="B11">
        <f>meetings_data!E11</f>
        <v>2838</v>
      </c>
      <c s="16" r="C11"/>
      <c s="16" r="D11"/>
      <c s="16" r="E11"/>
      <c s="16" r="F11"/>
    </row>
    <row r="12">
      <c s="15" r="A12">
        <f>meetings_data!A12</f>
        <v>2005</v>
      </c>
      <c s="16" r="B12">
        <f>meetings_data!E12</f>
        <v>4359</v>
      </c>
      <c s="16" r="C12"/>
      <c s="16" r="D12"/>
      <c s="16" r="E12"/>
      <c s="16" r="F12"/>
    </row>
    <row r="13">
      <c r="A13">
        <f>meetings_data!A13</f>
        <v>2004</v>
      </c>
      <c t="str" s="16" r="B13">
        <f>meetings_data!E13</f>
        <v/>
      </c>
      <c s="16" r="C13"/>
      <c s="16" r="D13"/>
      <c s="16" r="E13"/>
      <c s="16" r="F13"/>
    </row>
    <row r="14">
      <c s="15" r="A14">
        <f>meetings_data!A14</f>
        <v>2003</v>
      </c>
      <c s="16" r="B14">
        <f>meetings_data!E14</f>
        <v>2718</v>
      </c>
      <c s="16" r="C14"/>
      <c s="16" r="D14"/>
      <c s="16" r="E14"/>
      <c s="16" r="F14"/>
    </row>
    <row r="15">
      <c r="A15">
        <f>meetings_data!A15</f>
        <v>2002</v>
      </c>
      <c s="16" r="B15">
        <f>meetings_data!E15</f>
        <v>3756</v>
      </c>
      <c s="16" r="C15"/>
      <c s="16" r="D15"/>
      <c s="16" r="E15"/>
      <c s="16" r="F15"/>
    </row>
    <row r="16">
      <c s="15" r="A16">
        <f>meetings_data!A16</f>
        <v>2001</v>
      </c>
      <c s="16" r="B16">
        <f>meetings_data!E16</f>
        <v>3010</v>
      </c>
      <c s="16" r="C16"/>
      <c s="16" r="D16"/>
      <c s="16" r="E16"/>
      <c s="16" r="F16"/>
    </row>
    <row r="17">
      <c r="A17">
        <f>meetings_data!A17</f>
        <v>2000</v>
      </c>
      <c s="16" r="B17">
        <f>meetings_data!E17</f>
        <v>2664</v>
      </c>
      <c s="16" r="C17"/>
      <c s="16" r="D17"/>
      <c s="16" r="E17"/>
      <c s="16" r="F17"/>
    </row>
    <row r="18">
      <c s="15" r="A18">
        <f>meetings_data!A18</f>
        <v>1999</v>
      </c>
      <c s="16" r="B18">
        <f>meetings_data!E18</f>
        <v>2985</v>
      </c>
      <c s="16" r="C18"/>
      <c s="16" r="D18"/>
      <c s="16" r="E18"/>
      <c s="16" r="F18"/>
    </row>
    <row r="19">
      <c r="A19">
        <f>meetings_data!A19</f>
        <v>1998</v>
      </c>
      <c s="16" r="B19">
        <f>meetings_data!E19</f>
        <v>3060</v>
      </c>
      <c s="16" r="C19"/>
      <c s="16" r="D19"/>
      <c s="16" r="E19"/>
      <c s="16" r="F19"/>
    </row>
    <row r="20">
      <c s="15" r="A20">
        <f>meetings_data!A20</f>
        <v>1997</v>
      </c>
      <c s="16" r="B20">
        <f>meetings_data!E20</f>
        <v>3106</v>
      </c>
      <c s="16" r="C20"/>
      <c s="16" r="D20"/>
      <c s="16" r="E20"/>
      <c s="16" r="F20"/>
    </row>
    <row r="21">
      <c r="A21">
        <f>meetings_data!A21</f>
        <v>1996</v>
      </c>
      <c s="16" r="B21">
        <f>meetings_data!E21</f>
        <v>2900</v>
      </c>
      <c s="16" r="C21"/>
      <c s="16" r="D21"/>
      <c s="16" r="E21"/>
      <c s="16" r="F21"/>
    </row>
    <row r="22">
      <c s="15" r="A22">
        <f>meetings_data!A22</f>
        <v>1995</v>
      </c>
      <c s="16" r="B22">
        <f>meetings_data!E22</f>
        <v>2500</v>
      </c>
      <c s="16" r="C22"/>
      <c s="16" r="D22"/>
      <c s="16" r="E22"/>
      <c s="16" r="F22"/>
    </row>
    <row r="23">
      <c r="A23">
        <f>meetings_data!A23</f>
        <v>1994</v>
      </c>
      <c t="str" s="16" r="B23">
        <f>meetings_data!E23</f>
        <v/>
      </c>
      <c s="16" r="C23"/>
      <c s="16" r="D23"/>
      <c s="16" r="E23"/>
      <c s="16" r="F23"/>
    </row>
    <row r="24">
      <c s="15" r="A24">
        <f>meetings_data!A24</f>
        <v>1993</v>
      </c>
      <c t="str" s="16" r="B24">
        <f>meetings_data!E24</f>
        <v/>
      </c>
      <c s="16" r="C24"/>
      <c s="16" r="D24"/>
      <c s="16" r="E24"/>
      <c s="16" r="F24"/>
    </row>
    <row r="25">
      <c r="A25">
        <f>meetings_data!A25</f>
        <v>1992</v>
      </c>
      <c t="str" s="16" r="B25">
        <f>meetings_data!E25</f>
        <v/>
      </c>
      <c s="16" r="C25"/>
      <c s="16" r="D25"/>
      <c s="16" r="E25"/>
      <c s="16" r="F25"/>
    </row>
    <row r="26">
      <c s="15" r="A26">
        <f>meetings_data!A26</f>
        <v>1991</v>
      </c>
      <c t="str" s="16" r="B26">
        <f>meetings_data!E26</f>
        <v/>
      </c>
      <c s="16" r="C26"/>
      <c s="16" r="D26"/>
      <c s="16" r="E26"/>
      <c s="16" r="F26"/>
    </row>
    <row r="27">
      <c r="A27">
        <f>meetings_data!A27</f>
        <v>1990</v>
      </c>
      <c t="str" s="16" r="B27">
        <f>meetings_data!E27</f>
        <v/>
      </c>
      <c s="16" r="C27"/>
      <c s="16" r="D27"/>
      <c s="16" r="E27"/>
      <c s="16" r="F27"/>
    </row>
    <row r="28">
      <c s="15" r="A28">
        <f>meetings_data!A28</f>
        <v>1989</v>
      </c>
      <c t="str" s="16" r="B28">
        <f>meetings_data!E28</f>
        <v/>
      </c>
      <c s="16" r="C28"/>
      <c s="16" r="D28"/>
      <c s="16" r="E28"/>
      <c s="16" r="F28"/>
    </row>
    <row r="29">
      <c r="A29">
        <f>meetings_data!A29</f>
        <v>1988</v>
      </c>
      <c t="str" s="16" r="B29">
        <f>meetings_data!E29</f>
        <v/>
      </c>
      <c s="16" r="C29"/>
      <c s="16" r="D29"/>
      <c s="16" r="E29"/>
      <c s="16" r="F29"/>
    </row>
    <row r="30">
      <c s="15" r="A30">
        <f>meetings_data!A30</f>
        <v>1987</v>
      </c>
      <c t="str" s="16" r="B30">
        <f>meetings_data!E30</f>
        <v/>
      </c>
      <c s="16" r="C30"/>
      <c s="16" r="D30"/>
      <c s="16" r="E30"/>
      <c s="16" r="F30"/>
    </row>
    <row r="31">
      <c r="A31">
        <f>meetings_data!A31</f>
        <v>1986</v>
      </c>
      <c t="str" s="16" r="B31">
        <f>meetings_data!E31</f>
        <v/>
      </c>
      <c s="16" r="C31"/>
      <c s="16" r="D31"/>
      <c s="16" r="E31"/>
      <c s="16" r="F31"/>
    </row>
    <row r="32">
      <c s="15" r="A32">
        <f>meetings_data!A32</f>
        <v>1985</v>
      </c>
      <c t="str" s="16" r="B32">
        <f>meetings_data!E32</f>
        <v/>
      </c>
      <c s="16" r="C32"/>
      <c s="16" r="D32"/>
      <c s="16" r="E32"/>
      <c s="16" r="F32"/>
    </row>
    <row r="33">
      <c r="A33">
        <f>meetings_data!A33</f>
        <v>1984</v>
      </c>
      <c t="str" s="16" r="B33">
        <f>meetings_data!E33</f>
        <v/>
      </c>
      <c s="16" r="C33"/>
      <c s="16" r="D33"/>
      <c s="16" r="E33"/>
      <c s="16" r="F33"/>
    </row>
    <row r="34">
      <c s="15" r="A34">
        <f>meetings_data!A34</f>
        <v>1983</v>
      </c>
      <c t="str" s="16" r="B34">
        <f>meetings_data!E34</f>
        <v/>
      </c>
      <c s="16" r="C34"/>
      <c s="16" r="D34"/>
      <c s="16" r="E34"/>
      <c s="16" r="F34"/>
    </row>
    <row r="35">
      <c r="A35">
        <f>meetings_data!A35</f>
        <v>1982</v>
      </c>
      <c t="str" s="16" r="B35">
        <f>meetings_data!E35</f>
        <v/>
      </c>
      <c s="16" r="C35"/>
      <c s="16" r="D35"/>
      <c s="16" r="E35"/>
      <c s="16" r="F35"/>
    </row>
    <row r="36">
      <c s="15" r="A36">
        <f>meetings_data!A36</f>
        <v>1981</v>
      </c>
      <c t="str" s="16" r="B36">
        <f>meetings_data!E36</f>
        <v/>
      </c>
      <c s="16" r="C36"/>
      <c s="16" r="D36"/>
      <c s="16" r="E36"/>
      <c s="16" r="F36"/>
    </row>
    <row r="37">
      <c r="A37">
        <f>meetings_data!A37</f>
        <v>1980</v>
      </c>
      <c t="str" s="16" r="B37">
        <f>meetings_data!E37</f>
        <v/>
      </c>
      <c s="16" r="C37"/>
      <c s="16" r="D37"/>
      <c s="16" r="E37"/>
      <c s="16" r="F37"/>
    </row>
    <row r="38">
      <c s="15" r="A38">
        <f>meetings_data!A38</f>
        <v>1979</v>
      </c>
      <c t="str" s="16" r="B38">
        <f>meetings_data!E38</f>
        <v/>
      </c>
      <c s="16" r="C38"/>
      <c s="16" r="D38"/>
      <c s="16" r="E38"/>
      <c s="16" r="F38"/>
    </row>
    <row r="39">
      <c r="A39">
        <f>meetings_data!A39</f>
        <v>1978</v>
      </c>
      <c t="str" s="16" r="B39">
        <f>meetings_data!E39</f>
        <v/>
      </c>
      <c s="16" r="C39"/>
      <c s="16" r="D39"/>
      <c s="16" r="E39"/>
      <c s="16" r="F39"/>
    </row>
    <row r="40">
      <c s="15" r="A40">
        <f>meetings_data!A40</f>
        <v>1977</v>
      </c>
      <c t="str" s="16" r="B40">
        <f>meetings_data!E40</f>
        <v/>
      </c>
      <c s="16" r="C40"/>
      <c s="16" r="D40"/>
      <c s="16" r="E40"/>
      <c s="16" r="F40"/>
    </row>
    <row r="41">
      <c r="A41">
        <f>meetings_data!A41</f>
        <v>1976</v>
      </c>
      <c t="str" s="16" r="B41">
        <f>meetings_data!E41</f>
        <v/>
      </c>
      <c s="16" r="C41"/>
      <c s="16" r="D41"/>
      <c s="16" r="E41"/>
      <c s="16" r="F41"/>
    </row>
    <row r="42">
      <c r="A42">
        <f>meetings_data!A42</f>
        <v>1975</v>
      </c>
      <c t="str" s="16" r="B42">
        <f>meetings_data!E42</f>
        <v/>
      </c>
      <c s="16" r="C42"/>
      <c s="16" r="D42"/>
      <c s="16" r="E42"/>
      <c s="16" r="F42"/>
    </row>
    <row r="43">
      <c s="15" r="A43">
        <f>meetings_data!A43</f>
        <v>1974</v>
      </c>
      <c t="str" s="16" r="B43">
        <f>meetings_data!E43</f>
        <v/>
      </c>
      <c s="16" r="C43"/>
      <c s="16" r="D43"/>
      <c s="16" r="E43"/>
      <c s="16" r="F43"/>
    </row>
    <row r="44">
      <c r="A44">
        <f>meetings_data!A44</f>
        <v>1973</v>
      </c>
      <c t="str" s="16" r="B44">
        <f>meetings_data!E44</f>
        <v/>
      </c>
      <c s="16" r="C44"/>
      <c s="16" r="D44"/>
      <c s="16" r="E44"/>
      <c s="16" r="F44"/>
    </row>
    <row r="45">
      <c s="15" r="A45">
        <f>meetings_data!A45</f>
        <v>1972</v>
      </c>
      <c t="str" s="16" r="B45">
        <f>meetings_data!E45</f>
        <v/>
      </c>
      <c s="16" r="C45"/>
      <c s="16" r="D45"/>
      <c s="16" r="E45"/>
      <c s="16" r="F45"/>
    </row>
    <row r="46">
      <c r="A46">
        <f>meetings_data!A46</f>
        <v>1971</v>
      </c>
      <c t="str" s="16" r="B46">
        <f>meetings_data!E46</f>
        <v/>
      </c>
      <c s="16" r="C46"/>
      <c s="16" r="D46"/>
      <c s="16" r="E46"/>
      <c s="16" r="F46"/>
    </row>
    <row r="47">
      <c s="15" r="A47">
        <f>meetings_data!A47</f>
        <v>1970</v>
      </c>
      <c t="str" s="16" r="B47">
        <f>meetings_data!E47</f>
        <v/>
      </c>
      <c s="16" r="C47"/>
      <c s="16" r="D47"/>
      <c s="16" r="E47"/>
      <c s="16" r="F47"/>
    </row>
    <row r="48">
      <c r="A48">
        <f>meetings_data!A48</f>
        <v>1969</v>
      </c>
      <c t="str" s="16" r="B48">
        <f>meetings_data!E48</f>
        <v/>
      </c>
      <c s="16" r="C48"/>
      <c s="16" r="D48"/>
      <c s="16" r="E48"/>
      <c s="16" r="F48"/>
    </row>
    <row r="49">
      <c s="15" r="A49">
        <f>meetings_data!A49</f>
        <v>1968</v>
      </c>
      <c t="str" s="16" r="B49">
        <f>meetings_data!E49</f>
        <v/>
      </c>
      <c s="16" r="C49"/>
      <c s="16" r="D49"/>
      <c s="16" r="E49"/>
      <c s="16" r="F49"/>
    </row>
    <row r="50">
      <c r="A50">
        <f>meetings_data!A50</f>
        <v>1967</v>
      </c>
      <c t="str" s="16" r="B50">
        <f>meetings_data!E50</f>
        <v/>
      </c>
      <c s="16" r="C50"/>
      <c s="16" r="D50"/>
      <c s="16" r="E50"/>
      <c s="16" r="F50"/>
    </row>
    <row r="51">
      <c s="15" r="A51">
        <f>meetings_data!A51</f>
        <v>1966</v>
      </c>
      <c t="str" s="16" r="B51">
        <f>meetings_data!E51</f>
        <v/>
      </c>
      <c s="16" r="C51"/>
      <c s="16" r="D51"/>
      <c s="16" r="E51"/>
      <c s="16" r="F51"/>
    </row>
    <row r="52">
      <c r="A52">
        <f>meetings_data!A52</f>
        <v>1965</v>
      </c>
      <c t="str" s="16" r="B52">
        <f>meetings_data!E52</f>
        <v/>
      </c>
      <c s="16" r="C52"/>
      <c s="16" r="D52"/>
      <c s="16" r="E52"/>
      <c s="16" r="F52"/>
    </row>
    <row r="53">
      <c s="15" r="A53">
        <f>meetings_data!A53</f>
        <v>1964</v>
      </c>
      <c t="str" s="16" r="B53">
        <f>meetings_data!E53</f>
        <v/>
      </c>
      <c s="16" r="C53"/>
      <c s="16" r="D53"/>
      <c s="16" r="E53"/>
      <c s="16" r="F53"/>
    </row>
    <row r="54">
      <c r="A54">
        <f>meetings_data!A54</f>
        <v>1963</v>
      </c>
      <c t="str" s="16" r="B54">
        <f>meetings_data!E54</f>
        <v/>
      </c>
      <c s="16" r="C54"/>
      <c s="16" r="D54"/>
      <c s="16" r="E54"/>
      <c s="16" r="F54"/>
    </row>
    <row r="55">
      <c s="15" r="A55">
        <f>meetings_data!A55</f>
        <v>1962</v>
      </c>
      <c t="str" s="16" r="B55">
        <f>meetings_data!E55</f>
        <v/>
      </c>
      <c s="16" r="C55"/>
      <c s="16" r="D55"/>
      <c s="16" r="E55"/>
      <c s="16" r="F55"/>
    </row>
    <row r="56">
      <c r="A56">
        <f>meetings_data!A56</f>
        <v>1961</v>
      </c>
      <c t="str" s="16" r="B56">
        <f>meetings_data!E56</f>
        <v/>
      </c>
      <c s="16" r="C56"/>
      <c s="16" r="D56"/>
      <c s="16" r="E56"/>
      <c s="16" r="F56"/>
    </row>
    <row r="57">
      <c s="15" r="A57">
        <f>meetings_data!A57</f>
        <v>1960</v>
      </c>
      <c t="str" s="16" r="B57">
        <f>meetings_data!E57</f>
        <v/>
      </c>
      <c s="16" r="C57"/>
      <c s="16" r="D57"/>
      <c s="16" r="E57"/>
      <c s="16" r="F57"/>
    </row>
    <row r="58">
      <c r="A58">
        <f>meetings_data!A58</f>
        <v>1959</v>
      </c>
      <c t="str" s="16" r="B58">
        <f>meetings_data!E58</f>
        <v/>
      </c>
      <c s="16" r="C58"/>
      <c s="16" r="D58"/>
      <c s="16" r="E58"/>
      <c s="16" r="F58"/>
    </row>
    <row r="59">
      <c s="15" r="A59">
        <f>meetings_data!A59</f>
        <v>1958</v>
      </c>
      <c t="str" s="16" r="B59">
        <f>meetings_data!E59</f>
        <v/>
      </c>
      <c s="16" r="C59"/>
      <c s="16" r="D59"/>
      <c s="16" r="E59"/>
      <c s="16" r="F59"/>
    </row>
    <row r="60">
      <c r="A60">
        <f>meetings_data!A60</f>
        <v>1957</v>
      </c>
      <c t="str" s="16" r="B60">
        <f>meetings_data!E60</f>
        <v/>
      </c>
      <c s="16" r="C60"/>
      <c s="16" r="D60"/>
      <c s="16" r="E60"/>
      <c s="16" r="F60"/>
    </row>
    <row r="61">
      <c s="15" r="A61">
        <f>meetings_data!A61</f>
        <v>1956</v>
      </c>
      <c t="str" s="16" r="B61">
        <f>meetings_data!E61</f>
        <v/>
      </c>
      <c s="16" r="C61"/>
      <c s="16" r="D61"/>
      <c s="16" r="E61"/>
      <c s="16" r="F61"/>
    </row>
    <row r="62">
      <c r="A62">
        <f>meetings_data!A62</f>
        <v>1955</v>
      </c>
      <c t="str" s="16" r="B62">
        <f>meetings_data!E62</f>
        <v/>
      </c>
      <c s="16" r="C62"/>
      <c s="16" r="D62"/>
      <c s="16" r="E62"/>
      <c s="16" r="F62"/>
    </row>
    <row r="63">
      <c s="15" r="A63">
        <f>meetings_data!A63</f>
        <v>1954</v>
      </c>
      <c t="str" s="16" r="B63">
        <f>meetings_data!E63</f>
        <v/>
      </c>
      <c s="16" r="C63"/>
      <c s="16" r="D63"/>
      <c s="16" r="E63"/>
      <c s="16" r="F63"/>
    </row>
    <row r="64">
      <c r="A64">
        <f>meetings_data!A64</f>
        <v>1953</v>
      </c>
      <c t="str" s="16" r="B64">
        <f>meetings_data!E64</f>
        <v/>
      </c>
      <c s="16" r="C64"/>
      <c s="16" r="D64"/>
      <c s="16" r="E64"/>
      <c s="16" r="F64"/>
    </row>
    <row r="65">
      <c s="15" r="A65">
        <f>meetings_data!A65</f>
        <v>1952</v>
      </c>
      <c t="str" s="16" r="B65">
        <f>meetings_data!E65</f>
        <v/>
      </c>
      <c s="16" r="C65"/>
      <c s="16" r="D65"/>
      <c s="16" r="E65"/>
      <c s="16" r="F65"/>
    </row>
    <row r="66">
      <c r="A66">
        <f>meetings_data!A66</f>
        <v>1951</v>
      </c>
      <c t="str" s="16" r="B66">
        <f>meetings_data!E66</f>
        <v/>
      </c>
      <c s="16" r="C66"/>
      <c s="16" r="D66"/>
      <c s="16" r="E66"/>
      <c s="16" r="F66"/>
    </row>
    <row r="67">
      <c s="15" r="A67">
        <f>meetings_data!A67</f>
        <v>1950</v>
      </c>
      <c t="str" s="16" r="B67">
        <f>meetings_data!E67</f>
        <v/>
      </c>
      <c s="16" r="C67"/>
      <c s="16" r="D67"/>
      <c s="16" r="E67"/>
      <c s="16" r="F67"/>
    </row>
    <row r="68">
      <c r="A68">
        <f>meetings_data!A68</f>
        <v>1949</v>
      </c>
      <c t="str" s="16" r="B68">
        <f>meetings_data!E68</f>
        <v/>
      </c>
      <c s="16" r="C68"/>
      <c s="16" r="D68"/>
      <c s="16" r="E68"/>
      <c s="16" r="F68"/>
    </row>
    <row r="69">
      <c s="15" r="A69">
        <f>meetings_data!A69</f>
        <v>1948</v>
      </c>
      <c t="str" s="16" r="B69">
        <f>meetings_data!E69</f>
        <v/>
      </c>
      <c s="16" r="C69"/>
      <c s="16" r="D69"/>
      <c s="16" r="E69"/>
      <c s="16" r="F69"/>
    </row>
    <row r="70">
      <c r="A70">
        <f>meetings_data!A70</f>
        <v>1947</v>
      </c>
      <c t="str" s="16" r="B70">
        <f>meetings_data!E70</f>
        <v/>
      </c>
      <c s="16" r="C70"/>
      <c s="16" r="D70"/>
      <c s="16" r="E70"/>
      <c s="16" r="F70"/>
    </row>
    <row r="71">
      <c s="15" r="A71">
        <f>meetings_data!A71</f>
        <v>1946</v>
      </c>
      <c t="str" s="16" r="B71">
        <f>meetings_data!E71</f>
        <v/>
      </c>
      <c s="16" r="C71"/>
      <c s="16" r="D71"/>
      <c s="16" r="E71"/>
      <c s="16" r="F71"/>
    </row>
    <row r="72">
      <c r="A72">
        <f>meetings_data!A72</f>
        <v>1945</v>
      </c>
      <c t="str" s="16" r="B72">
        <f>meetings_data!E72</f>
        <v/>
      </c>
      <c s="16" r="C72"/>
      <c s="16" r="D72"/>
      <c s="16" r="E72"/>
      <c s="16" r="F72"/>
    </row>
    <row r="73">
      <c s="15" r="A73">
        <f>meetings_data!A73</f>
        <v>1944</v>
      </c>
      <c t="str" s="16" r="B73">
        <f>meetings_data!E73</f>
        <v/>
      </c>
      <c s="16" r="C73"/>
      <c s="16" r="D73"/>
      <c s="16" r="E73"/>
      <c s="16" r="F73"/>
    </row>
    <row r="74">
      <c r="A74">
        <f>meetings_data!A74</f>
        <v>1943</v>
      </c>
      <c t="str" s="16" r="B74">
        <f>meetings_data!E74</f>
        <v/>
      </c>
      <c s="16" r="C74"/>
      <c s="16" r="D74"/>
      <c s="16" r="E74"/>
      <c s="16" r="F74"/>
    </row>
    <row r="75">
      <c s="15" r="A75">
        <f>meetings_data!A75</f>
        <v>1942</v>
      </c>
      <c t="str" s="16" r="B75">
        <f>meetings_data!E75</f>
        <v/>
      </c>
      <c s="16" r="C75"/>
      <c s="16" r="D75"/>
      <c s="16" r="E75"/>
      <c s="16" r="F75"/>
    </row>
    <row r="76">
      <c r="A76">
        <f>meetings_data!A76</f>
        <v>1941</v>
      </c>
      <c t="str" s="16" r="B76">
        <f>meetings_data!E76</f>
        <v/>
      </c>
      <c s="16" r="C76"/>
      <c s="16" r="D76"/>
      <c s="16" r="E76"/>
      <c s="16" r="F76"/>
    </row>
    <row r="77">
      <c s="15" r="A77">
        <f>meetings_data!A77</f>
        <v>1940</v>
      </c>
      <c t="str" s="16" r="B77">
        <f>meetings_data!E77</f>
        <v/>
      </c>
      <c s="16" r="C77"/>
      <c s="16" r="D77"/>
      <c s="16" r="E77"/>
      <c s="16" r="F77"/>
    </row>
    <row r="78">
      <c r="A78">
        <f>meetings_data!A78</f>
        <v>1939</v>
      </c>
      <c t="str" s="16" r="B78">
        <f>meetings_data!E78</f>
        <v/>
      </c>
      <c s="16" r="C78"/>
      <c s="16" r="D78"/>
      <c s="16" r="E78"/>
      <c s="16" r="F78"/>
    </row>
    <row r="79">
      <c s="15" r="A79">
        <f>meetings_data!A79</f>
        <v>1938</v>
      </c>
      <c t="str" s="16" r="B79">
        <f>meetings_data!E79</f>
        <v/>
      </c>
      <c s="16" r="C79"/>
      <c s="16" r="D79"/>
      <c s="16" r="E79"/>
      <c s="16" r="F79"/>
    </row>
    <row r="80">
      <c r="A80">
        <f>meetings_data!A80</f>
        <v>1937</v>
      </c>
      <c t="str" s="16" r="B80">
        <f>meetings_data!E80</f>
        <v/>
      </c>
      <c s="16" r="C80"/>
      <c s="16" r="D80"/>
      <c s="16" r="E80"/>
      <c s="16" r="F80"/>
    </row>
    <row r="81">
      <c s="15" r="A81">
        <f>meetings_data!A81</f>
        <v>1936</v>
      </c>
      <c t="str" s="16" r="B81">
        <f>meetings_data!E81</f>
        <v/>
      </c>
      <c s="16" r="C81"/>
      <c s="16" r="D81"/>
      <c s="16" r="E81"/>
      <c s="16" r="F81"/>
    </row>
    <row r="82">
      <c r="A82">
        <f>meetings_data!A82</f>
        <v>1935</v>
      </c>
      <c t="str" s="16" r="B82">
        <f>meetings_data!E82</f>
        <v/>
      </c>
      <c s="16" r="C82"/>
      <c s="16" r="D82"/>
      <c s="16" r="E82"/>
      <c s="16" r="F82"/>
    </row>
    <row r="83">
      <c s="15" r="A83">
        <f>meetings_data!A83</f>
        <v>1934</v>
      </c>
      <c t="str" s="16" r="B83">
        <f>meetings_data!E83</f>
        <v/>
      </c>
      <c s="16" r="C83"/>
      <c s="16" r="D83"/>
      <c s="16" r="E83"/>
      <c s="16" r="F83"/>
    </row>
    <row r="84">
      <c r="A84">
        <f>meetings_data!A84</f>
        <v>1933</v>
      </c>
      <c t="str" s="16" r="B84">
        <f>meetings_data!E84</f>
        <v/>
      </c>
      <c s="16" r="C84"/>
      <c s="16" r="D84"/>
      <c s="16" r="E84"/>
      <c s="16" r="F84"/>
    </row>
    <row r="85">
      <c s="15" r="A85">
        <f>meetings_data!A85</f>
        <v>1932</v>
      </c>
      <c t="str" s="16" r="B85">
        <f>meetings_data!E85</f>
        <v/>
      </c>
      <c s="16" r="C85"/>
      <c s="16" r="D85"/>
      <c s="16" r="E85"/>
      <c s="16" r="F85"/>
    </row>
    <row r="86">
      <c r="A86">
        <f>meetings_data!A86</f>
        <v>1931</v>
      </c>
      <c t="str" s="16" r="B86">
        <f>meetings_data!E86</f>
        <v/>
      </c>
      <c s="16" r="C86"/>
      <c s="16" r="D86"/>
      <c s="16" r="E86"/>
      <c s="16" r="F86"/>
    </row>
    <row r="87">
      <c s="15" r="A87">
        <f>meetings_data!A87</f>
        <v>1930</v>
      </c>
      <c t="str" s="16" r="B87">
        <f>meetings_data!E87</f>
        <v/>
      </c>
      <c s="16" r="C87"/>
      <c s="16" r="D87"/>
      <c s="16" r="E87"/>
      <c s="16" r="F87"/>
    </row>
    <row r="88">
      <c r="A88">
        <f>meetings_data!A88</f>
        <v>1929</v>
      </c>
      <c t="str" s="16" r="B88">
        <f>meetings_data!E88</f>
        <v/>
      </c>
      <c s="16" r="C88"/>
      <c s="16" r="D88"/>
      <c s="16" r="E88"/>
      <c s="16" r="F88"/>
    </row>
    <row r="89">
      <c s="15" r="A89">
        <f>meetings_data!A89</f>
        <v>1928</v>
      </c>
      <c t="str" s="16" r="B89">
        <f>meetings_data!E89</f>
        <v/>
      </c>
      <c s="16" r="C89"/>
      <c s="16" r="D89"/>
      <c s="16" r="E89"/>
      <c s="16" r="F89"/>
    </row>
    <row r="90">
      <c r="A90">
        <f>meetings_data!A90</f>
        <v>1927</v>
      </c>
      <c t="str" s="16" r="B90">
        <f>meetings_data!E90</f>
        <v/>
      </c>
      <c s="16" r="C90"/>
      <c s="16" r="D90"/>
      <c s="16" r="E90"/>
      <c s="16" r="F90"/>
    </row>
    <row r="91">
      <c s="15" r="A91">
        <f>meetings_data!A91</f>
        <v>1926</v>
      </c>
      <c t="str" s="16" r="B91">
        <f>meetings_data!E91</f>
        <v/>
      </c>
      <c s="16" r="C91"/>
      <c s="16" r="D91"/>
      <c s="16" r="E91"/>
      <c s="16" r="F91"/>
    </row>
    <row r="92">
      <c r="A92">
        <f>meetings_data!A92</f>
        <v>1925</v>
      </c>
      <c t="str" s="16" r="B92">
        <f>meetings_data!E92</f>
        <v/>
      </c>
      <c s="16" r="C92"/>
      <c s="16" r="D92"/>
      <c s="16" r="E92"/>
      <c s="16" r="F92"/>
    </row>
    <row r="93">
      <c s="15" r="A93">
        <f>meetings_data!A93</f>
        <v>1924</v>
      </c>
      <c t="str" s="16" r="B93">
        <f>meetings_data!E93</f>
        <v/>
      </c>
      <c s="16" r="C93"/>
      <c s="16" r="D93"/>
      <c s="16" r="E93"/>
      <c s="16" r="F93"/>
    </row>
    <row r="94">
      <c r="A94">
        <f>meetings_data!A94</f>
        <v>1923</v>
      </c>
      <c t="str" s="16" r="B94">
        <f>meetings_data!E94</f>
        <v/>
      </c>
      <c s="16" r="C94"/>
      <c s="16" r="D94"/>
      <c s="16" r="E94"/>
      <c s="16" r="F94"/>
    </row>
    <row r="95">
      <c s="15" r="A95">
        <f>meetings_data!A95</f>
        <v>1922</v>
      </c>
      <c t="str" s="16" r="B95">
        <f>meetings_data!E95</f>
        <v/>
      </c>
      <c s="16" r="C95"/>
      <c s="16" r="D95"/>
      <c s="16" r="E95"/>
      <c s="16" r="F95"/>
    </row>
    <row r="96">
      <c r="A96">
        <f>meetings_data!A96</f>
        <v>1921</v>
      </c>
      <c t="str" s="16" r="B96">
        <f>meetings_data!E96</f>
        <v/>
      </c>
      <c s="16" r="C96"/>
      <c s="16" r="D96"/>
      <c s="16" r="E96"/>
      <c s="16" r="F96"/>
    </row>
    <row r="97">
      <c s="15" r="A97">
        <f>meetings_data!A97</f>
        <v>1920</v>
      </c>
      <c t="str" s="16" r="B97">
        <f>meetings_data!E97</f>
        <v/>
      </c>
      <c s="16" r="C97"/>
      <c s="16" r="D97"/>
      <c s="16" r="E97"/>
      <c s="16" r="F97"/>
    </row>
    <row r="98">
      <c r="A98">
        <f>meetings_data!A98</f>
        <v>1919</v>
      </c>
      <c t="str" s="16" r="B98">
        <f>meetings_data!E98</f>
        <v/>
      </c>
      <c s="16" r="C98"/>
      <c s="16" r="D98"/>
      <c s="16" r="E98"/>
      <c s="16" r="F98"/>
    </row>
    <row r="99">
      <c s="15" r="A99">
        <f>meetings_data!A99</f>
        <v>1918</v>
      </c>
      <c t="str" s="16" r="B99">
        <f>meetings_data!E99</f>
        <v/>
      </c>
      <c s="16" r="C99"/>
      <c s="16" r="D99"/>
      <c s="16" r="E99"/>
      <c s="16" r="F99"/>
    </row>
    <row r="100">
      <c r="A100">
        <f>meetings_data!A100</f>
        <v>1917</v>
      </c>
      <c t="str" s="16" r="B100">
        <f>meetings_data!E100</f>
        <v/>
      </c>
      <c s="16" r="C100"/>
      <c s="16" r="D100"/>
      <c s="16" r="E100"/>
      <c s="16" r="F100"/>
    </row>
    <row r="101">
      <c s="15" r="A101">
        <f>meetings_data!A101</f>
        <v>1916</v>
      </c>
      <c t="str" s="16" r="B101">
        <f>meetings_data!E101</f>
        <v/>
      </c>
      <c s="16" r="C101"/>
      <c s="16" r="D101"/>
      <c s="16" r="E101"/>
      <c s="16" r="F101"/>
    </row>
    <row r="102">
      <c r="A102">
        <f>meetings_data!A102</f>
        <v>1915</v>
      </c>
      <c t="str" s="16" r="B102">
        <f>meetings_data!E102</f>
        <v/>
      </c>
      <c s="16" r="C102"/>
      <c s="16" r="D102"/>
      <c s="16" r="E102"/>
      <c s="16" r="F102"/>
    </row>
    <row r="103">
      <c t="s" r="A103">
        <v>195</v>
      </c>
      <c s="16" r="B103"/>
      <c s="16" r="C103"/>
      <c s="16" r="D103"/>
      <c s="16" r="E103"/>
      <c s="16" r="F103"/>
    </row>
    <row r="104">
      <c s="15" r="A104"/>
      <c s="16" r="B104"/>
      <c s="16" r="C104"/>
      <c s="16" r="D104"/>
      <c s="16" r="E104"/>
      <c s="16" r="F10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86" defaultRowHeight="15.0"/>
  <cols>
    <col min="1" customWidth="1" max="1" width="19.29"/>
    <col min="4" customWidth="1" max="4" width="18.43"/>
    <col min="5" customWidth="1" max="5" width="12.14"/>
    <col min="6" customWidth="1" max="6" width="77.71"/>
  </cols>
  <sheetData>
    <row r="1">
      <c t="s" s="16" r="A1">
        <v>196</v>
      </c>
      <c t="s" s="16" r="B1">
        <v>197</v>
      </c>
      <c s="16" r="C1"/>
      <c s="16" r="D1"/>
      <c s="16" r="F1"/>
    </row>
    <row r="2">
      <c t="str" s="16" r="A2">
        <v>Baltimore, MD</v>
      </c>
      <c s="16" r="B2">
        <v>1</v>
      </c>
      <c s="16" r="C2"/>
      <c s="16" r="D2"/>
      <c s="16" r="F2"/>
    </row>
    <row r="3">
      <c t="str" s="16" r="A3">
        <v>Sacramento, CA</v>
      </c>
      <c s="16" r="B3">
        <v>1</v>
      </c>
      <c s="16" r="C3"/>
      <c s="16" r="D3"/>
      <c s="16" r="F3"/>
    </row>
    <row r="4">
      <c t="str" s="16" r="A4">
        <v>Minneapolis, MN</v>
      </c>
      <c s="16" r="B4">
        <v>1</v>
      </c>
      <c s="16" r="C4"/>
      <c s="16" r="D4"/>
      <c s="16" r="F4"/>
    </row>
    <row r="5">
      <c t="str" s="16" r="A5">
        <v>Portland, OR</v>
      </c>
      <c s="16" r="B5">
        <v>1</v>
      </c>
      <c s="16" r="C5"/>
      <c s="16" r="D5"/>
      <c s="16" r="F5"/>
    </row>
    <row r="6">
      <c t="str" s="16" r="A6">
        <v>Austin, TX</v>
      </c>
      <c s="16" r="B6">
        <v>1</v>
      </c>
      <c s="16" r="C6"/>
      <c s="16" r="D6"/>
      <c s="16" r="F6"/>
    </row>
    <row r="7">
      <c t="str" s="16" r="A7">
        <v>Pittsburgh, PA</v>
      </c>
      <c s="16" r="B7">
        <v>1</v>
      </c>
      <c s="16" r="C7"/>
      <c s="16" r="D7"/>
      <c s="16" r="F7"/>
    </row>
    <row r="8">
      <c t="str" s="16" r="A8">
        <v>Albuquerque, NM</v>
      </c>
      <c s="16" r="B8">
        <v>1</v>
      </c>
      <c s="16" r="C8"/>
      <c s="16" r="D8"/>
      <c s="16" r="F8"/>
    </row>
    <row r="9">
      <c t="str" s="16" r="A9">
        <v>Milwaukee, WI</v>
      </c>
      <c s="16" r="B9">
        <v>1</v>
      </c>
      <c s="16" r="C9"/>
      <c s="16" r="D9"/>
      <c s="16" r="F9"/>
    </row>
    <row r="10">
      <c t="str" s="16" r="A10">
        <v>San Jose, CA</v>
      </c>
      <c s="16" r="B10">
        <v>1</v>
      </c>
      <c s="16" r="C10"/>
      <c s="16" r="D10"/>
      <c s="16" r="F10"/>
    </row>
    <row r="11">
      <c t="str" s="16" r="A11">
        <v>Memphis, TN</v>
      </c>
      <c s="16" r="B11">
        <v>1</v>
      </c>
      <c s="16" r="C11"/>
      <c s="16" r="D11"/>
      <c s="16" r="F11"/>
    </row>
    <row r="12">
      <c t="str" s="16" r="A12">
        <v>Montreal, Canada</v>
      </c>
      <c s="16" r="B12">
        <v>1</v>
      </c>
      <c s="16" r="C12"/>
      <c s="16" r="D12"/>
      <c s="16" r="F12"/>
    </row>
    <row r="13">
      <c t="str" s="16" r="A13">
        <v>Portland, OR</v>
      </c>
      <c s="16" r="B13">
        <v>1</v>
      </c>
      <c s="16" r="C13"/>
      <c s="16" r="D13"/>
      <c s="16" r="F13"/>
    </row>
    <row r="14">
      <c t="str" s="16" r="A14">
        <v>Savannah, GA</v>
      </c>
      <c s="16" r="B14">
        <v>1</v>
      </c>
      <c s="16" r="C14"/>
      <c s="16" r="D14"/>
      <c s="16" r="F14"/>
    </row>
    <row r="15">
      <c t="str" s="16" r="A15">
        <v>Tucson, AZ</v>
      </c>
      <c s="16" r="B15">
        <v>1</v>
      </c>
      <c s="16" r="C15"/>
      <c s="16" r="D15"/>
      <c s="16" r="F15"/>
    </row>
    <row r="16">
      <c t="str" s="16" r="A16">
        <v>Madison, WI</v>
      </c>
      <c s="16" r="B16">
        <v>1</v>
      </c>
      <c s="16" r="C16"/>
      <c s="16" r="D16"/>
      <c s="16" r="F16"/>
    </row>
    <row r="17">
      <c t="str" s="16" r="A17">
        <v>Snowbird, UT</v>
      </c>
      <c s="16" r="B17">
        <v>1</v>
      </c>
      <c s="16" r="C17"/>
      <c s="16" r="D17"/>
      <c s="16" r="F17"/>
    </row>
    <row r="18">
      <c t="str" s="16" r="A18">
        <v>Spokane, WA</v>
      </c>
      <c s="16" r="B18">
        <v>1</v>
      </c>
      <c s="16" r="C18"/>
      <c s="16" r="D18"/>
      <c s="16" r="F18"/>
    </row>
    <row r="19">
      <c t="str" s="16" r="A19">
        <v>Albuquerque, NM</v>
      </c>
      <c s="16" r="B19">
        <v>1</v>
      </c>
      <c s="16" r="C19"/>
      <c s="16" r="D19"/>
      <c s="16" r="F19"/>
    </row>
    <row r="20">
      <c t="str" s="16" r="A20">
        <v>Providence, RI</v>
      </c>
      <c s="16" r="B20">
        <v>1</v>
      </c>
      <c s="16" r="C20"/>
      <c s="16" r="D20"/>
      <c s="16" r="F20"/>
    </row>
    <row r="21">
      <c t="str" s="16" r="A21">
        <v>Knoxville, TN</v>
      </c>
      <c s="16" r="B21">
        <v>1</v>
      </c>
      <c s="16" r="C21"/>
      <c s="16" r="D21"/>
      <c s="16" r="F21"/>
    </row>
    <row r="22">
      <c t="str" s="16" r="A22">
        <v>Honolulu, HI</v>
      </c>
      <c s="16" r="B22">
        <v>1</v>
      </c>
      <c s="16" r="C22"/>
      <c s="16" r="D22"/>
      <c s="16" r="F22"/>
    </row>
    <row r="23">
      <c t="str" s="16" r="A23">
        <v>San Antonio, TX</v>
      </c>
      <c s="16" r="B23">
        <v>1</v>
      </c>
      <c s="16" r="C23"/>
      <c s="16" r="D23"/>
      <c s="16" r="F23"/>
    </row>
    <row r="24">
      <c t="str" s="16" r="A24">
        <v>Toronto, Canada</v>
      </c>
      <c s="16" r="B24">
        <v>1</v>
      </c>
      <c s="16" r="C24"/>
      <c s="16" r="D24"/>
      <c s="16" r="F24"/>
    </row>
    <row r="25">
      <c t="str" s="16" r="A25">
        <v>Davis, CA</v>
      </c>
      <c s="16" r="B25">
        <v>1</v>
      </c>
      <c s="16" r="C25"/>
      <c s="16" r="D25"/>
      <c s="16" r="F25"/>
    </row>
    <row r="26">
      <c t="str" s="16" r="A26">
        <v>Columbus, OH</v>
      </c>
      <c s="16" r="B26">
        <v>1</v>
      </c>
      <c s="16" r="C26"/>
      <c s="16" r="D26"/>
      <c s="16" r="F26"/>
    </row>
    <row r="27">
      <c t="str" s="16" r="A27">
        <v>Syracuse, NY</v>
      </c>
      <c s="16" r="B27">
        <v>1</v>
      </c>
      <c s="16" r="C27"/>
      <c s="16" r="D27"/>
      <c s="16" r="F27"/>
    </row>
    <row r="28">
      <c t="str" s="16" r="A28">
        <v>Fort Collins, CO</v>
      </c>
      <c s="16" r="B28">
        <v>1</v>
      </c>
      <c s="16" r="C28"/>
      <c s="16" r="D28"/>
      <c s="16" r="F28"/>
    </row>
    <row r="29">
      <c t="str" s="16" r="A29">
        <v>Fargo, ND</v>
      </c>
      <c s="16" r="B29">
        <v>1</v>
      </c>
      <c s="16" r="C29"/>
      <c s="16" r="D29"/>
      <c s="16" r="F29"/>
    </row>
    <row r="30">
      <c t="str" s="16" r="A30">
        <v>University Park, PA</v>
      </c>
      <c s="16" r="B30">
        <v>1</v>
      </c>
      <c s="16" r="C30"/>
      <c s="16" r="D30"/>
      <c s="16" r="F30"/>
    </row>
    <row r="31">
      <c t="str" s="16" r="A31">
        <v>Bloomington, IN </v>
      </c>
      <c s="16" r="B31">
        <v>1</v>
      </c>
      <c s="16" r="C31"/>
      <c s="16" r="D31"/>
      <c s="16" r="F31"/>
    </row>
    <row r="32">
      <c t="str" s="16" r="A32">
        <v>Stillwater, OK </v>
      </c>
      <c s="16" r="B32">
        <v>1</v>
      </c>
      <c s="16" r="C32"/>
      <c s="16" r="D32"/>
      <c s="16" r="F32"/>
    </row>
    <row r="33">
      <c t="str" s="16" r="A33">
        <v>Athens, GA</v>
      </c>
      <c s="16" r="B33">
        <v>1</v>
      </c>
      <c s="16" r="C33"/>
      <c s="16" r="D33"/>
      <c s="16" r="F33"/>
    </row>
    <row r="34">
      <c t="str" s="16" r="A34">
        <v>East Lansing, MI</v>
      </c>
      <c s="16" r="B34">
        <v>1</v>
      </c>
      <c s="16" r="C34"/>
      <c s="16" r="D34"/>
      <c s="16" r="F34"/>
    </row>
    <row r="35">
      <c t="str" s="16" r="A35">
        <v>New Orleans, LA</v>
      </c>
      <c s="16" r="B35">
        <v>1</v>
      </c>
      <c s="16" r="C35"/>
      <c s="16" r="D35"/>
      <c s="16" r="F35"/>
    </row>
    <row r="36">
      <c t="str" s="16" r="A36">
        <v>Corvallis, OR</v>
      </c>
      <c s="16" r="B36">
        <v>1</v>
      </c>
      <c s="16" r="C36"/>
      <c s="16" r="D36"/>
      <c s="16" r="F36"/>
    </row>
    <row r="37">
      <c t="str" s="16" r="A37">
        <v>Tempe, AZ</v>
      </c>
      <c s="16" r="B37">
        <v>1</v>
      </c>
      <c s="16" r="C37"/>
      <c s="16" r="D37"/>
      <c s="16" r="F37"/>
    </row>
    <row r="38">
      <c t="str" s="16" r="A38">
        <v>University of Massachusetts        </v>
      </c>
      <c s="16" r="B38">
        <v>1</v>
      </c>
      <c s="16" r="C38"/>
      <c s="16" r="D38"/>
      <c s="16" r="F38"/>
    </row>
    <row r="39">
      <c t="str" s="16" r="A39">
        <v>University of Minnesota</v>
      </c>
      <c s="16" r="B39">
        <v>1</v>
      </c>
      <c s="16" r="C39"/>
      <c s="16" r="D39"/>
      <c s="16" r="F39"/>
    </row>
    <row r="40">
      <c t="str" s="16" r="A40">
        <v>Colorado State University
</v>
      </c>
      <c s="16" r="B40">
        <v>1</v>
      </c>
      <c s="16" r="C40"/>
      <c s="16" r="D40"/>
      <c s="16" r="F40"/>
    </row>
    <row r="41">
      <c t="str" s="16" r="A41">
        <v>University of Vermont             </v>
      </c>
      <c s="16" r="B41">
        <v>1</v>
      </c>
      <c s="16" r="C41"/>
      <c s="16" r="D41"/>
      <c s="16" r="F41"/>
    </row>
    <row r="42">
      <c t="str" s="16" r="A42">
        <v>University of Wisconsin           </v>
      </c>
      <c s="16" r="B42">
        <v>1</v>
      </c>
      <c s="16" r="C42"/>
      <c s="16" r="D42"/>
      <c s="16" r="F42"/>
    </row>
    <row r="43">
      <c t="str" s="16" r="A43">
        <v>College Station, TX</v>
      </c>
      <c s="16" r="B43">
        <v>1</v>
      </c>
      <c s="16" r="C43"/>
      <c s="16" r="D43"/>
      <c s="16" r="F43"/>
    </row>
    <row r="44">
      <c t="str" s="16" r="A44">
        <v>University of Maryland            </v>
      </c>
      <c s="16" r="B44">
        <v>1</v>
      </c>
      <c s="16" r="C44"/>
      <c s="16" r="D44"/>
      <c s="16" r="F44"/>
    </row>
    <row r="45">
      <c t="str" s="16" r="A45">
        <v>University of Illinois            </v>
      </c>
      <c s="16" r="B45">
        <v>1</v>
      </c>
      <c s="16" r="C45"/>
      <c s="16" r="D45"/>
      <c s="16" r="F45"/>
    </row>
    <row r="46">
      <c t="str" s="16" r="A46">
        <v>University of Colorado            </v>
      </c>
      <c s="16" r="B46">
        <v>1</v>
      </c>
      <c s="16" r="C46"/>
      <c s="16" r="D46"/>
      <c s="16" r="F46"/>
    </row>
    <row r="47">
      <c t="str" s="16" r="A47">
        <v>University of Massachusetts           </v>
      </c>
      <c s="16" r="B47">
        <v>1</v>
      </c>
      <c s="16" r="C47"/>
      <c s="16" r="D47"/>
      <c s="16" r="F47"/>
    </row>
    <row r="48">
      <c t="str" s="16" r="A48">
        <v>Purdue University</v>
      </c>
      <c s="16" r="B48">
        <v>1</v>
      </c>
      <c s="16" r="C48"/>
      <c s="16" r="D48"/>
      <c s="16" r="F48"/>
    </row>
    <row r="49">
      <c t="str" s="16" r="A49">
        <v>Stillwater, OK</v>
      </c>
      <c s="16" r="B49">
        <v>1</v>
      </c>
      <c s="16" r="C49"/>
      <c s="16" r="D49"/>
      <c s="16" r="F49"/>
    </row>
    <row r="50">
      <c t="str" s="16" r="A50">
        <v>University of Indiana             </v>
      </c>
      <c s="16" r="B50">
        <v>1</v>
      </c>
      <c s="16" r="C50"/>
      <c s="16" r="D50"/>
      <c s="16" r="F50"/>
    </row>
    <row r="51">
      <c t="str" s="16" r="A51">
        <v>Stanford University       
</v>
      </c>
      <c s="16" r="B51">
        <v>1</v>
      </c>
      <c s="16" r="C51"/>
      <c s="16" r="D51"/>
      <c s="16" r="F51"/>
    </row>
    <row r="52">
      <c t="str" s="16" r="A52">
        <v>University of Connecticut         </v>
      </c>
      <c s="16" r="B52">
        <v>1</v>
      </c>
      <c s="16" r="C52"/>
      <c s="16" r="D52"/>
      <c s="16" r="F52"/>
    </row>
    <row r="53">
      <c t="str" s="16" r="A53">
        <v>Michigan State University
</v>
      </c>
      <c s="16" r="B53">
        <v>1</v>
      </c>
      <c s="16" r="C53"/>
      <c s="16" r="D53"/>
      <c s="16" r="F53"/>
    </row>
    <row r="54">
      <c t="str" s="16" r="A54">
        <v>University of Florida             </v>
      </c>
      <c s="16" r="B54">
        <v>1</v>
      </c>
      <c s="16" r="C54"/>
      <c s="16" r="D54"/>
      <c s="16" r="F54"/>
    </row>
    <row r="55">
      <c t="str" s="16" r="A55">
        <v>Ithaca, NY</v>
      </c>
      <c s="16" r="B55">
        <v>1</v>
      </c>
      <c s="16" r="C55"/>
      <c s="16" r="D55"/>
      <c s="16" r="F55"/>
    </row>
    <row r="56">
      <c t="str" s="16" r="A56">
        <v>University of Minnesota           </v>
      </c>
      <c s="16" r="B56">
        <v>1</v>
      </c>
      <c s="16" r="C56"/>
      <c s="16" r="D56"/>
      <c s="16" r="F56"/>
    </row>
    <row r="57">
      <c t="str" s="16" r="A57">
        <v>Ohio State University          
</v>
      </c>
      <c s="16" r="B57">
        <v>1</v>
      </c>
      <c s="16" r="C57"/>
      <c s="16" r="D57"/>
      <c s="16" r="F57"/>
    </row>
    <row r="58">
      <c t="str" s="16" r="A58">
        <v>New York, NY</v>
      </c>
      <c s="16" r="B58">
        <v>1</v>
      </c>
      <c s="16" r="C58"/>
      <c s="16" r="D58"/>
      <c s="16" r="F58"/>
    </row>
    <row r="59">
      <c t="str" s="16" r="A59">
        <v>University of Maryland</v>
      </c>
      <c s="16" r="B59">
        <v>1</v>
      </c>
      <c s="16" r="C59"/>
      <c s="16" r="D59"/>
      <c s="16" r="F59"/>
    </row>
    <row r="60">
      <c t="str" s="16" r="A60">
        <v>Chicago, IL</v>
      </c>
      <c s="16" r="B60">
        <v>1</v>
      </c>
      <c s="16" r="C60"/>
      <c s="16" r="D60"/>
      <c s="16" r="F60"/>
    </row>
    <row r="61">
      <c t="str" s="16" r="A61">
        <v>Boston, MA</v>
      </c>
      <c s="16" r="B61">
        <v>1</v>
      </c>
      <c s="16" r="C61"/>
      <c s="16" r="D61"/>
      <c s="16" r="F61"/>
    </row>
    <row r="62">
      <c t="str" s="16" r="A62">
        <v>St. Louis, MO</v>
      </c>
      <c s="16" r="B62">
        <v>1</v>
      </c>
      <c s="16" r="C62"/>
      <c s="16" r="D62"/>
      <c s="16" r="F62"/>
    </row>
    <row r="63">
      <c t="str" s="16" r="A63">
        <v>Cleveland, OH</v>
      </c>
      <c s="16" r="B63">
        <v>1</v>
      </c>
      <c s="16" r="C63"/>
      <c s="16" r="D63"/>
      <c s="16" r="F63"/>
    </row>
    <row r="64">
      <c t="str" s="16" r="A64">
        <v/>
      </c>
      <c s="16" r="B64">
        <v>1</v>
      </c>
      <c s="16" r="C64"/>
      <c s="16" r="D64"/>
      <c s="16" r="F64"/>
    </row>
    <row r="65">
      <c t="str" s="16" r="A65">
        <v>Dallas, TX</v>
      </c>
      <c s="16" r="B65">
        <v>1</v>
      </c>
      <c s="16" r="C65"/>
      <c s="16" r="D65"/>
      <c s="16" r="F65"/>
    </row>
    <row r="66">
      <c t="str" s="16" r="A66">
        <v>Philadelphia, PA</v>
      </c>
      <c s="16" r="B66">
        <v>1</v>
      </c>
      <c s="16" r="C66"/>
      <c s="16" r="D66"/>
      <c s="16" r="F66"/>
    </row>
    <row r="67">
      <c t="str" s="16" r="A67">
        <v>Richmond, VA</v>
      </c>
      <c s="16" r="B67">
        <v>1</v>
      </c>
      <c s="16" r="C67"/>
      <c s="16" r="D67"/>
      <c s="16" r="F67"/>
    </row>
    <row r="68">
      <c t="str" s="16" r="A68">
        <v>Indianapolis, IN</v>
      </c>
      <c s="16" r="B68">
        <v>1</v>
      </c>
      <c s="16" r="C68"/>
      <c s="16" r="D68"/>
      <c s="16" r="F68"/>
    </row>
    <row r="69">
      <c t="str" s="16" r="A69">
        <v>Atlantic City, NJ</v>
      </c>
      <c s="16" r="B69">
        <v>1</v>
      </c>
      <c s="16" r="C69"/>
      <c s="16" r="D69"/>
      <c s="16" r="F69"/>
    </row>
    <row r="70">
      <c t="str" s="16" r="A70">
        <v>Pittsburgh, PA</v>
      </c>
      <c s="16" r="B70">
        <v>1</v>
      </c>
      <c s="16" r="C70"/>
      <c s="16" r="D70"/>
      <c s="16" r="F70"/>
    </row>
    <row r="71">
      <c t="str" s="16" r="A71">
        <v>Des Moines, IA</v>
      </c>
      <c s="16" r="B71">
        <v>1</v>
      </c>
      <c s="16" r="C71"/>
      <c s="16" r="D71"/>
      <c s="16" r="F71"/>
    </row>
    <row r="72">
      <c t="str" s="16" r="A72">
        <v>Nashville, TN</v>
      </c>
      <c s="16" r="B72">
        <v>1</v>
      </c>
      <c s="16" r="C72"/>
      <c s="16" r="D72"/>
      <c s="16" r="F72"/>
    </row>
    <row r="73">
      <c t="str" s="16" r="A73">
        <v>Kansas City, MO</v>
      </c>
      <c s="16" r="B73">
        <v>1</v>
      </c>
      <c s="16" r="C73"/>
      <c s="16" r="D73"/>
      <c s="16" r="E73"/>
      <c s="16" r="F73"/>
    </row>
    <row r="74">
      <c t="str" s="16" r="A74">
        <v>Washington, DC</v>
      </c>
      <c s="16" r="B74">
        <v>1</v>
      </c>
      <c s="16" r="C74"/>
      <c s="16" r="D74"/>
      <c s="16" r="E74"/>
      <c s="16" r="F74"/>
    </row>
    <row r="75">
      <c t="str" s="16" r="A75">
        <v>Cincinnati, OH</v>
      </c>
      <c s="16" r="B75">
        <v>1</v>
      </c>
      <c s="16" r="C75"/>
      <c s="16" r="D75"/>
      <c s="16" r="E75"/>
      <c s="16" r="F75"/>
    </row>
    <row r="76">
      <c t="str" s="16" r="A76">
        <v>Baltimore, OH</v>
      </c>
      <c s="16" r="B76"/>
      <c s="16" r="C76"/>
      <c s="16" r="D76"/>
      <c s="16" r="E76"/>
      <c s="16" r="F76"/>
    </row>
    <row r="77">
      <c s="16" r="A77"/>
      <c s="16" r="B77"/>
      <c s="16" r="C77"/>
      <c s="16" r="D77"/>
      <c s="16" r="E77"/>
      <c s="16" r="F77"/>
    </row>
    <row r="78">
      <c s="16" r="A78"/>
      <c s="16" r="B78"/>
      <c s="16" r="C78"/>
      <c s="16" r="D78"/>
      <c s="16" r="E78"/>
      <c s="16" r="F78"/>
    </row>
    <row r="79">
      <c s="16" r="A79"/>
      <c s="16" r="B79"/>
      <c s="16" r="C79"/>
      <c s="16" r="D79"/>
      <c s="16" r="E79"/>
      <c s="16" r="F79"/>
    </row>
    <row r="80">
      <c s="16" r="A80"/>
      <c s="16" r="B80"/>
      <c s="16" r="C80"/>
      <c s="16" r="D80"/>
      <c s="16" r="E80"/>
      <c s="16" r="F80"/>
    </row>
    <row r="81">
      <c s="16" r="A81"/>
      <c s="16" r="B81"/>
      <c s="16" r="C81"/>
      <c s="16" r="D81"/>
      <c s="16" r="E81"/>
      <c s="16" r="F81"/>
    </row>
    <row r="82">
      <c s="16" r="A82"/>
      <c s="16" r="B82"/>
      <c s="16" r="C82"/>
      <c s="16" r="D82"/>
      <c s="16" r="E82"/>
      <c s="16" r="F82"/>
    </row>
    <row r="83">
      <c s="16" r="A83"/>
      <c s="16" r="B83"/>
      <c s="16" r="C83"/>
      <c s="16" r="D83"/>
      <c s="16" r="E83"/>
      <c s="16" r="F83"/>
    </row>
    <row r="84">
      <c s="16" r="A84"/>
      <c s="16" r="B84"/>
      <c s="16" r="C84"/>
      <c s="16" r="D84"/>
      <c s="16" r="E84"/>
      <c s="16" r="F84"/>
    </row>
    <row r="85">
      <c s="16" r="A85"/>
      <c s="16" r="B85"/>
      <c s="16" r="C85"/>
      <c s="16" r="D85"/>
      <c s="16" r="E85"/>
      <c s="16" r="F85"/>
    </row>
    <row r="86">
      <c s="16" r="A86"/>
      <c s="16" r="B86"/>
      <c s="16" r="C86"/>
      <c s="16" r="D86"/>
      <c s="16" r="E86"/>
      <c s="16" r="F86"/>
    </row>
    <row r="87">
      <c s="16" r="A87"/>
      <c s="16" r="B87"/>
      <c s="16" r="C87"/>
      <c s="16" r="D87"/>
      <c s="16" r="E87"/>
      <c s="16" r="F87"/>
    </row>
    <row r="88">
      <c s="16" r="A88"/>
      <c s="16" r="B88"/>
      <c s="16" r="C88"/>
      <c s="16" r="D88"/>
      <c s="16" r="E88"/>
      <c s="16" r="F88"/>
    </row>
    <row r="89">
      <c s="16" r="A89"/>
      <c s="16" r="B89"/>
      <c s="16" r="C89"/>
      <c s="16" r="D89"/>
      <c s="16" r="E89"/>
      <c s="16" r="F89"/>
    </row>
    <row r="90">
      <c s="16" r="A90"/>
      <c s="16" r="B90"/>
      <c s="16" r="C90"/>
      <c s="16" r="D90"/>
      <c s="16" r="E90"/>
      <c s="16" r="F90"/>
    </row>
    <row r="91">
      <c s="16" r="A91"/>
      <c s="16" r="B91"/>
      <c s="16" r="C91"/>
      <c s="16" r="D91"/>
      <c s="16" r="E91"/>
      <c s="16" r="F91"/>
    </row>
    <row r="92">
      <c s="16" r="A92"/>
      <c s="16" r="B92"/>
      <c s="16" r="C92"/>
      <c s="16" r="D92"/>
      <c s="16" r="E92"/>
      <c s="16" r="F92"/>
    </row>
    <row r="93">
      <c s="16" r="A93"/>
      <c s="16" r="B93"/>
      <c s="16" r="C93"/>
      <c s="16" r="D93"/>
      <c s="16" r="E93"/>
      <c s="16" r="F93"/>
    </row>
    <row r="94">
      <c s="16" r="A94"/>
      <c s="16" r="B94"/>
      <c s="16" r="C94"/>
      <c s="16" r="D94"/>
      <c s="16" r="E94"/>
      <c s="16" r="F94"/>
    </row>
    <row r="95">
      <c s="16" r="A95"/>
      <c s="16" r="B95"/>
      <c s="16" r="C95"/>
      <c s="16" r="D95"/>
      <c s="16" r="E95"/>
      <c s="16" r="F95"/>
    </row>
    <row r="96">
      <c s="16" r="A96"/>
      <c s="16" r="B96"/>
      <c s="16" r="C96"/>
      <c s="16" r="D96"/>
      <c s="16" r="E96"/>
      <c s="16" r="F96"/>
    </row>
    <row r="97">
      <c s="16" r="A97"/>
      <c s="16" r="B97"/>
      <c s="16" r="C97"/>
      <c s="16" r="D97"/>
      <c s="16" r="E97"/>
      <c s="16" r="F97"/>
    </row>
    <row r="98">
      <c s="16" r="A98"/>
      <c s="16" r="B98"/>
      <c s="16" r="C98"/>
      <c s="16" r="D98"/>
      <c s="16" r="E98"/>
      <c s="16" r="F98"/>
    </row>
    <row r="99">
      <c s="16" r="A99"/>
      <c s="16" r="B99"/>
      <c s="16" r="C99"/>
      <c s="16" r="D99"/>
      <c s="16" r="E99"/>
      <c s="16" r="F99"/>
    </row>
    <row r="100">
      <c s="16" r="A100"/>
      <c s="16" r="B100"/>
      <c s="16" r="C100"/>
      <c s="16" r="D100"/>
      <c s="16" r="E100"/>
      <c s="16" r="F100"/>
    </row>
    <row r="101">
      <c s="16" r="A101"/>
      <c s="16" r="B101"/>
      <c s="16" r="C101"/>
      <c s="16" r="D101"/>
      <c s="16" r="E101"/>
      <c s="16" r="F101"/>
    </row>
    <row r="102">
      <c s="16" r="A102"/>
      <c s="16" r="B102"/>
      <c s="16" r="C102"/>
      <c s="16" r="D102"/>
      <c s="16" r="E102"/>
      <c s="16" r="F102"/>
    </row>
    <row r="103">
      <c s="16" r="A103"/>
      <c s="16" r="B103"/>
      <c s="16" r="C103"/>
      <c s="16" r="D103"/>
      <c s="16" r="E103"/>
      <c s="16" r="F103"/>
    </row>
    <row r="104">
      <c s="16" r="A104"/>
      <c s="16" r="B104"/>
      <c s="16" r="C104"/>
      <c s="16" r="D104"/>
      <c s="16" r="E104"/>
      <c s="16" r="F104"/>
    </row>
    <row r="105">
      <c s="16" r="A105"/>
      <c s="16" r="B105"/>
      <c s="16" r="C105"/>
      <c s="16" r="D105"/>
      <c s="16" r="E105"/>
      <c s="16" r="F105"/>
    </row>
    <row r="106">
      <c s="16" r="A106"/>
      <c s="16" r="B106"/>
      <c s="16" r="C106"/>
      <c s="16" r="D106"/>
      <c s="16" r="E106"/>
      <c s="16" r="F106"/>
    </row>
    <row r="107">
      <c s="16" r="A107"/>
      <c s="16" r="B107"/>
      <c s="16" r="C107"/>
      <c s="16" r="D107"/>
      <c s="16" r="E107"/>
      <c s="16" r="F107"/>
    </row>
    <row r="108">
      <c s="16" r="A108"/>
      <c s="16" r="B108"/>
      <c s="16" r="C108"/>
      <c s="16" r="D108"/>
      <c s="16" r="E108"/>
      <c s="16" r="F108"/>
    </row>
    <row r="109">
      <c s="16" r="A109"/>
      <c s="16" r="B109"/>
      <c s="16" r="C109"/>
      <c s="16" r="D109"/>
      <c s="16" r="E109"/>
      <c s="16" r="F109"/>
    </row>
    <row r="110">
      <c s="16" r="A110"/>
      <c s="16" r="B110"/>
      <c s="16" r="C110"/>
      <c s="16" r="D110"/>
      <c s="16" r="E110"/>
      <c s="16" r="F110"/>
    </row>
    <row r="111">
      <c s="16" r="A111"/>
      <c s="16" r="B111"/>
      <c s="16" r="C111"/>
      <c s="16" r="D111"/>
      <c s="16" r="E111"/>
      <c s="16" r="F111"/>
    </row>
    <row r="112">
      <c s="16" r="A112"/>
      <c s="16" r="B112"/>
      <c s="16" r="C112"/>
      <c s="16" r="D112"/>
      <c s="16" r="E112"/>
      <c s="16" r="F112"/>
    </row>
    <row r="113">
      <c s="16" r="A113"/>
      <c s="16" r="B113"/>
      <c s="16" r="C113"/>
      <c s="16" r="D113"/>
      <c s="16" r="E113"/>
      <c s="16" r="F113"/>
    </row>
    <row r="114">
      <c s="16" r="A114"/>
      <c s="16" r="B114"/>
      <c s="16" r="C114"/>
      <c s="16" r="D114"/>
      <c s="16" r="E114"/>
      <c s="16" r="F114"/>
    </row>
    <row r="115">
      <c s="16" r="A115"/>
      <c s="16" r="B115"/>
      <c s="16" r="C115"/>
      <c s="16" r="D115"/>
      <c s="16" r="E115"/>
      <c s="16" r="F115"/>
    </row>
    <row r="116">
      <c s="16" r="A116"/>
      <c s="16" r="B116"/>
      <c s="16" r="C116"/>
      <c s="16" r="D116"/>
      <c s="16" r="E116"/>
      <c s="16" r="F116"/>
    </row>
    <row r="117">
      <c s="16" r="A117"/>
      <c s="16" r="B117"/>
      <c s="16" r="C117"/>
      <c s="16" r="D117"/>
      <c s="16" r="E117"/>
      <c s="16" r="F117"/>
    </row>
    <row r="118">
      <c s="16" r="A118"/>
      <c s="16" r="B118"/>
      <c s="16" r="C118"/>
      <c s="16" r="D118"/>
      <c s="16" r="E118"/>
      <c s="16" r="F118"/>
    </row>
    <row r="119">
      <c s="16" r="A119"/>
      <c s="16" r="B119"/>
      <c s="16" r="C119"/>
      <c s="16" r="D119"/>
      <c s="16" r="E119"/>
      <c s="16" r="F119"/>
    </row>
    <row r="120">
      <c s="16" r="A120"/>
      <c s="16" r="B120"/>
      <c s="16" r="C120"/>
      <c s="16" r="D120"/>
      <c s="16" r="E120"/>
      <c s="16" r="F120"/>
    </row>
  </sheetData>
</worksheet>
</file>