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140" yWindow="45" windowWidth="11025" windowHeight="12585"/>
  </bookViews>
  <sheets>
    <sheet name="Summary" sheetId="11" r:id="rId1"/>
    <sheet name="Detailed Budget" sheetId="9" r:id="rId2"/>
    <sheet name="Fringe Calculation" sheetId="2" state="hidden" r:id="rId3"/>
  </sheets>
  <calcPr calcId="145621"/>
</workbook>
</file>

<file path=xl/calcChain.xml><?xml version="1.0" encoding="utf-8"?>
<calcChain xmlns="http://schemas.openxmlformats.org/spreadsheetml/2006/main">
  <c r="F21" i="11" l="1"/>
  <c r="F20" i="11"/>
  <c r="F19" i="11"/>
  <c r="F18" i="11"/>
  <c r="F17" i="11"/>
  <c r="E91" i="9" l="1"/>
  <c r="E90" i="9"/>
  <c r="E89" i="9"/>
  <c r="E87" i="9"/>
  <c r="E82" i="9"/>
  <c r="E80" i="9"/>
  <c r="E79" i="9"/>
  <c r="E78" i="9"/>
  <c r="E73" i="9"/>
  <c r="E71" i="9"/>
  <c r="E70" i="9"/>
  <c r="E65" i="9"/>
  <c r="E64" i="9"/>
  <c r="E63" i="9"/>
  <c r="E62" i="9"/>
  <c r="E56" i="9"/>
  <c r="E55" i="9"/>
  <c r="E54" i="9"/>
  <c r="E50" i="9"/>
  <c r="E49" i="9"/>
  <c r="E47" i="9"/>
  <c r="E45" i="9"/>
  <c r="E41" i="9"/>
  <c r="E40" i="9"/>
  <c r="E39" i="9"/>
  <c r="E38" i="9"/>
  <c r="E37" i="9"/>
  <c r="E33" i="9"/>
  <c r="E32" i="9"/>
  <c r="E31" i="9"/>
  <c r="E34" i="9" s="1"/>
  <c r="E22" i="9"/>
  <c r="E21" i="9"/>
  <c r="E20" i="9"/>
  <c r="E19" i="9"/>
  <c r="E18" i="9"/>
  <c r="E51" i="9" l="1"/>
  <c r="E67" i="9"/>
  <c r="F23" i="11" s="1"/>
  <c r="E75" i="9"/>
  <c r="F24" i="11" s="1"/>
  <c r="E59" i="9"/>
  <c r="F22" i="11" s="1"/>
  <c r="E92" i="9"/>
  <c r="F26" i="11" s="1"/>
  <c r="E23" i="9"/>
  <c r="B27" i="9" s="1"/>
  <c r="E27" i="9" s="1"/>
  <c r="E83" i="9"/>
  <c r="F25" i="11" s="1"/>
  <c r="E42" i="9"/>
  <c r="F28" i="11" l="1"/>
  <c r="B26" i="9"/>
  <c r="E26" i="9" s="1"/>
  <c r="E28" i="9" s="1"/>
  <c r="F31" i="11" l="1"/>
  <c r="F29" i="11" s="1"/>
  <c r="E94" i="9"/>
</calcChain>
</file>

<file path=xl/sharedStrings.xml><?xml version="1.0" encoding="utf-8"?>
<sst xmlns="http://schemas.openxmlformats.org/spreadsheetml/2006/main" count="158" uniqueCount="107">
  <si>
    <t>7. Equipment</t>
  </si>
  <si>
    <t>Illustrative Computation of Fringe Benefit in the Absence of an approved NICRA</t>
  </si>
  <si>
    <t>Applicant  may be authorized to assess fringe benefits provided the documentation properly supports these costs</t>
  </si>
  <si>
    <t>All costs must be reasonable, allocable, and allowable.</t>
  </si>
  <si>
    <t>As a part of the cost proposal , applicant must provide detailed information</t>
  </si>
  <si>
    <t>as to how it calculates its fringe benefits.</t>
  </si>
  <si>
    <t xml:space="preserve">For that reason, please list the items that make up your corporate fringe benefit pool </t>
  </si>
  <si>
    <t>Additionally, please provide a written explanation of exactly how your</t>
  </si>
  <si>
    <t>rates are determined.</t>
  </si>
  <si>
    <t>You must substantiate these costs with your organization's policy and financial statement(s).</t>
  </si>
  <si>
    <t>Below is an example of what costs  might be included in your employees fringe benefits</t>
  </si>
  <si>
    <t>Include only those costs you can substantiate.</t>
  </si>
  <si>
    <t>PERCENTAGES</t>
  </si>
  <si>
    <t>Estimate</t>
  </si>
  <si>
    <t>Actual</t>
  </si>
  <si>
    <t>FRINGE BENEFITS:</t>
  </si>
  <si>
    <t>Leave:</t>
  </si>
  <si>
    <t>in %</t>
  </si>
  <si>
    <t>Vacation (e.g. 10 days out of 260 work days/yr)</t>
  </si>
  <si>
    <t>Sick Leave  (e.g. 5 days out of 260 work days/yr)</t>
  </si>
  <si>
    <t>Holidays (.e.g 10 days out of 260 work days/yr)</t>
  </si>
  <si>
    <t>Admin Leave (e.g. 2 days out of 260 work days/yr)</t>
  </si>
  <si>
    <t>TOTAL ANNUAL LEAVE</t>
  </si>
  <si>
    <t xml:space="preserve">Other Fringe Benefits: </t>
  </si>
  <si>
    <t>Health Insurance</t>
  </si>
  <si>
    <t>Pension</t>
  </si>
  <si>
    <t>Disability Insurance</t>
  </si>
  <si>
    <t>Unemployment</t>
  </si>
  <si>
    <t>Employer FICA</t>
  </si>
  <si>
    <t>Other:specify</t>
  </si>
  <si>
    <t>fr</t>
  </si>
  <si>
    <t>Other:</t>
  </si>
  <si>
    <t>TOTAL OTHER FRINGE BENEFITS %</t>
  </si>
  <si>
    <t>Proposed Fringe rate for this application</t>
  </si>
  <si>
    <t>An alternative method can be provided by using costs</t>
  </si>
  <si>
    <t>Direct Cost Base</t>
  </si>
  <si>
    <t>Total Direct Labor costs to which fringe is applied</t>
  </si>
  <si>
    <t>Finge costs applied to direct labor</t>
  </si>
  <si>
    <t>Fringe Rate</t>
  </si>
  <si>
    <t>Submitted to:</t>
  </si>
  <si>
    <t>IIE</t>
  </si>
  <si>
    <t>From:</t>
  </si>
  <si>
    <t>To:</t>
  </si>
  <si>
    <t>Unit Type</t>
  </si>
  <si>
    <t># of Units</t>
  </si>
  <si>
    <t>Budget Notes</t>
  </si>
  <si>
    <t>1. Staff Salaries</t>
  </si>
  <si>
    <t>a.</t>
  </si>
  <si>
    <t>b.</t>
  </si>
  <si>
    <t>c.</t>
  </si>
  <si>
    <t>e.</t>
  </si>
  <si>
    <t>Sub-total:</t>
  </si>
  <si>
    <t>2. Staff Fringe Benefits</t>
  </si>
  <si>
    <t>3. Consultants</t>
  </si>
  <si>
    <t>4. Office Supplies</t>
  </si>
  <si>
    <t>5. Rent and Utilities</t>
  </si>
  <si>
    <t>Office rent</t>
  </si>
  <si>
    <t>Office utilities (list separately)</t>
  </si>
  <si>
    <t>Electricity</t>
  </si>
  <si>
    <t>Other (describe below)</t>
  </si>
  <si>
    <t>6. Communications</t>
  </si>
  <si>
    <t>Printing</t>
  </si>
  <si>
    <t>Telephone</t>
  </si>
  <si>
    <t>Internet</t>
  </si>
  <si>
    <t>8. Travel Expenses</t>
  </si>
  <si>
    <t>Per diem - Location:</t>
  </si>
  <si>
    <t>d.</t>
  </si>
  <si>
    <t>Date Submitted:</t>
  </si>
  <si>
    <t>US Organizations: Enter cost in USD.  Non-US Organizations: Use local currency</t>
  </si>
  <si>
    <t>Cost Per Unit</t>
  </si>
  <si>
    <t>TOTAL</t>
  </si>
  <si>
    <t>Gross annual salary divided by 260=daily rate; or divided by 2080 hours=hourly rate</t>
  </si>
  <si>
    <t>a. Leave</t>
  </si>
  <si>
    <t>b. Fringe</t>
  </si>
  <si>
    <t>%</t>
  </si>
  <si>
    <t xml:space="preserve">If your organization does not have a NICRA, calculate leave and frige benefits as % of salary. </t>
  </si>
  <si>
    <t xml:space="preserve">a. </t>
  </si>
  <si>
    <t>Sub-total</t>
  </si>
  <si>
    <t>10. Indirect Costs (per NICRA attached)</t>
  </si>
  <si>
    <t>Amount of base applied</t>
  </si>
  <si>
    <t xml:space="preserve">% </t>
  </si>
  <si>
    <t>Day/Hour</t>
  </si>
  <si>
    <t>Rate</t>
  </si>
  <si>
    <t>Total Salary</t>
  </si>
  <si>
    <t>Transportation:</t>
  </si>
  <si>
    <t>Only enter in cells below if your organization has a NICRA.</t>
  </si>
  <si>
    <t>TOTAL AMOUNT</t>
  </si>
  <si>
    <t>9. Other Expenses</t>
  </si>
  <si>
    <t>[Grantee Name/Project Title] Detailed Budget</t>
  </si>
  <si>
    <t>Organization:</t>
  </si>
  <si>
    <t>Period of Performance:</t>
  </si>
  <si>
    <t>Exchange rate 1 UDS=…[local currency]</t>
  </si>
  <si>
    <t>Budget Total</t>
  </si>
  <si>
    <t>Budget Section</t>
  </si>
  <si>
    <t>Enter data into yellow shaded cells only. You may add rows as necessary.</t>
  </si>
  <si>
    <t>Budget Summary</t>
  </si>
  <si>
    <r>
      <t xml:space="preserve">Exchange rate </t>
    </r>
    <r>
      <rPr>
        <b/>
        <i/>
        <sz val="10"/>
        <rFont val="Calibri"/>
        <family val="2"/>
        <scheme val="minor"/>
      </rPr>
      <t>1 USD = ……[local currency)</t>
    </r>
  </si>
  <si>
    <t>Budget sections</t>
  </si>
  <si>
    <t>10. Indirect Costs</t>
  </si>
  <si>
    <t>Title:</t>
  </si>
  <si>
    <t>Grant #:</t>
  </si>
  <si>
    <t>Amount</t>
  </si>
  <si>
    <t>PROGRAM TOTAL</t>
  </si>
  <si>
    <t>TOTAL IIE FUNDED EXPENSES</t>
  </si>
  <si>
    <t>COST SHARE PERCENTAGE</t>
  </si>
  <si>
    <t>COST SHARE AMOUNT</t>
  </si>
  <si>
    <r>
      <t xml:space="preserve">Except for the exchange rate, cost share percentage and the information above, </t>
    </r>
    <r>
      <rPr>
        <b/>
        <u/>
        <sz val="11"/>
        <color indexed="10"/>
        <rFont val="Calibri"/>
        <family val="2"/>
        <scheme val="minor"/>
      </rPr>
      <t>do not enter information on this page</t>
    </r>
    <r>
      <rPr>
        <b/>
        <sz val="11"/>
        <color indexed="10"/>
        <rFont val="Calibri"/>
        <family val="2"/>
        <scheme val="minor"/>
      </rPr>
      <t>. It will populate authomatically as you fill in the next sheet: Detailed Budget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</si>
</sst>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Rs&quot;* #,##0.00_);_(&quot;Rs&quot;* \(#,##0.00\);_(&quot;Rs&quot;* &quot;-&quot;??_);_(@_)"/>
    <numFmt numFmtId="165" formatCode="_(&quot;Rp&quot;* #,##0.00_);_(&quot;Rp&quot;* \(#,##0.00\);_(&quot;Rp&quot;* &quot;-&quot;??_);_(@_)"/>
    <numFmt numFmtId="166" formatCode="&quot;$&quot;#,##0.00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sz val="10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u/>
      <sz val="11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99">
    <xf numFmtId="0" fontId="0" fillId="0" borderId="0"/>
    <xf numFmtId="0" fontId="18" fillId="0" borderId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22" fillId="0" borderId="21" applyNumberFormat="0" applyFill="0" applyAlignment="0" applyProtection="0"/>
    <xf numFmtId="0" fontId="19" fillId="0" borderId="0"/>
    <xf numFmtId="0" fontId="25" fillId="3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38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4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6" fillId="45" borderId="0" applyNumberFormat="0" applyBorder="0" applyAlignment="0" applyProtection="0"/>
    <xf numFmtId="0" fontId="17" fillId="12" borderId="0" applyNumberFormat="0" applyBorder="0" applyAlignment="0" applyProtection="0"/>
    <xf numFmtId="0" fontId="26" fillId="45" borderId="0" applyNumberFormat="0" applyBorder="0" applyAlignment="0" applyProtection="0"/>
    <xf numFmtId="0" fontId="26" fillId="42" borderId="0" applyNumberFormat="0" applyBorder="0" applyAlignment="0" applyProtection="0"/>
    <xf numFmtId="0" fontId="17" fillId="16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17" fillId="20" borderId="0" applyNumberFormat="0" applyBorder="0" applyAlignment="0" applyProtection="0"/>
    <xf numFmtId="0" fontId="26" fillId="43" borderId="0" applyNumberFormat="0" applyBorder="0" applyAlignment="0" applyProtection="0"/>
    <xf numFmtId="0" fontId="26" fillId="46" borderId="0" applyNumberFormat="0" applyBorder="0" applyAlignment="0" applyProtection="0"/>
    <xf numFmtId="0" fontId="17" fillId="2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17" fillId="28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17" fillId="32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17" fillId="9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17" fillId="13" borderId="0" applyNumberFormat="0" applyBorder="0" applyAlignment="0" applyProtection="0"/>
    <xf numFmtId="0" fontId="26" fillId="50" borderId="0" applyNumberFormat="0" applyBorder="0" applyAlignment="0" applyProtection="0"/>
    <xf numFmtId="0" fontId="26" fillId="51" borderId="0" applyNumberFormat="0" applyBorder="0" applyAlignment="0" applyProtection="0"/>
    <xf numFmtId="0" fontId="17" fillId="17" borderId="0" applyNumberFormat="0" applyBorder="0" applyAlignment="0" applyProtection="0"/>
    <xf numFmtId="0" fontId="26" fillId="51" borderId="0" applyNumberFormat="0" applyBorder="0" applyAlignment="0" applyProtection="0"/>
    <xf numFmtId="0" fontId="26" fillId="46" borderId="0" applyNumberFormat="0" applyBorder="0" applyAlignment="0" applyProtection="0"/>
    <xf numFmtId="0" fontId="17" fillId="21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17" fillId="25" borderId="0" applyNumberFormat="0" applyBorder="0" applyAlignment="0" applyProtection="0"/>
    <xf numFmtId="0" fontId="26" fillId="47" borderId="0" applyNumberFormat="0" applyBorder="0" applyAlignment="0" applyProtection="0"/>
    <xf numFmtId="0" fontId="26" fillId="52" borderId="0" applyNumberFormat="0" applyBorder="0" applyAlignment="0" applyProtection="0"/>
    <xf numFmtId="0" fontId="17" fillId="29" borderId="0" applyNumberFormat="0" applyBorder="0" applyAlignment="0" applyProtection="0"/>
    <xf numFmtId="0" fontId="26" fillId="52" borderId="0" applyNumberFormat="0" applyBorder="0" applyAlignment="0" applyProtection="0"/>
    <xf numFmtId="0" fontId="27" fillId="36" borderId="0" applyNumberFormat="0" applyBorder="0" applyAlignment="0" applyProtection="0"/>
    <xf numFmtId="0" fontId="7" fillId="3" borderId="0" applyNumberFormat="0" applyBorder="0" applyAlignment="0" applyProtection="0"/>
    <xf numFmtId="0" fontId="27" fillId="36" borderId="0" applyNumberFormat="0" applyBorder="0" applyAlignment="0" applyProtection="0"/>
    <xf numFmtId="0" fontId="28" fillId="53" borderId="24" applyNumberFormat="0" applyAlignment="0" applyProtection="0"/>
    <xf numFmtId="0" fontId="28" fillId="53" borderId="24" applyNumberFormat="0" applyAlignment="0" applyProtection="0"/>
    <xf numFmtId="0" fontId="28" fillId="53" borderId="24" applyNumberFormat="0" applyAlignment="0" applyProtection="0"/>
    <xf numFmtId="0" fontId="28" fillId="53" borderId="24" applyNumberFormat="0" applyAlignment="0" applyProtection="0"/>
    <xf numFmtId="0" fontId="11" fillId="6" borderId="4" applyNumberFormat="0" applyAlignment="0" applyProtection="0"/>
    <xf numFmtId="0" fontId="28" fillId="53" borderId="24" applyNumberFormat="0" applyAlignment="0" applyProtection="0"/>
    <xf numFmtId="0" fontId="28" fillId="53" borderId="24" applyNumberFormat="0" applyAlignment="0" applyProtection="0"/>
    <xf numFmtId="0" fontId="28" fillId="53" borderId="24" applyNumberFormat="0" applyAlignment="0" applyProtection="0"/>
    <xf numFmtId="0" fontId="28" fillId="53" borderId="24" applyNumberFormat="0" applyAlignment="0" applyProtection="0"/>
    <xf numFmtId="0" fontId="29" fillId="54" borderId="25" applyNumberFormat="0" applyAlignment="0" applyProtection="0"/>
    <xf numFmtId="0" fontId="13" fillId="7" borderId="7" applyNumberFormat="0" applyAlignment="0" applyProtection="0"/>
    <xf numFmtId="0" fontId="29" fillId="54" borderId="2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37" borderId="0" applyNumberFormat="0" applyBorder="0" applyAlignment="0" applyProtection="0"/>
    <xf numFmtId="0" fontId="6" fillId="2" borderId="0" applyNumberFormat="0" applyBorder="0" applyAlignment="0" applyProtection="0"/>
    <xf numFmtId="0" fontId="31" fillId="37" borderId="0" applyNumberFormat="0" applyBorder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" fillId="0" borderId="1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3" fillId="0" borderId="27" applyNumberFormat="0" applyFill="0" applyAlignment="0" applyProtection="0"/>
    <xf numFmtId="0" fontId="4" fillId="0" borderId="2" applyNumberFormat="0" applyFill="0" applyAlignment="0" applyProtection="0"/>
    <xf numFmtId="0" fontId="33" fillId="0" borderId="27" applyNumberFormat="0" applyFill="0" applyAlignment="0" applyProtection="0"/>
    <xf numFmtId="0" fontId="34" fillId="0" borderId="28" applyNumberFormat="0" applyFill="0" applyAlignment="0" applyProtection="0"/>
    <xf numFmtId="0" fontId="5" fillId="0" borderId="3" applyNumberFormat="0" applyFill="0" applyAlignment="0" applyProtection="0"/>
    <xf numFmtId="0" fontId="34" fillId="0" borderId="28" applyNumberFormat="0" applyFill="0" applyAlignment="0" applyProtection="0"/>
    <xf numFmtId="0" fontId="3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40" borderId="24" applyNumberFormat="0" applyAlignment="0" applyProtection="0"/>
    <xf numFmtId="0" fontId="35" fillId="40" borderId="24" applyNumberFormat="0" applyAlignment="0" applyProtection="0"/>
    <xf numFmtId="0" fontId="35" fillId="40" borderId="24" applyNumberFormat="0" applyAlignment="0" applyProtection="0"/>
    <xf numFmtId="0" fontId="35" fillId="40" borderId="24" applyNumberFormat="0" applyAlignment="0" applyProtection="0"/>
    <xf numFmtId="0" fontId="9" fillId="5" borderId="4" applyNumberFormat="0" applyAlignment="0" applyProtection="0"/>
    <xf numFmtId="0" fontId="35" fillId="40" borderId="24" applyNumberFormat="0" applyAlignment="0" applyProtection="0"/>
    <xf numFmtId="0" fontId="35" fillId="40" borderId="24" applyNumberFormat="0" applyAlignment="0" applyProtection="0"/>
    <xf numFmtId="0" fontId="35" fillId="40" borderId="24" applyNumberFormat="0" applyAlignment="0" applyProtection="0"/>
    <xf numFmtId="0" fontId="35" fillId="40" borderId="24" applyNumberFormat="0" applyAlignment="0" applyProtection="0"/>
    <xf numFmtId="0" fontId="36" fillId="0" borderId="29" applyNumberFormat="0" applyFill="0" applyAlignment="0" applyProtection="0"/>
    <xf numFmtId="0" fontId="12" fillId="0" borderId="6" applyNumberFormat="0" applyFill="0" applyAlignment="0" applyProtection="0"/>
    <xf numFmtId="0" fontId="36" fillId="0" borderId="29" applyNumberFormat="0" applyFill="0" applyAlignment="0" applyProtection="0"/>
    <xf numFmtId="0" fontId="37" fillId="55" borderId="0" applyNumberFormat="0" applyBorder="0" applyAlignment="0" applyProtection="0"/>
    <xf numFmtId="0" fontId="8" fillId="4" borderId="0" applyNumberFormat="0" applyBorder="0" applyAlignment="0" applyProtection="0"/>
    <xf numFmtId="0" fontId="37" fillId="55" borderId="0" applyNumberFormat="0" applyBorder="0" applyAlignment="0" applyProtection="0"/>
    <xf numFmtId="0" fontId="23" fillId="0" borderId="0"/>
    <xf numFmtId="0" fontId="1" fillId="0" borderId="0"/>
    <xf numFmtId="0" fontId="1" fillId="0" borderId="0"/>
    <xf numFmtId="0" fontId="38" fillId="0" borderId="0">
      <alignment vertical="top"/>
    </xf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56" borderId="30" applyNumberFormat="0" applyFont="0" applyAlignment="0" applyProtection="0"/>
    <xf numFmtId="0" fontId="19" fillId="56" borderId="30" applyNumberFormat="0" applyFont="0" applyAlignment="0" applyProtection="0"/>
    <xf numFmtId="0" fontId="19" fillId="56" borderId="30" applyNumberFormat="0" applyFont="0" applyAlignment="0" applyProtection="0"/>
    <xf numFmtId="0" fontId="19" fillId="56" borderId="30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6" borderId="30" applyNumberFormat="0" applyFont="0" applyAlignment="0" applyProtection="0"/>
    <xf numFmtId="0" fontId="19" fillId="56" borderId="30" applyNumberFormat="0" applyFont="0" applyAlignment="0" applyProtection="0"/>
    <xf numFmtId="0" fontId="19" fillId="56" borderId="30" applyNumberFormat="0" applyFont="0" applyAlignment="0" applyProtection="0"/>
    <xf numFmtId="0" fontId="19" fillId="56" borderId="30" applyNumberFormat="0" applyFont="0" applyAlignment="0" applyProtection="0"/>
    <xf numFmtId="0" fontId="19" fillId="56" borderId="30" applyNumberFormat="0" applyFont="0" applyAlignment="0" applyProtection="0"/>
    <xf numFmtId="0" fontId="19" fillId="56" borderId="30" applyNumberFormat="0" applyFont="0" applyAlignment="0" applyProtection="0"/>
    <xf numFmtId="0" fontId="19" fillId="56" borderId="30" applyNumberFormat="0" applyFont="0" applyAlignment="0" applyProtection="0"/>
    <xf numFmtId="0" fontId="19" fillId="56" borderId="30" applyNumberFormat="0" applyFont="0" applyAlignment="0" applyProtection="0"/>
    <xf numFmtId="0" fontId="39" fillId="53" borderId="31" applyNumberFormat="0" applyAlignment="0" applyProtection="0"/>
    <xf numFmtId="0" fontId="39" fillId="53" borderId="31" applyNumberFormat="0" applyAlignment="0" applyProtection="0"/>
    <xf numFmtId="0" fontId="39" fillId="53" borderId="31" applyNumberFormat="0" applyAlignment="0" applyProtection="0"/>
    <xf numFmtId="0" fontId="39" fillId="53" borderId="31" applyNumberFormat="0" applyAlignment="0" applyProtection="0"/>
    <xf numFmtId="0" fontId="10" fillId="6" borderId="5" applyNumberFormat="0" applyAlignment="0" applyProtection="0"/>
    <xf numFmtId="0" fontId="39" fillId="53" borderId="31" applyNumberFormat="0" applyAlignment="0" applyProtection="0"/>
    <xf numFmtId="0" fontId="39" fillId="53" borderId="31" applyNumberFormat="0" applyAlignment="0" applyProtection="0"/>
    <xf numFmtId="0" fontId="39" fillId="53" borderId="31" applyNumberFormat="0" applyAlignment="0" applyProtection="0"/>
    <xf numFmtId="0" fontId="39" fillId="53" borderId="31" applyNumberFormat="0" applyAlignment="0" applyProtection="0"/>
    <xf numFmtId="9" fontId="2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40" fillId="57" borderId="10" applyFont="0" applyFill="0" applyBorder="0" applyAlignment="0">
      <alignment horizontal="left" wrapText="1"/>
    </xf>
    <xf numFmtId="0" fontId="40" fillId="57" borderId="10" applyFont="0" applyFill="0" applyBorder="0" applyAlignment="0">
      <alignment horizontal="left" wrapText="1"/>
    </xf>
    <xf numFmtId="0" fontId="40" fillId="57" borderId="10" applyFont="0" applyFill="0" applyBorder="0" applyAlignment="0">
      <alignment horizontal="left" wrapText="1"/>
    </xf>
    <xf numFmtId="0" fontId="40" fillId="57" borderId="10" applyFont="0" applyFill="0" applyBorder="0" applyAlignment="0">
      <alignment horizontal="left" wrapText="1"/>
    </xf>
    <xf numFmtId="0" fontId="40" fillId="57" borderId="10" applyFont="0" applyFill="0" applyBorder="0" applyAlignment="0">
      <alignment horizontal="left" wrapText="1"/>
    </xf>
    <xf numFmtId="0" fontId="4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16" fillId="0" borderId="9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22" fillId="0" borderId="21" applyNumberFormat="0" applyFill="0" applyAlignment="0" applyProtection="0"/>
    <xf numFmtId="0" fontId="4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2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16" fillId="0" borderId="0" xfId="0" applyFont="1"/>
    <xf numFmtId="10" fontId="0" fillId="0" borderId="0" xfId="0" applyNumberFormat="1"/>
    <xf numFmtId="8" fontId="0" fillId="0" borderId="0" xfId="0" applyNumberFormat="1"/>
    <xf numFmtId="9" fontId="0" fillId="0" borderId="0" xfId="0" applyNumberFormat="1"/>
    <xf numFmtId="10" fontId="16" fillId="0" borderId="0" xfId="0" applyNumberFormat="1" applyFont="1"/>
    <xf numFmtId="0" fontId="24" fillId="0" borderId="0" xfId="0" applyFont="1" applyFill="1" applyAlignment="1">
      <alignment vertical="center"/>
    </xf>
    <xf numFmtId="0" fontId="24" fillId="0" borderId="0" xfId="0" applyFont="1" applyFill="1" applyAlignment="1">
      <alignment horizontal="center" wrapText="1"/>
    </xf>
    <xf numFmtId="0" fontId="0" fillId="0" borderId="0" xfId="0" applyFill="1"/>
    <xf numFmtId="0" fontId="0" fillId="0" borderId="10" xfId="0" applyBorder="1"/>
    <xf numFmtId="0" fontId="0" fillId="59" borderId="19" xfId="0" applyFill="1" applyBorder="1"/>
    <xf numFmtId="0" fontId="0" fillId="59" borderId="20" xfId="0" applyFill="1" applyBorder="1"/>
    <xf numFmtId="0" fontId="0" fillId="0" borderId="14" xfId="0" applyBorder="1"/>
    <xf numFmtId="0" fontId="0" fillId="0" borderId="35" xfId="0" applyBorder="1"/>
    <xf numFmtId="0" fontId="0" fillId="59" borderId="23" xfId="0" applyFill="1" applyBorder="1"/>
    <xf numFmtId="0" fontId="0" fillId="59" borderId="33" xfId="0" applyFill="1" applyBorder="1"/>
    <xf numFmtId="0" fontId="16" fillId="60" borderId="11" xfId="0" applyFont="1" applyFill="1" applyBorder="1"/>
    <xf numFmtId="0" fontId="0" fillId="60" borderId="12" xfId="0" applyFill="1" applyBorder="1"/>
    <xf numFmtId="0" fontId="0" fillId="60" borderId="34" xfId="0" applyFill="1" applyBorder="1"/>
    <xf numFmtId="0" fontId="16" fillId="59" borderId="18" xfId="0" applyFont="1" applyFill="1" applyBorder="1"/>
    <xf numFmtId="0" fontId="43" fillId="59" borderId="22" xfId="0" applyFont="1" applyFill="1" applyBorder="1"/>
    <xf numFmtId="0" fontId="0" fillId="59" borderId="19" xfId="0" applyFill="1" applyBorder="1" applyAlignment="1">
      <alignment horizontal="center" vertical="center"/>
    </xf>
    <xf numFmtId="0" fontId="0" fillId="34" borderId="10" xfId="0" applyFill="1" applyBorder="1"/>
    <xf numFmtId="166" fontId="0" fillId="0" borderId="0" xfId="0" applyNumberFormat="1"/>
    <xf numFmtId="166" fontId="24" fillId="0" borderId="0" xfId="0" applyNumberFormat="1" applyFont="1" applyFill="1" applyAlignment="1">
      <alignment vertical="center"/>
    </xf>
    <xf numFmtId="166" fontId="0" fillId="59" borderId="19" xfId="0" applyNumberFormat="1" applyFill="1" applyBorder="1"/>
    <xf numFmtId="166" fontId="0" fillId="58" borderId="10" xfId="0" applyNumberFormat="1" applyFill="1" applyBorder="1"/>
    <xf numFmtId="166" fontId="16" fillId="59" borderId="23" xfId="0" applyNumberFormat="1" applyFont="1" applyFill="1" applyBorder="1"/>
    <xf numFmtId="166" fontId="16" fillId="60" borderId="12" xfId="0" applyNumberFormat="1" applyFont="1" applyFill="1" applyBorder="1"/>
    <xf numFmtId="4" fontId="0" fillId="0" borderId="0" xfId="0" applyNumberFormat="1"/>
    <xf numFmtId="4" fontId="24" fillId="0" borderId="0" xfId="0" applyNumberFormat="1" applyFont="1" applyFill="1" applyAlignment="1">
      <alignment horizontal="center" wrapText="1"/>
    </xf>
    <xf numFmtId="4" fontId="0" fillId="59" borderId="19" xfId="0" applyNumberFormat="1" applyFill="1" applyBorder="1"/>
    <xf numFmtId="4" fontId="0" fillId="0" borderId="10" xfId="0" applyNumberFormat="1" applyBorder="1"/>
    <xf numFmtId="4" fontId="0" fillId="59" borderId="23" xfId="0" applyNumberFormat="1" applyFill="1" applyBorder="1"/>
    <xf numFmtId="4" fontId="0" fillId="59" borderId="19" xfId="0" applyNumberFormat="1" applyFill="1" applyBorder="1" applyAlignment="1">
      <alignment horizontal="center"/>
    </xf>
    <xf numFmtId="4" fontId="0" fillId="59" borderId="19" xfId="0" applyNumberFormat="1" applyFill="1" applyBorder="1" applyAlignment="1">
      <alignment wrapText="1"/>
    </xf>
    <xf numFmtId="4" fontId="0" fillId="60" borderId="12" xfId="0" applyNumberFormat="1" applyFill="1" applyBorder="1"/>
    <xf numFmtId="0" fontId="0" fillId="33" borderId="14" xfId="0" applyFill="1" applyBorder="1"/>
    <xf numFmtId="4" fontId="0" fillId="33" borderId="10" xfId="0" applyNumberFormat="1" applyFill="1" applyBorder="1"/>
    <xf numFmtId="0" fontId="0" fillId="33" borderId="10" xfId="0" applyFill="1" applyBorder="1"/>
    <xf numFmtId="0" fontId="0" fillId="33" borderId="35" xfId="0" applyFill="1" applyBorder="1"/>
    <xf numFmtId="166" fontId="0" fillId="33" borderId="10" xfId="0" applyNumberFormat="1" applyFill="1" applyBorder="1"/>
    <xf numFmtId="166" fontId="0" fillId="0" borderId="10" xfId="0" applyNumberFormat="1" applyFill="1" applyBorder="1"/>
    <xf numFmtId="0" fontId="0" fillId="0" borderId="23" xfId="0" applyNumberFormat="1" applyBorder="1" applyAlignment="1">
      <alignment horizontal="left"/>
    </xf>
    <xf numFmtId="0" fontId="43" fillId="33" borderId="13" xfId="0" applyFont="1" applyFill="1" applyBorder="1"/>
    <xf numFmtId="4" fontId="0" fillId="33" borderId="0" xfId="0" applyNumberFormat="1" applyFill="1" applyBorder="1"/>
    <xf numFmtId="0" fontId="0" fillId="33" borderId="0" xfId="0" applyFill="1" applyBorder="1"/>
    <xf numFmtId="166" fontId="16" fillId="33" borderId="0" xfId="0" applyNumberFormat="1" applyFont="1" applyFill="1" applyBorder="1"/>
    <xf numFmtId="0" fontId="0" fillId="33" borderId="32" xfId="0" applyFill="1" applyBorder="1"/>
    <xf numFmtId="166" fontId="0" fillId="58" borderId="10" xfId="0" applyNumberFormat="1" applyFont="1" applyFill="1" applyBorder="1"/>
    <xf numFmtId="0" fontId="0" fillId="0" borderId="15" xfId="0" applyBorder="1"/>
    <xf numFmtId="166" fontId="0" fillId="58" borderId="38" xfId="0" applyNumberFormat="1" applyFont="1" applyFill="1" applyBorder="1"/>
    <xf numFmtId="4" fontId="0" fillId="61" borderId="0" xfId="0" applyNumberFormat="1" applyFill="1"/>
    <xf numFmtId="14" fontId="0" fillId="61" borderId="0" xfId="0" applyNumberFormat="1" applyFill="1"/>
    <xf numFmtId="0" fontId="0" fillId="61" borderId="0" xfId="0" applyFill="1"/>
    <xf numFmtId="166" fontId="0" fillId="61" borderId="0" xfId="0" applyNumberFormat="1" applyFill="1"/>
    <xf numFmtId="166" fontId="0" fillId="0" borderId="0" xfId="0" applyNumberFormat="1" applyFill="1"/>
    <xf numFmtId="14" fontId="0" fillId="0" borderId="0" xfId="0" applyNumberFormat="1" applyFill="1"/>
    <xf numFmtId="4" fontId="0" fillId="0" borderId="0" xfId="0" applyNumberFormat="1" applyFill="1"/>
    <xf numFmtId="0" fontId="0" fillId="0" borderId="0" xfId="0" applyBorder="1"/>
    <xf numFmtId="0" fontId="16" fillId="0" borderId="0" xfId="0" applyFont="1" applyFill="1" applyAlignment="1">
      <alignment horizontal="center"/>
    </xf>
    <xf numFmtId="0" fontId="0" fillId="61" borderId="14" xfId="0" applyFill="1" applyBorder="1"/>
    <xf numFmtId="4" fontId="0" fillId="61" borderId="10" xfId="0" applyNumberFormat="1" applyFill="1" applyBorder="1"/>
    <xf numFmtId="0" fontId="0" fillId="61" borderId="10" xfId="0" applyFill="1" applyBorder="1"/>
    <xf numFmtId="0" fontId="0" fillId="61" borderId="35" xfId="0" applyFill="1" applyBorder="1"/>
    <xf numFmtId="10" fontId="0" fillId="61" borderId="36" xfId="0" applyNumberFormat="1" applyFill="1" applyBorder="1"/>
    <xf numFmtId="10" fontId="0" fillId="61" borderId="10" xfId="0" applyNumberFormat="1" applyFill="1" applyBorder="1"/>
    <xf numFmtId="0" fontId="0" fillId="0" borderId="14" xfId="0" applyFill="1" applyBorder="1"/>
    <xf numFmtId="4" fontId="0" fillId="0" borderId="10" xfId="0" applyNumberFormat="1" applyFill="1" applyBorder="1"/>
    <xf numFmtId="0" fontId="0" fillId="0" borderId="10" xfId="0" applyFill="1" applyBorder="1"/>
    <xf numFmtId="0" fontId="0" fillId="0" borderId="35" xfId="0" applyFill="1" applyBorder="1"/>
    <xf numFmtId="0" fontId="24" fillId="59" borderId="16" xfId="0" applyFont="1" applyFill="1" applyBorder="1" applyAlignment="1">
      <alignment vertical="center"/>
    </xf>
    <xf numFmtId="4" fontId="24" fillId="59" borderId="37" xfId="0" applyNumberFormat="1" applyFont="1" applyFill="1" applyBorder="1" applyAlignment="1">
      <alignment horizontal="center" wrapText="1"/>
    </xf>
    <xf numFmtId="0" fontId="24" fillId="59" borderId="37" xfId="0" applyFont="1" applyFill="1" applyBorder="1" applyAlignment="1">
      <alignment horizontal="center" wrapText="1"/>
    </xf>
    <xf numFmtId="0" fontId="24" fillId="59" borderId="37" xfId="0" applyFont="1" applyFill="1" applyBorder="1" applyAlignment="1">
      <alignment vertical="center"/>
    </xf>
    <xf numFmtId="166" fontId="24" fillId="59" borderId="37" xfId="0" applyNumberFormat="1" applyFont="1" applyFill="1" applyBorder="1" applyAlignment="1">
      <alignment vertical="center"/>
    </xf>
    <xf numFmtId="0" fontId="24" fillId="59" borderId="17" xfId="0" applyFont="1" applyFill="1" applyBorder="1" applyAlignment="1">
      <alignment vertical="center"/>
    </xf>
    <xf numFmtId="0" fontId="16" fillId="0" borderId="39" xfId="0" applyFont="1" applyBorder="1"/>
    <xf numFmtId="14" fontId="0" fillId="0" borderId="39" xfId="0" applyNumberFormat="1" applyBorder="1"/>
    <xf numFmtId="0" fontId="0" fillId="0" borderId="39" xfId="0" applyBorder="1"/>
    <xf numFmtId="0" fontId="45" fillId="0" borderId="0" xfId="0" applyFont="1" applyFill="1" applyAlignment="1">
      <alignment horizontal="center"/>
    </xf>
    <xf numFmtId="4" fontId="46" fillId="0" borderId="0" xfId="0" applyNumberFormat="1" applyFont="1" applyFill="1" applyAlignment="1">
      <alignment vertical="center"/>
    </xf>
    <xf numFmtId="4" fontId="45" fillId="0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0" fontId="21" fillId="0" borderId="19" xfId="1" applyFont="1" applyFill="1" applyBorder="1" applyAlignment="1">
      <alignment vertical="center" wrapText="1"/>
    </xf>
    <xf numFmtId="0" fontId="0" fillId="0" borderId="19" xfId="0" applyBorder="1" applyAlignment="1">
      <alignment wrapText="1"/>
    </xf>
    <xf numFmtId="0" fontId="20" fillId="0" borderId="0" xfId="1" applyFont="1" applyFill="1" applyBorder="1" applyAlignment="1">
      <alignment wrapText="1"/>
    </xf>
    <xf numFmtId="0" fontId="16" fillId="0" borderId="0" xfId="0" applyFont="1" applyAlignment="1">
      <alignment horizontal="left"/>
    </xf>
    <xf numFmtId="166" fontId="0" fillId="59" borderId="10" xfId="0" applyNumberFormat="1" applyFill="1" applyBorder="1" applyAlignment="1">
      <alignment horizontal="center"/>
    </xf>
    <xf numFmtId="0" fontId="0" fillId="59" borderId="10" xfId="0" applyFill="1" applyBorder="1" applyAlignment="1">
      <alignment horizontal="center"/>
    </xf>
    <xf numFmtId="0" fontId="0" fillId="59" borderId="35" xfId="0" applyFill="1" applyBorder="1" applyAlignment="1">
      <alignment horizontal="center"/>
    </xf>
    <xf numFmtId="10" fontId="0" fillId="61" borderId="10" xfId="0" applyNumberFormat="1" applyFill="1" applyBorder="1" applyAlignment="1">
      <alignment horizontal="center"/>
    </xf>
    <xf numFmtId="10" fontId="0" fillId="61" borderId="35" xfId="0" applyNumberFormat="1" applyFill="1" applyBorder="1" applyAlignment="1">
      <alignment horizontal="center"/>
    </xf>
    <xf numFmtId="0" fontId="0" fillId="59" borderId="59" xfId="0" applyFill="1" applyBorder="1" applyAlignment="1">
      <alignment horizontal="center"/>
    </xf>
    <xf numFmtId="0" fontId="0" fillId="59" borderId="60" xfId="0" applyFill="1" applyBorder="1" applyAlignment="1">
      <alignment horizontal="center"/>
    </xf>
    <xf numFmtId="0" fontId="45" fillId="59" borderId="18" xfId="0" applyFont="1" applyFill="1" applyBorder="1" applyAlignment="1">
      <alignment horizontal="center"/>
    </xf>
    <xf numFmtId="0" fontId="45" fillId="59" borderId="19" xfId="0" applyFont="1" applyFill="1" applyBorder="1" applyAlignment="1">
      <alignment horizontal="center"/>
    </xf>
    <xf numFmtId="0" fontId="0" fillId="59" borderId="14" xfId="0" applyFill="1" applyBorder="1" applyAlignment="1">
      <alignment horizontal="center"/>
    </xf>
    <xf numFmtId="0" fontId="0" fillId="59" borderId="58" xfId="0" applyFill="1" applyBorder="1" applyAlignment="1">
      <alignment horizontal="center"/>
    </xf>
    <xf numFmtId="166" fontId="0" fillId="33" borderId="40" xfId="0" applyNumberFormat="1" applyFont="1" applyFill="1" applyBorder="1" applyAlignment="1">
      <alignment horizontal="center"/>
    </xf>
    <xf numFmtId="166" fontId="0" fillId="33" borderId="41" xfId="0" applyNumberFormat="1" applyFont="1" applyFill="1" applyBorder="1" applyAlignment="1">
      <alignment horizontal="center"/>
    </xf>
    <xf numFmtId="166" fontId="0" fillId="33" borderId="42" xfId="0" applyNumberFormat="1" applyFont="1" applyFill="1" applyBorder="1" applyAlignment="1">
      <alignment horizontal="center"/>
    </xf>
    <xf numFmtId="166" fontId="0" fillId="33" borderId="43" xfId="0" applyNumberFormat="1" applyFont="1" applyFill="1" applyBorder="1" applyAlignment="1">
      <alignment horizontal="center"/>
    </xf>
    <xf numFmtId="166" fontId="0" fillId="33" borderId="44" xfId="0" applyNumberFormat="1" applyFont="1" applyFill="1" applyBorder="1" applyAlignment="1">
      <alignment horizontal="center"/>
    </xf>
    <xf numFmtId="166" fontId="0" fillId="33" borderId="45" xfId="0" applyNumberFormat="1" applyFont="1" applyFill="1" applyBorder="1" applyAlignment="1">
      <alignment horizontal="center"/>
    </xf>
    <xf numFmtId="166" fontId="45" fillId="59" borderId="19" xfId="0" applyNumberFormat="1" applyFont="1" applyFill="1" applyBorder="1" applyAlignment="1">
      <alignment horizontal="center"/>
    </xf>
    <xf numFmtId="166" fontId="45" fillId="59" borderId="20" xfId="0" applyNumberFormat="1" applyFont="1" applyFill="1" applyBorder="1" applyAlignment="1">
      <alignment horizontal="center"/>
    </xf>
    <xf numFmtId="0" fontId="0" fillId="61" borderId="0" xfId="0" applyFill="1" applyAlignment="1">
      <alignment horizontal="center"/>
    </xf>
    <xf numFmtId="0" fontId="20" fillId="59" borderId="54" xfId="5" applyFont="1" applyFill="1" applyBorder="1" applyAlignment="1">
      <alignment horizontal="center" vertical="center" wrapText="1"/>
    </xf>
    <xf numFmtId="0" fontId="20" fillId="59" borderId="47" xfId="5" applyFont="1" applyFill="1" applyBorder="1" applyAlignment="1">
      <alignment horizontal="center" vertical="center" wrapText="1"/>
    </xf>
    <xf numFmtId="0" fontId="20" fillId="59" borderId="55" xfId="5" applyFont="1" applyFill="1" applyBorder="1" applyAlignment="1">
      <alignment horizontal="center" vertical="center" wrapText="1"/>
    </xf>
    <xf numFmtId="0" fontId="49" fillId="62" borderId="56" xfId="5" applyFont="1" applyFill="1" applyBorder="1" applyAlignment="1">
      <alignment horizontal="left" vertical="top" wrapText="1"/>
    </xf>
    <xf numFmtId="0" fontId="49" fillId="62" borderId="50" xfId="5" applyFont="1" applyFill="1" applyBorder="1" applyAlignment="1">
      <alignment horizontal="left" vertical="top" wrapText="1"/>
    </xf>
    <xf numFmtId="0" fontId="49" fillId="62" borderId="57" xfId="5" applyFont="1" applyFill="1" applyBorder="1" applyAlignment="1">
      <alignment horizontal="left" vertical="top" wrapText="1"/>
    </xf>
    <xf numFmtId="0" fontId="49" fillId="62" borderId="15" xfId="5" applyFont="1" applyFill="1" applyBorder="1" applyAlignment="1">
      <alignment horizontal="left" vertical="top" wrapText="1"/>
    </xf>
    <xf numFmtId="0" fontId="49" fillId="62" borderId="41" xfId="5" applyFont="1" applyFill="1" applyBorder="1" applyAlignment="1">
      <alignment horizontal="left" vertical="top" wrapText="1"/>
    </xf>
    <xf numFmtId="0" fontId="49" fillId="62" borderId="36" xfId="5" applyFont="1" applyFill="1" applyBorder="1" applyAlignment="1">
      <alignment horizontal="left" vertical="top" wrapText="1"/>
    </xf>
    <xf numFmtId="3" fontId="20" fillId="59" borderId="46" xfId="5" applyNumberFormat="1" applyFont="1" applyFill="1" applyBorder="1" applyAlignment="1">
      <alignment horizontal="center" vertical="center" wrapText="1"/>
    </xf>
    <xf numFmtId="3" fontId="20" fillId="59" borderId="47" xfId="5" applyNumberFormat="1" applyFont="1" applyFill="1" applyBorder="1" applyAlignment="1">
      <alignment horizontal="center" vertical="center" wrapText="1"/>
    </xf>
    <xf numFmtId="3" fontId="20" fillId="59" borderId="48" xfId="5" applyNumberFormat="1" applyFont="1" applyFill="1" applyBorder="1" applyAlignment="1">
      <alignment horizontal="center" vertical="center" wrapText="1"/>
    </xf>
    <xf numFmtId="166" fontId="0" fillId="33" borderId="49" xfId="0" applyNumberFormat="1" applyFont="1" applyFill="1" applyBorder="1" applyAlignment="1">
      <alignment horizontal="center"/>
    </xf>
    <xf numFmtId="166" fontId="0" fillId="33" borderId="50" xfId="0" applyNumberFormat="1" applyFont="1" applyFill="1" applyBorder="1" applyAlignment="1">
      <alignment horizontal="center"/>
    </xf>
    <xf numFmtId="166" fontId="0" fillId="33" borderId="51" xfId="0" applyNumberFormat="1" applyFont="1" applyFill="1" applyBorder="1" applyAlignment="1">
      <alignment horizontal="center"/>
    </xf>
    <xf numFmtId="0" fontId="49" fillId="62" borderId="52" xfId="5" applyFont="1" applyFill="1" applyBorder="1" applyAlignment="1">
      <alignment horizontal="left" vertical="top" wrapText="1"/>
    </xf>
    <xf numFmtId="0" fontId="49" fillId="62" borderId="44" xfId="5" applyFont="1" applyFill="1" applyBorder="1" applyAlignment="1">
      <alignment horizontal="left" vertical="top" wrapText="1"/>
    </xf>
    <xf numFmtId="0" fontId="49" fillId="62" borderId="53" xfId="5" applyFont="1" applyFill="1" applyBorder="1" applyAlignment="1">
      <alignment horizontal="left" vertical="top" wrapText="1"/>
    </xf>
    <xf numFmtId="0" fontId="20" fillId="59" borderId="11" xfId="1" applyFont="1" applyFill="1" applyBorder="1" applyAlignment="1">
      <alignment horizontal="center" vertical="center"/>
    </xf>
    <xf numFmtId="0" fontId="20" fillId="59" borderId="12" xfId="1" applyFont="1" applyFill="1" applyBorder="1" applyAlignment="1">
      <alignment horizontal="center" vertical="center"/>
    </xf>
    <xf numFmtId="0" fontId="20" fillId="59" borderId="34" xfId="1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47" fillId="61" borderId="0" xfId="1" applyFont="1" applyFill="1" applyBorder="1" applyAlignment="1">
      <alignment horizontal="left" vertical="center" wrapText="1"/>
    </xf>
    <xf numFmtId="0" fontId="49" fillId="61" borderId="0" xfId="5" applyFont="1" applyFill="1" applyBorder="1" applyAlignment="1">
      <alignment horizontal="center" vertical="top" wrapText="1"/>
    </xf>
    <xf numFmtId="0" fontId="44" fillId="0" borderId="23" xfId="0" applyNumberFormat="1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45" fillId="59" borderId="11" xfId="0" applyFont="1" applyFill="1" applyBorder="1" applyAlignment="1">
      <alignment horizontal="center" vertical="center"/>
    </xf>
    <xf numFmtId="0" fontId="45" fillId="59" borderId="12" xfId="0" applyFont="1" applyFill="1" applyBorder="1" applyAlignment="1">
      <alignment horizontal="center" vertical="center"/>
    </xf>
    <xf numFmtId="0" fontId="45" fillId="59" borderId="34" xfId="0" applyFont="1" applyFill="1" applyBorder="1" applyAlignment="1">
      <alignment horizontal="center" vertical="center"/>
    </xf>
    <xf numFmtId="4" fontId="0" fillId="61" borderId="0" xfId="0" applyNumberFormat="1" applyFill="1" applyAlignment="1">
      <alignment horizontal="center"/>
    </xf>
    <xf numFmtId="0" fontId="16" fillId="0" borderId="0" xfId="0" applyFont="1" applyAlignment="1">
      <alignment horizontal="center"/>
    </xf>
    <xf numFmtId="0" fontId="44" fillId="0" borderId="0" xfId="0" applyFont="1" applyBorder="1" applyAlignment="1">
      <alignment horizontal="center"/>
    </xf>
    <xf numFmtId="0" fontId="16" fillId="61" borderId="0" xfId="0" applyFont="1" applyFill="1" applyAlignment="1">
      <alignment horizontal="center"/>
    </xf>
  </cellXfs>
  <cellStyles count="299">
    <cellStyle name="20% - Accent1 2" xfId="8"/>
    <cellStyle name="20% - Accent1 3" xfId="9"/>
    <cellStyle name="20% - Accent1 3 2" xfId="10"/>
    <cellStyle name="20% - Accent1 4" xfId="11"/>
    <cellStyle name="20% - Accent1 5" xfId="12"/>
    <cellStyle name="20% - Accent2 2" xfId="13"/>
    <cellStyle name="20% - Accent2 3" xfId="14"/>
    <cellStyle name="20% - Accent2 3 2" xfId="15"/>
    <cellStyle name="20% - Accent2 4" xfId="16"/>
    <cellStyle name="20% - Accent2 5" xfId="17"/>
    <cellStyle name="20% - Accent3 2" xfId="18"/>
    <cellStyle name="20% - Accent3 3" xfId="19"/>
    <cellStyle name="20% - Accent3 3 2" xfId="20"/>
    <cellStyle name="20% - Accent3 4" xfId="21"/>
    <cellStyle name="20% - Accent3 5" xfId="22"/>
    <cellStyle name="20% - Accent4 2" xfId="23"/>
    <cellStyle name="20% - Accent4 3" xfId="24"/>
    <cellStyle name="20% - Accent4 3 2" xfId="25"/>
    <cellStyle name="20% - Accent4 4" xfId="26"/>
    <cellStyle name="20% - Accent4 5" xfId="27"/>
    <cellStyle name="20% - Accent5 2" xfId="28"/>
    <cellStyle name="20% - Accent5 3" xfId="29"/>
    <cellStyle name="20% - Accent5 3 2" xfId="30"/>
    <cellStyle name="20% - Accent5 4" xfId="31"/>
    <cellStyle name="20% - Accent5 5" xfId="32"/>
    <cellStyle name="20% - Accent6 2" xfId="33"/>
    <cellStyle name="20% - Accent6 3" xfId="34"/>
    <cellStyle name="20% - Accent6 3 2" xfId="35"/>
    <cellStyle name="20% - Accent6 4" xfId="36"/>
    <cellStyle name="20% - Accent6 5" xfId="37"/>
    <cellStyle name="40% - Accent1 2" xfId="38"/>
    <cellStyle name="40% - Accent1 3" xfId="39"/>
    <cellStyle name="40% - Accent1 3 2" xfId="40"/>
    <cellStyle name="40% - Accent1 4" xfId="41"/>
    <cellStyle name="40% - Accent1 5" xfId="42"/>
    <cellStyle name="40% - Accent2 2" xfId="43"/>
    <cellStyle name="40% - Accent2 3" xfId="44"/>
    <cellStyle name="40% - Accent2 3 2" xfId="45"/>
    <cellStyle name="40% - Accent2 4" xfId="46"/>
    <cellStyle name="40% - Accent2 5" xfId="47"/>
    <cellStyle name="40% - Accent3 2" xfId="48"/>
    <cellStyle name="40% - Accent3 3" xfId="49"/>
    <cellStyle name="40% - Accent3 3 2" xfId="50"/>
    <cellStyle name="40% - Accent3 4" xfId="51"/>
    <cellStyle name="40% - Accent3 5" xfId="52"/>
    <cellStyle name="40% - Accent4 2" xfId="53"/>
    <cellStyle name="40% - Accent4 3" xfId="54"/>
    <cellStyle name="40% - Accent4 3 2" xfId="55"/>
    <cellStyle name="40% - Accent4 4" xfId="56"/>
    <cellStyle name="40% - Accent4 5" xfId="57"/>
    <cellStyle name="40% - Accent5 2" xfId="58"/>
    <cellStyle name="40% - Accent5 3" xfId="59"/>
    <cellStyle name="40% - Accent5 3 2" xfId="60"/>
    <cellStyle name="40% - Accent5 4" xfId="61"/>
    <cellStyle name="40% - Accent5 5" xfId="62"/>
    <cellStyle name="40% - Accent6 2" xfId="63"/>
    <cellStyle name="40% - Accent6 3" xfId="64"/>
    <cellStyle name="40% - Accent6 3 2" xfId="65"/>
    <cellStyle name="40% - Accent6 4" xfId="66"/>
    <cellStyle name="40% - Accent6 5" xfId="67"/>
    <cellStyle name="60% - Accent1 2" xfId="68"/>
    <cellStyle name="60% - Accent1 3" xfId="69"/>
    <cellStyle name="60% - Accent1 4" xfId="70"/>
    <cellStyle name="60% - Accent2 2" xfId="71"/>
    <cellStyle name="60% - Accent2 3" xfId="72"/>
    <cellStyle name="60% - Accent2 4" xfId="73"/>
    <cellStyle name="60% - Accent3 2" xfId="74"/>
    <cellStyle name="60% - Accent3 3" xfId="75"/>
    <cellStyle name="60% - Accent3 4" xfId="76"/>
    <cellStyle name="60% - Accent4 2" xfId="77"/>
    <cellStyle name="60% - Accent4 3" xfId="78"/>
    <cellStyle name="60% - Accent4 4" xfId="79"/>
    <cellStyle name="60% - Accent5 2" xfId="80"/>
    <cellStyle name="60% - Accent5 3" xfId="81"/>
    <cellStyle name="60% - Accent5 4" xfId="82"/>
    <cellStyle name="60% - Accent6 2" xfId="83"/>
    <cellStyle name="60% - Accent6 3" xfId="84"/>
    <cellStyle name="60% - Accent6 4" xfId="85"/>
    <cellStyle name="Accent1 2" xfId="86"/>
    <cellStyle name="Accent1 3" xfId="87"/>
    <cellStyle name="Accent1 4" xfId="88"/>
    <cellStyle name="Accent2 2" xfId="89"/>
    <cellStyle name="Accent2 3" xfId="90"/>
    <cellStyle name="Accent2 4" xfId="91"/>
    <cellStyle name="Accent3 2" xfId="92"/>
    <cellStyle name="Accent3 3" xfId="93"/>
    <cellStyle name="Accent3 4" xfId="94"/>
    <cellStyle name="Accent4 2" xfId="95"/>
    <cellStyle name="Accent4 3" xfId="96"/>
    <cellStyle name="Accent4 4" xfId="97"/>
    <cellStyle name="Accent5 2" xfId="98"/>
    <cellStyle name="Accent5 3" xfId="99"/>
    <cellStyle name="Accent5 4" xfId="100"/>
    <cellStyle name="Accent6 2" xfId="101"/>
    <cellStyle name="Accent6 3" xfId="102"/>
    <cellStyle name="Accent6 4" xfId="103"/>
    <cellStyle name="Bad 2" xfId="104"/>
    <cellStyle name="Bad 3" xfId="105"/>
    <cellStyle name="Bad 4" xfId="106"/>
    <cellStyle name="Calculation 2" xfId="107"/>
    <cellStyle name="Calculation 2 2" xfId="108"/>
    <cellStyle name="Calculation 2 3" xfId="109"/>
    <cellStyle name="Calculation 2 4" xfId="110"/>
    <cellStyle name="Calculation 3" xfId="111"/>
    <cellStyle name="Calculation 4" xfId="112"/>
    <cellStyle name="Calculation 4 2" xfId="113"/>
    <cellStyle name="Calculation 4 3" xfId="114"/>
    <cellStyle name="Calculation 4 4" xfId="115"/>
    <cellStyle name="Check Cell 2" xfId="116"/>
    <cellStyle name="Check Cell 3" xfId="117"/>
    <cellStyle name="Check Cell 4" xfId="118"/>
    <cellStyle name="Comma 2" xfId="3"/>
    <cellStyle name="Comma 2 2" xfId="120"/>
    <cellStyle name="Comma 2 2 2" xfId="121"/>
    <cellStyle name="Comma 2 3" xfId="122"/>
    <cellStyle name="Comma 2 4" xfId="123"/>
    <cellStyle name="Comma 2 5" xfId="124"/>
    <cellStyle name="Comma 2 6" xfId="125"/>
    <cellStyle name="Comma 2 7" xfId="119"/>
    <cellStyle name="Comma 3" xfId="126"/>
    <cellStyle name="Comma 3 2" xfId="127"/>
    <cellStyle name="Comma 3 2 2" xfId="128"/>
    <cellStyle name="Comma 3 3" xfId="129"/>
    <cellStyle name="Comma 3 4" xfId="130"/>
    <cellStyle name="Comma 3 5" xfId="131"/>
    <cellStyle name="Comma 4" xfId="132"/>
    <cellStyle name="Comma 4 2" xfId="133"/>
    <cellStyle name="Comma 5" xfId="134"/>
    <cellStyle name="Comma 6" xfId="135"/>
    <cellStyle name="Currency 2" xfId="2"/>
    <cellStyle name="Currency 2 2" xfId="137"/>
    <cellStyle name="Currency 2 2 2" xfId="138"/>
    <cellStyle name="Currency 2 3" xfId="139"/>
    <cellStyle name="Currency 2 4" xfId="140"/>
    <cellStyle name="Currency 2 5" xfId="136"/>
    <cellStyle name="Currency 3" xfId="141"/>
    <cellStyle name="Currency 3 2" xfId="142"/>
    <cellStyle name="Currency 4" xfId="143"/>
    <cellStyle name="Currency 4 2" xfId="144"/>
    <cellStyle name="Currency 4 3" xfId="145"/>
    <cellStyle name="Currency 5" xfId="146"/>
    <cellStyle name="Currency 5 2" xfId="147"/>
    <cellStyle name="Currency 6" xfId="148"/>
    <cellStyle name="Currency 6 2" xfId="149"/>
    <cellStyle name="Currency 7" xfId="150"/>
    <cellStyle name="Currency 9" xfId="151"/>
    <cellStyle name="Explanatory Text 2" xfId="152"/>
    <cellStyle name="Explanatory Text 3" xfId="153"/>
    <cellStyle name="Explanatory Text 4" xfId="154"/>
    <cellStyle name="Good 2" xfId="155"/>
    <cellStyle name="Good 3" xfId="156"/>
    <cellStyle name="Good 4" xfId="157"/>
    <cellStyle name="Heading 1 2" xfId="158"/>
    <cellStyle name="Heading 1 2 2" xfId="159"/>
    <cellStyle name="Heading 1 3" xfId="160"/>
    <cellStyle name="Heading 1 4" xfId="161"/>
    <cellStyle name="Heading 1 5" xfId="162"/>
    <cellStyle name="Heading 2 2" xfId="163"/>
    <cellStyle name="Heading 2 3" xfId="164"/>
    <cellStyle name="Heading 2 4" xfId="165"/>
    <cellStyle name="Heading 3 2" xfId="166"/>
    <cellStyle name="Heading 3 3" xfId="167"/>
    <cellStyle name="Heading 3 4" xfId="168"/>
    <cellStyle name="Heading 4 2" xfId="169"/>
    <cellStyle name="Heading 4 3" xfId="170"/>
    <cellStyle name="Heading 4 4" xfId="171"/>
    <cellStyle name="Input 2" xfId="172"/>
    <cellStyle name="Input 2 2" xfId="173"/>
    <cellStyle name="Input 2 3" xfId="174"/>
    <cellStyle name="Input 2 4" xfId="175"/>
    <cellStyle name="Input 3" xfId="176"/>
    <cellStyle name="Input 4" xfId="177"/>
    <cellStyle name="Input 4 2" xfId="178"/>
    <cellStyle name="Input 4 3" xfId="179"/>
    <cellStyle name="Input 4 4" xfId="180"/>
    <cellStyle name="Linked Cell 2" xfId="181"/>
    <cellStyle name="Linked Cell 3" xfId="182"/>
    <cellStyle name="Linked Cell 4" xfId="183"/>
    <cellStyle name="Neutral 2" xfId="184"/>
    <cellStyle name="Neutral 3" xfId="185"/>
    <cellStyle name="Neutral 4" xfId="186"/>
    <cellStyle name="Normal" xfId="0" builtinId="0"/>
    <cellStyle name="Normal 10" xfId="187"/>
    <cellStyle name="Normal 11" xfId="188"/>
    <cellStyle name="Normal 11 2" xfId="189"/>
    <cellStyle name="Normal 12" xfId="190"/>
    <cellStyle name="Normal 13" xfId="7"/>
    <cellStyle name="Normal 14" xfId="191"/>
    <cellStyle name="Normal 15" xfId="192"/>
    <cellStyle name="Normal 16" xfId="193"/>
    <cellStyle name="Normal 2" xfId="1"/>
    <cellStyle name="Normal 2 2" xfId="195"/>
    <cellStyle name="Normal 2 2 2" xfId="196"/>
    <cellStyle name="Normal 2 3" xfId="197"/>
    <cellStyle name="Normal 2 3 2" xfId="198"/>
    <cellStyle name="Normal 2 4" xfId="194"/>
    <cellStyle name="Normal 3" xfId="5"/>
    <cellStyle name="Normal 3 2" xfId="200"/>
    <cellStyle name="Normal 3 2 2" xfId="201"/>
    <cellStyle name="Normal 3 3" xfId="202"/>
    <cellStyle name="Normal 3 4" xfId="203"/>
    <cellStyle name="Normal 3 5" xfId="204"/>
    <cellStyle name="Normal 3 6" xfId="199"/>
    <cellStyle name="Normal 4" xfId="205"/>
    <cellStyle name="Normal 4 2" xfId="206"/>
    <cellStyle name="Normal 4 2 2" xfId="207"/>
    <cellStyle name="Normal 4 3" xfId="208"/>
    <cellStyle name="Normal 4 4" xfId="209"/>
    <cellStyle name="Normal 4 5" xfId="210"/>
    <cellStyle name="Normal 4 6" xfId="211"/>
    <cellStyle name="Normal 4 7" xfId="212"/>
    <cellStyle name="Normal 5" xfId="213"/>
    <cellStyle name="Normal 5 2" xfId="214"/>
    <cellStyle name="Normal 5 2 2" xfId="215"/>
    <cellStyle name="Normal 5 3" xfId="216"/>
    <cellStyle name="Normal 5 4" xfId="217"/>
    <cellStyle name="Normal 5 5" xfId="218"/>
    <cellStyle name="Normal 5 6" xfId="219"/>
    <cellStyle name="Normal 6" xfId="220"/>
    <cellStyle name="Normal 6 2" xfId="221"/>
    <cellStyle name="Normal 6 2 2" xfId="222"/>
    <cellStyle name="Normal 6 3" xfId="223"/>
    <cellStyle name="Normal 6 4" xfId="224"/>
    <cellStyle name="Normal 6 5" xfId="225"/>
    <cellStyle name="Normal 6 6" xfId="226"/>
    <cellStyle name="Normal 7" xfId="227"/>
    <cellStyle name="Normal 7 2" xfId="228"/>
    <cellStyle name="Normal 8" xfId="229"/>
    <cellStyle name="Normal 8 2" xfId="230"/>
    <cellStyle name="Normal 8 3" xfId="231"/>
    <cellStyle name="Normal 8 4" xfId="232"/>
    <cellStyle name="Normal 9" xfId="233"/>
    <cellStyle name="Note 2" xfId="234"/>
    <cellStyle name="Note 2 2" xfId="235"/>
    <cellStyle name="Note 2 3" xfId="236"/>
    <cellStyle name="Note 2 4" xfId="237"/>
    <cellStyle name="Note 3" xfId="238"/>
    <cellStyle name="Note 3 2" xfId="239"/>
    <cellStyle name="Note 4" xfId="240"/>
    <cellStyle name="Note 4 2" xfId="241"/>
    <cellStyle name="Note 4 3" xfId="242"/>
    <cellStyle name="Note 4 4" xfId="243"/>
    <cellStyle name="Note 5" xfId="244"/>
    <cellStyle name="Note 5 2" xfId="245"/>
    <cellStyle name="Note 5 3" xfId="246"/>
    <cellStyle name="Note 5 4" xfId="247"/>
    <cellStyle name="Output 2" xfId="248"/>
    <cellStyle name="Output 2 2" xfId="249"/>
    <cellStyle name="Output 2 3" xfId="250"/>
    <cellStyle name="Output 2 4" xfId="251"/>
    <cellStyle name="Output 3" xfId="252"/>
    <cellStyle name="Output 4" xfId="253"/>
    <cellStyle name="Output 4 2" xfId="254"/>
    <cellStyle name="Output 4 3" xfId="255"/>
    <cellStyle name="Output 4 4" xfId="256"/>
    <cellStyle name="Percent 2" xfId="4"/>
    <cellStyle name="Percent 2 2" xfId="258"/>
    <cellStyle name="Percent 2 3" xfId="259"/>
    <cellStyle name="Percent 2 4" xfId="257"/>
    <cellStyle name="Percent 3" xfId="260"/>
    <cellStyle name="Percent 3 2" xfId="261"/>
    <cellStyle name="Percent 3 2 2" xfId="262"/>
    <cellStyle name="Percent 3 3" xfId="263"/>
    <cellStyle name="Percent 3 4" xfId="264"/>
    <cellStyle name="Percent 3 5" xfId="265"/>
    <cellStyle name="Percent 4" xfId="266"/>
    <cellStyle name="Percent 4 2" xfId="267"/>
    <cellStyle name="Percent 4 3" xfId="268"/>
    <cellStyle name="Percent 5" xfId="269"/>
    <cellStyle name="Percent 6" xfId="270"/>
    <cellStyle name="Percent 7" xfId="271"/>
    <cellStyle name="Style 1" xfId="272"/>
    <cellStyle name="Style 1 2" xfId="273"/>
    <cellStyle name="Style 1 3" xfId="274"/>
    <cellStyle name="Style 1 4" xfId="275"/>
    <cellStyle name="Style 1 5" xfId="276"/>
    <cellStyle name="Title 2" xfId="277"/>
    <cellStyle name="Title 3" xfId="278"/>
    <cellStyle name="Title 4" xfId="279"/>
    <cellStyle name="Total 2" xfId="6"/>
    <cellStyle name="Total 2 2" xfId="280"/>
    <cellStyle name="Total 2 2 2" xfId="281"/>
    <cellStyle name="Total 2 2 3" xfId="282"/>
    <cellStyle name="Total 2 2 4" xfId="283"/>
    <cellStyle name="Total 2 3" xfId="284"/>
    <cellStyle name="Total 2 3 2" xfId="285"/>
    <cellStyle name="Total 2 3 3" xfId="286"/>
    <cellStyle name="Total 2 3 4" xfId="287"/>
    <cellStyle name="Total 2 4" xfId="288"/>
    <cellStyle name="Total 2 5" xfId="289"/>
    <cellStyle name="Total 2 6" xfId="290"/>
    <cellStyle name="Total 3" xfId="291"/>
    <cellStyle name="Total 4" xfId="292"/>
    <cellStyle name="Total 4 2" xfId="293"/>
    <cellStyle name="Total 4 3" xfId="294"/>
    <cellStyle name="Total 4 4" xfId="295"/>
    <cellStyle name="Warning Text 2" xfId="296"/>
    <cellStyle name="Warning Text 3" xfId="297"/>
    <cellStyle name="Warning Text 4" xfId="298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showWhiteSpace="0" view="pageLayout" topLeftCell="A4" zoomScaleNormal="100" workbookViewId="0">
      <selection activeCell="F33" sqref="F33"/>
    </sheetView>
  </sheetViews>
  <sheetFormatPr defaultRowHeight="15" x14ac:dyDescent="0.25"/>
  <sheetData>
    <row r="1" spans="1:10" ht="19.5" thickBot="1" x14ac:dyDescent="0.3">
      <c r="A1" s="127" t="s">
        <v>95</v>
      </c>
      <c r="B1" s="128"/>
      <c r="C1" s="128"/>
      <c r="D1" s="128"/>
      <c r="E1" s="128"/>
      <c r="F1" s="128"/>
      <c r="G1" s="128"/>
      <c r="H1" s="128"/>
      <c r="I1" s="128"/>
      <c r="J1" s="129"/>
    </row>
    <row r="2" spans="1:10" ht="7.35" customHeight="1" x14ac:dyDescent="0.25">
      <c r="D2" s="85"/>
      <c r="E2" s="85"/>
      <c r="F2" s="85"/>
      <c r="G2" s="86"/>
    </row>
    <row r="3" spans="1:10" ht="18.75" customHeight="1" x14ac:dyDescent="0.25">
      <c r="A3" s="130" t="s">
        <v>100</v>
      </c>
      <c r="B3" s="130"/>
      <c r="C3" s="108"/>
      <c r="D3" s="108"/>
      <c r="E3" s="108"/>
      <c r="F3" s="108"/>
      <c r="G3" s="108"/>
      <c r="H3" s="108"/>
      <c r="I3" s="108"/>
      <c r="J3" s="108"/>
    </row>
    <row r="4" spans="1:10" s="1" customFormat="1" ht="7.35" customHeight="1" x14ac:dyDescent="0.3">
      <c r="A4" s="88"/>
      <c r="B4" s="88"/>
      <c r="D4" s="87"/>
      <c r="E4" s="87"/>
      <c r="F4" s="87"/>
      <c r="G4" s="84"/>
    </row>
    <row r="5" spans="1:10" s="1" customFormat="1" ht="18.75" customHeight="1" x14ac:dyDescent="0.25">
      <c r="A5" s="130" t="s">
        <v>99</v>
      </c>
      <c r="B5" s="130"/>
      <c r="C5" s="108"/>
      <c r="D5" s="108"/>
      <c r="E5" s="108"/>
      <c r="F5" s="108"/>
      <c r="G5" s="108"/>
      <c r="H5" s="108"/>
      <c r="I5" s="108"/>
      <c r="J5" s="108"/>
    </row>
    <row r="6" spans="1:10" s="1" customFormat="1" ht="7.35" customHeight="1" x14ac:dyDescent="0.3">
      <c r="A6" s="88"/>
      <c r="B6" s="88"/>
      <c r="D6" s="87"/>
      <c r="E6" s="87"/>
      <c r="F6" s="87"/>
      <c r="G6" s="84"/>
    </row>
    <row r="7" spans="1:10" s="1" customFormat="1" ht="18.75" customHeight="1" x14ac:dyDescent="0.25">
      <c r="A7" s="130" t="s">
        <v>89</v>
      </c>
      <c r="B7" s="130"/>
      <c r="C7" s="108"/>
      <c r="D7" s="108"/>
      <c r="E7" s="108"/>
      <c r="F7" s="108"/>
      <c r="G7" s="108"/>
      <c r="H7" s="108"/>
      <c r="I7" s="108"/>
      <c r="J7" s="108"/>
    </row>
    <row r="8" spans="1:10" ht="7.35" customHeight="1" thickBo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</row>
    <row r="9" spans="1:10" s="1" customFormat="1" ht="7.35" customHeight="1" thickTop="1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</row>
    <row r="10" spans="1:10" ht="15" customHeight="1" x14ac:dyDescent="0.25">
      <c r="A10" s="1"/>
      <c r="B10" s="131" t="s">
        <v>106</v>
      </c>
      <c r="C10" s="131"/>
      <c r="D10" s="131"/>
      <c r="E10" s="131"/>
      <c r="F10" s="131"/>
      <c r="G10" s="131"/>
      <c r="H10" s="131"/>
      <c r="I10" s="131"/>
    </row>
    <row r="11" spans="1:10" x14ac:dyDescent="0.25">
      <c r="A11" s="1"/>
      <c r="B11" s="131"/>
      <c r="C11" s="131"/>
      <c r="D11" s="131"/>
      <c r="E11" s="131"/>
      <c r="F11" s="131"/>
      <c r="G11" s="131"/>
      <c r="H11" s="131"/>
      <c r="I11" s="131"/>
    </row>
    <row r="12" spans="1:10" x14ac:dyDescent="0.25">
      <c r="B12" s="131"/>
      <c r="C12" s="131"/>
      <c r="D12" s="131"/>
      <c r="E12" s="131"/>
      <c r="F12" s="131"/>
      <c r="G12" s="131"/>
      <c r="H12" s="131"/>
      <c r="I12" s="131"/>
    </row>
    <row r="13" spans="1:10" x14ac:dyDescent="0.25">
      <c r="D13" s="1"/>
      <c r="E13" s="1"/>
      <c r="F13" s="1"/>
      <c r="G13" s="1"/>
    </row>
    <row r="14" spans="1:10" ht="15" customHeight="1" x14ac:dyDescent="0.25">
      <c r="B14" s="132" t="s">
        <v>96</v>
      </c>
      <c r="C14" s="132"/>
      <c r="D14" s="132"/>
      <c r="E14" s="132"/>
      <c r="F14" s="132"/>
      <c r="G14" s="132"/>
      <c r="H14" s="132"/>
      <c r="I14" s="132"/>
    </row>
    <row r="15" spans="1:10" ht="15.75" thickBot="1" x14ac:dyDescent="0.3">
      <c r="D15" s="1"/>
      <c r="E15" s="1"/>
      <c r="F15" s="1"/>
      <c r="G15" s="1"/>
    </row>
    <row r="16" spans="1:10" ht="31.5" customHeight="1" thickBot="1" x14ac:dyDescent="0.3">
      <c r="C16" s="109" t="s">
        <v>97</v>
      </c>
      <c r="D16" s="110"/>
      <c r="E16" s="111"/>
      <c r="F16" s="118" t="s">
        <v>101</v>
      </c>
      <c r="G16" s="119"/>
      <c r="H16" s="120"/>
    </row>
    <row r="17" spans="3:8" ht="15.75" customHeight="1" thickTop="1" x14ac:dyDescent="0.25">
      <c r="C17" s="112" t="s">
        <v>46</v>
      </c>
      <c r="D17" s="113"/>
      <c r="E17" s="114"/>
      <c r="F17" s="121">
        <f>'Detailed Budget'!E23</f>
        <v>0</v>
      </c>
      <c r="G17" s="122"/>
      <c r="H17" s="123"/>
    </row>
    <row r="18" spans="3:8" ht="15" customHeight="1" x14ac:dyDescent="0.25">
      <c r="C18" s="115" t="s">
        <v>52</v>
      </c>
      <c r="D18" s="116"/>
      <c r="E18" s="117"/>
      <c r="F18" s="100">
        <f>'Detailed Budget'!E28</f>
        <v>0</v>
      </c>
      <c r="G18" s="101"/>
      <c r="H18" s="102"/>
    </row>
    <row r="19" spans="3:8" ht="15" customHeight="1" x14ac:dyDescent="0.25">
      <c r="C19" s="115" t="s">
        <v>53</v>
      </c>
      <c r="D19" s="116"/>
      <c r="E19" s="117"/>
      <c r="F19" s="100">
        <f>'Detailed Budget'!E34</f>
        <v>0</v>
      </c>
      <c r="G19" s="101"/>
      <c r="H19" s="102"/>
    </row>
    <row r="20" spans="3:8" ht="15" customHeight="1" x14ac:dyDescent="0.25">
      <c r="C20" s="115" t="s">
        <v>54</v>
      </c>
      <c r="D20" s="116"/>
      <c r="E20" s="117"/>
      <c r="F20" s="100">
        <f>'Detailed Budget'!E42</f>
        <v>0</v>
      </c>
      <c r="G20" s="101"/>
      <c r="H20" s="102"/>
    </row>
    <row r="21" spans="3:8" ht="15" customHeight="1" x14ac:dyDescent="0.25">
      <c r="C21" s="115" t="s">
        <v>55</v>
      </c>
      <c r="D21" s="116"/>
      <c r="E21" s="117"/>
      <c r="F21" s="100">
        <f>'Detailed Budget'!E51</f>
        <v>0</v>
      </c>
      <c r="G21" s="101"/>
      <c r="H21" s="102"/>
    </row>
    <row r="22" spans="3:8" ht="15" customHeight="1" x14ac:dyDescent="0.25">
      <c r="C22" s="115" t="s">
        <v>60</v>
      </c>
      <c r="D22" s="116"/>
      <c r="E22" s="117"/>
      <c r="F22" s="100">
        <f>'Detailed Budget'!E59</f>
        <v>0</v>
      </c>
      <c r="G22" s="101"/>
      <c r="H22" s="102"/>
    </row>
    <row r="23" spans="3:8" ht="15" customHeight="1" x14ac:dyDescent="0.25">
      <c r="C23" s="115" t="s">
        <v>0</v>
      </c>
      <c r="D23" s="116"/>
      <c r="E23" s="117"/>
      <c r="F23" s="100">
        <f>'Detailed Budget'!E67</f>
        <v>0</v>
      </c>
      <c r="G23" s="101"/>
      <c r="H23" s="102"/>
    </row>
    <row r="24" spans="3:8" ht="15" customHeight="1" x14ac:dyDescent="0.25">
      <c r="C24" s="115" t="s">
        <v>64</v>
      </c>
      <c r="D24" s="116"/>
      <c r="E24" s="117"/>
      <c r="F24" s="100">
        <f>'Detailed Budget'!E75</f>
        <v>0</v>
      </c>
      <c r="G24" s="101"/>
      <c r="H24" s="102"/>
    </row>
    <row r="25" spans="3:8" ht="15" customHeight="1" x14ac:dyDescent="0.25">
      <c r="C25" s="115" t="s">
        <v>87</v>
      </c>
      <c r="D25" s="116"/>
      <c r="E25" s="117"/>
      <c r="F25" s="100">
        <f>'Detailed Budget'!E83</f>
        <v>0</v>
      </c>
      <c r="G25" s="101"/>
      <c r="H25" s="102"/>
    </row>
    <row r="26" spans="3:8" ht="15.75" customHeight="1" thickBot="1" x14ac:dyDescent="0.3">
      <c r="C26" s="124" t="s">
        <v>98</v>
      </c>
      <c r="D26" s="125"/>
      <c r="E26" s="126"/>
      <c r="F26" s="103">
        <f>'Detailed Budget'!E92</f>
        <v>0</v>
      </c>
      <c r="G26" s="104"/>
      <c r="H26" s="105"/>
    </row>
    <row r="27" spans="3:8" ht="15.75" thickBot="1" x14ac:dyDescent="0.3">
      <c r="C27" s="1"/>
      <c r="D27" s="1"/>
      <c r="E27" s="1"/>
      <c r="F27" s="1"/>
      <c r="G27" s="1"/>
      <c r="H27" s="1"/>
    </row>
    <row r="28" spans="3:8" ht="18.75" x14ac:dyDescent="0.3">
      <c r="C28" s="96" t="s">
        <v>102</v>
      </c>
      <c r="D28" s="97"/>
      <c r="E28" s="97"/>
      <c r="F28" s="106">
        <f>SUM(F17:H26)</f>
        <v>0</v>
      </c>
      <c r="G28" s="106"/>
      <c r="H28" s="107"/>
    </row>
    <row r="29" spans="3:8" x14ac:dyDescent="0.25">
      <c r="C29" s="98" t="s">
        <v>103</v>
      </c>
      <c r="D29" s="90"/>
      <c r="E29" s="90"/>
      <c r="F29" s="89">
        <f>(F28-F31)</f>
        <v>0</v>
      </c>
      <c r="G29" s="90"/>
      <c r="H29" s="91"/>
    </row>
    <row r="30" spans="3:8" x14ac:dyDescent="0.25">
      <c r="C30" s="98" t="s">
        <v>104</v>
      </c>
      <c r="D30" s="90"/>
      <c r="E30" s="90"/>
      <c r="F30" s="92">
        <v>0</v>
      </c>
      <c r="G30" s="92"/>
      <c r="H30" s="93"/>
    </row>
    <row r="31" spans="3:8" ht="15.75" thickBot="1" x14ac:dyDescent="0.3">
      <c r="C31" s="99" t="s">
        <v>105</v>
      </c>
      <c r="D31" s="94"/>
      <c r="E31" s="94"/>
      <c r="F31" s="94">
        <f>(F28*F30)</f>
        <v>0</v>
      </c>
      <c r="G31" s="94"/>
      <c r="H31" s="95"/>
    </row>
  </sheetData>
  <mergeCells count="39">
    <mergeCell ref="C26:E26"/>
    <mergeCell ref="A1:J1"/>
    <mergeCell ref="A3:B3"/>
    <mergeCell ref="A5:B5"/>
    <mergeCell ref="A7:B7"/>
    <mergeCell ref="B10:I12"/>
    <mergeCell ref="B14:I14"/>
    <mergeCell ref="C23:E23"/>
    <mergeCell ref="C24:E24"/>
    <mergeCell ref="C25:E25"/>
    <mergeCell ref="C19:E19"/>
    <mergeCell ref="C20:E20"/>
    <mergeCell ref="C21:E21"/>
    <mergeCell ref="F22:H22"/>
    <mergeCell ref="C3:J3"/>
    <mergeCell ref="C5:J5"/>
    <mergeCell ref="C7:J7"/>
    <mergeCell ref="C16:E16"/>
    <mergeCell ref="C17:E17"/>
    <mergeCell ref="C18:E18"/>
    <mergeCell ref="C22:E22"/>
    <mergeCell ref="F16:H16"/>
    <mergeCell ref="F17:H17"/>
    <mergeCell ref="F18:H18"/>
    <mergeCell ref="F19:H19"/>
    <mergeCell ref="F20:H20"/>
    <mergeCell ref="F21:H21"/>
    <mergeCell ref="F23:H23"/>
    <mergeCell ref="F24:H24"/>
    <mergeCell ref="F25:H25"/>
    <mergeCell ref="F26:H26"/>
    <mergeCell ref="F28:H28"/>
    <mergeCell ref="F29:H29"/>
    <mergeCell ref="F30:H30"/>
    <mergeCell ref="F31:H31"/>
    <mergeCell ref="C28:E28"/>
    <mergeCell ref="C29:E29"/>
    <mergeCell ref="C30:E30"/>
    <mergeCell ref="C31:E31"/>
  </mergeCells>
  <pageMargins left="0.5" right="0.5" top="0.75" bottom="0.75" header="0.3" footer="0.3"/>
  <pageSetup orientation="portrait" r:id="rId1"/>
  <headerFooter>
    <oddHeader>&amp;L&amp;"-,Bold"Institute of International Education&amp;R&amp;"-,Bold"USAID Democracy Fellows and Grants Program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zoomScaleNormal="100" workbookViewId="0">
      <pane ySplit="15" topLeftCell="A52" activePane="bottomLeft" state="frozen"/>
      <selection pane="bottomLeft" activeCell="E58" sqref="E58"/>
    </sheetView>
  </sheetViews>
  <sheetFormatPr defaultRowHeight="15" x14ac:dyDescent="0.25"/>
  <cols>
    <col min="1" max="1" width="35.28515625" style="1" customWidth="1"/>
    <col min="2" max="2" width="10.85546875" style="30" customWidth="1"/>
    <col min="3" max="3" width="9.140625" style="1"/>
    <col min="4" max="4" width="10.140625" style="1" customWidth="1"/>
    <col min="5" max="5" width="9.140625" style="24"/>
    <col min="6" max="6" width="82.7109375" style="1" customWidth="1"/>
    <col min="7" max="16384" width="9.140625" style="1"/>
  </cols>
  <sheetData>
    <row r="1" spans="1:6" ht="24.75" customHeight="1" thickBot="1" x14ac:dyDescent="0.3">
      <c r="A1" s="135" t="s">
        <v>88</v>
      </c>
      <c r="B1" s="136"/>
      <c r="C1" s="136"/>
      <c r="D1" s="136"/>
      <c r="E1" s="136"/>
      <c r="F1" s="137"/>
    </row>
    <row r="2" spans="1:6" x14ac:dyDescent="0.25">
      <c r="A2" s="2" t="s">
        <v>39</v>
      </c>
      <c r="B2" s="53" t="s">
        <v>40</v>
      </c>
    </row>
    <row r="3" spans="1:6" ht="5.0999999999999996" customHeight="1" x14ac:dyDescent="0.25">
      <c r="A3" s="2"/>
      <c r="B3" s="59"/>
    </row>
    <row r="4" spans="1:6" ht="15" customHeight="1" x14ac:dyDescent="0.3">
      <c r="A4" s="2" t="s">
        <v>67</v>
      </c>
      <c r="B4" s="54"/>
      <c r="F4" s="81" t="s">
        <v>92</v>
      </c>
    </row>
    <row r="5" spans="1:6" ht="5.0999999999999996" customHeight="1" x14ac:dyDescent="0.25">
      <c r="A5" s="2"/>
      <c r="B5" s="58"/>
      <c r="F5" s="82"/>
    </row>
    <row r="6" spans="1:6" ht="15" customHeight="1" x14ac:dyDescent="0.25">
      <c r="A6" s="2" t="s">
        <v>90</v>
      </c>
      <c r="B6" s="2" t="s">
        <v>41</v>
      </c>
      <c r="C6" s="55"/>
      <c r="D6" s="2" t="s">
        <v>42</v>
      </c>
      <c r="E6" s="56"/>
      <c r="F6" s="83">
        <v>0</v>
      </c>
    </row>
    <row r="7" spans="1:6" ht="5.0999999999999996" customHeight="1" x14ac:dyDescent="0.25">
      <c r="A7" s="2"/>
      <c r="B7" s="2"/>
      <c r="C7" s="9"/>
      <c r="D7" s="2"/>
      <c r="E7" s="57"/>
    </row>
    <row r="8" spans="1:6" x14ac:dyDescent="0.25">
      <c r="A8" s="2" t="s">
        <v>89</v>
      </c>
      <c r="B8" s="138"/>
      <c r="C8" s="138"/>
      <c r="D8" s="138"/>
      <c r="E8" s="138"/>
    </row>
    <row r="9" spans="1:6" ht="5.0999999999999996" customHeight="1" thickBot="1" x14ac:dyDescent="0.3">
      <c r="A9" s="78"/>
      <c r="B9" s="78"/>
      <c r="C9" s="79"/>
      <c r="D9" s="78"/>
      <c r="E9" s="79"/>
      <c r="F9" s="80"/>
    </row>
    <row r="10" spans="1:6" ht="5.0999999999999996" customHeight="1" thickTop="1" x14ac:dyDescent="0.25"/>
    <row r="11" spans="1:6" x14ac:dyDescent="0.25">
      <c r="A11" s="139" t="s">
        <v>68</v>
      </c>
      <c r="B11" s="139"/>
      <c r="C11" s="139"/>
      <c r="D11" s="139"/>
      <c r="E11" s="139"/>
      <c r="F11" s="139"/>
    </row>
    <row r="12" spans="1:6" x14ac:dyDescent="0.25">
      <c r="A12" s="140" t="s">
        <v>94</v>
      </c>
      <c r="B12" s="140"/>
      <c r="C12" s="140"/>
      <c r="D12" s="140"/>
      <c r="E12" s="140"/>
      <c r="F12" s="140"/>
    </row>
    <row r="13" spans="1:6" x14ac:dyDescent="0.25">
      <c r="A13" s="141" t="s">
        <v>91</v>
      </c>
      <c r="B13" s="141"/>
      <c r="C13" s="141"/>
      <c r="D13" s="141"/>
      <c r="E13" s="141"/>
      <c r="F13" s="141"/>
    </row>
    <row r="14" spans="1:6" ht="5.0999999999999996" customHeight="1" thickBot="1" x14ac:dyDescent="0.3">
      <c r="A14" s="61"/>
      <c r="B14" s="61"/>
      <c r="C14" s="61"/>
      <c r="D14" s="61"/>
      <c r="E14" s="61"/>
      <c r="F14" s="60"/>
    </row>
    <row r="15" spans="1:6" ht="32.25" thickBot="1" x14ac:dyDescent="0.3">
      <c r="A15" s="72" t="s">
        <v>93</v>
      </c>
      <c r="B15" s="73" t="s">
        <v>69</v>
      </c>
      <c r="C15" s="74" t="s">
        <v>43</v>
      </c>
      <c r="D15" s="75" t="s">
        <v>44</v>
      </c>
      <c r="E15" s="76" t="s">
        <v>70</v>
      </c>
      <c r="F15" s="77" t="s">
        <v>45</v>
      </c>
    </row>
    <row r="16" spans="1:6" s="9" customFormat="1" ht="5.0999999999999996" customHeight="1" thickBot="1" x14ac:dyDescent="0.3">
      <c r="A16" s="7"/>
      <c r="B16" s="31"/>
      <c r="C16" s="8"/>
      <c r="D16" s="7"/>
      <c r="E16" s="25"/>
      <c r="F16" s="7"/>
    </row>
    <row r="17" spans="1:6" x14ac:dyDescent="0.25">
      <c r="A17" s="20" t="s">
        <v>46</v>
      </c>
      <c r="B17" s="32"/>
      <c r="C17" s="11" t="s">
        <v>81</v>
      </c>
      <c r="D17" s="11"/>
      <c r="E17" s="26"/>
      <c r="F17" s="12" t="s">
        <v>71</v>
      </c>
    </row>
    <row r="18" spans="1:6" x14ac:dyDescent="0.25">
      <c r="A18" s="62" t="s">
        <v>47</v>
      </c>
      <c r="B18" s="63"/>
      <c r="C18" s="64"/>
      <c r="D18" s="64"/>
      <c r="E18" s="27">
        <f>(B18*D18)</f>
        <v>0</v>
      </c>
      <c r="F18" s="65"/>
    </row>
    <row r="19" spans="1:6" x14ac:dyDescent="0.25">
      <c r="A19" s="62" t="s">
        <v>48</v>
      </c>
      <c r="B19" s="63"/>
      <c r="C19" s="64"/>
      <c r="D19" s="64"/>
      <c r="E19" s="27">
        <f t="shared" ref="E19:E22" si="0">(B19*D19)</f>
        <v>0</v>
      </c>
      <c r="F19" s="65"/>
    </row>
    <row r="20" spans="1:6" x14ac:dyDescent="0.25">
      <c r="A20" s="62" t="s">
        <v>49</v>
      </c>
      <c r="B20" s="63"/>
      <c r="C20" s="64"/>
      <c r="D20" s="64"/>
      <c r="E20" s="27">
        <f t="shared" si="0"/>
        <v>0</v>
      </c>
      <c r="F20" s="65"/>
    </row>
    <row r="21" spans="1:6" x14ac:dyDescent="0.25">
      <c r="A21" s="62" t="s">
        <v>66</v>
      </c>
      <c r="B21" s="63"/>
      <c r="C21" s="64"/>
      <c r="D21" s="64"/>
      <c r="E21" s="27">
        <f t="shared" si="0"/>
        <v>0</v>
      </c>
      <c r="F21" s="65"/>
    </row>
    <row r="22" spans="1:6" x14ac:dyDescent="0.25">
      <c r="A22" s="62" t="s">
        <v>50</v>
      </c>
      <c r="B22" s="63"/>
      <c r="C22" s="64"/>
      <c r="D22" s="64"/>
      <c r="E22" s="27">
        <f t="shared" si="0"/>
        <v>0</v>
      </c>
      <c r="F22" s="65"/>
    </row>
    <row r="23" spans="1:6" ht="15.75" thickBot="1" x14ac:dyDescent="0.3">
      <c r="A23" s="21" t="s">
        <v>51</v>
      </c>
      <c r="B23" s="34"/>
      <c r="C23" s="15"/>
      <c r="D23" s="15"/>
      <c r="E23" s="28">
        <f>SUM(E18:E22)</f>
        <v>0</v>
      </c>
      <c r="F23" s="16"/>
    </row>
    <row r="24" spans="1:6" ht="5.0999999999999996" customHeight="1" thickBot="1" x14ac:dyDescent="0.3"/>
    <row r="25" spans="1:6" x14ac:dyDescent="0.25">
      <c r="A25" s="20" t="s">
        <v>52</v>
      </c>
      <c r="B25" s="32" t="s">
        <v>83</v>
      </c>
      <c r="C25" s="22" t="s">
        <v>74</v>
      </c>
      <c r="D25" s="11"/>
      <c r="E25" s="26"/>
      <c r="F25" s="12" t="s">
        <v>75</v>
      </c>
    </row>
    <row r="26" spans="1:6" x14ac:dyDescent="0.25">
      <c r="A26" s="51" t="s">
        <v>72</v>
      </c>
      <c r="B26" s="50">
        <f>E23</f>
        <v>0</v>
      </c>
      <c r="C26" s="66"/>
      <c r="D26" s="23"/>
      <c r="E26" s="27">
        <f>(B26*C26)</f>
        <v>0</v>
      </c>
      <c r="F26" s="65"/>
    </row>
    <row r="27" spans="1:6" x14ac:dyDescent="0.25">
      <c r="A27" s="13" t="s">
        <v>73</v>
      </c>
      <c r="B27" s="52">
        <f>E23</f>
        <v>0</v>
      </c>
      <c r="C27" s="67"/>
      <c r="D27" s="23"/>
      <c r="E27" s="27">
        <f>(B27*C27)</f>
        <v>0</v>
      </c>
      <c r="F27" s="65"/>
    </row>
    <row r="28" spans="1:6" ht="15.75" thickBot="1" x14ac:dyDescent="0.3">
      <c r="A28" s="21" t="s">
        <v>51</v>
      </c>
      <c r="B28" s="34"/>
      <c r="C28" s="15"/>
      <c r="D28" s="15"/>
      <c r="E28" s="28">
        <f>SUM(E26:E27)</f>
        <v>0</v>
      </c>
      <c r="F28" s="16"/>
    </row>
    <row r="29" spans="1:6" ht="5.0999999999999996" customHeight="1" thickBot="1" x14ac:dyDescent="0.3"/>
    <row r="30" spans="1:6" x14ac:dyDescent="0.25">
      <c r="A30" s="20" t="s">
        <v>53</v>
      </c>
      <c r="B30" s="35" t="s">
        <v>82</v>
      </c>
      <c r="C30" s="22" t="s">
        <v>81</v>
      </c>
      <c r="D30" s="11"/>
      <c r="E30" s="26"/>
      <c r="F30" s="12"/>
    </row>
    <row r="31" spans="1:6" x14ac:dyDescent="0.25">
      <c r="A31" s="62" t="s">
        <v>47</v>
      </c>
      <c r="B31" s="63"/>
      <c r="C31" s="64"/>
      <c r="D31" s="64"/>
      <c r="E31" s="27">
        <f>(B31*D31)</f>
        <v>0</v>
      </c>
      <c r="F31" s="65"/>
    </row>
    <row r="32" spans="1:6" x14ac:dyDescent="0.25">
      <c r="A32" s="62" t="s">
        <v>48</v>
      </c>
      <c r="B32" s="63"/>
      <c r="C32" s="64"/>
      <c r="D32" s="64"/>
      <c r="E32" s="27">
        <f t="shared" ref="E32:E33" si="1">(B32*D32)</f>
        <v>0</v>
      </c>
      <c r="F32" s="65"/>
    </row>
    <row r="33" spans="1:6" x14ac:dyDescent="0.25">
      <c r="A33" s="62" t="s">
        <v>49</v>
      </c>
      <c r="B33" s="63"/>
      <c r="C33" s="64"/>
      <c r="D33" s="64"/>
      <c r="E33" s="27">
        <f t="shared" si="1"/>
        <v>0</v>
      </c>
      <c r="F33" s="65"/>
    </row>
    <row r="34" spans="1:6" ht="15.75" thickBot="1" x14ac:dyDescent="0.3">
      <c r="A34" s="21" t="s">
        <v>51</v>
      </c>
      <c r="B34" s="34"/>
      <c r="C34" s="15"/>
      <c r="D34" s="15"/>
      <c r="E34" s="28">
        <f>SUM(E31:E33)</f>
        <v>0</v>
      </c>
      <c r="F34" s="16"/>
    </row>
    <row r="35" spans="1:6" ht="5.0999999999999996" customHeight="1" thickBot="1" x14ac:dyDescent="0.3"/>
    <row r="36" spans="1:6" x14ac:dyDescent="0.25">
      <c r="A36" s="20" t="s">
        <v>54</v>
      </c>
      <c r="B36" s="32"/>
      <c r="C36" s="11"/>
      <c r="D36" s="11"/>
      <c r="E36" s="26"/>
      <c r="F36" s="12"/>
    </row>
    <row r="37" spans="1:6" x14ac:dyDescent="0.25">
      <c r="A37" s="62" t="s">
        <v>47</v>
      </c>
      <c r="B37" s="63"/>
      <c r="C37" s="64"/>
      <c r="D37" s="64"/>
      <c r="E37" s="27">
        <f>(B37*D37)</f>
        <v>0</v>
      </c>
      <c r="F37" s="65"/>
    </row>
    <row r="38" spans="1:6" x14ac:dyDescent="0.25">
      <c r="A38" s="62" t="s">
        <v>48</v>
      </c>
      <c r="B38" s="63"/>
      <c r="C38" s="64"/>
      <c r="D38" s="64"/>
      <c r="E38" s="27">
        <f t="shared" ref="E38:E41" si="2">(B38*D38)</f>
        <v>0</v>
      </c>
      <c r="F38" s="65"/>
    </row>
    <row r="39" spans="1:6" x14ac:dyDescent="0.25">
      <c r="A39" s="62" t="s">
        <v>49</v>
      </c>
      <c r="B39" s="63"/>
      <c r="C39" s="64"/>
      <c r="D39" s="64"/>
      <c r="E39" s="27">
        <f t="shared" si="2"/>
        <v>0</v>
      </c>
      <c r="F39" s="65"/>
    </row>
    <row r="40" spans="1:6" x14ac:dyDescent="0.25">
      <c r="A40" s="62" t="s">
        <v>66</v>
      </c>
      <c r="B40" s="63"/>
      <c r="C40" s="64"/>
      <c r="D40" s="64"/>
      <c r="E40" s="27">
        <f t="shared" si="2"/>
        <v>0</v>
      </c>
      <c r="F40" s="65"/>
    </row>
    <row r="41" spans="1:6" x14ac:dyDescent="0.25">
      <c r="A41" s="62" t="s">
        <v>50</v>
      </c>
      <c r="B41" s="63"/>
      <c r="C41" s="64"/>
      <c r="D41" s="64"/>
      <c r="E41" s="27">
        <f t="shared" si="2"/>
        <v>0</v>
      </c>
      <c r="F41" s="65"/>
    </row>
    <row r="42" spans="1:6" ht="15.75" thickBot="1" x14ac:dyDescent="0.3">
      <c r="A42" s="21" t="s">
        <v>51</v>
      </c>
      <c r="B42" s="34"/>
      <c r="C42" s="15"/>
      <c r="D42" s="15"/>
      <c r="E42" s="28">
        <f>SUM(E37:E41)</f>
        <v>0</v>
      </c>
      <c r="F42" s="16"/>
    </row>
    <row r="43" spans="1:6" ht="5.0999999999999996" customHeight="1" thickBot="1" x14ac:dyDescent="0.3"/>
    <row r="44" spans="1:6" x14ac:dyDescent="0.25">
      <c r="A44" s="20" t="s">
        <v>55</v>
      </c>
      <c r="B44" s="32"/>
      <c r="C44" s="11"/>
      <c r="D44" s="11"/>
      <c r="E44" s="26"/>
      <c r="F44" s="12"/>
    </row>
    <row r="45" spans="1:6" x14ac:dyDescent="0.25">
      <c r="A45" s="38" t="s">
        <v>56</v>
      </c>
      <c r="B45" s="63"/>
      <c r="C45" s="64"/>
      <c r="D45" s="64"/>
      <c r="E45" s="27">
        <f>(B45*D45)</f>
        <v>0</v>
      </c>
      <c r="F45" s="65"/>
    </row>
    <row r="46" spans="1:6" x14ac:dyDescent="0.25">
      <c r="A46" s="38" t="s">
        <v>57</v>
      </c>
      <c r="B46" s="39"/>
      <c r="C46" s="40"/>
      <c r="D46" s="40"/>
      <c r="E46" s="42"/>
      <c r="F46" s="14"/>
    </row>
    <row r="47" spans="1:6" x14ac:dyDescent="0.25">
      <c r="A47" s="38" t="s">
        <v>58</v>
      </c>
      <c r="B47" s="63"/>
      <c r="C47" s="64"/>
      <c r="D47" s="64"/>
      <c r="E47" s="27">
        <f t="shared" ref="E47:E50" si="3">(B47*D47)</f>
        <v>0</v>
      </c>
      <c r="F47" s="65"/>
    </row>
    <row r="48" spans="1:6" x14ac:dyDescent="0.25">
      <c r="A48" s="68" t="s">
        <v>59</v>
      </c>
      <c r="B48" s="69"/>
      <c r="C48" s="70"/>
      <c r="D48" s="70"/>
      <c r="E48" s="43"/>
      <c r="F48" s="71"/>
    </row>
    <row r="49" spans="1:6" x14ac:dyDescent="0.25">
      <c r="A49" s="62" t="s">
        <v>76</v>
      </c>
      <c r="B49" s="63"/>
      <c r="C49" s="64"/>
      <c r="D49" s="64"/>
      <c r="E49" s="27">
        <f t="shared" si="3"/>
        <v>0</v>
      </c>
      <c r="F49" s="65"/>
    </row>
    <row r="50" spans="1:6" x14ac:dyDescent="0.25">
      <c r="A50" s="62" t="s">
        <v>48</v>
      </c>
      <c r="B50" s="63"/>
      <c r="C50" s="64"/>
      <c r="D50" s="64"/>
      <c r="E50" s="27">
        <f t="shared" si="3"/>
        <v>0</v>
      </c>
      <c r="F50" s="65"/>
    </row>
    <row r="51" spans="1:6" ht="15.75" thickBot="1" x14ac:dyDescent="0.3">
      <c r="A51" s="21" t="s">
        <v>51</v>
      </c>
      <c r="B51" s="34"/>
      <c r="C51" s="15"/>
      <c r="D51" s="15"/>
      <c r="E51" s="28">
        <f>SUM(E45:E50)</f>
        <v>0</v>
      </c>
      <c r="F51" s="16"/>
    </row>
    <row r="52" spans="1:6" ht="5.0999999999999996" customHeight="1" thickBot="1" x14ac:dyDescent="0.3">
      <c r="A52" s="45"/>
      <c r="B52" s="46"/>
      <c r="C52" s="47"/>
      <c r="D52" s="47"/>
      <c r="E52" s="48"/>
      <c r="F52" s="49"/>
    </row>
    <row r="53" spans="1:6" x14ac:dyDescent="0.25">
      <c r="A53" s="20" t="s">
        <v>60</v>
      </c>
      <c r="B53" s="32"/>
      <c r="C53" s="11"/>
      <c r="D53" s="11"/>
      <c r="E53" s="26"/>
      <c r="F53" s="12"/>
    </row>
    <row r="54" spans="1:6" x14ac:dyDescent="0.25">
      <c r="A54" s="62" t="s">
        <v>61</v>
      </c>
      <c r="B54" s="63"/>
      <c r="C54" s="64"/>
      <c r="D54" s="64"/>
      <c r="E54" s="27">
        <f t="shared" ref="E54:E56" si="4">(B54*D54)</f>
        <v>0</v>
      </c>
      <c r="F54" s="65"/>
    </row>
    <row r="55" spans="1:6" x14ac:dyDescent="0.25">
      <c r="A55" s="62" t="s">
        <v>62</v>
      </c>
      <c r="B55" s="63"/>
      <c r="C55" s="64"/>
      <c r="D55" s="64"/>
      <c r="E55" s="27">
        <f t="shared" si="4"/>
        <v>0</v>
      </c>
      <c r="F55" s="65"/>
    </row>
    <row r="56" spans="1:6" x14ac:dyDescent="0.25">
      <c r="A56" s="62" t="s">
        <v>63</v>
      </c>
      <c r="B56" s="63"/>
      <c r="C56" s="64"/>
      <c r="D56" s="64"/>
      <c r="E56" s="27">
        <f t="shared" si="4"/>
        <v>0</v>
      </c>
      <c r="F56" s="65"/>
    </row>
    <row r="57" spans="1:6" x14ac:dyDescent="0.25">
      <c r="A57" s="38" t="s">
        <v>59</v>
      </c>
      <c r="B57" s="39"/>
      <c r="C57" s="40"/>
      <c r="D57" s="40"/>
      <c r="E57" s="42"/>
      <c r="F57" s="41"/>
    </row>
    <row r="58" spans="1:6" x14ac:dyDescent="0.25">
      <c r="A58" s="62"/>
      <c r="B58" s="63"/>
      <c r="C58" s="64"/>
      <c r="D58" s="64"/>
      <c r="E58" s="27">
        <v>0</v>
      </c>
      <c r="F58" s="65"/>
    </row>
    <row r="59" spans="1:6" ht="15.75" thickBot="1" x14ac:dyDescent="0.3">
      <c r="A59" s="21" t="s">
        <v>51</v>
      </c>
      <c r="B59" s="34"/>
      <c r="C59" s="15"/>
      <c r="D59" s="15"/>
      <c r="E59" s="28">
        <f>SUM(E54:E58)</f>
        <v>0</v>
      </c>
      <c r="F59" s="16"/>
    </row>
    <row r="60" spans="1:6" ht="5.0999999999999996" customHeight="1" thickBot="1" x14ac:dyDescent="0.3"/>
    <row r="61" spans="1:6" x14ac:dyDescent="0.25">
      <c r="A61" s="20" t="s">
        <v>0</v>
      </c>
      <c r="B61" s="32"/>
      <c r="C61" s="11"/>
      <c r="D61" s="11"/>
      <c r="E61" s="26"/>
      <c r="F61" s="12"/>
    </row>
    <row r="62" spans="1:6" x14ac:dyDescent="0.25">
      <c r="A62" s="62" t="s">
        <v>47</v>
      </c>
      <c r="B62" s="63"/>
      <c r="C62" s="64"/>
      <c r="D62" s="64"/>
      <c r="E62" s="27">
        <f t="shared" ref="E62:E65" si="5">(B62*D62)</f>
        <v>0</v>
      </c>
      <c r="F62" s="65"/>
    </row>
    <row r="63" spans="1:6" x14ac:dyDescent="0.25">
      <c r="A63" s="62" t="s">
        <v>48</v>
      </c>
      <c r="B63" s="63"/>
      <c r="C63" s="64"/>
      <c r="D63" s="64"/>
      <c r="E63" s="27">
        <f t="shared" si="5"/>
        <v>0</v>
      </c>
      <c r="F63" s="65"/>
    </row>
    <row r="64" spans="1:6" x14ac:dyDescent="0.25">
      <c r="A64" s="62" t="s">
        <v>49</v>
      </c>
      <c r="B64" s="63"/>
      <c r="C64" s="64"/>
      <c r="D64" s="64"/>
      <c r="E64" s="27">
        <f t="shared" si="5"/>
        <v>0</v>
      </c>
      <c r="F64" s="65"/>
    </row>
    <row r="65" spans="1:6" x14ac:dyDescent="0.25">
      <c r="A65" s="62" t="s">
        <v>66</v>
      </c>
      <c r="B65" s="63"/>
      <c r="C65" s="64"/>
      <c r="D65" s="64"/>
      <c r="E65" s="27">
        <f t="shared" si="5"/>
        <v>0</v>
      </c>
      <c r="F65" s="65"/>
    </row>
    <row r="66" spans="1:6" x14ac:dyDescent="0.25">
      <c r="A66" s="62" t="s">
        <v>50</v>
      </c>
      <c r="B66" s="63"/>
      <c r="C66" s="64"/>
      <c r="D66" s="64"/>
      <c r="E66" s="27">
        <v>0</v>
      </c>
      <c r="F66" s="65"/>
    </row>
    <row r="67" spans="1:6" ht="15.75" thickBot="1" x14ac:dyDescent="0.3">
      <c r="A67" s="21" t="s">
        <v>51</v>
      </c>
      <c r="B67" s="34"/>
      <c r="C67" s="15"/>
      <c r="D67" s="15"/>
      <c r="E67" s="28">
        <f>SUM(E62:E66)</f>
        <v>0</v>
      </c>
      <c r="F67" s="16"/>
    </row>
    <row r="68" spans="1:6" ht="5.0999999999999996" customHeight="1" thickBot="1" x14ac:dyDescent="0.3"/>
    <row r="69" spans="1:6" x14ac:dyDescent="0.25">
      <c r="A69" s="20" t="s">
        <v>64</v>
      </c>
      <c r="B69" s="32"/>
      <c r="C69" s="11"/>
      <c r="D69" s="11"/>
      <c r="E69" s="26"/>
      <c r="F69" s="12"/>
    </row>
    <row r="70" spans="1:6" x14ac:dyDescent="0.25">
      <c r="A70" s="62" t="s">
        <v>84</v>
      </c>
      <c r="B70" s="63"/>
      <c r="C70" s="64"/>
      <c r="D70" s="64"/>
      <c r="E70" s="27">
        <f t="shared" ref="E70:E73" si="6">(B70*D70)</f>
        <v>0</v>
      </c>
      <c r="F70" s="65"/>
    </row>
    <row r="71" spans="1:6" x14ac:dyDescent="0.25">
      <c r="A71" s="62" t="s">
        <v>65</v>
      </c>
      <c r="B71" s="63"/>
      <c r="C71" s="64"/>
      <c r="D71" s="64"/>
      <c r="E71" s="27">
        <f t="shared" si="6"/>
        <v>0</v>
      </c>
      <c r="F71" s="65"/>
    </row>
    <row r="72" spans="1:6" x14ac:dyDescent="0.25">
      <c r="A72" s="13" t="s">
        <v>59</v>
      </c>
      <c r="B72" s="33"/>
      <c r="C72" s="10"/>
      <c r="D72" s="10"/>
      <c r="E72" s="43"/>
      <c r="F72" s="14"/>
    </row>
    <row r="73" spans="1:6" x14ac:dyDescent="0.25">
      <c r="A73" s="62" t="s">
        <v>47</v>
      </c>
      <c r="B73" s="63"/>
      <c r="C73" s="64"/>
      <c r="D73" s="64"/>
      <c r="E73" s="27">
        <f t="shared" si="6"/>
        <v>0</v>
      </c>
      <c r="F73" s="65"/>
    </row>
    <row r="74" spans="1:6" x14ac:dyDescent="0.25">
      <c r="A74" s="62" t="s">
        <v>48</v>
      </c>
      <c r="B74" s="63"/>
      <c r="C74" s="64"/>
      <c r="D74" s="64"/>
      <c r="E74" s="27">
        <v>0</v>
      </c>
      <c r="F74" s="65"/>
    </row>
    <row r="75" spans="1:6" ht="15.75" thickBot="1" x14ac:dyDescent="0.3">
      <c r="A75" s="21" t="s">
        <v>51</v>
      </c>
      <c r="B75" s="34"/>
      <c r="C75" s="15"/>
      <c r="D75" s="15"/>
      <c r="E75" s="28">
        <f>SUM(E70:E74)</f>
        <v>0</v>
      </c>
      <c r="F75" s="16"/>
    </row>
    <row r="76" spans="1:6" ht="5.0999999999999996" customHeight="1" thickBot="1" x14ac:dyDescent="0.3"/>
    <row r="77" spans="1:6" x14ac:dyDescent="0.25">
      <c r="A77" s="20" t="s">
        <v>87</v>
      </c>
      <c r="B77" s="32"/>
      <c r="C77" s="11"/>
      <c r="D77" s="11"/>
      <c r="E77" s="26"/>
      <c r="F77" s="12"/>
    </row>
    <row r="78" spans="1:6" x14ac:dyDescent="0.25">
      <c r="A78" s="62" t="s">
        <v>47</v>
      </c>
      <c r="B78" s="63"/>
      <c r="C78" s="64"/>
      <c r="D78" s="64"/>
      <c r="E78" s="27">
        <f t="shared" ref="E78:E82" si="7">(B78*D78)</f>
        <v>0</v>
      </c>
      <c r="F78" s="65"/>
    </row>
    <row r="79" spans="1:6" x14ac:dyDescent="0.25">
      <c r="A79" s="62" t="s">
        <v>48</v>
      </c>
      <c r="B79" s="63"/>
      <c r="C79" s="64"/>
      <c r="D79" s="64"/>
      <c r="E79" s="27">
        <f t="shared" si="7"/>
        <v>0</v>
      </c>
      <c r="F79" s="65"/>
    </row>
    <row r="80" spans="1:6" x14ac:dyDescent="0.25">
      <c r="A80" s="62" t="s">
        <v>49</v>
      </c>
      <c r="B80" s="63"/>
      <c r="C80" s="64"/>
      <c r="D80" s="64"/>
      <c r="E80" s="27">
        <f t="shared" si="7"/>
        <v>0</v>
      </c>
      <c r="F80" s="65"/>
    </row>
    <row r="81" spans="1:6" x14ac:dyDescent="0.25">
      <c r="A81" s="62" t="s">
        <v>66</v>
      </c>
      <c r="B81" s="63"/>
      <c r="C81" s="64"/>
      <c r="D81" s="64"/>
      <c r="E81" s="27">
        <v>0</v>
      </c>
      <c r="F81" s="65"/>
    </row>
    <row r="82" spans="1:6" x14ac:dyDescent="0.25">
      <c r="A82" s="62" t="s">
        <v>50</v>
      </c>
      <c r="B82" s="63"/>
      <c r="C82" s="64"/>
      <c r="D82" s="64"/>
      <c r="E82" s="27">
        <f t="shared" si="7"/>
        <v>0</v>
      </c>
      <c r="F82" s="65"/>
    </row>
    <row r="83" spans="1:6" ht="15.75" thickBot="1" x14ac:dyDescent="0.3">
      <c r="A83" s="21" t="s">
        <v>77</v>
      </c>
      <c r="B83" s="34"/>
      <c r="C83" s="15"/>
      <c r="D83" s="15"/>
      <c r="E83" s="28">
        <f>SUM(E78:E82)</f>
        <v>0</v>
      </c>
      <c r="F83" s="16"/>
    </row>
    <row r="84" spans="1:6" ht="5.0999999999999996" customHeight="1" x14ac:dyDescent="0.25"/>
    <row r="85" spans="1:6" ht="16.5" customHeight="1" thickBot="1" x14ac:dyDescent="0.3">
      <c r="A85" s="133" t="s">
        <v>85</v>
      </c>
      <c r="B85" s="134"/>
      <c r="C85" s="134"/>
      <c r="D85" s="134"/>
      <c r="E85" s="134"/>
      <c r="F85" s="44"/>
    </row>
    <row r="86" spans="1:6" ht="47.25" customHeight="1" x14ac:dyDescent="0.25">
      <c r="A86" s="20" t="s">
        <v>78</v>
      </c>
      <c r="B86" s="36" t="s">
        <v>79</v>
      </c>
      <c r="C86" s="22" t="s">
        <v>80</v>
      </c>
      <c r="D86" s="11"/>
      <c r="E86" s="26"/>
      <c r="F86" s="12"/>
    </row>
    <row r="87" spans="1:6" x14ac:dyDescent="0.25">
      <c r="A87" s="62" t="s">
        <v>47</v>
      </c>
      <c r="B87" s="63"/>
      <c r="C87" s="67"/>
      <c r="D87" s="23"/>
      <c r="E87" s="27">
        <f>(C87*B87)</f>
        <v>0</v>
      </c>
      <c r="F87" s="65"/>
    </row>
    <row r="88" spans="1:6" x14ac:dyDescent="0.25">
      <c r="A88" s="62" t="s">
        <v>48</v>
      </c>
      <c r="B88" s="63"/>
      <c r="C88" s="67"/>
      <c r="D88" s="23"/>
      <c r="E88" s="27">
        <v>0</v>
      </c>
      <c r="F88" s="65"/>
    </row>
    <row r="89" spans="1:6" x14ac:dyDescent="0.25">
      <c r="A89" s="62" t="s">
        <v>49</v>
      </c>
      <c r="B89" s="63"/>
      <c r="C89" s="67"/>
      <c r="D89" s="23"/>
      <c r="E89" s="27">
        <f t="shared" ref="E89:E91" si="8">(C89*B89)</f>
        <v>0</v>
      </c>
      <c r="F89" s="65"/>
    </row>
    <row r="90" spans="1:6" x14ac:dyDescent="0.25">
      <c r="A90" s="62" t="s">
        <v>66</v>
      </c>
      <c r="B90" s="63"/>
      <c r="C90" s="67"/>
      <c r="D90" s="23"/>
      <c r="E90" s="27">
        <f t="shared" si="8"/>
        <v>0</v>
      </c>
      <c r="F90" s="65"/>
    </row>
    <row r="91" spans="1:6" x14ac:dyDescent="0.25">
      <c r="A91" s="62" t="s">
        <v>50</v>
      </c>
      <c r="B91" s="63"/>
      <c r="C91" s="67"/>
      <c r="D91" s="23"/>
      <c r="E91" s="27">
        <f t="shared" si="8"/>
        <v>0</v>
      </c>
      <c r="F91" s="65"/>
    </row>
    <row r="92" spans="1:6" ht="15.75" thickBot="1" x14ac:dyDescent="0.3">
      <c r="A92" s="21" t="s">
        <v>51</v>
      </c>
      <c r="B92" s="34"/>
      <c r="C92" s="15"/>
      <c r="D92" s="15"/>
      <c r="E92" s="28">
        <f>SUM(E87:E91)</f>
        <v>0</v>
      </c>
      <c r="F92" s="16"/>
    </row>
    <row r="93" spans="1:6" ht="5.0999999999999996" customHeight="1" thickBot="1" x14ac:dyDescent="0.3"/>
    <row r="94" spans="1:6" ht="15.75" thickBot="1" x14ac:dyDescent="0.3">
      <c r="A94" s="17" t="s">
        <v>86</v>
      </c>
      <c r="B94" s="37"/>
      <c r="C94" s="18"/>
      <c r="D94" s="18"/>
      <c r="E94" s="29">
        <f>SUM(E92+E83+E75+E67+E59+E51+E42+E34+E28+E23)</f>
        <v>0</v>
      </c>
      <c r="F94" s="19"/>
    </row>
  </sheetData>
  <mergeCells count="6">
    <mergeCell ref="A85:E85"/>
    <mergeCell ref="A1:F1"/>
    <mergeCell ref="B8:E8"/>
    <mergeCell ref="A11:F11"/>
    <mergeCell ref="A12:F12"/>
    <mergeCell ref="A13:F13"/>
  </mergeCells>
  <pageMargins left="0.25" right="0.25" top="0.75" bottom="0.75" header="0.3" footer="0.3"/>
  <pageSetup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selection activeCell="G21" sqref="G21"/>
    </sheetView>
  </sheetViews>
  <sheetFormatPr defaultRowHeight="15" x14ac:dyDescent="0.25"/>
  <cols>
    <col min="1" max="1" width="47.28515625" customWidth="1"/>
    <col min="2" max="2" width="13.7109375" bestFit="1" customWidth="1"/>
    <col min="3" max="4" width="10.85546875" bestFit="1" customWidth="1"/>
  </cols>
  <sheetData>
    <row r="1" spans="1:4" x14ac:dyDescent="0.25">
      <c r="A1" s="2" t="s">
        <v>1</v>
      </c>
      <c r="B1" s="1"/>
      <c r="C1" s="1"/>
      <c r="D1" s="1"/>
    </row>
    <row r="2" spans="1:4" x14ac:dyDescent="0.25">
      <c r="A2" s="1" t="s">
        <v>2</v>
      </c>
      <c r="B2" s="1"/>
      <c r="C2" s="1"/>
      <c r="D2" s="1"/>
    </row>
    <row r="3" spans="1:4" x14ac:dyDescent="0.25">
      <c r="A3" s="1" t="s">
        <v>3</v>
      </c>
      <c r="B3" s="1"/>
      <c r="C3" s="1"/>
      <c r="D3" s="1"/>
    </row>
    <row r="4" spans="1:4" x14ac:dyDescent="0.25">
      <c r="A4" s="1" t="s">
        <v>4</v>
      </c>
      <c r="B4" s="1"/>
      <c r="C4" s="1"/>
      <c r="D4" s="1"/>
    </row>
    <row r="5" spans="1:4" x14ac:dyDescent="0.25">
      <c r="A5" s="1" t="s">
        <v>5</v>
      </c>
      <c r="B5" s="1"/>
      <c r="C5" s="1"/>
      <c r="D5" s="1"/>
    </row>
    <row r="6" spans="1:4" x14ac:dyDescent="0.25">
      <c r="A6" s="1" t="s">
        <v>6</v>
      </c>
      <c r="B6" s="1"/>
      <c r="C6" s="1"/>
      <c r="D6" s="1"/>
    </row>
    <row r="7" spans="1:4" x14ac:dyDescent="0.25">
      <c r="A7" s="1" t="s">
        <v>7</v>
      </c>
      <c r="B7" s="1"/>
      <c r="C7" s="1"/>
      <c r="D7" s="1"/>
    </row>
    <row r="8" spans="1:4" x14ac:dyDescent="0.25">
      <c r="A8" s="1" t="s">
        <v>8</v>
      </c>
      <c r="B8" s="1"/>
      <c r="C8" s="1"/>
      <c r="D8" s="1"/>
    </row>
    <row r="9" spans="1:4" x14ac:dyDescent="0.25">
      <c r="A9" s="1" t="s">
        <v>9</v>
      </c>
      <c r="B9" s="1"/>
      <c r="C9" s="1"/>
      <c r="D9" s="1"/>
    </row>
    <row r="10" spans="1:4" x14ac:dyDescent="0.25">
      <c r="A10" s="1" t="s">
        <v>10</v>
      </c>
      <c r="B10" s="1"/>
      <c r="C10" s="1"/>
      <c r="D10" s="1"/>
    </row>
    <row r="11" spans="1:4" x14ac:dyDescent="0.25">
      <c r="A11" s="1" t="s">
        <v>11</v>
      </c>
      <c r="B11" s="1"/>
      <c r="C11" s="1"/>
      <c r="D11" s="1"/>
    </row>
    <row r="12" spans="1:4" x14ac:dyDescent="0.25">
      <c r="A12" s="1"/>
      <c r="B12" s="2" t="s">
        <v>12</v>
      </c>
      <c r="C12" s="1"/>
      <c r="D12" s="1"/>
    </row>
    <row r="13" spans="1:4" x14ac:dyDescent="0.25">
      <c r="A13" s="1"/>
      <c r="B13" s="2" t="s">
        <v>13</v>
      </c>
      <c r="C13" s="2" t="s">
        <v>14</v>
      </c>
      <c r="D13" s="2" t="s">
        <v>14</v>
      </c>
    </row>
    <row r="14" spans="1:4" x14ac:dyDescent="0.25">
      <c r="A14" s="2" t="s">
        <v>15</v>
      </c>
      <c r="B14" s="1">
        <v>2009</v>
      </c>
      <c r="C14" s="1">
        <v>2010</v>
      </c>
      <c r="D14" s="1">
        <v>2011</v>
      </c>
    </row>
    <row r="15" spans="1:4" x14ac:dyDescent="0.25">
      <c r="A15" s="2" t="s">
        <v>16</v>
      </c>
      <c r="B15" s="1" t="s">
        <v>17</v>
      </c>
      <c r="C15" s="1" t="s">
        <v>17</v>
      </c>
      <c r="D15" s="1" t="s">
        <v>17</v>
      </c>
    </row>
    <row r="16" spans="1:4" x14ac:dyDescent="0.25">
      <c r="A16" s="1" t="s">
        <v>18</v>
      </c>
      <c r="B16" s="3">
        <v>3.85E-2</v>
      </c>
      <c r="C16" s="3">
        <v>3.85E-2</v>
      </c>
      <c r="D16" s="3">
        <v>3.85E-2</v>
      </c>
    </row>
    <row r="17" spans="1:4" x14ac:dyDescent="0.25">
      <c r="A17" s="1" t="s">
        <v>19</v>
      </c>
      <c r="B17" s="3">
        <v>1.9199999999999998E-2</v>
      </c>
      <c r="C17" s="3">
        <v>1.9199999999999998E-2</v>
      </c>
      <c r="D17" s="3">
        <v>1.9199999999999998E-2</v>
      </c>
    </row>
    <row r="18" spans="1:4" x14ac:dyDescent="0.25">
      <c r="A18" s="1" t="s">
        <v>20</v>
      </c>
      <c r="B18" s="3">
        <v>3.85E-2</v>
      </c>
      <c r="C18" s="3">
        <v>3.85E-2</v>
      </c>
      <c r="D18" s="3">
        <v>3.85E-2</v>
      </c>
    </row>
    <row r="19" spans="1:4" x14ac:dyDescent="0.25">
      <c r="A19" s="1" t="s">
        <v>21</v>
      </c>
      <c r="B19" s="3">
        <v>7.7000000000000002E-3</v>
      </c>
      <c r="C19" s="3">
        <v>7.7000000000000002E-3</v>
      </c>
      <c r="D19" s="3">
        <v>7.7000000000000002E-3</v>
      </c>
    </row>
    <row r="20" spans="1:4" x14ac:dyDescent="0.25">
      <c r="A20" s="2" t="s">
        <v>22</v>
      </c>
      <c r="B20" s="6">
        <v>0.1038</v>
      </c>
      <c r="C20" s="6">
        <v>0.1038</v>
      </c>
      <c r="D20" s="6">
        <v>0.1038</v>
      </c>
    </row>
    <row r="22" spans="1:4" x14ac:dyDescent="0.25">
      <c r="A22" s="2" t="s">
        <v>23</v>
      </c>
      <c r="B22" s="1"/>
      <c r="C22" s="1"/>
      <c r="D22" s="1"/>
    </row>
    <row r="23" spans="1:4" x14ac:dyDescent="0.25">
      <c r="A23" s="1" t="s">
        <v>24</v>
      </c>
      <c r="B23" s="3">
        <v>0</v>
      </c>
      <c r="C23" s="3">
        <v>0</v>
      </c>
      <c r="D23" s="3">
        <v>0</v>
      </c>
    </row>
    <row r="24" spans="1:4" x14ac:dyDescent="0.25">
      <c r="A24" s="1" t="s">
        <v>25</v>
      </c>
      <c r="B24" s="3">
        <v>0</v>
      </c>
      <c r="C24" s="3">
        <v>0</v>
      </c>
      <c r="D24" s="3">
        <v>0</v>
      </c>
    </row>
    <row r="25" spans="1:4" x14ac:dyDescent="0.25">
      <c r="A25" s="1" t="s">
        <v>26</v>
      </c>
      <c r="B25" s="3">
        <v>0</v>
      </c>
      <c r="C25" s="3">
        <v>0</v>
      </c>
      <c r="D25" s="3">
        <v>0</v>
      </c>
    </row>
    <row r="26" spans="1:4" x14ac:dyDescent="0.25">
      <c r="A26" s="1" t="s">
        <v>27</v>
      </c>
      <c r="B26" s="3">
        <v>0</v>
      </c>
      <c r="C26" s="3">
        <v>0</v>
      </c>
      <c r="D26" s="3">
        <v>0</v>
      </c>
    </row>
    <row r="27" spans="1:4" x14ac:dyDescent="0.25">
      <c r="A27" s="1" t="s">
        <v>28</v>
      </c>
      <c r="B27" s="3">
        <v>0</v>
      </c>
      <c r="C27" s="3">
        <v>0</v>
      </c>
      <c r="D27" s="3">
        <v>0</v>
      </c>
    </row>
    <row r="28" spans="1:4" x14ac:dyDescent="0.25">
      <c r="A28" s="1" t="s">
        <v>29</v>
      </c>
      <c r="B28" s="3">
        <v>0</v>
      </c>
      <c r="C28" s="3">
        <v>0</v>
      </c>
      <c r="D28" s="3">
        <v>0</v>
      </c>
    </row>
    <row r="29" spans="1:4" x14ac:dyDescent="0.25">
      <c r="A29" s="1" t="s">
        <v>30</v>
      </c>
      <c r="B29" s="3">
        <v>0</v>
      </c>
      <c r="C29" s="3">
        <v>0</v>
      </c>
      <c r="D29" s="3">
        <v>0</v>
      </c>
    </row>
    <row r="30" spans="1:4" x14ac:dyDescent="0.25">
      <c r="A30" s="1" t="s">
        <v>31</v>
      </c>
      <c r="B30" s="3">
        <v>0</v>
      </c>
      <c r="C30" s="3">
        <v>0</v>
      </c>
      <c r="D30" s="3">
        <v>0</v>
      </c>
    </row>
    <row r="31" spans="1:4" x14ac:dyDescent="0.25">
      <c r="A31" s="2" t="s">
        <v>32</v>
      </c>
      <c r="B31" s="6">
        <v>0</v>
      </c>
      <c r="C31" s="6">
        <v>0</v>
      </c>
      <c r="D31" s="6">
        <v>0</v>
      </c>
    </row>
    <row r="33" spans="1:4" x14ac:dyDescent="0.25">
      <c r="A33" s="1" t="s">
        <v>33</v>
      </c>
      <c r="B33" s="1"/>
      <c r="C33" s="1"/>
      <c r="D33" s="1"/>
    </row>
    <row r="35" spans="1:4" x14ac:dyDescent="0.25">
      <c r="A35" s="2" t="s">
        <v>34</v>
      </c>
      <c r="B35" s="1"/>
      <c r="C35" s="1"/>
      <c r="D35" s="1"/>
    </row>
    <row r="37" spans="1:4" x14ac:dyDescent="0.25">
      <c r="A37" s="1" t="s">
        <v>35</v>
      </c>
      <c r="B37" s="1"/>
      <c r="C37" s="1"/>
      <c r="D37" s="1"/>
    </row>
    <row r="38" spans="1:4" x14ac:dyDescent="0.25">
      <c r="A38" s="1" t="s">
        <v>36</v>
      </c>
      <c r="B38" s="4">
        <v>30000</v>
      </c>
      <c r="C38" s="4">
        <v>32000</v>
      </c>
      <c r="D38" s="4">
        <v>29000</v>
      </c>
    </row>
    <row r="39" spans="1:4" x14ac:dyDescent="0.25">
      <c r="A39" s="1" t="s">
        <v>37</v>
      </c>
      <c r="B39" s="4">
        <v>5000</v>
      </c>
      <c r="C39" s="4">
        <v>5000</v>
      </c>
      <c r="D39" s="4">
        <v>5000</v>
      </c>
    </row>
    <row r="41" spans="1:4" x14ac:dyDescent="0.25">
      <c r="A41" s="1" t="s">
        <v>38</v>
      </c>
      <c r="B41" s="5">
        <v>0.17</v>
      </c>
      <c r="C41" s="5">
        <v>0.16</v>
      </c>
      <c r="D41" s="5">
        <v>0.17</v>
      </c>
    </row>
    <row r="43" spans="1:4" x14ac:dyDescent="0.25">
      <c r="A43" s="1" t="s">
        <v>33</v>
      </c>
      <c r="B43" s="5">
        <v>0.17</v>
      </c>
      <c r="C43" s="1"/>
      <c r="D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Detailed Budget</vt:lpstr>
      <vt:lpstr>Fringe Calculation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Dooley, Nobu</dc:creator>
  <cp:lastModifiedBy>Farthing, Kristin</cp:lastModifiedBy>
  <dcterms:created xsi:type="dcterms:W3CDTF">2013-03-08T17:53:02Z</dcterms:created>
  <dcterms:modified xsi:type="dcterms:W3CDTF">2013-04-22T19:08:41Z</dcterms:modified>
</cp:coreProperties>
</file>